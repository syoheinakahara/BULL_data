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400" yWindow="620" windowWidth="27740" windowHeight="16660" tabRatio="646" activeTab="2"/>
  </bookViews>
  <sheets>
    <sheet name="output" sheetId="9" r:id="rId1"/>
    <sheet name="floors" sheetId="2" r:id="rId2"/>
    <sheet name="enemy_habitats" sheetId="1" r:id="rId3"/>
    <sheet name="enemy_habitat_S" sheetId="7" r:id="rId4"/>
    <sheet name="floors_DL5.tmp" sheetId="5" r:id="rId5"/>
    <sheet name="enemy_habitats_DL5.tmp" sheetId="6" r:id="rId6"/>
    <sheet name="enemy_habitat_S_DL5.tmp" sheetId="8" r:id="rId7"/>
  </sheets>
  <externalReferences>
    <externalReference r:id="rId8"/>
    <externalReference r:id="rId9"/>
    <externalReference r:id="rId10"/>
    <externalReference r:id="rId11"/>
  </externalReferences>
  <definedNames>
    <definedName name="_xlnm._FilterDatabase" localSheetId="3" hidden="1">enemy_habitat_S!$B$1:$Y$13</definedName>
    <definedName name="_xlnm._FilterDatabase" localSheetId="2" hidden="1">enemy_habitats!$A$1:$AM$939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" i="1" l="1"/>
  <c r="AG3" i="1"/>
  <c r="AD4" i="1"/>
  <c r="AG4" i="1"/>
  <c r="AD5" i="1"/>
  <c r="AG5" i="1"/>
  <c r="AD6" i="1"/>
  <c r="AG6" i="1"/>
  <c r="AD7" i="1"/>
  <c r="AG7" i="1"/>
  <c r="AD8" i="1"/>
  <c r="AG8" i="1"/>
  <c r="AD9" i="1"/>
  <c r="AG9" i="1"/>
  <c r="AD10" i="1"/>
  <c r="AG10" i="1"/>
  <c r="AD11" i="1"/>
  <c r="AG11" i="1"/>
  <c r="AD12" i="1"/>
  <c r="AG12" i="1"/>
  <c r="AD13" i="1"/>
  <c r="AG13" i="1"/>
  <c r="AD14" i="1"/>
  <c r="AG14" i="1"/>
  <c r="AD15" i="1"/>
  <c r="AG15" i="1"/>
  <c r="AD16" i="1"/>
  <c r="AG16" i="1"/>
  <c r="AD17" i="1"/>
  <c r="AG17" i="1"/>
  <c r="AD18" i="1"/>
  <c r="AG18" i="1"/>
  <c r="AD19" i="1"/>
  <c r="AG19" i="1"/>
  <c r="AD20" i="1"/>
  <c r="AG20" i="1"/>
  <c r="AD21" i="1"/>
  <c r="AG21" i="1"/>
  <c r="AD22" i="1"/>
  <c r="AG22" i="1"/>
  <c r="AD23" i="1"/>
  <c r="AG23" i="1"/>
  <c r="AD24" i="1"/>
  <c r="AG24" i="1"/>
  <c r="AD25" i="1"/>
  <c r="AG25" i="1"/>
  <c r="AD26" i="1"/>
  <c r="AG26" i="1"/>
  <c r="AD27" i="1"/>
  <c r="AG27" i="1"/>
  <c r="AD28" i="1"/>
  <c r="AG28" i="1"/>
  <c r="AD29" i="1"/>
  <c r="AG29" i="1"/>
  <c r="AD30" i="1"/>
  <c r="AG30" i="1"/>
  <c r="AD31" i="1"/>
  <c r="AG31" i="1"/>
  <c r="AD32" i="1"/>
  <c r="AG32" i="1"/>
  <c r="AD33" i="1"/>
  <c r="AG33" i="1"/>
  <c r="AD34" i="1"/>
  <c r="AG34" i="1"/>
  <c r="AD35" i="1"/>
  <c r="AG35" i="1"/>
  <c r="AD36" i="1"/>
  <c r="AG36" i="1"/>
  <c r="AD37" i="1"/>
  <c r="AG37" i="1"/>
  <c r="AD38" i="1"/>
  <c r="AG38" i="1"/>
  <c r="AD39" i="1"/>
  <c r="AG39" i="1"/>
  <c r="AD40" i="1"/>
  <c r="AG40" i="1"/>
  <c r="AD41" i="1"/>
  <c r="AG41" i="1"/>
  <c r="AD42" i="1"/>
  <c r="AG42" i="1"/>
  <c r="AD43" i="1"/>
  <c r="AG43" i="1"/>
  <c r="AD44" i="1"/>
  <c r="AG44" i="1"/>
  <c r="AD45" i="1"/>
  <c r="AG45" i="1"/>
  <c r="AD46" i="1"/>
  <c r="AG46" i="1"/>
  <c r="AD47" i="1"/>
  <c r="AG47" i="1"/>
  <c r="AD48" i="1"/>
  <c r="AG48" i="1"/>
  <c r="AD49" i="1"/>
  <c r="AG49" i="1"/>
  <c r="AD50" i="1"/>
  <c r="AG50" i="1"/>
  <c r="AD51" i="1"/>
  <c r="AG51" i="1"/>
  <c r="AD52" i="1"/>
  <c r="AG52" i="1"/>
  <c r="AD53" i="1"/>
  <c r="AG53" i="1"/>
  <c r="AD54" i="1"/>
  <c r="AG54" i="1"/>
  <c r="AD55" i="1"/>
  <c r="AG55" i="1"/>
  <c r="AD56" i="1"/>
  <c r="AG56" i="1"/>
  <c r="AD57" i="1"/>
  <c r="AG57" i="1"/>
  <c r="AD58" i="1"/>
  <c r="AG58" i="1"/>
  <c r="AD59" i="1"/>
  <c r="AG59" i="1"/>
  <c r="AD60" i="1"/>
  <c r="AG60" i="1"/>
  <c r="AD61" i="1"/>
  <c r="AG61" i="1"/>
  <c r="AD62" i="1"/>
  <c r="AG62" i="1"/>
  <c r="AD63" i="1"/>
  <c r="AG63" i="1"/>
  <c r="AD64" i="1"/>
  <c r="AG64" i="1"/>
  <c r="AD65" i="1"/>
  <c r="AG65" i="1"/>
  <c r="AD66" i="1"/>
  <c r="AG66" i="1"/>
  <c r="AD67" i="1"/>
  <c r="AG67" i="1"/>
  <c r="AD68" i="1"/>
  <c r="AG68" i="1"/>
  <c r="AD69" i="1"/>
  <c r="AG69" i="1"/>
  <c r="AD70" i="1"/>
  <c r="AG70" i="1"/>
  <c r="AD71" i="1"/>
  <c r="AG71" i="1"/>
  <c r="AD72" i="1"/>
  <c r="AG72" i="1"/>
  <c r="AD73" i="1"/>
  <c r="AG73" i="1"/>
  <c r="AD74" i="1"/>
  <c r="AG74" i="1"/>
  <c r="AD75" i="1"/>
  <c r="AG75" i="1"/>
  <c r="AD76" i="1"/>
  <c r="AG76" i="1"/>
  <c r="AD77" i="1"/>
  <c r="AG77" i="1"/>
  <c r="AD78" i="1"/>
  <c r="AG78" i="1"/>
  <c r="AD79" i="1"/>
  <c r="AG79" i="1"/>
  <c r="AD80" i="1"/>
  <c r="AG80" i="1"/>
  <c r="AD81" i="1"/>
  <c r="AG81" i="1"/>
  <c r="AD82" i="1"/>
  <c r="AG82" i="1"/>
  <c r="AD83" i="1"/>
  <c r="AG83" i="1"/>
  <c r="AD84" i="1"/>
  <c r="AG84" i="1"/>
  <c r="AD85" i="1"/>
  <c r="AG85" i="1"/>
  <c r="AD86" i="1"/>
  <c r="AG86" i="1"/>
  <c r="AD87" i="1"/>
  <c r="AG87" i="1"/>
  <c r="AD88" i="1"/>
  <c r="AG88" i="1"/>
  <c r="AD89" i="1"/>
  <c r="AG89" i="1"/>
  <c r="AD90" i="1"/>
  <c r="AG90" i="1"/>
  <c r="AD91" i="1"/>
  <c r="AG91" i="1"/>
  <c r="AD92" i="1"/>
  <c r="AG92" i="1"/>
  <c r="AD93" i="1"/>
  <c r="AG93" i="1"/>
  <c r="AD94" i="1"/>
  <c r="AG94" i="1"/>
  <c r="AD95" i="1"/>
  <c r="AG95" i="1"/>
  <c r="AD96" i="1"/>
  <c r="AG96" i="1"/>
  <c r="AD97" i="1"/>
  <c r="AG97" i="1"/>
  <c r="AD98" i="1"/>
  <c r="AG98" i="1"/>
  <c r="AD99" i="1"/>
  <c r="AG99" i="1"/>
  <c r="AD100" i="1"/>
  <c r="AG100" i="1"/>
  <c r="AD101" i="1"/>
  <c r="AG101" i="1"/>
  <c r="AD102" i="1"/>
  <c r="AG102" i="1"/>
  <c r="AD103" i="1"/>
  <c r="AG103" i="1"/>
  <c r="AD104" i="1"/>
  <c r="AG104" i="1"/>
  <c r="AD105" i="1"/>
  <c r="AG105" i="1"/>
  <c r="AD106" i="1"/>
  <c r="AG106" i="1"/>
  <c r="AD107" i="1"/>
  <c r="AG107" i="1"/>
  <c r="AD108" i="1"/>
  <c r="AG108" i="1"/>
  <c r="AD109" i="1"/>
  <c r="AG109" i="1"/>
  <c r="AD110" i="1"/>
  <c r="AG110" i="1"/>
  <c r="AD111" i="1"/>
  <c r="AG111" i="1"/>
  <c r="AD112" i="1"/>
  <c r="AG112" i="1"/>
  <c r="AD113" i="1"/>
  <c r="AG113" i="1"/>
  <c r="AD114" i="1"/>
  <c r="AG114" i="1"/>
  <c r="AD115" i="1"/>
  <c r="AG115" i="1"/>
  <c r="AD116" i="1"/>
  <c r="AG116" i="1"/>
  <c r="AD117" i="1"/>
  <c r="AG117" i="1"/>
  <c r="AD118" i="1"/>
  <c r="AG118" i="1"/>
  <c r="AD119" i="1"/>
  <c r="AG119" i="1"/>
  <c r="AD120" i="1"/>
  <c r="AG120" i="1"/>
  <c r="AD121" i="1"/>
  <c r="AG121" i="1"/>
  <c r="AD122" i="1"/>
  <c r="AG122" i="1"/>
  <c r="AD123" i="1"/>
  <c r="AG123" i="1"/>
  <c r="AD124" i="1"/>
  <c r="AG124" i="1"/>
  <c r="AD125" i="1"/>
  <c r="AG125" i="1"/>
  <c r="AD126" i="1"/>
  <c r="AG126" i="1"/>
  <c r="AD127" i="1"/>
  <c r="AG127" i="1"/>
  <c r="AD128" i="1"/>
  <c r="AG128" i="1"/>
  <c r="AD129" i="1"/>
  <c r="AG129" i="1"/>
  <c r="AD130" i="1"/>
  <c r="AG130" i="1"/>
  <c r="AD131" i="1"/>
  <c r="AG131" i="1"/>
  <c r="AD132" i="1"/>
  <c r="AG132" i="1"/>
  <c r="AD133" i="1"/>
  <c r="AG133" i="1"/>
  <c r="AD134" i="1"/>
  <c r="AG134" i="1"/>
  <c r="AD135" i="1"/>
  <c r="AG135" i="1"/>
  <c r="AD136" i="1"/>
  <c r="AG136" i="1"/>
  <c r="AD137" i="1"/>
  <c r="AG137" i="1"/>
  <c r="AD138" i="1"/>
  <c r="AG138" i="1"/>
  <c r="AD139" i="1"/>
  <c r="AG139" i="1"/>
  <c r="AD140" i="1"/>
  <c r="AG140" i="1"/>
  <c r="AD141" i="1"/>
  <c r="AG141" i="1"/>
  <c r="AD142" i="1"/>
  <c r="AG142" i="1"/>
  <c r="AD143" i="1"/>
  <c r="AG143" i="1"/>
  <c r="AD144" i="1"/>
  <c r="AG144" i="1"/>
  <c r="AD145" i="1"/>
  <c r="AG145" i="1"/>
  <c r="AD146" i="1"/>
  <c r="AG146" i="1"/>
  <c r="AD147" i="1"/>
  <c r="AG147" i="1"/>
  <c r="AD148" i="1"/>
  <c r="AG148" i="1"/>
  <c r="AD149" i="1"/>
  <c r="AG149" i="1"/>
  <c r="AD150" i="1"/>
  <c r="AG150" i="1"/>
  <c r="AD151" i="1"/>
  <c r="AG151" i="1"/>
  <c r="AD152" i="1"/>
  <c r="AG152" i="1"/>
  <c r="AD153" i="1"/>
  <c r="AG153" i="1"/>
  <c r="AD154" i="1"/>
  <c r="AG154" i="1"/>
  <c r="AD155" i="1"/>
  <c r="AG155" i="1"/>
  <c r="AD156" i="1"/>
  <c r="AG156" i="1"/>
  <c r="AD157" i="1"/>
  <c r="AG157" i="1"/>
  <c r="AD158" i="1"/>
  <c r="AG158" i="1"/>
  <c r="AD159" i="1"/>
  <c r="AG159" i="1"/>
  <c r="AD160" i="1"/>
  <c r="AG160" i="1"/>
  <c r="AD161" i="1"/>
  <c r="AG161" i="1"/>
  <c r="AD162" i="1"/>
  <c r="AG162" i="1"/>
  <c r="AD163" i="1"/>
  <c r="AG163" i="1"/>
  <c r="AD164" i="1"/>
  <c r="AG164" i="1"/>
  <c r="AD165" i="1"/>
  <c r="AG165" i="1"/>
  <c r="AD166" i="1"/>
  <c r="AG166" i="1"/>
  <c r="AD167" i="1"/>
  <c r="AG167" i="1"/>
  <c r="AD168" i="1"/>
  <c r="AG168" i="1"/>
  <c r="AD169" i="1"/>
  <c r="AG169" i="1"/>
  <c r="AD170" i="1"/>
  <c r="AG170" i="1"/>
  <c r="AD171" i="1"/>
  <c r="AG171" i="1"/>
  <c r="AD172" i="1"/>
  <c r="AG172" i="1"/>
  <c r="AD173" i="1"/>
  <c r="AG173" i="1"/>
  <c r="AD174" i="1"/>
  <c r="AG174" i="1"/>
  <c r="AD175" i="1"/>
  <c r="AG175" i="1"/>
  <c r="AD176" i="1"/>
  <c r="AG176" i="1"/>
  <c r="AD177" i="1"/>
  <c r="AG177" i="1"/>
  <c r="AD178" i="1"/>
  <c r="AG178" i="1"/>
  <c r="AD179" i="1"/>
  <c r="AG179" i="1"/>
  <c r="AD180" i="1"/>
  <c r="AG180" i="1"/>
  <c r="AD181" i="1"/>
  <c r="AG181" i="1"/>
  <c r="AD182" i="1"/>
  <c r="AG182" i="1"/>
  <c r="AD183" i="1"/>
  <c r="AG183" i="1"/>
  <c r="AD184" i="1"/>
  <c r="AG184" i="1"/>
  <c r="AD185" i="1"/>
  <c r="AG185" i="1"/>
  <c r="AD186" i="1"/>
  <c r="AG186" i="1"/>
  <c r="AD187" i="1"/>
  <c r="AG187" i="1"/>
  <c r="AD188" i="1"/>
  <c r="AG188" i="1"/>
  <c r="AD189" i="1"/>
  <c r="AG189" i="1"/>
  <c r="AD190" i="1"/>
  <c r="AG190" i="1"/>
  <c r="AD191" i="1"/>
  <c r="AG191" i="1"/>
  <c r="AD192" i="1"/>
  <c r="AG192" i="1"/>
  <c r="AD193" i="1"/>
  <c r="AG193" i="1"/>
  <c r="AD194" i="1"/>
  <c r="AG194" i="1"/>
  <c r="AD195" i="1"/>
  <c r="AG195" i="1"/>
  <c r="AD196" i="1"/>
  <c r="AG196" i="1"/>
  <c r="AD197" i="1"/>
  <c r="AG197" i="1"/>
  <c r="AD198" i="1"/>
  <c r="AG198" i="1"/>
  <c r="AD199" i="1"/>
  <c r="AG199" i="1"/>
  <c r="AD200" i="1"/>
  <c r="AG200" i="1"/>
  <c r="AD201" i="1"/>
  <c r="AG201" i="1"/>
  <c r="AD202" i="1"/>
  <c r="AG202" i="1"/>
  <c r="AD203" i="1"/>
  <c r="AG203" i="1"/>
  <c r="AD204" i="1"/>
  <c r="AG204" i="1"/>
  <c r="AD205" i="1"/>
  <c r="AG205" i="1"/>
  <c r="AD206" i="1"/>
  <c r="AG206" i="1"/>
  <c r="AD207" i="1"/>
  <c r="AG207" i="1"/>
  <c r="AD208" i="1"/>
  <c r="AG208" i="1"/>
  <c r="AD209" i="1"/>
  <c r="AG209" i="1"/>
  <c r="AD210" i="1"/>
  <c r="AG210" i="1"/>
  <c r="AD211" i="1"/>
  <c r="AG211" i="1"/>
  <c r="AD212" i="1"/>
  <c r="AG212" i="1"/>
  <c r="AD213" i="1"/>
  <c r="AG213" i="1"/>
  <c r="AD214" i="1"/>
  <c r="AG214" i="1"/>
  <c r="AD215" i="1"/>
  <c r="AG215" i="1"/>
  <c r="AD216" i="1"/>
  <c r="AG216" i="1"/>
  <c r="AD217" i="1"/>
  <c r="AG217" i="1"/>
  <c r="AD218" i="1"/>
  <c r="AG218" i="1"/>
  <c r="AD219" i="1"/>
  <c r="AG219" i="1"/>
  <c r="AD220" i="1"/>
  <c r="AG220" i="1"/>
  <c r="AD221" i="1"/>
  <c r="AG221" i="1"/>
  <c r="AD222" i="1"/>
  <c r="AG222" i="1"/>
  <c r="AD223" i="1"/>
  <c r="AG223" i="1"/>
  <c r="AD224" i="1"/>
  <c r="AG224" i="1"/>
  <c r="AD225" i="1"/>
  <c r="AG225" i="1"/>
  <c r="AD226" i="1"/>
  <c r="AG226" i="1"/>
  <c r="AD227" i="1"/>
  <c r="AG227" i="1"/>
  <c r="AD228" i="1"/>
  <c r="AG228" i="1"/>
  <c r="AD229" i="1"/>
  <c r="AG229" i="1"/>
  <c r="AD230" i="1"/>
  <c r="AG230" i="1"/>
  <c r="AD231" i="1"/>
  <c r="AG231" i="1"/>
  <c r="AD232" i="1"/>
  <c r="AG232" i="1"/>
  <c r="AD233" i="1"/>
  <c r="AG233" i="1"/>
  <c r="AD234" i="1"/>
  <c r="AG234" i="1"/>
  <c r="AD235" i="1"/>
  <c r="AG235" i="1"/>
  <c r="AD236" i="1"/>
  <c r="AG236" i="1"/>
  <c r="AD237" i="1"/>
  <c r="AG237" i="1"/>
  <c r="AD238" i="1"/>
  <c r="AG238" i="1"/>
  <c r="AD239" i="1"/>
  <c r="AG239" i="1"/>
  <c r="AD240" i="1"/>
  <c r="AG240" i="1"/>
  <c r="AD241" i="1"/>
  <c r="AG241" i="1"/>
  <c r="AD242" i="1"/>
  <c r="AG242" i="1"/>
  <c r="AD243" i="1"/>
  <c r="AG243" i="1"/>
  <c r="AD244" i="1"/>
  <c r="AG244" i="1"/>
  <c r="AD245" i="1"/>
  <c r="AG245" i="1"/>
  <c r="AD246" i="1"/>
  <c r="AG246" i="1"/>
  <c r="AD247" i="1"/>
  <c r="AG247" i="1"/>
  <c r="AD248" i="1"/>
  <c r="AG248" i="1"/>
  <c r="AD249" i="1"/>
  <c r="AG249" i="1"/>
  <c r="AD250" i="1"/>
  <c r="AG250" i="1"/>
  <c r="AD251" i="1"/>
  <c r="AG251" i="1"/>
  <c r="AD252" i="1"/>
  <c r="AG252" i="1"/>
  <c r="AD253" i="1"/>
  <c r="AG253" i="1"/>
  <c r="AD254" i="1"/>
  <c r="AG254" i="1"/>
  <c r="AD255" i="1"/>
  <c r="AG255" i="1"/>
  <c r="AD256" i="1"/>
  <c r="AG256" i="1"/>
  <c r="AD257" i="1"/>
  <c r="AG257" i="1"/>
  <c r="AD258" i="1"/>
  <c r="AG258" i="1"/>
  <c r="AD259" i="1"/>
  <c r="AG259" i="1"/>
  <c r="AD260" i="1"/>
  <c r="AG260" i="1"/>
  <c r="AD261" i="1"/>
  <c r="AG261" i="1"/>
  <c r="AD262" i="1"/>
  <c r="AG262" i="1"/>
  <c r="AD263" i="1"/>
  <c r="AG263" i="1"/>
  <c r="AD264" i="1"/>
  <c r="AG264" i="1"/>
  <c r="AD265" i="1"/>
  <c r="AG265" i="1"/>
  <c r="AD266" i="1"/>
  <c r="AG266" i="1"/>
  <c r="AD267" i="1"/>
  <c r="AG267" i="1"/>
  <c r="AD268" i="1"/>
  <c r="AG268" i="1"/>
  <c r="AD269" i="1"/>
  <c r="AG269" i="1"/>
  <c r="AD270" i="1"/>
  <c r="AG270" i="1"/>
  <c r="AD271" i="1"/>
  <c r="AG271" i="1"/>
  <c r="AD272" i="1"/>
  <c r="AG272" i="1"/>
  <c r="AD273" i="1"/>
  <c r="AG273" i="1"/>
  <c r="AD274" i="1"/>
  <c r="AG274" i="1"/>
  <c r="AD275" i="1"/>
  <c r="AG275" i="1"/>
  <c r="AD276" i="1"/>
  <c r="AG276" i="1"/>
  <c r="AD277" i="1"/>
  <c r="AG277" i="1"/>
  <c r="AD278" i="1"/>
  <c r="AG278" i="1"/>
  <c r="AD279" i="1"/>
  <c r="AG279" i="1"/>
  <c r="AD280" i="1"/>
  <c r="AG280" i="1"/>
  <c r="AD281" i="1"/>
  <c r="AG281" i="1"/>
  <c r="AD282" i="1"/>
  <c r="AG282" i="1"/>
  <c r="AD283" i="1"/>
  <c r="AG283" i="1"/>
  <c r="AD284" i="1"/>
  <c r="AG284" i="1"/>
  <c r="AD285" i="1"/>
  <c r="AG285" i="1"/>
  <c r="AD286" i="1"/>
  <c r="AG286" i="1"/>
  <c r="AD287" i="1"/>
  <c r="AG287" i="1"/>
  <c r="AD288" i="1"/>
  <c r="AG288" i="1"/>
  <c r="AD289" i="1"/>
  <c r="AG289" i="1"/>
  <c r="AD290" i="1"/>
  <c r="AG290" i="1"/>
  <c r="AD291" i="1"/>
  <c r="AG291" i="1"/>
  <c r="AD292" i="1"/>
  <c r="AG292" i="1"/>
  <c r="AD293" i="1"/>
  <c r="AG293" i="1"/>
  <c r="AD294" i="1"/>
  <c r="AG294" i="1"/>
  <c r="AD295" i="1"/>
  <c r="AG295" i="1"/>
  <c r="AD296" i="1"/>
  <c r="AG296" i="1"/>
  <c r="AD297" i="1"/>
  <c r="AG297" i="1"/>
  <c r="AD298" i="1"/>
  <c r="AG298" i="1"/>
  <c r="AD299" i="1"/>
  <c r="AG299" i="1"/>
  <c r="AD300" i="1"/>
  <c r="AG300" i="1"/>
  <c r="AD301" i="1"/>
  <c r="AG301" i="1"/>
  <c r="AD302" i="1"/>
  <c r="AG302" i="1"/>
  <c r="AD303" i="1"/>
  <c r="AG303" i="1"/>
  <c r="AD304" i="1"/>
  <c r="AG304" i="1"/>
  <c r="AD305" i="1"/>
  <c r="AG305" i="1"/>
  <c r="AD306" i="1"/>
  <c r="AG306" i="1"/>
  <c r="AD307" i="1"/>
  <c r="AG307" i="1"/>
  <c r="AD308" i="1"/>
  <c r="AG308" i="1"/>
  <c r="AD309" i="1"/>
  <c r="AG309" i="1"/>
  <c r="AD310" i="1"/>
  <c r="AG310" i="1"/>
  <c r="AD311" i="1"/>
  <c r="AG311" i="1"/>
  <c r="AD312" i="1"/>
  <c r="AG312" i="1"/>
  <c r="AD313" i="1"/>
  <c r="AG313" i="1"/>
  <c r="AD314" i="1"/>
  <c r="AG314" i="1"/>
  <c r="AD315" i="1"/>
  <c r="AG315" i="1"/>
  <c r="AD316" i="1"/>
  <c r="AG316" i="1"/>
  <c r="AD317" i="1"/>
  <c r="AG317" i="1"/>
  <c r="AD318" i="1"/>
  <c r="AG318" i="1"/>
  <c r="AD319" i="1"/>
  <c r="AG319" i="1"/>
  <c r="AD320" i="1"/>
  <c r="AG320" i="1"/>
  <c r="AD321" i="1"/>
  <c r="AG321" i="1"/>
  <c r="AD322" i="1"/>
  <c r="AG322" i="1"/>
  <c r="AD323" i="1"/>
  <c r="AG323" i="1"/>
  <c r="AD324" i="1"/>
  <c r="AG324" i="1"/>
  <c r="AD325" i="1"/>
  <c r="AG325" i="1"/>
  <c r="AD326" i="1"/>
  <c r="AG326" i="1"/>
  <c r="AD327" i="1"/>
  <c r="AG327" i="1"/>
  <c r="AD328" i="1"/>
  <c r="AG328" i="1"/>
  <c r="AD329" i="1"/>
  <c r="AG329" i="1"/>
  <c r="AD330" i="1"/>
  <c r="AG330" i="1"/>
  <c r="AD331" i="1"/>
  <c r="AG331" i="1"/>
  <c r="AD332" i="1"/>
  <c r="AG332" i="1"/>
  <c r="AD333" i="1"/>
  <c r="AG333" i="1"/>
  <c r="AD334" i="1"/>
  <c r="AG334" i="1"/>
  <c r="AD335" i="1"/>
  <c r="AG335" i="1"/>
  <c r="AD336" i="1"/>
  <c r="AG336" i="1"/>
  <c r="AD337" i="1"/>
  <c r="AG337" i="1"/>
  <c r="AD338" i="1"/>
  <c r="AG338" i="1"/>
  <c r="AD339" i="1"/>
  <c r="AG339" i="1"/>
  <c r="AD340" i="1"/>
  <c r="AG340" i="1"/>
  <c r="AD341" i="1"/>
  <c r="AG341" i="1"/>
  <c r="AD342" i="1"/>
  <c r="AG342" i="1"/>
  <c r="AD343" i="1"/>
  <c r="AG343" i="1"/>
  <c r="AD344" i="1"/>
  <c r="AG344" i="1"/>
  <c r="AD345" i="1"/>
  <c r="AG345" i="1"/>
  <c r="AD346" i="1"/>
  <c r="AG346" i="1"/>
  <c r="AD347" i="1"/>
  <c r="AG347" i="1"/>
  <c r="AD348" i="1"/>
  <c r="AG348" i="1"/>
  <c r="AD349" i="1"/>
  <c r="AG349" i="1"/>
  <c r="AD350" i="1"/>
  <c r="AG350" i="1"/>
  <c r="AD351" i="1"/>
  <c r="AG351" i="1"/>
  <c r="AD352" i="1"/>
  <c r="AG352" i="1"/>
  <c r="AD353" i="1"/>
  <c r="AG353" i="1"/>
  <c r="AD354" i="1"/>
  <c r="AG354" i="1"/>
  <c r="AD355" i="1"/>
  <c r="AG355" i="1"/>
  <c r="AD356" i="1"/>
  <c r="AG356" i="1"/>
  <c r="AD357" i="1"/>
  <c r="AG357" i="1"/>
  <c r="AD358" i="1"/>
  <c r="AG358" i="1"/>
  <c r="AD359" i="1"/>
  <c r="AG359" i="1"/>
  <c r="AD360" i="1"/>
  <c r="AG360" i="1"/>
  <c r="AD361" i="1"/>
  <c r="AG361" i="1"/>
  <c r="AD362" i="1"/>
  <c r="AG362" i="1"/>
  <c r="AD363" i="1"/>
  <c r="AG363" i="1"/>
  <c r="AD364" i="1"/>
  <c r="AG364" i="1"/>
  <c r="AD365" i="1"/>
  <c r="AG365" i="1"/>
  <c r="AD366" i="1"/>
  <c r="AG366" i="1"/>
  <c r="AD367" i="1"/>
  <c r="AG367" i="1"/>
  <c r="AD368" i="1"/>
  <c r="AG368" i="1"/>
  <c r="AD369" i="1"/>
  <c r="AG369" i="1"/>
  <c r="AD370" i="1"/>
  <c r="AG370" i="1"/>
  <c r="AD371" i="1"/>
  <c r="AG371" i="1"/>
  <c r="AD372" i="1"/>
  <c r="AG372" i="1"/>
  <c r="AD373" i="1"/>
  <c r="AG373" i="1"/>
  <c r="AD374" i="1"/>
  <c r="AG374" i="1"/>
  <c r="AD375" i="1"/>
  <c r="AG375" i="1"/>
  <c r="AD376" i="1"/>
  <c r="AG376" i="1"/>
  <c r="AD377" i="1"/>
  <c r="AG377" i="1"/>
  <c r="AD378" i="1"/>
  <c r="AG378" i="1"/>
  <c r="AD379" i="1"/>
  <c r="AG379" i="1"/>
  <c r="AD380" i="1"/>
  <c r="AG380" i="1"/>
  <c r="AD381" i="1"/>
  <c r="AG381" i="1"/>
  <c r="AD382" i="1"/>
  <c r="AG382" i="1"/>
  <c r="AD383" i="1"/>
  <c r="AG383" i="1"/>
  <c r="AD384" i="1"/>
  <c r="AG384" i="1"/>
  <c r="AD385" i="1"/>
  <c r="AG385" i="1"/>
  <c r="AD386" i="1"/>
  <c r="AG386" i="1"/>
  <c r="AD387" i="1"/>
  <c r="AG387" i="1"/>
  <c r="AD388" i="1"/>
  <c r="AG388" i="1"/>
  <c r="AD389" i="1"/>
  <c r="AG389" i="1"/>
  <c r="AD390" i="1"/>
  <c r="AG390" i="1"/>
  <c r="AD391" i="1"/>
  <c r="AG391" i="1"/>
  <c r="AD392" i="1"/>
  <c r="AG392" i="1"/>
  <c r="AD393" i="1"/>
  <c r="AG393" i="1"/>
  <c r="AD394" i="1"/>
  <c r="AG394" i="1"/>
  <c r="AD395" i="1"/>
  <c r="AG395" i="1"/>
  <c r="AD396" i="1"/>
  <c r="AG396" i="1"/>
  <c r="AD397" i="1"/>
  <c r="AG397" i="1"/>
  <c r="AD398" i="1"/>
  <c r="AG398" i="1"/>
  <c r="AD399" i="1"/>
  <c r="AG399" i="1"/>
  <c r="AD400" i="1"/>
  <c r="AG400" i="1"/>
  <c r="AD401" i="1"/>
  <c r="AG401" i="1"/>
  <c r="AD402" i="1"/>
  <c r="AG402" i="1"/>
  <c r="AD403" i="1"/>
  <c r="AG403" i="1"/>
  <c r="AD404" i="1"/>
  <c r="AG404" i="1"/>
  <c r="AD405" i="1"/>
  <c r="AG405" i="1"/>
  <c r="AD406" i="1"/>
  <c r="AG406" i="1"/>
  <c r="AD407" i="1"/>
  <c r="AG407" i="1"/>
  <c r="AD408" i="1"/>
  <c r="AG408" i="1"/>
  <c r="AD409" i="1"/>
  <c r="AG409" i="1"/>
  <c r="AD410" i="1"/>
  <c r="AG410" i="1"/>
  <c r="AD411" i="1"/>
  <c r="AG411" i="1"/>
  <c r="AD412" i="1"/>
  <c r="AG412" i="1"/>
  <c r="AD413" i="1"/>
  <c r="AG413" i="1"/>
  <c r="AD414" i="1"/>
  <c r="AG414" i="1"/>
  <c r="AD415" i="1"/>
  <c r="AG415" i="1"/>
  <c r="AD416" i="1"/>
  <c r="AG416" i="1"/>
  <c r="AD417" i="1"/>
  <c r="AG417" i="1"/>
  <c r="AD418" i="1"/>
  <c r="AG418" i="1"/>
  <c r="AD419" i="1"/>
  <c r="AG419" i="1"/>
  <c r="AD420" i="1"/>
  <c r="AG420" i="1"/>
  <c r="AD421" i="1"/>
  <c r="AG421" i="1"/>
  <c r="AD422" i="1"/>
  <c r="AG422" i="1"/>
  <c r="AD423" i="1"/>
  <c r="AG423" i="1"/>
  <c r="AD424" i="1"/>
  <c r="AG424" i="1"/>
  <c r="AD425" i="1"/>
  <c r="AG425" i="1"/>
  <c r="AD426" i="1"/>
  <c r="AG426" i="1"/>
  <c r="AD427" i="1"/>
  <c r="AG427" i="1"/>
  <c r="AD428" i="1"/>
  <c r="AG428" i="1"/>
  <c r="AD429" i="1"/>
  <c r="AG429" i="1"/>
  <c r="AD430" i="1"/>
  <c r="AG430" i="1"/>
  <c r="AD431" i="1"/>
  <c r="AG431" i="1"/>
  <c r="AD432" i="1"/>
  <c r="AG432" i="1"/>
  <c r="AD433" i="1"/>
  <c r="AG433" i="1"/>
  <c r="AD434" i="1"/>
  <c r="AG434" i="1"/>
  <c r="AD435" i="1"/>
  <c r="AG435" i="1"/>
  <c r="AD436" i="1"/>
  <c r="AG436" i="1"/>
  <c r="AD437" i="1"/>
  <c r="AG437" i="1"/>
  <c r="AD438" i="1"/>
  <c r="AG438" i="1"/>
  <c r="AD439" i="1"/>
  <c r="AG439" i="1"/>
  <c r="AD440" i="1"/>
  <c r="AG440" i="1"/>
  <c r="AD441" i="1"/>
  <c r="AG441" i="1"/>
  <c r="AD442" i="1"/>
  <c r="AG442" i="1"/>
  <c r="AD443" i="1"/>
  <c r="AG443" i="1"/>
  <c r="AD444" i="1"/>
  <c r="AG444" i="1"/>
  <c r="AD445" i="1"/>
  <c r="AG445" i="1"/>
  <c r="AD446" i="1"/>
  <c r="AG446" i="1"/>
  <c r="AD447" i="1"/>
  <c r="AG447" i="1"/>
  <c r="AD448" i="1"/>
  <c r="AG448" i="1"/>
  <c r="AD449" i="1"/>
  <c r="AG449" i="1"/>
  <c r="AD450" i="1"/>
  <c r="AG450" i="1"/>
  <c r="AD451" i="1"/>
  <c r="AG451" i="1"/>
  <c r="AD452" i="1"/>
  <c r="AG452" i="1"/>
  <c r="AD453" i="1"/>
  <c r="AG453" i="1"/>
  <c r="AD454" i="1"/>
  <c r="AG454" i="1"/>
  <c r="AD455" i="1"/>
  <c r="AG455" i="1"/>
  <c r="AD456" i="1"/>
  <c r="AG456" i="1"/>
  <c r="AD457" i="1"/>
  <c r="AG457" i="1"/>
  <c r="AD458" i="1"/>
  <c r="AG458" i="1"/>
  <c r="AD459" i="1"/>
  <c r="AG459" i="1"/>
  <c r="AD460" i="1"/>
  <c r="AG460" i="1"/>
  <c r="AD461" i="1"/>
  <c r="AG461" i="1"/>
  <c r="AD462" i="1"/>
  <c r="AG462" i="1"/>
  <c r="AD463" i="1"/>
  <c r="AG463" i="1"/>
  <c r="AD464" i="1"/>
  <c r="AG464" i="1"/>
  <c r="AD465" i="1"/>
  <c r="AG465" i="1"/>
  <c r="AD466" i="1"/>
  <c r="AG466" i="1"/>
  <c r="AD467" i="1"/>
  <c r="AG467" i="1"/>
  <c r="AD468" i="1"/>
  <c r="AG468" i="1"/>
  <c r="AD469" i="1"/>
  <c r="AG469" i="1"/>
  <c r="AD470" i="1"/>
  <c r="AG470" i="1"/>
  <c r="AD471" i="1"/>
  <c r="AG471" i="1"/>
  <c r="AD472" i="1"/>
  <c r="AG472" i="1"/>
  <c r="AD473" i="1"/>
  <c r="AG473" i="1"/>
  <c r="AD474" i="1"/>
  <c r="AG474" i="1"/>
  <c r="AD475" i="1"/>
  <c r="AG475" i="1"/>
  <c r="AD476" i="1"/>
  <c r="AG476" i="1"/>
  <c r="AD477" i="1"/>
  <c r="AG477" i="1"/>
  <c r="AD478" i="1"/>
  <c r="AG478" i="1"/>
  <c r="AD479" i="1"/>
  <c r="AG479" i="1"/>
  <c r="AD480" i="1"/>
  <c r="AG480" i="1"/>
  <c r="AD481" i="1"/>
  <c r="AG481" i="1"/>
  <c r="AD482" i="1"/>
  <c r="AG482" i="1"/>
  <c r="AD483" i="1"/>
  <c r="AG483" i="1"/>
  <c r="AD484" i="1"/>
  <c r="AG484" i="1"/>
  <c r="AD485" i="1"/>
  <c r="AG485" i="1"/>
  <c r="AD486" i="1"/>
  <c r="AG486" i="1"/>
  <c r="AD487" i="1"/>
  <c r="AG487" i="1"/>
  <c r="AD488" i="1"/>
  <c r="AG488" i="1"/>
  <c r="AD489" i="1"/>
  <c r="AG489" i="1"/>
  <c r="AD490" i="1"/>
  <c r="AG490" i="1"/>
  <c r="AD491" i="1"/>
  <c r="AG491" i="1"/>
  <c r="AD492" i="1"/>
  <c r="AG492" i="1"/>
  <c r="AD493" i="1"/>
  <c r="AG493" i="1"/>
  <c r="AD494" i="1"/>
  <c r="AG494" i="1"/>
  <c r="AD495" i="1"/>
  <c r="AG495" i="1"/>
  <c r="AD496" i="1"/>
  <c r="AG496" i="1"/>
  <c r="AD497" i="1"/>
  <c r="AG497" i="1"/>
  <c r="AD498" i="1"/>
  <c r="AG498" i="1"/>
  <c r="AD499" i="1"/>
  <c r="AG499" i="1"/>
  <c r="AD500" i="1"/>
  <c r="AG500" i="1"/>
  <c r="AD501" i="1"/>
  <c r="AG501" i="1"/>
  <c r="AD502" i="1"/>
  <c r="AG502" i="1"/>
  <c r="AD503" i="1"/>
  <c r="AG503" i="1"/>
  <c r="AD504" i="1"/>
  <c r="AG504" i="1"/>
  <c r="AD505" i="1"/>
  <c r="AG505" i="1"/>
  <c r="AD506" i="1"/>
  <c r="AG506" i="1"/>
  <c r="AD507" i="1"/>
  <c r="AG507" i="1"/>
  <c r="AD508" i="1"/>
  <c r="AG508" i="1"/>
  <c r="AD509" i="1"/>
  <c r="AG509" i="1"/>
  <c r="AD510" i="1"/>
  <c r="AG510" i="1"/>
  <c r="AD511" i="1"/>
  <c r="AG511" i="1"/>
  <c r="AD512" i="1"/>
  <c r="AG512" i="1"/>
  <c r="AD513" i="1"/>
  <c r="AG513" i="1"/>
  <c r="AD514" i="1"/>
  <c r="AG514" i="1"/>
  <c r="AD515" i="1"/>
  <c r="AG515" i="1"/>
  <c r="AD516" i="1"/>
  <c r="AG516" i="1"/>
  <c r="AD517" i="1"/>
  <c r="AG517" i="1"/>
  <c r="AD518" i="1"/>
  <c r="AG518" i="1"/>
  <c r="AD519" i="1"/>
  <c r="AG519" i="1"/>
  <c r="AD520" i="1"/>
  <c r="AG520" i="1"/>
  <c r="AD521" i="1"/>
  <c r="AG521" i="1"/>
  <c r="AD522" i="1"/>
  <c r="AG522" i="1"/>
  <c r="AD523" i="1"/>
  <c r="AG523" i="1"/>
  <c r="AD524" i="1"/>
  <c r="AG524" i="1"/>
  <c r="AD525" i="1"/>
  <c r="AG525" i="1"/>
  <c r="AD526" i="1"/>
  <c r="AG526" i="1"/>
  <c r="AD527" i="1"/>
  <c r="AG527" i="1"/>
  <c r="AD528" i="1"/>
  <c r="AG528" i="1"/>
  <c r="AD529" i="1"/>
  <c r="AG529" i="1"/>
  <c r="AD530" i="1"/>
  <c r="AG530" i="1"/>
  <c r="AD531" i="1"/>
  <c r="AG531" i="1"/>
  <c r="AD532" i="1"/>
  <c r="AG532" i="1"/>
  <c r="AD533" i="1"/>
  <c r="AG533" i="1"/>
  <c r="AD534" i="1"/>
  <c r="AG534" i="1"/>
  <c r="AD535" i="1"/>
  <c r="AG535" i="1"/>
  <c r="AD536" i="1"/>
  <c r="AG536" i="1"/>
  <c r="AD537" i="1"/>
  <c r="AG537" i="1"/>
  <c r="AD538" i="1"/>
  <c r="AG538" i="1"/>
  <c r="AD539" i="1"/>
  <c r="AG539" i="1"/>
  <c r="AD540" i="1"/>
  <c r="AG540" i="1"/>
  <c r="AD541" i="1"/>
  <c r="AG541" i="1"/>
  <c r="AD542" i="1"/>
  <c r="AG542" i="1"/>
  <c r="AD543" i="1"/>
  <c r="AG543" i="1"/>
  <c r="AD544" i="1"/>
  <c r="AG544" i="1"/>
  <c r="AD545" i="1"/>
  <c r="AG545" i="1"/>
  <c r="AD546" i="1"/>
  <c r="AG546" i="1"/>
  <c r="AD547" i="1"/>
  <c r="AG547" i="1"/>
  <c r="AD548" i="1"/>
  <c r="AG548" i="1"/>
  <c r="AD549" i="1"/>
  <c r="AG549" i="1"/>
  <c r="AD550" i="1"/>
  <c r="AG550" i="1"/>
  <c r="AD551" i="1"/>
  <c r="AG551" i="1"/>
  <c r="AD552" i="1"/>
  <c r="AG552" i="1"/>
  <c r="AD553" i="1"/>
  <c r="AG553" i="1"/>
  <c r="AD554" i="1"/>
  <c r="AG554" i="1"/>
  <c r="AD555" i="1"/>
  <c r="AG555" i="1"/>
  <c r="AD556" i="1"/>
  <c r="AG556" i="1"/>
  <c r="AD557" i="1"/>
  <c r="AG557" i="1"/>
  <c r="AD558" i="1"/>
  <c r="AG558" i="1"/>
  <c r="AD559" i="1"/>
  <c r="AG559" i="1"/>
  <c r="AD560" i="1"/>
  <c r="AG560" i="1"/>
  <c r="AD561" i="1"/>
  <c r="AG561" i="1"/>
  <c r="AD562" i="1"/>
  <c r="AG562" i="1"/>
  <c r="AD563" i="1"/>
  <c r="AG563" i="1"/>
  <c r="AD564" i="1"/>
  <c r="AG564" i="1"/>
  <c r="AD565" i="1"/>
  <c r="AG565" i="1"/>
  <c r="AD566" i="1"/>
  <c r="AG566" i="1"/>
  <c r="AD567" i="1"/>
  <c r="AG567" i="1"/>
  <c r="AD568" i="1"/>
  <c r="AG568" i="1"/>
  <c r="AD569" i="1"/>
  <c r="AG569" i="1"/>
  <c r="AD570" i="1"/>
  <c r="AG570" i="1"/>
  <c r="AD571" i="1"/>
  <c r="AG571" i="1"/>
  <c r="AD572" i="1"/>
  <c r="AG572" i="1"/>
  <c r="AD573" i="1"/>
  <c r="AG573" i="1"/>
  <c r="AD574" i="1"/>
  <c r="AG574" i="1"/>
  <c r="AD575" i="1"/>
  <c r="AG575" i="1"/>
  <c r="AD576" i="1"/>
  <c r="AG576" i="1"/>
  <c r="AD577" i="1"/>
  <c r="AG577" i="1"/>
  <c r="AD578" i="1"/>
  <c r="AG578" i="1"/>
  <c r="AD579" i="1"/>
  <c r="AG579" i="1"/>
  <c r="AD580" i="1"/>
  <c r="AG580" i="1"/>
  <c r="AD581" i="1"/>
  <c r="AG581" i="1"/>
  <c r="AD582" i="1"/>
  <c r="AG582" i="1"/>
  <c r="AD583" i="1"/>
  <c r="AG583" i="1"/>
  <c r="AD584" i="1"/>
  <c r="AG584" i="1"/>
  <c r="AD585" i="1"/>
  <c r="AG585" i="1"/>
  <c r="AD586" i="1"/>
  <c r="AG586" i="1"/>
  <c r="AD587" i="1"/>
  <c r="AG587" i="1"/>
  <c r="AD588" i="1"/>
  <c r="AG588" i="1"/>
  <c r="AD589" i="1"/>
  <c r="AG589" i="1"/>
  <c r="AD590" i="1"/>
  <c r="AG590" i="1"/>
  <c r="AD591" i="1"/>
  <c r="AG591" i="1"/>
  <c r="AD592" i="1"/>
  <c r="AG592" i="1"/>
  <c r="AD593" i="1"/>
  <c r="AG593" i="1"/>
  <c r="AD594" i="1"/>
  <c r="AG594" i="1"/>
  <c r="AD595" i="1"/>
  <c r="AG595" i="1"/>
  <c r="AD596" i="1"/>
  <c r="AG596" i="1"/>
  <c r="AD597" i="1"/>
  <c r="AG597" i="1"/>
  <c r="AD598" i="1"/>
  <c r="AG598" i="1"/>
  <c r="AD599" i="1"/>
  <c r="AG599" i="1"/>
  <c r="AD600" i="1"/>
  <c r="AG600" i="1"/>
  <c r="AD601" i="1"/>
  <c r="AG601" i="1"/>
  <c r="AD602" i="1"/>
  <c r="AG602" i="1"/>
  <c r="AD603" i="1"/>
  <c r="AG603" i="1"/>
  <c r="AD604" i="1"/>
  <c r="AG604" i="1"/>
  <c r="AD605" i="1"/>
  <c r="AG605" i="1"/>
  <c r="AD606" i="1"/>
  <c r="AG606" i="1"/>
  <c r="AD607" i="1"/>
  <c r="AG607" i="1"/>
  <c r="AD608" i="1"/>
  <c r="AG608" i="1"/>
  <c r="AD609" i="1"/>
  <c r="AG609" i="1"/>
  <c r="AD610" i="1"/>
  <c r="AG610" i="1"/>
  <c r="AD611" i="1"/>
  <c r="AG611" i="1"/>
  <c r="AD612" i="1"/>
  <c r="AG612" i="1"/>
  <c r="AD613" i="1"/>
  <c r="AG613" i="1"/>
  <c r="AD614" i="1"/>
  <c r="AG614" i="1"/>
  <c r="AD615" i="1"/>
  <c r="AG615" i="1"/>
  <c r="AD616" i="1"/>
  <c r="AG616" i="1"/>
  <c r="AD617" i="1"/>
  <c r="AG617" i="1"/>
  <c r="AD618" i="1"/>
  <c r="AG618" i="1"/>
  <c r="AD619" i="1"/>
  <c r="AG619" i="1"/>
  <c r="AD620" i="1"/>
  <c r="AG620" i="1"/>
  <c r="AD621" i="1"/>
  <c r="AG621" i="1"/>
  <c r="AD622" i="1"/>
  <c r="AG622" i="1"/>
  <c r="AD623" i="1"/>
  <c r="AG623" i="1"/>
  <c r="AD624" i="1"/>
  <c r="AG624" i="1"/>
  <c r="AD625" i="1"/>
  <c r="AG625" i="1"/>
  <c r="AD626" i="1"/>
  <c r="AG626" i="1"/>
  <c r="AD627" i="1"/>
  <c r="AG627" i="1"/>
  <c r="AD628" i="1"/>
  <c r="AG628" i="1"/>
  <c r="AD629" i="1"/>
  <c r="AG629" i="1"/>
  <c r="AD630" i="1"/>
  <c r="AG630" i="1"/>
  <c r="AD631" i="1"/>
  <c r="AG631" i="1"/>
  <c r="AD632" i="1"/>
  <c r="AG632" i="1"/>
  <c r="AD633" i="1"/>
  <c r="AG633" i="1"/>
  <c r="AD634" i="1"/>
  <c r="AG634" i="1"/>
  <c r="AD635" i="1"/>
  <c r="AG635" i="1"/>
  <c r="AD636" i="1"/>
  <c r="AG636" i="1"/>
  <c r="AD637" i="1"/>
  <c r="AG637" i="1"/>
  <c r="AD638" i="1"/>
  <c r="AG638" i="1"/>
  <c r="AD639" i="1"/>
  <c r="AG639" i="1"/>
  <c r="AD640" i="1"/>
  <c r="AG640" i="1"/>
  <c r="AD641" i="1"/>
  <c r="AG641" i="1"/>
  <c r="AD642" i="1"/>
  <c r="AG642" i="1"/>
  <c r="AD643" i="1"/>
  <c r="AG643" i="1"/>
  <c r="AD644" i="1"/>
  <c r="AG644" i="1"/>
  <c r="AD645" i="1"/>
  <c r="AG645" i="1"/>
  <c r="AD646" i="1"/>
  <c r="AG646" i="1"/>
  <c r="AD647" i="1"/>
  <c r="AG647" i="1"/>
  <c r="AD648" i="1"/>
  <c r="AG648" i="1"/>
  <c r="AD649" i="1"/>
  <c r="AG649" i="1"/>
  <c r="AD650" i="1"/>
  <c r="AG650" i="1"/>
  <c r="AD651" i="1"/>
  <c r="AG651" i="1"/>
  <c r="AD652" i="1"/>
  <c r="AG652" i="1"/>
  <c r="AD653" i="1"/>
  <c r="AG653" i="1"/>
  <c r="AD654" i="1"/>
  <c r="AG654" i="1"/>
  <c r="AD655" i="1"/>
  <c r="AG655" i="1"/>
  <c r="AD656" i="1"/>
  <c r="AG656" i="1"/>
  <c r="AD657" i="1"/>
  <c r="AG657" i="1"/>
  <c r="AD658" i="1"/>
  <c r="AG658" i="1"/>
  <c r="AD659" i="1"/>
  <c r="AG659" i="1"/>
  <c r="AD660" i="1"/>
  <c r="AG660" i="1"/>
  <c r="AD661" i="1"/>
  <c r="AG661" i="1"/>
  <c r="AD662" i="1"/>
  <c r="AG662" i="1"/>
  <c r="AD663" i="1"/>
  <c r="AG663" i="1"/>
  <c r="AD664" i="1"/>
  <c r="AG664" i="1"/>
  <c r="AD665" i="1"/>
  <c r="AG665" i="1"/>
  <c r="AD666" i="1"/>
  <c r="AG666" i="1"/>
  <c r="AD667" i="1"/>
  <c r="AG667" i="1"/>
  <c r="AD668" i="1"/>
  <c r="AG668" i="1"/>
  <c r="AD669" i="1"/>
  <c r="AG669" i="1"/>
  <c r="AD670" i="1"/>
  <c r="AG670" i="1"/>
  <c r="AD671" i="1"/>
  <c r="AG671" i="1"/>
  <c r="AD672" i="1"/>
  <c r="AG672" i="1"/>
  <c r="AD673" i="1"/>
  <c r="AG673" i="1"/>
  <c r="AD674" i="1"/>
  <c r="AG674" i="1"/>
  <c r="AD675" i="1"/>
  <c r="AG675" i="1"/>
  <c r="AD676" i="1"/>
  <c r="AG676" i="1"/>
  <c r="AD677" i="1"/>
  <c r="AG677" i="1"/>
  <c r="AD678" i="1"/>
  <c r="AG678" i="1"/>
  <c r="AD679" i="1"/>
  <c r="AG679" i="1"/>
  <c r="AD680" i="1"/>
  <c r="AG680" i="1"/>
  <c r="AD681" i="1"/>
  <c r="AG681" i="1"/>
  <c r="AD682" i="1"/>
  <c r="AG682" i="1"/>
  <c r="AD683" i="1"/>
  <c r="AG683" i="1"/>
  <c r="AD684" i="1"/>
  <c r="AG684" i="1"/>
  <c r="AD685" i="1"/>
  <c r="AG685" i="1"/>
  <c r="AD686" i="1"/>
  <c r="AG686" i="1"/>
  <c r="AD687" i="1"/>
  <c r="AG687" i="1"/>
  <c r="AD688" i="1"/>
  <c r="AG688" i="1"/>
  <c r="AD689" i="1"/>
  <c r="AG689" i="1"/>
  <c r="AD690" i="1"/>
  <c r="AG690" i="1"/>
  <c r="AD691" i="1"/>
  <c r="AG691" i="1"/>
  <c r="AD692" i="1"/>
  <c r="AG692" i="1"/>
  <c r="AD693" i="1"/>
  <c r="AG693" i="1"/>
  <c r="AD694" i="1"/>
  <c r="AG694" i="1"/>
  <c r="AD695" i="1"/>
  <c r="AG695" i="1"/>
  <c r="AD696" i="1"/>
  <c r="AG696" i="1"/>
  <c r="AD697" i="1"/>
  <c r="AG697" i="1"/>
  <c r="AD698" i="1"/>
  <c r="AG698" i="1"/>
  <c r="AD699" i="1"/>
  <c r="AG699" i="1"/>
  <c r="AD700" i="1"/>
  <c r="AG700" i="1"/>
  <c r="AD701" i="1"/>
  <c r="AG701" i="1"/>
  <c r="AD702" i="1"/>
  <c r="AG702" i="1"/>
  <c r="AD703" i="1"/>
  <c r="AG703" i="1"/>
  <c r="AD704" i="1"/>
  <c r="AG704" i="1"/>
  <c r="AD705" i="1"/>
  <c r="AG705" i="1"/>
  <c r="AD706" i="1"/>
  <c r="AG706" i="1"/>
  <c r="AD707" i="1"/>
  <c r="AG707" i="1"/>
  <c r="AD708" i="1"/>
  <c r="AG708" i="1"/>
  <c r="AD709" i="1"/>
  <c r="AG709" i="1"/>
  <c r="AD710" i="1"/>
  <c r="AG710" i="1"/>
  <c r="AD711" i="1"/>
  <c r="AG711" i="1"/>
  <c r="AD712" i="1"/>
  <c r="AG712" i="1"/>
  <c r="AD713" i="1"/>
  <c r="AG713" i="1"/>
  <c r="AD714" i="1"/>
  <c r="AG714" i="1"/>
  <c r="AD715" i="1"/>
  <c r="AG715" i="1"/>
  <c r="AD716" i="1"/>
  <c r="AG716" i="1"/>
  <c r="AD717" i="1"/>
  <c r="AG717" i="1"/>
  <c r="AD718" i="1"/>
  <c r="AG718" i="1"/>
  <c r="AD719" i="1"/>
  <c r="AG719" i="1"/>
  <c r="AD720" i="1"/>
  <c r="AG720" i="1"/>
  <c r="AD721" i="1"/>
  <c r="AG721" i="1"/>
  <c r="AD722" i="1"/>
  <c r="AG722" i="1"/>
  <c r="AD723" i="1"/>
  <c r="AG723" i="1"/>
  <c r="AD724" i="1"/>
  <c r="AG724" i="1"/>
  <c r="AD725" i="1"/>
  <c r="AG725" i="1"/>
  <c r="AD726" i="1"/>
  <c r="AG726" i="1"/>
  <c r="AD727" i="1"/>
  <c r="AG727" i="1"/>
  <c r="AD728" i="1"/>
  <c r="AG728" i="1"/>
  <c r="AD729" i="1"/>
  <c r="AG729" i="1"/>
  <c r="AD730" i="1"/>
  <c r="AG730" i="1"/>
  <c r="AD731" i="1"/>
  <c r="AG731" i="1"/>
  <c r="AD732" i="1"/>
  <c r="AG732" i="1"/>
  <c r="AD733" i="1"/>
  <c r="AG733" i="1"/>
  <c r="AD734" i="1"/>
  <c r="AG734" i="1"/>
  <c r="AD735" i="1"/>
  <c r="AG735" i="1"/>
  <c r="AD736" i="1"/>
  <c r="AG736" i="1"/>
  <c r="AD737" i="1"/>
  <c r="AG737" i="1"/>
  <c r="AD738" i="1"/>
  <c r="AG738" i="1"/>
  <c r="AD739" i="1"/>
  <c r="AG739" i="1"/>
  <c r="AD740" i="1"/>
  <c r="AG740" i="1"/>
  <c r="AD741" i="1"/>
  <c r="AG741" i="1"/>
  <c r="AD742" i="1"/>
  <c r="AG742" i="1"/>
  <c r="AD743" i="1"/>
  <c r="AG743" i="1"/>
  <c r="AD744" i="1"/>
  <c r="AG744" i="1"/>
  <c r="AD745" i="1"/>
  <c r="AG745" i="1"/>
  <c r="AD746" i="1"/>
  <c r="AG746" i="1"/>
  <c r="AD747" i="1"/>
  <c r="AG747" i="1"/>
  <c r="AD748" i="1"/>
  <c r="AG748" i="1"/>
  <c r="AD749" i="1"/>
  <c r="AG749" i="1"/>
  <c r="AD750" i="1"/>
  <c r="AG750" i="1"/>
  <c r="AD751" i="1"/>
  <c r="AG751" i="1"/>
  <c r="AD752" i="1"/>
  <c r="AG752" i="1"/>
  <c r="AD753" i="1"/>
  <c r="AG753" i="1"/>
  <c r="AD754" i="1"/>
  <c r="AG754" i="1"/>
  <c r="AD755" i="1"/>
  <c r="AG755" i="1"/>
  <c r="AD756" i="1"/>
  <c r="AG756" i="1"/>
  <c r="AD757" i="1"/>
  <c r="AG757" i="1"/>
  <c r="AD758" i="1"/>
  <c r="AG758" i="1"/>
  <c r="AD759" i="1"/>
  <c r="AG759" i="1"/>
  <c r="AD760" i="1"/>
  <c r="AG760" i="1"/>
  <c r="AD761" i="1"/>
  <c r="AG761" i="1"/>
  <c r="AD762" i="1"/>
  <c r="AG762" i="1"/>
  <c r="AD763" i="1"/>
  <c r="AG763" i="1"/>
  <c r="AD764" i="1"/>
  <c r="AG764" i="1"/>
  <c r="AD765" i="1"/>
  <c r="AG765" i="1"/>
  <c r="AD766" i="1"/>
  <c r="AG766" i="1"/>
  <c r="AD767" i="1"/>
  <c r="AG767" i="1"/>
  <c r="AD768" i="1"/>
  <c r="AG768" i="1"/>
  <c r="AD769" i="1"/>
  <c r="AG769" i="1"/>
  <c r="AD770" i="1"/>
  <c r="AG770" i="1"/>
  <c r="AD771" i="1"/>
  <c r="AG771" i="1"/>
  <c r="AD772" i="1"/>
  <c r="AG772" i="1"/>
  <c r="AD773" i="1"/>
  <c r="AG773" i="1"/>
  <c r="AD774" i="1"/>
  <c r="AG774" i="1"/>
  <c r="AD775" i="1"/>
  <c r="AG775" i="1"/>
  <c r="AD776" i="1"/>
  <c r="AG776" i="1"/>
  <c r="AD777" i="1"/>
  <c r="AG777" i="1"/>
  <c r="AD778" i="1"/>
  <c r="AG778" i="1"/>
  <c r="AD779" i="1"/>
  <c r="AG779" i="1"/>
  <c r="AD780" i="1"/>
  <c r="AG780" i="1"/>
  <c r="AD781" i="1"/>
  <c r="AG781" i="1"/>
  <c r="AD782" i="1"/>
  <c r="AG782" i="1"/>
  <c r="AD783" i="1"/>
  <c r="AG783" i="1"/>
  <c r="AD784" i="1"/>
  <c r="AG784" i="1"/>
  <c r="AD785" i="1"/>
  <c r="AG785" i="1"/>
  <c r="AD786" i="1"/>
  <c r="AG786" i="1"/>
  <c r="AD787" i="1"/>
  <c r="AG787" i="1"/>
  <c r="AD788" i="1"/>
  <c r="AG788" i="1"/>
  <c r="AD789" i="1"/>
  <c r="AG789" i="1"/>
  <c r="AD790" i="1"/>
  <c r="AG790" i="1"/>
  <c r="AD791" i="1"/>
  <c r="AG791" i="1"/>
  <c r="AD792" i="1"/>
  <c r="AG792" i="1"/>
  <c r="AD793" i="1"/>
  <c r="AG793" i="1"/>
  <c r="AD794" i="1"/>
  <c r="AG794" i="1"/>
  <c r="AD795" i="1"/>
  <c r="AG795" i="1"/>
  <c r="AD796" i="1"/>
  <c r="AG796" i="1"/>
  <c r="AD797" i="1"/>
  <c r="AG797" i="1"/>
  <c r="AD798" i="1"/>
  <c r="AG798" i="1"/>
  <c r="AD799" i="1"/>
  <c r="AG799" i="1"/>
  <c r="AD800" i="1"/>
  <c r="AG800" i="1"/>
  <c r="AD801" i="1"/>
  <c r="AG801" i="1"/>
  <c r="AD802" i="1"/>
  <c r="AG802" i="1"/>
  <c r="AD803" i="1"/>
  <c r="AG803" i="1"/>
  <c r="AD804" i="1"/>
  <c r="AG804" i="1"/>
  <c r="AD805" i="1"/>
  <c r="AG805" i="1"/>
  <c r="AD806" i="1"/>
  <c r="AG806" i="1"/>
  <c r="AD807" i="1"/>
  <c r="AG807" i="1"/>
  <c r="AD808" i="1"/>
  <c r="AG808" i="1"/>
  <c r="AD809" i="1"/>
  <c r="AG809" i="1"/>
  <c r="AD810" i="1"/>
  <c r="AG810" i="1"/>
  <c r="AD811" i="1"/>
  <c r="AG811" i="1"/>
  <c r="AD812" i="1"/>
  <c r="AG812" i="1"/>
  <c r="AD813" i="1"/>
  <c r="AG813" i="1"/>
  <c r="AD814" i="1"/>
  <c r="AG814" i="1"/>
  <c r="AD815" i="1"/>
  <c r="AG815" i="1"/>
  <c r="AD816" i="1"/>
  <c r="AG816" i="1"/>
  <c r="AD817" i="1"/>
  <c r="AG817" i="1"/>
  <c r="AD818" i="1"/>
  <c r="AG818" i="1"/>
  <c r="AD819" i="1"/>
  <c r="AG819" i="1"/>
  <c r="AD820" i="1"/>
  <c r="AG820" i="1"/>
  <c r="AD821" i="1"/>
  <c r="AG821" i="1"/>
  <c r="AD822" i="1"/>
  <c r="AG822" i="1"/>
  <c r="AD823" i="1"/>
  <c r="AG823" i="1"/>
  <c r="AD824" i="1"/>
  <c r="AG824" i="1"/>
  <c r="AD825" i="1"/>
  <c r="AG825" i="1"/>
  <c r="AD826" i="1"/>
  <c r="AG826" i="1"/>
  <c r="AD827" i="1"/>
  <c r="AG827" i="1"/>
  <c r="AD828" i="1"/>
  <c r="AG828" i="1"/>
  <c r="AD829" i="1"/>
  <c r="AG829" i="1"/>
  <c r="AD830" i="1"/>
  <c r="AG830" i="1"/>
  <c r="AD831" i="1"/>
  <c r="AG831" i="1"/>
  <c r="AD832" i="1"/>
  <c r="AG832" i="1"/>
  <c r="AD833" i="1"/>
  <c r="AG833" i="1"/>
  <c r="AD834" i="1"/>
  <c r="AG834" i="1"/>
  <c r="AD835" i="1"/>
  <c r="AG835" i="1"/>
  <c r="AD836" i="1"/>
  <c r="AG836" i="1"/>
  <c r="AD837" i="1"/>
  <c r="AG837" i="1"/>
  <c r="AD838" i="1"/>
  <c r="AG838" i="1"/>
  <c r="AD839" i="1"/>
  <c r="AG839" i="1"/>
  <c r="AD840" i="1"/>
  <c r="AG840" i="1"/>
  <c r="AD841" i="1"/>
  <c r="AG841" i="1"/>
  <c r="AD842" i="1"/>
  <c r="AG842" i="1"/>
  <c r="AD843" i="1"/>
  <c r="AG843" i="1"/>
  <c r="AD844" i="1"/>
  <c r="AG844" i="1"/>
  <c r="AD845" i="1"/>
  <c r="AG845" i="1"/>
  <c r="AD846" i="1"/>
  <c r="AG846" i="1"/>
  <c r="AD847" i="1"/>
  <c r="AG847" i="1"/>
  <c r="AD848" i="1"/>
  <c r="AG848" i="1"/>
  <c r="AD849" i="1"/>
  <c r="AG849" i="1"/>
  <c r="AD850" i="1"/>
  <c r="AG850" i="1"/>
  <c r="AD851" i="1"/>
  <c r="AG851" i="1"/>
  <c r="AD852" i="1"/>
  <c r="AG852" i="1"/>
  <c r="AD853" i="1"/>
  <c r="AG853" i="1"/>
  <c r="AD854" i="1"/>
  <c r="AG854" i="1"/>
  <c r="AD855" i="1"/>
  <c r="AG855" i="1"/>
  <c r="AD856" i="1"/>
  <c r="AG856" i="1"/>
  <c r="AD857" i="1"/>
  <c r="AG857" i="1"/>
  <c r="AD858" i="1"/>
  <c r="AG858" i="1"/>
  <c r="AD859" i="1"/>
  <c r="AG859" i="1"/>
  <c r="AD860" i="1"/>
  <c r="AG860" i="1"/>
  <c r="AD861" i="1"/>
  <c r="AG861" i="1"/>
  <c r="AD862" i="1"/>
  <c r="AG862" i="1"/>
  <c r="AD863" i="1"/>
  <c r="AG863" i="1"/>
  <c r="AD864" i="1"/>
  <c r="AG864" i="1"/>
  <c r="AD865" i="1"/>
  <c r="AG865" i="1"/>
  <c r="AD866" i="1"/>
  <c r="AG866" i="1"/>
  <c r="AD867" i="1"/>
  <c r="AG867" i="1"/>
  <c r="AD868" i="1"/>
  <c r="AG868" i="1"/>
  <c r="AD869" i="1"/>
  <c r="AG869" i="1"/>
  <c r="AD870" i="1"/>
  <c r="AG870" i="1"/>
  <c r="AD871" i="1"/>
  <c r="AG871" i="1"/>
  <c r="AD872" i="1"/>
  <c r="AG872" i="1"/>
  <c r="AD873" i="1"/>
  <c r="AG873" i="1"/>
  <c r="AD874" i="1"/>
  <c r="AG874" i="1"/>
  <c r="AD875" i="1"/>
  <c r="AG875" i="1"/>
  <c r="AD876" i="1"/>
  <c r="AG876" i="1"/>
  <c r="AD877" i="1"/>
  <c r="AG877" i="1"/>
  <c r="AD878" i="1"/>
  <c r="AG878" i="1"/>
  <c r="AD879" i="1"/>
  <c r="AG879" i="1"/>
  <c r="AD880" i="1"/>
  <c r="AG880" i="1"/>
  <c r="AD881" i="1"/>
  <c r="AG881" i="1"/>
  <c r="AD882" i="1"/>
  <c r="AG882" i="1"/>
  <c r="AD883" i="1"/>
  <c r="AG883" i="1"/>
  <c r="AD884" i="1"/>
  <c r="AG884" i="1"/>
  <c r="AD885" i="1"/>
  <c r="AG885" i="1"/>
  <c r="AD886" i="1"/>
  <c r="AG886" i="1"/>
  <c r="AD887" i="1"/>
  <c r="AG887" i="1"/>
  <c r="AD888" i="1"/>
  <c r="AG888" i="1"/>
  <c r="AD889" i="1"/>
  <c r="AG889" i="1"/>
  <c r="AD890" i="1"/>
  <c r="AG890" i="1"/>
  <c r="AD891" i="1"/>
  <c r="AG891" i="1"/>
  <c r="AD892" i="1"/>
  <c r="AG892" i="1"/>
  <c r="AD893" i="1"/>
  <c r="AG893" i="1"/>
  <c r="AD894" i="1"/>
  <c r="AG894" i="1"/>
  <c r="AD895" i="1"/>
  <c r="AG895" i="1"/>
  <c r="AD896" i="1"/>
  <c r="AG896" i="1"/>
  <c r="AD897" i="1"/>
  <c r="AG897" i="1"/>
  <c r="AD898" i="1"/>
  <c r="AG898" i="1"/>
  <c r="AD899" i="1"/>
  <c r="AG899" i="1"/>
  <c r="AD900" i="1"/>
  <c r="AG900" i="1"/>
  <c r="AD901" i="1"/>
  <c r="AG901" i="1"/>
  <c r="AD902" i="1"/>
  <c r="AG902" i="1"/>
  <c r="AD903" i="1"/>
  <c r="AG903" i="1"/>
  <c r="AD904" i="1"/>
  <c r="AG904" i="1"/>
  <c r="AD905" i="1"/>
  <c r="AG905" i="1"/>
  <c r="AD906" i="1"/>
  <c r="AG906" i="1"/>
  <c r="AD907" i="1"/>
  <c r="AG907" i="1"/>
  <c r="AD908" i="1"/>
  <c r="AG908" i="1"/>
  <c r="AD909" i="1"/>
  <c r="AG909" i="1"/>
  <c r="AD910" i="1"/>
  <c r="AG910" i="1"/>
  <c r="AD911" i="1"/>
  <c r="AG911" i="1"/>
  <c r="AD912" i="1"/>
  <c r="AG912" i="1"/>
  <c r="AD913" i="1"/>
  <c r="AG913" i="1"/>
  <c r="AD914" i="1"/>
  <c r="AG914" i="1"/>
  <c r="AD915" i="1"/>
  <c r="AG915" i="1"/>
  <c r="AD916" i="1"/>
  <c r="AG916" i="1"/>
  <c r="AD917" i="1"/>
  <c r="AG917" i="1"/>
  <c r="AD918" i="1"/>
  <c r="AG918" i="1"/>
  <c r="AD919" i="1"/>
  <c r="AG919" i="1"/>
  <c r="AD920" i="1"/>
  <c r="AG920" i="1"/>
  <c r="AD921" i="1"/>
  <c r="AG921" i="1"/>
  <c r="AD922" i="1"/>
  <c r="AG922" i="1"/>
  <c r="AD923" i="1"/>
  <c r="AG923" i="1"/>
  <c r="AD924" i="1"/>
  <c r="AG924" i="1"/>
  <c r="AD925" i="1"/>
  <c r="AG925" i="1"/>
  <c r="AD926" i="1"/>
  <c r="AG926" i="1"/>
  <c r="AD927" i="1"/>
  <c r="AG927" i="1"/>
  <c r="AD928" i="1"/>
  <c r="AG928" i="1"/>
  <c r="AD929" i="1"/>
  <c r="AG929" i="1"/>
  <c r="AD930" i="1"/>
  <c r="AG930" i="1"/>
  <c r="AD931" i="1"/>
  <c r="AG931" i="1"/>
  <c r="AD932" i="1"/>
  <c r="AG932" i="1"/>
  <c r="AD933" i="1"/>
  <c r="AG933" i="1"/>
  <c r="AD934" i="1"/>
  <c r="AG934" i="1"/>
  <c r="AD935" i="1"/>
  <c r="AG935" i="1"/>
  <c r="AD936" i="1"/>
  <c r="AG936" i="1"/>
  <c r="AD937" i="1"/>
  <c r="AG937" i="1"/>
  <c r="AD938" i="1"/>
  <c r="AG938" i="1"/>
  <c r="AD939" i="1"/>
  <c r="AG939" i="1"/>
  <c r="AC3" i="1"/>
  <c r="AE3" i="1"/>
  <c r="AC4" i="1"/>
  <c r="AE4" i="1"/>
  <c r="AC5" i="1"/>
  <c r="AE5" i="1"/>
  <c r="AC6" i="1"/>
  <c r="AE6" i="1"/>
  <c r="AC7" i="1"/>
  <c r="AE7" i="1"/>
  <c r="AC8" i="1"/>
  <c r="AE8" i="1"/>
  <c r="AC9" i="1"/>
  <c r="AE9" i="1"/>
  <c r="AC10" i="1"/>
  <c r="AE10" i="1"/>
  <c r="AC11" i="1"/>
  <c r="AE11" i="1"/>
  <c r="AC12" i="1"/>
  <c r="AE12" i="1"/>
  <c r="AC13" i="1"/>
  <c r="AE13" i="1"/>
  <c r="AC14" i="1"/>
  <c r="AE14" i="1"/>
  <c r="AC15" i="1"/>
  <c r="AE15" i="1"/>
  <c r="AC16" i="1"/>
  <c r="AE16" i="1"/>
  <c r="AC17" i="1"/>
  <c r="AE17" i="1"/>
  <c r="AC18" i="1"/>
  <c r="AE18" i="1"/>
  <c r="AC19" i="1"/>
  <c r="AE19" i="1"/>
  <c r="AC20" i="1"/>
  <c r="AE20" i="1"/>
  <c r="AC21" i="1"/>
  <c r="AE21" i="1"/>
  <c r="AC22" i="1"/>
  <c r="AE22" i="1"/>
  <c r="AC23" i="1"/>
  <c r="AE23" i="1"/>
  <c r="AC24" i="1"/>
  <c r="AE24" i="1"/>
  <c r="AC25" i="1"/>
  <c r="AE25" i="1"/>
  <c r="AC26" i="1"/>
  <c r="AE26" i="1"/>
  <c r="AC27" i="1"/>
  <c r="AE27" i="1"/>
  <c r="AC28" i="1"/>
  <c r="AE28" i="1"/>
  <c r="AC29" i="1"/>
  <c r="AE29" i="1"/>
  <c r="AC30" i="1"/>
  <c r="AE30" i="1"/>
  <c r="AC31" i="1"/>
  <c r="AE31" i="1"/>
  <c r="AC32" i="1"/>
  <c r="AE32" i="1"/>
  <c r="AC33" i="1"/>
  <c r="AE33" i="1"/>
  <c r="AC34" i="1"/>
  <c r="AE34" i="1"/>
  <c r="AC35" i="1"/>
  <c r="AE35" i="1"/>
  <c r="AC36" i="1"/>
  <c r="AE36" i="1"/>
  <c r="AC37" i="1"/>
  <c r="AE37" i="1"/>
  <c r="AC38" i="1"/>
  <c r="AE38" i="1"/>
  <c r="AC39" i="1"/>
  <c r="AE39" i="1"/>
  <c r="AC40" i="1"/>
  <c r="AE40" i="1"/>
  <c r="AC41" i="1"/>
  <c r="AE41" i="1"/>
  <c r="AC42" i="1"/>
  <c r="AE42" i="1"/>
  <c r="AC43" i="1"/>
  <c r="AE43" i="1"/>
  <c r="AC44" i="1"/>
  <c r="AE44" i="1"/>
  <c r="AC45" i="1"/>
  <c r="AE45" i="1"/>
  <c r="AC46" i="1"/>
  <c r="AE46" i="1"/>
  <c r="AC47" i="1"/>
  <c r="AE47" i="1"/>
  <c r="AC48" i="1"/>
  <c r="AE48" i="1"/>
  <c r="AC49" i="1"/>
  <c r="AE49" i="1"/>
  <c r="AC50" i="1"/>
  <c r="AE50" i="1"/>
  <c r="AC51" i="1"/>
  <c r="AE51" i="1"/>
  <c r="AC52" i="1"/>
  <c r="AE52" i="1"/>
  <c r="AC53" i="1"/>
  <c r="AE53" i="1"/>
  <c r="AC54" i="1"/>
  <c r="AE54" i="1"/>
  <c r="AC55" i="1"/>
  <c r="AE55" i="1"/>
  <c r="AC56" i="1"/>
  <c r="AE56" i="1"/>
  <c r="AC57" i="1"/>
  <c r="AE57" i="1"/>
  <c r="AC58" i="1"/>
  <c r="AE58" i="1"/>
  <c r="AC59" i="1"/>
  <c r="AE59" i="1"/>
  <c r="AC60" i="1"/>
  <c r="AE60" i="1"/>
  <c r="AC61" i="1"/>
  <c r="AE61" i="1"/>
  <c r="AC62" i="1"/>
  <c r="AE62" i="1"/>
  <c r="AC63" i="1"/>
  <c r="AE63" i="1"/>
  <c r="AC64" i="1"/>
  <c r="AE64" i="1"/>
  <c r="AC65" i="1"/>
  <c r="AE65" i="1"/>
  <c r="AC66" i="1"/>
  <c r="AE66" i="1"/>
  <c r="AC67" i="1"/>
  <c r="AE67" i="1"/>
  <c r="AC68" i="1"/>
  <c r="AE68" i="1"/>
  <c r="AC69" i="1"/>
  <c r="AE69" i="1"/>
  <c r="AC70" i="1"/>
  <c r="AE70" i="1"/>
  <c r="AC71" i="1"/>
  <c r="AE71" i="1"/>
  <c r="AC72" i="1"/>
  <c r="AE72" i="1"/>
  <c r="AC73" i="1"/>
  <c r="AE73" i="1"/>
  <c r="AC74" i="1"/>
  <c r="AE74" i="1"/>
  <c r="AC75" i="1"/>
  <c r="AE75" i="1"/>
  <c r="AC76" i="1"/>
  <c r="AE76" i="1"/>
  <c r="AC77" i="1"/>
  <c r="AE77" i="1"/>
  <c r="AC78" i="1"/>
  <c r="AE78" i="1"/>
  <c r="AC79" i="1"/>
  <c r="AE79" i="1"/>
  <c r="AC80" i="1"/>
  <c r="AE80" i="1"/>
  <c r="AC81" i="1"/>
  <c r="AE81" i="1"/>
  <c r="AC82" i="1"/>
  <c r="AE82" i="1"/>
  <c r="AC83" i="1"/>
  <c r="AE83" i="1"/>
  <c r="AC84" i="1"/>
  <c r="AE84" i="1"/>
  <c r="AC85" i="1"/>
  <c r="AE85" i="1"/>
  <c r="AC86" i="1"/>
  <c r="AE86" i="1"/>
  <c r="AC87" i="1"/>
  <c r="AE87" i="1"/>
  <c r="AC88" i="1"/>
  <c r="AE88" i="1"/>
  <c r="AC89" i="1"/>
  <c r="AE89" i="1"/>
  <c r="AC90" i="1"/>
  <c r="AE90" i="1"/>
  <c r="AC91" i="1"/>
  <c r="AE91" i="1"/>
  <c r="AC92" i="1"/>
  <c r="AE92" i="1"/>
  <c r="AC93" i="1"/>
  <c r="AE93" i="1"/>
  <c r="AC94" i="1"/>
  <c r="AE94" i="1"/>
  <c r="AC95" i="1"/>
  <c r="AE95" i="1"/>
  <c r="AC96" i="1"/>
  <c r="AE96" i="1"/>
  <c r="AC97" i="1"/>
  <c r="AE97" i="1"/>
  <c r="AC98" i="1"/>
  <c r="AE98" i="1"/>
  <c r="AC99" i="1"/>
  <c r="AE99" i="1"/>
  <c r="AC100" i="1"/>
  <c r="AE100" i="1"/>
  <c r="AC101" i="1"/>
  <c r="AE101" i="1"/>
  <c r="AC102" i="1"/>
  <c r="AE102" i="1"/>
  <c r="AC103" i="1"/>
  <c r="AE103" i="1"/>
  <c r="AC104" i="1"/>
  <c r="AE104" i="1"/>
  <c r="AC105" i="1"/>
  <c r="AE105" i="1"/>
  <c r="AC106" i="1"/>
  <c r="AE106" i="1"/>
  <c r="AC107" i="1"/>
  <c r="AE107" i="1"/>
  <c r="AC108" i="1"/>
  <c r="AE108" i="1"/>
  <c r="AC109" i="1"/>
  <c r="AE109" i="1"/>
  <c r="AC110" i="1"/>
  <c r="AE110" i="1"/>
  <c r="AC111" i="1"/>
  <c r="AE111" i="1"/>
  <c r="AC112" i="1"/>
  <c r="AE112" i="1"/>
  <c r="AC113" i="1"/>
  <c r="AE113" i="1"/>
  <c r="AC114" i="1"/>
  <c r="AE114" i="1"/>
  <c r="AC115" i="1"/>
  <c r="AE115" i="1"/>
  <c r="AC116" i="1"/>
  <c r="AE116" i="1"/>
  <c r="AC117" i="1"/>
  <c r="AE117" i="1"/>
  <c r="AC118" i="1"/>
  <c r="AE118" i="1"/>
  <c r="AC119" i="1"/>
  <c r="AE119" i="1"/>
  <c r="AC120" i="1"/>
  <c r="AE120" i="1"/>
  <c r="AC121" i="1"/>
  <c r="AE121" i="1"/>
  <c r="AC122" i="1"/>
  <c r="AE122" i="1"/>
  <c r="AC123" i="1"/>
  <c r="AE123" i="1"/>
  <c r="AC124" i="1"/>
  <c r="AE124" i="1"/>
  <c r="AC125" i="1"/>
  <c r="AE125" i="1"/>
  <c r="AC126" i="1"/>
  <c r="AE126" i="1"/>
  <c r="AC127" i="1"/>
  <c r="AE127" i="1"/>
  <c r="AC128" i="1"/>
  <c r="AE128" i="1"/>
  <c r="AC129" i="1"/>
  <c r="AE129" i="1"/>
  <c r="AC130" i="1"/>
  <c r="AE130" i="1"/>
  <c r="AC131" i="1"/>
  <c r="AE131" i="1"/>
  <c r="AC132" i="1"/>
  <c r="AE132" i="1"/>
  <c r="AC133" i="1"/>
  <c r="AE133" i="1"/>
  <c r="AC134" i="1"/>
  <c r="AE134" i="1"/>
  <c r="AC135" i="1"/>
  <c r="AE135" i="1"/>
  <c r="AC136" i="1"/>
  <c r="AE136" i="1"/>
  <c r="AC137" i="1"/>
  <c r="AE137" i="1"/>
  <c r="AC138" i="1"/>
  <c r="AE138" i="1"/>
  <c r="AC139" i="1"/>
  <c r="AE139" i="1"/>
  <c r="AC140" i="1"/>
  <c r="AE140" i="1"/>
  <c r="AC141" i="1"/>
  <c r="AE141" i="1"/>
  <c r="AC142" i="1"/>
  <c r="AE142" i="1"/>
  <c r="AC143" i="1"/>
  <c r="AE143" i="1"/>
  <c r="AC144" i="1"/>
  <c r="AE144" i="1"/>
  <c r="AC145" i="1"/>
  <c r="AE145" i="1"/>
  <c r="AC146" i="1"/>
  <c r="AE146" i="1"/>
  <c r="AC147" i="1"/>
  <c r="AE147" i="1"/>
  <c r="AC148" i="1"/>
  <c r="AE148" i="1"/>
  <c r="AC149" i="1"/>
  <c r="AE149" i="1"/>
  <c r="AC150" i="1"/>
  <c r="AE150" i="1"/>
  <c r="AC151" i="1"/>
  <c r="AE151" i="1"/>
  <c r="AC152" i="1"/>
  <c r="AE152" i="1"/>
  <c r="AC153" i="1"/>
  <c r="AE153" i="1"/>
  <c r="AC154" i="1"/>
  <c r="AE154" i="1"/>
  <c r="AC155" i="1"/>
  <c r="AE155" i="1"/>
  <c r="AC156" i="1"/>
  <c r="AE156" i="1"/>
  <c r="AC157" i="1"/>
  <c r="AE157" i="1"/>
  <c r="AC158" i="1"/>
  <c r="AE158" i="1"/>
  <c r="AC159" i="1"/>
  <c r="AE159" i="1"/>
  <c r="AC160" i="1"/>
  <c r="AE160" i="1"/>
  <c r="AC161" i="1"/>
  <c r="AE161" i="1"/>
  <c r="AC162" i="1"/>
  <c r="AE162" i="1"/>
  <c r="AC163" i="1"/>
  <c r="AE163" i="1"/>
  <c r="AC164" i="1"/>
  <c r="AE164" i="1"/>
  <c r="AC165" i="1"/>
  <c r="AE165" i="1"/>
  <c r="AC166" i="1"/>
  <c r="AE166" i="1"/>
  <c r="AC167" i="1"/>
  <c r="AE167" i="1"/>
  <c r="AC168" i="1"/>
  <c r="AE168" i="1"/>
  <c r="AC169" i="1"/>
  <c r="AE169" i="1"/>
  <c r="AC170" i="1"/>
  <c r="AE170" i="1"/>
  <c r="AC171" i="1"/>
  <c r="AE171" i="1"/>
  <c r="AC172" i="1"/>
  <c r="AE172" i="1"/>
  <c r="AC173" i="1"/>
  <c r="AE173" i="1"/>
  <c r="AC174" i="1"/>
  <c r="AE174" i="1"/>
  <c r="AC175" i="1"/>
  <c r="AE175" i="1"/>
  <c r="AC176" i="1"/>
  <c r="AE176" i="1"/>
  <c r="AC177" i="1"/>
  <c r="AE177" i="1"/>
  <c r="AC178" i="1"/>
  <c r="AE178" i="1"/>
  <c r="AC179" i="1"/>
  <c r="AE179" i="1"/>
  <c r="AC180" i="1"/>
  <c r="AE180" i="1"/>
  <c r="AC181" i="1"/>
  <c r="AE181" i="1"/>
  <c r="AC182" i="1"/>
  <c r="AE182" i="1"/>
  <c r="AC183" i="1"/>
  <c r="AE183" i="1"/>
  <c r="AC184" i="1"/>
  <c r="AE184" i="1"/>
  <c r="AC185" i="1"/>
  <c r="AE185" i="1"/>
  <c r="AC186" i="1"/>
  <c r="AE186" i="1"/>
  <c r="AC187" i="1"/>
  <c r="AE187" i="1"/>
  <c r="AC188" i="1"/>
  <c r="AE188" i="1"/>
  <c r="AC189" i="1"/>
  <c r="AE189" i="1"/>
  <c r="AC190" i="1"/>
  <c r="AE190" i="1"/>
  <c r="AC191" i="1"/>
  <c r="AE191" i="1"/>
  <c r="AC192" i="1"/>
  <c r="AE192" i="1"/>
  <c r="AC193" i="1"/>
  <c r="AE193" i="1"/>
  <c r="AC194" i="1"/>
  <c r="AE194" i="1"/>
  <c r="AC195" i="1"/>
  <c r="AE195" i="1"/>
  <c r="AC196" i="1"/>
  <c r="AE196" i="1"/>
  <c r="AC197" i="1"/>
  <c r="AE197" i="1"/>
  <c r="AC198" i="1"/>
  <c r="AE198" i="1"/>
  <c r="AC199" i="1"/>
  <c r="AE199" i="1"/>
  <c r="AC200" i="1"/>
  <c r="AE200" i="1"/>
  <c r="AC201" i="1"/>
  <c r="AE201" i="1"/>
  <c r="AC202" i="1"/>
  <c r="AE202" i="1"/>
  <c r="AC203" i="1"/>
  <c r="AE203" i="1"/>
  <c r="AC204" i="1"/>
  <c r="AE204" i="1"/>
  <c r="AC205" i="1"/>
  <c r="AE205" i="1"/>
  <c r="AC206" i="1"/>
  <c r="AE206" i="1"/>
  <c r="AC207" i="1"/>
  <c r="AE207" i="1"/>
  <c r="AC208" i="1"/>
  <c r="AE208" i="1"/>
  <c r="AC209" i="1"/>
  <c r="AE209" i="1"/>
  <c r="AC210" i="1"/>
  <c r="AE210" i="1"/>
  <c r="AC211" i="1"/>
  <c r="AE211" i="1"/>
  <c r="AC212" i="1"/>
  <c r="AE212" i="1"/>
  <c r="AC213" i="1"/>
  <c r="AE213" i="1"/>
  <c r="AC214" i="1"/>
  <c r="AE214" i="1"/>
  <c r="AC215" i="1"/>
  <c r="AE215" i="1"/>
  <c r="AC216" i="1"/>
  <c r="AE216" i="1"/>
  <c r="AC217" i="1"/>
  <c r="AE217" i="1"/>
  <c r="AC218" i="1"/>
  <c r="AE218" i="1"/>
  <c r="AC219" i="1"/>
  <c r="AE219" i="1"/>
  <c r="AC220" i="1"/>
  <c r="AE220" i="1"/>
  <c r="AC221" i="1"/>
  <c r="AE221" i="1"/>
  <c r="AC222" i="1"/>
  <c r="AE222" i="1"/>
  <c r="AC223" i="1"/>
  <c r="AE223" i="1"/>
  <c r="AC224" i="1"/>
  <c r="AE224" i="1"/>
  <c r="AC225" i="1"/>
  <c r="AE225" i="1"/>
  <c r="AC226" i="1"/>
  <c r="AE226" i="1"/>
  <c r="AC227" i="1"/>
  <c r="AE227" i="1"/>
  <c r="AC228" i="1"/>
  <c r="AE228" i="1"/>
  <c r="AC229" i="1"/>
  <c r="AE229" i="1"/>
  <c r="AC230" i="1"/>
  <c r="AE230" i="1"/>
  <c r="AC231" i="1"/>
  <c r="AE231" i="1"/>
  <c r="AC232" i="1"/>
  <c r="AE232" i="1"/>
  <c r="AC233" i="1"/>
  <c r="AE233" i="1"/>
  <c r="AC234" i="1"/>
  <c r="AE234" i="1"/>
  <c r="AC235" i="1"/>
  <c r="AE235" i="1"/>
  <c r="AC236" i="1"/>
  <c r="AE236" i="1"/>
  <c r="AC237" i="1"/>
  <c r="AE237" i="1"/>
  <c r="AC238" i="1"/>
  <c r="AE238" i="1"/>
  <c r="AC239" i="1"/>
  <c r="AE239" i="1"/>
  <c r="AC240" i="1"/>
  <c r="AE240" i="1"/>
  <c r="AC241" i="1"/>
  <c r="AE241" i="1"/>
  <c r="AC242" i="1"/>
  <c r="AE242" i="1"/>
  <c r="AC243" i="1"/>
  <c r="AE243" i="1"/>
  <c r="AC244" i="1"/>
  <c r="AE244" i="1"/>
  <c r="AC245" i="1"/>
  <c r="AE245" i="1"/>
  <c r="AC246" i="1"/>
  <c r="AE246" i="1"/>
  <c r="AC247" i="1"/>
  <c r="AE247" i="1"/>
  <c r="AC248" i="1"/>
  <c r="AE248" i="1"/>
  <c r="AC249" i="1"/>
  <c r="AE249" i="1"/>
  <c r="AC250" i="1"/>
  <c r="AE250" i="1"/>
  <c r="AC251" i="1"/>
  <c r="AE251" i="1"/>
  <c r="AC252" i="1"/>
  <c r="AE252" i="1"/>
  <c r="AC253" i="1"/>
  <c r="AE253" i="1"/>
  <c r="AC254" i="1"/>
  <c r="AE254" i="1"/>
  <c r="AC255" i="1"/>
  <c r="AE255" i="1"/>
  <c r="AC256" i="1"/>
  <c r="AE256" i="1"/>
  <c r="AC257" i="1"/>
  <c r="AE257" i="1"/>
  <c r="AC258" i="1"/>
  <c r="AE258" i="1"/>
  <c r="AC259" i="1"/>
  <c r="AE259" i="1"/>
  <c r="AC260" i="1"/>
  <c r="AE260" i="1"/>
  <c r="AC261" i="1"/>
  <c r="AE261" i="1"/>
  <c r="AC262" i="1"/>
  <c r="AE262" i="1"/>
  <c r="AC263" i="1"/>
  <c r="AE263" i="1"/>
  <c r="AC264" i="1"/>
  <c r="AE264" i="1"/>
  <c r="AC265" i="1"/>
  <c r="AE265" i="1"/>
  <c r="AC266" i="1"/>
  <c r="AE266" i="1"/>
  <c r="AC267" i="1"/>
  <c r="AE267" i="1"/>
  <c r="AC268" i="1"/>
  <c r="AE268" i="1"/>
  <c r="AC269" i="1"/>
  <c r="AE269" i="1"/>
  <c r="AC270" i="1"/>
  <c r="AE270" i="1"/>
  <c r="AC271" i="1"/>
  <c r="AE271" i="1"/>
  <c r="AC272" i="1"/>
  <c r="AE272" i="1"/>
  <c r="AC273" i="1"/>
  <c r="AE273" i="1"/>
  <c r="AC274" i="1"/>
  <c r="AE274" i="1"/>
  <c r="AC275" i="1"/>
  <c r="AE275" i="1"/>
  <c r="AC276" i="1"/>
  <c r="AE276" i="1"/>
  <c r="AC277" i="1"/>
  <c r="AE277" i="1"/>
  <c r="AC278" i="1"/>
  <c r="AE278" i="1"/>
  <c r="AC279" i="1"/>
  <c r="AE279" i="1"/>
  <c r="AC280" i="1"/>
  <c r="AE280" i="1"/>
  <c r="AC281" i="1"/>
  <c r="AE281" i="1"/>
  <c r="AC282" i="1"/>
  <c r="AE282" i="1"/>
  <c r="AC283" i="1"/>
  <c r="AE283" i="1"/>
  <c r="AC284" i="1"/>
  <c r="AE284" i="1"/>
  <c r="AC285" i="1"/>
  <c r="AE285" i="1"/>
  <c r="AC286" i="1"/>
  <c r="AE286" i="1"/>
  <c r="AC287" i="1"/>
  <c r="AE287" i="1"/>
  <c r="AC288" i="1"/>
  <c r="AE288" i="1"/>
  <c r="AC289" i="1"/>
  <c r="AE289" i="1"/>
  <c r="AC290" i="1"/>
  <c r="AE290" i="1"/>
  <c r="AC291" i="1"/>
  <c r="AE291" i="1"/>
  <c r="AC292" i="1"/>
  <c r="AE292" i="1"/>
  <c r="AC293" i="1"/>
  <c r="AE293" i="1"/>
  <c r="AC294" i="1"/>
  <c r="AE294" i="1"/>
  <c r="AC295" i="1"/>
  <c r="AE295" i="1"/>
  <c r="AC296" i="1"/>
  <c r="AE296" i="1"/>
  <c r="AC297" i="1"/>
  <c r="AE297" i="1"/>
  <c r="AC298" i="1"/>
  <c r="AE298" i="1"/>
  <c r="AC299" i="1"/>
  <c r="AE299" i="1"/>
  <c r="AC300" i="1"/>
  <c r="AE300" i="1"/>
  <c r="AC301" i="1"/>
  <c r="AE301" i="1"/>
  <c r="AC302" i="1"/>
  <c r="AE302" i="1"/>
  <c r="AC303" i="1"/>
  <c r="AE303" i="1"/>
  <c r="AC304" i="1"/>
  <c r="AE304" i="1"/>
  <c r="AC305" i="1"/>
  <c r="AE305" i="1"/>
  <c r="AC306" i="1"/>
  <c r="AE306" i="1"/>
  <c r="AC307" i="1"/>
  <c r="AE307" i="1"/>
  <c r="AC308" i="1"/>
  <c r="AE308" i="1"/>
  <c r="AC309" i="1"/>
  <c r="AE309" i="1"/>
  <c r="AC310" i="1"/>
  <c r="AE310" i="1"/>
  <c r="AC311" i="1"/>
  <c r="AE311" i="1"/>
  <c r="AC312" i="1"/>
  <c r="AE312" i="1"/>
  <c r="AC313" i="1"/>
  <c r="AE313" i="1"/>
  <c r="AC314" i="1"/>
  <c r="AE314" i="1"/>
  <c r="AC315" i="1"/>
  <c r="AE315" i="1"/>
  <c r="AC316" i="1"/>
  <c r="AE316" i="1"/>
  <c r="AC317" i="1"/>
  <c r="AE317" i="1"/>
  <c r="AC318" i="1"/>
  <c r="AE318" i="1"/>
  <c r="AC319" i="1"/>
  <c r="AE319" i="1"/>
  <c r="AC320" i="1"/>
  <c r="AE320" i="1"/>
  <c r="AC321" i="1"/>
  <c r="AE321" i="1"/>
  <c r="AC322" i="1"/>
  <c r="AE322" i="1"/>
  <c r="AC323" i="1"/>
  <c r="AE323" i="1"/>
  <c r="AC324" i="1"/>
  <c r="AE324" i="1"/>
  <c r="AC325" i="1"/>
  <c r="AE325" i="1"/>
  <c r="AC326" i="1"/>
  <c r="AE326" i="1"/>
  <c r="AC327" i="1"/>
  <c r="AE327" i="1"/>
  <c r="AC328" i="1"/>
  <c r="AE328" i="1"/>
  <c r="AC329" i="1"/>
  <c r="AE329" i="1"/>
  <c r="AC330" i="1"/>
  <c r="AE330" i="1"/>
  <c r="AC331" i="1"/>
  <c r="AE331" i="1"/>
  <c r="AC332" i="1"/>
  <c r="AE332" i="1"/>
  <c r="AC333" i="1"/>
  <c r="AE333" i="1"/>
  <c r="AC334" i="1"/>
  <c r="AE334" i="1"/>
  <c r="AC335" i="1"/>
  <c r="AE335" i="1"/>
  <c r="AC336" i="1"/>
  <c r="AE336" i="1"/>
  <c r="AC337" i="1"/>
  <c r="AE337" i="1"/>
  <c r="AC338" i="1"/>
  <c r="AE338" i="1"/>
  <c r="AC339" i="1"/>
  <c r="AE339" i="1"/>
  <c r="AC340" i="1"/>
  <c r="AE340" i="1"/>
  <c r="AC341" i="1"/>
  <c r="AE341" i="1"/>
  <c r="AC342" i="1"/>
  <c r="AE342" i="1"/>
  <c r="AC343" i="1"/>
  <c r="AE343" i="1"/>
  <c r="AC344" i="1"/>
  <c r="AE344" i="1"/>
  <c r="AC345" i="1"/>
  <c r="AE345" i="1"/>
  <c r="AC346" i="1"/>
  <c r="AE346" i="1"/>
  <c r="AC347" i="1"/>
  <c r="AE347" i="1"/>
  <c r="AC348" i="1"/>
  <c r="AE348" i="1"/>
  <c r="AC349" i="1"/>
  <c r="AE349" i="1"/>
  <c r="AC350" i="1"/>
  <c r="AE350" i="1"/>
  <c r="AC351" i="1"/>
  <c r="AE351" i="1"/>
  <c r="AC352" i="1"/>
  <c r="AE352" i="1"/>
  <c r="AC353" i="1"/>
  <c r="AE353" i="1"/>
  <c r="AC354" i="1"/>
  <c r="AE354" i="1"/>
  <c r="AC355" i="1"/>
  <c r="AE355" i="1"/>
  <c r="AC356" i="1"/>
  <c r="AE356" i="1"/>
  <c r="AC357" i="1"/>
  <c r="AE357" i="1"/>
  <c r="AC358" i="1"/>
  <c r="AE358" i="1"/>
  <c r="AC359" i="1"/>
  <c r="AE359" i="1"/>
  <c r="AC360" i="1"/>
  <c r="AE360" i="1"/>
  <c r="AC361" i="1"/>
  <c r="AE361" i="1"/>
  <c r="AC362" i="1"/>
  <c r="AE362" i="1"/>
  <c r="AC363" i="1"/>
  <c r="AE363" i="1"/>
  <c r="AC364" i="1"/>
  <c r="AE364" i="1"/>
  <c r="AC365" i="1"/>
  <c r="AE365" i="1"/>
  <c r="AC366" i="1"/>
  <c r="AE366" i="1"/>
  <c r="AC367" i="1"/>
  <c r="AE367" i="1"/>
  <c r="AC368" i="1"/>
  <c r="AE368" i="1"/>
  <c r="AC369" i="1"/>
  <c r="AE369" i="1"/>
  <c r="AC370" i="1"/>
  <c r="AE370" i="1"/>
  <c r="AC371" i="1"/>
  <c r="AE371" i="1"/>
  <c r="AC372" i="1"/>
  <c r="AE372" i="1"/>
  <c r="AC373" i="1"/>
  <c r="AE373" i="1"/>
  <c r="AC374" i="1"/>
  <c r="AE374" i="1"/>
  <c r="AC375" i="1"/>
  <c r="AE375" i="1"/>
  <c r="AC376" i="1"/>
  <c r="AE376" i="1"/>
  <c r="AC377" i="1"/>
  <c r="AE377" i="1"/>
  <c r="AC378" i="1"/>
  <c r="AE378" i="1"/>
  <c r="AC379" i="1"/>
  <c r="AE379" i="1"/>
  <c r="AC380" i="1"/>
  <c r="AE380" i="1"/>
  <c r="AC381" i="1"/>
  <c r="AE381" i="1"/>
  <c r="AC382" i="1"/>
  <c r="AE382" i="1"/>
  <c r="AC383" i="1"/>
  <c r="AE383" i="1"/>
  <c r="AC384" i="1"/>
  <c r="AE384" i="1"/>
  <c r="AC385" i="1"/>
  <c r="AE385" i="1"/>
  <c r="AC386" i="1"/>
  <c r="AE386" i="1"/>
  <c r="AC387" i="1"/>
  <c r="AE387" i="1"/>
  <c r="AC388" i="1"/>
  <c r="AE388" i="1"/>
  <c r="AC389" i="1"/>
  <c r="AE389" i="1"/>
  <c r="AC390" i="1"/>
  <c r="AE390" i="1"/>
  <c r="AC391" i="1"/>
  <c r="AE391" i="1"/>
  <c r="AC392" i="1"/>
  <c r="AE392" i="1"/>
  <c r="AC393" i="1"/>
  <c r="AE393" i="1"/>
  <c r="AC394" i="1"/>
  <c r="AE394" i="1"/>
  <c r="AC395" i="1"/>
  <c r="AE395" i="1"/>
  <c r="AC396" i="1"/>
  <c r="AE396" i="1"/>
  <c r="AC397" i="1"/>
  <c r="AE397" i="1"/>
  <c r="AC398" i="1"/>
  <c r="AE398" i="1"/>
  <c r="AC399" i="1"/>
  <c r="AE399" i="1"/>
  <c r="AC400" i="1"/>
  <c r="AE400" i="1"/>
  <c r="AC401" i="1"/>
  <c r="AE401" i="1"/>
  <c r="AC402" i="1"/>
  <c r="AE402" i="1"/>
  <c r="AC403" i="1"/>
  <c r="AE403" i="1"/>
  <c r="AC404" i="1"/>
  <c r="AE404" i="1"/>
  <c r="AC405" i="1"/>
  <c r="AE405" i="1"/>
  <c r="AC406" i="1"/>
  <c r="AE406" i="1"/>
  <c r="AC407" i="1"/>
  <c r="AE407" i="1"/>
  <c r="AC408" i="1"/>
  <c r="AE408" i="1"/>
  <c r="AC409" i="1"/>
  <c r="AE409" i="1"/>
  <c r="AC410" i="1"/>
  <c r="AE410" i="1"/>
  <c r="AC411" i="1"/>
  <c r="AE411" i="1"/>
  <c r="AC412" i="1"/>
  <c r="AE412" i="1"/>
  <c r="AC413" i="1"/>
  <c r="AE413" i="1"/>
  <c r="AC414" i="1"/>
  <c r="AE414" i="1"/>
  <c r="AC415" i="1"/>
  <c r="AE415" i="1"/>
  <c r="AC416" i="1"/>
  <c r="AE416" i="1"/>
  <c r="AC417" i="1"/>
  <c r="AE417" i="1"/>
  <c r="AC418" i="1"/>
  <c r="AE418" i="1"/>
  <c r="AC419" i="1"/>
  <c r="AE419" i="1"/>
  <c r="AC420" i="1"/>
  <c r="AE420" i="1"/>
  <c r="AC421" i="1"/>
  <c r="AE421" i="1"/>
  <c r="AC422" i="1"/>
  <c r="AE422" i="1"/>
  <c r="AC423" i="1"/>
  <c r="AE423" i="1"/>
  <c r="AC424" i="1"/>
  <c r="AE424" i="1"/>
  <c r="AC425" i="1"/>
  <c r="AE425" i="1"/>
  <c r="AC426" i="1"/>
  <c r="AE426" i="1"/>
  <c r="AC427" i="1"/>
  <c r="AE427" i="1"/>
  <c r="AC428" i="1"/>
  <c r="AE428" i="1"/>
  <c r="AC429" i="1"/>
  <c r="AE429" i="1"/>
  <c r="AC430" i="1"/>
  <c r="AE430" i="1"/>
  <c r="AC431" i="1"/>
  <c r="AE431" i="1"/>
  <c r="AC432" i="1"/>
  <c r="AE432" i="1"/>
  <c r="AC433" i="1"/>
  <c r="AE433" i="1"/>
  <c r="AC434" i="1"/>
  <c r="AE434" i="1"/>
  <c r="AC435" i="1"/>
  <c r="AE435" i="1"/>
  <c r="AC436" i="1"/>
  <c r="AE436" i="1"/>
  <c r="AC437" i="1"/>
  <c r="AE437" i="1"/>
  <c r="AC438" i="1"/>
  <c r="AE438" i="1"/>
  <c r="AC439" i="1"/>
  <c r="AE439" i="1"/>
  <c r="AC440" i="1"/>
  <c r="AE440" i="1"/>
  <c r="AC441" i="1"/>
  <c r="AE441" i="1"/>
  <c r="AC442" i="1"/>
  <c r="AE442" i="1"/>
  <c r="AC443" i="1"/>
  <c r="AE443" i="1"/>
  <c r="AC444" i="1"/>
  <c r="AE444" i="1"/>
  <c r="AC445" i="1"/>
  <c r="AE445" i="1"/>
  <c r="AC446" i="1"/>
  <c r="AE446" i="1"/>
  <c r="AC447" i="1"/>
  <c r="AE447" i="1"/>
  <c r="AC448" i="1"/>
  <c r="AE448" i="1"/>
  <c r="AC449" i="1"/>
  <c r="AE449" i="1"/>
  <c r="AC450" i="1"/>
  <c r="AE450" i="1"/>
  <c r="AC451" i="1"/>
  <c r="AE451" i="1"/>
  <c r="AC452" i="1"/>
  <c r="AE452" i="1"/>
  <c r="AC453" i="1"/>
  <c r="AE453" i="1"/>
  <c r="AC454" i="1"/>
  <c r="AE454" i="1"/>
  <c r="AC455" i="1"/>
  <c r="AE455" i="1"/>
  <c r="AC456" i="1"/>
  <c r="AE456" i="1"/>
  <c r="AC457" i="1"/>
  <c r="AE457" i="1"/>
  <c r="AC458" i="1"/>
  <c r="AE458" i="1"/>
  <c r="AC459" i="1"/>
  <c r="AE459" i="1"/>
  <c r="AC460" i="1"/>
  <c r="AE460" i="1"/>
  <c r="AC461" i="1"/>
  <c r="AE461" i="1"/>
  <c r="AC462" i="1"/>
  <c r="AE462" i="1"/>
  <c r="AC463" i="1"/>
  <c r="AE463" i="1"/>
  <c r="AC464" i="1"/>
  <c r="AE464" i="1"/>
  <c r="AC465" i="1"/>
  <c r="AE465" i="1"/>
  <c r="AC466" i="1"/>
  <c r="AE466" i="1"/>
  <c r="AC467" i="1"/>
  <c r="AE467" i="1"/>
  <c r="AC468" i="1"/>
  <c r="AE468" i="1"/>
  <c r="AC469" i="1"/>
  <c r="AE469" i="1"/>
  <c r="AC470" i="1"/>
  <c r="AE470" i="1"/>
  <c r="AC471" i="1"/>
  <c r="AE471" i="1"/>
  <c r="AC472" i="1"/>
  <c r="AE472" i="1"/>
  <c r="AC473" i="1"/>
  <c r="AE473" i="1"/>
  <c r="AC474" i="1"/>
  <c r="AE474" i="1"/>
  <c r="AC475" i="1"/>
  <c r="AE475" i="1"/>
  <c r="AC476" i="1"/>
  <c r="AE476" i="1"/>
  <c r="AC477" i="1"/>
  <c r="AE477" i="1"/>
  <c r="AC478" i="1"/>
  <c r="AE478" i="1"/>
  <c r="AC479" i="1"/>
  <c r="AE479" i="1"/>
  <c r="AC480" i="1"/>
  <c r="AE480" i="1"/>
  <c r="AC481" i="1"/>
  <c r="AE481" i="1"/>
  <c r="AC482" i="1"/>
  <c r="AE482" i="1"/>
  <c r="AC483" i="1"/>
  <c r="AE483" i="1"/>
  <c r="AC484" i="1"/>
  <c r="AE484" i="1"/>
  <c r="AC485" i="1"/>
  <c r="AE485" i="1"/>
  <c r="AC486" i="1"/>
  <c r="AE486" i="1"/>
  <c r="AC487" i="1"/>
  <c r="AE487" i="1"/>
  <c r="AC488" i="1"/>
  <c r="AE488" i="1"/>
  <c r="AC489" i="1"/>
  <c r="AE489" i="1"/>
  <c r="AC490" i="1"/>
  <c r="AE490" i="1"/>
  <c r="AC491" i="1"/>
  <c r="AE491" i="1"/>
  <c r="AC492" i="1"/>
  <c r="AE492" i="1"/>
  <c r="AC493" i="1"/>
  <c r="AE493" i="1"/>
  <c r="AC494" i="1"/>
  <c r="AE494" i="1"/>
  <c r="AC495" i="1"/>
  <c r="AE495" i="1"/>
  <c r="AC496" i="1"/>
  <c r="AE496" i="1"/>
  <c r="AC497" i="1"/>
  <c r="AE497" i="1"/>
  <c r="AC498" i="1"/>
  <c r="AE498" i="1"/>
  <c r="AC499" i="1"/>
  <c r="AE499" i="1"/>
  <c r="AC500" i="1"/>
  <c r="AE500" i="1"/>
  <c r="AC501" i="1"/>
  <c r="AE501" i="1"/>
  <c r="AC502" i="1"/>
  <c r="AE502" i="1"/>
  <c r="AC503" i="1"/>
  <c r="AE503" i="1"/>
  <c r="AC504" i="1"/>
  <c r="AE504" i="1"/>
  <c r="AC505" i="1"/>
  <c r="AE505" i="1"/>
  <c r="AC506" i="1"/>
  <c r="AE506" i="1"/>
  <c r="AC507" i="1"/>
  <c r="AE507" i="1"/>
  <c r="AC508" i="1"/>
  <c r="AE508" i="1"/>
  <c r="AC509" i="1"/>
  <c r="AE509" i="1"/>
  <c r="AC510" i="1"/>
  <c r="AE510" i="1"/>
  <c r="AC511" i="1"/>
  <c r="AE511" i="1"/>
  <c r="AC512" i="1"/>
  <c r="AE512" i="1"/>
  <c r="AC513" i="1"/>
  <c r="AE513" i="1"/>
  <c r="AC514" i="1"/>
  <c r="AE514" i="1"/>
  <c r="AC515" i="1"/>
  <c r="AE515" i="1"/>
  <c r="AC516" i="1"/>
  <c r="AE516" i="1"/>
  <c r="AC517" i="1"/>
  <c r="AE517" i="1"/>
  <c r="AC518" i="1"/>
  <c r="AE518" i="1"/>
  <c r="AC519" i="1"/>
  <c r="AE519" i="1"/>
  <c r="AC520" i="1"/>
  <c r="AE520" i="1"/>
  <c r="AC521" i="1"/>
  <c r="AE521" i="1"/>
  <c r="AC522" i="1"/>
  <c r="AE522" i="1"/>
  <c r="AC523" i="1"/>
  <c r="AE523" i="1"/>
  <c r="AC524" i="1"/>
  <c r="AE524" i="1"/>
  <c r="AC525" i="1"/>
  <c r="AE525" i="1"/>
  <c r="AC526" i="1"/>
  <c r="AE526" i="1"/>
  <c r="AC527" i="1"/>
  <c r="AE527" i="1"/>
  <c r="AC528" i="1"/>
  <c r="AE528" i="1"/>
  <c r="AC529" i="1"/>
  <c r="AE529" i="1"/>
  <c r="AC530" i="1"/>
  <c r="AE530" i="1"/>
  <c r="AC531" i="1"/>
  <c r="AE531" i="1"/>
  <c r="AC532" i="1"/>
  <c r="AE532" i="1"/>
  <c r="AC533" i="1"/>
  <c r="AE533" i="1"/>
  <c r="AC534" i="1"/>
  <c r="AE534" i="1"/>
  <c r="AC535" i="1"/>
  <c r="AE535" i="1"/>
  <c r="AC536" i="1"/>
  <c r="AE536" i="1"/>
  <c r="AC537" i="1"/>
  <c r="AE537" i="1"/>
  <c r="AC538" i="1"/>
  <c r="AE538" i="1"/>
  <c r="AC539" i="1"/>
  <c r="AE539" i="1"/>
  <c r="AC540" i="1"/>
  <c r="AE540" i="1"/>
  <c r="AC541" i="1"/>
  <c r="AE541" i="1"/>
  <c r="AC542" i="1"/>
  <c r="AE542" i="1"/>
  <c r="AC543" i="1"/>
  <c r="AE543" i="1"/>
  <c r="AC544" i="1"/>
  <c r="AE544" i="1"/>
  <c r="AC545" i="1"/>
  <c r="AE545" i="1"/>
  <c r="AC546" i="1"/>
  <c r="AE546" i="1"/>
  <c r="AC547" i="1"/>
  <c r="AE547" i="1"/>
  <c r="AC548" i="1"/>
  <c r="AE548" i="1"/>
  <c r="AC549" i="1"/>
  <c r="AE549" i="1"/>
  <c r="AC550" i="1"/>
  <c r="AE550" i="1"/>
  <c r="AC551" i="1"/>
  <c r="AE551" i="1"/>
  <c r="AC552" i="1"/>
  <c r="AE552" i="1"/>
  <c r="AC553" i="1"/>
  <c r="AE553" i="1"/>
  <c r="AC554" i="1"/>
  <c r="AE554" i="1"/>
  <c r="AC555" i="1"/>
  <c r="AE555" i="1"/>
  <c r="AC556" i="1"/>
  <c r="AE556" i="1"/>
  <c r="AC557" i="1"/>
  <c r="AE557" i="1"/>
  <c r="AC558" i="1"/>
  <c r="AE558" i="1"/>
  <c r="AC559" i="1"/>
  <c r="AE559" i="1"/>
  <c r="AC560" i="1"/>
  <c r="AE560" i="1"/>
  <c r="AC561" i="1"/>
  <c r="AE561" i="1"/>
  <c r="AC562" i="1"/>
  <c r="AE562" i="1"/>
  <c r="AC563" i="1"/>
  <c r="AE563" i="1"/>
  <c r="AC564" i="1"/>
  <c r="AE564" i="1"/>
  <c r="AC565" i="1"/>
  <c r="AE565" i="1"/>
  <c r="AC566" i="1"/>
  <c r="AE566" i="1"/>
  <c r="AC567" i="1"/>
  <c r="AE567" i="1"/>
  <c r="AC568" i="1"/>
  <c r="AE568" i="1"/>
  <c r="AC569" i="1"/>
  <c r="AE569" i="1"/>
  <c r="AC570" i="1"/>
  <c r="AE570" i="1"/>
  <c r="AC571" i="1"/>
  <c r="AE571" i="1"/>
  <c r="AC572" i="1"/>
  <c r="AE572" i="1"/>
  <c r="AC573" i="1"/>
  <c r="AE573" i="1"/>
  <c r="AC574" i="1"/>
  <c r="AE574" i="1"/>
  <c r="AC575" i="1"/>
  <c r="AE575" i="1"/>
  <c r="AC576" i="1"/>
  <c r="AE576" i="1"/>
  <c r="AC577" i="1"/>
  <c r="AE577" i="1"/>
  <c r="AC578" i="1"/>
  <c r="AE578" i="1"/>
  <c r="AC579" i="1"/>
  <c r="AE579" i="1"/>
  <c r="AC580" i="1"/>
  <c r="AE580" i="1"/>
  <c r="AC581" i="1"/>
  <c r="AE581" i="1"/>
  <c r="AC582" i="1"/>
  <c r="AE582" i="1"/>
  <c r="AC583" i="1"/>
  <c r="AE583" i="1"/>
  <c r="AC584" i="1"/>
  <c r="AE584" i="1"/>
  <c r="AC585" i="1"/>
  <c r="AE585" i="1"/>
  <c r="AC586" i="1"/>
  <c r="AE586" i="1"/>
  <c r="AC587" i="1"/>
  <c r="AE587" i="1"/>
  <c r="AC588" i="1"/>
  <c r="AE588" i="1"/>
  <c r="AC589" i="1"/>
  <c r="AE589" i="1"/>
  <c r="AC590" i="1"/>
  <c r="AE590" i="1"/>
  <c r="AC591" i="1"/>
  <c r="AE591" i="1"/>
  <c r="AC592" i="1"/>
  <c r="AE592" i="1"/>
  <c r="AC593" i="1"/>
  <c r="AE593" i="1"/>
  <c r="AC594" i="1"/>
  <c r="AE594" i="1"/>
  <c r="AC595" i="1"/>
  <c r="AE595" i="1"/>
  <c r="AC596" i="1"/>
  <c r="AE596" i="1"/>
  <c r="AC597" i="1"/>
  <c r="AE597" i="1"/>
  <c r="AC598" i="1"/>
  <c r="AE598" i="1"/>
  <c r="AC599" i="1"/>
  <c r="AE599" i="1"/>
  <c r="AC600" i="1"/>
  <c r="AE600" i="1"/>
  <c r="AC601" i="1"/>
  <c r="AE601" i="1"/>
  <c r="AC602" i="1"/>
  <c r="AE602" i="1"/>
  <c r="AC603" i="1"/>
  <c r="AE603" i="1"/>
  <c r="AC604" i="1"/>
  <c r="AE604" i="1"/>
  <c r="AC605" i="1"/>
  <c r="AE605" i="1"/>
  <c r="AC606" i="1"/>
  <c r="AE606" i="1"/>
  <c r="AC607" i="1"/>
  <c r="AE607" i="1"/>
  <c r="AC608" i="1"/>
  <c r="AE608" i="1"/>
  <c r="AC609" i="1"/>
  <c r="AE609" i="1"/>
  <c r="AC610" i="1"/>
  <c r="AE610" i="1"/>
  <c r="AC611" i="1"/>
  <c r="AE611" i="1"/>
  <c r="AC612" i="1"/>
  <c r="AE612" i="1"/>
  <c r="AC613" i="1"/>
  <c r="AE613" i="1"/>
  <c r="AC614" i="1"/>
  <c r="AE614" i="1"/>
  <c r="AC615" i="1"/>
  <c r="AE615" i="1"/>
  <c r="AC616" i="1"/>
  <c r="AE616" i="1"/>
  <c r="AC617" i="1"/>
  <c r="AE617" i="1"/>
  <c r="AC618" i="1"/>
  <c r="AE618" i="1"/>
  <c r="AC619" i="1"/>
  <c r="AE619" i="1"/>
  <c r="AC620" i="1"/>
  <c r="AE620" i="1"/>
  <c r="AC621" i="1"/>
  <c r="AE621" i="1"/>
  <c r="AC622" i="1"/>
  <c r="AE622" i="1"/>
  <c r="AC623" i="1"/>
  <c r="AE623" i="1"/>
  <c r="AC624" i="1"/>
  <c r="AE624" i="1"/>
  <c r="AC625" i="1"/>
  <c r="AE625" i="1"/>
  <c r="AC626" i="1"/>
  <c r="AE626" i="1"/>
  <c r="AC627" i="1"/>
  <c r="AE627" i="1"/>
  <c r="AC628" i="1"/>
  <c r="AE628" i="1"/>
  <c r="AC629" i="1"/>
  <c r="AE629" i="1"/>
  <c r="AC630" i="1"/>
  <c r="AE630" i="1"/>
  <c r="AC631" i="1"/>
  <c r="AE631" i="1"/>
  <c r="AC632" i="1"/>
  <c r="AE632" i="1"/>
  <c r="AC633" i="1"/>
  <c r="AE633" i="1"/>
  <c r="AC634" i="1"/>
  <c r="AE634" i="1"/>
  <c r="AC635" i="1"/>
  <c r="AE635" i="1"/>
  <c r="AC636" i="1"/>
  <c r="AE636" i="1"/>
  <c r="AC637" i="1"/>
  <c r="AE637" i="1"/>
  <c r="AC638" i="1"/>
  <c r="AE638" i="1"/>
  <c r="AC639" i="1"/>
  <c r="AE639" i="1"/>
  <c r="AC640" i="1"/>
  <c r="AE640" i="1"/>
  <c r="AC641" i="1"/>
  <c r="AE641" i="1"/>
  <c r="AC642" i="1"/>
  <c r="AE642" i="1"/>
  <c r="AC643" i="1"/>
  <c r="AE643" i="1"/>
  <c r="AC644" i="1"/>
  <c r="AE644" i="1"/>
  <c r="AC645" i="1"/>
  <c r="AE645" i="1"/>
  <c r="AC646" i="1"/>
  <c r="AE646" i="1"/>
  <c r="AC647" i="1"/>
  <c r="AE647" i="1"/>
  <c r="AC648" i="1"/>
  <c r="AE648" i="1"/>
  <c r="AC649" i="1"/>
  <c r="AE649" i="1"/>
  <c r="AC650" i="1"/>
  <c r="AE650" i="1"/>
  <c r="AC651" i="1"/>
  <c r="AE651" i="1"/>
  <c r="AC652" i="1"/>
  <c r="AE652" i="1"/>
  <c r="AC653" i="1"/>
  <c r="AE653" i="1"/>
  <c r="AC654" i="1"/>
  <c r="AE654" i="1"/>
  <c r="AC655" i="1"/>
  <c r="AE655" i="1"/>
  <c r="AC656" i="1"/>
  <c r="AE656" i="1"/>
  <c r="AC657" i="1"/>
  <c r="AE657" i="1"/>
  <c r="AC658" i="1"/>
  <c r="AE658" i="1"/>
  <c r="AC659" i="1"/>
  <c r="AE659" i="1"/>
  <c r="AC660" i="1"/>
  <c r="AE660" i="1"/>
  <c r="AC661" i="1"/>
  <c r="AE661" i="1"/>
  <c r="AC662" i="1"/>
  <c r="AE662" i="1"/>
  <c r="AC663" i="1"/>
  <c r="AE663" i="1"/>
  <c r="AC664" i="1"/>
  <c r="AE664" i="1"/>
  <c r="AC665" i="1"/>
  <c r="AE665" i="1"/>
  <c r="AC666" i="1"/>
  <c r="AE666" i="1"/>
  <c r="AC667" i="1"/>
  <c r="AE667" i="1"/>
  <c r="AC668" i="1"/>
  <c r="AE668" i="1"/>
  <c r="AC669" i="1"/>
  <c r="AE669" i="1"/>
  <c r="AC670" i="1"/>
  <c r="AE670" i="1"/>
  <c r="AC671" i="1"/>
  <c r="AE671" i="1"/>
  <c r="AC672" i="1"/>
  <c r="AE672" i="1"/>
  <c r="AC673" i="1"/>
  <c r="AE673" i="1"/>
  <c r="AC674" i="1"/>
  <c r="AE674" i="1"/>
  <c r="AC675" i="1"/>
  <c r="AE675" i="1"/>
  <c r="AC676" i="1"/>
  <c r="AE676" i="1"/>
  <c r="AC677" i="1"/>
  <c r="AE677" i="1"/>
  <c r="AC678" i="1"/>
  <c r="AE678" i="1"/>
  <c r="AC679" i="1"/>
  <c r="AE679" i="1"/>
  <c r="AC680" i="1"/>
  <c r="AE680" i="1"/>
  <c r="AC681" i="1"/>
  <c r="AE681" i="1"/>
  <c r="AC682" i="1"/>
  <c r="AE682" i="1"/>
  <c r="AC683" i="1"/>
  <c r="AE683" i="1"/>
  <c r="AC684" i="1"/>
  <c r="AE684" i="1"/>
  <c r="AC685" i="1"/>
  <c r="AE685" i="1"/>
  <c r="AC686" i="1"/>
  <c r="AE686" i="1"/>
  <c r="AC687" i="1"/>
  <c r="AE687" i="1"/>
  <c r="AC688" i="1"/>
  <c r="AE688" i="1"/>
  <c r="AC689" i="1"/>
  <c r="AE689" i="1"/>
  <c r="AC690" i="1"/>
  <c r="AE690" i="1"/>
  <c r="AC691" i="1"/>
  <c r="AE691" i="1"/>
  <c r="AC692" i="1"/>
  <c r="AE692" i="1"/>
  <c r="AC693" i="1"/>
  <c r="AE693" i="1"/>
  <c r="AC694" i="1"/>
  <c r="AE694" i="1"/>
  <c r="AC695" i="1"/>
  <c r="AE695" i="1"/>
  <c r="AC696" i="1"/>
  <c r="AE696" i="1"/>
  <c r="AC697" i="1"/>
  <c r="AE697" i="1"/>
  <c r="AC698" i="1"/>
  <c r="AE698" i="1"/>
  <c r="AC699" i="1"/>
  <c r="AE699" i="1"/>
  <c r="AC700" i="1"/>
  <c r="AE700" i="1"/>
  <c r="AC701" i="1"/>
  <c r="AE701" i="1"/>
  <c r="AC702" i="1"/>
  <c r="AE702" i="1"/>
  <c r="AC703" i="1"/>
  <c r="AE703" i="1"/>
  <c r="AC704" i="1"/>
  <c r="AE704" i="1"/>
  <c r="AC705" i="1"/>
  <c r="AE705" i="1"/>
  <c r="AC706" i="1"/>
  <c r="AE706" i="1"/>
  <c r="AC707" i="1"/>
  <c r="AE707" i="1"/>
  <c r="AC708" i="1"/>
  <c r="AE708" i="1"/>
  <c r="AC709" i="1"/>
  <c r="AE709" i="1"/>
  <c r="AC710" i="1"/>
  <c r="AE710" i="1"/>
  <c r="AC711" i="1"/>
  <c r="AE711" i="1"/>
  <c r="AC712" i="1"/>
  <c r="AE712" i="1"/>
  <c r="AC713" i="1"/>
  <c r="AE713" i="1"/>
  <c r="AC714" i="1"/>
  <c r="AE714" i="1"/>
  <c r="AC715" i="1"/>
  <c r="AE715" i="1"/>
  <c r="AC716" i="1"/>
  <c r="AE716" i="1"/>
  <c r="AC717" i="1"/>
  <c r="AE717" i="1"/>
  <c r="AC718" i="1"/>
  <c r="AE718" i="1"/>
  <c r="AC719" i="1"/>
  <c r="AE719" i="1"/>
  <c r="AC720" i="1"/>
  <c r="AE720" i="1"/>
  <c r="AC721" i="1"/>
  <c r="AE721" i="1"/>
  <c r="AC722" i="1"/>
  <c r="AE722" i="1"/>
  <c r="AC723" i="1"/>
  <c r="AE723" i="1"/>
  <c r="AC724" i="1"/>
  <c r="AE724" i="1"/>
  <c r="AC725" i="1"/>
  <c r="AE725" i="1"/>
  <c r="AC726" i="1"/>
  <c r="AE726" i="1"/>
  <c r="AC727" i="1"/>
  <c r="AE727" i="1"/>
  <c r="AC728" i="1"/>
  <c r="AE728" i="1"/>
  <c r="AC729" i="1"/>
  <c r="AE729" i="1"/>
  <c r="AC730" i="1"/>
  <c r="AE730" i="1"/>
  <c r="AC731" i="1"/>
  <c r="AE731" i="1"/>
  <c r="AC732" i="1"/>
  <c r="AE732" i="1"/>
  <c r="AC733" i="1"/>
  <c r="AE733" i="1"/>
  <c r="AC734" i="1"/>
  <c r="AE734" i="1"/>
  <c r="AC735" i="1"/>
  <c r="AE735" i="1"/>
  <c r="AC736" i="1"/>
  <c r="AE736" i="1"/>
  <c r="AC737" i="1"/>
  <c r="AE737" i="1"/>
  <c r="AC738" i="1"/>
  <c r="AE738" i="1"/>
  <c r="AC739" i="1"/>
  <c r="AE739" i="1"/>
  <c r="AC740" i="1"/>
  <c r="AE740" i="1"/>
  <c r="AC741" i="1"/>
  <c r="AE741" i="1"/>
  <c r="AC742" i="1"/>
  <c r="AE742" i="1"/>
  <c r="AC743" i="1"/>
  <c r="AE743" i="1"/>
  <c r="AC744" i="1"/>
  <c r="AE744" i="1"/>
  <c r="AC745" i="1"/>
  <c r="AE745" i="1"/>
  <c r="AC746" i="1"/>
  <c r="AE746" i="1"/>
  <c r="AC747" i="1"/>
  <c r="AE747" i="1"/>
  <c r="AC748" i="1"/>
  <c r="AE748" i="1"/>
  <c r="AC749" i="1"/>
  <c r="AE749" i="1"/>
  <c r="AC750" i="1"/>
  <c r="AE750" i="1"/>
  <c r="AC751" i="1"/>
  <c r="AE751" i="1"/>
  <c r="AC752" i="1"/>
  <c r="AE752" i="1"/>
  <c r="AC753" i="1"/>
  <c r="AE753" i="1"/>
  <c r="AC754" i="1"/>
  <c r="AE754" i="1"/>
  <c r="AC755" i="1"/>
  <c r="AE755" i="1"/>
  <c r="AC756" i="1"/>
  <c r="AE756" i="1"/>
  <c r="AC757" i="1"/>
  <c r="AE757" i="1"/>
  <c r="AC758" i="1"/>
  <c r="AE758" i="1"/>
  <c r="AC759" i="1"/>
  <c r="AE759" i="1"/>
  <c r="AC760" i="1"/>
  <c r="AE760" i="1"/>
  <c r="AC761" i="1"/>
  <c r="AE761" i="1"/>
  <c r="AC762" i="1"/>
  <c r="AE762" i="1"/>
  <c r="AC763" i="1"/>
  <c r="AE763" i="1"/>
  <c r="AC764" i="1"/>
  <c r="AE764" i="1"/>
  <c r="AC765" i="1"/>
  <c r="AE765" i="1"/>
  <c r="AC766" i="1"/>
  <c r="AE766" i="1"/>
  <c r="AC767" i="1"/>
  <c r="AE767" i="1"/>
  <c r="AC768" i="1"/>
  <c r="AE768" i="1"/>
  <c r="AC769" i="1"/>
  <c r="AE769" i="1"/>
  <c r="AC770" i="1"/>
  <c r="AE770" i="1"/>
  <c r="AC771" i="1"/>
  <c r="AE771" i="1"/>
  <c r="AC772" i="1"/>
  <c r="AE772" i="1"/>
  <c r="AC773" i="1"/>
  <c r="AE773" i="1"/>
  <c r="AC774" i="1"/>
  <c r="AE774" i="1"/>
  <c r="AC775" i="1"/>
  <c r="AE775" i="1"/>
  <c r="AC776" i="1"/>
  <c r="AE776" i="1"/>
  <c r="AC777" i="1"/>
  <c r="AE777" i="1"/>
  <c r="AC778" i="1"/>
  <c r="AE778" i="1"/>
  <c r="AC779" i="1"/>
  <c r="AE779" i="1"/>
  <c r="AC780" i="1"/>
  <c r="AE780" i="1"/>
  <c r="AC781" i="1"/>
  <c r="AE781" i="1"/>
  <c r="AC782" i="1"/>
  <c r="AE782" i="1"/>
  <c r="AC783" i="1"/>
  <c r="AE783" i="1"/>
  <c r="AC784" i="1"/>
  <c r="AE784" i="1"/>
  <c r="AC785" i="1"/>
  <c r="AE785" i="1"/>
  <c r="AC786" i="1"/>
  <c r="AE786" i="1"/>
  <c r="AC787" i="1"/>
  <c r="AE787" i="1"/>
  <c r="AC788" i="1"/>
  <c r="AE788" i="1"/>
  <c r="AC789" i="1"/>
  <c r="AE789" i="1"/>
  <c r="AC790" i="1"/>
  <c r="AE790" i="1"/>
  <c r="AC791" i="1"/>
  <c r="AE791" i="1"/>
  <c r="AC792" i="1"/>
  <c r="AE792" i="1"/>
  <c r="AC793" i="1"/>
  <c r="AE793" i="1"/>
  <c r="AC794" i="1"/>
  <c r="AE794" i="1"/>
  <c r="AC795" i="1"/>
  <c r="AE795" i="1"/>
  <c r="AC796" i="1"/>
  <c r="AE796" i="1"/>
  <c r="AC797" i="1"/>
  <c r="AE797" i="1"/>
  <c r="AC798" i="1"/>
  <c r="AE798" i="1"/>
  <c r="AC799" i="1"/>
  <c r="AE799" i="1"/>
  <c r="AC800" i="1"/>
  <c r="AE800" i="1"/>
  <c r="AC801" i="1"/>
  <c r="AE801" i="1"/>
  <c r="AC802" i="1"/>
  <c r="AE802" i="1"/>
  <c r="AC803" i="1"/>
  <c r="AE803" i="1"/>
  <c r="AC804" i="1"/>
  <c r="AE804" i="1"/>
  <c r="AC805" i="1"/>
  <c r="AE805" i="1"/>
  <c r="AC806" i="1"/>
  <c r="AE806" i="1"/>
  <c r="AC807" i="1"/>
  <c r="AE807" i="1"/>
  <c r="AC808" i="1"/>
  <c r="AE808" i="1"/>
  <c r="AC809" i="1"/>
  <c r="AE809" i="1"/>
  <c r="AC810" i="1"/>
  <c r="AE810" i="1"/>
  <c r="AC811" i="1"/>
  <c r="AE811" i="1"/>
  <c r="AC812" i="1"/>
  <c r="AE812" i="1"/>
  <c r="AC813" i="1"/>
  <c r="AE813" i="1"/>
  <c r="AC814" i="1"/>
  <c r="AE814" i="1"/>
  <c r="AC815" i="1"/>
  <c r="AE815" i="1"/>
  <c r="AC816" i="1"/>
  <c r="AE816" i="1"/>
  <c r="AC817" i="1"/>
  <c r="AE817" i="1"/>
  <c r="AC818" i="1"/>
  <c r="AE818" i="1"/>
  <c r="AC819" i="1"/>
  <c r="AE819" i="1"/>
  <c r="AC820" i="1"/>
  <c r="AE820" i="1"/>
  <c r="AC821" i="1"/>
  <c r="AE821" i="1"/>
  <c r="AC822" i="1"/>
  <c r="AE822" i="1"/>
  <c r="AC823" i="1"/>
  <c r="AE823" i="1"/>
  <c r="AC824" i="1"/>
  <c r="AE824" i="1"/>
  <c r="AC825" i="1"/>
  <c r="AE825" i="1"/>
  <c r="AC826" i="1"/>
  <c r="AE826" i="1"/>
  <c r="AC827" i="1"/>
  <c r="AE827" i="1"/>
  <c r="AC828" i="1"/>
  <c r="AE828" i="1"/>
  <c r="AC829" i="1"/>
  <c r="AE829" i="1"/>
  <c r="AC830" i="1"/>
  <c r="AE830" i="1"/>
  <c r="AC831" i="1"/>
  <c r="AE831" i="1"/>
  <c r="AC832" i="1"/>
  <c r="AE832" i="1"/>
  <c r="AC833" i="1"/>
  <c r="AE833" i="1"/>
  <c r="AC834" i="1"/>
  <c r="AE834" i="1"/>
  <c r="AC835" i="1"/>
  <c r="AE835" i="1"/>
  <c r="AC836" i="1"/>
  <c r="AE836" i="1"/>
  <c r="AC837" i="1"/>
  <c r="AE837" i="1"/>
  <c r="AC838" i="1"/>
  <c r="AE838" i="1"/>
  <c r="AC839" i="1"/>
  <c r="AE839" i="1"/>
  <c r="AC840" i="1"/>
  <c r="AE840" i="1"/>
  <c r="AC841" i="1"/>
  <c r="AE841" i="1"/>
  <c r="AC842" i="1"/>
  <c r="AE842" i="1"/>
  <c r="AC843" i="1"/>
  <c r="AE843" i="1"/>
  <c r="AC844" i="1"/>
  <c r="AE844" i="1"/>
  <c r="AC845" i="1"/>
  <c r="AE845" i="1"/>
  <c r="AC846" i="1"/>
  <c r="AE846" i="1"/>
  <c r="AC847" i="1"/>
  <c r="AE847" i="1"/>
  <c r="AC848" i="1"/>
  <c r="AE848" i="1"/>
  <c r="AC849" i="1"/>
  <c r="AE849" i="1"/>
  <c r="AC850" i="1"/>
  <c r="AE850" i="1"/>
  <c r="AC851" i="1"/>
  <c r="AE851" i="1"/>
  <c r="AC852" i="1"/>
  <c r="AE852" i="1"/>
  <c r="AC853" i="1"/>
  <c r="AE853" i="1"/>
  <c r="AC854" i="1"/>
  <c r="AE854" i="1"/>
  <c r="AC855" i="1"/>
  <c r="AE855" i="1"/>
  <c r="AC856" i="1"/>
  <c r="AE856" i="1"/>
  <c r="AC857" i="1"/>
  <c r="AE857" i="1"/>
  <c r="AC858" i="1"/>
  <c r="AE858" i="1"/>
  <c r="AC859" i="1"/>
  <c r="AE859" i="1"/>
  <c r="AC860" i="1"/>
  <c r="AE860" i="1"/>
  <c r="AC861" i="1"/>
  <c r="AE861" i="1"/>
  <c r="AC862" i="1"/>
  <c r="AE862" i="1"/>
  <c r="AC863" i="1"/>
  <c r="AE863" i="1"/>
  <c r="AC864" i="1"/>
  <c r="AE864" i="1"/>
  <c r="AC865" i="1"/>
  <c r="AE865" i="1"/>
  <c r="AC866" i="1"/>
  <c r="AE866" i="1"/>
  <c r="AC867" i="1"/>
  <c r="AE867" i="1"/>
  <c r="AC868" i="1"/>
  <c r="AE868" i="1"/>
  <c r="AC869" i="1"/>
  <c r="AE869" i="1"/>
  <c r="AC870" i="1"/>
  <c r="AE870" i="1"/>
  <c r="AC871" i="1"/>
  <c r="AE871" i="1"/>
  <c r="AC872" i="1"/>
  <c r="AE872" i="1"/>
  <c r="AC873" i="1"/>
  <c r="AE873" i="1"/>
  <c r="AC874" i="1"/>
  <c r="AE874" i="1"/>
  <c r="AC875" i="1"/>
  <c r="AE875" i="1"/>
  <c r="AC876" i="1"/>
  <c r="AE876" i="1"/>
  <c r="AC877" i="1"/>
  <c r="AE877" i="1"/>
  <c r="AC878" i="1"/>
  <c r="AE878" i="1"/>
  <c r="AC879" i="1"/>
  <c r="AE879" i="1"/>
  <c r="AC880" i="1"/>
  <c r="AE880" i="1"/>
  <c r="AC881" i="1"/>
  <c r="AE881" i="1"/>
  <c r="AC882" i="1"/>
  <c r="AE882" i="1"/>
  <c r="AC883" i="1"/>
  <c r="AE883" i="1"/>
  <c r="AC884" i="1"/>
  <c r="AE884" i="1"/>
  <c r="AC885" i="1"/>
  <c r="AE885" i="1"/>
  <c r="AC886" i="1"/>
  <c r="AE886" i="1"/>
  <c r="AC887" i="1"/>
  <c r="AE887" i="1"/>
  <c r="AC888" i="1"/>
  <c r="AE888" i="1"/>
  <c r="AC889" i="1"/>
  <c r="AE889" i="1"/>
  <c r="AC890" i="1"/>
  <c r="AE890" i="1"/>
  <c r="AC891" i="1"/>
  <c r="AE891" i="1"/>
  <c r="AC892" i="1"/>
  <c r="AE892" i="1"/>
  <c r="AC893" i="1"/>
  <c r="AE893" i="1"/>
  <c r="AC894" i="1"/>
  <c r="AE894" i="1"/>
  <c r="AC895" i="1"/>
  <c r="AE895" i="1"/>
  <c r="AC896" i="1"/>
  <c r="AE896" i="1"/>
  <c r="AC897" i="1"/>
  <c r="AE897" i="1"/>
  <c r="AC898" i="1"/>
  <c r="AE898" i="1"/>
  <c r="AC899" i="1"/>
  <c r="AE899" i="1"/>
  <c r="AC900" i="1"/>
  <c r="AE900" i="1"/>
  <c r="AC901" i="1"/>
  <c r="AE901" i="1"/>
  <c r="AC902" i="1"/>
  <c r="AE902" i="1"/>
  <c r="AC903" i="1"/>
  <c r="AE903" i="1"/>
  <c r="AC904" i="1"/>
  <c r="AE904" i="1"/>
  <c r="AC905" i="1"/>
  <c r="AE905" i="1"/>
  <c r="AC906" i="1"/>
  <c r="AE906" i="1"/>
  <c r="AC907" i="1"/>
  <c r="AE907" i="1"/>
  <c r="AC908" i="1"/>
  <c r="AE908" i="1"/>
  <c r="AC909" i="1"/>
  <c r="AE909" i="1"/>
  <c r="AC910" i="1"/>
  <c r="AE910" i="1"/>
  <c r="AC911" i="1"/>
  <c r="AE911" i="1"/>
  <c r="AC912" i="1"/>
  <c r="AE912" i="1"/>
  <c r="AC913" i="1"/>
  <c r="AE913" i="1"/>
  <c r="AC914" i="1"/>
  <c r="AE914" i="1"/>
  <c r="AC915" i="1"/>
  <c r="AE915" i="1"/>
  <c r="AC916" i="1"/>
  <c r="AE916" i="1"/>
  <c r="AC917" i="1"/>
  <c r="AE917" i="1"/>
  <c r="AC918" i="1"/>
  <c r="AE918" i="1"/>
  <c r="AC919" i="1"/>
  <c r="AE919" i="1"/>
  <c r="AC920" i="1"/>
  <c r="AE920" i="1"/>
  <c r="AC921" i="1"/>
  <c r="AE921" i="1"/>
  <c r="AC922" i="1"/>
  <c r="AE922" i="1"/>
  <c r="AC923" i="1"/>
  <c r="AE923" i="1"/>
  <c r="AC924" i="1"/>
  <c r="AE924" i="1"/>
  <c r="AC925" i="1"/>
  <c r="AE925" i="1"/>
  <c r="AC926" i="1"/>
  <c r="AE926" i="1"/>
  <c r="AC927" i="1"/>
  <c r="AE927" i="1"/>
  <c r="AC928" i="1"/>
  <c r="AE928" i="1"/>
  <c r="AC929" i="1"/>
  <c r="AE929" i="1"/>
  <c r="AC930" i="1"/>
  <c r="AE930" i="1"/>
  <c r="AC931" i="1"/>
  <c r="AE931" i="1"/>
  <c r="AC932" i="1"/>
  <c r="AE932" i="1"/>
  <c r="AC933" i="1"/>
  <c r="AE933" i="1"/>
  <c r="AC934" i="1"/>
  <c r="AE934" i="1"/>
  <c r="AC935" i="1"/>
  <c r="AE935" i="1"/>
  <c r="AC936" i="1"/>
  <c r="AE936" i="1"/>
  <c r="AC937" i="1"/>
  <c r="AE937" i="1"/>
  <c r="AC938" i="1"/>
  <c r="AE938" i="1"/>
  <c r="AC939" i="1"/>
  <c r="AE939" i="1"/>
  <c r="Q14" i="7"/>
  <c r="P14" i="7"/>
  <c r="Q13" i="7"/>
  <c r="P13" i="7"/>
  <c r="Q12" i="7"/>
  <c r="P12" i="7"/>
  <c r="Q11" i="7"/>
  <c r="P11" i="7"/>
  <c r="Q10" i="7"/>
  <c r="P10" i="7"/>
  <c r="Q9" i="7"/>
  <c r="P9" i="7"/>
  <c r="Q8" i="7"/>
  <c r="P8" i="7"/>
  <c r="Q7" i="7"/>
  <c r="P7" i="7"/>
  <c r="Q6" i="7"/>
  <c r="P6" i="7"/>
  <c r="Q5" i="7"/>
  <c r="P5" i="7"/>
  <c r="Q4" i="7"/>
  <c r="P4" i="7"/>
  <c r="Q3" i="7"/>
  <c r="P3" i="7"/>
  <c r="Q2" i="7"/>
  <c r="P2" i="7"/>
  <c r="R14" i="7"/>
  <c r="O14" i="7"/>
  <c r="N14" i="7"/>
  <c r="R13" i="7"/>
  <c r="O13" i="7"/>
  <c r="N13" i="7"/>
  <c r="R12" i="7"/>
  <c r="O12" i="7"/>
  <c r="N12" i="7"/>
  <c r="R11" i="7"/>
  <c r="O11" i="7"/>
  <c r="N11" i="7"/>
  <c r="R10" i="7"/>
  <c r="O10" i="7"/>
  <c r="N10" i="7"/>
  <c r="R9" i="7"/>
  <c r="O9" i="7"/>
  <c r="N9" i="7"/>
  <c r="R8" i="7"/>
  <c r="O8" i="7"/>
  <c r="N8" i="7"/>
  <c r="R7" i="7"/>
  <c r="O7" i="7"/>
  <c r="N7" i="7"/>
  <c r="R6" i="7"/>
  <c r="O6" i="7"/>
  <c r="N6" i="7"/>
  <c r="R5" i="7"/>
  <c r="O5" i="7"/>
  <c r="N5" i="7"/>
  <c r="R4" i="7"/>
  <c r="O4" i="7"/>
  <c r="N4" i="7"/>
  <c r="R3" i="7"/>
  <c r="O3" i="7"/>
  <c r="N3" i="7"/>
  <c r="R2" i="7"/>
  <c r="O2" i="7"/>
  <c r="N2" i="7"/>
  <c r="AA939" i="1"/>
  <c r="AA938" i="1"/>
  <c r="AA937" i="1"/>
  <c r="AA936" i="1"/>
  <c r="AA935" i="1"/>
  <c r="AA934" i="1"/>
  <c r="AA933" i="1"/>
  <c r="AA932" i="1"/>
  <c r="AA931" i="1"/>
  <c r="AA930" i="1"/>
  <c r="AA929" i="1"/>
  <c r="AA928" i="1"/>
  <c r="AA927" i="1"/>
  <c r="AA926" i="1"/>
  <c r="AA925" i="1"/>
  <c r="AA924" i="1"/>
  <c r="AA923" i="1"/>
  <c r="AA922" i="1"/>
  <c r="AA921" i="1"/>
  <c r="AA920" i="1"/>
  <c r="AA919" i="1"/>
  <c r="AA918" i="1"/>
  <c r="AA917" i="1"/>
  <c r="AA916" i="1"/>
  <c r="AA915" i="1"/>
  <c r="AA914" i="1"/>
  <c r="AA913" i="1"/>
  <c r="AA912" i="1"/>
  <c r="AA911" i="1"/>
  <c r="AA910" i="1"/>
  <c r="AA909" i="1"/>
  <c r="AA908" i="1"/>
  <c r="AA907" i="1"/>
  <c r="AA906" i="1"/>
  <c r="AA905" i="1"/>
  <c r="AA904" i="1"/>
  <c r="AA903" i="1"/>
  <c r="AA902" i="1"/>
  <c r="AA901" i="1"/>
  <c r="AA900" i="1"/>
  <c r="AA899" i="1"/>
  <c r="AA898" i="1"/>
  <c r="AA897" i="1"/>
  <c r="AA896" i="1"/>
  <c r="AA895" i="1"/>
  <c r="AA894" i="1"/>
  <c r="AA893" i="1"/>
  <c r="AA892" i="1"/>
  <c r="AA891" i="1"/>
  <c r="AA890" i="1"/>
  <c r="AA889" i="1"/>
  <c r="AA888" i="1"/>
  <c r="AA887" i="1"/>
  <c r="AA886" i="1"/>
  <c r="AA885" i="1"/>
  <c r="AA884" i="1"/>
  <c r="AA883" i="1"/>
  <c r="AA882" i="1"/>
  <c r="AA881" i="1"/>
  <c r="AA880" i="1"/>
  <c r="AA879" i="1"/>
  <c r="AA878" i="1"/>
  <c r="AA877" i="1"/>
  <c r="AA876" i="1"/>
  <c r="AA875" i="1"/>
  <c r="AA874" i="1"/>
  <c r="AA873" i="1"/>
  <c r="AA872" i="1"/>
  <c r="AA871" i="1"/>
  <c r="AA870" i="1"/>
  <c r="AA869" i="1"/>
  <c r="AA868" i="1"/>
  <c r="AA867" i="1"/>
  <c r="AA866" i="1"/>
  <c r="AA865" i="1"/>
  <c r="AA864" i="1"/>
  <c r="AA863" i="1"/>
  <c r="AA862" i="1"/>
  <c r="AA861" i="1"/>
  <c r="AA860" i="1"/>
  <c r="AA859" i="1"/>
  <c r="AA858" i="1"/>
  <c r="AA857" i="1"/>
  <c r="AA856" i="1"/>
  <c r="AA855" i="1"/>
  <c r="AA854" i="1"/>
  <c r="AA853" i="1"/>
  <c r="AA852" i="1"/>
  <c r="AA851" i="1"/>
  <c r="AA850" i="1"/>
  <c r="AA849" i="1"/>
  <c r="AA848" i="1"/>
  <c r="AA847" i="1"/>
  <c r="AA846" i="1"/>
  <c r="AA845" i="1"/>
  <c r="AA844" i="1"/>
  <c r="AA843" i="1"/>
  <c r="AA842" i="1"/>
  <c r="AA841" i="1"/>
  <c r="AA840" i="1"/>
  <c r="AA839" i="1"/>
  <c r="AA838" i="1"/>
  <c r="AA837" i="1"/>
  <c r="AA836" i="1"/>
  <c r="AA835" i="1"/>
  <c r="AA834" i="1"/>
  <c r="AA833" i="1"/>
  <c r="AA832" i="1"/>
  <c r="AA831" i="1"/>
  <c r="AA830" i="1"/>
  <c r="AA829" i="1"/>
  <c r="AA828" i="1"/>
  <c r="AA827" i="1"/>
  <c r="AA826" i="1"/>
  <c r="AA825" i="1"/>
  <c r="AA824" i="1"/>
  <c r="AA823" i="1"/>
  <c r="AA822" i="1"/>
  <c r="AA821" i="1"/>
  <c r="AA820" i="1"/>
  <c r="AA819" i="1"/>
  <c r="AA818" i="1"/>
  <c r="AA817" i="1"/>
  <c r="AA816" i="1"/>
  <c r="AA815" i="1"/>
  <c r="AA814" i="1"/>
  <c r="AA813" i="1"/>
  <c r="AA812" i="1"/>
  <c r="AA811" i="1"/>
  <c r="AA810" i="1"/>
  <c r="AA809" i="1"/>
  <c r="AA808" i="1"/>
  <c r="AA807" i="1"/>
  <c r="AA806" i="1"/>
  <c r="AA805" i="1"/>
  <c r="AA804" i="1"/>
  <c r="AA803" i="1"/>
  <c r="AA802" i="1"/>
  <c r="AA801" i="1"/>
  <c r="AA800" i="1"/>
  <c r="AA799" i="1"/>
  <c r="AA798" i="1"/>
  <c r="AA797" i="1"/>
  <c r="AA796" i="1"/>
  <c r="AA795" i="1"/>
  <c r="AA794" i="1"/>
  <c r="AA793" i="1"/>
  <c r="AA792" i="1"/>
  <c r="AA791" i="1"/>
  <c r="AA790" i="1"/>
  <c r="AA789" i="1"/>
  <c r="AA788" i="1"/>
  <c r="AA787" i="1"/>
  <c r="AA786" i="1"/>
  <c r="AA785" i="1"/>
  <c r="AA784" i="1"/>
  <c r="AA783" i="1"/>
  <c r="AA782" i="1"/>
  <c r="AA781" i="1"/>
  <c r="AA780" i="1"/>
  <c r="AA779" i="1"/>
  <c r="AA778" i="1"/>
  <c r="AA777" i="1"/>
  <c r="AA776" i="1"/>
  <c r="AA775" i="1"/>
  <c r="AA774" i="1"/>
  <c r="AA773" i="1"/>
  <c r="AA772" i="1"/>
  <c r="AA771" i="1"/>
  <c r="AA770" i="1"/>
  <c r="AA769" i="1"/>
  <c r="AA768" i="1"/>
  <c r="AA767" i="1"/>
  <c r="AA765" i="1"/>
  <c r="AA764" i="1"/>
  <c r="AA763" i="1"/>
  <c r="AA762" i="1"/>
  <c r="AA761" i="1"/>
  <c r="AA760" i="1"/>
  <c r="AA759" i="1"/>
  <c r="AA758" i="1"/>
  <c r="AA757" i="1"/>
  <c r="AA756" i="1"/>
  <c r="AA755" i="1"/>
  <c r="AA754" i="1"/>
  <c r="AA753" i="1"/>
  <c r="AA752" i="1"/>
  <c r="AA751" i="1"/>
  <c r="AA750" i="1"/>
  <c r="AA749" i="1"/>
  <c r="AA748" i="1"/>
  <c r="AA747" i="1"/>
  <c r="AA746" i="1"/>
  <c r="AA745" i="1"/>
  <c r="AA744" i="1"/>
  <c r="AA743" i="1"/>
  <c r="AA742" i="1"/>
  <c r="AA741" i="1"/>
  <c r="AA740" i="1"/>
  <c r="AA739" i="1"/>
  <c r="AA738" i="1"/>
  <c r="AA737" i="1"/>
  <c r="AA736" i="1"/>
  <c r="AA735" i="1"/>
  <c r="AA734" i="1"/>
  <c r="AA733" i="1"/>
  <c r="AA732" i="1"/>
  <c r="AA731" i="1"/>
  <c r="AA730" i="1"/>
  <c r="AA729" i="1"/>
  <c r="AA728" i="1"/>
  <c r="AA727" i="1"/>
  <c r="AA726" i="1"/>
  <c r="AA725" i="1"/>
  <c r="AA724" i="1"/>
  <c r="AA723" i="1"/>
  <c r="AA722" i="1"/>
  <c r="AA721" i="1"/>
  <c r="AA720" i="1"/>
  <c r="AA719" i="1"/>
  <c r="AA718" i="1"/>
  <c r="AA717" i="1"/>
  <c r="AA716" i="1"/>
  <c r="AA715" i="1"/>
  <c r="AA714" i="1"/>
  <c r="AA713" i="1"/>
  <c r="AA712" i="1"/>
  <c r="AA711" i="1"/>
  <c r="AA710" i="1"/>
  <c r="AA709" i="1"/>
  <c r="AA708" i="1"/>
  <c r="AA707" i="1"/>
  <c r="AA706" i="1"/>
  <c r="AA705" i="1"/>
  <c r="AA704" i="1"/>
  <c r="AA703" i="1"/>
  <c r="AA702" i="1"/>
  <c r="AA701" i="1"/>
  <c r="AA700" i="1"/>
  <c r="AA699" i="1"/>
  <c r="AA698" i="1"/>
  <c r="AA697" i="1"/>
  <c r="AA696" i="1"/>
  <c r="AA695" i="1"/>
  <c r="AA694" i="1"/>
  <c r="AA693" i="1"/>
  <c r="AA692" i="1"/>
  <c r="AA691" i="1"/>
  <c r="AA690" i="1"/>
  <c r="AA689" i="1"/>
  <c r="AA688" i="1"/>
  <c r="AA687" i="1"/>
  <c r="AA686" i="1"/>
  <c r="AA685" i="1"/>
  <c r="AA684" i="1"/>
  <c r="AA683" i="1"/>
  <c r="AA682" i="1"/>
  <c r="AA681" i="1"/>
  <c r="AA680" i="1"/>
  <c r="AA679" i="1"/>
  <c r="AA678" i="1"/>
  <c r="AA677" i="1"/>
  <c r="AA676" i="1"/>
  <c r="AA675" i="1"/>
  <c r="AA674" i="1"/>
  <c r="AA673" i="1"/>
  <c r="AA672" i="1"/>
  <c r="AA671" i="1"/>
  <c r="AA670" i="1"/>
  <c r="AA669" i="1"/>
  <c r="AA668" i="1"/>
  <c r="AA667" i="1"/>
  <c r="AA666" i="1"/>
  <c r="AA665" i="1"/>
  <c r="AA664" i="1"/>
  <c r="AA663" i="1"/>
  <c r="AA662" i="1"/>
  <c r="AA661" i="1"/>
  <c r="AA660" i="1"/>
  <c r="AA659" i="1"/>
  <c r="AA658" i="1"/>
  <c r="AA657" i="1"/>
  <c r="AA656" i="1"/>
  <c r="AA655" i="1"/>
  <c r="AA654" i="1"/>
  <c r="AA653" i="1"/>
  <c r="AA652" i="1"/>
  <c r="AA651" i="1"/>
  <c r="AA650" i="1"/>
  <c r="AA649" i="1"/>
  <c r="AA648" i="1"/>
  <c r="AA647" i="1"/>
  <c r="AA646" i="1"/>
  <c r="AA645" i="1"/>
  <c r="AA644" i="1"/>
  <c r="AA643" i="1"/>
  <c r="AA642" i="1"/>
  <c r="AA641" i="1"/>
  <c r="AA640" i="1"/>
  <c r="AA639" i="1"/>
  <c r="AA638" i="1"/>
  <c r="AA637" i="1"/>
  <c r="AA636" i="1"/>
  <c r="AA635" i="1"/>
  <c r="AA634" i="1"/>
  <c r="AA633" i="1"/>
  <c r="AA632" i="1"/>
  <c r="AA631" i="1"/>
  <c r="AA630" i="1"/>
  <c r="AA629" i="1"/>
  <c r="AA628" i="1"/>
  <c r="AA627" i="1"/>
  <c r="AA626" i="1"/>
  <c r="AA625" i="1"/>
  <c r="AA624" i="1"/>
  <c r="AA622" i="1"/>
  <c r="AA621" i="1"/>
  <c r="AA620" i="1"/>
  <c r="AA619" i="1"/>
  <c r="AA618" i="1"/>
  <c r="AA617" i="1"/>
  <c r="AA616" i="1"/>
  <c r="AA615" i="1"/>
  <c r="AA614" i="1"/>
  <c r="AA613" i="1"/>
  <c r="AA612" i="1"/>
  <c r="AA611" i="1"/>
  <c r="AA610" i="1"/>
  <c r="AA609" i="1"/>
  <c r="AA608" i="1"/>
  <c r="AA607" i="1"/>
  <c r="AA606" i="1"/>
  <c r="AA605" i="1"/>
  <c r="AA604" i="1"/>
  <c r="AA603" i="1"/>
  <c r="AA602" i="1"/>
  <c r="AA601" i="1"/>
  <c r="AA600" i="1"/>
  <c r="AA599" i="1"/>
  <c r="AA598" i="1"/>
  <c r="AA597" i="1"/>
  <c r="AA596" i="1"/>
  <c r="AA595" i="1"/>
  <c r="AA594" i="1"/>
  <c r="AA593" i="1"/>
  <c r="AA592" i="1"/>
  <c r="AA591" i="1"/>
  <c r="AA590" i="1"/>
  <c r="AA589" i="1"/>
  <c r="AA588" i="1"/>
  <c r="AA587" i="1"/>
  <c r="AA586" i="1"/>
  <c r="AA585" i="1"/>
  <c r="AA584" i="1"/>
  <c r="AA583" i="1"/>
  <c r="AA582" i="1"/>
  <c r="AA581" i="1"/>
  <c r="AA580" i="1"/>
  <c r="AA579" i="1"/>
  <c r="AA578" i="1"/>
  <c r="AA577" i="1"/>
  <c r="AA576" i="1"/>
  <c r="AA575" i="1"/>
  <c r="AA574" i="1"/>
  <c r="AA573" i="1"/>
  <c r="AA572" i="1"/>
  <c r="AA571" i="1"/>
  <c r="AA570" i="1"/>
  <c r="AA569" i="1"/>
  <c r="AA568" i="1"/>
  <c r="AA567" i="1"/>
  <c r="AA566" i="1"/>
  <c r="AA565" i="1"/>
  <c r="AA564" i="1"/>
  <c r="AA563" i="1"/>
  <c r="AA562" i="1"/>
  <c r="AA561" i="1"/>
  <c r="AA560" i="1"/>
  <c r="AA559" i="1"/>
  <c r="AA558" i="1"/>
  <c r="AA557" i="1"/>
  <c r="AA556" i="1"/>
  <c r="AA555" i="1"/>
  <c r="AA554" i="1"/>
  <c r="AA553" i="1"/>
  <c r="AA552" i="1"/>
  <c r="AA551" i="1"/>
  <c r="AA550" i="1"/>
  <c r="AA549" i="1"/>
  <c r="AA548" i="1"/>
  <c r="AA547" i="1"/>
  <c r="AA546" i="1"/>
  <c r="AA545" i="1"/>
  <c r="AA544" i="1"/>
  <c r="AA543" i="1"/>
  <c r="AA542" i="1"/>
  <c r="AA541" i="1"/>
  <c r="AA540" i="1"/>
  <c r="AA539" i="1"/>
  <c r="AA538" i="1"/>
  <c r="AA537" i="1"/>
  <c r="AA536" i="1"/>
  <c r="AA535" i="1"/>
  <c r="AA534" i="1"/>
  <c r="AA533" i="1"/>
  <c r="AA532" i="1"/>
  <c r="AA531" i="1"/>
  <c r="AA530" i="1"/>
  <c r="AA529" i="1"/>
  <c r="AA528" i="1"/>
  <c r="AA527" i="1"/>
  <c r="AA526" i="1"/>
  <c r="AA525" i="1"/>
  <c r="AA524" i="1"/>
  <c r="AA523" i="1"/>
  <c r="AA522" i="1"/>
  <c r="AA521" i="1"/>
  <c r="AA520" i="1"/>
  <c r="AA519" i="1"/>
  <c r="AA518" i="1"/>
  <c r="AA517" i="1"/>
  <c r="AA516" i="1"/>
  <c r="AA515" i="1"/>
  <c r="AA514" i="1"/>
  <c r="AA513" i="1"/>
  <c r="AA512" i="1"/>
  <c r="AA511" i="1"/>
  <c r="AA510" i="1"/>
  <c r="AA509" i="1"/>
  <c r="AA508" i="1"/>
  <c r="AA507" i="1"/>
  <c r="AA506" i="1"/>
  <c r="AA505" i="1"/>
  <c r="AA504" i="1"/>
  <c r="AA503" i="1"/>
  <c r="AA502" i="1"/>
  <c r="AA501" i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A439" i="1"/>
  <c r="AA438" i="1"/>
  <c r="AA437" i="1"/>
  <c r="AA436" i="1"/>
  <c r="AA435" i="1"/>
  <c r="AA434" i="1"/>
  <c r="AA433" i="1"/>
  <c r="AA432" i="1"/>
  <c r="AA431" i="1"/>
  <c r="AA430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A411" i="1"/>
  <c r="AA410" i="1"/>
  <c r="AA409" i="1"/>
  <c r="AA408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4" i="1"/>
  <c r="AA3" i="1"/>
  <c r="AA2" i="1"/>
  <c r="W26" i="1"/>
  <c r="W939" i="1"/>
  <c r="V939" i="1"/>
  <c r="W283" i="1"/>
  <c r="V283" i="1"/>
  <c r="W938" i="1"/>
  <c r="W937" i="1"/>
  <c r="W936" i="1"/>
  <c r="W935" i="1"/>
  <c r="W934" i="1"/>
  <c r="W933" i="1"/>
  <c r="W932" i="1"/>
  <c r="W931" i="1"/>
  <c r="W930" i="1"/>
  <c r="W929" i="1"/>
  <c r="W928" i="1"/>
  <c r="W926" i="1"/>
  <c r="W918" i="1"/>
  <c r="W917" i="1"/>
  <c r="W916" i="1"/>
  <c r="W915" i="1"/>
  <c r="W914" i="1"/>
  <c r="W913" i="1"/>
  <c r="W912" i="1"/>
  <c r="W911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3" i="1"/>
  <c r="W882" i="1"/>
  <c r="W881" i="1"/>
  <c r="W880" i="1"/>
  <c r="W879" i="1"/>
  <c r="W878" i="1"/>
  <c r="W877" i="1"/>
  <c r="W876" i="1"/>
  <c r="W873" i="1"/>
  <c r="W872" i="1"/>
  <c r="W871" i="1"/>
  <c r="W870" i="1"/>
  <c r="W869" i="1"/>
  <c r="W860" i="1"/>
  <c r="W859" i="1"/>
  <c r="W858" i="1"/>
  <c r="W857" i="1"/>
  <c r="W856" i="1"/>
  <c r="W855" i="1"/>
  <c r="W854" i="1"/>
  <c r="W853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24" i="1"/>
  <c r="W823" i="1"/>
  <c r="W822" i="1"/>
  <c r="W821" i="1"/>
  <c r="W820" i="1"/>
  <c r="W819" i="1"/>
  <c r="W818" i="1"/>
  <c r="W817" i="1"/>
  <c r="W814" i="1"/>
  <c r="W813" i="1"/>
  <c r="W812" i="1"/>
  <c r="W811" i="1"/>
  <c r="W810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1" i="1"/>
  <c r="W780" i="1"/>
  <c r="W779" i="1"/>
  <c r="W778" i="1"/>
  <c r="W777" i="1"/>
  <c r="W776" i="1"/>
  <c r="W775" i="1"/>
  <c r="W774" i="1"/>
  <c r="W771" i="1"/>
  <c r="W770" i="1"/>
  <c r="W769" i="1"/>
  <c r="W768" i="1"/>
  <c r="W767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0" i="1"/>
  <c r="W719" i="1"/>
  <c r="W718" i="1"/>
  <c r="W717" i="1"/>
  <c r="W716" i="1"/>
  <c r="W715" i="1"/>
  <c r="W714" i="1"/>
  <c r="W713" i="1"/>
  <c r="W710" i="1"/>
  <c r="W709" i="1"/>
  <c r="W708" i="1"/>
  <c r="W707" i="1"/>
  <c r="W706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59" i="1"/>
  <c r="W658" i="1"/>
  <c r="W657" i="1"/>
  <c r="W656" i="1"/>
  <c r="W655" i="1"/>
  <c r="W654" i="1"/>
  <c r="W653" i="1"/>
  <c r="W652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2" i="1"/>
  <c r="W631" i="1"/>
  <c r="W630" i="1"/>
  <c r="W629" i="1"/>
  <c r="W628" i="1"/>
  <c r="W627" i="1"/>
  <c r="W626" i="1"/>
  <c r="W625" i="1"/>
  <c r="W624" i="1"/>
  <c r="W623" i="1"/>
  <c r="W620" i="1"/>
  <c r="W619" i="1"/>
  <c r="W618" i="1"/>
  <c r="W617" i="1"/>
  <c r="W616" i="1"/>
  <c r="W615" i="1"/>
  <c r="W612" i="1"/>
  <c r="W611" i="1"/>
  <c r="W610" i="1"/>
  <c r="W609" i="1"/>
  <c r="W608" i="1"/>
  <c r="W607" i="1"/>
  <c r="W605" i="1"/>
  <c r="W601" i="1"/>
  <c r="W600" i="1"/>
  <c r="W599" i="1"/>
  <c r="W598" i="1"/>
  <c r="W597" i="1"/>
  <c r="W596" i="1"/>
  <c r="W595" i="1"/>
  <c r="W594" i="1"/>
  <c r="W593" i="1"/>
  <c r="W590" i="1"/>
  <c r="W589" i="1"/>
  <c r="W588" i="1"/>
  <c r="W587" i="1"/>
  <c r="W586" i="1"/>
  <c r="W585" i="1"/>
  <c r="W582" i="1"/>
  <c r="W581" i="1"/>
  <c r="W580" i="1"/>
  <c r="W579" i="1"/>
  <c r="W578" i="1"/>
  <c r="W577" i="1"/>
  <c r="W572" i="1"/>
  <c r="W571" i="1"/>
  <c r="W570" i="1"/>
  <c r="W569" i="1"/>
  <c r="W568" i="1"/>
  <c r="W567" i="1"/>
  <c r="W566" i="1"/>
  <c r="W565" i="1"/>
  <c r="W561" i="1"/>
  <c r="W560" i="1"/>
  <c r="W559" i="1"/>
  <c r="W558" i="1"/>
  <c r="W557" i="1"/>
  <c r="W556" i="1"/>
  <c r="W553" i="1"/>
  <c r="W552" i="1"/>
  <c r="W551" i="1"/>
  <c r="W550" i="1"/>
  <c r="W549" i="1"/>
  <c r="W548" i="1"/>
  <c r="W547" i="1"/>
  <c r="W542" i="1"/>
  <c r="W541" i="1"/>
  <c r="W540" i="1"/>
  <c r="W539" i="1"/>
  <c r="W538" i="1"/>
  <c r="W537" i="1"/>
  <c r="W536" i="1"/>
  <c r="W535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7" i="1"/>
  <c r="W516" i="1"/>
  <c r="W515" i="1"/>
  <c r="W514" i="1"/>
  <c r="W513" i="1"/>
  <c r="W512" i="1"/>
  <c r="W509" i="1"/>
  <c r="W508" i="1"/>
  <c r="W507" i="1"/>
  <c r="W506" i="1"/>
  <c r="W505" i="1"/>
  <c r="W504" i="1"/>
  <c r="W499" i="1"/>
  <c r="W498" i="1"/>
  <c r="W497" i="1"/>
  <c r="W496" i="1"/>
  <c r="W495" i="1"/>
  <c r="W494" i="1"/>
  <c r="W493" i="1"/>
  <c r="W492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4" i="1"/>
  <c r="W473" i="1"/>
  <c r="W472" i="1"/>
  <c r="W471" i="1"/>
  <c r="W470" i="1"/>
  <c r="W469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48" i="1"/>
  <c r="W447" i="1"/>
  <c r="W446" i="1"/>
  <c r="W445" i="1"/>
  <c r="W444" i="1"/>
  <c r="W440" i="1"/>
  <c r="W439" i="1"/>
  <c r="W438" i="1"/>
  <c r="W437" i="1"/>
  <c r="W436" i="1"/>
  <c r="W433" i="1"/>
  <c r="W432" i="1"/>
  <c r="W431" i="1"/>
  <c r="W430" i="1"/>
  <c r="W425" i="1"/>
  <c r="W424" i="1"/>
  <c r="W423" i="1"/>
  <c r="W422" i="1"/>
  <c r="W418" i="1"/>
  <c r="W417" i="1"/>
  <c r="W416" i="1"/>
  <c r="W415" i="1"/>
  <c r="W412" i="1"/>
  <c r="W411" i="1"/>
  <c r="W410" i="1"/>
  <c r="W409" i="1"/>
  <c r="W408" i="1"/>
  <c r="W403" i="1"/>
  <c r="W402" i="1"/>
  <c r="W401" i="1"/>
  <c r="W400" i="1"/>
  <c r="W396" i="1"/>
  <c r="W395" i="1"/>
  <c r="W394" i="1"/>
  <c r="W393" i="1"/>
  <c r="W392" i="1"/>
  <c r="W391" i="1"/>
  <c r="W390" i="1"/>
  <c r="W389" i="1"/>
  <c r="W388" i="1"/>
  <c r="W385" i="1"/>
  <c r="W384" i="1"/>
  <c r="W383" i="1"/>
  <c r="W382" i="1"/>
  <c r="W381" i="1"/>
  <c r="W378" i="1"/>
  <c r="W377" i="1"/>
  <c r="W376" i="1"/>
  <c r="W375" i="1"/>
  <c r="W374" i="1"/>
  <c r="W373" i="1"/>
  <c r="W368" i="1"/>
  <c r="W367" i="1"/>
  <c r="W366" i="1"/>
  <c r="W365" i="1"/>
  <c r="W361" i="1"/>
  <c r="W360" i="1"/>
  <c r="W359" i="1"/>
  <c r="W358" i="1"/>
  <c r="W357" i="1"/>
  <c r="W356" i="1"/>
  <c r="W355" i="1"/>
  <c r="W354" i="1"/>
  <c r="W353" i="1"/>
  <c r="W350" i="1"/>
  <c r="W349" i="1"/>
  <c r="W348" i="1"/>
  <c r="W347" i="1"/>
  <c r="W344" i="1"/>
  <c r="W343" i="1"/>
  <c r="W342" i="1"/>
  <c r="W341" i="1"/>
  <c r="W340" i="1"/>
  <c r="W335" i="1"/>
  <c r="W334" i="1"/>
  <c r="W333" i="1"/>
  <c r="W332" i="1"/>
  <c r="W328" i="1"/>
  <c r="W327" i="1"/>
  <c r="W326" i="1"/>
  <c r="W325" i="1"/>
  <c r="W324" i="1"/>
  <c r="W323" i="1"/>
  <c r="W322" i="1"/>
  <c r="W321" i="1"/>
  <c r="W320" i="1"/>
  <c r="W317" i="1"/>
  <c r="W316" i="1"/>
  <c r="W315" i="1"/>
  <c r="W314" i="1"/>
  <c r="W313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2" i="1"/>
  <c r="W291" i="1"/>
  <c r="W290" i="1"/>
  <c r="W289" i="1"/>
  <c r="W288" i="1"/>
  <c r="W287" i="1"/>
  <c r="W286" i="1"/>
  <c r="W280" i="1"/>
  <c r="W281" i="1"/>
  <c r="V281" i="1"/>
  <c r="W282" i="1"/>
  <c r="V282" i="1"/>
  <c r="V280" i="1"/>
  <c r="W273" i="1"/>
  <c r="V273" i="1"/>
  <c r="W274" i="1"/>
  <c r="V274" i="1"/>
  <c r="W275" i="1"/>
  <c r="V275" i="1"/>
  <c r="W276" i="1"/>
  <c r="V276" i="1"/>
  <c r="W277" i="1"/>
  <c r="V277" i="1"/>
  <c r="W272" i="1"/>
  <c r="V272" i="1"/>
  <c r="W263" i="1"/>
  <c r="V263" i="1"/>
  <c r="W264" i="1"/>
  <c r="V264" i="1"/>
  <c r="W265" i="1"/>
  <c r="V265" i="1"/>
  <c r="W266" i="1"/>
  <c r="V266" i="1"/>
  <c r="W267" i="1"/>
  <c r="V267" i="1"/>
  <c r="W262" i="1"/>
  <c r="V262" i="1"/>
  <c r="W257" i="1"/>
  <c r="V257" i="1"/>
  <c r="W258" i="1"/>
  <c r="V258" i="1"/>
  <c r="W259" i="1"/>
  <c r="V259" i="1"/>
  <c r="W256" i="1"/>
  <c r="V256" i="1"/>
  <c r="W250" i="1"/>
  <c r="V250" i="1"/>
  <c r="W251" i="1"/>
  <c r="V251" i="1"/>
  <c r="W252" i="1"/>
  <c r="V252" i="1"/>
  <c r="W253" i="1"/>
  <c r="V253" i="1"/>
  <c r="W249" i="1"/>
  <c r="V249" i="1"/>
  <c r="W241" i="1"/>
  <c r="V241" i="1"/>
  <c r="W242" i="1"/>
  <c r="V242" i="1"/>
  <c r="W243" i="1"/>
  <c r="V243" i="1"/>
  <c r="W244" i="1"/>
  <c r="V244" i="1"/>
  <c r="W240" i="1"/>
  <c r="V240" i="1"/>
  <c r="W229" i="1"/>
  <c r="V229" i="1"/>
  <c r="W230" i="1"/>
  <c r="V230" i="1"/>
  <c r="W231" i="1"/>
  <c r="V231" i="1"/>
  <c r="W232" i="1"/>
  <c r="V232" i="1"/>
  <c r="W233" i="1"/>
  <c r="V233" i="1"/>
  <c r="W234" i="1"/>
  <c r="V234" i="1"/>
  <c r="W235" i="1"/>
  <c r="V235" i="1"/>
  <c r="W236" i="1"/>
  <c r="V236" i="1"/>
  <c r="W228" i="1"/>
  <c r="V228" i="1"/>
  <c r="W222" i="1"/>
  <c r="V222" i="1"/>
  <c r="W223" i="1"/>
  <c r="V223" i="1"/>
  <c r="W224" i="1"/>
  <c r="V224" i="1"/>
  <c r="W225" i="1"/>
  <c r="V225" i="1"/>
  <c r="W221" i="1"/>
  <c r="V221" i="1"/>
  <c r="W216" i="1"/>
  <c r="V216" i="1"/>
  <c r="W217" i="1"/>
  <c r="V217" i="1"/>
  <c r="W218" i="1"/>
  <c r="V218" i="1"/>
  <c r="W215" i="1"/>
  <c r="V215" i="1"/>
  <c r="W213" i="1"/>
  <c r="V213" i="1"/>
  <c r="W206" i="1"/>
  <c r="V206" i="1"/>
  <c r="W207" i="1"/>
  <c r="V207" i="1"/>
  <c r="W208" i="1"/>
  <c r="V208" i="1"/>
  <c r="W209" i="1"/>
  <c r="V209" i="1"/>
  <c r="W205" i="1"/>
  <c r="V205" i="1"/>
  <c r="W194" i="1"/>
  <c r="V194" i="1"/>
  <c r="W195" i="1"/>
  <c r="V195" i="1"/>
  <c r="W196" i="1"/>
  <c r="V196" i="1"/>
  <c r="W197" i="1"/>
  <c r="V197" i="1"/>
  <c r="W198" i="1"/>
  <c r="V198" i="1"/>
  <c r="W199" i="1"/>
  <c r="V199" i="1"/>
  <c r="W200" i="1"/>
  <c r="V200" i="1"/>
  <c r="W201" i="1"/>
  <c r="V201" i="1"/>
  <c r="W193" i="1"/>
  <c r="V193" i="1"/>
  <c r="W188" i="1"/>
  <c r="V188" i="1"/>
  <c r="W189" i="1"/>
  <c r="V189" i="1"/>
  <c r="W190" i="1"/>
  <c r="V190" i="1"/>
  <c r="W187" i="1"/>
  <c r="V187" i="1"/>
  <c r="W180" i="1"/>
  <c r="V180" i="1"/>
  <c r="W181" i="1"/>
  <c r="V181" i="1"/>
  <c r="W182" i="1"/>
  <c r="V182" i="1"/>
  <c r="W183" i="1"/>
  <c r="V183" i="1"/>
  <c r="W184" i="1"/>
  <c r="V184" i="1"/>
  <c r="W179" i="1"/>
  <c r="V179" i="1"/>
  <c r="W171" i="1"/>
  <c r="V171" i="1"/>
  <c r="W172" i="1"/>
  <c r="V172" i="1"/>
  <c r="W173" i="1"/>
  <c r="V173" i="1"/>
  <c r="W174" i="1"/>
  <c r="V174" i="1"/>
  <c r="W170" i="1"/>
  <c r="V170" i="1"/>
  <c r="W159" i="1"/>
  <c r="V159" i="1"/>
  <c r="W160" i="1"/>
  <c r="V160" i="1"/>
  <c r="W161" i="1"/>
  <c r="V161" i="1"/>
  <c r="W162" i="1"/>
  <c r="V162" i="1"/>
  <c r="W163" i="1"/>
  <c r="V163" i="1"/>
  <c r="W164" i="1"/>
  <c r="V164" i="1"/>
  <c r="W165" i="1"/>
  <c r="V165" i="1"/>
  <c r="W166" i="1"/>
  <c r="V166" i="1"/>
  <c r="W158" i="1"/>
  <c r="V158" i="1"/>
  <c r="W155" i="1"/>
  <c r="V155" i="1"/>
  <c r="W154" i="1"/>
  <c r="V154" i="1"/>
  <c r="W153" i="1"/>
  <c r="V153" i="1"/>
  <c r="W152" i="1"/>
  <c r="V152" i="1"/>
  <c r="W151" i="1"/>
  <c r="V151" i="1"/>
  <c r="W137" i="1"/>
  <c r="V137" i="1"/>
  <c r="W138" i="1"/>
  <c r="V138" i="1"/>
  <c r="W139" i="1"/>
  <c r="V139" i="1"/>
  <c r="W140" i="1"/>
  <c r="V140" i="1"/>
  <c r="W141" i="1"/>
  <c r="V141" i="1"/>
  <c r="W142" i="1"/>
  <c r="V142" i="1"/>
  <c r="W143" i="1"/>
  <c r="V143" i="1"/>
  <c r="W144" i="1"/>
  <c r="V144" i="1"/>
  <c r="W145" i="1"/>
  <c r="V145" i="1"/>
  <c r="W146" i="1"/>
  <c r="V146" i="1"/>
  <c r="W147" i="1"/>
  <c r="V147" i="1"/>
  <c r="W148" i="1"/>
  <c r="V148" i="1"/>
  <c r="W136" i="1"/>
  <c r="V136" i="1"/>
  <c r="W128" i="1"/>
  <c r="V128" i="1"/>
  <c r="W129" i="1"/>
  <c r="V129" i="1"/>
  <c r="W130" i="1"/>
  <c r="V130" i="1"/>
  <c r="W131" i="1"/>
  <c r="V131" i="1"/>
  <c r="W132" i="1"/>
  <c r="V132" i="1"/>
  <c r="W127" i="1"/>
  <c r="V127" i="1"/>
  <c r="W123" i="1"/>
  <c r="V123" i="1"/>
  <c r="W124" i="1"/>
  <c r="V124" i="1"/>
  <c r="W122" i="1"/>
  <c r="V122" i="1"/>
  <c r="W117" i="1"/>
  <c r="V117" i="1"/>
  <c r="W118" i="1"/>
  <c r="V118" i="1"/>
  <c r="W119" i="1"/>
  <c r="V119" i="1"/>
  <c r="W116" i="1"/>
  <c r="V116" i="1"/>
  <c r="W105" i="1"/>
  <c r="V105" i="1"/>
  <c r="W106" i="1"/>
  <c r="V106" i="1"/>
  <c r="W107" i="1"/>
  <c r="V107" i="1"/>
  <c r="W108" i="1"/>
  <c r="V108" i="1"/>
  <c r="W109" i="1"/>
  <c r="V109" i="1"/>
  <c r="W110" i="1"/>
  <c r="V110" i="1"/>
  <c r="W104" i="1"/>
  <c r="V104" i="1"/>
  <c r="W99" i="1"/>
  <c r="V99" i="1"/>
  <c r="W100" i="1"/>
  <c r="V100" i="1"/>
  <c r="W101" i="1"/>
  <c r="V101" i="1"/>
  <c r="W98" i="1"/>
  <c r="V98" i="1"/>
  <c r="W94" i="1"/>
  <c r="V94" i="1"/>
  <c r="W95" i="1"/>
  <c r="V95" i="1"/>
  <c r="W93" i="1"/>
  <c r="V93" i="1"/>
  <c r="W85" i="1"/>
  <c r="V85" i="1"/>
  <c r="W86" i="1"/>
  <c r="V86" i="1"/>
  <c r="W87" i="1"/>
  <c r="V87" i="1"/>
  <c r="W88" i="1"/>
  <c r="V88" i="1"/>
  <c r="W84" i="1"/>
  <c r="V84" i="1"/>
  <c r="W75" i="1"/>
  <c r="V75" i="1"/>
  <c r="W76" i="1"/>
  <c r="V76" i="1"/>
  <c r="W77" i="1"/>
  <c r="V77" i="1"/>
  <c r="W78" i="1"/>
  <c r="V78" i="1"/>
  <c r="W79" i="1"/>
  <c r="V79" i="1"/>
  <c r="W80" i="1"/>
  <c r="V80" i="1"/>
  <c r="W74" i="1"/>
  <c r="V74" i="1"/>
  <c r="W70" i="1"/>
  <c r="V70" i="1"/>
  <c r="W71" i="1"/>
  <c r="V71" i="1"/>
  <c r="W69" i="1"/>
  <c r="V69" i="1"/>
  <c r="W63" i="1"/>
  <c r="V63" i="1"/>
  <c r="W64" i="1"/>
  <c r="V64" i="1"/>
  <c r="W65" i="1"/>
  <c r="V65" i="1"/>
  <c r="W66" i="1"/>
  <c r="V66" i="1"/>
  <c r="W62" i="1"/>
  <c r="V62" i="1"/>
  <c r="W54" i="1"/>
  <c r="V54" i="1"/>
  <c r="W55" i="1"/>
  <c r="V55" i="1"/>
  <c r="W56" i="1"/>
  <c r="V56" i="1"/>
  <c r="W57" i="1"/>
  <c r="V57" i="1"/>
  <c r="W53" i="1"/>
  <c r="V53" i="1"/>
  <c r="W44" i="1"/>
  <c r="V44" i="1"/>
  <c r="W45" i="1"/>
  <c r="V45" i="1"/>
  <c r="W46" i="1"/>
  <c r="V46" i="1"/>
  <c r="W47" i="1"/>
  <c r="V47" i="1"/>
  <c r="W48" i="1"/>
  <c r="V48" i="1"/>
  <c r="W49" i="1"/>
  <c r="V49" i="1"/>
  <c r="W43" i="1"/>
  <c r="V43" i="1"/>
  <c r="W38" i="1"/>
  <c r="V38" i="1"/>
  <c r="W39" i="1"/>
  <c r="V39" i="1"/>
  <c r="W40" i="1"/>
  <c r="V40" i="1"/>
  <c r="W37" i="1"/>
  <c r="V37" i="1"/>
  <c r="W32" i="1"/>
  <c r="V32" i="1"/>
  <c r="W33" i="1"/>
  <c r="V33" i="1"/>
  <c r="W34" i="1"/>
  <c r="V34" i="1"/>
  <c r="W31" i="1"/>
  <c r="V31" i="1"/>
  <c r="W24" i="1"/>
  <c r="V24" i="1"/>
  <c r="W25" i="1"/>
  <c r="V25" i="1"/>
  <c r="V26" i="1"/>
  <c r="W27" i="1"/>
  <c r="V27" i="1"/>
  <c r="W23" i="1"/>
  <c r="V23" i="1"/>
  <c r="W14" i="1"/>
  <c r="V14" i="1"/>
  <c r="W15" i="1"/>
  <c r="V15" i="1"/>
  <c r="W16" i="1"/>
  <c r="V16" i="1"/>
  <c r="W17" i="1"/>
  <c r="V17" i="1"/>
  <c r="W18" i="1"/>
  <c r="V18" i="1"/>
  <c r="W19" i="1"/>
  <c r="V19" i="1"/>
  <c r="W13" i="1"/>
  <c r="V13" i="1"/>
  <c r="W9" i="1"/>
  <c r="V9" i="1"/>
  <c r="W10" i="1"/>
  <c r="V10" i="1"/>
  <c r="W8" i="1"/>
  <c r="V8" i="1"/>
  <c r="W3" i="1"/>
  <c r="V3" i="1"/>
  <c r="W4" i="1"/>
  <c r="V4" i="1"/>
  <c r="W5" i="1"/>
  <c r="V5" i="1"/>
  <c r="M3" i="1"/>
  <c r="N3" i="1"/>
  <c r="O3" i="1"/>
  <c r="P3" i="1"/>
  <c r="Q3" i="1"/>
  <c r="M4" i="1"/>
  <c r="N4" i="1"/>
  <c r="O4" i="1"/>
  <c r="P4" i="1"/>
  <c r="Q4" i="1"/>
  <c r="M5" i="1"/>
  <c r="N5" i="1"/>
  <c r="O5" i="1"/>
  <c r="P5" i="1"/>
  <c r="Q5" i="1"/>
  <c r="M6" i="1"/>
  <c r="N6" i="1"/>
  <c r="O6" i="1"/>
  <c r="P6" i="1"/>
  <c r="Q6" i="1"/>
  <c r="M7" i="1"/>
  <c r="N7" i="1"/>
  <c r="O7" i="1"/>
  <c r="P7" i="1"/>
  <c r="Q7" i="1"/>
  <c r="M8" i="1"/>
  <c r="N8" i="1"/>
  <c r="O8" i="1"/>
  <c r="P8" i="1"/>
  <c r="Q8" i="1"/>
  <c r="M9" i="1"/>
  <c r="N9" i="1"/>
  <c r="O9" i="1"/>
  <c r="P9" i="1"/>
  <c r="Q9" i="1"/>
  <c r="M10" i="1"/>
  <c r="N10" i="1"/>
  <c r="O10" i="1"/>
  <c r="P10" i="1"/>
  <c r="Q10" i="1"/>
  <c r="M11" i="1"/>
  <c r="N11" i="1"/>
  <c r="O11" i="1"/>
  <c r="P11" i="1"/>
  <c r="Q11" i="1"/>
  <c r="M12" i="1"/>
  <c r="N12" i="1"/>
  <c r="O12" i="1"/>
  <c r="P12" i="1"/>
  <c r="Q12" i="1"/>
  <c r="M13" i="1"/>
  <c r="N13" i="1"/>
  <c r="O13" i="1"/>
  <c r="P13" i="1"/>
  <c r="Q13" i="1"/>
  <c r="M14" i="1"/>
  <c r="N14" i="1"/>
  <c r="O14" i="1"/>
  <c r="P14" i="1"/>
  <c r="Q14" i="1"/>
  <c r="M15" i="1"/>
  <c r="N15" i="1"/>
  <c r="O15" i="1"/>
  <c r="P15" i="1"/>
  <c r="Q15" i="1"/>
  <c r="M16" i="1"/>
  <c r="N16" i="1"/>
  <c r="O16" i="1"/>
  <c r="P16" i="1"/>
  <c r="Q16" i="1"/>
  <c r="M17" i="1"/>
  <c r="N17" i="1"/>
  <c r="O17" i="1"/>
  <c r="P17" i="1"/>
  <c r="Q17" i="1"/>
  <c r="M18" i="1"/>
  <c r="N18" i="1"/>
  <c r="O18" i="1"/>
  <c r="P18" i="1"/>
  <c r="Q18" i="1"/>
  <c r="M19" i="1"/>
  <c r="N19" i="1"/>
  <c r="O19" i="1"/>
  <c r="P19" i="1"/>
  <c r="Q19" i="1"/>
  <c r="M20" i="1"/>
  <c r="N20" i="1"/>
  <c r="O20" i="1"/>
  <c r="P20" i="1"/>
  <c r="Q20" i="1"/>
  <c r="M21" i="1"/>
  <c r="N21" i="1"/>
  <c r="O21" i="1"/>
  <c r="P21" i="1"/>
  <c r="Q21" i="1"/>
  <c r="M22" i="1"/>
  <c r="N22" i="1"/>
  <c r="O22" i="1"/>
  <c r="P22" i="1"/>
  <c r="Q22" i="1"/>
  <c r="M23" i="1"/>
  <c r="N23" i="1"/>
  <c r="O23" i="1"/>
  <c r="P23" i="1"/>
  <c r="Q23" i="1"/>
  <c r="M24" i="1"/>
  <c r="N24" i="1"/>
  <c r="O24" i="1"/>
  <c r="P24" i="1"/>
  <c r="Q24" i="1"/>
  <c r="M25" i="1"/>
  <c r="N25" i="1"/>
  <c r="O25" i="1"/>
  <c r="P25" i="1"/>
  <c r="Q25" i="1"/>
  <c r="M26" i="1"/>
  <c r="N26" i="1"/>
  <c r="O26" i="1"/>
  <c r="P26" i="1"/>
  <c r="Q26" i="1"/>
  <c r="M27" i="1"/>
  <c r="N27" i="1"/>
  <c r="O27" i="1"/>
  <c r="P27" i="1"/>
  <c r="Q27" i="1"/>
  <c r="M28" i="1"/>
  <c r="N28" i="1"/>
  <c r="O28" i="1"/>
  <c r="P28" i="1"/>
  <c r="Q28" i="1"/>
  <c r="M29" i="1"/>
  <c r="N29" i="1"/>
  <c r="O29" i="1"/>
  <c r="P29" i="1"/>
  <c r="Q29" i="1"/>
  <c r="M30" i="1"/>
  <c r="N30" i="1"/>
  <c r="O30" i="1"/>
  <c r="P30" i="1"/>
  <c r="Q30" i="1"/>
  <c r="M31" i="1"/>
  <c r="N31" i="1"/>
  <c r="O31" i="1"/>
  <c r="P31" i="1"/>
  <c r="Q31" i="1"/>
  <c r="M32" i="1"/>
  <c r="N32" i="1"/>
  <c r="O32" i="1"/>
  <c r="P32" i="1"/>
  <c r="Q32" i="1"/>
  <c r="M33" i="1"/>
  <c r="N33" i="1"/>
  <c r="O33" i="1"/>
  <c r="P33" i="1"/>
  <c r="Q33" i="1"/>
  <c r="M34" i="1"/>
  <c r="N34" i="1"/>
  <c r="O34" i="1"/>
  <c r="P34" i="1"/>
  <c r="Q34" i="1"/>
  <c r="M35" i="1"/>
  <c r="N35" i="1"/>
  <c r="O35" i="1"/>
  <c r="P35" i="1"/>
  <c r="Q35" i="1"/>
  <c r="M36" i="1"/>
  <c r="N36" i="1"/>
  <c r="O36" i="1"/>
  <c r="P36" i="1"/>
  <c r="Q36" i="1"/>
  <c r="M37" i="1"/>
  <c r="N37" i="1"/>
  <c r="O37" i="1"/>
  <c r="P37" i="1"/>
  <c r="Q37" i="1"/>
  <c r="M38" i="1"/>
  <c r="N38" i="1"/>
  <c r="O38" i="1"/>
  <c r="P38" i="1"/>
  <c r="Q38" i="1"/>
  <c r="M39" i="1"/>
  <c r="N39" i="1"/>
  <c r="O39" i="1"/>
  <c r="P39" i="1"/>
  <c r="Q39" i="1"/>
  <c r="M40" i="1"/>
  <c r="N40" i="1"/>
  <c r="O40" i="1"/>
  <c r="P40" i="1"/>
  <c r="Q40" i="1"/>
  <c r="M41" i="1"/>
  <c r="N41" i="1"/>
  <c r="O41" i="1"/>
  <c r="P41" i="1"/>
  <c r="Q41" i="1"/>
  <c r="M42" i="1"/>
  <c r="N42" i="1"/>
  <c r="O42" i="1"/>
  <c r="P42" i="1"/>
  <c r="Q42" i="1"/>
  <c r="M43" i="1"/>
  <c r="N43" i="1"/>
  <c r="O43" i="1"/>
  <c r="P43" i="1"/>
  <c r="Q43" i="1"/>
  <c r="M44" i="1"/>
  <c r="N44" i="1"/>
  <c r="O44" i="1"/>
  <c r="P44" i="1"/>
  <c r="Q44" i="1"/>
  <c r="M45" i="1"/>
  <c r="N45" i="1"/>
  <c r="O45" i="1"/>
  <c r="P45" i="1"/>
  <c r="Q45" i="1"/>
  <c r="M46" i="1"/>
  <c r="N46" i="1"/>
  <c r="O46" i="1"/>
  <c r="P46" i="1"/>
  <c r="Q46" i="1"/>
  <c r="M47" i="1"/>
  <c r="N47" i="1"/>
  <c r="O47" i="1"/>
  <c r="P47" i="1"/>
  <c r="Q47" i="1"/>
  <c r="M48" i="1"/>
  <c r="N48" i="1"/>
  <c r="O48" i="1"/>
  <c r="P48" i="1"/>
  <c r="Q48" i="1"/>
  <c r="M49" i="1"/>
  <c r="N49" i="1"/>
  <c r="O49" i="1"/>
  <c r="P49" i="1"/>
  <c r="Q49" i="1"/>
  <c r="M50" i="1"/>
  <c r="N50" i="1"/>
  <c r="O50" i="1"/>
  <c r="P50" i="1"/>
  <c r="Q50" i="1"/>
  <c r="M51" i="1"/>
  <c r="N51" i="1"/>
  <c r="O51" i="1"/>
  <c r="P51" i="1"/>
  <c r="Q51" i="1"/>
  <c r="M52" i="1"/>
  <c r="N52" i="1"/>
  <c r="O52" i="1"/>
  <c r="P52" i="1"/>
  <c r="Q52" i="1"/>
  <c r="M53" i="1"/>
  <c r="N53" i="1"/>
  <c r="O53" i="1"/>
  <c r="P53" i="1"/>
  <c r="Q53" i="1"/>
  <c r="M54" i="1"/>
  <c r="N54" i="1"/>
  <c r="O54" i="1"/>
  <c r="P54" i="1"/>
  <c r="Q54" i="1"/>
  <c r="M55" i="1"/>
  <c r="N55" i="1"/>
  <c r="O55" i="1"/>
  <c r="P55" i="1"/>
  <c r="Q55" i="1"/>
  <c r="M56" i="1"/>
  <c r="N56" i="1"/>
  <c r="O56" i="1"/>
  <c r="P56" i="1"/>
  <c r="Q56" i="1"/>
  <c r="M57" i="1"/>
  <c r="N57" i="1"/>
  <c r="O57" i="1"/>
  <c r="P57" i="1"/>
  <c r="Q57" i="1"/>
  <c r="M58" i="1"/>
  <c r="N58" i="1"/>
  <c r="O58" i="1"/>
  <c r="P58" i="1"/>
  <c r="Q58" i="1"/>
  <c r="M59" i="1"/>
  <c r="N59" i="1"/>
  <c r="O59" i="1"/>
  <c r="P59" i="1"/>
  <c r="Q59" i="1"/>
  <c r="M60" i="1"/>
  <c r="N60" i="1"/>
  <c r="O60" i="1"/>
  <c r="P60" i="1"/>
  <c r="Q60" i="1"/>
  <c r="M61" i="1"/>
  <c r="N61" i="1"/>
  <c r="O61" i="1"/>
  <c r="P61" i="1"/>
  <c r="Q61" i="1"/>
  <c r="M62" i="1"/>
  <c r="N62" i="1"/>
  <c r="O62" i="1"/>
  <c r="P62" i="1"/>
  <c r="Q62" i="1"/>
  <c r="M63" i="1"/>
  <c r="N63" i="1"/>
  <c r="O63" i="1"/>
  <c r="P63" i="1"/>
  <c r="Q63" i="1"/>
  <c r="M64" i="1"/>
  <c r="N64" i="1"/>
  <c r="O64" i="1"/>
  <c r="P64" i="1"/>
  <c r="Q64" i="1"/>
  <c r="M65" i="1"/>
  <c r="N65" i="1"/>
  <c r="O65" i="1"/>
  <c r="P65" i="1"/>
  <c r="Q65" i="1"/>
  <c r="M66" i="1"/>
  <c r="N66" i="1"/>
  <c r="O66" i="1"/>
  <c r="P66" i="1"/>
  <c r="Q66" i="1"/>
  <c r="M67" i="1"/>
  <c r="N67" i="1"/>
  <c r="O67" i="1"/>
  <c r="P67" i="1"/>
  <c r="Q67" i="1"/>
  <c r="M68" i="1"/>
  <c r="N68" i="1"/>
  <c r="O68" i="1"/>
  <c r="P68" i="1"/>
  <c r="Q68" i="1"/>
  <c r="M69" i="1"/>
  <c r="N69" i="1"/>
  <c r="O69" i="1"/>
  <c r="P69" i="1"/>
  <c r="Q69" i="1"/>
  <c r="M70" i="1"/>
  <c r="N70" i="1"/>
  <c r="O70" i="1"/>
  <c r="P70" i="1"/>
  <c r="Q70" i="1"/>
  <c r="M71" i="1"/>
  <c r="N71" i="1"/>
  <c r="O71" i="1"/>
  <c r="P71" i="1"/>
  <c r="Q71" i="1"/>
  <c r="M72" i="1"/>
  <c r="N72" i="1"/>
  <c r="O72" i="1"/>
  <c r="P72" i="1"/>
  <c r="Q72" i="1"/>
  <c r="M73" i="1"/>
  <c r="N73" i="1"/>
  <c r="O73" i="1"/>
  <c r="P73" i="1"/>
  <c r="Q73" i="1"/>
  <c r="M74" i="1"/>
  <c r="N74" i="1"/>
  <c r="O74" i="1"/>
  <c r="P74" i="1"/>
  <c r="Q74" i="1"/>
  <c r="M75" i="1"/>
  <c r="N75" i="1"/>
  <c r="O75" i="1"/>
  <c r="P75" i="1"/>
  <c r="Q75" i="1"/>
  <c r="M76" i="1"/>
  <c r="N76" i="1"/>
  <c r="O76" i="1"/>
  <c r="P76" i="1"/>
  <c r="Q76" i="1"/>
  <c r="M77" i="1"/>
  <c r="N77" i="1"/>
  <c r="O77" i="1"/>
  <c r="P77" i="1"/>
  <c r="Q77" i="1"/>
  <c r="M78" i="1"/>
  <c r="N78" i="1"/>
  <c r="O78" i="1"/>
  <c r="P78" i="1"/>
  <c r="Q78" i="1"/>
  <c r="M79" i="1"/>
  <c r="N79" i="1"/>
  <c r="O79" i="1"/>
  <c r="P79" i="1"/>
  <c r="Q79" i="1"/>
  <c r="M80" i="1"/>
  <c r="N80" i="1"/>
  <c r="O80" i="1"/>
  <c r="P80" i="1"/>
  <c r="Q80" i="1"/>
  <c r="M81" i="1"/>
  <c r="N81" i="1"/>
  <c r="O81" i="1"/>
  <c r="P81" i="1"/>
  <c r="Q81" i="1"/>
  <c r="M82" i="1"/>
  <c r="N82" i="1"/>
  <c r="O82" i="1"/>
  <c r="P82" i="1"/>
  <c r="Q82" i="1"/>
  <c r="M83" i="1"/>
  <c r="N83" i="1"/>
  <c r="O83" i="1"/>
  <c r="P83" i="1"/>
  <c r="Q83" i="1"/>
  <c r="M84" i="1"/>
  <c r="N84" i="1"/>
  <c r="O84" i="1"/>
  <c r="P84" i="1"/>
  <c r="Q84" i="1"/>
  <c r="M85" i="1"/>
  <c r="N85" i="1"/>
  <c r="O85" i="1"/>
  <c r="P85" i="1"/>
  <c r="Q85" i="1"/>
  <c r="M86" i="1"/>
  <c r="N86" i="1"/>
  <c r="O86" i="1"/>
  <c r="P86" i="1"/>
  <c r="Q86" i="1"/>
  <c r="M87" i="1"/>
  <c r="N87" i="1"/>
  <c r="O87" i="1"/>
  <c r="P87" i="1"/>
  <c r="Q87" i="1"/>
  <c r="M88" i="1"/>
  <c r="N88" i="1"/>
  <c r="O88" i="1"/>
  <c r="P88" i="1"/>
  <c r="Q88" i="1"/>
  <c r="M89" i="1"/>
  <c r="N89" i="1"/>
  <c r="O89" i="1"/>
  <c r="P89" i="1"/>
  <c r="Q89" i="1"/>
  <c r="M90" i="1"/>
  <c r="N90" i="1"/>
  <c r="O90" i="1"/>
  <c r="P90" i="1"/>
  <c r="Q90" i="1"/>
  <c r="M91" i="1"/>
  <c r="N91" i="1"/>
  <c r="O91" i="1"/>
  <c r="P91" i="1"/>
  <c r="Q91" i="1"/>
  <c r="M92" i="1"/>
  <c r="N92" i="1"/>
  <c r="O92" i="1"/>
  <c r="P92" i="1"/>
  <c r="Q92" i="1"/>
  <c r="M93" i="1"/>
  <c r="N93" i="1"/>
  <c r="O93" i="1"/>
  <c r="P93" i="1"/>
  <c r="Q93" i="1"/>
  <c r="M94" i="1"/>
  <c r="N94" i="1"/>
  <c r="O94" i="1"/>
  <c r="P94" i="1"/>
  <c r="Q94" i="1"/>
  <c r="M95" i="1"/>
  <c r="N95" i="1"/>
  <c r="O95" i="1"/>
  <c r="P95" i="1"/>
  <c r="Q95" i="1"/>
  <c r="M96" i="1"/>
  <c r="N96" i="1"/>
  <c r="O96" i="1"/>
  <c r="P96" i="1"/>
  <c r="Q96" i="1"/>
  <c r="M97" i="1"/>
  <c r="N97" i="1"/>
  <c r="O97" i="1"/>
  <c r="P97" i="1"/>
  <c r="Q97" i="1"/>
  <c r="M98" i="1"/>
  <c r="N98" i="1"/>
  <c r="O98" i="1"/>
  <c r="P98" i="1"/>
  <c r="Q98" i="1"/>
  <c r="M99" i="1"/>
  <c r="N99" i="1"/>
  <c r="O99" i="1"/>
  <c r="P99" i="1"/>
  <c r="Q99" i="1"/>
  <c r="M100" i="1"/>
  <c r="N100" i="1"/>
  <c r="O100" i="1"/>
  <c r="P100" i="1"/>
  <c r="Q100" i="1"/>
  <c r="M101" i="1"/>
  <c r="N101" i="1"/>
  <c r="O101" i="1"/>
  <c r="P101" i="1"/>
  <c r="Q101" i="1"/>
  <c r="M102" i="1"/>
  <c r="N102" i="1"/>
  <c r="O102" i="1"/>
  <c r="P102" i="1"/>
  <c r="Q102" i="1"/>
  <c r="M103" i="1"/>
  <c r="N103" i="1"/>
  <c r="O103" i="1"/>
  <c r="P103" i="1"/>
  <c r="Q103" i="1"/>
  <c r="M104" i="1"/>
  <c r="N104" i="1"/>
  <c r="O104" i="1"/>
  <c r="P104" i="1"/>
  <c r="Q104" i="1"/>
  <c r="M105" i="1"/>
  <c r="N105" i="1"/>
  <c r="O105" i="1"/>
  <c r="P105" i="1"/>
  <c r="Q105" i="1"/>
  <c r="M106" i="1"/>
  <c r="N106" i="1"/>
  <c r="O106" i="1"/>
  <c r="P106" i="1"/>
  <c r="Q106" i="1"/>
  <c r="M107" i="1"/>
  <c r="N107" i="1"/>
  <c r="O107" i="1"/>
  <c r="P107" i="1"/>
  <c r="Q107" i="1"/>
  <c r="M108" i="1"/>
  <c r="N108" i="1"/>
  <c r="O108" i="1"/>
  <c r="P108" i="1"/>
  <c r="Q108" i="1"/>
  <c r="M109" i="1"/>
  <c r="N109" i="1"/>
  <c r="O109" i="1"/>
  <c r="P109" i="1"/>
  <c r="Q109" i="1"/>
  <c r="M110" i="1"/>
  <c r="N110" i="1"/>
  <c r="O110" i="1"/>
  <c r="P110" i="1"/>
  <c r="Q110" i="1"/>
  <c r="M111" i="1"/>
  <c r="N111" i="1"/>
  <c r="O111" i="1"/>
  <c r="P111" i="1"/>
  <c r="Q111" i="1"/>
  <c r="M112" i="1"/>
  <c r="N112" i="1"/>
  <c r="O112" i="1"/>
  <c r="P112" i="1"/>
  <c r="Q112" i="1"/>
  <c r="M113" i="1"/>
  <c r="N113" i="1"/>
  <c r="O113" i="1"/>
  <c r="P113" i="1"/>
  <c r="Q113" i="1"/>
  <c r="M114" i="1"/>
  <c r="N114" i="1"/>
  <c r="O114" i="1"/>
  <c r="P114" i="1"/>
  <c r="Q114" i="1"/>
  <c r="M115" i="1"/>
  <c r="N115" i="1"/>
  <c r="O115" i="1"/>
  <c r="P115" i="1"/>
  <c r="Q115" i="1"/>
  <c r="M116" i="1"/>
  <c r="N116" i="1"/>
  <c r="O116" i="1"/>
  <c r="P116" i="1"/>
  <c r="Q116" i="1"/>
  <c r="M117" i="1"/>
  <c r="N117" i="1"/>
  <c r="O117" i="1"/>
  <c r="P117" i="1"/>
  <c r="Q117" i="1"/>
  <c r="M118" i="1"/>
  <c r="N118" i="1"/>
  <c r="O118" i="1"/>
  <c r="P118" i="1"/>
  <c r="Q118" i="1"/>
  <c r="M119" i="1"/>
  <c r="N119" i="1"/>
  <c r="O119" i="1"/>
  <c r="P119" i="1"/>
  <c r="Q119" i="1"/>
  <c r="M120" i="1"/>
  <c r="N120" i="1"/>
  <c r="O120" i="1"/>
  <c r="P120" i="1"/>
  <c r="Q120" i="1"/>
  <c r="M121" i="1"/>
  <c r="N121" i="1"/>
  <c r="O121" i="1"/>
  <c r="P121" i="1"/>
  <c r="Q121" i="1"/>
  <c r="M122" i="1"/>
  <c r="N122" i="1"/>
  <c r="O122" i="1"/>
  <c r="P122" i="1"/>
  <c r="Q122" i="1"/>
  <c r="M123" i="1"/>
  <c r="N123" i="1"/>
  <c r="O123" i="1"/>
  <c r="P123" i="1"/>
  <c r="Q123" i="1"/>
  <c r="M124" i="1"/>
  <c r="N124" i="1"/>
  <c r="O124" i="1"/>
  <c r="P124" i="1"/>
  <c r="Q124" i="1"/>
  <c r="M125" i="1"/>
  <c r="N125" i="1"/>
  <c r="O125" i="1"/>
  <c r="P125" i="1"/>
  <c r="Q125" i="1"/>
  <c r="M126" i="1"/>
  <c r="N126" i="1"/>
  <c r="O126" i="1"/>
  <c r="P126" i="1"/>
  <c r="Q126" i="1"/>
  <c r="M127" i="1"/>
  <c r="N127" i="1"/>
  <c r="O127" i="1"/>
  <c r="P127" i="1"/>
  <c r="Q127" i="1"/>
  <c r="M128" i="1"/>
  <c r="N128" i="1"/>
  <c r="O128" i="1"/>
  <c r="P128" i="1"/>
  <c r="Q128" i="1"/>
  <c r="M129" i="1"/>
  <c r="N129" i="1"/>
  <c r="O129" i="1"/>
  <c r="P129" i="1"/>
  <c r="Q129" i="1"/>
  <c r="M130" i="1"/>
  <c r="N130" i="1"/>
  <c r="O130" i="1"/>
  <c r="P130" i="1"/>
  <c r="Q130" i="1"/>
  <c r="M131" i="1"/>
  <c r="N131" i="1"/>
  <c r="O131" i="1"/>
  <c r="P131" i="1"/>
  <c r="Q131" i="1"/>
  <c r="M132" i="1"/>
  <c r="N132" i="1"/>
  <c r="O132" i="1"/>
  <c r="P132" i="1"/>
  <c r="Q132" i="1"/>
  <c r="M133" i="1"/>
  <c r="N133" i="1"/>
  <c r="O133" i="1"/>
  <c r="P133" i="1"/>
  <c r="Q133" i="1"/>
  <c r="M134" i="1"/>
  <c r="N134" i="1"/>
  <c r="O134" i="1"/>
  <c r="P134" i="1"/>
  <c r="Q134" i="1"/>
  <c r="M135" i="1"/>
  <c r="N135" i="1"/>
  <c r="O135" i="1"/>
  <c r="P135" i="1"/>
  <c r="Q135" i="1"/>
  <c r="M136" i="1"/>
  <c r="N136" i="1"/>
  <c r="O136" i="1"/>
  <c r="P136" i="1"/>
  <c r="Q136" i="1"/>
  <c r="M137" i="1"/>
  <c r="N137" i="1"/>
  <c r="O137" i="1"/>
  <c r="P137" i="1"/>
  <c r="Q137" i="1"/>
  <c r="M138" i="1"/>
  <c r="N138" i="1"/>
  <c r="O138" i="1"/>
  <c r="P138" i="1"/>
  <c r="Q138" i="1"/>
  <c r="M139" i="1"/>
  <c r="N139" i="1"/>
  <c r="O139" i="1"/>
  <c r="P139" i="1"/>
  <c r="Q139" i="1"/>
  <c r="M140" i="1"/>
  <c r="N140" i="1"/>
  <c r="O140" i="1"/>
  <c r="P140" i="1"/>
  <c r="Q140" i="1"/>
  <c r="M141" i="1"/>
  <c r="N141" i="1"/>
  <c r="O141" i="1"/>
  <c r="P141" i="1"/>
  <c r="Q141" i="1"/>
  <c r="M142" i="1"/>
  <c r="N142" i="1"/>
  <c r="O142" i="1"/>
  <c r="P142" i="1"/>
  <c r="Q142" i="1"/>
  <c r="M143" i="1"/>
  <c r="N143" i="1"/>
  <c r="O143" i="1"/>
  <c r="P143" i="1"/>
  <c r="Q143" i="1"/>
  <c r="M144" i="1"/>
  <c r="N144" i="1"/>
  <c r="O144" i="1"/>
  <c r="P144" i="1"/>
  <c r="Q144" i="1"/>
  <c r="M145" i="1"/>
  <c r="N145" i="1"/>
  <c r="O145" i="1"/>
  <c r="P145" i="1"/>
  <c r="Q145" i="1"/>
  <c r="M146" i="1"/>
  <c r="N146" i="1"/>
  <c r="O146" i="1"/>
  <c r="P146" i="1"/>
  <c r="Q146" i="1"/>
  <c r="M147" i="1"/>
  <c r="N147" i="1"/>
  <c r="O147" i="1"/>
  <c r="P147" i="1"/>
  <c r="Q147" i="1"/>
  <c r="M148" i="1"/>
  <c r="N148" i="1"/>
  <c r="O148" i="1"/>
  <c r="P148" i="1"/>
  <c r="Q148" i="1"/>
  <c r="M149" i="1"/>
  <c r="N149" i="1"/>
  <c r="O149" i="1"/>
  <c r="P149" i="1"/>
  <c r="Q149" i="1"/>
  <c r="M150" i="1"/>
  <c r="N150" i="1"/>
  <c r="O150" i="1"/>
  <c r="P150" i="1"/>
  <c r="Q150" i="1"/>
  <c r="M151" i="1"/>
  <c r="N151" i="1"/>
  <c r="O151" i="1"/>
  <c r="P151" i="1"/>
  <c r="Q151" i="1"/>
  <c r="M152" i="1"/>
  <c r="N152" i="1"/>
  <c r="O152" i="1"/>
  <c r="P152" i="1"/>
  <c r="Q152" i="1"/>
  <c r="M153" i="1"/>
  <c r="N153" i="1"/>
  <c r="O153" i="1"/>
  <c r="P153" i="1"/>
  <c r="Q153" i="1"/>
  <c r="M154" i="1"/>
  <c r="N154" i="1"/>
  <c r="O154" i="1"/>
  <c r="P154" i="1"/>
  <c r="Q154" i="1"/>
  <c r="M155" i="1"/>
  <c r="N155" i="1"/>
  <c r="O155" i="1"/>
  <c r="P155" i="1"/>
  <c r="Q155" i="1"/>
  <c r="M156" i="1"/>
  <c r="N156" i="1"/>
  <c r="O156" i="1"/>
  <c r="P156" i="1"/>
  <c r="Q156" i="1"/>
  <c r="M157" i="1"/>
  <c r="N157" i="1"/>
  <c r="O157" i="1"/>
  <c r="P157" i="1"/>
  <c r="Q157" i="1"/>
  <c r="M158" i="1"/>
  <c r="N158" i="1"/>
  <c r="O158" i="1"/>
  <c r="P158" i="1"/>
  <c r="Q158" i="1"/>
  <c r="M159" i="1"/>
  <c r="N159" i="1"/>
  <c r="O159" i="1"/>
  <c r="P159" i="1"/>
  <c r="Q159" i="1"/>
  <c r="M160" i="1"/>
  <c r="N160" i="1"/>
  <c r="O160" i="1"/>
  <c r="P160" i="1"/>
  <c r="Q160" i="1"/>
  <c r="M161" i="1"/>
  <c r="N161" i="1"/>
  <c r="O161" i="1"/>
  <c r="P161" i="1"/>
  <c r="Q161" i="1"/>
  <c r="M162" i="1"/>
  <c r="N162" i="1"/>
  <c r="O162" i="1"/>
  <c r="P162" i="1"/>
  <c r="Q162" i="1"/>
  <c r="M163" i="1"/>
  <c r="N163" i="1"/>
  <c r="O163" i="1"/>
  <c r="P163" i="1"/>
  <c r="Q163" i="1"/>
  <c r="M164" i="1"/>
  <c r="N164" i="1"/>
  <c r="O164" i="1"/>
  <c r="P164" i="1"/>
  <c r="Q164" i="1"/>
  <c r="M165" i="1"/>
  <c r="N165" i="1"/>
  <c r="O165" i="1"/>
  <c r="P165" i="1"/>
  <c r="Q165" i="1"/>
  <c r="M166" i="1"/>
  <c r="N166" i="1"/>
  <c r="O166" i="1"/>
  <c r="P166" i="1"/>
  <c r="Q166" i="1"/>
  <c r="M167" i="1"/>
  <c r="N167" i="1"/>
  <c r="O167" i="1"/>
  <c r="P167" i="1"/>
  <c r="Q167" i="1"/>
  <c r="M168" i="1"/>
  <c r="N168" i="1"/>
  <c r="O168" i="1"/>
  <c r="P168" i="1"/>
  <c r="Q168" i="1"/>
  <c r="M169" i="1"/>
  <c r="N169" i="1"/>
  <c r="O169" i="1"/>
  <c r="P169" i="1"/>
  <c r="Q169" i="1"/>
  <c r="M170" i="1"/>
  <c r="N170" i="1"/>
  <c r="O170" i="1"/>
  <c r="P170" i="1"/>
  <c r="Q170" i="1"/>
  <c r="M171" i="1"/>
  <c r="N171" i="1"/>
  <c r="O171" i="1"/>
  <c r="P171" i="1"/>
  <c r="Q171" i="1"/>
  <c r="M172" i="1"/>
  <c r="N172" i="1"/>
  <c r="O172" i="1"/>
  <c r="P172" i="1"/>
  <c r="Q172" i="1"/>
  <c r="M173" i="1"/>
  <c r="N173" i="1"/>
  <c r="O173" i="1"/>
  <c r="P173" i="1"/>
  <c r="Q173" i="1"/>
  <c r="M174" i="1"/>
  <c r="N174" i="1"/>
  <c r="O174" i="1"/>
  <c r="P174" i="1"/>
  <c r="Q174" i="1"/>
  <c r="M175" i="1"/>
  <c r="N175" i="1"/>
  <c r="O175" i="1"/>
  <c r="P175" i="1"/>
  <c r="Q175" i="1"/>
  <c r="M176" i="1"/>
  <c r="N176" i="1"/>
  <c r="O176" i="1"/>
  <c r="P176" i="1"/>
  <c r="Q176" i="1"/>
  <c r="M177" i="1"/>
  <c r="N177" i="1"/>
  <c r="O177" i="1"/>
  <c r="P177" i="1"/>
  <c r="Q177" i="1"/>
  <c r="M178" i="1"/>
  <c r="N178" i="1"/>
  <c r="O178" i="1"/>
  <c r="P178" i="1"/>
  <c r="Q178" i="1"/>
  <c r="M179" i="1"/>
  <c r="N179" i="1"/>
  <c r="O179" i="1"/>
  <c r="P179" i="1"/>
  <c r="Q179" i="1"/>
  <c r="M180" i="1"/>
  <c r="N180" i="1"/>
  <c r="O180" i="1"/>
  <c r="P180" i="1"/>
  <c r="Q180" i="1"/>
  <c r="M181" i="1"/>
  <c r="N181" i="1"/>
  <c r="O181" i="1"/>
  <c r="P181" i="1"/>
  <c r="Q181" i="1"/>
  <c r="M182" i="1"/>
  <c r="N182" i="1"/>
  <c r="O182" i="1"/>
  <c r="P182" i="1"/>
  <c r="Q182" i="1"/>
  <c r="M183" i="1"/>
  <c r="N183" i="1"/>
  <c r="O183" i="1"/>
  <c r="P183" i="1"/>
  <c r="Q183" i="1"/>
  <c r="M184" i="1"/>
  <c r="N184" i="1"/>
  <c r="O184" i="1"/>
  <c r="P184" i="1"/>
  <c r="Q184" i="1"/>
  <c r="M185" i="1"/>
  <c r="N185" i="1"/>
  <c r="O185" i="1"/>
  <c r="P185" i="1"/>
  <c r="Q185" i="1"/>
  <c r="M186" i="1"/>
  <c r="N186" i="1"/>
  <c r="O186" i="1"/>
  <c r="P186" i="1"/>
  <c r="Q186" i="1"/>
  <c r="M187" i="1"/>
  <c r="N187" i="1"/>
  <c r="O187" i="1"/>
  <c r="P187" i="1"/>
  <c r="Q187" i="1"/>
  <c r="M188" i="1"/>
  <c r="N188" i="1"/>
  <c r="O188" i="1"/>
  <c r="P188" i="1"/>
  <c r="Q188" i="1"/>
  <c r="M189" i="1"/>
  <c r="N189" i="1"/>
  <c r="O189" i="1"/>
  <c r="P189" i="1"/>
  <c r="Q189" i="1"/>
  <c r="M190" i="1"/>
  <c r="N190" i="1"/>
  <c r="O190" i="1"/>
  <c r="P190" i="1"/>
  <c r="Q190" i="1"/>
  <c r="M191" i="1"/>
  <c r="N191" i="1"/>
  <c r="O191" i="1"/>
  <c r="P191" i="1"/>
  <c r="Q191" i="1"/>
  <c r="M192" i="1"/>
  <c r="N192" i="1"/>
  <c r="O192" i="1"/>
  <c r="P192" i="1"/>
  <c r="Q192" i="1"/>
  <c r="M193" i="1"/>
  <c r="N193" i="1"/>
  <c r="O193" i="1"/>
  <c r="P193" i="1"/>
  <c r="Q193" i="1"/>
  <c r="M194" i="1"/>
  <c r="N194" i="1"/>
  <c r="O194" i="1"/>
  <c r="P194" i="1"/>
  <c r="Q194" i="1"/>
  <c r="M195" i="1"/>
  <c r="N195" i="1"/>
  <c r="O195" i="1"/>
  <c r="P195" i="1"/>
  <c r="Q195" i="1"/>
  <c r="M196" i="1"/>
  <c r="N196" i="1"/>
  <c r="O196" i="1"/>
  <c r="P196" i="1"/>
  <c r="Q196" i="1"/>
  <c r="M197" i="1"/>
  <c r="N197" i="1"/>
  <c r="O197" i="1"/>
  <c r="P197" i="1"/>
  <c r="Q197" i="1"/>
  <c r="M198" i="1"/>
  <c r="N198" i="1"/>
  <c r="O198" i="1"/>
  <c r="P198" i="1"/>
  <c r="Q198" i="1"/>
  <c r="M199" i="1"/>
  <c r="N199" i="1"/>
  <c r="O199" i="1"/>
  <c r="P199" i="1"/>
  <c r="Q199" i="1"/>
  <c r="M200" i="1"/>
  <c r="N200" i="1"/>
  <c r="O200" i="1"/>
  <c r="P200" i="1"/>
  <c r="Q200" i="1"/>
  <c r="M201" i="1"/>
  <c r="N201" i="1"/>
  <c r="O201" i="1"/>
  <c r="P201" i="1"/>
  <c r="Q201" i="1"/>
  <c r="M202" i="1"/>
  <c r="N202" i="1"/>
  <c r="O202" i="1"/>
  <c r="P202" i="1"/>
  <c r="Q202" i="1"/>
  <c r="M203" i="1"/>
  <c r="N203" i="1"/>
  <c r="O203" i="1"/>
  <c r="P203" i="1"/>
  <c r="Q203" i="1"/>
  <c r="M204" i="1"/>
  <c r="N204" i="1"/>
  <c r="O204" i="1"/>
  <c r="P204" i="1"/>
  <c r="Q204" i="1"/>
  <c r="M205" i="1"/>
  <c r="N205" i="1"/>
  <c r="O205" i="1"/>
  <c r="P205" i="1"/>
  <c r="Q205" i="1"/>
  <c r="M206" i="1"/>
  <c r="N206" i="1"/>
  <c r="O206" i="1"/>
  <c r="P206" i="1"/>
  <c r="Q206" i="1"/>
  <c r="M207" i="1"/>
  <c r="N207" i="1"/>
  <c r="O207" i="1"/>
  <c r="P207" i="1"/>
  <c r="Q207" i="1"/>
  <c r="M208" i="1"/>
  <c r="N208" i="1"/>
  <c r="O208" i="1"/>
  <c r="P208" i="1"/>
  <c r="Q208" i="1"/>
  <c r="M209" i="1"/>
  <c r="N209" i="1"/>
  <c r="O209" i="1"/>
  <c r="P209" i="1"/>
  <c r="Q209" i="1"/>
  <c r="M210" i="1"/>
  <c r="N210" i="1"/>
  <c r="O210" i="1"/>
  <c r="P210" i="1"/>
  <c r="Q210" i="1"/>
  <c r="M211" i="1"/>
  <c r="N211" i="1"/>
  <c r="O211" i="1"/>
  <c r="P211" i="1"/>
  <c r="Q211" i="1"/>
  <c r="M212" i="1"/>
  <c r="N212" i="1"/>
  <c r="O212" i="1"/>
  <c r="P212" i="1"/>
  <c r="Q212" i="1"/>
  <c r="M213" i="1"/>
  <c r="N213" i="1"/>
  <c r="O213" i="1"/>
  <c r="P213" i="1"/>
  <c r="Q213" i="1"/>
  <c r="M214" i="1"/>
  <c r="N214" i="1"/>
  <c r="O214" i="1"/>
  <c r="P214" i="1"/>
  <c r="Q214" i="1"/>
  <c r="M215" i="1"/>
  <c r="N215" i="1"/>
  <c r="O215" i="1"/>
  <c r="P215" i="1"/>
  <c r="Q215" i="1"/>
  <c r="M216" i="1"/>
  <c r="N216" i="1"/>
  <c r="O216" i="1"/>
  <c r="P216" i="1"/>
  <c r="Q216" i="1"/>
  <c r="M217" i="1"/>
  <c r="N217" i="1"/>
  <c r="O217" i="1"/>
  <c r="P217" i="1"/>
  <c r="Q217" i="1"/>
  <c r="M218" i="1"/>
  <c r="N218" i="1"/>
  <c r="O218" i="1"/>
  <c r="P218" i="1"/>
  <c r="Q218" i="1"/>
  <c r="M219" i="1"/>
  <c r="N219" i="1"/>
  <c r="O219" i="1"/>
  <c r="P219" i="1"/>
  <c r="Q219" i="1"/>
  <c r="M220" i="1"/>
  <c r="N220" i="1"/>
  <c r="O220" i="1"/>
  <c r="P220" i="1"/>
  <c r="Q220" i="1"/>
  <c r="M221" i="1"/>
  <c r="N221" i="1"/>
  <c r="O221" i="1"/>
  <c r="P221" i="1"/>
  <c r="Q221" i="1"/>
  <c r="M222" i="1"/>
  <c r="N222" i="1"/>
  <c r="O222" i="1"/>
  <c r="P222" i="1"/>
  <c r="Q222" i="1"/>
  <c r="M223" i="1"/>
  <c r="N223" i="1"/>
  <c r="O223" i="1"/>
  <c r="P223" i="1"/>
  <c r="Q223" i="1"/>
  <c r="M224" i="1"/>
  <c r="N224" i="1"/>
  <c r="O224" i="1"/>
  <c r="P224" i="1"/>
  <c r="Q224" i="1"/>
  <c r="M225" i="1"/>
  <c r="N225" i="1"/>
  <c r="O225" i="1"/>
  <c r="P225" i="1"/>
  <c r="Q225" i="1"/>
  <c r="M226" i="1"/>
  <c r="N226" i="1"/>
  <c r="O226" i="1"/>
  <c r="P226" i="1"/>
  <c r="Q226" i="1"/>
  <c r="M227" i="1"/>
  <c r="N227" i="1"/>
  <c r="O227" i="1"/>
  <c r="P227" i="1"/>
  <c r="Q227" i="1"/>
  <c r="M228" i="1"/>
  <c r="N228" i="1"/>
  <c r="O228" i="1"/>
  <c r="P228" i="1"/>
  <c r="Q228" i="1"/>
  <c r="M229" i="1"/>
  <c r="N229" i="1"/>
  <c r="O229" i="1"/>
  <c r="P229" i="1"/>
  <c r="Q229" i="1"/>
  <c r="M230" i="1"/>
  <c r="N230" i="1"/>
  <c r="O230" i="1"/>
  <c r="P230" i="1"/>
  <c r="Q230" i="1"/>
  <c r="M231" i="1"/>
  <c r="N231" i="1"/>
  <c r="O231" i="1"/>
  <c r="P231" i="1"/>
  <c r="Q231" i="1"/>
  <c r="M232" i="1"/>
  <c r="N232" i="1"/>
  <c r="O232" i="1"/>
  <c r="P232" i="1"/>
  <c r="Q232" i="1"/>
  <c r="M233" i="1"/>
  <c r="N233" i="1"/>
  <c r="O233" i="1"/>
  <c r="P233" i="1"/>
  <c r="Q233" i="1"/>
  <c r="M234" i="1"/>
  <c r="N234" i="1"/>
  <c r="O234" i="1"/>
  <c r="P234" i="1"/>
  <c r="Q234" i="1"/>
  <c r="M235" i="1"/>
  <c r="N235" i="1"/>
  <c r="O235" i="1"/>
  <c r="P235" i="1"/>
  <c r="Q235" i="1"/>
  <c r="M236" i="1"/>
  <c r="N236" i="1"/>
  <c r="O236" i="1"/>
  <c r="P236" i="1"/>
  <c r="Q236" i="1"/>
  <c r="M237" i="1"/>
  <c r="N237" i="1"/>
  <c r="O237" i="1"/>
  <c r="P237" i="1"/>
  <c r="Q237" i="1"/>
  <c r="M238" i="1"/>
  <c r="N238" i="1"/>
  <c r="O238" i="1"/>
  <c r="P238" i="1"/>
  <c r="Q238" i="1"/>
  <c r="M239" i="1"/>
  <c r="N239" i="1"/>
  <c r="O239" i="1"/>
  <c r="P239" i="1"/>
  <c r="Q239" i="1"/>
  <c r="M240" i="1"/>
  <c r="N240" i="1"/>
  <c r="O240" i="1"/>
  <c r="P240" i="1"/>
  <c r="Q240" i="1"/>
  <c r="M241" i="1"/>
  <c r="N241" i="1"/>
  <c r="O241" i="1"/>
  <c r="P241" i="1"/>
  <c r="Q241" i="1"/>
  <c r="M242" i="1"/>
  <c r="N242" i="1"/>
  <c r="O242" i="1"/>
  <c r="P242" i="1"/>
  <c r="Q242" i="1"/>
  <c r="M243" i="1"/>
  <c r="N243" i="1"/>
  <c r="O243" i="1"/>
  <c r="P243" i="1"/>
  <c r="Q243" i="1"/>
  <c r="M244" i="1"/>
  <c r="N244" i="1"/>
  <c r="O244" i="1"/>
  <c r="P244" i="1"/>
  <c r="Q244" i="1"/>
  <c r="M245" i="1"/>
  <c r="N245" i="1"/>
  <c r="O245" i="1"/>
  <c r="P245" i="1"/>
  <c r="Q245" i="1"/>
  <c r="M246" i="1"/>
  <c r="N246" i="1"/>
  <c r="O246" i="1"/>
  <c r="P246" i="1"/>
  <c r="Q246" i="1"/>
  <c r="M247" i="1"/>
  <c r="N247" i="1"/>
  <c r="O247" i="1"/>
  <c r="P247" i="1"/>
  <c r="Q247" i="1"/>
  <c r="M248" i="1"/>
  <c r="N248" i="1"/>
  <c r="O248" i="1"/>
  <c r="P248" i="1"/>
  <c r="Q248" i="1"/>
  <c r="M249" i="1"/>
  <c r="N249" i="1"/>
  <c r="O249" i="1"/>
  <c r="P249" i="1"/>
  <c r="Q249" i="1"/>
  <c r="M250" i="1"/>
  <c r="N250" i="1"/>
  <c r="O250" i="1"/>
  <c r="P250" i="1"/>
  <c r="Q250" i="1"/>
  <c r="M251" i="1"/>
  <c r="N251" i="1"/>
  <c r="O251" i="1"/>
  <c r="P251" i="1"/>
  <c r="Q251" i="1"/>
  <c r="M252" i="1"/>
  <c r="N252" i="1"/>
  <c r="O252" i="1"/>
  <c r="P252" i="1"/>
  <c r="Q252" i="1"/>
  <c r="M253" i="1"/>
  <c r="N253" i="1"/>
  <c r="O253" i="1"/>
  <c r="P253" i="1"/>
  <c r="Q253" i="1"/>
  <c r="M254" i="1"/>
  <c r="N254" i="1"/>
  <c r="O254" i="1"/>
  <c r="P254" i="1"/>
  <c r="Q254" i="1"/>
  <c r="M255" i="1"/>
  <c r="N255" i="1"/>
  <c r="O255" i="1"/>
  <c r="P255" i="1"/>
  <c r="Q255" i="1"/>
  <c r="M256" i="1"/>
  <c r="N256" i="1"/>
  <c r="O256" i="1"/>
  <c r="P256" i="1"/>
  <c r="Q256" i="1"/>
  <c r="M257" i="1"/>
  <c r="N257" i="1"/>
  <c r="O257" i="1"/>
  <c r="P257" i="1"/>
  <c r="Q257" i="1"/>
  <c r="M258" i="1"/>
  <c r="N258" i="1"/>
  <c r="O258" i="1"/>
  <c r="P258" i="1"/>
  <c r="Q258" i="1"/>
  <c r="M259" i="1"/>
  <c r="N259" i="1"/>
  <c r="O259" i="1"/>
  <c r="P259" i="1"/>
  <c r="Q259" i="1"/>
  <c r="M260" i="1"/>
  <c r="N260" i="1"/>
  <c r="O260" i="1"/>
  <c r="P260" i="1"/>
  <c r="Q260" i="1"/>
  <c r="M261" i="1"/>
  <c r="N261" i="1"/>
  <c r="O261" i="1"/>
  <c r="P261" i="1"/>
  <c r="Q261" i="1"/>
  <c r="M262" i="1"/>
  <c r="N262" i="1"/>
  <c r="O262" i="1"/>
  <c r="P262" i="1"/>
  <c r="Q262" i="1"/>
  <c r="M263" i="1"/>
  <c r="N263" i="1"/>
  <c r="O263" i="1"/>
  <c r="P263" i="1"/>
  <c r="Q263" i="1"/>
  <c r="M264" i="1"/>
  <c r="N264" i="1"/>
  <c r="O264" i="1"/>
  <c r="P264" i="1"/>
  <c r="Q264" i="1"/>
  <c r="M265" i="1"/>
  <c r="N265" i="1"/>
  <c r="O265" i="1"/>
  <c r="P265" i="1"/>
  <c r="Q265" i="1"/>
  <c r="M266" i="1"/>
  <c r="N266" i="1"/>
  <c r="O266" i="1"/>
  <c r="P266" i="1"/>
  <c r="Q266" i="1"/>
  <c r="M267" i="1"/>
  <c r="N267" i="1"/>
  <c r="O267" i="1"/>
  <c r="P267" i="1"/>
  <c r="Q267" i="1"/>
  <c r="M268" i="1"/>
  <c r="N268" i="1"/>
  <c r="O268" i="1"/>
  <c r="P268" i="1"/>
  <c r="Q268" i="1"/>
  <c r="M269" i="1"/>
  <c r="N269" i="1"/>
  <c r="O269" i="1"/>
  <c r="P269" i="1"/>
  <c r="Q269" i="1"/>
  <c r="M270" i="1"/>
  <c r="N270" i="1"/>
  <c r="O270" i="1"/>
  <c r="P270" i="1"/>
  <c r="Q270" i="1"/>
  <c r="M271" i="1"/>
  <c r="N271" i="1"/>
  <c r="O271" i="1"/>
  <c r="P271" i="1"/>
  <c r="Q271" i="1"/>
  <c r="M272" i="1"/>
  <c r="N272" i="1"/>
  <c r="O272" i="1"/>
  <c r="P272" i="1"/>
  <c r="Q272" i="1"/>
  <c r="M273" i="1"/>
  <c r="N273" i="1"/>
  <c r="O273" i="1"/>
  <c r="P273" i="1"/>
  <c r="Q273" i="1"/>
  <c r="M274" i="1"/>
  <c r="N274" i="1"/>
  <c r="O274" i="1"/>
  <c r="P274" i="1"/>
  <c r="Q274" i="1"/>
  <c r="M275" i="1"/>
  <c r="N275" i="1"/>
  <c r="O275" i="1"/>
  <c r="P275" i="1"/>
  <c r="Q275" i="1"/>
  <c r="M276" i="1"/>
  <c r="N276" i="1"/>
  <c r="O276" i="1"/>
  <c r="P276" i="1"/>
  <c r="Q276" i="1"/>
  <c r="M277" i="1"/>
  <c r="N277" i="1"/>
  <c r="O277" i="1"/>
  <c r="P277" i="1"/>
  <c r="Q277" i="1"/>
  <c r="M278" i="1"/>
  <c r="N278" i="1"/>
  <c r="O278" i="1"/>
  <c r="P278" i="1"/>
  <c r="Q278" i="1"/>
  <c r="M279" i="1"/>
  <c r="N279" i="1"/>
  <c r="O279" i="1"/>
  <c r="P279" i="1"/>
  <c r="Q279" i="1"/>
  <c r="M280" i="1"/>
  <c r="N280" i="1"/>
  <c r="O280" i="1"/>
  <c r="P280" i="1"/>
  <c r="Q280" i="1"/>
  <c r="M281" i="1"/>
  <c r="N281" i="1"/>
  <c r="O281" i="1"/>
  <c r="P281" i="1"/>
  <c r="Q281" i="1"/>
  <c r="M282" i="1"/>
  <c r="N282" i="1"/>
  <c r="O282" i="1"/>
  <c r="P282" i="1"/>
  <c r="Q282" i="1"/>
  <c r="M283" i="1"/>
  <c r="N283" i="1"/>
  <c r="O283" i="1"/>
  <c r="P283" i="1"/>
  <c r="Q283" i="1"/>
  <c r="M284" i="1"/>
  <c r="N284" i="1"/>
  <c r="O284" i="1"/>
  <c r="P284" i="1"/>
  <c r="Q284" i="1"/>
  <c r="M285" i="1"/>
  <c r="N285" i="1"/>
  <c r="O285" i="1"/>
  <c r="P285" i="1"/>
  <c r="Q285" i="1"/>
  <c r="M286" i="1"/>
  <c r="N286" i="1"/>
  <c r="O286" i="1"/>
  <c r="P286" i="1"/>
  <c r="Q286" i="1"/>
  <c r="M287" i="1"/>
  <c r="N287" i="1"/>
  <c r="O287" i="1"/>
  <c r="P287" i="1"/>
  <c r="Q287" i="1"/>
  <c r="M288" i="1"/>
  <c r="N288" i="1"/>
  <c r="O288" i="1"/>
  <c r="P288" i="1"/>
  <c r="Q288" i="1"/>
  <c r="M289" i="1"/>
  <c r="N289" i="1"/>
  <c r="O289" i="1"/>
  <c r="P289" i="1"/>
  <c r="Q289" i="1"/>
  <c r="M290" i="1"/>
  <c r="N290" i="1"/>
  <c r="O290" i="1"/>
  <c r="P290" i="1"/>
  <c r="Q290" i="1"/>
  <c r="M291" i="1"/>
  <c r="N291" i="1"/>
  <c r="O291" i="1"/>
  <c r="P291" i="1"/>
  <c r="Q291" i="1"/>
  <c r="M292" i="1"/>
  <c r="N292" i="1"/>
  <c r="O292" i="1"/>
  <c r="P292" i="1"/>
  <c r="Q292" i="1"/>
  <c r="M293" i="1"/>
  <c r="N293" i="1"/>
  <c r="O293" i="1"/>
  <c r="P293" i="1"/>
  <c r="Q293" i="1"/>
  <c r="M294" i="1"/>
  <c r="N294" i="1"/>
  <c r="O294" i="1"/>
  <c r="P294" i="1"/>
  <c r="Q294" i="1"/>
  <c r="M295" i="1"/>
  <c r="N295" i="1"/>
  <c r="O295" i="1"/>
  <c r="P295" i="1"/>
  <c r="Q295" i="1"/>
  <c r="M296" i="1"/>
  <c r="N296" i="1"/>
  <c r="O296" i="1"/>
  <c r="P296" i="1"/>
  <c r="Q296" i="1"/>
  <c r="M297" i="1"/>
  <c r="N297" i="1"/>
  <c r="O297" i="1"/>
  <c r="P297" i="1"/>
  <c r="Q297" i="1"/>
  <c r="M298" i="1"/>
  <c r="N298" i="1"/>
  <c r="O298" i="1"/>
  <c r="P298" i="1"/>
  <c r="Q298" i="1"/>
  <c r="M299" i="1"/>
  <c r="N299" i="1"/>
  <c r="O299" i="1"/>
  <c r="P299" i="1"/>
  <c r="Q299" i="1"/>
  <c r="M300" i="1"/>
  <c r="N300" i="1"/>
  <c r="O300" i="1"/>
  <c r="P300" i="1"/>
  <c r="Q300" i="1"/>
  <c r="M301" i="1"/>
  <c r="N301" i="1"/>
  <c r="O301" i="1"/>
  <c r="P301" i="1"/>
  <c r="Q301" i="1"/>
  <c r="M302" i="1"/>
  <c r="N302" i="1"/>
  <c r="O302" i="1"/>
  <c r="P302" i="1"/>
  <c r="Q302" i="1"/>
  <c r="M303" i="1"/>
  <c r="N303" i="1"/>
  <c r="O303" i="1"/>
  <c r="P303" i="1"/>
  <c r="Q303" i="1"/>
  <c r="M304" i="1"/>
  <c r="N304" i="1"/>
  <c r="O304" i="1"/>
  <c r="P304" i="1"/>
  <c r="Q304" i="1"/>
  <c r="M305" i="1"/>
  <c r="N305" i="1"/>
  <c r="O305" i="1"/>
  <c r="P305" i="1"/>
  <c r="Q305" i="1"/>
  <c r="M306" i="1"/>
  <c r="N306" i="1"/>
  <c r="O306" i="1"/>
  <c r="P306" i="1"/>
  <c r="Q306" i="1"/>
  <c r="M307" i="1"/>
  <c r="N307" i="1"/>
  <c r="O307" i="1"/>
  <c r="P307" i="1"/>
  <c r="Q307" i="1"/>
  <c r="M308" i="1"/>
  <c r="N308" i="1"/>
  <c r="O308" i="1"/>
  <c r="P308" i="1"/>
  <c r="Q308" i="1"/>
  <c r="M309" i="1"/>
  <c r="N309" i="1"/>
  <c r="O309" i="1"/>
  <c r="P309" i="1"/>
  <c r="Q309" i="1"/>
  <c r="M310" i="1"/>
  <c r="N310" i="1"/>
  <c r="O310" i="1"/>
  <c r="P310" i="1"/>
  <c r="Q310" i="1"/>
  <c r="M311" i="1"/>
  <c r="N311" i="1"/>
  <c r="O311" i="1"/>
  <c r="P311" i="1"/>
  <c r="Q311" i="1"/>
  <c r="M312" i="1"/>
  <c r="N312" i="1"/>
  <c r="O312" i="1"/>
  <c r="P312" i="1"/>
  <c r="Q312" i="1"/>
  <c r="M313" i="1"/>
  <c r="N313" i="1"/>
  <c r="O313" i="1"/>
  <c r="P313" i="1"/>
  <c r="Q313" i="1"/>
  <c r="M314" i="1"/>
  <c r="N314" i="1"/>
  <c r="O314" i="1"/>
  <c r="P314" i="1"/>
  <c r="Q314" i="1"/>
  <c r="M315" i="1"/>
  <c r="N315" i="1"/>
  <c r="O315" i="1"/>
  <c r="P315" i="1"/>
  <c r="Q315" i="1"/>
  <c r="M316" i="1"/>
  <c r="N316" i="1"/>
  <c r="O316" i="1"/>
  <c r="P316" i="1"/>
  <c r="Q316" i="1"/>
  <c r="M317" i="1"/>
  <c r="N317" i="1"/>
  <c r="O317" i="1"/>
  <c r="P317" i="1"/>
  <c r="Q317" i="1"/>
  <c r="M318" i="1"/>
  <c r="N318" i="1"/>
  <c r="O318" i="1"/>
  <c r="P318" i="1"/>
  <c r="Q318" i="1"/>
  <c r="M319" i="1"/>
  <c r="N319" i="1"/>
  <c r="O319" i="1"/>
  <c r="P319" i="1"/>
  <c r="Q319" i="1"/>
  <c r="M320" i="1"/>
  <c r="N320" i="1"/>
  <c r="O320" i="1"/>
  <c r="P320" i="1"/>
  <c r="Q320" i="1"/>
  <c r="M321" i="1"/>
  <c r="N321" i="1"/>
  <c r="O321" i="1"/>
  <c r="P321" i="1"/>
  <c r="Q321" i="1"/>
  <c r="M322" i="1"/>
  <c r="N322" i="1"/>
  <c r="O322" i="1"/>
  <c r="P322" i="1"/>
  <c r="Q322" i="1"/>
  <c r="M323" i="1"/>
  <c r="N323" i="1"/>
  <c r="O323" i="1"/>
  <c r="P323" i="1"/>
  <c r="Q323" i="1"/>
  <c r="M324" i="1"/>
  <c r="N324" i="1"/>
  <c r="O324" i="1"/>
  <c r="P324" i="1"/>
  <c r="Q324" i="1"/>
  <c r="M325" i="1"/>
  <c r="N325" i="1"/>
  <c r="O325" i="1"/>
  <c r="P325" i="1"/>
  <c r="Q325" i="1"/>
  <c r="M326" i="1"/>
  <c r="N326" i="1"/>
  <c r="O326" i="1"/>
  <c r="P326" i="1"/>
  <c r="Q326" i="1"/>
  <c r="M327" i="1"/>
  <c r="N327" i="1"/>
  <c r="O327" i="1"/>
  <c r="P327" i="1"/>
  <c r="Q327" i="1"/>
  <c r="M328" i="1"/>
  <c r="N328" i="1"/>
  <c r="O328" i="1"/>
  <c r="P328" i="1"/>
  <c r="Q328" i="1"/>
  <c r="M329" i="1"/>
  <c r="N329" i="1"/>
  <c r="O329" i="1"/>
  <c r="P329" i="1"/>
  <c r="Q329" i="1"/>
  <c r="M330" i="1"/>
  <c r="N330" i="1"/>
  <c r="O330" i="1"/>
  <c r="P330" i="1"/>
  <c r="Q330" i="1"/>
  <c r="M331" i="1"/>
  <c r="N331" i="1"/>
  <c r="O331" i="1"/>
  <c r="P331" i="1"/>
  <c r="Q331" i="1"/>
  <c r="M332" i="1"/>
  <c r="N332" i="1"/>
  <c r="O332" i="1"/>
  <c r="P332" i="1"/>
  <c r="Q332" i="1"/>
  <c r="M333" i="1"/>
  <c r="N333" i="1"/>
  <c r="O333" i="1"/>
  <c r="P333" i="1"/>
  <c r="Q333" i="1"/>
  <c r="M334" i="1"/>
  <c r="N334" i="1"/>
  <c r="O334" i="1"/>
  <c r="P334" i="1"/>
  <c r="Q334" i="1"/>
  <c r="M335" i="1"/>
  <c r="N335" i="1"/>
  <c r="O335" i="1"/>
  <c r="P335" i="1"/>
  <c r="Q335" i="1"/>
  <c r="M336" i="1"/>
  <c r="N336" i="1"/>
  <c r="O336" i="1"/>
  <c r="P336" i="1"/>
  <c r="Q336" i="1"/>
  <c r="M337" i="1"/>
  <c r="N337" i="1"/>
  <c r="O337" i="1"/>
  <c r="P337" i="1"/>
  <c r="Q337" i="1"/>
  <c r="M338" i="1"/>
  <c r="N338" i="1"/>
  <c r="O338" i="1"/>
  <c r="P338" i="1"/>
  <c r="Q338" i="1"/>
  <c r="M339" i="1"/>
  <c r="N339" i="1"/>
  <c r="O339" i="1"/>
  <c r="P339" i="1"/>
  <c r="Q339" i="1"/>
  <c r="M340" i="1"/>
  <c r="N340" i="1"/>
  <c r="O340" i="1"/>
  <c r="P340" i="1"/>
  <c r="Q340" i="1"/>
  <c r="M341" i="1"/>
  <c r="N341" i="1"/>
  <c r="O341" i="1"/>
  <c r="P341" i="1"/>
  <c r="Q341" i="1"/>
  <c r="M342" i="1"/>
  <c r="N342" i="1"/>
  <c r="O342" i="1"/>
  <c r="P342" i="1"/>
  <c r="Q342" i="1"/>
  <c r="M343" i="1"/>
  <c r="N343" i="1"/>
  <c r="O343" i="1"/>
  <c r="P343" i="1"/>
  <c r="Q343" i="1"/>
  <c r="M344" i="1"/>
  <c r="N344" i="1"/>
  <c r="O344" i="1"/>
  <c r="P344" i="1"/>
  <c r="Q344" i="1"/>
  <c r="M345" i="1"/>
  <c r="N345" i="1"/>
  <c r="O345" i="1"/>
  <c r="P345" i="1"/>
  <c r="Q345" i="1"/>
  <c r="M346" i="1"/>
  <c r="N346" i="1"/>
  <c r="O346" i="1"/>
  <c r="P346" i="1"/>
  <c r="Q346" i="1"/>
  <c r="M347" i="1"/>
  <c r="N347" i="1"/>
  <c r="O347" i="1"/>
  <c r="P347" i="1"/>
  <c r="Q347" i="1"/>
  <c r="M348" i="1"/>
  <c r="N348" i="1"/>
  <c r="O348" i="1"/>
  <c r="P348" i="1"/>
  <c r="Q348" i="1"/>
  <c r="M349" i="1"/>
  <c r="N349" i="1"/>
  <c r="O349" i="1"/>
  <c r="P349" i="1"/>
  <c r="Q349" i="1"/>
  <c r="M350" i="1"/>
  <c r="N350" i="1"/>
  <c r="O350" i="1"/>
  <c r="P350" i="1"/>
  <c r="Q350" i="1"/>
  <c r="M351" i="1"/>
  <c r="N351" i="1"/>
  <c r="O351" i="1"/>
  <c r="P351" i="1"/>
  <c r="Q351" i="1"/>
  <c r="M352" i="1"/>
  <c r="N352" i="1"/>
  <c r="O352" i="1"/>
  <c r="P352" i="1"/>
  <c r="Q352" i="1"/>
  <c r="M353" i="1"/>
  <c r="N353" i="1"/>
  <c r="O353" i="1"/>
  <c r="P353" i="1"/>
  <c r="Q353" i="1"/>
  <c r="M354" i="1"/>
  <c r="N354" i="1"/>
  <c r="O354" i="1"/>
  <c r="P354" i="1"/>
  <c r="Q354" i="1"/>
  <c r="M355" i="1"/>
  <c r="N355" i="1"/>
  <c r="O355" i="1"/>
  <c r="P355" i="1"/>
  <c r="Q355" i="1"/>
  <c r="M356" i="1"/>
  <c r="N356" i="1"/>
  <c r="O356" i="1"/>
  <c r="P356" i="1"/>
  <c r="Q356" i="1"/>
  <c r="M357" i="1"/>
  <c r="N357" i="1"/>
  <c r="O357" i="1"/>
  <c r="P357" i="1"/>
  <c r="Q357" i="1"/>
  <c r="M358" i="1"/>
  <c r="N358" i="1"/>
  <c r="O358" i="1"/>
  <c r="P358" i="1"/>
  <c r="Q358" i="1"/>
  <c r="M359" i="1"/>
  <c r="N359" i="1"/>
  <c r="O359" i="1"/>
  <c r="P359" i="1"/>
  <c r="Q359" i="1"/>
  <c r="M360" i="1"/>
  <c r="N360" i="1"/>
  <c r="O360" i="1"/>
  <c r="P360" i="1"/>
  <c r="Q360" i="1"/>
  <c r="M361" i="1"/>
  <c r="N361" i="1"/>
  <c r="O361" i="1"/>
  <c r="P361" i="1"/>
  <c r="Q361" i="1"/>
  <c r="M362" i="1"/>
  <c r="N362" i="1"/>
  <c r="O362" i="1"/>
  <c r="P362" i="1"/>
  <c r="Q362" i="1"/>
  <c r="M363" i="1"/>
  <c r="N363" i="1"/>
  <c r="O363" i="1"/>
  <c r="P363" i="1"/>
  <c r="Q363" i="1"/>
  <c r="M364" i="1"/>
  <c r="N364" i="1"/>
  <c r="O364" i="1"/>
  <c r="P364" i="1"/>
  <c r="Q364" i="1"/>
  <c r="M365" i="1"/>
  <c r="N365" i="1"/>
  <c r="O365" i="1"/>
  <c r="P365" i="1"/>
  <c r="Q365" i="1"/>
  <c r="M366" i="1"/>
  <c r="N366" i="1"/>
  <c r="O366" i="1"/>
  <c r="P366" i="1"/>
  <c r="Q366" i="1"/>
  <c r="M367" i="1"/>
  <c r="N367" i="1"/>
  <c r="O367" i="1"/>
  <c r="P367" i="1"/>
  <c r="Q367" i="1"/>
  <c r="M368" i="1"/>
  <c r="N368" i="1"/>
  <c r="O368" i="1"/>
  <c r="P368" i="1"/>
  <c r="Q368" i="1"/>
  <c r="M369" i="1"/>
  <c r="N369" i="1"/>
  <c r="O369" i="1"/>
  <c r="P369" i="1"/>
  <c r="Q369" i="1"/>
  <c r="M370" i="1"/>
  <c r="N370" i="1"/>
  <c r="O370" i="1"/>
  <c r="P370" i="1"/>
  <c r="Q370" i="1"/>
  <c r="M371" i="1"/>
  <c r="N371" i="1"/>
  <c r="O371" i="1"/>
  <c r="P371" i="1"/>
  <c r="Q371" i="1"/>
  <c r="M372" i="1"/>
  <c r="N372" i="1"/>
  <c r="O372" i="1"/>
  <c r="P372" i="1"/>
  <c r="Q372" i="1"/>
  <c r="M373" i="1"/>
  <c r="N373" i="1"/>
  <c r="O373" i="1"/>
  <c r="P373" i="1"/>
  <c r="Q373" i="1"/>
  <c r="M374" i="1"/>
  <c r="N374" i="1"/>
  <c r="O374" i="1"/>
  <c r="P374" i="1"/>
  <c r="Q374" i="1"/>
  <c r="M375" i="1"/>
  <c r="N375" i="1"/>
  <c r="O375" i="1"/>
  <c r="P375" i="1"/>
  <c r="Q375" i="1"/>
  <c r="M376" i="1"/>
  <c r="N376" i="1"/>
  <c r="O376" i="1"/>
  <c r="P376" i="1"/>
  <c r="Q376" i="1"/>
  <c r="M377" i="1"/>
  <c r="N377" i="1"/>
  <c r="O377" i="1"/>
  <c r="P377" i="1"/>
  <c r="Q377" i="1"/>
  <c r="M378" i="1"/>
  <c r="N378" i="1"/>
  <c r="O378" i="1"/>
  <c r="P378" i="1"/>
  <c r="Q378" i="1"/>
  <c r="M379" i="1"/>
  <c r="N379" i="1"/>
  <c r="O379" i="1"/>
  <c r="P379" i="1"/>
  <c r="Q379" i="1"/>
  <c r="M380" i="1"/>
  <c r="N380" i="1"/>
  <c r="O380" i="1"/>
  <c r="P380" i="1"/>
  <c r="Q380" i="1"/>
  <c r="M381" i="1"/>
  <c r="N381" i="1"/>
  <c r="O381" i="1"/>
  <c r="P381" i="1"/>
  <c r="Q381" i="1"/>
  <c r="M382" i="1"/>
  <c r="N382" i="1"/>
  <c r="O382" i="1"/>
  <c r="P382" i="1"/>
  <c r="Q382" i="1"/>
  <c r="M383" i="1"/>
  <c r="N383" i="1"/>
  <c r="O383" i="1"/>
  <c r="P383" i="1"/>
  <c r="Q383" i="1"/>
  <c r="M384" i="1"/>
  <c r="N384" i="1"/>
  <c r="O384" i="1"/>
  <c r="P384" i="1"/>
  <c r="Q384" i="1"/>
  <c r="M385" i="1"/>
  <c r="N385" i="1"/>
  <c r="O385" i="1"/>
  <c r="P385" i="1"/>
  <c r="Q385" i="1"/>
  <c r="M386" i="1"/>
  <c r="N386" i="1"/>
  <c r="O386" i="1"/>
  <c r="P386" i="1"/>
  <c r="Q386" i="1"/>
  <c r="M387" i="1"/>
  <c r="N387" i="1"/>
  <c r="O387" i="1"/>
  <c r="P387" i="1"/>
  <c r="Q387" i="1"/>
  <c r="M388" i="1"/>
  <c r="N388" i="1"/>
  <c r="O388" i="1"/>
  <c r="P388" i="1"/>
  <c r="Q388" i="1"/>
  <c r="M389" i="1"/>
  <c r="N389" i="1"/>
  <c r="O389" i="1"/>
  <c r="P389" i="1"/>
  <c r="Q389" i="1"/>
  <c r="M390" i="1"/>
  <c r="N390" i="1"/>
  <c r="O390" i="1"/>
  <c r="P390" i="1"/>
  <c r="Q390" i="1"/>
  <c r="M391" i="1"/>
  <c r="N391" i="1"/>
  <c r="O391" i="1"/>
  <c r="P391" i="1"/>
  <c r="Q391" i="1"/>
  <c r="M392" i="1"/>
  <c r="N392" i="1"/>
  <c r="O392" i="1"/>
  <c r="P392" i="1"/>
  <c r="Q392" i="1"/>
  <c r="M393" i="1"/>
  <c r="N393" i="1"/>
  <c r="O393" i="1"/>
  <c r="P393" i="1"/>
  <c r="Q393" i="1"/>
  <c r="M394" i="1"/>
  <c r="N394" i="1"/>
  <c r="O394" i="1"/>
  <c r="P394" i="1"/>
  <c r="Q394" i="1"/>
  <c r="M395" i="1"/>
  <c r="N395" i="1"/>
  <c r="O395" i="1"/>
  <c r="P395" i="1"/>
  <c r="Q395" i="1"/>
  <c r="M396" i="1"/>
  <c r="N396" i="1"/>
  <c r="O396" i="1"/>
  <c r="P396" i="1"/>
  <c r="Q396" i="1"/>
  <c r="M397" i="1"/>
  <c r="N397" i="1"/>
  <c r="O397" i="1"/>
  <c r="P397" i="1"/>
  <c r="Q397" i="1"/>
  <c r="M398" i="1"/>
  <c r="N398" i="1"/>
  <c r="O398" i="1"/>
  <c r="P398" i="1"/>
  <c r="Q398" i="1"/>
  <c r="M399" i="1"/>
  <c r="N399" i="1"/>
  <c r="O399" i="1"/>
  <c r="P399" i="1"/>
  <c r="Q399" i="1"/>
  <c r="M400" i="1"/>
  <c r="N400" i="1"/>
  <c r="O400" i="1"/>
  <c r="P400" i="1"/>
  <c r="Q400" i="1"/>
  <c r="M401" i="1"/>
  <c r="N401" i="1"/>
  <c r="O401" i="1"/>
  <c r="P401" i="1"/>
  <c r="Q401" i="1"/>
  <c r="M402" i="1"/>
  <c r="N402" i="1"/>
  <c r="O402" i="1"/>
  <c r="P402" i="1"/>
  <c r="Q402" i="1"/>
  <c r="M403" i="1"/>
  <c r="N403" i="1"/>
  <c r="O403" i="1"/>
  <c r="P403" i="1"/>
  <c r="Q403" i="1"/>
  <c r="M404" i="1"/>
  <c r="N404" i="1"/>
  <c r="O404" i="1"/>
  <c r="P404" i="1"/>
  <c r="Q404" i="1"/>
  <c r="M405" i="1"/>
  <c r="N405" i="1"/>
  <c r="O405" i="1"/>
  <c r="P405" i="1"/>
  <c r="Q405" i="1"/>
  <c r="M406" i="1"/>
  <c r="N406" i="1"/>
  <c r="O406" i="1"/>
  <c r="P406" i="1"/>
  <c r="Q406" i="1"/>
  <c r="M407" i="1"/>
  <c r="N407" i="1"/>
  <c r="O407" i="1"/>
  <c r="P407" i="1"/>
  <c r="Q407" i="1"/>
  <c r="M408" i="1"/>
  <c r="N408" i="1"/>
  <c r="O408" i="1"/>
  <c r="P408" i="1"/>
  <c r="Q408" i="1"/>
  <c r="M409" i="1"/>
  <c r="N409" i="1"/>
  <c r="O409" i="1"/>
  <c r="P409" i="1"/>
  <c r="Q409" i="1"/>
  <c r="M410" i="1"/>
  <c r="N410" i="1"/>
  <c r="O410" i="1"/>
  <c r="P410" i="1"/>
  <c r="Q410" i="1"/>
  <c r="M411" i="1"/>
  <c r="N411" i="1"/>
  <c r="O411" i="1"/>
  <c r="P411" i="1"/>
  <c r="Q411" i="1"/>
  <c r="M412" i="1"/>
  <c r="N412" i="1"/>
  <c r="O412" i="1"/>
  <c r="P412" i="1"/>
  <c r="Q412" i="1"/>
  <c r="M413" i="1"/>
  <c r="N413" i="1"/>
  <c r="O413" i="1"/>
  <c r="P413" i="1"/>
  <c r="Q413" i="1"/>
  <c r="M414" i="1"/>
  <c r="N414" i="1"/>
  <c r="O414" i="1"/>
  <c r="P414" i="1"/>
  <c r="Q414" i="1"/>
  <c r="M415" i="1"/>
  <c r="N415" i="1"/>
  <c r="O415" i="1"/>
  <c r="P415" i="1"/>
  <c r="Q415" i="1"/>
  <c r="M416" i="1"/>
  <c r="N416" i="1"/>
  <c r="O416" i="1"/>
  <c r="P416" i="1"/>
  <c r="Q416" i="1"/>
  <c r="M417" i="1"/>
  <c r="N417" i="1"/>
  <c r="O417" i="1"/>
  <c r="P417" i="1"/>
  <c r="Q417" i="1"/>
  <c r="M418" i="1"/>
  <c r="N418" i="1"/>
  <c r="O418" i="1"/>
  <c r="P418" i="1"/>
  <c r="Q418" i="1"/>
  <c r="M419" i="1"/>
  <c r="N419" i="1"/>
  <c r="O419" i="1"/>
  <c r="P419" i="1"/>
  <c r="Q419" i="1"/>
  <c r="M420" i="1"/>
  <c r="N420" i="1"/>
  <c r="O420" i="1"/>
  <c r="P420" i="1"/>
  <c r="Q420" i="1"/>
  <c r="M421" i="1"/>
  <c r="N421" i="1"/>
  <c r="O421" i="1"/>
  <c r="P421" i="1"/>
  <c r="Q421" i="1"/>
  <c r="M422" i="1"/>
  <c r="N422" i="1"/>
  <c r="O422" i="1"/>
  <c r="P422" i="1"/>
  <c r="Q422" i="1"/>
  <c r="M423" i="1"/>
  <c r="N423" i="1"/>
  <c r="O423" i="1"/>
  <c r="P423" i="1"/>
  <c r="Q423" i="1"/>
  <c r="M424" i="1"/>
  <c r="N424" i="1"/>
  <c r="O424" i="1"/>
  <c r="P424" i="1"/>
  <c r="Q424" i="1"/>
  <c r="M425" i="1"/>
  <c r="N425" i="1"/>
  <c r="O425" i="1"/>
  <c r="P425" i="1"/>
  <c r="Q425" i="1"/>
  <c r="M426" i="1"/>
  <c r="N426" i="1"/>
  <c r="O426" i="1"/>
  <c r="P426" i="1"/>
  <c r="Q426" i="1"/>
  <c r="M427" i="1"/>
  <c r="N427" i="1"/>
  <c r="O427" i="1"/>
  <c r="P427" i="1"/>
  <c r="Q427" i="1"/>
  <c r="M428" i="1"/>
  <c r="N428" i="1"/>
  <c r="O428" i="1"/>
  <c r="P428" i="1"/>
  <c r="Q428" i="1"/>
  <c r="M429" i="1"/>
  <c r="N429" i="1"/>
  <c r="O429" i="1"/>
  <c r="P429" i="1"/>
  <c r="Q429" i="1"/>
  <c r="M430" i="1"/>
  <c r="N430" i="1"/>
  <c r="O430" i="1"/>
  <c r="P430" i="1"/>
  <c r="Q430" i="1"/>
  <c r="M431" i="1"/>
  <c r="N431" i="1"/>
  <c r="O431" i="1"/>
  <c r="P431" i="1"/>
  <c r="Q431" i="1"/>
  <c r="M432" i="1"/>
  <c r="N432" i="1"/>
  <c r="O432" i="1"/>
  <c r="P432" i="1"/>
  <c r="Q432" i="1"/>
  <c r="M433" i="1"/>
  <c r="N433" i="1"/>
  <c r="O433" i="1"/>
  <c r="P433" i="1"/>
  <c r="Q433" i="1"/>
  <c r="M434" i="1"/>
  <c r="N434" i="1"/>
  <c r="O434" i="1"/>
  <c r="P434" i="1"/>
  <c r="Q434" i="1"/>
  <c r="M435" i="1"/>
  <c r="N435" i="1"/>
  <c r="O435" i="1"/>
  <c r="P435" i="1"/>
  <c r="Q435" i="1"/>
  <c r="M436" i="1"/>
  <c r="N436" i="1"/>
  <c r="O436" i="1"/>
  <c r="P436" i="1"/>
  <c r="Q436" i="1"/>
  <c r="M437" i="1"/>
  <c r="N437" i="1"/>
  <c r="O437" i="1"/>
  <c r="P437" i="1"/>
  <c r="Q437" i="1"/>
  <c r="M438" i="1"/>
  <c r="N438" i="1"/>
  <c r="O438" i="1"/>
  <c r="P438" i="1"/>
  <c r="Q438" i="1"/>
  <c r="M439" i="1"/>
  <c r="N439" i="1"/>
  <c r="O439" i="1"/>
  <c r="P439" i="1"/>
  <c r="Q439" i="1"/>
  <c r="M440" i="1"/>
  <c r="N440" i="1"/>
  <c r="O440" i="1"/>
  <c r="P440" i="1"/>
  <c r="Q440" i="1"/>
  <c r="M441" i="1"/>
  <c r="N441" i="1"/>
  <c r="O441" i="1"/>
  <c r="P441" i="1"/>
  <c r="Q441" i="1"/>
  <c r="M442" i="1"/>
  <c r="N442" i="1"/>
  <c r="O442" i="1"/>
  <c r="P442" i="1"/>
  <c r="Q442" i="1"/>
  <c r="M443" i="1"/>
  <c r="N443" i="1"/>
  <c r="O443" i="1"/>
  <c r="P443" i="1"/>
  <c r="Q443" i="1"/>
  <c r="M444" i="1"/>
  <c r="N444" i="1"/>
  <c r="O444" i="1"/>
  <c r="P444" i="1"/>
  <c r="Q444" i="1"/>
  <c r="M445" i="1"/>
  <c r="N445" i="1"/>
  <c r="O445" i="1"/>
  <c r="P445" i="1"/>
  <c r="Q445" i="1"/>
  <c r="M446" i="1"/>
  <c r="N446" i="1"/>
  <c r="O446" i="1"/>
  <c r="P446" i="1"/>
  <c r="Q446" i="1"/>
  <c r="M447" i="1"/>
  <c r="N447" i="1"/>
  <c r="O447" i="1"/>
  <c r="P447" i="1"/>
  <c r="Q447" i="1"/>
  <c r="M448" i="1"/>
  <c r="N448" i="1"/>
  <c r="O448" i="1"/>
  <c r="P448" i="1"/>
  <c r="Q448" i="1"/>
  <c r="M449" i="1"/>
  <c r="N449" i="1"/>
  <c r="O449" i="1"/>
  <c r="P449" i="1"/>
  <c r="Q449" i="1"/>
  <c r="M450" i="1"/>
  <c r="N450" i="1"/>
  <c r="O450" i="1"/>
  <c r="P450" i="1"/>
  <c r="Q450" i="1"/>
  <c r="M451" i="1"/>
  <c r="N451" i="1"/>
  <c r="O451" i="1"/>
  <c r="P451" i="1"/>
  <c r="Q451" i="1"/>
  <c r="M452" i="1"/>
  <c r="N452" i="1"/>
  <c r="O452" i="1"/>
  <c r="P452" i="1"/>
  <c r="Q452" i="1"/>
  <c r="M453" i="1"/>
  <c r="N453" i="1"/>
  <c r="O453" i="1"/>
  <c r="P453" i="1"/>
  <c r="Q453" i="1"/>
  <c r="M454" i="1"/>
  <c r="N454" i="1"/>
  <c r="O454" i="1"/>
  <c r="P454" i="1"/>
  <c r="Q454" i="1"/>
  <c r="M455" i="1"/>
  <c r="N455" i="1"/>
  <c r="O455" i="1"/>
  <c r="P455" i="1"/>
  <c r="Q455" i="1"/>
  <c r="M456" i="1"/>
  <c r="N456" i="1"/>
  <c r="O456" i="1"/>
  <c r="P456" i="1"/>
  <c r="Q456" i="1"/>
  <c r="M457" i="1"/>
  <c r="N457" i="1"/>
  <c r="O457" i="1"/>
  <c r="P457" i="1"/>
  <c r="Q457" i="1"/>
  <c r="M458" i="1"/>
  <c r="N458" i="1"/>
  <c r="O458" i="1"/>
  <c r="P458" i="1"/>
  <c r="Q458" i="1"/>
  <c r="M459" i="1"/>
  <c r="N459" i="1"/>
  <c r="O459" i="1"/>
  <c r="P459" i="1"/>
  <c r="Q459" i="1"/>
  <c r="M460" i="1"/>
  <c r="N460" i="1"/>
  <c r="O460" i="1"/>
  <c r="P460" i="1"/>
  <c r="Q460" i="1"/>
  <c r="M461" i="1"/>
  <c r="N461" i="1"/>
  <c r="O461" i="1"/>
  <c r="P461" i="1"/>
  <c r="Q461" i="1"/>
  <c r="M462" i="1"/>
  <c r="N462" i="1"/>
  <c r="O462" i="1"/>
  <c r="P462" i="1"/>
  <c r="Q462" i="1"/>
  <c r="M463" i="1"/>
  <c r="N463" i="1"/>
  <c r="O463" i="1"/>
  <c r="P463" i="1"/>
  <c r="Q463" i="1"/>
  <c r="M464" i="1"/>
  <c r="N464" i="1"/>
  <c r="O464" i="1"/>
  <c r="P464" i="1"/>
  <c r="Q464" i="1"/>
  <c r="M465" i="1"/>
  <c r="N465" i="1"/>
  <c r="O465" i="1"/>
  <c r="P465" i="1"/>
  <c r="Q465" i="1"/>
  <c r="M466" i="1"/>
  <c r="N466" i="1"/>
  <c r="O466" i="1"/>
  <c r="P466" i="1"/>
  <c r="Q466" i="1"/>
  <c r="M467" i="1"/>
  <c r="N467" i="1"/>
  <c r="O467" i="1"/>
  <c r="P467" i="1"/>
  <c r="Q467" i="1"/>
  <c r="M468" i="1"/>
  <c r="N468" i="1"/>
  <c r="O468" i="1"/>
  <c r="P468" i="1"/>
  <c r="Q468" i="1"/>
  <c r="M469" i="1"/>
  <c r="N469" i="1"/>
  <c r="O469" i="1"/>
  <c r="P469" i="1"/>
  <c r="Q469" i="1"/>
  <c r="M470" i="1"/>
  <c r="N470" i="1"/>
  <c r="O470" i="1"/>
  <c r="P470" i="1"/>
  <c r="Q470" i="1"/>
  <c r="M471" i="1"/>
  <c r="N471" i="1"/>
  <c r="O471" i="1"/>
  <c r="P471" i="1"/>
  <c r="Q471" i="1"/>
  <c r="M472" i="1"/>
  <c r="N472" i="1"/>
  <c r="O472" i="1"/>
  <c r="P472" i="1"/>
  <c r="Q472" i="1"/>
  <c r="M473" i="1"/>
  <c r="N473" i="1"/>
  <c r="O473" i="1"/>
  <c r="P473" i="1"/>
  <c r="Q473" i="1"/>
  <c r="M474" i="1"/>
  <c r="N474" i="1"/>
  <c r="O474" i="1"/>
  <c r="P474" i="1"/>
  <c r="Q474" i="1"/>
  <c r="M475" i="1"/>
  <c r="N475" i="1"/>
  <c r="O475" i="1"/>
  <c r="P475" i="1"/>
  <c r="Q475" i="1"/>
  <c r="M476" i="1"/>
  <c r="N476" i="1"/>
  <c r="O476" i="1"/>
  <c r="P476" i="1"/>
  <c r="Q476" i="1"/>
  <c r="M477" i="1"/>
  <c r="N477" i="1"/>
  <c r="O477" i="1"/>
  <c r="P477" i="1"/>
  <c r="Q477" i="1"/>
  <c r="M478" i="1"/>
  <c r="N478" i="1"/>
  <c r="O478" i="1"/>
  <c r="P478" i="1"/>
  <c r="Q478" i="1"/>
  <c r="M479" i="1"/>
  <c r="N479" i="1"/>
  <c r="O479" i="1"/>
  <c r="P479" i="1"/>
  <c r="Q479" i="1"/>
  <c r="M480" i="1"/>
  <c r="N480" i="1"/>
  <c r="O480" i="1"/>
  <c r="P480" i="1"/>
  <c r="Q480" i="1"/>
  <c r="M481" i="1"/>
  <c r="N481" i="1"/>
  <c r="O481" i="1"/>
  <c r="P481" i="1"/>
  <c r="Q481" i="1"/>
  <c r="M482" i="1"/>
  <c r="N482" i="1"/>
  <c r="O482" i="1"/>
  <c r="P482" i="1"/>
  <c r="Q482" i="1"/>
  <c r="M483" i="1"/>
  <c r="N483" i="1"/>
  <c r="O483" i="1"/>
  <c r="P483" i="1"/>
  <c r="Q483" i="1"/>
  <c r="M484" i="1"/>
  <c r="N484" i="1"/>
  <c r="O484" i="1"/>
  <c r="P484" i="1"/>
  <c r="Q484" i="1"/>
  <c r="M485" i="1"/>
  <c r="N485" i="1"/>
  <c r="O485" i="1"/>
  <c r="P485" i="1"/>
  <c r="Q485" i="1"/>
  <c r="M486" i="1"/>
  <c r="N486" i="1"/>
  <c r="O486" i="1"/>
  <c r="P486" i="1"/>
  <c r="Q486" i="1"/>
  <c r="M487" i="1"/>
  <c r="N487" i="1"/>
  <c r="O487" i="1"/>
  <c r="P487" i="1"/>
  <c r="Q487" i="1"/>
  <c r="M488" i="1"/>
  <c r="N488" i="1"/>
  <c r="O488" i="1"/>
  <c r="P488" i="1"/>
  <c r="Q488" i="1"/>
  <c r="M489" i="1"/>
  <c r="N489" i="1"/>
  <c r="O489" i="1"/>
  <c r="P489" i="1"/>
  <c r="Q489" i="1"/>
  <c r="M490" i="1"/>
  <c r="N490" i="1"/>
  <c r="O490" i="1"/>
  <c r="P490" i="1"/>
  <c r="Q490" i="1"/>
  <c r="M491" i="1"/>
  <c r="N491" i="1"/>
  <c r="O491" i="1"/>
  <c r="P491" i="1"/>
  <c r="Q491" i="1"/>
  <c r="M492" i="1"/>
  <c r="N492" i="1"/>
  <c r="O492" i="1"/>
  <c r="P492" i="1"/>
  <c r="Q492" i="1"/>
  <c r="M493" i="1"/>
  <c r="N493" i="1"/>
  <c r="O493" i="1"/>
  <c r="P493" i="1"/>
  <c r="Q493" i="1"/>
  <c r="M494" i="1"/>
  <c r="N494" i="1"/>
  <c r="O494" i="1"/>
  <c r="P494" i="1"/>
  <c r="Q494" i="1"/>
  <c r="M495" i="1"/>
  <c r="N495" i="1"/>
  <c r="O495" i="1"/>
  <c r="P495" i="1"/>
  <c r="Q495" i="1"/>
  <c r="M496" i="1"/>
  <c r="N496" i="1"/>
  <c r="O496" i="1"/>
  <c r="P496" i="1"/>
  <c r="Q496" i="1"/>
  <c r="M497" i="1"/>
  <c r="N497" i="1"/>
  <c r="O497" i="1"/>
  <c r="P497" i="1"/>
  <c r="Q497" i="1"/>
  <c r="M498" i="1"/>
  <c r="N498" i="1"/>
  <c r="O498" i="1"/>
  <c r="P498" i="1"/>
  <c r="Q498" i="1"/>
  <c r="M499" i="1"/>
  <c r="N499" i="1"/>
  <c r="O499" i="1"/>
  <c r="P499" i="1"/>
  <c r="Q499" i="1"/>
  <c r="M500" i="1"/>
  <c r="N500" i="1"/>
  <c r="O500" i="1"/>
  <c r="P500" i="1"/>
  <c r="Q500" i="1"/>
  <c r="M501" i="1"/>
  <c r="N501" i="1"/>
  <c r="O501" i="1"/>
  <c r="P501" i="1"/>
  <c r="Q501" i="1"/>
  <c r="M502" i="1"/>
  <c r="N502" i="1"/>
  <c r="O502" i="1"/>
  <c r="P502" i="1"/>
  <c r="Q502" i="1"/>
  <c r="M503" i="1"/>
  <c r="N503" i="1"/>
  <c r="O503" i="1"/>
  <c r="P503" i="1"/>
  <c r="Q503" i="1"/>
  <c r="M504" i="1"/>
  <c r="N504" i="1"/>
  <c r="O504" i="1"/>
  <c r="P504" i="1"/>
  <c r="Q504" i="1"/>
  <c r="M505" i="1"/>
  <c r="N505" i="1"/>
  <c r="O505" i="1"/>
  <c r="P505" i="1"/>
  <c r="Q505" i="1"/>
  <c r="M506" i="1"/>
  <c r="N506" i="1"/>
  <c r="O506" i="1"/>
  <c r="P506" i="1"/>
  <c r="Q506" i="1"/>
  <c r="M507" i="1"/>
  <c r="N507" i="1"/>
  <c r="O507" i="1"/>
  <c r="P507" i="1"/>
  <c r="Q507" i="1"/>
  <c r="M508" i="1"/>
  <c r="N508" i="1"/>
  <c r="O508" i="1"/>
  <c r="P508" i="1"/>
  <c r="Q508" i="1"/>
  <c r="M509" i="1"/>
  <c r="N509" i="1"/>
  <c r="O509" i="1"/>
  <c r="P509" i="1"/>
  <c r="Q509" i="1"/>
  <c r="M510" i="1"/>
  <c r="N510" i="1"/>
  <c r="O510" i="1"/>
  <c r="P510" i="1"/>
  <c r="Q510" i="1"/>
  <c r="M511" i="1"/>
  <c r="N511" i="1"/>
  <c r="O511" i="1"/>
  <c r="P511" i="1"/>
  <c r="Q511" i="1"/>
  <c r="M512" i="1"/>
  <c r="N512" i="1"/>
  <c r="O512" i="1"/>
  <c r="P512" i="1"/>
  <c r="Q512" i="1"/>
  <c r="M513" i="1"/>
  <c r="N513" i="1"/>
  <c r="O513" i="1"/>
  <c r="P513" i="1"/>
  <c r="Q513" i="1"/>
  <c r="M514" i="1"/>
  <c r="N514" i="1"/>
  <c r="O514" i="1"/>
  <c r="P514" i="1"/>
  <c r="Q514" i="1"/>
  <c r="M515" i="1"/>
  <c r="N515" i="1"/>
  <c r="O515" i="1"/>
  <c r="P515" i="1"/>
  <c r="Q515" i="1"/>
  <c r="M516" i="1"/>
  <c r="N516" i="1"/>
  <c r="O516" i="1"/>
  <c r="P516" i="1"/>
  <c r="Q516" i="1"/>
  <c r="M517" i="1"/>
  <c r="N517" i="1"/>
  <c r="O517" i="1"/>
  <c r="P517" i="1"/>
  <c r="Q517" i="1"/>
  <c r="M518" i="1"/>
  <c r="N518" i="1"/>
  <c r="O518" i="1"/>
  <c r="P518" i="1"/>
  <c r="Q518" i="1"/>
  <c r="M519" i="1"/>
  <c r="N519" i="1"/>
  <c r="O519" i="1"/>
  <c r="P519" i="1"/>
  <c r="Q519" i="1"/>
  <c r="M520" i="1"/>
  <c r="N520" i="1"/>
  <c r="O520" i="1"/>
  <c r="P520" i="1"/>
  <c r="Q520" i="1"/>
  <c r="M521" i="1"/>
  <c r="N521" i="1"/>
  <c r="O521" i="1"/>
  <c r="P521" i="1"/>
  <c r="Q521" i="1"/>
  <c r="M522" i="1"/>
  <c r="N522" i="1"/>
  <c r="O522" i="1"/>
  <c r="P522" i="1"/>
  <c r="Q522" i="1"/>
  <c r="M523" i="1"/>
  <c r="N523" i="1"/>
  <c r="O523" i="1"/>
  <c r="P523" i="1"/>
  <c r="Q523" i="1"/>
  <c r="M524" i="1"/>
  <c r="N524" i="1"/>
  <c r="O524" i="1"/>
  <c r="P524" i="1"/>
  <c r="Q524" i="1"/>
  <c r="M525" i="1"/>
  <c r="N525" i="1"/>
  <c r="O525" i="1"/>
  <c r="P525" i="1"/>
  <c r="Q525" i="1"/>
  <c r="M526" i="1"/>
  <c r="N526" i="1"/>
  <c r="O526" i="1"/>
  <c r="P526" i="1"/>
  <c r="Q526" i="1"/>
  <c r="M527" i="1"/>
  <c r="N527" i="1"/>
  <c r="O527" i="1"/>
  <c r="P527" i="1"/>
  <c r="Q527" i="1"/>
  <c r="M528" i="1"/>
  <c r="N528" i="1"/>
  <c r="O528" i="1"/>
  <c r="P528" i="1"/>
  <c r="Q528" i="1"/>
  <c r="M529" i="1"/>
  <c r="N529" i="1"/>
  <c r="O529" i="1"/>
  <c r="P529" i="1"/>
  <c r="Q529" i="1"/>
  <c r="M530" i="1"/>
  <c r="N530" i="1"/>
  <c r="O530" i="1"/>
  <c r="P530" i="1"/>
  <c r="Q530" i="1"/>
  <c r="M531" i="1"/>
  <c r="N531" i="1"/>
  <c r="O531" i="1"/>
  <c r="P531" i="1"/>
  <c r="Q531" i="1"/>
  <c r="M532" i="1"/>
  <c r="N532" i="1"/>
  <c r="O532" i="1"/>
  <c r="P532" i="1"/>
  <c r="Q532" i="1"/>
  <c r="M533" i="1"/>
  <c r="N533" i="1"/>
  <c r="O533" i="1"/>
  <c r="P533" i="1"/>
  <c r="Q533" i="1"/>
  <c r="M534" i="1"/>
  <c r="N534" i="1"/>
  <c r="O534" i="1"/>
  <c r="P534" i="1"/>
  <c r="Q534" i="1"/>
  <c r="M535" i="1"/>
  <c r="N535" i="1"/>
  <c r="O535" i="1"/>
  <c r="P535" i="1"/>
  <c r="Q535" i="1"/>
  <c r="M536" i="1"/>
  <c r="N536" i="1"/>
  <c r="O536" i="1"/>
  <c r="P536" i="1"/>
  <c r="Q536" i="1"/>
  <c r="M537" i="1"/>
  <c r="N537" i="1"/>
  <c r="O537" i="1"/>
  <c r="P537" i="1"/>
  <c r="Q537" i="1"/>
  <c r="M538" i="1"/>
  <c r="N538" i="1"/>
  <c r="O538" i="1"/>
  <c r="P538" i="1"/>
  <c r="Q538" i="1"/>
  <c r="M539" i="1"/>
  <c r="N539" i="1"/>
  <c r="O539" i="1"/>
  <c r="P539" i="1"/>
  <c r="Q539" i="1"/>
  <c r="M540" i="1"/>
  <c r="N540" i="1"/>
  <c r="O540" i="1"/>
  <c r="P540" i="1"/>
  <c r="Q540" i="1"/>
  <c r="M541" i="1"/>
  <c r="N541" i="1"/>
  <c r="O541" i="1"/>
  <c r="P541" i="1"/>
  <c r="Q541" i="1"/>
  <c r="M542" i="1"/>
  <c r="N542" i="1"/>
  <c r="O542" i="1"/>
  <c r="P542" i="1"/>
  <c r="Q542" i="1"/>
  <c r="M543" i="1"/>
  <c r="N543" i="1"/>
  <c r="O543" i="1"/>
  <c r="P543" i="1"/>
  <c r="Q543" i="1"/>
  <c r="M544" i="1"/>
  <c r="N544" i="1"/>
  <c r="O544" i="1"/>
  <c r="P544" i="1"/>
  <c r="Q544" i="1"/>
  <c r="M545" i="1"/>
  <c r="N545" i="1"/>
  <c r="O545" i="1"/>
  <c r="P545" i="1"/>
  <c r="Q545" i="1"/>
  <c r="M546" i="1"/>
  <c r="N546" i="1"/>
  <c r="O546" i="1"/>
  <c r="P546" i="1"/>
  <c r="Q546" i="1"/>
  <c r="M547" i="1"/>
  <c r="N547" i="1"/>
  <c r="O547" i="1"/>
  <c r="P547" i="1"/>
  <c r="Q547" i="1"/>
  <c r="M548" i="1"/>
  <c r="N548" i="1"/>
  <c r="O548" i="1"/>
  <c r="P548" i="1"/>
  <c r="Q548" i="1"/>
  <c r="M549" i="1"/>
  <c r="N549" i="1"/>
  <c r="O549" i="1"/>
  <c r="P549" i="1"/>
  <c r="Q549" i="1"/>
  <c r="M550" i="1"/>
  <c r="N550" i="1"/>
  <c r="O550" i="1"/>
  <c r="P550" i="1"/>
  <c r="Q550" i="1"/>
  <c r="M551" i="1"/>
  <c r="N551" i="1"/>
  <c r="O551" i="1"/>
  <c r="P551" i="1"/>
  <c r="Q551" i="1"/>
  <c r="M552" i="1"/>
  <c r="N552" i="1"/>
  <c r="O552" i="1"/>
  <c r="P552" i="1"/>
  <c r="Q552" i="1"/>
  <c r="M553" i="1"/>
  <c r="N553" i="1"/>
  <c r="O553" i="1"/>
  <c r="P553" i="1"/>
  <c r="Q553" i="1"/>
  <c r="M554" i="1"/>
  <c r="N554" i="1"/>
  <c r="O554" i="1"/>
  <c r="P554" i="1"/>
  <c r="Q554" i="1"/>
  <c r="M555" i="1"/>
  <c r="N555" i="1"/>
  <c r="O555" i="1"/>
  <c r="P555" i="1"/>
  <c r="Q555" i="1"/>
  <c r="M556" i="1"/>
  <c r="N556" i="1"/>
  <c r="O556" i="1"/>
  <c r="P556" i="1"/>
  <c r="Q556" i="1"/>
  <c r="M557" i="1"/>
  <c r="N557" i="1"/>
  <c r="O557" i="1"/>
  <c r="P557" i="1"/>
  <c r="Q557" i="1"/>
  <c r="M558" i="1"/>
  <c r="N558" i="1"/>
  <c r="O558" i="1"/>
  <c r="P558" i="1"/>
  <c r="Q558" i="1"/>
  <c r="M559" i="1"/>
  <c r="N559" i="1"/>
  <c r="O559" i="1"/>
  <c r="P559" i="1"/>
  <c r="Q559" i="1"/>
  <c r="M560" i="1"/>
  <c r="N560" i="1"/>
  <c r="O560" i="1"/>
  <c r="P560" i="1"/>
  <c r="Q560" i="1"/>
  <c r="M561" i="1"/>
  <c r="N561" i="1"/>
  <c r="O561" i="1"/>
  <c r="P561" i="1"/>
  <c r="Q561" i="1"/>
  <c r="M562" i="1"/>
  <c r="N562" i="1"/>
  <c r="O562" i="1"/>
  <c r="P562" i="1"/>
  <c r="Q562" i="1"/>
  <c r="M563" i="1"/>
  <c r="N563" i="1"/>
  <c r="O563" i="1"/>
  <c r="P563" i="1"/>
  <c r="Q563" i="1"/>
  <c r="M564" i="1"/>
  <c r="N564" i="1"/>
  <c r="O564" i="1"/>
  <c r="P564" i="1"/>
  <c r="Q564" i="1"/>
  <c r="M565" i="1"/>
  <c r="N565" i="1"/>
  <c r="O565" i="1"/>
  <c r="P565" i="1"/>
  <c r="Q565" i="1"/>
  <c r="M566" i="1"/>
  <c r="N566" i="1"/>
  <c r="O566" i="1"/>
  <c r="P566" i="1"/>
  <c r="Q566" i="1"/>
  <c r="M567" i="1"/>
  <c r="N567" i="1"/>
  <c r="O567" i="1"/>
  <c r="P567" i="1"/>
  <c r="Q567" i="1"/>
  <c r="M568" i="1"/>
  <c r="N568" i="1"/>
  <c r="O568" i="1"/>
  <c r="P568" i="1"/>
  <c r="Q568" i="1"/>
  <c r="M569" i="1"/>
  <c r="N569" i="1"/>
  <c r="O569" i="1"/>
  <c r="P569" i="1"/>
  <c r="Q569" i="1"/>
  <c r="M570" i="1"/>
  <c r="N570" i="1"/>
  <c r="O570" i="1"/>
  <c r="P570" i="1"/>
  <c r="Q570" i="1"/>
  <c r="M571" i="1"/>
  <c r="N571" i="1"/>
  <c r="O571" i="1"/>
  <c r="P571" i="1"/>
  <c r="Q571" i="1"/>
  <c r="M572" i="1"/>
  <c r="N572" i="1"/>
  <c r="O572" i="1"/>
  <c r="P572" i="1"/>
  <c r="Q572" i="1"/>
  <c r="M573" i="1"/>
  <c r="N573" i="1"/>
  <c r="O573" i="1"/>
  <c r="P573" i="1"/>
  <c r="Q573" i="1"/>
  <c r="M574" i="1"/>
  <c r="N574" i="1"/>
  <c r="O574" i="1"/>
  <c r="P574" i="1"/>
  <c r="Q574" i="1"/>
  <c r="M575" i="1"/>
  <c r="N575" i="1"/>
  <c r="O575" i="1"/>
  <c r="P575" i="1"/>
  <c r="Q575" i="1"/>
  <c r="M576" i="1"/>
  <c r="N576" i="1"/>
  <c r="O576" i="1"/>
  <c r="P576" i="1"/>
  <c r="Q576" i="1"/>
  <c r="M577" i="1"/>
  <c r="N577" i="1"/>
  <c r="O577" i="1"/>
  <c r="P577" i="1"/>
  <c r="Q577" i="1"/>
  <c r="M578" i="1"/>
  <c r="N578" i="1"/>
  <c r="O578" i="1"/>
  <c r="P578" i="1"/>
  <c r="Q578" i="1"/>
  <c r="M579" i="1"/>
  <c r="N579" i="1"/>
  <c r="O579" i="1"/>
  <c r="P579" i="1"/>
  <c r="Q579" i="1"/>
  <c r="M580" i="1"/>
  <c r="N580" i="1"/>
  <c r="O580" i="1"/>
  <c r="P580" i="1"/>
  <c r="Q580" i="1"/>
  <c r="M581" i="1"/>
  <c r="N581" i="1"/>
  <c r="O581" i="1"/>
  <c r="P581" i="1"/>
  <c r="Q581" i="1"/>
  <c r="M582" i="1"/>
  <c r="N582" i="1"/>
  <c r="O582" i="1"/>
  <c r="P582" i="1"/>
  <c r="Q582" i="1"/>
  <c r="M583" i="1"/>
  <c r="N583" i="1"/>
  <c r="O583" i="1"/>
  <c r="P583" i="1"/>
  <c r="Q583" i="1"/>
  <c r="M584" i="1"/>
  <c r="N584" i="1"/>
  <c r="O584" i="1"/>
  <c r="P584" i="1"/>
  <c r="Q584" i="1"/>
  <c r="M585" i="1"/>
  <c r="N585" i="1"/>
  <c r="O585" i="1"/>
  <c r="P585" i="1"/>
  <c r="Q585" i="1"/>
  <c r="M586" i="1"/>
  <c r="N586" i="1"/>
  <c r="O586" i="1"/>
  <c r="P586" i="1"/>
  <c r="Q586" i="1"/>
  <c r="M587" i="1"/>
  <c r="N587" i="1"/>
  <c r="O587" i="1"/>
  <c r="P587" i="1"/>
  <c r="Q587" i="1"/>
  <c r="M588" i="1"/>
  <c r="N588" i="1"/>
  <c r="O588" i="1"/>
  <c r="P588" i="1"/>
  <c r="Q588" i="1"/>
  <c r="M589" i="1"/>
  <c r="N589" i="1"/>
  <c r="O589" i="1"/>
  <c r="P589" i="1"/>
  <c r="Q589" i="1"/>
  <c r="M590" i="1"/>
  <c r="N590" i="1"/>
  <c r="O590" i="1"/>
  <c r="P590" i="1"/>
  <c r="Q590" i="1"/>
  <c r="M591" i="1"/>
  <c r="N591" i="1"/>
  <c r="O591" i="1"/>
  <c r="P591" i="1"/>
  <c r="Q591" i="1"/>
  <c r="M592" i="1"/>
  <c r="N592" i="1"/>
  <c r="O592" i="1"/>
  <c r="P592" i="1"/>
  <c r="Q592" i="1"/>
  <c r="M593" i="1"/>
  <c r="N593" i="1"/>
  <c r="O593" i="1"/>
  <c r="P593" i="1"/>
  <c r="Q593" i="1"/>
  <c r="M594" i="1"/>
  <c r="N594" i="1"/>
  <c r="O594" i="1"/>
  <c r="P594" i="1"/>
  <c r="Q594" i="1"/>
  <c r="M595" i="1"/>
  <c r="N595" i="1"/>
  <c r="O595" i="1"/>
  <c r="P595" i="1"/>
  <c r="Q595" i="1"/>
  <c r="M596" i="1"/>
  <c r="N596" i="1"/>
  <c r="O596" i="1"/>
  <c r="P596" i="1"/>
  <c r="Q596" i="1"/>
  <c r="M597" i="1"/>
  <c r="N597" i="1"/>
  <c r="O597" i="1"/>
  <c r="P597" i="1"/>
  <c r="Q597" i="1"/>
  <c r="M598" i="1"/>
  <c r="N598" i="1"/>
  <c r="O598" i="1"/>
  <c r="P598" i="1"/>
  <c r="Q598" i="1"/>
  <c r="M599" i="1"/>
  <c r="N599" i="1"/>
  <c r="O599" i="1"/>
  <c r="P599" i="1"/>
  <c r="Q599" i="1"/>
  <c r="M600" i="1"/>
  <c r="N600" i="1"/>
  <c r="O600" i="1"/>
  <c r="P600" i="1"/>
  <c r="Q600" i="1"/>
  <c r="M601" i="1"/>
  <c r="N601" i="1"/>
  <c r="O601" i="1"/>
  <c r="P601" i="1"/>
  <c r="Q601" i="1"/>
  <c r="M602" i="1"/>
  <c r="N602" i="1"/>
  <c r="O602" i="1"/>
  <c r="P602" i="1"/>
  <c r="Q602" i="1"/>
  <c r="M603" i="1"/>
  <c r="N603" i="1"/>
  <c r="O603" i="1"/>
  <c r="P603" i="1"/>
  <c r="Q603" i="1"/>
  <c r="M604" i="1"/>
  <c r="N604" i="1"/>
  <c r="O604" i="1"/>
  <c r="P604" i="1"/>
  <c r="Q604" i="1"/>
  <c r="M605" i="1"/>
  <c r="N605" i="1"/>
  <c r="O605" i="1"/>
  <c r="P605" i="1"/>
  <c r="Q605" i="1"/>
  <c r="M606" i="1"/>
  <c r="N606" i="1"/>
  <c r="O606" i="1"/>
  <c r="P606" i="1"/>
  <c r="Q606" i="1"/>
  <c r="M607" i="1"/>
  <c r="N607" i="1"/>
  <c r="O607" i="1"/>
  <c r="P607" i="1"/>
  <c r="Q607" i="1"/>
  <c r="M608" i="1"/>
  <c r="N608" i="1"/>
  <c r="O608" i="1"/>
  <c r="P608" i="1"/>
  <c r="Q608" i="1"/>
  <c r="M609" i="1"/>
  <c r="N609" i="1"/>
  <c r="O609" i="1"/>
  <c r="P609" i="1"/>
  <c r="Q609" i="1"/>
  <c r="M610" i="1"/>
  <c r="N610" i="1"/>
  <c r="O610" i="1"/>
  <c r="P610" i="1"/>
  <c r="Q610" i="1"/>
  <c r="M611" i="1"/>
  <c r="N611" i="1"/>
  <c r="O611" i="1"/>
  <c r="P611" i="1"/>
  <c r="Q611" i="1"/>
  <c r="M612" i="1"/>
  <c r="N612" i="1"/>
  <c r="O612" i="1"/>
  <c r="P612" i="1"/>
  <c r="Q612" i="1"/>
  <c r="M613" i="1"/>
  <c r="N613" i="1"/>
  <c r="O613" i="1"/>
  <c r="P613" i="1"/>
  <c r="Q613" i="1"/>
  <c r="M614" i="1"/>
  <c r="N614" i="1"/>
  <c r="O614" i="1"/>
  <c r="P614" i="1"/>
  <c r="Q614" i="1"/>
  <c r="M615" i="1"/>
  <c r="N615" i="1"/>
  <c r="O615" i="1"/>
  <c r="P615" i="1"/>
  <c r="Q615" i="1"/>
  <c r="M616" i="1"/>
  <c r="N616" i="1"/>
  <c r="O616" i="1"/>
  <c r="P616" i="1"/>
  <c r="Q616" i="1"/>
  <c r="M617" i="1"/>
  <c r="N617" i="1"/>
  <c r="O617" i="1"/>
  <c r="P617" i="1"/>
  <c r="Q617" i="1"/>
  <c r="M618" i="1"/>
  <c r="N618" i="1"/>
  <c r="O618" i="1"/>
  <c r="P618" i="1"/>
  <c r="Q618" i="1"/>
  <c r="M619" i="1"/>
  <c r="N619" i="1"/>
  <c r="O619" i="1"/>
  <c r="P619" i="1"/>
  <c r="Q619" i="1"/>
  <c r="M620" i="1"/>
  <c r="N620" i="1"/>
  <c r="O620" i="1"/>
  <c r="P620" i="1"/>
  <c r="Q620" i="1"/>
  <c r="M621" i="1"/>
  <c r="N621" i="1"/>
  <c r="O621" i="1"/>
  <c r="P621" i="1"/>
  <c r="Q621" i="1"/>
  <c r="M622" i="1"/>
  <c r="N622" i="1"/>
  <c r="O622" i="1"/>
  <c r="P622" i="1"/>
  <c r="Q622" i="1"/>
  <c r="M623" i="1"/>
  <c r="N623" i="1"/>
  <c r="O623" i="1"/>
  <c r="P623" i="1"/>
  <c r="Q623" i="1"/>
  <c r="M624" i="1"/>
  <c r="N624" i="1"/>
  <c r="O624" i="1"/>
  <c r="P624" i="1"/>
  <c r="Q624" i="1"/>
  <c r="M625" i="1"/>
  <c r="N625" i="1"/>
  <c r="O625" i="1"/>
  <c r="P625" i="1"/>
  <c r="Q625" i="1"/>
  <c r="M626" i="1"/>
  <c r="N626" i="1"/>
  <c r="O626" i="1"/>
  <c r="P626" i="1"/>
  <c r="Q626" i="1"/>
  <c r="M627" i="1"/>
  <c r="N627" i="1"/>
  <c r="O627" i="1"/>
  <c r="P627" i="1"/>
  <c r="Q627" i="1"/>
  <c r="M628" i="1"/>
  <c r="N628" i="1"/>
  <c r="O628" i="1"/>
  <c r="P628" i="1"/>
  <c r="Q628" i="1"/>
  <c r="M629" i="1"/>
  <c r="N629" i="1"/>
  <c r="O629" i="1"/>
  <c r="P629" i="1"/>
  <c r="Q629" i="1"/>
  <c r="M630" i="1"/>
  <c r="N630" i="1"/>
  <c r="O630" i="1"/>
  <c r="P630" i="1"/>
  <c r="Q630" i="1"/>
  <c r="M631" i="1"/>
  <c r="N631" i="1"/>
  <c r="O631" i="1"/>
  <c r="P631" i="1"/>
  <c r="Q631" i="1"/>
  <c r="M632" i="1"/>
  <c r="N632" i="1"/>
  <c r="O632" i="1"/>
  <c r="P632" i="1"/>
  <c r="Q632" i="1"/>
  <c r="M633" i="1"/>
  <c r="N633" i="1"/>
  <c r="O633" i="1"/>
  <c r="P633" i="1"/>
  <c r="Q633" i="1"/>
  <c r="M634" i="1"/>
  <c r="N634" i="1"/>
  <c r="O634" i="1"/>
  <c r="P634" i="1"/>
  <c r="Q634" i="1"/>
  <c r="M635" i="1"/>
  <c r="N635" i="1"/>
  <c r="O635" i="1"/>
  <c r="P635" i="1"/>
  <c r="Q635" i="1"/>
  <c r="M636" i="1"/>
  <c r="N636" i="1"/>
  <c r="O636" i="1"/>
  <c r="P636" i="1"/>
  <c r="Q636" i="1"/>
  <c r="M637" i="1"/>
  <c r="N637" i="1"/>
  <c r="O637" i="1"/>
  <c r="P637" i="1"/>
  <c r="Q637" i="1"/>
  <c r="M638" i="1"/>
  <c r="N638" i="1"/>
  <c r="O638" i="1"/>
  <c r="P638" i="1"/>
  <c r="Q638" i="1"/>
  <c r="M639" i="1"/>
  <c r="N639" i="1"/>
  <c r="O639" i="1"/>
  <c r="P639" i="1"/>
  <c r="Q639" i="1"/>
  <c r="M640" i="1"/>
  <c r="N640" i="1"/>
  <c r="O640" i="1"/>
  <c r="P640" i="1"/>
  <c r="Q640" i="1"/>
  <c r="M641" i="1"/>
  <c r="N641" i="1"/>
  <c r="O641" i="1"/>
  <c r="P641" i="1"/>
  <c r="Q641" i="1"/>
  <c r="M642" i="1"/>
  <c r="N642" i="1"/>
  <c r="O642" i="1"/>
  <c r="P642" i="1"/>
  <c r="Q642" i="1"/>
  <c r="M643" i="1"/>
  <c r="N643" i="1"/>
  <c r="O643" i="1"/>
  <c r="P643" i="1"/>
  <c r="Q643" i="1"/>
  <c r="M644" i="1"/>
  <c r="N644" i="1"/>
  <c r="O644" i="1"/>
  <c r="P644" i="1"/>
  <c r="Q644" i="1"/>
  <c r="M645" i="1"/>
  <c r="N645" i="1"/>
  <c r="O645" i="1"/>
  <c r="P645" i="1"/>
  <c r="Q645" i="1"/>
  <c r="M646" i="1"/>
  <c r="N646" i="1"/>
  <c r="O646" i="1"/>
  <c r="P646" i="1"/>
  <c r="Q646" i="1"/>
  <c r="M647" i="1"/>
  <c r="N647" i="1"/>
  <c r="O647" i="1"/>
  <c r="P647" i="1"/>
  <c r="Q647" i="1"/>
  <c r="M648" i="1"/>
  <c r="N648" i="1"/>
  <c r="O648" i="1"/>
  <c r="P648" i="1"/>
  <c r="Q648" i="1"/>
  <c r="M649" i="1"/>
  <c r="N649" i="1"/>
  <c r="O649" i="1"/>
  <c r="P649" i="1"/>
  <c r="Q649" i="1"/>
  <c r="M650" i="1"/>
  <c r="N650" i="1"/>
  <c r="O650" i="1"/>
  <c r="P650" i="1"/>
  <c r="Q650" i="1"/>
  <c r="M651" i="1"/>
  <c r="N651" i="1"/>
  <c r="O651" i="1"/>
  <c r="P651" i="1"/>
  <c r="Q651" i="1"/>
  <c r="M652" i="1"/>
  <c r="N652" i="1"/>
  <c r="O652" i="1"/>
  <c r="P652" i="1"/>
  <c r="Q652" i="1"/>
  <c r="M653" i="1"/>
  <c r="N653" i="1"/>
  <c r="O653" i="1"/>
  <c r="P653" i="1"/>
  <c r="Q653" i="1"/>
  <c r="M654" i="1"/>
  <c r="N654" i="1"/>
  <c r="O654" i="1"/>
  <c r="P654" i="1"/>
  <c r="Q654" i="1"/>
  <c r="M655" i="1"/>
  <c r="N655" i="1"/>
  <c r="O655" i="1"/>
  <c r="P655" i="1"/>
  <c r="Q655" i="1"/>
  <c r="M656" i="1"/>
  <c r="N656" i="1"/>
  <c r="O656" i="1"/>
  <c r="P656" i="1"/>
  <c r="Q656" i="1"/>
  <c r="M657" i="1"/>
  <c r="N657" i="1"/>
  <c r="O657" i="1"/>
  <c r="P657" i="1"/>
  <c r="Q657" i="1"/>
  <c r="M658" i="1"/>
  <c r="N658" i="1"/>
  <c r="O658" i="1"/>
  <c r="P658" i="1"/>
  <c r="Q658" i="1"/>
  <c r="M659" i="1"/>
  <c r="N659" i="1"/>
  <c r="O659" i="1"/>
  <c r="P659" i="1"/>
  <c r="Q659" i="1"/>
  <c r="M660" i="1"/>
  <c r="N660" i="1"/>
  <c r="O660" i="1"/>
  <c r="P660" i="1"/>
  <c r="Q660" i="1"/>
  <c r="M661" i="1"/>
  <c r="N661" i="1"/>
  <c r="O661" i="1"/>
  <c r="P661" i="1"/>
  <c r="Q661" i="1"/>
  <c r="M662" i="1"/>
  <c r="N662" i="1"/>
  <c r="O662" i="1"/>
  <c r="P662" i="1"/>
  <c r="Q662" i="1"/>
  <c r="M663" i="1"/>
  <c r="N663" i="1"/>
  <c r="O663" i="1"/>
  <c r="P663" i="1"/>
  <c r="Q663" i="1"/>
  <c r="M664" i="1"/>
  <c r="N664" i="1"/>
  <c r="O664" i="1"/>
  <c r="P664" i="1"/>
  <c r="Q664" i="1"/>
  <c r="M665" i="1"/>
  <c r="N665" i="1"/>
  <c r="O665" i="1"/>
  <c r="P665" i="1"/>
  <c r="Q665" i="1"/>
  <c r="M666" i="1"/>
  <c r="N666" i="1"/>
  <c r="O666" i="1"/>
  <c r="P666" i="1"/>
  <c r="Q666" i="1"/>
  <c r="M667" i="1"/>
  <c r="N667" i="1"/>
  <c r="O667" i="1"/>
  <c r="P667" i="1"/>
  <c r="Q667" i="1"/>
  <c r="M668" i="1"/>
  <c r="N668" i="1"/>
  <c r="O668" i="1"/>
  <c r="P668" i="1"/>
  <c r="Q668" i="1"/>
  <c r="M669" i="1"/>
  <c r="N669" i="1"/>
  <c r="O669" i="1"/>
  <c r="P669" i="1"/>
  <c r="Q669" i="1"/>
  <c r="M670" i="1"/>
  <c r="N670" i="1"/>
  <c r="O670" i="1"/>
  <c r="P670" i="1"/>
  <c r="Q670" i="1"/>
  <c r="M671" i="1"/>
  <c r="N671" i="1"/>
  <c r="O671" i="1"/>
  <c r="P671" i="1"/>
  <c r="Q671" i="1"/>
  <c r="M672" i="1"/>
  <c r="N672" i="1"/>
  <c r="O672" i="1"/>
  <c r="P672" i="1"/>
  <c r="Q672" i="1"/>
  <c r="M673" i="1"/>
  <c r="N673" i="1"/>
  <c r="O673" i="1"/>
  <c r="P673" i="1"/>
  <c r="Q673" i="1"/>
  <c r="M674" i="1"/>
  <c r="N674" i="1"/>
  <c r="O674" i="1"/>
  <c r="P674" i="1"/>
  <c r="Q674" i="1"/>
  <c r="M675" i="1"/>
  <c r="N675" i="1"/>
  <c r="O675" i="1"/>
  <c r="P675" i="1"/>
  <c r="Q675" i="1"/>
  <c r="M676" i="1"/>
  <c r="N676" i="1"/>
  <c r="O676" i="1"/>
  <c r="P676" i="1"/>
  <c r="Q676" i="1"/>
  <c r="M677" i="1"/>
  <c r="N677" i="1"/>
  <c r="O677" i="1"/>
  <c r="P677" i="1"/>
  <c r="Q677" i="1"/>
  <c r="M678" i="1"/>
  <c r="N678" i="1"/>
  <c r="O678" i="1"/>
  <c r="P678" i="1"/>
  <c r="Q678" i="1"/>
  <c r="M679" i="1"/>
  <c r="N679" i="1"/>
  <c r="O679" i="1"/>
  <c r="P679" i="1"/>
  <c r="Q679" i="1"/>
  <c r="M680" i="1"/>
  <c r="N680" i="1"/>
  <c r="O680" i="1"/>
  <c r="P680" i="1"/>
  <c r="Q680" i="1"/>
  <c r="M681" i="1"/>
  <c r="N681" i="1"/>
  <c r="O681" i="1"/>
  <c r="P681" i="1"/>
  <c r="Q681" i="1"/>
  <c r="M682" i="1"/>
  <c r="N682" i="1"/>
  <c r="O682" i="1"/>
  <c r="P682" i="1"/>
  <c r="Q682" i="1"/>
  <c r="M683" i="1"/>
  <c r="N683" i="1"/>
  <c r="O683" i="1"/>
  <c r="P683" i="1"/>
  <c r="Q683" i="1"/>
  <c r="M684" i="1"/>
  <c r="N684" i="1"/>
  <c r="O684" i="1"/>
  <c r="P684" i="1"/>
  <c r="Q684" i="1"/>
  <c r="M685" i="1"/>
  <c r="N685" i="1"/>
  <c r="O685" i="1"/>
  <c r="P685" i="1"/>
  <c r="Q685" i="1"/>
  <c r="M686" i="1"/>
  <c r="N686" i="1"/>
  <c r="O686" i="1"/>
  <c r="P686" i="1"/>
  <c r="Q686" i="1"/>
  <c r="M687" i="1"/>
  <c r="N687" i="1"/>
  <c r="O687" i="1"/>
  <c r="P687" i="1"/>
  <c r="Q687" i="1"/>
  <c r="M688" i="1"/>
  <c r="N688" i="1"/>
  <c r="O688" i="1"/>
  <c r="P688" i="1"/>
  <c r="Q688" i="1"/>
  <c r="M689" i="1"/>
  <c r="N689" i="1"/>
  <c r="O689" i="1"/>
  <c r="P689" i="1"/>
  <c r="Q689" i="1"/>
  <c r="M690" i="1"/>
  <c r="N690" i="1"/>
  <c r="O690" i="1"/>
  <c r="P690" i="1"/>
  <c r="Q690" i="1"/>
  <c r="M691" i="1"/>
  <c r="N691" i="1"/>
  <c r="O691" i="1"/>
  <c r="P691" i="1"/>
  <c r="Q691" i="1"/>
  <c r="M692" i="1"/>
  <c r="N692" i="1"/>
  <c r="O692" i="1"/>
  <c r="P692" i="1"/>
  <c r="Q692" i="1"/>
  <c r="M693" i="1"/>
  <c r="N693" i="1"/>
  <c r="O693" i="1"/>
  <c r="P693" i="1"/>
  <c r="Q693" i="1"/>
  <c r="M694" i="1"/>
  <c r="N694" i="1"/>
  <c r="O694" i="1"/>
  <c r="P694" i="1"/>
  <c r="Q694" i="1"/>
  <c r="M695" i="1"/>
  <c r="N695" i="1"/>
  <c r="O695" i="1"/>
  <c r="P695" i="1"/>
  <c r="Q695" i="1"/>
  <c r="M696" i="1"/>
  <c r="N696" i="1"/>
  <c r="O696" i="1"/>
  <c r="P696" i="1"/>
  <c r="Q696" i="1"/>
  <c r="M697" i="1"/>
  <c r="N697" i="1"/>
  <c r="O697" i="1"/>
  <c r="P697" i="1"/>
  <c r="Q697" i="1"/>
  <c r="M698" i="1"/>
  <c r="N698" i="1"/>
  <c r="O698" i="1"/>
  <c r="P698" i="1"/>
  <c r="Q698" i="1"/>
  <c r="M699" i="1"/>
  <c r="N699" i="1"/>
  <c r="O699" i="1"/>
  <c r="P699" i="1"/>
  <c r="Q699" i="1"/>
  <c r="M700" i="1"/>
  <c r="N700" i="1"/>
  <c r="O700" i="1"/>
  <c r="P700" i="1"/>
  <c r="Q700" i="1"/>
  <c r="M701" i="1"/>
  <c r="N701" i="1"/>
  <c r="O701" i="1"/>
  <c r="P701" i="1"/>
  <c r="Q701" i="1"/>
  <c r="M702" i="1"/>
  <c r="N702" i="1"/>
  <c r="O702" i="1"/>
  <c r="P702" i="1"/>
  <c r="Q702" i="1"/>
  <c r="M703" i="1"/>
  <c r="N703" i="1"/>
  <c r="O703" i="1"/>
  <c r="P703" i="1"/>
  <c r="Q703" i="1"/>
  <c r="M704" i="1"/>
  <c r="N704" i="1"/>
  <c r="O704" i="1"/>
  <c r="P704" i="1"/>
  <c r="Q704" i="1"/>
  <c r="M705" i="1"/>
  <c r="N705" i="1"/>
  <c r="O705" i="1"/>
  <c r="P705" i="1"/>
  <c r="Q705" i="1"/>
  <c r="M706" i="1"/>
  <c r="N706" i="1"/>
  <c r="O706" i="1"/>
  <c r="P706" i="1"/>
  <c r="Q706" i="1"/>
  <c r="M707" i="1"/>
  <c r="N707" i="1"/>
  <c r="O707" i="1"/>
  <c r="P707" i="1"/>
  <c r="Q707" i="1"/>
  <c r="M708" i="1"/>
  <c r="N708" i="1"/>
  <c r="O708" i="1"/>
  <c r="P708" i="1"/>
  <c r="Q708" i="1"/>
  <c r="M709" i="1"/>
  <c r="N709" i="1"/>
  <c r="O709" i="1"/>
  <c r="P709" i="1"/>
  <c r="Q709" i="1"/>
  <c r="M710" i="1"/>
  <c r="N710" i="1"/>
  <c r="O710" i="1"/>
  <c r="P710" i="1"/>
  <c r="Q710" i="1"/>
  <c r="M711" i="1"/>
  <c r="N711" i="1"/>
  <c r="O711" i="1"/>
  <c r="P711" i="1"/>
  <c r="Q711" i="1"/>
  <c r="M712" i="1"/>
  <c r="N712" i="1"/>
  <c r="O712" i="1"/>
  <c r="P712" i="1"/>
  <c r="Q712" i="1"/>
  <c r="M713" i="1"/>
  <c r="N713" i="1"/>
  <c r="O713" i="1"/>
  <c r="P713" i="1"/>
  <c r="Q713" i="1"/>
  <c r="M714" i="1"/>
  <c r="N714" i="1"/>
  <c r="O714" i="1"/>
  <c r="P714" i="1"/>
  <c r="Q714" i="1"/>
  <c r="M715" i="1"/>
  <c r="N715" i="1"/>
  <c r="O715" i="1"/>
  <c r="P715" i="1"/>
  <c r="Q715" i="1"/>
  <c r="M716" i="1"/>
  <c r="N716" i="1"/>
  <c r="O716" i="1"/>
  <c r="P716" i="1"/>
  <c r="Q716" i="1"/>
  <c r="M717" i="1"/>
  <c r="N717" i="1"/>
  <c r="O717" i="1"/>
  <c r="P717" i="1"/>
  <c r="Q717" i="1"/>
  <c r="M718" i="1"/>
  <c r="N718" i="1"/>
  <c r="O718" i="1"/>
  <c r="P718" i="1"/>
  <c r="Q718" i="1"/>
  <c r="M719" i="1"/>
  <c r="N719" i="1"/>
  <c r="O719" i="1"/>
  <c r="P719" i="1"/>
  <c r="Q719" i="1"/>
  <c r="M720" i="1"/>
  <c r="N720" i="1"/>
  <c r="O720" i="1"/>
  <c r="P720" i="1"/>
  <c r="Q720" i="1"/>
  <c r="M721" i="1"/>
  <c r="N721" i="1"/>
  <c r="O721" i="1"/>
  <c r="P721" i="1"/>
  <c r="Q721" i="1"/>
  <c r="M722" i="1"/>
  <c r="N722" i="1"/>
  <c r="O722" i="1"/>
  <c r="P722" i="1"/>
  <c r="Q722" i="1"/>
  <c r="M723" i="1"/>
  <c r="N723" i="1"/>
  <c r="O723" i="1"/>
  <c r="P723" i="1"/>
  <c r="Q723" i="1"/>
  <c r="M724" i="1"/>
  <c r="N724" i="1"/>
  <c r="O724" i="1"/>
  <c r="P724" i="1"/>
  <c r="Q724" i="1"/>
  <c r="M725" i="1"/>
  <c r="N725" i="1"/>
  <c r="O725" i="1"/>
  <c r="P725" i="1"/>
  <c r="Q725" i="1"/>
  <c r="M726" i="1"/>
  <c r="N726" i="1"/>
  <c r="O726" i="1"/>
  <c r="P726" i="1"/>
  <c r="Q726" i="1"/>
  <c r="M727" i="1"/>
  <c r="N727" i="1"/>
  <c r="O727" i="1"/>
  <c r="P727" i="1"/>
  <c r="Q727" i="1"/>
  <c r="M728" i="1"/>
  <c r="N728" i="1"/>
  <c r="O728" i="1"/>
  <c r="P728" i="1"/>
  <c r="Q728" i="1"/>
  <c r="M729" i="1"/>
  <c r="N729" i="1"/>
  <c r="O729" i="1"/>
  <c r="P729" i="1"/>
  <c r="Q729" i="1"/>
  <c r="M730" i="1"/>
  <c r="N730" i="1"/>
  <c r="O730" i="1"/>
  <c r="P730" i="1"/>
  <c r="Q730" i="1"/>
  <c r="M731" i="1"/>
  <c r="N731" i="1"/>
  <c r="O731" i="1"/>
  <c r="P731" i="1"/>
  <c r="Q731" i="1"/>
  <c r="M732" i="1"/>
  <c r="N732" i="1"/>
  <c r="O732" i="1"/>
  <c r="P732" i="1"/>
  <c r="Q732" i="1"/>
  <c r="M733" i="1"/>
  <c r="N733" i="1"/>
  <c r="O733" i="1"/>
  <c r="P733" i="1"/>
  <c r="Q733" i="1"/>
  <c r="M734" i="1"/>
  <c r="N734" i="1"/>
  <c r="O734" i="1"/>
  <c r="P734" i="1"/>
  <c r="Q734" i="1"/>
  <c r="M735" i="1"/>
  <c r="N735" i="1"/>
  <c r="O735" i="1"/>
  <c r="P735" i="1"/>
  <c r="Q735" i="1"/>
  <c r="M736" i="1"/>
  <c r="N736" i="1"/>
  <c r="O736" i="1"/>
  <c r="P736" i="1"/>
  <c r="Q736" i="1"/>
  <c r="M737" i="1"/>
  <c r="N737" i="1"/>
  <c r="O737" i="1"/>
  <c r="P737" i="1"/>
  <c r="Q737" i="1"/>
  <c r="M738" i="1"/>
  <c r="N738" i="1"/>
  <c r="O738" i="1"/>
  <c r="P738" i="1"/>
  <c r="Q738" i="1"/>
  <c r="M739" i="1"/>
  <c r="N739" i="1"/>
  <c r="O739" i="1"/>
  <c r="P739" i="1"/>
  <c r="Q739" i="1"/>
  <c r="M740" i="1"/>
  <c r="N740" i="1"/>
  <c r="O740" i="1"/>
  <c r="P740" i="1"/>
  <c r="Q740" i="1"/>
  <c r="M741" i="1"/>
  <c r="N741" i="1"/>
  <c r="O741" i="1"/>
  <c r="P741" i="1"/>
  <c r="Q741" i="1"/>
  <c r="M742" i="1"/>
  <c r="N742" i="1"/>
  <c r="O742" i="1"/>
  <c r="P742" i="1"/>
  <c r="Q742" i="1"/>
  <c r="M743" i="1"/>
  <c r="N743" i="1"/>
  <c r="O743" i="1"/>
  <c r="P743" i="1"/>
  <c r="Q743" i="1"/>
  <c r="M744" i="1"/>
  <c r="N744" i="1"/>
  <c r="O744" i="1"/>
  <c r="P744" i="1"/>
  <c r="Q744" i="1"/>
  <c r="M745" i="1"/>
  <c r="N745" i="1"/>
  <c r="O745" i="1"/>
  <c r="P745" i="1"/>
  <c r="Q745" i="1"/>
  <c r="M746" i="1"/>
  <c r="N746" i="1"/>
  <c r="O746" i="1"/>
  <c r="P746" i="1"/>
  <c r="Q746" i="1"/>
  <c r="M747" i="1"/>
  <c r="N747" i="1"/>
  <c r="O747" i="1"/>
  <c r="P747" i="1"/>
  <c r="Q747" i="1"/>
  <c r="M748" i="1"/>
  <c r="N748" i="1"/>
  <c r="O748" i="1"/>
  <c r="P748" i="1"/>
  <c r="Q748" i="1"/>
  <c r="M749" i="1"/>
  <c r="N749" i="1"/>
  <c r="O749" i="1"/>
  <c r="P749" i="1"/>
  <c r="Q749" i="1"/>
  <c r="M750" i="1"/>
  <c r="N750" i="1"/>
  <c r="O750" i="1"/>
  <c r="P750" i="1"/>
  <c r="Q750" i="1"/>
  <c r="M751" i="1"/>
  <c r="N751" i="1"/>
  <c r="O751" i="1"/>
  <c r="P751" i="1"/>
  <c r="Q751" i="1"/>
  <c r="M752" i="1"/>
  <c r="N752" i="1"/>
  <c r="O752" i="1"/>
  <c r="P752" i="1"/>
  <c r="Q752" i="1"/>
  <c r="M753" i="1"/>
  <c r="N753" i="1"/>
  <c r="O753" i="1"/>
  <c r="P753" i="1"/>
  <c r="Q753" i="1"/>
  <c r="M754" i="1"/>
  <c r="N754" i="1"/>
  <c r="O754" i="1"/>
  <c r="P754" i="1"/>
  <c r="Q754" i="1"/>
  <c r="M755" i="1"/>
  <c r="N755" i="1"/>
  <c r="O755" i="1"/>
  <c r="P755" i="1"/>
  <c r="Q755" i="1"/>
  <c r="M756" i="1"/>
  <c r="N756" i="1"/>
  <c r="O756" i="1"/>
  <c r="P756" i="1"/>
  <c r="Q756" i="1"/>
  <c r="M757" i="1"/>
  <c r="N757" i="1"/>
  <c r="O757" i="1"/>
  <c r="P757" i="1"/>
  <c r="Q757" i="1"/>
  <c r="M758" i="1"/>
  <c r="N758" i="1"/>
  <c r="O758" i="1"/>
  <c r="P758" i="1"/>
  <c r="Q758" i="1"/>
  <c r="M759" i="1"/>
  <c r="N759" i="1"/>
  <c r="O759" i="1"/>
  <c r="P759" i="1"/>
  <c r="Q759" i="1"/>
  <c r="M760" i="1"/>
  <c r="N760" i="1"/>
  <c r="O760" i="1"/>
  <c r="P760" i="1"/>
  <c r="Q760" i="1"/>
  <c r="M761" i="1"/>
  <c r="N761" i="1"/>
  <c r="O761" i="1"/>
  <c r="P761" i="1"/>
  <c r="Q761" i="1"/>
  <c r="M762" i="1"/>
  <c r="N762" i="1"/>
  <c r="O762" i="1"/>
  <c r="P762" i="1"/>
  <c r="Q762" i="1"/>
  <c r="M763" i="1"/>
  <c r="N763" i="1"/>
  <c r="O763" i="1"/>
  <c r="P763" i="1"/>
  <c r="Q763" i="1"/>
  <c r="M764" i="1"/>
  <c r="N764" i="1"/>
  <c r="O764" i="1"/>
  <c r="P764" i="1"/>
  <c r="Q764" i="1"/>
  <c r="M765" i="1"/>
  <c r="N765" i="1"/>
  <c r="O765" i="1"/>
  <c r="P765" i="1"/>
  <c r="Q765" i="1"/>
  <c r="M766" i="1"/>
  <c r="N766" i="1"/>
  <c r="O766" i="1"/>
  <c r="P766" i="1"/>
  <c r="Q766" i="1"/>
  <c r="M767" i="1"/>
  <c r="N767" i="1"/>
  <c r="O767" i="1"/>
  <c r="P767" i="1"/>
  <c r="Q767" i="1"/>
  <c r="M768" i="1"/>
  <c r="N768" i="1"/>
  <c r="O768" i="1"/>
  <c r="P768" i="1"/>
  <c r="Q768" i="1"/>
  <c r="M769" i="1"/>
  <c r="N769" i="1"/>
  <c r="O769" i="1"/>
  <c r="P769" i="1"/>
  <c r="Q769" i="1"/>
  <c r="M770" i="1"/>
  <c r="N770" i="1"/>
  <c r="O770" i="1"/>
  <c r="P770" i="1"/>
  <c r="Q770" i="1"/>
  <c r="M771" i="1"/>
  <c r="N771" i="1"/>
  <c r="O771" i="1"/>
  <c r="P771" i="1"/>
  <c r="Q771" i="1"/>
  <c r="M772" i="1"/>
  <c r="N772" i="1"/>
  <c r="O772" i="1"/>
  <c r="P772" i="1"/>
  <c r="Q772" i="1"/>
  <c r="M773" i="1"/>
  <c r="N773" i="1"/>
  <c r="O773" i="1"/>
  <c r="P773" i="1"/>
  <c r="Q773" i="1"/>
  <c r="M774" i="1"/>
  <c r="N774" i="1"/>
  <c r="O774" i="1"/>
  <c r="P774" i="1"/>
  <c r="Q774" i="1"/>
  <c r="M775" i="1"/>
  <c r="N775" i="1"/>
  <c r="O775" i="1"/>
  <c r="P775" i="1"/>
  <c r="Q775" i="1"/>
  <c r="M776" i="1"/>
  <c r="N776" i="1"/>
  <c r="O776" i="1"/>
  <c r="P776" i="1"/>
  <c r="Q776" i="1"/>
  <c r="M777" i="1"/>
  <c r="N777" i="1"/>
  <c r="O777" i="1"/>
  <c r="P777" i="1"/>
  <c r="Q777" i="1"/>
  <c r="M778" i="1"/>
  <c r="N778" i="1"/>
  <c r="O778" i="1"/>
  <c r="P778" i="1"/>
  <c r="Q778" i="1"/>
  <c r="M779" i="1"/>
  <c r="N779" i="1"/>
  <c r="O779" i="1"/>
  <c r="P779" i="1"/>
  <c r="Q779" i="1"/>
  <c r="M780" i="1"/>
  <c r="N780" i="1"/>
  <c r="O780" i="1"/>
  <c r="P780" i="1"/>
  <c r="Q780" i="1"/>
  <c r="M781" i="1"/>
  <c r="N781" i="1"/>
  <c r="O781" i="1"/>
  <c r="P781" i="1"/>
  <c r="Q781" i="1"/>
  <c r="M782" i="1"/>
  <c r="N782" i="1"/>
  <c r="O782" i="1"/>
  <c r="P782" i="1"/>
  <c r="Q782" i="1"/>
  <c r="M783" i="1"/>
  <c r="N783" i="1"/>
  <c r="O783" i="1"/>
  <c r="P783" i="1"/>
  <c r="Q783" i="1"/>
  <c r="M784" i="1"/>
  <c r="N784" i="1"/>
  <c r="O784" i="1"/>
  <c r="P784" i="1"/>
  <c r="Q784" i="1"/>
  <c r="M785" i="1"/>
  <c r="N785" i="1"/>
  <c r="O785" i="1"/>
  <c r="P785" i="1"/>
  <c r="Q785" i="1"/>
  <c r="M786" i="1"/>
  <c r="N786" i="1"/>
  <c r="O786" i="1"/>
  <c r="P786" i="1"/>
  <c r="Q786" i="1"/>
  <c r="M787" i="1"/>
  <c r="N787" i="1"/>
  <c r="O787" i="1"/>
  <c r="P787" i="1"/>
  <c r="Q787" i="1"/>
  <c r="M788" i="1"/>
  <c r="N788" i="1"/>
  <c r="O788" i="1"/>
  <c r="P788" i="1"/>
  <c r="Q788" i="1"/>
  <c r="M789" i="1"/>
  <c r="N789" i="1"/>
  <c r="O789" i="1"/>
  <c r="P789" i="1"/>
  <c r="Q789" i="1"/>
  <c r="M790" i="1"/>
  <c r="N790" i="1"/>
  <c r="O790" i="1"/>
  <c r="P790" i="1"/>
  <c r="Q790" i="1"/>
  <c r="M791" i="1"/>
  <c r="N791" i="1"/>
  <c r="O791" i="1"/>
  <c r="P791" i="1"/>
  <c r="Q791" i="1"/>
  <c r="M792" i="1"/>
  <c r="N792" i="1"/>
  <c r="O792" i="1"/>
  <c r="P792" i="1"/>
  <c r="Q792" i="1"/>
  <c r="M793" i="1"/>
  <c r="N793" i="1"/>
  <c r="O793" i="1"/>
  <c r="P793" i="1"/>
  <c r="Q793" i="1"/>
  <c r="M794" i="1"/>
  <c r="N794" i="1"/>
  <c r="O794" i="1"/>
  <c r="P794" i="1"/>
  <c r="Q794" i="1"/>
  <c r="M795" i="1"/>
  <c r="N795" i="1"/>
  <c r="O795" i="1"/>
  <c r="P795" i="1"/>
  <c r="Q795" i="1"/>
  <c r="M796" i="1"/>
  <c r="N796" i="1"/>
  <c r="O796" i="1"/>
  <c r="P796" i="1"/>
  <c r="Q796" i="1"/>
  <c r="M797" i="1"/>
  <c r="N797" i="1"/>
  <c r="O797" i="1"/>
  <c r="P797" i="1"/>
  <c r="Q797" i="1"/>
  <c r="M798" i="1"/>
  <c r="N798" i="1"/>
  <c r="O798" i="1"/>
  <c r="P798" i="1"/>
  <c r="Q798" i="1"/>
  <c r="M799" i="1"/>
  <c r="N799" i="1"/>
  <c r="O799" i="1"/>
  <c r="P799" i="1"/>
  <c r="Q799" i="1"/>
  <c r="M800" i="1"/>
  <c r="N800" i="1"/>
  <c r="O800" i="1"/>
  <c r="P800" i="1"/>
  <c r="Q800" i="1"/>
  <c r="M801" i="1"/>
  <c r="N801" i="1"/>
  <c r="O801" i="1"/>
  <c r="P801" i="1"/>
  <c r="Q801" i="1"/>
  <c r="M802" i="1"/>
  <c r="N802" i="1"/>
  <c r="O802" i="1"/>
  <c r="P802" i="1"/>
  <c r="Q802" i="1"/>
  <c r="M803" i="1"/>
  <c r="N803" i="1"/>
  <c r="O803" i="1"/>
  <c r="P803" i="1"/>
  <c r="Q803" i="1"/>
  <c r="M804" i="1"/>
  <c r="N804" i="1"/>
  <c r="O804" i="1"/>
  <c r="P804" i="1"/>
  <c r="Q804" i="1"/>
  <c r="M805" i="1"/>
  <c r="N805" i="1"/>
  <c r="O805" i="1"/>
  <c r="P805" i="1"/>
  <c r="Q805" i="1"/>
  <c r="M806" i="1"/>
  <c r="N806" i="1"/>
  <c r="O806" i="1"/>
  <c r="P806" i="1"/>
  <c r="Q806" i="1"/>
  <c r="M807" i="1"/>
  <c r="N807" i="1"/>
  <c r="O807" i="1"/>
  <c r="P807" i="1"/>
  <c r="Q807" i="1"/>
  <c r="M808" i="1"/>
  <c r="N808" i="1"/>
  <c r="O808" i="1"/>
  <c r="P808" i="1"/>
  <c r="Q808" i="1"/>
  <c r="M809" i="1"/>
  <c r="N809" i="1"/>
  <c r="O809" i="1"/>
  <c r="P809" i="1"/>
  <c r="Q809" i="1"/>
  <c r="M810" i="1"/>
  <c r="N810" i="1"/>
  <c r="O810" i="1"/>
  <c r="P810" i="1"/>
  <c r="Q810" i="1"/>
  <c r="M811" i="1"/>
  <c r="N811" i="1"/>
  <c r="O811" i="1"/>
  <c r="P811" i="1"/>
  <c r="Q811" i="1"/>
  <c r="M812" i="1"/>
  <c r="N812" i="1"/>
  <c r="O812" i="1"/>
  <c r="P812" i="1"/>
  <c r="Q812" i="1"/>
  <c r="M813" i="1"/>
  <c r="N813" i="1"/>
  <c r="O813" i="1"/>
  <c r="P813" i="1"/>
  <c r="Q813" i="1"/>
  <c r="M814" i="1"/>
  <c r="N814" i="1"/>
  <c r="O814" i="1"/>
  <c r="P814" i="1"/>
  <c r="Q814" i="1"/>
  <c r="M815" i="1"/>
  <c r="N815" i="1"/>
  <c r="O815" i="1"/>
  <c r="P815" i="1"/>
  <c r="Q815" i="1"/>
  <c r="M816" i="1"/>
  <c r="N816" i="1"/>
  <c r="O816" i="1"/>
  <c r="P816" i="1"/>
  <c r="Q816" i="1"/>
  <c r="M817" i="1"/>
  <c r="N817" i="1"/>
  <c r="O817" i="1"/>
  <c r="P817" i="1"/>
  <c r="Q817" i="1"/>
  <c r="M818" i="1"/>
  <c r="N818" i="1"/>
  <c r="O818" i="1"/>
  <c r="P818" i="1"/>
  <c r="Q818" i="1"/>
  <c r="M819" i="1"/>
  <c r="N819" i="1"/>
  <c r="O819" i="1"/>
  <c r="P819" i="1"/>
  <c r="Q819" i="1"/>
  <c r="M820" i="1"/>
  <c r="N820" i="1"/>
  <c r="O820" i="1"/>
  <c r="P820" i="1"/>
  <c r="Q820" i="1"/>
  <c r="M821" i="1"/>
  <c r="N821" i="1"/>
  <c r="O821" i="1"/>
  <c r="P821" i="1"/>
  <c r="Q821" i="1"/>
  <c r="M822" i="1"/>
  <c r="N822" i="1"/>
  <c r="O822" i="1"/>
  <c r="P822" i="1"/>
  <c r="Q822" i="1"/>
  <c r="M823" i="1"/>
  <c r="N823" i="1"/>
  <c r="O823" i="1"/>
  <c r="P823" i="1"/>
  <c r="Q823" i="1"/>
  <c r="M824" i="1"/>
  <c r="N824" i="1"/>
  <c r="O824" i="1"/>
  <c r="P824" i="1"/>
  <c r="Q824" i="1"/>
  <c r="M825" i="1"/>
  <c r="N825" i="1"/>
  <c r="O825" i="1"/>
  <c r="P825" i="1"/>
  <c r="Q825" i="1"/>
  <c r="M826" i="1"/>
  <c r="N826" i="1"/>
  <c r="O826" i="1"/>
  <c r="P826" i="1"/>
  <c r="Q826" i="1"/>
  <c r="M827" i="1"/>
  <c r="N827" i="1"/>
  <c r="O827" i="1"/>
  <c r="P827" i="1"/>
  <c r="Q827" i="1"/>
  <c r="M828" i="1"/>
  <c r="N828" i="1"/>
  <c r="O828" i="1"/>
  <c r="P828" i="1"/>
  <c r="Q828" i="1"/>
  <c r="M829" i="1"/>
  <c r="N829" i="1"/>
  <c r="O829" i="1"/>
  <c r="P829" i="1"/>
  <c r="Q829" i="1"/>
  <c r="M830" i="1"/>
  <c r="N830" i="1"/>
  <c r="O830" i="1"/>
  <c r="P830" i="1"/>
  <c r="Q830" i="1"/>
  <c r="M831" i="1"/>
  <c r="N831" i="1"/>
  <c r="O831" i="1"/>
  <c r="P831" i="1"/>
  <c r="Q831" i="1"/>
  <c r="M832" i="1"/>
  <c r="N832" i="1"/>
  <c r="O832" i="1"/>
  <c r="P832" i="1"/>
  <c r="Q832" i="1"/>
  <c r="M833" i="1"/>
  <c r="N833" i="1"/>
  <c r="O833" i="1"/>
  <c r="P833" i="1"/>
  <c r="Q833" i="1"/>
  <c r="M834" i="1"/>
  <c r="N834" i="1"/>
  <c r="O834" i="1"/>
  <c r="P834" i="1"/>
  <c r="Q834" i="1"/>
  <c r="M835" i="1"/>
  <c r="N835" i="1"/>
  <c r="O835" i="1"/>
  <c r="P835" i="1"/>
  <c r="Q835" i="1"/>
  <c r="M836" i="1"/>
  <c r="N836" i="1"/>
  <c r="O836" i="1"/>
  <c r="P836" i="1"/>
  <c r="Q836" i="1"/>
  <c r="M837" i="1"/>
  <c r="N837" i="1"/>
  <c r="O837" i="1"/>
  <c r="P837" i="1"/>
  <c r="Q837" i="1"/>
  <c r="M838" i="1"/>
  <c r="N838" i="1"/>
  <c r="O838" i="1"/>
  <c r="P838" i="1"/>
  <c r="Q838" i="1"/>
  <c r="M839" i="1"/>
  <c r="N839" i="1"/>
  <c r="O839" i="1"/>
  <c r="P839" i="1"/>
  <c r="Q839" i="1"/>
  <c r="M840" i="1"/>
  <c r="N840" i="1"/>
  <c r="O840" i="1"/>
  <c r="P840" i="1"/>
  <c r="Q840" i="1"/>
  <c r="M841" i="1"/>
  <c r="N841" i="1"/>
  <c r="O841" i="1"/>
  <c r="P841" i="1"/>
  <c r="Q841" i="1"/>
  <c r="M842" i="1"/>
  <c r="N842" i="1"/>
  <c r="O842" i="1"/>
  <c r="P842" i="1"/>
  <c r="Q842" i="1"/>
  <c r="M843" i="1"/>
  <c r="N843" i="1"/>
  <c r="O843" i="1"/>
  <c r="P843" i="1"/>
  <c r="Q843" i="1"/>
  <c r="M844" i="1"/>
  <c r="N844" i="1"/>
  <c r="O844" i="1"/>
  <c r="P844" i="1"/>
  <c r="Q844" i="1"/>
  <c r="M845" i="1"/>
  <c r="N845" i="1"/>
  <c r="O845" i="1"/>
  <c r="P845" i="1"/>
  <c r="Q845" i="1"/>
  <c r="M846" i="1"/>
  <c r="N846" i="1"/>
  <c r="O846" i="1"/>
  <c r="P846" i="1"/>
  <c r="Q846" i="1"/>
  <c r="M847" i="1"/>
  <c r="N847" i="1"/>
  <c r="O847" i="1"/>
  <c r="P847" i="1"/>
  <c r="Q847" i="1"/>
  <c r="M848" i="1"/>
  <c r="N848" i="1"/>
  <c r="O848" i="1"/>
  <c r="P848" i="1"/>
  <c r="Q848" i="1"/>
  <c r="M849" i="1"/>
  <c r="N849" i="1"/>
  <c r="O849" i="1"/>
  <c r="P849" i="1"/>
  <c r="Q849" i="1"/>
  <c r="M850" i="1"/>
  <c r="N850" i="1"/>
  <c r="O850" i="1"/>
  <c r="P850" i="1"/>
  <c r="Q850" i="1"/>
  <c r="M851" i="1"/>
  <c r="N851" i="1"/>
  <c r="O851" i="1"/>
  <c r="P851" i="1"/>
  <c r="Q851" i="1"/>
  <c r="M852" i="1"/>
  <c r="N852" i="1"/>
  <c r="O852" i="1"/>
  <c r="P852" i="1"/>
  <c r="Q852" i="1"/>
  <c r="M853" i="1"/>
  <c r="N853" i="1"/>
  <c r="O853" i="1"/>
  <c r="P853" i="1"/>
  <c r="Q853" i="1"/>
  <c r="M854" i="1"/>
  <c r="N854" i="1"/>
  <c r="O854" i="1"/>
  <c r="P854" i="1"/>
  <c r="Q854" i="1"/>
  <c r="M855" i="1"/>
  <c r="N855" i="1"/>
  <c r="O855" i="1"/>
  <c r="P855" i="1"/>
  <c r="Q855" i="1"/>
  <c r="M856" i="1"/>
  <c r="N856" i="1"/>
  <c r="O856" i="1"/>
  <c r="P856" i="1"/>
  <c r="Q856" i="1"/>
  <c r="M857" i="1"/>
  <c r="N857" i="1"/>
  <c r="O857" i="1"/>
  <c r="P857" i="1"/>
  <c r="Q857" i="1"/>
  <c r="M858" i="1"/>
  <c r="N858" i="1"/>
  <c r="O858" i="1"/>
  <c r="P858" i="1"/>
  <c r="Q858" i="1"/>
  <c r="M859" i="1"/>
  <c r="N859" i="1"/>
  <c r="O859" i="1"/>
  <c r="P859" i="1"/>
  <c r="Q859" i="1"/>
  <c r="M860" i="1"/>
  <c r="N860" i="1"/>
  <c r="O860" i="1"/>
  <c r="P860" i="1"/>
  <c r="Q860" i="1"/>
  <c r="M861" i="1"/>
  <c r="N861" i="1"/>
  <c r="O861" i="1"/>
  <c r="P861" i="1"/>
  <c r="Q861" i="1"/>
  <c r="M862" i="1"/>
  <c r="N862" i="1"/>
  <c r="O862" i="1"/>
  <c r="P862" i="1"/>
  <c r="Q862" i="1"/>
  <c r="M863" i="1"/>
  <c r="N863" i="1"/>
  <c r="O863" i="1"/>
  <c r="P863" i="1"/>
  <c r="Q863" i="1"/>
  <c r="M864" i="1"/>
  <c r="N864" i="1"/>
  <c r="O864" i="1"/>
  <c r="P864" i="1"/>
  <c r="Q864" i="1"/>
  <c r="M865" i="1"/>
  <c r="N865" i="1"/>
  <c r="O865" i="1"/>
  <c r="P865" i="1"/>
  <c r="Q865" i="1"/>
  <c r="M866" i="1"/>
  <c r="N866" i="1"/>
  <c r="O866" i="1"/>
  <c r="P866" i="1"/>
  <c r="Q866" i="1"/>
  <c r="M867" i="1"/>
  <c r="N867" i="1"/>
  <c r="O867" i="1"/>
  <c r="P867" i="1"/>
  <c r="Q867" i="1"/>
  <c r="M868" i="1"/>
  <c r="N868" i="1"/>
  <c r="O868" i="1"/>
  <c r="P868" i="1"/>
  <c r="Q868" i="1"/>
  <c r="M869" i="1"/>
  <c r="N869" i="1"/>
  <c r="O869" i="1"/>
  <c r="P869" i="1"/>
  <c r="Q869" i="1"/>
  <c r="M870" i="1"/>
  <c r="N870" i="1"/>
  <c r="O870" i="1"/>
  <c r="P870" i="1"/>
  <c r="Q870" i="1"/>
  <c r="M871" i="1"/>
  <c r="N871" i="1"/>
  <c r="O871" i="1"/>
  <c r="P871" i="1"/>
  <c r="Q871" i="1"/>
  <c r="M872" i="1"/>
  <c r="N872" i="1"/>
  <c r="O872" i="1"/>
  <c r="P872" i="1"/>
  <c r="Q872" i="1"/>
  <c r="M873" i="1"/>
  <c r="N873" i="1"/>
  <c r="O873" i="1"/>
  <c r="P873" i="1"/>
  <c r="Q873" i="1"/>
  <c r="M874" i="1"/>
  <c r="N874" i="1"/>
  <c r="O874" i="1"/>
  <c r="P874" i="1"/>
  <c r="Q874" i="1"/>
  <c r="M875" i="1"/>
  <c r="N875" i="1"/>
  <c r="O875" i="1"/>
  <c r="P875" i="1"/>
  <c r="Q875" i="1"/>
  <c r="M876" i="1"/>
  <c r="N876" i="1"/>
  <c r="O876" i="1"/>
  <c r="P876" i="1"/>
  <c r="Q876" i="1"/>
  <c r="M877" i="1"/>
  <c r="N877" i="1"/>
  <c r="O877" i="1"/>
  <c r="P877" i="1"/>
  <c r="Q877" i="1"/>
  <c r="M878" i="1"/>
  <c r="N878" i="1"/>
  <c r="O878" i="1"/>
  <c r="P878" i="1"/>
  <c r="Q878" i="1"/>
  <c r="M879" i="1"/>
  <c r="N879" i="1"/>
  <c r="O879" i="1"/>
  <c r="P879" i="1"/>
  <c r="Q879" i="1"/>
  <c r="M880" i="1"/>
  <c r="N880" i="1"/>
  <c r="O880" i="1"/>
  <c r="P880" i="1"/>
  <c r="Q880" i="1"/>
  <c r="M881" i="1"/>
  <c r="N881" i="1"/>
  <c r="O881" i="1"/>
  <c r="P881" i="1"/>
  <c r="Q881" i="1"/>
  <c r="M882" i="1"/>
  <c r="N882" i="1"/>
  <c r="O882" i="1"/>
  <c r="P882" i="1"/>
  <c r="Q882" i="1"/>
  <c r="M883" i="1"/>
  <c r="N883" i="1"/>
  <c r="O883" i="1"/>
  <c r="P883" i="1"/>
  <c r="Q883" i="1"/>
  <c r="M884" i="1"/>
  <c r="N884" i="1"/>
  <c r="O884" i="1"/>
  <c r="P884" i="1"/>
  <c r="Q884" i="1"/>
  <c r="M885" i="1"/>
  <c r="N885" i="1"/>
  <c r="O885" i="1"/>
  <c r="P885" i="1"/>
  <c r="Q885" i="1"/>
  <c r="M886" i="1"/>
  <c r="N886" i="1"/>
  <c r="O886" i="1"/>
  <c r="P886" i="1"/>
  <c r="Q886" i="1"/>
  <c r="M887" i="1"/>
  <c r="N887" i="1"/>
  <c r="O887" i="1"/>
  <c r="P887" i="1"/>
  <c r="Q887" i="1"/>
  <c r="M888" i="1"/>
  <c r="N888" i="1"/>
  <c r="O888" i="1"/>
  <c r="P888" i="1"/>
  <c r="Q888" i="1"/>
  <c r="M889" i="1"/>
  <c r="N889" i="1"/>
  <c r="O889" i="1"/>
  <c r="P889" i="1"/>
  <c r="Q889" i="1"/>
  <c r="M890" i="1"/>
  <c r="N890" i="1"/>
  <c r="O890" i="1"/>
  <c r="P890" i="1"/>
  <c r="Q890" i="1"/>
  <c r="M891" i="1"/>
  <c r="N891" i="1"/>
  <c r="O891" i="1"/>
  <c r="P891" i="1"/>
  <c r="Q891" i="1"/>
  <c r="M892" i="1"/>
  <c r="N892" i="1"/>
  <c r="O892" i="1"/>
  <c r="P892" i="1"/>
  <c r="Q892" i="1"/>
  <c r="M893" i="1"/>
  <c r="N893" i="1"/>
  <c r="O893" i="1"/>
  <c r="P893" i="1"/>
  <c r="Q893" i="1"/>
  <c r="M894" i="1"/>
  <c r="N894" i="1"/>
  <c r="O894" i="1"/>
  <c r="P894" i="1"/>
  <c r="Q894" i="1"/>
  <c r="M895" i="1"/>
  <c r="N895" i="1"/>
  <c r="O895" i="1"/>
  <c r="P895" i="1"/>
  <c r="Q895" i="1"/>
  <c r="M896" i="1"/>
  <c r="N896" i="1"/>
  <c r="O896" i="1"/>
  <c r="P896" i="1"/>
  <c r="Q896" i="1"/>
  <c r="M897" i="1"/>
  <c r="N897" i="1"/>
  <c r="O897" i="1"/>
  <c r="P897" i="1"/>
  <c r="Q897" i="1"/>
  <c r="M898" i="1"/>
  <c r="N898" i="1"/>
  <c r="O898" i="1"/>
  <c r="P898" i="1"/>
  <c r="Q898" i="1"/>
  <c r="M899" i="1"/>
  <c r="N899" i="1"/>
  <c r="O899" i="1"/>
  <c r="P899" i="1"/>
  <c r="Q899" i="1"/>
  <c r="M900" i="1"/>
  <c r="N900" i="1"/>
  <c r="O900" i="1"/>
  <c r="P900" i="1"/>
  <c r="Q900" i="1"/>
  <c r="M901" i="1"/>
  <c r="N901" i="1"/>
  <c r="O901" i="1"/>
  <c r="P901" i="1"/>
  <c r="Q901" i="1"/>
  <c r="M902" i="1"/>
  <c r="N902" i="1"/>
  <c r="O902" i="1"/>
  <c r="P902" i="1"/>
  <c r="Q902" i="1"/>
  <c r="M903" i="1"/>
  <c r="N903" i="1"/>
  <c r="O903" i="1"/>
  <c r="P903" i="1"/>
  <c r="Q903" i="1"/>
  <c r="M904" i="1"/>
  <c r="N904" i="1"/>
  <c r="O904" i="1"/>
  <c r="P904" i="1"/>
  <c r="Q904" i="1"/>
  <c r="M905" i="1"/>
  <c r="N905" i="1"/>
  <c r="O905" i="1"/>
  <c r="P905" i="1"/>
  <c r="Q905" i="1"/>
  <c r="M906" i="1"/>
  <c r="N906" i="1"/>
  <c r="O906" i="1"/>
  <c r="P906" i="1"/>
  <c r="Q906" i="1"/>
  <c r="M907" i="1"/>
  <c r="N907" i="1"/>
  <c r="O907" i="1"/>
  <c r="P907" i="1"/>
  <c r="Q907" i="1"/>
  <c r="M908" i="1"/>
  <c r="N908" i="1"/>
  <c r="O908" i="1"/>
  <c r="P908" i="1"/>
  <c r="Q908" i="1"/>
  <c r="M909" i="1"/>
  <c r="N909" i="1"/>
  <c r="O909" i="1"/>
  <c r="P909" i="1"/>
  <c r="Q909" i="1"/>
  <c r="M910" i="1"/>
  <c r="N910" i="1"/>
  <c r="O910" i="1"/>
  <c r="P910" i="1"/>
  <c r="Q910" i="1"/>
  <c r="M911" i="1"/>
  <c r="N911" i="1"/>
  <c r="O911" i="1"/>
  <c r="P911" i="1"/>
  <c r="Q911" i="1"/>
  <c r="M912" i="1"/>
  <c r="N912" i="1"/>
  <c r="O912" i="1"/>
  <c r="P912" i="1"/>
  <c r="Q912" i="1"/>
  <c r="M913" i="1"/>
  <c r="N913" i="1"/>
  <c r="O913" i="1"/>
  <c r="P913" i="1"/>
  <c r="Q913" i="1"/>
  <c r="M914" i="1"/>
  <c r="N914" i="1"/>
  <c r="O914" i="1"/>
  <c r="P914" i="1"/>
  <c r="Q914" i="1"/>
  <c r="M915" i="1"/>
  <c r="N915" i="1"/>
  <c r="O915" i="1"/>
  <c r="P915" i="1"/>
  <c r="Q915" i="1"/>
  <c r="M916" i="1"/>
  <c r="N916" i="1"/>
  <c r="O916" i="1"/>
  <c r="P916" i="1"/>
  <c r="Q916" i="1"/>
  <c r="M917" i="1"/>
  <c r="N917" i="1"/>
  <c r="O917" i="1"/>
  <c r="P917" i="1"/>
  <c r="Q917" i="1"/>
  <c r="M918" i="1"/>
  <c r="N918" i="1"/>
  <c r="O918" i="1"/>
  <c r="P918" i="1"/>
  <c r="Q918" i="1"/>
  <c r="M919" i="1"/>
  <c r="N919" i="1"/>
  <c r="O919" i="1"/>
  <c r="P919" i="1"/>
  <c r="Q919" i="1"/>
  <c r="M920" i="1"/>
  <c r="N920" i="1"/>
  <c r="O920" i="1"/>
  <c r="P920" i="1"/>
  <c r="Q920" i="1"/>
  <c r="M921" i="1"/>
  <c r="N921" i="1"/>
  <c r="O921" i="1"/>
  <c r="P921" i="1"/>
  <c r="Q921" i="1"/>
  <c r="M922" i="1"/>
  <c r="N922" i="1"/>
  <c r="O922" i="1"/>
  <c r="P922" i="1"/>
  <c r="Q922" i="1"/>
  <c r="M923" i="1"/>
  <c r="N923" i="1"/>
  <c r="O923" i="1"/>
  <c r="P923" i="1"/>
  <c r="Q923" i="1"/>
  <c r="M924" i="1"/>
  <c r="N924" i="1"/>
  <c r="O924" i="1"/>
  <c r="P924" i="1"/>
  <c r="Q924" i="1"/>
  <c r="M925" i="1"/>
  <c r="N925" i="1"/>
  <c r="O925" i="1"/>
  <c r="P925" i="1"/>
  <c r="Q925" i="1"/>
  <c r="M926" i="1"/>
  <c r="N926" i="1"/>
  <c r="O926" i="1"/>
  <c r="P926" i="1"/>
  <c r="Q926" i="1"/>
  <c r="M927" i="1"/>
  <c r="N927" i="1"/>
  <c r="O927" i="1"/>
  <c r="P927" i="1"/>
  <c r="Q927" i="1"/>
  <c r="M928" i="1"/>
  <c r="N928" i="1"/>
  <c r="O928" i="1"/>
  <c r="P928" i="1"/>
  <c r="Q928" i="1"/>
  <c r="M929" i="1"/>
  <c r="N929" i="1"/>
  <c r="O929" i="1"/>
  <c r="P929" i="1"/>
  <c r="Q929" i="1"/>
  <c r="M930" i="1"/>
  <c r="N930" i="1"/>
  <c r="O930" i="1"/>
  <c r="P930" i="1"/>
  <c r="Q930" i="1"/>
  <c r="M931" i="1"/>
  <c r="N931" i="1"/>
  <c r="O931" i="1"/>
  <c r="P931" i="1"/>
  <c r="Q931" i="1"/>
  <c r="M932" i="1"/>
  <c r="N932" i="1"/>
  <c r="O932" i="1"/>
  <c r="P932" i="1"/>
  <c r="Q932" i="1"/>
  <c r="M933" i="1"/>
  <c r="N933" i="1"/>
  <c r="O933" i="1"/>
  <c r="P933" i="1"/>
  <c r="Q933" i="1"/>
  <c r="M934" i="1"/>
  <c r="N934" i="1"/>
  <c r="O934" i="1"/>
  <c r="P934" i="1"/>
  <c r="Q934" i="1"/>
  <c r="M935" i="1"/>
  <c r="N935" i="1"/>
  <c r="O935" i="1"/>
  <c r="P935" i="1"/>
  <c r="Q935" i="1"/>
  <c r="M936" i="1"/>
  <c r="N936" i="1"/>
  <c r="O936" i="1"/>
  <c r="P936" i="1"/>
  <c r="Q936" i="1"/>
  <c r="M937" i="1"/>
  <c r="N937" i="1"/>
  <c r="O937" i="1"/>
  <c r="P937" i="1"/>
  <c r="Q937" i="1"/>
  <c r="M938" i="1"/>
  <c r="N938" i="1"/>
  <c r="O938" i="1"/>
  <c r="P938" i="1"/>
  <c r="Q938" i="1"/>
  <c r="M939" i="1"/>
  <c r="N939" i="1"/>
  <c r="O939" i="1"/>
  <c r="P939" i="1"/>
  <c r="Q939" i="1"/>
  <c r="AD2" i="1"/>
  <c r="AG2" i="1"/>
  <c r="AE2" i="1"/>
  <c r="AC2" i="1"/>
  <c r="W2" i="1"/>
  <c r="V2" i="1"/>
  <c r="Q2" i="1"/>
  <c r="P2" i="1"/>
  <c r="O2" i="1"/>
  <c r="N2" i="1"/>
  <c r="M2" i="1"/>
  <c r="C11" i="9"/>
  <c r="E11" i="9"/>
  <c r="C10" i="9"/>
  <c r="E10" i="9"/>
  <c r="C9" i="9"/>
  <c r="E9" i="9"/>
  <c r="C8" i="9"/>
  <c r="E8" i="9"/>
  <c r="C7" i="9"/>
  <c r="E7" i="9"/>
  <c r="C6" i="9"/>
  <c r="E6" i="9"/>
  <c r="C5" i="9"/>
  <c r="E5" i="9"/>
  <c r="C4" i="9"/>
  <c r="E4" i="9"/>
  <c r="C3" i="9"/>
  <c r="E3" i="9"/>
  <c r="E2" i="9"/>
  <c r="C1" i="5"/>
  <c r="A1" i="5"/>
  <c r="A154" i="5"/>
  <c r="B1" i="5"/>
  <c r="F154" i="5"/>
  <c r="E154" i="5"/>
  <c r="D154" i="5"/>
  <c r="C154" i="5"/>
  <c r="B154" i="5"/>
  <c r="A153" i="5"/>
  <c r="F153" i="5"/>
  <c r="E153" i="5"/>
  <c r="D153" i="5"/>
  <c r="C153" i="5"/>
  <c r="B153" i="5"/>
  <c r="A152" i="5"/>
  <c r="F152" i="5"/>
  <c r="E152" i="5"/>
  <c r="D152" i="5"/>
  <c r="C152" i="5"/>
  <c r="B152" i="5"/>
  <c r="A151" i="5"/>
  <c r="F151" i="5"/>
  <c r="E151" i="5"/>
  <c r="D151" i="5"/>
  <c r="C151" i="5"/>
  <c r="B151" i="5"/>
  <c r="A150" i="5"/>
  <c r="F150" i="5"/>
  <c r="E150" i="5"/>
  <c r="D150" i="5"/>
  <c r="C150" i="5"/>
  <c r="B150" i="5"/>
  <c r="A149" i="5"/>
  <c r="F149" i="5"/>
  <c r="E149" i="5"/>
  <c r="D149" i="5"/>
  <c r="C149" i="5"/>
  <c r="B149" i="5"/>
  <c r="A148" i="5"/>
  <c r="F148" i="5"/>
  <c r="E148" i="5"/>
  <c r="D148" i="5"/>
  <c r="C148" i="5"/>
  <c r="B148" i="5"/>
  <c r="A147" i="5"/>
  <c r="F147" i="5"/>
  <c r="E147" i="5"/>
  <c r="D147" i="5"/>
  <c r="C147" i="5"/>
  <c r="B147" i="5"/>
  <c r="A146" i="5"/>
  <c r="F146" i="5"/>
  <c r="E146" i="5"/>
  <c r="D146" i="5"/>
  <c r="C146" i="5"/>
  <c r="B146" i="5"/>
  <c r="A145" i="5"/>
  <c r="F145" i="5"/>
  <c r="E145" i="5"/>
  <c r="D145" i="5"/>
  <c r="C145" i="5"/>
  <c r="B145" i="5"/>
  <c r="A144" i="5"/>
  <c r="F144" i="5"/>
  <c r="E144" i="5"/>
  <c r="D144" i="5"/>
  <c r="C144" i="5"/>
  <c r="B144" i="5"/>
  <c r="A143" i="5"/>
  <c r="F143" i="5"/>
  <c r="E143" i="5"/>
  <c r="D143" i="5"/>
  <c r="C143" i="5"/>
  <c r="B143" i="5"/>
  <c r="A142" i="5"/>
  <c r="F142" i="5"/>
  <c r="E142" i="5"/>
  <c r="D142" i="5"/>
  <c r="C142" i="5"/>
  <c r="B142" i="5"/>
  <c r="A141" i="5"/>
  <c r="F141" i="5"/>
  <c r="E141" i="5"/>
  <c r="D141" i="5"/>
  <c r="C141" i="5"/>
  <c r="B141" i="5"/>
  <c r="A140" i="5"/>
  <c r="F140" i="5"/>
  <c r="E140" i="5"/>
  <c r="D140" i="5"/>
  <c r="C140" i="5"/>
  <c r="B140" i="5"/>
  <c r="A139" i="5"/>
  <c r="F139" i="5"/>
  <c r="E139" i="5"/>
  <c r="D139" i="5"/>
  <c r="C139" i="5"/>
  <c r="B139" i="5"/>
  <c r="A138" i="5"/>
  <c r="F138" i="5"/>
  <c r="E138" i="5"/>
  <c r="D138" i="5"/>
  <c r="C138" i="5"/>
  <c r="B138" i="5"/>
  <c r="A137" i="5"/>
  <c r="F137" i="5"/>
  <c r="E137" i="5"/>
  <c r="D137" i="5"/>
  <c r="C137" i="5"/>
  <c r="B137" i="5"/>
  <c r="A136" i="5"/>
  <c r="F136" i="5"/>
  <c r="E136" i="5"/>
  <c r="D136" i="5"/>
  <c r="C136" i="5"/>
  <c r="B136" i="5"/>
  <c r="A135" i="5"/>
  <c r="F135" i="5"/>
  <c r="E135" i="5"/>
  <c r="D135" i="5"/>
  <c r="C135" i="5"/>
  <c r="B135" i="5"/>
  <c r="A134" i="5"/>
  <c r="F134" i="5"/>
  <c r="E134" i="5"/>
  <c r="D134" i="5"/>
  <c r="C134" i="5"/>
  <c r="B134" i="5"/>
  <c r="A133" i="5"/>
  <c r="F133" i="5"/>
  <c r="E133" i="5"/>
  <c r="D133" i="5"/>
  <c r="C133" i="5"/>
  <c r="B133" i="5"/>
  <c r="A132" i="5"/>
  <c r="F132" i="5"/>
  <c r="E132" i="5"/>
  <c r="D132" i="5"/>
  <c r="C132" i="5"/>
  <c r="B132" i="5"/>
  <c r="A131" i="5"/>
  <c r="F131" i="5"/>
  <c r="E131" i="5"/>
  <c r="D131" i="5"/>
  <c r="C131" i="5"/>
  <c r="B131" i="5"/>
  <c r="A130" i="5"/>
  <c r="F130" i="5"/>
  <c r="E130" i="5"/>
  <c r="D130" i="5"/>
  <c r="C130" i="5"/>
  <c r="B130" i="5"/>
  <c r="A129" i="5"/>
  <c r="F129" i="5"/>
  <c r="E129" i="5"/>
  <c r="D129" i="5"/>
  <c r="C129" i="5"/>
  <c r="B129" i="5"/>
  <c r="A128" i="5"/>
  <c r="F128" i="5"/>
  <c r="E128" i="5"/>
  <c r="D128" i="5"/>
  <c r="C128" i="5"/>
  <c r="B128" i="5"/>
  <c r="A127" i="5"/>
  <c r="F127" i="5"/>
  <c r="E127" i="5"/>
  <c r="D127" i="5"/>
  <c r="C127" i="5"/>
  <c r="B127" i="5"/>
  <c r="A126" i="5"/>
  <c r="F126" i="5"/>
  <c r="E126" i="5"/>
  <c r="D126" i="5"/>
  <c r="C126" i="5"/>
  <c r="B126" i="5"/>
  <c r="A125" i="5"/>
  <c r="F125" i="5"/>
  <c r="E125" i="5"/>
  <c r="D125" i="5"/>
  <c r="C125" i="5"/>
  <c r="B125" i="5"/>
  <c r="A124" i="5"/>
  <c r="F124" i="5"/>
  <c r="E124" i="5"/>
  <c r="D124" i="5"/>
  <c r="C124" i="5"/>
  <c r="B124" i="5"/>
  <c r="A123" i="5"/>
  <c r="F123" i="5"/>
  <c r="E123" i="5"/>
  <c r="D123" i="5"/>
  <c r="C123" i="5"/>
  <c r="B123" i="5"/>
  <c r="A122" i="5"/>
  <c r="F122" i="5"/>
  <c r="E122" i="5"/>
  <c r="D122" i="5"/>
  <c r="C122" i="5"/>
  <c r="B122" i="5"/>
  <c r="A121" i="5"/>
  <c r="F121" i="5"/>
  <c r="E121" i="5"/>
  <c r="D121" i="5"/>
  <c r="C121" i="5"/>
  <c r="B121" i="5"/>
  <c r="A120" i="5"/>
  <c r="F120" i="5"/>
  <c r="E120" i="5"/>
  <c r="D120" i="5"/>
  <c r="C120" i="5"/>
  <c r="B120" i="5"/>
  <c r="A119" i="5"/>
  <c r="F119" i="5"/>
  <c r="E119" i="5"/>
  <c r="D119" i="5"/>
  <c r="C119" i="5"/>
  <c r="B119" i="5"/>
  <c r="A118" i="5"/>
  <c r="F118" i="5"/>
  <c r="E118" i="5"/>
  <c r="D118" i="5"/>
  <c r="C118" i="5"/>
  <c r="B118" i="5"/>
  <c r="A117" i="5"/>
  <c r="F117" i="5"/>
  <c r="E117" i="5"/>
  <c r="D117" i="5"/>
  <c r="C117" i="5"/>
  <c r="B117" i="5"/>
  <c r="A116" i="5"/>
  <c r="F116" i="5"/>
  <c r="E116" i="5"/>
  <c r="D116" i="5"/>
  <c r="C116" i="5"/>
  <c r="B116" i="5"/>
  <c r="A115" i="5"/>
  <c r="F115" i="5"/>
  <c r="E115" i="5"/>
  <c r="D115" i="5"/>
  <c r="C115" i="5"/>
  <c r="B115" i="5"/>
  <c r="A114" i="5"/>
  <c r="F114" i="5"/>
  <c r="E114" i="5"/>
  <c r="D114" i="5"/>
  <c r="C114" i="5"/>
  <c r="B114" i="5"/>
  <c r="A113" i="5"/>
  <c r="F113" i="5"/>
  <c r="E113" i="5"/>
  <c r="D113" i="5"/>
  <c r="C113" i="5"/>
  <c r="B113" i="5"/>
  <c r="A112" i="5"/>
  <c r="F112" i="5"/>
  <c r="E112" i="5"/>
  <c r="D112" i="5"/>
  <c r="C112" i="5"/>
  <c r="B112" i="5"/>
  <c r="A111" i="5"/>
  <c r="F111" i="5"/>
  <c r="E111" i="5"/>
  <c r="D111" i="5"/>
  <c r="C111" i="5"/>
  <c r="B111" i="5"/>
  <c r="A110" i="5"/>
  <c r="F110" i="5"/>
  <c r="E110" i="5"/>
  <c r="D110" i="5"/>
  <c r="C110" i="5"/>
  <c r="B110" i="5"/>
  <c r="A109" i="5"/>
  <c r="F109" i="5"/>
  <c r="E109" i="5"/>
  <c r="D109" i="5"/>
  <c r="C109" i="5"/>
  <c r="B109" i="5"/>
  <c r="A108" i="5"/>
  <c r="F108" i="5"/>
  <c r="E108" i="5"/>
  <c r="D108" i="5"/>
  <c r="C108" i="5"/>
  <c r="B108" i="5"/>
  <c r="A107" i="5"/>
  <c r="F107" i="5"/>
  <c r="E107" i="5"/>
  <c r="D107" i="5"/>
  <c r="C107" i="5"/>
  <c r="B107" i="5"/>
  <c r="A106" i="5"/>
  <c r="F106" i="5"/>
  <c r="E106" i="5"/>
  <c r="D106" i="5"/>
  <c r="C106" i="5"/>
  <c r="B106" i="5"/>
  <c r="A105" i="5"/>
  <c r="F105" i="5"/>
  <c r="E105" i="5"/>
  <c r="D105" i="5"/>
  <c r="C105" i="5"/>
  <c r="B105" i="5"/>
  <c r="A104" i="5"/>
  <c r="F104" i="5"/>
  <c r="E104" i="5"/>
  <c r="D104" i="5"/>
  <c r="C104" i="5"/>
  <c r="B104" i="5"/>
  <c r="A103" i="5"/>
  <c r="F103" i="5"/>
  <c r="E103" i="5"/>
  <c r="D103" i="5"/>
  <c r="C103" i="5"/>
  <c r="B103" i="5"/>
  <c r="A102" i="5"/>
  <c r="F102" i="5"/>
  <c r="E102" i="5"/>
  <c r="D102" i="5"/>
  <c r="C102" i="5"/>
  <c r="B102" i="5"/>
  <c r="A101" i="5"/>
  <c r="F101" i="5"/>
  <c r="E101" i="5"/>
  <c r="D101" i="5"/>
  <c r="C101" i="5"/>
  <c r="B101" i="5"/>
  <c r="A100" i="5"/>
  <c r="F100" i="5"/>
  <c r="E100" i="5"/>
  <c r="D100" i="5"/>
  <c r="C100" i="5"/>
  <c r="B100" i="5"/>
  <c r="A99" i="5"/>
  <c r="F99" i="5"/>
  <c r="E99" i="5"/>
  <c r="D99" i="5"/>
  <c r="C99" i="5"/>
  <c r="B99" i="5"/>
  <c r="A98" i="5"/>
  <c r="F98" i="5"/>
  <c r="E98" i="5"/>
  <c r="D98" i="5"/>
  <c r="C98" i="5"/>
  <c r="B98" i="5"/>
  <c r="A97" i="5"/>
  <c r="F97" i="5"/>
  <c r="E97" i="5"/>
  <c r="D97" i="5"/>
  <c r="C97" i="5"/>
  <c r="B97" i="5"/>
  <c r="A96" i="5"/>
  <c r="F96" i="5"/>
  <c r="E96" i="5"/>
  <c r="D96" i="5"/>
  <c r="C96" i="5"/>
  <c r="B96" i="5"/>
  <c r="A95" i="5"/>
  <c r="F95" i="5"/>
  <c r="E95" i="5"/>
  <c r="D95" i="5"/>
  <c r="C95" i="5"/>
  <c r="B95" i="5"/>
  <c r="A94" i="5"/>
  <c r="F94" i="5"/>
  <c r="E94" i="5"/>
  <c r="D94" i="5"/>
  <c r="C94" i="5"/>
  <c r="B94" i="5"/>
  <c r="A93" i="5"/>
  <c r="F93" i="5"/>
  <c r="E93" i="5"/>
  <c r="D93" i="5"/>
  <c r="C93" i="5"/>
  <c r="B93" i="5"/>
  <c r="A92" i="5"/>
  <c r="F92" i="5"/>
  <c r="E92" i="5"/>
  <c r="D92" i="5"/>
  <c r="C92" i="5"/>
  <c r="B92" i="5"/>
  <c r="A91" i="5"/>
  <c r="F91" i="5"/>
  <c r="E91" i="5"/>
  <c r="D91" i="5"/>
  <c r="C91" i="5"/>
  <c r="B91" i="5"/>
  <c r="A90" i="5"/>
  <c r="F90" i="5"/>
  <c r="E90" i="5"/>
  <c r="D90" i="5"/>
  <c r="C90" i="5"/>
  <c r="B90" i="5"/>
  <c r="A89" i="5"/>
  <c r="F89" i="5"/>
  <c r="E89" i="5"/>
  <c r="D89" i="5"/>
  <c r="C89" i="5"/>
  <c r="B89" i="5"/>
  <c r="A88" i="5"/>
  <c r="F88" i="5"/>
  <c r="E88" i="5"/>
  <c r="D88" i="5"/>
  <c r="C88" i="5"/>
  <c r="B88" i="5"/>
  <c r="A87" i="5"/>
  <c r="F87" i="5"/>
  <c r="E87" i="5"/>
  <c r="D87" i="5"/>
  <c r="C87" i="5"/>
  <c r="B87" i="5"/>
  <c r="A86" i="5"/>
  <c r="F86" i="5"/>
  <c r="E86" i="5"/>
  <c r="D86" i="5"/>
  <c r="C86" i="5"/>
  <c r="B86" i="5"/>
  <c r="A85" i="5"/>
  <c r="F85" i="5"/>
  <c r="E85" i="5"/>
  <c r="D85" i="5"/>
  <c r="C85" i="5"/>
  <c r="B85" i="5"/>
  <c r="A84" i="5"/>
  <c r="F84" i="5"/>
  <c r="E84" i="5"/>
  <c r="D84" i="5"/>
  <c r="C84" i="5"/>
  <c r="B84" i="5"/>
  <c r="A83" i="5"/>
  <c r="F83" i="5"/>
  <c r="E83" i="5"/>
  <c r="D83" i="5"/>
  <c r="C83" i="5"/>
  <c r="B83" i="5"/>
  <c r="A82" i="5"/>
  <c r="F82" i="5"/>
  <c r="E82" i="5"/>
  <c r="D82" i="5"/>
  <c r="C82" i="5"/>
  <c r="B82" i="5"/>
  <c r="A81" i="5"/>
  <c r="F81" i="5"/>
  <c r="E81" i="5"/>
  <c r="D81" i="5"/>
  <c r="C81" i="5"/>
  <c r="B81" i="5"/>
  <c r="A80" i="5"/>
  <c r="F80" i="5"/>
  <c r="E80" i="5"/>
  <c r="D80" i="5"/>
  <c r="C80" i="5"/>
  <c r="B80" i="5"/>
  <c r="A79" i="5"/>
  <c r="F79" i="5"/>
  <c r="E79" i="5"/>
  <c r="D79" i="5"/>
  <c r="C79" i="5"/>
  <c r="B79" i="5"/>
  <c r="A78" i="5"/>
  <c r="F78" i="5"/>
  <c r="E78" i="5"/>
  <c r="D78" i="5"/>
  <c r="C78" i="5"/>
  <c r="B78" i="5"/>
  <c r="A77" i="5"/>
  <c r="F77" i="5"/>
  <c r="E77" i="5"/>
  <c r="D77" i="5"/>
  <c r="C77" i="5"/>
  <c r="B77" i="5"/>
  <c r="A76" i="5"/>
  <c r="F76" i="5"/>
  <c r="E76" i="5"/>
  <c r="D76" i="5"/>
  <c r="C76" i="5"/>
  <c r="B76" i="5"/>
  <c r="A75" i="5"/>
  <c r="F75" i="5"/>
  <c r="E75" i="5"/>
  <c r="D75" i="5"/>
  <c r="C75" i="5"/>
  <c r="B75" i="5"/>
  <c r="A74" i="5"/>
  <c r="F74" i="5"/>
  <c r="E74" i="5"/>
  <c r="D74" i="5"/>
  <c r="C74" i="5"/>
  <c r="B74" i="5"/>
  <c r="A73" i="5"/>
  <c r="F73" i="5"/>
  <c r="E73" i="5"/>
  <c r="D73" i="5"/>
  <c r="C73" i="5"/>
  <c r="B73" i="5"/>
  <c r="A72" i="5"/>
  <c r="F72" i="5"/>
  <c r="E72" i="5"/>
  <c r="D72" i="5"/>
  <c r="C72" i="5"/>
  <c r="B72" i="5"/>
  <c r="A71" i="5"/>
  <c r="F71" i="5"/>
  <c r="E71" i="5"/>
  <c r="D71" i="5"/>
  <c r="C71" i="5"/>
  <c r="B71" i="5"/>
  <c r="A70" i="5"/>
  <c r="F70" i="5"/>
  <c r="E70" i="5"/>
  <c r="D70" i="5"/>
  <c r="C70" i="5"/>
  <c r="B70" i="5"/>
  <c r="A69" i="5"/>
  <c r="F69" i="5"/>
  <c r="E69" i="5"/>
  <c r="D69" i="5"/>
  <c r="C69" i="5"/>
  <c r="B69" i="5"/>
  <c r="A68" i="5"/>
  <c r="F68" i="5"/>
  <c r="E68" i="5"/>
  <c r="D68" i="5"/>
  <c r="C68" i="5"/>
  <c r="B68" i="5"/>
  <c r="A67" i="5"/>
  <c r="F67" i="5"/>
  <c r="E67" i="5"/>
  <c r="D67" i="5"/>
  <c r="C67" i="5"/>
  <c r="B67" i="5"/>
  <c r="A66" i="5"/>
  <c r="F66" i="5"/>
  <c r="E66" i="5"/>
  <c r="D66" i="5"/>
  <c r="C66" i="5"/>
  <c r="B66" i="5"/>
  <c r="A65" i="5"/>
  <c r="F65" i="5"/>
  <c r="E65" i="5"/>
  <c r="D65" i="5"/>
  <c r="C65" i="5"/>
  <c r="B65" i="5"/>
  <c r="A64" i="5"/>
  <c r="F64" i="5"/>
  <c r="E64" i="5"/>
  <c r="D64" i="5"/>
  <c r="C64" i="5"/>
  <c r="B64" i="5"/>
  <c r="A63" i="5"/>
  <c r="F63" i="5"/>
  <c r="E63" i="5"/>
  <c r="D63" i="5"/>
  <c r="C63" i="5"/>
  <c r="B63" i="5"/>
  <c r="A62" i="5"/>
  <c r="F62" i="5"/>
  <c r="E62" i="5"/>
  <c r="D62" i="5"/>
  <c r="C62" i="5"/>
  <c r="B62" i="5"/>
  <c r="A61" i="5"/>
  <c r="F61" i="5"/>
  <c r="E61" i="5"/>
  <c r="D61" i="5"/>
  <c r="C61" i="5"/>
  <c r="B61" i="5"/>
  <c r="A60" i="5"/>
  <c r="F60" i="5"/>
  <c r="E60" i="5"/>
  <c r="D60" i="5"/>
  <c r="C60" i="5"/>
  <c r="B60" i="5"/>
  <c r="A59" i="5"/>
  <c r="F59" i="5"/>
  <c r="E59" i="5"/>
  <c r="D59" i="5"/>
  <c r="C59" i="5"/>
  <c r="B59" i="5"/>
  <c r="A58" i="5"/>
  <c r="F58" i="5"/>
  <c r="E58" i="5"/>
  <c r="D58" i="5"/>
  <c r="C58" i="5"/>
  <c r="B58" i="5"/>
  <c r="A57" i="5"/>
  <c r="F57" i="5"/>
  <c r="E57" i="5"/>
  <c r="D57" i="5"/>
  <c r="C57" i="5"/>
  <c r="B57" i="5"/>
  <c r="A56" i="5"/>
  <c r="F56" i="5"/>
  <c r="E56" i="5"/>
  <c r="D56" i="5"/>
  <c r="C56" i="5"/>
  <c r="B56" i="5"/>
  <c r="A55" i="5"/>
  <c r="F55" i="5"/>
  <c r="E55" i="5"/>
  <c r="D55" i="5"/>
  <c r="C55" i="5"/>
  <c r="B55" i="5"/>
  <c r="A54" i="5"/>
  <c r="F54" i="5"/>
  <c r="E54" i="5"/>
  <c r="D54" i="5"/>
  <c r="C54" i="5"/>
  <c r="B54" i="5"/>
  <c r="A53" i="5"/>
  <c r="F53" i="5"/>
  <c r="E53" i="5"/>
  <c r="D53" i="5"/>
  <c r="C53" i="5"/>
  <c r="B53" i="5"/>
  <c r="A52" i="5"/>
  <c r="F52" i="5"/>
  <c r="E52" i="5"/>
  <c r="D52" i="5"/>
  <c r="C52" i="5"/>
  <c r="B52" i="5"/>
  <c r="A51" i="5"/>
  <c r="F51" i="5"/>
  <c r="E51" i="5"/>
  <c r="D51" i="5"/>
  <c r="C51" i="5"/>
  <c r="B51" i="5"/>
  <c r="A50" i="5"/>
  <c r="F50" i="5"/>
  <c r="E50" i="5"/>
  <c r="D50" i="5"/>
  <c r="C50" i="5"/>
  <c r="B50" i="5"/>
  <c r="A49" i="5"/>
  <c r="F49" i="5"/>
  <c r="E49" i="5"/>
  <c r="D49" i="5"/>
  <c r="C49" i="5"/>
  <c r="B49" i="5"/>
  <c r="A48" i="5"/>
  <c r="F48" i="5"/>
  <c r="E48" i="5"/>
  <c r="D48" i="5"/>
  <c r="C48" i="5"/>
  <c r="B48" i="5"/>
  <c r="A47" i="5"/>
  <c r="F47" i="5"/>
  <c r="E47" i="5"/>
  <c r="D47" i="5"/>
  <c r="C47" i="5"/>
  <c r="B47" i="5"/>
  <c r="A46" i="5"/>
  <c r="F46" i="5"/>
  <c r="E46" i="5"/>
  <c r="D46" i="5"/>
  <c r="C46" i="5"/>
  <c r="B46" i="5"/>
  <c r="A45" i="5"/>
  <c r="F45" i="5"/>
  <c r="E45" i="5"/>
  <c r="D45" i="5"/>
  <c r="C45" i="5"/>
  <c r="B45" i="5"/>
  <c r="A44" i="5"/>
  <c r="F44" i="5"/>
  <c r="E44" i="5"/>
  <c r="D44" i="5"/>
  <c r="C44" i="5"/>
  <c r="B44" i="5"/>
  <c r="A43" i="5"/>
  <c r="F43" i="5"/>
  <c r="E43" i="5"/>
  <c r="D43" i="5"/>
  <c r="C43" i="5"/>
  <c r="B43" i="5"/>
  <c r="A42" i="5"/>
  <c r="F42" i="5"/>
  <c r="E42" i="5"/>
  <c r="D42" i="5"/>
  <c r="C42" i="5"/>
  <c r="B42" i="5"/>
  <c r="A41" i="5"/>
  <c r="F41" i="5"/>
  <c r="E41" i="5"/>
  <c r="D41" i="5"/>
  <c r="C41" i="5"/>
  <c r="B41" i="5"/>
  <c r="A40" i="5"/>
  <c r="F40" i="5"/>
  <c r="E40" i="5"/>
  <c r="D40" i="5"/>
  <c r="C40" i="5"/>
  <c r="B40" i="5"/>
  <c r="A39" i="5"/>
  <c r="F39" i="5"/>
  <c r="E39" i="5"/>
  <c r="D39" i="5"/>
  <c r="C39" i="5"/>
  <c r="B39" i="5"/>
  <c r="A38" i="5"/>
  <c r="F38" i="5"/>
  <c r="E38" i="5"/>
  <c r="D38" i="5"/>
  <c r="C38" i="5"/>
  <c r="B38" i="5"/>
  <c r="A37" i="5"/>
  <c r="F37" i="5"/>
  <c r="E37" i="5"/>
  <c r="D37" i="5"/>
  <c r="C37" i="5"/>
  <c r="B37" i="5"/>
  <c r="A36" i="5"/>
  <c r="F36" i="5"/>
  <c r="E36" i="5"/>
  <c r="D36" i="5"/>
  <c r="C36" i="5"/>
  <c r="B36" i="5"/>
  <c r="A35" i="5"/>
  <c r="F35" i="5"/>
  <c r="E35" i="5"/>
  <c r="D35" i="5"/>
  <c r="C35" i="5"/>
  <c r="B35" i="5"/>
  <c r="A34" i="5"/>
  <c r="F34" i="5"/>
  <c r="E34" i="5"/>
  <c r="D34" i="5"/>
  <c r="C34" i="5"/>
  <c r="B34" i="5"/>
  <c r="A33" i="5"/>
  <c r="F33" i="5"/>
  <c r="E33" i="5"/>
  <c r="D33" i="5"/>
  <c r="C33" i="5"/>
  <c r="B33" i="5"/>
  <c r="A32" i="5"/>
  <c r="F32" i="5"/>
  <c r="E32" i="5"/>
  <c r="D32" i="5"/>
  <c r="C32" i="5"/>
  <c r="B32" i="5"/>
  <c r="A31" i="5"/>
  <c r="F31" i="5"/>
  <c r="E31" i="5"/>
  <c r="D31" i="5"/>
  <c r="C31" i="5"/>
  <c r="B31" i="5"/>
  <c r="A30" i="5"/>
  <c r="F30" i="5"/>
  <c r="E30" i="5"/>
  <c r="D30" i="5"/>
  <c r="C30" i="5"/>
  <c r="B30" i="5"/>
  <c r="A29" i="5"/>
  <c r="F29" i="5"/>
  <c r="E29" i="5"/>
  <c r="D29" i="5"/>
  <c r="C29" i="5"/>
  <c r="B29" i="5"/>
  <c r="A28" i="5"/>
  <c r="F28" i="5"/>
  <c r="E28" i="5"/>
  <c r="D28" i="5"/>
  <c r="C28" i="5"/>
  <c r="B28" i="5"/>
  <c r="A27" i="5"/>
  <c r="F27" i="5"/>
  <c r="E27" i="5"/>
  <c r="D27" i="5"/>
  <c r="C27" i="5"/>
  <c r="B27" i="5"/>
  <c r="A26" i="5"/>
  <c r="F26" i="5"/>
  <c r="E26" i="5"/>
  <c r="D26" i="5"/>
  <c r="C26" i="5"/>
  <c r="B26" i="5"/>
  <c r="A25" i="5"/>
  <c r="F25" i="5"/>
  <c r="E25" i="5"/>
  <c r="D25" i="5"/>
  <c r="C25" i="5"/>
  <c r="B25" i="5"/>
  <c r="A24" i="5"/>
  <c r="F24" i="5"/>
  <c r="E24" i="5"/>
  <c r="D24" i="5"/>
  <c r="C24" i="5"/>
  <c r="B24" i="5"/>
  <c r="A23" i="5"/>
  <c r="F23" i="5"/>
  <c r="E23" i="5"/>
  <c r="D23" i="5"/>
  <c r="C23" i="5"/>
  <c r="B23" i="5"/>
  <c r="A22" i="5"/>
  <c r="F22" i="5"/>
  <c r="E22" i="5"/>
  <c r="D22" i="5"/>
  <c r="C22" i="5"/>
  <c r="B22" i="5"/>
  <c r="A21" i="5"/>
  <c r="F21" i="5"/>
  <c r="E21" i="5"/>
  <c r="D21" i="5"/>
  <c r="C21" i="5"/>
  <c r="B21" i="5"/>
  <c r="A20" i="5"/>
  <c r="F20" i="5"/>
  <c r="E20" i="5"/>
  <c r="D20" i="5"/>
  <c r="C20" i="5"/>
  <c r="B20" i="5"/>
  <c r="A19" i="5"/>
  <c r="F19" i="5"/>
  <c r="E19" i="5"/>
  <c r="D19" i="5"/>
  <c r="C19" i="5"/>
  <c r="B19" i="5"/>
  <c r="A18" i="5"/>
  <c r="F18" i="5"/>
  <c r="E18" i="5"/>
  <c r="D18" i="5"/>
  <c r="C18" i="5"/>
  <c r="B18" i="5"/>
  <c r="A17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C1" i="6"/>
  <c r="A1" i="6"/>
  <c r="A939" i="1"/>
  <c r="A940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B1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B606" i="6"/>
  <c r="A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B605" i="6"/>
  <c r="A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B604" i="6"/>
  <c r="A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B603" i="6"/>
  <c r="A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B602" i="6"/>
  <c r="A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B600" i="6"/>
  <c r="A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B598" i="6"/>
  <c r="A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B597" i="6"/>
  <c r="A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B596" i="6"/>
  <c r="A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B595" i="6"/>
  <c r="A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B594" i="6"/>
  <c r="A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B592" i="6"/>
  <c r="A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B590" i="6"/>
  <c r="A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B589" i="6"/>
  <c r="A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B588" i="6"/>
  <c r="A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B587" i="6"/>
  <c r="A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B586" i="6"/>
  <c r="A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B585" i="6"/>
  <c r="A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B584" i="6"/>
  <c r="A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B582" i="6"/>
  <c r="A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B580" i="6"/>
  <c r="A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B579" i="6"/>
  <c r="A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B578" i="6"/>
  <c r="A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B577" i="6"/>
  <c r="A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B576" i="6"/>
  <c r="A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B575" i="6"/>
  <c r="A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B574" i="6"/>
  <c r="A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B573" i="6"/>
  <c r="A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B572" i="6"/>
  <c r="A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B571" i="6"/>
  <c r="A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B570" i="6"/>
  <c r="A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B569" i="6"/>
  <c r="A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B568" i="6"/>
  <c r="A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B567" i="6"/>
  <c r="A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B566" i="6"/>
  <c r="A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B564" i="6"/>
  <c r="A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B563" i="6"/>
  <c r="A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B562" i="6"/>
  <c r="A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B561" i="6"/>
  <c r="A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B560" i="6"/>
  <c r="A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B558" i="6"/>
  <c r="A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B557" i="6"/>
  <c r="A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B556" i="6"/>
  <c r="A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B555" i="6"/>
  <c r="A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B554" i="6"/>
  <c r="A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B553" i="6"/>
  <c r="A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B552" i="6"/>
  <c r="A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B550" i="6"/>
  <c r="A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B548" i="6"/>
  <c r="A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B547" i="6"/>
  <c r="A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B546" i="6"/>
  <c r="A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B545" i="6"/>
  <c r="A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B544" i="6"/>
  <c r="A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B542" i="6"/>
  <c r="A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B541" i="6"/>
  <c r="A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B540" i="6"/>
  <c r="A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B539" i="6"/>
  <c r="A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B538" i="6"/>
  <c r="A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B537" i="6"/>
  <c r="A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B536" i="6"/>
  <c r="A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B535" i="6"/>
  <c r="A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B534" i="6"/>
  <c r="A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B533" i="6"/>
  <c r="A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B532" i="6"/>
  <c r="A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B531" i="6"/>
  <c r="A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B530" i="6"/>
  <c r="A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B529" i="6"/>
  <c r="A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B528" i="6"/>
  <c r="A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B527" i="6"/>
  <c r="A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B526" i="6"/>
  <c r="A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525" i="6"/>
  <c r="A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517" i="6"/>
  <c r="A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509" i="6"/>
  <c r="A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501" i="6"/>
  <c r="A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C1" i="8"/>
  <c r="A1" i="8"/>
  <c r="A15" i="8"/>
  <c r="B1" i="8"/>
  <c r="M15" i="8"/>
  <c r="L15" i="8"/>
  <c r="K15" i="8"/>
  <c r="J15" i="8"/>
  <c r="I15" i="8"/>
  <c r="H15" i="8"/>
  <c r="G15" i="8"/>
  <c r="F15" i="8"/>
  <c r="E15" i="8"/>
  <c r="D15" i="8"/>
  <c r="C15" i="8"/>
  <c r="B15" i="8"/>
  <c r="A14" i="8"/>
  <c r="M14" i="8"/>
  <c r="L14" i="8"/>
  <c r="K14" i="8"/>
  <c r="J14" i="8"/>
  <c r="I14" i="8"/>
  <c r="H14" i="8"/>
  <c r="G14" i="8"/>
  <c r="F14" i="8"/>
  <c r="E14" i="8"/>
  <c r="D14" i="8"/>
  <c r="C14" i="8"/>
  <c r="B14" i="8"/>
  <c r="A13" i="8"/>
  <c r="M13" i="8"/>
  <c r="L13" i="8"/>
  <c r="K13" i="8"/>
  <c r="J13" i="8"/>
  <c r="I13" i="8"/>
  <c r="H13" i="8"/>
  <c r="G13" i="8"/>
  <c r="F13" i="8"/>
  <c r="E13" i="8"/>
  <c r="D13" i="8"/>
  <c r="C13" i="8"/>
  <c r="B13" i="8"/>
  <c r="A12" i="8"/>
  <c r="M12" i="8"/>
  <c r="L12" i="8"/>
  <c r="K12" i="8"/>
  <c r="J12" i="8"/>
  <c r="I12" i="8"/>
  <c r="H12" i="8"/>
  <c r="G12" i="8"/>
  <c r="F12" i="8"/>
  <c r="E12" i="8"/>
  <c r="D12" i="8"/>
  <c r="C12" i="8"/>
  <c r="B12" i="8"/>
  <c r="A11" i="8"/>
  <c r="M11" i="8"/>
  <c r="L11" i="8"/>
  <c r="K11" i="8"/>
  <c r="J11" i="8"/>
  <c r="I11" i="8"/>
  <c r="H11" i="8"/>
  <c r="G11" i="8"/>
  <c r="F11" i="8"/>
  <c r="E11" i="8"/>
  <c r="D11" i="8"/>
  <c r="C11" i="8"/>
  <c r="B11" i="8"/>
  <c r="A10" i="8"/>
  <c r="M10" i="8"/>
  <c r="L10" i="8"/>
  <c r="K10" i="8"/>
  <c r="J10" i="8"/>
  <c r="I10" i="8"/>
  <c r="H10" i="8"/>
  <c r="G10" i="8"/>
  <c r="F10" i="8"/>
  <c r="E10" i="8"/>
  <c r="D10" i="8"/>
  <c r="C10" i="8"/>
  <c r="B10" i="8"/>
  <c r="A9" i="8"/>
  <c r="M9" i="8"/>
  <c r="L9" i="8"/>
  <c r="K9" i="8"/>
  <c r="J9" i="8"/>
  <c r="I9" i="8"/>
  <c r="H9" i="8"/>
  <c r="G9" i="8"/>
  <c r="F9" i="8"/>
  <c r="E9" i="8"/>
  <c r="D9" i="8"/>
  <c r="C9" i="8"/>
  <c r="B9" i="8"/>
  <c r="A8" i="8"/>
  <c r="M8" i="8"/>
  <c r="L8" i="8"/>
  <c r="K8" i="8"/>
  <c r="J8" i="8"/>
  <c r="I8" i="8"/>
  <c r="H8" i="8"/>
  <c r="G8" i="8"/>
  <c r="F8" i="8"/>
  <c r="E8" i="8"/>
  <c r="D8" i="8"/>
  <c r="C8" i="8"/>
  <c r="B8" i="8"/>
  <c r="A7" i="8"/>
  <c r="M7" i="8"/>
  <c r="L7" i="8"/>
  <c r="K7" i="8"/>
  <c r="J7" i="8"/>
  <c r="I7" i="8"/>
  <c r="H7" i="8"/>
  <c r="G7" i="8"/>
  <c r="F7" i="8"/>
  <c r="E7" i="8"/>
  <c r="D7" i="8"/>
  <c r="C7" i="8"/>
  <c r="B7" i="8"/>
  <c r="A6" i="8"/>
  <c r="M6" i="8"/>
  <c r="L6" i="8"/>
  <c r="K6" i="8"/>
  <c r="J6" i="8"/>
  <c r="I6" i="8"/>
  <c r="H6" i="8"/>
  <c r="G6" i="8"/>
  <c r="F6" i="8"/>
  <c r="E6" i="8"/>
  <c r="D6" i="8"/>
  <c r="C6" i="8"/>
  <c r="B6" i="8"/>
  <c r="A5" i="8"/>
  <c r="M5" i="8"/>
  <c r="L5" i="8"/>
  <c r="K5" i="8"/>
  <c r="J5" i="8"/>
  <c r="I5" i="8"/>
  <c r="H5" i="8"/>
  <c r="G5" i="8"/>
  <c r="F5" i="8"/>
  <c r="E5" i="8"/>
  <c r="D5" i="8"/>
  <c r="C5" i="8"/>
  <c r="B5" i="8"/>
  <c r="A4" i="8"/>
  <c r="M4" i="8"/>
  <c r="L4" i="8"/>
  <c r="K4" i="8"/>
  <c r="J4" i="8"/>
  <c r="I4" i="8"/>
  <c r="H4" i="8"/>
  <c r="G4" i="8"/>
  <c r="F4" i="8"/>
  <c r="E4" i="8"/>
  <c r="D4" i="8"/>
  <c r="C4" i="8"/>
  <c r="B4" i="8"/>
  <c r="W10" i="7"/>
  <c r="H10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G22" i="2"/>
  <c r="A22" i="2"/>
  <c r="G23" i="2"/>
  <c r="A23" i="2"/>
  <c r="G24" i="2"/>
  <c r="A24" i="2"/>
  <c r="G25" i="2"/>
  <c r="A25" i="2"/>
  <c r="G26" i="2"/>
  <c r="A26" i="2"/>
  <c r="G27" i="2"/>
  <c r="A27" i="2"/>
  <c r="G28" i="2"/>
  <c r="A28" i="2"/>
  <c r="G29" i="2"/>
  <c r="A29" i="2"/>
  <c r="G30" i="2"/>
  <c r="A30" i="2"/>
  <c r="G31" i="2"/>
  <c r="A31" i="2"/>
  <c r="G32" i="2"/>
  <c r="A32" i="2"/>
  <c r="G33" i="2"/>
  <c r="A33" i="2"/>
  <c r="G34" i="2"/>
  <c r="A34" i="2"/>
  <c r="G35" i="2"/>
  <c r="A35" i="2"/>
  <c r="G36" i="2"/>
  <c r="A36" i="2"/>
  <c r="G37" i="2"/>
  <c r="A37" i="2"/>
  <c r="G38" i="2"/>
  <c r="A38" i="2"/>
  <c r="G39" i="2"/>
  <c r="A39" i="2"/>
  <c r="G40" i="2"/>
  <c r="A40" i="2"/>
  <c r="G41" i="2"/>
  <c r="A41" i="2"/>
  <c r="G42" i="2"/>
  <c r="A42" i="2"/>
  <c r="G43" i="2"/>
  <c r="A43" i="2"/>
  <c r="G44" i="2"/>
  <c r="A44" i="2"/>
  <c r="G45" i="2"/>
  <c r="A45" i="2"/>
  <c r="G46" i="2"/>
  <c r="A46" i="2"/>
  <c r="G47" i="2"/>
  <c r="A47" i="2"/>
  <c r="G48" i="2"/>
  <c r="A48" i="2"/>
  <c r="G49" i="2"/>
  <c r="A49" i="2"/>
  <c r="G50" i="2"/>
  <c r="A50" i="2"/>
  <c r="G51" i="2"/>
  <c r="A51" i="2"/>
  <c r="G52" i="2"/>
  <c r="A52" i="2"/>
  <c r="G53" i="2"/>
  <c r="A53" i="2"/>
  <c r="G54" i="2"/>
  <c r="A54" i="2"/>
  <c r="G55" i="2"/>
  <c r="A55" i="2"/>
  <c r="G56" i="2"/>
  <c r="A56" i="2"/>
  <c r="G57" i="2"/>
  <c r="A57" i="2"/>
  <c r="G58" i="2"/>
  <c r="A58" i="2"/>
  <c r="G59" i="2"/>
  <c r="A59" i="2"/>
  <c r="G60" i="2"/>
  <c r="A60" i="2"/>
  <c r="G61" i="2"/>
  <c r="A61" i="2"/>
  <c r="G62" i="2"/>
  <c r="A62" i="2"/>
  <c r="G63" i="2"/>
  <c r="A63" i="2"/>
  <c r="G64" i="2"/>
  <c r="A64" i="2"/>
  <c r="G65" i="2"/>
  <c r="A65" i="2"/>
  <c r="G66" i="2"/>
  <c r="A66" i="2"/>
  <c r="G67" i="2"/>
  <c r="A67" i="2"/>
  <c r="G68" i="2"/>
  <c r="A68" i="2"/>
  <c r="G69" i="2"/>
  <c r="A69" i="2"/>
  <c r="G70" i="2"/>
  <c r="A70" i="2"/>
  <c r="G71" i="2"/>
  <c r="A71" i="2"/>
  <c r="G72" i="2"/>
  <c r="A72" i="2"/>
  <c r="G73" i="2"/>
  <c r="A73" i="2"/>
  <c r="G74" i="2"/>
  <c r="A74" i="2"/>
  <c r="G75" i="2"/>
  <c r="A75" i="2"/>
  <c r="G76" i="2"/>
  <c r="A76" i="2"/>
  <c r="G77" i="2"/>
  <c r="A77" i="2"/>
  <c r="G78" i="2"/>
  <c r="A78" i="2"/>
  <c r="G79" i="2"/>
  <c r="A79" i="2"/>
  <c r="G80" i="2"/>
  <c r="A80" i="2"/>
  <c r="G81" i="2"/>
  <c r="A81" i="2"/>
  <c r="G82" i="2"/>
  <c r="A82" i="2"/>
  <c r="G83" i="2"/>
  <c r="A83" i="2"/>
  <c r="G84" i="2"/>
  <c r="A84" i="2"/>
  <c r="G85" i="2"/>
  <c r="A85" i="2"/>
  <c r="G86" i="2"/>
  <c r="A86" i="2"/>
  <c r="G87" i="2"/>
  <c r="A87" i="2"/>
  <c r="G88" i="2"/>
  <c r="A88" i="2"/>
  <c r="G89" i="2"/>
  <c r="A89" i="2"/>
  <c r="G90" i="2"/>
  <c r="A90" i="2"/>
  <c r="G91" i="2"/>
  <c r="A91" i="2"/>
  <c r="G92" i="2"/>
  <c r="A92" i="2"/>
  <c r="G93" i="2"/>
  <c r="A93" i="2"/>
  <c r="G94" i="2"/>
  <c r="A94" i="2"/>
  <c r="G95" i="2"/>
  <c r="A95" i="2"/>
  <c r="G96" i="2"/>
  <c r="A96" i="2"/>
  <c r="G97" i="2"/>
  <c r="A97" i="2"/>
  <c r="G98" i="2"/>
  <c r="A98" i="2"/>
  <c r="G99" i="2"/>
  <c r="A99" i="2"/>
  <c r="G100" i="2"/>
  <c r="A100" i="2"/>
  <c r="G101" i="2"/>
  <c r="A101" i="2"/>
  <c r="G102" i="2"/>
  <c r="A102" i="2"/>
  <c r="G103" i="2"/>
  <c r="A103" i="2"/>
  <c r="G104" i="2"/>
  <c r="A104" i="2"/>
  <c r="G105" i="2"/>
  <c r="A105" i="2"/>
  <c r="G106" i="2"/>
  <c r="A106" i="2"/>
  <c r="G107" i="2"/>
  <c r="A107" i="2"/>
  <c r="G108" i="2"/>
  <c r="A108" i="2"/>
  <c r="G109" i="2"/>
  <c r="A109" i="2"/>
  <c r="G110" i="2"/>
  <c r="A110" i="2"/>
  <c r="G111" i="2"/>
  <c r="A111" i="2"/>
  <c r="G112" i="2"/>
  <c r="A112" i="2"/>
  <c r="G113" i="2"/>
  <c r="A113" i="2"/>
  <c r="G114" i="2"/>
  <c r="A114" i="2"/>
  <c r="G115" i="2"/>
  <c r="A115" i="2"/>
  <c r="G116" i="2"/>
  <c r="A116" i="2"/>
  <c r="G117" i="2"/>
  <c r="A117" i="2"/>
  <c r="G118" i="2"/>
  <c r="A118" i="2"/>
  <c r="G119" i="2"/>
  <c r="A119" i="2"/>
  <c r="G120" i="2"/>
  <c r="A120" i="2"/>
  <c r="G121" i="2"/>
  <c r="A121" i="2"/>
  <c r="G122" i="2"/>
  <c r="A122" i="2"/>
  <c r="G123" i="2"/>
  <c r="A123" i="2"/>
  <c r="G124" i="2"/>
  <c r="A124" i="2"/>
  <c r="G125" i="2"/>
  <c r="A125" i="2"/>
  <c r="G126" i="2"/>
  <c r="A126" i="2"/>
  <c r="G127" i="2"/>
  <c r="A127" i="2"/>
  <c r="G128" i="2"/>
  <c r="A128" i="2"/>
  <c r="G129" i="2"/>
  <c r="A129" i="2"/>
  <c r="G130" i="2"/>
  <c r="A130" i="2"/>
  <c r="G131" i="2"/>
  <c r="A131" i="2"/>
  <c r="G132" i="2"/>
  <c r="A132" i="2"/>
  <c r="G133" i="2"/>
  <c r="A133" i="2"/>
  <c r="G134" i="2"/>
  <c r="A134" i="2"/>
  <c r="G135" i="2"/>
  <c r="A135" i="2"/>
  <c r="G136" i="2"/>
  <c r="A136" i="2"/>
  <c r="G137" i="2"/>
  <c r="A137" i="2"/>
  <c r="G138" i="2"/>
  <c r="A138" i="2"/>
  <c r="G139" i="2"/>
  <c r="A139" i="2"/>
  <c r="G140" i="2"/>
  <c r="A140" i="2"/>
  <c r="G141" i="2"/>
  <c r="A141" i="2"/>
  <c r="G142" i="2"/>
  <c r="A142" i="2"/>
  <c r="G143" i="2"/>
  <c r="A143" i="2"/>
  <c r="G144" i="2"/>
  <c r="A144" i="2"/>
  <c r="G145" i="2"/>
  <c r="A145" i="2"/>
  <c r="G146" i="2"/>
  <c r="A146" i="2"/>
  <c r="G147" i="2"/>
  <c r="A147" i="2"/>
  <c r="G148" i="2"/>
  <c r="A148" i="2"/>
  <c r="G149" i="2"/>
  <c r="A149" i="2"/>
  <c r="G150" i="2"/>
  <c r="A150" i="2"/>
  <c r="G151" i="2"/>
  <c r="A151" i="2"/>
  <c r="G152" i="2"/>
  <c r="A152" i="2"/>
  <c r="G153" i="2"/>
  <c r="A153" i="2"/>
  <c r="J10" i="7"/>
  <c r="I10" i="7"/>
  <c r="D10" i="7"/>
  <c r="F10" i="7"/>
  <c r="E10" i="7"/>
  <c r="A10" i="7"/>
  <c r="W9" i="7"/>
  <c r="H9" i="7"/>
  <c r="J9" i="7"/>
  <c r="I9" i="7"/>
  <c r="D9" i="7"/>
  <c r="F9" i="7"/>
  <c r="E9" i="7"/>
  <c r="A9" i="7"/>
  <c r="A31" i="1"/>
  <c r="A407" i="1"/>
  <c r="V644" i="1"/>
  <c r="V643" i="1"/>
  <c r="V642" i="1"/>
  <c r="V641" i="1"/>
  <c r="V640" i="1"/>
  <c r="V639" i="1"/>
  <c r="V638" i="1"/>
  <c r="V637" i="1"/>
  <c r="V460" i="1"/>
  <c r="V459" i="1"/>
  <c r="V458" i="1"/>
  <c r="V457" i="1"/>
  <c r="V456" i="1"/>
  <c r="V455" i="1"/>
  <c r="V454" i="1"/>
  <c r="V453" i="1"/>
  <c r="V306" i="1"/>
  <c r="V305" i="1"/>
  <c r="V304" i="1"/>
  <c r="V303" i="1"/>
  <c r="V302" i="1"/>
  <c r="V301" i="1"/>
  <c r="V300" i="1"/>
  <c r="V299" i="1"/>
  <c r="D644" i="1"/>
  <c r="F644" i="1"/>
  <c r="E644" i="1"/>
  <c r="D460" i="1"/>
  <c r="F460" i="1"/>
  <c r="E460" i="1"/>
  <c r="D306" i="1"/>
  <c r="F306" i="1"/>
  <c r="E306" i="1"/>
  <c r="D142" i="1"/>
  <c r="F142" i="1"/>
  <c r="E142" i="1"/>
  <c r="W12" i="7"/>
  <c r="H12" i="7"/>
  <c r="J12" i="7"/>
  <c r="I12" i="7"/>
  <c r="D12" i="7"/>
  <c r="F12" i="7"/>
  <c r="E12" i="7"/>
  <c r="A12" i="7"/>
  <c r="W11" i="7"/>
  <c r="H11" i="7"/>
  <c r="J11" i="7"/>
  <c r="I11" i="7"/>
  <c r="D11" i="7"/>
  <c r="F11" i="7"/>
  <c r="E11" i="7"/>
  <c r="A11" i="7"/>
  <c r="W3" i="7"/>
  <c r="H3" i="7"/>
  <c r="J3" i="7"/>
  <c r="I3" i="7"/>
  <c r="D3" i="7"/>
  <c r="F3" i="7"/>
  <c r="E3" i="7"/>
  <c r="A3" i="7"/>
  <c r="W8" i="7"/>
  <c r="H8" i="7"/>
  <c r="J8" i="7"/>
  <c r="I8" i="7"/>
  <c r="D8" i="7"/>
  <c r="F8" i="7"/>
  <c r="E8" i="7"/>
  <c r="A8" i="7"/>
  <c r="A623" i="1"/>
  <c r="A766" i="1"/>
  <c r="W4" i="7"/>
  <c r="H4" i="7"/>
  <c r="J4" i="7"/>
  <c r="I4" i="7"/>
  <c r="D4" i="7"/>
  <c r="F4" i="7"/>
  <c r="E4" i="7"/>
  <c r="A4" i="7"/>
  <c r="W7" i="7"/>
  <c r="H7" i="7"/>
  <c r="J7" i="7"/>
  <c r="I7" i="7"/>
  <c r="D7" i="7"/>
  <c r="F7" i="7"/>
  <c r="E7" i="7"/>
  <c r="A7" i="7"/>
  <c r="V298" i="1"/>
  <c r="D298" i="1"/>
  <c r="F298" i="1"/>
  <c r="E298" i="1"/>
  <c r="W6" i="7"/>
  <c r="H6" i="7"/>
  <c r="J6" i="7"/>
  <c r="I6" i="7"/>
  <c r="D6" i="7"/>
  <c r="F6" i="7"/>
  <c r="E6" i="7"/>
  <c r="A6" i="7"/>
  <c r="W5" i="7"/>
  <c r="H5" i="7"/>
  <c r="J5" i="7"/>
  <c r="I5" i="7"/>
  <c r="D5" i="7"/>
  <c r="F5" i="7"/>
  <c r="E5" i="7"/>
  <c r="A5" i="7"/>
  <c r="W2" i="7"/>
  <c r="H2" i="7"/>
  <c r="J2" i="7"/>
  <c r="I2" i="7"/>
  <c r="D2" i="7"/>
  <c r="F2" i="7"/>
  <c r="E2" i="7"/>
  <c r="A2" i="7"/>
  <c r="H13" i="7"/>
  <c r="J13" i="7"/>
  <c r="H14" i="7"/>
  <c r="J14" i="7"/>
  <c r="I14" i="7"/>
  <c r="I13" i="7"/>
  <c r="A373" i="1"/>
  <c r="A3" i="6"/>
  <c r="X3" i="6"/>
  <c r="A14" i="7"/>
  <c r="A13" i="7"/>
  <c r="A3" i="8"/>
  <c r="M3" i="8"/>
  <c r="L3" i="8"/>
  <c r="K3" i="8"/>
  <c r="J3" i="8"/>
  <c r="I3" i="8"/>
  <c r="H3" i="8"/>
  <c r="G3" i="8"/>
  <c r="F3" i="8"/>
  <c r="E3" i="8"/>
  <c r="D3" i="8"/>
  <c r="C3" i="8"/>
  <c r="B3" i="8"/>
  <c r="W14" i="7"/>
  <c r="D14" i="7"/>
  <c r="F14" i="7"/>
  <c r="E14" i="7"/>
  <c r="W13" i="7"/>
  <c r="D13" i="7"/>
  <c r="F13" i="7"/>
  <c r="E13" i="7"/>
  <c r="V374" i="1"/>
  <c r="D374" i="1"/>
  <c r="F374" i="1"/>
  <c r="E374" i="1"/>
  <c r="V373" i="1"/>
  <c r="D373" i="1"/>
  <c r="F373" i="1"/>
  <c r="E373" i="1"/>
  <c r="V546" i="1"/>
  <c r="A429" i="1"/>
  <c r="V115" i="1"/>
  <c r="D115" i="1"/>
  <c r="F115" i="1"/>
  <c r="E115" i="1"/>
  <c r="V762" i="1"/>
  <c r="D762" i="1"/>
  <c r="F762" i="1"/>
  <c r="E762" i="1"/>
  <c r="V125" i="1"/>
  <c r="D125" i="1"/>
  <c r="F125" i="1"/>
  <c r="E125" i="1"/>
  <c r="V491" i="1"/>
  <c r="D491" i="1"/>
  <c r="F491" i="1"/>
  <c r="E491" i="1"/>
  <c r="V924" i="1"/>
  <c r="D924" i="1"/>
  <c r="F924" i="1"/>
  <c r="E924" i="1"/>
  <c r="V923" i="1"/>
  <c r="D923" i="1"/>
  <c r="F923" i="1"/>
  <c r="E923" i="1"/>
  <c r="V910" i="1"/>
  <c r="D910" i="1"/>
  <c r="F910" i="1"/>
  <c r="E910" i="1"/>
  <c r="V909" i="1"/>
  <c r="D909" i="1"/>
  <c r="F909" i="1"/>
  <c r="E909" i="1"/>
  <c r="V889" i="1"/>
  <c r="D889" i="1"/>
  <c r="F889" i="1"/>
  <c r="E889" i="1"/>
  <c r="V888" i="1"/>
  <c r="D888" i="1"/>
  <c r="F888" i="1"/>
  <c r="E888" i="1"/>
  <c r="V875" i="1"/>
  <c r="D875" i="1"/>
  <c r="F875" i="1"/>
  <c r="E875" i="1"/>
  <c r="V874" i="1"/>
  <c r="D874" i="1"/>
  <c r="F874" i="1"/>
  <c r="E874" i="1"/>
  <c r="V866" i="1"/>
  <c r="D866" i="1"/>
  <c r="F866" i="1"/>
  <c r="E866" i="1"/>
  <c r="V865" i="1"/>
  <c r="D865" i="1"/>
  <c r="F865" i="1"/>
  <c r="E865" i="1"/>
  <c r="V852" i="1"/>
  <c r="D852" i="1"/>
  <c r="F852" i="1"/>
  <c r="E852" i="1"/>
  <c r="V851" i="1"/>
  <c r="D851" i="1"/>
  <c r="F851" i="1"/>
  <c r="E851" i="1"/>
  <c r="V830" i="1"/>
  <c r="D830" i="1"/>
  <c r="F830" i="1"/>
  <c r="E830" i="1"/>
  <c r="V829" i="1"/>
  <c r="D829" i="1"/>
  <c r="F829" i="1"/>
  <c r="E829" i="1"/>
  <c r="V816" i="1"/>
  <c r="D816" i="1"/>
  <c r="F816" i="1"/>
  <c r="E816" i="1"/>
  <c r="V815" i="1"/>
  <c r="D815" i="1"/>
  <c r="F815" i="1"/>
  <c r="E815" i="1"/>
  <c r="V807" i="1"/>
  <c r="D807" i="1"/>
  <c r="F807" i="1"/>
  <c r="E807" i="1"/>
  <c r="V806" i="1"/>
  <c r="D806" i="1"/>
  <c r="F806" i="1"/>
  <c r="E806" i="1"/>
  <c r="V787" i="1"/>
  <c r="D787" i="1"/>
  <c r="F787" i="1"/>
  <c r="E787" i="1"/>
  <c r="V786" i="1"/>
  <c r="D786" i="1"/>
  <c r="F786" i="1"/>
  <c r="E786" i="1"/>
  <c r="V773" i="1"/>
  <c r="D773" i="1"/>
  <c r="F773" i="1"/>
  <c r="E773" i="1"/>
  <c r="V772" i="1"/>
  <c r="D772" i="1"/>
  <c r="F772" i="1"/>
  <c r="E772" i="1"/>
  <c r="V764" i="1"/>
  <c r="D764" i="1"/>
  <c r="F764" i="1"/>
  <c r="E764" i="1"/>
  <c r="V763" i="1"/>
  <c r="D763" i="1"/>
  <c r="F763" i="1"/>
  <c r="E763" i="1"/>
  <c r="V745" i="1"/>
  <c r="D745" i="1"/>
  <c r="F745" i="1"/>
  <c r="E745" i="1"/>
  <c r="V744" i="1"/>
  <c r="D744" i="1"/>
  <c r="F744" i="1"/>
  <c r="E744" i="1"/>
  <c r="V726" i="1"/>
  <c r="D726" i="1"/>
  <c r="F726" i="1"/>
  <c r="E726" i="1"/>
  <c r="V725" i="1"/>
  <c r="D725" i="1"/>
  <c r="F725" i="1"/>
  <c r="E725" i="1"/>
  <c r="V712" i="1"/>
  <c r="D712" i="1"/>
  <c r="F712" i="1"/>
  <c r="E712" i="1"/>
  <c r="V711" i="1"/>
  <c r="D711" i="1"/>
  <c r="F711" i="1"/>
  <c r="E711" i="1"/>
  <c r="V703" i="1"/>
  <c r="D703" i="1"/>
  <c r="F703" i="1"/>
  <c r="E703" i="1"/>
  <c r="V702" i="1"/>
  <c r="D702" i="1"/>
  <c r="F702" i="1"/>
  <c r="E702" i="1"/>
  <c r="V684" i="1"/>
  <c r="D684" i="1"/>
  <c r="F684" i="1"/>
  <c r="E684" i="1"/>
  <c r="V683" i="1"/>
  <c r="D683" i="1"/>
  <c r="F683" i="1"/>
  <c r="E683" i="1"/>
  <c r="V665" i="1"/>
  <c r="D665" i="1"/>
  <c r="F665" i="1"/>
  <c r="E665" i="1"/>
  <c r="V651" i="1"/>
  <c r="D651" i="1"/>
  <c r="F651" i="1"/>
  <c r="E651" i="1"/>
  <c r="V664" i="1"/>
  <c r="D664" i="1"/>
  <c r="F664" i="1"/>
  <c r="E664" i="1"/>
  <c r="V650" i="1"/>
  <c r="D650" i="1"/>
  <c r="F650" i="1"/>
  <c r="E650" i="1"/>
  <c r="V635" i="1"/>
  <c r="D635" i="1"/>
  <c r="F635" i="1"/>
  <c r="E635" i="1"/>
  <c r="V622" i="1"/>
  <c r="D622" i="1"/>
  <c r="F622" i="1"/>
  <c r="E622" i="1"/>
  <c r="V614" i="1"/>
  <c r="D614" i="1"/>
  <c r="F614" i="1"/>
  <c r="E614" i="1"/>
  <c r="V604" i="1"/>
  <c r="D604" i="1"/>
  <c r="F604" i="1"/>
  <c r="E604" i="1"/>
  <c r="V592" i="1"/>
  <c r="D592" i="1"/>
  <c r="F592" i="1"/>
  <c r="E592" i="1"/>
  <c r="V584" i="1"/>
  <c r="D584" i="1"/>
  <c r="F584" i="1"/>
  <c r="E584" i="1"/>
  <c r="V575" i="1"/>
  <c r="D575" i="1"/>
  <c r="F575" i="1"/>
  <c r="E575" i="1"/>
  <c r="V563" i="1"/>
  <c r="D563" i="1"/>
  <c r="F563" i="1"/>
  <c r="E563" i="1"/>
  <c r="V555" i="1"/>
  <c r="D555" i="1"/>
  <c r="F555" i="1"/>
  <c r="E555" i="1"/>
  <c r="V545" i="1"/>
  <c r="D545" i="1"/>
  <c r="F545" i="1"/>
  <c r="E545" i="1"/>
  <c r="V534" i="1"/>
  <c r="D534" i="1"/>
  <c r="F534" i="1"/>
  <c r="E534" i="1"/>
  <c r="V519" i="1"/>
  <c r="D519" i="1"/>
  <c r="F519" i="1"/>
  <c r="E519" i="1"/>
  <c r="V511" i="1"/>
  <c r="D511" i="1"/>
  <c r="F511" i="1"/>
  <c r="E511" i="1"/>
  <c r="V502" i="1"/>
  <c r="D502" i="1"/>
  <c r="F502" i="1"/>
  <c r="E502" i="1"/>
  <c r="V476" i="1"/>
  <c r="D476" i="1"/>
  <c r="F476" i="1"/>
  <c r="E476" i="1"/>
  <c r="V468" i="1"/>
  <c r="D468" i="1"/>
  <c r="F468" i="1"/>
  <c r="E468" i="1"/>
  <c r="V451" i="1"/>
  <c r="D451" i="1"/>
  <c r="F451" i="1"/>
  <c r="E451" i="1"/>
  <c r="V442" i="1"/>
  <c r="D442" i="1"/>
  <c r="F442" i="1"/>
  <c r="E442" i="1"/>
  <c r="V435" i="1"/>
  <c r="D435" i="1"/>
  <c r="F435" i="1"/>
  <c r="E435" i="1"/>
  <c r="V428" i="1"/>
  <c r="D428" i="1"/>
  <c r="F428" i="1"/>
  <c r="E428" i="1"/>
  <c r="V420" i="1"/>
  <c r="D420" i="1"/>
  <c r="F420" i="1"/>
  <c r="E420" i="1"/>
  <c r="V414" i="1"/>
  <c r="D414" i="1"/>
  <c r="F414" i="1"/>
  <c r="E414" i="1"/>
  <c r="V406" i="1"/>
  <c r="D406" i="1"/>
  <c r="F406" i="1"/>
  <c r="E406" i="1"/>
  <c r="V399" i="1"/>
  <c r="D399" i="1"/>
  <c r="F399" i="1"/>
  <c r="E399" i="1"/>
  <c r="V387" i="1"/>
  <c r="D387" i="1"/>
  <c r="F387" i="1"/>
  <c r="E387" i="1"/>
  <c r="V380" i="1"/>
  <c r="D380" i="1"/>
  <c r="F380" i="1"/>
  <c r="E380" i="1"/>
  <c r="V371" i="1"/>
  <c r="D371" i="1"/>
  <c r="F371" i="1"/>
  <c r="E371" i="1"/>
  <c r="V364" i="1"/>
  <c r="D364" i="1"/>
  <c r="F364" i="1"/>
  <c r="E364" i="1"/>
  <c r="V352" i="1"/>
  <c r="D352" i="1"/>
  <c r="F352" i="1"/>
  <c r="E352" i="1"/>
  <c r="V346" i="1"/>
  <c r="D346" i="1"/>
  <c r="F346" i="1"/>
  <c r="E346" i="1"/>
  <c r="V338" i="1"/>
  <c r="D338" i="1"/>
  <c r="F338" i="1"/>
  <c r="E338" i="1"/>
  <c r="V331" i="1"/>
  <c r="D331" i="1"/>
  <c r="F331" i="1"/>
  <c r="E331" i="1"/>
  <c r="V319" i="1"/>
  <c r="D319" i="1"/>
  <c r="F319" i="1"/>
  <c r="E319" i="1"/>
  <c r="V312" i="1"/>
  <c r="D312" i="1"/>
  <c r="F312" i="1"/>
  <c r="E312" i="1"/>
  <c r="V295" i="1"/>
  <c r="D295" i="1"/>
  <c r="F295" i="1"/>
  <c r="E295" i="1"/>
  <c r="V285" i="1"/>
  <c r="D285" i="1"/>
  <c r="F285" i="1"/>
  <c r="E285" i="1"/>
  <c r="V279" i="1"/>
  <c r="D279" i="1"/>
  <c r="F279" i="1"/>
  <c r="E279" i="1"/>
  <c r="V270" i="1"/>
  <c r="D270" i="1"/>
  <c r="F270" i="1"/>
  <c r="E270" i="1"/>
  <c r="V261" i="1"/>
  <c r="D261" i="1"/>
  <c r="F261" i="1"/>
  <c r="E261" i="1"/>
  <c r="V255" i="1"/>
  <c r="D255" i="1"/>
  <c r="F255" i="1"/>
  <c r="E255" i="1"/>
  <c r="V247" i="1"/>
  <c r="D247" i="1"/>
  <c r="F247" i="1"/>
  <c r="E247" i="1"/>
  <c r="V239" i="1"/>
  <c r="D239" i="1"/>
  <c r="F239" i="1"/>
  <c r="E239" i="1"/>
  <c r="V227" i="1"/>
  <c r="D227" i="1"/>
  <c r="F227" i="1"/>
  <c r="E227" i="1"/>
  <c r="V220" i="1"/>
  <c r="D220" i="1"/>
  <c r="F220" i="1"/>
  <c r="E220" i="1"/>
  <c r="V212" i="1"/>
  <c r="D212" i="1"/>
  <c r="F212" i="1"/>
  <c r="E212" i="1"/>
  <c r="V204" i="1"/>
  <c r="D204" i="1"/>
  <c r="F204" i="1"/>
  <c r="E204" i="1"/>
  <c r="V192" i="1"/>
  <c r="D192" i="1"/>
  <c r="F192" i="1"/>
  <c r="E192" i="1"/>
  <c r="V186" i="1"/>
  <c r="D186" i="1"/>
  <c r="F186" i="1"/>
  <c r="E186" i="1"/>
  <c r="V177" i="1"/>
  <c r="D177" i="1"/>
  <c r="F177" i="1"/>
  <c r="E177" i="1"/>
  <c r="V169" i="1"/>
  <c r="D169" i="1"/>
  <c r="F169" i="1"/>
  <c r="E169" i="1"/>
  <c r="V157" i="1"/>
  <c r="D157" i="1"/>
  <c r="F157" i="1"/>
  <c r="E157" i="1"/>
  <c r="V150" i="1"/>
  <c r="D150" i="1"/>
  <c r="F150" i="1"/>
  <c r="E150" i="1"/>
  <c r="V135" i="1"/>
  <c r="D135" i="1"/>
  <c r="F135" i="1"/>
  <c r="E135" i="1"/>
  <c r="V126" i="1"/>
  <c r="D126" i="1"/>
  <c r="F126" i="1"/>
  <c r="E126" i="1"/>
  <c r="V121" i="1"/>
  <c r="D121" i="1"/>
  <c r="F121" i="1"/>
  <c r="E121" i="1"/>
  <c r="V113" i="1"/>
  <c r="D113" i="1"/>
  <c r="F113" i="1"/>
  <c r="E113" i="1"/>
  <c r="D114" i="1"/>
  <c r="E114" i="1"/>
  <c r="F114" i="1"/>
  <c r="V114" i="1"/>
  <c r="V103" i="1"/>
  <c r="D103" i="1"/>
  <c r="F103" i="1"/>
  <c r="E103" i="1"/>
  <c r="V97" i="1"/>
  <c r="D97" i="1"/>
  <c r="F97" i="1"/>
  <c r="E97" i="1"/>
  <c r="V91" i="1"/>
  <c r="D91" i="1"/>
  <c r="F91" i="1"/>
  <c r="E91" i="1"/>
  <c r="V83" i="1"/>
  <c r="D83" i="1"/>
  <c r="F83" i="1"/>
  <c r="E83" i="1"/>
  <c r="V73" i="1"/>
  <c r="D73" i="1"/>
  <c r="F73" i="1"/>
  <c r="E73" i="1"/>
  <c r="V68" i="1"/>
  <c r="D68" i="1"/>
  <c r="F68" i="1"/>
  <c r="E68" i="1"/>
  <c r="V60" i="1"/>
  <c r="D60" i="1"/>
  <c r="F60" i="1"/>
  <c r="E60" i="1"/>
  <c r="V52" i="1"/>
  <c r="D52" i="1"/>
  <c r="F52" i="1"/>
  <c r="E52" i="1"/>
  <c r="V42" i="1"/>
  <c r="D42" i="1"/>
  <c r="F42" i="1"/>
  <c r="E42" i="1"/>
  <c r="V36" i="1"/>
  <c r="D36" i="1"/>
  <c r="F36" i="1"/>
  <c r="E36" i="1"/>
  <c r="V30" i="1"/>
  <c r="D30" i="1"/>
  <c r="F30" i="1"/>
  <c r="E30" i="1"/>
  <c r="V22" i="1"/>
  <c r="D22" i="1"/>
  <c r="F22" i="1"/>
  <c r="E22" i="1"/>
  <c r="V12" i="1"/>
  <c r="D12" i="1"/>
  <c r="F12" i="1"/>
  <c r="E12" i="1"/>
  <c r="V7" i="1"/>
  <c r="D7" i="1"/>
  <c r="F7" i="1"/>
  <c r="E7" i="1"/>
  <c r="V922" i="1"/>
  <c r="D922" i="1"/>
  <c r="F922" i="1"/>
  <c r="E922" i="1"/>
  <c r="V921" i="1"/>
  <c r="D921" i="1"/>
  <c r="F921" i="1"/>
  <c r="E921" i="1"/>
  <c r="V920" i="1"/>
  <c r="D920" i="1"/>
  <c r="F920" i="1"/>
  <c r="E920" i="1"/>
  <c r="V919" i="1"/>
  <c r="D919" i="1"/>
  <c r="F919" i="1"/>
  <c r="E919" i="1"/>
  <c r="V908" i="1"/>
  <c r="D908" i="1"/>
  <c r="F908" i="1"/>
  <c r="E908" i="1"/>
  <c r="V907" i="1"/>
  <c r="D907" i="1"/>
  <c r="F907" i="1"/>
  <c r="E907" i="1"/>
  <c r="V906" i="1"/>
  <c r="D906" i="1"/>
  <c r="F906" i="1"/>
  <c r="E906" i="1"/>
  <c r="V905" i="1"/>
  <c r="D905" i="1"/>
  <c r="F905" i="1"/>
  <c r="E905" i="1"/>
  <c r="V887" i="1"/>
  <c r="D887" i="1"/>
  <c r="F887" i="1"/>
  <c r="E887" i="1"/>
  <c r="V886" i="1"/>
  <c r="D886" i="1"/>
  <c r="F886" i="1"/>
  <c r="E886" i="1"/>
  <c r="V885" i="1"/>
  <c r="D885" i="1"/>
  <c r="F885" i="1"/>
  <c r="E885" i="1"/>
  <c r="V884" i="1"/>
  <c r="D884" i="1"/>
  <c r="F884" i="1"/>
  <c r="E884" i="1"/>
  <c r="V864" i="1"/>
  <c r="D864" i="1"/>
  <c r="F864" i="1"/>
  <c r="E864" i="1"/>
  <c r="V863" i="1"/>
  <c r="D863" i="1"/>
  <c r="F863" i="1"/>
  <c r="E863" i="1"/>
  <c r="V862" i="1"/>
  <c r="D862" i="1"/>
  <c r="F862" i="1"/>
  <c r="E862" i="1"/>
  <c r="V861" i="1"/>
  <c r="D861" i="1"/>
  <c r="F861" i="1"/>
  <c r="E861" i="1"/>
  <c r="V850" i="1"/>
  <c r="D850" i="1"/>
  <c r="F850" i="1"/>
  <c r="E850" i="1"/>
  <c r="V849" i="1"/>
  <c r="D849" i="1"/>
  <c r="F849" i="1"/>
  <c r="E849" i="1"/>
  <c r="V848" i="1"/>
  <c r="D848" i="1"/>
  <c r="F848" i="1"/>
  <c r="E848" i="1"/>
  <c r="V847" i="1"/>
  <c r="D847" i="1"/>
  <c r="F847" i="1"/>
  <c r="E847" i="1"/>
  <c r="V828" i="1"/>
  <c r="D828" i="1"/>
  <c r="F828" i="1"/>
  <c r="E828" i="1"/>
  <c r="V827" i="1"/>
  <c r="D827" i="1"/>
  <c r="F827" i="1"/>
  <c r="E827" i="1"/>
  <c r="V826" i="1"/>
  <c r="D826" i="1"/>
  <c r="F826" i="1"/>
  <c r="E826" i="1"/>
  <c r="V825" i="1"/>
  <c r="D825" i="1"/>
  <c r="F825" i="1"/>
  <c r="E825" i="1"/>
  <c r="V805" i="1"/>
  <c r="D805" i="1"/>
  <c r="F805" i="1"/>
  <c r="E805" i="1"/>
  <c r="V804" i="1"/>
  <c r="D804" i="1"/>
  <c r="F804" i="1"/>
  <c r="E804" i="1"/>
  <c r="V803" i="1"/>
  <c r="D803" i="1"/>
  <c r="F803" i="1"/>
  <c r="E803" i="1"/>
  <c r="V802" i="1"/>
  <c r="D802" i="1"/>
  <c r="F802" i="1"/>
  <c r="E802" i="1"/>
  <c r="V785" i="1"/>
  <c r="D785" i="1"/>
  <c r="F785" i="1"/>
  <c r="E785" i="1"/>
  <c r="V784" i="1"/>
  <c r="D784" i="1"/>
  <c r="F784" i="1"/>
  <c r="E784" i="1"/>
  <c r="V783" i="1"/>
  <c r="D783" i="1"/>
  <c r="F783" i="1"/>
  <c r="E783" i="1"/>
  <c r="V782" i="1"/>
  <c r="D782" i="1"/>
  <c r="F782" i="1"/>
  <c r="E782" i="1"/>
  <c r="V761" i="1"/>
  <c r="D761" i="1"/>
  <c r="F761" i="1"/>
  <c r="E761" i="1"/>
  <c r="V760" i="1"/>
  <c r="D760" i="1"/>
  <c r="F760" i="1"/>
  <c r="E760" i="1"/>
  <c r="V759" i="1"/>
  <c r="D759" i="1"/>
  <c r="F759" i="1"/>
  <c r="E759" i="1"/>
  <c r="V743" i="1"/>
  <c r="D743" i="1"/>
  <c r="F743" i="1"/>
  <c r="E743" i="1"/>
  <c r="V742" i="1"/>
  <c r="D742" i="1"/>
  <c r="F742" i="1"/>
  <c r="E742" i="1"/>
  <c r="V741" i="1"/>
  <c r="D741" i="1"/>
  <c r="F741" i="1"/>
  <c r="E741" i="1"/>
  <c r="V740" i="1"/>
  <c r="D740" i="1"/>
  <c r="F740" i="1"/>
  <c r="E740" i="1"/>
  <c r="V724" i="1"/>
  <c r="D724" i="1"/>
  <c r="F724" i="1"/>
  <c r="E724" i="1"/>
  <c r="V723" i="1"/>
  <c r="D723" i="1"/>
  <c r="F723" i="1"/>
  <c r="E723" i="1"/>
  <c r="V722" i="1"/>
  <c r="D722" i="1"/>
  <c r="F722" i="1"/>
  <c r="E722" i="1"/>
  <c r="V721" i="1"/>
  <c r="D721" i="1"/>
  <c r="F721" i="1"/>
  <c r="E721" i="1"/>
  <c r="V701" i="1"/>
  <c r="D701" i="1"/>
  <c r="F701" i="1"/>
  <c r="E701" i="1"/>
  <c r="V700" i="1"/>
  <c r="D700" i="1"/>
  <c r="F700" i="1"/>
  <c r="E700" i="1"/>
  <c r="V699" i="1"/>
  <c r="D699" i="1"/>
  <c r="F699" i="1"/>
  <c r="E699" i="1"/>
  <c r="V698" i="1"/>
  <c r="D698" i="1"/>
  <c r="F698" i="1"/>
  <c r="E698" i="1"/>
  <c r="V682" i="1"/>
  <c r="D682" i="1"/>
  <c r="F682" i="1"/>
  <c r="E682" i="1"/>
  <c r="V681" i="1"/>
  <c r="D681" i="1"/>
  <c r="F681" i="1"/>
  <c r="E681" i="1"/>
  <c r="V680" i="1"/>
  <c r="D680" i="1"/>
  <c r="F680" i="1"/>
  <c r="E680" i="1"/>
  <c r="V679" i="1"/>
  <c r="D679" i="1"/>
  <c r="F679" i="1"/>
  <c r="E679" i="1"/>
  <c r="V663" i="1"/>
  <c r="D663" i="1"/>
  <c r="F663" i="1"/>
  <c r="E663" i="1"/>
  <c r="V662" i="1"/>
  <c r="D662" i="1"/>
  <c r="F662" i="1"/>
  <c r="E662" i="1"/>
  <c r="V661" i="1"/>
  <c r="D661" i="1"/>
  <c r="F661" i="1"/>
  <c r="E661" i="1"/>
  <c r="V660" i="1"/>
  <c r="D660" i="1"/>
  <c r="F660" i="1"/>
  <c r="E660" i="1"/>
  <c r="V634" i="1"/>
  <c r="D634" i="1"/>
  <c r="F634" i="1"/>
  <c r="E634" i="1"/>
  <c r="V633" i="1"/>
  <c r="D633" i="1"/>
  <c r="F633" i="1"/>
  <c r="E633" i="1"/>
  <c r="V621" i="1"/>
  <c r="D621" i="1"/>
  <c r="F621" i="1"/>
  <c r="E621" i="1"/>
  <c r="V613" i="1"/>
  <c r="D613" i="1"/>
  <c r="F613" i="1"/>
  <c r="E613" i="1"/>
  <c r="V603" i="1"/>
  <c r="D603" i="1"/>
  <c r="F603" i="1"/>
  <c r="E603" i="1"/>
  <c r="V602" i="1"/>
  <c r="D602" i="1"/>
  <c r="F602" i="1"/>
  <c r="E602" i="1"/>
  <c r="V591" i="1"/>
  <c r="D591" i="1"/>
  <c r="F591" i="1"/>
  <c r="E591" i="1"/>
  <c r="V583" i="1"/>
  <c r="D583" i="1"/>
  <c r="F583" i="1"/>
  <c r="E583" i="1"/>
  <c r="V574" i="1"/>
  <c r="D574" i="1"/>
  <c r="F574" i="1"/>
  <c r="E574" i="1"/>
  <c r="V573" i="1"/>
  <c r="D573" i="1"/>
  <c r="F573" i="1"/>
  <c r="E573" i="1"/>
  <c r="V562" i="1"/>
  <c r="D562" i="1"/>
  <c r="F562" i="1"/>
  <c r="E562" i="1"/>
  <c r="V554" i="1"/>
  <c r="D554" i="1"/>
  <c r="F554" i="1"/>
  <c r="E554" i="1"/>
  <c r="V544" i="1"/>
  <c r="D544" i="1"/>
  <c r="F544" i="1"/>
  <c r="E544" i="1"/>
  <c r="V543" i="1"/>
  <c r="D543" i="1"/>
  <c r="F543" i="1"/>
  <c r="E543" i="1"/>
  <c r="V533" i="1"/>
  <c r="D533" i="1"/>
  <c r="F533" i="1"/>
  <c r="E533" i="1"/>
  <c r="V532" i="1"/>
  <c r="D532" i="1"/>
  <c r="F532" i="1"/>
  <c r="E532" i="1"/>
  <c r="V518" i="1"/>
  <c r="D518" i="1"/>
  <c r="F518" i="1"/>
  <c r="E518" i="1"/>
  <c r="V510" i="1"/>
  <c r="D510" i="1"/>
  <c r="F510" i="1"/>
  <c r="E510" i="1"/>
  <c r="V501" i="1"/>
  <c r="D501" i="1"/>
  <c r="F501" i="1"/>
  <c r="E501" i="1"/>
  <c r="V500" i="1"/>
  <c r="D500" i="1"/>
  <c r="F500" i="1"/>
  <c r="E500" i="1"/>
  <c r="V490" i="1"/>
  <c r="D490" i="1"/>
  <c r="F490" i="1"/>
  <c r="E490" i="1"/>
  <c r="V489" i="1"/>
  <c r="D489" i="1"/>
  <c r="F489" i="1"/>
  <c r="E489" i="1"/>
  <c r="V475" i="1"/>
  <c r="D475" i="1"/>
  <c r="F475" i="1"/>
  <c r="E475" i="1"/>
  <c r="V284" i="1"/>
  <c r="D284" i="1"/>
  <c r="F284" i="1"/>
  <c r="E284" i="1"/>
  <c r="V467" i="1"/>
  <c r="D467" i="1"/>
  <c r="F467" i="1"/>
  <c r="E467" i="1"/>
  <c r="V450" i="1"/>
  <c r="D450" i="1"/>
  <c r="F450" i="1"/>
  <c r="E450" i="1"/>
  <c r="V449" i="1"/>
  <c r="D449" i="1"/>
  <c r="F449" i="1"/>
  <c r="E449" i="1"/>
  <c r="V441" i="1"/>
  <c r="D441" i="1"/>
  <c r="F441" i="1"/>
  <c r="E441" i="1"/>
  <c r="V434" i="1"/>
  <c r="D434" i="1"/>
  <c r="F434" i="1"/>
  <c r="E434" i="1"/>
  <c r="V427" i="1"/>
  <c r="D427" i="1"/>
  <c r="F427" i="1"/>
  <c r="E427" i="1"/>
  <c r="V426" i="1"/>
  <c r="D426" i="1"/>
  <c r="F426" i="1"/>
  <c r="E426" i="1"/>
  <c r="V419" i="1"/>
  <c r="D419" i="1"/>
  <c r="F419" i="1"/>
  <c r="E419" i="1"/>
  <c r="V413" i="1"/>
  <c r="D413" i="1"/>
  <c r="F413" i="1"/>
  <c r="E413" i="1"/>
  <c r="V405" i="1"/>
  <c r="D405" i="1"/>
  <c r="F405" i="1"/>
  <c r="E405" i="1"/>
  <c r="V404" i="1"/>
  <c r="D404" i="1"/>
  <c r="F404" i="1"/>
  <c r="E404" i="1"/>
  <c r="V398" i="1"/>
  <c r="D398" i="1"/>
  <c r="F398" i="1"/>
  <c r="E398" i="1"/>
  <c r="V397" i="1"/>
  <c r="D397" i="1"/>
  <c r="F397" i="1"/>
  <c r="E397" i="1"/>
  <c r="V386" i="1"/>
  <c r="D386" i="1"/>
  <c r="F386" i="1"/>
  <c r="E386" i="1"/>
  <c r="V379" i="1"/>
  <c r="D379" i="1"/>
  <c r="F379" i="1"/>
  <c r="E379" i="1"/>
  <c r="V370" i="1"/>
  <c r="D370" i="1"/>
  <c r="F370" i="1"/>
  <c r="E370" i="1"/>
  <c r="V369" i="1"/>
  <c r="D369" i="1"/>
  <c r="F369" i="1"/>
  <c r="E369" i="1"/>
  <c r="V363" i="1"/>
  <c r="D363" i="1"/>
  <c r="F363" i="1"/>
  <c r="E363" i="1"/>
  <c r="V362" i="1"/>
  <c r="D362" i="1"/>
  <c r="F362" i="1"/>
  <c r="E362" i="1"/>
  <c r="V351" i="1"/>
  <c r="D351" i="1"/>
  <c r="F351" i="1"/>
  <c r="E351" i="1"/>
  <c r="V345" i="1"/>
  <c r="D345" i="1"/>
  <c r="F345" i="1"/>
  <c r="E345" i="1"/>
  <c r="V337" i="1"/>
  <c r="D337" i="1"/>
  <c r="F337" i="1"/>
  <c r="E337" i="1"/>
  <c r="V336" i="1"/>
  <c r="D336" i="1"/>
  <c r="F336" i="1"/>
  <c r="E336" i="1"/>
  <c r="V330" i="1"/>
  <c r="D330" i="1"/>
  <c r="F330" i="1"/>
  <c r="E330" i="1"/>
  <c r="V329" i="1"/>
  <c r="D329" i="1"/>
  <c r="F329" i="1"/>
  <c r="E329" i="1"/>
  <c r="V311" i="1"/>
  <c r="D311" i="1"/>
  <c r="F311" i="1"/>
  <c r="E311" i="1"/>
  <c r="V318" i="1"/>
  <c r="D318" i="1"/>
  <c r="F318" i="1"/>
  <c r="E318" i="1"/>
  <c r="V294" i="1"/>
  <c r="D294" i="1"/>
  <c r="F294" i="1"/>
  <c r="E294" i="1"/>
  <c r="V293" i="1"/>
  <c r="D293" i="1"/>
  <c r="F293" i="1"/>
  <c r="E293" i="1"/>
  <c r="V278" i="1"/>
  <c r="D278" i="1"/>
  <c r="F278" i="1"/>
  <c r="E278" i="1"/>
  <c r="V269" i="1"/>
  <c r="D269" i="1"/>
  <c r="F269" i="1"/>
  <c r="E269" i="1"/>
  <c r="V268" i="1"/>
  <c r="D268" i="1"/>
  <c r="F268" i="1"/>
  <c r="E268" i="1"/>
  <c r="V260" i="1"/>
  <c r="D260" i="1"/>
  <c r="F260" i="1"/>
  <c r="E260" i="1"/>
  <c r="V254" i="1"/>
  <c r="D254" i="1"/>
  <c r="F254" i="1"/>
  <c r="E254" i="1"/>
  <c r="V246" i="1"/>
  <c r="D246" i="1"/>
  <c r="F246" i="1"/>
  <c r="E246" i="1"/>
  <c r="V245" i="1"/>
  <c r="D245" i="1"/>
  <c r="F245" i="1"/>
  <c r="E245" i="1"/>
  <c r="V238" i="1"/>
  <c r="D238" i="1"/>
  <c r="F238" i="1"/>
  <c r="E238" i="1"/>
  <c r="V237" i="1"/>
  <c r="D237" i="1"/>
  <c r="F237" i="1"/>
  <c r="E237" i="1"/>
  <c r="V226" i="1"/>
  <c r="D226" i="1"/>
  <c r="F226" i="1"/>
  <c r="E226" i="1"/>
  <c r="V219" i="1"/>
  <c r="D219" i="1"/>
  <c r="F219" i="1"/>
  <c r="E219" i="1"/>
  <c r="V211" i="1"/>
  <c r="D211" i="1"/>
  <c r="F211" i="1"/>
  <c r="E211" i="1"/>
  <c r="V210" i="1"/>
  <c r="D210" i="1"/>
  <c r="F210" i="1"/>
  <c r="E210" i="1"/>
  <c r="V203" i="1"/>
  <c r="D203" i="1"/>
  <c r="F203" i="1"/>
  <c r="E203" i="1"/>
  <c r="V202" i="1"/>
  <c r="D202" i="1"/>
  <c r="F202" i="1"/>
  <c r="E202" i="1"/>
  <c r="V191" i="1"/>
  <c r="D191" i="1"/>
  <c r="F191" i="1"/>
  <c r="E191" i="1"/>
  <c r="V185" i="1"/>
  <c r="D185" i="1"/>
  <c r="F185" i="1"/>
  <c r="E185" i="1"/>
  <c r="V176" i="1"/>
  <c r="D176" i="1"/>
  <c r="F176" i="1"/>
  <c r="E176" i="1"/>
  <c r="V175" i="1"/>
  <c r="D175" i="1"/>
  <c r="F175" i="1"/>
  <c r="E175" i="1"/>
  <c r="V168" i="1"/>
  <c r="D168" i="1"/>
  <c r="F168" i="1"/>
  <c r="E168" i="1"/>
  <c r="V167" i="1"/>
  <c r="D167" i="1"/>
  <c r="F167" i="1"/>
  <c r="E167" i="1"/>
  <c r="V156" i="1"/>
  <c r="D156" i="1"/>
  <c r="F156" i="1"/>
  <c r="E156" i="1"/>
  <c r="V149" i="1"/>
  <c r="D149" i="1"/>
  <c r="F149" i="1"/>
  <c r="E149" i="1"/>
  <c r="V134" i="1"/>
  <c r="D134" i="1"/>
  <c r="F134" i="1"/>
  <c r="E134" i="1"/>
  <c r="V133" i="1"/>
  <c r="D133" i="1"/>
  <c r="F133" i="1"/>
  <c r="E133" i="1"/>
  <c r="V120" i="1"/>
  <c r="D120" i="1"/>
  <c r="F120" i="1"/>
  <c r="E120" i="1"/>
  <c r="V112" i="1"/>
  <c r="D112" i="1"/>
  <c r="F112" i="1"/>
  <c r="E112" i="1"/>
  <c r="V111" i="1"/>
  <c r="D111" i="1"/>
  <c r="F111" i="1"/>
  <c r="E111" i="1"/>
  <c r="V102" i="1"/>
  <c r="D102" i="1"/>
  <c r="F102" i="1"/>
  <c r="E102" i="1"/>
  <c r="V96" i="1"/>
  <c r="D96" i="1"/>
  <c r="F96" i="1"/>
  <c r="E96" i="1"/>
  <c r="V90" i="1"/>
  <c r="D90" i="1"/>
  <c r="F90" i="1"/>
  <c r="E90" i="1"/>
  <c r="V89" i="1"/>
  <c r="D89" i="1"/>
  <c r="F89" i="1"/>
  <c r="E89" i="1"/>
  <c r="V82" i="1"/>
  <c r="D82" i="1"/>
  <c r="F82" i="1"/>
  <c r="E82" i="1"/>
  <c r="V81" i="1"/>
  <c r="D81" i="1"/>
  <c r="F81" i="1"/>
  <c r="E81" i="1"/>
  <c r="V72" i="1"/>
  <c r="D72" i="1"/>
  <c r="F72" i="1"/>
  <c r="E72" i="1"/>
  <c r="V67" i="1"/>
  <c r="D67" i="1"/>
  <c r="F67" i="1"/>
  <c r="E67" i="1"/>
  <c r="V59" i="1"/>
  <c r="D59" i="1"/>
  <c r="F59" i="1"/>
  <c r="E59" i="1"/>
  <c r="V58" i="1"/>
  <c r="D58" i="1"/>
  <c r="F58" i="1"/>
  <c r="E58" i="1"/>
  <c r="V51" i="1"/>
  <c r="D51" i="1"/>
  <c r="F51" i="1"/>
  <c r="E51" i="1"/>
  <c r="V50" i="1"/>
  <c r="D50" i="1"/>
  <c r="F50" i="1"/>
  <c r="E50" i="1"/>
  <c r="V41" i="1"/>
  <c r="D41" i="1"/>
  <c r="F41" i="1"/>
  <c r="E41" i="1"/>
  <c r="V35" i="1"/>
  <c r="D35" i="1"/>
  <c r="F35" i="1"/>
  <c r="E35" i="1"/>
  <c r="V29" i="1"/>
  <c r="D29" i="1"/>
  <c r="F29" i="1"/>
  <c r="E29" i="1"/>
  <c r="V28" i="1"/>
  <c r="D28" i="1"/>
  <c r="F28" i="1"/>
  <c r="E28" i="1"/>
  <c r="V21" i="1"/>
  <c r="D21" i="1"/>
  <c r="F21" i="1"/>
  <c r="E21" i="1"/>
  <c r="V20" i="1"/>
  <c r="D20" i="1"/>
  <c r="F20" i="1"/>
  <c r="E20" i="1"/>
  <c r="V11" i="1"/>
  <c r="D11" i="1"/>
  <c r="F11" i="1"/>
  <c r="E11" i="1"/>
  <c r="V6" i="1"/>
  <c r="D6" i="1"/>
  <c r="F6" i="1"/>
  <c r="E6" i="1"/>
  <c r="D272" i="1"/>
  <c r="F272" i="1"/>
  <c r="E272" i="1"/>
  <c r="V891" i="1"/>
  <c r="D891" i="1"/>
  <c r="F891" i="1"/>
  <c r="E891" i="1"/>
  <c r="V833" i="1"/>
  <c r="D833" i="1"/>
  <c r="F833" i="1"/>
  <c r="E833" i="1"/>
  <c r="V832" i="1"/>
  <c r="D832" i="1"/>
  <c r="F832" i="1"/>
  <c r="E832" i="1"/>
  <c r="V624" i="1"/>
  <c r="D624" i="1"/>
  <c r="F624" i="1"/>
  <c r="E624" i="1"/>
  <c r="V444" i="1"/>
  <c r="D444" i="1"/>
  <c r="F444" i="1"/>
  <c r="E444" i="1"/>
  <c r="V287" i="1"/>
  <c r="D287" i="1"/>
  <c r="F287" i="1"/>
  <c r="E287" i="1"/>
  <c r="D128" i="1"/>
  <c r="F128" i="1"/>
  <c r="E128" i="1"/>
  <c r="D105" i="1"/>
  <c r="F105" i="1"/>
  <c r="E105" i="1"/>
  <c r="D2" i="1"/>
  <c r="E2" i="1"/>
  <c r="D939" i="1"/>
  <c r="E939" i="1"/>
  <c r="D938" i="1"/>
  <c r="E938" i="1"/>
  <c r="D937" i="1"/>
  <c r="E937" i="1"/>
  <c r="D936" i="1"/>
  <c r="E936" i="1"/>
  <c r="D935" i="1"/>
  <c r="E935" i="1"/>
  <c r="D934" i="1"/>
  <c r="E934" i="1"/>
  <c r="D933" i="1"/>
  <c r="E933" i="1"/>
  <c r="D932" i="1"/>
  <c r="E932" i="1"/>
  <c r="D931" i="1"/>
  <c r="E931" i="1"/>
  <c r="D930" i="1"/>
  <c r="E930" i="1"/>
  <c r="D929" i="1"/>
  <c r="E929" i="1"/>
  <c r="D928" i="1"/>
  <c r="E928" i="1"/>
  <c r="D927" i="1"/>
  <c r="E927" i="1"/>
  <c r="D926" i="1"/>
  <c r="E926" i="1"/>
  <c r="D925" i="1"/>
  <c r="E925" i="1"/>
  <c r="D918" i="1"/>
  <c r="E918" i="1"/>
  <c r="D917" i="1"/>
  <c r="E917" i="1"/>
  <c r="D916" i="1"/>
  <c r="E916" i="1"/>
  <c r="D915" i="1"/>
  <c r="E915" i="1"/>
  <c r="D914" i="1"/>
  <c r="E914" i="1"/>
  <c r="D913" i="1"/>
  <c r="E913" i="1"/>
  <c r="D912" i="1"/>
  <c r="E912" i="1"/>
  <c r="D911" i="1"/>
  <c r="E911" i="1"/>
  <c r="D904" i="1"/>
  <c r="E904" i="1"/>
  <c r="D903" i="1"/>
  <c r="E903" i="1"/>
  <c r="D902" i="1"/>
  <c r="E902" i="1"/>
  <c r="D901" i="1"/>
  <c r="E901" i="1"/>
  <c r="D900" i="1"/>
  <c r="E900" i="1"/>
  <c r="D899" i="1"/>
  <c r="E899" i="1"/>
  <c r="D898" i="1"/>
  <c r="E898" i="1"/>
  <c r="D897" i="1"/>
  <c r="E897" i="1"/>
  <c r="D896" i="1"/>
  <c r="E896" i="1"/>
  <c r="D895" i="1"/>
  <c r="E895" i="1"/>
  <c r="D894" i="1"/>
  <c r="E894" i="1"/>
  <c r="D893" i="1"/>
  <c r="E893" i="1"/>
  <c r="D892" i="1"/>
  <c r="E892" i="1"/>
  <c r="D890" i="1"/>
  <c r="E890" i="1"/>
  <c r="D883" i="1"/>
  <c r="E883" i="1"/>
  <c r="D882" i="1"/>
  <c r="E882" i="1"/>
  <c r="D881" i="1"/>
  <c r="E881" i="1"/>
  <c r="D880" i="1"/>
  <c r="E880" i="1"/>
  <c r="D879" i="1"/>
  <c r="E879" i="1"/>
  <c r="D878" i="1"/>
  <c r="E878" i="1"/>
  <c r="D877" i="1"/>
  <c r="E877" i="1"/>
  <c r="D876" i="1"/>
  <c r="E876" i="1"/>
  <c r="D873" i="1"/>
  <c r="E873" i="1"/>
  <c r="D872" i="1"/>
  <c r="E872" i="1"/>
  <c r="D871" i="1"/>
  <c r="E871" i="1"/>
  <c r="D870" i="1"/>
  <c r="E870" i="1"/>
  <c r="D869" i="1"/>
  <c r="E869" i="1"/>
  <c r="D868" i="1"/>
  <c r="E868" i="1"/>
  <c r="D867" i="1"/>
  <c r="E867" i="1"/>
  <c r="D860" i="1"/>
  <c r="E860" i="1"/>
  <c r="D859" i="1"/>
  <c r="E859" i="1"/>
  <c r="D858" i="1"/>
  <c r="E858" i="1"/>
  <c r="D857" i="1"/>
  <c r="E857" i="1"/>
  <c r="D856" i="1"/>
  <c r="E856" i="1"/>
  <c r="D855" i="1"/>
  <c r="E855" i="1"/>
  <c r="D854" i="1"/>
  <c r="E854" i="1"/>
  <c r="D853" i="1"/>
  <c r="E853" i="1"/>
  <c r="D846" i="1"/>
  <c r="E846" i="1"/>
  <c r="D845" i="1"/>
  <c r="E845" i="1"/>
  <c r="D844" i="1"/>
  <c r="E844" i="1"/>
  <c r="D843" i="1"/>
  <c r="E843" i="1"/>
  <c r="D842" i="1"/>
  <c r="E842" i="1"/>
  <c r="D841" i="1"/>
  <c r="E841" i="1"/>
  <c r="D840" i="1"/>
  <c r="E840" i="1"/>
  <c r="D839" i="1"/>
  <c r="E839" i="1"/>
  <c r="D838" i="1"/>
  <c r="E838" i="1"/>
  <c r="D837" i="1"/>
  <c r="E837" i="1"/>
  <c r="D836" i="1"/>
  <c r="E836" i="1"/>
  <c r="D835" i="1"/>
  <c r="E835" i="1"/>
  <c r="D834" i="1"/>
  <c r="E834" i="1"/>
  <c r="D831" i="1"/>
  <c r="E831" i="1"/>
  <c r="D824" i="1"/>
  <c r="E824" i="1"/>
  <c r="D823" i="1"/>
  <c r="E823" i="1"/>
  <c r="D822" i="1"/>
  <c r="E822" i="1"/>
  <c r="D821" i="1"/>
  <c r="E821" i="1"/>
  <c r="D820" i="1"/>
  <c r="E820" i="1"/>
  <c r="D819" i="1"/>
  <c r="E819" i="1"/>
  <c r="D818" i="1"/>
  <c r="E818" i="1"/>
  <c r="D817" i="1"/>
  <c r="E817" i="1"/>
  <c r="D814" i="1"/>
  <c r="E814" i="1"/>
  <c r="D813" i="1"/>
  <c r="E813" i="1"/>
  <c r="D812" i="1"/>
  <c r="E812" i="1"/>
  <c r="D811" i="1"/>
  <c r="E811" i="1"/>
  <c r="D810" i="1"/>
  <c r="E810" i="1"/>
  <c r="D809" i="1"/>
  <c r="E809" i="1"/>
  <c r="D808" i="1"/>
  <c r="E808" i="1"/>
  <c r="D801" i="1"/>
  <c r="E801" i="1"/>
  <c r="D800" i="1"/>
  <c r="E800" i="1"/>
  <c r="D799" i="1"/>
  <c r="E799" i="1"/>
  <c r="D798" i="1"/>
  <c r="E798" i="1"/>
  <c r="D797" i="1"/>
  <c r="E797" i="1"/>
  <c r="D796" i="1"/>
  <c r="E796" i="1"/>
  <c r="D795" i="1"/>
  <c r="E795" i="1"/>
  <c r="D794" i="1"/>
  <c r="E794" i="1"/>
  <c r="D793" i="1"/>
  <c r="E793" i="1"/>
  <c r="D792" i="1"/>
  <c r="E792" i="1"/>
  <c r="D791" i="1"/>
  <c r="E791" i="1"/>
  <c r="D790" i="1"/>
  <c r="E790" i="1"/>
  <c r="D789" i="1"/>
  <c r="E789" i="1"/>
  <c r="D788" i="1"/>
  <c r="E788" i="1"/>
  <c r="D781" i="1"/>
  <c r="E781" i="1"/>
  <c r="D780" i="1"/>
  <c r="E780" i="1"/>
  <c r="D779" i="1"/>
  <c r="E779" i="1"/>
  <c r="D778" i="1"/>
  <c r="E778" i="1"/>
  <c r="D777" i="1"/>
  <c r="E777" i="1"/>
  <c r="D776" i="1"/>
  <c r="E776" i="1"/>
  <c r="D775" i="1"/>
  <c r="E775" i="1"/>
  <c r="D774" i="1"/>
  <c r="E774" i="1"/>
  <c r="D771" i="1"/>
  <c r="E771" i="1"/>
  <c r="D770" i="1"/>
  <c r="E770" i="1"/>
  <c r="D769" i="1"/>
  <c r="E769" i="1"/>
  <c r="D768" i="1"/>
  <c r="E768" i="1"/>
  <c r="D767" i="1"/>
  <c r="E767" i="1"/>
  <c r="D766" i="1"/>
  <c r="E766" i="1"/>
  <c r="D765" i="1"/>
  <c r="E765" i="1"/>
  <c r="D758" i="1"/>
  <c r="E758" i="1"/>
  <c r="D757" i="1"/>
  <c r="E757" i="1"/>
  <c r="D756" i="1"/>
  <c r="E756" i="1"/>
  <c r="D755" i="1"/>
  <c r="E755" i="1"/>
  <c r="D754" i="1"/>
  <c r="E754" i="1"/>
  <c r="D753" i="1"/>
  <c r="E753" i="1"/>
  <c r="D752" i="1"/>
  <c r="E752" i="1"/>
  <c r="D751" i="1"/>
  <c r="E751" i="1"/>
  <c r="D750" i="1"/>
  <c r="E750" i="1"/>
  <c r="D749" i="1"/>
  <c r="E749" i="1"/>
  <c r="D748" i="1"/>
  <c r="E748" i="1"/>
  <c r="D747" i="1"/>
  <c r="E747" i="1"/>
  <c r="D746" i="1"/>
  <c r="E746" i="1"/>
  <c r="D739" i="1"/>
  <c r="E739" i="1"/>
  <c r="D738" i="1"/>
  <c r="E738" i="1"/>
  <c r="D737" i="1"/>
  <c r="E737" i="1"/>
  <c r="D736" i="1"/>
  <c r="E736" i="1"/>
  <c r="D735" i="1"/>
  <c r="E735" i="1"/>
  <c r="D734" i="1"/>
  <c r="E734" i="1"/>
  <c r="D733" i="1"/>
  <c r="E733" i="1"/>
  <c r="D732" i="1"/>
  <c r="E732" i="1"/>
  <c r="D731" i="1"/>
  <c r="E731" i="1"/>
  <c r="D730" i="1"/>
  <c r="E730" i="1"/>
  <c r="D729" i="1"/>
  <c r="E729" i="1"/>
  <c r="D728" i="1"/>
  <c r="E728" i="1"/>
  <c r="D727" i="1"/>
  <c r="E727" i="1"/>
  <c r="D720" i="1"/>
  <c r="E720" i="1"/>
  <c r="D719" i="1"/>
  <c r="E719" i="1"/>
  <c r="D718" i="1"/>
  <c r="E718" i="1"/>
  <c r="D717" i="1"/>
  <c r="E717" i="1"/>
  <c r="D716" i="1"/>
  <c r="E716" i="1"/>
  <c r="D715" i="1"/>
  <c r="E715" i="1"/>
  <c r="D714" i="1"/>
  <c r="E714" i="1"/>
  <c r="D713" i="1"/>
  <c r="E713" i="1"/>
  <c r="D710" i="1"/>
  <c r="E710" i="1"/>
  <c r="D709" i="1"/>
  <c r="E709" i="1"/>
  <c r="D708" i="1"/>
  <c r="E708" i="1"/>
  <c r="D707" i="1"/>
  <c r="E707" i="1"/>
  <c r="D706" i="1"/>
  <c r="E706" i="1"/>
  <c r="D705" i="1"/>
  <c r="E705" i="1"/>
  <c r="D704" i="1"/>
  <c r="E704" i="1"/>
  <c r="D697" i="1"/>
  <c r="E697" i="1"/>
  <c r="D696" i="1"/>
  <c r="E696" i="1"/>
  <c r="D695" i="1"/>
  <c r="E695" i="1"/>
  <c r="D694" i="1"/>
  <c r="E694" i="1"/>
  <c r="D693" i="1"/>
  <c r="E693" i="1"/>
  <c r="D692" i="1"/>
  <c r="E692" i="1"/>
  <c r="D691" i="1"/>
  <c r="E691" i="1"/>
  <c r="D690" i="1"/>
  <c r="E690" i="1"/>
  <c r="D689" i="1"/>
  <c r="E689" i="1"/>
  <c r="D688" i="1"/>
  <c r="E688" i="1"/>
  <c r="D687" i="1"/>
  <c r="E687" i="1"/>
  <c r="D686" i="1"/>
  <c r="E686" i="1"/>
  <c r="D685" i="1"/>
  <c r="E685" i="1"/>
  <c r="D678" i="1"/>
  <c r="E678" i="1"/>
  <c r="D677" i="1"/>
  <c r="E677" i="1"/>
  <c r="D676" i="1"/>
  <c r="E676" i="1"/>
  <c r="D675" i="1"/>
  <c r="E675" i="1"/>
  <c r="D674" i="1"/>
  <c r="E674" i="1"/>
  <c r="D673" i="1"/>
  <c r="E673" i="1"/>
  <c r="D672" i="1"/>
  <c r="E672" i="1"/>
  <c r="D671" i="1"/>
  <c r="E671" i="1"/>
  <c r="D670" i="1"/>
  <c r="E670" i="1"/>
  <c r="D669" i="1"/>
  <c r="E669" i="1"/>
  <c r="D668" i="1"/>
  <c r="E668" i="1"/>
  <c r="D667" i="1"/>
  <c r="E667" i="1"/>
  <c r="D666" i="1"/>
  <c r="E666" i="1"/>
  <c r="D659" i="1"/>
  <c r="E659" i="1"/>
  <c r="D658" i="1"/>
  <c r="E658" i="1"/>
  <c r="D657" i="1"/>
  <c r="E657" i="1"/>
  <c r="D656" i="1"/>
  <c r="E656" i="1"/>
  <c r="D655" i="1"/>
  <c r="E655" i="1"/>
  <c r="D654" i="1"/>
  <c r="E654" i="1"/>
  <c r="D653" i="1"/>
  <c r="E653" i="1"/>
  <c r="D652" i="1"/>
  <c r="E652" i="1"/>
  <c r="D649" i="1"/>
  <c r="E649" i="1"/>
  <c r="D648" i="1"/>
  <c r="E648" i="1"/>
  <c r="D647" i="1"/>
  <c r="E647" i="1"/>
  <c r="D646" i="1"/>
  <c r="E646" i="1"/>
  <c r="D645" i="1"/>
  <c r="E645" i="1"/>
  <c r="D643" i="1"/>
  <c r="E643" i="1"/>
  <c r="D642" i="1"/>
  <c r="E642" i="1"/>
  <c r="D641" i="1"/>
  <c r="E641" i="1"/>
  <c r="D640" i="1"/>
  <c r="E640" i="1"/>
  <c r="D639" i="1"/>
  <c r="E639" i="1"/>
  <c r="D638" i="1"/>
  <c r="E638" i="1"/>
  <c r="D637" i="1"/>
  <c r="E637" i="1"/>
  <c r="D636" i="1"/>
  <c r="E636" i="1"/>
  <c r="D632" i="1"/>
  <c r="E632" i="1"/>
  <c r="D631" i="1"/>
  <c r="E631" i="1"/>
  <c r="D630" i="1"/>
  <c r="E630" i="1"/>
  <c r="D629" i="1"/>
  <c r="E629" i="1"/>
  <c r="D628" i="1"/>
  <c r="E628" i="1"/>
  <c r="D627" i="1"/>
  <c r="E627" i="1"/>
  <c r="D626" i="1"/>
  <c r="E626" i="1"/>
  <c r="D625" i="1"/>
  <c r="E625" i="1"/>
  <c r="D623" i="1"/>
  <c r="E623" i="1"/>
  <c r="D620" i="1"/>
  <c r="E620" i="1"/>
  <c r="D619" i="1"/>
  <c r="E619" i="1"/>
  <c r="D618" i="1"/>
  <c r="E618" i="1"/>
  <c r="D617" i="1"/>
  <c r="E617" i="1"/>
  <c r="D616" i="1"/>
  <c r="E616" i="1"/>
  <c r="D615" i="1"/>
  <c r="E615" i="1"/>
  <c r="D612" i="1"/>
  <c r="E612" i="1"/>
  <c r="D611" i="1"/>
  <c r="E611" i="1"/>
  <c r="D610" i="1"/>
  <c r="E610" i="1"/>
  <c r="D609" i="1"/>
  <c r="E609" i="1"/>
  <c r="D608" i="1"/>
  <c r="E608" i="1"/>
  <c r="D607" i="1"/>
  <c r="E607" i="1"/>
  <c r="D606" i="1"/>
  <c r="E606" i="1"/>
  <c r="D605" i="1"/>
  <c r="E605" i="1"/>
  <c r="D601" i="1"/>
  <c r="E601" i="1"/>
  <c r="D600" i="1"/>
  <c r="E600" i="1"/>
  <c r="D599" i="1"/>
  <c r="E599" i="1"/>
  <c r="D598" i="1"/>
  <c r="E598" i="1"/>
  <c r="D597" i="1"/>
  <c r="E597" i="1"/>
  <c r="D596" i="1"/>
  <c r="E596" i="1"/>
  <c r="D595" i="1"/>
  <c r="E595" i="1"/>
  <c r="D594" i="1"/>
  <c r="E594" i="1"/>
  <c r="D593" i="1"/>
  <c r="E593" i="1"/>
  <c r="D590" i="1"/>
  <c r="E590" i="1"/>
  <c r="D589" i="1"/>
  <c r="E589" i="1"/>
  <c r="D588" i="1"/>
  <c r="E588" i="1"/>
  <c r="D587" i="1"/>
  <c r="E587" i="1"/>
  <c r="D586" i="1"/>
  <c r="E586" i="1"/>
  <c r="D585" i="1"/>
  <c r="E585" i="1"/>
  <c r="D582" i="1"/>
  <c r="E582" i="1"/>
  <c r="D581" i="1"/>
  <c r="E581" i="1"/>
  <c r="D580" i="1"/>
  <c r="E580" i="1"/>
  <c r="D579" i="1"/>
  <c r="E579" i="1"/>
  <c r="D578" i="1"/>
  <c r="E578" i="1"/>
  <c r="D577" i="1"/>
  <c r="E577" i="1"/>
  <c r="D576" i="1"/>
  <c r="E576" i="1"/>
  <c r="D572" i="1"/>
  <c r="E572" i="1"/>
  <c r="D571" i="1"/>
  <c r="E571" i="1"/>
  <c r="D570" i="1"/>
  <c r="E570" i="1"/>
  <c r="D569" i="1"/>
  <c r="E569" i="1"/>
  <c r="D568" i="1"/>
  <c r="E568" i="1"/>
  <c r="D567" i="1"/>
  <c r="E567" i="1"/>
  <c r="D566" i="1"/>
  <c r="E566" i="1"/>
  <c r="D565" i="1"/>
  <c r="E565" i="1"/>
  <c r="D564" i="1"/>
  <c r="E564" i="1"/>
  <c r="D561" i="1"/>
  <c r="E561" i="1"/>
  <c r="D560" i="1"/>
  <c r="E560" i="1"/>
  <c r="D559" i="1"/>
  <c r="E559" i="1"/>
  <c r="D558" i="1"/>
  <c r="E558" i="1"/>
  <c r="D557" i="1"/>
  <c r="E557" i="1"/>
  <c r="D556" i="1"/>
  <c r="E556" i="1"/>
  <c r="D553" i="1"/>
  <c r="E553" i="1"/>
  <c r="D552" i="1"/>
  <c r="E552" i="1"/>
  <c r="D551" i="1"/>
  <c r="E551" i="1"/>
  <c r="D550" i="1"/>
  <c r="E550" i="1"/>
  <c r="D549" i="1"/>
  <c r="E549" i="1"/>
  <c r="D548" i="1"/>
  <c r="E548" i="1"/>
  <c r="D547" i="1"/>
  <c r="E547" i="1"/>
  <c r="D546" i="1"/>
  <c r="E546" i="1"/>
  <c r="D542" i="1"/>
  <c r="E542" i="1"/>
  <c r="D541" i="1"/>
  <c r="E541" i="1"/>
  <c r="D540" i="1"/>
  <c r="E540" i="1"/>
  <c r="D539" i="1"/>
  <c r="E539" i="1"/>
  <c r="D538" i="1"/>
  <c r="E538" i="1"/>
  <c r="D537" i="1"/>
  <c r="E537" i="1"/>
  <c r="D536" i="1"/>
  <c r="E536" i="1"/>
  <c r="D535" i="1"/>
  <c r="E535" i="1"/>
  <c r="D531" i="1"/>
  <c r="E531" i="1"/>
  <c r="D530" i="1"/>
  <c r="E530" i="1"/>
  <c r="D529" i="1"/>
  <c r="E529" i="1"/>
  <c r="D528" i="1"/>
  <c r="E528" i="1"/>
  <c r="D527" i="1"/>
  <c r="E527" i="1"/>
  <c r="D526" i="1"/>
  <c r="E526" i="1"/>
  <c r="D525" i="1"/>
  <c r="E525" i="1"/>
  <c r="D524" i="1"/>
  <c r="E524" i="1"/>
  <c r="D523" i="1"/>
  <c r="E523" i="1"/>
  <c r="D522" i="1"/>
  <c r="E522" i="1"/>
  <c r="D521" i="1"/>
  <c r="E521" i="1"/>
  <c r="D520" i="1"/>
  <c r="E520" i="1"/>
  <c r="D517" i="1"/>
  <c r="E517" i="1"/>
  <c r="D516" i="1"/>
  <c r="E516" i="1"/>
  <c r="D515" i="1"/>
  <c r="E515" i="1"/>
  <c r="D514" i="1"/>
  <c r="E514" i="1"/>
  <c r="D513" i="1"/>
  <c r="E513" i="1"/>
  <c r="D512" i="1"/>
  <c r="E512" i="1"/>
  <c r="D509" i="1"/>
  <c r="E509" i="1"/>
  <c r="D508" i="1"/>
  <c r="E508" i="1"/>
  <c r="D507" i="1"/>
  <c r="E507" i="1"/>
  <c r="D506" i="1"/>
  <c r="E506" i="1"/>
  <c r="D505" i="1"/>
  <c r="E505" i="1"/>
  <c r="D504" i="1"/>
  <c r="E504" i="1"/>
  <c r="D503" i="1"/>
  <c r="E503" i="1"/>
  <c r="D499" i="1"/>
  <c r="E499" i="1"/>
  <c r="D498" i="1"/>
  <c r="E498" i="1"/>
  <c r="D497" i="1"/>
  <c r="E497" i="1"/>
  <c r="D496" i="1"/>
  <c r="E496" i="1"/>
  <c r="D495" i="1"/>
  <c r="E495" i="1"/>
  <c r="D494" i="1"/>
  <c r="E494" i="1"/>
  <c r="D493" i="1"/>
  <c r="E493" i="1"/>
  <c r="D492" i="1"/>
  <c r="E492" i="1"/>
  <c r="D488" i="1"/>
  <c r="E488" i="1"/>
  <c r="D487" i="1"/>
  <c r="E487" i="1"/>
  <c r="D486" i="1"/>
  <c r="E486" i="1"/>
  <c r="D485" i="1"/>
  <c r="E485" i="1"/>
  <c r="D484" i="1"/>
  <c r="E484" i="1"/>
  <c r="D483" i="1"/>
  <c r="E483" i="1"/>
  <c r="D482" i="1"/>
  <c r="E482" i="1"/>
  <c r="D481" i="1"/>
  <c r="E481" i="1"/>
  <c r="D480" i="1"/>
  <c r="E480" i="1"/>
  <c r="D479" i="1"/>
  <c r="E479" i="1"/>
  <c r="D478" i="1"/>
  <c r="E478" i="1"/>
  <c r="D477" i="1"/>
  <c r="E477" i="1"/>
  <c r="D474" i="1"/>
  <c r="E474" i="1"/>
  <c r="D473" i="1"/>
  <c r="E473" i="1"/>
  <c r="D472" i="1"/>
  <c r="E472" i="1"/>
  <c r="D471" i="1"/>
  <c r="E471" i="1"/>
  <c r="D470" i="1"/>
  <c r="E470" i="1"/>
  <c r="D469" i="1"/>
  <c r="E469" i="1"/>
  <c r="D466" i="1"/>
  <c r="E466" i="1"/>
  <c r="D465" i="1"/>
  <c r="E465" i="1"/>
  <c r="D464" i="1"/>
  <c r="E464" i="1"/>
  <c r="D463" i="1"/>
  <c r="E463" i="1"/>
  <c r="D462" i="1"/>
  <c r="E462" i="1"/>
  <c r="D461" i="1"/>
  <c r="E461" i="1"/>
  <c r="D459" i="1"/>
  <c r="E459" i="1"/>
  <c r="D458" i="1"/>
  <c r="E458" i="1"/>
  <c r="D457" i="1"/>
  <c r="E457" i="1"/>
  <c r="D456" i="1"/>
  <c r="E456" i="1"/>
  <c r="D455" i="1"/>
  <c r="E455" i="1"/>
  <c r="D454" i="1"/>
  <c r="E454" i="1"/>
  <c r="D453" i="1"/>
  <c r="E453" i="1"/>
  <c r="D452" i="1"/>
  <c r="E452" i="1"/>
  <c r="D448" i="1"/>
  <c r="E448" i="1"/>
  <c r="D447" i="1"/>
  <c r="E447" i="1"/>
  <c r="D446" i="1"/>
  <c r="E446" i="1"/>
  <c r="D445" i="1"/>
  <c r="E445" i="1"/>
  <c r="D443" i="1"/>
  <c r="E443" i="1"/>
  <c r="D440" i="1"/>
  <c r="E440" i="1"/>
  <c r="D439" i="1"/>
  <c r="E439" i="1"/>
  <c r="D438" i="1"/>
  <c r="E438" i="1"/>
  <c r="D437" i="1"/>
  <c r="E437" i="1"/>
  <c r="D436" i="1"/>
  <c r="E436" i="1"/>
  <c r="D433" i="1"/>
  <c r="E433" i="1"/>
  <c r="D432" i="1"/>
  <c r="E432" i="1"/>
  <c r="D431" i="1"/>
  <c r="E431" i="1"/>
  <c r="D430" i="1"/>
  <c r="E430" i="1"/>
  <c r="D429" i="1"/>
  <c r="E429" i="1"/>
  <c r="D425" i="1"/>
  <c r="E425" i="1"/>
  <c r="D424" i="1"/>
  <c r="E424" i="1"/>
  <c r="D423" i="1"/>
  <c r="E423" i="1"/>
  <c r="D422" i="1"/>
  <c r="E422" i="1"/>
  <c r="D421" i="1"/>
  <c r="E421" i="1"/>
  <c r="D418" i="1"/>
  <c r="E418" i="1"/>
  <c r="D417" i="1"/>
  <c r="E417" i="1"/>
  <c r="D416" i="1"/>
  <c r="E416" i="1"/>
  <c r="D415" i="1"/>
  <c r="E415" i="1"/>
  <c r="D412" i="1"/>
  <c r="E412" i="1"/>
  <c r="D411" i="1"/>
  <c r="E411" i="1"/>
  <c r="D410" i="1"/>
  <c r="E410" i="1"/>
  <c r="D409" i="1"/>
  <c r="E409" i="1"/>
  <c r="D408" i="1"/>
  <c r="E408" i="1"/>
  <c r="D407" i="1"/>
  <c r="E407" i="1"/>
  <c r="D403" i="1"/>
  <c r="E403" i="1"/>
  <c r="D402" i="1"/>
  <c r="E402" i="1"/>
  <c r="D401" i="1"/>
  <c r="E401" i="1"/>
  <c r="D400" i="1"/>
  <c r="E400" i="1"/>
  <c r="D396" i="1"/>
  <c r="E396" i="1"/>
  <c r="D395" i="1"/>
  <c r="E395" i="1"/>
  <c r="D394" i="1"/>
  <c r="E394" i="1"/>
  <c r="D393" i="1"/>
  <c r="E393" i="1"/>
  <c r="D392" i="1"/>
  <c r="E392" i="1"/>
  <c r="D391" i="1"/>
  <c r="E391" i="1"/>
  <c r="D390" i="1"/>
  <c r="E390" i="1"/>
  <c r="D389" i="1"/>
  <c r="E389" i="1"/>
  <c r="D388" i="1"/>
  <c r="E388" i="1"/>
  <c r="D385" i="1"/>
  <c r="E385" i="1"/>
  <c r="D384" i="1"/>
  <c r="E384" i="1"/>
  <c r="D383" i="1"/>
  <c r="E383" i="1"/>
  <c r="D382" i="1"/>
  <c r="E382" i="1"/>
  <c r="D381" i="1"/>
  <c r="E381" i="1"/>
  <c r="D378" i="1"/>
  <c r="E378" i="1"/>
  <c r="D377" i="1"/>
  <c r="E377" i="1"/>
  <c r="D376" i="1"/>
  <c r="E376" i="1"/>
  <c r="D375" i="1"/>
  <c r="E375" i="1"/>
  <c r="D372" i="1"/>
  <c r="E372" i="1"/>
  <c r="D368" i="1"/>
  <c r="E368" i="1"/>
  <c r="D367" i="1"/>
  <c r="E367" i="1"/>
  <c r="D366" i="1"/>
  <c r="E366" i="1"/>
  <c r="D365" i="1"/>
  <c r="E365" i="1"/>
  <c r="D361" i="1"/>
  <c r="E361" i="1"/>
  <c r="D360" i="1"/>
  <c r="E360" i="1"/>
  <c r="D359" i="1"/>
  <c r="E359" i="1"/>
  <c r="D358" i="1"/>
  <c r="E358" i="1"/>
  <c r="D357" i="1"/>
  <c r="E357" i="1"/>
  <c r="D356" i="1"/>
  <c r="E356" i="1"/>
  <c r="D355" i="1"/>
  <c r="E355" i="1"/>
  <c r="D354" i="1"/>
  <c r="E354" i="1"/>
  <c r="D353" i="1"/>
  <c r="E353" i="1"/>
  <c r="D350" i="1"/>
  <c r="E350" i="1"/>
  <c r="D349" i="1"/>
  <c r="E349" i="1"/>
  <c r="D348" i="1"/>
  <c r="E348" i="1"/>
  <c r="D347" i="1"/>
  <c r="E347" i="1"/>
  <c r="D344" i="1"/>
  <c r="E344" i="1"/>
  <c r="D343" i="1"/>
  <c r="E343" i="1"/>
  <c r="D342" i="1"/>
  <c r="E342" i="1"/>
  <c r="D341" i="1"/>
  <c r="E341" i="1"/>
  <c r="D340" i="1"/>
  <c r="E340" i="1"/>
  <c r="D339" i="1"/>
  <c r="E339" i="1"/>
  <c r="D335" i="1"/>
  <c r="E335" i="1"/>
  <c r="D334" i="1"/>
  <c r="E334" i="1"/>
  <c r="D333" i="1"/>
  <c r="E333" i="1"/>
  <c r="D332" i="1"/>
  <c r="E332" i="1"/>
  <c r="D328" i="1"/>
  <c r="E328" i="1"/>
  <c r="D327" i="1"/>
  <c r="E327" i="1"/>
  <c r="D326" i="1"/>
  <c r="E326" i="1"/>
  <c r="D325" i="1"/>
  <c r="E325" i="1"/>
  <c r="D324" i="1"/>
  <c r="E324" i="1"/>
  <c r="D323" i="1"/>
  <c r="E323" i="1"/>
  <c r="D322" i="1"/>
  <c r="E322" i="1"/>
  <c r="D321" i="1"/>
  <c r="E321" i="1"/>
  <c r="D320" i="1"/>
  <c r="E320" i="1"/>
  <c r="D317" i="1"/>
  <c r="E317" i="1"/>
  <c r="D316" i="1"/>
  <c r="E316" i="1"/>
  <c r="D315" i="1"/>
  <c r="E315" i="1"/>
  <c r="D314" i="1"/>
  <c r="E314" i="1"/>
  <c r="D313" i="1"/>
  <c r="E313" i="1"/>
  <c r="D310" i="1"/>
  <c r="E310" i="1"/>
  <c r="D309" i="1"/>
  <c r="E309" i="1"/>
  <c r="D308" i="1"/>
  <c r="E308" i="1"/>
  <c r="D307" i="1"/>
  <c r="E307" i="1"/>
  <c r="D305" i="1"/>
  <c r="E305" i="1"/>
  <c r="D304" i="1"/>
  <c r="E304" i="1"/>
  <c r="D303" i="1"/>
  <c r="E303" i="1"/>
  <c r="D302" i="1"/>
  <c r="E302" i="1"/>
  <c r="D301" i="1"/>
  <c r="E301" i="1"/>
  <c r="D300" i="1"/>
  <c r="E300" i="1"/>
  <c r="D299" i="1"/>
  <c r="E299" i="1"/>
  <c r="D297" i="1"/>
  <c r="E297" i="1"/>
  <c r="D296" i="1"/>
  <c r="E296" i="1"/>
  <c r="D292" i="1"/>
  <c r="E292" i="1"/>
  <c r="D291" i="1"/>
  <c r="E291" i="1"/>
  <c r="D290" i="1"/>
  <c r="E290" i="1"/>
  <c r="D289" i="1"/>
  <c r="E289" i="1"/>
  <c r="D288" i="1"/>
  <c r="E288" i="1"/>
  <c r="D286" i="1"/>
  <c r="E286" i="1"/>
  <c r="D283" i="1"/>
  <c r="E283" i="1"/>
  <c r="D282" i="1"/>
  <c r="E282" i="1"/>
  <c r="D281" i="1"/>
  <c r="E281" i="1"/>
  <c r="D280" i="1"/>
  <c r="E280" i="1"/>
  <c r="D277" i="1"/>
  <c r="E277" i="1"/>
  <c r="D276" i="1"/>
  <c r="E276" i="1"/>
  <c r="D275" i="1"/>
  <c r="E275" i="1"/>
  <c r="D274" i="1"/>
  <c r="E274" i="1"/>
  <c r="D273" i="1"/>
  <c r="E273" i="1"/>
  <c r="D271" i="1"/>
  <c r="E271" i="1"/>
  <c r="D267" i="1"/>
  <c r="E267" i="1"/>
  <c r="D266" i="1"/>
  <c r="E266" i="1"/>
  <c r="D265" i="1"/>
  <c r="E265" i="1"/>
  <c r="D264" i="1"/>
  <c r="E264" i="1"/>
  <c r="D263" i="1"/>
  <c r="E263" i="1"/>
  <c r="D262" i="1"/>
  <c r="E262" i="1"/>
  <c r="D259" i="1"/>
  <c r="E259" i="1"/>
  <c r="D258" i="1"/>
  <c r="E258" i="1"/>
  <c r="D257" i="1"/>
  <c r="E257" i="1"/>
  <c r="D256" i="1"/>
  <c r="E256" i="1"/>
  <c r="D253" i="1"/>
  <c r="E253" i="1"/>
  <c r="D252" i="1"/>
  <c r="E252" i="1"/>
  <c r="D251" i="1"/>
  <c r="E251" i="1"/>
  <c r="D250" i="1"/>
  <c r="E250" i="1"/>
  <c r="D249" i="1"/>
  <c r="E249" i="1"/>
  <c r="D248" i="1"/>
  <c r="E248" i="1"/>
  <c r="D244" i="1"/>
  <c r="E244" i="1"/>
  <c r="D243" i="1"/>
  <c r="E243" i="1"/>
  <c r="D242" i="1"/>
  <c r="E242" i="1"/>
  <c r="D241" i="1"/>
  <c r="E241" i="1"/>
  <c r="D240" i="1"/>
  <c r="E240" i="1"/>
  <c r="D236" i="1"/>
  <c r="E236" i="1"/>
  <c r="D235" i="1"/>
  <c r="E235" i="1"/>
  <c r="D234" i="1"/>
  <c r="E234" i="1"/>
  <c r="D233" i="1"/>
  <c r="E233" i="1"/>
  <c r="D232" i="1"/>
  <c r="E232" i="1"/>
  <c r="D231" i="1"/>
  <c r="E231" i="1"/>
  <c r="D230" i="1"/>
  <c r="E230" i="1"/>
  <c r="D229" i="1"/>
  <c r="E229" i="1"/>
  <c r="D228" i="1"/>
  <c r="E228" i="1"/>
  <c r="D225" i="1"/>
  <c r="E225" i="1"/>
  <c r="D224" i="1"/>
  <c r="E224" i="1"/>
  <c r="D223" i="1"/>
  <c r="E223" i="1"/>
  <c r="D222" i="1"/>
  <c r="E222" i="1"/>
  <c r="D221" i="1"/>
  <c r="E221" i="1"/>
  <c r="D218" i="1"/>
  <c r="E218" i="1"/>
  <c r="D217" i="1"/>
  <c r="E217" i="1"/>
  <c r="D216" i="1"/>
  <c r="E216" i="1"/>
  <c r="D215" i="1"/>
  <c r="E215" i="1"/>
  <c r="D214" i="1"/>
  <c r="E214" i="1"/>
  <c r="D213" i="1"/>
  <c r="E213" i="1"/>
  <c r="D209" i="1"/>
  <c r="E209" i="1"/>
  <c r="D208" i="1"/>
  <c r="E208" i="1"/>
  <c r="D207" i="1"/>
  <c r="E207" i="1"/>
  <c r="D206" i="1"/>
  <c r="E206" i="1"/>
  <c r="D205" i="1"/>
  <c r="E205" i="1"/>
  <c r="D201" i="1"/>
  <c r="E201" i="1"/>
  <c r="D200" i="1"/>
  <c r="E200" i="1"/>
  <c r="D199" i="1"/>
  <c r="E199" i="1"/>
  <c r="D198" i="1"/>
  <c r="E198" i="1"/>
  <c r="D197" i="1"/>
  <c r="E197" i="1"/>
  <c r="D196" i="1"/>
  <c r="E196" i="1"/>
  <c r="D195" i="1"/>
  <c r="E195" i="1"/>
  <c r="D194" i="1"/>
  <c r="E194" i="1"/>
  <c r="D193" i="1"/>
  <c r="E193" i="1"/>
  <c r="D190" i="1"/>
  <c r="E190" i="1"/>
  <c r="D189" i="1"/>
  <c r="E189" i="1"/>
  <c r="D188" i="1"/>
  <c r="E188" i="1"/>
  <c r="D187" i="1"/>
  <c r="E187" i="1"/>
  <c r="D184" i="1"/>
  <c r="E184" i="1"/>
  <c r="D183" i="1"/>
  <c r="E183" i="1"/>
  <c r="D182" i="1"/>
  <c r="E182" i="1"/>
  <c r="D181" i="1"/>
  <c r="E181" i="1"/>
  <c r="D180" i="1"/>
  <c r="E180" i="1"/>
  <c r="D179" i="1"/>
  <c r="E179" i="1"/>
  <c r="D178" i="1"/>
  <c r="E178" i="1"/>
  <c r="D174" i="1"/>
  <c r="E174" i="1"/>
  <c r="D173" i="1"/>
  <c r="E173" i="1"/>
  <c r="D172" i="1"/>
  <c r="E172" i="1"/>
  <c r="D171" i="1"/>
  <c r="E171" i="1"/>
  <c r="D170" i="1"/>
  <c r="E170" i="1"/>
  <c r="D166" i="1"/>
  <c r="E166" i="1"/>
  <c r="D165" i="1"/>
  <c r="E165" i="1"/>
  <c r="D164" i="1"/>
  <c r="E164" i="1"/>
  <c r="D163" i="1"/>
  <c r="E163" i="1"/>
  <c r="D162" i="1"/>
  <c r="E162" i="1"/>
  <c r="D161" i="1"/>
  <c r="E161" i="1"/>
  <c r="D160" i="1"/>
  <c r="E160" i="1"/>
  <c r="D159" i="1"/>
  <c r="E159" i="1"/>
  <c r="D158" i="1"/>
  <c r="E158" i="1"/>
  <c r="D155" i="1"/>
  <c r="E155" i="1"/>
  <c r="D154" i="1"/>
  <c r="E154" i="1"/>
  <c r="D153" i="1"/>
  <c r="E153" i="1"/>
  <c r="D152" i="1"/>
  <c r="E152" i="1"/>
  <c r="D151" i="1"/>
  <c r="E151" i="1"/>
  <c r="D148" i="1"/>
  <c r="E148" i="1"/>
  <c r="D147" i="1"/>
  <c r="E147" i="1"/>
  <c r="D146" i="1"/>
  <c r="E146" i="1"/>
  <c r="D145" i="1"/>
  <c r="E145" i="1"/>
  <c r="D144" i="1"/>
  <c r="E144" i="1"/>
  <c r="D143" i="1"/>
  <c r="E143" i="1"/>
  <c r="D141" i="1"/>
  <c r="E141" i="1"/>
  <c r="D140" i="1"/>
  <c r="E140" i="1"/>
  <c r="D139" i="1"/>
  <c r="E139" i="1"/>
  <c r="D138" i="1"/>
  <c r="E138" i="1"/>
  <c r="D137" i="1"/>
  <c r="E137" i="1"/>
  <c r="D136" i="1"/>
  <c r="E136" i="1"/>
  <c r="D132" i="1"/>
  <c r="E132" i="1"/>
  <c r="D131" i="1"/>
  <c r="E131" i="1"/>
  <c r="D130" i="1"/>
  <c r="E130" i="1"/>
  <c r="D129" i="1"/>
  <c r="E129" i="1"/>
  <c r="D127" i="1"/>
  <c r="E127" i="1"/>
  <c r="D124" i="1"/>
  <c r="E124" i="1"/>
  <c r="D123" i="1"/>
  <c r="E123" i="1"/>
  <c r="D122" i="1"/>
  <c r="E122" i="1"/>
  <c r="D119" i="1"/>
  <c r="E119" i="1"/>
  <c r="D118" i="1"/>
  <c r="E118" i="1"/>
  <c r="D117" i="1"/>
  <c r="E117" i="1"/>
  <c r="D116" i="1"/>
  <c r="E116" i="1"/>
  <c r="D110" i="1"/>
  <c r="E110" i="1"/>
  <c r="D109" i="1"/>
  <c r="E109" i="1"/>
  <c r="D108" i="1"/>
  <c r="E108" i="1"/>
  <c r="D107" i="1"/>
  <c r="E107" i="1"/>
  <c r="D106" i="1"/>
  <c r="E106" i="1"/>
  <c r="D104" i="1"/>
  <c r="E104" i="1"/>
  <c r="D101" i="1"/>
  <c r="E101" i="1"/>
  <c r="D100" i="1"/>
  <c r="E100" i="1"/>
  <c r="D99" i="1"/>
  <c r="E99" i="1"/>
  <c r="D98" i="1"/>
  <c r="E98" i="1"/>
  <c r="D95" i="1"/>
  <c r="E95" i="1"/>
  <c r="D94" i="1"/>
  <c r="E94" i="1"/>
  <c r="D93" i="1"/>
  <c r="E93" i="1"/>
  <c r="D92" i="1"/>
  <c r="E92" i="1"/>
  <c r="D88" i="1"/>
  <c r="E88" i="1"/>
  <c r="D87" i="1"/>
  <c r="E87" i="1"/>
  <c r="D86" i="1"/>
  <c r="E86" i="1"/>
  <c r="D85" i="1"/>
  <c r="E85" i="1"/>
  <c r="D84" i="1"/>
  <c r="E84" i="1"/>
  <c r="D80" i="1"/>
  <c r="E80" i="1"/>
  <c r="D79" i="1"/>
  <c r="E79" i="1"/>
  <c r="D78" i="1"/>
  <c r="E78" i="1"/>
  <c r="D77" i="1"/>
  <c r="E77" i="1"/>
  <c r="D76" i="1"/>
  <c r="E76" i="1"/>
  <c r="D75" i="1"/>
  <c r="E75" i="1"/>
  <c r="D74" i="1"/>
  <c r="E74" i="1"/>
  <c r="D71" i="1"/>
  <c r="E71" i="1"/>
  <c r="D70" i="1"/>
  <c r="E70" i="1"/>
  <c r="D69" i="1"/>
  <c r="E69" i="1"/>
  <c r="D66" i="1"/>
  <c r="E66" i="1"/>
  <c r="D65" i="1"/>
  <c r="E65" i="1"/>
  <c r="D64" i="1"/>
  <c r="E64" i="1"/>
  <c r="D63" i="1"/>
  <c r="E63" i="1"/>
  <c r="D62" i="1"/>
  <c r="E62" i="1"/>
  <c r="D61" i="1"/>
  <c r="E61" i="1"/>
  <c r="D57" i="1"/>
  <c r="E57" i="1"/>
  <c r="D56" i="1"/>
  <c r="E56" i="1"/>
  <c r="D55" i="1"/>
  <c r="E55" i="1"/>
  <c r="D54" i="1"/>
  <c r="E54" i="1"/>
  <c r="D53" i="1"/>
  <c r="E53" i="1"/>
  <c r="D49" i="1"/>
  <c r="E49" i="1"/>
  <c r="D48" i="1"/>
  <c r="E48" i="1"/>
  <c r="D47" i="1"/>
  <c r="E47" i="1"/>
  <c r="D46" i="1"/>
  <c r="E46" i="1"/>
  <c r="D45" i="1"/>
  <c r="E45" i="1"/>
  <c r="D44" i="1"/>
  <c r="E44" i="1"/>
  <c r="D43" i="1"/>
  <c r="E43" i="1"/>
  <c r="D40" i="1"/>
  <c r="E40" i="1"/>
  <c r="D39" i="1"/>
  <c r="E39" i="1"/>
  <c r="D38" i="1"/>
  <c r="E38" i="1"/>
  <c r="D37" i="1"/>
  <c r="E37" i="1"/>
  <c r="D34" i="1"/>
  <c r="E34" i="1"/>
  <c r="D33" i="1"/>
  <c r="E33" i="1"/>
  <c r="D32" i="1"/>
  <c r="E32" i="1"/>
  <c r="D31" i="1"/>
  <c r="E31" i="1"/>
  <c r="D27" i="1"/>
  <c r="E27" i="1"/>
  <c r="D26" i="1"/>
  <c r="E26" i="1"/>
  <c r="D25" i="1"/>
  <c r="E25" i="1"/>
  <c r="D24" i="1"/>
  <c r="E24" i="1"/>
  <c r="D23" i="1"/>
  <c r="E23" i="1"/>
  <c r="D19" i="1"/>
  <c r="E19" i="1"/>
  <c r="D18" i="1"/>
  <c r="E18" i="1"/>
  <c r="D17" i="1"/>
  <c r="E17" i="1"/>
  <c r="D16" i="1"/>
  <c r="E16" i="1"/>
  <c r="D15" i="1"/>
  <c r="E15" i="1"/>
  <c r="D14" i="1"/>
  <c r="E14" i="1"/>
  <c r="D13" i="1"/>
  <c r="E13" i="1"/>
  <c r="D10" i="1"/>
  <c r="E10" i="1"/>
  <c r="D9" i="1"/>
  <c r="E9" i="1"/>
  <c r="D8" i="1"/>
  <c r="E8" i="1"/>
  <c r="D5" i="1"/>
  <c r="E5" i="1"/>
  <c r="D4" i="1"/>
  <c r="E4" i="1"/>
  <c r="D3" i="1"/>
  <c r="E3" i="1"/>
  <c r="F144" i="1"/>
  <c r="F143" i="1"/>
  <c r="F141" i="1"/>
  <c r="F140" i="1"/>
  <c r="F139" i="1"/>
  <c r="F138" i="1"/>
  <c r="F137" i="1"/>
  <c r="F305" i="1"/>
  <c r="F304" i="1"/>
  <c r="F303" i="1"/>
  <c r="F302" i="1"/>
  <c r="F301" i="1"/>
  <c r="F300" i="1"/>
  <c r="F299" i="1"/>
  <c r="F459" i="1"/>
  <c r="F458" i="1"/>
  <c r="F457" i="1"/>
  <c r="F456" i="1"/>
  <c r="F455" i="1"/>
  <c r="F454" i="1"/>
  <c r="F453" i="1"/>
  <c r="F643" i="1"/>
  <c r="F642" i="1"/>
  <c r="F641" i="1"/>
  <c r="F640" i="1"/>
  <c r="F639" i="1"/>
  <c r="F638" i="1"/>
  <c r="F637" i="1"/>
  <c r="V890" i="1"/>
  <c r="F890" i="1"/>
  <c r="V918" i="1"/>
  <c r="F918" i="1"/>
  <c r="V917" i="1"/>
  <c r="F917" i="1"/>
  <c r="V916" i="1"/>
  <c r="F916" i="1"/>
  <c r="V915" i="1"/>
  <c r="F915" i="1"/>
  <c r="V914" i="1"/>
  <c r="F914" i="1"/>
  <c r="V913" i="1"/>
  <c r="F913" i="1"/>
  <c r="V912" i="1"/>
  <c r="F912" i="1"/>
  <c r="V911" i="1"/>
  <c r="F911" i="1"/>
  <c r="V860" i="1"/>
  <c r="F860" i="1"/>
  <c r="V859" i="1"/>
  <c r="F859" i="1"/>
  <c r="V858" i="1"/>
  <c r="F858" i="1"/>
  <c r="V857" i="1"/>
  <c r="F857" i="1"/>
  <c r="V856" i="1"/>
  <c r="F856" i="1"/>
  <c r="V855" i="1"/>
  <c r="F855" i="1"/>
  <c r="V854" i="1"/>
  <c r="F854" i="1"/>
  <c r="V853" i="1"/>
  <c r="F853" i="1"/>
  <c r="V868" i="1"/>
  <c r="F868" i="1"/>
  <c r="V809" i="1"/>
  <c r="F809" i="1"/>
  <c r="V766" i="1"/>
  <c r="F766" i="1"/>
  <c r="V705" i="1"/>
  <c r="F705" i="1"/>
  <c r="V606" i="1"/>
  <c r="F606" i="1"/>
  <c r="V547" i="1"/>
  <c r="F547" i="1"/>
  <c r="V430" i="1"/>
  <c r="F430" i="1"/>
  <c r="V372" i="1"/>
  <c r="F372" i="1"/>
  <c r="V297" i="1"/>
  <c r="F297" i="1"/>
  <c r="V214" i="1"/>
  <c r="F214" i="1"/>
  <c r="F179" i="1"/>
  <c r="F62" i="1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D2" i="2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83" i="1"/>
  <c r="V882" i="1"/>
  <c r="V881" i="1"/>
  <c r="V880" i="1"/>
  <c r="V879" i="1"/>
  <c r="V878" i="1"/>
  <c r="V877" i="1"/>
  <c r="V876" i="1"/>
  <c r="V873" i="1"/>
  <c r="V872" i="1"/>
  <c r="V871" i="1"/>
  <c r="V870" i="1"/>
  <c r="V869" i="1"/>
  <c r="V86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1" i="1"/>
  <c r="V824" i="1"/>
  <c r="V823" i="1"/>
  <c r="V822" i="1"/>
  <c r="V821" i="1"/>
  <c r="V820" i="1"/>
  <c r="V819" i="1"/>
  <c r="V818" i="1"/>
  <c r="V817" i="1"/>
  <c r="V814" i="1"/>
  <c r="V813" i="1"/>
  <c r="V812" i="1"/>
  <c r="V811" i="1"/>
  <c r="V810" i="1"/>
  <c r="V808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1" i="1"/>
  <c r="V780" i="1"/>
  <c r="V779" i="1"/>
  <c r="V778" i="1"/>
  <c r="V777" i="1"/>
  <c r="V776" i="1"/>
  <c r="V775" i="1"/>
  <c r="V774" i="1"/>
  <c r="V771" i="1"/>
  <c r="V770" i="1"/>
  <c r="V769" i="1"/>
  <c r="V768" i="1"/>
  <c r="V767" i="1"/>
  <c r="V765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0" i="1"/>
  <c r="V719" i="1"/>
  <c r="V718" i="1"/>
  <c r="V717" i="1"/>
  <c r="V716" i="1"/>
  <c r="V715" i="1"/>
  <c r="V714" i="1"/>
  <c r="V713" i="1"/>
  <c r="V710" i="1"/>
  <c r="V709" i="1"/>
  <c r="V708" i="1"/>
  <c r="V707" i="1"/>
  <c r="V706" i="1"/>
  <c r="V704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59" i="1"/>
  <c r="V658" i="1"/>
  <c r="V657" i="1"/>
  <c r="V656" i="1"/>
  <c r="V655" i="1"/>
  <c r="V654" i="1"/>
  <c r="V653" i="1"/>
  <c r="V652" i="1"/>
  <c r="V649" i="1"/>
  <c r="V648" i="1"/>
  <c r="V647" i="1"/>
  <c r="V646" i="1"/>
  <c r="V645" i="1"/>
  <c r="V636" i="1"/>
  <c r="V632" i="1"/>
  <c r="V631" i="1"/>
  <c r="V630" i="1"/>
  <c r="V629" i="1"/>
  <c r="V628" i="1"/>
  <c r="V627" i="1"/>
  <c r="V626" i="1"/>
  <c r="V625" i="1"/>
  <c r="V623" i="1"/>
  <c r="V620" i="1"/>
  <c r="V619" i="1"/>
  <c r="V618" i="1"/>
  <c r="V617" i="1"/>
  <c r="V616" i="1"/>
  <c r="V615" i="1"/>
  <c r="V612" i="1"/>
  <c r="V611" i="1"/>
  <c r="V610" i="1"/>
  <c r="V609" i="1"/>
  <c r="V608" i="1"/>
  <c r="V607" i="1"/>
  <c r="V605" i="1"/>
  <c r="V601" i="1"/>
  <c r="V600" i="1"/>
  <c r="V599" i="1"/>
  <c r="V598" i="1"/>
  <c r="V597" i="1"/>
  <c r="V596" i="1"/>
  <c r="V595" i="1"/>
  <c r="V594" i="1"/>
  <c r="V593" i="1"/>
  <c r="V590" i="1"/>
  <c r="V589" i="1"/>
  <c r="V588" i="1"/>
  <c r="V587" i="1"/>
  <c r="V586" i="1"/>
  <c r="V585" i="1"/>
  <c r="V582" i="1"/>
  <c r="V581" i="1"/>
  <c r="V580" i="1"/>
  <c r="V579" i="1"/>
  <c r="V578" i="1"/>
  <c r="V577" i="1"/>
  <c r="V576" i="1"/>
  <c r="V572" i="1"/>
  <c r="V571" i="1"/>
  <c r="V570" i="1"/>
  <c r="V569" i="1"/>
  <c r="V568" i="1"/>
  <c r="V567" i="1"/>
  <c r="V566" i="1"/>
  <c r="V565" i="1"/>
  <c r="V564" i="1"/>
  <c r="V561" i="1"/>
  <c r="V560" i="1"/>
  <c r="V559" i="1"/>
  <c r="V558" i="1"/>
  <c r="V557" i="1"/>
  <c r="V556" i="1"/>
  <c r="V553" i="1"/>
  <c r="V552" i="1"/>
  <c r="V551" i="1"/>
  <c r="V550" i="1"/>
  <c r="V549" i="1"/>
  <c r="V548" i="1"/>
  <c r="V542" i="1"/>
  <c r="V541" i="1"/>
  <c r="V540" i="1"/>
  <c r="V539" i="1"/>
  <c r="V538" i="1"/>
  <c r="V537" i="1"/>
  <c r="V536" i="1"/>
  <c r="V535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7" i="1"/>
  <c r="V516" i="1"/>
  <c r="V515" i="1"/>
  <c r="V514" i="1"/>
  <c r="V513" i="1"/>
  <c r="V512" i="1"/>
  <c r="V509" i="1"/>
  <c r="V508" i="1"/>
  <c r="V507" i="1"/>
  <c r="V506" i="1"/>
  <c r="V505" i="1"/>
  <c r="V504" i="1"/>
  <c r="V503" i="1"/>
  <c r="V499" i="1"/>
  <c r="V498" i="1"/>
  <c r="V497" i="1"/>
  <c r="V496" i="1"/>
  <c r="V495" i="1"/>
  <c r="V494" i="1"/>
  <c r="V493" i="1"/>
  <c r="V492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4" i="1"/>
  <c r="V473" i="1"/>
  <c r="V472" i="1"/>
  <c r="V471" i="1"/>
  <c r="V470" i="1"/>
  <c r="V469" i="1"/>
  <c r="V466" i="1"/>
  <c r="V465" i="1"/>
  <c r="V464" i="1"/>
  <c r="V463" i="1"/>
  <c r="V462" i="1"/>
  <c r="V461" i="1"/>
  <c r="V452" i="1"/>
  <c r="V448" i="1"/>
  <c r="V447" i="1"/>
  <c r="V446" i="1"/>
  <c r="V445" i="1"/>
  <c r="V443" i="1"/>
  <c r="V440" i="1"/>
  <c r="V439" i="1"/>
  <c r="V438" i="1"/>
  <c r="V437" i="1"/>
  <c r="V436" i="1"/>
  <c r="V433" i="1"/>
  <c r="V432" i="1"/>
  <c r="V431" i="1"/>
  <c r="V429" i="1"/>
  <c r="V425" i="1"/>
  <c r="V424" i="1"/>
  <c r="V423" i="1"/>
  <c r="V422" i="1"/>
  <c r="V421" i="1"/>
  <c r="V418" i="1"/>
  <c r="V417" i="1"/>
  <c r="V416" i="1"/>
  <c r="V415" i="1"/>
  <c r="V412" i="1"/>
  <c r="V411" i="1"/>
  <c r="V410" i="1"/>
  <c r="V409" i="1"/>
  <c r="V408" i="1"/>
  <c r="V407" i="1"/>
  <c r="V403" i="1"/>
  <c r="V402" i="1"/>
  <c r="V401" i="1"/>
  <c r="V400" i="1"/>
  <c r="V396" i="1"/>
  <c r="V395" i="1"/>
  <c r="V394" i="1"/>
  <c r="V393" i="1"/>
  <c r="V392" i="1"/>
  <c r="V391" i="1"/>
  <c r="V390" i="1"/>
  <c r="V389" i="1"/>
  <c r="V388" i="1"/>
  <c r="V385" i="1"/>
  <c r="V384" i="1"/>
  <c r="V383" i="1"/>
  <c r="V382" i="1"/>
  <c r="V381" i="1"/>
  <c r="V378" i="1"/>
  <c r="V377" i="1"/>
  <c r="V376" i="1"/>
  <c r="V375" i="1"/>
  <c r="V368" i="1"/>
  <c r="V367" i="1"/>
  <c r="V366" i="1"/>
  <c r="V365" i="1"/>
  <c r="V361" i="1"/>
  <c r="V360" i="1"/>
  <c r="V359" i="1"/>
  <c r="V358" i="1"/>
  <c r="V357" i="1"/>
  <c r="V356" i="1"/>
  <c r="V355" i="1"/>
  <c r="V354" i="1"/>
  <c r="V353" i="1"/>
  <c r="V350" i="1"/>
  <c r="V349" i="1"/>
  <c r="V348" i="1"/>
  <c r="V347" i="1"/>
  <c r="V344" i="1"/>
  <c r="V343" i="1"/>
  <c r="V342" i="1"/>
  <c r="V341" i="1"/>
  <c r="V340" i="1"/>
  <c r="V339" i="1"/>
  <c r="V335" i="1"/>
  <c r="V334" i="1"/>
  <c r="V333" i="1"/>
  <c r="V332" i="1"/>
  <c r="V328" i="1"/>
  <c r="V327" i="1"/>
  <c r="V326" i="1"/>
  <c r="V325" i="1"/>
  <c r="V324" i="1"/>
  <c r="V323" i="1"/>
  <c r="V322" i="1"/>
  <c r="V321" i="1"/>
  <c r="V320" i="1"/>
  <c r="V317" i="1"/>
  <c r="V316" i="1"/>
  <c r="V315" i="1"/>
  <c r="V314" i="1"/>
  <c r="V313" i="1"/>
  <c r="V310" i="1"/>
  <c r="V309" i="1"/>
  <c r="V308" i="1"/>
  <c r="V307" i="1"/>
  <c r="V296" i="1"/>
  <c r="V292" i="1"/>
  <c r="V291" i="1"/>
  <c r="V290" i="1"/>
  <c r="V289" i="1"/>
  <c r="V288" i="1"/>
  <c r="V286" i="1"/>
  <c r="V271" i="1"/>
  <c r="V248" i="1"/>
  <c r="V178" i="1"/>
  <c r="V92" i="1"/>
  <c r="V61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83" i="1"/>
  <c r="F882" i="1"/>
  <c r="F881" i="1"/>
  <c r="F880" i="1"/>
  <c r="F879" i="1"/>
  <c r="F878" i="1"/>
  <c r="F877" i="1"/>
  <c r="F876" i="1"/>
  <c r="F873" i="1"/>
  <c r="F872" i="1"/>
  <c r="F871" i="1"/>
  <c r="F870" i="1"/>
  <c r="F869" i="1"/>
  <c r="F86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1" i="1"/>
  <c r="F824" i="1"/>
  <c r="F823" i="1"/>
  <c r="F822" i="1"/>
  <c r="F821" i="1"/>
  <c r="F820" i="1"/>
  <c r="F819" i="1"/>
  <c r="F818" i="1"/>
  <c r="F817" i="1"/>
  <c r="F814" i="1"/>
  <c r="F813" i="1"/>
  <c r="F812" i="1"/>
  <c r="F811" i="1"/>
  <c r="F810" i="1"/>
  <c r="F808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1" i="1"/>
  <c r="F780" i="1"/>
  <c r="F779" i="1"/>
  <c r="F778" i="1"/>
  <c r="F777" i="1"/>
  <c r="F776" i="1"/>
  <c r="F775" i="1"/>
  <c r="F774" i="1"/>
  <c r="F771" i="1"/>
  <c r="F770" i="1"/>
  <c r="F769" i="1"/>
  <c r="F768" i="1"/>
  <c r="F767" i="1"/>
  <c r="F765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0" i="1"/>
  <c r="F719" i="1"/>
  <c r="F718" i="1"/>
  <c r="F717" i="1"/>
  <c r="F716" i="1"/>
  <c r="F715" i="1"/>
  <c r="F714" i="1"/>
  <c r="F713" i="1"/>
  <c r="F710" i="1"/>
  <c r="F709" i="1"/>
  <c r="F708" i="1"/>
  <c r="F707" i="1"/>
  <c r="F706" i="1"/>
  <c r="F704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59" i="1"/>
  <c r="F658" i="1"/>
  <c r="F657" i="1"/>
  <c r="F656" i="1"/>
  <c r="F655" i="1"/>
  <c r="F654" i="1"/>
  <c r="F653" i="1"/>
  <c r="F652" i="1"/>
  <c r="F649" i="1"/>
  <c r="F648" i="1"/>
  <c r="F647" i="1"/>
  <c r="F646" i="1"/>
  <c r="F645" i="1"/>
  <c r="F636" i="1"/>
  <c r="F632" i="1"/>
  <c r="F631" i="1"/>
  <c r="F630" i="1"/>
  <c r="F629" i="1"/>
  <c r="F628" i="1"/>
  <c r="F627" i="1"/>
  <c r="F626" i="1"/>
  <c r="F625" i="1"/>
  <c r="F623" i="1"/>
  <c r="F620" i="1"/>
  <c r="F619" i="1"/>
  <c r="F618" i="1"/>
  <c r="F617" i="1"/>
  <c r="F616" i="1"/>
  <c r="F615" i="1"/>
  <c r="F612" i="1"/>
  <c r="F611" i="1"/>
  <c r="F610" i="1"/>
  <c r="F609" i="1"/>
  <c r="F608" i="1"/>
  <c r="F607" i="1"/>
  <c r="F605" i="1"/>
  <c r="F601" i="1"/>
  <c r="F600" i="1"/>
  <c r="F599" i="1"/>
  <c r="F598" i="1"/>
  <c r="F597" i="1"/>
  <c r="F596" i="1"/>
  <c r="F595" i="1"/>
  <c r="F594" i="1"/>
  <c r="F593" i="1"/>
  <c r="F590" i="1"/>
  <c r="F589" i="1"/>
  <c r="F588" i="1"/>
  <c r="F587" i="1"/>
  <c r="F586" i="1"/>
  <c r="F585" i="1"/>
  <c r="F582" i="1"/>
  <c r="F581" i="1"/>
  <c r="F580" i="1"/>
  <c r="F579" i="1"/>
  <c r="F578" i="1"/>
  <c r="F577" i="1"/>
  <c r="F576" i="1"/>
  <c r="F572" i="1"/>
  <c r="F571" i="1"/>
  <c r="F570" i="1"/>
  <c r="F569" i="1"/>
  <c r="F568" i="1"/>
  <c r="F567" i="1"/>
  <c r="F566" i="1"/>
  <c r="F565" i="1"/>
  <c r="F564" i="1"/>
  <c r="F561" i="1"/>
  <c r="F560" i="1"/>
  <c r="F559" i="1"/>
  <c r="F558" i="1"/>
  <c r="F557" i="1"/>
  <c r="F556" i="1"/>
  <c r="F553" i="1"/>
  <c r="F552" i="1"/>
  <c r="F551" i="1"/>
  <c r="F550" i="1"/>
  <c r="F549" i="1"/>
  <c r="F548" i="1"/>
  <c r="F546" i="1"/>
  <c r="F542" i="1"/>
  <c r="F541" i="1"/>
  <c r="F540" i="1"/>
  <c r="F539" i="1"/>
  <c r="F538" i="1"/>
  <c r="F537" i="1"/>
  <c r="F536" i="1"/>
  <c r="F535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7" i="1"/>
  <c r="F516" i="1"/>
  <c r="F515" i="1"/>
  <c r="F514" i="1"/>
  <c r="F513" i="1"/>
  <c r="F512" i="1"/>
  <c r="F509" i="1"/>
  <c r="F508" i="1"/>
  <c r="F507" i="1"/>
  <c r="F506" i="1"/>
  <c r="F505" i="1"/>
  <c r="F504" i="1"/>
  <c r="F503" i="1"/>
  <c r="F499" i="1"/>
  <c r="F498" i="1"/>
  <c r="F497" i="1"/>
  <c r="F496" i="1"/>
  <c r="F495" i="1"/>
  <c r="F494" i="1"/>
  <c r="F493" i="1"/>
  <c r="F492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4" i="1"/>
  <c r="F473" i="1"/>
  <c r="F472" i="1"/>
  <c r="F471" i="1"/>
  <c r="F470" i="1"/>
  <c r="F469" i="1"/>
  <c r="F466" i="1"/>
  <c r="F465" i="1"/>
  <c r="F464" i="1"/>
  <c r="F463" i="1"/>
  <c r="F462" i="1"/>
  <c r="F461" i="1"/>
  <c r="F452" i="1"/>
  <c r="F448" i="1"/>
  <c r="F447" i="1"/>
  <c r="F446" i="1"/>
  <c r="F445" i="1"/>
  <c r="F443" i="1"/>
  <c r="F440" i="1"/>
  <c r="F439" i="1"/>
  <c r="F438" i="1"/>
  <c r="F437" i="1"/>
  <c r="F436" i="1"/>
  <c r="F433" i="1"/>
  <c r="F432" i="1"/>
  <c r="F431" i="1"/>
  <c r="F429" i="1"/>
  <c r="F425" i="1"/>
  <c r="F424" i="1"/>
  <c r="F423" i="1"/>
  <c r="F422" i="1"/>
  <c r="F421" i="1"/>
  <c r="F418" i="1"/>
  <c r="F417" i="1"/>
  <c r="F416" i="1"/>
  <c r="F415" i="1"/>
  <c r="F412" i="1"/>
  <c r="F411" i="1"/>
  <c r="F410" i="1"/>
  <c r="F409" i="1"/>
  <c r="F408" i="1"/>
  <c r="F407" i="1"/>
  <c r="F403" i="1"/>
  <c r="F402" i="1"/>
  <c r="F401" i="1"/>
  <c r="F400" i="1"/>
  <c r="F396" i="1"/>
  <c r="F395" i="1"/>
  <c r="F394" i="1"/>
  <c r="F393" i="1"/>
  <c r="F392" i="1"/>
  <c r="F391" i="1"/>
  <c r="F390" i="1"/>
  <c r="F389" i="1"/>
  <c r="F388" i="1"/>
  <c r="F385" i="1"/>
  <c r="F384" i="1"/>
  <c r="F383" i="1"/>
  <c r="F382" i="1"/>
  <c r="F381" i="1"/>
  <c r="F378" i="1"/>
  <c r="F377" i="1"/>
  <c r="F376" i="1"/>
  <c r="F375" i="1"/>
  <c r="F368" i="1"/>
  <c r="F367" i="1"/>
  <c r="F366" i="1"/>
  <c r="F365" i="1"/>
  <c r="F361" i="1"/>
  <c r="F360" i="1"/>
  <c r="F359" i="1"/>
  <c r="F358" i="1"/>
  <c r="F357" i="1"/>
  <c r="F356" i="1"/>
  <c r="F355" i="1"/>
  <c r="F354" i="1"/>
  <c r="F353" i="1"/>
  <c r="F350" i="1"/>
  <c r="F349" i="1"/>
  <c r="F348" i="1"/>
  <c r="F347" i="1"/>
  <c r="F344" i="1"/>
  <c r="F343" i="1"/>
  <c r="F342" i="1"/>
  <c r="F341" i="1"/>
  <c r="F340" i="1"/>
  <c r="F339" i="1"/>
  <c r="F335" i="1"/>
  <c r="F334" i="1"/>
  <c r="F333" i="1"/>
  <c r="F332" i="1"/>
  <c r="F328" i="1"/>
  <c r="F327" i="1"/>
  <c r="F326" i="1"/>
  <c r="F325" i="1"/>
  <c r="F324" i="1"/>
  <c r="F323" i="1"/>
  <c r="F322" i="1"/>
  <c r="F321" i="1"/>
  <c r="F320" i="1"/>
  <c r="F317" i="1"/>
  <c r="F316" i="1"/>
  <c r="F315" i="1"/>
  <c r="F314" i="1"/>
  <c r="F313" i="1"/>
  <c r="F310" i="1"/>
  <c r="F309" i="1"/>
  <c r="F308" i="1"/>
  <c r="F307" i="1"/>
  <c r="F296" i="1"/>
  <c r="F292" i="1"/>
  <c r="F291" i="1"/>
  <c r="F290" i="1"/>
  <c r="F289" i="1"/>
  <c r="F288" i="1"/>
  <c r="F286" i="1"/>
  <c r="F283" i="1"/>
  <c r="F282" i="1"/>
  <c r="F281" i="1"/>
  <c r="F280" i="1"/>
  <c r="F277" i="1"/>
  <c r="F276" i="1"/>
  <c r="F275" i="1"/>
  <c r="F274" i="1"/>
  <c r="F273" i="1"/>
  <c r="F271" i="1"/>
  <c r="F267" i="1"/>
  <c r="F266" i="1"/>
  <c r="F265" i="1"/>
  <c r="F264" i="1"/>
  <c r="F263" i="1"/>
  <c r="F262" i="1"/>
  <c r="F259" i="1"/>
  <c r="F258" i="1"/>
  <c r="F257" i="1"/>
  <c r="F256" i="1"/>
  <c r="F253" i="1"/>
  <c r="F252" i="1"/>
  <c r="F251" i="1"/>
  <c r="F250" i="1"/>
  <c r="F249" i="1"/>
  <c r="F248" i="1"/>
  <c r="F244" i="1"/>
  <c r="F243" i="1"/>
  <c r="F242" i="1"/>
  <c r="F241" i="1"/>
  <c r="F240" i="1"/>
  <c r="F236" i="1"/>
  <c r="F235" i="1"/>
  <c r="F234" i="1"/>
  <c r="F233" i="1"/>
  <c r="F232" i="1"/>
  <c r="F231" i="1"/>
  <c r="F230" i="1"/>
  <c r="F229" i="1"/>
  <c r="F228" i="1"/>
  <c r="F225" i="1"/>
  <c r="F224" i="1"/>
  <c r="F223" i="1"/>
  <c r="F222" i="1"/>
  <c r="F221" i="1"/>
  <c r="F218" i="1"/>
  <c r="F217" i="1"/>
  <c r="F216" i="1"/>
  <c r="F215" i="1"/>
  <c r="F213" i="1"/>
  <c r="F209" i="1"/>
  <c r="F208" i="1"/>
  <c r="F207" i="1"/>
  <c r="F206" i="1"/>
  <c r="F205" i="1"/>
  <c r="F201" i="1"/>
  <c r="F200" i="1"/>
  <c r="F199" i="1"/>
  <c r="F198" i="1"/>
  <c r="F197" i="1"/>
  <c r="F196" i="1"/>
  <c r="F195" i="1"/>
  <c r="F194" i="1"/>
  <c r="F193" i="1"/>
  <c r="F190" i="1"/>
  <c r="F189" i="1"/>
  <c r="F188" i="1"/>
  <c r="F187" i="1"/>
  <c r="F184" i="1"/>
  <c r="F183" i="1"/>
  <c r="F182" i="1"/>
  <c r="F181" i="1"/>
  <c r="F180" i="1"/>
  <c r="F178" i="1"/>
  <c r="F174" i="1"/>
  <c r="F173" i="1"/>
  <c r="F172" i="1"/>
  <c r="F171" i="1"/>
  <c r="F170" i="1"/>
  <c r="F166" i="1"/>
  <c r="F165" i="1"/>
  <c r="F164" i="1"/>
  <c r="F163" i="1"/>
  <c r="F162" i="1"/>
  <c r="F161" i="1"/>
  <c r="F160" i="1"/>
  <c r="F159" i="1"/>
  <c r="F158" i="1"/>
  <c r="F155" i="1"/>
  <c r="F154" i="1"/>
  <c r="F153" i="1"/>
  <c r="F152" i="1"/>
  <c r="F151" i="1"/>
  <c r="F148" i="1"/>
  <c r="F147" i="1"/>
  <c r="F146" i="1"/>
  <c r="F145" i="1"/>
  <c r="F136" i="1"/>
  <c r="F132" i="1"/>
  <c r="F131" i="1"/>
  <c r="F130" i="1"/>
  <c r="F129" i="1"/>
  <c r="F127" i="1"/>
  <c r="F124" i="1"/>
  <c r="F123" i="1"/>
  <c r="F122" i="1"/>
  <c r="F119" i="1"/>
  <c r="F118" i="1"/>
  <c r="F117" i="1"/>
  <c r="F116" i="1"/>
  <c r="F110" i="1"/>
  <c r="F109" i="1"/>
  <c r="F108" i="1"/>
  <c r="F107" i="1"/>
  <c r="F106" i="1"/>
  <c r="F104" i="1"/>
  <c r="F101" i="1"/>
  <c r="F100" i="1"/>
  <c r="F99" i="1"/>
  <c r="F98" i="1"/>
  <c r="F95" i="1"/>
  <c r="F94" i="1"/>
  <c r="F93" i="1"/>
  <c r="F92" i="1"/>
  <c r="F88" i="1"/>
  <c r="F87" i="1"/>
  <c r="F86" i="1"/>
  <c r="F85" i="1"/>
  <c r="F84" i="1"/>
  <c r="F80" i="1"/>
  <c r="F79" i="1"/>
  <c r="F78" i="1"/>
  <c r="F77" i="1"/>
  <c r="F76" i="1"/>
  <c r="F75" i="1"/>
  <c r="F74" i="1"/>
  <c r="F71" i="1"/>
  <c r="F70" i="1"/>
  <c r="F69" i="1"/>
  <c r="F66" i="1"/>
  <c r="F65" i="1"/>
  <c r="F64" i="1"/>
  <c r="F63" i="1"/>
  <c r="F61" i="1"/>
  <c r="F57" i="1"/>
  <c r="F56" i="1"/>
  <c r="F55" i="1"/>
  <c r="F54" i="1"/>
  <c r="F53" i="1"/>
  <c r="F49" i="1"/>
  <c r="F48" i="1"/>
  <c r="F47" i="1"/>
  <c r="F46" i="1"/>
  <c r="F45" i="1"/>
  <c r="F44" i="1"/>
  <c r="F43" i="1"/>
  <c r="F40" i="1"/>
  <c r="F39" i="1"/>
  <c r="F38" i="1"/>
  <c r="F37" i="1"/>
  <c r="F34" i="1"/>
  <c r="F33" i="1"/>
  <c r="F32" i="1"/>
  <c r="F31" i="1"/>
  <c r="F27" i="1"/>
  <c r="F26" i="1"/>
  <c r="F25" i="1"/>
  <c r="F24" i="1"/>
  <c r="F23" i="1"/>
  <c r="F19" i="1"/>
  <c r="F18" i="1"/>
  <c r="F17" i="1"/>
  <c r="F16" i="1"/>
  <c r="F15" i="1"/>
  <c r="F14" i="1"/>
  <c r="F13" i="1"/>
  <c r="F10" i="1"/>
  <c r="F9" i="1"/>
  <c r="F8" i="1"/>
  <c r="F5" i="1"/>
  <c r="F4" i="1"/>
  <c r="F3" i="1"/>
  <c r="F2" i="1"/>
  <c r="F939" i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153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I3" i="6"/>
  <c r="H3" i="6"/>
  <c r="G3" i="6"/>
  <c r="H2" i="2"/>
  <c r="W3" i="6"/>
  <c r="V3" i="6"/>
  <c r="U3" i="6"/>
  <c r="T3" i="6"/>
  <c r="S3" i="6"/>
  <c r="B2" i="2"/>
  <c r="E2" i="2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sharedStrings.xml><?xml version="1.0" encoding="utf-8"?>
<sst xmlns="http://schemas.openxmlformats.org/spreadsheetml/2006/main" count="1179" uniqueCount="159">
  <si>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</si>
  <si>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</si>
  <si>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</si>
  <si>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</si>
  <si>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</si>
  <si>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</si>
  <si>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</si>
  <si>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</si>
  <si>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</si>
  <si>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</si>
  <si>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</si>
  <si>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</si>
  <si>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</si>
  <si>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</si>
  <si>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</si>
  <si>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</si>
  <si>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</si>
  <si>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</si>
  <si>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</si>
  <si>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</si>
  <si>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</si>
  <si>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</si>
  <si>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</si>
  <si>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</si>
  <si>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</si>
  <si>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</si>
  <si>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</si>
  <si>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</si>
  <si>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</si>
  <si>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</si>
  <si>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temp_habitats</t>
    <phoneticPr fontId="5"/>
  </si>
  <si>
    <t>temp_floor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</si>
  <si>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</si>
  <si>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</si>
  <si>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</si>
  <si>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</si>
  <si>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</si>
  <si>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</si>
  <si>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</si>
  <si>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</si>
  <si>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</si>
  <si>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</si>
  <si>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</si>
  <si>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</si>
  <si>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</si>
  <si>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</si>
  <si>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</si>
  <si>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</si>
  <si>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</si>
  <si>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</si>
  <si>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</si>
  <si>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</si>
  <si>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</si>
  <si>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</si>
  <si>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</si>
  <si>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</si>
  <si>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null</t>
    <phoneticPr fontId="5"/>
  </si>
  <si>
    <t>temp_habitats</t>
    <phoneticPr fontId="5"/>
  </si>
  <si>
    <t>temp_stage</t>
    <phoneticPr fontId="5"/>
  </si>
  <si>
    <t>name</t>
    <phoneticPr fontId="5"/>
  </si>
  <si>
    <t>floor_id</t>
    <phoneticPr fontId="5"/>
  </si>
  <si>
    <t>temp_floor</t>
    <phoneticPr fontId="5"/>
  </si>
  <si>
    <t>seq_no</t>
    <phoneticPr fontId="5"/>
  </si>
  <si>
    <t>state_no</t>
    <phoneticPr fontId="5"/>
  </si>
  <si>
    <t>color</t>
    <phoneticPr fontId="5"/>
  </si>
  <si>
    <t>drop_label</t>
    <phoneticPr fontId="5"/>
  </si>
  <si>
    <t>character_main_tribe_id</t>
    <phoneticPr fontId="5"/>
  </si>
  <si>
    <t>size</t>
    <phoneticPr fontId="5"/>
  </si>
  <si>
    <t>hp_coefficient</t>
    <phoneticPr fontId="5"/>
  </si>
  <si>
    <t>attack_coefficient</t>
    <phoneticPr fontId="5"/>
  </si>
  <si>
    <t>defense_correction</t>
    <phoneticPr fontId="5"/>
  </si>
  <si>
    <t>スキル</t>
    <phoneticPr fontId="5"/>
  </si>
  <si>
    <t>skill_set_id</t>
    <phoneticPr fontId="5"/>
  </si>
  <si>
    <t>temp_habitats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</si>
  <si>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</si>
  <si>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</si>
  <si>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</si>
  <si>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</si>
  <si>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</si>
  <si>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</si>
  <si>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hp_coefficient</t>
    <phoneticPr fontId="5"/>
  </si>
  <si>
    <t>attack_coefficient</t>
    <phoneticPr fontId="5"/>
  </si>
  <si>
    <t>seq_no</t>
    <phoneticPr fontId="5"/>
  </si>
  <si>
    <t>出力flg</t>
    <rPh sb="0" eb="2">
      <t>シュツリョク</t>
    </rPh>
    <phoneticPr fontId="5"/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</si>
  <si>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</si>
  <si>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</si>
  <si>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</si>
  <si>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</si>
  <si>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</si>
  <si>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</si>
  <si>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skip</t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</si>
  <si>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</si>
  <si>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</si>
  <si>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</si>
  <si>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</si>
  <si>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</si>
  <si>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</si>
  <si>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</si>
  <si>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state_no</t>
    <phoneticPr fontId="5"/>
  </si>
  <si>
    <t>skill_set_id</t>
    <phoneticPr fontId="5"/>
  </si>
  <si>
    <t>attack_coefficient</t>
    <phoneticPr fontId="5"/>
  </si>
  <si>
    <t>enemy_skill_sets_</t>
    <phoneticPr fontId="5"/>
  </si>
  <si>
    <t>enemy_skill_sets</t>
    <phoneticPr fontId="5"/>
  </si>
  <si>
    <t>skill_id</t>
  </si>
  <si>
    <t>skill_trigger_id</t>
  </si>
  <si>
    <t>enemy_skills_tmp_</t>
    <phoneticPr fontId="5"/>
  </si>
  <si>
    <t>enemy_skills</t>
    <phoneticPr fontId="5"/>
  </si>
  <si>
    <t>enemy_skill_id</t>
  </si>
  <si>
    <t>effect_param</t>
    <phoneticPr fontId="5"/>
  </si>
  <si>
    <t>valid_flg</t>
  </si>
  <si>
    <t>enemy_skills_i18n_</t>
    <phoneticPr fontId="5"/>
  </si>
  <si>
    <t>enemy_skills</t>
    <phoneticPr fontId="5"/>
  </si>
  <si>
    <t>language</t>
  </si>
  <si>
    <t>name</t>
  </si>
  <si>
    <t>comment</t>
  </si>
  <si>
    <t>enemy_skill_triggers_</t>
    <phoneticPr fontId="5"/>
  </si>
  <si>
    <t>enemy_skill_triggers</t>
    <phoneticPr fontId="5"/>
  </si>
  <si>
    <t>first_time</t>
  </si>
  <si>
    <t>invoke_rate</t>
  </si>
  <si>
    <t>hp_threshold</t>
  </si>
  <si>
    <t>hp_termination</t>
    <phoneticPr fontId="5"/>
  </si>
  <si>
    <t>invoke_times</t>
  </si>
  <si>
    <t>invoke_weight</t>
    <phoneticPr fontId="5"/>
  </si>
  <si>
    <t>every_time_count</t>
    <phoneticPr fontId="5"/>
  </si>
  <si>
    <t>neighbor_dead_id</t>
    <phoneticPr fontId="5"/>
  </si>
  <si>
    <t>priority</t>
    <phoneticPr fontId="5"/>
  </si>
  <si>
    <t>stage_bug_bonuses_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</si>
  <si>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</si>
  <si>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</si>
  <si>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quest_id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</si>
  <si>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</si>
  <si>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</si>
  <si>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</si>
  <si>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</si>
  <si>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</si>
  <si>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</si>
  <si>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</si>
  <si>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</si>
  <si>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</si>
  <si>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</si>
  <si>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</si>
  <si>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</si>
  <si>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</si>
  <si>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</si>
  <si>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</si>
  <si>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</si>
  <si>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</si>
  <si>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t>stage_hints</t>
  </si>
  <si>
    <t>hint_id</t>
    <phoneticPr fontId="5"/>
  </si>
  <si>
    <t>hint_type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</si>
  <si>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</si>
  <si>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language</t>
    <phoneticPr fontId="5"/>
  </si>
  <si>
    <t>hint</t>
    <phoneticPr fontId="5"/>
  </si>
  <si>
    <t>filename</t>
  </si>
  <si>
    <t>title</t>
    <phoneticPr fontId="5"/>
  </si>
  <si>
    <t>DL5</t>
    <phoneticPr fontId="5"/>
  </si>
  <si>
    <t>old</t>
    <phoneticPr fontId="5"/>
  </si>
  <si>
    <t>dummy</t>
    <phoneticPr fontId="5"/>
  </si>
  <si>
    <t>dummy2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</si>
</sst>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5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228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3" fillId="0" borderId="0">
      <alignment vertical="center"/>
    </xf>
    <xf numFmtId="0" fontId="1" fillId="0" borderId="0"/>
    <xf numFmtId="0" fontId="1" fillId="0" borderId="0"/>
    <xf numFmtId="0" fontId="25" fillId="18" borderId="12" applyNumberFormat="0" applyAlignment="0" applyProtection="0"/>
    <xf numFmtId="0" fontId="26" fillId="19" borderId="0" applyNumberFormat="0" applyBorder="0" applyAlignment="0" applyProtection="0"/>
    <xf numFmtId="0" fontId="27" fillId="20" borderId="13" applyNumberFormat="0" applyAlignment="0" applyProtection="0"/>
    <xf numFmtId="0" fontId="28" fillId="0" borderId="0" applyNumberFormat="0" applyFill="0" applyBorder="0" applyAlignment="0" applyProtection="0"/>
    <xf numFmtId="0" fontId="29" fillId="21" borderId="0" applyNumberFormat="0" applyBorder="0" applyAlignment="0" applyProtection="0"/>
    <xf numFmtId="0" fontId="30" fillId="22" borderId="14" applyNumberFormat="0" applyAlignment="0" applyProtection="0"/>
    <xf numFmtId="0" fontId="31" fillId="0" borderId="0" applyNumberFormat="0" applyFill="0" applyBorder="0" applyAlignment="0" applyProtection="0"/>
    <xf numFmtId="0" fontId="32" fillId="0" borderId="15" applyNumberFormat="0" applyFill="0" applyAlignment="0" applyProtection="0"/>
    <xf numFmtId="0" fontId="33" fillId="0" borderId="16" applyNumberFormat="0" applyFill="0" applyAlignment="0" applyProtection="0"/>
    <xf numFmtId="0" fontId="34" fillId="0" borderId="17" applyNumberFormat="0" applyFill="0" applyAlignment="0" applyProtection="0"/>
    <xf numFmtId="0" fontId="34" fillId="0" borderId="0" applyNumberFormat="0" applyFill="0" applyBorder="0" applyAlignment="0" applyProtection="0"/>
    <xf numFmtId="0" fontId="35" fillId="20" borderId="0" applyNumberFormat="0" applyBorder="0" applyAlignment="0" applyProtection="0"/>
    <xf numFmtId="0" fontId="35" fillId="19" borderId="0" applyNumberFormat="0" applyBorder="0" applyAlignment="0" applyProtection="0"/>
    <xf numFmtId="0" fontId="35" fillId="23" borderId="0" applyNumberFormat="0" applyBorder="0" applyAlignment="0" applyProtection="0"/>
    <xf numFmtId="0" fontId="35" fillId="20" borderId="0" applyNumberFormat="0" applyBorder="0" applyAlignment="0" applyProtection="0"/>
    <xf numFmtId="0" fontId="35" fillId="24" borderId="0" applyNumberFormat="0" applyBorder="0" applyAlignment="0" applyProtection="0"/>
    <xf numFmtId="0" fontId="35" fillId="18" borderId="0" applyNumberFormat="0" applyBorder="0" applyAlignment="0" applyProtection="0"/>
    <xf numFmtId="0" fontId="35" fillId="20" borderId="0" applyNumberFormat="0" applyBorder="0" applyAlignment="0" applyProtection="0"/>
    <xf numFmtId="0" fontId="35" fillId="25" borderId="0" applyNumberFormat="0" applyBorder="0" applyAlignment="0" applyProtection="0"/>
    <xf numFmtId="0" fontId="35" fillId="23" borderId="0" applyNumberFormat="0" applyBorder="0" applyAlignment="0" applyProtection="0"/>
    <xf numFmtId="0" fontId="35" fillId="20" borderId="0" applyNumberFormat="0" applyBorder="0" applyAlignment="0" applyProtection="0"/>
    <xf numFmtId="0" fontId="35" fillId="26" borderId="0" applyNumberFormat="0" applyBorder="0" applyAlignment="0" applyProtection="0"/>
    <xf numFmtId="0" fontId="35" fillId="19" borderId="0" applyNumberFormat="0" applyBorder="0" applyAlignment="0" applyProtection="0"/>
    <xf numFmtId="0" fontId="36" fillId="27" borderId="0" applyNumberFormat="0" applyBorder="0" applyAlignment="0" applyProtection="0"/>
    <xf numFmtId="0" fontId="36" fillId="25" borderId="0" applyNumberFormat="0" applyBorder="0" applyAlignment="0" applyProtection="0"/>
    <xf numFmtId="0" fontId="36" fillId="23" borderId="0" applyNumberFormat="0" applyBorder="0" applyAlignment="0" applyProtection="0"/>
    <xf numFmtId="0" fontId="36" fillId="20" borderId="0" applyNumberFormat="0" applyBorder="0" applyAlignment="0" applyProtection="0"/>
    <xf numFmtId="0" fontId="36" fillId="27" borderId="0" applyNumberFormat="0" applyBorder="0" applyAlignment="0" applyProtection="0"/>
    <xf numFmtId="0" fontId="36" fillId="19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27" borderId="0" applyNumberFormat="0" applyBorder="0" applyAlignment="0" applyProtection="0"/>
    <xf numFmtId="0" fontId="36" fillId="28" borderId="0" applyNumberFormat="0" applyBorder="0" applyAlignment="0" applyProtection="0"/>
    <xf numFmtId="0" fontId="36" fillId="23" borderId="0" applyNumberFormat="0" applyBorder="0" applyAlignment="0" applyProtection="0"/>
    <xf numFmtId="0" fontId="36" fillId="29" borderId="0" applyNumberFormat="0" applyBorder="0" applyAlignment="0" applyProtection="0"/>
    <xf numFmtId="0" fontId="36" fillId="27" borderId="0" applyNumberFormat="0" applyBorder="0" applyAlignment="0" applyProtection="0"/>
    <xf numFmtId="0" fontId="36" fillId="25" borderId="0" applyNumberFormat="0" applyBorder="0" applyAlignment="0" applyProtection="0"/>
    <xf numFmtId="0" fontId="37" fillId="30" borderId="0" applyNumberFormat="0" applyBorder="0" applyAlignment="0" applyProtection="0"/>
    <xf numFmtId="0" fontId="26" fillId="19" borderId="0" applyNumberFormat="0" applyBorder="0" applyAlignment="0" applyProtection="0"/>
    <xf numFmtId="0" fontId="38" fillId="0" borderId="0"/>
    <xf numFmtId="0" fontId="39" fillId="0" borderId="18" applyNumberFormat="0" applyFill="0" applyAlignment="0" applyProtection="0"/>
    <xf numFmtId="0" fontId="40" fillId="20" borderId="19" applyNumberFormat="0" applyAlignment="0" applyProtection="0"/>
    <xf numFmtId="0" fontId="40" fillId="31" borderId="19" applyNumberFormat="0" applyAlignment="0" applyProtection="0"/>
    <xf numFmtId="0" fontId="27" fillId="19" borderId="13" applyNumberFormat="0" applyAlignment="0" applyProtection="0"/>
    <xf numFmtId="0" fontId="41" fillId="0" borderId="20" applyNumberFormat="0" applyFill="0" applyAlignment="0" applyProtection="0"/>
    <xf numFmtId="0" fontId="42" fillId="31" borderId="1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1" applyNumberFormat="0" applyFill="0" applyAlignment="0" applyProtection="0"/>
    <xf numFmtId="38" fontId="45" fillId="0" borderId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46" fillId="32" borderId="0" applyNumberFormat="0" applyBorder="0" applyAlignment="0" applyProtection="0"/>
    <xf numFmtId="0" fontId="47" fillId="33" borderId="0" applyNumberFormat="0" applyBorder="0" applyAlignment="0" applyProtection="0"/>
    <xf numFmtId="0" fontId="48" fillId="0" borderId="0"/>
    <xf numFmtId="0" fontId="15" fillId="0" borderId="0">
      <alignment vertical="center"/>
    </xf>
    <xf numFmtId="0" fontId="1" fillId="0" borderId="0"/>
    <xf numFmtId="0" fontId="1" fillId="0" borderId="0"/>
    <xf numFmtId="0" fontId="49" fillId="34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3" fillId="6" borderId="0" xfId="11" applyFont="1" applyFill="1"/>
    <xf numFmtId="176" fontId="3" fillId="6" borderId="0" xfId="11" applyNumberFormat="1" applyFont="1" applyFill="1"/>
    <xf numFmtId="0" fontId="0" fillId="7" borderId="0" xfId="0" applyFill="1"/>
    <xf numFmtId="0" fontId="11" fillId="0" borderId="0" xfId="11" applyFont="1" applyFill="1" applyBorder="1"/>
    <xf numFmtId="0" fontId="4" fillId="3" borderId="7" xfId="0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0" fontId="13" fillId="8" borderId="0" xfId="0" applyFont="1" applyFill="1"/>
    <xf numFmtId="0" fontId="14" fillId="8" borderId="0" xfId="11" applyFont="1" applyFill="1" applyBorder="1"/>
    <xf numFmtId="0" fontId="6" fillId="5" borderId="9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17" fillId="0" borderId="7" xfId="0" applyFont="1" applyBorder="1" applyAlignment="1">
      <alignment horizontal="right" vertical="center"/>
    </xf>
    <xf numFmtId="0" fontId="15" fillId="0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9" borderId="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0" fontId="17" fillId="9" borderId="7" xfId="0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horizontal="right" vertical="center"/>
    </xf>
    <xf numFmtId="0" fontId="15" fillId="0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right" vertical="center"/>
    </xf>
    <xf numFmtId="0" fontId="15" fillId="0" borderId="7" xfId="0" applyFont="1" applyBorder="1" applyAlignment="1">
      <alignment horizontal="center" vertical="center"/>
    </xf>
    <xf numFmtId="0" fontId="15" fillId="10" borderId="7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2" borderId="7" xfId="0" applyFont="1" applyFill="1" applyBorder="1" applyAlignment="1">
      <alignment horizontal="center" vertical="center"/>
    </xf>
    <xf numFmtId="0" fontId="15" fillId="13" borderId="7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1" borderId="7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vertical="center"/>
    </xf>
    <xf numFmtId="0" fontId="6" fillId="9" borderId="7" xfId="0" applyFont="1" applyFill="1" applyBorder="1" applyAlignment="1">
      <alignment vertical="center"/>
    </xf>
    <xf numFmtId="0" fontId="4" fillId="0" borderId="7" xfId="0" applyFont="1" applyBorder="1" applyAlignment="1">
      <alignment horizontal="right" vertical="center"/>
    </xf>
    <xf numFmtId="0" fontId="6" fillId="14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left" vertical="center"/>
    </xf>
    <xf numFmtId="0" fontId="20" fillId="0" borderId="7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6" fillId="0" borderId="3" xfId="0" applyFont="1" applyFill="1" applyBorder="1" applyAlignment="1">
      <alignment vertical="center"/>
    </xf>
    <xf numFmtId="0" fontId="2" fillId="6" borderId="0" xfId="1207" applyFont="1" applyFill="1"/>
    <xf numFmtId="176" fontId="2" fillId="6" borderId="0" xfId="1207" applyNumberFormat="1" applyFont="1" applyFill="1"/>
    <xf numFmtId="0" fontId="14" fillId="8" borderId="0" xfId="1207" applyFont="1" applyFill="1" applyBorder="1"/>
    <xf numFmtId="0" fontId="11" fillId="0" borderId="0" xfId="1207" applyFont="1" applyFill="1" applyBorder="1"/>
    <xf numFmtId="0" fontId="4" fillId="0" borderId="7" xfId="0" applyFont="1" applyFill="1" applyBorder="1" applyAlignment="1">
      <alignment horizontal="right" vertical="center"/>
    </xf>
    <xf numFmtId="0" fontId="22" fillId="15" borderId="7" xfId="0" applyFont="1" applyFill="1" applyBorder="1" applyAlignment="1">
      <alignment vertical="center"/>
    </xf>
    <xf numFmtId="0" fontId="6" fillId="15" borderId="3" xfId="0" applyFont="1" applyFill="1" applyBorder="1" applyAlignment="1">
      <alignment vertical="center"/>
    </xf>
    <xf numFmtId="0" fontId="13" fillId="16" borderId="7" xfId="2118" applyFont="1" applyFill="1" applyBorder="1" applyAlignment="1"/>
    <xf numFmtId="0" fontId="13" fillId="16" borderId="7" xfId="0" applyFont="1" applyFill="1" applyBorder="1"/>
    <xf numFmtId="0" fontId="0" fillId="16" borderId="7" xfId="0" applyFill="1" applyBorder="1"/>
    <xf numFmtId="0" fontId="23" fillId="0" borderId="7" xfId="2118" applyBorder="1" applyAlignment="1"/>
    <xf numFmtId="0" fontId="0" fillId="0" borderId="7" xfId="0" applyBorder="1"/>
    <xf numFmtId="0" fontId="0" fillId="15" borderId="7" xfId="0" applyFill="1" applyBorder="1"/>
    <xf numFmtId="0" fontId="0" fillId="7" borderId="7" xfId="0" applyFill="1" applyBorder="1"/>
    <xf numFmtId="0" fontId="24" fillId="17" borderId="7" xfId="0" applyFont="1" applyFill="1" applyBorder="1"/>
    <xf numFmtId="0" fontId="0" fillId="0" borderId="7" xfId="2119" applyFont="1" applyBorder="1"/>
    <xf numFmtId="0" fontId="1" fillId="16" borderId="7" xfId="2119" applyFill="1" applyBorder="1"/>
    <xf numFmtId="0" fontId="22" fillId="7" borderId="7" xfId="2120" applyFont="1" applyFill="1" applyBorder="1" applyAlignment="1">
      <alignment horizontal="left"/>
    </xf>
    <xf numFmtId="0" fontId="0" fillId="7" borderId="7" xfId="2119" applyFont="1" applyFill="1" applyBorder="1"/>
    <xf numFmtId="0" fontId="1" fillId="0" borderId="7" xfId="2119" applyBorder="1"/>
    <xf numFmtId="0" fontId="22" fillId="7" borderId="7" xfId="0" applyFont="1" applyFill="1" applyBorder="1" applyAlignment="1">
      <alignment horizontal="center"/>
    </xf>
    <xf numFmtId="56" fontId="22" fillId="7" borderId="7" xfId="0" applyNumberFormat="1" applyFont="1" applyFill="1" applyBorder="1" applyAlignment="1">
      <alignment horizontal="center"/>
    </xf>
    <xf numFmtId="0" fontId="0" fillId="7" borderId="0" xfId="2119" applyFont="1" applyFill="1"/>
    <xf numFmtId="0" fontId="1" fillId="0" borderId="0" xfId="2119"/>
    <xf numFmtId="0" fontId="1" fillId="7" borderId="0" xfId="2119" applyFill="1"/>
  </cellXfs>
  <cellStyles count="2286">
    <cellStyle name="20% - ANZg1" xfId="2132"/>
    <cellStyle name="20% - ANZg2" xfId="2133"/>
    <cellStyle name="20% - ANZg3" xfId="2134"/>
    <cellStyle name="20% - ANZg4" xfId="2135"/>
    <cellStyle name="20% - ANZg5" xfId="2136"/>
    <cellStyle name="20% - ANZg6" xfId="2137"/>
    <cellStyle name="40% - ANZg1" xfId="2138"/>
    <cellStyle name="40% - ANZg2" xfId="2139"/>
    <cellStyle name="40% - ANZg3" xfId="2140"/>
    <cellStyle name="40% - ANZg4" xfId="2141"/>
    <cellStyle name="40% - ANZg5" xfId="2142"/>
    <cellStyle name="40% - ANZg6" xfId="2143"/>
    <cellStyle name="60% - ANZg1" xfId="2144"/>
    <cellStyle name="60% - ANZg2" xfId="2145"/>
    <cellStyle name="60% - ANZg3" xfId="2146"/>
    <cellStyle name="60% - ANZg4" xfId="2147"/>
    <cellStyle name="60% - ANZg5" xfId="2148"/>
    <cellStyle name="60% - ANZg6" xfId="2149"/>
    <cellStyle name="Excel Built-in Normal" xfId="2159"/>
    <cellStyle name="^Cg" xfId="2127"/>
    <cellStyle name="`FbN Z" xfId="2126"/>
    <cellStyle name="ANZg 1" xfId="2151"/>
    <cellStyle name="ANZg 2" xfId="2152"/>
    <cellStyle name="ANZg 3" xfId="2153"/>
    <cellStyle name="ANZg 4" xfId="2154"/>
    <cellStyle name="ANZg 5" xfId="2155"/>
    <cellStyle name="ANZg 6" xfId="2156"/>
    <cellStyle name="" xfId="2121"/>
    <cellStyle name="N Z" xfId="2160"/>
    <cellStyle name="_" xfId="2122"/>
    <cellStyle name="«¢" xfId="2125"/>
    <cellStyle name="vZ" xfId="2165"/>
    <cellStyle name="x÷" xfId="2167"/>
    <cellStyle name="x¶" xfId="2166"/>
    <cellStyle name="ýo_ 1" xfId="2168"/>
    <cellStyle name="©oµ 1" xfId="2128"/>
    <cellStyle name="©oµ 2" xfId="2129"/>
    <cellStyle name="©oµ 3" xfId="2130"/>
    <cellStyle name="©oµ 4" xfId="2131"/>
    <cellStyle name="v" xfId="2164"/>
    <cellStyle name="o_" xfId="2161"/>
    <cellStyle name="oÍ" xfId="2162"/>
    <cellStyle name="__÷" xfId="2124"/>
    <cellStyle name="à¾¶" xfId="2150"/>
    <cellStyle name="__" xfId="2123"/>
    <cellStyle name="üÍ" xfId="2163"/>
    <cellStyle name="Ê" xfId="2158"/>
    <cellStyle name="Ç¢" xfId="2157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桁区切り 2" xfId="2169"/>
    <cellStyle name="桁区切り 2 2" xfId="2170"/>
    <cellStyle name="標準" xfId="0" builtinId="0"/>
    <cellStyle name="標準 2" xfId="2173"/>
    <cellStyle name="標準 2 2" xfId="2174"/>
    <cellStyle name="標準 3" xfId="404"/>
    <cellStyle name="標準 3 2" xfId="2118"/>
    <cellStyle name="標準 4" xfId="11"/>
    <cellStyle name="標準 4 2" xfId="1207"/>
    <cellStyle name="標準 4 2 2" xfId="2120"/>
    <cellStyle name="標準 5" xfId="2175"/>
    <cellStyle name="標準 5 2" xfId="2176"/>
    <cellStyle name="標準 6" xfId="2119"/>
    <cellStyle name="無題1" xfId="217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赤字強調" xfId="2172"/>
    <cellStyle name="青字強調" xfId="217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20017</v>
          </cell>
        </row>
        <row r="113">
          <cell r="A113">
            <v>30001</v>
          </cell>
        </row>
        <row r="114">
          <cell r="A114">
            <v>30002</v>
          </cell>
        </row>
        <row r="115">
          <cell r="A115">
            <v>30003</v>
          </cell>
        </row>
        <row r="116">
          <cell r="A116">
            <v>30004</v>
          </cell>
        </row>
        <row r="117">
          <cell r="A117">
            <v>30005</v>
          </cell>
        </row>
        <row r="118">
          <cell r="A118">
            <v>30006</v>
          </cell>
        </row>
        <row r="119">
          <cell r="A119">
            <v>30007</v>
          </cell>
        </row>
        <row r="120">
          <cell r="A120">
            <v>30008</v>
          </cell>
        </row>
        <row r="121">
          <cell r="A121">
            <v>30009</v>
          </cell>
        </row>
        <row r="122">
          <cell r="A122">
            <v>30010</v>
          </cell>
        </row>
        <row r="123">
          <cell r="A123">
            <v>30011</v>
          </cell>
        </row>
        <row r="124">
          <cell r="A124">
            <v>30012</v>
          </cell>
        </row>
        <row r="125">
          <cell r="A125">
            <v>30013</v>
          </cell>
        </row>
        <row r="126">
          <cell r="A126">
            <v>30014</v>
          </cell>
        </row>
        <row r="127">
          <cell r="A127">
            <v>30015</v>
          </cell>
        </row>
        <row r="128">
          <cell r="A128">
            <v>30016</v>
          </cell>
        </row>
        <row r="129">
          <cell r="A129">
            <v>30017</v>
          </cell>
        </row>
        <row r="130">
          <cell r="A130">
            <v>30018</v>
          </cell>
        </row>
        <row r="131">
          <cell r="A131">
            <v>30019</v>
          </cell>
        </row>
        <row r="132">
          <cell r="A132">
            <v>30020</v>
          </cell>
        </row>
        <row r="133">
          <cell r="A133">
            <v>30021</v>
          </cell>
        </row>
        <row r="134">
          <cell r="A134">
            <v>30022</v>
          </cell>
        </row>
        <row r="135">
          <cell r="A135">
            <v>30023</v>
          </cell>
        </row>
        <row r="136">
          <cell r="A136">
            <v>30024</v>
          </cell>
        </row>
        <row r="137">
          <cell r="A137">
            <v>30025</v>
          </cell>
        </row>
        <row r="138">
          <cell r="A138">
            <v>30026</v>
          </cell>
        </row>
        <row r="139">
          <cell r="A139">
            <v>30027</v>
          </cell>
        </row>
        <row r="140">
          <cell r="A140">
            <v>30028</v>
          </cell>
        </row>
        <row r="141">
          <cell r="A141">
            <v>30029</v>
          </cell>
        </row>
        <row r="142">
          <cell r="A142">
            <v>30030</v>
          </cell>
        </row>
        <row r="143">
          <cell r="A143">
            <v>30031</v>
          </cell>
        </row>
        <row r="144">
          <cell r="A144">
            <v>30032</v>
          </cell>
        </row>
        <row r="145">
          <cell r="A145">
            <v>30033</v>
          </cell>
        </row>
        <row r="146">
          <cell r="A146">
            <v>30034</v>
          </cell>
        </row>
        <row r="147">
          <cell r="A147">
            <v>30035</v>
          </cell>
        </row>
        <row r="148">
          <cell r="A148">
            <v>30036</v>
          </cell>
        </row>
        <row r="149">
          <cell r="A149">
            <v>30037</v>
          </cell>
        </row>
        <row r="150">
          <cell r="A150">
            <v>39001</v>
          </cell>
        </row>
        <row r="151">
          <cell r="A151">
            <v>39002</v>
          </cell>
        </row>
        <row r="152">
          <cell r="A152">
            <v>39003</v>
          </cell>
        </row>
        <row r="153">
          <cell r="A153">
            <v>39004</v>
          </cell>
        </row>
        <row r="154">
          <cell r="A154">
            <v>39005</v>
          </cell>
        </row>
        <row r="155">
          <cell r="A155">
            <v>39006</v>
          </cell>
        </row>
        <row r="156">
          <cell r="A156">
            <v>40001</v>
          </cell>
        </row>
        <row r="157">
          <cell r="A157">
            <v>40002</v>
          </cell>
        </row>
        <row r="158">
          <cell r="A158">
            <v>40003</v>
          </cell>
        </row>
        <row r="159">
          <cell r="A159">
            <v>40004</v>
          </cell>
        </row>
        <row r="160">
          <cell r="A160">
            <v>40005</v>
          </cell>
        </row>
        <row r="161">
          <cell r="A161">
            <v>40006</v>
          </cell>
        </row>
        <row r="162">
          <cell r="A162">
            <v>40007</v>
          </cell>
        </row>
        <row r="163">
          <cell r="A163">
            <v>40008</v>
          </cell>
        </row>
        <row r="164">
          <cell r="A164">
            <v>40009</v>
          </cell>
        </row>
        <row r="165">
          <cell r="A165">
            <v>40010</v>
          </cell>
        </row>
        <row r="166">
          <cell r="A166">
            <v>40011</v>
          </cell>
        </row>
        <row r="167">
          <cell r="A167">
            <v>40012</v>
          </cell>
        </row>
        <row r="168">
          <cell r="A168">
            <v>40013</v>
          </cell>
        </row>
        <row r="169">
          <cell r="A169">
            <v>40014</v>
          </cell>
        </row>
        <row r="170">
          <cell r="A170">
            <v>40015</v>
          </cell>
        </row>
        <row r="171">
          <cell r="A171">
            <v>40016</v>
          </cell>
        </row>
        <row r="172">
          <cell r="A172">
            <v>40017</v>
          </cell>
        </row>
        <row r="173">
          <cell r="A173">
            <v>40018</v>
          </cell>
        </row>
        <row r="174">
          <cell r="A174">
            <v>40019</v>
          </cell>
        </row>
        <row r="175">
          <cell r="A175">
            <v>40020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49001</v>
          </cell>
        </row>
        <row r="190">
          <cell r="A190">
            <v>49002</v>
          </cell>
        </row>
        <row r="191">
          <cell r="A191">
            <v>49003</v>
          </cell>
        </row>
        <row r="192">
          <cell r="A192">
            <v>49004</v>
          </cell>
        </row>
        <row r="193">
          <cell r="A193">
            <v>49005</v>
          </cell>
        </row>
        <row r="194">
          <cell r="A194">
            <v>49006</v>
          </cell>
        </row>
        <row r="195">
          <cell r="A195">
            <v>50001</v>
          </cell>
        </row>
        <row r="196">
          <cell r="A196">
            <v>50002</v>
          </cell>
        </row>
        <row r="197">
          <cell r="A197">
            <v>50003</v>
          </cell>
        </row>
        <row r="198">
          <cell r="A198">
            <v>50004</v>
          </cell>
        </row>
        <row r="199">
          <cell r="A199">
            <v>50005</v>
          </cell>
        </row>
        <row r="200">
          <cell r="A200">
            <v>51001</v>
          </cell>
        </row>
        <row r="201">
          <cell r="A201">
            <v>51002</v>
          </cell>
        </row>
        <row r="202">
          <cell r="A202">
            <v>60001</v>
          </cell>
        </row>
        <row r="203">
          <cell r="A203">
            <v>60002</v>
          </cell>
        </row>
        <row r="204">
          <cell r="A204">
            <v>60003</v>
          </cell>
        </row>
        <row r="205">
          <cell r="A205">
            <v>60004</v>
          </cell>
        </row>
        <row r="206">
          <cell r="A206">
            <v>60005</v>
          </cell>
        </row>
        <row r="207">
          <cell r="A207">
            <v>60006</v>
          </cell>
        </row>
        <row r="208">
          <cell r="A208">
            <v>60007</v>
          </cell>
        </row>
        <row r="209">
          <cell r="A209">
            <v>60010</v>
          </cell>
        </row>
        <row r="210">
          <cell r="A210">
            <v>60011</v>
          </cell>
        </row>
        <row r="211">
          <cell r="A211">
            <v>65535</v>
          </cell>
        </row>
        <row r="212">
          <cell r="A212">
            <v>60021</v>
          </cell>
        </row>
        <row r="213">
          <cell r="A213">
            <v>60022</v>
          </cell>
        </row>
        <row r="214">
          <cell r="A214">
            <v>60023</v>
          </cell>
        </row>
        <row r="215">
          <cell r="A21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12001_1</v>
          </cell>
        </row>
        <row r="275">
          <cell r="A275" t="str">
            <v>12001_2</v>
          </cell>
        </row>
        <row r="276">
          <cell r="A276" t="str">
            <v>12001_3</v>
          </cell>
        </row>
        <row r="277">
          <cell r="A277" t="str">
            <v>12002_1</v>
          </cell>
        </row>
        <row r="278">
          <cell r="A278" t="str">
            <v>12002_2</v>
          </cell>
        </row>
        <row r="279">
          <cell r="A279" t="str">
            <v>12003_1</v>
          </cell>
        </row>
        <row r="280">
          <cell r="A280" t="str">
            <v>12003_2</v>
          </cell>
        </row>
        <row r="281">
          <cell r="A281" t="str">
            <v>12003_3</v>
          </cell>
        </row>
        <row r="282">
          <cell r="A282" t="str">
            <v>12003_4</v>
          </cell>
        </row>
        <row r="283">
          <cell r="A283" t="str">
            <v>12004_1</v>
          </cell>
        </row>
        <row r="284">
          <cell r="A284" t="str">
            <v>13001_1</v>
          </cell>
        </row>
        <row r="285">
          <cell r="A285" t="str">
            <v>13001_2</v>
          </cell>
        </row>
        <row r="286">
          <cell r="A286" t="str">
            <v>13001_3</v>
          </cell>
        </row>
        <row r="287">
          <cell r="A287" t="str">
            <v>13001_4</v>
          </cell>
        </row>
        <row r="288">
          <cell r="A288" t="str">
            <v>13001_5</v>
          </cell>
        </row>
        <row r="289">
          <cell r="A289" t="str">
            <v>13001_6</v>
          </cell>
        </row>
        <row r="290">
          <cell r="A290" t="str">
            <v>13001_7</v>
          </cell>
        </row>
        <row r="291">
          <cell r="A291" t="str">
            <v>13001_8</v>
          </cell>
        </row>
        <row r="292">
          <cell r="A292" t="str">
            <v>13001_9</v>
          </cell>
        </row>
        <row r="293">
          <cell r="A293" t="str">
            <v>13001_10</v>
          </cell>
        </row>
        <row r="294">
          <cell r="A294" t="str">
            <v>13001_11</v>
          </cell>
        </row>
        <row r="295">
          <cell r="A295" t="str">
            <v>13001_12</v>
          </cell>
        </row>
        <row r="296">
          <cell r="A296" t="str">
            <v>13001_13</v>
          </cell>
        </row>
        <row r="297">
          <cell r="A297" t="str">
            <v>13001_14</v>
          </cell>
        </row>
        <row r="298">
          <cell r="A298" t="str">
            <v>13001_15</v>
          </cell>
        </row>
        <row r="299">
          <cell r="A299" t="str">
            <v>13001_16</v>
          </cell>
        </row>
        <row r="300">
          <cell r="A300" t="str">
            <v>13001_17</v>
          </cell>
        </row>
        <row r="301">
          <cell r="A301" t="str">
            <v>13001_18</v>
          </cell>
        </row>
        <row r="302">
          <cell r="A302" t="str">
            <v>13001_19</v>
          </cell>
        </row>
        <row r="303">
          <cell r="A303" t="str">
            <v>13001_20</v>
          </cell>
        </row>
        <row r="304">
          <cell r="A304" t="str">
            <v>13001_21</v>
          </cell>
        </row>
        <row r="305">
          <cell r="A305" t="str">
            <v>13001_22</v>
          </cell>
        </row>
        <row r="306">
          <cell r="A306" t="str">
            <v>13001_23</v>
          </cell>
        </row>
        <row r="307">
          <cell r="A307" t="str">
            <v>13001_24</v>
          </cell>
        </row>
        <row r="308">
          <cell r="A308" t="str">
            <v>13001_25</v>
          </cell>
        </row>
        <row r="309">
          <cell r="A309" t="str">
            <v>14001_1</v>
          </cell>
        </row>
        <row r="310">
          <cell r="A310" t="str">
            <v>14001_2</v>
          </cell>
        </row>
        <row r="311">
          <cell r="A311" t="str">
            <v>14001_3</v>
          </cell>
        </row>
        <row r="312">
          <cell r="A312" t="str">
            <v>14001_4</v>
          </cell>
        </row>
        <row r="313">
          <cell r="A313" t="str">
            <v>14001_5</v>
          </cell>
        </row>
        <row r="314">
          <cell r="A314" t="str">
            <v>14001_6</v>
          </cell>
        </row>
        <row r="315">
          <cell r="A315" t="str">
            <v>14001_7</v>
          </cell>
        </row>
        <row r="316">
          <cell r="A316" t="str">
            <v>14001_8</v>
          </cell>
        </row>
        <row r="317">
          <cell r="A317" t="str">
            <v>14002_1</v>
          </cell>
        </row>
        <row r="318">
          <cell r="A318" t="str">
            <v>14002_2</v>
          </cell>
        </row>
        <row r="319">
          <cell r="A319" t="str">
            <v>14003_1</v>
          </cell>
        </row>
        <row r="320">
          <cell r="A320" t="str">
            <v>14003_2</v>
          </cell>
        </row>
        <row r="321">
          <cell r="A321" t="str">
            <v>14003_3</v>
          </cell>
        </row>
        <row r="322">
          <cell r="A322" t="str">
            <v>14003_4</v>
          </cell>
        </row>
        <row r="323">
          <cell r="A323" t="str">
            <v>14004_1</v>
          </cell>
        </row>
        <row r="324">
          <cell r="A324" t="str">
            <v>14004_2</v>
          </cell>
        </row>
        <row r="325">
          <cell r="A325" t="str">
            <v>14004_3</v>
          </cell>
        </row>
        <row r="326">
          <cell r="A326" t="str">
            <v>14004_4</v>
          </cell>
        </row>
        <row r="327">
          <cell r="A327" t="str">
            <v>14005_1</v>
          </cell>
        </row>
        <row r="328">
          <cell r="A328" t="str">
            <v>14006_1</v>
          </cell>
        </row>
        <row r="329">
          <cell r="A329" t="str">
            <v>15027_1</v>
          </cell>
        </row>
        <row r="330">
          <cell r="A330" t="str">
            <v>15027_2</v>
          </cell>
        </row>
        <row r="331">
          <cell r="A331" t="str">
            <v>15027_3</v>
          </cell>
        </row>
        <row r="332">
          <cell r="A332" t="str">
            <v>15027_4</v>
          </cell>
        </row>
        <row r="333">
          <cell r="A333" t="str">
            <v>15028_1</v>
          </cell>
        </row>
        <row r="334">
          <cell r="A334" t="str">
            <v>15028_2</v>
          </cell>
        </row>
        <row r="335">
          <cell r="A335" t="str">
            <v>15028_3</v>
          </cell>
        </row>
        <row r="336">
          <cell r="A336" t="str">
            <v>15028_4</v>
          </cell>
        </row>
        <row r="337">
          <cell r="A337" t="str">
            <v>15029_1</v>
          </cell>
        </row>
        <row r="338">
          <cell r="A338" t="str">
            <v>15029_2</v>
          </cell>
        </row>
        <row r="339">
          <cell r="A339" t="str">
            <v>15029_3</v>
          </cell>
        </row>
        <row r="340">
          <cell r="A340" t="str">
            <v>15029_4</v>
          </cell>
        </row>
        <row r="341">
          <cell r="A341" t="str">
            <v>15030_1</v>
          </cell>
        </row>
        <row r="342">
          <cell r="A342" t="str">
            <v>15030_2</v>
          </cell>
        </row>
        <row r="343">
          <cell r="A343" t="str">
            <v>15030_3</v>
          </cell>
        </row>
        <row r="344">
          <cell r="A344" t="str">
            <v>15030_4</v>
          </cell>
        </row>
        <row r="345">
          <cell r="A345" t="str">
            <v>15031_1</v>
          </cell>
        </row>
        <row r="346">
          <cell r="A346" t="str">
            <v>15031_2</v>
          </cell>
        </row>
        <row r="347">
          <cell r="A347" t="str">
            <v>15031_3</v>
          </cell>
        </row>
        <row r="348">
          <cell r="A348" t="str">
            <v>15031_4</v>
          </cell>
        </row>
        <row r="349">
          <cell r="A349" t="str">
            <v>20001_1</v>
          </cell>
        </row>
        <row r="350">
          <cell r="A350" t="str">
            <v>20001_2</v>
          </cell>
        </row>
        <row r="351">
          <cell r="A351" t="str">
            <v>20001_3</v>
          </cell>
        </row>
        <row r="352">
          <cell r="A352" t="str">
            <v>20002_1</v>
          </cell>
        </row>
        <row r="353">
          <cell r="A353" t="str">
            <v>20002_2</v>
          </cell>
        </row>
        <row r="354">
          <cell r="A354" t="str">
            <v>20002_3</v>
          </cell>
        </row>
        <row r="355">
          <cell r="A355" t="str">
            <v>20003_1</v>
          </cell>
        </row>
        <row r="356">
          <cell r="A356" t="str">
            <v>20003_2</v>
          </cell>
        </row>
        <row r="357">
          <cell r="A357" t="str">
            <v>20003_3</v>
          </cell>
        </row>
        <row r="358">
          <cell r="A358" t="str">
            <v>20004_1</v>
          </cell>
        </row>
        <row r="359">
          <cell r="A359" t="str">
            <v>20004_2</v>
          </cell>
        </row>
        <row r="360">
          <cell r="A360" t="str">
            <v>20004_3</v>
          </cell>
        </row>
        <row r="361">
          <cell r="A361" t="str">
            <v>20005_1</v>
          </cell>
        </row>
        <row r="362">
          <cell r="A362" t="str">
            <v>20005_2</v>
          </cell>
        </row>
        <row r="363">
          <cell r="A363" t="str">
            <v>20005_3</v>
          </cell>
        </row>
        <row r="364">
          <cell r="A364" t="str">
            <v>20006_1</v>
          </cell>
        </row>
        <row r="365">
          <cell r="A365" t="str">
            <v>20006_2</v>
          </cell>
        </row>
        <row r="366">
          <cell r="A366" t="str">
            <v>20006_3</v>
          </cell>
        </row>
        <row r="367">
          <cell r="A367" t="str">
            <v>20007_1</v>
          </cell>
        </row>
        <row r="368">
          <cell r="A368" t="str">
            <v>20007_2</v>
          </cell>
        </row>
        <row r="369">
          <cell r="A369" t="str">
            <v>20007_3</v>
          </cell>
        </row>
        <row r="370">
          <cell r="A370" t="str">
            <v>20008_1</v>
          </cell>
        </row>
        <row r="371">
          <cell r="A371" t="str">
            <v>20008_2</v>
          </cell>
        </row>
        <row r="372">
          <cell r="A372" t="str">
            <v>20008_3</v>
          </cell>
        </row>
        <row r="373">
          <cell r="A373" t="str">
            <v>20009_1</v>
          </cell>
        </row>
        <row r="374">
          <cell r="A374" t="str">
            <v>20009_2</v>
          </cell>
        </row>
        <row r="375">
          <cell r="A375" t="str">
            <v>20009_3</v>
          </cell>
        </row>
        <row r="376">
          <cell r="A376" t="str">
            <v>20010_1</v>
          </cell>
        </row>
        <row r="377">
          <cell r="A377" t="str">
            <v>20010_2</v>
          </cell>
        </row>
        <row r="378">
          <cell r="A378" t="str">
            <v>20010_3</v>
          </cell>
        </row>
        <row r="379">
          <cell r="A379" t="str">
            <v>20011_1</v>
          </cell>
        </row>
        <row r="380">
          <cell r="A380" t="str">
            <v>20011_2</v>
          </cell>
        </row>
        <row r="381">
          <cell r="A381" t="str">
            <v>20011_3</v>
          </cell>
        </row>
        <row r="382">
          <cell r="A382" t="str">
            <v>20012_1</v>
          </cell>
        </row>
        <row r="383">
          <cell r="A383" t="str">
            <v>20012_2</v>
          </cell>
        </row>
        <row r="384">
          <cell r="A384" t="str">
            <v>20012_3</v>
          </cell>
        </row>
        <row r="385">
          <cell r="A385" t="str">
            <v>20013_1</v>
          </cell>
        </row>
        <row r="386">
          <cell r="A386" t="str">
            <v>20013_2</v>
          </cell>
        </row>
        <row r="387">
          <cell r="A387" t="str">
            <v>20013_3</v>
          </cell>
        </row>
        <row r="388">
          <cell r="A388" t="str">
            <v>20014_1</v>
          </cell>
        </row>
        <row r="389">
          <cell r="A389" t="str">
            <v>20014_2</v>
          </cell>
        </row>
        <row r="390">
          <cell r="A390" t="str">
            <v>20014_3</v>
          </cell>
        </row>
        <row r="391">
          <cell r="A391" t="str">
            <v>20015_1</v>
          </cell>
        </row>
        <row r="392">
          <cell r="A392" t="str">
            <v>20015_2</v>
          </cell>
        </row>
        <row r="393">
          <cell r="A393" t="str">
            <v>20015_3</v>
          </cell>
        </row>
        <row r="394">
          <cell r="A394" t="str">
            <v>20016_1</v>
          </cell>
        </row>
        <row r="395">
          <cell r="A395" t="str">
            <v>20016_2</v>
          </cell>
        </row>
        <row r="396">
          <cell r="A396" t="str">
            <v>20016_3</v>
          </cell>
        </row>
        <row r="397">
          <cell r="A397" t="str">
            <v>20017_1</v>
          </cell>
        </row>
        <row r="398">
          <cell r="A398" t="str">
            <v>20017_2</v>
          </cell>
        </row>
        <row r="399">
          <cell r="A399" t="str">
            <v>20017_3</v>
          </cell>
        </row>
        <row r="400">
          <cell r="A400" t="str">
            <v>30001_1</v>
          </cell>
        </row>
        <row r="401">
          <cell r="A401" t="str">
            <v>30001_2</v>
          </cell>
        </row>
        <row r="402">
          <cell r="A402" t="str">
            <v>30001_3</v>
          </cell>
        </row>
        <row r="403">
          <cell r="A403" t="str">
            <v>30002_1</v>
          </cell>
        </row>
        <row r="404">
          <cell r="A404" t="str">
            <v>30002_2</v>
          </cell>
        </row>
        <row r="405">
          <cell r="A405" t="str">
            <v>30002_3</v>
          </cell>
        </row>
        <row r="406">
          <cell r="A406" t="str">
            <v>30003_1</v>
          </cell>
        </row>
        <row r="407">
          <cell r="A407" t="str">
            <v>30003_2</v>
          </cell>
        </row>
        <row r="408">
          <cell r="A408" t="str">
            <v>30003_3</v>
          </cell>
        </row>
        <row r="409">
          <cell r="A409" t="str">
            <v>30004_1</v>
          </cell>
        </row>
        <row r="410">
          <cell r="A410" t="str">
            <v>30004_2</v>
          </cell>
        </row>
        <row r="411">
          <cell r="A411" t="str">
            <v>30004_3</v>
          </cell>
        </row>
        <row r="412">
          <cell r="A412" t="str">
            <v>30005_1</v>
          </cell>
        </row>
        <row r="413">
          <cell r="A413" t="str">
            <v>30005_2</v>
          </cell>
        </row>
        <row r="414">
          <cell r="A414" t="str">
            <v>30005_3</v>
          </cell>
        </row>
        <row r="415">
          <cell r="A415" t="str">
            <v>30006_1</v>
          </cell>
        </row>
        <row r="416">
          <cell r="A416" t="str">
            <v>30006_2</v>
          </cell>
        </row>
        <row r="417">
          <cell r="A417" t="str">
            <v>30006_3</v>
          </cell>
        </row>
        <row r="418">
          <cell r="A418" t="str">
            <v>30007_1</v>
          </cell>
        </row>
        <row r="419">
          <cell r="A419" t="str">
            <v>30007_2</v>
          </cell>
        </row>
        <row r="420">
          <cell r="A420" t="str">
            <v>30007_3</v>
          </cell>
        </row>
        <row r="421">
          <cell r="A421" t="str">
            <v>30008_1</v>
          </cell>
        </row>
        <row r="422">
          <cell r="A422" t="str">
            <v>30008_2</v>
          </cell>
        </row>
        <row r="423">
          <cell r="A423" t="str">
            <v>30008_3</v>
          </cell>
        </row>
        <row r="424">
          <cell r="A424" t="str">
            <v>30009_3</v>
          </cell>
        </row>
        <row r="425">
          <cell r="A425" t="str">
            <v>30009_1</v>
          </cell>
        </row>
        <row r="426">
          <cell r="A426" t="str">
            <v>30009_2</v>
          </cell>
        </row>
        <row r="427">
          <cell r="A427" t="str">
            <v>30010_1</v>
          </cell>
        </row>
        <row r="428">
          <cell r="A428" t="str">
            <v>30010_2</v>
          </cell>
        </row>
        <row r="429">
          <cell r="A429" t="str">
            <v>30010_3</v>
          </cell>
        </row>
        <row r="430">
          <cell r="A430" t="str">
            <v>30011_1</v>
          </cell>
        </row>
        <row r="431">
          <cell r="A431" t="str">
            <v>30011_2</v>
          </cell>
        </row>
        <row r="432">
          <cell r="A432" t="str">
            <v>30011_3</v>
          </cell>
        </row>
        <row r="433">
          <cell r="A433" t="str">
            <v>30012_1</v>
          </cell>
        </row>
        <row r="434">
          <cell r="A434" t="str">
            <v>30012_2</v>
          </cell>
        </row>
        <row r="435">
          <cell r="A435" t="str">
            <v>30012_3</v>
          </cell>
        </row>
        <row r="436">
          <cell r="A436" t="str">
            <v>30013_1</v>
          </cell>
        </row>
        <row r="437">
          <cell r="A437" t="str">
            <v>30013_2</v>
          </cell>
        </row>
        <row r="438">
          <cell r="A438" t="str">
            <v>30014_1</v>
          </cell>
        </row>
        <row r="439">
          <cell r="A439" t="str">
            <v>30014_2</v>
          </cell>
        </row>
        <row r="440">
          <cell r="A440" t="str">
            <v>30015_1</v>
          </cell>
        </row>
        <row r="441">
          <cell r="A441" t="str">
            <v>30015_2</v>
          </cell>
        </row>
        <row r="442">
          <cell r="A442" t="str">
            <v>30016_1</v>
          </cell>
        </row>
        <row r="443">
          <cell r="A443" t="str">
            <v>30016_2</v>
          </cell>
        </row>
        <row r="444">
          <cell r="A444" t="str">
            <v>30017_1</v>
          </cell>
        </row>
        <row r="445">
          <cell r="A445" t="str">
            <v>30017_2</v>
          </cell>
        </row>
        <row r="446">
          <cell r="A446" t="str">
            <v>30018_1</v>
          </cell>
        </row>
        <row r="447">
          <cell r="A447" t="str">
            <v>30018_2</v>
          </cell>
        </row>
        <row r="448">
          <cell r="A448" t="str">
            <v>30019_1</v>
          </cell>
        </row>
        <row r="449">
          <cell r="A449" t="str">
            <v>30019_2</v>
          </cell>
        </row>
        <row r="450">
          <cell r="A450" t="str">
            <v>30020_1</v>
          </cell>
        </row>
        <row r="451">
          <cell r="A451" t="str">
            <v>30020_2</v>
          </cell>
        </row>
        <row r="452">
          <cell r="A452" t="str">
            <v>30021_1</v>
          </cell>
        </row>
        <row r="453">
          <cell r="A453" t="str">
            <v>30021_2</v>
          </cell>
        </row>
        <row r="454">
          <cell r="A454" t="str">
            <v>30021_3</v>
          </cell>
        </row>
        <row r="455">
          <cell r="A455" t="str">
            <v>30022_1</v>
          </cell>
        </row>
        <row r="456">
          <cell r="A456" t="str">
            <v>30022_2</v>
          </cell>
        </row>
        <row r="457">
          <cell r="A457" t="str">
            <v>30023_1</v>
          </cell>
        </row>
        <row r="458">
          <cell r="A458" t="str">
            <v>30023_2</v>
          </cell>
        </row>
        <row r="459">
          <cell r="A459" t="str">
            <v>30023_3</v>
          </cell>
        </row>
        <row r="460">
          <cell r="A460" t="str">
            <v>30024_1</v>
          </cell>
        </row>
        <row r="461">
          <cell r="A461" t="str">
            <v>30024_2</v>
          </cell>
        </row>
        <row r="462">
          <cell r="A462" t="str">
            <v>30024_3</v>
          </cell>
        </row>
        <row r="463">
          <cell r="A463" t="str">
            <v>30025_1</v>
          </cell>
        </row>
        <row r="464">
          <cell r="A464" t="str">
            <v>30025_2</v>
          </cell>
        </row>
        <row r="465">
          <cell r="A465" t="str">
            <v>30025_3</v>
          </cell>
        </row>
        <row r="466">
          <cell r="A466" t="str">
            <v>30026_1</v>
          </cell>
        </row>
        <row r="467">
          <cell r="A467" t="str">
            <v>30026_2</v>
          </cell>
        </row>
        <row r="468">
          <cell r="A468" t="str">
            <v>30026_3</v>
          </cell>
        </row>
        <row r="469">
          <cell r="A469" t="str">
            <v>30027_1</v>
          </cell>
        </row>
        <row r="470">
          <cell r="A470" t="str">
            <v>30027_2</v>
          </cell>
        </row>
        <row r="471">
          <cell r="A471" t="str">
            <v>30027_3</v>
          </cell>
        </row>
        <row r="472">
          <cell r="A472" t="str">
            <v>30028_1</v>
          </cell>
        </row>
        <row r="473">
          <cell r="A473" t="str">
            <v>30028_2</v>
          </cell>
        </row>
        <row r="474">
          <cell r="A474" t="str">
            <v>30028_3</v>
          </cell>
        </row>
        <row r="475">
          <cell r="A475" t="str">
            <v>30029_1</v>
          </cell>
        </row>
        <row r="476">
          <cell r="A476" t="str">
            <v>30029_2</v>
          </cell>
        </row>
        <row r="477">
          <cell r="A477" t="str">
            <v>30029_3</v>
          </cell>
        </row>
        <row r="478">
          <cell r="A478" t="str">
            <v>30030_1</v>
          </cell>
        </row>
        <row r="479">
          <cell r="A479" t="str">
            <v>30030_2</v>
          </cell>
        </row>
        <row r="480">
          <cell r="A480" t="str">
            <v>30030_3</v>
          </cell>
        </row>
        <row r="481">
          <cell r="A481" t="str">
            <v>30031_1</v>
          </cell>
        </row>
        <row r="482">
          <cell r="A482" t="str">
            <v>30031_2</v>
          </cell>
        </row>
        <row r="483">
          <cell r="A483" t="str">
            <v>30031_3</v>
          </cell>
        </row>
        <row r="484">
          <cell r="A484" t="str">
            <v>30032_1</v>
          </cell>
        </row>
        <row r="485">
          <cell r="A485" t="str">
            <v>30032_2</v>
          </cell>
        </row>
        <row r="486">
          <cell r="A486" t="str">
            <v>30032_3</v>
          </cell>
        </row>
        <row r="487">
          <cell r="A487" t="str">
            <v>30033_1</v>
          </cell>
        </row>
        <row r="488">
          <cell r="A488" t="str">
            <v>30033_2</v>
          </cell>
        </row>
        <row r="489">
          <cell r="A489" t="str">
            <v>30033_3</v>
          </cell>
        </row>
        <row r="490">
          <cell r="A490" t="str">
            <v>30034_1</v>
          </cell>
        </row>
        <row r="491">
          <cell r="A491" t="str">
            <v>30034_2</v>
          </cell>
        </row>
        <row r="492">
          <cell r="A492" t="str">
            <v>30034_3</v>
          </cell>
        </row>
        <row r="493">
          <cell r="A493" t="str">
            <v>30035_1</v>
          </cell>
        </row>
        <row r="494">
          <cell r="A494" t="str">
            <v>30035_2</v>
          </cell>
        </row>
        <row r="495">
          <cell r="A495" t="str">
            <v>30035_3</v>
          </cell>
        </row>
        <row r="496">
          <cell r="A496" t="str">
            <v>30036_1</v>
          </cell>
        </row>
        <row r="497">
          <cell r="A497" t="str">
            <v>30036_2</v>
          </cell>
        </row>
        <row r="498">
          <cell r="A498" t="str">
            <v>30036_3</v>
          </cell>
        </row>
        <row r="499">
          <cell r="A499" t="str">
            <v>30037_1</v>
          </cell>
        </row>
        <row r="500">
          <cell r="A500" t="str">
            <v>30037_2</v>
          </cell>
        </row>
        <row r="501">
          <cell r="A501" t="str">
            <v>30037_3</v>
          </cell>
        </row>
        <row r="502">
          <cell r="A502" t="str">
            <v>39001_1</v>
          </cell>
        </row>
        <row r="503">
          <cell r="A503" t="str">
            <v>39001_2</v>
          </cell>
        </row>
        <row r="504">
          <cell r="A504" t="str">
            <v>39001_3</v>
          </cell>
        </row>
        <row r="505">
          <cell r="A505" t="str">
            <v>39001_4</v>
          </cell>
        </row>
        <row r="506">
          <cell r="A506" t="str">
            <v>39001_5</v>
          </cell>
        </row>
        <row r="507">
          <cell r="A507" t="str">
            <v>39002_1</v>
          </cell>
        </row>
        <row r="508">
          <cell r="A508" t="str">
            <v>39002_2</v>
          </cell>
        </row>
        <row r="509">
          <cell r="A509" t="str">
            <v>39002_3</v>
          </cell>
        </row>
        <row r="510">
          <cell r="A510" t="str">
            <v>39002_4</v>
          </cell>
        </row>
        <row r="511">
          <cell r="A511" t="str">
            <v>39003_1</v>
          </cell>
        </row>
        <row r="512">
          <cell r="A512" t="str">
            <v>39003_2</v>
          </cell>
        </row>
        <row r="513">
          <cell r="A513" t="str">
            <v>39003_3</v>
          </cell>
        </row>
        <row r="514">
          <cell r="A514" t="str">
            <v>39003_4</v>
          </cell>
        </row>
        <row r="515">
          <cell r="A515" t="str">
            <v>39004_1</v>
          </cell>
        </row>
        <row r="516">
          <cell r="A516" t="str">
            <v>39004_2</v>
          </cell>
        </row>
        <row r="517">
          <cell r="A517" t="str">
            <v>39004_3</v>
          </cell>
        </row>
        <row r="518">
          <cell r="A518" t="str">
            <v>39004_4</v>
          </cell>
        </row>
        <row r="519">
          <cell r="A519" t="str">
            <v>39005_1</v>
          </cell>
        </row>
        <row r="520">
          <cell r="A520" t="str">
            <v>39005_2</v>
          </cell>
        </row>
        <row r="521">
          <cell r="A521" t="str">
            <v>39005_3</v>
          </cell>
        </row>
        <row r="522">
          <cell r="A522" t="str">
            <v>39005_4</v>
          </cell>
        </row>
        <row r="523">
          <cell r="A523" t="str">
            <v>39005_5</v>
          </cell>
        </row>
        <row r="524">
          <cell r="A524" t="str">
            <v>39006_1</v>
          </cell>
        </row>
        <row r="525">
          <cell r="A525" t="str">
            <v>39006_2</v>
          </cell>
        </row>
        <row r="526">
          <cell r="A526" t="str">
            <v>39006_3</v>
          </cell>
        </row>
        <row r="527">
          <cell r="A527" t="str">
            <v>39006_4</v>
          </cell>
        </row>
        <row r="528">
          <cell r="A528" t="str">
            <v>40001_1</v>
          </cell>
        </row>
        <row r="529">
          <cell r="A529" t="str">
            <v>40002_1</v>
          </cell>
        </row>
        <row r="530">
          <cell r="A530" t="str">
            <v>40002_2</v>
          </cell>
        </row>
        <row r="531">
          <cell r="A531" t="str">
            <v>40002_3</v>
          </cell>
        </row>
        <row r="532">
          <cell r="A532" t="str">
            <v>40003_1</v>
          </cell>
        </row>
        <row r="533">
          <cell r="A533" t="str">
            <v>40004_1</v>
          </cell>
        </row>
        <row r="534">
          <cell r="A534" t="str">
            <v>40005_1</v>
          </cell>
        </row>
        <row r="535">
          <cell r="A535" t="str">
            <v>40006_1</v>
          </cell>
        </row>
        <row r="536">
          <cell r="A536" t="str">
            <v>40007_1</v>
          </cell>
        </row>
        <row r="537">
          <cell r="A537" t="str">
            <v>40008_1</v>
          </cell>
        </row>
        <row r="538">
          <cell r="A538" t="str">
            <v>40009_1</v>
          </cell>
        </row>
        <row r="539">
          <cell r="A539" t="str">
            <v>40010_1</v>
          </cell>
        </row>
        <row r="540">
          <cell r="A540" t="str">
            <v>40011_1</v>
          </cell>
        </row>
        <row r="541">
          <cell r="A541" t="str">
            <v>40012_1</v>
          </cell>
        </row>
        <row r="542">
          <cell r="A542" t="str">
            <v>40013_1</v>
          </cell>
        </row>
        <row r="543">
          <cell r="A543" t="str">
            <v>40014_1</v>
          </cell>
        </row>
        <row r="544">
          <cell r="A544" t="str">
            <v>40015_1</v>
          </cell>
        </row>
        <row r="545">
          <cell r="A545" t="str">
            <v>40016_1</v>
          </cell>
        </row>
        <row r="546">
          <cell r="A546" t="str">
            <v>40016_2</v>
          </cell>
        </row>
        <row r="547">
          <cell r="A547" t="str">
            <v>40017_1</v>
          </cell>
        </row>
        <row r="548">
          <cell r="A548" t="str">
            <v>40017_2</v>
          </cell>
        </row>
        <row r="549">
          <cell r="A549" t="str">
            <v>40017_3</v>
          </cell>
        </row>
        <row r="550">
          <cell r="A550" t="str">
            <v>40018_1</v>
          </cell>
        </row>
        <row r="551">
          <cell r="A551" t="str">
            <v>40018_2</v>
          </cell>
        </row>
        <row r="552">
          <cell r="A552" t="str">
            <v>40018_3</v>
          </cell>
        </row>
        <row r="553">
          <cell r="A553" t="str">
            <v>40019_1</v>
          </cell>
        </row>
        <row r="554">
          <cell r="A554" t="str">
            <v>40019_2</v>
          </cell>
        </row>
        <row r="555">
          <cell r="A555" t="str">
            <v>40019_3</v>
          </cell>
        </row>
        <row r="556">
          <cell r="A556" t="str">
            <v>40020_1</v>
          </cell>
        </row>
        <row r="557">
          <cell r="A557" t="str">
            <v>40020_2</v>
          </cell>
        </row>
        <row r="558">
          <cell r="A558" t="str">
            <v>40021_1</v>
          </cell>
        </row>
        <row r="559">
          <cell r="A559" t="str">
            <v>40021_2</v>
          </cell>
        </row>
        <row r="560">
          <cell r="A560" t="str">
            <v>48001_1</v>
          </cell>
        </row>
        <row r="561">
          <cell r="A561" t="str">
            <v>48002_1</v>
          </cell>
        </row>
        <row r="562">
          <cell r="A562" t="str">
            <v>48002_2</v>
          </cell>
        </row>
        <row r="563">
          <cell r="A563" t="str">
            <v>48002_3</v>
          </cell>
        </row>
        <row r="564">
          <cell r="A564" t="str">
            <v>41001_1</v>
          </cell>
        </row>
        <row r="565">
          <cell r="A565" t="str">
            <v>41001_2</v>
          </cell>
        </row>
        <row r="566">
          <cell r="A566" t="str">
            <v>41001_3</v>
          </cell>
        </row>
        <row r="567">
          <cell r="A567" t="str">
            <v>41002_1</v>
          </cell>
        </row>
        <row r="568">
          <cell r="A568" t="str">
            <v>41002_2</v>
          </cell>
        </row>
        <row r="569">
          <cell r="A569" t="str">
            <v>41002_3</v>
          </cell>
        </row>
        <row r="570">
          <cell r="A570" t="str">
            <v>41003_1</v>
          </cell>
        </row>
        <row r="571">
          <cell r="A571" t="str">
            <v>41003_2</v>
          </cell>
        </row>
        <row r="572">
          <cell r="A572" t="str">
            <v>41003_3</v>
          </cell>
        </row>
        <row r="573">
          <cell r="A573" t="str">
            <v>41004_1</v>
          </cell>
        </row>
        <row r="574">
          <cell r="A574" t="str">
            <v>41004_2</v>
          </cell>
        </row>
        <row r="575">
          <cell r="A575" t="str">
            <v>41004_3</v>
          </cell>
        </row>
        <row r="576">
          <cell r="A576" t="str">
            <v>41005_1</v>
          </cell>
        </row>
        <row r="577">
          <cell r="A577" t="str">
            <v>41005_2</v>
          </cell>
        </row>
        <row r="578">
          <cell r="A578" t="str">
            <v>41005_3</v>
          </cell>
        </row>
        <row r="579">
          <cell r="A579" t="str">
            <v>41006_1</v>
          </cell>
        </row>
        <row r="580">
          <cell r="A580" t="str">
            <v>41006_2</v>
          </cell>
        </row>
        <row r="581">
          <cell r="A581" t="str">
            <v>41006_3</v>
          </cell>
        </row>
        <row r="582">
          <cell r="A582" t="str">
            <v>41007_1</v>
          </cell>
        </row>
        <row r="583">
          <cell r="A583" t="str">
            <v>41007_2</v>
          </cell>
        </row>
        <row r="584">
          <cell r="A584" t="str">
            <v>41007_3</v>
          </cell>
        </row>
        <row r="585">
          <cell r="A585" t="str">
            <v>41008_1</v>
          </cell>
        </row>
        <row r="586">
          <cell r="A586" t="str">
            <v>41008_2</v>
          </cell>
        </row>
        <row r="587">
          <cell r="A587" t="str">
            <v>41008_3</v>
          </cell>
        </row>
        <row r="588">
          <cell r="A588" t="str">
            <v>41009_1</v>
          </cell>
        </row>
        <row r="589">
          <cell r="A589" t="str">
            <v>41009_2</v>
          </cell>
        </row>
        <row r="590">
          <cell r="A590" t="str">
            <v>41009_3</v>
          </cell>
        </row>
        <row r="591">
          <cell r="A591" t="str">
            <v>41010_1</v>
          </cell>
        </row>
        <row r="592">
          <cell r="A592" t="str">
            <v>41010_2</v>
          </cell>
        </row>
        <row r="593">
          <cell r="A593" t="str">
            <v>41010_3</v>
          </cell>
        </row>
        <row r="594">
          <cell r="A594" t="str">
            <v>49001_1</v>
          </cell>
        </row>
        <row r="595">
          <cell r="A595" t="str">
            <v>49002_1</v>
          </cell>
        </row>
        <row r="596">
          <cell r="A596" t="str">
            <v>49002_2</v>
          </cell>
        </row>
        <row r="597">
          <cell r="A597" t="str">
            <v>49003_1</v>
          </cell>
        </row>
        <row r="598">
          <cell r="A598" t="str">
            <v>49003_2</v>
          </cell>
        </row>
        <row r="599">
          <cell r="A599" t="str">
            <v>49004_1</v>
          </cell>
        </row>
        <row r="600">
          <cell r="A600" t="str">
            <v>49004_2</v>
          </cell>
        </row>
        <row r="601">
          <cell r="A601" t="str">
            <v>49004_3</v>
          </cell>
        </row>
        <row r="602">
          <cell r="A602" t="str">
            <v>49005_1</v>
          </cell>
        </row>
        <row r="603">
          <cell r="A603" t="str">
            <v>49006_1</v>
          </cell>
        </row>
        <row r="604">
          <cell r="A604" t="str">
            <v>50001_1</v>
          </cell>
        </row>
        <row r="605">
          <cell r="A605" t="str">
            <v>50002_1</v>
          </cell>
        </row>
        <row r="606">
          <cell r="A606" t="str">
            <v>50003_1</v>
          </cell>
        </row>
        <row r="607">
          <cell r="A607" t="str">
            <v>50004_1</v>
          </cell>
        </row>
        <row r="608">
          <cell r="A608" t="str">
            <v>50005_1</v>
          </cell>
        </row>
        <row r="609">
          <cell r="A609" t="str">
            <v>51001_1</v>
          </cell>
        </row>
        <row r="610">
          <cell r="A610" t="str">
            <v>51002_1</v>
          </cell>
        </row>
        <row r="611">
          <cell r="A611" t="str">
            <v>60001_1</v>
          </cell>
        </row>
        <row r="612">
          <cell r="A612" t="str">
            <v>60002_1</v>
          </cell>
        </row>
        <row r="613">
          <cell r="A613" t="str">
            <v>60002_2</v>
          </cell>
        </row>
        <row r="614">
          <cell r="A614" t="str">
            <v>60003_1</v>
          </cell>
        </row>
        <row r="615">
          <cell r="A615" t="str">
            <v>60003_2</v>
          </cell>
        </row>
        <row r="616">
          <cell r="A616" t="str">
            <v>60003_3</v>
          </cell>
        </row>
        <row r="617">
          <cell r="A617" t="str">
            <v>60004_1</v>
          </cell>
        </row>
        <row r="618">
          <cell r="A618" t="str">
            <v>60005_1</v>
          </cell>
        </row>
        <row r="619">
          <cell r="A619" t="str">
            <v>60006_1</v>
          </cell>
        </row>
        <row r="620">
          <cell r="A620" t="str">
            <v>60006_2</v>
          </cell>
        </row>
        <row r="621">
          <cell r="A621" t="str">
            <v>60006_3</v>
          </cell>
        </row>
        <row r="622">
          <cell r="A622" t="str">
            <v>60007_1</v>
          </cell>
        </row>
        <row r="623">
          <cell r="A623" t="str">
            <v>60007_2</v>
          </cell>
        </row>
        <row r="624">
          <cell r="A624" t="str">
            <v>60007_3</v>
          </cell>
        </row>
        <row r="625">
          <cell r="A625" t="str">
            <v>60010_1</v>
          </cell>
        </row>
        <row r="626">
          <cell r="A626" t="str">
            <v>60011_1</v>
          </cell>
        </row>
        <row r="627">
          <cell r="A627" t="str">
            <v>65535_1</v>
          </cell>
        </row>
        <row r="628">
          <cell r="A628" t="str">
            <v>65535_2</v>
          </cell>
        </row>
        <row r="629">
          <cell r="A629" t="str">
            <v>65535_3</v>
          </cell>
        </row>
        <row r="630">
          <cell r="A630" t="str">
            <v>65535_4</v>
          </cell>
        </row>
        <row r="631">
          <cell r="A631" t="str">
            <v>65535_5</v>
          </cell>
        </row>
        <row r="632">
          <cell r="A632" t="str">
            <v>65535_6</v>
          </cell>
        </row>
        <row r="633">
          <cell r="A633" t="str">
            <v>65535_7</v>
          </cell>
        </row>
        <row r="634">
          <cell r="A634" t="str">
            <v>65535_8</v>
          </cell>
        </row>
        <row r="635">
          <cell r="A635" t="str">
            <v>60021_3</v>
          </cell>
        </row>
        <row r="636">
          <cell r="A636" t="str">
            <v>60022_3</v>
          </cell>
        </row>
        <row r="637">
          <cell r="A637" t="str">
            <v>60023_3</v>
          </cell>
        </row>
        <row r="638">
          <cell r="A638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11"/>
  <sheetViews>
    <sheetView topLeftCell="B1" workbookViewId="0">
      <selection activeCell="O3" sqref="O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29" x14ac:dyDescent="0.15">
      <c r="A1" s="77" t="s">
        <v>83</v>
      </c>
      <c r="B1" s="78" t="s">
        <v>84</v>
      </c>
      <c r="C1" s="78" t="s">
        <v>85</v>
      </c>
      <c r="D1" s="78" t="s">
        <v>86</v>
      </c>
      <c r="E1" s="78" t="s">
        <v>87</v>
      </c>
      <c r="F1" s="78" t="s">
        <v>88</v>
      </c>
      <c r="G1" s="78" t="s">
        <v>89</v>
      </c>
      <c r="H1" s="78"/>
      <c r="I1" s="78"/>
      <c r="J1" s="78"/>
      <c r="K1" s="78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</row>
    <row r="2" spans="1:29" x14ac:dyDescent="0.15">
      <c r="A2" s="80" t="s">
        <v>156</v>
      </c>
      <c r="B2" s="81" t="s">
        <v>91</v>
      </c>
      <c r="C2" s="82" t="s">
        <v>155</v>
      </c>
      <c r="D2" s="81" t="s">
        <v>92</v>
      </c>
      <c r="E2" s="79" t="str">
        <f>B2&amp;C2&amp;D2</f>
        <v>floors_DL5.tmp</v>
      </c>
      <c r="F2" s="81" t="s">
        <v>93</v>
      </c>
      <c r="G2" s="83" t="s">
        <v>0</v>
      </c>
      <c r="H2" s="83" t="s">
        <v>1</v>
      </c>
      <c r="I2" s="83" t="s">
        <v>13</v>
      </c>
      <c r="J2" s="83" t="s">
        <v>14</v>
      </c>
      <c r="K2" s="83" t="s">
        <v>15</v>
      </c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</row>
    <row r="3" spans="1:29" x14ac:dyDescent="0.15">
      <c r="A3" s="80" t="s">
        <v>156</v>
      </c>
      <c r="B3" s="81" t="s">
        <v>94</v>
      </c>
      <c r="C3" s="82" t="str">
        <f>C$2</f>
        <v>DL5</v>
      </c>
      <c r="D3" s="81" t="s">
        <v>92</v>
      </c>
      <c r="E3" s="79" t="str">
        <f>B3&amp;C3&amp;D3</f>
        <v>enemy_habitats_DL5.tmp</v>
      </c>
      <c r="F3" s="81" t="s">
        <v>95</v>
      </c>
      <c r="G3" s="83" t="s">
        <v>0</v>
      </c>
      <c r="H3" s="83" t="s">
        <v>1</v>
      </c>
      <c r="I3" s="83" t="s">
        <v>13</v>
      </c>
      <c r="J3" s="83" t="s">
        <v>2</v>
      </c>
      <c r="K3" s="83" t="s">
        <v>3</v>
      </c>
      <c r="L3" s="83" t="s">
        <v>49</v>
      </c>
      <c r="M3" s="83" t="s">
        <v>51</v>
      </c>
      <c r="N3" s="83" t="s">
        <v>53</v>
      </c>
      <c r="O3" s="83" t="s">
        <v>22</v>
      </c>
      <c r="P3" s="83" t="s">
        <v>5</v>
      </c>
      <c r="Q3" s="83" t="s">
        <v>6</v>
      </c>
      <c r="R3" s="83" t="s">
        <v>7</v>
      </c>
      <c r="S3" s="83" t="s">
        <v>8</v>
      </c>
      <c r="T3" s="83" t="s">
        <v>9</v>
      </c>
      <c r="U3" s="83" t="s">
        <v>10</v>
      </c>
      <c r="V3" s="83" t="s">
        <v>11</v>
      </c>
      <c r="W3" s="83" t="s">
        <v>12</v>
      </c>
      <c r="X3" s="83" t="s">
        <v>39</v>
      </c>
      <c r="Y3" s="83" t="s">
        <v>41</v>
      </c>
      <c r="Z3" s="83" t="s">
        <v>43</v>
      </c>
      <c r="AA3" s="83" t="s">
        <v>45</v>
      </c>
      <c r="AB3" s="83" t="s">
        <v>47</v>
      </c>
      <c r="AC3" s="83" t="s">
        <v>55</v>
      </c>
    </row>
    <row r="4" spans="1:29" x14ac:dyDescent="0.15">
      <c r="A4" s="80" t="s">
        <v>156</v>
      </c>
      <c r="B4" s="81" t="s">
        <v>96</v>
      </c>
      <c r="C4" s="82" t="str">
        <f t="shared" ref="C4:C11" si="0">C$2</f>
        <v>DL5</v>
      </c>
      <c r="D4" s="81" t="s">
        <v>92</v>
      </c>
      <c r="E4" s="79" t="str">
        <f>B4&amp;C4&amp;D4</f>
        <v>enemy_habitat_S_DL5.tmp</v>
      </c>
      <c r="F4" s="81" t="s">
        <v>97</v>
      </c>
      <c r="G4" s="83" t="s">
        <v>0</v>
      </c>
      <c r="H4" s="83" t="s">
        <v>1</v>
      </c>
      <c r="I4" s="83" t="s">
        <v>13</v>
      </c>
      <c r="J4" s="83" t="s">
        <v>55</v>
      </c>
      <c r="K4" s="83" t="s">
        <v>98</v>
      </c>
      <c r="L4" s="83" t="s">
        <v>76</v>
      </c>
      <c r="M4" s="83" t="s">
        <v>77</v>
      </c>
      <c r="N4" s="83" t="s">
        <v>78</v>
      </c>
      <c r="O4" s="83" t="s">
        <v>99</v>
      </c>
      <c r="P4" s="83" t="s">
        <v>68</v>
      </c>
      <c r="Q4" s="83" t="s">
        <v>100</v>
      </c>
      <c r="R4" s="83" t="s">
        <v>70</v>
      </c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</row>
    <row r="5" spans="1:29" x14ac:dyDescent="0.15">
      <c r="A5" s="80" t="s">
        <v>90</v>
      </c>
      <c r="B5" s="81" t="s">
        <v>101</v>
      </c>
      <c r="C5" s="82" t="str">
        <f t="shared" si="0"/>
        <v>DL5</v>
      </c>
      <c r="D5" s="81" t="s">
        <v>92</v>
      </c>
      <c r="E5" s="79" t="str">
        <f>B5&amp;C5&amp;D5</f>
        <v>enemy_skill_sets_DL5.tmp</v>
      </c>
      <c r="F5" s="81" t="s">
        <v>102</v>
      </c>
      <c r="G5" s="84" t="s">
        <v>22</v>
      </c>
      <c r="H5" s="84" t="s">
        <v>103</v>
      </c>
      <c r="I5" s="84" t="s">
        <v>104</v>
      </c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</row>
    <row r="6" spans="1:29" x14ac:dyDescent="0.15">
      <c r="A6" s="80" t="s">
        <v>90</v>
      </c>
      <c r="B6" s="81" t="s">
        <v>105</v>
      </c>
      <c r="C6" s="82" t="str">
        <f t="shared" si="0"/>
        <v>DL5</v>
      </c>
      <c r="D6" s="81" t="s">
        <v>92</v>
      </c>
      <c r="E6" s="79" t="str">
        <f t="shared" ref="E6:E11" si="1">B6&amp;C6&amp;D6</f>
        <v>enemy_skills_tmp_DL5.tmp</v>
      </c>
      <c r="F6" s="81" t="s">
        <v>106</v>
      </c>
      <c r="G6" s="83" t="s">
        <v>107</v>
      </c>
      <c r="H6" s="83" t="s">
        <v>108</v>
      </c>
      <c r="I6" s="83" t="s">
        <v>109</v>
      </c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</row>
    <row r="7" spans="1:29" x14ac:dyDescent="0.15">
      <c r="A7" s="80" t="s">
        <v>90</v>
      </c>
      <c r="B7" s="81" t="s">
        <v>110</v>
      </c>
      <c r="C7" s="82" t="str">
        <f t="shared" si="0"/>
        <v>DL5</v>
      </c>
      <c r="D7" s="81" t="s">
        <v>92</v>
      </c>
      <c r="E7" s="79" t="str">
        <f>B7&amp;C7&amp;D7</f>
        <v>enemy_skills_i18n_DL5.tmp</v>
      </c>
      <c r="F7" s="81" t="s">
        <v>111</v>
      </c>
      <c r="G7" s="83" t="s">
        <v>107</v>
      </c>
      <c r="H7" s="83" t="s">
        <v>112</v>
      </c>
      <c r="I7" s="83" t="s">
        <v>113</v>
      </c>
      <c r="J7" s="83" t="s">
        <v>114</v>
      </c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</row>
    <row r="8" spans="1:29" x14ac:dyDescent="0.15">
      <c r="A8" s="80" t="s">
        <v>90</v>
      </c>
      <c r="B8" s="81" t="s">
        <v>115</v>
      </c>
      <c r="C8" s="82" t="str">
        <f t="shared" si="0"/>
        <v>DL5</v>
      </c>
      <c r="D8" s="81" t="s">
        <v>92</v>
      </c>
      <c r="E8" s="79" t="str">
        <f t="shared" si="1"/>
        <v>enemy_skill_triggers_DL5.tmp</v>
      </c>
      <c r="F8" s="81" t="s">
        <v>116</v>
      </c>
      <c r="G8" s="83" t="s">
        <v>104</v>
      </c>
      <c r="H8" s="83" t="s">
        <v>117</v>
      </c>
      <c r="I8" s="83" t="s">
        <v>118</v>
      </c>
      <c r="J8" s="83" t="s">
        <v>119</v>
      </c>
      <c r="K8" s="83" t="s">
        <v>120</v>
      </c>
      <c r="L8" s="83" t="s">
        <v>121</v>
      </c>
      <c r="M8" s="83" t="s">
        <v>122</v>
      </c>
      <c r="N8" s="83" t="s">
        <v>123</v>
      </c>
      <c r="O8" s="83" t="s">
        <v>124</v>
      </c>
      <c r="P8" s="83" t="s">
        <v>125</v>
      </c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</row>
    <row r="9" spans="1:29" x14ac:dyDescent="0.15">
      <c r="A9" s="80" t="s">
        <v>90</v>
      </c>
      <c r="B9" s="85" t="s">
        <v>126</v>
      </c>
      <c r="C9" s="82" t="str">
        <f t="shared" si="0"/>
        <v>DL5</v>
      </c>
      <c r="D9" s="85" t="s">
        <v>127</v>
      </c>
      <c r="E9" s="86" t="str">
        <f t="shared" si="1"/>
        <v>stage_bug_bonuses_DL5.tmp</v>
      </c>
      <c r="F9" s="85" t="s">
        <v>128</v>
      </c>
      <c r="G9" s="87" t="s">
        <v>129</v>
      </c>
      <c r="H9" s="87" t="s">
        <v>130</v>
      </c>
      <c r="I9" s="87" t="s">
        <v>131</v>
      </c>
      <c r="J9" s="88" t="s">
        <v>132</v>
      </c>
      <c r="K9" s="87" t="s">
        <v>133</v>
      </c>
      <c r="L9" s="87" t="s">
        <v>134</v>
      </c>
      <c r="M9" s="87" t="s">
        <v>135</v>
      </c>
      <c r="N9" s="87" t="s">
        <v>136</v>
      </c>
      <c r="O9" s="87" t="s">
        <v>137</v>
      </c>
      <c r="P9" s="87" t="s">
        <v>138</v>
      </c>
      <c r="Q9" s="87" t="s">
        <v>139</v>
      </c>
      <c r="R9" s="87" t="s">
        <v>140</v>
      </c>
      <c r="S9" s="87" t="s">
        <v>141</v>
      </c>
      <c r="T9" s="87" t="s">
        <v>142</v>
      </c>
      <c r="U9" s="87" t="s">
        <v>143</v>
      </c>
      <c r="V9" s="87" t="s">
        <v>144</v>
      </c>
      <c r="W9" s="87" t="s">
        <v>145</v>
      </c>
    </row>
    <row r="10" spans="1:29" s="93" customFormat="1" x14ac:dyDescent="0.15">
      <c r="A10" s="80" t="s">
        <v>90</v>
      </c>
      <c r="B10" s="85" t="s">
        <v>146</v>
      </c>
      <c r="C10" s="82" t="str">
        <f t="shared" si="0"/>
        <v>DL5</v>
      </c>
      <c r="D10" s="85" t="s">
        <v>127</v>
      </c>
      <c r="E10" s="86" t="str">
        <f t="shared" si="1"/>
        <v>stage_hints_data_DL5.tmp</v>
      </c>
      <c r="F10" s="89" t="s">
        <v>147</v>
      </c>
      <c r="G10" s="90" t="s">
        <v>129</v>
      </c>
      <c r="H10" s="90" t="s">
        <v>130</v>
      </c>
      <c r="I10" s="91" t="s">
        <v>148</v>
      </c>
      <c r="J10" s="88" t="s">
        <v>19</v>
      </c>
      <c r="K10" s="92" t="s">
        <v>149</v>
      </c>
    </row>
    <row r="11" spans="1:29" s="93" customFormat="1" x14ac:dyDescent="0.15">
      <c r="A11" s="80" t="s">
        <v>90</v>
      </c>
      <c r="B11" s="85" t="s">
        <v>150</v>
      </c>
      <c r="C11" s="82" t="str">
        <f t="shared" si="0"/>
        <v>DL5</v>
      </c>
      <c r="D11" s="85" t="s">
        <v>127</v>
      </c>
      <c r="E11" s="86" t="str">
        <f t="shared" si="1"/>
        <v>stage_hints_i18n_DL5.tmp</v>
      </c>
      <c r="F11" s="89" t="s">
        <v>147</v>
      </c>
      <c r="G11" s="91" t="s">
        <v>148</v>
      </c>
      <c r="H11" s="87" t="s">
        <v>151</v>
      </c>
      <c r="I11" s="90" t="s">
        <v>152</v>
      </c>
      <c r="J11" s="94" t="s">
        <v>153</v>
      </c>
      <c r="K11" s="92" t="s">
        <v>154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53"/>
  <sheetViews>
    <sheetView showGridLines="0" workbookViewId="0">
      <pane ySplit="1" topLeftCell="A2" activePane="bottomLeft" state="frozen"/>
      <selection activeCell="V2" sqref="V2:X34"/>
      <selection pane="bottomLeft" activeCell="L70" sqref="L70"/>
    </sheetView>
  </sheetViews>
  <sheetFormatPr baseColWidth="12" defaultColWidth="13" defaultRowHeight="21" customHeight="1" outlineLevelCol="1" x14ac:dyDescent="0.15"/>
  <cols>
    <col min="1" max="1" width="8.83203125" style="24" bestFit="1" customWidth="1"/>
    <col min="2" max="2" width="5" style="24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4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8" t="s">
        <v>31</v>
      </c>
      <c r="B1" s="18" t="s">
        <v>38</v>
      </c>
      <c r="C1" s="1" t="s">
        <v>0</v>
      </c>
      <c r="D1" s="2" t="s">
        <v>18</v>
      </c>
      <c r="E1" s="17" t="s">
        <v>35</v>
      </c>
      <c r="F1" s="1" t="s">
        <v>1</v>
      </c>
      <c r="G1" s="25" t="s">
        <v>34</v>
      </c>
      <c r="H1" s="17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8" t="str">
        <f>G2&amp;"-"&amp;I2</f>
        <v>22_1-1</v>
      </c>
      <c r="B2" s="18" t="str">
        <f>IF(COUNTIF(enemy_habitats!$H:$H,A2),"OK","NG")</f>
        <v>OK</v>
      </c>
      <c r="C2" s="38">
        <v>22</v>
      </c>
      <c r="D2" s="23" t="str">
        <f ca="1">VLOOKUP($C2,OFFSET([1]quests!$A$1,0,0,COUNTA([1]quests!$A:$A),MATCH(D$1,[1]quests!$1:$1,0)-MATCH($C$1,[1]quests!$1:$1,0)+1),MATCH(D$1,[1]quests!$1:$1,0)-MATCH($C$1,[1]quests!$1:$1,0)+1,FALSE)</f>
        <v>22．紫炎の例大祭</v>
      </c>
      <c r="E2" s="23" t="str">
        <f ca="1">VLOOKUP($C2,OFFSET([1]quests!$A$1,0,0,COUNTA([1]quests!$A:$A),MATCH(E$1,[1]quests!$1:$1,0)-MATCH($C$1,[1]quests!$1:$1,0)+1),MATCH(E$1,[1]quests!$1:$1,0)-MATCH($C$1,[1]quests!$1:$1,0)+1,FALSE)</f>
        <v>赤DL5</v>
      </c>
      <c r="F2" s="41">
        <v>1</v>
      </c>
      <c r="G2" s="25" t="str">
        <f>C2&amp;"_"&amp;F2</f>
        <v>22_1</v>
      </c>
      <c r="H2" s="17" t="str">
        <f ca="1">VLOOKUP($G2,OFFSET([1]stages!$A$1,0,0,COUNTA([1]stages!$A:$A),MATCH(H$1,[1]stages!$2:$2,0)-MATCH($G$1,[1]stages!$2:$2,0)+1),MATCH(H$1,[1]stages!$2:$2,0)-MATCH($G$1,[1]stages!$2:$2,0)+1,FALSE)</f>
        <v>22-1．開宴の遠吠え</v>
      </c>
      <c r="I2" s="43">
        <v>1</v>
      </c>
      <c r="J2" s="44">
        <v>30</v>
      </c>
      <c r="K2" s="44">
        <v>30</v>
      </c>
    </row>
    <row r="3" spans="1:11" ht="21" customHeight="1" x14ac:dyDescent="0.15">
      <c r="A3" s="18" t="str">
        <f t="shared" ref="A3:A66" si="0">G3&amp;"-"&amp;I3</f>
        <v>22_1-2</v>
      </c>
      <c r="B3" s="18" t="str">
        <f>IF(COUNTIF(enemy_habitats!$H:$H,A3),"OK","NG")</f>
        <v>OK</v>
      </c>
      <c r="C3" s="38">
        <v>22</v>
      </c>
      <c r="D3" s="23" t="str">
        <f ca="1">VLOOKUP($C3,OFFSET([1]quests!$A$1,0,0,COUNTA([1]quests!$A:$A),MATCH(D$1,[1]quests!$1:$1,0)-MATCH($C$1,[1]quests!$1:$1,0)+1),MATCH(D$1,[1]quests!$1:$1,0)-MATCH($C$1,[1]quests!$1:$1,0)+1,FALSE)</f>
        <v>22．紫炎の例大祭</v>
      </c>
      <c r="E3" s="23" t="str">
        <f ca="1">VLOOKUP($C3,OFFSET([1]quests!$A$1,0,0,COUNTA([1]quests!$A:$A),MATCH(E$1,[1]quests!$1:$1,0)-MATCH($C$1,[1]quests!$1:$1,0)+1),MATCH(E$1,[1]quests!$1:$1,0)-MATCH($C$1,[1]quests!$1:$1,0)+1,FALSE)</f>
        <v>赤DL5</v>
      </c>
      <c r="F3" s="41">
        <v>1</v>
      </c>
      <c r="G3" s="25" t="str">
        <f t="shared" ref="G3:G66" si="1">C3&amp;"_"&amp;F3</f>
        <v>22_1</v>
      </c>
      <c r="H3" s="17" t="str">
        <f ca="1">VLOOKUP($G3,OFFSET([1]stages!$A$1,0,0,COUNTA([1]stages!$A:$A),MATCH(H$1,[1]stages!$2:$2,0)-MATCH($G$1,[1]stages!$2:$2,0)+1),MATCH(H$1,[1]stages!$2:$2,0)-MATCH($G$1,[1]stages!$2:$2,0)+1,FALSE)</f>
        <v>22-1．開宴の遠吠え</v>
      </c>
      <c r="I3" s="43">
        <v>2</v>
      </c>
      <c r="J3" s="44">
        <v>45</v>
      </c>
      <c r="K3" s="61">
        <v>60</v>
      </c>
    </row>
    <row r="4" spans="1:11" ht="21" customHeight="1" x14ac:dyDescent="0.15">
      <c r="A4" s="18" t="str">
        <f t="shared" si="0"/>
        <v>22_1-3</v>
      </c>
      <c r="B4" s="18" t="str">
        <f>IF(COUNTIF(enemy_habitats!$H:$H,A4),"OK","NG")</f>
        <v>OK</v>
      </c>
      <c r="C4" s="38">
        <v>22</v>
      </c>
      <c r="D4" s="23" t="str">
        <f ca="1">VLOOKUP($C4,OFFSET([1]quests!$A$1,0,0,COUNTA([1]quests!$A:$A),MATCH(D$1,[1]quests!$1:$1,0)-MATCH($C$1,[1]quests!$1:$1,0)+1),MATCH(D$1,[1]quests!$1:$1,0)-MATCH($C$1,[1]quests!$1:$1,0)+1,FALSE)</f>
        <v>22．紫炎の例大祭</v>
      </c>
      <c r="E4" s="23" t="str">
        <f ca="1">VLOOKUP($C4,OFFSET([1]quests!$A$1,0,0,COUNTA([1]quests!$A:$A),MATCH(E$1,[1]quests!$1:$1,0)-MATCH($C$1,[1]quests!$1:$1,0)+1),MATCH(E$1,[1]quests!$1:$1,0)-MATCH($C$1,[1]quests!$1:$1,0)+1,FALSE)</f>
        <v>赤DL5</v>
      </c>
      <c r="F4" s="41">
        <v>1</v>
      </c>
      <c r="G4" s="25" t="str">
        <f t="shared" si="1"/>
        <v>22_1</v>
      </c>
      <c r="H4" s="17" t="str">
        <f ca="1">VLOOKUP($G4,OFFSET([1]stages!$A$1,0,0,COUNTA([1]stages!$A:$A),MATCH(H$1,[1]stages!$2:$2,0)-MATCH($G$1,[1]stages!$2:$2,0)+1),MATCH(H$1,[1]stages!$2:$2,0)-MATCH($G$1,[1]stages!$2:$2,0)+1,FALSE)</f>
        <v>22-1．開宴の遠吠え</v>
      </c>
      <c r="I4" s="43">
        <v>3</v>
      </c>
      <c r="J4" s="61">
        <v>60</v>
      </c>
      <c r="K4" s="61">
        <v>60</v>
      </c>
    </row>
    <row r="5" spans="1:11" ht="21" customHeight="1" x14ac:dyDescent="0.15">
      <c r="A5" s="18" t="str">
        <f t="shared" si="0"/>
        <v>22_1-4</v>
      </c>
      <c r="B5" s="18" t="str">
        <f>IF(COUNTIF(enemy_habitats!$H:$H,A5),"OK","NG")</f>
        <v>OK</v>
      </c>
      <c r="C5" s="38">
        <v>22</v>
      </c>
      <c r="D5" s="23" t="str">
        <f ca="1">VLOOKUP($C5,OFFSET([1]quests!$A$1,0,0,COUNTA([1]quests!$A:$A),MATCH(D$1,[1]quests!$1:$1,0)-MATCH($C$1,[1]quests!$1:$1,0)+1),MATCH(D$1,[1]quests!$1:$1,0)-MATCH($C$1,[1]quests!$1:$1,0)+1,FALSE)</f>
        <v>22．紫炎の例大祭</v>
      </c>
      <c r="E5" s="23" t="str">
        <f ca="1">VLOOKUP($C5,OFFSET([1]quests!$A$1,0,0,COUNTA([1]quests!$A:$A),MATCH(E$1,[1]quests!$1:$1,0)-MATCH($C$1,[1]quests!$1:$1,0)+1),MATCH(E$1,[1]quests!$1:$1,0)-MATCH($C$1,[1]quests!$1:$1,0)+1,FALSE)</f>
        <v>赤DL5</v>
      </c>
      <c r="F5" s="41">
        <v>1</v>
      </c>
      <c r="G5" s="25" t="str">
        <f t="shared" si="1"/>
        <v>22_1</v>
      </c>
      <c r="H5" s="17" t="str">
        <f ca="1">VLOOKUP($G5,OFFSET([1]stages!$A$1,0,0,COUNTA([1]stages!$A:$A),MATCH(H$1,[1]stages!$2:$2,0)-MATCH($G$1,[1]stages!$2:$2,0)+1),MATCH(H$1,[1]stages!$2:$2,0)-MATCH($G$1,[1]stages!$2:$2,0)+1,FALSE)</f>
        <v>22-1．開宴の遠吠え</v>
      </c>
      <c r="I5" s="43">
        <v>4</v>
      </c>
      <c r="J5" s="44">
        <v>45</v>
      </c>
      <c r="K5" s="44">
        <v>45</v>
      </c>
    </row>
    <row r="6" spans="1:11" ht="21" customHeight="1" x14ac:dyDescent="0.15">
      <c r="A6" s="18" t="str">
        <f t="shared" si="0"/>
        <v>22_1-5</v>
      </c>
      <c r="B6" s="18" t="str">
        <f>IF(COUNTIF(enemy_habitats!$H:$H,A6),"OK","NG")</f>
        <v>OK</v>
      </c>
      <c r="C6" s="38">
        <v>22</v>
      </c>
      <c r="D6" s="23" t="str">
        <f ca="1">VLOOKUP($C6,OFFSET([1]quests!$A$1,0,0,COUNTA([1]quests!$A:$A),MATCH(D$1,[1]quests!$1:$1,0)-MATCH($C$1,[1]quests!$1:$1,0)+1),MATCH(D$1,[1]quests!$1:$1,0)-MATCH($C$1,[1]quests!$1:$1,0)+1,FALSE)</f>
        <v>22．紫炎の例大祭</v>
      </c>
      <c r="E6" s="23" t="str">
        <f ca="1">VLOOKUP($C6,OFFSET([1]quests!$A$1,0,0,COUNTA([1]quests!$A:$A),MATCH(E$1,[1]quests!$1:$1,0)-MATCH($C$1,[1]quests!$1:$1,0)+1),MATCH(E$1,[1]quests!$1:$1,0)-MATCH($C$1,[1]quests!$1:$1,0)+1,FALSE)</f>
        <v>赤DL5</v>
      </c>
      <c r="F6" s="41">
        <v>1</v>
      </c>
      <c r="G6" s="25" t="str">
        <f t="shared" si="1"/>
        <v>22_1</v>
      </c>
      <c r="H6" s="17" t="str">
        <f ca="1">VLOOKUP($G6,OFFSET([1]stages!$A$1,0,0,COUNTA([1]stages!$A:$A),MATCH(H$1,[1]stages!$2:$2,0)-MATCH($G$1,[1]stages!$2:$2,0)+1),MATCH(H$1,[1]stages!$2:$2,0)-MATCH($G$1,[1]stages!$2:$2,0)+1,FALSE)</f>
        <v>22-1．開宴の遠吠え</v>
      </c>
      <c r="I6" s="43">
        <v>5</v>
      </c>
      <c r="J6" s="61">
        <v>60</v>
      </c>
      <c r="K6" s="61">
        <v>60</v>
      </c>
    </row>
    <row r="7" spans="1:11" ht="21" customHeight="1" x14ac:dyDescent="0.15">
      <c r="A7" s="18" t="str">
        <f t="shared" si="0"/>
        <v>22_2-1</v>
      </c>
      <c r="B7" s="18" t="str">
        <f>IF(COUNTIF(enemy_habitats!$H:$H,A7),"OK","NG")</f>
        <v>OK</v>
      </c>
      <c r="C7" s="38">
        <v>22</v>
      </c>
      <c r="D7" s="23" t="str">
        <f ca="1">VLOOKUP($C7,OFFSET([1]quests!$A$1,0,0,COUNTA([1]quests!$A:$A),MATCH(D$1,[1]quests!$1:$1,0)-MATCH($C$1,[1]quests!$1:$1,0)+1),MATCH(D$1,[1]quests!$1:$1,0)-MATCH($C$1,[1]quests!$1:$1,0)+1,FALSE)</f>
        <v>22．紫炎の例大祭</v>
      </c>
      <c r="E7" s="23" t="str">
        <f ca="1">VLOOKUP($C7,OFFSET([1]quests!$A$1,0,0,COUNTA([1]quests!$A:$A),MATCH(E$1,[1]quests!$1:$1,0)-MATCH($C$1,[1]quests!$1:$1,0)+1),MATCH(E$1,[1]quests!$1:$1,0)-MATCH($C$1,[1]quests!$1:$1,0)+1,FALSE)</f>
        <v>赤DL5</v>
      </c>
      <c r="F7" s="41">
        <v>2</v>
      </c>
      <c r="G7" s="25" t="str">
        <f t="shared" si="1"/>
        <v>22_2</v>
      </c>
      <c r="H7" s="17" t="str">
        <f ca="1">VLOOKUP($G7,OFFSET([1]stages!$A$1,0,0,COUNTA([1]stages!$A:$A),MATCH(H$1,[1]stages!$2:$2,0)-MATCH($G$1,[1]stages!$2:$2,0)+1),MATCH(H$1,[1]stages!$2:$2,0)-MATCH($G$1,[1]stages!$2:$2,0)+1,FALSE)</f>
        <v>22-2．排他的な案内人</v>
      </c>
      <c r="I7" s="43">
        <v>1</v>
      </c>
      <c r="J7" s="45">
        <v>30</v>
      </c>
      <c r="K7" s="46">
        <v>30</v>
      </c>
    </row>
    <row r="8" spans="1:11" ht="21" customHeight="1" x14ac:dyDescent="0.15">
      <c r="A8" s="18" t="str">
        <f t="shared" si="0"/>
        <v>22_2-2</v>
      </c>
      <c r="B8" s="18" t="str">
        <f>IF(COUNTIF(enemy_habitats!$H:$H,A8),"OK","NG")</f>
        <v>OK</v>
      </c>
      <c r="C8" s="38">
        <v>22</v>
      </c>
      <c r="D8" s="23" t="str">
        <f ca="1">VLOOKUP($C8,OFFSET([1]quests!$A$1,0,0,COUNTA([1]quests!$A:$A),MATCH(D$1,[1]quests!$1:$1,0)-MATCH($C$1,[1]quests!$1:$1,0)+1),MATCH(D$1,[1]quests!$1:$1,0)-MATCH($C$1,[1]quests!$1:$1,0)+1,FALSE)</f>
        <v>22．紫炎の例大祭</v>
      </c>
      <c r="E8" s="23" t="str">
        <f ca="1">VLOOKUP($C8,OFFSET([1]quests!$A$1,0,0,COUNTA([1]quests!$A:$A),MATCH(E$1,[1]quests!$1:$1,0)-MATCH($C$1,[1]quests!$1:$1,0)+1),MATCH(E$1,[1]quests!$1:$1,0)-MATCH($C$1,[1]quests!$1:$1,0)+1,FALSE)</f>
        <v>赤DL5</v>
      </c>
      <c r="F8" s="41">
        <v>2</v>
      </c>
      <c r="G8" s="25" t="str">
        <f t="shared" si="1"/>
        <v>22_2</v>
      </c>
      <c r="H8" s="17" t="str">
        <f ca="1">VLOOKUP($G8,OFFSET([1]stages!$A$1,0,0,COUNTA([1]stages!$A:$A),MATCH(H$1,[1]stages!$2:$2,0)-MATCH($G$1,[1]stages!$2:$2,0)+1),MATCH(H$1,[1]stages!$2:$2,0)-MATCH($G$1,[1]stages!$2:$2,0)+1,FALSE)</f>
        <v>22-2．排他的な案内人</v>
      </c>
      <c r="I8" s="43">
        <v>2</v>
      </c>
      <c r="J8" s="44">
        <v>45</v>
      </c>
      <c r="K8" s="61">
        <v>60</v>
      </c>
    </row>
    <row r="9" spans="1:11" ht="21" customHeight="1" x14ac:dyDescent="0.15">
      <c r="A9" s="18" t="str">
        <f t="shared" si="0"/>
        <v>22_2-3</v>
      </c>
      <c r="B9" s="18" t="str">
        <f>IF(COUNTIF(enemy_habitats!$H:$H,A9),"OK","NG")</f>
        <v>OK</v>
      </c>
      <c r="C9" s="38">
        <v>22</v>
      </c>
      <c r="D9" s="23" t="str">
        <f ca="1">VLOOKUP($C9,OFFSET([1]quests!$A$1,0,0,COUNTA([1]quests!$A:$A),MATCH(D$1,[1]quests!$1:$1,0)-MATCH($C$1,[1]quests!$1:$1,0)+1),MATCH(D$1,[1]quests!$1:$1,0)-MATCH($C$1,[1]quests!$1:$1,0)+1,FALSE)</f>
        <v>22．紫炎の例大祭</v>
      </c>
      <c r="E9" s="23" t="str">
        <f ca="1">VLOOKUP($C9,OFFSET([1]quests!$A$1,0,0,COUNTA([1]quests!$A:$A),MATCH(E$1,[1]quests!$1:$1,0)-MATCH($C$1,[1]quests!$1:$1,0)+1),MATCH(E$1,[1]quests!$1:$1,0)-MATCH($C$1,[1]quests!$1:$1,0)+1,FALSE)</f>
        <v>赤DL5</v>
      </c>
      <c r="F9" s="41">
        <v>2</v>
      </c>
      <c r="G9" s="25" t="str">
        <f t="shared" si="1"/>
        <v>22_2</v>
      </c>
      <c r="H9" s="17" t="str">
        <f ca="1">VLOOKUP($G9,OFFSET([1]stages!$A$1,0,0,COUNTA([1]stages!$A:$A),MATCH(H$1,[1]stages!$2:$2,0)-MATCH($G$1,[1]stages!$2:$2,0)+1),MATCH(H$1,[1]stages!$2:$2,0)-MATCH($G$1,[1]stages!$2:$2,0)+1,FALSE)</f>
        <v>22-2．排他的な案内人</v>
      </c>
      <c r="I9" s="43">
        <v>3</v>
      </c>
      <c r="J9" s="61">
        <v>60</v>
      </c>
      <c r="K9" s="61">
        <v>60</v>
      </c>
    </row>
    <row r="10" spans="1:11" ht="21" customHeight="1" x14ac:dyDescent="0.15">
      <c r="A10" s="18" t="str">
        <f t="shared" si="0"/>
        <v>22_2-4</v>
      </c>
      <c r="B10" s="18" t="str">
        <f>IF(COUNTIF(enemy_habitats!$H:$H,A10),"OK","NG")</f>
        <v>OK</v>
      </c>
      <c r="C10" s="38">
        <v>22</v>
      </c>
      <c r="D10" s="23" t="str">
        <f ca="1">VLOOKUP($C10,OFFSET([1]quests!$A$1,0,0,COUNTA([1]quests!$A:$A),MATCH(D$1,[1]quests!$1:$1,0)-MATCH($C$1,[1]quests!$1:$1,0)+1),MATCH(D$1,[1]quests!$1:$1,0)-MATCH($C$1,[1]quests!$1:$1,0)+1,FALSE)</f>
        <v>22．紫炎の例大祭</v>
      </c>
      <c r="E10" s="23" t="str">
        <f ca="1">VLOOKUP($C10,OFFSET([1]quests!$A$1,0,0,COUNTA([1]quests!$A:$A),MATCH(E$1,[1]quests!$1:$1,0)-MATCH($C$1,[1]quests!$1:$1,0)+1),MATCH(E$1,[1]quests!$1:$1,0)-MATCH($C$1,[1]quests!$1:$1,0)+1,FALSE)</f>
        <v>赤DL5</v>
      </c>
      <c r="F10" s="41">
        <v>2</v>
      </c>
      <c r="G10" s="25" t="str">
        <f t="shared" si="1"/>
        <v>22_2</v>
      </c>
      <c r="H10" s="17" t="str">
        <f ca="1">VLOOKUP($G10,OFFSET([1]stages!$A$1,0,0,COUNTA([1]stages!$A:$A),MATCH(H$1,[1]stages!$2:$2,0)-MATCH($G$1,[1]stages!$2:$2,0)+1),MATCH(H$1,[1]stages!$2:$2,0)-MATCH($G$1,[1]stages!$2:$2,0)+1,FALSE)</f>
        <v>22-2．排他的な案内人</v>
      </c>
      <c r="I10" s="43">
        <v>4</v>
      </c>
      <c r="J10" s="44">
        <v>45</v>
      </c>
      <c r="K10" s="44">
        <v>45</v>
      </c>
    </row>
    <row r="11" spans="1:11" ht="21" customHeight="1" x14ac:dyDescent="0.15">
      <c r="A11" s="18" t="str">
        <f t="shared" si="0"/>
        <v>22_2-5</v>
      </c>
      <c r="B11" s="18" t="str">
        <f>IF(COUNTIF(enemy_habitats!$H:$H,A11),"OK","NG")</f>
        <v>OK</v>
      </c>
      <c r="C11" s="38">
        <v>22</v>
      </c>
      <c r="D11" s="23" t="str">
        <f ca="1">VLOOKUP($C11,OFFSET([1]quests!$A$1,0,0,COUNTA([1]quests!$A:$A),MATCH(D$1,[1]quests!$1:$1,0)-MATCH($C$1,[1]quests!$1:$1,0)+1),MATCH(D$1,[1]quests!$1:$1,0)-MATCH($C$1,[1]quests!$1:$1,0)+1,FALSE)</f>
        <v>22．紫炎の例大祭</v>
      </c>
      <c r="E11" s="23" t="str">
        <f ca="1">VLOOKUP($C11,OFFSET([1]quests!$A$1,0,0,COUNTA([1]quests!$A:$A),MATCH(E$1,[1]quests!$1:$1,0)-MATCH($C$1,[1]quests!$1:$1,0)+1),MATCH(E$1,[1]quests!$1:$1,0)-MATCH($C$1,[1]quests!$1:$1,0)+1,FALSE)</f>
        <v>赤DL5</v>
      </c>
      <c r="F11" s="41">
        <v>2</v>
      </c>
      <c r="G11" s="25" t="str">
        <f t="shared" si="1"/>
        <v>22_2</v>
      </c>
      <c r="H11" s="17" t="str">
        <f ca="1">VLOOKUP($G11,OFFSET([1]stages!$A$1,0,0,COUNTA([1]stages!$A:$A),MATCH(H$1,[1]stages!$2:$2,0)-MATCH($G$1,[1]stages!$2:$2,0)+1),MATCH(H$1,[1]stages!$2:$2,0)-MATCH($G$1,[1]stages!$2:$2,0)+1,FALSE)</f>
        <v>22-2．排他的な案内人</v>
      </c>
      <c r="I11" s="43">
        <v>5</v>
      </c>
      <c r="J11" s="61">
        <v>60</v>
      </c>
      <c r="K11" s="61">
        <v>60</v>
      </c>
    </row>
    <row r="12" spans="1:11" ht="21" customHeight="1" x14ac:dyDescent="0.15">
      <c r="A12" s="18" t="str">
        <f t="shared" si="0"/>
        <v>22_3-1</v>
      </c>
      <c r="B12" s="18" t="str">
        <f>IF(COUNTIF(enemy_habitats!$H:$H,A12),"OK","NG")</f>
        <v>OK</v>
      </c>
      <c r="C12" s="38">
        <v>22</v>
      </c>
      <c r="D12" s="23" t="str">
        <f ca="1">VLOOKUP($C12,OFFSET([1]quests!$A$1,0,0,COUNTA([1]quests!$A:$A),MATCH(D$1,[1]quests!$1:$1,0)-MATCH($C$1,[1]quests!$1:$1,0)+1),MATCH(D$1,[1]quests!$1:$1,0)-MATCH($C$1,[1]quests!$1:$1,0)+1,FALSE)</f>
        <v>22．紫炎の例大祭</v>
      </c>
      <c r="E12" s="23" t="str">
        <f ca="1">VLOOKUP($C12,OFFSET([1]quests!$A$1,0,0,COUNTA([1]quests!$A:$A),MATCH(E$1,[1]quests!$1:$1,0)-MATCH($C$1,[1]quests!$1:$1,0)+1),MATCH(E$1,[1]quests!$1:$1,0)-MATCH($C$1,[1]quests!$1:$1,0)+1,FALSE)</f>
        <v>赤DL5</v>
      </c>
      <c r="F12" s="41">
        <v>3</v>
      </c>
      <c r="G12" s="25" t="str">
        <f t="shared" si="1"/>
        <v>22_3</v>
      </c>
      <c r="H12" s="17" t="str">
        <f ca="1">VLOOKUP($G12,OFFSET([1]stages!$A$1,0,0,COUNTA([1]stages!$A:$A),MATCH(H$1,[1]stages!$2:$2,0)-MATCH($G$1,[1]stages!$2:$2,0)+1),MATCH(H$1,[1]stages!$2:$2,0)-MATCH($G$1,[1]stages!$2:$2,0)+1,FALSE)</f>
        <v>22-3．誘眠の鼓音</v>
      </c>
      <c r="I12" s="43">
        <v>1</v>
      </c>
      <c r="J12" s="45">
        <v>30</v>
      </c>
      <c r="K12" s="46">
        <v>30</v>
      </c>
    </row>
    <row r="13" spans="1:11" ht="21" customHeight="1" x14ac:dyDescent="0.15">
      <c r="A13" s="18" t="str">
        <f t="shared" si="0"/>
        <v>22_3-2</v>
      </c>
      <c r="B13" s="18" t="str">
        <f>IF(COUNTIF(enemy_habitats!$H:$H,A13),"OK","NG")</f>
        <v>OK</v>
      </c>
      <c r="C13" s="38">
        <v>22</v>
      </c>
      <c r="D13" s="23" t="str">
        <f ca="1">VLOOKUP($C13,OFFSET([1]quests!$A$1,0,0,COUNTA([1]quests!$A:$A),MATCH(D$1,[1]quests!$1:$1,0)-MATCH($C$1,[1]quests!$1:$1,0)+1),MATCH(D$1,[1]quests!$1:$1,0)-MATCH($C$1,[1]quests!$1:$1,0)+1,FALSE)</f>
        <v>22．紫炎の例大祭</v>
      </c>
      <c r="E13" s="23" t="str">
        <f ca="1">VLOOKUP($C13,OFFSET([1]quests!$A$1,0,0,COUNTA([1]quests!$A:$A),MATCH(E$1,[1]quests!$1:$1,0)-MATCH($C$1,[1]quests!$1:$1,0)+1),MATCH(E$1,[1]quests!$1:$1,0)-MATCH($C$1,[1]quests!$1:$1,0)+1,FALSE)</f>
        <v>赤DL5</v>
      </c>
      <c r="F13" s="41">
        <v>3</v>
      </c>
      <c r="G13" s="25" t="str">
        <f t="shared" si="1"/>
        <v>22_3</v>
      </c>
      <c r="H13" s="17" t="str">
        <f ca="1">VLOOKUP($G13,OFFSET([1]stages!$A$1,0,0,COUNTA([1]stages!$A:$A),MATCH(H$1,[1]stages!$2:$2,0)-MATCH($G$1,[1]stages!$2:$2,0)+1),MATCH(H$1,[1]stages!$2:$2,0)-MATCH($G$1,[1]stages!$2:$2,0)+1,FALSE)</f>
        <v>22-3．誘眠の鼓音</v>
      </c>
      <c r="I13" s="43">
        <v>2</v>
      </c>
      <c r="J13" s="44">
        <v>45</v>
      </c>
      <c r="K13" s="61">
        <v>60</v>
      </c>
    </row>
    <row r="14" spans="1:11" ht="21" customHeight="1" x14ac:dyDescent="0.15">
      <c r="A14" s="18" t="str">
        <f t="shared" si="0"/>
        <v>22_3-3</v>
      </c>
      <c r="B14" s="18" t="str">
        <f>IF(COUNTIF(enemy_habitats!$H:$H,A14),"OK","NG")</f>
        <v>OK</v>
      </c>
      <c r="C14" s="38">
        <v>22</v>
      </c>
      <c r="D14" s="23" t="str">
        <f ca="1">VLOOKUP($C14,OFFSET([1]quests!$A$1,0,0,COUNTA([1]quests!$A:$A),MATCH(D$1,[1]quests!$1:$1,0)-MATCH($C$1,[1]quests!$1:$1,0)+1),MATCH(D$1,[1]quests!$1:$1,0)-MATCH($C$1,[1]quests!$1:$1,0)+1,FALSE)</f>
        <v>22．紫炎の例大祭</v>
      </c>
      <c r="E14" s="23" t="str">
        <f ca="1">VLOOKUP($C14,OFFSET([1]quests!$A$1,0,0,COUNTA([1]quests!$A:$A),MATCH(E$1,[1]quests!$1:$1,0)-MATCH($C$1,[1]quests!$1:$1,0)+1),MATCH(E$1,[1]quests!$1:$1,0)-MATCH($C$1,[1]quests!$1:$1,0)+1,FALSE)</f>
        <v>赤DL5</v>
      </c>
      <c r="F14" s="41">
        <v>3</v>
      </c>
      <c r="G14" s="25" t="str">
        <f t="shared" si="1"/>
        <v>22_3</v>
      </c>
      <c r="H14" s="17" t="str">
        <f ca="1">VLOOKUP($G14,OFFSET([1]stages!$A$1,0,0,COUNTA([1]stages!$A:$A),MATCH(H$1,[1]stages!$2:$2,0)-MATCH($G$1,[1]stages!$2:$2,0)+1),MATCH(H$1,[1]stages!$2:$2,0)-MATCH($G$1,[1]stages!$2:$2,0)+1,FALSE)</f>
        <v>22-3．誘眠の鼓音</v>
      </c>
      <c r="I14" s="43">
        <v>3</v>
      </c>
      <c r="J14" s="61">
        <v>60</v>
      </c>
      <c r="K14" s="61">
        <v>60</v>
      </c>
    </row>
    <row r="15" spans="1:11" ht="21" customHeight="1" x14ac:dyDescent="0.15">
      <c r="A15" s="18" t="str">
        <f t="shared" si="0"/>
        <v>22_3-4</v>
      </c>
      <c r="B15" s="18" t="str">
        <f>IF(COUNTIF(enemy_habitats!$H:$H,A15),"OK","NG")</f>
        <v>OK</v>
      </c>
      <c r="C15" s="38">
        <v>22</v>
      </c>
      <c r="D15" s="23" t="str">
        <f ca="1">VLOOKUP($C15,OFFSET([1]quests!$A$1,0,0,COUNTA([1]quests!$A:$A),MATCH(D$1,[1]quests!$1:$1,0)-MATCH($C$1,[1]quests!$1:$1,0)+1),MATCH(D$1,[1]quests!$1:$1,0)-MATCH($C$1,[1]quests!$1:$1,0)+1,FALSE)</f>
        <v>22．紫炎の例大祭</v>
      </c>
      <c r="E15" s="23" t="str">
        <f ca="1">VLOOKUP($C15,OFFSET([1]quests!$A$1,0,0,COUNTA([1]quests!$A:$A),MATCH(E$1,[1]quests!$1:$1,0)-MATCH($C$1,[1]quests!$1:$1,0)+1),MATCH(E$1,[1]quests!$1:$1,0)-MATCH($C$1,[1]quests!$1:$1,0)+1,FALSE)</f>
        <v>赤DL5</v>
      </c>
      <c r="F15" s="41">
        <v>3</v>
      </c>
      <c r="G15" s="25" t="str">
        <f t="shared" si="1"/>
        <v>22_3</v>
      </c>
      <c r="H15" s="17" t="str">
        <f ca="1">VLOOKUP($G15,OFFSET([1]stages!$A$1,0,0,COUNTA([1]stages!$A:$A),MATCH(H$1,[1]stages!$2:$2,0)-MATCH($G$1,[1]stages!$2:$2,0)+1),MATCH(H$1,[1]stages!$2:$2,0)-MATCH($G$1,[1]stages!$2:$2,0)+1,FALSE)</f>
        <v>22-3．誘眠の鼓音</v>
      </c>
      <c r="I15" s="43">
        <v>4</v>
      </c>
      <c r="J15" s="44">
        <v>45</v>
      </c>
      <c r="K15" s="44">
        <v>45</v>
      </c>
    </row>
    <row r="16" spans="1:11" ht="21" customHeight="1" x14ac:dyDescent="0.15">
      <c r="A16" s="18" t="str">
        <f t="shared" si="0"/>
        <v>22_3-5</v>
      </c>
      <c r="B16" s="18" t="str">
        <f>IF(COUNTIF(enemy_habitats!$H:$H,A16),"OK","NG")</f>
        <v>OK</v>
      </c>
      <c r="C16" s="38">
        <v>22</v>
      </c>
      <c r="D16" s="23" t="str">
        <f ca="1">VLOOKUP($C16,OFFSET([1]quests!$A$1,0,0,COUNTA([1]quests!$A:$A),MATCH(D$1,[1]quests!$1:$1,0)-MATCH($C$1,[1]quests!$1:$1,0)+1),MATCH(D$1,[1]quests!$1:$1,0)-MATCH($C$1,[1]quests!$1:$1,0)+1,FALSE)</f>
        <v>22．紫炎の例大祭</v>
      </c>
      <c r="E16" s="23" t="str">
        <f ca="1">VLOOKUP($C16,OFFSET([1]quests!$A$1,0,0,COUNTA([1]quests!$A:$A),MATCH(E$1,[1]quests!$1:$1,0)-MATCH($C$1,[1]quests!$1:$1,0)+1),MATCH(E$1,[1]quests!$1:$1,0)-MATCH($C$1,[1]quests!$1:$1,0)+1,FALSE)</f>
        <v>赤DL5</v>
      </c>
      <c r="F16" s="41">
        <v>3</v>
      </c>
      <c r="G16" s="25" t="str">
        <f t="shared" si="1"/>
        <v>22_3</v>
      </c>
      <c r="H16" s="17" t="str">
        <f ca="1">VLOOKUP($G16,OFFSET([1]stages!$A$1,0,0,COUNTA([1]stages!$A:$A),MATCH(H$1,[1]stages!$2:$2,0)-MATCH($G$1,[1]stages!$2:$2,0)+1),MATCH(H$1,[1]stages!$2:$2,0)-MATCH($G$1,[1]stages!$2:$2,0)+1,FALSE)</f>
        <v>22-3．誘眠の鼓音</v>
      </c>
      <c r="I16" s="43">
        <v>5</v>
      </c>
      <c r="J16" s="61">
        <v>60</v>
      </c>
      <c r="K16" s="61">
        <v>60</v>
      </c>
    </row>
    <row r="17" spans="1:11" ht="21" customHeight="1" x14ac:dyDescent="0.15">
      <c r="A17" s="18" t="str">
        <f t="shared" si="0"/>
        <v>22_4-1</v>
      </c>
      <c r="B17" s="18" t="str">
        <f>IF(COUNTIF(enemy_habitats!$H:$H,A17),"OK","NG")</f>
        <v>OK</v>
      </c>
      <c r="C17" s="38">
        <v>22</v>
      </c>
      <c r="D17" s="23" t="str">
        <f ca="1">VLOOKUP($C17,OFFSET([1]quests!$A$1,0,0,COUNTA([1]quests!$A:$A),MATCH(D$1,[1]quests!$1:$1,0)-MATCH($C$1,[1]quests!$1:$1,0)+1),MATCH(D$1,[1]quests!$1:$1,0)-MATCH($C$1,[1]quests!$1:$1,0)+1,FALSE)</f>
        <v>22．紫炎の例大祭</v>
      </c>
      <c r="E17" s="23" t="str">
        <f ca="1">VLOOKUP($C17,OFFSET([1]quests!$A$1,0,0,COUNTA([1]quests!$A:$A),MATCH(E$1,[1]quests!$1:$1,0)-MATCH($C$1,[1]quests!$1:$1,0)+1),MATCH(E$1,[1]quests!$1:$1,0)-MATCH($C$1,[1]quests!$1:$1,0)+1,FALSE)</f>
        <v>赤DL5</v>
      </c>
      <c r="F17" s="41">
        <v>4</v>
      </c>
      <c r="G17" s="25" t="str">
        <f t="shared" si="1"/>
        <v>22_4</v>
      </c>
      <c r="H17" s="17" t="str">
        <f ca="1">VLOOKUP($G17,OFFSET([1]stages!$A$1,0,0,COUNTA([1]stages!$A:$A),MATCH(H$1,[1]stages!$2:$2,0)-MATCH($G$1,[1]stages!$2:$2,0)+1),MATCH(H$1,[1]stages!$2:$2,0)-MATCH($G$1,[1]stages!$2:$2,0)+1,FALSE)</f>
        <v>22-4．聖火の啼き声</v>
      </c>
      <c r="I17" s="43">
        <v>1</v>
      </c>
      <c r="J17" s="45">
        <v>30</v>
      </c>
      <c r="K17" s="46">
        <v>30</v>
      </c>
    </row>
    <row r="18" spans="1:11" ht="21" customHeight="1" x14ac:dyDescent="0.15">
      <c r="A18" s="18" t="str">
        <f t="shared" si="0"/>
        <v>22_4-2</v>
      </c>
      <c r="B18" s="18" t="str">
        <f>IF(COUNTIF(enemy_habitats!$H:$H,A18),"OK","NG")</f>
        <v>OK</v>
      </c>
      <c r="C18" s="38">
        <v>22</v>
      </c>
      <c r="D18" s="23" t="str">
        <f ca="1">VLOOKUP($C18,OFFSET([1]quests!$A$1,0,0,COUNTA([1]quests!$A:$A),MATCH(D$1,[1]quests!$1:$1,0)-MATCH($C$1,[1]quests!$1:$1,0)+1),MATCH(D$1,[1]quests!$1:$1,0)-MATCH($C$1,[1]quests!$1:$1,0)+1,FALSE)</f>
        <v>22．紫炎の例大祭</v>
      </c>
      <c r="E18" s="23" t="str">
        <f ca="1">VLOOKUP($C18,OFFSET([1]quests!$A$1,0,0,COUNTA([1]quests!$A:$A),MATCH(E$1,[1]quests!$1:$1,0)-MATCH($C$1,[1]quests!$1:$1,0)+1),MATCH(E$1,[1]quests!$1:$1,0)-MATCH($C$1,[1]quests!$1:$1,0)+1,FALSE)</f>
        <v>赤DL5</v>
      </c>
      <c r="F18" s="41">
        <v>4</v>
      </c>
      <c r="G18" s="25" t="str">
        <f t="shared" si="1"/>
        <v>22_4</v>
      </c>
      <c r="H18" s="17" t="str">
        <f ca="1">VLOOKUP($G18,OFFSET([1]stages!$A$1,0,0,COUNTA([1]stages!$A:$A),MATCH(H$1,[1]stages!$2:$2,0)-MATCH($G$1,[1]stages!$2:$2,0)+1),MATCH(H$1,[1]stages!$2:$2,0)-MATCH($G$1,[1]stages!$2:$2,0)+1,FALSE)</f>
        <v>22-4．聖火の啼き声</v>
      </c>
      <c r="I18" s="43">
        <v>2</v>
      </c>
      <c r="J18" s="44">
        <v>45</v>
      </c>
      <c r="K18" s="61">
        <v>60</v>
      </c>
    </row>
    <row r="19" spans="1:11" ht="21" customHeight="1" x14ac:dyDescent="0.15">
      <c r="A19" s="18" t="str">
        <f t="shared" si="0"/>
        <v>22_4-3</v>
      </c>
      <c r="B19" s="18" t="str">
        <f>IF(COUNTIF(enemy_habitats!$H:$H,A19),"OK","NG")</f>
        <v>OK</v>
      </c>
      <c r="C19" s="38">
        <v>22</v>
      </c>
      <c r="D19" s="23" t="str">
        <f ca="1">VLOOKUP($C19,OFFSET([1]quests!$A$1,0,0,COUNTA([1]quests!$A:$A),MATCH(D$1,[1]quests!$1:$1,0)-MATCH($C$1,[1]quests!$1:$1,0)+1),MATCH(D$1,[1]quests!$1:$1,0)-MATCH($C$1,[1]quests!$1:$1,0)+1,FALSE)</f>
        <v>22．紫炎の例大祭</v>
      </c>
      <c r="E19" s="23" t="str">
        <f ca="1">VLOOKUP($C19,OFFSET([1]quests!$A$1,0,0,COUNTA([1]quests!$A:$A),MATCH(E$1,[1]quests!$1:$1,0)-MATCH($C$1,[1]quests!$1:$1,0)+1),MATCH(E$1,[1]quests!$1:$1,0)-MATCH($C$1,[1]quests!$1:$1,0)+1,FALSE)</f>
        <v>赤DL5</v>
      </c>
      <c r="F19" s="41">
        <v>4</v>
      </c>
      <c r="G19" s="25" t="str">
        <f t="shared" si="1"/>
        <v>22_4</v>
      </c>
      <c r="H19" s="17" t="str">
        <f ca="1">VLOOKUP($G19,OFFSET([1]stages!$A$1,0,0,COUNTA([1]stages!$A:$A),MATCH(H$1,[1]stages!$2:$2,0)-MATCH($G$1,[1]stages!$2:$2,0)+1),MATCH(H$1,[1]stages!$2:$2,0)-MATCH($G$1,[1]stages!$2:$2,0)+1,FALSE)</f>
        <v>22-4．聖火の啼き声</v>
      </c>
      <c r="I19" s="43">
        <v>3</v>
      </c>
      <c r="J19" s="61">
        <v>60</v>
      </c>
      <c r="K19" s="61">
        <v>60</v>
      </c>
    </row>
    <row r="20" spans="1:11" ht="21" customHeight="1" x14ac:dyDescent="0.15">
      <c r="A20" s="18" t="str">
        <f t="shared" si="0"/>
        <v>22_4-4</v>
      </c>
      <c r="B20" s="18" t="str">
        <f>IF(COUNTIF(enemy_habitats!$H:$H,A20),"OK","NG")</f>
        <v>OK</v>
      </c>
      <c r="C20" s="38">
        <v>22</v>
      </c>
      <c r="D20" s="23" t="str">
        <f ca="1">VLOOKUP($C20,OFFSET([1]quests!$A$1,0,0,COUNTA([1]quests!$A:$A),MATCH(D$1,[1]quests!$1:$1,0)-MATCH($C$1,[1]quests!$1:$1,0)+1),MATCH(D$1,[1]quests!$1:$1,0)-MATCH($C$1,[1]quests!$1:$1,0)+1,FALSE)</f>
        <v>22．紫炎の例大祭</v>
      </c>
      <c r="E20" s="23" t="str">
        <f ca="1">VLOOKUP($C20,OFFSET([1]quests!$A$1,0,0,COUNTA([1]quests!$A:$A),MATCH(E$1,[1]quests!$1:$1,0)-MATCH($C$1,[1]quests!$1:$1,0)+1),MATCH(E$1,[1]quests!$1:$1,0)-MATCH($C$1,[1]quests!$1:$1,0)+1,FALSE)</f>
        <v>赤DL5</v>
      </c>
      <c r="F20" s="41">
        <v>4</v>
      </c>
      <c r="G20" s="25" t="str">
        <f t="shared" si="1"/>
        <v>22_4</v>
      </c>
      <c r="H20" s="17" t="str">
        <f ca="1">VLOOKUP($G20,OFFSET([1]stages!$A$1,0,0,COUNTA([1]stages!$A:$A),MATCH(H$1,[1]stages!$2:$2,0)-MATCH($G$1,[1]stages!$2:$2,0)+1),MATCH(H$1,[1]stages!$2:$2,0)-MATCH($G$1,[1]stages!$2:$2,0)+1,FALSE)</f>
        <v>22-4．聖火の啼き声</v>
      </c>
      <c r="I20" s="43">
        <v>4</v>
      </c>
      <c r="J20" s="44">
        <v>45</v>
      </c>
      <c r="K20" s="44">
        <v>45</v>
      </c>
    </row>
    <row r="21" spans="1:11" ht="21" customHeight="1" x14ac:dyDescent="0.15">
      <c r="A21" s="18" t="str">
        <f t="shared" si="0"/>
        <v>22_4-5</v>
      </c>
      <c r="B21" s="18" t="str">
        <f>IF(COUNTIF(enemy_habitats!$H:$H,A21),"OK","NG")</f>
        <v>OK</v>
      </c>
      <c r="C21" s="38">
        <v>22</v>
      </c>
      <c r="D21" s="23" t="str">
        <f ca="1">VLOOKUP($C21,OFFSET([1]quests!$A$1,0,0,COUNTA([1]quests!$A:$A),MATCH(D$1,[1]quests!$1:$1,0)-MATCH($C$1,[1]quests!$1:$1,0)+1),MATCH(D$1,[1]quests!$1:$1,0)-MATCH($C$1,[1]quests!$1:$1,0)+1,FALSE)</f>
        <v>22．紫炎の例大祭</v>
      </c>
      <c r="E21" s="23" t="str">
        <f ca="1">VLOOKUP($C21,OFFSET([1]quests!$A$1,0,0,COUNTA([1]quests!$A:$A),MATCH(E$1,[1]quests!$1:$1,0)-MATCH($C$1,[1]quests!$1:$1,0)+1),MATCH(E$1,[1]quests!$1:$1,0)-MATCH($C$1,[1]quests!$1:$1,0)+1,FALSE)</f>
        <v>赤DL5</v>
      </c>
      <c r="F21" s="42">
        <v>4</v>
      </c>
      <c r="G21" s="25" t="str">
        <f t="shared" si="1"/>
        <v>22_4</v>
      </c>
      <c r="H21" s="17" t="str">
        <f ca="1">VLOOKUP($G21,OFFSET([1]stages!$A$1,0,0,COUNTA([1]stages!$A:$A),MATCH(H$1,[1]stages!$2:$2,0)-MATCH($G$1,[1]stages!$2:$2,0)+1),MATCH(H$1,[1]stages!$2:$2,0)-MATCH($G$1,[1]stages!$2:$2,0)+1,FALSE)</f>
        <v>22-4．聖火の啼き声</v>
      </c>
      <c r="I21" s="47">
        <v>5</v>
      </c>
      <c r="J21" s="61">
        <v>60</v>
      </c>
      <c r="K21" s="61">
        <v>60</v>
      </c>
    </row>
    <row r="22" spans="1:11" ht="21" customHeight="1" x14ac:dyDescent="0.15">
      <c r="A22" s="18" t="str">
        <f t="shared" si="0"/>
        <v>22_5-1</v>
      </c>
      <c r="B22" s="18" t="str">
        <f>IF(COUNTIF(enemy_habitats!$H:$H,A22),"OK","NG")</f>
        <v>OK</v>
      </c>
      <c r="C22" s="38">
        <v>22</v>
      </c>
      <c r="D22" s="23" t="str">
        <f ca="1">VLOOKUP($C22,OFFSET([1]quests!$A$1,0,0,COUNTA([1]quests!$A:$A),MATCH(D$1,[1]quests!$1:$1,0)-MATCH($C$1,[1]quests!$1:$1,0)+1),MATCH(D$1,[1]quests!$1:$1,0)-MATCH($C$1,[1]quests!$1:$1,0)+1,FALSE)</f>
        <v>22．紫炎の例大祭</v>
      </c>
      <c r="E22" s="23" t="str">
        <f ca="1">VLOOKUP($C22,OFFSET([1]quests!$A$1,0,0,COUNTA([1]quests!$A:$A),MATCH(E$1,[1]quests!$1:$1,0)-MATCH($C$1,[1]quests!$1:$1,0)+1),MATCH(E$1,[1]quests!$1:$1,0)-MATCH($C$1,[1]quests!$1:$1,0)+1,FALSE)</f>
        <v>赤DL5</v>
      </c>
      <c r="F22" s="42">
        <v>5</v>
      </c>
      <c r="G22" s="25" t="str">
        <f t="shared" si="1"/>
        <v>22_5</v>
      </c>
      <c r="H22" s="17" t="str">
        <f ca="1">VLOOKUP($G22,OFFSET([1]stages!$A$1,0,0,COUNTA([1]stages!$A:$A),MATCH(H$1,[1]stages!$2:$2,0)-MATCH($G$1,[1]stages!$2:$2,0)+1),MATCH(H$1,[1]stages!$2:$2,0)-MATCH($G$1,[1]stages!$2:$2,0)+1,FALSE)</f>
        <v>22-5．真宴の月光</v>
      </c>
      <c r="I22" s="47">
        <v>1</v>
      </c>
      <c r="J22" s="45">
        <v>30</v>
      </c>
      <c r="K22" s="46">
        <v>30</v>
      </c>
    </row>
    <row r="23" spans="1:11" ht="21" customHeight="1" x14ac:dyDescent="0.15">
      <c r="A23" s="18" t="str">
        <f t="shared" si="0"/>
        <v>22_5-2</v>
      </c>
      <c r="B23" s="18" t="str">
        <f>IF(COUNTIF(enemy_habitats!$H:$H,A23),"OK","NG")</f>
        <v>OK</v>
      </c>
      <c r="C23" s="38">
        <v>22</v>
      </c>
      <c r="D23" s="23" t="str">
        <f ca="1">VLOOKUP($C23,OFFSET([1]quests!$A$1,0,0,COUNTA([1]quests!$A:$A),MATCH(D$1,[1]quests!$1:$1,0)-MATCH($C$1,[1]quests!$1:$1,0)+1),MATCH(D$1,[1]quests!$1:$1,0)-MATCH($C$1,[1]quests!$1:$1,0)+1,FALSE)</f>
        <v>22．紫炎の例大祭</v>
      </c>
      <c r="E23" s="23" t="str">
        <f ca="1">VLOOKUP($C23,OFFSET([1]quests!$A$1,0,0,COUNTA([1]quests!$A:$A),MATCH(E$1,[1]quests!$1:$1,0)-MATCH($C$1,[1]quests!$1:$1,0)+1),MATCH(E$1,[1]quests!$1:$1,0)-MATCH($C$1,[1]quests!$1:$1,0)+1,FALSE)</f>
        <v>赤DL5</v>
      </c>
      <c r="F23" s="42">
        <v>5</v>
      </c>
      <c r="G23" s="25" t="str">
        <f t="shared" si="1"/>
        <v>22_5</v>
      </c>
      <c r="H23" s="17" t="str">
        <f ca="1">VLOOKUP($G23,OFFSET([1]stages!$A$1,0,0,COUNTA([1]stages!$A:$A),MATCH(H$1,[1]stages!$2:$2,0)-MATCH($G$1,[1]stages!$2:$2,0)+1),MATCH(H$1,[1]stages!$2:$2,0)-MATCH($G$1,[1]stages!$2:$2,0)+1,FALSE)</f>
        <v>22-5．真宴の月光</v>
      </c>
      <c r="I23" s="47">
        <v>2</v>
      </c>
      <c r="J23" s="44">
        <v>45</v>
      </c>
      <c r="K23" s="61">
        <v>60</v>
      </c>
    </row>
    <row r="24" spans="1:11" ht="21" customHeight="1" x14ac:dyDescent="0.15">
      <c r="A24" s="18" t="str">
        <f t="shared" si="0"/>
        <v>22_5-3</v>
      </c>
      <c r="B24" s="18" t="str">
        <f>IF(COUNTIF(enemy_habitats!$H:$H,A24),"OK","NG")</f>
        <v>OK</v>
      </c>
      <c r="C24" s="38">
        <v>22</v>
      </c>
      <c r="D24" s="23" t="str">
        <f ca="1">VLOOKUP($C24,OFFSET([1]quests!$A$1,0,0,COUNTA([1]quests!$A:$A),MATCH(D$1,[1]quests!$1:$1,0)-MATCH($C$1,[1]quests!$1:$1,0)+1),MATCH(D$1,[1]quests!$1:$1,0)-MATCH($C$1,[1]quests!$1:$1,0)+1,FALSE)</f>
        <v>22．紫炎の例大祭</v>
      </c>
      <c r="E24" s="23" t="str">
        <f ca="1">VLOOKUP($C24,OFFSET([1]quests!$A$1,0,0,COUNTA([1]quests!$A:$A),MATCH(E$1,[1]quests!$1:$1,0)-MATCH($C$1,[1]quests!$1:$1,0)+1),MATCH(E$1,[1]quests!$1:$1,0)-MATCH($C$1,[1]quests!$1:$1,0)+1,FALSE)</f>
        <v>赤DL5</v>
      </c>
      <c r="F24" s="42">
        <v>5</v>
      </c>
      <c r="G24" s="25" t="str">
        <f t="shared" si="1"/>
        <v>22_5</v>
      </c>
      <c r="H24" s="17" t="str">
        <f ca="1">VLOOKUP($G24,OFFSET([1]stages!$A$1,0,0,COUNTA([1]stages!$A:$A),MATCH(H$1,[1]stages!$2:$2,0)-MATCH($G$1,[1]stages!$2:$2,0)+1),MATCH(H$1,[1]stages!$2:$2,0)-MATCH($G$1,[1]stages!$2:$2,0)+1,FALSE)</f>
        <v>22-5．真宴の月光</v>
      </c>
      <c r="I24" s="47">
        <v>3</v>
      </c>
      <c r="J24" s="61">
        <v>60</v>
      </c>
      <c r="K24" s="61">
        <v>60</v>
      </c>
    </row>
    <row r="25" spans="1:11" ht="21" customHeight="1" x14ac:dyDescent="0.15">
      <c r="A25" s="18" t="str">
        <f t="shared" si="0"/>
        <v>22_5-4</v>
      </c>
      <c r="B25" s="18" t="str">
        <f>IF(COUNTIF(enemy_habitats!$H:$H,A25),"OK","NG")</f>
        <v>OK</v>
      </c>
      <c r="C25" s="38">
        <v>22</v>
      </c>
      <c r="D25" s="23" t="str">
        <f ca="1">VLOOKUP($C25,OFFSET([1]quests!$A$1,0,0,COUNTA([1]quests!$A:$A),MATCH(D$1,[1]quests!$1:$1,0)-MATCH($C$1,[1]quests!$1:$1,0)+1),MATCH(D$1,[1]quests!$1:$1,0)-MATCH($C$1,[1]quests!$1:$1,0)+1,FALSE)</f>
        <v>22．紫炎の例大祭</v>
      </c>
      <c r="E25" s="23" t="str">
        <f ca="1">VLOOKUP($C25,OFFSET([1]quests!$A$1,0,0,COUNTA([1]quests!$A:$A),MATCH(E$1,[1]quests!$1:$1,0)-MATCH($C$1,[1]quests!$1:$1,0)+1),MATCH(E$1,[1]quests!$1:$1,0)-MATCH($C$1,[1]quests!$1:$1,0)+1,FALSE)</f>
        <v>赤DL5</v>
      </c>
      <c r="F25" s="42">
        <v>5</v>
      </c>
      <c r="G25" s="25" t="str">
        <f t="shared" si="1"/>
        <v>22_5</v>
      </c>
      <c r="H25" s="17" t="str">
        <f ca="1">VLOOKUP($G25,OFFSET([1]stages!$A$1,0,0,COUNTA([1]stages!$A:$A),MATCH(H$1,[1]stages!$2:$2,0)-MATCH($G$1,[1]stages!$2:$2,0)+1),MATCH(H$1,[1]stages!$2:$2,0)-MATCH($G$1,[1]stages!$2:$2,0)+1,FALSE)</f>
        <v>22-5．真宴の月光</v>
      </c>
      <c r="I25" s="47">
        <v>4</v>
      </c>
      <c r="J25" s="44">
        <v>45</v>
      </c>
      <c r="K25" s="62">
        <v>45</v>
      </c>
    </row>
    <row r="26" spans="1:11" ht="21" customHeight="1" x14ac:dyDescent="0.15">
      <c r="A26" s="18" t="str">
        <f t="shared" si="0"/>
        <v>22_5-5</v>
      </c>
      <c r="B26" s="18" t="str">
        <f>IF(COUNTIF(enemy_habitats!$H:$H,A26),"OK","NG")</f>
        <v>OK</v>
      </c>
      <c r="C26" s="38">
        <v>22</v>
      </c>
      <c r="D26" s="23" t="str">
        <f ca="1">VLOOKUP($C26,OFFSET([1]quests!$A$1,0,0,COUNTA([1]quests!$A:$A),MATCH(D$1,[1]quests!$1:$1,0)-MATCH($C$1,[1]quests!$1:$1,0)+1),MATCH(D$1,[1]quests!$1:$1,0)-MATCH($C$1,[1]quests!$1:$1,0)+1,FALSE)</f>
        <v>22．紫炎の例大祭</v>
      </c>
      <c r="E26" s="23" t="str">
        <f ca="1">VLOOKUP($C26,OFFSET([1]quests!$A$1,0,0,COUNTA([1]quests!$A:$A),MATCH(E$1,[1]quests!$1:$1,0)-MATCH($C$1,[1]quests!$1:$1,0)+1),MATCH(E$1,[1]quests!$1:$1,0)-MATCH($C$1,[1]quests!$1:$1,0)+1,FALSE)</f>
        <v>赤DL5</v>
      </c>
      <c r="F26" s="42">
        <v>5</v>
      </c>
      <c r="G26" s="25" t="str">
        <f t="shared" si="1"/>
        <v>22_5</v>
      </c>
      <c r="H26" s="17" t="str">
        <f ca="1">VLOOKUP($G26,OFFSET([1]stages!$A$1,0,0,COUNTA([1]stages!$A:$A),MATCH(H$1,[1]stages!$2:$2,0)-MATCH($G$1,[1]stages!$2:$2,0)+1),MATCH(H$1,[1]stages!$2:$2,0)-MATCH($G$1,[1]stages!$2:$2,0)+1,FALSE)</f>
        <v>22-5．真宴の月光</v>
      </c>
      <c r="I26" s="47">
        <v>5</v>
      </c>
      <c r="J26" s="61">
        <v>60</v>
      </c>
      <c r="K26" s="61">
        <v>60</v>
      </c>
    </row>
    <row r="27" spans="1:11" ht="21" customHeight="1" x14ac:dyDescent="0.15">
      <c r="A27" s="18" t="str">
        <f t="shared" si="0"/>
        <v>22_6-1</v>
      </c>
      <c r="B27" s="18" t="str">
        <f>IF(COUNTIF(enemy_habitats!$H:$H,A27),"OK","NG")</f>
        <v>OK</v>
      </c>
      <c r="C27" s="38">
        <v>22</v>
      </c>
      <c r="D27" s="23" t="str">
        <f ca="1">VLOOKUP($C27,OFFSET([1]quests!$A$1,0,0,COUNTA([1]quests!$A:$A),MATCH(D$1,[1]quests!$1:$1,0)-MATCH($C$1,[1]quests!$1:$1,0)+1),MATCH(D$1,[1]quests!$1:$1,0)-MATCH($C$1,[1]quests!$1:$1,0)+1,FALSE)</f>
        <v>22．紫炎の例大祭</v>
      </c>
      <c r="E27" s="23" t="str">
        <f ca="1">VLOOKUP($C27,OFFSET([1]quests!$A$1,0,0,COUNTA([1]quests!$A:$A),MATCH(E$1,[1]quests!$1:$1,0)-MATCH($C$1,[1]quests!$1:$1,0)+1),MATCH(E$1,[1]quests!$1:$1,0)-MATCH($C$1,[1]quests!$1:$1,0)+1,FALSE)</f>
        <v>赤DL5</v>
      </c>
      <c r="F27" s="42">
        <v>6</v>
      </c>
      <c r="G27" s="25" t="str">
        <f t="shared" si="1"/>
        <v>22_6</v>
      </c>
      <c r="H27" s="17" t="str">
        <f ca="1">VLOOKUP($G27,OFFSET([1]stages!$A$1,0,0,COUNTA([1]stages!$A:$A),MATCH(H$1,[1]stages!$2:$2,0)-MATCH($G$1,[1]stages!$2:$2,0)+1),MATCH(H$1,[1]stages!$2:$2,0)-MATCH($G$1,[1]stages!$2:$2,0)+1,FALSE)</f>
        <v>22-6．【1回のみ】ボーナスステージ</v>
      </c>
      <c r="I27" s="47">
        <v>1</v>
      </c>
      <c r="J27" s="48">
        <v>40</v>
      </c>
      <c r="K27" s="48">
        <v>60</v>
      </c>
    </row>
    <row r="28" spans="1:11" ht="21" customHeight="1" x14ac:dyDescent="0.15">
      <c r="A28" s="18" t="str">
        <f t="shared" si="0"/>
        <v>22_6-2</v>
      </c>
      <c r="B28" s="18" t="str">
        <f>IF(COUNTIF(enemy_habitats!$H:$H,A28),"OK","NG")</f>
        <v>OK</v>
      </c>
      <c r="C28" s="38">
        <v>22</v>
      </c>
      <c r="D28" s="23" t="str">
        <f ca="1">VLOOKUP($C28,OFFSET([1]quests!$A$1,0,0,COUNTA([1]quests!$A:$A),MATCH(D$1,[1]quests!$1:$1,0)-MATCH($C$1,[1]quests!$1:$1,0)+1),MATCH(D$1,[1]quests!$1:$1,0)-MATCH($C$1,[1]quests!$1:$1,0)+1,FALSE)</f>
        <v>22．紫炎の例大祭</v>
      </c>
      <c r="E28" s="23" t="str">
        <f ca="1">VLOOKUP($C28,OFFSET([1]quests!$A$1,0,0,COUNTA([1]quests!$A:$A),MATCH(E$1,[1]quests!$1:$1,0)-MATCH($C$1,[1]quests!$1:$1,0)+1),MATCH(E$1,[1]quests!$1:$1,0)-MATCH($C$1,[1]quests!$1:$1,0)+1,FALSE)</f>
        <v>赤DL5</v>
      </c>
      <c r="F28" s="42">
        <v>6</v>
      </c>
      <c r="G28" s="25" t="str">
        <f t="shared" si="1"/>
        <v>22_6</v>
      </c>
      <c r="H28" s="17" t="str">
        <f ca="1">VLOOKUP($G28,OFFSET([1]stages!$A$1,0,0,COUNTA([1]stages!$A:$A),MATCH(H$1,[1]stages!$2:$2,0)-MATCH($G$1,[1]stages!$2:$2,0)+1),MATCH(H$1,[1]stages!$2:$2,0)-MATCH($G$1,[1]stages!$2:$2,0)+1,FALSE)</f>
        <v>22-6．【1回のみ】ボーナスステージ</v>
      </c>
      <c r="I28" s="47">
        <v>2</v>
      </c>
      <c r="J28" s="48">
        <v>40</v>
      </c>
      <c r="K28" s="48">
        <v>60</v>
      </c>
    </row>
    <row r="29" spans="1:11" ht="21" customHeight="1" x14ac:dyDescent="0.15">
      <c r="A29" s="18" t="str">
        <f t="shared" si="0"/>
        <v>22_6-3</v>
      </c>
      <c r="B29" s="18" t="str">
        <f>IF(COUNTIF(enemy_habitats!$H:$H,A29),"OK","NG")</f>
        <v>OK</v>
      </c>
      <c r="C29" s="38">
        <v>22</v>
      </c>
      <c r="D29" s="23" t="str">
        <f ca="1">VLOOKUP($C29,OFFSET([1]quests!$A$1,0,0,COUNTA([1]quests!$A:$A),MATCH(D$1,[1]quests!$1:$1,0)-MATCH($C$1,[1]quests!$1:$1,0)+1),MATCH(D$1,[1]quests!$1:$1,0)-MATCH($C$1,[1]quests!$1:$1,0)+1,FALSE)</f>
        <v>22．紫炎の例大祭</v>
      </c>
      <c r="E29" s="23" t="str">
        <f ca="1">VLOOKUP($C29,OFFSET([1]quests!$A$1,0,0,COUNTA([1]quests!$A:$A),MATCH(E$1,[1]quests!$1:$1,0)-MATCH($C$1,[1]quests!$1:$1,0)+1),MATCH(E$1,[1]quests!$1:$1,0)-MATCH($C$1,[1]quests!$1:$1,0)+1,FALSE)</f>
        <v>赤DL5</v>
      </c>
      <c r="F29" s="42">
        <v>6</v>
      </c>
      <c r="G29" s="25" t="str">
        <f t="shared" si="1"/>
        <v>22_6</v>
      </c>
      <c r="H29" s="17" t="str">
        <f ca="1">VLOOKUP($G29,OFFSET([1]stages!$A$1,0,0,COUNTA([1]stages!$A:$A),MATCH(H$1,[1]stages!$2:$2,0)-MATCH($G$1,[1]stages!$2:$2,0)+1),MATCH(H$1,[1]stages!$2:$2,0)-MATCH($G$1,[1]stages!$2:$2,0)+1,FALSE)</f>
        <v>22-6．【1回のみ】ボーナスステージ</v>
      </c>
      <c r="I29" s="47">
        <v>3</v>
      </c>
      <c r="J29" s="48">
        <v>40</v>
      </c>
      <c r="K29" s="48">
        <v>60</v>
      </c>
    </row>
    <row r="30" spans="1:11" ht="21" customHeight="1" x14ac:dyDescent="0.15">
      <c r="A30" s="18" t="str">
        <f t="shared" si="0"/>
        <v>22_6-4</v>
      </c>
      <c r="B30" s="18" t="str">
        <f>IF(COUNTIF(enemy_habitats!$H:$H,A30),"OK","NG")</f>
        <v>OK</v>
      </c>
      <c r="C30" s="38">
        <v>22</v>
      </c>
      <c r="D30" s="23" t="str">
        <f ca="1">VLOOKUP($C30,OFFSET([1]quests!$A$1,0,0,COUNTA([1]quests!$A:$A),MATCH(D$1,[1]quests!$1:$1,0)-MATCH($C$1,[1]quests!$1:$1,0)+1),MATCH(D$1,[1]quests!$1:$1,0)-MATCH($C$1,[1]quests!$1:$1,0)+1,FALSE)</f>
        <v>22．紫炎の例大祭</v>
      </c>
      <c r="E30" s="23" t="str">
        <f ca="1">VLOOKUP($C30,OFFSET([1]quests!$A$1,0,0,COUNTA([1]quests!$A:$A),MATCH(E$1,[1]quests!$1:$1,0)-MATCH($C$1,[1]quests!$1:$1,0)+1),MATCH(E$1,[1]quests!$1:$1,0)-MATCH($C$1,[1]quests!$1:$1,0)+1,FALSE)</f>
        <v>赤DL5</v>
      </c>
      <c r="F30" s="42">
        <v>6</v>
      </c>
      <c r="G30" s="25" t="str">
        <f t="shared" si="1"/>
        <v>22_6</v>
      </c>
      <c r="H30" s="17" t="str">
        <f ca="1">VLOOKUP($G30,OFFSET([1]stages!$A$1,0,0,COUNTA([1]stages!$A:$A),MATCH(H$1,[1]stages!$2:$2,0)-MATCH($G$1,[1]stages!$2:$2,0)+1),MATCH(H$1,[1]stages!$2:$2,0)-MATCH($G$1,[1]stages!$2:$2,0)+1,FALSE)</f>
        <v>22-6．【1回のみ】ボーナスステージ</v>
      </c>
      <c r="I30" s="47">
        <v>4</v>
      </c>
      <c r="J30" s="48">
        <v>60</v>
      </c>
      <c r="K30" s="48">
        <v>60</v>
      </c>
    </row>
    <row r="31" spans="1:11" ht="21" customHeight="1" x14ac:dyDescent="0.15">
      <c r="A31" s="18" t="str">
        <f t="shared" si="0"/>
        <v>22_6-5</v>
      </c>
      <c r="B31" s="18" t="str">
        <f>IF(COUNTIF(enemy_habitats!$H:$H,A31),"OK","NG")</f>
        <v>OK</v>
      </c>
      <c r="C31" s="38">
        <v>22</v>
      </c>
      <c r="D31" s="23" t="str">
        <f ca="1">VLOOKUP($C31,OFFSET([1]quests!$A$1,0,0,COUNTA([1]quests!$A:$A),MATCH(D$1,[1]quests!$1:$1,0)-MATCH($C$1,[1]quests!$1:$1,0)+1),MATCH(D$1,[1]quests!$1:$1,0)-MATCH($C$1,[1]quests!$1:$1,0)+1,FALSE)</f>
        <v>22．紫炎の例大祭</v>
      </c>
      <c r="E31" s="23" t="str">
        <f ca="1">VLOOKUP($C31,OFFSET([1]quests!$A$1,0,0,COUNTA([1]quests!$A:$A),MATCH(E$1,[1]quests!$1:$1,0)-MATCH($C$1,[1]quests!$1:$1,0)+1),MATCH(E$1,[1]quests!$1:$1,0)-MATCH($C$1,[1]quests!$1:$1,0)+1,FALSE)</f>
        <v>赤DL5</v>
      </c>
      <c r="F31" s="42">
        <v>6</v>
      </c>
      <c r="G31" s="25" t="str">
        <f t="shared" si="1"/>
        <v>22_6</v>
      </c>
      <c r="H31" s="17" t="str">
        <f ca="1">VLOOKUP($G31,OFFSET([1]stages!$A$1,0,0,COUNTA([1]stages!$A:$A),MATCH(H$1,[1]stages!$2:$2,0)-MATCH($G$1,[1]stages!$2:$2,0)+1),MATCH(H$1,[1]stages!$2:$2,0)-MATCH($G$1,[1]stages!$2:$2,0)+1,FALSE)</f>
        <v>22-6．【1回のみ】ボーナスステージ</v>
      </c>
      <c r="I31" s="47">
        <v>5</v>
      </c>
      <c r="J31" s="48">
        <v>40</v>
      </c>
      <c r="K31" s="48">
        <v>40</v>
      </c>
    </row>
    <row r="32" spans="1:11" ht="21" customHeight="1" x14ac:dyDescent="0.15">
      <c r="A32" s="18" t="str">
        <f t="shared" si="0"/>
        <v>23_1-1</v>
      </c>
      <c r="B32" s="18" t="str">
        <f>IF(COUNTIF(enemy_habitats!$H:$H,A32),"OK","NG")</f>
        <v>OK</v>
      </c>
      <c r="C32" s="40">
        <v>23</v>
      </c>
      <c r="D32" s="23" t="str">
        <f ca="1">VLOOKUP($C32,OFFSET([1]quests!$A$1,0,0,COUNTA([1]quests!$A:$A),MATCH(D$1,[1]quests!$1:$1,0)-MATCH($C$1,[1]quests!$1:$1,0)+1),MATCH(D$1,[1]quests!$1:$1,0)-MATCH($C$1,[1]quests!$1:$1,0)+1,FALSE)</f>
        <v>23．ファングフォレスト</v>
      </c>
      <c r="E32" s="23" t="str">
        <f ca="1">VLOOKUP($C32,OFFSET([1]quests!$A$1,0,0,COUNTA([1]quests!$A:$A),MATCH(E$1,[1]quests!$1:$1,0)-MATCH($C$1,[1]quests!$1:$1,0)+1),MATCH(E$1,[1]quests!$1:$1,0)-MATCH($C$1,[1]quests!$1:$1,0)+1,FALSE)</f>
        <v>緑DL5</v>
      </c>
      <c r="F32" s="42">
        <v>1</v>
      </c>
      <c r="G32" s="25" t="str">
        <f t="shared" si="1"/>
        <v>23_1</v>
      </c>
      <c r="H32" s="17" t="str">
        <f ca="1">VLOOKUP($G32,OFFSET([1]stages!$A$1,0,0,COUNTA([1]stages!$A:$A),MATCH(H$1,[1]stages!$2:$2,0)-MATCH($G$1,[1]stages!$2:$2,0)+1),MATCH(H$1,[1]stages!$2:$2,0)-MATCH($G$1,[1]stages!$2:$2,0)+1,FALSE)</f>
        <v>23-1．牙森の子どもたち</v>
      </c>
      <c r="I32" s="47">
        <v>1</v>
      </c>
      <c r="J32" s="44">
        <v>30</v>
      </c>
      <c r="K32" s="44">
        <v>30</v>
      </c>
    </row>
    <row r="33" spans="1:11" ht="21" customHeight="1" x14ac:dyDescent="0.15">
      <c r="A33" s="18" t="str">
        <f t="shared" si="0"/>
        <v>23_1-2</v>
      </c>
      <c r="B33" s="18" t="str">
        <f>IF(COUNTIF(enemy_habitats!$H:$H,A33),"OK","NG")</f>
        <v>OK</v>
      </c>
      <c r="C33" s="40">
        <v>23</v>
      </c>
      <c r="D33" s="23" t="str">
        <f ca="1">VLOOKUP($C33,OFFSET([1]quests!$A$1,0,0,COUNTA([1]quests!$A:$A),MATCH(D$1,[1]quests!$1:$1,0)-MATCH($C$1,[1]quests!$1:$1,0)+1),MATCH(D$1,[1]quests!$1:$1,0)-MATCH($C$1,[1]quests!$1:$1,0)+1,FALSE)</f>
        <v>23．ファングフォレスト</v>
      </c>
      <c r="E33" s="23" t="str">
        <f ca="1">VLOOKUP($C33,OFFSET([1]quests!$A$1,0,0,COUNTA([1]quests!$A:$A),MATCH(E$1,[1]quests!$1:$1,0)-MATCH($C$1,[1]quests!$1:$1,0)+1),MATCH(E$1,[1]quests!$1:$1,0)-MATCH($C$1,[1]quests!$1:$1,0)+1,FALSE)</f>
        <v>緑DL5</v>
      </c>
      <c r="F33" s="42">
        <v>1</v>
      </c>
      <c r="G33" s="25" t="str">
        <f t="shared" si="1"/>
        <v>23_1</v>
      </c>
      <c r="H33" s="17" t="str">
        <f ca="1">VLOOKUP($G33,OFFSET([1]stages!$A$1,0,0,COUNTA([1]stages!$A:$A),MATCH(H$1,[1]stages!$2:$2,0)-MATCH($G$1,[1]stages!$2:$2,0)+1),MATCH(H$1,[1]stages!$2:$2,0)-MATCH($G$1,[1]stages!$2:$2,0)+1,FALSE)</f>
        <v>23-1．牙森の子どもたち</v>
      </c>
      <c r="I33" s="47">
        <v>2</v>
      </c>
      <c r="J33" s="44">
        <v>45</v>
      </c>
      <c r="K33" s="44">
        <v>45</v>
      </c>
    </row>
    <row r="34" spans="1:11" ht="21" customHeight="1" x14ac:dyDescent="0.15">
      <c r="A34" s="18" t="str">
        <f t="shared" si="0"/>
        <v>23_1-3</v>
      </c>
      <c r="B34" s="18" t="str">
        <f>IF(COUNTIF(enemy_habitats!$H:$H,A34),"OK","NG")</f>
        <v>OK</v>
      </c>
      <c r="C34" s="40">
        <v>23</v>
      </c>
      <c r="D34" s="23" t="str">
        <f ca="1">VLOOKUP($C34,OFFSET([1]quests!$A$1,0,0,COUNTA([1]quests!$A:$A),MATCH(D$1,[1]quests!$1:$1,0)-MATCH($C$1,[1]quests!$1:$1,0)+1),MATCH(D$1,[1]quests!$1:$1,0)-MATCH($C$1,[1]quests!$1:$1,0)+1,FALSE)</f>
        <v>23．ファングフォレスト</v>
      </c>
      <c r="E34" s="23" t="str">
        <f ca="1">VLOOKUP($C34,OFFSET([1]quests!$A$1,0,0,COUNTA([1]quests!$A:$A),MATCH(E$1,[1]quests!$1:$1,0)-MATCH($C$1,[1]quests!$1:$1,0)+1),MATCH(E$1,[1]quests!$1:$1,0)-MATCH($C$1,[1]quests!$1:$1,0)+1,FALSE)</f>
        <v>緑DL5</v>
      </c>
      <c r="F34" s="42">
        <v>1</v>
      </c>
      <c r="G34" s="25" t="str">
        <f t="shared" si="1"/>
        <v>23_1</v>
      </c>
      <c r="H34" s="17" t="str">
        <f ca="1">VLOOKUP($G34,OFFSET([1]stages!$A$1,0,0,COUNTA([1]stages!$A:$A),MATCH(H$1,[1]stages!$2:$2,0)-MATCH($G$1,[1]stages!$2:$2,0)+1),MATCH(H$1,[1]stages!$2:$2,0)-MATCH($G$1,[1]stages!$2:$2,0)+1,FALSE)</f>
        <v>23-1．牙森の子どもたち</v>
      </c>
      <c r="I34" s="47">
        <v>3</v>
      </c>
      <c r="J34" s="44">
        <v>45</v>
      </c>
      <c r="K34" s="61">
        <v>60</v>
      </c>
    </row>
    <row r="35" spans="1:11" ht="21" customHeight="1" x14ac:dyDescent="0.15">
      <c r="A35" s="18" t="str">
        <f t="shared" si="0"/>
        <v>23_1-4</v>
      </c>
      <c r="B35" s="18" t="str">
        <f>IF(COUNTIF(enemy_habitats!$H:$H,A35),"OK","NG")</f>
        <v>OK</v>
      </c>
      <c r="C35" s="40">
        <v>23</v>
      </c>
      <c r="D35" s="23" t="str">
        <f ca="1">VLOOKUP($C35,OFFSET([1]quests!$A$1,0,0,COUNTA([1]quests!$A:$A),MATCH(D$1,[1]quests!$1:$1,0)-MATCH($C$1,[1]quests!$1:$1,0)+1),MATCH(D$1,[1]quests!$1:$1,0)-MATCH($C$1,[1]quests!$1:$1,0)+1,FALSE)</f>
        <v>23．ファングフォレスト</v>
      </c>
      <c r="E35" s="23" t="str">
        <f ca="1">VLOOKUP($C35,OFFSET([1]quests!$A$1,0,0,COUNTA([1]quests!$A:$A),MATCH(E$1,[1]quests!$1:$1,0)-MATCH($C$1,[1]quests!$1:$1,0)+1),MATCH(E$1,[1]quests!$1:$1,0)-MATCH($C$1,[1]quests!$1:$1,0)+1,FALSE)</f>
        <v>緑DL5</v>
      </c>
      <c r="F35" s="42">
        <v>1</v>
      </c>
      <c r="G35" s="25" t="str">
        <f t="shared" si="1"/>
        <v>23_1</v>
      </c>
      <c r="H35" s="17" t="str">
        <f ca="1">VLOOKUP($G35,OFFSET([1]stages!$A$1,0,0,COUNTA([1]stages!$A:$A),MATCH(H$1,[1]stages!$2:$2,0)-MATCH($G$1,[1]stages!$2:$2,0)+1),MATCH(H$1,[1]stages!$2:$2,0)-MATCH($G$1,[1]stages!$2:$2,0)+1,FALSE)</f>
        <v>23-1．牙森の子どもたち</v>
      </c>
      <c r="I35" s="47">
        <v>4</v>
      </c>
      <c r="J35" s="44">
        <v>45</v>
      </c>
      <c r="K35" s="44">
        <v>45</v>
      </c>
    </row>
    <row r="36" spans="1:11" ht="21" customHeight="1" x14ac:dyDescent="0.15">
      <c r="A36" s="18" t="str">
        <f t="shared" si="0"/>
        <v>23_1-5</v>
      </c>
      <c r="B36" s="18" t="str">
        <f>IF(COUNTIF(enemy_habitats!$H:$H,A36),"OK","NG")</f>
        <v>OK</v>
      </c>
      <c r="C36" s="40">
        <v>23</v>
      </c>
      <c r="D36" s="23" t="str">
        <f ca="1">VLOOKUP($C36,OFFSET([1]quests!$A$1,0,0,COUNTA([1]quests!$A:$A),MATCH(D$1,[1]quests!$1:$1,0)-MATCH($C$1,[1]quests!$1:$1,0)+1),MATCH(D$1,[1]quests!$1:$1,0)-MATCH($C$1,[1]quests!$1:$1,0)+1,FALSE)</f>
        <v>23．ファングフォレスト</v>
      </c>
      <c r="E36" s="23" t="str">
        <f ca="1">VLOOKUP($C36,OFFSET([1]quests!$A$1,0,0,COUNTA([1]quests!$A:$A),MATCH(E$1,[1]quests!$1:$1,0)-MATCH($C$1,[1]quests!$1:$1,0)+1),MATCH(E$1,[1]quests!$1:$1,0)-MATCH($C$1,[1]quests!$1:$1,0)+1,FALSE)</f>
        <v>緑DL5</v>
      </c>
      <c r="F36" s="42">
        <v>1</v>
      </c>
      <c r="G36" s="25" t="str">
        <f t="shared" si="1"/>
        <v>23_1</v>
      </c>
      <c r="H36" s="17" t="str">
        <f ca="1">VLOOKUP($G36,OFFSET([1]stages!$A$1,0,0,COUNTA([1]stages!$A:$A),MATCH(H$1,[1]stages!$2:$2,0)-MATCH($G$1,[1]stages!$2:$2,0)+1),MATCH(H$1,[1]stages!$2:$2,0)-MATCH($G$1,[1]stages!$2:$2,0)+1,FALSE)</f>
        <v>23-1．牙森の子どもたち</v>
      </c>
      <c r="I36" s="47">
        <v>5</v>
      </c>
      <c r="J36" s="61">
        <v>60</v>
      </c>
      <c r="K36" s="61">
        <v>60</v>
      </c>
    </row>
    <row r="37" spans="1:11" ht="21" customHeight="1" x14ac:dyDescent="0.15">
      <c r="A37" s="18" t="str">
        <f t="shared" si="0"/>
        <v>23_2-1</v>
      </c>
      <c r="B37" s="18" t="str">
        <f>IF(COUNTIF(enemy_habitats!$H:$H,A37),"OK","NG")</f>
        <v>OK</v>
      </c>
      <c r="C37" s="40">
        <v>23</v>
      </c>
      <c r="D37" s="23" t="str">
        <f ca="1">VLOOKUP($C37,OFFSET([1]quests!$A$1,0,0,COUNTA([1]quests!$A:$A),MATCH(D$1,[1]quests!$1:$1,0)-MATCH($C$1,[1]quests!$1:$1,0)+1),MATCH(D$1,[1]quests!$1:$1,0)-MATCH($C$1,[1]quests!$1:$1,0)+1,FALSE)</f>
        <v>23．ファングフォレスト</v>
      </c>
      <c r="E37" s="23" t="str">
        <f ca="1">VLOOKUP($C37,OFFSET([1]quests!$A$1,0,0,COUNTA([1]quests!$A:$A),MATCH(E$1,[1]quests!$1:$1,0)-MATCH($C$1,[1]quests!$1:$1,0)+1),MATCH(E$1,[1]quests!$1:$1,0)-MATCH($C$1,[1]quests!$1:$1,0)+1,FALSE)</f>
        <v>緑DL5</v>
      </c>
      <c r="F37" s="42">
        <v>2</v>
      </c>
      <c r="G37" s="25" t="str">
        <f t="shared" si="1"/>
        <v>23_2</v>
      </c>
      <c r="H37" s="17" t="str">
        <f ca="1">VLOOKUP($G37,OFFSET([1]stages!$A$1,0,0,COUNTA([1]stages!$A:$A),MATCH(H$1,[1]stages!$2:$2,0)-MATCH($G$1,[1]stages!$2:$2,0)+1),MATCH(H$1,[1]stages!$2:$2,0)-MATCH($G$1,[1]stages!$2:$2,0)+1,FALSE)</f>
        <v>23-2．微笑みの猛蛇</v>
      </c>
      <c r="I37" s="47">
        <v>1</v>
      </c>
      <c r="J37" s="44">
        <v>30</v>
      </c>
      <c r="K37" s="44">
        <v>30</v>
      </c>
    </row>
    <row r="38" spans="1:11" ht="21" customHeight="1" x14ac:dyDescent="0.15">
      <c r="A38" s="18" t="str">
        <f t="shared" si="0"/>
        <v>23_2-2</v>
      </c>
      <c r="B38" s="18" t="str">
        <f>IF(COUNTIF(enemy_habitats!$H:$H,A38),"OK","NG")</f>
        <v>OK</v>
      </c>
      <c r="C38" s="40">
        <v>23</v>
      </c>
      <c r="D38" s="23" t="str">
        <f ca="1">VLOOKUP($C38,OFFSET([1]quests!$A$1,0,0,COUNTA([1]quests!$A:$A),MATCH(D$1,[1]quests!$1:$1,0)-MATCH($C$1,[1]quests!$1:$1,0)+1),MATCH(D$1,[1]quests!$1:$1,0)-MATCH($C$1,[1]quests!$1:$1,0)+1,FALSE)</f>
        <v>23．ファングフォレスト</v>
      </c>
      <c r="E38" s="23" t="str">
        <f ca="1">VLOOKUP($C38,OFFSET([1]quests!$A$1,0,0,COUNTA([1]quests!$A:$A),MATCH(E$1,[1]quests!$1:$1,0)-MATCH($C$1,[1]quests!$1:$1,0)+1),MATCH(E$1,[1]quests!$1:$1,0)-MATCH($C$1,[1]quests!$1:$1,0)+1,FALSE)</f>
        <v>緑DL5</v>
      </c>
      <c r="F38" s="42">
        <v>2</v>
      </c>
      <c r="G38" s="25" t="str">
        <f t="shared" si="1"/>
        <v>23_2</v>
      </c>
      <c r="H38" s="17" t="str">
        <f ca="1">VLOOKUP($G38,OFFSET([1]stages!$A$1,0,0,COUNTA([1]stages!$A:$A),MATCH(H$1,[1]stages!$2:$2,0)-MATCH($G$1,[1]stages!$2:$2,0)+1),MATCH(H$1,[1]stages!$2:$2,0)-MATCH($G$1,[1]stages!$2:$2,0)+1,FALSE)</f>
        <v>23-2．微笑みの猛蛇</v>
      </c>
      <c r="I38" s="47">
        <v>2</v>
      </c>
      <c r="J38" s="44">
        <v>45</v>
      </c>
      <c r="K38" s="44">
        <v>45</v>
      </c>
    </row>
    <row r="39" spans="1:11" ht="21" customHeight="1" x14ac:dyDescent="0.15">
      <c r="A39" s="18" t="str">
        <f t="shared" si="0"/>
        <v>23_2-3</v>
      </c>
      <c r="B39" s="18" t="str">
        <f>IF(COUNTIF(enemy_habitats!$H:$H,A39),"OK","NG")</f>
        <v>OK</v>
      </c>
      <c r="C39" s="40">
        <v>23</v>
      </c>
      <c r="D39" s="23" t="str">
        <f ca="1">VLOOKUP($C39,OFFSET([1]quests!$A$1,0,0,COUNTA([1]quests!$A:$A),MATCH(D$1,[1]quests!$1:$1,0)-MATCH($C$1,[1]quests!$1:$1,0)+1),MATCH(D$1,[1]quests!$1:$1,0)-MATCH($C$1,[1]quests!$1:$1,0)+1,FALSE)</f>
        <v>23．ファングフォレスト</v>
      </c>
      <c r="E39" s="23" t="str">
        <f ca="1">VLOOKUP($C39,OFFSET([1]quests!$A$1,0,0,COUNTA([1]quests!$A:$A),MATCH(E$1,[1]quests!$1:$1,0)-MATCH($C$1,[1]quests!$1:$1,0)+1),MATCH(E$1,[1]quests!$1:$1,0)-MATCH($C$1,[1]quests!$1:$1,0)+1,FALSE)</f>
        <v>緑DL5</v>
      </c>
      <c r="F39" s="42">
        <v>2</v>
      </c>
      <c r="G39" s="25" t="str">
        <f t="shared" si="1"/>
        <v>23_2</v>
      </c>
      <c r="H39" s="17" t="str">
        <f ca="1">VLOOKUP($G39,OFFSET([1]stages!$A$1,0,0,COUNTA([1]stages!$A:$A),MATCH(H$1,[1]stages!$2:$2,0)-MATCH($G$1,[1]stages!$2:$2,0)+1),MATCH(H$1,[1]stages!$2:$2,0)-MATCH($G$1,[1]stages!$2:$2,0)+1,FALSE)</f>
        <v>23-2．微笑みの猛蛇</v>
      </c>
      <c r="I39" s="47">
        <v>3</v>
      </c>
      <c r="J39" s="44">
        <v>45</v>
      </c>
      <c r="K39" s="44">
        <v>60</v>
      </c>
    </row>
    <row r="40" spans="1:11" ht="21" customHeight="1" x14ac:dyDescent="0.15">
      <c r="A40" s="18" t="str">
        <f t="shared" si="0"/>
        <v>23_2-4</v>
      </c>
      <c r="B40" s="18" t="str">
        <f>IF(COUNTIF(enemy_habitats!$H:$H,A40),"OK","NG")</f>
        <v>OK</v>
      </c>
      <c r="C40" s="40">
        <v>23</v>
      </c>
      <c r="D40" s="23" t="str">
        <f ca="1">VLOOKUP($C40,OFFSET([1]quests!$A$1,0,0,COUNTA([1]quests!$A:$A),MATCH(D$1,[1]quests!$1:$1,0)-MATCH($C$1,[1]quests!$1:$1,0)+1),MATCH(D$1,[1]quests!$1:$1,0)-MATCH($C$1,[1]quests!$1:$1,0)+1,FALSE)</f>
        <v>23．ファングフォレスト</v>
      </c>
      <c r="E40" s="23" t="str">
        <f ca="1">VLOOKUP($C40,OFFSET([1]quests!$A$1,0,0,COUNTA([1]quests!$A:$A),MATCH(E$1,[1]quests!$1:$1,0)-MATCH($C$1,[1]quests!$1:$1,0)+1),MATCH(E$1,[1]quests!$1:$1,0)-MATCH($C$1,[1]quests!$1:$1,0)+1,FALSE)</f>
        <v>緑DL5</v>
      </c>
      <c r="F40" s="42">
        <v>2</v>
      </c>
      <c r="G40" s="25" t="str">
        <f t="shared" si="1"/>
        <v>23_2</v>
      </c>
      <c r="H40" s="17" t="str">
        <f ca="1">VLOOKUP($G40,OFFSET([1]stages!$A$1,0,0,COUNTA([1]stages!$A:$A),MATCH(H$1,[1]stages!$2:$2,0)-MATCH($G$1,[1]stages!$2:$2,0)+1),MATCH(H$1,[1]stages!$2:$2,0)-MATCH($G$1,[1]stages!$2:$2,0)+1,FALSE)</f>
        <v>23-2．微笑みの猛蛇</v>
      </c>
      <c r="I40" s="47">
        <v>4</v>
      </c>
      <c r="J40" s="44">
        <v>45</v>
      </c>
      <c r="K40" s="44">
        <v>45</v>
      </c>
    </row>
    <row r="41" spans="1:11" ht="21" customHeight="1" x14ac:dyDescent="0.15">
      <c r="A41" s="18" t="str">
        <f t="shared" si="0"/>
        <v>23_2-5</v>
      </c>
      <c r="B41" s="18" t="str">
        <f>IF(COUNTIF(enemy_habitats!$H:$H,A41),"OK","NG")</f>
        <v>OK</v>
      </c>
      <c r="C41" s="40">
        <v>23</v>
      </c>
      <c r="D41" s="23" t="str">
        <f ca="1">VLOOKUP($C41,OFFSET([1]quests!$A$1,0,0,COUNTA([1]quests!$A:$A),MATCH(D$1,[1]quests!$1:$1,0)-MATCH($C$1,[1]quests!$1:$1,0)+1),MATCH(D$1,[1]quests!$1:$1,0)-MATCH($C$1,[1]quests!$1:$1,0)+1,FALSE)</f>
        <v>23．ファングフォレスト</v>
      </c>
      <c r="E41" s="23" t="str">
        <f ca="1">VLOOKUP($C41,OFFSET([1]quests!$A$1,0,0,COUNTA([1]quests!$A:$A),MATCH(E$1,[1]quests!$1:$1,0)-MATCH($C$1,[1]quests!$1:$1,0)+1),MATCH(E$1,[1]quests!$1:$1,0)-MATCH($C$1,[1]quests!$1:$1,0)+1,FALSE)</f>
        <v>緑DL5</v>
      </c>
      <c r="F41" s="42">
        <v>2</v>
      </c>
      <c r="G41" s="25" t="str">
        <f t="shared" si="1"/>
        <v>23_2</v>
      </c>
      <c r="H41" s="17" t="str">
        <f ca="1">VLOOKUP($G41,OFFSET([1]stages!$A$1,0,0,COUNTA([1]stages!$A:$A),MATCH(H$1,[1]stages!$2:$2,0)-MATCH($G$1,[1]stages!$2:$2,0)+1),MATCH(H$1,[1]stages!$2:$2,0)-MATCH($G$1,[1]stages!$2:$2,0)+1,FALSE)</f>
        <v>23-2．微笑みの猛蛇</v>
      </c>
      <c r="I41" s="47">
        <v>5</v>
      </c>
      <c r="J41" s="61">
        <v>60</v>
      </c>
      <c r="K41" s="61">
        <v>60</v>
      </c>
    </row>
    <row r="42" spans="1:11" ht="21" customHeight="1" x14ac:dyDescent="0.15">
      <c r="A42" s="18" t="str">
        <f t="shared" si="0"/>
        <v>23_3-1</v>
      </c>
      <c r="B42" s="18" t="str">
        <f>IF(COUNTIF(enemy_habitats!$H:$H,A42),"OK","NG")</f>
        <v>OK</v>
      </c>
      <c r="C42" s="40">
        <v>23</v>
      </c>
      <c r="D42" s="23" t="str">
        <f ca="1">VLOOKUP($C42,OFFSET([1]quests!$A$1,0,0,COUNTA([1]quests!$A:$A),MATCH(D$1,[1]quests!$1:$1,0)-MATCH($C$1,[1]quests!$1:$1,0)+1),MATCH(D$1,[1]quests!$1:$1,0)-MATCH($C$1,[1]quests!$1:$1,0)+1,FALSE)</f>
        <v>23．ファングフォレスト</v>
      </c>
      <c r="E42" s="23" t="str">
        <f ca="1">VLOOKUP($C42,OFFSET([1]quests!$A$1,0,0,COUNTA([1]quests!$A:$A),MATCH(E$1,[1]quests!$1:$1,0)-MATCH($C$1,[1]quests!$1:$1,0)+1),MATCH(E$1,[1]quests!$1:$1,0)-MATCH($C$1,[1]quests!$1:$1,0)+1,FALSE)</f>
        <v>緑DL5</v>
      </c>
      <c r="F42" s="42">
        <v>3</v>
      </c>
      <c r="G42" s="25" t="str">
        <f t="shared" si="1"/>
        <v>23_3</v>
      </c>
      <c r="H42" s="17" t="str">
        <f ca="1">VLOOKUP($G42,OFFSET([1]stages!$A$1,0,0,COUNTA([1]stages!$A:$A),MATCH(H$1,[1]stages!$2:$2,0)-MATCH($G$1,[1]stages!$2:$2,0)+1),MATCH(H$1,[1]stages!$2:$2,0)-MATCH($G$1,[1]stages!$2:$2,0)+1,FALSE)</f>
        <v>23-3．震える大地</v>
      </c>
      <c r="I42" s="47">
        <v>1</v>
      </c>
      <c r="J42" s="44">
        <v>30</v>
      </c>
      <c r="K42" s="44">
        <v>30</v>
      </c>
    </row>
    <row r="43" spans="1:11" ht="21" customHeight="1" x14ac:dyDescent="0.15">
      <c r="A43" s="18" t="str">
        <f t="shared" si="0"/>
        <v>23_3-2</v>
      </c>
      <c r="B43" s="18" t="str">
        <f>IF(COUNTIF(enemy_habitats!$H:$H,A43),"OK","NG")</f>
        <v>OK</v>
      </c>
      <c r="C43" s="40">
        <v>23</v>
      </c>
      <c r="D43" s="23" t="str">
        <f ca="1">VLOOKUP($C43,OFFSET([1]quests!$A$1,0,0,COUNTA([1]quests!$A:$A),MATCH(D$1,[1]quests!$1:$1,0)-MATCH($C$1,[1]quests!$1:$1,0)+1),MATCH(D$1,[1]quests!$1:$1,0)-MATCH($C$1,[1]quests!$1:$1,0)+1,FALSE)</f>
        <v>23．ファングフォレスト</v>
      </c>
      <c r="E43" s="23" t="str">
        <f ca="1">VLOOKUP($C43,OFFSET([1]quests!$A$1,0,0,COUNTA([1]quests!$A:$A),MATCH(E$1,[1]quests!$1:$1,0)-MATCH($C$1,[1]quests!$1:$1,0)+1),MATCH(E$1,[1]quests!$1:$1,0)-MATCH($C$1,[1]quests!$1:$1,0)+1,FALSE)</f>
        <v>緑DL5</v>
      </c>
      <c r="F43" s="42">
        <v>3</v>
      </c>
      <c r="G43" s="25" t="str">
        <f t="shared" si="1"/>
        <v>23_3</v>
      </c>
      <c r="H43" s="17" t="str">
        <f ca="1">VLOOKUP($G43,OFFSET([1]stages!$A$1,0,0,COUNTA([1]stages!$A:$A),MATCH(H$1,[1]stages!$2:$2,0)-MATCH($G$1,[1]stages!$2:$2,0)+1),MATCH(H$1,[1]stages!$2:$2,0)-MATCH($G$1,[1]stages!$2:$2,0)+1,FALSE)</f>
        <v>23-3．震える大地</v>
      </c>
      <c r="I43" s="47">
        <v>2</v>
      </c>
      <c r="J43" s="44">
        <v>45</v>
      </c>
      <c r="K43" s="44">
        <v>45</v>
      </c>
    </row>
    <row r="44" spans="1:11" ht="21" customHeight="1" x14ac:dyDescent="0.15">
      <c r="A44" s="18" t="str">
        <f t="shared" si="0"/>
        <v>23_3-3</v>
      </c>
      <c r="B44" s="18" t="str">
        <f>IF(COUNTIF(enemy_habitats!$H:$H,A44),"OK","NG")</f>
        <v>OK</v>
      </c>
      <c r="C44" s="40">
        <v>23</v>
      </c>
      <c r="D44" s="23" t="str">
        <f ca="1">VLOOKUP($C44,OFFSET([1]quests!$A$1,0,0,COUNTA([1]quests!$A:$A),MATCH(D$1,[1]quests!$1:$1,0)-MATCH($C$1,[1]quests!$1:$1,0)+1),MATCH(D$1,[1]quests!$1:$1,0)-MATCH($C$1,[1]quests!$1:$1,0)+1,FALSE)</f>
        <v>23．ファングフォレスト</v>
      </c>
      <c r="E44" s="23" t="str">
        <f ca="1">VLOOKUP($C44,OFFSET([1]quests!$A$1,0,0,COUNTA([1]quests!$A:$A),MATCH(E$1,[1]quests!$1:$1,0)-MATCH($C$1,[1]quests!$1:$1,0)+1),MATCH(E$1,[1]quests!$1:$1,0)-MATCH($C$1,[1]quests!$1:$1,0)+1,FALSE)</f>
        <v>緑DL5</v>
      </c>
      <c r="F44" s="42">
        <v>3</v>
      </c>
      <c r="G44" s="25" t="str">
        <f t="shared" si="1"/>
        <v>23_3</v>
      </c>
      <c r="H44" s="17" t="str">
        <f ca="1">VLOOKUP($G44,OFFSET([1]stages!$A$1,0,0,COUNTA([1]stages!$A:$A),MATCH(H$1,[1]stages!$2:$2,0)-MATCH($G$1,[1]stages!$2:$2,0)+1),MATCH(H$1,[1]stages!$2:$2,0)-MATCH($G$1,[1]stages!$2:$2,0)+1,FALSE)</f>
        <v>23-3．震える大地</v>
      </c>
      <c r="I44" s="47">
        <v>3</v>
      </c>
      <c r="J44" s="61">
        <v>60</v>
      </c>
      <c r="K44" s="61">
        <v>60</v>
      </c>
    </row>
    <row r="45" spans="1:11" ht="21" customHeight="1" x14ac:dyDescent="0.15">
      <c r="A45" s="18" t="str">
        <f t="shared" si="0"/>
        <v>23_3-4</v>
      </c>
      <c r="B45" s="18" t="str">
        <f>IF(COUNTIF(enemy_habitats!$H:$H,A45),"OK","NG")</f>
        <v>OK</v>
      </c>
      <c r="C45" s="40">
        <v>23</v>
      </c>
      <c r="D45" s="23" t="str">
        <f ca="1">VLOOKUP($C45,OFFSET([1]quests!$A$1,0,0,COUNTA([1]quests!$A:$A),MATCH(D$1,[1]quests!$1:$1,0)-MATCH($C$1,[1]quests!$1:$1,0)+1),MATCH(D$1,[1]quests!$1:$1,0)-MATCH($C$1,[1]quests!$1:$1,0)+1,FALSE)</f>
        <v>23．ファングフォレスト</v>
      </c>
      <c r="E45" s="23" t="str">
        <f ca="1">VLOOKUP($C45,OFFSET([1]quests!$A$1,0,0,COUNTA([1]quests!$A:$A),MATCH(E$1,[1]quests!$1:$1,0)-MATCH($C$1,[1]quests!$1:$1,0)+1),MATCH(E$1,[1]quests!$1:$1,0)-MATCH($C$1,[1]quests!$1:$1,0)+1,FALSE)</f>
        <v>緑DL5</v>
      </c>
      <c r="F45" s="42">
        <v>3</v>
      </c>
      <c r="G45" s="25" t="str">
        <f t="shared" si="1"/>
        <v>23_3</v>
      </c>
      <c r="H45" s="17" t="str">
        <f ca="1">VLOOKUP($G45,OFFSET([1]stages!$A$1,0,0,COUNTA([1]stages!$A:$A),MATCH(H$1,[1]stages!$2:$2,0)-MATCH($G$1,[1]stages!$2:$2,0)+1),MATCH(H$1,[1]stages!$2:$2,0)-MATCH($G$1,[1]stages!$2:$2,0)+1,FALSE)</f>
        <v>23-3．震える大地</v>
      </c>
      <c r="I45" s="47">
        <v>4</v>
      </c>
      <c r="J45" s="44">
        <v>45</v>
      </c>
      <c r="K45" s="44">
        <v>45</v>
      </c>
    </row>
    <row r="46" spans="1:11" ht="21" customHeight="1" x14ac:dyDescent="0.15">
      <c r="A46" s="18" t="str">
        <f t="shared" si="0"/>
        <v>23_3-5</v>
      </c>
      <c r="B46" s="18" t="str">
        <f>IF(COUNTIF(enemy_habitats!$H:$H,A46),"OK","NG")</f>
        <v>OK</v>
      </c>
      <c r="C46" s="40">
        <v>23</v>
      </c>
      <c r="D46" s="23" t="str">
        <f ca="1">VLOOKUP($C46,OFFSET([1]quests!$A$1,0,0,COUNTA([1]quests!$A:$A),MATCH(D$1,[1]quests!$1:$1,0)-MATCH($C$1,[1]quests!$1:$1,0)+1),MATCH(D$1,[1]quests!$1:$1,0)-MATCH($C$1,[1]quests!$1:$1,0)+1,FALSE)</f>
        <v>23．ファングフォレスト</v>
      </c>
      <c r="E46" s="23" t="str">
        <f ca="1">VLOOKUP($C46,OFFSET([1]quests!$A$1,0,0,COUNTA([1]quests!$A:$A),MATCH(E$1,[1]quests!$1:$1,0)-MATCH($C$1,[1]quests!$1:$1,0)+1),MATCH(E$1,[1]quests!$1:$1,0)-MATCH($C$1,[1]quests!$1:$1,0)+1,FALSE)</f>
        <v>緑DL5</v>
      </c>
      <c r="F46" s="42">
        <v>3</v>
      </c>
      <c r="G46" s="25" t="str">
        <f t="shared" si="1"/>
        <v>23_3</v>
      </c>
      <c r="H46" s="17" t="str">
        <f ca="1">VLOOKUP($G46,OFFSET([1]stages!$A$1,0,0,COUNTA([1]stages!$A:$A),MATCH(H$1,[1]stages!$2:$2,0)-MATCH($G$1,[1]stages!$2:$2,0)+1),MATCH(H$1,[1]stages!$2:$2,0)-MATCH($G$1,[1]stages!$2:$2,0)+1,FALSE)</f>
        <v>23-3．震える大地</v>
      </c>
      <c r="I46" s="47">
        <v>5</v>
      </c>
      <c r="J46" s="61">
        <v>60</v>
      </c>
      <c r="K46" s="61">
        <v>60</v>
      </c>
    </row>
    <row r="47" spans="1:11" ht="21" customHeight="1" x14ac:dyDescent="0.15">
      <c r="A47" s="18" t="str">
        <f t="shared" si="0"/>
        <v>23_4-1</v>
      </c>
      <c r="B47" s="18" t="str">
        <f>IF(COUNTIF(enemy_habitats!$H:$H,A47),"OK","NG")</f>
        <v>OK</v>
      </c>
      <c r="C47" s="40">
        <v>23</v>
      </c>
      <c r="D47" s="23" t="str">
        <f ca="1">VLOOKUP($C47,OFFSET([1]quests!$A$1,0,0,COUNTA([1]quests!$A:$A),MATCH(D$1,[1]quests!$1:$1,0)-MATCH($C$1,[1]quests!$1:$1,0)+1),MATCH(D$1,[1]quests!$1:$1,0)-MATCH($C$1,[1]quests!$1:$1,0)+1,FALSE)</f>
        <v>23．ファングフォレスト</v>
      </c>
      <c r="E47" s="23" t="str">
        <f ca="1">VLOOKUP($C47,OFFSET([1]quests!$A$1,0,0,COUNTA([1]quests!$A:$A),MATCH(E$1,[1]quests!$1:$1,0)-MATCH($C$1,[1]quests!$1:$1,0)+1),MATCH(E$1,[1]quests!$1:$1,0)-MATCH($C$1,[1]quests!$1:$1,0)+1,FALSE)</f>
        <v>緑DL5</v>
      </c>
      <c r="F47" s="42">
        <v>4</v>
      </c>
      <c r="G47" s="25" t="str">
        <f t="shared" si="1"/>
        <v>23_4</v>
      </c>
      <c r="H47" s="17" t="str">
        <f ca="1">VLOOKUP($G47,OFFSET([1]stages!$A$1,0,0,COUNTA([1]stages!$A:$A),MATCH(H$1,[1]stages!$2:$2,0)-MATCH($G$1,[1]stages!$2:$2,0)+1),MATCH(H$1,[1]stages!$2:$2,0)-MATCH($G$1,[1]stages!$2:$2,0)+1,FALSE)</f>
        <v>23-4．森は咬み千切る</v>
      </c>
      <c r="I47" s="47">
        <v>1</v>
      </c>
      <c r="J47" s="44">
        <v>30</v>
      </c>
      <c r="K47" s="44">
        <v>30</v>
      </c>
    </row>
    <row r="48" spans="1:11" ht="21" customHeight="1" x14ac:dyDescent="0.15">
      <c r="A48" s="18" t="str">
        <f t="shared" si="0"/>
        <v>23_4-2</v>
      </c>
      <c r="B48" s="18" t="str">
        <f>IF(COUNTIF(enemy_habitats!$H:$H,A48),"OK","NG")</f>
        <v>OK</v>
      </c>
      <c r="C48" s="40">
        <v>23</v>
      </c>
      <c r="D48" s="23" t="str">
        <f ca="1">VLOOKUP($C48,OFFSET([1]quests!$A$1,0,0,COUNTA([1]quests!$A:$A),MATCH(D$1,[1]quests!$1:$1,0)-MATCH($C$1,[1]quests!$1:$1,0)+1),MATCH(D$1,[1]quests!$1:$1,0)-MATCH($C$1,[1]quests!$1:$1,0)+1,FALSE)</f>
        <v>23．ファングフォレスト</v>
      </c>
      <c r="E48" s="23" t="str">
        <f ca="1">VLOOKUP($C48,OFFSET([1]quests!$A$1,0,0,COUNTA([1]quests!$A:$A),MATCH(E$1,[1]quests!$1:$1,0)-MATCH($C$1,[1]quests!$1:$1,0)+1),MATCH(E$1,[1]quests!$1:$1,0)-MATCH($C$1,[1]quests!$1:$1,0)+1,FALSE)</f>
        <v>緑DL5</v>
      </c>
      <c r="F48" s="42">
        <v>4</v>
      </c>
      <c r="G48" s="25" t="str">
        <f t="shared" si="1"/>
        <v>23_4</v>
      </c>
      <c r="H48" s="17" t="str">
        <f ca="1">VLOOKUP($G48,OFFSET([1]stages!$A$1,0,0,COUNTA([1]stages!$A:$A),MATCH(H$1,[1]stages!$2:$2,0)-MATCH($G$1,[1]stages!$2:$2,0)+1),MATCH(H$1,[1]stages!$2:$2,0)-MATCH($G$1,[1]stages!$2:$2,0)+1,FALSE)</f>
        <v>23-4．森は咬み千切る</v>
      </c>
      <c r="I48" s="47">
        <v>2</v>
      </c>
      <c r="J48" s="44">
        <v>45</v>
      </c>
      <c r="K48" s="44">
        <v>45</v>
      </c>
    </row>
    <row r="49" spans="1:11" ht="21" customHeight="1" x14ac:dyDescent="0.15">
      <c r="A49" s="18" t="str">
        <f t="shared" si="0"/>
        <v>23_4-3</v>
      </c>
      <c r="B49" s="18" t="str">
        <f>IF(COUNTIF(enemy_habitats!$H:$H,A49),"OK","NG")</f>
        <v>OK</v>
      </c>
      <c r="C49" s="40">
        <v>23</v>
      </c>
      <c r="D49" s="23" t="str">
        <f ca="1">VLOOKUP($C49,OFFSET([1]quests!$A$1,0,0,COUNTA([1]quests!$A:$A),MATCH(D$1,[1]quests!$1:$1,0)-MATCH($C$1,[1]quests!$1:$1,0)+1),MATCH(D$1,[1]quests!$1:$1,0)-MATCH($C$1,[1]quests!$1:$1,0)+1,FALSE)</f>
        <v>23．ファングフォレスト</v>
      </c>
      <c r="E49" s="23" t="str">
        <f ca="1">VLOOKUP($C49,OFFSET([1]quests!$A$1,0,0,COUNTA([1]quests!$A:$A),MATCH(E$1,[1]quests!$1:$1,0)-MATCH($C$1,[1]quests!$1:$1,0)+1),MATCH(E$1,[1]quests!$1:$1,0)-MATCH($C$1,[1]quests!$1:$1,0)+1,FALSE)</f>
        <v>緑DL5</v>
      </c>
      <c r="F49" s="42">
        <v>4</v>
      </c>
      <c r="G49" s="25" t="str">
        <f t="shared" si="1"/>
        <v>23_4</v>
      </c>
      <c r="H49" s="17" t="str">
        <f ca="1">VLOOKUP($G49,OFFSET([1]stages!$A$1,0,0,COUNTA([1]stages!$A:$A),MATCH(H$1,[1]stages!$2:$2,0)-MATCH($G$1,[1]stages!$2:$2,0)+1),MATCH(H$1,[1]stages!$2:$2,0)-MATCH($G$1,[1]stages!$2:$2,0)+1,FALSE)</f>
        <v>23-4．森は咬み千切る</v>
      </c>
      <c r="I49" s="47">
        <v>3</v>
      </c>
      <c r="J49" s="61">
        <v>60</v>
      </c>
      <c r="K49" s="61">
        <v>60</v>
      </c>
    </row>
    <row r="50" spans="1:11" ht="21" customHeight="1" x14ac:dyDescent="0.15">
      <c r="A50" s="18" t="str">
        <f t="shared" si="0"/>
        <v>23_4-4</v>
      </c>
      <c r="B50" s="18" t="str">
        <f>IF(COUNTIF(enemy_habitats!$H:$H,A50),"OK","NG")</f>
        <v>OK</v>
      </c>
      <c r="C50" s="40">
        <v>23</v>
      </c>
      <c r="D50" s="23" t="str">
        <f ca="1">VLOOKUP($C50,OFFSET([1]quests!$A$1,0,0,COUNTA([1]quests!$A:$A),MATCH(D$1,[1]quests!$1:$1,0)-MATCH($C$1,[1]quests!$1:$1,0)+1),MATCH(D$1,[1]quests!$1:$1,0)-MATCH($C$1,[1]quests!$1:$1,0)+1,FALSE)</f>
        <v>23．ファングフォレスト</v>
      </c>
      <c r="E50" s="23" t="str">
        <f ca="1">VLOOKUP($C50,OFFSET([1]quests!$A$1,0,0,COUNTA([1]quests!$A:$A),MATCH(E$1,[1]quests!$1:$1,0)-MATCH($C$1,[1]quests!$1:$1,0)+1),MATCH(E$1,[1]quests!$1:$1,0)-MATCH($C$1,[1]quests!$1:$1,0)+1,FALSE)</f>
        <v>緑DL5</v>
      </c>
      <c r="F50" s="42">
        <v>4</v>
      </c>
      <c r="G50" s="25" t="str">
        <f t="shared" si="1"/>
        <v>23_4</v>
      </c>
      <c r="H50" s="17" t="str">
        <f ca="1">VLOOKUP($G50,OFFSET([1]stages!$A$1,0,0,COUNTA([1]stages!$A:$A),MATCH(H$1,[1]stages!$2:$2,0)-MATCH($G$1,[1]stages!$2:$2,0)+1),MATCH(H$1,[1]stages!$2:$2,0)-MATCH($G$1,[1]stages!$2:$2,0)+1,FALSE)</f>
        <v>23-4．森は咬み千切る</v>
      </c>
      <c r="I50" s="47">
        <v>4</v>
      </c>
      <c r="J50" s="44">
        <v>45</v>
      </c>
      <c r="K50" s="44">
        <v>45</v>
      </c>
    </row>
    <row r="51" spans="1:11" ht="21" customHeight="1" x14ac:dyDescent="0.15">
      <c r="A51" s="18" t="str">
        <f t="shared" si="0"/>
        <v>23_4-5</v>
      </c>
      <c r="B51" s="18" t="str">
        <f>IF(COUNTIF(enemy_habitats!$H:$H,A51),"OK","NG")</f>
        <v>OK</v>
      </c>
      <c r="C51" s="40">
        <v>23</v>
      </c>
      <c r="D51" s="23" t="str">
        <f ca="1">VLOOKUP($C51,OFFSET([1]quests!$A$1,0,0,COUNTA([1]quests!$A:$A),MATCH(D$1,[1]quests!$1:$1,0)-MATCH($C$1,[1]quests!$1:$1,0)+1),MATCH(D$1,[1]quests!$1:$1,0)-MATCH($C$1,[1]quests!$1:$1,0)+1,FALSE)</f>
        <v>23．ファングフォレスト</v>
      </c>
      <c r="E51" s="23" t="str">
        <f ca="1">VLOOKUP($C51,OFFSET([1]quests!$A$1,0,0,COUNTA([1]quests!$A:$A),MATCH(E$1,[1]quests!$1:$1,0)-MATCH($C$1,[1]quests!$1:$1,0)+1),MATCH(E$1,[1]quests!$1:$1,0)-MATCH($C$1,[1]quests!$1:$1,0)+1,FALSE)</f>
        <v>緑DL5</v>
      </c>
      <c r="F51" s="42">
        <v>4</v>
      </c>
      <c r="G51" s="25" t="str">
        <f t="shared" si="1"/>
        <v>23_4</v>
      </c>
      <c r="H51" s="17" t="str">
        <f ca="1">VLOOKUP($G51,OFFSET([1]stages!$A$1,0,0,COUNTA([1]stages!$A:$A),MATCH(H$1,[1]stages!$2:$2,0)-MATCH($G$1,[1]stages!$2:$2,0)+1),MATCH(H$1,[1]stages!$2:$2,0)-MATCH($G$1,[1]stages!$2:$2,0)+1,FALSE)</f>
        <v>23-4．森は咬み千切る</v>
      </c>
      <c r="I51" s="47">
        <v>5</v>
      </c>
      <c r="J51" s="61">
        <v>60</v>
      </c>
      <c r="K51" s="61">
        <v>60</v>
      </c>
    </row>
    <row r="52" spans="1:11" ht="21" customHeight="1" x14ac:dyDescent="0.15">
      <c r="A52" s="18" t="str">
        <f t="shared" si="0"/>
        <v>23_5-1</v>
      </c>
      <c r="B52" s="18" t="str">
        <f>IF(COUNTIF(enemy_habitats!$H:$H,A52),"OK","NG")</f>
        <v>OK</v>
      </c>
      <c r="C52" s="40">
        <v>23</v>
      </c>
      <c r="D52" s="23" t="str">
        <f ca="1">VLOOKUP($C52,OFFSET([1]quests!$A$1,0,0,COUNTA([1]quests!$A:$A),MATCH(D$1,[1]quests!$1:$1,0)-MATCH($C$1,[1]quests!$1:$1,0)+1),MATCH(D$1,[1]quests!$1:$1,0)-MATCH($C$1,[1]quests!$1:$1,0)+1,FALSE)</f>
        <v>23．ファングフォレスト</v>
      </c>
      <c r="E52" s="23" t="str">
        <f ca="1">VLOOKUP($C52,OFFSET([1]quests!$A$1,0,0,COUNTA([1]quests!$A:$A),MATCH(E$1,[1]quests!$1:$1,0)-MATCH($C$1,[1]quests!$1:$1,0)+1),MATCH(E$1,[1]quests!$1:$1,0)-MATCH($C$1,[1]quests!$1:$1,0)+1,FALSE)</f>
        <v>緑DL5</v>
      </c>
      <c r="F52" s="42">
        <v>5</v>
      </c>
      <c r="G52" s="25" t="str">
        <f t="shared" si="1"/>
        <v>23_5</v>
      </c>
      <c r="H52" s="17" t="str">
        <f ca="1">VLOOKUP($G52,OFFSET([1]stages!$A$1,0,0,COUNTA([1]stages!$A:$A),MATCH(H$1,[1]stages!$2:$2,0)-MATCH($G$1,[1]stages!$2:$2,0)+1),MATCH(H$1,[1]stages!$2:$2,0)-MATCH($G$1,[1]stages!$2:$2,0)+1,FALSE)</f>
        <v>23-5．目醒めの子どもたち</v>
      </c>
      <c r="I52" s="47">
        <v>1</v>
      </c>
      <c r="J52" s="44">
        <v>30</v>
      </c>
      <c r="K52" s="44">
        <v>30</v>
      </c>
    </row>
    <row r="53" spans="1:11" ht="21" customHeight="1" x14ac:dyDescent="0.15">
      <c r="A53" s="18" t="str">
        <f t="shared" si="0"/>
        <v>23_5-2</v>
      </c>
      <c r="B53" s="18" t="str">
        <f>IF(COUNTIF(enemy_habitats!$H:$H,A53),"OK","NG")</f>
        <v>OK</v>
      </c>
      <c r="C53" s="40">
        <v>23</v>
      </c>
      <c r="D53" s="23" t="str">
        <f ca="1">VLOOKUP($C53,OFFSET([1]quests!$A$1,0,0,COUNTA([1]quests!$A:$A),MATCH(D$1,[1]quests!$1:$1,0)-MATCH($C$1,[1]quests!$1:$1,0)+1),MATCH(D$1,[1]quests!$1:$1,0)-MATCH($C$1,[1]quests!$1:$1,0)+1,FALSE)</f>
        <v>23．ファングフォレスト</v>
      </c>
      <c r="E53" s="23" t="str">
        <f ca="1">VLOOKUP($C53,OFFSET([1]quests!$A$1,0,0,COUNTA([1]quests!$A:$A),MATCH(E$1,[1]quests!$1:$1,0)-MATCH($C$1,[1]quests!$1:$1,0)+1),MATCH(E$1,[1]quests!$1:$1,0)-MATCH($C$1,[1]quests!$1:$1,0)+1,FALSE)</f>
        <v>緑DL5</v>
      </c>
      <c r="F53" s="42">
        <v>5</v>
      </c>
      <c r="G53" s="25" t="str">
        <f t="shared" si="1"/>
        <v>23_5</v>
      </c>
      <c r="H53" s="17" t="str">
        <f ca="1">VLOOKUP($G53,OFFSET([1]stages!$A$1,0,0,COUNTA([1]stages!$A:$A),MATCH(H$1,[1]stages!$2:$2,0)-MATCH($G$1,[1]stages!$2:$2,0)+1),MATCH(H$1,[1]stages!$2:$2,0)-MATCH($G$1,[1]stages!$2:$2,0)+1,FALSE)</f>
        <v>23-5．目醒めの子どもたち</v>
      </c>
      <c r="I53" s="47">
        <v>2</v>
      </c>
      <c r="J53" s="44">
        <v>45</v>
      </c>
      <c r="K53" s="44">
        <v>45</v>
      </c>
    </row>
    <row r="54" spans="1:11" ht="21" customHeight="1" x14ac:dyDescent="0.15">
      <c r="A54" s="18" t="str">
        <f t="shared" si="0"/>
        <v>23_5-3</v>
      </c>
      <c r="B54" s="18" t="str">
        <f>IF(COUNTIF(enemy_habitats!$H:$H,A54),"OK","NG")</f>
        <v>OK</v>
      </c>
      <c r="C54" s="40">
        <v>23</v>
      </c>
      <c r="D54" s="23" t="str">
        <f ca="1">VLOOKUP($C54,OFFSET([1]quests!$A$1,0,0,COUNTA([1]quests!$A:$A),MATCH(D$1,[1]quests!$1:$1,0)-MATCH($C$1,[1]quests!$1:$1,0)+1),MATCH(D$1,[1]quests!$1:$1,0)-MATCH($C$1,[1]quests!$1:$1,0)+1,FALSE)</f>
        <v>23．ファングフォレスト</v>
      </c>
      <c r="E54" s="23" t="str">
        <f ca="1">VLOOKUP($C54,OFFSET([1]quests!$A$1,0,0,COUNTA([1]quests!$A:$A),MATCH(E$1,[1]quests!$1:$1,0)-MATCH($C$1,[1]quests!$1:$1,0)+1),MATCH(E$1,[1]quests!$1:$1,0)-MATCH($C$1,[1]quests!$1:$1,0)+1,FALSE)</f>
        <v>緑DL5</v>
      </c>
      <c r="F54" s="42">
        <v>5</v>
      </c>
      <c r="G54" s="25" t="str">
        <f t="shared" si="1"/>
        <v>23_5</v>
      </c>
      <c r="H54" s="17" t="str">
        <f ca="1">VLOOKUP($G54,OFFSET([1]stages!$A$1,0,0,COUNTA([1]stages!$A:$A),MATCH(H$1,[1]stages!$2:$2,0)-MATCH($G$1,[1]stages!$2:$2,0)+1),MATCH(H$1,[1]stages!$2:$2,0)-MATCH($G$1,[1]stages!$2:$2,0)+1,FALSE)</f>
        <v>23-5．目醒めの子どもたち</v>
      </c>
      <c r="I54" s="47">
        <v>3</v>
      </c>
      <c r="J54" s="61">
        <v>60</v>
      </c>
      <c r="K54" s="61">
        <v>60</v>
      </c>
    </row>
    <row r="55" spans="1:11" ht="21" customHeight="1" x14ac:dyDescent="0.15">
      <c r="A55" s="18" t="str">
        <f t="shared" si="0"/>
        <v>23_5-4</v>
      </c>
      <c r="B55" s="18" t="str">
        <f>IF(COUNTIF(enemy_habitats!$H:$H,A55),"OK","NG")</f>
        <v>OK</v>
      </c>
      <c r="C55" s="40">
        <v>23</v>
      </c>
      <c r="D55" s="23" t="str">
        <f ca="1">VLOOKUP($C55,OFFSET([1]quests!$A$1,0,0,COUNTA([1]quests!$A:$A),MATCH(D$1,[1]quests!$1:$1,0)-MATCH($C$1,[1]quests!$1:$1,0)+1),MATCH(D$1,[1]quests!$1:$1,0)-MATCH($C$1,[1]quests!$1:$1,0)+1,FALSE)</f>
        <v>23．ファングフォレスト</v>
      </c>
      <c r="E55" s="23" t="str">
        <f ca="1">VLOOKUP($C55,OFFSET([1]quests!$A$1,0,0,COUNTA([1]quests!$A:$A),MATCH(E$1,[1]quests!$1:$1,0)-MATCH($C$1,[1]quests!$1:$1,0)+1),MATCH(E$1,[1]quests!$1:$1,0)-MATCH($C$1,[1]quests!$1:$1,0)+1,FALSE)</f>
        <v>緑DL5</v>
      </c>
      <c r="F55" s="42">
        <v>5</v>
      </c>
      <c r="G55" s="25" t="str">
        <f t="shared" si="1"/>
        <v>23_5</v>
      </c>
      <c r="H55" s="17" t="str">
        <f ca="1">VLOOKUP($G55,OFFSET([1]stages!$A$1,0,0,COUNTA([1]stages!$A:$A),MATCH(H$1,[1]stages!$2:$2,0)-MATCH($G$1,[1]stages!$2:$2,0)+1),MATCH(H$1,[1]stages!$2:$2,0)-MATCH($G$1,[1]stages!$2:$2,0)+1,FALSE)</f>
        <v>23-5．目醒めの子どもたち</v>
      </c>
      <c r="I55" s="47">
        <v>4</v>
      </c>
      <c r="J55" s="44">
        <v>45</v>
      </c>
      <c r="K55" s="44">
        <v>45</v>
      </c>
    </row>
    <row r="56" spans="1:11" ht="21" customHeight="1" x14ac:dyDescent="0.15">
      <c r="A56" s="18" t="str">
        <f t="shared" si="0"/>
        <v>23_5-5</v>
      </c>
      <c r="B56" s="18" t="str">
        <f>IF(COUNTIF(enemy_habitats!$H:$H,A56),"OK","NG")</f>
        <v>OK</v>
      </c>
      <c r="C56" s="40">
        <v>23</v>
      </c>
      <c r="D56" s="23" t="str">
        <f ca="1">VLOOKUP($C56,OFFSET([1]quests!$A$1,0,0,COUNTA([1]quests!$A:$A),MATCH(D$1,[1]quests!$1:$1,0)-MATCH($C$1,[1]quests!$1:$1,0)+1),MATCH(D$1,[1]quests!$1:$1,0)-MATCH($C$1,[1]quests!$1:$1,0)+1,FALSE)</f>
        <v>23．ファングフォレスト</v>
      </c>
      <c r="E56" s="23" t="str">
        <f ca="1">VLOOKUP($C56,OFFSET([1]quests!$A$1,0,0,COUNTA([1]quests!$A:$A),MATCH(E$1,[1]quests!$1:$1,0)-MATCH($C$1,[1]quests!$1:$1,0)+1),MATCH(E$1,[1]quests!$1:$1,0)-MATCH($C$1,[1]quests!$1:$1,0)+1,FALSE)</f>
        <v>緑DL5</v>
      </c>
      <c r="F56" s="42">
        <v>5</v>
      </c>
      <c r="G56" s="25" t="str">
        <f t="shared" si="1"/>
        <v>23_5</v>
      </c>
      <c r="H56" s="17" t="str">
        <f ca="1">VLOOKUP($G56,OFFSET([1]stages!$A$1,0,0,COUNTA([1]stages!$A:$A),MATCH(H$1,[1]stages!$2:$2,0)-MATCH($G$1,[1]stages!$2:$2,0)+1),MATCH(H$1,[1]stages!$2:$2,0)-MATCH($G$1,[1]stages!$2:$2,0)+1,FALSE)</f>
        <v>23-5．目醒めの子どもたち</v>
      </c>
      <c r="I56" s="47">
        <v>5</v>
      </c>
      <c r="J56" s="61">
        <v>60</v>
      </c>
      <c r="K56" s="61">
        <v>60</v>
      </c>
    </row>
    <row r="57" spans="1:11" ht="21" customHeight="1" x14ac:dyDescent="0.15">
      <c r="A57" s="18" t="str">
        <f t="shared" si="0"/>
        <v>23_6-1</v>
      </c>
      <c r="B57" s="18" t="str">
        <f>IF(COUNTIF(enemy_habitats!$H:$H,A57),"OK","NG")</f>
        <v>OK</v>
      </c>
      <c r="C57" s="40">
        <v>23</v>
      </c>
      <c r="D57" s="23" t="str">
        <f ca="1">VLOOKUP($C57,OFFSET([1]quests!$A$1,0,0,COUNTA([1]quests!$A:$A),MATCH(D$1,[1]quests!$1:$1,0)-MATCH($C$1,[1]quests!$1:$1,0)+1),MATCH(D$1,[1]quests!$1:$1,0)-MATCH($C$1,[1]quests!$1:$1,0)+1,FALSE)</f>
        <v>23．ファングフォレスト</v>
      </c>
      <c r="E57" s="23" t="str">
        <f ca="1">VLOOKUP($C57,OFFSET([1]quests!$A$1,0,0,COUNTA([1]quests!$A:$A),MATCH(E$1,[1]quests!$1:$1,0)-MATCH($C$1,[1]quests!$1:$1,0)+1),MATCH(E$1,[1]quests!$1:$1,0)-MATCH($C$1,[1]quests!$1:$1,0)+1,FALSE)</f>
        <v>緑DL5</v>
      </c>
      <c r="F57" s="42">
        <v>6</v>
      </c>
      <c r="G57" s="25" t="str">
        <f t="shared" si="1"/>
        <v>23_6</v>
      </c>
      <c r="H57" s="17" t="str">
        <f ca="1">VLOOKUP($G57,OFFSET([1]stages!$A$1,0,0,COUNTA([1]stages!$A:$A),MATCH(H$1,[1]stages!$2:$2,0)-MATCH($G$1,[1]stages!$2:$2,0)+1),MATCH(H$1,[1]stages!$2:$2,0)-MATCH($G$1,[1]stages!$2:$2,0)+1,FALSE)</f>
        <v>23-6．【1回のみ】ボーナスステージ</v>
      </c>
      <c r="I57" s="47">
        <v>1</v>
      </c>
      <c r="J57" s="48">
        <v>40</v>
      </c>
      <c r="K57" s="48">
        <v>60</v>
      </c>
    </row>
    <row r="58" spans="1:11" ht="21" customHeight="1" x14ac:dyDescent="0.15">
      <c r="A58" s="18" t="str">
        <f t="shared" si="0"/>
        <v>23_6-2</v>
      </c>
      <c r="B58" s="18" t="str">
        <f>IF(COUNTIF(enemy_habitats!$H:$H,A58),"OK","NG")</f>
        <v>OK</v>
      </c>
      <c r="C58" s="40">
        <v>23</v>
      </c>
      <c r="D58" s="23" t="str">
        <f ca="1">VLOOKUP($C58,OFFSET([1]quests!$A$1,0,0,COUNTA([1]quests!$A:$A),MATCH(D$1,[1]quests!$1:$1,0)-MATCH($C$1,[1]quests!$1:$1,0)+1),MATCH(D$1,[1]quests!$1:$1,0)-MATCH($C$1,[1]quests!$1:$1,0)+1,FALSE)</f>
        <v>23．ファングフォレスト</v>
      </c>
      <c r="E58" s="23" t="str">
        <f ca="1">VLOOKUP($C58,OFFSET([1]quests!$A$1,0,0,COUNTA([1]quests!$A:$A),MATCH(E$1,[1]quests!$1:$1,0)-MATCH($C$1,[1]quests!$1:$1,0)+1),MATCH(E$1,[1]quests!$1:$1,0)-MATCH($C$1,[1]quests!$1:$1,0)+1,FALSE)</f>
        <v>緑DL5</v>
      </c>
      <c r="F58" s="42">
        <v>6</v>
      </c>
      <c r="G58" s="25" t="str">
        <f t="shared" si="1"/>
        <v>23_6</v>
      </c>
      <c r="H58" s="17" t="str">
        <f ca="1">VLOOKUP($G58,OFFSET([1]stages!$A$1,0,0,COUNTA([1]stages!$A:$A),MATCH(H$1,[1]stages!$2:$2,0)-MATCH($G$1,[1]stages!$2:$2,0)+1),MATCH(H$1,[1]stages!$2:$2,0)-MATCH($G$1,[1]stages!$2:$2,0)+1,FALSE)</f>
        <v>23-6．【1回のみ】ボーナスステージ</v>
      </c>
      <c r="I58" s="47">
        <v>2</v>
      </c>
      <c r="J58" s="48">
        <v>40</v>
      </c>
      <c r="K58" s="48">
        <v>60</v>
      </c>
    </row>
    <row r="59" spans="1:11" ht="21" customHeight="1" x14ac:dyDescent="0.15">
      <c r="A59" s="18" t="str">
        <f t="shared" si="0"/>
        <v>23_6-3</v>
      </c>
      <c r="B59" s="18" t="str">
        <f>IF(COUNTIF(enemy_habitats!$H:$H,A59),"OK","NG")</f>
        <v>OK</v>
      </c>
      <c r="C59" s="40">
        <v>23</v>
      </c>
      <c r="D59" s="23" t="str">
        <f ca="1">VLOOKUP($C59,OFFSET([1]quests!$A$1,0,0,COUNTA([1]quests!$A:$A),MATCH(D$1,[1]quests!$1:$1,0)-MATCH($C$1,[1]quests!$1:$1,0)+1),MATCH(D$1,[1]quests!$1:$1,0)-MATCH($C$1,[1]quests!$1:$1,0)+1,FALSE)</f>
        <v>23．ファングフォレスト</v>
      </c>
      <c r="E59" s="23" t="str">
        <f ca="1">VLOOKUP($C59,OFFSET([1]quests!$A$1,0,0,COUNTA([1]quests!$A:$A),MATCH(E$1,[1]quests!$1:$1,0)-MATCH($C$1,[1]quests!$1:$1,0)+1),MATCH(E$1,[1]quests!$1:$1,0)-MATCH($C$1,[1]quests!$1:$1,0)+1,FALSE)</f>
        <v>緑DL5</v>
      </c>
      <c r="F59" s="42">
        <v>6</v>
      </c>
      <c r="G59" s="25" t="str">
        <f t="shared" si="1"/>
        <v>23_6</v>
      </c>
      <c r="H59" s="17" t="str">
        <f ca="1">VLOOKUP($G59,OFFSET([1]stages!$A$1,0,0,COUNTA([1]stages!$A:$A),MATCH(H$1,[1]stages!$2:$2,0)-MATCH($G$1,[1]stages!$2:$2,0)+1),MATCH(H$1,[1]stages!$2:$2,0)-MATCH($G$1,[1]stages!$2:$2,0)+1,FALSE)</f>
        <v>23-6．【1回のみ】ボーナスステージ</v>
      </c>
      <c r="I59" s="47">
        <v>3</v>
      </c>
      <c r="J59" s="48">
        <v>40</v>
      </c>
      <c r="K59" s="48">
        <v>60</v>
      </c>
    </row>
    <row r="60" spans="1:11" ht="21" customHeight="1" x14ac:dyDescent="0.15">
      <c r="A60" s="18" t="str">
        <f t="shared" si="0"/>
        <v>23_6-4</v>
      </c>
      <c r="B60" s="18" t="str">
        <f>IF(COUNTIF(enemy_habitats!$H:$H,A60),"OK","NG")</f>
        <v>OK</v>
      </c>
      <c r="C60" s="40">
        <v>23</v>
      </c>
      <c r="D60" s="23" t="str">
        <f ca="1">VLOOKUP($C60,OFFSET([1]quests!$A$1,0,0,COUNTA([1]quests!$A:$A),MATCH(D$1,[1]quests!$1:$1,0)-MATCH($C$1,[1]quests!$1:$1,0)+1),MATCH(D$1,[1]quests!$1:$1,0)-MATCH($C$1,[1]quests!$1:$1,0)+1,FALSE)</f>
        <v>23．ファングフォレスト</v>
      </c>
      <c r="E60" s="23" t="str">
        <f ca="1">VLOOKUP($C60,OFFSET([1]quests!$A$1,0,0,COUNTA([1]quests!$A:$A),MATCH(E$1,[1]quests!$1:$1,0)-MATCH($C$1,[1]quests!$1:$1,0)+1),MATCH(E$1,[1]quests!$1:$1,0)-MATCH($C$1,[1]quests!$1:$1,0)+1,FALSE)</f>
        <v>緑DL5</v>
      </c>
      <c r="F60" s="42">
        <v>6</v>
      </c>
      <c r="G60" s="25" t="str">
        <f t="shared" si="1"/>
        <v>23_6</v>
      </c>
      <c r="H60" s="17" t="str">
        <f ca="1">VLOOKUP($G60,OFFSET([1]stages!$A$1,0,0,COUNTA([1]stages!$A:$A),MATCH(H$1,[1]stages!$2:$2,0)-MATCH($G$1,[1]stages!$2:$2,0)+1),MATCH(H$1,[1]stages!$2:$2,0)-MATCH($G$1,[1]stages!$2:$2,0)+1,FALSE)</f>
        <v>23-6．【1回のみ】ボーナスステージ</v>
      </c>
      <c r="I60" s="47">
        <v>4</v>
      </c>
      <c r="J60" s="48">
        <v>60</v>
      </c>
      <c r="K60" s="48">
        <v>60</v>
      </c>
    </row>
    <row r="61" spans="1:11" ht="21" customHeight="1" x14ac:dyDescent="0.15">
      <c r="A61" s="18" t="str">
        <f t="shared" si="0"/>
        <v>23_6-5</v>
      </c>
      <c r="B61" s="18" t="str">
        <f>IF(COUNTIF(enemy_habitats!$H:$H,A61),"OK","NG")</f>
        <v>OK</v>
      </c>
      <c r="C61" s="40">
        <v>23</v>
      </c>
      <c r="D61" s="23" t="str">
        <f ca="1">VLOOKUP($C61,OFFSET([1]quests!$A$1,0,0,COUNTA([1]quests!$A:$A),MATCH(D$1,[1]quests!$1:$1,0)-MATCH($C$1,[1]quests!$1:$1,0)+1),MATCH(D$1,[1]quests!$1:$1,0)-MATCH($C$1,[1]quests!$1:$1,0)+1,FALSE)</f>
        <v>23．ファングフォレスト</v>
      </c>
      <c r="E61" s="23" t="str">
        <f ca="1">VLOOKUP($C61,OFFSET([1]quests!$A$1,0,0,COUNTA([1]quests!$A:$A),MATCH(E$1,[1]quests!$1:$1,0)-MATCH($C$1,[1]quests!$1:$1,0)+1),MATCH(E$1,[1]quests!$1:$1,0)-MATCH($C$1,[1]quests!$1:$1,0)+1,FALSE)</f>
        <v>緑DL5</v>
      </c>
      <c r="F61" s="42">
        <v>6</v>
      </c>
      <c r="G61" s="25" t="str">
        <f t="shared" si="1"/>
        <v>23_6</v>
      </c>
      <c r="H61" s="17" t="str">
        <f ca="1">VLOOKUP($G61,OFFSET([1]stages!$A$1,0,0,COUNTA([1]stages!$A:$A),MATCH(H$1,[1]stages!$2:$2,0)-MATCH($G$1,[1]stages!$2:$2,0)+1),MATCH(H$1,[1]stages!$2:$2,0)-MATCH($G$1,[1]stages!$2:$2,0)+1,FALSE)</f>
        <v>23-6．【1回のみ】ボーナスステージ</v>
      </c>
      <c r="I61" s="47">
        <v>5</v>
      </c>
      <c r="J61" s="48">
        <v>40</v>
      </c>
      <c r="K61" s="48">
        <v>40</v>
      </c>
    </row>
    <row r="62" spans="1:11" ht="21" customHeight="1" x14ac:dyDescent="0.15">
      <c r="A62" s="18" t="str">
        <f t="shared" si="0"/>
        <v>24_1-1</v>
      </c>
      <c r="B62" s="18" t="str">
        <f>IF(COUNTIF(enemy_habitats!$H:$H,A62),"OK","NG")</f>
        <v>OK</v>
      </c>
      <c r="C62" s="39">
        <v>24</v>
      </c>
      <c r="D62" s="23" t="str">
        <f ca="1">VLOOKUP($C62,OFFSET([1]quests!$A$1,0,0,COUNTA([1]quests!$A:$A),MATCH(D$1,[1]quests!$1:$1,0)-MATCH($C$1,[1]quests!$1:$1,0)+1),MATCH(D$1,[1]quests!$1:$1,0)-MATCH($C$1,[1]quests!$1:$1,0)+1,FALSE)</f>
        <v>24．バトルフィールドヘヴン</v>
      </c>
      <c r="E62" s="23" t="str">
        <f ca="1">VLOOKUP($C62,OFFSET([1]quests!$A$1,0,0,COUNTA([1]quests!$A:$A),MATCH(E$1,[1]quests!$1:$1,0)-MATCH($C$1,[1]quests!$1:$1,0)+1),MATCH(E$1,[1]quests!$1:$1,0)-MATCH($C$1,[1]quests!$1:$1,0)+1,FALSE)</f>
        <v>黄DL5</v>
      </c>
      <c r="F62" s="42">
        <v>1</v>
      </c>
      <c r="G62" s="25" t="str">
        <f t="shared" si="1"/>
        <v>24_1</v>
      </c>
      <c r="H62" s="17" t="str">
        <f ca="1">VLOOKUP($G62,OFFSET([1]stages!$A$1,0,0,COUNTA([1]stages!$A:$A),MATCH(H$1,[1]stages!$2:$2,0)-MATCH($G$1,[1]stages!$2:$2,0)+1),MATCH(H$1,[1]stages!$2:$2,0)-MATCH($G$1,[1]stages!$2:$2,0)+1,FALSE)</f>
        <v>24-1．開戦の電磁</v>
      </c>
      <c r="I62" s="47">
        <v>1</v>
      </c>
      <c r="J62" s="44">
        <v>30</v>
      </c>
      <c r="K62" s="44">
        <v>30</v>
      </c>
    </row>
    <row r="63" spans="1:11" ht="21" customHeight="1" x14ac:dyDescent="0.15">
      <c r="A63" s="18" t="str">
        <f t="shared" si="0"/>
        <v>24_1-2</v>
      </c>
      <c r="B63" s="18" t="str">
        <f>IF(COUNTIF(enemy_habitats!$H:$H,A63),"OK","NG")</f>
        <v>OK</v>
      </c>
      <c r="C63" s="39">
        <v>24</v>
      </c>
      <c r="D63" s="23" t="str">
        <f ca="1">VLOOKUP($C63,OFFSET([1]quests!$A$1,0,0,COUNTA([1]quests!$A:$A),MATCH(D$1,[1]quests!$1:$1,0)-MATCH($C$1,[1]quests!$1:$1,0)+1),MATCH(D$1,[1]quests!$1:$1,0)-MATCH($C$1,[1]quests!$1:$1,0)+1,FALSE)</f>
        <v>24．バトルフィールドヘヴン</v>
      </c>
      <c r="E63" s="23" t="str">
        <f ca="1">VLOOKUP($C63,OFFSET([1]quests!$A$1,0,0,COUNTA([1]quests!$A:$A),MATCH(E$1,[1]quests!$1:$1,0)-MATCH($C$1,[1]quests!$1:$1,0)+1),MATCH(E$1,[1]quests!$1:$1,0)-MATCH($C$1,[1]quests!$1:$1,0)+1,FALSE)</f>
        <v>黄DL5</v>
      </c>
      <c r="F63" s="42">
        <v>1</v>
      </c>
      <c r="G63" s="25" t="str">
        <f t="shared" si="1"/>
        <v>24_1</v>
      </c>
      <c r="H63" s="17" t="str">
        <f ca="1">VLOOKUP($G63,OFFSET([1]stages!$A$1,0,0,COUNTA([1]stages!$A:$A),MATCH(H$1,[1]stages!$2:$2,0)-MATCH($G$1,[1]stages!$2:$2,0)+1),MATCH(H$1,[1]stages!$2:$2,0)-MATCH($G$1,[1]stages!$2:$2,0)+1,FALSE)</f>
        <v>24-1．開戦の電磁</v>
      </c>
      <c r="I63" s="47">
        <v>2</v>
      </c>
      <c r="J63" s="44">
        <v>45</v>
      </c>
      <c r="K63" s="44">
        <v>60</v>
      </c>
    </row>
    <row r="64" spans="1:11" ht="21" customHeight="1" x14ac:dyDescent="0.15">
      <c r="A64" s="18" t="str">
        <f t="shared" si="0"/>
        <v>24_1-3</v>
      </c>
      <c r="B64" s="18" t="str">
        <f>IF(COUNTIF(enemy_habitats!$H:$H,A64),"OK","NG")</f>
        <v>OK</v>
      </c>
      <c r="C64" s="39">
        <v>24</v>
      </c>
      <c r="D64" s="23" t="str">
        <f ca="1">VLOOKUP($C64,OFFSET([1]quests!$A$1,0,0,COUNTA([1]quests!$A:$A),MATCH(D$1,[1]quests!$1:$1,0)-MATCH($C$1,[1]quests!$1:$1,0)+1),MATCH(D$1,[1]quests!$1:$1,0)-MATCH($C$1,[1]quests!$1:$1,0)+1,FALSE)</f>
        <v>24．バトルフィールドヘヴン</v>
      </c>
      <c r="E64" s="23" t="str">
        <f ca="1">VLOOKUP($C64,OFFSET([1]quests!$A$1,0,0,COUNTA([1]quests!$A:$A),MATCH(E$1,[1]quests!$1:$1,0)-MATCH($C$1,[1]quests!$1:$1,0)+1),MATCH(E$1,[1]quests!$1:$1,0)-MATCH($C$1,[1]quests!$1:$1,0)+1,FALSE)</f>
        <v>黄DL5</v>
      </c>
      <c r="F64" s="42">
        <v>1</v>
      </c>
      <c r="G64" s="25" t="str">
        <f t="shared" si="1"/>
        <v>24_1</v>
      </c>
      <c r="H64" s="17" t="str">
        <f ca="1">VLOOKUP($G64,OFFSET([1]stages!$A$1,0,0,COUNTA([1]stages!$A:$A),MATCH(H$1,[1]stages!$2:$2,0)-MATCH($G$1,[1]stages!$2:$2,0)+1),MATCH(H$1,[1]stages!$2:$2,0)-MATCH($G$1,[1]stages!$2:$2,0)+1,FALSE)</f>
        <v>24-1．開戦の電磁</v>
      </c>
      <c r="I64" s="47">
        <v>3</v>
      </c>
      <c r="J64" s="61">
        <v>60</v>
      </c>
      <c r="K64" s="61">
        <v>60</v>
      </c>
    </row>
    <row r="65" spans="1:11" ht="21" customHeight="1" x14ac:dyDescent="0.15">
      <c r="A65" s="18" t="str">
        <f t="shared" si="0"/>
        <v>24_1-4</v>
      </c>
      <c r="B65" s="18" t="str">
        <f>IF(COUNTIF(enemy_habitats!$H:$H,A65),"OK","NG")</f>
        <v>OK</v>
      </c>
      <c r="C65" s="39">
        <v>24</v>
      </c>
      <c r="D65" s="23" t="str">
        <f ca="1">VLOOKUP($C65,OFFSET([1]quests!$A$1,0,0,COUNTA([1]quests!$A:$A),MATCH(D$1,[1]quests!$1:$1,0)-MATCH($C$1,[1]quests!$1:$1,0)+1),MATCH(D$1,[1]quests!$1:$1,0)-MATCH($C$1,[1]quests!$1:$1,0)+1,FALSE)</f>
        <v>24．バトルフィールドヘヴン</v>
      </c>
      <c r="E65" s="23" t="str">
        <f ca="1">VLOOKUP($C65,OFFSET([1]quests!$A$1,0,0,COUNTA([1]quests!$A:$A),MATCH(E$1,[1]quests!$1:$1,0)-MATCH($C$1,[1]quests!$1:$1,0)+1),MATCH(E$1,[1]quests!$1:$1,0)-MATCH($C$1,[1]quests!$1:$1,0)+1,FALSE)</f>
        <v>黄DL5</v>
      </c>
      <c r="F65" s="42">
        <v>1</v>
      </c>
      <c r="G65" s="25" t="str">
        <f t="shared" si="1"/>
        <v>24_1</v>
      </c>
      <c r="H65" s="17" t="str">
        <f ca="1">VLOOKUP($G65,OFFSET([1]stages!$A$1,0,0,COUNTA([1]stages!$A:$A),MATCH(H$1,[1]stages!$2:$2,0)-MATCH($G$1,[1]stages!$2:$2,0)+1),MATCH(H$1,[1]stages!$2:$2,0)-MATCH($G$1,[1]stages!$2:$2,0)+1,FALSE)</f>
        <v>24-1．開戦の電磁</v>
      </c>
      <c r="I65" s="47">
        <v>4</v>
      </c>
      <c r="J65" s="44">
        <v>45</v>
      </c>
      <c r="K65" s="44">
        <v>45</v>
      </c>
    </row>
    <row r="66" spans="1:11" ht="21" customHeight="1" x14ac:dyDescent="0.15">
      <c r="A66" s="18" t="str">
        <f t="shared" si="0"/>
        <v>24_1-5</v>
      </c>
      <c r="B66" s="18" t="str">
        <f>IF(COUNTIF(enemy_habitats!$H:$H,A66),"OK","NG")</f>
        <v>OK</v>
      </c>
      <c r="C66" s="39">
        <v>24</v>
      </c>
      <c r="D66" s="23" t="str">
        <f ca="1">VLOOKUP($C66,OFFSET([1]quests!$A$1,0,0,COUNTA([1]quests!$A:$A),MATCH(D$1,[1]quests!$1:$1,0)-MATCH($C$1,[1]quests!$1:$1,0)+1),MATCH(D$1,[1]quests!$1:$1,0)-MATCH($C$1,[1]quests!$1:$1,0)+1,FALSE)</f>
        <v>24．バトルフィールドヘヴン</v>
      </c>
      <c r="E66" s="23" t="str">
        <f ca="1">VLOOKUP($C66,OFFSET([1]quests!$A$1,0,0,COUNTA([1]quests!$A:$A),MATCH(E$1,[1]quests!$1:$1,0)-MATCH($C$1,[1]quests!$1:$1,0)+1),MATCH(E$1,[1]quests!$1:$1,0)-MATCH($C$1,[1]quests!$1:$1,0)+1,FALSE)</f>
        <v>黄DL5</v>
      </c>
      <c r="F66" s="42">
        <v>1</v>
      </c>
      <c r="G66" s="25" t="str">
        <f t="shared" si="1"/>
        <v>24_1</v>
      </c>
      <c r="H66" s="17" t="str">
        <f ca="1">VLOOKUP($G66,OFFSET([1]stages!$A$1,0,0,COUNTA([1]stages!$A:$A),MATCH(H$1,[1]stages!$2:$2,0)-MATCH($G$1,[1]stages!$2:$2,0)+1),MATCH(H$1,[1]stages!$2:$2,0)-MATCH($G$1,[1]stages!$2:$2,0)+1,FALSE)</f>
        <v>24-1．開戦の電磁</v>
      </c>
      <c r="I66" s="47">
        <v>5</v>
      </c>
      <c r="J66" s="61">
        <v>60</v>
      </c>
      <c r="K66" s="61">
        <v>60</v>
      </c>
    </row>
    <row r="67" spans="1:11" ht="21" customHeight="1" x14ac:dyDescent="0.15">
      <c r="A67" s="18" t="str">
        <f t="shared" ref="A67:A130" si="2">G67&amp;"-"&amp;I67</f>
        <v>24_2-1</v>
      </c>
      <c r="B67" s="18" t="str">
        <f>IF(COUNTIF(enemy_habitats!$H:$H,A67),"OK","NG")</f>
        <v>OK</v>
      </c>
      <c r="C67" s="39">
        <v>24</v>
      </c>
      <c r="D67" s="23" t="str">
        <f ca="1">VLOOKUP($C67,OFFSET([1]quests!$A$1,0,0,COUNTA([1]quests!$A:$A),MATCH(D$1,[1]quests!$1:$1,0)-MATCH($C$1,[1]quests!$1:$1,0)+1),MATCH(D$1,[1]quests!$1:$1,0)-MATCH($C$1,[1]quests!$1:$1,0)+1,FALSE)</f>
        <v>24．バトルフィールドヘヴン</v>
      </c>
      <c r="E67" s="23" t="str">
        <f ca="1">VLOOKUP($C67,OFFSET([1]quests!$A$1,0,0,COUNTA([1]quests!$A:$A),MATCH(E$1,[1]quests!$1:$1,0)-MATCH($C$1,[1]quests!$1:$1,0)+1),MATCH(E$1,[1]quests!$1:$1,0)-MATCH($C$1,[1]quests!$1:$1,0)+1,FALSE)</f>
        <v>黄DL5</v>
      </c>
      <c r="F67" s="42">
        <v>2</v>
      </c>
      <c r="G67" s="25" t="str">
        <f t="shared" ref="G67:G130" si="3">C67&amp;"_"&amp;F67</f>
        <v>24_2</v>
      </c>
      <c r="H67" s="17" t="str">
        <f ca="1">VLOOKUP($G67,OFFSET([1]stages!$A$1,0,0,COUNTA([1]stages!$A:$A),MATCH(H$1,[1]stages!$2:$2,0)-MATCH($G$1,[1]stages!$2:$2,0)+1),MATCH(H$1,[1]stages!$2:$2,0)-MATCH($G$1,[1]stages!$2:$2,0)+1,FALSE)</f>
        <v>24-2．奇襲と増援</v>
      </c>
      <c r="I67" s="47">
        <v>1</v>
      </c>
      <c r="J67" s="45">
        <v>30</v>
      </c>
      <c r="K67" s="46">
        <v>30</v>
      </c>
    </row>
    <row r="68" spans="1:11" ht="21" customHeight="1" x14ac:dyDescent="0.15">
      <c r="A68" s="18" t="str">
        <f t="shared" si="2"/>
        <v>24_2-2</v>
      </c>
      <c r="B68" s="18" t="str">
        <f>IF(COUNTIF(enemy_habitats!$H:$H,A68),"OK","NG")</f>
        <v>OK</v>
      </c>
      <c r="C68" s="39">
        <v>24</v>
      </c>
      <c r="D68" s="23" t="str">
        <f ca="1">VLOOKUP($C68,OFFSET([1]quests!$A$1,0,0,COUNTA([1]quests!$A:$A),MATCH(D$1,[1]quests!$1:$1,0)-MATCH($C$1,[1]quests!$1:$1,0)+1),MATCH(D$1,[1]quests!$1:$1,0)-MATCH($C$1,[1]quests!$1:$1,0)+1,FALSE)</f>
        <v>24．バトルフィールドヘヴン</v>
      </c>
      <c r="E68" s="23" t="str">
        <f ca="1">VLOOKUP($C68,OFFSET([1]quests!$A$1,0,0,COUNTA([1]quests!$A:$A),MATCH(E$1,[1]quests!$1:$1,0)-MATCH($C$1,[1]quests!$1:$1,0)+1),MATCH(E$1,[1]quests!$1:$1,0)-MATCH($C$1,[1]quests!$1:$1,0)+1,FALSE)</f>
        <v>黄DL5</v>
      </c>
      <c r="F68" s="42">
        <v>2</v>
      </c>
      <c r="G68" s="25" t="str">
        <f t="shared" si="3"/>
        <v>24_2</v>
      </c>
      <c r="H68" s="17" t="str">
        <f ca="1">VLOOKUP($G68,OFFSET([1]stages!$A$1,0,0,COUNTA([1]stages!$A:$A),MATCH(H$1,[1]stages!$2:$2,0)-MATCH($G$1,[1]stages!$2:$2,0)+1),MATCH(H$1,[1]stages!$2:$2,0)-MATCH($G$1,[1]stages!$2:$2,0)+1,FALSE)</f>
        <v>24-2．奇襲と増援</v>
      </c>
      <c r="I68" s="47">
        <v>2</v>
      </c>
      <c r="J68" s="44">
        <v>45</v>
      </c>
      <c r="K68" s="44">
        <v>60</v>
      </c>
    </row>
    <row r="69" spans="1:11" ht="21" customHeight="1" x14ac:dyDescent="0.15">
      <c r="A69" s="18" t="str">
        <f t="shared" si="2"/>
        <v>24_2-3</v>
      </c>
      <c r="B69" s="18" t="str">
        <f>IF(COUNTIF(enemy_habitats!$H:$H,A69),"OK","NG")</f>
        <v>OK</v>
      </c>
      <c r="C69" s="39">
        <v>24</v>
      </c>
      <c r="D69" s="23" t="str">
        <f ca="1">VLOOKUP($C69,OFFSET([1]quests!$A$1,0,0,COUNTA([1]quests!$A:$A),MATCH(D$1,[1]quests!$1:$1,0)-MATCH($C$1,[1]quests!$1:$1,0)+1),MATCH(D$1,[1]quests!$1:$1,0)-MATCH($C$1,[1]quests!$1:$1,0)+1,FALSE)</f>
        <v>24．バトルフィールドヘヴン</v>
      </c>
      <c r="E69" s="23" t="str">
        <f ca="1">VLOOKUP($C69,OFFSET([1]quests!$A$1,0,0,COUNTA([1]quests!$A:$A),MATCH(E$1,[1]quests!$1:$1,0)-MATCH($C$1,[1]quests!$1:$1,0)+1),MATCH(E$1,[1]quests!$1:$1,0)-MATCH($C$1,[1]quests!$1:$1,0)+1,FALSE)</f>
        <v>黄DL5</v>
      </c>
      <c r="F69" s="42">
        <v>2</v>
      </c>
      <c r="G69" s="25" t="str">
        <f t="shared" si="3"/>
        <v>24_2</v>
      </c>
      <c r="H69" s="17" t="str">
        <f ca="1">VLOOKUP($G69,OFFSET([1]stages!$A$1,0,0,COUNTA([1]stages!$A:$A),MATCH(H$1,[1]stages!$2:$2,0)-MATCH($G$1,[1]stages!$2:$2,0)+1),MATCH(H$1,[1]stages!$2:$2,0)-MATCH($G$1,[1]stages!$2:$2,0)+1,FALSE)</f>
        <v>24-2．奇襲と増援</v>
      </c>
      <c r="I69" s="47">
        <v>3</v>
      </c>
      <c r="J69" s="61">
        <v>60</v>
      </c>
      <c r="K69" s="61">
        <v>60</v>
      </c>
    </row>
    <row r="70" spans="1:11" ht="21" customHeight="1" x14ac:dyDescent="0.15">
      <c r="A70" s="18" t="str">
        <f t="shared" si="2"/>
        <v>24_2-4</v>
      </c>
      <c r="B70" s="18" t="str">
        <f>IF(COUNTIF(enemy_habitats!$H:$H,A70),"OK","NG")</f>
        <v>OK</v>
      </c>
      <c r="C70" s="39">
        <v>24</v>
      </c>
      <c r="D70" s="23" t="str">
        <f ca="1">VLOOKUP($C70,OFFSET([1]quests!$A$1,0,0,COUNTA([1]quests!$A:$A),MATCH(D$1,[1]quests!$1:$1,0)-MATCH($C$1,[1]quests!$1:$1,0)+1),MATCH(D$1,[1]quests!$1:$1,0)-MATCH($C$1,[1]quests!$1:$1,0)+1,FALSE)</f>
        <v>24．バトルフィールドヘヴン</v>
      </c>
      <c r="E70" s="23" t="str">
        <f ca="1">VLOOKUP($C70,OFFSET([1]quests!$A$1,0,0,COUNTA([1]quests!$A:$A),MATCH(E$1,[1]quests!$1:$1,0)-MATCH($C$1,[1]quests!$1:$1,0)+1),MATCH(E$1,[1]quests!$1:$1,0)-MATCH($C$1,[1]quests!$1:$1,0)+1,FALSE)</f>
        <v>黄DL5</v>
      </c>
      <c r="F70" s="42">
        <v>2</v>
      </c>
      <c r="G70" s="25" t="str">
        <f t="shared" si="3"/>
        <v>24_2</v>
      </c>
      <c r="H70" s="17" t="str">
        <f ca="1">VLOOKUP($G70,OFFSET([1]stages!$A$1,0,0,COUNTA([1]stages!$A:$A),MATCH(H$1,[1]stages!$2:$2,0)-MATCH($G$1,[1]stages!$2:$2,0)+1),MATCH(H$1,[1]stages!$2:$2,0)-MATCH($G$1,[1]stages!$2:$2,0)+1,FALSE)</f>
        <v>24-2．奇襲と増援</v>
      </c>
      <c r="I70" s="47">
        <v>4</v>
      </c>
      <c r="J70" s="44">
        <v>45</v>
      </c>
      <c r="K70" s="44">
        <v>45</v>
      </c>
    </row>
    <row r="71" spans="1:11" ht="21" customHeight="1" x14ac:dyDescent="0.15">
      <c r="A71" s="18" t="str">
        <f t="shared" si="2"/>
        <v>24_2-5</v>
      </c>
      <c r="B71" s="18" t="str">
        <f>IF(COUNTIF(enemy_habitats!$H:$H,A71),"OK","NG")</f>
        <v>OK</v>
      </c>
      <c r="C71" s="39">
        <v>24</v>
      </c>
      <c r="D71" s="23" t="str">
        <f ca="1">VLOOKUP($C71,OFFSET([1]quests!$A$1,0,0,COUNTA([1]quests!$A:$A),MATCH(D$1,[1]quests!$1:$1,0)-MATCH($C$1,[1]quests!$1:$1,0)+1),MATCH(D$1,[1]quests!$1:$1,0)-MATCH($C$1,[1]quests!$1:$1,0)+1,FALSE)</f>
        <v>24．バトルフィールドヘヴン</v>
      </c>
      <c r="E71" s="23" t="str">
        <f ca="1">VLOOKUP($C71,OFFSET([1]quests!$A$1,0,0,COUNTA([1]quests!$A:$A),MATCH(E$1,[1]quests!$1:$1,0)-MATCH($C$1,[1]quests!$1:$1,0)+1),MATCH(E$1,[1]quests!$1:$1,0)-MATCH($C$1,[1]quests!$1:$1,0)+1,FALSE)</f>
        <v>黄DL5</v>
      </c>
      <c r="F71" s="42">
        <v>2</v>
      </c>
      <c r="G71" s="25" t="str">
        <f t="shared" si="3"/>
        <v>24_2</v>
      </c>
      <c r="H71" s="17" t="str">
        <f ca="1">VLOOKUP($G71,OFFSET([1]stages!$A$1,0,0,COUNTA([1]stages!$A:$A),MATCH(H$1,[1]stages!$2:$2,0)-MATCH($G$1,[1]stages!$2:$2,0)+1),MATCH(H$1,[1]stages!$2:$2,0)-MATCH($G$1,[1]stages!$2:$2,0)+1,FALSE)</f>
        <v>24-2．奇襲と増援</v>
      </c>
      <c r="I71" s="47">
        <v>5</v>
      </c>
      <c r="J71" s="61">
        <v>60</v>
      </c>
      <c r="K71" s="61">
        <v>60</v>
      </c>
    </row>
    <row r="72" spans="1:11" ht="21" customHeight="1" x14ac:dyDescent="0.15">
      <c r="A72" s="18" t="str">
        <f t="shared" si="2"/>
        <v>24_3-1</v>
      </c>
      <c r="B72" s="18" t="str">
        <f>IF(COUNTIF(enemy_habitats!$H:$H,A72),"OK","NG")</f>
        <v>OK</v>
      </c>
      <c r="C72" s="39">
        <v>24</v>
      </c>
      <c r="D72" s="23" t="str">
        <f ca="1">VLOOKUP($C72,OFFSET([1]quests!$A$1,0,0,COUNTA([1]quests!$A:$A),MATCH(D$1,[1]quests!$1:$1,0)-MATCH($C$1,[1]quests!$1:$1,0)+1),MATCH(D$1,[1]quests!$1:$1,0)-MATCH($C$1,[1]quests!$1:$1,0)+1,FALSE)</f>
        <v>24．バトルフィールドヘヴン</v>
      </c>
      <c r="E72" s="23" t="str">
        <f ca="1">VLOOKUP($C72,OFFSET([1]quests!$A$1,0,0,COUNTA([1]quests!$A:$A),MATCH(E$1,[1]quests!$1:$1,0)-MATCH($C$1,[1]quests!$1:$1,0)+1),MATCH(E$1,[1]quests!$1:$1,0)-MATCH($C$1,[1]quests!$1:$1,0)+1,FALSE)</f>
        <v>黄DL5</v>
      </c>
      <c r="F72" s="42">
        <v>3</v>
      </c>
      <c r="G72" s="25" t="str">
        <f t="shared" si="3"/>
        <v>24_3</v>
      </c>
      <c r="H72" s="17" t="str">
        <f ca="1">VLOOKUP($G72,OFFSET([1]stages!$A$1,0,0,COUNTA([1]stages!$A:$A),MATCH(H$1,[1]stages!$2:$2,0)-MATCH($G$1,[1]stages!$2:$2,0)+1),MATCH(H$1,[1]stages!$2:$2,0)-MATCH($G$1,[1]stages!$2:$2,0)+1,FALSE)</f>
        <v>24-3．武器を花に変えて</v>
      </c>
      <c r="I72" s="47">
        <v>1</v>
      </c>
      <c r="J72" s="45">
        <v>30</v>
      </c>
      <c r="K72" s="46">
        <v>30</v>
      </c>
    </row>
    <row r="73" spans="1:11" ht="21" customHeight="1" x14ac:dyDescent="0.15">
      <c r="A73" s="18" t="str">
        <f t="shared" si="2"/>
        <v>24_3-2</v>
      </c>
      <c r="B73" s="18" t="str">
        <f>IF(COUNTIF(enemy_habitats!$H:$H,A73),"OK","NG")</f>
        <v>OK</v>
      </c>
      <c r="C73" s="39">
        <v>24</v>
      </c>
      <c r="D73" s="23" t="str">
        <f ca="1">VLOOKUP($C73,OFFSET([1]quests!$A$1,0,0,COUNTA([1]quests!$A:$A),MATCH(D$1,[1]quests!$1:$1,0)-MATCH($C$1,[1]quests!$1:$1,0)+1),MATCH(D$1,[1]quests!$1:$1,0)-MATCH($C$1,[1]quests!$1:$1,0)+1,FALSE)</f>
        <v>24．バトルフィールドヘヴン</v>
      </c>
      <c r="E73" s="23" t="str">
        <f ca="1">VLOOKUP($C73,OFFSET([1]quests!$A$1,0,0,COUNTA([1]quests!$A:$A),MATCH(E$1,[1]quests!$1:$1,0)-MATCH($C$1,[1]quests!$1:$1,0)+1),MATCH(E$1,[1]quests!$1:$1,0)-MATCH($C$1,[1]quests!$1:$1,0)+1,FALSE)</f>
        <v>黄DL5</v>
      </c>
      <c r="F73" s="42">
        <v>3</v>
      </c>
      <c r="G73" s="25" t="str">
        <f t="shared" si="3"/>
        <v>24_3</v>
      </c>
      <c r="H73" s="17" t="str">
        <f ca="1">VLOOKUP($G73,OFFSET([1]stages!$A$1,0,0,COUNTA([1]stages!$A:$A),MATCH(H$1,[1]stages!$2:$2,0)-MATCH($G$1,[1]stages!$2:$2,0)+1),MATCH(H$1,[1]stages!$2:$2,0)-MATCH($G$1,[1]stages!$2:$2,0)+1,FALSE)</f>
        <v>24-3．武器を花に変えて</v>
      </c>
      <c r="I73" s="47">
        <v>2</v>
      </c>
      <c r="J73" s="44">
        <v>45</v>
      </c>
      <c r="K73" s="44">
        <v>60</v>
      </c>
    </row>
    <row r="74" spans="1:11" ht="21" customHeight="1" x14ac:dyDescent="0.15">
      <c r="A74" s="18" t="str">
        <f t="shared" si="2"/>
        <v>24_3-3</v>
      </c>
      <c r="B74" s="18" t="str">
        <f>IF(COUNTIF(enemy_habitats!$H:$H,A74),"OK","NG")</f>
        <v>OK</v>
      </c>
      <c r="C74" s="39">
        <v>24</v>
      </c>
      <c r="D74" s="23" t="str">
        <f ca="1">VLOOKUP($C74,OFFSET([1]quests!$A$1,0,0,COUNTA([1]quests!$A:$A),MATCH(D$1,[1]quests!$1:$1,0)-MATCH($C$1,[1]quests!$1:$1,0)+1),MATCH(D$1,[1]quests!$1:$1,0)-MATCH($C$1,[1]quests!$1:$1,0)+1,FALSE)</f>
        <v>24．バトルフィールドヘヴン</v>
      </c>
      <c r="E74" s="23" t="str">
        <f ca="1">VLOOKUP($C74,OFFSET([1]quests!$A$1,0,0,COUNTA([1]quests!$A:$A),MATCH(E$1,[1]quests!$1:$1,0)-MATCH($C$1,[1]quests!$1:$1,0)+1),MATCH(E$1,[1]quests!$1:$1,0)-MATCH($C$1,[1]quests!$1:$1,0)+1,FALSE)</f>
        <v>黄DL5</v>
      </c>
      <c r="F74" s="42">
        <v>3</v>
      </c>
      <c r="G74" s="25" t="str">
        <f t="shared" si="3"/>
        <v>24_3</v>
      </c>
      <c r="H74" s="17" t="str">
        <f ca="1">VLOOKUP($G74,OFFSET([1]stages!$A$1,0,0,COUNTA([1]stages!$A:$A),MATCH(H$1,[1]stages!$2:$2,0)-MATCH($G$1,[1]stages!$2:$2,0)+1),MATCH(H$1,[1]stages!$2:$2,0)-MATCH($G$1,[1]stages!$2:$2,0)+1,FALSE)</f>
        <v>24-3．武器を花に変えて</v>
      </c>
      <c r="I74" s="47">
        <v>3</v>
      </c>
      <c r="J74" s="61">
        <v>60</v>
      </c>
      <c r="K74" s="61">
        <v>60</v>
      </c>
    </row>
    <row r="75" spans="1:11" ht="21" customHeight="1" x14ac:dyDescent="0.15">
      <c r="A75" s="18" t="str">
        <f t="shared" si="2"/>
        <v>24_3-4</v>
      </c>
      <c r="B75" s="18" t="str">
        <f>IF(COUNTIF(enemy_habitats!$H:$H,A75),"OK","NG")</f>
        <v>OK</v>
      </c>
      <c r="C75" s="39">
        <v>24</v>
      </c>
      <c r="D75" s="23" t="str">
        <f ca="1">VLOOKUP($C75,OFFSET([1]quests!$A$1,0,0,COUNTA([1]quests!$A:$A),MATCH(D$1,[1]quests!$1:$1,0)-MATCH($C$1,[1]quests!$1:$1,0)+1),MATCH(D$1,[1]quests!$1:$1,0)-MATCH($C$1,[1]quests!$1:$1,0)+1,FALSE)</f>
        <v>24．バトルフィールドヘヴン</v>
      </c>
      <c r="E75" s="23" t="str">
        <f ca="1">VLOOKUP($C75,OFFSET([1]quests!$A$1,0,0,COUNTA([1]quests!$A:$A),MATCH(E$1,[1]quests!$1:$1,0)-MATCH($C$1,[1]quests!$1:$1,0)+1),MATCH(E$1,[1]quests!$1:$1,0)-MATCH($C$1,[1]quests!$1:$1,0)+1,FALSE)</f>
        <v>黄DL5</v>
      </c>
      <c r="F75" s="42">
        <v>3</v>
      </c>
      <c r="G75" s="25" t="str">
        <f t="shared" si="3"/>
        <v>24_3</v>
      </c>
      <c r="H75" s="17" t="str">
        <f ca="1">VLOOKUP($G75,OFFSET([1]stages!$A$1,0,0,COUNTA([1]stages!$A:$A),MATCH(H$1,[1]stages!$2:$2,0)-MATCH($G$1,[1]stages!$2:$2,0)+1),MATCH(H$1,[1]stages!$2:$2,0)-MATCH($G$1,[1]stages!$2:$2,0)+1,FALSE)</f>
        <v>24-3．武器を花に変えて</v>
      </c>
      <c r="I75" s="47">
        <v>4</v>
      </c>
      <c r="J75" s="44">
        <v>45</v>
      </c>
      <c r="K75" s="44">
        <v>45</v>
      </c>
    </row>
    <row r="76" spans="1:11" ht="21" customHeight="1" x14ac:dyDescent="0.15">
      <c r="A76" s="18" t="str">
        <f t="shared" si="2"/>
        <v>24_3-5</v>
      </c>
      <c r="B76" s="18" t="str">
        <f>IF(COUNTIF(enemy_habitats!$H:$H,A76),"OK","NG")</f>
        <v>OK</v>
      </c>
      <c r="C76" s="39">
        <v>24</v>
      </c>
      <c r="D76" s="23" t="str">
        <f ca="1">VLOOKUP($C76,OFFSET([1]quests!$A$1,0,0,COUNTA([1]quests!$A:$A),MATCH(D$1,[1]quests!$1:$1,0)-MATCH($C$1,[1]quests!$1:$1,0)+1),MATCH(D$1,[1]quests!$1:$1,0)-MATCH($C$1,[1]quests!$1:$1,0)+1,FALSE)</f>
        <v>24．バトルフィールドヘヴン</v>
      </c>
      <c r="E76" s="23" t="str">
        <f ca="1">VLOOKUP($C76,OFFSET([1]quests!$A$1,0,0,COUNTA([1]quests!$A:$A),MATCH(E$1,[1]quests!$1:$1,0)-MATCH($C$1,[1]quests!$1:$1,0)+1),MATCH(E$1,[1]quests!$1:$1,0)-MATCH($C$1,[1]quests!$1:$1,0)+1,FALSE)</f>
        <v>黄DL5</v>
      </c>
      <c r="F76" s="42">
        <v>3</v>
      </c>
      <c r="G76" s="25" t="str">
        <f t="shared" si="3"/>
        <v>24_3</v>
      </c>
      <c r="H76" s="17" t="str">
        <f ca="1">VLOOKUP($G76,OFFSET([1]stages!$A$1,0,0,COUNTA([1]stages!$A:$A),MATCH(H$1,[1]stages!$2:$2,0)-MATCH($G$1,[1]stages!$2:$2,0)+1),MATCH(H$1,[1]stages!$2:$2,0)-MATCH($G$1,[1]stages!$2:$2,0)+1,FALSE)</f>
        <v>24-3．武器を花に変えて</v>
      </c>
      <c r="I76" s="47">
        <v>5</v>
      </c>
      <c r="J76" s="61">
        <v>60</v>
      </c>
      <c r="K76" s="61">
        <v>60</v>
      </c>
    </row>
    <row r="77" spans="1:11" ht="21" customHeight="1" x14ac:dyDescent="0.15">
      <c r="A77" s="18" t="str">
        <f t="shared" si="2"/>
        <v>24_4-1</v>
      </c>
      <c r="B77" s="18" t="str">
        <f>IF(COUNTIF(enemy_habitats!$H:$H,A77),"OK","NG")</f>
        <v>OK</v>
      </c>
      <c r="C77" s="39">
        <v>24</v>
      </c>
      <c r="D77" s="23" t="str">
        <f ca="1">VLOOKUP($C77,OFFSET([1]quests!$A$1,0,0,COUNTA([1]quests!$A:$A),MATCH(D$1,[1]quests!$1:$1,0)-MATCH($C$1,[1]quests!$1:$1,0)+1),MATCH(D$1,[1]quests!$1:$1,0)-MATCH($C$1,[1]quests!$1:$1,0)+1,FALSE)</f>
        <v>24．バトルフィールドヘヴン</v>
      </c>
      <c r="E77" s="23" t="str">
        <f ca="1">VLOOKUP($C77,OFFSET([1]quests!$A$1,0,0,COUNTA([1]quests!$A:$A),MATCH(E$1,[1]quests!$1:$1,0)-MATCH($C$1,[1]quests!$1:$1,0)+1),MATCH(E$1,[1]quests!$1:$1,0)-MATCH($C$1,[1]quests!$1:$1,0)+1,FALSE)</f>
        <v>黄DL5</v>
      </c>
      <c r="F77" s="42">
        <v>4</v>
      </c>
      <c r="G77" s="25" t="str">
        <f t="shared" si="3"/>
        <v>24_4</v>
      </c>
      <c r="H77" s="17" t="str">
        <f ca="1">VLOOKUP($G77,OFFSET([1]stages!$A$1,0,0,COUNTA([1]stages!$A:$A),MATCH(H$1,[1]stages!$2:$2,0)-MATCH($G$1,[1]stages!$2:$2,0)+1),MATCH(H$1,[1]stages!$2:$2,0)-MATCH($G$1,[1]stages!$2:$2,0)+1,FALSE)</f>
        <v>24-4．肉弾の虎将</v>
      </c>
      <c r="I77" s="47">
        <v>1</v>
      </c>
      <c r="J77" s="45">
        <v>30</v>
      </c>
      <c r="K77" s="46">
        <v>30</v>
      </c>
    </row>
    <row r="78" spans="1:11" ht="21" customHeight="1" x14ac:dyDescent="0.15">
      <c r="A78" s="18" t="str">
        <f t="shared" si="2"/>
        <v>24_4-2</v>
      </c>
      <c r="B78" s="18" t="str">
        <f>IF(COUNTIF(enemy_habitats!$H:$H,A78),"OK","NG")</f>
        <v>OK</v>
      </c>
      <c r="C78" s="39">
        <v>24</v>
      </c>
      <c r="D78" s="23" t="str">
        <f ca="1">VLOOKUP($C78,OFFSET([1]quests!$A$1,0,0,COUNTA([1]quests!$A:$A),MATCH(D$1,[1]quests!$1:$1,0)-MATCH($C$1,[1]quests!$1:$1,0)+1),MATCH(D$1,[1]quests!$1:$1,0)-MATCH($C$1,[1]quests!$1:$1,0)+1,FALSE)</f>
        <v>24．バトルフィールドヘヴン</v>
      </c>
      <c r="E78" s="23" t="str">
        <f ca="1">VLOOKUP($C78,OFFSET([1]quests!$A$1,0,0,COUNTA([1]quests!$A:$A),MATCH(E$1,[1]quests!$1:$1,0)-MATCH($C$1,[1]quests!$1:$1,0)+1),MATCH(E$1,[1]quests!$1:$1,0)-MATCH($C$1,[1]quests!$1:$1,0)+1,FALSE)</f>
        <v>黄DL5</v>
      </c>
      <c r="F78" s="42">
        <v>4</v>
      </c>
      <c r="G78" s="25" t="str">
        <f t="shared" si="3"/>
        <v>24_4</v>
      </c>
      <c r="H78" s="17" t="str">
        <f ca="1">VLOOKUP($G78,OFFSET([1]stages!$A$1,0,0,COUNTA([1]stages!$A:$A),MATCH(H$1,[1]stages!$2:$2,0)-MATCH($G$1,[1]stages!$2:$2,0)+1),MATCH(H$1,[1]stages!$2:$2,0)-MATCH($G$1,[1]stages!$2:$2,0)+1,FALSE)</f>
        <v>24-4．肉弾の虎将</v>
      </c>
      <c r="I78" s="47">
        <v>2</v>
      </c>
      <c r="J78" s="44">
        <v>45</v>
      </c>
      <c r="K78" s="44">
        <v>60</v>
      </c>
    </row>
    <row r="79" spans="1:11" ht="21" customHeight="1" x14ac:dyDescent="0.15">
      <c r="A79" s="18" t="str">
        <f t="shared" si="2"/>
        <v>24_4-3</v>
      </c>
      <c r="B79" s="18" t="str">
        <f>IF(COUNTIF(enemy_habitats!$H:$H,A79),"OK","NG")</f>
        <v>OK</v>
      </c>
      <c r="C79" s="39">
        <v>24</v>
      </c>
      <c r="D79" s="23" t="str">
        <f ca="1">VLOOKUP($C79,OFFSET([1]quests!$A$1,0,0,COUNTA([1]quests!$A:$A),MATCH(D$1,[1]quests!$1:$1,0)-MATCH($C$1,[1]quests!$1:$1,0)+1),MATCH(D$1,[1]quests!$1:$1,0)-MATCH($C$1,[1]quests!$1:$1,0)+1,FALSE)</f>
        <v>24．バトルフィールドヘヴン</v>
      </c>
      <c r="E79" s="23" t="str">
        <f ca="1">VLOOKUP($C79,OFFSET([1]quests!$A$1,0,0,COUNTA([1]quests!$A:$A),MATCH(E$1,[1]quests!$1:$1,0)-MATCH($C$1,[1]quests!$1:$1,0)+1),MATCH(E$1,[1]quests!$1:$1,0)-MATCH($C$1,[1]quests!$1:$1,0)+1,FALSE)</f>
        <v>黄DL5</v>
      </c>
      <c r="F79" s="42">
        <v>4</v>
      </c>
      <c r="G79" s="25" t="str">
        <f t="shared" si="3"/>
        <v>24_4</v>
      </c>
      <c r="H79" s="17" t="str">
        <f ca="1">VLOOKUP($G79,OFFSET([1]stages!$A$1,0,0,COUNTA([1]stages!$A:$A),MATCH(H$1,[1]stages!$2:$2,0)-MATCH($G$1,[1]stages!$2:$2,0)+1),MATCH(H$1,[1]stages!$2:$2,0)-MATCH($G$1,[1]stages!$2:$2,0)+1,FALSE)</f>
        <v>24-4．肉弾の虎将</v>
      </c>
      <c r="I79" s="47">
        <v>3</v>
      </c>
      <c r="J79" s="61">
        <v>60</v>
      </c>
      <c r="K79" s="61">
        <v>60</v>
      </c>
    </row>
    <row r="80" spans="1:11" ht="21" customHeight="1" x14ac:dyDescent="0.15">
      <c r="A80" s="18" t="str">
        <f t="shared" si="2"/>
        <v>24_4-4</v>
      </c>
      <c r="B80" s="18" t="str">
        <f>IF(COUNTIF(enemy_habitats!$H:$H,A80),"OK","NG")</f>
        <v>OK</v>
      </c>
      <c r="C80" s="39">
        <v>24</v>
      </c>
      <c r="D80" s="23" t="str">
        <f ca="1">VLOOKUP($C80,OFFSET([1]quests!$A$1,0,0,COUNTA([1]quests!$A:$A),MATCH(D$1,[1]quests!$1:$1,0)-MATCH($C$1,[1]quests!$1:$1,0)+1),MATCH(D$1,[1]quests!$1:$1,0)-MATCH($C$1,[1]quests!$1:$1,0)+1,FALSE)</f>
        <v>24．バトルフィールドヘヴン</v>
      </c>
      <c r="E80" s="23" t="str">
        <f ca="1">VLOOKUP($C80,OFFSET([1]quests!$A$1,0,0,COUNTA([1]quests!$A:$A),MATCH(E$1,[1]quests!$1:$1,0)-MATCH($C$1,[1]quests!$1:$1,0)+1),MATCH(E$1,[1]quests!$1:$1,0)-MATCH($C$1,[1]quests!$1:$1,0)+1,FALSE)</f>
        <v>黄DL5</v>
      </c>
      <c r="F80" s="42">
        <v>4</v>
      </c>
      <c r="G80" s="25" t="str">
        <f t="shared" si="3"/>
        <v>24_4</v>
      </c>
      <c r="H80" s="17" t="str">
        <f ca="1">VLOOKUP($G80,OFFSET([1]stages!$A$1,0,0,COUNTA([1]stages!$A:$A),MATCH(H$1,[1]stages!$2:$2,0)-MATCH($G$1,[1]stages!$2:$2,0)+1),MATCH(H$1,[1]stages!$2:$2,0)-MATCH($G$1,[1]stages!$2:$2,0)+1,FALSE)</f>
        <v>24-4．肉弾の虎将</v>
      </c>
      <c r="I80" s="47">
        <v>4</v>
      </c>
      <c r="J80" s="44">
        <v>45</v>
      </c>
      <c r="K80" s="44">
        <v>45</v>
      </c>
    </row>
    <row r="81" spans="1:11" ht="21" customHeight="1" x14ac:dyDescent="0.15">
      <c r="A81" s="18" t="str">
        <f t="shared" si="2"/>
        <v>24_4-5</v>
      </c>
      <c r="B81" s="18" t="str">
        <f>IF(COUNTIF(enemy_habitats!$H:$H,A81),"OK","NG")</f>
        <v>OK</v>
      </c>
      <c r="C81" s="39">
        <v>24</v>
      </c>
      <c r="D81" s="23" t="str">
        <f ca="1">VLOOKUP($C81,OFFSET([1]quests!$A$1,0,0,COUNTA([1]quests!$A:$A),MATCH(D$1,[1]quests!$1:$1,0)-MATCH($C$1,[1]quests!$1:$1,0)+1),MATCH(D$1,[1]quests!$1:$1,0)-MATCH($C$1,[1]quests!$1:$1,0)+1,FALSE)</f>
        <v>24．バトルフィールドヘヴン</v>
      </c>
      <c r="E81" s="23" t="str">
        <f ca="1">VLOOKUP($C81,OFFSET([1]quests!$A$1,0,0,COUNTA([1]quests!$A:$A),MATCH(E$1,[1]quests!$1:$1,0)-MATCH($C$1,[1]quests!$1:$1,0)+1),MATCH(E$1,[1]quests!$1:$1,0)-MATCH($C$1,[1]quests!$1:$1,0)+1,FALSE)</f>
        <v>黄DL5</v>
      </c>
      <c r="F81" s="42">
        <v>4</v>
      </c>
      <c r="G81" s="25" t="str">
        <f t="shared" si="3"/>
        <v>24_4</v>
      </c>
      <c r="H81" s="17" t="str">
        <f ca="1">VLOOKUP($G81,OFFSET([1]stages!$A$1,0,0,COUNTA([1]stages!$A:$A),MATCH(H$1,[1]stages!$2:$2,0)-MATCH($G$1,[1]stages!$2:$2,0)+1),MATCH(H$1,[1]stages!$2:$2,0)-MATCH($G$1,[1]stages!$2:$2,0)+1,FALSE)</f>
        <v>24-4．肉弾の虎将</v>
      </c>
      <c r="I81" s="47">
        <v>5</v>
      </c>
      <c r="J81" s="61">
        <v>60</v>
      </c>
      <c r="K81" s="61">
        <v>60</v>
      </c>
    </row>
    <row r="82" spans="1:11" ht="21" customHeight="1" x14ac:dyDescent="0.15">
      <c r="A82" s="18" t="str">
        <f t="shared" si="2"/>
        <v>24_5-1</v>
      </c>
      <c r="B82" s="18" t="str">
        <f>IF(COUNTIF(enemy_habitats!$H:$H,A82),"OK","NG")</f>
        <v>OK</v>
      </c>
      <c r="C82" s="39">
        <v>24</v>
      </c>
      <c r="D82" s="23" t="str">
        <f ca="1">VLOOKUP($C82,OFFSET([1]quests!$A$1,0,0,COUNTA([1]quests!$A:$A),MATCH(D$1,[1]quests!$1:$1,0)-MATCH($C$1,[1]quests!$1:$1,0)+1),MATCH(D$1,[1]quests!$1:$1,0)-MATCH($C$1,[1]quests!$1:$1,0)+1,FALSE)</f>
        <v>24．バトルフィールドヘヴン</v>
      </c>
      <c r="E82" s="23" t="str">
        <f ca="1">VLOOKUP($C82,OFFSET([1]quests!$A$1,0,0,COUNTA([1]quests!$A:$A),MATCH(E$1,[1]quests!$1:$1,0)-MATCH($C$1,[1]quests!$1:$1,0)+1),MATCH(E$1,[1]quests!$1:$1,0)-MATCH($C$1,[1]quests!$1:$1,0)+1,FALSE)</f>
        <v>黄DL5</v>
      </c>
      <c r="F82" s="42">
        <v>5</v>
      </c>
      <c r="G82" s="25" t="str">
        <f t="shared" si="3"/>
        <v>24_5</v>
      </c>
      <c r="H82" s="17" t="str">
        <f ca="1">VLOOKUP($G82,OFFSET([1]stages!$A$1,0,0,COUNTA([1]stages!$A:$A),MATCH(H$1,[1]stages!$2:$2,0)-MATCH($G$1,[1]stages!$2:$2,0)+1),MATCH(H$1,[1]stages!$2:$2,0)-MATCH($G$1,[1]stages!$2:$2,0)+1,FALSE)</f>
        <v>24-5．決戦のヘヴン</v>
      </c>
      <c r="I82" s="47">
        <v>1</v>
      </c>
      <c r="J82" s="45">
        <v>30</v>
      </c>
      <c r="K82" s="46">
        <v>30</v>
      </c>
    </row>
    <row r="83" spans="1:11" ht="21" customHeight="1" x14ac:dyDescent="0.15">
      <c r="A83" s="18" t="str">
        <f t="shared" si="2"/>
        <v>24_5-2</v>
      </c>
      <c r="B83" s="18" t="str">
        <f>IF(COUNTIF(enemy_habitats!$H:$H,A83),"OK","NG")</f>
        <v>OK</v>
      </c>
      <c r="C83" s="39">
        <v>24</v>
      </c>
      <c r="D83" s="23" t="str">
        <f ca="1">VLOOKUP($C83,OFFSET([1]quests!$A$1,0,0,COUNTA([1]quests!$A:$A),MATCH(D$1,[1]quests!$1:$1,0)-MATCH($C$1,[1]quests!$1:$1,0)+1),MATCH(D$1,[1]quests!$1:$1,0)-MATCH($C$1,[1]quests!$1:$1,0)+1,FALSE)</f>
        <v>24．バトルフィールドヘヴン</v>
      </c>
      <c r="E83" s="23" t="str">
        <f ca="1">VLOOKUP($C83,OFFSET([1]quests!$A$1,0,0,COUNTA([1]quests!$A:$A),MATCH(E$1,[1]quests!$1:$1,0)-MATCH($C$1,[1]quests!$1:$1,0)+1),MATCH(E$1,[1]quests!$1:$1,0)-MATCH($C$1,[1]quests!$1:$1,0)+1,FALSE)</f>
        <v>黄DL5</v>
      </c>
      <c r="F83" s="42">
        <v>5</v>
      </c>
      <c r="G83" s="25" t="str">
        <f t="shared" si="3"/>
        <v>24_5</v>
      </c>
      <c r="H83" s="17" t="str">
        <f ca="1">VLOOKUP($G83,OFFSET([1]stages!$A$1,0,0,COUNTA([1]stages!$A:$A),MATCH(H$1,[1]stages!$2:$2,0)-MATCH($G$1,[1]stages!$2:$2,0)+1),MATCH(H$1,[1]stages!$2:$2,0)-MATCH($G$1,[1]stages!$2:$2,0)+1,FALSE)</f>
        <v>24-5．決戦のヘヴン</v>
      </c>
      <c r="I83" s="47">
        <v>2</v>
      </c>
      <c r="J83" s="44">
        <v>45</v>
      </c>
      <c r="K83" s="44">
        <v>60</v>
      </c>
    </row>
    <row r="84" spans="1:11" ht="21" customHeight="1" x14ac:dyDescent="0.15">
      <c r="A84" s="18" t="str">
        <f t="shared" si="2"/>
        <v>24_5-3</v>
      </c>
      <c r="B84" s="18" t="str">
        <f>IF(COUNTIF(enemy_habitats!$H:$H,A84),"OK","NG")</f>
        <v>OK</v>
      </c>
      <c r="C84" s="39">
        <v>24</v>
      </c>
      <c r="D84" s="23" t="str">
        <f ca="1">VLOOKUP($C84,OFFSET([1]quests!$A$1,0,0,COUNTA([1]quests!$A:$A),MATCH(D$1,[1]quests!$1:$1,0)-MATCH($C$1,[1]quests!$1:$1,0)+1),MATCH(D$1,[1]quests!$1:$1,0)-MATCH($C$1,[1]quests!$1:$1,0)+1,FALSE)</f>
        <v>24．バトルフィールドヘヴン</v>
      </c>
      <c r="E84" s="23" t="str">
        <f ca="1">VLOOKUP($C84,OFFSET([1]quests!$A$1,0,0,COUNTA([1]quests!$A:$A),MATCH(E$1,[1]quests!$1:$1,0)-MATCH($C$1,[1]quests!$1:$1,0)+1),MATCH(E$1,[1]quests!$1:$1,0)-MATCH($C$1,[1]quests!$1:$1,0)+1,FALSE)</f>
        <v>黄DL5</v>
      </c>
      <c r="F84" s="42">
        <v>5</v>
      </c>
      <c r="G84" s="25" t="str">
        <f t="shared" si="3"/>
        <v>24_5</v>
      </c>
      <c r="H84" s="17" t="str">
        <f ca="1">VLOOKUP($G84,OFFSET([1]stages!$A$1,0,0,COUNTA([1]stages!$A:$A),MATCH(H$1,[1]stages!$2:$2,0)-MATCH($G$1,[1]stages!$2:$2,0)+1),MATCH(H$1,[1]stages!$2:$2,0)-MATCH($G$1,[1]stages!$2:$2,0)+1,FALSE)</f>
        <v>24-5．決戦のヘヴン</v>
      </c>
      <c r="I84" s="47">
        <v>3</v>
      </c>
      <c r="J84" s="61">
        <v>60</v>
      </c>
      <c r="K84" s="61">
        <v>60</v>
      </c>
    </row>
    <row r="85" spans="1:11" ht="21" customHeight="1" x14ac:dyDescent="0.15">
      <c r="A85" s="18" t="str">
        <f t="shared" si="2"/>
        <v>24_5-4</v>
      </c>
      <c r="B85" s="18" t="str">
        <f>IF(COUNTIF(enemy_habitats!$H:$H,A85),"OK","NG")</f>
        <v>OK</v>
      </c>
      <c r="C85" s="39">
        <v>24</v>
      </c>
      <c r="D85" s="23" t="str">
        <f ca="1">VLOOKUP($C85,OFFSET([1]quests!$A$1,0,0,COUNTA([1]quests!$A:$A),MATCH(D$1,[1]quests!$1:$1,0)-MATCH($C$1,[1]quests!$1:$1,0)+1),MATCH(D$1,[1]quests!$1:$1,0)-MATCH($C$1,[1]quests!$1:$1,0)+1,FALSE)</f>
        <v>24．バトルフィールドヘヴン</v>
      </c>
      <c r="E85" s="23" t="str">
        <f ca="1">VLOOKUP($C85,OFFSET([1]quests!$A$1,0,0,COUNTA([1]quests!$A:$A),MATCH(E$1,[1]quests!$1:$1,0)-MATCH($C$1,[1]quests!$1:$1,0)+1),MATCH(E$1,[1]quests!$1:$1,0)-MATCH($C$1,[1]quests!$1:$1,0)+1,FALSE)</f>
        <v>黄DL5</v>
      </c>
      <c r="F85" s="42">
        <v>5</v>
      </c>
      <c r="G85" s="25" t="str">
        <f t="shared" si="3"/>
        <v>24_5</v>
      </c>
      <c r="H85" s="17" t="str">
        <f ca="1">VLOOKUP($G85,OFFSET([1]stages!$A$1,0,0,COUNTA([1]stages!$A:$A),MATCH(H$1,[1]stages!$2:$2,0)-MATCH($G$1,[1]stages!$2:$2,0)+1),MATCH(H$1,[1]stages!$2:$2,0)-MATCH($G$1,[1]stages!$2:$2,0)+1,FALSE)</f>
        <v>24-5．決戦のヘヴン</v>
      </c>
      <c r="I85" s="47">
        <v>4</v>
      </c>
      <c r="J85" s="44">
        <v>45</v>
      </c>
      <c r="K85" s="44">
        <v>45</v>
      </c>
    </row>
    <row r="86" spans="1:11" ht="21" customHeight="1" x14ac:dyDescent="0.15">
      <c r="A86" s="18" t="str">
        <f t="shared" si="2"/>
        <v>24_5-5</v>
      </c>
      <c r="B86" s="18" t="str">
        <f>IF(COUNTIF(enemy_habitats!$H:$H,A86),"OK","NG")</f>
        <v>OK</v>
      </c>
      <c r="C86" s="39">
        <v>24</v>
      </c>
      <c r="D86" s="23" t="str">
        <f ca="1">VLOOKUP($C86,OFFSET([1]quests!$A$1,0,0,COUNTA([1]quests!$A:$A),MATCH(D$1,[1]quests!$1:$1,0)-MATCH($C$1,[1]quests!$1:$1,0)+1),MATCH(D$1,[1]quests!$1:$1,0)-MATCH($C$1,[1]quests!$1:$1,0)+1,FALSE)</f>
        <v>24．バトルフィールドヘヴン</v>
      </c>
      <c r="E86" s="23" t="str">
        <f ca="1">VLOOKUP($C86,OFFSET([1]quests!$A$1,0,0,COUNTA([1]quests!$A:$A),MATCH(E$1,[1]quests!$1:$1,0)-MATCH($C$1,[1]quests!$1:$1,0)+1),MATCH(E$1,[1]quests!$1:$1,0)-MATCH($C$1,[1]quests!$1:$1,0)+1,FALSE)</f>
        <v>黄DL5</v>
      </c>
      <c r="F86" s="42">
        <v>5</v>
      </c>
      <c r="G86" s="25" t="str">
        <f t="shared" si="3"/>
        <v>24_5</v>
      </c>
      <c r="H86" s="17" t="str">
        <f ca="1">VLOOKUP($G86,OFFSET([1]stages!$A$1,0,0,COUNTA([1]stages!$A:$A),MATCH(H$1,[1]stages!$2:$2,0)-MATCH($G$1,[1]stages!$2:$2,0)+1),MATCH(H$1,[1]stages!$2:$2,0)-MATCH($G$1,[1]stages!$2:$2,0)+1,FALSE)</f>
        <v>24-5．決戦のヘヴン</v>
      </c>
      <c r="I86" s="47">
        <v>5</v>
      </c>
      <c r="J86" s="61">
        <v>60</v>
      </c>
      <c r="K86" s="61">
        <v>60</v>
      </c>
    </row>
    <row r="87" spans="1:11" ht="21" customHeight="1" x14ac:dyDescent="0.15">
      <c r="A87" s="18" t="str">
        <f t="shared" si="2"/>
        <v>24_6-1</v>
      </c>
      <c r="B87" s="18" t="str">
        <f>IF(COUNTIF(enemy_habitats!$H:$H,A87),"OK","NG")</f>
        <v>OK</v>
      </c>
      <c r="C87" s="39">
        <v>24</v>
      </c>
      <c r="D87" s="23" t="str">
        <f ca="1">VLOOKUP($C87,OFFSET([1]quests!$A$1,0,0,COUNTA([1]quests!$A:$A),MATCH(D$1,[1]quests!$1:$1,0)-MATCH($C$1,[1]quests!$1:$1,0)+1),MATCH(D$1,[1]quests!$1:$1,0)-MATCH($C$1,[1]quests!$1:$1,0)+1,FALSE)</f>
        <v>24．バトルフィールドヘヴン</v>
      </c>
      <c r="E87" s="23" t="str">
        <f ca="1">VLOOKUP($C87,OFFSET([1]quests!$A$1,0,0,COUNTA([1]quests!$A:$A),MATCH(E$1,[1]quests!$1:$1,0)-MATCH($C$1,[1]quests!$1:$1,0)+1),MATCH(E$1,[1]quests!$1:$1,0)-MATCH($C$1,[1]quests!$1:$1,0)+1,FALSE)</f>
        <v>黄DL5</v>
      </c>
      <c r="F87" s="42">
        <v>6</v>
      </c>
      <c r="G87" s="25" t="str">
        <f t="shared" si="3"/>
        <v>24_6</v>
      </c>
      <c r="H87" s="17" t="str">
        <f ca="1">VLOOKUP($G87,OFFSET([1]stages!$A$1,0,0,COUNTA([1]stages!$A:$A),MATCH(H$1,[1]stages!$2:$2,0)-MATCH($G$1,[1]stages!$2:$2,0)+1),MATCH(H$1,[1]stages!$2:$2,0)-MATCH($G$1,[1]stages!$2:$2,0)+1,FALSE)</f>
        <v>24-6．【1回のみ】ボーナスステージ</v>
      </c>
      <c r="I87" s="47">
        <v>1</v>
      </c>
      <c r="J87" s="48">
        <v>40</v>
      </c>
      <c r="K87" s="48">
        <v>60</v>
      </c>
    </row>
    <row r="88" spans="1:11" ht="21" customHeight="1" x14ac:dyDescent="0.15">
      <c r="A88" s="18" t="str">
        <f t="shared" si="2"/>
        <v>24_6-2</v>
      </c>
      <c r="B88" s="18" t="str">
        <f>IF(COUNTIF(enemy_habitats!$H:$H,A88),"OK","NG")</f>
        <v>OK</v>
      </c>
      <c r="C88" s="39">
        <v>24</v>
      </c>
      <c r="D88" s="23" t="str">
        <f ca="1">VLOOKUP($C88,OFFSET([1]quests!$A$1,0,0,COUNTA([1]quests!$A:$A),MATCH(D$1,[1]quests!$1:$1,0)-MATCH($C$1,[1]quests!$1:$1,0)+1),MATCH(D$1,[1]quests!$1:$1,0)-MATCH($C$1,[1]quests!$1:$1,0)+1,FALSE)</f>
        <v>24．バトルフィールドヘヴン</v>
      </c>
      <c r="E88" s="23" t="str">
        <f ca="1">VLOOKUP($C88,OFFSET([1]quests!$A$1,0,0,COUNTA([1]quests!$A:$A),MATCH(E$1,[1]quests!$1:$1,0)-MATCH($C$1,[1]quests!$1:$1,0)+1),MATCH(E$1,[1]quests!$1:$1,0)-MATCH($C$1,[1]quests!$1:$1,0)+1,FALSE)</f>
        <v>黄DL5</v>
      </c>
      <c r="F88" s="42">
        <v>6</v>
      </c>
      <c r="G88" s="25" t="str">
        <f t="shared" si="3"/>
        <v>24_6</v>
      </c>
      <c r="H88" s="17" t="str">
        <f ca="1">VLOOKUP($G88,OFFSET([1]stages!$A$1,0,0,COUNTA([1]stages!$A:$A),MATCH(H$1,[1]stages!$2:$2,0)-MATCH($G$1,[1]stages!$2:$2,0)+1),MATCH(H$1,[1]stages!$2:$2,0)-MATCH($G$1,[1]stages!$2:$2,0)+1,FALSE)</f>
        <v>24-6．【1回のみ】ボーナスステージ</v>
      </c>
      <c r="I88" s="47">
        <v>2</v>
      </c>
      <c r="J88" s="48">
        <v>40</v>
      </c>
      <c r="K88" s="48">
        <v>60</v>
      </c>
    </row>
    <row r="89" spans="1:11" ht="21" customHeight="1" x14ac:dyDescent="0.15">
      <c r="A89" s="18" t="str">
        <f t="shared" si="2"/>
        <v>24_6-3</v>
      </c>
      <c r="B89" s="18" t="str">
        <f>IF(COUNTIF(enemy_habitats!$H:$H,A89),"OK","NG")</f>
        <v>OK</v>
      </c>
      <c r="C89" s="39">
        <v>24</v>
      </c>
      <c r="D89" s="23" t="str">
        <f ca="1">VLOOKUP($C89,OFFSET([1]quests!$A$1,0,0,COUNTA([1]quests!$A:$A),MATCH(D$1,[1]quests!$1:$1,0)-MATCH($C$1,[1]quests!$1:$1,0)+1),MATCH(D$1,[1]quests!$1:$1,0)-MATCH($C$1,[1]quests!$1:$1,0)+1,FALSE)</f>
        <v>24．バトルフィールドヘヴン</v>
      </c>
      <c r="E89" s="23" t="str">
        <f ca="1">VLOOKUP($C89,OFFSET([1]quests!$A$1,0,0,COUNTA([1]quests!$A:$A),MATCH(E$1,[1]quests!$1:$1,0)-MATCH($C$1,[1]quests!$1:$1,0)+1),MATCH(E$1,[1]quests!$1:$1,0)-MATCH($C$1,[1]quests!$1:$1,0)+1,FALSE)</f>
        <v>黄DL5</v>
      </c>
      <c r="F89" s="42">
        <v>6</v>
      </c>
      <c r="G89" s="25" t="str">
        <f t="shared" si="3"/>
        <v>24_6</v>
      </c>
      <c r="H89" s="17" t="str">
        <f ca="1">VLOOKUP($G89,OFFSET([1]stages!$A$1,0,0,COUNTA([1]stages!$A:$A),MATCH(H$1,[1]stages!$2:$2,0)-MATCH($G$1,[1]stages!$2:$2,0)+1),MATCH(H$1,[1]stages!$2:$2,0)-MATCH($G$1,[1]stages!$2:$2,0)+1,FALSE)</f>
        <v>24-6．【1回のみ】ボーナスステージ</v>
      </c>
      <c r="I89" s="47">
        <v>3</v>
      </c>
      <c r="J89" s="48">
        <v>40</v>
      </c>
      <c r="K89" s="48">
        <v>60</v>
      </c>
    </row>
    <row r="90" spans="1:11" ht="21" customHeight="1" x14ac:dyDescent="0.15">
      <c r="A90" s="18" t="str">
        <f t="shared" si="2"/>
        <v>24_6-4</v>
      </c>
      <c r="B90" s="18" t="str">
        <f>IF(COUNTIF(enemy_habitats!$H:$H,A90),"OK","NG")</f>
        <v>OK</v>
      </c>
      <c r="C90" s="39">
        <v>24</v>
      </c>
      <c r="D90" s="23" t="str">
        <f ca="1">VLOOKUP($C90,OFFSET([1]quests!$A$1,0,0,COUNTA([1]quests!$A:$A),MATCH(D$1,[1]quests!$1:$1,0)-MATCH($C$1,[1]quests!$1:$1,0)+1),MATCH(D$1,[1]quests!$1:$1,0)-MATCH($C$1,[1]quests!$1:$1,0)+1,FALSE)</f>
        <v>24．バトルフィールドヘヴン</v>
      </c>
      <c r="E90" s="23" t="str">
        <f ca="1">VLOOKUP($C90,OFFSET([1]quests!$A$1,0,0,COUNTA([1]quests!$A:$A),MATCH(E$1,[1]quests!$1:$1,0)-MATCH($C$1,[1]quests!$1:$1,0)+1),MATCH(E$1,[1]quests!$1:$1,0)-MATCH($C$1,[1]quests!$1:$1,0)+1,FALSE)</f>
        <v>黄DL5</v>
      </c>
      <c r="F90" s="42">
        <v>6</v>
      </c>
      <c r="G90" s="25" t="str">
        <f t="shared" si="3"/>
        <v>24_6</v>
      </c>
      <c r="H90" s="17" t="str">
        <f ca="1">VLOOKUP($G90,OFFSET([1]stages!$A$1,0,0,COUNTA([1]stages!$A:$A),MATCH(H$1,[1]stages!$2:$2,0)-MATCH($G$1,[1]stages!$2:$2,0)+1),MATCH(H$1,[1]stages!$2:$2,0)-MATCH($G$1,[1]stages!$2:$2,0)+1,FALSE)</f>
        <v>24-6．【1回のみ】ボーナスステージ</v>
      </c>
      <c r="I90" s="47">
        <v>4</v>
      </c>
      <c r="J90" s="48">
        <v>60</v>
      </c>
      <c r="K90" s="48">
        <v>60</v>
      </c>
    </row>
    <row r="91" spans="1:11" ht="21" customHeight="1" x14ac:dyDescent="0.15">
      <c r="A91" s="18" t="str">
        <f t="shared" si="2"/>
        <v>24_6-5</v>
      </c>
      <c r="B91" s="18" t="str">
        <f>IF(COUNTIF(enemy_habitats!$H:$H,A91),"OK","NG")</f>
        <v>OK</v>
      </c>
      <c r="C91" s="39">
        <v>24</v>
      </c>
      <c r="D91" s="23" t="str">
        <f ca="1">VLOOKUP($C91,OFFSET([1]quests!$A$1,0,0,COUNTA([1]quests!$A:$A),MATCH(D$1,[1]quests!$1:$1,0)-MATCH($C$1,[1]quests!$1:$1,0)+1),MATCH(D$1,[1]quests!$1:$1,0)-MATCH($C$1,[1]quests!$1:$1,0)+1,FALSE)</f>
        <v>24．バトルフィールドヘヴン</v>
      </c>
      <c r="E91" s="23" t="str">
        <f ca="1">VLOOKUP($C91,OFFSET([1]quests!$A$1,0,0,COUNTA([1]quests!$A:$A),MATCH(E$1,[1]quests!$1:$1,0)-MATCH($C$1,[1]quests!$1:$1,0)+1),MATCH(E$1,[1]quests!$1:$1,0)-MATCH($C$1,[1]quests!$1:$1,0)+1,FALSE)</f>
        <v>黄DL5</v>
      </c>
      <c r="F91" s="42">
        <v>6</v>
      </c>
      <c r="G91" s="25" t="str">
        <f t="shared" si="3"/>
        <v>24_6</v>
      </c>
      <c r="H91" s="17" t="str">
        <f ca="1">VLOOKUP($G91,OFFSET([1]stages!$A$1,0,0,COUNTA([1]stages!$A:$A),MATCH(H$1,[1]stages!$2:$2,0)-MATCH($G$1,[1]stages!$2:$2,0)+1),MATCH(H$1,[1]stages!$2:$2,0)-MATCH($G$1,[1]stages!$2:$2,0)+1,FALSE)</f>
        <v>24-6．【1回のみ】ボーナスステージ</v>
      </c>
      <c r="I91" s="47">
        <v>5</v>
      </c>
      <c r="J91" s="48">
        <v>40</v>
      </c>
      <c r="K91" s="48">
        <v>40</v>
      </c>
    </row>
    <row r="92" spans="1:11" ht="21" customHeight="1" x14ac:dyDescent="0.15">
      <c r="A92" s="18" t="str">
        <f t="shared" si="2"/>
        <v>25_1-1</v>
      </c>
      <c r="B92" s="18" t="str">
        <f>IF(COUNTIF(enemy_habitats!$H:$H,A92),"OK","NG")</f>
        <v>OK</v>
      </c>
      <c r="C92" s="39">
        <v>25</v>
      </c>
      <c r="D92" s="23" t="str">
        <f ca="1">VLOOKUP($C92,OFFSET([1]quests!$A$1,0,0,COUNTA([1]quests!$A:$A),MATCH(D$1,[1]quests!$1:$1,0)-MATCH($C$1,[1]quests!$1:$1,0)+1),MATCH(D$1,[1]quests!$1:$1,0)-MATCH($C$1,[1]quests!$1:$1,0)+1,FALSE)</f>
        <v>25．サディスティックパーティ</v>
      </c>
      <c r="E92" s="23" t="str">
        <f ca="1">VLOOKUP($C92,OFFSET([1]quests!$A$1,0,0,COUNTA([1]quests!$A:$A),MATCH(E$1,[1]quests!$1:$1,0)-MATCH($C$1,[1]quests!$1:$1,0)+1),MATCH(E$1,[1]quests!$1:$1,0)-MATCH($C$1,[1]quests!$1:$1,0)+1,FALSE)</f>
        <v>青DL5</v>
      </c>
      <c r="F92" s="42">
        <v>1</v>
      </c>
      <c r="G92" s="25" t="str">
        <f t="shared" si="3"/>
        <v>25_1</v>
      </c>
      <c r="H92" s="17" t="str">
        <f ca="1">VLOOKUP($G92,OFFSET([1]stages!$A$1,0,0,COUNTA([1]stages!$A:$A),MATCH(H$1,[1]stages!$2:$2,0)-MATCH($G$1,[1]stages!$2:$2,0)+1),MATCH(H$1,[1]stages!$2:$2,0)-MATCH($G$1,[1]stages!$2:$2,0)+1,FALSE)</f>
        <v>25-1．血塗られた招待状</v>
      </c>
      <c r="I92" s="47">
        <v>1</v>
      </c>
      <c r="J92" s="44">
        <v>30</v>
      </c>
      <c r="K92" s="44">
        <v>30</v>
      </c>
    </row>
    <row r="93" spans="1:11" ht="21" customHeight="1" x14ac:dyDescent="0.15">
      <c r="A93" s="18" t="str">
        <f t="shared" si="2"/>
        <v>25_1-2</v>
      </c>
      <c r="B93" s="18" t="str">
        <f>IF(COUNTIF(enemy_habitats!$H:$H,A93),"OK","NG")</f>
        <v>OK</v>
      </c>
      <c r="C93" s="39">
        <v>25</v>
      </c>
      <c r="D93" s="23" t="str">
        <f ca="1">VLOOKUP($C93,OFFSET([1]quests!$A$1,0,0,COUNTA([1]quests!$A:$A),MATCH(D$1,[1]quests!$1:$1,0)-MATCH($C$1,[1]quests!$1:$1,0)+1),MATCH(D$1,[1]quests!$1:$1,0)-MATCH($C$1,[1]quests!$1:$1,0)+1,FALSE)</f>
        <v>25．サディスティックパーティ</v>
      </c>
      <c r="E93" s="23" t="str">
        <f ca="1">VLOOKUP($C93,OFFSET([1]quests!$A$1,0,0,COUNTA([1]quests!$A:$A),MATCH(E$1,[1]quests!$1:$1,0)-MATCH($C$1,[1]quests!$1:$1,0)+1),MATCH(E$1,[1]quests!$1:$1,0)-MATCH($C$1,[1]quests!$1:$1,0)+1,FALSE)</f>
        <v>青DL5</v>
      </c>
      <c r="F93" s="42">
        <v>1</v>
      </c>
      <c r="G93" s="25" t="str">
        <f t="shared" si="3"/>
        <v>25_1</v>
      </c>
      <c r="H93" s="17" t="str">
        <f ca="1">VLOOKUP($G93,OFFSET([1]stages!$A$1,0,0,COUNTA([1]stages!$A:$A),MATCH(H$1,[1]stages!$2:$2,0)-MATCH($G$1,[1]stages!$2:$2,0)+1),MATCH(H$1,[1]stages!$2:$2,0)-MATCH($G$1,[1]stages!$2:$2,0)+1,FALSE)</f>
        <v>25-1．血塗られた招待状</v>
      </c>
      <c r="I93" s="47">
        <v>2</v>
      </c>
      <c r="J93" s="44">
        <v>45</v>
      </c>
      <c r="K93" s="44">
        <v>60</v>
      </c>
    </row>
    <row r="94" spans="1:11" ht="21" customHeight="1" x14ac:dyDescent="0.15">
      <c r="A94" s="18" t="str">
        <f t="shared" si="2"/>
        <v>25_1-3</v>
      </c>
      <c r="B94" s="18" t="str">
        <f>IF(COUNTIF(enemy_habitats!$H:$H,A94),"OK","NG")</f>
        <v>OK</v>
      </c>
      <c r="C94" s="39">
        <v>25</v>
      </c>
      <c r="D94" s="23" t="str">
        <f ca="1">VLOOKUP($C94,OFFSET([1]quests!$A$1,0,0,COUNTA([1]quests!$A:$A),MATCH(D$1,[1]quests!$1:$1,0)-MATCH($C$1,[1]quests!$1:$1,0)+1),MATCH(D$1,[1]quests!$1:$1,0)-MATCH($C$1,[1]quests!$1:$1,0)+1,FALSE)</f>
        <v>25．サディスティックパーティ</v>
      </c>
      <c r="E94" s="23" t="str">
        <f ca="1">VLOOKUP($C94,OFFSET([1]quests!$A$1,0,0,COUNTA([1]quests!$A:$A),MATCH(E$1,[1]quests!$1:$1,0)-MATCH($C$1,[1]quests!$1:$1,0)+1),MATCH(E$1,[1]quests!$1:$1,0)-MATCH($C$1,[1]quests!$1:$1,0)+1,FALSE)</f>
        <v>青DL5</v>
      </c>
      <c r="F94" s="42">
        <v>1</v>
      </c>
      <c r="G94" s="25" t="str">
        <f t="shared" si="3"/>
        <v>25_1</v>
      </c>
      <c r="H94" s="17" t="str">
        <f ca="1">VLOOKUP($G94,OFFSET([1]stages!$A$1,0,0,COUNTA([1]stages!$A:$A),MATCH(H$1,[1]stages!$2:$2,0)-MATCH($G$1,[1]stages!$2:$2,0)+1),MATCH(H$1,[1]stages!$2:$2,0)-MATCH($G$1,[1]stages!$2:$2,0)+1,FALSE)</f>
        <v>25-1．血塗られた招待状</v>
      </c>
      <c r="I94" s="47">
        <v>3</v>
      </c>
      <c r="J94" s="61">
        <v>60</v>
      </c>
      <c r="K94" s="61">
        <v>60</v>
      </c>
    </row>
    <row r="95" spans="1:11" ht="21" customHeight="1" x14ac:dyDescent="0.15">
      <c r="A95" s="18" t="str">
        <f t="shared" si="2"/>
        <v>25_1-4</v>
      </c>
      <c r="B95" s="18" t="str">
        <f>IF(COUNTIF(enemy_habitats!$H:$H,A95),"OK","NG")</f>
        <v>OK</v>
      </c>
      <c r="C95" s="39">
        <v>25</v>
      </c>
      <c r="D95" s="23" t="str">
        <f ca="1">VLOOKUP($C95,OFFSET([1]quests!$A$1,0,0,COUNTA([1]quests!$A:$A),MATCH(D$1,[1]quests!$1:$1,0)-MATCH($C$1,[1]quests!$1:$1,0)+1),MATCH(D$1,[1]quests!$1:$1,0)-MATCH($C$1,[1]quests!$1:$1,0)+1,FALSE)</f>
        <v>25．サディスティックパーティ</v>
      </c>
      <c r="E95" s="23" t="str">
        <f ca="1">VLOOKUP($C95,OFFSET([1]quests!$A$1,0,0,COUNTA([1]quests!$A:$A),MATCH(E$1,[1]quests!$1:$1,0)-MATCH($C$1,[1]quests!$1:$1,0)+1),MATCH(E$1,[1]quests!$1:$1,0)-MATCH($C$1,[1]quests!$1:$1,0)+1,FALSE)</f>
        <v>青DL5</v>
      </c>
      <c r="F95" s="42">
        <v>1</v>
      </c>
      <c r="G95" s="25" t="str">
        <f t="shared" si="3"/>
        <v>25_1</v>
      </c>
      <c r="H95" s="17" t="str">
        <f ca="1">VLOOKUP($G95,OFFSET([1]stages!$A$1,0,0,COUNTA([1]stages!$A:$A),MATCH(H$1,[1]stages!$2:$2,0)-MATCH($G$1,[1]stages!$2:$2,0)+1),MATCH(H$1,[1]stages!$2:$2,0)-MATCH($G$1,[1]stages!$2:$2,0)+1,FALSE)</f>
        <v>25-1．血塗られた招待状</v>
      </c>
      <c r="I95" s="47">
        <v>4</v>
      </c>
      <c r="J95" s="44">
        <v>45</v>
      </c>
      <c r="K95" s="44">
        <v>45</v>
      </c>
    </row>
    <row r="96" spans="1:11" ht="21" customHeight="1" x14ac:dyDescent="0.15">
      <c r="A96" s="18" t="str">
        <f t="shared" si="2"/>
        <v>25_1-5</v>
      </c>
      <c r="B96" s="18" t="str">
        <f>IF(COUNTIF(enemy_habitats!$H:$H,A96),"OK","NG")</f>
        <v>OK</v>
      </c>
      <c r="C96" s="39">
        <v>25</v>
      </c>
      <c r="D96" s="23" t="str">
        <f ca="1">VLOOKUP($C96,OFFSET([1]quests!$A$1,0,0,COUNTA([1]quests!$A:$A),MATCH(D$1,[1]quests!$1:$1,0)-MATCH($C$1,[1]quests!$1:$1,0)+1),MATCH(D$1,[1]quests!$1:$1,0)-MATCH($C$1,[1]quests!$1:$1,0)+1,FALSE)</f>
        <v>25．サディスティックパーティ</v>
      </c>
      <c r="E96" s="23" t="str">
        <f ca="1">VLOOKUP($C96,OFFSET([1]quests!$A$1,0,0,COUNTA([1]quests!$A:$A),MATCH(E$1,[1]quests!$1:$1,0)-MATCH($C$1,[1]quests!$1:$1,0)+1),MATCH(E$1,[1]quests!$1:$1,0)-MATCH($C$1,[1]quests!$1:$1,0)+1,FALSE)</f>
        <v>青DL5</v>
      </c>
      <c r="F96" s="42">
        <v>1</v>
      </c>
      <c r="G96" s="25" t="str">
        <f t="shared" si="3"/>
        <v>25_1</v>
      </c>
      <c r="H96" s="17" t="str">
        <f ca="1">VLOOKUP($G96,OFFSET([1]stages!$A$1,0,0,COUNTA([1]stages!$A:$A),MATCH(H$1,[1]stages!$2:$2,0)-MATCH($G$1,[1]stages!$2:$2,0)+1),MATCH(H$1,[1]stages!$2:$2,0)-MATCH($G$1,[1]stages!$2:$2,0)+1,FALSE)</f>
        <v>25-1．血塗られた招待状</v>
      </c>
      <c r="I96" s="47">
        <v>5</v>
      </c>
      <c r="J96" s="61">
        <v>60</v>
      </c>
      <c r="K96" s="61">
        <v>60</v>
      </c>
    </row>
    <row r="97" spans="1:11" ht="21" customHeight="1" x14ac:dyDescent="0.15">
      <c r="A97" s="18" t="str">
        <f t="shared" si="2"/>
        <v>25_2-1</v>
      </c>
      <c r="B97" s="18" t="str">
        <f>IF(COUNTIF(enemy_habitats!$H:$H,A97),"OK","NG")</f>
        <v>OK</v>
      </c>
      <c r="C97" s="39">
        <v>25</v>
      </c>
      <c r="D97" s="23" t="str">
        <f ca="1">VLOOKUP($C97,OFFSET([1]quests!$A$1,0,0,COUNTA([1]quests!$A:$A),MATCH(D$1,[1]quests!$1:$1,0)-MATCH($C$1,[1]quests!$1:$1,0)+1),MATCH(D$1,[1]quests!$1:$1,0)-MATCH($C$1,[1]quests!$1:$1,0)+1,FALSE)</f>
        <v>25．サディスティックパーティ</v>
      </c>
      <c r="E97" s="23" t="str">
        <f ca="1">VLOOKUP($C97,OFFSET([1]quests!$A$1,0,0,COUNTA([1]quests!$A:$A),MATCH(E$1,[1]quests!$1:$1,0)-MATCH($C$1,[1]quests!$1:$1,0)+1),MATCH(E$1,[1]quests!$1:$1,0)-MATCH($C$1,[1]quests!$1:$1,0)+1,FALSE)</f>
        <v>青DL5</v>
      </c>
      <c r="F97" s="42">
        <v>2</v>
      </c>
      <c r="G97" s="25" t="str">
        <f t="shared" si="3"/>
        <v>25_2</v>
      </c>
      <c r="H97" s="17" t="str">
        <f ca="1">VLOOKUP($G97,OFFSET([1]stages!$A$1,0,0,COUNTA([1]stages!$A:$A),MATCH(H$1,[1]stages!$2:$2,0)-MATCH($G$1,[1]stages!$2:$2,0)+1),MATCH(H$1,[1]stages!$2:$2,0)-MATCH($G$1,[1]stages!$2:$2,0)+1,FALSE)</f>
        <v>25-2．剣の舞</v>
      </c>
      <c r="I97" s="47">
        <v>1</v>
      </c>
      <c r="J97" s="45">
        <v>30</v>
      </c>
      <c r="K97" s="46">
        <v>30</v>
      </c>
    </row>
    <row r="98" spans="1:11" ht="21" customHeight="1" x14ac:dyDescent="0.15">
      <c r="A98" s="18" t="str">
        <f t="shared" si="2"/>
        <v>25_2-2</v>
      </c>
      <c r="B98" s="18" t="str">
        <f>IF(COUNTIF(enemy_habitats!$H:$H,A98),"OK","NG")</f>
        <v>OK</v>
      </c>
      <c r="C98" s="39">
        <v>25</v>
      </c>
      <c r="D98" s="23" t="str">
        <f ca="1">VLOOKUP($C98,OFFSET([1]quests!$A$1,0,0,COUNTA([1]quests!$A:$A),MATCH(D$1,[1]quests!$1:$1,0)-MATCH($C$1,[1]quests!$1:$1,0)+1),MATCH(D$1,[1]quests!$1:$1,0)-MATCH($C$1,[1]quests!$1:$1,0)+1,FALSE)</f>
        <v>25．サディスティックパーティ</v>
      </c>
      <c r="E98" s="23" t="str">
        <f ca="1">VLOOKUP($C98,OFFSET([1]quests!$A$1,0,0,COUNTA([1]quests!$A:$A),MATCH(E$1,[1]quests!$1:$1,0)-MATCH($C$1,[1]quests!$1:$1,0)+1),MATCH(E$1,[1]quests!$1:$1,0)-MATCH($C$1,[1]quests!$1:$1,0)+1,FALSE)</f>
        <v>青DL5</v>
      </c>
      <c r="F98" s="42">
        <v>2</v>
      </c>
      <c r="G98" s="25" t="str">
        <f t="shared" si="3"/>
        <v>25_2</v>
      </c>
      <c r="H98" s="17" t="str">
        <f ca="1">VLOOKUP($G98,OFFSET([1]stages!$A$1,0,0,COUNTA([1]stages!$A:$A),MATCH(H$1,[1]stages!$2:$2,0)-MATCH($G$1,[1]stages!$2:$2,0)+1),MATCH(H$1,[1]stages!$2:$2,0)-MATCH($G$1,[1]stages!$2:$2,0)+1,FALSE)</f>
        <v>25-2．剣の舞</v>
      </c>
      <c r="I98" s="47">
        <v>2</v>
      </c>
      <c r="J98" s="44">
        <v>45</v>
      </c>
      <c r="K98" s="44">
        <v>60</v>
      </c>
    </row>
    <row r="99" spans="1:11" ht="21" customHeight="1" x14ac:dyDescent="0.15">
      <c r="A99" s="18" t="str">
        <f t="shared" si="2"/>
        <v>25_2-3</v>
      </c>
      <c r="B99" s="18" t="str">
        <f>IF(COUNTIF(enemy_habitats!$H:$H,A99),"OK","NG")</f>
        <v>OK</v>
      </c>
      <c r="C99" s="39">
        <v>25</v>
      </c>
      <c r="D99" s="23" t="str">
        <f ca="1">VLOOKUP($C99,OFFSET([1]quests!$A$1,0,0,COUNTA([1]quests!$A:$A),MATCH(D$1,[1]quests!$1:$1,0)-MATCH($C$1,[1]quests!$1:$1,0)+1),MATCH(D$1,[1]quests!$1:$1,0)-MATCH($C$1,[1]quests!$1:$1,0)+1,FALSE)</f>
        <v>25．サディスティックパーティ</v>
      </c>
      <c r="E99" s="23" t="str">
        <f ca="1">VLOOKUP($C99,OFFSET([1]quests!$A$1,0,0,COUNTA([1]quests!$A:$A),MATCH(E$1,[1]quests!$1:$1,0)-MATCH($C$1,[1]quests!$1:$1,0)+1),MATCH(E$1,[1]quests!$1:$1,0)-MATCH($C$1,[1]quests!$1:$1,0)+1,FALSE)</f>
        <v>青DL5</v>
      </c>
      <c r="F99" s="42">
        <v>2</v>
      </c>
      <c r="G99" s="25" t="str">
        <f t="shared" si="3"/>
        <v>25_2</v>
      </c>
      <c r="H99" s="17" t="str">
        <f ca="1">VLOOKUP($G99,OFFSET([1]stages!$A$1,0,0,COUNTA([1]stages!$A:$A),MATCH(H$1,[1]stages!$2:$2,0)-MATCH($G$1,[1]stages!$2:$2,0)+1),MATCH(H$1,[1]stages!$2:$2,0)-MATCH($G$1,[1]stages!$2:$2,0)+1,FALSE)</f>
        <v>25-2．剣の舞</v>
      </c>
      <c r="I99" s="47">
        <v>3</v>
      </c>
      <c r="J99" s="61">
        <v>60</v>
      </c>
      <c r="K99" s="61">
        <v>60</v>
      </c>
    </row>
    <row r="100" spans="1:11" ht="21" customHeight="1" x14ac:dyDescent="0.15">
      <c r="A100" s="18" t="str">
        <f t="shared" si="2"/>
        <v>25_2-4</v>
      </c>
      <c r="B100" s="18" t="str">
        <f>IF(COUNTIF(enemy_habitats!$H:$H,A100),"OK","NG")</f>
        <v>OK</v>
      </c>
      <c r="C100" s="39">
        <v>25</v>
      </c>
      <c r="D100" s="23" t="str">
        <f ca="1">VLOOKUP($C100,OFFSET([1]quests!$A$1,0,0,COUNTA([1]quests!$A:$A),MATCH(D$1,[1]quests!$1:$1,0)-MATCH($C$1,[1]quests!$1:$1,0)+1),MATCH(D$1,[1]quests!$1:$1,0)-MATCH($C$1,[1]quests!$1:$1,0)+1,FALSE)</f>
        <v>25．サディスティックパーティ</v>
      </c>
      <c r="E100" s="23" t="str">
        <f ca="1">VLOOKUP($C100,OFFSET([1]quests!$A$1,0,0,COUNTA([1]quests!$A:$A),MATCH(E$1,[1]quests!$1:$1,0)-MATCH($C$1,[1]quests!$1:$1,0)+1),MATCH(E$1,[1]quests!$1:$1,0)-MATCH($C$1,[1]quests!$1:$1,0)+1,FALSE)</f>
        <v>青DL5</v>
      </c>
      <c r="F100" s="42">
        <v>2</v>
      </c>
      <c r="G100" s="25" t="str">
        <f t="shared" si="3"/>
        <v>25_2</v>
      </c>
      <c r="H100" s="17" t="str">
        <f ca="1">VLOOKUP($G100,OFFSET([1]stages!$A$1,0,0,COUNTA([1]stages!$A:$A),MATCH(H$1,[1]stages!$2:$2,0)-MATCH($G$1,[1]stages!$2:$2,0)+1),MATCH(H$1,[1]stages!$2:$2,0)-MATCH($G$1,[1]stages!$2:$2,0)+1,FALSE)</f>
        <v>25-2．剣の舞</v>
      </c>
      <c r="I100" s="47">
        <v>4</v>
      </c>
      <c r="J100" s="44">
        <v>45</v>
      </c>
      <c r="K100" s="44">
        <v>45</v>
      </c>
    </row>
    <row r="101" spans="1:11" ht="21" customHeight="1" x14ac:dyDescent="0.15">
      <c r="A101" s="18" t="str">
        <f t="shared" si="2"/>
        <v>25_2-5</v>
      </c>
      <c r="B101" s="18" t="str">
        <f>IF(COUNTIF(enemy_habitats!$H:$H,A101),"OK","NG")</f>
        <v>OK</v>
      </c>
      <c r="C101" s="39">
        <v>25</v>
      </c>
      <c r="D101" s="23" t="str">
        <f ca="1">VLOOKUP($C101,OFFSET([1]quests!$A$1,0,0,COUNTA([1]quests!$A:$A),MATCH(D$1,[1]quests!$1:$1,0)-MATCH($C$1,[1]quests!$1:$1,0)+1),MATCH(D$1,[1]quests!$1:$1,0)-MATCH($C$1,[1]quests!$1:$1,0)+1,FALSE)</f>
        <v>25．サディスティックパーティ</v>
      </c>
      <c r="E101" s="23" t="str">
        <f ca="1">VLOOKUP($C101,OFFSET([1]quests!$A$1,0,0,COUNTA([1]quests!$A:$A),MATCH(E$1,[1]quests!$1:$1,0)-MATCH($C$1,[1]quests!$1:$1,0)+1),MATCH(E$1,[1]quests!$1:$1,0)-MATCH($C$1,[1]quests!$1:$1,0)+1,FALSE)</f>
        <v>青DL5</v>
      </c>
      <c r="F101" s="42">
        <v>2</v>
      </c>
      <c r="G101" s="25" t="str">
        <f t="shared" si="3"/>
        <v>25_2</v>
      </c>
      <c r="H101" s="17" t="str">
        <f ca="1">VLOOKUP($G101,OFFSET([1]stages!$A$1,0,0,COUNTA([1]stages!$A:$A),MATCH(H$1,[1]stages!$2:$2,0)-MATCH($G$1,[1]stages!$2:$2,0)+1),MATCH(H$1,[1]stages!$2:$2,0)-MATCH($G$1,[1]stages!$2:$2,0)+1,FALSE)</f>
        <v>25-2．剣の舞</v>
      </c>
      <c r="I101" s="47">
        <v>5</v>
      </c>
      <c r="J101" s="61">
        <v>60</v>
      </c>
      <c r="K101" s="61">
        <v>60</v>
      </c>
    </row>
    <row r="102" spans="1:11" ht="21" customHeight="1" x14ac:dyDescent="0.15">
      <c r="A102" s="18" t="str">
        <f t="shared" si="2"/>
        <v>25_3-1</v>
      </c>
      <c r="B102" s="18" t="str">
        <f>IF(COUNTIF(enemy_habitats!$H:$H,A102),"OK","NG")</f>
        <v>OK</v>
      </c>
      <c r="C102" s="39">
        <v>25</v>
      </c>
      <c r="D102" s="23" t="str">
        <f ca="1">VLOOKUP($C102,OFFSET([1]quests!$A$1,0,0,COUNTA([1]quests!$A:$A),MATCH(D$1,[1]quests!$1:$1,0)-MATCH($C$1,[1]quests!$1:$1,0)+1),MATCH(D$1,[1]quests!$1:$1,0)-MATCH($C$1,[1]quests!$1:$1,0)+1,FALSE)</f>
        <v>25．サディスティックパーティ</v>
      </c>
      <c r="E102" s="23" t="str">
        <f ca="1">VLOOKUP($C102,OFFSET([1]quests!$A$1,0,0,COUNTA([1]quests!$A:$A),MATCH(E$1,[1]quests!$1:$1,0)-MATCH($C$1,[1]quests!$1:$1,0)+1),MATCH(E$1,[1]quests!$1:$1,0)-MATCH($C$1,[1]quests!$1:$1,0)+1,FALSE)</f>
        <v>青DL5</v>
      </c>
      <c r="F102" s="42">
        <v>3</v>
      </c>
      <c r="G102" s="25" t="str">
        <f t="shared" si="3"/>
        <v>25_3</v>
      </c>
      <c r="H102" s="17" t="str">
        <f ca="1">VLOOKUP($G102,OFFSET([1]stages!$A$1,0,0,COUNTA([1]stages!$A:$A),MATCH(H$1,[1]stages!$2:$2,0)-MATCH($G$1,[1]stages!$2:$2,0)+1),MATCH(H$1,[1]stages!$2:$2,0)-MATCH($G$1,[1]stages!$2:$2,0)+1,FALSE)</f>
        <v>25-3．暗闇との対話</v>
      </c>
      <c r="I102" s="47">
        <v>1</v>
      </c>
      <c r="J102" s="45">
        <v>30</v>
      </c>
      <c r="K102" s="46">
        <v>30</v>
      </c>
    </row>
    <row r="103" spans="1:11" ht="21" customHeight="1" x14ac:dyDescent="0.15">
      <c r="A103" s="18" t="str">
        <f t="shared" si="2"/>
        <v>25_3-2</v>
      </c>
      <c r="B103" s="18" t="str">
        <f>IF(COUNTIF(enemy_habitats!$H:$H,A103),"OK","NG")</f>
        <v>OK</v>
      </c>
      <c r="C103" s="39">
        <v>25</v>
      </c>
      <c r="D103" s="23" t="str">
        <f ca="1">VLOOKUP($C103,OFFSET([1]quests!$A$1,0,0,COUNTA([1]quests!$A:$A),MATCH(D$1,[1]quests!$1:$1,0)-MATCH($C$1,[1]quests!$1:$1,0)+1),MATCH(D$1,[1]quests!$1:$1,0)-MATCH($C$1,[1]quests!$1:$1,0)+1,FALSE)</f>
        <v>25．サディスティックパーティ</v>
      </c>
      <c r="E103" s="23" t="str">
        <f ca="1">VLOOKUP($C103,OFFSET([1]quests!$A$1,0,0,COUNTA([1]quests!$A:$A),MATCH(E$1,[1]quests!$1:$1,0)-MATCH($C$1,[1]quests!$1:$1,0)+1),MATCH(E$1,[1]quests!$1:$1,0)-MATCH($C$1,[1]quests!$1:$1,0)+1,FALSE)</f>
        <v>青DL5</v>
      </c>
      <c r="F103" s="42">
        <v>3</v>
      </c>
      <c r="G103" s="25" t="str">
        <f t="shared" si="3"/>
        <v>25_3</v>
      </c>
      <c r="H103" s="17" t="str">
        <f ca="1">VLOOKUP($G103,OFFSET([1]stages!$A$1,0,0,COUNTA([1]stages!$A:$A),MATCH(H$1,[1]stages!$2:$2,0)-MATCH($G$1,[1]stages!$2:$2,0)+1),MATCH(H$1,[1]stages!$2:$2,0)-MATCH($G$1,[1]stages!$2:$2,0)+1,FALSE)</f>
        <v>25-3．暗闇との対話</v>
      </c>
      <c r="I103" s="47">
        <v>2</v>
      </c>
      <c r="J103" s="44">
        <v>45</v>
      </c>
      <c r="K103" s="44">
        <v>60</v>
      </c>
    </row>
    <row r="104" spans="1:11" ht="21" customHeight="1" x14ac:dyDescent="0.15">
      <c r="A104" s="18" t="str">
        <f t="shared" si="2"/>
        <v>25_3-3</v>
      </c>
      <c r="B104" s="18" t="str">
        <f>IF(COUNTIF(enemy_habitats!$H:$H,A104),"OK","NG")</f>
        <v>OK</v>
      </c>
      <c r="C104" s="39">
        <v>25</v>
      </c>
      <c r="D104" s="23" t="str">
        <f ca="1">VLOOKUP($C104,OFFSET([1]quests!$A$1,0,0,COUNTA([1]quests!$A:$A),MATCH(D$1,[1]quests!$1:$1,0)-MATCH($C$1,[1]quests!$1:$1,0)+1),MATCH(D$1,[1]quests!$1:$1,0)-MATCH($C$1,[1]quests!$1:$1,0)+1,FALSE)</f>
        <v>25．サディスティックパーティ</v>
      </c>
      <c r="E104" s="23" t="str">
        <f ca="1">VLOOKUP($C104,OFFSET([1]quests!$A$1,0,0,COUNTA([1]quests!$A:$A),MATCH(E$1,[1]quests!$1:$1,0)-MATCH($C$1,[1]quests!$1:$1,0)+1),MATCH(E$1,[1]quests!$1:$1,0)-MATCH($C$1,[1]quests!$1:$1,0)+1,FALSE)</f>
        <v>青DL5</v>
      </c>
      <c r="F104" s="42">
        <v>3</v>
      </c>
      <c r="G104" s="25" t="str">
        <f t="shared" si="3"/>
        <v>25_3</v>
      </c>
      <c r="H104" s="17" t="str">
        <f ca="1">VLOOKUP($G104,OFFSET([1]stages!$A$1,0,0,COUNTA([1]stages!$A:$A),MATCH(H$1,[1]stages!$2:$2,0)-MATCH($G$1,[1]stages!$2:$2,0)+1),MATCH(H$1,[1]stages!$2:$2,0)-MATCH($G$1,[1]stages!$2:$2,0)+1,FALSE)</f>
        <v>25-3．暗闇との対話</v>
      </c>
      <c r="I104" s="47">
        <v>3</v>
      </c>
      <c r="J104" s="61">
        <v>60</v>
      </c>
      <c r="K104" s="61">
        <v>60</v>
      </c>
    </row>
    <row r="105" spans="1:11" ht="21" customHeight="1" x14ac:dyDescent="0.15">
      <c r="A105" s="18" t="str">
        <f t="shared" si="2"/>
        <v>25_3-4</v>
      </c>
      <c r="B105" s="18" t="str">
        <f>IF(COUNTIF(enemy_habitats!$H:$H,A105),"OK","NG")</f>
        <v>OK</v>
      </c>
      <c r="C105" s="39">
        <v>25</v>
      </c>
      <c r="D105" s="23" t="str">
        <f ca="1">VLOOKUP($C105,OFFSET([1]quests!$A$1,0,0,COUNTA([1]quests!$A:$A),MATCH(D$1,[1]quests!$1:$1,0)-MATCH($C$1,[1]quests!$1:$1,0)+1),MATCH(D$1,[1]quests!$1:$1,0)-MATCH($C$1,[1]quests!$1:$1,0)+1,FALSE)</f>
        <v>25．サディスティックパーティ</v>
      </c>
      <c r="E105" s="23" t="str">
        <f ca="1">VLOOKUP($C105,OFFSET([1]quests!$A$1,0,0,COUNTA([1]quests!$A:$A),MATCH(E$1,[1]quests!$1:$1,0)-MATCH($C$1,[1]quests!$1:$1,0)+1),MATCH(E$1,[1]quests!$1:$1,0)-MATCH($C$1,[1]quests!$1:$1,0)+1,FALSE)</f>
        <v>青DL5</v>
      </c>
      <c r="F105" s="42">
        <v>3</v>
      </c>
      <c r="G105" s="25" t="str">
        <f t="shared" si="3"/>
        <v>25_3</v>
      </c>
      <c r="H105" s="17" t="str">
        <f ca="1">VLOOKUP($G105,OFFSET([1]stages!$A$1,0,0,COUNTA([1]stages!$A:$A),MATCH(H$1,[1]stages!$2:$2,0)-MATCH($G$1,[1]stages!$2:$2,0)+1),MATCH(H$1,[1]stages!$2:$2,0)-MATCH($G$1,[1]stages!$2:$2,0)+1,FALSE)</f>
        <v>25-3．暗闇との対話</v>
      </c>
      <c r="I105" s="47">
        <v>4</v>
      </c>
      <c r="J105" s="44">
        <v>45</v>
      </c>
      <c r="K105" s="44">
        <v>45</v>
      </c>
    </row>
    <row r="106" spans="1:11" ht="21" customHeight="1" x14ac:dyDescent="0.15">
      <c r="A106" s="18" t="str">
        <f t="shared" si="2"/>
        <v>25_3-5</v>
      </c>
      <c r="B106" s="18" t="str">
        <f>IF(COUNTIF(enemy_habitats!$H:$H,A106),"OK","NG")</f>
        <v>OK</v>
      </c>
      <c r="C106" s="39">
        <v>25</v>
      </c>
      <c r="D106" s="23" t="str">
        <f ca="1">VLOOKUP($C106,OFFSET([1]quests!$A$1,0,0,COUNTA([1]quests!$A:$A),MATCH(D$1,[1]quests!$1:$1,0)-MATCH($C$1,[1]quests!$1:$1,0)+1),MATCH(D$1,[1]quests!$1:$1,0)-MATCH($C$1,[1]quests!$1:$1,0)+1,FALSE)</f>
        <v>25．サディスティックパーティ</v>
      </c>
      <c r="E106" s="23" t="str">
        <f ca="1">VLOOKUP($C106,OFFSET([1]quests!$A$1,0,0,COUNTA([1]quests!$A:$A),MATCH(E$1,[1]quests!$1:$1,0)-MATCH($C$1,[1]quests!$1:$1,0)+1),MATCH(E$1,[1]quests!$1:$1,0)-MATCH($C$1,[1]quests!$1:$1,0)+1,FALSE)</f>
        <v>青DL5</v>
      </c>
      <c r="F106" s="42">
        <v>3</v>
      </c>
      <c r="G106" s="25" t="str">
        <f t="shared" si="3"/>
        <v>25_3</v>
      </c>
      <c r="H106" s="17" t="str">
        <f ca="1">VLOOKUP($G106,OFFSET([1]stages!$A$1,0,0,COUNTA([1]stages!$A:$A),MATCH(H$1,[1]stages!$2:$2,0)-MATCH($G$1,[1]stages!$2:$2,0)+1),MATCH(H$1,[1]stages!$2:$2,0)-MATCH($G$1,[1]stages!$2:$2,0)+1,FALSE)</f>
        <v>25-3．暗闇との対話</v>
      </c>
      <c r="I106" s="47">
        <v>5</v>
      </c>
      <c r="J106" s="61">
        <v>30</v>
      </c>
      <c r="K106" s="61">
        <v>30</v>
      </c>
    </row>
    <row r="107" spans="1:11" ht="21" customHeight="1" x14ac:dyDescent="0.15">
      <c r="A107" s="18" t="str">
        <f t="shared" si="2"/>
        <v>25_4-1</v>
      </c>
      <c r="B107" s="18" t="str">
        <f>IF(COUNTIF(enemy_habitats!$H:$H,A107),"OK","NG")</f>
        <v>OK</v>
      </c>
      <c r="C107" s="39">
        <v>25</v>
      </c>
      <c r="D107" s="23" t="str">
        <f ca="1">VLOOKUP($C107,OFFSET([1]quests!$A$1,0,0,COUNTA([1]quests!$A:$A),MATCH(D$1,[1]quests!$1:$1,0)-MATCH($C$1,[1]quests!$1:$1,0)+1),MATCH(D$1,[1]quests!$1:$1,0)-MATCH($C$1,[1]quests!$1:$1,0)+1,FALSE)</f>
        <v>25．サディスティックパーティ</v>
      </c>
      <c r="E107" s="23" t="str">
        <f ca="1">VLOOKUP($C107,OFFSET([1]quests!$A$1,0,0,COUNTA([1]quests!$A:$A),MATCH(E$1,[1]quests!$1:$1,0)-MATCH($C$1,[1]quests!$1:$1,0)+1),MATCH(E$1,[1]quests!$1:$1,0)-MATCH($C$1,[1]quests!$1:$1,0)+1,FALSE)</f>
        <v>青DL5</v>
      </c>
      <c r="F107" s="42">
        <v>4</v>
      </c>
      <c r="G107" s="25" t="str">
        <f t="shared" si="3"/>
        <v>25_4</v>
      </c>
      <c r="H107" s="17" t="str">
        <f ca="1">VLOOKUP($G107,OFFSET([1]stages!$A$1,0,0,COUNTA([1]stages!$A:$A),MATCH(H$1,[1]stages!$2:$2,0)-MATCH($G$1,[1]stages!$2:$2,0)+1),MATCH(H$1,[1]stages!$2:$2,0)-MATCH($G$1,[1]stages!$2:$2,0)+1,FALSE)</f>
        <v>25-4．許されぬ休息</v>
      </c>
      <c r="I107" s="47">
        <v>1</v>
      </c>
      <c r="J107" s="45">
        <v>30</v>
      </c>
      <c r="K107" s="46">
        <v>30</v>
      </c>
    </row>
    <row r="108" spans="1:11" ht="21" customHeight="1" x14ac:dyDescent="0.15">
      <c r="A108" s="18" t="str">
        <f t="shared" si="2"/>
        <v>25_4-2</v>
      </c>
      <c r="B108" s="18" t="str">
        <f>IF(COUNTIF(enemy_habitats!$H:$H,A108),"OK","NG")</f>
        <v>OK</v>
      </c>
      <c r="C108" s="39">
        <v>25</v>
      </c>
      <c r="D108" s="23" t="str">
        <f ca="1">VLOOKUP($C108,OFFSET([1]quests!$A$1,0,0,COUNTA([1]quests!$A:$A),MATCH(D$1,[1]quests!$1:$1,0)-MATCH($C$1,[1]quests!$1:$1,0)+1),MATCH(D$1,[1]quests!$1:$1,0)-MATCH($C$1,[1]quests!$1:$1,0)+1,FALSE)</f>
        <v>25．サディスティックパーティ</v>
      </c>
      <c r="E108" s="23" t="str">
        <f ca="1">VLOOKUP($C108,OFFSET([1]quests!$A$1,0,0,COUNTA([1]quests!$A:$A),MATCH(E$1,[1]quests!$1:$1,0)-MATCH($C$1,[1]quests!$1:$1,0)+1),MATCH(E$1,[1]quests!$1:$1,0)-MATCH($C$1,[1]quests!$1:$1,0)+1,FALSE)</f>
        <v>青DL5</v>
      </c>
      <c r="F108" s="42">
        <v>4</v>
      </c>
      <c r="G108" s="25" t="str">
        <f t="shared" si="3"/>
        <v>25_4</v>
      </c>
      <c r="H108" s="17" t="str">
        <f ca="1">VLOOKUP($G108,OFFSET([1]stages!$A$1,0,0,COUNTA([1]stages!$A:$A),MATCH(H$1,[1]stages!$2:$2,0)-MATCH($G$1,[1]stages!$2:$2,0)+1),MATCH(H$1,[1]stages!$2:$2,0)-MATCH($G$1,[1]stages!$2:$2,0)+1,FALSE)</f>
        <v>25-4．許されぬ休息</v>
      </c>
      <c r="I108" s="47">
        <v>2</v>
      </c>
      <c r="J108" s="44">
        <v>45</v>
      </c>
      <c r="K108" s="44">
        <v>60</v>
      </c>
    </row>
    <row r="109" spans="1:11" ht="21" customHeight="1" x14ac:dyDescent="0.15">
      <c r="A109" s="18" t="str">
        <f t="shared" si="2"/>
        <v>25_4-3</v>
      </c>
      <c r="B109" s="18" t="str">
        <f>IF(COUNTIF(enemy_habitats!$H:$H,A109),"OK","NG")</f>
        <v>OK</v>
      </c>
      <c r="C109" s="39">
        <v>25</v>
      </c>
      <c r="D109" s="23" t="str">
        <f ca="1">VLOOKUP($C109,OFFSET([1]quests!$A$1,0,0,COUNTA([1]quests!$A:$A),MATCH(D$1,[1]quests!$1:$1,0)-MATCH($C$1,[1]quests!$1:$1,0)+1),MATCH(D$1,[1]quests!$1:$1,0)-MATCH($C$1,[1]quests!$1:$1,0)+1,FALSE)</f>
        <v>25．サディスティックパーティ</v>
      </c>
      <c r="E109" s="23" t="str">
        <f ca="1">VLOOKUP($C109,OFFSET([1]quests!$A$1,0,0,COUNTA([1]quests!$A:$A),MATCH(E$1,[1]quests!$1:$1,0)-MATCH($C$1,[1]quests!$1:$1,0)+1),MATCH(E$1,[1]quests!$1:$1,0)-MATCH($C$1,[1]quests!$1:$1,0)+1,FALSE)</f>
        <v>青DL5</v>
      </c>
      <c r="F109" s="42">
        <v>4</v>
      </c>
      <c r="G109" s="25" t="str">
        <f t="shared" si="3"/>
        <v>25_4</v>
      </c>
      <c r="H109" s="17" t="str">
        <f ca="1">VLOOKUP($G109,OFFSET([1]stages!$A$1,0,0,COUNTA([1]stages!$A:$A),MATCH(H$1,[1]stages!$2:$2,0)-MATCH($G$1,[1]stages!$2:$2,0)+1),MATCH(H$1,[1]stages!$2:$2,0)-MATCH($G$1,[1]stages!$2:$2,0)+1,FALSE)</f>
        <v>25-4．許されぬ休息</v>
      </c>
      <c r="I109" s="47">
        <v>3</v>
      </c>
      <c r="J109" s="61">
        <v>60</v>
      </c>
      <c r="K109" s="61">
        <v>60</v>
      </c>
    </row>
    <row r="110" spans="1:11" ht="21" customHeight="1" x14ac:dyDescent="0.15">
      <c r="A110" s="18" t="str">
        <f t="shared" si="2"/>
        <v>25_4-4</v>
      </c>
      <c r="B110" s="18" t="str">
        <f>IF(COUNTIF(enemy_habitats!$H:$H,A110),"OK","NG")</f>
        <v>OK</v>
      </c>
      <c r="C110" s="39">
        <v>25</v>
      </c>
      <c r="D110" s="23" t="str">
        <f ca="1">VLOOKUP($C110,OFFSET([1]quests!$A$1,0,0,COUNTA([1]quests!$A:$A),MATCH(D$1,[1]quests!$1:$1,0)-MATCH($C$1,[1]quests!$1:$1,0)+1),MATCH(D$1,[1]quests!$1:$1,0)-MATCH($C$1,[1]quests!$1:$1,0)+1,FALSE)</f>
        <v>25．サディスティックパーティ</v>
      </c>
      <c r="E110" s="23" t="str">
        <f ca="1">VLOOKUP($C110,OFFSET([1]quests!$A$1,0,0,COUNTA([1]quests!$A:$A),MATCH(E$1,[1]quests!$1:$1,0)-MATCH($C$1,[1]quests!$1:$1,0)+1),MATCH(E$1,[1]quests!$1:$1,0)-MATCH($C$1,[1]quests!$1:$1,0)+1,FALSE)</f>
        <v>青DL5</v>
      </c>
      <c r="F110" s="42">
        <v>4</v>
      </c>
      <c r="G110" s="25" t="str">
        <f t="shared" si="3"/>
        <v>25_4</v>
      </c>
      <c r="H110" s="17" t="str">
        <f ca="1">VLOOKUP($G110,OFFSET([1]stages!$A$1,0,0,COUNTA([1]stages!$A:$A),MATCH(H$1,[1]stages!$2:$2,0)-MATCH($G$1,[1]stages!$2:$2,0)+1),MATCH(H$1,[1]stages!$2:$2,0)-MATCH($G$1,[1]stages!$2:$2,0)+1,FALSE)</f>
        <v>25-4．許されぬ休息</v>
      </c>
      <c r="I110" s="47">
        <v>4</v>
      </c>
      <c r="J110" s="44">
        <v>45</v>
      </c>
      <c r="K110" s="44">
        <v>45</v>
      </c>
    </row>
    <row r="111" spans="1:11" ht="21" customHeight="1" x14ac:dyDescent="0.15">
      <c r="A111" s="18" t="str">
        <f t="shared" si="2"/>
        <v>25_4-5</v>
      </c>
      <c r="B111" s="18" t="str">
        <f>IF(COUNTIF(enemy_habitats!$H:$H,A111),"OK","NG")</f>
        <v>OK</v>
      </c>
      <c r="C111" s="39">
        <v>25</v>
      </c>
      <c r="D111" s="23" t="str">
        <f ca="1">VLOOKUP($C111,OFFSET([1]quests!$A$1,0,0,COUNTA([1]quests!$A:$A),MATCH(D$1,[1]quests!$1:$1,0)-MATCH($C$1,[1]quests!$1:$1,0)+1),MATCH(D$1,[1]quests!$1:$1,0)-MATCH($C$1,[1]quests!$1:$1,0)+1,FALSE)</f>
        <v>25．サディスティックパーティ</v>
      </c>
      <c r="E111" s="23" t="str">
        <f ca="1">VLOOKUP($C111,OFFSET([1]quests!$A$1,0,0,COUNTA([1]quests!$A:$A),MATCH(E$1,[1]quests!$1:$1,0)-MATCH($C$1,[1]quests!$1:$1,0)+1),MATCH(E$1,[1]quests!$1:$1,0)-MATCH($C$1,[1]quests!$1:$1,0)+1,FALSE)</f>
        <v>青DL5</v>
      </c>
      <c r="F111" s="42">
        <v>4</v>
      </c>
      <c r="G111" s="25" t="str">
        <f t="shared" si="3"/>
        <v>25_4</v>
      </c>
      <c r="H111" s="17" t="str">
        <f ca="1">VLOOKUP($G111,OFFSET([1]stages!$A$1,0,0,COUNTA([1]stages!$A:$A),MATCH(H$1,[1]stages!$2:$2,0)-MATCH($G$1,[1]stages!$2:$2,0)+1),MATCH(H$1,[1]stages!$2:$2,0)-MATCH($G$1,[1]stages!$2:$2,0)+1,FALSE)</f>
        <v>25-4．許されぬ休息</v>
      </c>
      <c r="I111" s="47">
        <v>5</v>
      </c>
      <c r="J111" s="61">
        <v>60</v>
      </c>
      <c r="K111" s="61">
        <v>60</v>
      </c>
    </row>
    <row r="112" spans="1:11" ht="21" customHeight="1" x14ac:dyDescent="0.15">
      <c r="A112" s="18" t="str">
        <f t="shared" si="2"/>
        <v>25_5-1</v>
      </c>
      <c r="B112" s="18" t="str">
        <f>IF(COUNTIF(enemy_habitats!$H:$H,A112),"OK","NG")</f>
        <v>OK</v>
      </c>
      <c r="C112" s="39">
        <v>25</v>
      </c>
      <c r="D112" s="23" t="str">
        <f ca="1">VLOOKUP($C112,OFFSET([1]quests!$A$1,0,0,COUNTA([1]quests!$A:$A),MATCH(D$1,[1]quests!$1:$1,0)-MATCH($C$1,[1]quests!$1:$1,0)+1),MATCH(D$1,[1]quests!$1:$1,0)-MATCH($C$1,[1]quests!$1:$1,0)+1,FALSE)</f>
        <v>25．サディスティックパーティ</v>
      </c>
      <c r="E112" s="23" t="str">
        <f ca="1">VLOOKUP($C112,OFFSET([1]quests!$A$1,0,0,COUNTA([1]quests!$A:$A),MATCH(E$1,[1]quests!$1:$1,0)-MATCH($C$1,[1]quests!$1:$1,0)+1),MATCH(E$1,[1]quests!$1:$1,0)-MATCH($C$1,[1]quests!$1:$1,0)+1,FALSE)</f>
        <v>青DL5</v>
      </c>
      <c r="F112" s="42">
        <v>5</v>
      </c>
      <c r="G112" s="25" t="str">
        <f t="shared" si="3"/>
        <v>25_5</v>
      </c>
      <c r="H112" s="17" t="str">
        <f ca="1">VLOOKUP($G112,OFFSET([1]stages!$A$1,0,0,COUNTA([1]stages!$A:$A),MATCH(H$1,[1]stages!$2:$2,0)-MATCH($G$1,[1]stages!$2:$2,0)+1),MATCH(H$1,[1]stages!$2:$2,0)-MATCH($G$1,[1]stages!$2:$2,0)+1,FALSE)</f>
        <v>25-5．君はサディスティック</v>
      </c>
      <c r="I112" s="47">
        <v>1</v>
      </c>
      <c r="J112" s="45">
        <v>30</v>
      </c>
      <c r="K112" s="46">
        <v>30</v>
      </c>
    </row>
    <row r="113" spans="1:11" ht="21" customHeight="1" x14ac:dyDescent="0.15">
      <c r="A113" s="18" t="str">
        <f t="shared" si="2"/>
        <v>25_5-2</v>
      </c>
      <c r="B113" s="18" t="str">
        <f>IF(COUNTIF(enemy_habitats!$H:$H,A113),"OK","NG")</f>
        <v>OK</v>
      </c>
      <c r="C113" s="39">
        <v>25</v>
      </c>
      <c r="D113" s="23" t="str">
        <f ca="1">VLOOKUP($C113,OFFSET([1]quests!$A$1,0,0,COUNTA([1]quests!$A:$A),MATCH(D$1,[1]quests!$1:$1,0)-MATCH($C$1,[1]quests!$1:$1,0)+1),MATCH(D$1,[1]quests!$1:$1,0)-MATCH($C$1,[1]quests!$1:$1,0)+1,FALSE)</f>
        <v>25．サディスティックパーティ</v>
      </c>
      <c r="E113" s="23" t="str">
        <f ca="1">VLOOKUP($C113,OFFSET([1]quests!$A$1,0,0,COUNTA([1]quests!$A:$A),MATCH(E$1,[1]quests!$1:$1,0)-MATCH($C$1,[1]quests!$1:$1,0)+1),MATCH(E$1,[1]quests!$1:$1,0)-MATCH($C$1,[1]quests!$1:$1,0)+1,FALSE)</f>
        <v>青DL5</v>
      </c>
      <c r="F113" s="42">
        <v>5</v>
      </c>
      <c r="G113" s="25" t="str">
        <f t="shared" si="3"/>
        <v>25_5</v>
      </c>
      <c r="H113" s="17" t="str">
        <f ca="1">VLOOKUP($G113,OFFSET([1]stages!$A$1,0,0,COUNTA([1]stages!$A:$A),MATCH(H$1,[1]stages!$2:$2,0)-MATCH($G$1,[1]stages!$2:$2,0)+1),MATCH(H$1,[1]stages!$2:$2,0)-MATCH($G$1,[1]stages!$2:$2,0)+1,FALSE)</f>
        <v>25-5．君はサディスティック</v>
      </c>
      <c r="I113" s="47">
        <v>2</v>
      </c>
      <c r="J113" s="44">
        <v>45</v>
      </c>
      <c r="K113" s="44">
        <v>60</v>
      </c>
    </row>
    <row r="114" spans="1:11" ht="21" customHeight="1" x14ac:dyDescent="0.15">
      <c r="A114" s="18" t="str">
        <f t="shared" si="2"/>
        <v>25_5-3</v>
      </c>
      <c r="B114" s="18" t="str">
        <f>IF(COUNTIF(enemy_habitats!$H:$H,A114),"OK","NG")</f>
        <v>OK</v>
      </c>
      <c r="C114" s="39">
        <v>25</v>
      </c>
      <c r="D114" s="23" t="str">
        <f ca="1">VLOOKUP($C114,OFFSET([1]quests!$A$1,0,0,COUNTA([1]quests!$A:$A),MATCH(D$1,[1]quests!$1:$1,0)-MATCH($C$1,[1]quests!$1:$1,0)+1),MATCH(D$1,[1]quests!$1:$1,0)-MATCH($C$1,[1]quests!$1:$1,0)+1,FALSE)</f>
        <v>25．サディスティックパーティ</v>
      </c>
      <c r="E114" s="23" t="str">
        <f ca="1">VLOOKUP($C114,OFFSET([1]quests!$A$1,0,0,COUNTA([1]quests!$A:$A),MATCH(E$1,[1]quests!$1:$1,0)-MATCH($C$1,[1]quests!$1:$1,0)+1),MATCH(E$1,[1]quests!$1:$1,0)-MATCH($C$1,[1]quests!$1:$1,0)+1,FALSE)</f>
        <v>青DL5</v>
      </c>
      <c r="F114" s="42">
        <v>5</v>
      </c>
      <c r="G114" s="25" t="str">
        <f t="shared" si="3"/>
        <v>25_5</v>
      </c>
      <c r="H114" s="17" t="str">
        <f ca="1">VLOOKUP($G114,OFFSET([1]stages!$A$1,0,0,COUNTA([1]stages!$A:$A),MATCH(H$1,[1]stages!$2:$2,0)-MATCH($G$1,[1]stages!$2:$2,0)+1),MATCH(H$1,[1]stages!$2:$2,0)-MATCH($G$1,[1]stages!$2:$2,0)+1,FALSE)</f>
        <v>25-5．君はサディスティック</v>
      </c>
      <c r="I114" s="47">
        <v>3</v>
      </c>
      <c r="J114" s="61">
        <v>60</v>
      </c>
      <c r="K114" s="61">
        <v>60</v>
      </c>
    </row>
    <row r="115" spans="1:11" ht="21" customHeight="1" x14ac:dyDescent="0.15">
      <c r="A115" s="18" t="str">
        <f t="shared" si="2"/>
        <v>25_5-4</v>
      </c>
      <c r="B115" s="18" t="str">
        <f>IF(COUNTIF(enemy_habitats!$H:$H,A115),"OK","NG")</f>
        <v>OK</v>
      </c>
      <c r="C115" s="39">
        <v>25</v>
      </c>
      <c r="D115" s="23" t="str">
        <f ca="1">VLOOKUP($C115,OFFSET([1]quests!$A$1,0,0,COUNTA([1]quests!$A:$A),MATCH(D$1,[1]quests!$1:$1,0)-MATCH($C$1,[1]quests!$1:$1,0)+1),MATCH(D$1,[1]quests!$1:$1,0)-MATCH($C$1,[1]quests!$1:$1,0)+1,FALSE)</f>
        <v>25．サディスティックパーティ</v>
      </c>
      <c r="E115" s="23" t="str">
        <f ca="1">VLOOKUP($C115,OFFSET([1]quests!$A$1,0,0,COUNTA([1]quests!$A:$A),MATCH(E$1,[1]quests!$1:$1,0)-MATCH($C$1,[1]quests!$1:$1,0)+1),MATCH(E$1,[1]quests!$1:$1,0)-MATCH($C$1,[1]quests!$1:$1,0)+1,FALSE)</f>
        <v>青DL5</v>
      </c>
      <c r="F115" s="42">
        <v>5</v>
      </c>
      <c r="G115" s="25" t="str">
        <f t="shared" si="3"/>
        <v>25_5</v>
      </c>
      <c r="H115" s="17" t="str">
        <f ca="1">VLOOKUP($G115,OFFSET([1]stages!$A$1,0,0,COUNTA([1]stages!$A:$A),MATCH(H$1,[1]stages!$2:$2,0)-MATCH($G$1,[1]stages!$2:$2,0)+1),MATCH(H$1,[1]stages!$2:$2,0)-MATCH($G$1,[1]stages!$2:$2,0)+1,FALSE)</f>
        <v>25-5．君はサディスティック</v>
      </c>
      <c r="I115" s="47">
        <v>4</v>
      </c>
      <c r="J115" s="44">
        <v>45</v>
      </c>
      <c r="K115" s="44">
        <v>45</v>
      </c>
    </row>
    <row r="116" spans="1:11" ht="21" customHeight="1" x14ac:dyDescent="0.15">
      <c r="A116" s="18" t="str">
        <f t="shared" si="2"/>
        <v>25_5-5</v>
      </c>
      <c r="B116" s="18" t="str">
        <f>IF(COUNTIF(enemy_habitats!$H:$H,A116),"OK","NG")</f>
        <v>OK</v>
      </c>
      <c r="C116" s="39">
        <v>25</v>
      </c>
      <c r="D116" s="23" t="str">
        <f ca="1">VLOOKUP($C116,OFFSET([1]quests!$A$1,0,0,COUNTA([1]quests!$A:$A),MATCH(D$1,[1]quests!$1:$1,0)-MATCH($C$1,[1]quests!$1:$1,0)+1),MATCH(D$1,[1]quests!$1:$1,0)-MATCH($C$1,[1]quests!$1:$1,0)+1,FALSE)</f>
        <v>25．サディスティックパーティ</v>
      </c>
      <c r="E116" s="23" t="str">
        <f ca="1">VLOOKUP($C116,OFFSET([1]quests!$A$1,0,0,COUNTA([1]quests!$A:$A),MATCH(E$1,[1]quests!$1:$1,0)-MATCH($C$1,[1]quests!$1:$1,0)+1),MATCH(E$1,[1]quests!$1:$1,0)-MATCH($C$1,[1]quests!$1:$1,0)+1,FALSE)</f>
        <v>青DL5</v>
      </c>
      <c r="F116" s="42">
        <v>5</v>
      </c>
      <c r="G116" s="25" t="str">
        <f t="shared" si="3"/>
        <v>25_5</v>
      </c>
      <c r="H116" s="17" t="str">
        <f ca="1">VLOOKUP($G116,OFFSET([1]stages!$A$1,0,0,COUNTA([1]stages!$A:$A),MATCH(H$1,[1]stages!$2:$2,0)-MATCH($G$1,[1]stages!$2:$2,0)+1),MATCH(H$1,[1]stages!$2:$2,0)-MATCH($G$1,[1]stages!$2:$2,0)+1,FALSE)</f>
        <v>25-5．君はサディスティック</v>
      </c>
      <c r="I116" s="47">
        <v>5</v>
      </c>
      <c r="J116" s="61">
        <v>60</v>
      </c>
      <c r="K116" s="61">
        <v>60</v>
      </c>
    </row>
    <row r="117" spans="1:11" ht="21" customHeight="1" x14ac:dyDescent="0.15">
      <c r="A117" s="18" t="str">
        <f t="shared" si="2"/>
        <v>25_6-1</v>
      </c>
      <c r="B117" s="18" t="str">
        <f>IF(COUNTIF(enemy_habitats!$H:$H,A117),"OK","NG")</f>
        <v>OK</v>
      </c>
      <c r="C117" s="39">
        <v>25</v>
      </c>
      <c r="D117" s="23" t="str">
        <f ca="1">VLOOKUP($C117,OFFSET([1]quests!$A$1,0,0,COUNTA([1]quests!$A:$A),MATCH(D$1,[1]quests!$1:$1,0)-MATCH($C$1,[1]quests!$1:$1,0)+1),MATCH(D$1,[1]quests!$1:$1,0)-MATCH($C$1,[1]quests!$1:$1,0)+1,FALSE)</f>
        <v>25．サディスティックパーティ</v>
      </c>
      <c r="E117" s="23" t="str">
        <f ca="1">VLOOKUP($C117,OFFSET([1]quests!$A$1,0,0,COUNTA([1]quests!$A:$A),MATCH(E$1,[1]quests!$1:$1,0)-MATCH($C$1,[1]quests!$1:$1,0)+1),MATCH(E$1,[1]quests!$1:$1,0)-MATCH($C$1,[1]quests!$1:$1,0)+1,FALSE)</f>
        <v>青DL5</v>
      </c>
      <c r="F117" s="42">
        <v>6</v>
      </c>
      <c r="G117" s="25" t="str">
        <f t="shared" si="3"/>
        <v>25_6</v>
      </c>
      <c r="H117" s="17" t="str">
        <f ca="1">VLOOKUP($G117,OFFSET([1]stages!$A$1,0,0,COUNTA([1]stages!$A:$A),MATCH(H$1,[1]stages!$2:$2,0)-MATCH($G$1,[1]stages!$2:$2,0)+1),MATCH(H$1,[1]stages!$2:$2,0)-MATCH($G$1,[1]stages!$2:$2,0)+1,FALSE)</f>
        <v>25-6．【1回のみ】ボーナスステージ</v>
      </c>
      <c r="I117" s="47">
        <v>1</v>
      </c>
      <c r="J117" s="48">
        <v>40</v>
      </c>
      <c r="K117" s="48">
        <v>60</v>
      </c>
    </row>
    <row r="118" spans="1:11" ht="21" customHeight="1" x14ac:dyDescent="0.15">
      <c r="A118" s="18" t="str">
        <f t="shared" si="2"/>
        <v>25_6-2</v>
      </c>
      <c r="B118" s="18" t="str">
        <f>IF(COUNTIF(enemy_habitats!$H:$H,A118),"OK","NG")</f>
        <v>OK</v>
      </c>
      <c r="C118" s="39">
        <v>25</v>
      </c>
      <c r="D118" s="23" t="str">
        <f ca="1">VLOOKUP($C118,OFFSET([1]quests!$A$1,0,0,COUNTA([1]quests!$A:$A),MATCH(D$1,[1]quests!$1:$1,0)-MATCH($C$1,[1]quests!$1:$1,0)+1),MATCH(D$1,[1]quests!$1:$1,0)-MATCH($C$1,[1]quests!$1:$1,0)+1,FALSE)</f>
        <v>25．サディスティックパーティ</v>
      </c>
      <c r="E118" s="23" t="str">
        <f ca="1">VLOOKUP($C118,OFFSET([1]quests!$A$1,0,0,COUNTA([1]quests!$A:$A),MATCH(E$1,[1]quests!$1:$1,0)-MATCH($C$1,[1]quests!$1:$1,0)+1),MATCH(E$1,[1]quests!$1:$1,0)-MATCH($C$1,[1]quests!$1:$1,0)+1,FALSE)</f>
        <v>青DL5</v>
      </c>
      <c r="F118" s="42">
        <v>6</v>
      </c>
      <c r="G118" s="25" t="str">
        <f t="shared" si="3"/>
        <v>25_6</v>
      </c>
      <c r="H118" s="17" t="str">
        <f ca="1">VLOOKUP($G118,OFFSET([1]stages!$A$1,0,0,COUNTA([1]stages!$A:$A),MATCH(H$1,[1]stages!$2:$2,0)-MATCH($G$1,[1]stages!$2:$2,0)+1),MATCH(H$1,[1]stages!$2:$2,0)-MATCH($G$1,[1]stages!$2:$2,0)+1,FALSE)</f>
        <v>25-6．【1回のみ】ボーナスステージ</v>
      </c>
      <c r="I118" s="47">
        <v>2</v>
      </c>
      <c r="J118" s="48">
        <v>40</v>
      </c>
      <c r="K118" s="48">
        <v>60</v>
      </c>
    </row>
    <row r="119" spans="1:11" ht="21" customHeight="1" x14ac:dyDescent="0.15">
      <c r="A119" s="18" t="str">
        <f t="shared" si="2"/>
        <v>25_6-3</v>
      </c>
      <c r="B119" s="18" t="str">
        <f>IF(COUNTIF(enemy_habitats!$H:$H,A119),"OK","NG")</f>
        <v>OK</v>
      </c>
      <c r="C119" s="39">
        <v>25</v>
      </c>
      <c r="D119" s="23" t="str">
        <f ca="1">VLOOKUP($C119,OFFSET([1]quests!$A$1,0,0,COUNTA([1]quests!$A:$A),MATCH(D$1,[1]quests!$1:$1,0)-MATCH($C$1,[1]quests!$1:$1,0)+1),MATCH(D$1,[1]quests!$1:$1,0)-MATCH($C$1,[1]quests!$1:$1,0)+1,FALSE)</f>
        <v>25．サディスティックパーティ</v>
      </c>
      <c r="E119" s="23" t="str">
        <f ca="1">VLOOKUP($C119,OFFSET([1]quests!$A$1,0,0,COUNTA([1]quests!$A:$A),MATCH(E$1,[1]quests!$1:$1,0)-MATCH($C$1,[1]quests!$1:$1,0)+1),MATCH(E$1,[1]quests!$1:$1,0)-MATCH($C$1,[1]quests!$1:$1,0)+1,FALSE)</f>
        <v>青DL5</v>
      </c>
      <c r="F119" s="42">
        <v>6</v>
      </c>
      <c r="G119" s="25" t="str">
        <f t="shared" si="3"/>
        <v>25_6</v>
      </c>
      <c r="H119" s="17" t="str">
        <f ca="1">VLOOKUP($G119,OFFSET([1]stages!$A$1,0,0,COUNTA([1]stages!$A:$A),MATCH(H$1,[1]stages!$2:$2,0)-MATCH($G$1,[1]stages!$2:$2,0)+1),MATCH(H$1,[1]stages!$2:$2,0)-MATCH($G$1,[1]stages!$2:$2,0)+1,FALSE)</f>
        <v>25-6．【1回のみ】ボーナスステージ</v>
      </c>
      <c r="I119" s="47">
        <v>3</v>
      </c>
      <c r="J119" s="48">
        <v>40</v>
      </c>
      <c r="K119" s="48">
        <v>60</v>
      </c>
    </row>
    <row r="120" spans="1:11" ht="21" customHeight="1" x14ac:dyDescent="0.15">
      <c r="A120" s="18" t="str">
        <f t="shared" si="2"/>
        <v>25_6-4</v>
      </c>
      <c r="B120" s="18" t="str">
        <f>IF(COUNTIF(enemy_habitats!$H:$H,A120),"OK","NG")</f>
        <v>OK</v>
      </c>
      <c r="C120" s="39">
        <v>25</v>
      </c>
      <c r="D120" s="23" t="str">
        <f ca="1">VLOOKUP($C120,OFFSET([1]quests!$A$1,0,0,COUNTA([1]quests!$A:$A),MATCH(D$1,[1]quests!$1:$1,0)-MATCH($C$1,[1]quests!$1:$1,0)+1),MATCH(D$1,[1]quests!$1:$1,0)-MATCH($C$1,[1]quests!$1:$1,0)+1,FALSE)</f>
        <v>25．サディスティックパーティ</v>
      </c>
      <c r="E120" s="23" t="str">
        <f ca="1">VLOOKUP($C120,OFFSET([1]quests!$A$1,0,0,COUNTA([1]quests!$A:$A),MATCH(E$1,[1]quests!$1:$1,0)-MATCH($C$1,[1]quests!$1:$1,0)+1),MATCH(E$1,[1]quests!$1:$1,0)-MATCH($C$1,[1]quests!$1:$1,0)+1,FALSE)</f>
        <v>青DL5</v>
      </c>
      <c r="F120" s="42">
        <v>6</v>
      </c>
      <c r="G120" s="25" t="str">
        <f t="shared" si="3"/>
        <v>25_6</v>
      </c>
      <c r="H120" s="17" t="str">
        <f ca="1">VLOOKUP($G120,OFFSET([1]stages!$A$1,0,0,COUNTA([1]stages!$A:$A),MATCH(H$1,[1]stages!$2:$2,0)-MATCH($G$1,[1]stages!$2:$2,0)+1),MATCH(H$1,[1]stages!$2:$2,0)-MATCH($G$1,[1]stages!$2:$2,0)+1,FALSE)</f>
        <v>25-6．【1回のみ】ボーナスステージ</v>
      </c>
      <c r="I120" s="47">
        <v>4</v>
      </c>
      <c r="J120" s="48">
        <v>60</v>
      </c>
      <c r="K120" s="48">
        <v>60</v>
      </c>
    </row>
    <row r="121" spans="1:11" ht="21" customHeight="1" x14ac:dyDescent="0.15">
      <c r="A121" s="18" t="str">
        <f t="shared" si="2"/>
        <v>25_6-5</v>
      </c>
      <c r="B121" s="18" t="str">
        <f>IF(COUNTIF(enemy_habitats!$H:$H,A121),"OK","NG")</f>
        <v>OK</v>
      </c>
      <c r="C121" s="39">
        <v>25</v>
      </c>
      <c r="D121" s="23" t="str">
        <f ca="1">VLOOKUP($C121,OFFSET([1]quests!$A$1,0,0,COUNTA([1]quests!$A:$A),MATCH(D$1,[1]quests!$1:$1,0)-MATCH($C$1,[1]quests!$1:$1,0)+1),MATCH(D$1,[1]quests!$1:$1,0)-MATCH($C$1,[1]quests!$1:$1,0)+1,FALSE)</f>
        <v>25．サディスティックパーティ</v>
      </c>
      <c r="E121" s="23" t="str">
        <f ca="1">VLOOKUP($C121,OFFSET([1]quests!$A$1,0,0,COUNTA([1]quests!$A:$A),MATCH(E$1,[1]quests!$1:$1,0)-MATCH($C$1,[1]quests!$1:$1,0)+1),MATCH(E$1,[1]quests!$1:$1,0)-MATCH($C$1,[1]quests!$1:$1,0)+1,FALSE)</f>
        <v>青DL5</v>
      </c>
      <c r="F121" s="42">
        <v>6</v>
      </c>
      <c r="G121" s="25" t="str">
        <f t="shared" si="3"/>
        <v>25_6</v>
      </c>
      <c r="H121" s="17" t="str">
        <f ca="1">VLOOKUP($G121,OFFSET([1]stages!$A$1,0,0,COUNTA([1]stages!$A:$A),MATCH(H$1,[1]stages!$2:$2,0)-MATCH($G$1,[1]stages!$2:$2,0)+1),MATCH(H$1,[1]stages!$2:$2,0)-MATCH($G$1,[1]stages!$2:$2,0)+1,FALSE)</f>
        <v>25-6．【1回のみ】ボーナスステージ</v>
      </c>
      <c r="I121" s="47">
        <v>5</v>
      </c>
      <c r="J121" s="48">
        <v>40</v>
      </c>
      <c r="K121" s="48">
        <v>40</v>
      </c>
    </row>
    <row r="122" spans="1:11" ht="21" customHeight="1" x14ac:dyDescent="0.15">
      <c r="A122" s="18" t="str">
        <f t="shared" si="2"/>
        <v>26_1-1</v>
      </c>
      <c r="B122" s="18" t="str">
        <f>IF(COUNTIF(enemy_habitats!$H:$H,A122),"OK","NG")</f>
        <v>OK</v>
      </c>
      <c r="C122" s="39">
        <v>26</v>
      </c>
      <c r="D122" s="23" t="str">
        <f ca="1">VLOOKUP($C122,OFFSET([1]quests!$A$1,0,0,COUNTA([1]quests!$A:$A),MATCH(D$1,[1]quests!$1:$1,0)-MATCH($C$1,[1]quests!$1:$1,0)+1),MATCH(D$1,[1]quests!$1:$1,0)-MATCH($C$1,[1]quests!$1:$1,0)+1,FALSE)</f>
        <v>26．クラブ クラッシュビーツ</v>
      </c>
      <c r="E122" s="23" t="str">
        <f ca="1">VLOOKUP($C122,OFFSET([1]quests!$A$1,0,0,COUNTA([1]quests!$A:$A),MATCH(E$1,[1]quests!$1:$1,0)-MATCH($C$1,[1]quests!$1:$1,0)+1),MATCH(E$1,[1]quests!$1:$1,0)-MATCH($C$1,[1]quests!$1:$1,0)+1,FALSE)</f>
        <v>混色DL5</v>
      </c>
      <c r="F122" s="42">
        <v>1</v>
      </c>
      <c r="G122" s="25" t="str">
        <f t="shared" si="3"/>
        <v>26_1</v>
      </c>
      <c r="H122" s="17" t="str">
        <f ca="1">VLOOKUP($G122,OFFSET([1]stages!$A$1,0,0,COUNTA([1]stages!$A:$A),MATCH(H$1,[1]stages!$2:$2,0)-MATCH($G$1,[1]stages!$2:$2,0)+1),MATCH(H$1,[1]stages!$2:$2,0)-MATCH($G$1,[1]stages!$2:$2,0)+1,FALSE)</f>
        <v>26-1．無愛想なフロント</v>
      </c>
      <c r="I122" s="47">
        <v>1</v>
      </c>
      <c r="J122" s="44">
        <v>30</v>
      </c>
      <c r="K122" s="44">
        <v>30</v>
      </c>
    </row>
    <row r="123" spans="1:11" ht="21" customHeight="1" x14ac:dyDescent="0.15">
      <c r="A123" s="18" t="str">
        <f t="shared" si="2"/>
        <v>26_1-2</v>
      </c>
      <c r="B123" s="18" t="str">
        <f>IF(COUNTIF(enemy_habitats!$H:$H,A123),"OK","NG")</f>
        <v>OK</v>
      </c>
      <c r="C123" s="39">
        <v>26</v>
      </c>
      <c r="D123" s="23" t="str">
        <f ca="1">VLOOKUP($C123,OFFSET([1]quests!$A$1,0,0,COUNTA([1]quests!$A:$A),MATCH(D$1,[1]quests!$1:$1,0)-MATCH($C$1,[1]quests!$1:$1,0)+1),MATCH(D$1,[1]quests!$1:$1,0)-MATCH($C$1,[1]quests!$1:$1,0)+1,FALSE)</f>
        <v>26．クラブ クラッシュビーツ</v>
      </c>
      <c r="E123" s="23" t="str">
        <f ca="1">VLOOKUP($C123,OFFSET([1]quests!$A$1,0,0,COUNTA([1]quests!$A:$A),MATCH(E$1,[1]quests!$1:$1,0)-MATCH($C$1,[1]quests!$1:$1,0)+1),MATCH(E$1,[1]quests!$1:$1,0)-MATCH($C$1,[1]quests!$1:$1,0)+1,FALSE)</f>
        <v>混色DL5</v>
      </c>
      <c r="F123" s="42">
        <v>1</v>
      </c>
      <c r="G123" s="25" t="str">
        <f t="shared" si="3"/>
        <v>26_1</v>
      </c>
      <c r="H123" s="17" t="str">
        <f ca="1">VLOOKUP($G123,OFFSET([1]stages!$A$1,0,0,COUNTA([1]stages!$A:$A),MATCH(H$1,[1]stages!$2:$2,0)-MATCH($G$1,[1]stages!$2:$2,0)+1),MATCH(H$1,[1]stages!$2:$2,0)-MATCH($G$1,[1]stages!$2:$2,0)+1,FALSE)</f>
        <v>26-1．無愛想なフロント</v>
      </c>
      <c r="I123" s="47">
        <v>2</v>
      </c>
      <c r="J123" s="44">
        <v>30</v>
      </c>
      <c r="K123" s="44">
        <v>45</v>
      </c>
    </row>
    <row r="124" spans="1:11" ht="21" customHeight="1" x14ac:dyDescent="0.15">
      <c r="A124" s="18" t="str">
        <f t="shared" si="2"/>
        <v>26_1-3</v>
      </c>
      <c r="B124" s="18" t="str">
        <f>IF(COUNTIF(enemy_habitats!$H:$H,A124),"OK","NG")</f>
        <v>OK</v>
      </c>
      <c r="C124" s="39">
        <v>26</v>
      </c>
      <c r="D124" s="23" t="str">
        <f ca="1">VLOOKUP($C124,OFFSET([1]quests!$A$1,0,0,COUNTA([1]quests!$A:$A),MATCH(D$1,[1]quests!$1:$1,0)-MATCH($C$1,[1]quests!$1:$1,0)+1),MATCH(D$1,[1]quests!$1:$1,0)-MATCH($C$1,[1]quests!$1:$1,0)+1,FALSE)</f>
        <v>26．クラブ クラッシュビーツ</v>
      </c>
      <c r="E124" s="23" t="str">
        <f ca="1">VLOOKUP($C124,OFFSET([1]quests!$A$1,0,0,COUNTA([1]quests!$A:$A),MATCH(E$1,[1]quests!$1:$1,0)-MATCH($C$1,[1]quests!$1:$1,0)+1),MATCH(E$1,[1]quests!$1:$1,0)-MATCH($C$1,[1]quests!$1:$1,0)+1,FALSE)</f>
        <v>混色DL5</v>
      </c>
      <c r="F124" s="42">
        <v>1</v>
      </c>
      <c r="G124" s="25" t="str">
        <f t="shared" si="3"/>
        <v>26_1</v>
      </c>
      <c r="H124" s="17" t="str">
        <f ca="1">VLOOKUP($G124,OFFSET([1]stages!$A$1,0,0,COUNTA([1]stages!$A:$A),MATCH(H$1,[1]stages!$2:$2,0)-MATCH($G$1,[1]stages!$2:$2,0)+1),MATCH(H$1,[1]stages!$2:$2,0)-MATCH($G$1,[1]stages!$2:$2,0)+1,FALSE)</f>
        <v>26-1．無愛想なフロント</v>
      </c>
      <c r="I124" s="47">
        <v>3</v>
      </c>
      <c r="J124" s="44">
        <v>45</v>
      </c>
      <c r="K124" s="44">
        <v>45</v>
      </c>
    </row>
    <row r="125" spans="1:11" ht="21" customHeight="1" x14ac:dyDescent="0.15">
      <c r="A125" s="18" t="str">
        <f t="shared" si="2"/>
        <v>26_1-4</v>
      </c>
      <c r="B125" s="18" t="str">
        <f>IF(COUNTIF(enemy_habitats!$H:$H,A125),"OK","NG")</f>
        <v>OK</v>
      </c>
      <c r="C125" s="39">
        <v>26</v>
      </c>
      <c r="D125" s="23" t="str">
        <f ca="1">VLOOKUP($C125,OFFSET([1]quests!$A$1,0,0,COUNTA([1]quests!$A:$A),MATCH(D$1,[1]quests!$1:$1,0)-MATCH($C$1,[1]quests!$1:$1,0)+1),MATCH(D$1,[1]quests!$1:$1,0)-MATCH($C$1,[1]quests!$1:$1,0)+1,FALSE)</f>
        <v>26．クラブ クラッシュビーツ</v>
      </c>
      <c r="E125" s="23" t="str">
        <f ca="1">VLOOKUP($C125,OFFSET([1]quests!$A$1,0,0,COUNTA([1]quests!$A:$A),MATCH(E$1,[1]quests!$1:$1,0)-MATCH($C$1,[1]quests!$1:$1,0)+1),MATCH(E$1,[1]quests!$1:$1,0)-MATCH($C$1,[1]quests!$1:$1,0)+1,FALSE)</f>
        <v>混色DL5</v>
      </c>
      <c r="F125" s="42">
        <v>1</v>
      </c>
      <c r="G125" s="25" t="str">
        <f t="shared" si="3"/>
        <v>26_1</v>
      </c>
      <c r="H125" s="17" t="str">
        <f ca="1">VLOOKUP($G125,OFFSET([1]stages!$A$1,0,0,COUNTA([1]stages!$A:$A),MATCH(H$1,[1]stages!$2:$2,0)-MATCH($G$1,[1]stages!$2:$2,0)+1),MATCH(H$1,[1]stages!$2:$2,0)-MATCH($G$1,[1]stages!$2:$2,0)+1,FALSE)</f>
        <v>26-1．無愛想なフロント</v>
      </c>
      <c r="I125" s="47">
        <v>4</v>
      </c>
      <c r="J125" s="61">
        <v>60</v>
      </c>
      <c r="K125" s="61">
        <v>60</v>
      </c>
    </row>
    <row r="126" spans="1:11" ht="21" customHeight="1" x14ac:dyDescent="0.15">
      <c r="A126" s="18" t="str">
        <f t="shared" si="2"/>
        <v>26_1-5</v>
      </c>
      <c r="B126" s="18" t="str">
        <f>IF(COUNTIF(enemy_habitats!$H:$H,A126),"OK","NG")</f>
        <v>OK</v>
      </c>
      <c r="C126" s="39">
        <v>26</v>
      </c>
      <c r="D126" s="23" t="str">
        <f ca="1">VLOOKUP($C126,OFFSET([1]quests!$A$1,0,0,COUNTA([1]quests!$A:$A),MATCH(D$1,[1]quests!$1:$1,0)-MATCH($C$1,[1]quests!$1:$1,0)+1),MATCH(D$1,[1]quests!$1:$1,0)-MATCH($C$1,[1]quests!$1:$1,0)+1,FALSE)</f>
        <v>26．クラブ クラッシュビーツ</v>
      </c>
      <c r="E126" s="23" t="str">
        <f ca="1">VLOOKUP($C126,OFFSET([1]quests!$A$1,0,0,COUNTA([1]quests!$A:$A),MATCH(E$1,[1]quests!$1:$1,0)-MATCH($C$1,[1]quests!$1:$1,0)+1),MATCH(E$1,[1]quests!$1:$1,0)-MATCH($C$1,[1]quests!$1:$1,0)+1,FALSE)</f>
        <v>混色DL5</v>
      </c>
      <c r="F126" s="42">
        <v>1</v>
      </c>
      <c r="G126" s="25" t="str">
        <f t="shared" si="3"/>
        <v>26_1</v>
      </c>
      <c r="H126" s="17" t="str">
        <f ca="1">VLOOKUP($G126,OFFSET([1]stages!$A$1,0,0,COUNTA([1]stages!$A:$A),MATCH(H$1,[1]stages!$2:$2,0)-MATCH($G$1,[1]stages!$2:$2,0)+1),MATCH(H$1,[1]stages!$2:$2,0)-MATCH($G$1,[1]stages!$2:$2,0)+1,FALSE)</f>
        <v>26-1．無愛想なフロント</v>
      </c>
      <c r="I126" s="47">
        <v>5</v>
      </c>
      <c r="J126" s="61">
        <v>60</v>
      </c>
      <c r="K126" s="61">
        <v>60</v>
      </c>
    </row>
    <row r="127" spans="1:11" ht="21" customHeight="1" x14ac:dyDescent="0.15">
      <c r="A127" s="18" t="str">
        <f t="shared" si="2"/>
        <v>26_2-1</v>
      </c>
      <c r="B127" s="18" t="str">
        <f>IF(COUNTIF(enemy_habitats!$H:$H,A127),"OK","NG")</f>
        <v>OK</v>
      </c>
      <c r="C127" s="39">
        <v>26</v>
      </c>
      <c r="D127" s="23" t="str">
        <f ca="1">VLOOKUP($C127,OFFSET([1]quests!$A$1,0,0,COUNTA([1]quests!$A:$A),MATCH(D$1,[1]quests!$1:$1,0)-MATCH($C$1,[1]quests!$1:$1,0)+1),MATCH(D$1,[1]quests!$1:$1,0)-MATCH($C$1,[1]quests!$1:$1,0)+1,FALSE)</f>
        <v>26．クラブ クラッシュビーツ</v>
      </c>
      <c r="E127" s="23" t="str">
        <f ca="1">VLOOKUP($C127,OFFSET([1]quests!$A$1,0,0,COUNTA([1]quests!$A:$A),MATCH(E$1,[1]quests!$1:$1,0)-MATCH($C$1,[1]quests!$1:$1,0)+1),MATCH(E$1,[1]quests!$1:$1,0)-MATCH($C$1,[1]quests!$1:$1,0)+1,FALSE)</f>
        <v>混色DL5</v>
      </c>
      <c r="F127" s="42">
        <v>2</v>
      </c>
      <c r="G127" s="25" t="str">
        <f t="shared" si="3"/>
        <v>26_2</v>
      </c>
      <c r="H127" s="17" t="str">
        <f ca="1">VLOOKUP($G127,OFFSET([1]stages!$A$1,0,0,COUNTA([1]stages!$A:$A),MATCH(H$1,[1]stages!$2:$2,0)-MATCH($G$1,[1]stages!$2:$2,0)+1),MATCH(H$1,[1]stages!$2:$2,0)-MATCH($G$1,[1]stages!$2:$2,0)+1,FALSE)</f>
        <v>26-2．フロアジャック</v>
      </c>
      <c r="I127" s="47">
        <v>1</v>
      </c>
      <c r="J127" s="45">
        <v>30</v>
      </c>
      <c r="K127" s="46">
        <v>30</v>
      </c>
    </row>
    <row r="128" spans="1:11" ht="21" customHeight="1" x14ac:dyDescent="0.15">
      <c r="A128" s="18" t="str">
        <f t="shared" si="2"/>
        <v>26_2-2</v>
      </c>
      <c r="B128" s="18" t="str">
        <f>IF(COUNTIF(enemy_habitats!$H:$H,A128),"OK","NG")</f>
        <v>OK</v>
      </c>
      <c r="C128" s="39">
        <v>26</v>
      </c>
      <c r="D128" s="23" t="str">
        <f ca="1">VLOOKUP($C128,OFFSET([1]quests!$A$1,0,0,COUNTA([1]quests!$A:$A),MATCH(D$1,[1]quests!$1:$1,0)-MATCH($C$1,[1]quests!$1:$1,0)+1),MATCH(D$1,[1]quests!$1:$1,0)-MATCH($C$1,[1]quests!$1:$1,0)+1,FALSE)</f>
        <v>26．クラブ クラッシュビーツ</v>
      </c>
      <c r="E128" s="23" t="str">
        <f ca="1">VLOOKUP($C128,OFFSET([1]quests!$A$1,0,0,COUNTA([1]quests!$A:$A),MATCH(E$1,[1]quests!$1:$1,0)-MATCH($C$1,[1]quests!$1:$1,0)+1),MATCH(E$1,[1]quests!$1:$1,0)-MATCH($C$1,[1]quests!$1:$1,0)+1,FALSE)</f>
        <v>混色DL5</v>
      </c>
      <c r="F128" s="42">
        <v>2</v>
      </c>
      <c r="G128" s="25" t="str">
        <f t="shared" si="3"/>
        <v>26_2</v>
      </c>
      <c r="H128" s="17" t="str">
        <f ca="1">VLOOKUP($G128,OFFSET([1]stages!$A$1,0,0,COUNTA([1]stages!$A:$A),MATCH(H$1,[1]stages!$2:$2,0)-MATCH($G$1,[1]stages!$2:$2,0)+1),MATCH(H$1,[1]stages!$2:$2,0)-MATCH($G$1,[1]stages!$2:$2,0)+1,FALSE)</f>
        <v>26-2．フロアジャック</v>
      </c>
      <c r="I128" s="47">
        <v>2</v>
      </c>
      <c r="J128" s="44">
        <v>30</v>
      </c>
      <c r="K128" s="44">
        <v>45</v>
      </c>
    </row>
    <row r="129" spans="1:11" ht="21" customHeight="1" x14ac:dyDescent="0.15">
      <c r="A129" s="18" t="str">
        <f t="shared" si="2"/>
        <v>26_2-3</v>
      </c>
      <c r="B129" s="18" t="str">
        <f>IF(COUNTIF(enemy_habitats!$H:$H,A129),"OK","NG")</f>
        <v>OK</v>
      </c>
      <c r="C129" s="39">
        <v>26</v>
      </c>
      <c r="D129" s="23" t="str">
        <f ca="1">VLOOKUP($C129,OFFSET([1]quests!$A$1,0,0,COUNTA([1]quests!$A:$A),MATCH(D$1,[1]quests!$1:$1,0)-MATCH($C$1,[1]quests!$1:$1,0)+1),MATCH(D$1,[1]quests!$1:$1,0)-MATCH($C$1,[1]quests!$1:$1,0)+1,FALSE)</f>
        <v>26．クラブ クラッシュビーツ</v>
      </c>
      <c r="E129" s="23" t="str">
        <f ca="1">VLOOKUP($C129,OFFSET([1]quests!$A$1,0,0,COUNTA([1]quests!$A:$A),MATCH(E$1,[1]quests!$1:$1,0)-MATCH($C$1,[1]quests!$1:$1,0)+1),MATCH(E$1,[1]quests!$1:$1,0)-MATCH($C$1,[1]quests!$1:$1,0)+1,FALSE)</f>
        <v>混色DL5</v>
      </c>
      <c r="F129" s="42">
        <v>2</v>
      </c>
      <c r="G129" s="25" t="str">
        <f t="shared" si="3"/>
        <v>26_2</v>
      </c>
      <c r="H129" s="17" t="str">
        <f ca="1">VLOOKUP($G129,OFFSET([1]stages!$A$1,0,0,COUNTA([1]stages!$A:$A),MATCH(H$1,[1]stages!$2:$2,0)-MATCH($G$1,[1]stages!$2:$2,0)+1),MATCH(H$1,[1]stages!$2:$2,0)-MATCH($G$1,[1]stages!$2:$2,0)+1,FALSE)</f>
        <v>26-2．フロアジャック</v>
      </c>
      <c r="I129" s="47">
        <v>3</v>
      </c>
      <c r="J129" s="61">
        <v>60</v>
      </c>
      <c r="K129" s="61">
        <v>60</v>
      </c>
    </row>
    <row r="130" spans="1:11" ht="21" customHeight="1" x14ac:dyDescent="0.15">
      <c r="A130" s="18" t="str">
        <f t="shared" si="2"/>
        <v>26_2-4</v>
      </c>
      <c r="B130" s="18" t="str">
        <f>IF(COUNTIF(enemy_habitats!$H:$H,A130),"OK","NG")</f>
        <v>OK</v>
      </c>
      <c r="C130" s="39">
        <v>26</v>
      </c>
      <c r="D130" s="23" t="str">
        <f ca="1">VLOOKUP($C130,OFFSET([1]quests!$A$1,0,0,COUNTA([1]quests!$A:$A),MATCH(D$1,[1]quests!$1:$1,0)-MATCH($C$1,[1]quests!$1:$1,0)+1),MATCH(D$1,[1]quests!$1:$1,0)-MATCH($C$1,[1]quests!$1:$1,0)+1,FALSE)</f>
        <v>26．クラブ クラッシュビーツ</v>
      </c>
      <c r="E130" s="23" t="str">
        <f ca="1">VLOOKUP($C130,OFFSET([1]quests!$A$1,0,0,COUNTA([1]quests!$A:$A),MATCH(E$1,[1]quests!$1:$1,0)-MATCH($C$1,[1]quests!$1:$1,0)+1),MATCH(E$1,[1]quests!$1:$1,0)-MATCH($C$1,[1]quests!$1:$1,0)+1,FALSE)</f>
        <v>混色DL5</v>
      </c>
      <c r="F130" s="42">
        <v>2</v>
      </c>
      <c r="G130" s="25" t="str">
        <f t="shared" si="3"/>
        <v>26_2</v>
      </c>
      <c r="H130" s="17" t="str">
        <f ca="1">VLOOKUP($G130,OFFSET([1]stages!$A$1,0,0,COUNTA([1]stages!$A:$A),MATCH(H$1,[1]stages!$2:$2,0)-MATCH($G$1,[1]stages!$2:$2,0)+1),MATCH(H$1,[1]stages!$2:$2,0)-MATCH($G$1,[1]stages!$2:$2,0)+1,FALSE)</f>
        <v>26-2．フロアジャック</v>
      </c>
      <c r="I130" s="47">
        <v>4</v>
      </c>
      <c r="J130" s="61">
        <v>60</v>
      </c>
      <c r="K130" s="61">
        <v>60</v>
      </c>
    </row>
    <row r="131" spans="1:11" ht="21" customHeight="1" x14ac:dyDescent="0.15">
      <c r="A131" s="18" t="str">
        <f t="shared" ref="A131:A153" si="4">G131&amp;"-"&amp;I131</f>
        <v>26_2-5</v>
      </c>
      <c r="B131" s="18" t="str">
        <f>IF(COUNTIF(enemy_habitats!$H:$H,A131),"OK","NG")</f>
        <v>OK</v>
      </c>
      <c r="C131" s="39">
        <v>26</v>
      </c>
      <c r="D131" s="23" t="str">
        <f ca="1">VLOOKUP($C131,OFFSET([1]quests!$A$1,0,0,COUNTA([1]quests!$A:$A),MATCH(D$1,[1]quests!$1:$1,0)-MATCH($C$1,[1]quests!$1:$1,0)+1),MATCH(D$1,[1]quests!$1:$1,0)-MATCH($C$1,[1]quests!$1:$1,0)+1,FALSE)</f>
        <v>26．クラブ クラッシュビーツ</v>
      </c>
      <c r="E131" s="23" t="str">
        <f ca="1">VLOOKUP($C131,OFFSET([1]quests!$A$1,0,0,COUNTA([1]quests!$A:$A),MATCH(E$1,[1]quests!$1:$1,0)-MATCH($C$1,[1]quests!$1:$1,0)+1),MATCH(E$1,[1]quests!$1:$1,0)-MATCH($C$1,[1]quests!$1:$1,0)+1,FALSE)</f>
        <v>混色DL5</v>
      </c>
      <c r="F131" s="42">
        <v>2</v>
      </c>
      <c r="G131" s="25" t="str">
        <f t="shared" ref="G131:G152" si="5">C131&amp;"_"&amp;F131</f>
        <v>26_2</v>
      </c>
      <c r="H131" s="17" t="str">
        <f ca="1">VLOOKUP($G131,OFFSET([1]stages!$A$1,0,0,COUNTA([1]stages!$A:$A),MATCH(H$1,[1]stages!$2:$2,0)-MATCH($G$1,[1]stages!$2:$2,0)+1),MATCH(H$1,[1]stages!$2:$2,0)-MATCH($G$1,[1]stages!$2:$2,0)+1,FALSE)</f>
        <v>26-2．フロアジャック</v>
      </c>
      <c r="I131" s="47">
        <v>5</v>
      </c>
      <c r="J131" s="61">
        <v>60</v>
      </c>
      <c r="K131" s="61">
        <v>60</v>
      </c>
    </row>
    <row r="132" spans="1:11" ht="21" customHeight="1" x14ac:dyDescent="0.15">
      <c r="A132" s="18" t="str">
        <f t="shared" si="4"/>
        <v>26_3-1</v>
      </c>
      <c r="B132" s="18" t="str">
        <f>IF(COUNTIF(enemy_habitats!$H:$H,A132),"OK","NG")</f>
        <v>OK</v>
      </c>
      <c r="C132" s="39">
        <v>26</v>
      </c>
      <c r="D132" s="23" t="str">
        <f ca="1">VLOOKUP($C132,OFFSET([1]quests!$A$1,0,0,COUNTA([1]quests!$A:$A),MATCH(D$1,[1]quests!$1:$1,0)-MATCH($C$1,[1]quests!$1:$1,0)+1),MATCH(D$1,[1]quests!$1:$1,0)-MATCH($C$1,[1]quests!$1:$1,0)+1,FALSE)</f>
        <v>26．クラブ クラッシュビーツ</v>
      </c>
      <c r="E132" s="23" t="str">
        <f ca="1">VLOOKUP($C132,OFFSET([1]quests!$A$1,0,0,COUNTA([1]quests!$A:$A),MATCH(E$1,[1]quests!$1:$1,0)-MATCH($C$1,[1]quests!$1:$1,0)+1),MATCH(E$1,[1]quests!$1:$1,0)-MATCH($C$1,[1]quests!$1:$1,0)+1,FALSE)</f>
        <v>混色DL5</v>
      </c>
      <c r="F132" s="42">
        <v>3</v>
      </c>
      <c r="G132" s="25" t="str">
        <f t="shared" si="5"/>
        <v>26_3</v>
      </c>
      <c r="H132" s="17" t="str">
        <f ca="1">VLOOKUP($G132,OFFSET([1]stages!$A$1,0,0,COUNTA([1]stages!$A:$A),MATCH(H$1,[1]stages!$2:$2,0)-MATCH($G$1,[1]stages!$2:$2,0)+1),MATCH(H$1,[1]stages!$2:$2,0)-MATCH($G$1,[1]stages!$2:$2,0)+1,FALSE)</f>
        <v>26-3．荒ぶる電飾</v>
      </c>
      <c r="I132" s="47">
        <v>1</v>
      </c>
      <c r="J132" s="45">
        <v>30</v>
      </c>
      <c r="K132" s="46">
        <v>30</v>
      </c>
    </row>
    <row r="133" spans="1:11" ht="21" customHeight="1" x14ac:dyDescent="0.15">
      <c r="A133" s="18" t="str">
        <f t="shared" si="4"/>
        <v>26_3-2</v>
      </c>
      <c r="B133" s="18" t="str">
        <f>IF(COUNTIF(enemy_habitats!$H:$H,A133),"OK","NG")</f>
        <v>OK</v>
      </c>
      <c r="C133" s="39">
        <v>26</v>
      </c>
      <c r="D133" s="23" t="str">
        <f ca="1">VLOOKUP($C133,OFFSET([1]quests!$A$1,0,0,COUNTA([1]quests!$A:$A),MATCH(D$1,[1]quests!$1:$1,0)-MATCH($C$1,[1]quests!$1:$1,0)+1),MATCH(D$1,[1]quests!$1:$1,0)-MATCH($C$1,[1]quests!$1:$1,0)+1,FALSE)</f>
        <v>26．クラブ クラッシュビーツ</v>
      </c>
      <c r="E133" s="23" t="str">
        <f ca="1">VLOOKUP($C133,OFFSET([1]quests!$A$1,0,0,COUNTA([1]quests!$A:$A),MATCH(E$1,[1]quests!$1:$1,0)-MATCH($C$1,[1]quests!$1:$1,0)+1),MATCH(E$1,[1]quests!$1:$1,0)-MATCH($C$1,[1]quests!$1:$1,0)+1,FALSE)</f>
        <v>混色DL5</v>
      </c>
      <c r="F133" s="42">
        <v>3</v>
      </c>
      <c r="G133" s="25" t="str">
        <f t="shared" si="5"/>
        <v>26_3</v>
      </c>
      <c r="H133" s="17" t="str">
        <f ca="1">VLOOKUP($G133,OFFSET([1]stages!$A$1,0,0,COUNTA([1]stages!$A:$A),MATCH(H$1,[1]stages!$2:$2,0)-MATCH($G$1,[1]stages!$2:$2,0)+1),MATCH(H$1,[1]stages!$2:$2,0)-MATCH($G$1,[1]stages!$2:$2,0)+1,FALSE)</f>
        <v>26-3．荒ぶる電飾</v>
      </c>
      <c r="I133" s="47">
        <v>2</v>
      </c>
      <c r="J133" s="44">
        <v>30</v>
      </c>
      <c r="K133" s="44">
        <v>45</v>
      </c>
    </row>
    <row r="134" spans="1:11" ht="21" customHeight="1" x14ac:dyDescent="0.15">
      <c r="A134" s="18" t="str">
        <f t="shared" si="4"/>
        <v>26_3-3</v>
      </c>
      <c r="B134" s="18" t="str">
        <f>IF(COUNTIF(enemy_habitats!$H:$H,A134),"OK","NG")</f>
        <v>OK</v>
      </c>
      <c r="C134" s="39">
        <v>26</v>
      </c>
      <c r="D134" s="23" t="str">
        <f ca="1">VLOOKUP($C134,OFFSET([1]quests!$A$1,0,0,COUNTA([1]quests!$A:$A),MATCH(D$1,[1]quests!$1:$1,0)-MATCH($C$1,[1]quests!$1:$1,0)+1),MATCH(D$1,[1]quests!$1:$1,0)-MATCH($C$1,[1]quests!$1:$1,0)+1,FALSE)</f>
        <v>26．クラブ クラッシュビーツ</v>
      </c>
      <c r="E134" s="23" t="str">
        <f ca="1">VLOOKUP($C134,OFFSET([1]quests!$A$1,0,0,COUNTA([1]quests!$A:$A),MATCH(E$1,[1]quests!$1:$1,0)-MATCH($C$1,[1]quests!$1:$1,0)+1),MATCH(E$1,[1]quests!$1:$1,0)-MATCH($C$1,[1]quests!$1:$1,0)+1,FALSE)</f>
        <v>混色DL5</v>
      </c>
      <c r="F134" s="42">
        <v>3</v>
      </c>
      <c r="G134" s="25" t="str">
        <f t="shared" si="5"/>
        <v>26_3</v>
      </c>
      <c r="H134" s="17" t="str">
        <f ca="1">VLOOKUP($G134,OFFSET([1]stages!$A$1,0,0,COUNTA([1]stages!$A:$A),MATCH(H$1,[1]stages!$2:$2,0)-MATCH($G$1,[1]stages!$2:$2,0)+1),MATCH(H$1,[1]stages!$2:$2,0)-MATCH($G$1,[1]stages!$2:$2,0)+1,FALSE)</f>
        <v>26-3．荒ぶる電飾</v>
      </c>
      <c r="I134" s="47">
        <v>3</v>
      </c>
      <c r="J134" s="61">
        <v>30</v>
      </c>
      <c r="K134" s="61">
        <v>30</v>
      </c>
    </row>
    <row r="135" spans="1:11" ht="21" customHeight="1" x14ac:dyDescent="0.15">
      <c r="A135" s="18" t="str">
        <f t="shared" si="4"/>
        <v>26_3-4</v>
      </c>
      <c r="B135" s="18" t="str">
        <f>IF(COUNTIF(enemy_habitats!$H:$H,A135),"OK","NG")</f>
        <v>OK</v>
      </c>
      <c r="C135" s="39">
        <v>26</v>
      </c>
      <c r="D135" s="23" t="str">
        <f ca="1">VLOOKUP($C135,OFFSET([1]quests!$A$1,0,0,COUNTA([1]quests!$A:$A),MATCH(D$1,[1]quests!$1:$1,0)-MATCH($C$1,[1]quests!$1:$1,0)+1),MATCH(D$1,[1]quests!$1:$1,0)-MATCH($C$1,[1]quests!$1:$1,0)+1,FALSE)</f>
        <v>26．クラブ クラッシュビーツ</v>
      </c>
      <c r="E135" s="23" t="str">
        <f ca="1">VLOOKUP($C135,OFFSET([1]quests!$A$1,0,0,COUNTA([1]quests!$A:$A),MATCH(E$1,[1]quests!$1:$1,0)-MATCH($C$1,[1]quests!$1:$1,0)+1),MATCH(E$1,[1]quests!$1:$1,0)-MATCH($C$1,[1]quests!$1:$1,0)+1,FALSE)</f>
        <v>混色DL5</v>
      </c>
      <c r="F135" s="42">
        <v>3</v>
      </c>
      <c r="G135" s="25" t="str">
        <f t="shared" si="5"/>
        <v>26_3</v>
      </c>
      <c r="H135" s="17" t="str">
        <f ca="1">VLOOKUP($G135,OFFSET([1]stages!$A$1,0,0,COUNTA([1]stages!$A:$A),MATCH(H$1,[1]stages!$2:$2,0)-MATCH($G$1,[1]stages!$2:$2,0)+1),MATCH(H$1,[1]stages!$2:$2,0)-MATCH($G$1,[1]stages!$2:$2,0)+1,FALSE)</f>
        <v>26-3．荒ぶる電飾</v>
      </c>
      <c r="I135" s="47">
        <v>4</v>
      </c>
      <c r="J135" s="61">
        <v>60</v>
      </c>
      <c r="K135" s="61">
        <v>60</v>
      </c>
    </row>
    <row r="136" spans="1:11" ht="21" customHeight="1" x14ac:dyDescent="0.15">
      <c r="A136" s="18" t="str">
        <f t="shared" si="4"/>
        <v>26_3-5</v>
      </c>
      <c r="B136" s="18" t="str">
        <f>IF(COUNTIF(enemy_habitats!$H:$H,A136),"OK","NG")</f>
        <v>OK</v>
      </c>
      <c r="C136" s="39">
        <v>26</v>
      </c>
      <c r="D136" s="23" t="str">
        <f ca="1">VLOOKUP($C136,OFFSET([1]quests!$A$1,0,0,COUNTA([1]quests!$A:$A),MATCH(D$1,[1]quests!$1:$1,0)-MATCH($C$1,[1]quests!$1:$1,0)+1),MATCH(D$1,[1]quests!$1:$1,0)-MATCH($C$1,[1]quests!$1:$1,0)+1,FALSE)</f>
        <v>26．クラブ クラッシュビーツ</v>
      </c>
      <c r="E136" s="23" t="str">
        <f ca="1">VLOOKUP($C136,OFFSET([1]quests!$A$1,0,0,COUNTA([1]quests!$A:$A),MATCH(E$1,[1]quests!$1:$1,0)-MATCH($C$1,[1]quests!$1:$1,0)+1),MATCH(E$1,[1]quests!$1:$1,0)-MATCH($C$1,[1]quests!$1:$1,0)+1,FALSE)</f>
        <v>混色DL5</v>
      </c>
      <c r="F136" s="42">
        <v>3</v>
      </c>
      <c r="G136" s="25" t="str">
        <f t="shared" si="5"/>
        <v>26_3</v>
      </c>
      <c r="H136" s="17" t="str">
        <f ca="1">VLOOKUP($G136,OFFSET([1]stages!$A$1,0,0,COUNTA([1]stages!$A:$A),MATCH(H$1,[1]stages!$2:$2,0)-MATCH($G$1,[1]stages!$2:$2,0)+1),MATCH(H$1,[1]stages!$2:$2,0)-MATCH($G$1,[1]stages!$2:$2,0)+1,FALSE)</f>
        <v>26-3．荒ぶる電飾</v>
      </c>
      <c r="I136" s="47">
        <v>5</v>
      </c>
      <c r="J136" s="61">
        <v>60</v>
      </c>
      <c r="K136" s="61">
        <v>60</v>
      </c>
    </row>
    <row r="137" spans="1:11" ht="21" customHeight="1" x14ac:dyDescent="0.15">
      <c r="A137" s="18" t="str">
        <f t="shared" si="4"/>
        <v>26_4-1</v>
      </c>
      <c r="B137" s="18" t="str">
        <f>IF(COUNTIF(enemy_habitats!$H:$H,A137),"OK","NG")</f>
        <v>OK</v>
      </c>
      <c r="C137" s="39">
        <v>26</v>
      </c>
      <c r="D137" s="23" t="str">
        <f ca="1">VLOOKUP($C137,OFFSET([1]quests!$A$1,0,0,COUNTA([1]quests!$A:$A),MATCH(D$1,[1]quests!$1:$1,0)-MATCH($C$1,[1]quests!$1:$1,0)+1),MATCH(D$1,[1]quests!$1:$1,0)-MATCH($C$1,[1]quests!$1:$1,0)+1,FALSE)</f>
        <v>26．クラブ クラッシュビーツ</v>
      </c>
      <c r="E137" s="23" t="str">
        <f ca="1">VLOOKUP($C137,OFFSET([1]quests!$A$1,0,0,COUNTA([1]quests!$A:$A),MATCH(E$1,[1]quests!$1:$1,0)-MATCH($C$1,[1]quests!$1:$1,0)+1),MATCH(E$1,[1]quests!$1:$1,0)-MATCH($C$1,[1]quests!$1:$1,0)+1,FALSE)</f>
        <v>混色DL5</v>
      </c>
      <c r="F137" s="42">
        <v>4</v>
      </c>
      <c r="G137" s="25" t="str">
        <f t="shared" si="5"/>
        <v>26_4</v>
      </c>
      <c r="H137" s="17" t="str">
        <f ca="1">VLOOKUP($G137,OFFSET([1]stages!$A$1,0,0,COUNTA([1]stages!$A:$A),MATCH(H$1,[1]stages!$2:$2,0)-MATCH($G$1,[1]stages!$2:$2,0)+1),MATCH(H$1,[1]stages!$2:$2,0)-MATCH($G$1,[1]stages!$2:$2,0)+1,FALSE)</f>
        <v>26-4．今夜はダークナイト</v>
      </c>
      <c r="I137" s="47">
        <v>1</v>
      </c>
      <c r="J137" s="45">
        <v>30</v>
      </c>
      <c r="K137" s="46">
        <v>30</v>
      </c>
    </row>
    <row r="138" spans="1:11" ht="21" customHeight="1" x14ac:dyDescent="0.15">
      <c r="A138" s="18" t="str">
        <f t="shared" si="4"/>
        <v>26_4-2</v>
      </c>
      <c r="B138" s="18" t="str">
        <f>IF(COUNTIF(enemy_habitats!$H:$H,A138),"OK","NG")</f>
        <v>OK</v>
      </c>
      <c r="C138" s="39">
        <v>26</v>
      </c>
      <c r="D138" s="23" t="str">
        <f ca="1">VLOOKUP($C138,OFFSET([1]quests!$A$1,0,0,COUNTA([1]quests!$A:$A),MATCH(D$1,[1]quests!$1:$1,0)-MATCH($C$1,[1]quests!$1:$1,0)+1),MATCH(D$1,[1]quests!$1:$1,0)-MATCH($C$1,[1]quests!$1:$1,0)+1,FALSE)</f>
        <v>26．クラブ クラッシュビーツ</v>
      </c>
      <c r="E138" s="23" t="str">
        <f ca="1">VLOOKUP($C138,OFFSET([1]quests!$A$1,0,0,COUNTA([1]quests!$A:$A),MATCH(E$1,[1]quests!$1:$1,0)-MATCH($C$1,[1]quests!$1:$1,0)+1),MATCH(E$1,[1]quests!$1:$1,0)-MATCH($C$1,[1]quests!$1:$1,0)+1,FALSE)</f>
        <v>混色DL5</v>
      </c>
      <c r="F138" s="42">
        <v>4</v>
      </c>
      <c r="G138" s="25" t="str">
        <f t="shared" si="5"/>
        <v>26_4</v>
      </c>
      <c r="H138" s="17" t="str">
        <f ca="1">VLOOKUP($G138,OFFSET([1]stages!$A$1,0,0,COUNTA([1]stages!$A:$A),MATCH(H$1,[1]stages!$2:$2,0)-MATCH($G$1,[1]stages!$2:$2,0)+1),MATCH(H$1,[1]stages!$2:$2,0)-MATCH($G$1,[1]stages!$2:$2,0)+1,FALSE)</f>
        <v>26-4．今夜はダークナイト</v>
      </c>
      <c r="I138" s="47">
        <v>2</v>
      </c>
      <c r="J138" s="44">
        <v>30</v>
      </c>
      <c r="K138" s="44">
        <v>45</v>
      </c>
    </row>
    <row r="139" spans="1:11" ht="21" customHeight="1" x14ac:dyDescent="0.15">
      <c r="A139" s="18" t="str">
        <f t="shared" si="4"/>
        <v>26_4-3</v>
      </c>
      <c r="B139" s="18" t="str">
        <f>IF(COUNTIF(enemy_habitats!$H:$H,A139),"OK","NG")</f>
        <v>OK</v>
      </c>
      <c r="C139" s="39">
        <v>26</v>
      </c>
      <c r="D139" s="23" t="str">
        <f ca="1">VLOOKUP($C139,OFFSET([1]quests!$A$1,0,0,COUNTA([1]quests!$A:$A),MATCH(D$1,[1]quests!$1:$1,0)-MATCH($C$1,[1]quests!$1:$1,0)+1),MATCH(D$1,[1]quests!$1:$1,0)-MATCH($C$1,[1]quests!$1:$1,0)+1,FALSE)</f>
        <v>26．クラブ クラッシュビーツ</v>
      </c>
      <c r="E139" s="23" t="str">
        <f ca="1">VLOOKUP($C139,OFFSET([1]quests!$A$1,0,0,COUNTA([1]quests!$A:$A),MATCH(E$1,[1]quests!$1:$1,0)-MATCH($C$1,[1]quests!$1:$1,0)+1),MATCH(E$1,[1]quests!$1:$1,0)-MATCH($C$1,[1]quests!$1:$1,0)+1,FALSE)</f>
        <v>混色DL5</v>
      </c>
      <c r="F139" s="42">
        <v>4</v>
      </c>
      <c r="G139" s="25" t="str">
        <f t="shared" si="5"/>
        <v>26_4</v>
      </c>
      <c r="H139" s="17" t="str">
        <f ca="1">VLOOKUP($G139,OFFSET([1]stages!$A$1,0,0,COUNTA([1]stages!$A:$A),MATCH(H$1,[1]stages!$2:$2,0)-MATCH($G$1,[1]stages!$2:$2,0)+1),MATCH(H$1,[1]stages!$2:$2,0)-MATCH($G$1,[1]stages!$2:$2,0)+1,FALSE)</f>
        <v>26-4．今夜はダークナイト</v>
      </c>
      <c r="I139" s="47">
        <v>3</v>
      </c>
      <c r="J139" s="61">
        <v>60</v>
      </c>
      <c r="K139" s="61">
        <v>60</v>
      </c>
    </row>
    <row r="140" spans="1:11" ht="21" customHeight="1" x14ac:dyDescent="0.15">
      <c r="A140" s="18" t="str">
        <f t="shared" si="4"/>
        <v>26_4-4</v>
      </c>
      <c r="B140" s="18" t="str">
        <f>IF(COUNTIF(enemy_habitats!$H:$H,A140),"OK","NG")</f>
        <v>OK</v>
      </c>
      <c r="C140" s="39">
        <v>26</v>
      </c>
      <c r="D140" s="23" t="str">
        <f ca="1">VLOOKUP($C140,OFFSET([1]quests!$A$1,0,0,COUNTA([1]quests!$A:$A),MATCH(D$1,[1]quests!$1:$1,0)-MATCH($C$1,[1]quests!$1:$1,0)+1),MATCH(D$1,[1]quests!$1:$1,0)-MATCH($C$1,[1]quests!$1:$1,0)+1,FALSE)</f>
        <v>26．クラブ クラッシュビーツ</v>
      </c>
      <c r="E140" s="23" t="str">
        <f ca="1">VLOOKUP($C140,OFFSET([1]quests!$A$1,0,0,COUNTA([1]quests!$A:$A),MATCH(E$1,[1]quests!$1:$1,0)-MATCH($C$1,[1]quests!$1:$1,0)+1),MATCH(E$1,[1]quests!$1:$1,0)-MATCH($C$1,[1]quests!$1:$1,0)+1,FALSE)</f>
        <v>混色DL5</v>
      </c>
      <c r="F140" s="42">
        <v>4</v>
      </c>
      <c r="G140" s="25" t="str">
        <f t="shared" si="5"/>
        <v>26_4</v>
      </c>
      <c r="H140" s="17" t="str">
        <f ca="1">VLOOKUP($G140,OFFSET([1]stages!$A$1,0,0,COUNTA([1]stages!$A:$A),MATCH(H$1,[1]stages!$2:$2,0)-MATCH($G$1,[1]stages!$2:$2,0)+1),MATCH(H$1,[1]stages!$2:$2,0)-MATCH($G$1,[1]stages!$2:$2,0)+1,FALSE)</f>
        <v>26-4．今夜はダークナイト</v>
      </c>
      <c r="I140" s="47">
        <v>4</v>
      </c>
      <c r="J140" s="44">
        <v>45</v>
      </c>
      <c r="K140" s="44">
        <v>45</v>
      </c>
    </row>
    <row r="141" spans="1:11" ht="21" customHeight="1" x14ac:dyDescent="0.15">
      <c r="A141" s="18" t="str">
        <f t="shared" si="4"/>
        <v>26_4-5</v>
      </c>
      <c r="B141" s="18" t="str">
        <f>IF(COUNTIF(enemy_habitats!$H:$H,A141),"OK","NG")</f>
        <v>OK</v>
      </c>
      <c r="C141" s="39">
        <v>26</v>
      </c>
      <c r="D141" s="23" t="str">
        <f ca="1">VLOOKUP($C141,OFFSET([1]quests!$A$1,0,0,COUNTA([1]quests!$A:$A),MATCH(D$1,[1]quests!$1:$1,0)-MATCH($C$1,[1]quests!$1:$1,0)+1),MATCH(D$1,[1]quests!$1:$1,0)-MATCH($C$1,[1]quests!$1:$1,0)+1,FALSE)</f>
        <v>26．クラブ クラッシュビーツ</v>
      </c>
      <c r="E141" s="23" t="str">
        <f ca="1">VLOOKUP($C141,OFFSET([1]quests!$A$1,0,0,COUNTA([1]quests!$A:$A),MATCH(E$1,[1]quests!$1:$1,0)-MATCH($C$1,[1]quests!$1:$1,0)+1),MATCH(E$1,[1]quests!$1:$1,0)-MATCH($C$1,[1]quests!$1:$1,0)+1,FALSE)</f>
        <v>混色DL5</v>
      </c>
      <c r="F141" s="42">
        <v>4</v>
      </c>
      <c r="G141" s="25" t="str">
        <f t="shared" si="5"/>
        <v>26_4</v>
      </c>
      <c r="H141" s="17" t="str">
        <f ca="1">VLOOKUP($G141,OFFSET([1]stages!$A$1,0,0,COUNTA([1]stages!$A:$A),MATCH(H$1,[1]stages!$2:$2,0)-MATCH($G$1,[1]stages!$2:$2,0)+1),MATCH(H$1,[1]stages!$2:$2,0)-MATCH($G$1,[1]stages!$2:$2,0)+1,FALSE)</f>
        <v>26-4．今夜はダークナイト</v>
      </c>
      <c r="I141" s="47">
        <v>5</v>
      </c>
      <c r="J141" s="61">
        <v>60</v>
      </c>
      <c r="K141" s="61">
        <v>60</v>
      </c>
    </row>
    <row r="142" spans="1:11" ht="21" customHeight="1" x14ac:dyDescent="0.15">
      <c r="A142" s="18" t="str">
        <f t="shared" si="4"/>
        <v>26_4-6</v>
      </c>
      <c r="B142" s="18" t="str">
        <f>IF(COUNTIF(enemy_habitats!$H:$H,A142),"OK","NG")</f>
        <v>OK</v>
      </c>
      <c r="C142" s="39">
        <v>26</v>
      </c>
      <c r="D142" s="23" t="str">
        <f ca="1">VLOOKUP($C142,OFFSET([1]quests!$A$1,0,0,COUNTA([1]quests!$A:$A),MATCH(D$1,[1]quests!$1:$1,0)-MATCH($C$1,[1]quests!$1:$1,0)+1),MATCH(D$1,[1]quests!$1:$1,0)-MATCH($C$1,[1]quests!$1:$1,0)+1,FALSE)</f>
        <v>26．クラブ クラッシュビーツ</v>
      </c>
      <c r="E142" s="23" t="str">
        <f ca="1">VLOOKUP($C142,OFFSET([1]quests!$A$1,0,0,COUNTA([1]quests!$A:$A),MATCH(E$1,[1]quests!$1:$1,0)-MATCH($C$1,[1]quests!$1:$1,0)+1),MATCH(E$1,[1]quests!$1:$1,0)-MATCH($C$1,[1]quests!$1:$1,0)+1,FALSE)</f>
        <v>混色DL5</v>
      </c>
      <c r="F142" s="42">
        <v>4</v>
      </c>
      <c r="G142" s="25" t="str">
        <f t="shared" si="5"/>
        <v>26_4</v>
      </c>
      <c r="H142" s="17" t="str">
        <f ca="1">VLOOKUP($G142,OFFSET([1]stages!$A$1,0,0,COUNTA([1]stages!$A:$A),MATCH(H$1,[1]stages!$2:$2,0)-MATCH($G$1,[1]stages!$2:$2,0)+1),MATCH(H$1,[1]stages!$2:$2,0)-MATCH($G$1,[1]stages!$2:$2,0)+1,FALSE)</f>
        <v>26-4．今夜はダークナイト</v>
      </c>
      <c r="I142" s="47">
        <v>6</v>
      </c>
      <c r="J142" s="61">
        <v>60</v>
      </c>
      <c r="K142" s="61">
        <v>60</v>
      </c>
    </row>
    <row r="143" spans="1:11" ht="21" customHeight="1" x14ac:dyDescent="0.15">
      <c r="A143" s="18" t="str">
        <f t="shared" si="4"/>
        <v>26_5-1</v>
      </c>
      <c r="B143" s="18" t="str">
        <f>IF(COUNTIF(enemy_habitats!$H:$H,A143),"OK","NG")</f>
        <v>OK</v>
      </c>
      <c r="C143" s="39">
        <v>26</v>
      </c>
      <c r="D143" s="23" t="str">
        <f ca="1">VLOOKUP($C143,OFFSET([1]quests!$A$1,0,0,COUNTA([1]quests!$A:$A),MATCH(D$1,[1]quests!$1:$1,0)-MATCH($C$1,[1]quests!$1:$1,0)+1),MATCH(D$1,[1]quests!$1:$1,0)-MATCH($C$1,[1]quests!$1:$1,0)+1,FALSE)</f>
        <v>26．クラブ クラッシュビーツ</v>
      </c>
      <c r="E143" s="23" t="str">
        <f ca="1">VLOOKUP($C143,OFFSET([1]quests!$A$1,0,0,COUNTA([1]quests!$A:$A),MATCH(E$1,[1]quests!$1:$1,0)-MATCH($C$1,[1]quests!$1:$1,0)+1),MATCH(E$1,[1]quests!$1:$1,0)-MATCH($C$1,[1]quests!$1:$1,0)+1,FALSE)</f>
        <v>混色DL5</v>
      </c>
      <c r="F143" s="42">
        <v>5</v>
      </c>
      <c r="G143" s="25" t="str">
        <f t="shared" si="5"/>
        <v>26_5</v>
      </c>
      <c r="H143" s="17" t="str">
        <f ca="1">VLOOKUP($G143,OFFSET([1]stages!$A$1,0,0,COUNTA([1]stages!$A:$A),MATCH(H$1,[1]stages!$2:$2,0)-MATCH($G$1,[1]stages!$2:$2,0)+1),MATCH(H$1,[1]stages!$2:$2,0)-MATCH($G$1,[1]stages!$2:$2,0)+1,FALSE)</f>
        <v>26-5．踊る強奪者</v>
      </c>
      <c r="I143" s="47">
        <v>1</v>
      </c>
      <c r="J143" s="45">
        <v>30</v>
      </c>
      <c r="K143" s="46">
        <v>30</v>
      </c>
    </row>
    <row r="144" spans="1:11" ht="21" customHeight="1" x14ac:dyDescent="0.15">
      <c r="A144" s="18" t="str">
        <f t="shared" si="4"/>
        <v>26_5-2</v>
      </c>
      <c r="B144" s="18" t="str">
        <f>IF(COUNTIF(enemy_habitats!$H:$H,A144),"OK","NG")</f>
        <v>OK</v>
      </c>
      <c r="C144" s="39">
        <v>26</v>
      </c>
      <c r="D144" s="23" t="str">
        <f ca="1">VLOOKUP($C144,OFFSET([1]quests!$A$1,0,0,COUNTA([1]quests!$A:$A),MATCH(D$1,[1]quests!$1:$1,0)-MATCH($C$1,[1]quests!$1:$1,0)+1),MATCH(D$1,[1]quests!$1:$1,0)-MATCH($C$1,[1]quests!$1:$1,0)+1,FALSE)</f>
        <v>26．クラブ クラッシュビーツ</v>
      </c>
      <c r="E144" s="23" t="str">
        <f ca="1">VLOOKUP($C144,OFFSET([1]quests!$A$1,0,0,COUNTA([1]quests!$A:$A),MATCH(E$1,[1]quests!$1:$1,0)-MATCH($C$1,[1]quests!$1:$1,0)+1),MATCH(E$1,[1]quests!$1:$1,0)-MATCH($C$1,[1]quests!$1:$1,0)+1,FALSE)</f>
        <v>混色DL5</v>
      </c>
      <c r="F144" s="42">
        <v>5</v>
      </c>
      <c r="G144" s="25" t="str">
        <f t="shared" si="5"/>
        <v>26_5</v>
      </c>
      <c r="H144" s="17" t="str">
        <f ca="1">VLOOKUP($G144,OFFSET([1]stages!$A$1,0,0,COUNTA([1]stages!$A:$A),MATCH(H$1,[1]stages!$2:$2,0)-MATCH($G$1,[1]stages!$2:$2,0)+1),MATCH(H$1,[1]stages!$2:$2,0)-MATCH($G$1,[1]stages!$2:$2,0)+1,FALSE)</f>
        <v>26-5．踊る強奪者</v>
      </c>
      <c r="I144" s="47">
        <v>2</v>
      </c>
      <c r="J144" s="44">
        <v>30</v>
      </c>
      <c r="K144" s="44">
        <v>45</v>
      </c>
    </row>
    <row r="145" spans="1:11" ht="21" customHeight="1" x14ac:dyDescent="0.15">
      <c r="A145" s="18" t="str">
        <f t="shared" si="4"/>
        <v>26_5-3</v>
      </c>
      <c r="B145" s="18" t="str">
        <f>IF(COUNTIF(enemy_habitats!$H:$H,A145),"OK","NG")</f>
        <v>OK</v>
      </c>
      <c r="C145" s="39">
        <v>26</v>
      </c>
      <c r="D145" s="23" t="str">
        <f ca="1">VLOOKUP($C145,OFFSET([1]quests!$A$1,0,0,COUNTA([1]quests!$A:$A),MATCH(D$1,[1]quests!$1:$1,0)-MATCH($C$1,[1]quests!$1:$1,0)+1),MATCH(D$1,[1]quests!$1:$1,0)-MATCH($C$1,[1]quests!$1:$1,0)+1,FALSE)</f>
        <v>26．クラブ クラッシュビーツ</v>
      </c>
      <c r="E145" s="23" t="str">
        <f ca="1">VLOOKUP($C145,OFFSET([1]quests!$A$1,0,0,COUNTA([1]quests!$A:$A),MATCH(E$1,[1]quests!$1:$1,0)-MATCH($C$1,[1]quests!$1:$1,0)+1),MATCH(E$1,[1]quests!$1:$1,0)-MATCH($C$1,[1]quests!$1:$1,0)+1,FALSE)</f>
        <v>混色DL5</v>
      </c>
      <c r="F145" s="42">
        <v>5</v>
      </c>
      <c r="G145" s="25" t="str">
        <f t="shared" si="5"/>
        <v>26_5</v>
      </c>
      <c r="H145" s="17" t="str">
        <f ca="1">VLOOKUP($G145,OFFSET([1]stages!$A$1,0,0,COUNTA([1]stages!$A:$A),MATCH(H$1,[1]stages!$2:$2,0)-MATCH($G$1,[1]stages!$2:$2,0)+1),MATCH(H$1,[1]stages!$2:$2,0)-MATCH($G$1,[1]stages!$2:$2,0)+1,FALSE)</f>
        <v>26-5．踊る強奪者</v>
      </c>
      <c r="I145" s="47">
        <v>3</v>
      </c>
      <c r="J145" s="61">
        <v>60</v>
      </c>
      <c r="K145" s="61">
        <v>60</v>
      </c>
    </row>
    <row r="146" spans="1:11" ht="21" customHeight="1" x14ac:dyDescent="0.15">
      <c r="A146" s="18" t="str">
        <f t="shared" si="4"/>
        <v>26_5-4</v>
      </c>
      <c r="B146" s="18" t="str">
        <f>IF(COUNTIF(enemy_habitats!$H:$H,A146),"OK","NG")</f>
        <v>OK</v>
      </c>
      <c r="C146" s="39">
        <v>26</v>
      </c>
      <c r="D146" s="23" t="str">
        <f ca="1">VLOOKUP($C146,OFFSET([1]quests!$A$1,0,0,COUNTA([1]quests!$A:$A),MATCH(D$1,[1]quests!$1:$1,0)-MATCH($C$1,[1]quests!$1:$1,0)+1),MATCH(D$1,[1]quests!$1:$1,0)-MATCH($C$1,[1]quests!$1:$1,0)+1,FALSE)</f>
        <v>26．クラブ クラッシュビーツ</v>
      </c>
      <c r="E146" s="23" t="str">
        <f ca="1">VLOOKUP($C146,OFFSET([1]quests!$A$1,0,0,COUNTA([1]quests!$A:$A),MATCH(E$1,[1]quests!$1:$1,0)-MATCH($C$1,[1]quests!$1:$1,0)+1),MATCH(E$1,[1]quests!$1:$1,0)-MATCH($C$1,[1]quests!$1:$1,0)+1,FALSE)</f>
        <v>混色DL5</v>
      </c>
      <c r="F146" s="42">
        <v>5</v>
      </c>
      <c r="G146" s="25" t="str">
        <f t="shared" si="5"/>
        <v>26_5</v>
      </c>
      <c r="H146" s="17" t="str">
        <f ca="1">VLOOKUP($G146,OFFSET([1]stages!$A$1,0,0,COUNTA([1]stages!$A:$A),MATCH(H$1,[1]stages!$2:$2,0)-MATCH($G$1,[1]stages!$2:$2,0)+1),MATCH(H$1,[1]stages!$2:$2,0)-MATCH($G$1,[1]stages!$2:$2,0)+1,FALSE)</f>
        <v>26-5．踊る強奪者</v>
      </c>
      <c r="I146" s="47">
        <v>4</v>
      </c>
      <c r="J146" s="44">
        <v>45</v>
      </c>
      <c r="K146" s="44">
        <v>45</v>
      </c>
    </row>
    <row r="147" spans="1:11" ht="21" customHeight="1" x14ac:dyDescent="0.15">
      <c r="A147" s="18" t="str">
        <f t="shared" si="4"/>
        <v>26_5-5</v>
      </c>
      <c r="B147" s="18" t="str">
        <f>IF(COUNTIF(enemy_habitats!$H:$H,A147),"OK","NG")</f>
        <v>OK</v>
      </c>
      <c r="C147" s="39">
        <v>26</v>
      </c>
      <c r="D147" s="23" t="str">
        <f ca="1">VLOOKUP($C147,OFFSET([1]quests!$A$1,0,0,COUNTA([1]quests!$A:$A),MATCH(D$1,[1]quests!$1:$1,0)-MATCH($C$1,[1]quests!$1:$1,0)+1),MATCH(D$1,[1]quests!$1:$1,0)-MATCH($C$1,[1]quests!$1:$1,0)+1,FALSE)</f>
        <v>26．クラブ クラッシュビーツ</v>
      </c>
      <c r="E147" s="23" t="str">
        <f ca="1">VLOOKUP($C147,OFFSET([1]quests!$A$1,0,0,COUNTA([1]quests!$A:$A),MATCH(E$1,[1]quests!$1:$1,0)-MATCH($C$1,[1]quests!$1:$1,0)+1),MATCH(E$1,[1]quests!$1:$1,0)-MATCH($C$1,[1]quests!$1:$1,0)+1,FALSE)</f>
        <v>混色DL5</v>
      </c>
      <c r="F147" s="42">
        <v>5</v>
      </c>
      <c r="G147" s="25" t="str">
        <f t="shared" si="5"/>
        <v>26_5</v>
      </c>
      <c r="H147" s="17" t="str">
        <f ca="1">VLOOKUP($G147,OFFSET([1]stages!$A$1,0,0,COUNTA([1]stages!$A:$A),MATCH(H$1,[1]stages!$2:$2,0)-MATCH($G$1,[1]stages!$2:$2,0)+1),MATCH(H$1,[1]stages!$2:$2,0)-MATCH($G$1,[1]stages!$2:$2,0)+1,FALSE)</f>
        <v>26-5．踊る強奪者</v>
      </c>
      <c r="I147" s="47">
        <v>5</v>
      </c>
      <c r="J147" s="61">
        <v>60</v>
      </c>
      <c r="K147" s="61">
        <v>60</v>
      </c>
    </row>
    <row r="148" spans="1:11" ht="21" customHeight="1" x14ac:dyDescent="0.15">
      <c r="A148" s="18" t="str">
        <f t="shared" si="4"/>
        <v>26_5-6</v>
      </c>
      <c r="B148" s="18" t="str">
        <f>IF(COUNTIF(enemy_habitats!$H:$H,A148),"OK","NG")</f>
        <v>OK</v>
      </c>
      <c r="C148" s="39">
        <v>26</v>
      </c>
      <c r="D148" s="23" t="str">
        <f ca="1">VLOOKUP($C148,OFFSET([1]quests!$A$1,0,0,COUNTA([1]quests!$A:$A),MATCH(D$1,[1]quests!$1:$1,0)-MATCH($C$1,[1]quests!$1:$1,0)+1),MATCH(D$1,[1]quests!$1:$1,0)-MATCH($C$1,[1]quests!$1:$1,0)+1,FALSE)</f>
        <v>26．クラブ クラッシュビーツ</v>
      </c>
      <c r="E148" s="23" t="str">
        <f ca="1">VLOOKUP($C148,OFFSET([1]quests!$A$1,0,0,COUNTA([1]quests!$A:$A),MATCH(E$1,[1]quests!$1:$1,0)-MATCH($C$1,[1]quests!$1:$1,0)+1),MATCH(E$1,[1]quests!$1:$1,0)-MATCH($C$1,[1]quests!$1:$1,0)+1,FALSE)</f>
        <v>混色DL5</v>
      </c>
      <c r="F148" s="42">
        <v>5</v>
      </c>
      <c r="G148" s="25" t="str">
        <f t="shared" si="5"/>
        <v>26_5</v>
      </c>
      <c r="H148" s="17" t="str">
        <f ca="1">VLOOKUP($G148,OFFSET([1]stages!$A$1,0,0,COUNTA([1]stages!$A:$A),MATCH(H$1,[1]stages!$2:$2,0)-MATCH($G$1,[1]stages!$2:$2,0)+1),MATCH(H$1,[1]stages!$2:$2,0)-MATCH($G$1,[1]stages!$2:$2,0)+1,FALSE)</f>
        <v>26-5．踊る強奪者</v>
      </c>
      <c r="I148" s="47">
        <v>6</v>
      </c>
      <c r="J148" s="61">
        <v>60</v>
      </c>
      <c r="K148" s="61">
        <v>60</v>
      </c>
    </row>
    <row r="149" spans="1:11" ht="21" customHeight="1" x14ac:dyDescent="0.15">
      <c r="A149" s="18" t="str">
        <f t="shared" si="4"/>
        <v>26_6-1</v>
      </c>
      <c r="B149" s="18" t="str">
        <f>IF(COUNTIF(enemy_habitats!$H:$H,A149),"OK","NG")</f>
        <v>OK</v>
      </c>
      <c r="C149" s="39">
        <v>26</v>
      </c>
      <c r="D149" s="23" t="str">
        <f ca="1">VLOOKUP($C149,OFFSET([1]quests!$A$1,0,0,COUNTA([1]quests!$A:$A),MATCH(D$1,[1]quests!$1:$1,0)-MATCH($C$1,[1]quests!$1:$1,0)+1),MATCH(D$1,[1]quests!$1:$1,0)-MATCH($C$1,[1]quests!$1:$1,0)+1,FALSE)</f>
        <v>26．クラブ クラッシュビーツ</v>
      </c>
      <c r="E149" s="23" t="str">
        <f ca="1">VLOOKUP($C149,OFFSET([1]quests!$A$1,0,0,COUNTA([1]quests!$A:$A),MATCH(E$1,[1]quests!$1:$1,0)-MATCH($C$1,[1]quests!$1:$1,0)+1),MATCH(E$1,[1]quests!$1:$1,0)-MATCH($C$1,[1]quests!$1:$1,0)+1,FALSE)</f>
        <v>混色DL5</v>
      </c>
      <c r="F149" s="42">
        <v>6</v>
      </c>
      <c r="G149" s="25" t="str">
        <f t="shared" si="5"/>
        <v>26_6</v>
      </c>
      <c r="H149" s="17" t="str">
        <f ca="1">VLOOKUP($G149,OFFSET([1]stages!$A$1,0,0,COUNTA([1]stages!$A:$A),MATCH(H$1,[1]stages!$2:$2,0)-MATCH($G$1,[1]stages!$2:$2,0)+1),MATCH(H$1,[1]stages!$2:$2,0)-MATCH($G$1,[1]stages!$2:$2,0)+1,FALSE)</f>
        <v>26-6．【1回のみ】ボーナスステージ</v>
      </c>
      <c r="I149" s="47">
        <v>1</v>
      </c>
      <c r="J149" s="48">
        <v>60</v>
      </c>
      <c r="K149" s="48">
        <v>60</v>
      </c>
    </row>
    <row r="150" spans="1:11" ht="21" customHeight="1" x14ac:dyDescent="0.15">
      <c r="A150" s="18" t="str">
        <f t="shared" si="4"/>
        <v>26_6-2</v>
      </c>
      <c r="B150" s="18" t="str">
        <f>IF(COUNTIF(enemy_habitats!$H:$H,A150),"OK","NG")</f>
        <v>OK</v>
      </c>
      <c r="C150" s="39">
        <v>26</v>
      </c>
      <c r="D150" s="23" t="str">
        <f ca="1">VLOOKUP($C150,OFFSET([1]quests!$A$1,0,0,COUNTA([1]quests!$A:$A),MATCH(D$1,[1]quests!$1:$1,0)-MATCH($C$1,[1]quests!$1:$1,0)+1),MATCH(D$1,[1]quests!$1:$1,0)-MATCH($C$1,[1]quests!$1:$1,0)+1,FALSE)</f>
        <v>26．クラブ クラッシュビーツ</v>
      </c>
      <c r="E150" s="23" t="str">
        <f ca="1">VLOOKUP($C150,OFFSET([1]quests!$A$1,0,0,COUNTA([1]quests!$A:$A),MATCH(E$1,[1]quests!$1:$1,0)-MATCH($C$1,[1]quests!$1:$1,0)+1),MATCH(E$1,[1]quests!$1:$1,0)-MATCH($C$1,[1]quests!$1:$1,0)+1,FALSE)</f>
        <v>混色DL5</v>
      </c>
      <c r="F150" s="42">
        <v>6</v>
      </c>
      <c r="G150" s="25" t="str">
        <f t="shared" si="5"/>
        <v>26_6</v>
      </c>
      <c r="H150" s="17" t="str">
        <f ca="1">VLOOKUP($G150,OFFSET([1]stages!$A$1,0,0,COUNTA([1]stages!$A:$A),MATCH(H$1,[1]stages!$2:$2,0)-MATCH($G$1,[1]stages!$2:$2,0)+1),MATCH(H$1,[1]stages!$2:$2,0)-MATCH($G$1,[1]stages!$2:$2,0)+1,FALSE)</f>
        <v>26-6．【1回のみ】ボーナスステージ</v>
      </c>
      <c r="I150" s="47">
        <v>2</v>
      </c>
      <c r="J150" s="48">
        <v>60</v>
      </c>
      <c r="K150" s="48">
        <v>60</v>
      </c>
    </row>
    <row r="151" spans="1:11" ht="21" customHeight="1" x14ac:dyDescent="0.15">
      <c r="A151" s="18" t="str">
        <f t="shared" si="4"/>
        <v>26_6-3</v>
      </c>
      <c r="B151" s="18" t="str">
        <f>IF(COUNTIF(enemy_habitats!$H:$H,A151),"OK","NG")</f>
        <v>OK</v>
      </c>
      <c r="C151" s="39">
        <v>26</v>
      </c>
      <c r="D151" s="23" t="str">
        <f ca="1">VLOOKUP($C151,OFFSET([1]quests!$A$1,0,0,COUNTA([1]quests!$A:$A),MATCH(D$1,[1]quests!$1:$1,0)-MATCH($C$1,[1]quests!$1:$1,0)+1),MATCH(D$1,[1]quests!$1:$1,0)-MATCH($C$1,[1]quests!$1:$1,0)+1,FALSE)</f>
        <v>26．クラブ クラッシュビーツ</v>
      </c>
      <c r="E151" s="23" t="str">
        <f ca="1">VLOOKUP($C151,OFFSET([1]quests!$A$1,0,0,COUNTA([1]quests!$A:$A),MATCH(E$1,[1]quests!$1:$1,0)-MATCH($C$1,[1]quests!$1:$1,0)+1),MATCH(E$1,[1]quests!$1:$1,0)-MATCH($C$1,[1]quests!$1:$1,0)+1,FALSE)</f>
        <v>混色DL5</v>
      </c>
      <c r="F151" s="42">
        <v>6</v>
      </c>
      <c r="G151" s="25" t="str">
        <f t="shared" si="5"/>
        <v>26_6</v>
      </c>
      <c r="H151" s="17" t="str">
        <f ca="1">VLOOKUP($G151,OFFSET([1]stages!$A$1,0,0,COUNTA([1]stages!$A:$A),MATCH(H$1,[1]stages!$2:$2,0)-MATCH($G$1,[1]stages!$2:$2,0)+1),MATCH(H$1,[1]stages!$2:$2,0)-MATCH($G$1,[1]stages!$2:$2,0)+1,FALSE)</f>
        <v>26-6．【1回のみ】ボーナスステージ</v>
      </c>
      <c r="I151" s="47">
        <v>3</v>
      </c>
      <c r="J151" s="48">
        <v>60</v>
      </c>
      <c r="K151" s="48">
        <v>60</v>
      </c>
    </row>
    <row r="152" spans="1:11" ht="21" customHeight="1" x14ac:dyDescent="0.15">
      <c r="A152" s="18" t="str">
        <f t="shared" si="4"/>
        <v>26_6-4</v>
      </c>
      <c r="B152" s="18" t="str">
        <f>IF(COUNTIF(enemy_habitats!$H:$H,A152),"OK","NG")</f>
        <v>OK</v>
      </c>
      <c r="C152" s="39">
        <v>26</v>
      </c>
      <c r="D152" s="23" t="str">
        <f ca="1">VLOOKUP($C152,OFFSET([1]quests!$A$1,0,0,COUNTA([1]quests!$A:$A),MATCH(D$1,[1]quests!$1:$1,0)-MATCH($C$1,[1]quests!$1:$1,0)+1),MATCH(D$1,[1]quests!$1:$1,0)-MATCH($C$1,[1]quests!$1:$1,0)+1,FALSE)</f>
        <v>26．クラブ クラッシュビーツ</v>
      </c>
      <c r="E152" s="23" t="str">
        <f ca="1">VLOOKUP($C152,OFFSET([1]quests!$A$1,0,0,COUNTA([1]quests!$A:$A),MATCH(E$1,[1]quests!$1:$1,0)-MATCH($C$1,[1]quests!$1:$1,0)+1),MATCH(E$1,[1]quests!$1:$1,0)-MATCH($C$1,[1]quests!$1:$1,0)+1,FALSE)</f>
        <v>混色DL5</v>
      </c>
      <c r="F152" s="42">
        <v>6</v>
      </c>
      <c r="G152" s="25" t="str">
        <f t="shared" si="5"/>
        <v>26_6</v>
      </c>
      <c r="H152" s="17" t="str">
        <f ca="1">VLOOKUP($G152,OFFSET([1]stages!$A$1,0,0,COUNTA([1]stages!$A:$A),MATCH(H$1,[1]stages!$2:$2,0)-MATCH($G$1,[1]stages!$2:$2,0)+1),MATCH(H$1,[1]stages!$2:$2,0)-MATCH($G$1,[1]stages!$2:$2,0)+1,FALSE)</f>
        <v>26-6．【1回のみ】ボーナスステージ</v>
      </c>
      <c r="I152" s="47">
        <v>4</v>
      </c>
      <c r="J152" s="48">
        <v>60</v>
      </c>
      <c r="K152" s="48">
        <v>60</v>
      </c>
    </row>
    <row r="153" spans="1:11" ht="21" customHeight="1" x14ac:dyDescent="0.15">
      <c r="A153" s="18" t="str">
        <f t="shared" si="4"/>
        <v>26_6-5</v>
      </c>
      <c r="B153" s="18" t="str">
        <f>IF(COUNTIF(enemy_habitats!$H:$H,A153),"OK","NG")</f>
        <v>OK</v>
      </c>
      <c r="C153" s="39">
        <v>26</v>
      </c>
      <c r="D153" s="23" t="str">
        <f ca="1">VLOOKUP($C153,OFFSET([1]quests!$A$1,0,0,COUNTA([1]quests!$A:$A),MATCH(D$1,[1]quests!$1:$1,0)-MATCH($C$1,[1]quests!$1:$1,0)+1),MATCH(D$1,[1]quests!$1:$1,0)-MATCH($C$1,[1]quests!$1:$1,0)+1,FALSE)</f>
        <v>26．クラブ クラッシュビーツ</v>
      </c>
      <c r="E153" s="23" t="str">
        <f ca="1">VLOOKUP($C153,OFFSET([1]quests!$A$1,0,0,COUNTA([1]quests!$A:$A),MATCH(E$1,[1]quests!$1:$1,0)-MATCH($C$1,[1]quests!$1:$1,0)+1),MATCH(E$1,[1]quests!$1:$1,0)-MATCH($C$1,[1]quests!$1:$1,0)+1,FALSE)</f>
        <v>混色DL5</v>
      </c>
      <c r="F153" s="42">
        <v>6</v>
      </c>
      <c r="G153" s="25" t="str">
        <f>C153&amp;"_"&amp;F153</f>
        <v>26_6</v>
      </c>
      <c r="H153" s="17" t="str">
        <f ca="1">VLOOKUP($G153,OFFSET([1]stages!$A$1,0,0,COUNTA([1]stages!$A:$A),MATCH(H$1,[1]stages!$2:$2,0)-MATCH($G$1,[1]stages!$2:$2,0)+1),MATCH(H$1,[1]stages!$2:$2,0)-MATCH($G$1,[1]stages!$2:$2,0)+1,FALSE)</f>
        <v>26-6．【1回のみ】ボーナスステージ</v>
      </c>
      <c r="I153" s="47">
        <v>5</v>
      </c>
      <c r="J153" s="48">
        <v>60</v>
      </c>
      <c r="K153" s="48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939"/>
  <sheetViews>
    <sheetView showGridLines="0" tabSelected="1" zoomScale="85" zoomScaleNormal="85" zoomScalePageLayoutView="8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F15" sqref="AF15"/>
    </sheetView>
  </sheetViews>
  <sheetFormatPr baseColWidth="12" defaultColWidth="13" defaultRowHeight="21" customHeight="1" outlineLevelCol="1" x14ac:dyDescent="0.15"/>
  <cols>
    <col min="1" max="1" width="12.5" style="24" bestFit="1" customWidth="1"/>
    <col min="2" max="2" width="10.83203125" style="3" bestFit="1" customWidth="1"/>
    <col min="3" max="3" width="10.6640625" style="3" bestFit="1" customWidth="1"/>
    <col min="4" max="4" width="13" style="12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7.5" style="10" customWidth="1"/>
    <col min="12" max="12" width="13.5" style="9" bestFit="1" customWidth="1"/>
    <col min="13" max="13" width="24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bestFit="1" customWidth="1"/>
    <col min="23" max="23" width="12.1640625" style="3" bestFit="1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12.6640625" style="11" customWidth="1" outlineLevel="1"/>
    <col min="30" max="30" width="8" style="12" customWidth="1" outlineLevel="1"/>
    <col min="31" max="31" width="12" style="12" customWidth="1" outlineLevel="1"/>
    <col min="32" max="32" width="7.5" style="10" customWidth="1" collapsed="1"/>
    <col min="33" max="33" width="6.1640625" style="3" customWidth="1"/>
    <col min="34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7" customFormat="1" ht="14" x14ac:dyDescent="0.15">
      <c r="A1" s="29" t="s">
        <v>29</v>
      </c>
      <c r="B1" s="30" t="s">
        <v>0</v>
      </c>
      <c r="C1" s="30" t="s">
        <v>1</v>
      </c>
      <c r="D1" s="31" t="s">
        <v>28</v>
      </c>
      <c r="E1" s="32" t="s">
        <v>20</v>
      </c>
      <c r="F1" s="32" t="s">
        <v>20</v>
      </c>
      <c r="G1" s="30" t="s">
        <v>19</v>
      </c>
      <c r="H1" s="31" t="s">
        <v>37</v>
      </c>
      <c r="I1" s="31" t="s">
        <v>157</v>
      </c>
      <c r="J1" s="31" t="s">
        <v>158</v>
      </c>
      <c r="K1" s="30" t="s">
        <v>55</v>
      </c>
      <c r="L1" s="30" t="s">
        <v>2</v>
      </c>
      <c r="M1" s="33" t="s">
        <v>21</v>
      </c>
      <c r="N1" s="31" t="s">
        <v>24</v>
      </c>
      <c r="O1" s="31" t="s">
        <v>23</v>
      </c>
      <c r="P1" s="34" t="s">
        <v>26</v>
      </c>
      <c r="Q1" s="32" t="s">
        <v>25</v>
      </c>
      <c r="R1" s="30" t="s">
        <v>3</v>
      </c>
      <c r="S1" s="28" t="s">
        <v>50</v>
      </c>
      <c r="T1" s="28" t="s">
        <v>52</v>
      </c>
      <c r="U1" s="28" t="s">
        <v>54</v>
      </c>
      <c r="V1" s="31" t="s">
        <v>33</v>
      </c>
      <c r="W1" s="30" t="s">
        <v>4</v>
      </c>
      <c r="X1" s="30" t="s">
        <v>5</v>
      </c>
      <c r="Y1" s="30" t="s">
        <v>6</v>
      </c>
      <c r="Z1" s="30" t="s">
        <v>7</v>
      </c>
      <c r="AA1" s="30" t="s">
        <v>8</v>
      </c>
      <c r="AB1" s="35" t="s">
        <v>9</v>
      </c>
      <c r="AC1" s="36" t="s">
        <v>16</v>
      </c>
      <c r="AD1" s="36" t="s">
        <v>17</v>
      </c>
      <c r="AE1" s="36" t="s">
        <v>27</v>
      </c>
      <c r="AF1" s="35" t="s">
        <v>10</v>
      </c>
      <c r="AG1" s="30" t="s">
        <v>11</v>
      </c>
      <c r="AH1" s="30" t="s">
        <v>12</v>
      </c>
      <c r="AI1" s="30" t="s">
        <v>40</v>
      </c>
      <c r="AJ1" s="30" t="s">
        <v>42</v>
      </c>
      <c r="AK1" s="30" t="s">
        <v>44</v>
      </c>
      <c r="AL1" s="30" t="s">
        <v>46</v>
      </c>
      <c r="AM1" s="30" t="s">
        <v>48</v>
      </c>
    </row>
    <row r="2" spans="1:39" ht="14" x14ac:dyDescent="0.15">
      <c r="A2" s="18" t="str">
        <f t="shared" ref="A2:A44" ca="1" si="0">B2&amp;"_"&amp;C2&amp;"-"&amp;G2&amp;"/"&amp;L2&amp;"&lt;lv"&amp;R2&amp;"&gt;s"&amp;AA2</f>
        <v>22_1-1/25&lt;lv40&gt;s3</v>
      </c>
      <c r="B2" s="50">
        <v>22</v>
      </c>
      <c r="C2" s="49">
        <v>1</v>
      </c>
      <c r="D2" s="2" t="str">
        <f t="shared" ref="D2:E44" si="1">B2&amp;"_"&amp;C2</f>
        <v>22_1</v>
      </c>
      <c r="E2" s="2" t="str">
        <f>C2&amp;"_"&amp;D2</f>
        <v>1_22_1</v>
      </c>
      <c r="F2" s="4" t="str">
        <f ca="1">VLOOKUP($D2,OFFSET([1]stages!$A$1,0,0,COUNTA([1]stages!$A:$A),MATCH(F$1,[1]stages!$2:$2,0)-MATCH($D$1,[1]stages!$2:$2,0)+1),MATCH(F$1,[1]stages!$2:$2,0)-MATCH($D$1,[1]stages!$2:$2,0)+1,FALSE)</f>
        <v>22-1．開宴の遠吠え</v>
      </c>
      <c r="G2" s="57">
        <v>1</v>
      </c>
      <c r="H2" s="17" t="str">
        <f t="shared" ref="H2:H44" si="2">B2&amp;"_"&amp;C2&amp;"-"&amp;G2</f>
        <v>22_1-1</v>
      </c>
      <c r="I2" s="17"/>
      <c r="J2" s="17"/>
      <c r="K2" s="65" t="s">
        <v>56</v>
      </c>
      <c r="L2" s="52">
        <v>25</v>
      </c>
      <c r="M2" s="21" t="str">
        <f ca="1">VLOOKUP($L2,OFFSET([2]enemies!$A$1,0,0,COUNTA([2]enemies!$A:$A),MATCH(M$1,[2]enemies!$1:$1,0)-MATCH($L$1,[2]enemies!$1:$1,0)+1),MATCH(M$1,[2]enemies!$1:$1,0)-MATCH($L$1,[2]enemies!$1:$1,0)+1,FALSE)</f>
        <v>ハチ</v>
      </c>
      <c r="N2" s="21" t="str">
        <f ca="1">VLOOKUP($L2,OFFSET([2]enemies!$A$1,0,0,COUNTA([2]enemies!$A:$A),MATCH(N$1,[2]enemies!$1:$1,0)-MATCH($L$1,[2]enemies!$1:$1,0)+1),MATCH(N$1,[2]enemies!$1:$1,0)-MATCH($L$1,[2]enemies!$1:$1,0)+1,FALSE)</f>
        <v>blue</v>
      </c>
      <c r="O2" s="21" t="str">
        <f ca="1">VLOOKUP($L2,OFFSET([3]characters!$A$1,0,0,COUNTA([3]characters!$A:$A),MATCH(O$1,[3]characters!$1:$1,0)-MATCH($L$1,[3]characters!$1:$1,0)+1),MATCH(O$1,[3]characters!$1:$1,0)-MATCH($L$1,[3]characters!$1:$1,0)+1,FALSE)</f>
        <v>Drop1N</v>
      </c>
      <c r="P2" s="21" t="str">
        <f ca="1">VLOOKUP($L2,OFFSET([2]enemies!$A$1,0,0,COUNTA([2]enemies!$A:$A),MATCH(P$1,[2]enemies!$1:$1,0)-MATCH($L$1,[2]enemies!$1:$1,0)+1),MATCH(P$1,[2]enemies!$1:$1,0)-MATCH($L$1,[2]enemies!$1:$1,0)+1,FALSE)</f>
        <v>animal</v>
      </c>
      <c r="Q2" s="21">
        <f ca="1">VLOOKUP($L2,OFFSET([2]enemies!$A$1,0,0,COUNTA([2]enemies!$A:$A),MATCH(Q$1,[2]enemies!$1:$1,0)-MATCH($L$1,[2]enemies!$1:$1,0)+1),MATCH(Q$1,[2]enemies!$1:$1,0)-MATCH($L$1,[2]enemies!$1:$1,0)+1,FALSE)</f>
        <v>15</v>
      </c>
      <c r="R2" s="53">
        <v>40</v>
      </c>
      <c r="S2" s="27">
        <v>1</v>
      </c>
      <c r="T2" s="27">
        <v>1</v>
      </c>
      <c r="U2" s="5">
        <v>0</v>
      </c>
      <c r="V2" s="4" t="str">
        <f ca="1">VLOOKUP($W2,OFFSET([4]enemy_skill_sets!$B$1,0,0,COUNTA([4]enemy_skill_sets!$B:$B),MATCH(M$1,[4]enemy_skill_sets!$1:$1,0)-MATCH($W$1,[4]enemy_skill_sets!$1:$1,0)+2),MATCH(M$1,[4]enemy_skill_sets!$1:$1,0)-MATCH($W$1,[4]enemy_skill_sets!$1:$1,0)+2,FALSE)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" s="4">
        <f ca="1">VLOOKUP($L2,OFFSET([2]enemies!$A$1,0,0,COUNTA([2]enemies!$A:$A),MATCH(W$1,[2]enemies!$1:$1,0)-MATCH($L$1,[2]enemies!$1:$1,0)+1),MATCH(W$1,[2]enemies!$1:$1,0)-MATCH($L$1,[2]enemies!$1:$1,0)+1,FALSE)</f>
        <v>0</v>
      </c>
      <c r="X2" s="6">
        <v>0</v>
      </c>
      <c r="Y2" s="6">
        <v>100</v>
      </c>
      <c r="Z2" s="6">
        <v>0</v>
      </c>
      <c r="AA2" s="21">
        <f ca="1">VLOOKUP($L2,OFFSET([2]enemies!$A$1,0,0,COUNTA([2]enemies!$A:$A),MATCH(AA$1,[2]enemies!$1:$1,0)-MATCH($L$1,[2]enemies!$1:$1,0)+1),MATCH(AA$1,[2]enemies!$1:$1,0)-MATCH($L$1,[2]enemies!$1:$1,0)+1,FALSE)</f>
        <v>3</v>
      </c>
      <c r="AB2" s="52">
        <v>25</v>
      </c>
      <c r="AC2" s="4" t="str">
        <f ca="1">VLOOKUP($AB2,OFFSET([3]characters!$A$1,0,0,COUNTA([3]characters!$A:$A),MATCH(AC$1,[3]characters!$1:$1,0)-MATCH("character_id",[3]characters!$1:$1,0)+1),MATCH(AC$1,[3]characters!$1:$1,0)-MATCH("character_id",[3]characters!$1:$1,0)+1,FALSE)</f>
        <v>ハチ</v>
      </c>
      <c r="AD2" s="4">
        <f ca="1">VLOOKUP($AB2,OFFSET([3]characters!$A$1,0,0,COUNTA([3]characters!$A:$A),MATCH(AD$1,[3]characters!$1:$1,0)-MATCH("character_id",[3]characters!$1:$1,0)+1),MATCH(AD$1,[3]characters!$1:$1,0)-MATCH("character_id",[3]characters!$1:$1,0)+1,FALSE)</f>
        <v>1</v>
      </c>
      <c r="AE2" s="4" t="str">
        <f ca="1">VLOOKUP($AB2,OFFSET([3]characters!$A$1,0,0,COUNTA([3]characters!$A:$A),MATCH(AE$1,[3]characters!$1:$1,0)-MATCH("character_id",[3]characters!$1:$1,0)+1),MATCH(AE$1,[3]characters!$1:$1,0)-MATCH("character_id",[3]characters!$1:$1,0)+1,FALSE)</f>
        <v>Drop1N</v>
      </c>
      <c r="AF2" s="7">
        <v>7</v>
      </c>
      <c r="AG2" s="26">
        <f ca="1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14" x14ac:dyDescent="0.15">
      <c r="A3" s="18" t="str">
        <f t="shared" ca="1" si="0"/>
        <v>22_1-1/37&lt;lv40&gt;s3</v>
      </c>
      <c r="B3" s="50">
        <v>22</v>
      </c>
      <c r="C3" s="49">
        <v>1</v>
      </c>
      <c r="D3" s="2" t="str">
        <f t="shared" si="1"/>
        <v>22_1</v>
      </c>
      <c r="E3" s="2" t="str">
        <f t="shared" si="1"/>
        <v>1_22_1</v>
      </c>
      <c r="F3" s="4" t="str">
        <f ca="1">VLOOKUP($D3,OFFSET([1]stages!$A$1,0,0,COUNTA([1]stages!$A:$A),MATCH(F$1,[1]stages!$2:$2,0)-MATCH($D$1,[1]stages!$2:$2,0)+1),MATCH(F$1,[1]stages!$2:$2,0)-MATCH($D$1,[1]stages!$2:$2,0)+1,FALSE)</f>
        <v>22-1．開宴の遠吠え</v>
      </c>
      <c r="G3" s="57">
        <v>1</v>
      </c>
      <c r="H3" s="17" t="str">
        <f t="shared" si="2"/>
        <v>22_1-1</v>
      </c>
      <c r="I3" s="17"/>
      <c r="J3" s="17"/>
      <c r="K3" s="65" t="s">
        <v>56</v>
      </c>
      <c r="L3" s="52">
        <v>37</v>
      </c>
      <c r="M3" s="21" t="str">
        <f ca="1">VLOOKUP($L3,OFFSET([2]enemies!$A$1,0,0,COUNTA([2]enemies!$A:$A),MATCH(M$1,[2]enemies!$1:$1,0)-MATCH($L$1,[2]enemies!$1:$1,0)+1),MATCH(M$1,[2]enemies!$1:$1,0)-MATCH($L$1,[2]enemies!$1:$1,0)+1,FALSE)</f>
        <v>ガイル</v>
      </c>
      <c r="N3" s="21" t="str">
        <f ca="1">VLOOKUP($L3,OFFSET([2]enemies!$A$1,0,0,COUNTA([2]enemies!$A:$A),MATCH(N$1,[2]enemies!$1:$1,0)-MATCH($L$1,[2]enemies!$1:$1,0)+1),MATCH(N$1,[2]enemies!$1:$1,0)-MATCH($L$1,[2]enemies!$1:$1,0)+1,FALSE)</f>
        <v>blue</v>
      </c>
      <c r="O3" s="21" t="str">
        <f ca="1">VLOOKUP($L3,OFFSET([3]characters!$A$1,0,0,COUNTA([3]characters!$A:$A),MATCH(O$1,[3]characters!$1:$1,0)-MATCH($L$1,[3]characters!$1:$1,0)+1),MATCH(O$1,[3]characters!$1:$1,0)-MATCH($L$1,[3]characters!$1:$1,0)+1,FALSE)</f>
        <v>Drop1S</v>
      </c>
      <c r="P3" s="21" t="str">
        <f ca="1">VLOOKUP($L3,OFFSET([2]enemies!$A$1,0,0,COUNTA([2]enemies!$A:$A),MATCH(P$1,[2]enemies!$1:$1,0)-MATCH($L$1,[2]enemies!$1:$1,0)+1),MATCH(P$1,[2]enemies!$1:$1,0)-MATCH($L$1,[2]enemies!$1:$1,0)+1,FALSE)</f>
        <v>animal</v>
      </c>
      <c r="Q3" s="21">
        <f ca="1">VLOOKUP($L3,OFFSET([2]enemies!$A$1,0,0,COUNTA([2]enemies!$A:$A),MATCH(Q$1,[2]enemies!$1:$1,0)-MATCH($L$1,[2]enemies!$1:$1,0)+1),MATCH(Q$1,[2]enemies!$1:$1,0)-MATCH($L$1,[2]enemies!$1:$1,0)+1,FALSE)</f>
        <v>15</v>
      </c>
      <c r="R3" s="53">
        <v>40</v>
      </c>
      <c r="S3" s="27">
        <v>1</v>
      </c>
      <c r="T3" s="27">
        <v>1</v>
      </c>
      <c r="U3" s="5">
        <v>0</v>
      </c>
      <c r="V3" s="4" t="str">
        <f ca="1">VLOOKUP($W3,OFFSET([4]enemy_skill_sets!$B$1,0,0,COUNTA([4]enemy_skill_sets!$B:$B),MATCH(M$1,[4]enemy_skill_sets!$1:$1,0)-MATCH($W$1,[4]enemy_skill_sets!$1:$1,0)+2),MATCH(M$1,[4]enemy_skill_sets!$1:$1,0)-MATCH($W$1,[4]enemy_skill_sets!$1:$1,0)+2,FALSE)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" s="4">
        <f ca="1">VLOOKUP($L3,OFFSET([2]enemies!$A$1,0,0,COUNTA([2]enemies!$A:$A),MATCH(W$1,[2]enemies!$1:$1,0)-MATCH($L$1,[2]enemies!$1:$1,0)+1),MATCH(W$1,[2]enemies!$1:$1,0)-MATCH($L$1,[2]enemies!$1:$1,0)+1,FALSE)</f>
        <v>37</v>
      </c>
      <c r="X3" s="6">
        <v>0</v>
      </c>
      <c r="Y3" s="6">
        <v>100</v>
      </c>
      <c r="Z3" s="6">
        <v>0</v>
      </c>
      <c r="AA3" s="21">
        <f ca="1">VLOOKUP($L3,OFFSET([2]enemies!$A$1,0,0,COUNTA([2]enemies!$A:$A),MATCH(AA$1,[2]enemies!$1:$1,0)-MATCH($L$1,[2]enemies!$1:$1,0)+1),MATCH(AA$1,[2]enemies!$1:$1,0)-MATCH($L$1,[2]enemies!$1:$1,0)+1,FALSE)</f>
        <v>3</v>
      </c>
      <c r="AB3" s="52">
        <v>37</v>
      </c>
      <c r="AC3" s="4" t="str">
        <f ca="1">VLOOKUP($AB3,OFFSET([3]characters!$A$1,0,0,COUNTA([3]characters!$A:$A),MATCH(AC$1,[3]characters!$1:$1,0)-MATCH("character_id",[3]characters!$1:$1,0)+1),MATCH(AC$1,[3]characters!$1:$1,0)-MATCH("character_id",[3]characters!$1:$1,0)+1,FALSE)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3" s="4">
        <f ca="1">VLOOKUP($AB3,OFFSET([3]characters!$A$1,0,0,COUNTA([3]characters!$A:$A),MATCH(AD$1,[3]characters!$1:$1,0)-MATCH("character_id",[3]characters!$1:$1,0)+1),MATCH(AD$1,[3]characters!$1:$1,0)-MATCH("character_id",[3]characters!$1:$1,0)+1,FALSE)</f>
        <v>2</v>
      </c>
      <c r="AE3" s="4" t="str">
        <f ca="1">VLOOKUP($AB3,OFFSET([3]characters!$A$1,0,0,COUNTA([3]characters!$A:$A),MATCH(AE$1,[3]characters!$1:$1,0)-MATCH("character_id",[3]characters!$1:$1,0)+1),MATCH(AE$1,[3]characters!$1:$1,0)-MATCH("character_id",[3]characters!$1:$1,0)+1,FALSE)</f>
        <v>Drop1S</v>
      </c>
      <c r="AF3" s="7">
        <v>5</v>
      </c>
      <c r="AG3" s="26">
        <f t="shared" ref="AG3:AG66" ca="1" si="3">AD3</f>
        <v>2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14" x14ac:dyDescent="0.15">
      <c r="A4" s="18" t="str">
        <f t="shared" ca="1" si="0"/>
        <v>22_1-1/45&lt;lv40&gt;s3</v>
      </c>
      <c r="B4" s="50">
        <v>22</v>
      </c>
      <c r="C4" s="49">
        <v>1</v>
      </c>
      <c r="D4" s="2" t="str">
        <f t="shared" si="1"/>
        <v>22_1</v>
      </c>
      <c r="E4" s="2" t="str">
        <f t="shared" si="1"/>
        <v>1_22_1</v>
      </c>
      <c r="F4" s="4" t="str">
        <f ca="1">VLOOKUP($D4,OFFSET([1]stages!$A$1,0,0,COUNTA([1]stages!$A:$A),MATCH(F$1,[1]stages!$2:$2,0)-MATCH($D$1,[1]stages!$2:$2,0)+1),MATCH(F$1,[1]stages!$2:$2,0)-MATCH($D$1,[1]stages!$2:$2,0)+1,FALSE)</f>
        <v>22-1．開宴の遠吠え</v>
      </c>
      <c r="G4" s="57">
        <v>1</v>
      </c>
      <c r="H4" s="17" t="str">
        <f t="shared" si="2"/>
        <v>22_1-1</v>
      </c>
      <c r="I4" s="17"/>
      <c r="J4" s="17"/>
      <c r="K4" s="65" t="s">
        <v>56</v>
      </c>
      <c r="L4" s="52">
        <v>45</v>
      </c>
      <c r="M4" s="21" t="str">
        <f ca="1">VLOOKUP($L4,OFFSET([2]enemies!$A$1,0,0,COUNTA([2]enemies!$A:$A),MATCH(M$1,[2]enemies!$1:$1,0)-MATCH($L$1,[2]enemies!$1:$1,0)+1),MATCH(M$1,[2]enemies!$1:$1,0)-MATCH($L$1,[2]enemies!$1:$1,0)+1,FALSE)</f>
        <v>ショウイン</v>
      </c>
      <c r="N4" s="21" t="str">
        <f ca="1">VLOOKUP($L4,OFFSET([2]enemies!$A$1,0,0,COUNTA([2]enemies!$A:$A),MATCH(N$1,[2]enemies!$1:$1,0)-MATCH($L$1,[2]enemies!$1:$1,0)+1),MATCH(N$1,[2]enemies!$1:$1,0)-MATCH($L$1,[2]enemies!$1:$1,0)+1,FALSE)</f>
        <v>blue</v>
      </c>
      <c r="O4" s="21" t="str">
        <f ca="1">VLOOKUP($L4,OFFSET([3]characters!$A$1,0,0,COUNTA([3]characters!$A:$A),MATCH(O$1,[3]characters!$1:$1,0)-MATCH($L$1,[3]characters!$1:$1,0)+1),MATCH(O$1,[3]characters!$1:$1,0)-MATCH($L$1,[3]characters!$1:$1,0)+1,FALSE)</f>
        <v>Drop1N</v>
      </c>
      <c r="P4" s="21" t="str">
        <f ca="1">VLOOKUP($L4,OFFSET([2]enemies!$A$1,0,0,COUNTA([2]enemies!$A:$A),MATCH(P$1,[2]enemies!$1:$1,0)-MATCH($L$1,[2]enemies!$1:$1,0)+1),MATCH(P$1,[2]enemies!$1:$1,0)-MATCH($L$1,[2]enemies!$1:$1,0)+1,FALSE)</f>
        <v>animal</v>
      </c>
      <c r="Q4" s="21">
        <f ca="1">VLOOKUP($L4,OFFSET([2]enemies!$A$1,0,0,COUNTA([2]enemies!$A:$A),MATCH(Q$1,[2]enemies!$1:$1,0)-MATCH($L$1,[2]enemies!$1:$1,0)+1),MATCH(Q$1,[2]enemies!$1:$1,0)-MATCH($L$1,[2]enemies!$1:$1,0)+1,FALSE)</f>
        <v>15</v>
      </c>
      <c r="R4" s="53">
        <v>40</v>
      </c>
      <c r="S4" s="27">
        <v>1</v>
      </c>
      <c r="T4" s="27">
        <v>1</v>
      </c>
      <c r="U4" s="5">
        <v>0</v>
      </c>
      <c r="V4" s="4" t="str">
        <f ca="1">VLOOKUP($W4,OFFSET([4]enemy_skill_sets!$B$1,0,0,COUNTA([4]enemy_skill_sets!$B:$B),MATCH(M$1,[4]enemy_skill_sets!$1:$1,0)-MATCH($W$1,[4]enemy_skill_sets!$1:$1,0)+2),MATCH(M$1,[4]enemy_skill_sets!$1:$1,0)-MATCH($W$1,[4]enemy_skill_sets!$1:$1,0)+2,FALSE)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" s="4">
        <f ca="1">VLOOKUP($L4,OFFSET([2]enemies!$A$1,0,0,COUNTA([2]enemies!$A:$A),MATCH(W$1,[2]enemies!$1:$1,0)-MATCH($L$1,[2]enemies!$1:$1,0)+1),MATCH(W$1,[2]enemies!$1:$1,0)-MATCH($L$1,[2]enemies!$1:$1,0)+1,FALSE)</f>
        <v>0</v>
      </c>
      <c r="X4" s="6">
        <v>0</v>
      </c>
      <c r="Y4" s="6">
        <v>100</v>
      </c>
      <c r="Z4" s="6">
        <v>0</v>
      </c>
      <c r="AA4" s="21">
        <f ca="1">VLOOKUP($L4,OFFSET([2]enemies!$A$1,0,0,COUNTA([2]enemies!$A:$A),MATCH(AA$1,[2]enemies!$1:$1,0)-MATCH($L$1,[2]enemies!$1:$1,0)+1),MATCH(AA$1,[2]enemies!$1:$1,0)-MATCH($L$1,[2]enemies!$1:$1,0)+1,FALSE)</f>
        <v>3</v>
      </c>
      <c r="AB4" s="52">
        <v>45</v>
      </c>
      <c r="AC4" s="4" t="str">
        <f ca="1">VLOOKUP($AB4,OFFSET([3]characters!$A$1,0,0,COUNTA([3]characters!$A:$A),MATCH(AC$1,[3]characters!$1:$1,0)-MATCH("character_id",[3]characters!$1:$1,0)+1),MATCH(AC$1,[3]characters!$1:$1,0)-MATCH("character_id",[3]characters!$1:$1,0)+1,FALSE)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4" s="4">
        <f ca="1">VLOOKUP($AB4,OFFSET([3]characters!$A$1,0,0,COUNTA([3]characters!$A:$A),MATCH(AD$1,[3]characters!$1:$1,0)-MATCH("character_id",[3]characters!$1:$1,0)+1),MATCH(AD$1,[3]characters!$1:$1,0)-MATCH("character_id",[3]characters!$1:$1,0)+1,FALSE)</f>
        <v>2</v>
      </c>
      <c r="AE4" s="4" t="str">
        <f ca="1">VLOOKUP($AB4,OFFSET([3]characters!$A$1,0,0,COUNTA([3]characters!$A:$A),MATCH(AE$1,[3]characters!$1:$1,0)-MATCH("character_id",[3]characters!$1:$1,0)+1),MATCH(AE$1,[3]characters!$1:$1,0)-MATCH("character_id",[3]characters!$1:$1,0)+1,FALSE)</f>
        <v>Drop1N</v>
      </c>
      <c r="AF4" s="7">
        <v>7</v>
      </c>
      <c r="AG4" s="26">
        <f t="shared" ca="1" si="3"/>
        <v>2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14" x14ac:dyDescent="0.15">
      <c r="A5" s="18" t="str">
        <f t="shared" ca="1" si="0"/>
        <v>22_1-1/61&lt;lv40&gt;s2</v>
      </c>
      <c r="B5" s="50">
        <v>22</v>
      </c>
      <c r="C5" s="49">
        <v>1</v>
      </c>
      <c r="D5" s="2" t="str">
        <f t="shared" si="1"/>
        <v>22_1</v>
      </c>
      <c r="E5" s="2" t="str">
        <f t="shared" si="1"/>
        <v>1_22_1</v>
      </c>
      <c r="F5" s="4" t="str">
        <f ca="1">VLOOKUP($D5,OFFSET([1]stages!$A$1,0,0,COUNTA([1]stages!$A:$A),MATCH(F$1,[1]stages!$2:$2,0)-MATCH($D$1,[1]stages!$2:$2,0)+1),MATCH(F$1,[1]stages!$2:$2,0)-MATCH($D$1,[1]stages!$2:$2,0)+1,FALSE)</f>
        <v>22-1．開宴の遠吠え</v>
      </c>
      <c r="G5" s="57">
        <v>1</v>
      </c>
      <c r="H5" s="17" t="str">
        <f t="shared" si="2"/>
        <v>22_1-1</v>
      </c>
      <c r="I5" s="17"/>
      <c r="J5" s="17"/>
      <c r="K5" s="65" t="s">
        <v>56</v>
      </c>
      <c r="L5" s="52">
        <v>61</v>
      </c>
      <c r="M5" s="21" t="str">
        <f ca="1">VLOOKUP($L5,OFFSET([2]enemies!$A$1,0,0,COUNTA([2]enemies!$A:$A),MATCH(M$1,[2]enemies!$1:$1,0)-MATCH($L$1,[2]enemies!$1:$1,0)+1),MATCH(M$1,[2]enemies!$1:$1,0)-MATCH($L$1,[2]enemies!$1:$1,0)+1,FALSE)</f>
        <v>クロウ</v>
      </c>
      <c r="N5" s="21" t="str">
        <f ca="1">VLOOKUP($L5,OFFSET([2]enemies!$A$1,0,0,COUNTA([2]enemies!$A:$A),MATCH(N$1,[2]enemies!$1:$1,0)-MATCH($L$1,[2]enemies!$1:$1,0)+1),MATCH(N$1,[2]enemies!$1:$1,0)-MATCH($L$1,[2]enemies!$1:$1,0)+1,FALSE)</f>
        <v>blue</v>
      </c>
      <c r="O5" s="21" t="str">
        <f ca="1">VLOOKUP($L5,OFFSET([3]characters!$A$1,0,0,COUNTA([3]characters!$A:$A),MATCH(O$1,[3]characters!$1:$1,0)-MATCH($L$1,[3]characters!$1:$1,0)+1),MATCH(O$1,[3]characters!$1:$1,0)-MATCH($L$1,[3]characters!$1:$1,0)+1,FALSE)</f>
        <v>Drop1N</v>
      </c>
      <c r="P5" s="21" t="str">
        <f ca="1">VLOOKUP($L5,OFFSET([2]enemies!$A$1,0,0,COUNTA([2]enemies!$A:$A),MATCH(P$1,[2]enemies!$1:$1,0)-MATCH($L$1,[2]enemies!$1:$1,0)+1),MATCH(P$1,[2]enemies!$1:$1,0)-MATCH($L$1,[2]enemies!$1:$1,0)+1,FALSE)</f>
        <v>animal</v>
      </c>
      <c r="Q5" s="21">
        <f ca="1">VLOOKUP($L5,OFFSET([2]enemies!$A$1,0,0,COUNTA([2]enemies!$A:$A),MATCH(Q$1,[2]enemies!$1:$1,0)-MATCH($L$1,[2]enemies!$1:$1,0)+1),MATCH(Q$1,[2]enemies!$1:$1,0)-MATCH($L$1,[2]enemies!$1:$1,0)+1,FALSE)</f>
        <v>15</v>
      </c>
      <c r="R5" s="53">
        <v>40</v>
      </c>
      <c r="S5" s="27">
        <v>1</v>
      </c>
      <c r="T5" s="27">
        <v>1</v>
      </c>
      <c r="U5" s="5">
        <v>0</v>
      </c>
      <c r="V5" s="4" t="str">
        <f ca="1">VLOOKUP($W5,OFFSET([4]enemy_skill_sets!$B$1,0,0,COUNTA([4]enemy_skill_sets!$B:$B),MATCH(M$1,[4]enemy_skill_sets!$1:$1,0)-MATCH($W$1,[4]enemy_skill_sets!$1:$1,0)+2),MATCH(M$1,[4]enemy_skill_sets!$1:$1,0)-MATCH($W$1,[4]enemy_skill_sets!$1:$1,0)+2,FALSE)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" s="4">
        <f ca="1">VLOOKUP($L5,OFFSET([2]enemies!$A$1,0,0,COUNTA([2]enemies!$A:$A),MATCH(W$1,[2]enemies!$1:$1,0)-MATCH($L$1,[2]enemies!$1:$1,0)+1),MATCH(W$1,[2]enemies!$1:$1,0)-MATCH($L$1,[2]enemies!$1:$1,0)+1,FALSE)</f>
        <v>61</v>
      </c>
      <c r="X5" s="6">
        <v>0</v>
      </c>
      <c r="Y5" s="6">
        <v>100</v>
      </c>
      <c r="Z5" s="6">
        <v>0</v>
      </c>
      <c r="AA5" s="21">
        <f ca="1">VLOOKUP($L5,OFFSET([2]enemies!$A$1,0,0,COUNTA([2]enemies!$A:$A),MATCH(AA$1,[2]enemies!$1:$1,0)-MATCH($L$1,[2]enemies!$1:$1,0)+1),MATCH(AA$1,[2]enemies!$1:$1,0)-MATCH($L$1,[2]enemies!$1:$1,0)+1,FALSE)</f>
        <v>2</v>
      </c>
      <c r="AB5" s="52">
        <v>61</v>
      </c>
      <c r="AC5" s="4" t="str">
        <f ca="1">VLOOKUP($AB5,OFFSET([3]characters!$A$1,0,0,COUNTA([3]characters!$A:$A),MATCH(AC$1,[3]characters!$1:$1,0)-MATCH("character_id",[3]characters!$1:$1,0)+1),MATCH(AC$1,[3]characters!$1:$1,0)-MATCH("character_id",[3]characters!$1:$1,0)+1,FALSE)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5" s="4">
        <f ca="1">VLOOKUP($AB5,OFFSET([3]characters!$A$1,0,0,COUNTA([3]characters!$A:$A),MATCH(AD$1,[3]characters!$1:$1,0)-MATCH("character_id",[3]characters!$1:$1,0)+1),MATCH(AD$1,[3]characters!$1:$1,0)-MATCH("character_id",[3]characters!$1:$1,0)+1,FALSE)</f>
        <v>2</v>
      </c>
      <c r="AE5" s="4" t="str">
        <f ca="1">VLOOKUP($AB5,OFFSET([3]characters!$A$1,0,0,COUNTA([3]characters!$A:$A),MATCH(AE$1,[3]characters!$1:$1,0)-MATCH("character_id",[3]characters!$1:$1,0)+1),MATCH(AE$1,[3]characters!$1:$1,0)-MATCH("character_id",[3]characters!$1:$1,0)+1,FALSE)</f>
        <v>Drop1N</v>
      </c>
      <c r="AF5" s="7">
        <v>7</v>
      </c>
      <c r="AG5" s="26">
        <f t="shared" ca="1" si="3"/>
        <v>2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14" x14ac:dyDescent="0.15">
      <c r="A6" s="18" t="str">
        <f t="shared" ref="A6" ca="1" si="4">B6&amp;"_"&amp;C6&amp;"-"&amp;G6&amp;"/"&amp;L6&amp;"&lt;lv"&amp;R6&amp;"&gt;s"&amp;AA6</f>
        <v>22_1-1/364&lt;lv40&gt;s3</v>
      </c>
      <c r="B6" s="53">
        <v>22</v>
      </c>
      <c r="C6" s="51">
        <v>1</v>
      </c>
      <c r="D6" s="2" t="str">
        <f t="shared" ref="D6" si="5">B6&amp;"_"&amp;C6</f>
        <v>22_1</v>
      </c>
      <c r="E6" s="2" t="str">
        <f t="shared" ref="E6" si="6">C6&amp;"_"&amp;D6</f>
        <v>1_22_1</v>
      </c>
      <c r="F6" s="4" t="str">
        <f ca="1">VLOOKUP($D6,OFFSET([1]stages!$A$1,0,0,COUNTA([1]stages!$A:$A),MATCH(F$1,[1]stages!$2:$2,0)-MATCH($D$1,[1]stages!$2:$2,0)+1),MATCH(F$1,[1]stages!$2:$2,0)-MATCH($D$1,[1]stages!$2:$2,0)+1,FALSE)</f>
        <v>22-1．開宴の遠吠え</v>
      </c>
      <c r="G6" s="57">
        <v>1</v>
      </c>
      <c r="H6" s="17" t="str">
        <f t="shared" ref="H6" si="7">B6&amp;"_"&amp;C6&amp;"-"&amp;G6</f>
        <v>22_1-1</v>
      </c>
      <c r="I6" s="17"/>
      <c r="J6" s="17"/>
      <c r="K6" s="65" t="s">
        <v>56</v>
      </c>
      <c r="L6" s="52">
        <v>364</v>
      </c>
      <c r="M6" s="21" t="str">
        <f ca="1">VLOOKUP($L6,OFFSET([2]enemies!$A$1,0,0,COUNTA([2]enemies!$A:$A),MATCH(M$1,[2]enemies!$1:$1,0)-MATCH($L$1,[2]enemies!$1:$1,0)+1),MATCH(M$1,[2]enemies!$1:$1,0)-MATCH($L$1,[2]enemies!$1:$1,0)+1,FALSE)</f>
        <v>ノエル</v>
      </c>
      <c r="N6" s="21" t="str">
        <f ca="1">VLOOKUP($L6,OFFSET([2]enemies!$A$1,0,0,COUNTA([2]enemies!$A:$A),MATCH(N$1,[2]enemies!$1:$1,0)-MATCH($L$1,[2]enemies!$1:$1,0)+1),MATCH(N$1,[2]enemies!$1:$1,0)-MATCH($L$1,[2]enemies!$1:$1,0)+1,FALSE)</f>
        <v>blue</v>
      </c>
      <c r="O6" s="21" t="str">
        <f ca="1">VLOOKUP($L6,OFFSET([3]characters!$A$1,0,0,COUNTA([3]characters!$A:$A),MATCH(O$1,[3]characters!$1:$1,0)-MATCH($L$1,[3]characters!$1:$1,0)+1),MATCH(O$1,[3]characters!$1:$1,0)-MATCH($L$1,[3]characters!$1:$1,0)+1,FALSE)</f>
        <v>Drop1S</v>
      </c>
      <c r="P6" s="21" t="str">
        <f ca="1">VLOOKUP($L6,OFFSET([2]enemies!$A$1,0,0,COUNTA([2]enemies!$A:$A),MATCH(P$1,[2]enemies!$1:$1,0)-MATCH($L$1,[2]enemies!$1:$1,0)+1),MATCH(P$1,[2]enemies!$1:$1,0)-MATCH($L$1,[2]enemies!$1:$1,0)+1,FALSE)</f>
        <v>animal</v>
      </c>
      <c r="Q6" s="21">
        <f ca="1">VLOOKUP($L6,OFFSET([2]enemies!$A$1,0,0,COUNTA([2]enemies!$A:$A),MATCH(Q$1,[2]enemies!$1:$1,0)-MATCH($L$1,[2]enemies!$1:$1,0)+1),MATCH(Q$1,[2]enemies!$1:$1,0)-MATCH($L$1,[2]enemies!$1:$1,0)+1,FALSE)</f>
        <v>15</v>
      </c>
      <c r="R6" s="53">
        <v>40</v>
      </c>
      <c r="S6" s="27">
        <v>1</v>
      </c>
      <c r="T6" s="27">
        <v>1</v>
      </c>
      <c r="U6" s="5">
        <v>0</v>
      </c>
      <c r="V6" s="4" t="str">
        <f ca="1">VLOOKUP($W6,OFFSET([4]enemy_skill_sets!$B$1,0,0,COUNTA([4]enemy_skill_sets!$B:$B),MATCH(M$1,[4]enemy_skill_sets!$1:$1,0)-MATCH($W$1,[4]enemy_skill_sets!$1:$1,0)+2),MATCH(M$1,[4]enemy_skill_sets!$1:$1,0)-MATCH($W$1,[4]enemy_skill_sets!$1:$1,0)+2,FALSE)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6" s="64">
        <v>364</v>
      </c>
      <c r="X6" s="6">
        <v>0</v>
      </c>
      <c r="Y6" s="6">
        <v>100</v>
      </c>
      <c r="Z6" s="6">
        <v>0</v>
      </c>
      <c r="AA6" s="21">
        <f ca="1">VLOOKUP($L6,OFFSET([2]enemies!$A$1,0,0,COUNTA([2]enemies!$A:$A),MATCH(AA$1,[2]enemies!$1:$1,0)-MATCH($L$1,[2]enemies!$1:$1,0)+1),MATCH(AA$1,[2]enemies!$1:$1,0)-MATCH($L$1,[2]enemies!$1:$1,0)+1,FALSE)</f>
        <v>3</v>
      </c>
      <c r="AB6" s="52">
        <v>364</v>
      </c>
      <c r="AC6" s="4" t="str">
        <f ca="1">VLOOKUP($AB6,OFFSET([3]characters!$A$1,0,0,COUNTA([3]characters!$A:$A),MATCH(AC$1,[3]characters!$1:$1,0)-MATCH("character_id",[3]characters!$1:$1,0)+1),MATCH(AC$1,[3]characters!$1:$1,0)-MATCH("character_id",[3]characters!$1:$1,0)+1,FALSE)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6" s="4">
        <f ca="1">VLOOKUP($AB6,OFFSET([3]characters!$A$1,0,0,COUNTA([3]characters!$A:$A),MATCH(AD$1,[3]characters!$1:$1,0)-MATCH("character_id",[3]characters!$1:$1,0)+1),MATCH(AD$1,[3]characters!$1:$1,0)-MATCH("character_id",[3]characters!$1:$1,0)+1,FALSE)</f>
        <v>2</v>
      </c>
      <c r="AE6" s="4" t="str">
        <f ca="1">VLOOKUP($AB6,OFFSET([3]characters!$A$1,0,0,COUNTA([3]characters!$A:$A),MATCH(AE$1,[3]characters!$1:$1,0)-MATCH("character_id",[3]characters!$1:$1,0)+1),MATCH(AE$1,[3]characters!$1:$1,0)-MATCH("character_id",[3]characters!$1:$1,0)+1,FALSE)</f>
        <v>Drop1S</v>
      </c>
      <c r="AF6" s="7">
        <v>7</v>
      </c>
      <c r="AG6" s="26">
        <f t="shared" ca="1" si="3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14" x14ac:dyDescent="0.15">
      <c r="A7" s="18" t="str">
        <f t="shared" ref="A7" ca="1" si="8">B7&amp;"_"&amp;C7&amp;"-"&amp;G7&amp;"/"&amp;L7&amp;"&lt;lv"&amp;R7&amp;"&gt;s"&amp;AA7</f>
        <v>22_1-1/348&lt;lv40&gt;s3</v>
      </c>
      <c r="B7" s="53">
        <v>22</v>
      </c>
      <c r="C7" s="51">
        <v>1</v>
      </c>
      <c r="D7" s="2" t="str">
        <f t="shared" ref="D7" si="9">B7&amp;"_"&amp;C7</f>
        <v>22_1</v>
      </c>
      <c r="E7" s="2" t="str">
        <f t="shared" ref="E7" si="10">C7&amp;"_"&amp;D7</f>
        <v>1_22_1</v>
      </c>
      <c r="F7" s="4" t="str">
        <f ca="1">VLOOKUP($D7,OFFSET([1]stages!$A$1,0,0,COUNTA([1]stages!$A:$A),MATCH(F$1,[1]stages!$2:$2,0)-MATCH($D$1,[1]stages!$2:$2,0)+1),MATCH(F$1,[1]stages!$2:$2,0)-MATCH($D$1,[1]stages!$2:$2,0)+1,FALSE)</f>
        <v>22-1．開宴の遠吠え</v>
      </c>
      <c r="G7" s="57">
        <v>1</v>
      </c>
      <c r="H7" s="17" t="str">
        <f t="shared" ref="H7" si="11">B7&amp;"_"&amp;C7&amp;"-"&amp;G7</f>
        <v>22_1-1</v>
      </c>
      <c r="I7" s="17"/>
      <c r="J7" s="17"/>
      <c r="K7" s="65" t="s">
        <v>56</v>
      </c>
      <c r="L7" s="52">
        <v>348</v>
      </c>
      <c r="M7" s="21" t="str">
        <f ca="1">VLOOKUP($L7,OFFSET([2]enemies!$A$1,0,0,COUNTA([2]enemies!$A:$A),MATCH(M$1,[2]enemies!$1:$1,0)-MATCH($L$1,[2]enemies!$1:$1,0)+1),MATCH(M$1,[2]enemies!$1:$1,0)-MATCH($L$1,[2]enemies!$1:$1,0)+1,FALSE)</f>
        <v>炎のケロケロ</v>
      </c>
      <c r="N7" s="21" t="str">
        <f ca="1">VLOOKUP($L7,OFFSET([2]enemies!$A$1,0,0,COUNTA([2]enemies!$A:$A),MATCH(N$1,[2]enemies!$1:$1,0)-MATCH($L$1,[2]enemies!$1:$1,0)+1),MATCH(N$1,[2]enemies!$1:$1,0)-MATCH($L$1,[2]enemies!$1:$1,0)+1,FALSE)</f>
        <v>red</v>
      </c>
      <c r="O7" s="21" t="str">
        <f ca="1">VLOOKUP($L7,OFFSET([3]characters!$A$1,0,0,COUNTA([3]characters!$A:$A),MATCH(O$1,[3]characters!$1:$1,0)-MATCH($L$1,[3]characters!$1:$1,0)+1),MATCH(O$1,[3]characters!$1:$1,0)-MATCH($L$1,[3]characters!$1:$1,0)+1,FALSE)</f>
        <v>Material</v>
      </c>
      <c r="P7" s="21" t="str">
        <f ca="1">VLOOKUP($L7,OFFSET([2]enemies!$A$1,0,0,COUNTA([2]enemies!$A:$A),MATCH(P$1,[2]enemies!$1:$1,0)-MATCH($L$1,[2]enemies!$1:$1,0)+1),MATCH(P$1,[2]enemies!$1:$1,0)-MATCH($L$1,[2]enemies!$1:$1,0)+1,FALSE)</f>
        <v>unknown</v>
      </c>
      <c r="Q7" s="21">
        <f ca="1">VLOOKUP($L7,OFFSET([2]enemies!$A$1,0,0,COUNTA([2]enemies!$A:$A),MATCH(Q$1,[2]enemies!$1:$1,0)-MATCH($L$1,[2]enemies!$1:$1,0)+1),MATCH(Q$1,[2]enemies!$1:$1,0)-MATCH($L$1,[2]enemies!$1:$1,0)+1,FALSE)</f>
        <v>15</v>
      </c>
      <c r="R7" s="53">
        <v>40</v>
      </c>
      <c r="S7" s="27">
        <v>1</v>
      </c>
      <c r="T7" s="27">
        <v>1</v>
      </c>
      <c r="U7" s="5">
        <v>0</v>
      </c>
      <c r="V7" s="4" t="str">
        <f ca="1">VLOOKUP($W7,OFFSET([4]enemy_skill_sets!$B$1,0,0,COUNTA([4]enemy_skill_sets!$B:$B),MATCH(M$1,[4]enemy_skill_sets!$1:$1,0)-MATCH($W$1,[4]enemy_skill_sets!$1:$1,0)+2),MATCH(M$1,[4]enemy_skill_sets!$1:$1,0)-MATCH($W$1,[4]enemy_skill_sets!$1:$1,0)+2,FALSE)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7" s="64">
        <v>348</v>
      </c>
      <c r="X7" s="6">
        <v>0</v>
      </c>
      <c r="Y7" s="6">
        <v>100</v>
      </c>
      <c r="Z7" s="6">
        <v>0</v>
      </c>
      <c r="AA7" s="21">
        <f ca="1">VLOOKUP($L7,OFFSET([2]enemies!$A$1,0,0,COUNTA([2]enemies!$A:$A),MATCH(AA$1,[2]enemies!$1:$1,0)-MATCH($L$1,[2]enemies!$1:$1,0)+1),MATCH(AA$1,[2]enemies!$1:$1,0)-MATCH($L$1,[2]enemies!$1:$1,0)+1,FALSE)</f>
        <v>3</v>
      </c>
      <c r="AB7" s="52">
        <v>348</v>
      </c>
      <c r="AC7" s="4" t="str">
        <f ca="1">VLOOKUP($AB7,OFFSET([3]characters!$A$1,0,0,COUNTA([3]characters!$A:$A),MATCH(AC$1,[3]characters!$1:$1,0)-MATCH("character_id",[3]characters!$1:$1,0)+1),MATCH(AC$1,[3]characters!$1:$1,0)-MATCH("character_id",[3]characters!$1:$1,0)+1,FALSE)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7" s="4">
        <f ca="1">VLOOKUP($AB7,OFFSET([3]characters!$A$1,0,0,COUNTA([3]characters!$A:$A),MATCH(AD$1,[3]characters!$1:$1,0)-MATCH("character_id",[3]characters!$1:$1,0)+1),MATCH(AD$1,[3]characters!$1:$1,0)-MATCH("character_id",[3]characters!$1:$1,0)+1,FALSE)</f>
        <v>2</v>
      </c>
      <c r="AE7" s="4" t="str">
        <f ca="1">VLOOKUP($AB7,OFFSET([3]characters!$A$1,0,0,COUNTA([3]characters!$A:$A),MATCH(AE$1,[3]characters!$1:$1,0)-MATCH("character_id",[3]characters!$1:$1,0)+1),MATCH(AE$1,[3]characters!$1:$1,0)-MATCH("character_id",[3]characters!$1:$1,0)+1,FALSE)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" s="7">
        <v>10</v>
      </c>
      <c r="AG7" s="26">
        <f t="shared" ca="1" si="3"/>
        <v>2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14" x14ac:dyDescent="0.15">
      <c r="A8" s="18" t="str">
        <f t="shared" ca="1" si="0"/>
        <v>22_1-2/9&lt;lv40&gt;s2</v>
      </c>
      <c r="B8" s="50">
        <v>22</v>
      </c>
      <c r="C8" s="49">
        <v>1</v>
      </c>
      <c r="D8" s="2" t="str">
        <f t="shared" si="1"/>
        <v>22_1</v>
      </c>
      <c r="E8" s="2" t="str">
        <f t="shared" si="1"/>
        <v>1_22_1</v>
      </c>
      <c r="F8" s="4" t="str">
        <f ca="1">VLOOKUP($D8,OFFSET([1]stages!$A$1,0,0,COUNTA([1]stages!$A:$A),MATCH(F$1,[1]stages!$2:$2,0)-MATCH($D$1,[1]stages!$2:$2,0)+1),MATCH(F$1,[1]stages!$2:$2,0)-MATCH($D$1,[1]stages!$2:$2,0)+1,FALSE)</f>
        <v>22-1．開宴の遠吠え</v>
      </c>
      <c r="G8" s="54">
        <v>2</v>
      </c>
      <c r="H8" s="17" t="str">
        <f t="shared" si="2"/>
        <v>22_1-2</v>
      </c>
      <c r="I8" s="17"/>
      <c r="J8" s="17"/>
      <c r="K8" s="65" t="s">
        <v>56</v>
      </c>
      <c r="L8" s="52">
        <v>9</v>
      </c>
      <c r="M8" s="21" t="str">
        <f ca="1">VLOOKUP($L8,OFFSET([2]enemies!$A$1,0,0,COUNTA([2]enemies!$A:$A),MATCH(M$1,[2]enemies!$1:$1,0)-MATCH($L$1,[2]enemies!$1:$1,0)+1),MATCH(M$1,[2]enemies!$1:$1,0)-MATCH($L$1,[2]enemies!$1:$1,0)+1,FALSE)</f>
        <v>ブレット</v>
      </c>
      <c r="N8" s="21" t="str">
        <f ca="1">VLOOKUP($L8,OFFSET([2]enemies!$A$1,0,0,COUNTA([2]enemies!$A:$A),MATCH(N$1,[2]enemies!$1:$1,0)-MATCH($L$1,[2]enemies!$1:$1,0)+1),MATCH(N$1,[2]enemies!$1:$1,0)-MATCH($L$1,[2]enemies!$1:$1,0)+1,FALSE)</f>
        <v>red</v>
      </c>
      <c r="O8" s="21" t="str">
        <f ca="1">VLOOKUP($L8,OFFSET([3]characters!$A$1,0,0,COUNTA([3]characters!$A:$A),MATCH(O$1,[3]characters!$1:$1,0)-MATCH($L$1,[3]characters!$1:$1,0)+1),MATCH(O$1,[3]characters!$1:$1,0)-MATCH($L$1,[3]characters!$1:$1,0)+1,FALSE)</f>
        <v>Drop1W</v>
      </c>
      <c r="P8" s="21" t="str">
        <f ca="1">VLOOKUP($L8,OFFSET([2]enemies!$A$1,0,0,COUNTA([2]enemies!$A:$A),MATCH(P$1,[2]enemies!$1:$1,0)-MATCH($L$1,[2]enemies!$1:$1,0)+1),MATCH(P$1,[2]enemies!$1:$1,0)-MATCH($L$1,[2]enemies!$1:$1,0)+1,FALSE)</f>
        <v>animal</v>
      </c>
      <c r="Q8" s="21">
        <f ca="1">VLOOKUP($L8,OFFSET([2]enemies!$A$1,0,0,COUNTA([2]enemies!$A:$A),MATCH(Q$1,[2]enemies!$1:$1,0)-MATCH($L$1,[2]enemies!$1:$1,0)+1),MATCH(Q$1,[2]enemies!$1:$1,0)-MATCH($L$1,[2]enemies!$1:$1,0)+1,FALSE)</f>
        <v>15</v>
      </c>
      <c r="R8" s="53">
        <v>40</v>
      </c>
      <c r="S8" s="27">
        <v>1</v>
      </c>
      <c r="T8" s="27">
        <v>1</v>
      </c>
      <c r="U8" s="5">
        <v>0</v>
      </c>
      <c r="V8" s="4" t="str">
        <f ca="1">VLOOKUP($W8,OFFSET([4]enemy_skill_sets!$B$1,0,0,COUNTA([4]enemy_skill_sets!$B:$B),MATCH(M$1,[4]enemy_skill_sets!$1:$1,0)-MATCH($W$1,[4]enemy_skill_sets!$1:$1,0)+2),MATCH(M$1,[4]enemy_skill_sets!$1:$1,0)-MATCH($W$1,[4]enemy_skill_sets!$1:$1,0)+2,FALSE)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" s="4">
        <f ca="1">VLOOKUP($L8,OFFSET([2]enemies!$A$1,0,0,COUNTA([2]enemies!$A:$A),MATCH(W$1,[2]enemies!$1:$1,0)-MATCH($L$1,[2]enemies!$1:$1,0)+1),MATCH(W$1,[2]enemies!$1:$1,0)-MATCH($L$1,[2]enemies!$1:$1,0)+1,FALSE)</f>
        <v>0</v>
      </c>
      <c r="X8" s="6">
        <v>0</v>
      </c>
      <c r="Y8" s="6">
        <v>100</v>
      </c>
      <c r="Z8" s="6">
        <v>0</v>
      </c>
      <c r="AA8" s="21">
        <f ca="1">VLOOKUP($L8,OFFSET([2]enemies!$A$1,0,0,COUNTA([2]enemies!$A:$A),MATCH(AA$1,[2]enemies!$1:$1,0)-MATCH($L$1,[2]enemies!$1:$1,0)+1),MATCH(AA$1,[2]enemies!$1:$1,0)-MATCH($L$1,[2]enemies!$1:$1,0)+1,FALSE)</f>
        <v>2</v>
      </c>
      <c r="AB8" s="52">
        <v>9</v>
      </c>
      <c r="AC8" s="4" t="str">
        <f ca="1">VLOOKUP($AB8,OFFSET([3]characters!$A$1,0,0,COUNTA([3]characters!$A:$A),MATCH(AC$1,[3]characters!$1:$1,0)-MATCH("character_id",[3]characters!$1:$1,0)+1),MATCH(AC$1,[3]characters!$1:$1,0)-MATCH("character_id",[3]characters!$1:$1,0)+1,FALSE)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8" s="4">
        <f ca="1">VLOOKUP($AB8,OFFSET([3]characters!$A$1,0,0,COUNTA([3]characters!$A:$A),MATCH(AD$1,[3]characters!$1:$1,0)-MATCH("character_id",[3]characters!$1:$1,0)+1),MATCH(AD$1,[3]characters!$1:$1,0)-MATCH("character_id",[3]characters!$1:$1,0)+1,FALSE)</f>
        <v>1</v>
      </c>
      <c r="AE8" s="4" t="str">
        <f ca="1">VLOOKUP($AB8,OFFSET([3]characters!$A$1,0,0,COUNTA([3]characters!$A:$A),MATCH(AE$1,[3]characters!$1:$1,0)-MATCH("character_id",[3]characters!$1:$1,0)+1),MATCH(AE$1,[3]characters!$1:$1,0)-MATCH("character_id",[3]characters!$1:$1,0)+1,FALSE)</f>
        <v>Drop1W</v>
      </c>
      <c r="AF8" s="7">
        <v>9</v>
      </c>
      <c r="AG8" s="26">
        <f t="shared" ca="1" si="3"/>
        <v>1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14" x14ac:dyDescent="0.15">
      <c r="A9" s="18" t="str">
        <f t="shared" ca="1" si="0"/>
        <v>22_1-2/33&lt;lv40&gt;s2</v>
      </c>
      <c r="B9" s="50">
        <v>22</v>
      </c>
      <c r="C9" s="49">
        <v>1</v>
      </c>
      <c r="D9" s="2" t="str">
        <f t="shared" si="1"/>
        <v>22_1</v>
      </c>
      <c r="E9" s="2" t="str">
        <f t="shared" si="1"/>
        <v>1_22_1</v>
      </c>
      <c r="F9" s="4" t="str">
        <f ca="1">VLOOKUP($D9,OFFSET([1]stages!$A$1,0,0,COUNTA([1]stages!$A:$A),MATCH(F$1,[1]stages!$2:$2,0)-MATCH($D$1,[1]stages!$2:$2,0)+1),MATCH(F$1,[1]stages!$2:$2,0)-MATCH($D$1,[1]stages!$2:$2,0)+1,FALSE)</f>
        <v>22-1．開宴の遠吠え</v>
      </c>
      <c r="G9" s="54">
        <v>2</v>
      </c>
      <c r="H9" s="17" t="str">
        <f t="shared" si="2"/>
        <v>22_1-2</v>
      </c>
      <c r="I9" s="17"/>
      <c r="J9" s="17"/>
      <c r="K9" s="65" t="s">
        <v>56</v>
      </c>
      <c r="L9" s="52">
        <v>33</v>
      </c>
      <c r="M9" s="21" t="str">
        <f ca="1">VLOOKUP($L9,OFFSET([2]enemies!$A$1,0,0,COUNTA([2]enemies!$A:$A),MATCH(M$1,[2]enemies!$1:$1,0)-MATCH($L$1,[2]enemies!$1:$1,0)+1),MATCH(M$1,[2]enemies!$1:$1,0)-MATCH($L$1,[2]enemies!$1:$1,0)+1,FALSE)</f>
        <v>ゴクウ</v>
      </c>
      <c r="N9" s="21" t="str">
        <f ca="1">VLOOKUP($L9,OFFSET([2]enemies!$A$1,0,0,COUNTA([2]enemies!$A:$A),MATCH(N$1,[2]enemies!$1:$1,0)-MATCH($L$1,[2]enemies!$1:$1,0)+1),MATCH(N$1,[2]enemies!$1:$1,0)-MATCH($L$1,[2]enemies!$1:$1,0)+1,FALSE)</f>
        <v>red</v>
      </c>
      <c r="O9" s="21" t="str">
        <f ca="1">VLOOKUP($L9,OFFSET([3]characters!$A$1,0,0,COUNTA([3]characters!$A:$A),MATCH(O$1,[3]characters!$1:$1,0)-MATCH($L$1,[3]characters!$1:$1,0)+1),MATCH(O$1,[3]characters!$1:$1,0)-MATCH($L$1,[3]characters!$1:$1,0)+1,FALSE)</f>
        <v>Drop1S</v>
      </c>
      <c r="P9" s="21" t="str">
        <f ca="1">VLOOKUP($L9,OFFSET([2]enemies!$A$1,0,0,COUNTA([2]enemies!$A:$A),MATCH(P$1,[2]enemies!$1:$1,0)-MATCH($L$1,[2]enemies!$1:$1,0)+1),MATCH(P$1,[2]enemies!$1:$1,0)-MATCH($L$1,[2]enemies!$1:$1,0)+1,FALSE)</f>
        <v>animal</v>
      </c>
      <c r="Q9" s="21">
        <f ca="1">VLOOKUP($L9,OFFSET([2]enemies!$A$1,0,0,COUNTA([2]enemies!$A:$A),MATCH(Q$1,[2]enemies!$1:$1,0)-MATCH($L$1,[2]enemies!$1:$1,0)+1),MATCH(Q$1,[2]enemies!$1:$1,0)-MATCH($L$1,[2]enemies!$1:$1,0)+1,FALSE)</f>
        <v>15</v>
      </c>
      <c r="R9" s="53">
        <v>40</v>
      </c>
      <c r="S9" s="27">
        <v>1</v>
      </c>
      <c r="T9" s="27">
        <v>1</v>
      </c>
      <c r="U9" s="5">
        <v>0</v>
      </c>
      <c r="V9" s="4" t="str">
        <f ca="1">VLOOKUP($W9,OFFSET([4]enemy_skill_sets!$B$1,0,0,COUNTA([4]enemy_skill_sets!$B:$B),MATCH(M$1,[4]enemy_skill_sets!$1:$1,0)-MATCH($W$1,[4]enemy_skill_sets!$1:$1,0)+2),MATCH(M$1,[4]enemy_skill_sets!$1:$1,0)-MATCH($W$1,[4]enemy_skill_sets!$1:$1,0)+2,FALSE)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9" s="4">
        <f ca="1">VLOOKUP($L9,OFFSET([2]enemies!$A$1,0,0,COUNTA([2]enemies!$A:$A),MATCH(W$1,[2]enemies!$1:$1,0)-MATCH($L$1,[2]enemies!$1:$1,0)+1),MATCH(W$1,[2]enemies!$1:$1,0)-MATCH($L$1,[2]enemies!$1:$1,0)+1,FALSE)</f>
        <v>33</v>
      </c>
      <c r="X9" s="6">
        <v>0</v>
      </c>
      <c r="Y9" s="6">
        <v>100</v>
      </c>
      <c r="Z9" s="6">
        <v>0</v>
      </c>
      <c r="AA9" s="21">
        <f ca="1">VLOOKUP($L9,OFFSET([2]enemies!$A$1,0,0,COUNTA([2]enemies!$A:$A),MATCH(AA$1,[2]enemies!$1:$1,0)-MATCH($L$1,[2]enemies!$1:$1,0)+1),MATCH(AA$1,[2]enemies!$1:$1,0)-MATCH($L$1,[2]enemies!$1:$1,0)+1,FALSE)</f>
        <v>2</v>
      </c>
      <c r="AB9" s="52">
        <v>33</v>
      </c>
      <c r="AC9" s="4" t="str">
        <f ca="1">VLOOKUP($AB9,OFFSET([3]characters!$A$1,0,0,COUNTA([3]characters!$A:$A),MATCH(AC$1,[3]characters!$1:$1,0)-MATCH("character_id",[3]characters!$1:$1,0)+1),MATCH(AC$1,[3]characters!$1:$1,0)-MATCH("character_id",[3]characters!$1:$1,0)+1,FALSE)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9" s="4">
        <f ca="1">VLOOKUP($AB9,OFFSET([3]characters!$A$1,0,0,COUNTA([3]characters!$A:$A),MATCH(AD$1,[3]characters!$1:$1,0)-MATCH("character_id",[3]characters!$1:$1,0)+1),MATCH(AD$1,[3]characters!$1:$1,0)-MATCH("character_id",[3]characters!$1:$1,0)+1,FALSE)</f>
        <v>2</v>
      </c>
      <c r="AE9" s="4" t="str">
        <f ca="1">VLOOKUP($AB9,OFFSET([3]characters!$A$1,0,0,COUNTA([3]characters!$A:$A),MATCH(AE$1,[3]characters!$1:$1,0)-MATCH("character_id",[3]characters!$1:$1,0)+1),MATCH(AE$1,[3]characters!$1:$1,0)-MATCH("character_id",[3]characters!$1:$1,0)+1,FALSE)</f>
        <v>Drop1S</v>
      </c>
      <c r="AF9" s="7">
        <v>5</v>
      </c>
      <c r="AG9" s="26">
        <f t="shared" ca="1" si="3"/>
        <v>2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ht="14" x14ac:dyDescent="0.15">
      <c r="A10" s="18" t="str">
        <f t="shared" ca="1" si="0"/>
        <v>22_1-2/57&lt;lv40&gt;s2</v>
      </c>
      <c r="B10" s="50">
        <v>22</v>
      </c>
      <c r="C10" s="49">
        <v>1</v>
      </c>
      <c r="D10" s="2" t="str">
        <f t="shared" si="1"/>
        <v>22_1</v>
      </c>
      <c r="E10" s="2" t="str">
        <f t="shared" si="1"/>
        <v>1_22_1</v>
      </c>
      <c r="F10" s="4" t="str">
        <f ca="1">VLOOKUP($D10,OFFSET([1]stages!$A$1,0,0,COUNTA([1]stages!$A:$A),MATCH(F$1,[1]stages!$2:$2,0)-MATCH($D$1,[1]stages!$2:$2,0)+1),MATCH(F$1,[1]stages!$2:$2,0)-MATCH($D$1,[1]stages!$2:$2,0)+1,FALSE)</f>
        <v>22-1．開宴の遠吠え</v>
      </c>
      <c r="G10" s="54">
        <v>2</v>
      </c>
      <c r="H10" s="17" t="str">
        <f t="shared" si="2"/>
        <v>22_1-2</v>
      </c>
      <c r="I10" s="17"/>
      <c r="J10" s="17"/>
      <c r="K10" s="65" t="s">
        <v>56</v>
      </c>
      <c r="L10" s="52">
        <v>57</v>
      </c>
      <c r="M10" s="21" t="str">
        <f ca="1">VLOOKUP($L10,OFFSET([2]enemies!$A$1,0,0,COUNTA([2]enemies!$A:$A),MATCH(M$1,[2]enemies!$1:$1,0)-MATCH($L$1,[2]enemies!$1:$1,0)+1),MATCH(M$1,[2]enemies!$1:$1,0)-MATCH($L$1,[2]enemies!$1:$1,0)+1,FALSE)</f>
        <v>チェン・リー</v>
      </c>
      <c r="N10" s="21" t="str">
        <f ca="1">VLOOKUP($L10,OFFSET([2]enemies!$A$1,0,0,COUNTA([2]enemies!$A:$A),MATCH(N$1,[2]enemies!$1:$1,0)-MATCH($L$1,[2]enemies!$1:$1,0)+1),MATCH(N$1,[2]enemies!$1:$1,0)-MATCH($L$1,[2]enemies!$1:$1,0)+1,FALSE)</f>
        <v>red</v>
      </c>
      <c r="O10" s="21" t="str">
        <f ca="1">VLOOKUP($L10,OFFSET([3]characters!$A$1,0,0,COUNTA([3]characters!$A:$A),MATCH(O$1,[3]characters!$1:$1,0)-MATCH($L$1,[3]characters!$1:$1,0)+1),MATCH(O$1,[3]characters!$1:$1,0)-MATCH($L$1,[3]characters!$1:$1,0)+1,FALSE)</f>
        <v>Drop1N</v>
      </c>
      <c r="P10" s="21" t="str">
        <f ca="1">VLOOKUP($L10,OFFSET([2]enemies!$A$1,0,0,COUNTA([2]enemies!$A:$A),MATCH(P$1,[2]enemies!$1:$1,0)-MATCH($L$1,[2]enemies!$1:$1,0)+1),MATCH(P$1,[2]enemies!$1:$1,0)-MATCH($L$1,[2]enemies!$1:$1,0)+1,FALSE)</f>
        <v>animal</v>
      </c>
      <c r="Q10" s="21">
        <f ca="1">VLOOKUP($L10,OFFSET([2]enemies!$A$1,0,0,COUNTA([2]enemies!$A:$A),MATCH(Q$1,[2]enemies!$1:$1,0)-MATCH($L$1,[2]enemies!$1:$1,0)+1),MATCH(Q$1,[2]enemies!$1:$1,0)-MATCH($L$1,[2]enemies!$1:$1,0)+1,FALSE)</f>
        <v>15</v>
      </c>
      <c r="R10" s="53">
        <v>40</v>
      </c>
      <c r="S10" s="27">
        <v>1</v>
      </c>
      <c r="T10" s="27">
        <v>1</v>
      </c>
      <c r="U10" s="5">
        <v>0</v>
      </c>
      <c r="V10" s="4" t="str">
        <f ca="1">VLOOKUP($W10,OFFSET([4]enemy_skill_sets!$B$1,0,0,COUNTA([4]enemy_skill_sets!$B:$B),MATCH(M$1,[4]enemy_skill_sets!$1:$1,0)-MATCH($W$1,[4]enemy_skill_sets!$1:$1,0)+2),MATCH(M$1,[4]enemy_skill_sets!$1:$1,0)-MATCH($W$1,[4]enemy_skill_sets!$1:$1,0)+2,FALSE)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0" s="4">
        <f ca="1">VLOOKUP($L10,OFFSET([2]enemies!$A$1,0,0,COUNTA([2]enemies!$A:$A),MATCH(W$1,[2]enemies!$1:$1,0)-MATCH($L$1,[2]enemies!$1:$1,0)+1),MATCH(W$1,[2]enemies!$1:$1,0)-MATCH($L$1,[2]enemies!$1:$1,0)+1,FALSE)</f>
        <v>57</v>
      </c>
      <c r="X10" s="6">
        <v>0</v>
      </c>
      <c r="Y10" s="6">
        <v>100</v>
      </c>
      <c r="Z10" s="6">
        <v>0</v>
      </c>
      <c r="AA10" s="21">
        <f ca="1">VLOOKUP($L10,OFFSET([2]enemies!$A$1,0,0,COUNTA([2]enemies!$A:$A),MATCH(AA$1,[2]enemies!$1:$1,0)-MATCH($L$1,[2]enemies!$1:$1,0)+1),MATCH(AA$1,[2]enemies!$1:$1,0)-MATCH($L$1,[2]enemies!$1:$1,0)+1,FALSE)</f>
        <v>2</v>
      </c>
      <c r="AB10" s="52">
        <v>57</v>
      </c>
      <c r="AC10" s="4" t="str">
        <f ca="1">VLOOKUP($AB10,OFFSET([3]characters!$A$1,0,0,COUNTA([3]characters!$A:$A),MATCH(AC$1,[3]characters!$1:$1,0)-MATCH("character_id",[3]characters!$1:$1,0)+1),MATCH(AC$1,[3]characters!$1:$1,0)-MATCH("character_id",[3]characters!$1:$1,0)+1,FALSE)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0" s="4">
        <f ca="1">VLOOKUP($AB10,OFFSET([3]characters!$A$1,0,0,COUNTA([3]characters!$A:$A),MATCH(AD$1,[3]characters!$1:$1,0)-MATCH("character_id",[3]characters!$1:$1,0)+1),MATCH(AD$1,[3]characters!$1:$1,0)-MATCH("character_id",[3]characters!$1:$1,0)+1,FALSE)</f>
        <v>2</v>
      </c>
      <c r="AE10" s="4" t="str">
        <f ca="1">VLOOKUP($AB10,OFFSET([3]characters!$A$1,0,0,COUNTA([3]characters!$A:$A),MATCH(AE$1,[3]characters!$1:$1,0)-MATCH("character_id",[3]characters!$1:$1,0)+1),MATCH(AE$1,[3]characters!$1:$1,0)-MATCH("character_id",[3]characters!$1:$1,0)+1,FALSE)</f>
        <v>Drop1N</v>
      </c>
      <c r="AF10" s="7">
        <v>7</v>
      </c>
      <c r="AG10" s="26">
        <f t="shared" ca="1" si="3"/>
        <v>2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</row>
    <row r="11" spans="1:39" ht="14" x14ac:dyDescent="0.15">
      <c r="A11" s="18" t="str">
        <f t="shared" ref="A11" ca="1" si="12">B11&amp;"_"&amp;C11&amp;"-"&amp;G11&amp;"/"&amp;L11&amp;"&lt;lv"&amp;R11&amp;"&gt;s"&amp;AA11</f>
        <v>22_1-2/360&lt;lv40&gt;s3</v>
      </c>
      <c r="B11" s="53">
        <v>22</v>
      </c>
      <c r="C11" s="51">
        <v>1</v>
      </c>
      <c r="D11" s="2" t="str">
        <f t="shared" ref="D11" si="13">B11&amp;"_"&amp;C11</f>
        <v>22_1</v>
      </c>
      <c r="E11" s="2" t="str">
        <f t="shared" ref="E11" si="14">C11&amp;"_"&amp;D11</f>
        <v>1_22_1</v>
      </c>
      <c r="F11" s="4" t="str">
        <f ca="1">VLOOKUP($D11,OFFSET([1]stages!$A$1,0,0,COUNTA([1]stages!$A:$A),MATCH(F$1,[1]stages!$2:$2,0)-MATCH($D$1,[1]stages!$2:$2,0)+1),MATCH(F$1,[1]stages!$2:$2,0)-MATCH($D$1,[1]stages!$2:$2,0)+1,FALSE)</f>
        <v>22-1．開宴の遠吠え</v>
      </c>
      <c r="G11" s="54">
        <v>2</v>
      </c>
      <c r="H11" s="17" t="str">
        <f t="shared" ref="H11" si="15">B11&amp;"_"&amp;C11&amp;"-"&amp;G11</f>
        <v>22_1-2</v>
      </c>
      <c r="I11" s="17"/>
      <c r="J11" s="17"/>
      <c r="K11" s="65" t="s">
        <v>56</v>
      </c>
      <c r="L11" s="52">
        <v>360</v>
      </c>
      <c r="M11" s="21" t="str">
        <f ca="1">VLOOKUP($L11,OFFSET([2]enemies!$A$1,0,0,COUNTA([2]enemies!$A:$A),MATCH(M$1,[2]enemies!$1:$1,0)-MATCH($L$1,[2]enemies!$1:$1,0)+1),MATCH(M$1,[2]enemies!$1:$1,0)-MATCH($L$1,[2]enemies!$1:$1,0)+1,FALSE)</f>
        <v>ガンテツ</v>
      </c>
      <c r="N11" s="21" t="str">
        <f ca="1">VLOOKUP($L11,OFFSET([2]enemies!$A$1,0,0,COUNTA([2]enemies!$A:$A),MATCH(N$1,[2]enemies!$1:$1,0)-MATCH($L$1,[2]enemies!$1:$1,0)+1),MATCH(N$1,[2]enemies!$1:$1,0)-MATCH($L$1,[2]enemies!$1:$1,0)+1,FALSE)</f>
        <v>red</v>
      </c>
      <c r="O11" s="21" t="str">
        <f ca="1">VLOOKUP($L11,OFFSET([3]characters!$A$1,0,0,COUNTA([3]characters!$A:$A),MATCH(O$1,[3]characters!$1:$1,0)-MATCH($L$1,[3]characters!$1:$1,0)+1),MATCH(O$1,[3]characters!$1:$1,0)-MATCH($L$1,[3]characters!$1:$1,0)+1,FALSE)</f>
        <v>Drop1S</v>
      </c>
      <c r="P11" s="21" t="str">
        <f ca="1">VLOOKUP($L11,OFFSET([2]enemies!$A$1,0,0,COUNTA([2]enemies!$A:$A),MATCH(P$1,[2]enemies!$1:$1,0)-MATCH($L$1,[2]enemies!$1:$1,0)+1),MATCH(P$1,[2]enemies!$1:$1,0)-MATCH($L$1,[2]enemies!$1:$1,0)+1,FALSE)</f>
        <v>animal</v>
      </c>
      <c r="Q11" s="21">
        <f ca="1">VLOOKUP($L11,OFFSET([2]enemies!$A$1,0,0,COUNTA([2]enemies!$A:$A),MATCH(Q$1,[2]enemies!$1:$1,0)-MATCH($L$1,[2]enemies!$1:$1,0)+1),MATCH(Q$1,[2]enemies!$1:$1,0)-MATCH($L$1,[2]enemies!$1:$1,0)+1,FALSE)</f>
        <v>15</v>
      </c>
      <c r="R11" s="53">
        <v>40</v>
      </c>
      <c r="S11" s="27">
        <v>1</v>
      </c>
      <c r="T11" s="27">
        <v>1</v>
      </c>
      <c r="U11" s="5">
        <v>0</v>
      </c>
      <c r="V11" s="4" t="str">
        <f ca="1">VLOOKUP($W11,OFFSET([4]enemy_skill_sets!$B$1,0,0,COUNTA([4]enemy_skill_sets!$B:$B),MATCH(M$1,[4]enemy_skill_sets!$1:$1,0)-MATCH($W$1,[4]enemy_skill_sets!$1:$1,0)+2),MATCH(M$1,[4]enemy_skill_sets!$1:$1,0)-MATCH($W$1,[4]enemy_skill_sets!$1:$1,0)+2,FALSE)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1" s="76">
        <v>360</v>
      </c>
      <c r="X11" s="6">
        <v>0</v>
      </c>
      <c r="Y11" s="6">
        <v>100</v>
      </c>
      <c r="Z11" s="6">
        <v>0</v>
      </c>
      <c r="AA11" s="21">
        <f ca="1">VLOOKUP($L11,OFFSET([2]enemies!$A$1,0,0,COUNTA([2]enemies!$A:$A),MATCH(AA$1,[2]enemies!$1:$1,0)-MATCH($L$1,[2]enemies!$1:$1,0)+1),MATCH(AA$1,[2]enemies!$1:$1,0)-MATCH($L$1,[2]enemies!$1:$1,0)+1,FALSE)</f>
        <v>3</v>
      </c>
      <c r="AB11" s="52">
        <v>360</v>
      </c>
      <c r="AC11" s="4" t="str">
        <f ca="1">VLOOKUP($AB11,OFFSET([3]characters!$A$1,0,0,COUNTA([3]characters!$A:$A),MATCH(AC$1,[3]characters!$1:$1,0)-MATCH("character_id",[3]characters!$1:$1,0)+1),MATCH(AC$1,[3]characters!$1:$1,0)-MATCH("character_id",[3]characters!$1:$1,0)+1,FALSE)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1" s="4">
        <f ca="1">VLOOKUP($AB11,OFFSET([3]characters!$A$1,0,0,COUNTA([3]characters!$A:$A),MATCH(AD$1,[3]characters!$1:$1,0)-MATCH("character_id",[3]characters!$1:$1,0)+1),MATCH(AD$1,[3]characters!$1:$1,0)-MATCH("character_id",[3]characters!$1:$1,0)+1,FALSE)</f>
        <v>2</v>
      </c>
      <c r="AE11" s="4" t="str">
        <f ca="1">VLOOKUP($AB11,OFFSET([3]characters!$A$1,0,0,COUNTA([3]characters!$A:$A),MATCH(AE$1,[3]characters!$1:$1,0)-MATCH("character_id",[3]characters!$1:$1,0)+1),MATCH(AE$1,[3]characters!$1:$1,0)-MATCH("character_id",[3]characters!$1:$1,0)+1,FALSE)</f>
        <v>Drop1S</v>
      </c>
      <c r="AF11" s="7">
        <v>7</v>
      </c>
      <c r="AG11" s="26">
        <f t="shared" ca="1" si="3"/>
        <v>2</v>
      </c>
      <c r="AH11" s="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</row>
    <row r="12" spans="1:39" ht="14" x14ac:dyDescent="0.15">
      <c r="A12" s="18" t="str">
        <f t="shared" ref="A12" ca="1" si="16">B12&amp;"_"&amp;C12&amp;"-"&amp;G12&amp;"/"&amp;L12&amp;"&lt;lv"&amp;R12&amp;"&gt;s"&amp;AA12</f>
        <v>22_1-2/348&lt;lv40&gt;s3</v>
      </c>
      <c r="B12" s="53">
        <v>22</v>
      </c>
      <c r="C12" s="51">
        <v>1</v>
      </c>
      <c r="D12" s="2" t="str">
        <f t="shared" ref="D12" si="17">B12&amp;"_"&amp;C12</f>
        <v>22_1</v>
      </c>
      <c r="E12" s="2" t="str">
        <f t="shared" ref="E12" si="18">C12&amp;"_"&amp;D12</f>
        <v>1_22_1</v>
      </c>
      <c r="F12" s="4" t="str">
        <f ca="1">VLOOKUP($D12,OFFSET([1]stages!$A$1,0,0,COUNTA([1]stages!$A:$A),MATCH(F$1,[1]stages!$2:$2,0)-MATCH($D$1,[1]stages!$2:$2,0)+1),MATCH(F$1,[1]stages!$2:$2,0)-MATCH($D$1,[1]stages!$2:$2,0)+1,FALSE)</f>
        <v>22-1．開宴の遠吠え</v>
      </c>
      <c r="G12" s="54">
        <v>2</v>
      </c>
      <c r="H12" s="17" t="str">
        <f t="shared" ref="H12" si="19">B12&amp;"_"&amp;C12&amp;"-"&amp;G12</f>
        <v>22_1-2</v>
      </c>
      <c r="I12" s="17"/>
      <c r="J12" s="17"/>
      <c r="K12" s="65" t="s">
        <v>56</v>
      </c>
      <c r="L12" s="52">
        <v>348</v>
      </c>
      <c r="M12" s="21" t="str">
        <f ca="1">VLOOKUP($L12,OFFSET([2]enemies!$A$1,0,0,COUNTA([2]enemies!$A:$A),MATCH(M$1,[2]enemies!$1:$1,0)-MATCH($L$1,[2]enemies!$1:$1,0)+1),MATCH(M$1,[2]enemies!$1:$1,0)-MATCH($L$1,[2]enemies!$1:$1,0)+1,FALSE)</f>
        <v>炎のケロケロ</v>
      </c>
      <c r="N12" s="21" t="str">
        <f ca="1">VLOOKUP($L12,OFFSET([2]enemies!$A$1,0,0,COUNTA([2]enemies!$A:$A),MATCH(N$1,[2]enemies!$1:$1,0)-MATCH($L$1,[2]enemies!$1:$1,0)+1),MATCH(N$1,[2]enemies!$1:$1,0)-MATCH($L$1,[2]enemies!$1:$1,0)+1,FALSE)</f>
        <v>red</v>
      </c>
      <c r="O12" s="21" t="str">
        <f ca="1">VLOOKUP($L12,OFFSET([3]characters!$A$1,0,0,COUNTA([3]characters!$A:$A),MATCH(O$1,[3]characters!$1:$1,0)-MATCH($L$1,[3]characters!$1:$1,0)+1),MATCH(O$1,[3]characters!$1:$1,0)-MATCH($L$1,[3]characters!$1:$1,0)+1,FALSE)</f>
        <v>Material</v>
      </c>
      <c r="P12" s="21" t="str">
        <f ca="1">VLOOKUP($L12,OFFSET([2]enemies!$A$1,0,0,COUNTA([2]enemies!$A:$A),MATCH(P$1,[2]enemies!$1:$1,0)-MATCH($L$1,[2]enemies!$1:$1,0)+1),MATCH(P$1,[2]enemies!$1:$1,0)-MATCH($L$1,[2]enemies!$1:$1,0)+1,FALSE)</f>
        <v>unknown</v>
      </c>
      <c r="Q12" s="21">
        <f ca="1">VLOOKUP($L12,OFFSET([2]enemies!$A$1,0,0,COUNTA([2]enemies!$A:$A),MATCH(Q$1,[2]enemies!$1:$1,0)-MATCH($L$1,[2]enemies!$1:$1,0)+1),MATCH(Q$1,[2]enemies!$1:$1,0)-MATCH($L$1,[2]enemies!$1:$1,0)+1,FALSE)</f>
        <v>15</v>
      </c>
      <c r="R12" s="53">
        <v>40</v>
      </c>
      <c r="S12" s="27">
        <v>1</v>
      </c>
      <c r="T12" s="27">
        <v>1</v>
      </c>
      <c r="U12" s="5">
        <v>0</v>
      </c>
      <c r="V12" s="4" t="str">
        <f ca="1">VLOOKUP($W12,OFFSET([4]enemy_skill_sets!$B$1,0,0,COUNTA([4]enemy_skill_sets!$B:$B),MATCH(M$1,[4]enemy_skill_sets!$1:$1,0)-MATCH($W$1,[4]enemy_skill_sets!$1:$1,0)+2),MATCH(M$1,[4]enemy_skill_sets!$1:$1,0)-MATCH($W$1,[4]enemy_skill_sets!$1:$1,0)+2,FALSE)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12" s="64">
        <v>348</v>
      </c>
      <c r="X12" s="6">
        <v>0</v>
      </c>
      <c r="Y12" s="6">
        <v>100</v>
      </c>
      <c r="Z12" s="6">
        <v>0</v>
      </c>
      <c r="AA12" s="21">
        <f ca="1">VLOOKUP($L12,OFFSET([2]enemies!$A$1,0,0,COUNTA([2]enemies!$A:$A),MATCH(AA$1,[2]enemies!$1:$1,0)-MATCH($L$1,[2]enemies!$1:$1,0)+1),MATCH(AA$1,[2]enemies!$1:$1,0)-MATCH($L$1,[2]enemies!$1:$1,0)+1,FALSE)</f>
        <v>3</v>
      </c>
      <c r="AB12" s="52">
        <v>348</v>
      </c>
      <c r="AC12" s="4" t="str">
        <f ca="1">VLOOKUP($AB12,OFFSET([3]characters!$A$1,0,0,COUNTA([3]characters!$A:$A),MATCH(AC$1,[3]characters!$1:$1,0)-MATCH("character_id",[3]characters!$1:$1,0)+1),MATCH(AC$1,[3]characters!$1:$1,0)-MATCH("character_id",[3]characters!$1:$1,0)+1,FALSE)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12" s="4">
        <f ca="1">VLOOKUP($AB12,OFFSET([3]characters!$A$1,0,0,COUNTA([3]characters!$A:$A),MATCH(AD$1,[3]characters!$1:$1,0)-MATCH("character_id",[3]characters!$1:$1,0)+1),MATCH(AD$1,[3]characters!$1:$1,0)-MATCH("character_id",[3]characters!$1:$1,0)+1,FALSE)</f>
        <v>2</v>
      </c>
      <c r="AE12" s="4" t="str">
        <f ca="1">VLOOKUP($AB12,OFFSET([3]characters!$A$1,0,0,COUNTA([3]characters!$A:$A),MATCH(AE$1,[3]characters!$1:$1,0)-MATCH("character_id",[3]characters!$1:$1,0)+1),MATCH(AE$1,[3]characters!$1:$1,0)-MATCH("character_id",[3]characters!$1:$1,0)+1,FALSE)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2" s="7">
        <v>10</v>
      </c>
      <c r="AG12" s="26">
        <f t="shared" ca="1" si="3"/>
        <v>2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</row>
    <row r="13" spans="1:39" ht="14" x14ac:dyDescent="0.15">
      <c r="A13" s="18" t="str">
        <f t="shared" ca="1" si="0"/>
        <v>22_1-3/9&lt;lv40&gt;s2</v>
      </c>
      <c r="B13" s="50">
        <v>22</v>
      </c>
      <c r="C13" s="49">
        <v>1</v>
      </c>
      <c r="D13" s="2" t="str">
        <f t="shared" si="1"/>
        <v>22_1</v>
      </c>
      <c r="E13" s="2" t="str">
        <f t="shared" si="1"/>
        <v>1_22_1</v>
      </c>
      <c r="F13" s="4" t="str">
        <f ca="1">VLOOKUP($D13,OFFSET([1]stages!$A$1,0,0,COUNTA([1]stages!$A:$A),MATCH(F$1,[1]stages!$2:$2,0)-MATCH($D$1,[1]stages!$2:$2,0)+1),MATCH(F$1,[1]stages!$2:$2,0)-MATCH($D$1,[1]stages!$2:$2,0)+1,FALSE)</f>
        <v>22-1．開宴の遠吠え</v>
      </c>
      <c r="G13" s="55">
        <v>3</v>
      </c>
      <c r="H13" s="17" t="str">
        <f t="shared" si="2"/>
        <v>22_1-3</v>
      </c>
      <c r="I13" s="17"/>
      <c r="J13" s="17"/>
      <c r="K13" s="65" t="s">
        <v>56</v>
      </c>
      <c r="L13" s="52">
        <v>9</v>
      </c>
      <c r="M13" s="21" t="str">
        <f ca="1">VLOOKUP($L13,OFFSET([2]enemies!$A$1,0,0,COUNTA([2]enemies!$A:$A),MATCH(M$1,[2]enemies!$1:$1,0)-MATCH($L$1,[2]enemies!$1:$1,0)+1),MATCH(M$1,[2]enemies!$1:$1,0)-MATCH($L$1,[2]enemies!$1:$1,0)+1,FALSE)</f>
        <v>ブレット</v>
      </c>
      <c r="N13" s="21" t="str">
        <f ca="1">VLOOKUP($L13,OFFSET([2]enemies!$A$1,0,0,COUNTA([2]enemies!$A:$A),MATCH(N$1,[2]enemies!$1:$1,0)-MATCH($L$1,[2]enemies!$1:$1,0)+1),MATCH(N$1,[2]enemies!$1:$1,0)-MATCH($L$1,[2]enemies!$1:$1,0)+1,FALSE)</f>
        <v>red</v>
      </c>
      <c r="O13" s="21" t="str">
        <f ca="1">VLOOKUP($L13,OFFSET([3]characters!$A$1,0,0,COUNTA([3]characters!$A:$A),MATCH(O$1,[3]characters!$1:$1,0)-MATCH($L$1,[3]characters!$1:$1,0)+1),MATCH(O$1,[3]characters!$1:$1,0)-MATCH($L$1,[3]characters!$1:$1,0)+1,FALSE)</f>
        <v>Drop1W</v>
      </c>
      <c r="P13" s="21" t="str">
        <f ca="1">VLOOKUP($L13,OFFSET([2]enemies!$A$1,0,0,COUNTA([2]enemies!$A:$A),MATCH(P$1,[2]enemies!$1:$1,0)-MATCH($L$1,[2]enemies!$1:$1,0)+1),MATCH(P$1,[2]enemies!$1:$1,0)-MATCH($L$1,[2]enemies!$1:$1,0)+1,FALSE)</f>
        <v>animal</v>
      </c>
      <c r="Q13" s="21">
        <f ca="1">VLOOKUP($L13,OFFSET([2]enemies!$A$1,0,0,COUNTA([2]enemies!$A:$A),MATCH(Q$1,[2]enemies!$1:$1,0)-MATCH($L$1,[2]enemies!$1:$1,0)+1),MATCH(Q$1,[2]enemies!$1:$1,0)-MATCH($L$1,[2]enemies!$1:$1,0)+1,FALSE)</f>
        <v>15</v>
      </c>
      <c r="R13" s="53">
        <v>40</v>
      </c>
      <c r="S13" s="27">
        <v>1</v>
      </c>
      <c r="T13" s="27">
        <v>1</v>
      </c>
      <c r="U13" s="5">
        <v>0</v>
      </c>
      <c r="V13" s="4" t="str">
        <f ca="1">VLOOKUP($W13,OFFSET([4]enemy_skill_sets!$B$1,0,0,COUNTA([4]enemy_skill_sets!$B:$B),MATCH(M$1,[4]enemy_skill_sets!$1:$1,0)-MATCH($W$1,[4]enemy_skill_sets!$1:$1,0)+2),MATCH(M$1,[4]enemy_skill_sets!$1:$1,0)-MATCH($W$1,[4]enemy_skill_sets!$1:$1,0)+2,FALSE)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3" s="4">
        <f ca="1">VLOOKUP($L13,OFFSET([2]enemies!$A$1,0,0,COUNTA([2]enemies!$A:$A),MATCH(W$1,[2]enemies!$1:$1,0)-MATCH($L$1,[2]enemies!$1:$1,0)+1),MATCH(W$1,[2]enemies!$1:$1,0)-MATCH($L$1,[2]enemies!$1:$1,0)+1,FALSE)</f>
        <v>0</v>
      </c>
      <c r="X13" s="6">
        <v>0</v>
      </c>
      <c r="Y13" s="6">
        <v>100</v>
      </c>
      <c r="Z13" s="6">
        <v>0</v>
      </c>
      <c r="AA13" s="21">
        <f ca="1">VLOOKUP($L13,OFFSET([2]enemies!$A$1,0,0,COUNTA([2]enemies!$A:$A),MATCH(AA$1,[2]enemies!$1:$1,0)-MATCH($L$1,[2]enemies!$1:$1,0)+1),MATCH(AA$1,[2]enemies!$1:$1,0)-MATCH($L$1,[2]enemies!$1:$1,0)+1,FALSE)</f>
        <v>2</v>
      </c>
      <c r="AB13" s="52">
        <v>9</v>
      </c>
      <c r="AC13" s="4" t="str">
        <f ca="1">VLOOKUP($AB13,OFFSET([3]characters!$A$1,0,0,COUNTA([3]characters!$A:$A),MATCH(AC$1,[3]characters!$1:$1,0)-MATCH("character_id",[3]characters!$1:$1,0)+1),MATCH(AC$1,[3]characters!$1:$1,0)-MATCH("character_id",[3]characters!$1:$1,0)+1,FALSE)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13" s="4">
        <f ca="1">VLOOKUP($AB13,OFFSET([3]characters!$A$1,0,0,COUNTA([3]characters!$A:$A),MATCH(AD$1,[3]characters!$1:$1,0)-MATCH("character_id",[3]characters!$1:$1,0)+1),MATCH(AD$1,[3]characters!$1:$1,0)-MATCH("character_id",[3]characters!$1:$1,0)+1,FALSE)</f>
        <v>1</v>
      </c>
      <c r="AE13" s="4" t="str">
        <f ca="1">VLOOKUP($AB13,OFFSET([3]characters!$A$1,0,0,COUNTA([3]characters!$A:$A),MATCH(AE$1,[3]characters!$1:$1,0)-MATCH("character_id",[3]characters!$1:$1,0)+1),MATCH(AE$1,[3]characters!$1:$1,0)-MATCH("character_id",[3]characters!$1:$1,0)+1,FALSE)</f>
        <v>Drop1W</v>
      </c>
      <c r="AF13" s="7">
        <v>9</v>
      </c>
      <c r="AG13" s="26">
        <f t="shared" ca="1" si="3"/>
        <v>1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</row>
    <row r="14" spans="1:39" ht="21" customHeight="1" x14ac:dyDescent="0.15">
      <c r="A14" s="18" t="str">
        <f t="shared" ca="1" si="0"/>
        <v>22_1-3/25&lt;lv40&gt;s3</v>
      </c>
      <c r="B14" s="50">
        <v>22</v>
      </c>
      <c r="C14" s="49">
        <v>1</v>
      </c>
      <c r="D14" s="2" t="str">
        <f t="shared" si="1"/>
        <v>22_1</v>
      </c>
      <c r="E14" s="2" t="str">
        <f t="shared" si="1"/>
        <v>1_22_1</v>
      </c>
      <c r="F14" s="4" t="str">
        <f ca="1">VLOOKUP($D14,OFFSET([1]stages!$A$1,0,0,COUNTA([1]stages!$A:$A),MATCH(F$1,[1]stages!$2:$2,0)-MATCH($D$1,[1]stages!$2:$2,0)+1),MATCH(F$1,[1]stages!$2:$2,0)-MATCH($D$1,[1]stages!$2:$2,0)+1,FALSE)</f>
        <v>22-1．開宴の遠吠え</v>
      </c>
      <c r="G14" s="55">
        <v>3</v>
      </c>
      <c r="H14" s="17" t="str">
        <f t="shared" si="2"/>
        <v>22_1-3</v>
      </c>
      <c r="I14" s="17"/>
      <c r="J14" s="17"/>
      <c r="K14" s="65" t="s">
        <v>56</v>
      </c>
      <c r="L14" s="52">
        <v>25</v>
      </c>
      <c r="M14" s="21" t="str">
        <f ca="1">VLOOKUP($L14,OFFSET([2]enemies!$A$1,0,0,COUNTA([2]enemies!$A:$A),MATCH(M$1,[2]enemies!$1:$1,0)-MATCH($L$1,[2]enemies!$1:$1,0)+1),MATCH(M$1,[2]enemies!$1:$1,0)-MATCH($L$1,[2]enemies!$1:$1,0)+1,FALSE)</f>
        <v>ハチ</v>
      </c>
      <c r="N14" s="21" t="str">
        <f ca="1">VLOOKUP($L14,OFFSET([2]enemies!$A$1,0,0,COUNTA([2]enemies!$A:$A),MATCH(N$1,[2]enemies!$1:$1,0)-MATCH($L$1,[2]enemies!$1:$1,0)+1),MATCH(N$1,[2]enemies!$1:$1,0)-MATCH($L$1,[2]enemies!$1:$1,0)+1,FALSE)</f>
        <v>blue</v>
      </c>
      <c r="O14" s="21" t="str">
        <f ca="1">VLOOKUP($L14,OFFSET([3]characters!$A$1,0,0,COUNTA([3]characters!$A:$A),MATCH(O$1,[3]characters!$1:$1,0)-MATCH($L$1,[3]characters!$1:$1,0)+1),MATCH(O$1,[3]characters!$1:$1,0)-MATCH($L$1,[3]characters!$1:$1,0)+1,FALSE)</f>
        <v>Drop1N</v>
      </c>
      <c r="P14" s="21" t="str">
        <f ca="1">VLOOKUP($L14,OFFSET([2]enemies!$A$1,0,0,COUNTA([2]enemies!$A:$A),MATCH(P$1,[2]enemies!$1:$1,0)-MATCH($L$1,[2]enemies!$1:$1,0)+1),MATCH(P$1,[2]enemies!$1:$1,0)-MATCH($L$1,[2]enemies!$1:$1,0)+1,FALSE)</f>
        <v>animal</v>
      </c>
      <c r="Q14" s="21">
        <f ca="1">VLOOKUP($L14,OFFSET([2]enemies!$A$1,0,0,COUNTA([2]enemies!$A:$A),MATCH(Q$1,[2]enemies!$1:$1,0)-MATCH($L$1,[2]enemies!$1:$1,0)+1),MATCH(Q$1,[2]enemies!$1:$1,0)-MATCH($L$1,[2]enemies!$1:$1,0)+1,FALSE)</f>
        <v>15</v>
      </c>
      <c r="R14" s="53">
        <v>40</v>
      </c>
      <c r="S14" s="27">
        <v>1</v>
      </c>
      <c r="T14" s="27">
        <v>1</v>
      </c>
      <c r="U14" s="5">
        <v>0</v>
      </c>
      <c r="V14" s="4" t="str">
        <f ca="1">VLOOKUP($W14,OFFSET([4]enemy_skill_sets!$B$1,0,0,COUNTA([4]enemy_skill_sets!$B:$B),MATCH(M$1,[4]enemy_skill_sets!$1:$1,0)-MATCH($W$1,[4]enemy_skill_sets!$1:$1,0)+2),MATCH(M$1,[4]enemy_skill_sets!$1:$1,0)-MATCH($W$1,[4]enemy_skill_sets!$1:$1,0)+2,FALSE)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" s="4">
        <f ca="1">VLOOKUP($L14,OFFSET([2]enemies!$A$1,0,0,COUNTA([2]enemies!$A:$A),MATCH(W$1,[2]enemies!$1:$1,0)-MATCH($L$1,[2]enemies!$1:$1,0)+1),MATCH(W$1,[2]enemies!$1:$1,0)-MATCH($L$1,[2]enemies!$1:$1,0)+1,FALSE)</f>
        <v>0</v>
      </c>
      <c r="X14" s="6">
        <v>0</v>
      </c>
      <c r="Y14" s="6">
        <v>100</v>
      </c>
      <c r="Z14" s="6">
        <v>0</v>
      </c>
      <c r="AA14" s="21">
        <f ca="1">VLOOKUP($L14,OFFSET([2]enemies!$A$1,0,0,COUNTA([2]enemies!$A:$A),MATCH(AA$1,[2]enemies!$1:$1,0)-MATCH($L$1,[2]enemies!$1:$1,0)+1),MATCH(AA$1,[2]enemies!$1:$1,0)-MATCH($L$1,[2]enemies!$1:$1,0)+1,FALSE)</f>
        <v>3</v>
      </c>
      <c r="AB14" s="52">
        <v>25</v>
      </c>
      <c r="AC14" s="4" t="str">
        <f ca="1">VLOOKUP($AB14,OFFSET([3]characters!$A$1,0,0,COUNTA([3]characters!$A:$A),MATCH(AC$1,[3]characters!$1:$1,0)-MATCH("character_id",[3]characters!$1:$1,0)+1),MATCH(AC$1,[3]characters!$1:$1,0)-MATCH("character_id",[3]characters!$1:$1,0)+1,FALSE)</f>
        <v>ハチ</v>
      </c>
      <c r="AD14" s="4">
        <f ca="1">VLOOKUP($AB14,OFFSET([3]characters!$A$1,0,0,COUNTA([3]characters!$A:$A),MATCH(AD$1,[3]characters!$1:$1,0)-MATCH("character_id",[3]characters!$1:$1,0)+1),MATCH(AD$1,[3]characters!$1:$1,0)-MATCH("character_id",[3]characters!$1:$1,0)+1,FALSE)</f>
        <v>1</v>
      </c>
      <c r="AE14" s="4" t="str">
        <f ca="1">VLOOKUP($AB14,OFFSET([3]characters!$A$1,0,0,COUNTA([3]characters!$A:$A),MATCH(AE$1,[3]characters!$1:$1,0)-MATCH("character_id",[3]characters!$1:$1,0)+1),MATCH(AE$1,[3]characters!$1:$1,0)-MATCH("character_id",[3]characters!$1:$1,0)+1,FALSE)</f>
        <v>Drop1N</v>
      </c>
      <c r="AF14" s="7">
        <v>7</v>
      </c>
      <c r="AG14" s="26">
        <f t="shared" ca="1" si="3"/>
        <v>1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</row>
    <row r="15" spans="1:39" ht="21" customHeight="1" x14ac:dyDescent="0.15">
      <c r="A15" s="18" t="str">
        <f t="shared" ca="1" si="0"/>
        <v>22_1-3/33&lt;lv40&gt;s2</v>
      </c>
      <c r="B15" s="50">
        <v>22</v>
      </c>
      <c r="C15" s="49">
        <v>1</v>
      </c>
      <c r="D15" s="2" t="str">
        <f t="shared" si="1"/>
        <v>22_1</v>
      </c>
      <c r="E15" s="2" t="str">
        <f t="shared" si="1"/>
        <v>1_22_1</v>
      </c>
      <c r="F15" s="4" t="str">
        <f ca="1">VLOOKUP($D15,OFFSET([1]stages!$A$1,0,0,COUNTA([1]stages!$A:$A),MATCH(F$1,[1]stages!$2:$2,0)-MATCH($D$1,[1]stages!$2:$2,0)+1),MATCH(F$1,[1]stages!$2:$2,0)-MATCH($D$1,[1]stages!$2:$2,0)+1,FALSE)</f>
        <v>22-1．開宴の遠吠え</v>
      </c>
      <c r="G15" s="55">
        <v>3</v>
      </c>
      <c r="H15" s="17" t="str">
        <f t="shared" si="2"/>
        <v>22_1-3</v>
      </c>
      <c r="I15" s="17"/>
      <c r="J15" s="17"/>
      <c r="K15" s="65" t="s">
        <v>56</v>
      </c>
      <c r="L15" s="52">
        <v>33</v>
      </c>
      <c r="M15" s="21" t="str">
        <f ca="1">VLOOKUP($L15,OFFSET([2]enemies!$A$1,0,0,COUNTA([2]enemies!$A:$A),MATCH(M$1,[2]enemies!$1:$1,0)-MATCH($L$1,[2]enemies!$1:$1,0)+1),MATCH(M$1,[2]enemies!$1:$1,0)-MATCH($L$1,[2]enemies!$1:$1,0)+1,FALSE)</f>
        <v>ゴクウ</v>
      </c>
      <c r="N15" s="21" t="str">
        <f ca="1">VLOOKUP($L15,OFFSET([2]enemies!$A$1,0,0,COUNTA([2]enemies!$A:$A),MATCH(N$1,[2]enemies!$1:$1,0)-MATCH($L$1,[2]enemies!$1:$1,0)+1),MATCH(N$1,[2]enemies!$1:$1,0)-MATCH($L$1,[2]enemies!$1:$1,0)+1,FALSE)</f>
        <v>red</v>
      </c>
      <c r="O15" s="21" t="str">
        <f ca="1">VLOOKUP($L15,OFFSET([3]characters!$A$1,0,0,COUNTA([3]characters!$A:$A),MATCH(O$1,[3]characters!$1:$1,0)-MATCH($L$1,[3]characters!$1:$1,0)+1),MATCH(O$1,[3]characters!$1:$1,0)-MATCH($L$1,[3]characters!$1:$1,0)+1,FALSE)</f>
        <v>Drop1S</v>
      </c>
      <c r="P15" s="21" t="str">
        <f ca="1">VLOOKUP($L15,OFFSET([2]enemies!$A$1,0,0,COUNTA([2]enemies!$A:$A),MATCH(P$1,[2]enemies!$1:$1,0)-MATCH($L$1,[2]enemies!$1:$1,0)+1),MATCH(P$1,[2]enemies!$1:$1,0)-MATCH($L$1,[2]enemies!$1:$1,0)+1,FALSE)</f>
        <v>animal</v>
      </c>
      <c r="Q15" s="21">
        <f ca="1">VLOOKUP($L15,OFFSET([2]enemies!$A$1,0,0,COUNTA([2]enemies!$A:$A),MATCH(Q$1,[2]enemies!$1:$1,0)-MATCH($L$1,[2]enemies!$1:$1,0)+1),MATCH(Q$1,[2]enemies!$1:$1,0)-MATCH($L$1,[2]enemies!$1:$1,0)+1,FALSE)</f>
        <v>15</v>
      </c>
      <c r="R15" s="53">
        <v>40</v>
      </c>
      <c r="S15" s="27">
        <v>1</v>
      </c>
      <c r="T15" s="27">
        <v>1</v>
      </c>
      <c r="U15" s="5">
        <v>0</v>
      </c>
      <c r="V15" s="4" t="str">
        <f ca="1">VLOOKUP($W15,OFFSET([4]enemy_skill_sets!$B$1,0,0,COUNTA([4]enemy_skill_sets!$B:$B),MATCH(M$1,[4]enemy_skill_sets!$1:$1,0)-MATCH($W$1,[4]enemy_skill_sets!$1:$1,0)+2),MATCH(M$1,[4]enemy_skill_sets!$1:$1,0)-MATCH($W$1,[4]enemy_skill_sets!$1:$1,0)+2,FALSE)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5" s="4">
        <f ca="1">VLOOKUP($L15,OFFSET([2]enemies!$A$1,0,0,COUNTA([2]enemies!$A:$A),MATCH(W$1,[2]enemies!$1:$1,0)-MATCH($L$1,[2]enemies!$1:$1,0)+1),MATCH(W$1,[2]enemies!$1:$1,0)-MATCH($L$1,[2]enemies!$1:$1,0)+1,FALSE)</f>
        <v>33</v>
      </c>
      <c r="X15" s="6">
        <v>0</v>
      </c>
      <c r="Y15" s="6">
        <v>100</v>
      </c>
      <c r="Z15" s="6">
        <v>0</v>
      </c>
      <c r="AA15" s="21">
        <f ca="1">VLOOKUP($L15,OFFSET([2]enemies!$A$1,0,0,COUNTA([2]enemies!$A:$A),MATCH(AA$1,[2]enemies!$1:$1,0)-MATCH($L$1,[2]enemies!$1:$1,0)+1),MATCH(AA$1,[2]enemies!$1:$1,0)-MATCH($L$1,[2]enemies!$1:$1,0)+1,FALSE)</f>
        <v>2</v>
      </c>
      <c r="AB15" s="52">
        <v>33</v>
      </c>
      <c r="AC15" s="4" t="str">
        <f ca="1">VLOOKUP($AB15,OFFSET([3]characters!$A$1,0,0,COUNTA([3]characters!$A:$A),MATCH(AC$1,[3]characters!$1:$1,0)-MATCH("character_id",[3]characters!$1:$1,0)+1),MATCH(AC$1,[3]characters!$1:$1,0)-MATCH("character_id",[3]characters!$1:$1,0)+1,FALSE)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5" s="4">
        <f ca="1">VLOOKUP($AB15,OFFSET([3]characters!$A$1,0,0,COUNTA([3]characters!$A:$A),MATCH(AD$1,[3]characters!$1:$1,0)-MATCH("character_id",[3]characters!$1:$1,0)+1),MATCH(AD$1,[3]characters!$1:$1,0)-MATCH("character_id",[3]characters!$1:$1,0)+1,FALSE)</f>
        <v>2</v>
      </c>
      <c r="AE15" s="4" t="str">
        <f ca="1">VLOOKUP($AB15,OFFSET([3]characters!$A$1,0,0,COUNTA([3]characters!$A:$A),MATCH(AE$1,[3]characters!$1:$1,0)-MATCH("character_id",[3]characters!$1:$1,0)+1),MATCH(AE$1,[3]characters!$1:$1,0)-MATCH("character_id",[3]characters!$1:$1,0)+1,FALSE)</f>
        <v>Drop1S</v>
      </c>
      <c r="AF15" s="7">
        <v>5</v>
      </c>
      <c r="AG15" s="26">
        <f t="shared" ca="1" si="3"/>
        <v>2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</row>
    <row r="16" spans="1:39" ht="21" customHeight="1" x14ac:dyDescent="0.15">
      <c r="A16" s="18" t="str">
        <f t="shared" ca="1" si="0"/>
        <v>22_1-3/37&lt;lv40&gt;s3</v>
      </c>
      <c r="B16" s="50">
        <v>22</v>
      </c>
      <c r="C16" s="49">
        <v>1</v>
      </c>
      <c r="D16" s="2" t="str">
        <f t="shared" si="1"/>
        <v>22_1</v>
      </c>
      <c r="E16" s="2" t="str">
        <f t="shared" si="1"/>
        <v>1_22_1</v>
      </c>
      <c r="F16" s="4" t="str">
        <f ca="1">VLOOKUP($D16,OFFSET([1]stages!$A$1,0,0,COUNTA([1]stages!$A:$A),MATCH(F$1,[1]stages!$2:$2,0)-MATCH($D$1,[1]stages!$2:$2,0)+1),MATCH(F$1,[1]stages!$2:$2,0)-MATCH($D$1,[1]stages!$2:$2,0)+1,FALSE)</f>
        <v>22-1．開宴の遠吠え</v>
      </c>
      <c r="G16" s="55">
        <v>3</v>
      </c>
      <c r="H16" s="17" t="str">
        <f t="shared" si="2"/>
        <v>22_1-3</v>
      </c>
      <c r="I16" s="17"/>
      <c r="J16" s="17"/>
      <c r="K16" s="65" t="s">
        <v>56</v>
      </c>
      <c r="L16" s="52">
        <v>37</v>
      </c>
      <c r="M16" s="21" t="str">
        <f ca="1">VLOOKUP($L16,OFFSET([2]enemies!$A$1,0,0,COUNTA([2]enemies!$A:$A),MATCH(M$1,[2]enemies!$1:$1,0)-MATCH($L$1,[2]enemies!$1:$1,0)+1),MATCH(M$1,[2]enemies!$1:$1,0)-MATCH($L$1,[2]enemies!$1:$1,0)+1,FALSE)</f>
        <v>ガイル</v>
      </c>
      <c r="N16" s="21" t="str">
        <f ca="1">VLOOKUP($L16,OFFSET([2]enemies!$A$1,0,0,COUNTA([2]enemies!$A:$A),MATCH(N$1,[2]enemies!$1:$1,0)-MATCH($L$1,[2]enemies!$1:$1,0)+1),MATCH(N$1,[2]enemies!$1:$1,0)-MATCH($L$1,[2]enemies!$1:$1,0)+1,FALSE)</f>
        <v>blue</v>
      </c>
      <c r="O16" s="21" t="str">
        <f ca="1">VLOOKUP($L16,OFFSET([3]characters!$A$1,0,0,COUNTA([3]characters!$A:$A),MATCH(O$1,[3]characters!$1:$1,0)-MATCH($L$1,[3]characters!$1:$1,0)+1),MATCH(O$1,[3]characters!$1:$1,0)-MATCH($L$1,[3]characters!$1:$1,0)+1,FALSE)</f>
        <v>Drop1S</v>
      </c>
      <c r="P16" s="21" t="str">
        <f ca="1">VLOOKUP($L16,OFFSET([2]enemies!$A$1,0,0,COUNTA([2]enemies!$A:$A),MATCH(P$1,[2]enemies!$1:$1,0)-MATCH($L$1,[2]enemies!$1:$1,0)+1),MATCH(P$1,[2]enemies!$1:$1,0)-MATCH($L$1,[2]enemies!$1:$1,0)+1,FALSE)</f>
        <v>animal</v>
      </c>
      <c r="Q16" s="21">
        <f ca="1">VLOOKUP($L16,OFFSET([2]enemies!$A$1,0,0,COUNTA([2]enemies!$A:$A),MATCH(Q$1,[2]enemies!$1:$1,0)-MATCH($L$1,[2]enemies!$1:$1,0)+1),MATCH(Q$1,[2]enemies!$1:$1,0)-MATCH($L$1,[2]enemies!$1:$1,0)+1,FALSE)</f>
        <v>15</v>
      </c>
      <c r="R16" s="53">
        <v>40</v>
      </c>
      <c r="S16" s="27">
        <v>1</v>
      </c>
      <c r="T16" s="27">
        <v>1</v>
      </c>
      <c r="U16" s="5">
        <v>0</v>
      </c>
      <c r="V16" s="4" t="str">
        <f ca="1">VLOOKUP($W16,OFFSET([4]enemy_skill_sets!$B$1,0,0,COUNTA([4]enemy_skill_sets!$B:$B),MATCH(M$1,[4]enemy_skill_sets!$1:$1,0)-MATCH($W$1,[4]enemy_skill_sets!$1:$1,0)+2),MATCH(M$1,[4]enemy_skill_sets!$1:$1,0)-MATCH($W$1,[4]enemy_skill_sets!$1:$1,0)+2,FALSE)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16" s="4">
        <f ca="1">VLOOKUP($L16,OFFSET([2]enemies!$A$1,0,0,COUNTA([2]enemies!$A:$A),MATCH(W$1,[2]enemies!$1:$1,0)-MATCH($L$1,[2]enemies!$1:$1,0)+1),MATCH(W$1,[2]enemies!$1:$1,0)-MATCH($L$1,[2]enemies!$1:$1,0)+1,FALSE)</f>
        <v>37</v>
      </c>
      <c r="X16" s="6">
        <v>0</v>
      </c>
      <c r="Y16" s="6">
        <v>100</v>
      </c>
      <c r="Z16" s="6">
        <v>0</v>
      </c>
      <c r="AA16" s="21">
        <f ca="1">VLOOKUP($L16,OFFSET([2]enemies!$A$1,0,0,COUNTA([2]enemies!$A:$A),MATCH(AA$1,[2]enemies!$1:$1,0)-MATCH($L$1,[2]enemies!$1:$1,0)+1),MATCH(AA$1,[2]enemies!$1:$1,0)-MATCH($L$1,[2]enemies!$1:$1,0)+1,FALSE)</f>
        <v>3</v>
      </c>
      <c r="AB16" s="52">
        <v>37</v>
      </c>
      <c r="AC16" s="4" t="str">
        <f ca="1">VLOOKUP($AB16,OFFSET([3]characters!$A$1,0,0,COUNTA([3]characters!$A:$A),MATCH(AC$1,[3]characters!$1:$1,0)-MATCH("character_id",[3]characters!$1:$1,0)+1),MATCH(AC$1,[3]characters!$1:$1,0)-MATCH("character_id",[3]characters!$1:$1,0)+1,FALSE)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16" s="4">
        <f ca="1">VLOOKUP($AB16,OFFSET([3]characters!$A$1,0,0,COUNTA([3]characters!$A:$A),MATCH(AD$1,[3]characters!$1:$1,0)-MATCH("character_id",[3]characters!$1:$1,0)+1),MATCH(AD$1,[3]characters!$1:$1,0)-MATCH("character_id",[3]characters!$1:$1,0)+1,FALSE)</f>
        <v>2</v>
      </c>
      <c r="AE16" s="4" t="str">
        <f ca="1">VLOOKUP($AB16,OFFSET([3]characters!$A$1,0,0,COUNTA([3]characters!$A:$A),MATCH(AE$1,[3]characters!$1:$1,0)-MATCH("character_id",[3]characters!$1:$1,0)+1),MATCH(AE$1,[3]characters!$1:$1,0)-MATCH("character_id",[3]characters!$1:$1,0)+1,FALSE)</f>
        <v>Drop1S</v>
      </c>
      <c r="AF16" s="7">
        <v>5</v>
      </c>
      <c r="AG16" s="26">
        <f t="shared" ca="1" si="3"/>
        <v>2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</row>
    <row r="17" spans="1:39" ht="21" customHeight="1" x14ac:dyDescent="0.15">
      <c r="A17" s="18" t="str">
        <f t="shared" ca="1" si="0"/>
        <v>22_1-3/45&lt;lv40&gt;s3</v>
      </c>
      <c r="B17" s="50">
        <v>22</v>
      </c>
      <c r="C17" s="49">
        <v>1</v>
      </c>
      <c r="D17" s="2" t="str">
        <f t="shared" si="1"/>
        <v>22_1</v>
      </c>
      <c r="E17" s="2" t="str">
        <f t="shared" si="1"/>
        <v>1_22_1</v>
      </c>
      <c r="F17" s="4" t="str">
        <f ca="1">VLOOKUP($D17,OFFSET([1]stages!$A$1,0,0,COUNTA([1]stages!$A:$A),MATCH(F$1,[1]stages!$2:$2,0)-MATCH($D$1,[1]stages!$2:$2,0)+1),MATCH(F$1,[1]stages!$2:$2,0)-MATCH($D$1,[1]stages!$2:$2,0)+1,FALSE)</f>
        <v>22-1．開宴の遠吠え</v>
      </c>
      <c r="G17" s="55">
        <v>3</v>
      </c>
      <c r="H17" s="17" t="str">
        <f t="shared" si="2"/>
        <v>22_1-3</v>
      </c>
      <c r="I17" s="17"/>
      <c r="J17" s="17"/>
      <c r="K17" s="65" t="s">
        <v>56</v>
      </c>
      <c r="L17" s="52">
        <v>45</v>
      </c>
      <c r="M17" s="21" t="str">
        <f ca="1">VLOOKUP($L17,OFFSET([2]enemies!$A$1,0,0,COUNTA([2]enemies!$A:$A),MATCH(M$1,[2]enemies!$1:$1,0)-MATCH($L$1,[2]enemies!$1:$1,0)+1),MATCH(M$1,[2]enemies!$1:$1,0)-MATCH($L$1,[2]enemies!$1:$1,0)+1,FALSE)</f>
        <v>ショウイン</v>
      </c>
      <c r="N17" s="21" t="str">
        <f ca="1">VLOOKUP($L17,OFFSET([2]enemies!$A$1,0,0,COUNTA([2]enemies!$A:$A),MATCH(N$1,[2]enemies!$1:$1,0)-MATCH($L$1,[2]enemies!$1:$1,0)+1),MATCH(N$1,[2]enemies!$1:$1,0)-MATCH($L$1,[2]enemies!$1:$1,0)+1,FALSE)</f>
        <v>blue</v>
      </c>
      <c r="O17" s="21" t="str">
        <f ca="1">VLOOKUP($L17,OFFSET([3]characters!$A$1,0,0,COUNTA([3]characters!$A:$A),MATCH(O$1,[3]characters!$1:$1,0)-MATCH($L$1,[3]characters!$1:$1,0)+1),MATCH(O$1,[3]characters!$1:$1,0)-MATCH($L$1,[3]characters!$1:$1,0)+1,FALSE)</f>
        <v>Drop1N</v>
      </c>
      <c r="P17" s="21" t="str">
        <f ca="1">VLOOKUP($L17,OFFSET([2]enemies!$A$1,0,0,COUNTA([2]enemies!$A:$A),MATCH(P$1,[2]enemies!$1:$1,0)-MATCH($L$1,[2]enemies!$1:$1,0)+1),MATCH(P$1,[2]enemies!$1:$1,0)-MATCH($L$1,[2]enemies!$1:$1,0)+1,FALSE)</f>
        <v>animal</v>
      </c>
      <c r="Q17" s="21">
        <f ca="1">VLOOKUP($L17,OFFSET([2]enemies!$A$1,0,0,COUNTA([2]enemies!$A:$A),MATCH(Q$1,[2]enemies!$1:$1,0)-MATCH($L$1,[2]enemies!$1:$1,0)+1),MATCH(Q$1,[2]enemies!$1:$1,0)-MATCH($L$1,[2]enemies!$1:$1,0)+1,FALSE)</f>
        <v>15</v>
      </c>
      <c r="R17" s="53">
        <v>40</v>
      </c>
      <c r="S17" s="27">
        <v>1</v>
      </c>
      <c r="T17" s="27">
        <v>1</v>
      </c>
      <c r="U17" s="5">
        <v>0</v>
      </c>
      <c r="V17" s="4" t="str">
        <f ca="1">VLOOKUP($W17,OFFSET([4]enemy_skill_sets!$B$1,0,0,COUNTA([4]enemy_skill_sets!$B:$B),MATCH(M$1,[4]enemy_skill_sets!$1:$1,0)-MATCH($W$1,[4]enemy_skill_sets!$1:$1,0)+2),MATCH(M$1,[4]enemy_skill_sets!$1:$1,0)-MATCH($W$1,[4]enemy_skill_sets!$1:$1,0)+2,FALSE)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7" s="4">
        <f ca="1">VLOOKUP($L17,OFFSET([2]enemies!$A$1,0,0,COUNTA([2]enemies!$A:$A),MATCH(W$1,[2]enemies!$1:$1,0)-MATCH($L$1,[2]enemies!$1:$1,0)+1),MATCH(W$1,[2]enemies!$1:$1,0)-MATCH($L$1,[2]enemies!$1:$1,0)+1,FALSE)</f>
        <v>0</v>
      </c>
      <c r="X17" s="6">
        <v>0</v>
      </c>
      <c r="Y17" s="6">
        <v>100</v>
      </c>
      <c r="Z17" s="6">
        <v>0</v>
      </c>
      <c r="AA17" s="21">
        <f ca="1">VLOOKUP($L17,OFFSET([2]enemies!$A$1,0,0,COUNTA([2]enemies!$A:$A),MATCH(AA$1,[2]enemies!$1:$1,0)-MATCH($L$1,[2]enemies!$1:$1,0)+1),MATCH(AA$1,[2]enemies!$1:$1,0)-MATCH($L$1,[2]enemies!$1:$1,0)+1,FALSE)</f>
        <v>3</v>
      </c>
      <c r="AB17" s="52">
        <v>45</v>
      </c>
      <c r="AC17" s="4" t="str">
        <f ca="1">VLOOKUP($AB17,OFFSET([3]characters!$A$1,0,0,COUNTA([3]characters!$A:$A),MATCH(AC$1,[3]characters!$1:$1,0)-MATCH("character_id",[3]characters!$1:$1,0)+1),MATCH(AC$1,[3]characters!$1:$1,0)-MATCH("character_id",[3]characters!$1:$1,0)+1,FALSE)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17" s="4">
        <f ca="1">VLOOKUP($AB17,OFFSET([3]characters!$A$1,0,0,COUNTA([3]characters!$A:$A),MATCH(AD$1,[3]characters!$1:$1,0)-MATCH("character_id",[3]characters!$1:$1,0)+1),MATCH(AD$1,[3]characters!$1:$1,0)-MATCH("character_id",[3]characters!$1:$1,0)+1,FALSE)</f>
        <v>2</v>
      </c>
      <c r="AE17" s="4" t="str">
        <f ca="1">VLOOKUP($AB17,OFFSET([3]characters!$A$1,0,0,COUNTA([3]characters!$A:$A),MATCH(AE$1,[3]characters!$1:$1,0)-MATCH("character_id",[3]characters!$1:$1,0)+1),MATCH(AE$1,[3]characters!$1:$1,0)-MATCH("character_id",[3]characters!$1:$1,0)+1,FALSE)</f>
        <v>Drop1N</v>
      </c>
      <c r="AF17" s="7">
        <v>7</v>
      </c>
      <c r="AG17" s="26">
        <f t="shared" ca="1" si="3"/>
        <v>2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</row>
    <row r="18" spans="1:39" ht="21" customHeight="1" x14ac:dyDescent="0.15">
      <c r="A18" s="18" t="str">
        <f t="shared" ca="1" si="0"/>
        <v>22_1-3/57&lt;lv40&gt;s2</v>
      </c>
      <c r="B18" s="50">
        <v>22</v>
      </c>
      <c r="C18" s="49">
        <v>1</v>
      </c>
      <c r="D18" s="2" t="str">
        <f t="shared" si="1"/>
        <v>22_1</v>
      </c>
      <c r="E18" s="2" t="str">
        <f t="shared" si="1"/>
        <v>1_22_1</v>
      </c>
      <c r="F18" s="4" t="str">
        <f ca="1">VLOOKUP($D18,OFFSET([1]stages!$A$1,0,0,COUNTA([1]stages!$A:$A),MATCH(F$1,[1]stages!$2:$2,0)-MATCH($D$1,[1]stages!$2:$2,0)+1),MATCH(F$1,[1]stages!$2:$2,0)-MATCH($D$1,[1]stages!$2:$2,0)+1,FALSE)</f>
        <v>22-1．開宴の遠吠え</v>
      </c>
      <c r="G18" s="55">
        <v>3</v>
      </c>
      <c r="H18" s="17" t="str">
        <f t="shared" si="2"/>
        <v>22_1-3</v>
      </c>
      <c r="I18" s="17"/>
      <c r="J18" s="17"/>
      <c r="K18" s="65" t="s">
        <v>56</v>
      </c>
      <c r="L18" s="52">
        <v>57</v>
      </c>
      <c r="M18" s="21" t="str">
        <f ca="1">VLOOKUP($L18,OFFSET([2]enemies!$A$1,0,0,COUNTA([2]enemies!$A:$A),MATCH(M$1,[2]enemies!$1:$1,0)-MATCH($L$1,[2]enemies!$1:$1,0)+1),MATCH(M$1,[2]enemies!$1:$1,0)-MATCH($L$1,[2]enemies!$1:$1,0)+1,FALSE)</f>
        <v>チェン・リー</v>
      </c>
      <c r="N18" s="21" t="str">
        <f ca="1">VLOOKUP($L18,OFFSET([2]enemies!$A$1,0,0,COUNTA([2]enemies!$A:$A),MATCH(N$1,[2]enemies!$1:$1,0)-MATCH($L$1,[2]enemies!$1:$1,0)+1),MATCH(N$1,[2]enemies!$1:$1,0)-MATCH($L$1,[2]enemies!$1:$1,0)+1,FALSE)</f>
        <v>red</v>
      </c>
      <c r="O18" s="21" t="str">
        <f ca="1">VLOOKUP($L18,OFFSET([3]characters!$A$1,0,0,COUNTA([3]characters!$A:$A),MATCH(O$1,[3]characters!$1:$1,0)-MATCH($L$1,[3]characters!$1:$1,0)+1),MATCH(O$1,[3]characters!$1:$1,0)-MATCH($L$1,[3]characters!$1:$1,0)+1,FALSE)</f>
        <v>Drop1N</v>
      </c>
      <c r="P18" s="21" t="str">
        <f ca="1">VLOOKUP($L18,OFFSET([2]enemies!$A$1,0,0,COUNTA([2]enemies!$A:$A),MATCH(P$1,[2]enemies!$1:$1,0)-MATCH($L$1,[2]enemies!$1:$1,0)+1),MATCH(P$1,[2]enemies!$1:$1,0)-MATCH($L$1,[2]enemies!$1:$1,0)+1,FALSE)</f>
        <v>animal</v>
      </c>
      <c r="Q18" s="21">
        <f ca="1">VLOOKUP($L18,OFFSET([2]enemies!$A$1,0,0,COUNTA([2]enemies!$A:$A),MATCH(Q$1,[2]enemies!$1:$1,0)-MATCH($L$1,[2]enemies!$1:$1,0)+1),MATCH(Q$1,[2]enemies!$1:$1,0)-MATCH($L$1,[2]enemies!$1:$1,0)+1,FALSE)</f>
        <v>15</v>
      </c>
      <c r="R18" s="53">
        <v>40</v>
      </c>
      <c r="S18" s="27">
        <v>1</v>
      </c>
      <c r="T18" s="27">
        <v>1</v>
      </c>
      <c r="U18" s="5">
        <v>0</v>
      </c>
      <c r="V18" s="4" t="str">
        <f ca="1">VLOOKUP($W18,OFFSET([4]enemy_skill_sets!$B$1,0,0,COUNTA([4]enemy_skill_sets!$B:$B),MATCH(M$1,[4]enemy_skill_sets!$1:$1,0)-MATCH($W$1,[4]enemy_skill_sets!$1:$1,0)+2),MATCH(M$1,[4]enemy_skill_sets!$1:$1,0)-MATCH($W$1,[4]enemy_skill_sets!$1:$1,0)+2,FALSE)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8" s="4">
        <f ca="1">VLOOKUP($L18,OFFSET([2]enemies!$A$1,0,0,COUNTA([2]enemies!$A:$A),MATCH(W$1,[2]enemies!$1:$1,0)-MATCH($L$1,[2]enemies!$1:$1,0)+1),MATCH(W$1,[2]enemies!$1:$1,0)-MATCH($L$1,[2]enemies!$1:$1,0)+1,FALSE)</f>
        <v>57</v>
      </c>
      <c r="X18" s="6">
        <v>0</v>
      </c>
      <c r="Y18" s="6">
        <v>100</v>
      </c>
      <c r="Z18" s="6">
        <v>0</v>
      </c>
      <c r="AA18" s="21">
        <f ca="1">VLOOKUP($L18,OFFSET([2]enemies!$A$1,0,0,COUNTA([2]enemies!$A:$A),MATCH(AA$1,[2]enemies!$1:$1,0)-MATCH($L$1,[2]enemies!$1:$1,0)+1),MATCH(AA$1,[2]enemies!$1:$1,0)-MATCH($L$1,[2]enemies!$1:$1,0)+1,FALSE)</f>
        <v>2</v>
      </c>
      <c r="AB18" s="52">
        <v>57</v>
      </c>
      <c r="AC18" s="4" t="str">
        <f ca="1">VLOOKUP($AB18,OFFSET([3]characters!$A$1,0,0,COUNTA([3]characters!$A:$A),MATCH(AC$1,[3]characters!$1:$1,0)-MATCH("character_id",[3]characters!$1:$1,0)+1),MATCH(AC$1,[3]characters!$1:$1,0)-MATCH("character_id",[3]characters!$1:$1,0)+1,FALSE)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8" s="4">
        <f ca="1">VLOOKUP($AB18,OFFSET([3]characters!$A$1,0,0,COUNTA([3]characters!$A:$A),MATCH(AD$1,[3]characters!$1:$1,0)-MATCH("character_id",[3]characters!$1:$1,0)+1),MATCH(AD$1,[3]characters!$1:$1,0)-MATCH("character_id",[3]characters!$1:$1,0)+1,FALSE)</f>
        <v>2</v>
      </c>
      <c r="AE18" s="4" t="str">
        <f ca="1">VLOOKUP($AB18,OFFSET([3]characters!$A$1,0,0,COUNTA([3]characters!$A:$A),MATCH(AE$1,[3]characters!$1:$1,0)-MATCH("character_id",[3]characters!$1:$1,0)+1),MATCH(AE$1,[3]characters!$1:$1,0)-MATCH("character_id",[3]characters!$1:$1,0)+1,FALSE)</f>
        <v>Drop1N</v>
      </c>
      <c r="AF18" s="7">
        <v>7</v>
      </c>
      <c r="AG18" s="26">
        <f t="shared" ca="1" si="3"/>
        <v>2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</row>
    <row r="19" spans="1:39" ht="21" customHeight="1" x14ac:dyDescent="0.15">
      <c r="A19" s="18" t="str">
        <f t="shared" ca="1" si="0"/>
        <v>22_1-3/61&lt;lv40&gt;s2</v>
      </c>
      <c r="B19" s="50">
        <v>22</v>
      </c>
      <c r="C19" s="49">
        <v>1</v>
      </c>
      <c r="D19" s="2" t="str">
        <f t="shared" si="1"/>
        <v>22_1</v>
      </c>
      <c r="E19" s="2" t="str">
        <f t="shared" si="1"/>
        <v>1_22_1</v>
      </c>
      <c r="F19" s="4" t="str">
        <f ca="1">VLOOKUP($D19,OFFSET([1]stages!$A$1,0,0,COUNTA([1]stages!$A:$A),MATCH(F$1,[1]stages!$2:$2,0)-MATCH($D$1,[1]stages!$2:$2,0)+1),MATCH(F$1,[1]stages!$2:$2,0)-MATCH($D$1,[1]stages!$2:$2,0)+1,FALSE)</f>
        <v>22-1．開宴の遠吠え</v>
      </c>
      <c r="G19" s="55">
        <v>3</v>
      </c>
      <c r="H19" s="17" t="str">
        <f t="shared" si="2"/>
        <v>22_1-3</v>
      </c>
      <c r="I19" s="17"/>
      <c r="J19" s="17"/>
      <c r="K19" s="65" t="s">
        <v>56</v>
      </c>
      <c r="L19" s="52">
        <v>61</v>
      </c>
      <c r="M19" s="21" t="str">
        <f ca="1">VLOOKUP($L19,OFFSET([2]enemies!$A$1,0,0,COUNTA([2]enemies!$A:$A),MATCH(M$1,[2]enemies!$1:$1,0)-MATCH($L$1,[2]enemies!$1:$1,0)+1),MATCH(M$1,[2]enemies!$1:$1,0)-MATCH($L$1,[2]enemies!$1:$1,0)+1,FALSE)</f>
        <v>クロウ</v>
      </c>
      <c r="N19" s="21" t="str">
        <f ca="1">VLOOKUP($L19,OFFSET([2]enemies!$A$1,0,0,COUNTA([2]enemies!$A:$A),MATCH(N$1,[2]enemies!$1:$1,0)-MATCH($L$1,[2]enemies!$1:$1,0)+1),MATCH(N$1,[2]enemies!$1:$1,0)-MATCH($L$1,[2]enemies!$1:$1,0)+1,FALSE)</f>
        <v>blue</v>
      </c>
      <c r="O19" s="21" t="str">
        <f ca="1">VLOOKUP($L19,OFFSET([3]characters!$A$1,0,0,COUNTA([3]characters!$A:$A),MATCH(O$1,[3]characters!$1:$1,0)-MATCH($L$1,[3]characters!$1:$1,0)+1),MATCH(O$1,[3]characters!$1:$1,0)-MATCH($L$1,[3]characters!$1:$1,0)+1,FALSE)</f>
        <v>Drop1N</v>
      </c>
      <c r="P19" s="21" t="str">
        <f ca="1">VLOOKUP($L19,OFFSET([2]enemies!$A$1,0,0,COUNTA([2]enemies!$A:$A),MATCH(P$1,[2]enemies!$1:$1,0)-MATCH($L$1,[2]enemies!$1:$1,0)+1),MATCH(P$1,[2]enemies!$1:$1,0)-MATCH($L$1,[2]enemies!$1:$1,0)+1,FALSE)</f>
        <v>animal</v>
      </c>
      <c r="Q19" s="21">
        <f ca="1">VLOOKUP($L19,OFFSET([2]enemies!$A$1,0,0,COUNTA([2]enemies!$A:$A),MATCH(Q$1,[2]enemies!$1:$1,0)-MATCH($L$1,[2]enemies!$1:$1,0)+1),MATCH(Q$1,[2]enemies!$1:$1,0)-MATCH($L$1,[2]enemies!$1:$1,0)+1,FALSE)</f>
        <v>15</v>
      </c>
      <c r="R19" s="53">
        <v>40</v>
      </c>
      <c r="S19" s="27">
        <v>1</v>
      </c>
      <c r="T19" s="27">
        <v>1</v>
      </c>
      <c r="U19" s="5">
        <v>0</v>
      </c>
      <c r="V19" s="4" t="str">
        <f ca="1">VLOOKUP($W19,OFFSET([4]enemy_skill_sets!$B$1,0,0,COUNTA([4]enemy_skill_sets!$B:$B),MATCH(M$1,[4]enemy_skill_sets!$1:$1,0)-MATCH($W$1,[4]enemy_skill_sets!$1:$1,0)+2),MATCH(M$1,[4]enemy_skill_sets!$1:$1,0)-MATCH($W$1,[4]enemy_skill_sets!$1:$1,0)+2,FALSE)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9" s="4">
        <f ca="1">VLOOKUP($L19,OFFSET([2]enemies!$A$1,0,0,COUNTA([2]enemies!$A:$A),MATCH(W$1,[2]enemies!$1:$1,0)-MATCH($L$1,[2]enemies!$1:$1,0)+1),MATCH(W$1,[2]enemies!$1:$1,0)-MATCH($L$1,[2]enemies!$1:$1,0)+1,FALSE)</f>
        <v>61</v>
      </c>
      <c r="X19" s="6">
        <v>0</v>
      </c>
      <c r="Y19" s="6">
        <v>100</v>
      </c>
      <c r="Z19" s="6">
        <v>0</v>
      </c>
      <c r="AA19" s="21">
        <f ca="1">VLOOKUP($L19,OFFSET([2]enemies!$A$1,0,0,COUNTA([2]enemies!$A:$A),MATCH(AA$1,[2]enemies!$1:$1,0)-MATCH($L$1,[2]enemies!$1:$1,0)+1),MATCH(AA$1,[2]enemies!$1:$1,0)-MATCH($L$1,[2]enemies!$1:$1,0)+1,FALSE)</f>
        <v>2</v>
      </c>
      <c r="AB19" s="52">
        <v>61</v>
      </c>
      <c r="AC19" s="4" t="str">
        <f ca="1">VLOOKUP($AB19,OFFSET([3]characters!$A$1,0,0,COUNTA([3]characters!$A:$A),MATCH(AC$1,[3]characters!$1:$1,0)-MATCH("character_id",[3]characters!$1:$1,0)+1),MATCH(AC$1,[3]characters!$1:$1,0)-MATCH("character_id",[3]characters!$1:$1,0)+1,FALSE)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19" s="4">
        <f ca="1">VLOOKUP($AB19,OFFSET([3]characters!$A$1,0,0,COUNTA([3]characters!$A:$A),MATCH(AD$1,[3]characters!$1:$1,0)-MATCH("character_id",[3]characters!$1:$1,0)+1),MATCH(AD$1,[3]characters!$1:$1,0)-MATCH("character_id",[3]characters!$1:$1,0)+1,FALSE)</f>
        <v>2</v>
      </c>
      <c r="AE19" s="4" t="str">
        <f ca="1">VLOOKUP($AB19,OFFSET([3]characters!$A$1,0,0,COUNTA([3]characters!$A:$A),MATCH(AE$1,[3]characters!$1:$1,0)-MATCH("character_id",[3]characters!$1:$1,0)+1),MATCH(AE$1,[3]characters!$1:$1,0)-MATCH("character_id",[3]characters!$1:$1,0)+1,FALSE)</f>
        <v>Drop1N</v>
      </c>
      <c r="AF19" s="7">
        <v>7</v>
      </c>
      <c r="AG19" s="26">
        <f t="shared" ca="1" si="3"/>
        <v>2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</row>
    <row r="20" spans="1:39" ht="21" customHeight="1" x14ac:dyDescent="0.15">
      <c r="A20" s="18" t="str">
        <f t="shared" ref="A20" ca="1" si="20">B20&amp;"_"&amp;C20&amp;"-"&amp;G20&amp;"/"&amp;L20&amp;"&lt;lv"&amp;R20&amp;"&gt;s"&amp;AA20</f>
        <v>22_1-3/360&lt;lv40&gt;s3</v>
      </c>
      <c r="B20" s="53">
        <v>22</v>
      </c>
      <c r="C20" s="51">
        <v>1</v>
      </c>
      <c r="D20" s="2" t="str">
        <f t="shared" ref="D20" si="21">B20&amp;"_"&amp;C20</f>
        <v>22_1</v>
      </c>
      <c r="E20" s="2" t="str">
        <f t="shared" ref="E20" si="22">C20&amp;"_"&amp;D20</f>
        <v>1_22_1</v>
      </c>
      <c r="F20" s="4" t="str">
        <f ca="1">VLOOKUP($D20,OFFSET([1]stages!$A$1,0,0,COUNTA([1]stages!$A:$A),MATCH(F$1,[1]stages!$2:$2,0)-MATCH($D$1,[1]stages!$2:$2,0)+1),MATCH(F$1,[1]stages!$2:$2,0)-MATCH($D$1,[1]stages!$2:$2,0)+1,FALSE)</f>
        <v>22-1．開宴の遠吠え</v>
      </c>
      <c r="G20" s="55">
        <v>3</v>
      </c>
      <c r="H20" s="17" t="str">
        <f t="shared" ref="H20" si="23">B20&amp;"_"&amp;C20&amp;"-"&amp;G20</f>
        <v>22_1-3</v>
      </c>
      <c r="I20" s="17"/>
      <c r="J20" s="17"/>
      <c r="K20" s="65" t="s">
        <v>56</v>
      </c>
      <c r="L20" s="52">
        <v>360</v>
      </c>
      <c r="M20" s="21" t="str">
        <f ca="1">VLOOKUP($L20,OFFSET([2]enemies!$A$1,0,0,COUNTA([2]enemies!$A:$A),MATCH(M$1,[2]enemies!$1:$1,0)-MATCH($L$1,[2]enemies!$1:$1,0)+1),MATCH(M$1,[2]enemies!$1:$1,0)-MATCH($L$1,[2]enemies!$1:$1,0)+1,FALSE)</f>
        <v>ガンテツ</v>
      </c>
      <c r="N20" s="21" t="str">
        <f ca="1">VLOOKUP($L20,OFFSET([2]enemies!$A$1,0,0,COUNTA([2]enemies!$A:$A),MATCH(N$1,[2]enemies!$1:$1,0)-MATCH($L$1,[2]enemies!$1:$1,0)+1),MATCH(N$1,[2]enemies!$1:$1,0)-MATCH($L$1,[2]enemies!$1:$1,0)+1,FALSE)</f>
        <v>red</v>
      </c>
      <c r="O20" s="21" t="str">
        <f ca="1">VLOOKUP($L20,OFFSET([3]characters!$A$1,0,0,COUNTA([3]characters!$A:$A),MATCH(O$1,[3]characters!$1:$1,0)-MATCH($L$1,[3]characters!$1:$1,0)+1),MATCH(O$1,[3]characters!$1:$1,0)-MATCH($L$1,[3]characters!$1:$1,0)+1,FALSE)</f>
        <v>Drop1S</v>
      </c>
      <c r="P20" s="21" t="str">
        <f ca="1">VLOOKUP($L20,OFFSET([2]enemies!$A$1,0,0,COUNTA([2]enemies!$A:$A),MATCH(P$1,[2]enemies!$1:$1,0)-MATCH($L$1,[2]enemies!$1:$1,0)+1),MATCH(P$1,[2]enemies!$1:$1,0)-MATCH($L$1,[2]enemies!$1:$1,0)+1,FALSE)</f>
        <v>animal</v>
      </c>
      <c r="Q20" s="21">
        <f ca="1">VLOOKUP($L20,OFFSET([2]enemies!$A$1,0,0,COUNTA([2]enemies!$A:$A),MATCH(Q$1,[2]enemies!$1:$1,0)-MATCH($L$1,[2]enemies!$1:$1,0)+1),MATCH(Q$1,[2]enemies!$1:$1,0)-MATCH($L$1,[2]enemies!$1:$1,0)+1,FALSE)</f>
        <v>15</v>
      </c>
      <c r="R20" s="53">
        <v>40</v>
      </c>
      <c r="S20" s="27">
        <v>1</v>
      </c>
      <c r="T20" s="27">
        <v>1</v>
      </c>
      <c r="U20" s="5">
        <v>0</v>
      </c>
      <c r="V20" s="4" t="str">
        <f ca="1">VLOOKUP($W20,OFFSET([4]enemy_skill_sets!$B$1,0,0,COUNTA([4]enemy_skill_sets!$B:$B),MATCH(M$1,[4]enemy_skill_sets!$1:$1,0)-MATCH($W$1,[4]enemy_skill_sets!$1:$1,0)+2),MATCH(M$1,[4]enemy_skill_sets!$1:$1,0)-MATCH($W$1,[4]enemy_skill_sets!$1:$1,0)+2,FALSE)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0" s="76">
        <v>360</v>
      </c>
      <c r="X20" s="6">
        <v>0</v>
      </c>
      <c r="Y20" s="6">
        <v>100</v>
      </c>
      <c r="Z20" s="6">
        <v>0</v>
      </c>
      <c r="AA20" s="4">
        <f ca="1">VLOOKUP($L20,OFFSET([2]enemies!$A$1,0,0,COUNTA([2]enemies!$A:$A),MATCH(AA$1,[2]enemies!$1:$1,0)-MATCH($L$1,[2]enemies!$1:$1,0)+1),MATCH(AA$1,[2]enemies!$1:$1,0)-MATCH($L$1,[2]enemies!$1:$1,0)+1,FALSE)</f>
        <v>3</v>
      </c>
      <c r="AB20" s="52">
        <v>360</v>
      </c>
      <c r="AC20" s="4" t="str">
        <f ca="1">VLOOKUP($AB20,OFFSET([3]characters!$A$1,0,0,COUNTA([3]characters!$A:$A),MATCH(AC$1,[3]characters!$1:$1,0)-MATCH("character_id",[3]characters!$1:$1,0)+1),MATCH(AC$1,[3]characters!$1:$1,0)-MATCH("character_id",[3]characters!$1:$1,0)+1,FALSE)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0" s="4">
        <f ca="1">VLOOKUP($AB20,OFFSET([3]characters!$A$1,0,0,COUNTA([3]characters!$A:$A),MATCH(AD$1,[3]characters!$1:$1,0)-MATCH("character_id",[3]characters!$1:$1,0)+1),MATCH(AD$1,[3]characters!$1:$1,0)-MATCH("character_id",[3]characters!$1:$1,0)+1,FALSE)</f>
        <v>2</v>
      </c>
      <c r="AE20" s="4" t="str">
        <f ca="1">VLOOKUP($AB20,OFFSET([3]characters!$A$1,0,0,COUNTA([3]characters!$A:$A),MATCH(AE$1,[3]characters!$1:$1,0)-MATCH("character_id",[3]characters!$1:$1,0)+1),MATCH(AE$1,[3]characters!$1:$1,0)-MATCH("character_id",[3]characters!$1:$1,0)+1,FALSE)</f>
        <v>Drop1S</v>
      </c>
      <c r="AF20" s="7">
        <v>7</v>
      </c>
      <c r="AG20" s="26">
        <f t="shared" ca="1" si="3"/>
        <v>2</v>
      </c>
      <c r="AH20" s="8">
        <v>20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</row>
    <row r="21" spans="1:39" ht="21" customHeight="1" x14ac:dyDescent="0.15">
      <c r="A21" s="18" t="str">
        <f t="shared" ref="A21" ca="1" si="24">B21&amp;"_"&amp;C21&amp;"-"&amp;G21&amp;"/"&amp;L21&amp;"&lt;lv"&amp;R21&amp;"&gt;s"&amp;AA21</f>
        <v>22_1-3/364&lt;lv40&gt;s3</v>
      </c>
      <c r="B21" s="53">
        <v>22</v>
      </c>
      <c r="C21" s="51">
        <v>1</v>
      </c>
      <c r="D21" s="2" t="str">
        <f t="shared" ref="D21" si="25">B21&amp;"_"&amp;C21</f>
        <v>22_1</v>
      </c>
      <c r="E21" s="2" t="str">
        <f t="shared" ref="E21" si="26">C21&amp;"_"&amp;D21</f>
        <v>1_22_1</v>
      </c>
      <c r="F21" s="4" t="str">
        <f ca="1">VLOOKUP($D21,OFFSET([1]stages!$A$1,0,0,COUNTA([1]stages!$A:$A),MATCH(F$1,[1]stages!$2:$2,0)-MATCH($D$1,[1]stages!$2:$2,0)+1),MATCH(F$1,[1]stages!$2:$2,0)-MATCH($D$1,[1]stages!$2:$2,0)+1,FALSE)</f>
        <v>22-1．開宴の遠吠え</v>
      </c>
      <c r="G21" s="55">
        <v>3</v>
      </c>
      <c r="H21" s="17" t="str">
        <f t="shared" ref="H21" si="27">B21&amp;"_"&amp;C21&amp;"-"&amp;G21</f>
        <v>22_1-3</v>
      </c>
      <c r="I21" s="17"/>
      <c r="J21" s="17"/>
      <c r="K21" s="65" t="s">
        <v>56</v>
      </c>
      <c r="L21" s="52">
        <v>364</v>
      </c>
      <c r="M21" s="21" t="str">
        <f ca="1">VLOOKUP($L21,OFFSET([2]enemies!$A$1,0,0,COUNTA([2]enemies!$A:$A),MATCH(M$1,[2]enemies!$1:$1,0)-MATCH($L$1,[2]enemies!$1:$1,0)+1),MATCH(M$1,[2]enemies!$1:$1,0)-MATCH($L$1,[2]enemies!$1:$1,0)+1,FALSE)</f>
        <v>ノエル</v>
      </c>
      <c r="N21" s="21" t="str">
        <f ca="1">VLOOKUP($L21,OFFSET([2]enemies!$A$1,0,0,COUNTA([2]enemies!$A:$A),MATCH(N$1,[2]enemies!$1:$1,0)-MATCH($L$1,[2]enemies!$1:$1,0)+1),MATCH(N$1,[2]enemies!$1:$1,0)-MATCH($L$1,[2]enemies!$1:$1,0)+1,FALSE)</f>
        <v>blue</v>
      </c>
      <c r="O21" s="21" t="str">
        <f ca="1">VLOOKUP($L21,OFFSET([3]characters!$A$1,0,0,COUNTA([3]characters!$A:$A),MATCH(O$1,[3]characters!$1:$1,0)-MATCH($L$1,[3]characters!$1:$1,0)+1),MATCH(O$1,[3]characters!$1:$1,0)-MATCH($L$1,[3]characters!$1:$1,0)+1,FALSE)</f>
        <v>Drop1S</v>
      </c>
      <c r="P21" s="21" t="str">
        <f ca="1">VLOOKUP($L21,OFFSET([2]enemies!$A$1,0,0,COUNTA([2]enemies!$A:$A),MATCH(P$1,[2]enemies!$1:$1,0)-MATCH($L$1,[2]enemies!$1:$1,0)+1),MATCH(P$1,[2]enemies!$1:$1,0)-MATCH($L$1,[2]enemies!$1:$1,0)+1,FALSE)</f>
        <v>animal</v>
      </c>
      <c r="Q21" s="21">
        <f ca="1">VLOOKUP($L21,OFFSET([2]enemies!$A$1,0,0,COUNTA([2]enemies!$A:$A),MATCH(Q$1,[2]enemies!$1:$1,0)-MATCH($L$1,[2]enemies!$1:$1,0)+1),MATCH(Q$1,[2]enemies!$1:$1,0)-MATCH($L$1,[2]enemies!$1:$1,0)+1,FALSE)</f>
        <v>15</v>
      </c>
      <c r="R21" s="53">
        <v>40</v>
      </c>
      <c r="S21" s="27">
        <v>1</v>
      </c>
      <c r="T21" s="27">
        <v>1</v>
      </c>
      <c r="U21" s="5">
        <v>0</v>
      </c>
      <c r="V21" s="4" t="str">
        <f ca="1">VLOOKUP($W21,OFFSET([4]enemy_skill_sets!$B$1,0,0,COUNTA([4]enemy_skill_sets!$B:$B),MATCH(M$1,[4]enemy_skill_sets!$1:$1,0)-MATCH($W$1,[4]enemy_skill_sets!$1:$1,0)+2),MATCH(M$1,[4]enemy_skill_sets!$1:$1,0)-MATCH($W$1,[4]enemy_skill_sets!$1:$1,0)+2,FALSE)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21" s="64">
        <v>364</v>
      </c>
      <c r="X21" s="6">
        <v>0</v>
      </c>
      <c r="Y21" s="6">
        <v>100</v>
      </c>
      <c r="Z21" s="6">
        <v>0</v>
      </c>
      <c r="AA21" s="4">
        <f ca="1">VLOOKUP($L21,OFFSET([2]enemies!$A$1,0,0,COUNTA([2]enemies!$A:$A),MATCH(AA$1,[2]enemies!$1:$1,0)-MATCH($L$1,[2]enemies!$1:$1,0)+1),MATCH(AA$1,[2]enemies!$1:$1,0)-MATCH($L$1,[2]enemies!$1:$1,0)+1,FALSE)</f>
        <v>3</v>
      </c>
      <c r="AB21" s="52">
        <v>364</v>
      </c>
      <c r="AC21" s="4" t="str">
        <f ca="1">VLOOKUP($AB21,OFFSET([3]characters!$A$1,0,0,COUNTA([3]characters!$A:$A),MATCH(AC$1,[3]characters!$1:$1,0)-MATCH("character_id",[3]characters!$1:$1,0)+1),MATCH(AC$1,[3]characters!$1:$1,0)-MATCH("character_id",[3]characters!$1:$1,0)+1,FALSE)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21" s="4">
        <f ca="1">VLOOKUP($AB21,OFFSET([3]characters!$A$1,0,0,COUNTA([3]characters!$A:$A),MATCH(AD$1,[3]characters!$1:$1,0)-MATCH("character_id",[3]characters!$1:$1,0)+1),MATCH(AD$1,[3]characters!$1:$1,0)-MATCH("character_id",[3]characters!$1:$1,0)+1,FALSE)</f>
        <v>2</v>
      </c>
      <c r="AE21" s="4" t="str">
        <f ca="1">VLOOKUP($AB21,OFFSET([3]characters!$A$1,0,0,COUNTA([3]characters!$A:$A),MATCH(AE$1,[3]characters!$1:$1,0)-MATCH("character_id",[3]characters!$1:$1,0)+1),MATCH(AE$1,[3]characters!$1:$1,0)-MATCH("character_id",[3]characters!$1:$1,0)+1,FALSE)</f>
        <v>Drop1S</v>
      </c>
      <c r="AF21" s="7">
        <v>7</v>
      </c>
      <c r="AG21" s="26">
        <f t="shared" ca="1" si="3"/>
        <v>2</v>
      </c>
      <c r="AH21" s="8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</row>
    <row r="22" spans="1:39" ht="21" customHeight="1" x14ac:dyDescent="0.15">
      <c r="A22" s="18" t="str">
        <f t="shared" ref="A22" ca="1" si="28">B22&amp;"_"&amp;C22&amp;"-"&amp;G22&amp;"/"&amp;L22&amp;"&lt;lv"&amp;R22&amp;"&gt;s"&amp;AA22</f>
        <v>22_1-3/348&lt;lv40&gt;s3</v>
      </c>
      <c r="B22" s="53">
        <v>22</v>
      </c>
      <c r="C22" s="51">
        <v>1</v>
      </c>
      <c r="D22" s="2" t="str">
        <f t="shared" ref="D22" si="29">B22&amp;"_"&amp;C22</f>
        <v>22_1</v>
      </c>
      <c r="E22" s="2" t="str">
        <f t="shared" ref="E22" si="30">C22&amp;"_"&amp;D22</f>
        <v>1_22_1</v>
      </c>
      <c r="F22" s="4" t="str">
        <f ca="1">VLOOKUP($D22,OFFSET([1]stages!$A$1,0,0,COUNTA([1]stages!$A:$A),MATCH(F$1,[1]stages!$2:$2,0)-MATCH($D$1,[1]stages!$2:$2,0)+1),MATCH(F$1,[1]stages!$2:$2,0)-MATCH($D$1,[1]stages!$2:$2,0)+1,FALSE)</f>
        <v>22-1．開宴の遠吠え</v>
      </c>
      <c r="G22" s="55">
        <v>3</v>
      </c>
      <c r="H22" s="17" t="str">
        <f t="shared" ref="H22" si="31">B22&amp;"_"&amp;C22&amp;"-"&amp;G22</f>
        <v>22_1-3</v>
      </c>
      <c r="I22" s="17"/>
      <c r="J22" s="17"/>
      <c r="K22" s="65" t="s">
        <v>56</v>
      </c>
      <c r="L22" s="52">
        <v>348</v>
      </c>
      <c r="M22" s="21" t="str">
        <f ca="1">VLOOKUP($L22,OFFSET([2]enemies!$A$1,0,0,COUNTA([2]enemies!$A:$A),MATCH(M$1,[2]enemies!$1:$1,0)-MATCH($L$1,[2]enemies!$1:$1,0)+1),MATCH(M$1,[2]enemies!$1:$1,0)-MATCH($L$1,[2]enemies!$1:$1,0)+1,FALSE)</f>
        <v>炎のケロケロ</v>
      </c>
      <c r="N22" s="21" t="str">
        <f ca="1">VLOOKUP($L22,OFFSET([2]enemies!$A$1,0,0,COUNTA([2]enemies!$A:$A),MATCH(N$1,[2]enemies!$1:$1,0)-MATCH($L$1,[2]enemies!$1:$1,0)+1),MATCH(N$1,[2]enemies!$1:$1,0)-MATCH($L$1,[2]enemies!$1:$1,0)+1,FALSE)</f>
        <v>red</v>
      </c>
      <c r="O22" s="21" t="str">
        <f ca="1">VLOOKUP($L22,OFFSET([3]characters!$A$1,0,0,COUNTA([3]characters!$A:$A),MATCH(O$1,[3]characters!$1:$1,0)-MATCH($L$1,[3]characters!$1:$1,0)+1),MATCH(O$1,[3]characters!$1:$1,0)-MATCH($L$1,[3]characters!$1:$1,0)+1,FALSE)</f>
        <v>Material</v>
      </c>
      <c r="P22" s="21" t="str">
        <f ca="1">VLOOKUP($L22,OFFSET([2]enemies!$A$1,0,0,COUNTA([2]enemies!$A:$A),MATCH(P$1,[2]enemies!$1:$1,0)-MATCH($L$1,[2]enemies!$1:$1,0)+1),MATCH(P$1,[2]enemies!$1:$1,0)-MATCH($L$1,[2]enemies!$1:$1,0)+1,FALSE)</f>
        <v>unknown</v>
      </c>
      <c r="Q22" s="21">
        <f ca="1">VLOOKUP($L22,OFFSET([2]enemies!$A$1,0,0,COUNTA([2]enemies!$A:$A),MATCH(Q$1,[2]enemies!$1:$1,0)-MATCH($L$1,[2]enemies!$1:$1,0)+1),MATCH(Q$1,[2]enemies!$1:$1,0)-MATCH($L$1,[2]enemies!$1:$1,0)+1,FALSE)</f>
        <v>15</v>
      </c>
      <c r="R22" s="53">
        <v>40</v>
      </c>
      <c r="S22" s="27">
        <v>1</v>
      </c>
      <c r="T22" s="27">
        <v>1</v>
      </c>
      <c r="U22" s="5">
        <v>0</v>
      </c>
      <c r="V22" s="4" t="str">
        <f ca="1">VLOOKUP($W22,OFFSET([4]enemy_skill_sets!$B$1,0,0,COUNTA([4]enemy_skill_sets!$B:$B),MATCH(M$1,[4]enemy_skill_sets!$1:$1,0)-MATCH($W$1,[4]enemy_skill_sets!$1:$1,0)+2),MATCH(M$1,[4]enemy_skill_sets!$1:$1,0)-MATCH($W$1,[4]enemy_skill_sets!$1:$1,0)+2,FALSE)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22" s="64">
        <v>348</v>
      </c>
      <c r="X22" s="6">
        <v>1</v>
      </c>
      <c r="Y22" s="6">
        <v>100</v>
      </c>
      <c r="Z22" s="6">
        <v>0</v>
      </c>
      <c r="AA22" s="4">
        <f ca="1">VLOOKUP($L22,OFFSET([2]enemies!$A$1,0,0,COUNTA([2]enemies!$A:$A),MATCH(AA$1,[2]enemies!$1:$1,0)-MATCH($L$1,[2]enemies!$1:$1,0)+1),MATCH(AA$1,[2]enemies!$1:$1,0)-MATCH($L$1,[2]enemies!$1:$1,0)+1,FALSE)</f>
        <v>3</v>
      </c>
      <c r="AB22" s="52">
        <v>348</v>
      </c>
      <c r="AC22" s="4" t="str">
        <f ca="1">VLOOKUP($AB22,OFFSET([3]characters!$A$1,0,0,COUNTA([3]characters!$A:$A),MATCH(AC$1,[3]characters!$1:$1,0)-MATCH("character_id",[3]characters!$1:$1,0)+1),MATCH(AC$1,[3]characters!$1:$1,0)-MATCH("character_id",[3]characters!$1:$1,0)+1,FALSE)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22" s="4">
        <f ca="1">VLOOKUP($AB22,OFFSET([3]characters!$A$1,0,0,COUNTA([3]characters!$A:$A),MATCH(AD$1,[3]characters!$1:$1,0)-MATCH("character_id",[3]characters!$1:$1,0)+1),MATCH(AD$1,[3]characters!$1:$1,0)-MATCH("character_id",[3]characters!$1:$1,0)+1,FALSE)</f>
        <v>2</v>
      </c>
      <c r="AE22" s="4" t="str">
        <f ca="1">VLOOKUP($AB22,OFFSET([3]characters!$A$1,0,0,COUNTA([3]characters!$A:$A),MATCH(AE$1,[3]characters!$1:$1,0)-MATCH("character_id",[3]characters!$1:$1,0)+1),MATCH(AE$1,[3]characters!$1:$1,0)-MATCH("character_id",[3]characters!$1:$1,0)+1,FALSE)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2" s="7">
        <v>10</v>
      </c>
      <c r="AG22" s="26">
        <f t="shared" ca="1" si="3"/>
        <v>2</v>
      </c>
      <c r="AH22" s="8">
        <v>100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</row>
    <row r="23" spans="1:39" ht="21" customHeight="1" x14ac:dyDescent="0.15">
      <c r="A23" s="18" t="str">
        <f t="shared" ca="1" si="0"/>
        <v>22_1-4/33&lt;lv40&gt;s2</v>
      </c>
      <c r="B23" s="50">
        <v>22</v>
      </c>
      <c r="C23" s="49">
        <v>1</v>
      </c>
      <c r="D23" s="2" t="str">
        <f t="shared" si="1"/>
        <v>22_1</v>
      </c>
      <c r="E23" s="2" t="str">
        <f t="shared" si="1"/>
        <v>1_22_1</v>
      </c>
      <c r="F23" s="4" t="str">
        <f ca="1">VLOOKUP($D23,OFFSET([1]stages!$A$1,0,0,COUNTA([1]stages!$A:$A),MATCH(F$1,[1]stages!$2:$2,0)-MATCH($D$1,[1]stages!$2:$2,0)+1),MATCH(F$1,[1]stages!$2:$2,0)-MATCH($D$1,[1]stages!$2:$2,0)+1,FALSE)</f>
        <v>22-1．開宴の遠吠え</v>
      </c>
      <c r="G23" s="56">
        <v>4</v>
      </c>
      <c r="H23" s="17" t="str">
        <f t="shared" si="2"/>
        <v>22_1-4</v>
      </c>
      <c r="I23" s="17"/>
      <c r="J23" s="17"/>
      <c r="K23" s="65" t="s">
        <v>56</v>
      </c>
      <c r="L23" s="52">
        <v>33</v>
      </c>
      <c r="M23" s="21" t="str">
        <f ca="1">VLOOKUP($L23,OFFSET([2]enemies!$A$1,0,0,COUNTA([2]enemies!$A:$A),MATCH(M$1,[2]enemies!$1:$1,0)-MATCH($L$1,[2]enemies!$1:$1,0)+1),MATCH(M$1,[2]enemies!$1:$1,0)-MATCH($L$1,[2]enemies!$1:$1,0)+1,FALSE)</f>
        <v>ゴクウ</v>
      </c>
      <c r="N23" s="21" t="str">
        <f ca="1">VLOOKUP($L23,OFFSET([2]enemies!$A$1,0,0,COUNTA([2]enemies!$A:$A),MATCH(N$1,[2]enemies!$1:$1,0)-MATCH($L$1,[2]enemies!$1:$1,0)+1),MATCH(N$1,[2]enemies!$1:$1,0)-MATCH($L$1,[2]enemies!$1:$1,0)+1,FALSE)</f>
        <v>red</v>
      </c>
      <c r="O23" s="21" t="str">
        <f ca="1">VLOOKUP($L23,OFFSET([3]characters!$A$1,0,0,COUNTA([3]characters!$A:$A),MATCH(O$1,[3]characters!$1:$1,0)-MATCH($L$1,[3]characters!$1:$1,0)+1),MATCH(O$1,[3]characters!$1:$1,0)-MATCH($L$1,[3]characters!$1:$1,0)+1,FALSE)</f>
        <v>Drop1S</v>
      </c>
      <c r="P23" s="21" t="str">
        <f ca="1">VLOOKUP($L23,OFFSET([2]enemies!$A$1,0,0,COUNTA([2]enemies!$A:$A),MATCH(P$1,[2]enemies!$1:$1,0)-MATCH($L$1,[2]enemies!$1:$1,0)+1),MATCH(P$1,[2]enemies!$1:$1,0)-MATCH($L$1,[2]enemies!$1:$1,0)+1,FALSE)</f>
        <v>animal</v>
      </c>
      <c r="Q23" s="21">
        <f ca="1">VLOOKUP($L23,OFFSET([2]enemies!$A$1,0,0,COUNTA([2]enemies!$A:$A),MATCH(Q$1,[2]enemies!$1:$1,0)-MATCH($L$1,[2]enemies!$1:$1,0)+1),MATCH(Q$1,[2]enemies!$1:$1,0)-MATCH($L$1,[2]enemies!$1:$1,0)+1,FALSE)</f>
        <v>15</v>
      </c>
      <c r="R23" s="53">
        <v>40</v>
      </c>
      <c r="S23" s="27">
        <v>1</v>
      </c>
      <c r="T23" s="27">
        <v>1</v>
      </c>
      <c r="U23" s="5">
        <v>0</v>
      </c>
      <c r="V23" s="4" t="str">
        <f ca="1">VLOOKUP($W23,OFFSET([4]enemy_skill_sets!$B$1,0,0,COUNTA([4]enemy_skill_sets!$B:$B),MATCH(M$1,[4]enemy_skill_sets!$1:$1,0)-MATCH($W$1,[4]enemy_skill_sets!$1:$1,0)+2),MATCH(M$1,[4]enemy_skill_sets!$1:$1,0)-MATCH($W$1,[4]enemy_skill_sets!$1:$1,0)+2,FALSE)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3" s="4">
        <f ca="1">VLOOKUP($L23,OFFSET([2]enemies!$A$1,0,0,COUNTA([2]enemies!$A:$A),MATCH(W$1,[2]enemies!$1:$1,0)-MATCH($L$1,[2]enemies!$1:$1,0)+1),MATCH(W$1,[2]enemies!$1:$1,0)-MATCH($L$1,[2]enemies!$1:$1,0)+1,FALSE)</f>
        <v>33</v>
      </c>
      <c r="X23" s="6">
        <v>0</v>
      </c>
      <c r="Y23" s="6">
        <v>100</v>
      </c>
      <c r="Z23" s="6">
        <v>0</v>
      </c>
      <c r="AA23" s="4">
        <f ca="1">VLOOKUP($L23,OFFSET([2]enemies!$A$1,0,0,COUNTA([2]enemies!$A:$A),MATCH(AA$1,[2]enemies!$1:$1,0)-MATCH($L$1,[2]enemies!$1:$1,0)+1),MATCH(AA$1,[2]enemies!$1:$1,0)-MATCH($L$1,[2]enemies!$1:$1,0)+1,FALSE)</f>
        <v>2</v>
      </c>
      <c r="AB23" s="52">
        <v>33</v>
      </c>
      <c r="AC23" s="4" t="str">
        <f ca="1">VLOOKUP($AB23,OFFSET([3]characters!$A$1,0,0,COUNTA([3]characters!$A:$A),MATCH(AC$1,[3]characters!$1:$1,0)-MATCH("character_id",[3]characters!$1:$1,0)+1),MATCH(AC$1,[3]characters!$1:$1,0)-MATCH("character_id",[3]characters!$1:$1,0)+1,FALSE)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3" s="4">
        <f ca="1">VLOOKUP($AB23,OFFSET([3]characters!$A$1,0,0,COUNTA([3]characters!$A:$A),MATCH(AD$1,[3]characters!$1:$1,0)-MATCH("character_id",[3]characters!$1:$1,0)+1),MATCH(AD$1,[3]characters!$1:$1,0)-MATCH("character_id",[3]characters!$1:$1,0)+1,FALSE)</f>
        <v>2</v>
      </c>
      <c r="AE23" s="4" t="str">
        <f ca="1">VLOOKUP($AB23,OFFSET([3]characters!$A$1,0,0,COUNTA([3]characters!$A:$A),MATCH(AE$1,[3]characters!$1:$1,0)-MATCH("character_id",[3]characters!$1:$1,0)+1),MATCH(AE$1,[3]characters!$1:$1,0)-MATCH("character_id",[3]characters!$1:$1,0)+1,FALSE)</f>
        <v>Drop1S</v>
      </c>
      <c r="AF23" s="7">
        <v>5</v>
      </c>
      <c r="AG23" s="26">
        <f t="shared" ca="1" si="3"/>
        <v>2</v>
      </c>
      <c r="AH23" s="8">
        <v>20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</row>
    <row r="24" spans="1:39" ht="21" customHeight="1" x14ac:dyDescent="0.15">
      <c r="A24" s="18" t="str">
        <f t="shared" ca="1" si="0"/>
        <v>22_1-4/37&lt;lv40&gt;s3</v>
      </c>
      <c r="B24" s="50">
        <v>22</v>
      </c>
      <c r="C24" s="49">
        <v>1</v>
      </c>
      <c r="D24" s="2" t="str">
        <f t="shared" si="1"/>
        <v>22_1</v>
      </c>
      <c r="E24" s="2" t="str">
        <f t="shared" si="1"/>
        <v>1_22_1</v>
      </c>
      <c r="F24" s="4" t="str">
        <f ca="1">VLOOKUP($D24,OFFSET([1]stages!$A$1,0,0,COUNTA([1]stages!$A:$A),MATCH(F$1,[1]stages!$2:$2,0)-MATCH($D$1,[1]stages!$2:$2,0)+1),MATCH(F$1,[1]stages!$2:$2,0)-MATCH($D$1,[1]stages!$2:$2,0)+1,FALSE)</f>
        <v>22-1．開宴の遠吠え</v>
      </c>
      <c r="G24" s="56">
        <v>4</v>
      </c>
      <c r="H24" s="17" t="str">
        <f t="shared" si="2"/>
        <v>22_1-4</v>
      </c>
      <c r="I24" s="17"/>
      <c r="J24" s="17"/>
      <c r="K24" s="65" t="s">
        <v>56</v>
      </c>
      <c r="L24" s="52">
        <v>37</v>
      </c>
      <c r="M24" s="21" t="str">
        <f ca="1">VLOOKUP($L24,OFFSET([2]enemies!$A$1,0,0,COUNTA([2]enemies!$A:$A),MATCH(M$1,[2]enemies!$1:$1,0)-MATCH($L$1,[2]enemies!$1:$1,0)+1),MATCH(M$1,[2]enemies!$1:$1,0)-MATCH($L$1,[2]enemies!$1:$1,0)+1,FALSE)</f>
        <v>ガイル</v>
      </c>
      <c r="N24" s="21" t="str">
        <f ca="1">VLOOKUP($L24,OFFSET([2]enemies!$A$1,0,0,COUNTA([2]enemies!$A:$A),MATCH(N$1,[2]enemies!$1:$1,0)-MATCH($L$1,[2]enemies!$1:$1,0)+1),MATCH(N$1,[2]enemies!$1:$1,0)-MATCH($L$1,[2]enemies!$1:$1,0)+1,FALSE)</f>
        <v>blue</v>
      </c>
      <c r="O24" s="21" t="str">
        <f ca="1">VLOOKUP($L24,OFFSET([3]characters!$A$1,0,0,COUNTA([3]characters!$A:$A),MATCH(O$1,[3]characters!$1:$1,0)-MATCH($L$1,[3]characters!$1:$1,0)+1),MATCH(O$1,[3]characters!$1:$1,0)-MATCH($L$1,[3]characters!$1:$1,0)+1,FALSE)</f>
        <v>Drop1S</v>
      </c>
      <c r="P24" s="21" t="str">
        <f ca="1">VLOOKUP($L24,OFFSET([2]enemies!$A$1,0,0,COUNTA([2]enemies!$A:$A),MATCH(P$1,[2]enemies!$1:$1,0)-MATCH($L$1,[2]enemies!$1:$1,0)+1),MATCH(P$1,[2]enemies!$1:$1,0)-MATCH($L$1,[2]enemies!$1:$1,0)+1,FALSE)</f>
        <v>animal</v>
      </c>
      <c r="Q24" s="21">
        <f ca="1">VLOOKUP($L24,OFFSET([2]enemies!$A$1,0,0,COUNTA([2]enemies!$A:$A),MATCH(Q$1,[2]enemies!$1:$1,0)-MATCH($L$1,[2]enemies!$1:$1,0)+1),MATCH(Q$1,[2]enemies!$1:$1,0)-MATCH($L$1,[2]enemies!$1:$1,0)+1,FALSE)</f>
        <v>15</v>
      </c>
      <c r="R24" s="53">
        <v>40</v>
      </c>
      <c r="S24" s="27">
        <v>1</v>
      </c>
      <c r="T24" s="27">
        <v>1</v>
      </c>
      <c r="U24" s="5">
        <v>0</v>
      </c>
      <c r="V24" s="4" t="str">
        <f ca="1">VLOOKUP($W24,OFFSET([4]enemy_skill_sets!$B$1,0,0,COUNTA([4]enemy_skill_sets!$B:$B),MATCH(M$1,[4]enemy_skill_sets!$1:$1,0)-MATCH($W$1,[4]enemy_skill_sets!$1:$1,0)+2),MATCH(M$1,[4]enemy_skill_sets!$1:$1,0)-MATCH($W$1,[4]enemy_skill_sets!$1:$1,0)+2,FALSE)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24" s="4">
        <f ca="1">VLOOKUP($L24,OFFSET([2]enemies!$A$1,0,0,COUNTA([2]enemies!$A:$A),MATCH(W$1,[2]enemies!$1:$1,0)-MATCH($L$1,[2]enemies!$1:$1,0)+1),MATCH(W$1,[2]enemies!$1:$1,0)-MATCH($L$1,[2]enemies!$1:$1,0)+1,FALSE)</f>
        <v>37</v>
      </c>
      <c r="X24" s="6">
        <v>0</v>
      </c>
      <c r="Y24" s="6">
        <v>100</v>
      </c>
      <c r="Z24" s="6">
        <v>0</v>
      </c>
      <c r="AA24" s="4">
        <f ca="1">VLOOKUP($L24,OFFSET([2]enemies!$A$1,0,0,COUNTA([2]enemies!$A:$A),MATCH(AA$1,[2]enemies!$1:$1,0)-MATCH($L$1,[2]enemies!$1:$1,0)+1),MATCH(AA$1,[2]enemies!$1:$1,0)-MATCH($L$1,[2]enemies!$1:$1,0)+1,FALSE)</f>
        <v>3</v>
      </c>
      <c r="AB24" s="52">
        <v>37</v>
      </c>
      <c r="AC24" s="4" t="str">
        <f ca="1">VLOOKUP($AB24,OFFSET([3]characters!$A$1,0,0,COUNTA([3]characters!$A:$A),MATCH(AC$1,[3]characters!$1:$1,0)-MATCH("character_id",[3]characters!$1:$1,0)+1),MATCH(AC$1,[3]characters!$1:$1,0)-MATCH("character_id",[3]characters!$1:$1,0)+1,FALSE)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24" s="4">
        <f ca="1">VLOOKUP($AB24,OFFSET([3]characters!$A$1,0,0,COUNTA([3]characters!$A:$A),MATCH(AD$1,[3]characters!$1:$1,0)-MATCH("character_id",[3]characters!$1:$1,0)+1),MATCH(AD$1,[3]characters!$1:$1,0)-MATCH("character_id",[3]characters!$1:$1,0)+1,FALSE)</f>
        <v>2</v>
      </c>
      <c r="AE24" s="4" t="str">
        <f ca="1">VLOOKUP($AB24,OFFSET([3]characters!$A$1,0,0,COUNTA([3]characters!$A:$A),MATCH(AE$1,[3]characters!$1:$1,0)-MATCH("character_id",[3]characters!$1:$1,0)+1),MATCH(AE$1,[3]characters!$1:$1,0)-MATCH("character_id",[3]characters!$1:$1,0)+1,FALSE)</f>
        <v>Drop1S</v>
      </c>
      <c r="AF24" s="7">
        <v>5</v>
      </c>
      <c r="AG24" s="26">
        <f t="shared" ca="1" si="3"/>
        <v>2</v>
      </c>
      <c r="AH24" s="8">
        <v>20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</row>
    <row r="25" spans="1:39" ht="21" customHeight="1" x14ac:dyDescent="0.15">
      <c r="A25" s="18" t="str">
        <f t="shared" ca="1" si="0"/>
        <v>22_1-4/45&lt;lv40&gt;s3</v>
      </c>
      <c r="B25" s="50">
        <v>22</v>
      </c>
      <c r="C25" s="49">
        <v>1</v>
      </c>
      <c r="D25" s="2" t="str">
        <f t="shared" si="1"/>
        <v>22_1</v>
      </c>
      <c r="E25" s="2" t="str">
        <f t="shared" si="1"/>
        <v>1_22_1</v>
      </c>
      <c r="F25" s="4" t="str">
        <f ca="1">VLOOKUP($D25,OFFSET([1]stages!$A$1,0,0,COUNTA([1]stages!$A:$A),MATCH(F$1,[1]stages!$2:$2,0)-MATCH($D$1,[1]stages!$2:$2,0)+1),MATCH(F$1,[1]stages!$2:$2,0)-MATCH($D$1,[1]stages!$2:$2,0)+1,FALSE)</f>
        <v>22-1．開宴の遠吠え</v>
      </c>
      <c r="G25" s="56">
        <v>4</v>
      </c>
      <c r="H25" s="17" t="str">
        <f t="shared" si="2"/>
        <v>22_1-4</v>
      </c>
      <c r="I25" s="17"/>
      <c r="J25" s="17"/>
      <c r="K25" s="65" t="s">
        <v>56</v>
      </c>
      <c r="L25" s="52">
        <v>45</v>
      </c>
      <c r="M25" s="21" t="str">
        <f ca="1">VLOOKUP($L25,OFFSET([2]enemies!$A$1,0,0,COUNTA([2]enemies!$A:$A),MATCH(M$1,[2]enemies!$1:$1,0)-MATCH($L$1,[2]enemies!$1:$1,0)+1),MATCH(M$1,[2]enemies!$1:$1,0)-MATCH($L$1,[2]enemies!$1:$1,0)+1,FALSE)</f>
        <v>ショウイン</v>
      </c>
      <c r="N25" s="21" t="str">
        <f ca="1">VLOOKUP($L25,OFFSET([2]enemies!$A$1,0,0,COUNTA([2]enemies!$A:$A),MATCH(N$1,[2]enemies!$1:$1,0)-MATCH($L$1,[2]enemies!$1:$1,0)+1),MATCH(N$1,[2]enemies!$1:$1,0)-MATCH($L$1,[2]enemies!$1:$1,0)+1,FALSE)</f>
        <v>blue</v>
      </c>
      <c r="O25" s="21" t="str">
        <f ca="1">VLOOKUP($L25,OFFSET([3]characters!$A$1,0,0,COUNTA([3]characters!$A:$A),MATCH(O$1,[3]characters!$1:$1,0)-MATCH($L$1,[3]characters!$1:$1,0)+1),MATCH(O$1,[3]characters!$1:$1,0)-MATCH($L$1,[3]characters!$1:$1,0)+1,FALSE)</f>
        <v>Drop1N</v>
      </c>
      <c r="P25" s="21" t="str">
        <f ca="1">VLOOKUP($L25,OFFSET([2]enemies!$A$1,0,0,COUNTA([2]enemies!$A:$A),MATCH(P$1,[2]enemies!$1:$1,0)-MATCH($L$1,[2]enemies!$1:$1,0)+1),MATCH(P$1,[2]enemies!$1:$1,0)-MATCH($L$1,[2]enemies!$1:$1,0)+1,FALSE)</f>
        <v>animal</v>
      </c>
      <c r="Q25" s="21">
        <f ca="1">VLOOKUP($L25,OFFSET([2]enemies!$A$1,0,0,COUNTA([2]enemies!$A:$A),MATCH(Q$1,[2]enemies!$1:$1,0)-MATCH($L$1,[2]enemies!$1:$1,0)+1),MATCH(Q$1,[2]enemies!$1:$1,0)-MATCH($L$1,[2]enemies!$1:$1,0)+1,FALSE)</f>
        <v>15</v>
      </c>
      <c r="R25" s="53">
        <v>40</v>
      </c>
      <c r="S25" s="27">
        <v>1</v>
      </c>
      <c r="T25" s="27">
        <v>1</v>
      </c>
      <c r="U25" s="5">
        <v>0</v>
      </c>
      <c r="V25" s="4" t="str">
        <f ca="1">VLOOKUP($W25,OFFSET([4]enemy_skill_sets!$B$1,0,0,COUNTA([4]enemy_skill_sets!$B:$B),MATCH(M$1,[4]enemy_skill_sets!$1:$1,0)-MATCH($W$1,[4]enemy_skill_sets!$1:$1,0)+2),MATCH(M$1,[4]enemy_skill_sets!$1:$1,0)-MATCH($W$1,[4]enemy_skill_sets!$1:$1,0)+2,FALSE)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5" s="4">
        <f ca="1">VLOOKUP($L25,OFFSET([2]enemies!$A$1,0,0,COUNTA([2]enemies!$A:$A),MATCH(W$1,[2]enemies!$1:$1,0)-MATCH($L$1,[2]enemies!$1:$1,0)+1),MATCH(W$1,[2]enemies!$1:$1,0)-MATCH($L$1,[2]enemies!$1:$1,0)+1,FALSE)</f>
        <v>0</v>
      </c>
      <c r="X25" s="6">
        <v>0</v>
      </c>
      <c r="Y25" s="6">
        <v>100</v>
      </c>
      <c r="Z25" s="6">
        <v>0</v>
      </c>
      <c r="AA25" s="4">
        <f ca="1">VLOOKUP($L25,OFFSET([2]enemies!$A$1,0,0,COUNTA([2]enemies!$A:$A),MATCH(AA$1,[2]enemies!$1:$1,0)-MATCH($L$1,[2]enemies!$1:$1,0)+1),MATCH(AA$1,[2]enemies!$1:$1,0)-MATCH($L$1,[2]enemies!$1:$1,0)+1,FALSE)</f>
        <v>3</v>
      </c>
      <c r="AB25" s="52">
        <v>45</v>
      </c>
      <c r="AC25" s="4" t="str">
        <f ca="1">VLOOKUP($AB25,OFFSET([3]characters!$A$1,0,0,COUNTA([3]characters!$A:$A),MATCH(AC$1,[3]characters!$1:$1,0)-MATCH("character_id",[3]characters!$1:$1,0)+1),MATCH(AC$1,[3]characters!$1:$1,0)-MATCH("character_id",[3]characters!$1:$1,0)+1,FALSE)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25" s="4">
        <f ca="1">VLOOKUP($AB25,OFFSET([3]characters!$A$1,0,0,COUNTA([3]characters!$A:$A),MATCH(AD$1,[3]characters!$1:$1,0)-MATCH("character_id",[3]characters!$1:$1,0)+1),MATCH(AD$1,[3]characters!$1:$1,0)-MATCH("character_id",[3]characters!$1:$1,0)+1,FALSE)</f>
        <v>2</v>
      </c>
      <c r="AE25" s="4" t="str">
        <f ca="1">VLOOKUP($AB25,OFFSET([3]characters!$A$1,0,0,COUNTA([3]characters!$A:$A),MATCH(AE$1,[3]characters!$1:$1,0)-MATCH("character_id",[3]characters!$1:$1,0)+1),MATCH(AE$1,[3]characters!$1:$1,0)-MATCH("character_id",[3]characters!$1:$1,0)+1,FALSE)</f>
        <v>Drop1N</v>
      </c>
      <c r="AF25" s="7">
        <v>7</v>
      </c>
      <c r="AG25" s="26">
        <f t="shared" ca="1" si="3"/>
        <v>2</v>
      </c>
      <c r="AH25" s="8">
        <v>20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</row>
    <row r="26" spans="1:39" ht="21" customHeight="1" x14ac:dyDescent="0.15">
      <c r="A26" s="18" t="str">
        <f t="shared" ca="1" si="0"/>
        <v>22_1-4/57&lt;lv40&gt;s2</v>
      </c>
      <c r="B26" s="50">
        <v>22</v>
      </c>
      <c r="C26" s="49">
        <v>1</v>
      </c>
      <c r="D26" s="2" t="str">
        <f t="shared" si="1"/>
        <v>22_1</v>
      </c>
      <c r="E26" s="2" t="str">
        <f t="shared" si="1"/>
        <v>1_22_1</v>
      </c>
      <c r="F26" s="4" t="str">
        <f ca="1">VLOOKUP($D26,OFFSET([1]stages!$A$1,0,0,COUNTA([1]stages!$A:$A),MATCH(F$1,[1]stages!$2:$2,0)-MATCH($D$1,[1]stages!$2:$2,0)+1),MATCH(F$1,[1]stages!$2:$2,0)-MATCH($D$1,[1]stages!$2:$2,0)+1,FALSE)</f>
        <v>22-1．開宴の遠吠え</v>
      </c>
      <c r="G26" s="56">
        <v>4</v>
      </c>
      <c r="H26" s="17" t="str">
        <f t="shared" si="2"/>
        <v>22_1-4</v>
      </c>
      <c r="I26" s="17"/>
      <c r="J26" s="17"/>
      <c r="K26" s="65" t="s">
        <v>56</v>
      </c>
      <c r="L26" s="52">
        <v>57</v>
      </c>
      <c r="M26" s="21" t="str">
        <f ca="1">VLOOKUP($L26,OFFSET([2]enemies!$A$1,0,0,COUNTA([2]enemies!$A:$A),MATCH(M$1,[2]enemies!$1:$1,0)-MATCH($L$1,[2]enemies!$1:$1,0)+1),MATCH(M$1,[2]enemies!$1:$1,0)-MATCH($L$1,[2]enemies!$1:$1,0)+1,FALSE)</f>
        <v>チェン・リー</v>
      </c>
      <c r="N26" s="21" t="str">
        <f ca="1">VLOOKUP($L26,OFFSET([2]enemies!$A$1,0,0,COUNTA([2]enemies!$A:$A),MATCH(N$1,[2]enemies!$1:$1,0)-MATCH($L$1,[2]enemies!$1:$1,0)+1),MATCH(N$1,[2]enemies!$1:$1,0)-MATCH($L$1,[2]enemies!$1:$1,0)+1,FALSE)</f>
        <v>red</v>
      </c>
      <c r="O26" s="21" t="str">
        <f ca="1">VLOOKUP($L26,OFFSET([3]characters!$A$1,0,0,COUNTA([3]characters!$A:$A),MATCH(O$1,[3]characters!$1:$1,0)-MATCH($L$1,[3]characters!$1:$1,0)+1),MATCH(O$1,[3]characters!$1:$1,0)-MATCH($L$1,[3]characters!$1:$1,0)+1,FALSE)</f>
        <v>Drop1N</v>
      </c>
      <c r="P26" s="21" t="str">
        <f ca="1">VLOOKUP($L26,OFFSET([2]enemies!$A$1,0,0,COUNTA([2]enemies!$A:$A),MATCH(P$1,[2]enemies!$1:$1,0)-MATCH($L$1,[2]enemies!$1:$1,0)+1),MATCH(P$1,[2]enemies!$1:$1,0)-MATCH($L$1,[2]enemies!$1:$1,0)+1,FALSE)</f>
        <v>animal</v>
      </c>
      <c r="Q26" s="21">
        <f ca="1">VLOOKUP($L26,OFFSET([2]enemies!$A$1,0,0,COUNTA([2]enemies!$A:$A),MATCH(Q$1,[2]enemies!$1:$1,0)-MATCH($L$1,[2]enemies!$1:$1,0)+1),MATCH(Q$1,[2]enemies!$1:$1,0)-MATCH($L$1,[2]enemies!$1:$1,0)+1,FALSE)</f>
        <v>15</v>
      </c>
      <c r="R26" s="53">
        <v>40</v>
      </c>
      <c r="S26" s="27">
        <v>1</v>
      </c>
      <c r="T26" s="27">
        <v>1</v>
      </c>
      <c r="U26" s="5">
        <v>0</v>
      </c>
      <c r="V26" s="4" t="str">
        <f ca="1">VLOOKUP($W26,OFFSET([4]enemy_skill_sets!$B$1,0,0,COUNTA([4]enemy_skill_sets!$B:$B),MATCH(M$1,[4]enemy_skill_sets!$1:$1,0)-MATCH($W$1,[4]enemy_skill_sets!$1:$1,0)+2),MATCH(M$1,[4]enemy_skill_sets!$1:$1,0)-MATCH($W$1,[4]enemy_skill_sets!$1:$1,0)+2,FALSE)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6" s="4">
        <f ca="1">VLOOKUP($L26,OFFSET([2]enemies!$A$1,0,0,COUNTA([2]enemies!$A:$A),MATCH(W$1,[2]enemies!$1:$1,0)-MATCH($L$1,[2]enemies!$1:$1,0)+1),MATCH(W$1,[2]enemies!$1:$1,0)-MATCH($L$1,[2]enemies!$1:$1,0)+1,FALSE)</f>
        <v>57</v>
      </c>
      <c r="X26" s="6">
        <v>0</v>
      </c>
      <c r="Y26" s="6">
        <v>100</v>
      </c>
      <c r="Z26" s="6">
        <v>0</v>
      </c>
      <c r="AA26" s="4">
        <f ca="1">VLOOKUP($L26,OFFSET([2]enemies!$A$1,0,0,COUNTA([2]enemies!$A:$A),MATCH(AA$1,[2]enemies!$1:$1,0)-MATCH($L$1,[2]enemies!$1:$1,0)+1),MATCH(AA$1,[2]enemies!$1:$1,0)-MATCH($L$1,[2]enemies!$1:$1,0)+1,FALSE)</f>
        <v>2</v>
      </c>
      <c r="AB26" s="52">
        <v>57</v>
      </c>
      <c r="AC26" s="4" t="str">
        <f ca="1">VLOOKUP($AB26,OFFSET([3]characters!$A$1,0,0,COUNTA([3]characters!$A:$A),MATCH(AC$1,[3]characters!$1:$1,0)-MATCH("character_id",[3]characters!$1:$1,0)+1),MATCH(AC$1,[3]characters!$1:$1,0)-MATCH("character_id",[3]characters!$1:$1,0)+1,FALSE)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6" s="4">
        <f ca="1">VLOOKUP($AB26,OFFSET([3]characters!$A$1,0,0,COUNTA([3]characters!$A:$A),MATCH(AD$1,[3]characters!$1:$1,0)-MATCH("character_id",[3]characters!$1:$1,0)+1),MATCH(AD$1,[3]characters!$1:$1,0)-MATCH("character_id",[3]characters!$1:$1,0)+1,FALSE)</f>
        <v>2</v>
      </c>
      <c r="AE26" s="4" t="str">
        <f ca="1">VLOOKUP($AB26,OFFSET([3]characters!$A$1,0,0,COUNTA([3]characters!$A:$A),MATCH(AE$1,[3]characters!$1:$1,0)-MATCH("character_id",[3]characters!$1:$1,0)+1),MATCH(AE$1,[3]characters!$1:$1,0)-MATCH("character_id",[3]characters!$1:$1,0)+1,FALSE)</f>
        <v>Drop1N</v>
      </c>
      <c r="AF26" s="7">
        <v>7</v>
      </c>
      <c r="AG26" s="26">
        <f t="shared" ca="1" si="3"/>
        <v>2</v>
      </c>
      <c r="AH26" s="8">
        <v>20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</row>
    <row r="27" spans="1:39" ht="21" customHeight="1" x14ac:dyDescent="0.15">
      <c r="A27" s="18" t="str">
        <f t="shared" ca="1" si="0"/>
        <v>22_1-4/61&lt;lv40&gt;s2</v>
      </c>
      <c r="B27" s="50">
        <v>22</v>
      </c>
      <c r="C27" s="49">
        <v>1</v>
      </c>
      <c r="D27" s="2" t="str">
        <f t="shared" si="1"/>
        <v>22_1</v>
      </c>
      <c r="E27" s="2" t="str">
        <f t="shared" si="1"/>
        <v>1_22_1</v>
      </c>
      <c r="F27" s="4" t="str">
        <f ca="1">VLOOKUP($D27,OFFSET([1]stages!$A$1,0,0,COUNTA([1]stages!$A:$A),MATCH(F$1,[1]stages!$2:$2,0)-MATCH($D$1,[1]stages!$2:$2,0)+1),MATCH(F$1,[1]stages!$2:$2,0)-MATCH($D$1,[1]stages!$2:$2,0)+1,FALSE)</f>
        <v>22-1．開宴の遠吠え</v>
      </c>
      <c r="G27" s="56">
        <v>4</v>
      </c>
      <c r="H27" s="17" t="str">
        <f t="shared" si="2"/>
        <v>22_1-4</v>
      </c>
      <c r="I27" s="17"/>
      <c r="J27" s="17"/>
      <c r="K27" s="65" t="s">
        <v>56</v>
      </c>
      <c r="L27" s="52">
        <v>61</v>
      </c>
      <c r="M27" s="21" t="str">
        <f ca="1">VLOOKUP($L27,OFFSET([2]enemies!$A$1,0,0,COUNTA([2]enemies!$A:$A),MATCH(M$1,[2]enemies!$1:$1,0)-MATCH($L$1,[2]enemies!$1:$1,0)+1),MATCH(M$1,[2]enemies!$1:$1,0)-MATCH($L$1,[2]enemies!$1:$1,0)+1,FALSE)</f>
        <v>クロウ</v>
      </c>
      <c r="N27" s="21" t="str">
        <f ca="1">VLOOKUP($L27,OFFSET([2]enemies!$A$1,0,0,COUNTA([2]enemies!$A:$A),MATCH(N$1,[2]enemies!$1:$1,0)-MATCH($L$1,[2]enemies!$1:$1,0)+1),MATCH(N$1,[2]enemies!$1:$1,0)-MATCH($L$1,[2]enemies!$1:$1,0)+1,FALSE)</f>
        <v>blue</v>
      </c>
      <c r="O27" s="21" t="str">
        <f ca="1">VLOOKUP($L27,OFFSET([3]characters!$A$1,0,0,COUNTA([3]characters!$A:$A),MATCH(O$1,[3]characters!$1:$1,0)-MATCH($L$1,[3]characters!$1:$1,0)+1),MATCH(O$1,[3]characters!$1:$1,0)-MATCH($L$1,[3]characters!$1:$1,0)+1,FALSE)</f>
        <v>Drop1N</v>
      </c>
      <c r="P27" s="21" t="str">
        <f ca="1">VLOOKUP($L27,OFFSET([2]enemies!$A$1,0,0,COUNTA([2]enemies!$A:$A),MATCH(P$1,[2]enemies!$1:$1,0)-MATCH($L$1,[2]enemies!$1:$1,0)+1),MATCH(P$1,[2]enemies!$1:$1,0)-MATCH($L$1,[2]enemies!$1:$1,0)+1,FALSE)</f>
        <v>animal</v>
      </c>
      <c r="Q27" s="21">
        <f ca="1">VLOOKUP($L27,OFFSET([2]enemies!$A$1,0,0,COUNTA([2]enemies!$A:$A),MATCH(Q$1,[2]enemies!$1:$1,0)-MATCH($L$1,[2]enemies!$1:$1,0)+1),MATCH(Q$1,[2]enemies!$1:$1,0)-MATCH($L$1,[2]enemies!$1:$1,0)+1,FALSE)</f>
        <v>15</v>
      </c>
      <c r="R27" s="53">
        <v>40</v>
      </c>
      <c r="S27" s="27">
        <v>1</v>
      </c>
      <c r="T27" s="27">
        <v>1</v>
      </c>
      <c r="U27" s="5">
        <v>0</v>
      </c>
      <c r="V27" s="4" t="str">
        <f ca="1">VLOOKUP($W27,OFFSET([4]enemy_skill_sets!$B$1,0,0,COUNTA([4]enemy_skill_sets!$B:$B),MATCH(M$1,[4]enemy_skill_sets!$1:$1,0)-MATCH($W$1,[4]enemy_skill_sets!$1:$1,0)+2),MATCH(M$1,[4]enemy_skill_sets!$1:$1,0)-MATCH($W$1,[4]enemy_skill_sets!$1:$1,0)+2,FALSE)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7" s="4">
        <f ca="1">VLOOKUP($L27,OFFSET([2]enemies!$A$1,0,0,COUNTA([2]enemies!$A:$A),MATCH(W$1,[2]enemies!$1:$1,0)-MATCH($L$1,[2]enemies!$1:$1,0)+1),MATCH(W$1,[2]enemies!$1:$1,0)-MATCH($L$1,[2]enemies!$1:$1,0)+1,FALSE)</f>
        <v>61</v>
      </c>
      <c r="X27" s="6">
        <v>0</v>
      </c>
      <c r="Y27" s="6">
        <v>100</v>
      </c>
      <c r="Z27" s="6">
        <v>0</v>
      </c>
      <c r="AA27" s="4">
        <f ca="1">VLOOKUP($L27,OFFSET([2]enemies!$A$1,0,0,COUNTA([2]enemies!$A:$A),MATCH(AA$1,[2]enemies!$1:$1,0)-MATCH($L$1,[2]enemies!$1:$1,0)+1),MATCH(AA$1,[2]enemies!$1:$1,0)-MATCH($L$1,[2]enemies!$1:$1,0)+1,FALSE)</f>
        <v>2</v>
      </c>
      <c r="AB27" s="52">
        <v>61</v>
      </c>
      <c r="AC27" s="4" t="str">
        <f ca="1">VLOOKUP($AB27,OFFSET([3]characters!$A$1,0,0,COUNTA([3]characters!$A:$A),MATCH(AC$1,[3]characters!$1:$1,0)-MATCH("character_id",[3]characters!$1:$1,0)+1),MATCH(AC$1,[3]characters!$1:$1,0)-MATCH("character_id",[3]characters!$1:$1,0)+1,FALSE)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27" s="4">
        <f ca="1">VLOOKUP($AB27,OFFSET([3]characters!$A$1,0,0,COUNTA([3]characters!$A:$A),MATCH(AD$1,[3]characters!$1:$1,0)-MATCH("character_id",[3]characters!$1:$1,0)+1),MATCH(AD$1,[3]characters!$1:$1,0)-MATCH("character_id",[3]characters!$1:$1,0)+1,FALSE)</f>
        <v>2</v>
      </c>
      <c r="AE27" s="4" t="str">
        <f ca="1">VLOOKUP($AB27,OFFSET([3]characters!$A$1,0,0,COUNTA([3]characters!$A:$A),MATCH(AE$1,[3]characters!$1:$1,0)-MATCH("character_id",[3]characters!$1:$1,0)+1),MATCH(AE$1,[3]characters!$1:$1,0)-MATCH("character_id",[3]characters!$1:$1,0)+1,FALSE)</f>
        <v>Drop1N</v>
      </c>
      <c r="AF27" s="7">
        <v>7</v>
      </c>
      <c r="AG27" s="26">
        <f t="shared" ca="1" si="3"/>
        <v>2</v>
      </c>
      <c r="AH27" s="8">
        <v>20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</row>
    <row r="28" spans="1:39" ht="21" customHeight="1" x14ac:dyDescent="0.15">
      <c r="A28" s="18" t="str">
        <f t="shared" ref="A28:A29" ca="1" si="32">B28&amp;"_"&amp;C28&amp;"-"&amp;G28&amp;"/"&amp;L28&amp;"&lt;lv"&amp;R28&amp;"&gt;s"&amp;AA28</f>
        <v>22_1-4/360&lt;lv40&gt;s3</v>
      </c>
      <c r="B28" s="53">
        <v>22</v>
      </c>
      <c r="C28" s="51">
        <v>1</v>
      </c>
      <c r="D28" s="2" t="str">
        <f t="shared" ref="D28:D29" si="33">B28&amp;"_"&amp;C28</f>
        <v>22_1</v>
      </c>
      <c r="E28" s="2" t="str">
        <f t="shared" ref="E28:E29" si="34">C28&amp;"_"&amp;D28</f>
        <v>1_22_1</v>
      </c>
      <c r="F28" s="4" t="str">
        <f ca="1">VLOOKUP($D28,OFFSET([1]stages!$A$1,0,0,COUNTA([1]stages!$A:$A),MATCH(F$1,[1]stages!$2:$2,0)-MATCH($D$1,[1]stages!$2:$2,0)+1),MATCH(F$1,[1]stages!$2:$2,0)-MATCH($D$1,[1]stages!$2:$2,0)+1,FALSE)</f>
        <v>22-1．開宴の遠吠え</v>
      </c>
      <c r="G28" s="56">
        <v>4</v>
      </c>
      <c r="H28" s="17" t="str">
        <f t="shared" ref="H28:H29" si="35">B28&amp;"_"&amp;C28&amp;"-"&amp;G28</f>
        <v>22_1-4</v>
      </c>
      <c r="I28" s="17"/>
      <c r="J28" s="17"/>
      <c r="K28" s="65" t="s">
        <v>56</v>
      </c>
      <c r="L28" s="52">
        <v>360</v>
      </c>
      <c r="M28" s="21" t="str">
        <f ca="1">VLOOKUP($L28,OFFSET([2]enemies!$A$1,0,0,COUNTA([2]enemies!$A:$A),MATCH(M$1,[2]enemies!$1:$1,0)-MATCH($L$1,[2]enemies!$1:$1,0)+1),MATCH(M$1,[2]enemies!$1:$1,0)-MATCH($L$1,[2]enemies!$1:$1,0)+1,FALSE)</f>
        <v>ガンテツ</v>
      </c>
      <c r="N28" s="21" t="str">
        <f ca="1">VLOOKUP($L28,OFFSET([2]enemies!$A$1,0,0,COUNTA([2]enemies!$A:$A),MATCH(N$1,[2]enemies!$1:$1,0)-MATCH($L$1,[2]enemies!$1:$1,0)+1),MATCH(N$1,[2]enemies!$1:$1,0)-MATCH($L$1,[2]enemies!$1:$1,0)+1,FALSE)</f>
        <v>red</v>
      </c>
      <c r="O28" s="21" t="str">
        <f ca="1">VLOOKUP($L28,OFFSET([3]characters!$A$1,0,0,COUNTA([3]characters!$A:$A),MATCH(O$1,[3]characters!$1:$1,0)-MATCH($L$1,[3]characters!$1:$1,0)+1),MATCH(O$1,[3]characters!$1:$1,0)-MATCH($L$1,[3]characters!$1:$1,0)+1,FALSE)</f>
        <v>Drop1S</v>
      </c>
      <c r="P28" s="21" t="str">
        <f ca="1">VLOOKUP($L28,OFFSET([2]enemies!$A$1,0,0,COUNTA([2]enemies!$A:$A),MATCH(P$1,[2]enemies!$1:$1,0)-MATCH($L$1,[2]enemies!$1:$1,0)+1),MATCH(P$1,[2]enemies!$1:$1,0)-MATCH($L$1,[2]enemies!$1:$1,0)+1,FALSE)</f>
        <v>animal</v>
      </c>
      <c r="Q28" s="21">
        <f ca="1">VLOOKUP($L28,OFFSET([2]enemies!$A$1,0,0,COUNTA([2]enemies!$A:$A),MATCH(Q$1,[2]enemies!$1:$1,0)-MATCH($L$1,[2]enemies!$1:$1,0)+1),MATCH(Q$1,[2]enemies!$1:$1,0)-MATCH($L$1,[2]enemies!$1:$1,0)+1,FALSE)</f>
        <v>15</v>
      </c>
      <c r="R28" s="53">
        <v>40</v>
      </c>
      <c r="S28" s="27">
        <v>1</v>
      </c>
      <c r="T28" s="27">
        <v>1</v>
      </c>
      <c r="U28" s="5">
        <v>0</v>
      </c>
      <c r="V28" s="4" t="str">
        <f ca="1">VLOOKUP($W28,OFFSET([4]enemy_skill_sets!$B$1,0,0,COUNTA([4]enemy_skill_sets!$B:$B),MATCH(M$1,[4]enemy_skill_sets!$1:$1,0)-MATCH($W$1,[4]enemy_skill_sets!$1:$1,0)+2),MATCH(M$1,[4]enemy_skill_sets!$1:$1,0)-MATCH($W$1,[4]enemy_skill_sets!$1:$1,0)+2,FALSE)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8" s="76">
        <v>360</v>
      </c>
      <c r="X28" s="6">
        <v>0</v>
      </c>
      <c r="Y28" s="6">
        <v>100</v>
      </c>
      <c r="Z28" s="6">
        <v>0</v>
      </c>
      <c r="AA28" s="4">
        <f ca="1">VLOOKUP($L28,OFFSET([2]enemies!$A$1,0,0,COUNTA([2]enemies!$A:$A),MATCH(AA$1,[2]enemies!$1:$1,0)-MATCH($L$1,[2]enemies!$1:$1,0)+1),MATCH(AA$1,[2]enemies!$1:$1,0)-MATCH($L$1,[2]enemies!$1:$1,0)+1,FALSE)</f>
        <v>3</v>
      </c>
      <c r="AB28" s="52">
        <v>360</v>
      </c>
      <c r="AC28" s="4" t="str">
        <f ca="1">VLOOKUP($AB28,OFFSET([3]characters!$A$1,0,0,COUNTA([3]characters!$A:$A),MATCH(AC$1,[3]characters!$1:$1,0)-MATCH("character_id",[3]characters!$1:$1,0)+1),MATCH(AC$1,[3]characters!$1:$1,0)-MATCH("character_id",[3]characters!$1:$1,0)+1,FALSE)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8" s="4">
        <f ca="1">VLOOKUP($AB28,OFFSET([3]characters!$A$1,0,0,COUNTA([3]characters!$A:$A),MATCH(AD$1,[3]characters!$1:$1,0)-MATCH("character_id",[3]characters!$1:$1,0)+1),MATCH(AD$1,[3]characters!$1:$1,0)-MATCH("character_id",[3]characters!$1:$1,0)+1,FALSE)</f>
        <v>2</v>
      </c>
      <c r="AE28" s="4" t="str">
        <f ca="1">VLOOKUP($AB28,OFFSET([3]characters!$A$1,0,0,COUNTA([3]characters!$A:$A),MATCH(AE$1,[3]characters!$1:$1,0)-MATCH("character_id",[3]characters!$1:$1,0)+1),MATCH(AE$1,[3]characters!$1:$1,0)-MATCH("character_id",[3]characters!$1:$1,0)+1,FALSE)</f>
        <v>Drop1S</v>
      </c>
      <c r="AF28" s="7">
        <v>7</v>
      </c>
      <c r="AG28" s="26">
        <f t="shared" ca="1" si="3"/>
        <v>2</v>
      </c>
      <c r="AH28" s="8">
        <v>20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</row>
    <row r="29" spans="1:39" ht="21" customHeight="1" x14ac:dyDescent="0.15">
      <c r="A29" s="18" t="str">
        <f t="shared" ca="1" si="32"/>
        <v>22_1-4/364&lt;lv40&gt;s3</v>
      </c>
      <c r="B29" s="53">
        <v>22</v>
      </c>
      <c r="C29" s="51">
        <v>1</v>
      </c>
      <c r="D29" s="2" t="str">
        <f t="shared" si="33"/>
        <v>22_1</v>
      </c>
      <c r="E29" s="2" t="str">
        <f t="shared" si="34"/>
        <v>1_22_1</v>
      </c>
      <c r="F29" s="4" t="str">
        <f ca="1">VLOOKUP($D29,OFFSET([1]stages!$A$1,0,0,COUNTA([1]stages!$A:$A),MATCH(F$1,[1]stages!$2:$2,0)-MATCH($D$1,[1]stages!$2:$2,0)+1),MATCH(F$1,[1]stages!$2:$2,0)-MATCH($D$1,[1]stages!$2:$2,0)+1,FALSE)</f>
        <v>22-1．開宴の遠吠え</v>
      </c>
      <c r="G29" s="56">
        <v>4</v>
      </c>
      <c r="H29" s="17" t="str">
        <f t="shared" si="35"/>
        <v>22_1-4</v>
      </c>
      <c r="I29" s="17"/>
      <c r="J29" s="17"/>
      <c r="K29" s="65" t="s">
        <v>56</v>
      </c>
      <c r="L29" s="52">
        <v>364</v>
      </c>
      <c r="M29" s="21" t="str">
        <f ca="1">VLOOKUP($L29,OFFSET([2]enemies!$A$1,0,0,COUNTA([2]enemies!$A:$A),MATCH(M$1,[2]enemies!$1:$1,0)-MATCH($L$1,[2]enemies!$1:$1,0)+1),MATCH(M$1,[2]enemies!$1:$1,0)-MATCH($L$1,[2]enemies!$1:$1,0)+1,FALSE)</f>
        <v>ノエル</v>
      </c>
      <c r="N29" s="21" t="str">
        <f ca="1">VLOOKUP($L29,OFFSET([2]enemies!$A$1,0,0,COUNTA([2]enemies!$A:$A),MATCH(N$1,[2]enemies!$1:$1,0)-MATCH($L$1,[2]enemies!$1:$1,0)+1),MATCH(N$1,[2]enemies!$1:$1,0)-MATCH($L$1,[2]enemies!$1:$1,0)+1,FALSE)</f>
        <v>blue</v>
      </c>
      <c r="O29" s="21" t="str">
        <f ca="1">VLOOKUP($L29,OFFSET([3]characters!$A$1,0,0,COUNTA([3]characters!$A:$A),MATCH(O$1,[3]characters!$1:$1,0)-MATCH($L$1,[3]characters!$1:$1,0)+1),MATCH(O$1,[3]characters!$1:$1,0)-MATCH($L$1,[3]characters!$1:$1,0)+1,FALSE)</f>
        <v>Drop1S</v>
      </c>
      <c r="P29" s="21" t="str">
        <f ca="1">VLOOKUP($L29,OFFSET([2]enemies!$A$1,0,0,COUNTA([2]enemies!$A:$A),MATCH(P$1,[2]enemies!$1:$1,0)-MATCH($L$1,[2]enemies!$1:$1,0)+1),MATCH(P$1,[2]enemies!$1:$1,0)-MATCH($L$1,[2]enemies!$1:$1,0)+1,FALSE)</f>
        <v>animal</v>
      </c>
      <c r="Q29" s="21">
        <f ca="1">VLOOKUP($L29,OFFSET([2]enemies!$A$1,0,0,COUNTA([2]enemies!$A:$A),MATCH(Q$1,[2]enemies!$1:$1,0)-MATCH($L$1,[2]enemies!$1:$1,0)+1),MATCH(Q$1,[2]enemies!$1:$1,0)-MATCH($L$1,[2]enemies!$1:$1,0)+1,FALSE)</f>
        <v>15</v>
      </c>
      <c r="R29" s="53">
        <v>40</v>
      </c>
      <c r="S29" s="27">
        <v>1</v>
      </c>
      <c r="T29" s="27">
        <v>1</v>
      </c>
      <c r="U29" s="5">
        <v>0</v>
      </c>
      <c r="V29" s="4" t="str">
        <f ca="1">VLOOKUP($W29,OFFSET([4]enemy_skill_sets!$B$1,0,0,COUNTA([4]enemy_skill_sets!$B:$B),MATCH(M$1,[4]enemy_skill_sets!$1:$1,0)-MATCH($W$1,[4]enemy_skill_sets!$1:$1,0)+2),MATCH(M$1,[4]enemy_skill_sets!$1:$1,0)-MATCH($W$1,[4]enemy_skill_sets!$1:$1,0)+2,FALSE)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29" s="64">
        <v>364</v>
      </c>
      <c r="X29" s="6">
        <v>0</v>
      </c>
      <c r="Y29" s="6">
        <v>100</v>
      </c>
      <c r="Z29" s="6">
        <v>0</v>
      </c>
      <c r="AA29" s="4">
        <f ca="1">VLOOKUP($L29,OFFSET([2]enemies!$A$1,0,0,COUNTA([2]enemies!$A:$A),MATCH(AA$1,[2]enemies!$1:$1,0)-MATCH($L$1,[2]enemies!$1:$1,0)+1),MATCH(AA$1,[2]enemies!$1:$1,0)-MATCH($L$1,[2]enemies!$1:$1,0)+1,FALSE)</f>
        <v>3</v>
      </c>
      <c r="AB29" s="52">
        <v>364</v>
      </c>
      <c r="AC29" s="4" t="str">
        <f ca="1">VLOOKUP($AB29,OFFSET([3]characters!$A$1,0,0,COUNTA([3]characters!$A:$A),MATCH(AC$1,[3]characters!$1:$1,0)-MATCH("character_id",[3]characters!$1:$1,0)+1),MATCH(AC$1,[3]characters!$1:$1,0)-MATCH("character_id",[3]characters!$1:$1,0)+1,FALSE)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29" s="4">
        <f ca="1">VLOOKUP($AB29,OFFSET([3]characters!$A$1,0,0,COUNTA([3]characters!$A:$A),MATCH(AD$1,[3]characters!$1:$1,0)-MATCH("character_id",[3]characters!$1:$1,0)+1),MATCH(AD$1,[3]characters!$1:$1,0)-MATCH("character_id",[3]characters!$1:$1,0)+1,FALSE)</f>
        <v>2</v>
      </c>
      <c r="AE29" s="4" t="str">
        <f ca="1">VLOOKUP($AB29,OFFSET([3]characters!$A$1,0,0,COUNTA([3]characters!$A:$A),MATCH(AE$1,[3]characters!$1:$1,0)-MATCH("character_id",[3]characters!$1:$1,0)+1),MATCH(AE$1,[3]characters!$1:$1,0)-MATCH("character_id",[3]characters!$1:$1,0)+1,FALSE)</f>
        <v>Drop1S</v>
      </c>
      <c r="AF29" s="7">
        <v>7</v>
      </c>
      <c r="AG29" s="26">
        <f t="shared" ca="1" si="3"/>
        <v>2</v>
      </c>
      <c r="AH29" s="8">
        <v>20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</row>
    <row r="30" spans="1:39" ht="21" customHeight="1" x14ac:dyDescent="0.15">
      <c r="A30" s="18" t="str">
        <f t="shared" ref="A30" ca="1" si="36">B30&amp;"_"&amp;C30&amp;"-"&amp;G30&amp;"/"&amp;L30&amp;"&lt;lv"&amp;R30&amp;"&gt;s"&amp;AA30</f>
        <v>22_1-4/348&lt;lv40&gt;s3</v>
      </c>
      <c r="B30" s="53">
        <v>22</v>
      </c>
      <c r="C30" s="51">
        <v>1</v>
      </c>
      <c r="D30" s="2" t="str">
        <f t="shared" ref="D30" si="37">B30&amp;"_"&amp;C30</f>
        <v>22_1</v>
      </c>
      <c r="E30" s="2" t="str">
        <f t="shared" ref="E30" si="38">C30&amp;"_"&amp;D30</f>
        <v>1_22_1</v>
      </c>
      <c r="F30" s="4" t="str">
        <f ca="1">VLOOKUP($D30,OFFSET([1]stages!$A$1,0,0,COUNTA([1]stages!$A:$A),MATCH(F$1,[1]stages!$2:$2,0)-MATCH($D$1,[1]stages!$2:$2,0)+1),MATCH(F$1,[1]stages!$2:$2,0)-MATCH($D$1,[1]stages!$2:$2,0)+1,FALSE)</f>
        <v>22-1．開宴の遠吠え</v>
      </c>
      <c r="G30" s="56">
        <v>4</v>
      </c>
      <c r="H30" s="17" t="str">
        <f t="shared" ref="H30" si="39">B30&amp;"_"&amp;C30&amp;"-"&amp;G30</f>
        <v>22_1-4</v>
      </c>
      <c r="I30" s="17"/>
      <c r="J30" s="17"/>
      <c r="K30" s="65" t="s">
        <v>56</v>
      </c>
      <c r="L30" s="52">
        <v>348</v>
      </c>
      <c r="M30" s="21" t="str">
        <f ca="1">VLOOKUP($L30,OFFSET([2]enemies!$A$1,0,0,COUNTA([2]enemies!$A:$A),MATCH(M$1,[2]enemies!$1:$1,0)-MATCH($L$1,[2]enemies!$1:$1,0)+1),MATCH(M$1,[2]enemies!$1:$1,0)-MATCH($L$1,[2]enemies!$1:$1,0)+1,FALSE)</f>
        <v>炎のケロケロ</v>
      </c>
      <c r="N30" s="21" t="str">
        <f ca="1">VLOOKUP($L30,OFFSET([2]enemies!$A$1,0,0,COUNTA([2]enemies!$A:$A),MATCH(N$1,[2]enemies!$1:$1,0)-MATCH($L$1,[2]enemies!$1:$1,0)+1),MATCH(N$1,[2]enemies!$1:$1,0)-MATCH($L$1,[2]enemies!$1:$1,0)+1,FALSE)</f>
        <v>red</v>
      </c>
      <c r="O30" s="21" t="str">
        <f ca="1">VLOOKUP($L30,OFFSET([3]characters!$A$1,0,0,COUNTA([3]characters!$A:$A),MATCH(O$1,[3]characters!$1:$1,0)-MATCH($L$1,[3]characters!$1:$1,0)+1),MATCH(O$1,[3]characters!$1:$1,0)-MATCH($L$1,[3]characters!$1:$1,0)+1,FALSE)</f>
        <v>Material</v>
      </c>
      <c r="P30" s="21" t="str">
        <f ca="1">VLOOKUP($L30,OFFSET([2]enemies!$A$1,0,0,COUNTA([2]enemies!$A:$A),MATCH(P$1,[2]enemies!$1:$1,0)-MATCH($L$1,[2]enemies!$1:$1,0)+1),MATCH(P$1,[2]enemies!$1:$1,0)-MATCH($L$1,[2]enemies!$1:$1,0)+1,FALSE)</f>
        <v>unknown</v>
      </c>
      <c r="Q30" s="21">
        <f ca="1">VLOOKUP($L30,OFFSET([2]enemies!$A$1,0,0,COUNTA([2]enemies!$A:$A),MATCH(Q$1,[2]enemies!$1:$1,0)-MATCH($L$1,[2]enemies!$1:$1,0)+1),MATCH(Q$1,[2]enemies!$1:$1,0)-MATCH($L$1,[2]enemies!$1:$1,0)+1,FALSE)</f>
        <v>15</v>
      </c>
      <c r="R30" s="53">
        <v>40</v>
      </c>
      <c r="S30" s="27">
        <v>1</v>
      </c>
      <c r="T30" s="27">
        <v>1</v>
      </c>
      <c r="U30" s="5">
        <v>0</v>
      </c>
      <c r="V30" s="4" t="str">
        <f ca="1">VLOOKUP($W30,OFFSET([4]enemy_skill_sets!$B$1,0,0,COUNTA([4]enemy_skill_sets!$B:$B),MATCH(M$1,[4]enemy_skill_sets!$1:$1,0)-MATCH($W$1,[4]enemy_skill_sets!$1:$1,0)+2),MATCH(M$1,[4]enemy_skill_sets!$1:$1,0)-MATCH($W$1,[4]enemy_skill_sets!$1:$1,0)+2,FALSE)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30" s="64">
        <v>348</v>
      </c>
      <c r="X30" s="6">
        <v>0</v>
      </c>
      <c r="Y30" s="6">
        <v>100</v>
      </c>
      <c r="Z30" s="6">
        <v>0</v>
      </c>
      <c r="AA30" s="4">
        <f ca="1">VLOOKUP($L30,OFFSET([2]enemies!$A$1,0,0,COUNTA([2]enemies!$A:$A),MATCH(AA$1,[2]enemies!$1:$1,0)-MATCH($L$1,[2]enemies!$1:$1,0)+1),MATCH(AA$1,[2]enemies!$1:$1,0)-MATCH($L$1,[2]enemies!$1:$1,0)+1,FALSE)</f>
        <v>3</v>
      </c>
      <c r="AB30" s="52">
        <v>348</v>
      </c>
      <c r="AC30" s="4" t="str">
        <f ca="1">VLOOKUP($AB30,OFFSET([3]characters!$A$1,0,0,COUNTA([3]characters!$A:$A),MATCH(AC$1,[3]characters!$1:$1,0)-MATCH("character_id",[3]characters!$1:$1,0)+1),MATCH(AC$1,[3]characters!$1:$1,0)-MATCH("character_id",[3]characters!$1:$1,0)+1,FALSE)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30" s="4">
        <f ca="1">VLOOKUP($AB30,OFFSET([3]characters!$A$1,0,0,COUNTA([3]characters!$A:$A),MATCH(AD$1,[3]characters!$1:$1,0)-MATCH("character_id",[3]characters!$1:$1,0)+1),MATCH(AD$1,[3]characters!$1:$1,0)-MATCH("character_id",[3]characters!$1:$1,0)+1,FALSE)</f>
        <v>2</v>
      </c>
      <c r="AE30" s="4" t="str">
        <f ca="1">VLOOKUP($AB30,OFFSET([3]characters!$A$1,0,0,COUNTA([3]characters!$A:$A),MATCH(AE$1,[3]characters!$1:$1,0)-MATCH("character_id",[3]characters!$1:$1,0)+1),MATCH(AE$1,[3]characters!$1:$1,0)-MATCH("character_id",[3]characters!$1:$1,0)+1,FALSE)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0" s="7">
        <v>10</v>
      </c>
      <c r="AG30" s="26">
        <f t="shared" ca="1" si="3"/>
        <v>2</v>
      </c>
      <c r="AH30" s="8">
        <v>20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</row>
    <row r="31" spans="1:39" ht="14" x14ac:dyDescent="0.15">
      <c r="A31" s="18" t="str">
        <f t="shared" si="0"/>
        <v>22_1-5/130&lt;lv45&gt;s2</v>
      </c>
      <c r="B31" s="50">
        <v>22</v>
      </c>
      <c r="C31" s="49">
        <v>1</v>
      </c>
      <c r="D31" s="2" t="str">
        <f t="shared" si="1"/>
        <v>22_1</v>
      </c>
      <c r="E31" s="2" t="str">
        <f t="shared" si="1"/>
        <v>1_22_1</v>
      </c>
      <c r="F31" s="4" t="str">
        <f ca="1">VLOOKUP($D31,OFFSET([1]stages!$A$1,0,0,COUNTA([1]stages!$A:$A),MATCH(F$1,[1]stages!$2:$2,0)-MATCH($D$1,[1]stages!$2:$2,0)+1),MATCH(F$1,[1]stages!$2:$2,0)-MATCH($D$1,[1]stages!$2:$2,0)+1,FALSE)</f>
        <v>22-1．開宴の遠吠え</v>
      </c>
      <c r="G31" s="57">
        <v>5</v>
      </c>
      <c r="H31" s="17" t="str">
        <f t="shared" si="2"/>
        <v>22_1-5</v>
      </c>
      <c r="I31" s="17"/>
      <c r="J31" s="17"/>
      <c r="K31" s="74">
        <v>130</v>
      </c>
      <c r="L31" s="52">
        <v>130</v>
      </c>
      <c r="M31" s="21" t="str">
        <f ca="1">VLOOKUP($L31,OFFSET([2]enemies!$A$1,0,0,COUNTA([2]enemies!$A:$A),MATCH(M$1,[2]enemies!$1:$1,0)-MATCH($L$1,[2]enemies!$1:$1,0)+1),MATCH(M$1,[2]enemies!$1:$1,0)-MATCH($L$1,[2]enemies!$1:$1,0)+1,FALSE)</f>
        <v>狼男 ローレンス</v>
      </c>
      <c r="N31" s="21" t="str">
        <f ca="1">VLOOKUP($L31,OFFSET([2]enemies!$A$1,0,0,COUNTA([2]enemies!$A:$A),MATCH(N$1,[2]enemies!$1:$1,0)-MATCH($L$1,[2]enemies!$1:$1,0)+1),MATCH(N$1,[2]enemies!$1:$1,0)-MATCH($L$1,[2]enemies!$1:$1,0)+1,FALSE)</f>
        <v>blue</v>
      </c>
      <c r="O31" s="21" t="str">
        <f ca="1">VLOOKUP($L31,OFFSET([3]characters!$A$1,0,0,COUNTA([3]characters!$A:$A),MATCH(O$1,[3]characters!$1:$1,0)-MATCH($L$1,[3]characters!$1:$1,0)+1),MATCH(O$1,[3]characters!$1:$1,0)-MATCH($L$1,[3]characters!$1:$1,0)+1,FALSE)</f>
        <v>PremiumW</v>
      </c>
      <c r="P31" s="21" t="str">
        <f ca="1">VLOOKUP($L31,OFFSET([2]enemies!$A$1,0,0,COUNTA([2]enemies!$A:$A),MATCH(P$1,[2]enemies!$1:$1,0)-MATCH($L$1,[2]enemies!$1:$1,0)+1),MATCH(P$1,[2]enemies!$1:$1,0)-MATCH($L$1,[2]enemies!$1:$1,0)+1,FALSE)</f>
        <v>animal</v>
      </c>
      <c r="Q31" s="21">
        <f ca="1">VLOOKUP($L31,OFFSET([2]enemies!$A$1,0,0,COUNTA([2]enemies!$A:$A),MATCH(Q$1,[2]enemies!$1:$1,0)-MATCH($L$1,[2]enemies!$1:$1,0)+1),MATCH(Q$1,[2]enemies!$1:$1,0)-MATCH($L$1,[2]enemies!$1:$1,0)+1,FALSE)</f>
        <v>20</v>
      </c>
      <c r="R31" s="53">
        <v>45</v>
      </c>
      <c r="S31" s="27">
        <v>1.5</v>
      </c>
      <c r="T31" s="27">
        <v>0.8</v>
      </c>
      <c r="U31" s="5">
        <v>0</v>
      </c>
      <c r="V31" s="4" t="str">
        <f ca="1">VLOOKUP($W31,OFFSET([4]enemy_skill_sets!$B$1,0,0,COUNTA([4]enemy_skill_sets!$B:$B),MATCH(M$1,[4]enemy_skill_sets!$1:$1,0)-MATCH($W$1,[4]enemy_skill_sets!$1:$1,0)+2),MATCH(M$1,[4]enemy_skill_sets!$1:$1,0)-MATCH($W$1,[4]enemy_skill_sets!$1:$1,0)+2,FALSE)</f>
        <v>攻撃力×1.5倍の攻撃</v>
      </c>
      <c r="W31" s="4">
        <f ca="1">VLOOKUP($L31,OFFSET([2]enemies!$A$1,0,0,COUNTA([2]enemies!$A:$A),MATCH(W$1,[2]enemies!$1:$1,0)-MATCH($L$1,[2]enemies!$1:$1,0)+1),MATCH(W$1,[2]enemies!$1:$1,0)-MATCH($L$1,[2]enemies!$1:$1,0)+1,FALSE)</f>
        <v>130</v>
      </c>
      <c r="X31" s="6">
        <v>1</v>
      </c>
      <c r="Y31" s="6">
        <v>100</v>
      </c>
      <c r="Z31" s="6">
        <v>1</v>
      </c>
      <c r="AA31" s="64">
        <v>2</v>
      </c>
      <c r="AB31" s="52">
        <v>130</v>
      </c>
      <c r="AC31" s="4" t="str">
        <f ca="1">VLOOKUP($AB31,OFFSET([3]characters!$A$1,0,0,COUNTA([3]characters!$A:$A),MATCH(AC$1,[3]characters!$1:$1,0)-MATCH("character_id",[3]characters!$1:$1,0)+1),MATCH(AC$1,[3]characters!$1:$1,0)-MATCH("character_id",[3]characters!$1:$1,0)+1,FALSE)</f>
        <v>狼男 ローレンス</v>
      </c>
      <c r="AD31" s="4">
        <f ca="1">VLOOKUP($AB31,OFFSET([3]characters!$A$1,0,0,COUNTA([3]characters!$A:$A),MATCH(AD$1,[3]characters!$1:$1,0)-MATCH("character_id",[3]characters!$1:$1,0)+1),MATCH(AD$1,[3]characters!$1:$1,0)-MATCH("character_id",[3]characters!$1:$1,0)+1,FALSE)</f>
        <v>3</v>
      </c>
      <c r="AE31" s="4" t="str">
        <f ca="1">VLOOKUP($AB31,OFFSET([3]characters!$A$1,0,0,COUNTA([3]characters!$A:$A),MATCH(AE$1,[3]characters!$1:$1,0)-MATCH("character_id",[3]characters!$1:$1,0)+1),MATCH(AE$1,[3]characters!$1:$1,0)-MATCH("character_id",[3]characters!$1:$1,0)+1,FALSE)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31" s="7">
        <v>1</v>
      </c>
      <c r="AG31" s="26">
        <f t="shared" ca="1" si="3"/>
        <v>3</v>
      </c>
      <c r="AH31" s="8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</row>
    <row r="32" spans="1:39" ht="14" x14ac:dyDescent="0.15">
      <c r="A32" s="18" t="str">
        <f t="shared" ca="1" si="0"/>
        <v>22_2-1/9&lt;lv42&gt;s2</v>
      </c>
      <c r="B32" s="50">
        <v>22</v>
      </c>
      <c r="C32" s="49">
        <v>2</v>
      </c>
      <c r="D32" s="2" t="str">
        <f t="shared" si="1"/>
        <v>22_2</v>
      </c>
      <c r="E32" s="2" t="str">
        <f t="shared" si="1"/>
        <v>2_22_2</v>
      </c>
      <c r="F32" s="4" t="str">
        <f ca="1">VLOOKUP($D32,OFFSET([1]stages!$A$1,0,0,COUNTA([1]stages!$A:$A),MATCH(F$1,[1]stages!$2:$2,0)-MATCH($D$1,[1]stages!$2:$2,0)+1),MATCH(F$1,[1]stages!$2:$2,0)-MATCH($D$1,[1]stages!$2:$2,0)+1,FALSE)</f>
        <v>22-2．排他的な案内人</v>
      </c>
      <c r="G32" s="54">
        <v>1</v>
      </c>
      <c r="H32" s="17" t="str">
        <f t="shared" si="2"/>
        <v>22_2-1</v>
      </c>
      <c r="I32" s="17"/>
      <c r="J32" s="17"/>
      <c r="K32" s="65" t="s">
        <v>56</v>
      </c>
      <c r="L32" s="52">
        <v>9</v>
      </c>
      <c r="M32" s="21" t="str">
        <f ca="1">VLOOKUP($L32,OFFSET([2]enemies!$A$1,0,0,COUNTA([2]enemies!$A:$A),MATCH(M$1,[2]enemies!$1:$1,0)-MATCH($L$1,[2]enemies!$1:$1,0)+1),MATCH(M$1,[2]enemies!$1:$1,0)-MATCH($L$1,[2]enemies!$1:$1,0)+1,FALSE)</f>
        <v>ブレット</v>
      </c>
      <c r="N32" s="21" t="str">
        <f ca="1">VLOOKUP($L32,OFFSET([2]enemies!$A$1,0,0,COUNTA([2]enemies!$A:$A),MATCH(N$1,[2]enemies!$1:$1,0)-MATCH($L$1,[2]enemies!$1:$1,0)+1),MATCH(N$1,[2]enemies!$1:$1,0)-MATCH($L$1,[2]enemies!$1:$1,0)+1,FALSE)</f>
        <v>red</v>
      </c>
      <c r="O32" s="21" t="str">
        <f ca="1">VLOOKUP($L32,OFFSET([3]characters!$A$1,0,0,COUNTA([3]characters!$A:$A),MATCH(O$1,[3]characters!$1:$1,0)-MATCH($L$1,[3]characters!$1:$1,0)+1),MATCH(O$1,[3]characters!$1:$1,0)-MATCH($L$1,[3]characters!$1:$1,0)+1,FALSE)</f>
        <v>Drop1W</v>
      </c>
      <c r="P32" s="21" t="str">
        <f ca="1">VLOOKUP($L32,OFFSET([2]enemies!$A$1,0,0,COUNTA([2]enemies!$A:$A),MATCH(P$1,[2]enemies!$1:$1,0)-MATCH($L$1,[2]enemies!$1:$1,0)+1),MATCH(P$1,[2]enemies!$1:$1,0)-MATCH($L$1,[2]enemies!$1:$1,0)+1,FALSE)</f>
        <v>animal</v>
      </c>
      <c r="Q32" s="21">
        <f ca="1">VLOOKUP($L32,OFFSET([2]enemies!$A$1,0,0,COUNTA([2]enemies!$A:$A),MATCH(Q$1,[2]enemies!$1:$1,0)-MATCH($L$1,[2]enemies!$1:$1,0)+1),MATCH(Q$1,[2]enemies!$1:$1,0)-MATCH($L$1,[2]enemies!$1:$1,0)+1,FALSE)</f>
        <v>15</v>
      </c>
      <c r="R32" s="53">
        <v>42</v>
      </c>
      <c r="S32" s="27">
        <v>1</v>
      </c>
      <c r="T32" s="27">
        <v>1</v>
      </c>
      <c r="U32" s="5">
        <v>0</v>
      </c>
      <c r="V32" s="4" t="str">
        <f ca="1">VLOOKUP($W32,OFFSET([4]enemy_skill_sets!$B$1,0,0,COUNTA([4]enemy_skill_sets!$B:$B),MATCH(M$1,[4]enemy_skill_sets!$1:$1,0)-MATCH($W$1,[4]enemy_skill_sets!$1:$1,0)+2),MATCH(M$1,[4]enemy_skill_sets!$1:$1,0)-MATCH($W$1,[4]enemy_skill_sets!$1:$1,0)+2,FALSE)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2" s="4">
        <f ca="1">VLOOKUP($L32,OFFSET([2]enemies!$A$1,0,0,COUNTA([2]enemies!$A:$A),MATCH(W$1,[2]enemies!$1:$1,0)-MATCH($L$1,[2]enemies!$1:$1,0)+1),MATCH(W$1,[2]enemies!$1:$1,0)-MATCH($L$1,[2]enemies!$1:$1,0)+1,FALSE)</f>
        <v>0</v>
      </c>
      <c r="X32" s="6">
        <v>0</v>
      </c>
      <c r="Y32" s="6">
        <v>100</v>
      </c>
      <c r="Z32" s="6">
        <v>0</v>
      </c>
      <c r="AA32" s="4">
        <f ca="1">VLOOKUP($L32,OFFSET([2]enemies!$A$1,0,0,COUNTA([2]enemies!$A:$A),MATCH(AA$1,[2]enemies!$1:$1,0)-MATCH($L$1,[2]enemies!$1:$1,0)+1),MATCH(AA$1,[2]enemies!$1:$1,0)-MATCH($L$1,[2]enemies!$1:$1,0)+1,FALSE)</f>
        <v>2</v>
      </c>
      <c r="AB32" s="52">
        <v>9</v>
      </c>
      <c r="AC32" s="4" t="str">
        <f ca="1">VLOOKUP($AB32,OFFSET([3]characters!$A$1,0,0,COUNTA([3]characters!$A:$A),MATCH(AC$1,[3]characters!$1:$1,0)-MATCH("character_id",[3]characters!$1:$1,0)+1),MATCH(AC$1,[3]characters!$1:$1,0)-MATCH("character_id",[3]characters!$1:$1,0)+1,FALSE)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32" s="4">
        <f ca="1">VLOOKUP($AB32,OFFSET([3]characters!$A$1,0,0,COUNTA([3]characters!$A:$A),MATCH(AD$1,[3]characters!$1:$1,0)-MATCH("character_id",[3]characters!$1:$1,0)+1),MATCH(AD$1,[3]characters!$1:$1,0)-MATCH("character_id",[3]characters!$1:$1,0)+1,FALSE)</f>
        <v>1</v>
      </c>
      <c r="AE32" s="4" t="str">
        <f ca="1">VLOOKUP($AB32,OFFSET([3]characters!$A$1,0,0,COUNTA([3]characters!$A:$A),MATCH(AE$1,[3]characters!$1:$1,0)-MATCH("character_id",[3]characters!$1:$1,0)+1),MATCH(AE$1,[3]characters!$1:$1,0)-MATCH("character_id",[3]characters!$1:$1,0)+1,FALSE)</f>
        <v>Drop1W</v>
      </c>
      <c r="AF32" s="7">
        <v>9</v>
      </c>
      <c r="AG32" s="26">
        <f t="shared" ca="1" si="3"/>
        <v>1</v>
      </c>
      <c r="AH32" s="8">
        <v>20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</row>
    <row r="33" spans="1:39" ht="14" x14ac:dyDescent="0.15">
      <c r="A33" s="18" t="str">
        <f t="shared" ca="1" si="0"/>
        <v>22_2-1/33&lt;lv42&gt;s2</v>
      </c>
      <c r="B33" s="50">
        <v>22</v>
      </c>
      <c r="C33" s="49">
        <v>2</v>
      </c>
      <c r="D33" s="2" t="str">
        <f t="shared" si="1"/>
        <v>22_2</v>
      </c>
      <c r="E33" s="2" t="str">
        <f t="shared" si="1"/>
        <v>2_22_2</v>
      </c>
      <c r="F33" s="4" t="str">
        <f ca="1">VLOOKUP($D33,OFFSET([1]stages!$A$1,0,0,COUNTA([1]stages!$A:$A),MATCH(F$1,[1]stages!$2:$2,0)-MATCH($D$1,[1]stages!$2:$2,0)+1),MATCH(F$1,[1]stages!$2:$2,0)-MATCH($D$1,[1]stages!$2:$2,0)+1,FALSE)</f>
        <v>22-2．排他的な案内人</v>
      </c>
      <c r="G33" s="54">
        <v>1</v>
      </c>
      <c r="H33" s="17" t="str">
        <f t="shared" si="2"/>
        <v>22_2-1</v>
      </c>
      <c r="I33" s="17"/>
      <c r="J33" s="17"/>
      <c r="K33" s="65" t="s">
        <v>56</v>
      </c>
      <c r="L33" s="52">
        <v>33</v>
      </c>
      <c r="M33" s="21" t="str">
        <f ca="1">VLOOKUP($L33,OFFSET([2]enemies!$A$1,0,0,COUNTA([2]enemies!$A:$A),MATCH(M$1,[2]enemies!$1:$1,0)-MATCH($L$1,[2]enemies!$1:$1,0)+1),MATCH(M$1,[2]enemies!$1:$1,0)-MATCH($L$1,[2]enemies!$1:$1,0)+1,FALSE)</f>
        <v>ゴクウ</v>
      </c>
      <c r="N33" s="21" t="str">
        <f ca="1">VLOOKUP($L33,OFFSET([2]enemies!$A$1,0,0,COUNTA([2]enemies!$A:$A),MATCH(N$1,[2]enemies!$1:$1,0)-MATCH($L$1,[2]enemies!$1:$1,0)+1),MATCH(N$1,[2]enemies!$1:$1,0)-MATCH($L$1,[2]enemies!$1:$1,0)+1,FALSE)</f>
        <v>red</v>
      </c>
      <c r="O33" s="21" t="str">
        <f ca="1">VLOOKUP($L33,OFFSET([3]characters!$A$1,0,0,COUNTA([3]characters!$A:$A),MATCH(O$1,[3]characters!$1:$1,0)-MATCH($L$1,[3]characters!$1:$1,0)+1),MATCH(O$1,[3]characters!$1:$1,0)-MATCH($L$1,[3]characters!$1:$1,0)+1,FALSE)</f>
        <v>Drop1S</v>
      </c>
      <c r="P33" s="21" t="str">
        <f ca="1">VLOOKUP($L33,OFFSET([2]enemies!$A$1,0,0,COUNTA([2]enemies!$A:$A),MATCH(P$1,[2]enemies!$1:$1,0)-MATCH($L$1,[2]enemies!$1:$1,0)+1),MATCH(P$1,[2]enemies!$1:$1,0)-MATCH($L$1,[2]enemies!$1:$1,0)+1,FALSE)</f>
        <v>animal</v>
      </c>
      <c r="Q33" s="21">
        <f ca="1">VLOOKUP($L33,OFFSET([2]enemies!$A$1,0,0,COUNTA([2]enemies!$A:$A),MATCH(Q$1,[2]enemies!$1:$1,0)-MATCH($L$1,[2]enemies!$1:$1,0)+1),MATCH(Q$1,[2]enemies!$1:$1,0)-MATCH($L$1,[2]enemies!$1:$1,0)+1,FALSE)</f>
        <v>15</v>
      </c>
      <c r="R33" s="53">
        <v>42</v>
      </c>
      <c r="S33" s="27">
        <v>1</v>
      </c>
      <c r="T33" s="27">
        <v>1</v>
      </c>
      <c r="U33" s="5">
        <v>0</v>
      </c>
      <c r="V33" s="4" t="str">
        <f ca="1">VLOOKUP($W33,OFFSET([4]enemy_skill_sets!$B$1,0,0,COUNTA([4]enemy_skill_sets!$B:$B),MATCH(M$1,[4]enemy_skill_sets!$1:$1,0)-MATCH($W$1,[4]enemy_skill_sets!$1:$1,0)+2),MATCH(M$1,[4]enemy_skill_sets!$1:$1,0)-MATCH($W$1,[4]enemy_skill_sets!$1:$1,0)+2,FALSE)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33" s="4">
        <f ca="1">VLOOKUP($L33,OFFSET([2]enemies!$A$1,0,0,COUNTA([2]enemies!$A:$A),MATCH(W$1,[2]enemies!$1:$1,0)-MATCH($L$1,[2]enemies!$1:$1,0)+1),MATCH(W$1,[2]enemies!$1:$1,0)-MATCH($L$1,[2]enemies!$1:$1,0)+1,FALSE)</f>
        <v>33</v>
      </c>
      <c r="X33" s="6">
        <v>0</v>
      </c>
      <c r="Y33" s="6">
        <v>100</v>
      </c>
      <c r="Z33" s="6">
        <v>0</v>
      </c>
      <c r="AA33" s="4">
        <f ca="1">VLOOKUP($L33,OFFSET([2]enemies!$A$1,0,0,COUNTA([2]enemies!$A:$A),MATCH(AA$1,[2]enemies!$1:$1,0)-MATCH($L$1,[2]enemies!$1:$1,0)+1),MATCH(AA$1,[2]enemies!$1:$1,0)-MATCH($L$1,[2]enemies!$1:$1,0)+1,FALSE)</f>
        <v>2</v>
      </c>
      <c r="AB33" s="52">
        <v>33</v>
      </c>
      <c r="AC33" s="4" t="str">
        <f ca="1">VLOOKUP($AB33,OFFSET([3]characters!$A$1,0,0,COUNTA([3]characters!$A:$A),MATCH(AC$1,[3]characters!$1:$1,0)-MATCH("character_id",[3]characters!$1:$1,0)+1),MATCH(AC$1,[3]characters!$1:$1,0)-MATCH("character_id",[3]characters!$1:$1,0)+1,FALSE)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33" s="4">
        <f ca="1">VLOOKUP($AB33,OFFSET([3]characters!$A$1,0,0,COUNTA([3]characters!$A:$A),MATCH(AD$1,[3]characters!$1:$1,0)-MATCH("character_id",[3]characters!$1:$1,0)+1),MATCH(AD$1,[3]characters!$1:$1,0)-MATCH("character_id",[3]characters!$1:$1,0)+1,FALSE)</f>
        <v>2</v>
      </c>
      <c r="AE33" s="4" t="str">
        <f ca="1">VLOOKUP($AB33,OFFSET([3]characters!$A$1,0,0,COUNTA([3]characters!$A:$A),MATCH(AE$1,[3]characters!$1:$1,0)-MATCH("character_id",[3]characters!$1:$1,0)+1),MATCH(AE$1,[3]characters!$1:$1,0)-MATCH("character_id",[3]characters!$1:$1,0)+1,FALSE)</f>
        <v>Drop1S</v>
      </c>
      <c r="AF33" s="7">
        <v>5</v>
      </c>
      <c r="AG33" s="26">
        <f t="shared" ca="1" si="3"/>
        <v>2</v>
      </c>
      <c r="AH33" s="8">
        <v>20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</row>
    <row r="34" spans="1:39" ht="14" x14ac:dyDescent="0.15">
      <c r="A34" s="18" t="str">
        <f t="shared" ca="1" si="0"/>
        <v>22_2-1/57&lt;lv42&gt;s2</v>
      </c>
      <c r="B34" s="50">
        <v>22</v>
      </c>
      <c r="C34" s="49">
        <v>2</v>
      </c>
      <c r="D34" s="2" t="str">
        <f t="shared" si="1"/>
        <v>22_2</v>
      </c>
      <c r="E34" s="2" t="str">
        <f t="shared" si="1"/>
        <v>2_22_2</v>
      </c>
      <c r="F34" s="4" t="str">
        <f ca="1">VLOOKUP($D34,OFFSET([1]stages!$A$1,0,0,COUNTA([1]stages!$A:$A),MATCH(F$1,[1]stages!$2:$2,0)-MATCH($D$1,[1]stages!$2:$2,0)+1),MATCH(F$1,[1]stages!$2:$2,0)-MATCH($D$1,[1]stages!$2:$2,0)+1,FALSE)</f>
        <v>22-2．排他的な案内人</v>
      </c>
      <c r="G34" s="54">
        <v>1</v>
      </c>
      <c r="H34" s="17" t="str">
        <f t="shared" si="2"/>
        <v>22_2-1</v>
      </c>
      <c r="I34" s="17"/>
      <c r="J34" s="17"/>
      <c r="K34" s="65" t="s">
        <v>56</v>
      </c>
      <c r="L34" s="52">
        <v>57</v>
      </c>
      <c r="M34" s="21" t="str">
        <f ca="1">VLOOKUP($L34,OFFSET([2]enemies!$A$1,0,0,COUNTA([2]enemies!$A:$A),MATCH(M$1,[2]enemies!$1:$1,0)-MATCH($L$1,[2]enemies!$1:$1,0)+1),MATCH(M$1,[2]enemies!$1:$1,0)-MATCH($L$1,[2]enemies!$1:$1,0)+1,FALSE)</f>
        <v>チェン・リー</v>
      </c>
      <c r="N34" s="21" t="str">
        <f ca="1">VLOOKUP($L34,OFFSET([2]enemies!$A$1,0,0,COUNTA([2]enemies!$A:$A),MATCH(N$1,[2]enemies!$1:$1,0)-MATCH($L$1,[2]enemies!$1:$1,0)+1),MATCH(N$1,[2]enemies!$1:$1,0)-MATCH($L$1,[2]enemies!$1:$1,0)+1,FALSE)</f>
        <v>red</v>
      </c>
      <c r="O34" s="21" t="str">
        <f ca="1">VLOOKUP($L34,OFFSET([3]characters!$A$1,0,0,COUNTA([3]characters!$A:$A),MATCH(O$1,[3]characters!$1:$1,0)-MATCH($L$1,[3]characters!$1:$1,0)+1),MATCH(O$1,[3]characters!$1:$1,0)-MATCH($L$1,[3]characters!$1:$1,0)+1,FALSE)</f>
        <v>Drop1N</v>
      </c>
      <c r="P34" s="21" t="str">
        <f ca="1">VLOOKUP($L34,OFFSET([2]enemies!$A$1,0,0,COUNTA([2]enemies!$A:$A),MATCH(P$1,[2]enemies!$1:$1,0)-MATCH($L$1,[2]enemies!$1:$1,0)+1),MATCH(P$1,[2]enemies!$1:$1,0)-MATCH($L$1,[2]enemies!$1:$1,0)+1,FALSE)</f>
        <v>animal</v>
      </c>
      <c r="Q34" s="21">
        <f ca="1">VLOOKUP($L34,OFFSET([2]enemies!$A$1,0,0,COUNTA([2]enemies!$A:$A),MATCH(Q$1,[2]enemies!$1:$1,0)-MATCH($L$1,[2]enemies!$1:$1,0)+1),MATCH(Q$1,[2]enemies!$1:$1,0)-MATCH($L$1,[2]enemies!$1:$1,0)+1,FALSE)</f>
        <v>15</v>
      </c>
      <c r="R34" s="53">
        <v>42</v>
      </c>
      <c r="S34" s="27">
        <v>1</v>
      </c>
      <c r="T34" s="27">
        <v>1</v>
      </c>
      <c r="U34" s="5">
        <v>0</v>
      </c>
      <c r="V34" s="4" t="str">
        <f ca="1">VLOOKUP($W34,OFFSET([4]enemy_skill_sets!$B$1,0,0,COUNTA([4]enemy_skill_sets!$B:$B),MATCH(M$1,[4]enemy_skill_sets!$1:$1,0)-MATCH($W$1,[4]enemy_skill_sets!$1:$1,0)+2),MATCH(M$1,[4]enemy_skill_sets!$1:$1,0)-MATCH($W$1,[4]enemy_skill_sets!$1:$1,0)+2,FALSE)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34" s="4">
        <f ca="1">VLOOKUP($L34,OFFSET([2]enemies!$A$1,0,0,COUNTA([2]enemies!$A:$A),MATCH(W$1,[2]enemies!$1:$1,0)-MATCH($L$1,[2]enemies!$1:$1,0)+1),MATCH(W$1,[2]enemies!$1:$1,0)-MATCH($L$1,[2]enemies!$1:$1,0)+1,FALSE)</f>
        <v>57</v>
      </c>
      <c r="X34" s="6">
        <v>0</v>
      </c>
      <c r="Y34" s="6">
        <v>100</v>
      </c>
      <c r="Z34" s="6">
        <v>0</v>
      </c>
      <c r="AA34" s="4">
        <f ca="1">VLOOKUP($L34,OFFSET([2]enemies!$A$1,0,0,COUNTA([2]enemies!$A:$A),MATCH(AA$1,[2]enemies!$1:$1,0)-MATCH($L$1,[2]enemies!$1:$1,0)+1),MATCH(AA$1,[2]enemies!$1:$1,0)-MATCH($L$1,[2]enemies!$1:$1,0)+1,FALSE)</f>
        <v>2</v>
      </c>
      <c r="AB34" s="52">
        <v>57</v>
      </c>
      <c r="AC34" s="4" t="str">
        <f ca="1">VLOOKUP($AB34,OFFSET([3]characters!$A$1,0,0,COUNTA([3]characters!$A:$A),MATCH(AC$1,[3]characters!$1:$1,0)-MATCH("character_id",[3]characters!$1:$1,0)+1),MATCH(AC$1,[3]characters!$1:$1,0)-MATCH("character_id",[3]characters!$1:$1,0)+1,FALSE)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34" s="4">
        <f ca="1">VLOOKUP($AB34,OFFSET([3]characters!$A$1,0,0,COUNTA([3]characters!$A:$A),MATCH(AD$1,[3]characters!$1:$1,0)-MATCH("character_id",[3]characters!$1:$1,0)+1),MATCH(AD$1,[3]characters!$1:$1,0)-MATCH("character_id",[3]characters!$1:$1,0)+1,FALSE)</f>
        <v>2</v>
      </c>
      <c r="AE34" s="4" t="str">
        <f ca="1">VLOOKUP($AB34,OFFSET([3]characters!$A$1,0,0,COUNTA([3]characters!$A:$A),MATCH(AE$1,[3]characters!$1:$1,0)-MATCH("character_id",[3]characters!$1:$1,0)+1),MATCH(AE$1,[3]characters!$1:$1,0)-MATCH("character_id",[3]characters!$1:$1,0)+1,FALSE)</f>
        <v>Drop1N</v>
      </c>
      <c r="AF34" s="7">
        <v>7</v>
      </c>
      <c r="AG34" s="26">
        <f t="shared" ca="1" si="3"/>
        <v>2</v>
      </c>
      <c r="AH34" s="8">
        <v>20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</row>
    <row r="35" spans="1:39" ht="14" x14ac:dyDescent="0.15">
      <c r="A35" s="18" t="str">
        <f t="shared" ref="A35" ca="1" si="40">B35&amp;"_"&amp;C35&amp;"-"&amp;G35&amp;"/"&amp;L35&amp;"&lt;lv"&amp;R35&amp;"&gt;s"&amp;AA35</f>
        <v>22_2-1/360&lt;lv42&gt;s3</v>
      </c>
      <c r="B35" s="53">
        <v>22</v>
      </c>
      <c r="C35" s="51">
        <v>2</v>
      </c>
      <c r="D35" s="2" t="str">
        <f t="shared" ref="D35" si="41">B35&amp;"_"&amp;C35</f>
        <v>22_2</v>
      </c>
      <c r="E35" s="2" t="str">
        <f t="shared" ref="E35" si="42">C35&amp;"_"&amp;D35</f>
        <v>2_22_2</v>
      </c>
      <c r="F35" s="4" t="str">
        <f ca="1">VLOOKUP($D35,OFFSET([1]stages!$A$1,0,0,COUNTA([1]stages!$A:$A),MATCH(F$1,[1]stages!$2:$2,0)-MATCH($D$1,[1]stages!$2:$2,0)+1),MATCH(F$1,[1]stages!$2:$2,0)-MATCH($D$1,[1]stages!$2:$2,0)+1,FALSE)</f>
        <v>22-2．排他的な案内人</v>
      </c>
      <c r="G35" s="54">
        <v>1</v>
      </c>
      <c r="H35" s="17" t="str">
        <f t="shared" ref="H35" si="43">B35&amp;"_"&amp;C35&amp;"-"&amp;G35</f>
        <v>22_2-1</v>
      </c>
      <c r="I35" s="17"/>
      <c r="J35" s="17"/>
      <c r="K35" s="65" t="s">
        <v>56</v>
      </c>
      <c r="L35" s="52">
        <v>360</v>
      </c>
      <c r="M35" s="21" t="str">
        <f ca="1">VLOOKUP($L35,OFFSET([2]enemies!$A$1,0,0,COUNTA([2]enemies!$A:$A),MATCH(M$1,[2]enemies!$1:$1,0)-MATCH($L$1,[2]enemies!$1:$1,0)+1),MATCH(M$1,[2]enemies!$1:$1,0)-MATCH($L$1,[2]enemies!$1:$1,0)+1,FALSE)</f>
        <v>ガンテツ</v>
      </c>
      <c r="N35" s="21" t="str">
        <f ca="1">VLOOKUP($L35,OFFSET([2]enemies!$A$1,0,0,COUNTA([2]enemies!$A:$A),MATCH(N$1,[2]enemies!$1:$1,0)-MATCH($L$1,[2]enemies!$1:$1,0)+1),MATCH(N$1,[2]enemies!$1:$1,0)-MATCH($L$1,[2]enemies!$1:$1,0)+1,FALSE)</f>
        <v>red</v>
      </c>
      <c r="O35" s="21" t="str">
        <f ca="1">VLOOKUP($L35,OFFSET([3]characters!$A$1,0,0,COUNTA([3]characters!$A:$A),MATCH(O$1,[3]characters!$1:$1,0)-MATCH($L$1,[3]characters!$1:$1,0)+1),MATCH(O$1,[3]characters!$1:$1,0)-MATCH($L$1,[3]characters!$1:$1,0)+1,FALSE)</f>
        <v>Drop1S</v>
      </c>
      <c r="P35" s="21" t="str">
        <f ca="1">VLOOKUP($L35,OFFSET([2]enemies!$A$1,0,0,COUNTA([2]enemies!$A:$A),MATCH(P$1,[2]enemies!$1:$1,0)-MATCH($L$1,[2]enemies!$1:$1,0)+1),MATCH(P$1,[2]enemies!$1:$1,0)-MATCH($L$1,[2]enemies!$1:$1,0)+1,FALSE)</f>
        <v>animal</v>
      </c>
      <c r="Q35" s="21">
        <f ca="1">VLOOKUP($L35,OFFSET([2]enemies!$A$1,0,0,COUNTA([2]enemies!$A:$A),MATCH(Q$1,[2]enemies!$1:$1,0)-MATCH($L$1,[2]enemies!$1:$1,0)+1),MATCH(Q$1,[2]enemies!$1:$1,0)-MATCH($L$1,[2]enemies!$1:$1,0)+1,FALSE)</f>
        <v>15</v>
      </c>
      <c r="R35" s="53">
        <v>42</v>
      </c>
      <c r="S35" s="27">
        <v>1</v>
      </c>
      <c r="T35" s="27">
        <v>1</v>
      </c>
      <c r="U35" s="5">
        <v>0</v>
      </c>
      <c r="V35" s="4" t="str">
        <f ca="1">VLOOKUP($W35,OFFSET([4]enemy_skill_sets!$B$1,0,0,COUNTA([4]enemy_skill_sets!$B:$B),MATCH(M$1,[4]enemy_skill_sets!$1:$1,0)-MATCH($W$1,[4]enemy_skill_sets!$1:$1,0)+2),MATCH(M$1,[4]enemy_skill_sets!$1:$1,0)-MATCH($W$1,[4]enemy_skill_sets!$1:$1,0)+2,FALSE)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35" s="76">
        <v>360</v>
      </c>
      <c r="X35" s="6">
        <v>0</v>
      </c>
      <c r="Y35" s="6">
        <v>100</v>
      </c>
      <c r="Z35" s="6">
        <v>0</v>
      </c>
      <c r="AA35" s="4">
        <f ca="1">VLOOKUP($L35,OFFSET([2]enemies!$A$1,0,0,COUNTA([2]enemies!$A:$A),MATCH(AA$1,[2]enemies!$1:$1,0)-MATCH($L$1,[2]enemies!$1:$1,0)+1),MATCH(AA$1,[2]enemies!$1:$1,0)-MATCH($L$1,[2]enemies!$1:$1,0)+1,FALSE)</f>
        <v>3</v>
      </c>
      <c r="AB35" s="52">
        <v>360</v>
      </c>
      <c r="AC35" s="4" t="str">
        <f ca="1">VLOOKUP($AB35,OFFSET([3]characters!$A$1,0,0,COUNTA([3]characters!$A:$A),MATCH(AC$1,[3]characters!$1:$1,0)-MATCH("character_id",[3]characters!$1:$1,0)+1),MATCH(AC$1,[3]characters!$1:$1,0)-MATCH("character_id",[3]characters!$1:$1,0)+1,FALSE)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35" s="4">
        <f ca="1">VLOOKUP($AB35,OFFSET([3]characters!$A$1,0,0,COUNTA([3]characters!$A:$A),MATCH(AD$1,[3]characters!$1:$1,0)-MATCH("character_id",[3]characters!$1:$1,0)+1),MATCH(AD$1,[3]characters!$1:$1,0)-MATCH("character_id",[3]characters!$1:$1,0)+1,FALSE)</f>
        <v>2</v>
      </c>
      <c r="AE35" s="4" t="str">
        <f ca="1">VLOOKUP($AB35,OFFSET([3]characters!$A$1,0,0,COUNTA([3]characters!$A:$A),MATCH(AE$1,[3]characters!$1:$1,0)-MATCH("character_id",[3]characters!$1:$1,0)+1),MATCH(AE$1,[3]characters!$1:$1,0)-MATCH("character_id",[3]characters!$1:$1,0)+1,FALSE)</f>
        <v>Drop1S</v>
      </c>
      <c r="AF35" s="7">
        <v>7</v>
      </c>
      <c r="AG35" s="26">
        <f t="shared" ca="1" si="3"/>
        <v>2</v>
      </c>
      <c r="AH35" s="8">
        <v>20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</row>
    <row r="36" spans="1:39" ht="14" x14ac:dyDescent="0.15">
      <c r="A36" s="18" t="str">
        <f t="shared" ref="A36" ca="1" si="44">B36&amp;"_"&amp;C36&amp;"-"&amp;G36&amp;"/"&amp;L36&amp;"&lt;lv"&amp;R36&amp;"&gt;s"&amp;AA36</f>
        <v>22_2-1/348&lt;lv42&gt;s3</v>
      </c>
      <c r="B36" s="53">
        <v>22</v>
      </c>
      <c r="C36" s="51">
        <v>2</v>
      </c>
      <c r="D36" s="2" t="str">
        <f t="shared" ref="D36" si="45">B36&amp;"_"&amp;C36</f>
        <v>22_2</v>
      </c>
      <c r="E36" s="2" t="str">
        <f t="shared" ref="E36" si="46">C36&amp;"_"&amp;D36</f>
        <v>2_22_2</v>
      </c>
      <c r="F36" s="4" t="str">
        <f ca="1">VLOOKUP($D36,OFFSET([1]stages!$A$1,0,0,COUNTA([1]stages!$A:$A),MATCH(F$1,[1]stages!$2:$2,0)-MATCH($D$1,[1]stages!$2:$2,0)+1),MATCH(F$1,[1]stages!$2:$2,0)-MATCH($D$1,[1]stages!$2:$2,0)+1,FALSE)</f>
        <v>22-2．排他的な案内人</v>
      </c>
      <c r="G36" s="54">
        <v>1</v>
      </c>
      <c r="H36" s="17" t="str">
        <f t="shared" ref="H36" si="47">B36&amp;"_"&amp;C36&amp;"-"&amp;G36</f>
        <v>22_2-1</v>
      </c>
      <c r="I36" s="17"/>
      <c r="J36" s="17"/>
      <c r="K36" s="65" t="s">
        <v>56</v>
      </c>
      <c r="L36" s="52">
        <v>348</v>
      </c>
      <c r="M36" s="21" t="str">
        <f ca="1">VLOOKUP($L36,OFFSET([2]enemies!$A$1,0,0,COUNTA([2]enemies!$A:$A),MATCH(M$1,[2]enemies!$1:$1,0)-MATCH($L$1,[2]enemies!$1:$1,0)+1),MATCH(M$1,[2]enemies!$1:$1,0)-MATCH($L$1,[2]enemies!$1:$1,0)+1,FALSE)</f>
        <v>炎のケロケロ</v>
      </c>
      <c r="N36" s="21" t="str">
        <f ca="1">VLOOKUP($L36,OFFSET([2]enemies!$A$1,0,0,COUNTA([2]enemies!$A:$A),MATCH(N$1,[2]enemies!$1:$1,0)-MATCH($L$1,[2]enemies!$1:$1,0)+1),MATCH(N$1,[2]enemies!$1:$1,0)-MATCH($L$1,[2]enemies!$1:$1,0)+1,FALSE)</f>
        <v>red</v>
      </c>
      <c r="O36" s="21" t="str">
        <f ca="1">VLOOKUP($L36,OFFSET([3]characters!$A$1,0,0,COUNTA([3]characters!$A:$A),MATCH(O$1,[3]characters!$1:$1,0)-MATCH($L$1,[3]characters!$1:$1,0)+1),MATCH(O$1,[3]characters!$1:$1,0)-MATCH($L$1,[3]characters!$1:$1,0)+1,FALSE)</f>
        <v>Material</v>
      </c>
      <c r="P36" s="21" t="str">
        <f ca="1">VLOOKUP($L36,OFFSET([2]enemies!$A$1,0,0,COUNTA([2]enemies!$A:$A),MATCH(P$1,[2]enemies!$1:$1,0)-MATCH($L$1,[2]enemies!$1:$1,0)+1),MATCH(P$1,[2]enemies!$1:$1,0)-MATCH($L$1,[2]enemies!$1:$1,0)+1,FALSE)</f>
        <v>unknown</v>
      </c>
      <c r="Q36" s="21">
        <f ca="1">VLOOKUP($L36,OFFSET([2]enemies!$A$1,0,0,COUNTA([2]enemies!$A:$A),MATCH(Q$1,[2]enemies!$1:$1,0)-MATCH($L$1,[2]enemies!$1:$1,0)+1),MATCH(Q$1,[2]enemies!$1:$1,0)-MATCH($L$1,[2]enemies!$1:$1,0)+1,FALSE)</f>
        <v>15</v>
      </c>
      <c r="R36" s="53">
        <v>42</v>
      </c>
      <c r="S36" s="27">
        <v>1</v>
      </c>
      <c r="T36" s="27">
        <v>1</v>
      </c>
      <c r="U36" s="5">
        <v>0</v>
      </c>
      <c r="V36" s="4" t="str">
        <f ca="1">VLOOKUP($W36,OFFSET([4]enemy_skill_sets!$B$1,0,0,COUNTA([4]enemy_skill_sets!$B:$B),MATCH(M$1,[4]enemy_skill_sets!$1:$1,0)-MATCH($W$1,[4]enemy_skill_sets!$1:$1,0)+2),MATCH(M$1,[4]enemy_skill_sets!$1:$1,0)-MATCH($W$1,[4]enemy_skill_sets!$1:$1,0)+2,FALSE)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36" s="64">
        <v>348</v>
      </c>
      <c r="X36" s="6">
        <v>0</v>
      </c>
      <c r="Y36" s="6">
        <v>100</v>
      </c>
      <c r="Z36" s="6">
        <v>0</v>
      </c>
      <c r="AA36" s="4">
        <f ca="1">VLOOKUP($L36,OFFSET([2]enemies!$A$1,0,0,COUNTA([2]enemies!$A:$A),MATCH(AA$1,[2]enemies!$1:$1,0)-MATCH($L$1,[2]enemies!$1:$1,0)+1),MATCH(AA$1,[2]enemies!$1:$1,0)-MATCH($L$1,[2]enemies!$1:$1,0)+1,FALSE)</f>
        <v>3</v>
      </c>
      <c r="AB36" s="52">
        <v>348</v>
      </c>
      <c r="AC36" s="4" t="str">
        <f ca="1">VLOOKUP($AB36,OFFSET([3]characters!$A$1,0,0,COUNTA([3]characters!$A:$A),MATCH(AC$1,[3]characters!$1:$1,0)-MATCH("character_id",[3]characters!$1:$1,0)+1),MATCH(AC$1,[3]characters!$1:$1,0)-MATCH("character_id",[3]characters!$1:$1,0)+1,FALSE)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36" s="4">
        <f ca="1">VLOOKUP($AB36,OFFSET([3]characters!$A$1,0,0,COUNTA([3]characters!$A:$A),MATCH(AD$1,[3]characters!$1:$1,0)-MATCH("character_id",[3]characters!$1:$1,0)+1),MATCH(AD$1,[3]characters!$1:$1,0)-MATCH("character_id",[3]characters!$1:$1,0)+1,FALSE)</f>
        <v>2</v>
      </c>
      <c r="AE36" s="4" t="str">
        <f ca="1">VLOOKUP($AB36,OFFSET([3]characters!$A$1,0,0,COUNTA([3]characters!$A:$A),MATCH(AE$1,[3]characters!$1:$1,0)-MATCH("character_id",[3]characters!$1:$1,0)+1),MATCH(AE$1,[3]characters!$1:$1,0)-MATCH("character_id",[3]characters!$1:$1,0)+1,FALSE)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6" s="7">
        <v>10</v>
      </c>
      <c r="AG36" s="26">
        <f t="shared" ca="1" si="3"/>
        <v>2</v>
      </c>
      <c r="AH36" s="8">
        <v>20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</row>
    <row r="37" spans="1:39" ht="14" x14ac:dyDescent="0.15">
      <c r="A37" s="18" t="str">
        <f t="shared" ca="1" si="0"/>
        <v>22_2-2/25&lt;lv42&gt;s3</v>
      </c>
      <c r="B37" s="50">
        <v>22</v>
      </c>
      <c r="C37" s="49">
        <v>2</v>
      </c>
      <c r="D37" s="2" t="str">
        <f t="shared" si="1"/>
        <v>22_2</v>
      </c>
      <c r="E37" s="2" t="str">
        <f t="shared" si="1"/>
        <v>2_22_2</v>
      </c>
      <c r="F37" s="4" t="str">
        <f ca="1">VLOOKUP($D37,OFFSET([1]stages!$A$1,0,0,COUNTA([1]stages!$A:$A),MATCH(F$1,[1]stages!$2:$2,0)-MATCH($D$1,[1]stages!$2:$2,0)+1),MATCH(F$1,[1]stages!$2:$2,0)-MATCH($D$1,[1]stages!$2:$2,0)+1,FALSE)</f>
        <v>22-2．排他的な案内人</v>
      </c>
      <c r="G37" s="55">
        <v>2</v>
      </c>
      <c r="H37" s="17" t="str">
        <f t="shared" si="2"/>
        <v>22_2-2</v>
      </c>
      <c r="I37" s="17"/>
      <c r="J37" s="17"/>
      <c r="K37" s="65" t="s">
        <v>56</v>
      </c>
      <c r="L37" s="52">
        <v>25</v>
      </c>
      <c r="M37" s="21" t="str">
        <f ca="1">VLOOKUP($L37,OFFSET([2]enemies!$A$1,0,0,COUNTA([2]enemies!$A:$A),MATCH(M$1,[2]enemies!$1:$1,0)-MATCH($L$1,[2]enemies!$1:$1,0)+1),MATCH(M$1,[2]enemies!$1:$1,0)-MATCH($L$1,[2]enemies!$1:$1,0)+1,FALSE)</f>
        <v>ハチ</v>
      </c>
      <c r="N37" s="21" t="str">
        <f ca="1">VLOOKUP($L37,OFFSET([2]enemies!$A$1,0,0,COUNTA([2]enemies!$A:$A),MATCH(N$1,[2]enemies!$1:$1,0)-MATCH($L$1,[2]enemies!$1:$1,0)+1),MATCH(N$1,[2]enemies!$1:$1,0)-MATCH($L$1,[2]enemies!$1:$1,0)+1,FALSE)</f>
        <v>blue</v>
      </c>
      <c r="O37" s="21" t="str">
        <f ca="1">VLOOKUP($L37,OFFSET([3]characters!$A$1,0,0,COUNTA([3]characters!$A:$A),MATCH(O$1,[3]characters!$1:$1,0)-MATCH($L$1,[3]characters!$1:$1,0)+1),MATCH(O$1,[3]characters!$1:$1,0)-MATCH($L$1,[3]characters!$1:$1,0)+1,FALSE)</f>
        <v>Drop1N</v>
      </c>
      <c r="P37" s="21" t="str">
        <f ca="1">VLOOKUP($L37,OFFSET([2]enemies!$A$1,0,0,COUNTA([2]enemies!$A:$A),MATCH(P$1,[2]enemies!$1:$1,0)-MATCH($L$1,[2]enemies!$1:$1,0)+1),MATCH(P$1,[2]enemies!$1:$1,0)-MATCH($L$1,[2]enemies!$1:$1,0)+1,FALSE)</f>
        <v>animal</v>
      </c>
      <c r="Q37" s="21">
        <f ca="1">VLOOKUP($L37,OFFSET([2]enemies!$A$1,0,0,COUNTA([2]enemies!$A:$A),MATCH(Q$1,[2]enemies!$1:$1,0)-MATCH($L$1,[2]enemies!$1:$1,0)+1),MATCH(Q$1,[2]enemies!$1:$1,0)-MATCH($L$1,[2]enemies!$1:$1,0)+1,FALSE)</f>
        <v>15</v>
      </c>
      <c r="R37" s="53">
        <v>42</v>
      </c>
      <c r="S37" s="27">
        <v>1</v>
      </c>
      <c r="T37" s="27">
        <v>1</v>
      </c>
      <c r="U37" s="5">
        <v>0</v>
      </c>
      <c r="V37" s="4" t="str">
        <f ca="1">VLOOKUP($W37,OFFSET([4]enemy_skill_sets!$B$1,0,0,COUNTA([4]enemy_skill_sets!$B:$B),MATCH(M$1,[4]enemy_skill_sets!$1:$1,0)-MATCH($W$1,[4]enemy_skill_sets!$1:$1,0)+2),MATCH(M$1,[4]enemy_skill_sets!$1:$1,0)-MATCH($W$1,[4]enemy_skill_sets!$1:$1,0)+2,FALSE)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7" s="4">
        <f ca="1">VLOOKUP($L37,OFFSET([2]enemies!$A$1,0,0,COUNTA([2]enemies!$A:$A),MATCH(W$1,[2]enemies!$1:$1,0)-MATCH($L$1,[2]enemies!$1:$1,0)+1),MATCH(W$1,[2]enemies!$1:$1,0)-MATCH($L$1,[2]enemies!$1:$1,0)+1,FALSE)</f>
        <v>0</v>
      </c>
      <c r="X37" s="6">
        <v>0</v>
      </c>
      <c r="Y37" s="6">
        <v>100</v>
      </c>
      <c r="Z37" s="6">
        <v>0</v>
      </c>
      <c r="AA37" s="4">
        <f ca="1">VLOOKUP($L37,OFFSET([2]enemies!$A$1,0,0,COUNTA([2]enemies!$A:$A),MATCH(AA$1,[2]enemies!$1:$1,0)-MATCH($L$1,[2]enemies!$1:$1,0)+1),MATCH(AA$1,[2]enemies!$1:$1,0)-MATCH($L$1,[2]enemies!$1:$1,0)+1,FALSE)</f>
        <v>3</v>
      </c>
      <c r="AB37" s="52">
        <v>25</v>
      </c>
      <c r="AC37" s="4" t="str">
        <f ca="1">VLOOKUP($AB37,OFFSET([3]characters!$A$1,0,0,COUNTA([3]characters!$A:$A),MATCH(AC$1,[3]characters!$1:$1,0)-MATCH("character_id",[3]characters!$1:$1,0)+1),MATCH(AC$1,[3]characters!$1:$1,0)-MATCH("character_id",[3]characters!$1:$1,0)+1,FALSE)</f>
        <v>ハチ</v>
      </c>
      <c r="AD37" s="4">
        <f ca="1">VLOOKUP($AB37,OFFSET([3]characters!$A$1,0,0,COUNTA([3]characters!$A:$A),MATCH(AD$1,[3]characters!$1:$1,0)-MATCH("character_id",[3]characters!$1:$1,0)+1),MATCH(AD$1,[3]characters!$1:$1,0)-MATCH("character_id",[3]characters!$1:$1,0)+1,FALSE)</f>
        <v>1</v>
      </c>
      <c r="AE37" s="4" t="str">
        <f ca="1">VLOOKUP($AB37,OFFSET([3]characters!$A$1,0,0,COUNTA([3]characters!$A:$A),MATCH(AE$1,[3]characters!$1:$1,0)-MATCH("character_id",[3]characters!$1:$1,0)+1),MATCH(AE$1,[3]characters!$1:$1,0)-MATCH("character_id",[3]characters!$1:$1,0)+1,FALSE)</f>
        <v>Drop1N</v>
      </c>
      <c r="AF37" s="7">
        <v>7</v>
      </c>
      <c r="AG37" s="26">
        <f t="shared" ca="1" si="3"/>
        <v>1</v>
      </c>
      <c r="AH37" s="8">
        <v>20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</row>
    <row r="38" spans="1:39" ht="14" x14ac:dyDescent="0.15">
      <c r="A38" s="18" t="str">
        <f t="shared" ca="1" si="0"/>
        <v>22_2-2/37&lt;lv42&gt;s3</v>
      </c>
      <c r="B38" s="50">
        <v>22</v>
      </c>
      <c r="C38" s="49">
        <v>2</v>
      </c>
      <c r="D38" s="2" t="str">
        <f t="shared" si="1"/>
        <v>22_2</v>
      </c>
      <c r="E38" s="2" t="str">
        <f t="shared" si="1"/>
        <v>2_22_2</v>
      </c>
      <c r="F38" s="4" t="str">
        <f ca="1">VLOOKUP($D38,OFFSET([1]stages!$A$1,0,0,COUNTA([1]stages!$A:$A),MATCH(F$1,[1]stages!$2:$2,0)-MATCH($D$1,[1]stages!$2:$2,0)+1),MATCH(F$1,[1]stages!$2:$2,0)-MATCH($D$1,[1]stages!$2:$2,0)+1,FALSE)</f>
        <v>22-2．排他的な案内人</v>
      </c>
      <c r="G38" s="55">
        <v>2</v>
      </c>
      <c r="H38" s="17" t="str">
        <f t="shared" si="2"/>
        <v>22_2-2</v>
      </c>
      <c r="I38" s="17"/>
      <c r="J38" s="17"/>
      <c r="K38" s="65" t="s">
        <v>56</v>
      </c>
      <c r="L38" s="52">
        <v>37</v>
      </c>
      <c r="M38" s="21" t="str">
        <f ca="1">VLOOKUP($L38,OFFSET([2]enemies!$A$1,0,0,COUNTA([2]enemies!$A:$A),MATCH(M$1,[2]enemies!$1:$1,0)-MATCH($L$1,[2]enemies!$1:$1,0)+1),MATCH(M$1,[2]enemies!$1:$1,0)-MATCH($L$1,[2]enemies!$1:$1,0)+1,FALSE)</f>
        <v>ガイル</v>
      </c>
      <c r="N38" s="21" t="str">
        <f ca="1">VLOOKUP($L38,OFFSET([2]enemies!$A$1,0,0,COUNTA([2]enemies!$A:$A),MATCH(N$1,[2]enemies!$1:$1,0)-MATCH($L$1,[2]enemies!$1:$1,0)+1),MATCH(N$1,[2]enemies!$1:$1,0)-MATCH($L$1,[2]enemies!$1:$1,0)+1,FALSE)</f>
        <v>blue</v>
      </c>
      <c r="O38" s="21" t="str">
        <f ca="1">VLOOKUP($L38,OFFSET([3]characters!$A$1,0,0,COUNTA([3]characters!$A:$A),MATCH(O$1,[3]characters!$1:$1,0)-MATCH($L$1,[3]characters!$1:$1,0)+1),MATCH(O$1,[3]characters!$1:$1,0)-MATCH($L$1,[3]characters!$1:$1,0)+1,FALSE)</f>
        <v>Drop1S</v>
      </c>
      <c r="P38" s="21" t="str">
        <f ca="1">VLOOKUP($L38,OFFSET([2]enemies!$A$1,0,0,COUNTA([2]enemies!$A:$A),MATCH(P$1,[2]enemies!$1:$1,0)-MATCH($L$1,[2]enemies!$1:$1,0)+1),MATCH(P$1,[2]enemies!$1:$1,0)-MATCH($L$1,[2]enemies!$1:$1,0)+1,FALSE)</f>
        <v>animal</v>
      </c>
      <c r="Q38" s="21">
        <f ca="1">VLOOKUP($L38,OFFSET([2]enemies!$A$1,0,0,COUNTA([2]enemies!$A:$A),MATCH(Q$1,[2]enemies!$1:$1,0)-MATCH($L$1,[2]enemies!$1:$1,0)+1),MATCH(Q$1,[2]enemies!$1:$1,0)-MATCH($L$1,[2]enemies!$1:$1,0)+1,FALSE)</f>
        <v>15</v>
      </c>
      <c r="R38" s="53">
        <v>42</v>
      </c>
      <c r="S38" s="27">
        <v>1</v>
      </c>
      <c r="T38" s="27">
        <v>1</v>
      </c>
      <c r="U38" s="5">
        <v>0</v>
      </c>
      <c r="V38" s="4" t="str">
        <f ca="1">VLOOKUP($W38,OFFSET([4]enemy_skill_sets!$B$1,0,0,COUNTA([4]enemy_skill_sets!$B:$B),MATCH(M$1,[4]enemy_skill_sets!$1:$1,0)-MATCH($W$1,[4]enemy_skill_sets!$1:$1,0)+2),MATCH(M$1,[4]enemy_skill_sets!$1:$1,0)-MATCH($W$1,[4]enemy_skill_sets!$1:$1,0)+2,FALSE)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8" s="4">
        <f ca="1">VLOOKUP($L38,OFFSET([2]enemies!$A$1,0,0,COUNTA([2]enemies!$A:$A),MATCH(W$1,[2]enemies!$1:$1,0)-MATCH($L$1,[2]enemies!$1:$1,0)+1),MATCH(W$1,[2]enemies!$1:$1,0)-MATCH($L$1,[2]enemies!$1:$1,0)+1,FALSE)</f>
        <v>37</v>
      </c>
      <c r="X38" s="6">
        <v>0</v>
      </c>
      <c r="Y38" s="6">
        <v>100</v>
      </c>
      <c r="Z38" s="6">
        <v>0</v>
      </c>
      <c r="AA38" s="4">
        <f ca="1">VLOOKUP($L38,OFFSET([2]enemies!$A$1,0,0,COUNTA([2]enemies!$A:$A),MATCH(AA$1,[2]enemies!$1:$1,0)-MATCH($L$1,[2]enemies!$1:$1,0)+1),MATCH(AA$1,[2]enemies!$1:$1,0)-MATCH($L$1,[2]enemies!$1:$1,0)+1,FALSE)</f>
        <v>3</v>
      </c>
      <c r="AB38" s="52">
        <v>37</v>
      </c>
      <c r="AC38" s="4" t="str">
        <f ca="1">VLOOKUP($AB38,OFFSET([3]characters!$A$1,0,0,COUNTA([3]characters!$A:$A),MATCH(AC$1,[3]characters!$1:$1,0)-MATCH("character_id",[3]characters!$1:$1,0)+1),MATCH(AC$1,[3]characters!$1:$1,0)-MATCH("character_id",[3]characters!$1:$1,0)+1,FALSE)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38" s="4">
        <f ca="1">VLOOKUP($AB38,OFFSET([3]characters!$A$1,0,0,COUNTA([3]characters!$A:$A),MATCH(AD$1,[3]characters!$1:$1,0)-MATCH("character_id",[3]characters!$1:$1,0)+1),MATCH(AD$1,[3]characters!$1:$1,0)-MATCH("character_id",[3]characters!$1:$1,0)+1,FALSE)</f>
        <v>2</v>
      </c>
      <c r="AE38" s="4" t="str">
        <f ca="1">VLOOKUP($AB38,OFFSET([3]characters!$A$1,0,0,COUNTA([3]characters!$A:$A),MATCH(AE$1,[3]characters!$1:$1,0)-MATCH("character_id",[3]characters!$1:$1,0)+1),MATCH(AE$1,[3]characters!$1:$1,0)-MATCH("character_id",[3]characters!$1:$1,0)+1,FALSE)</f>
        <v>Drop1S</v>
      </c>
      <c r="AF38" s="7">
        <v>5</v>
      </c>
      <c r="AG38" s="26">
        <f t="shared" ca="1" si="3"/>
        <v>2</v>
      </c>
      <c r="AH38" s="8">
        <v>20</v>
      </c>
      <c r="AI38" s="7">
        <v>0</v>
      </c>
      <c r="AJ38" s="7">
        <v>0</v>
      </c>
      <c r="AK38" s="7">
        <v>0</v>
      </c>
      <c r="AL38" s="7">
        <v>0</v>
      </c>
      <c r="AM38" s="7">
        <v>1</v>
      </c>
    </row>
    <row r="39" spans="1:39" ht="14" x14ac:dyDescent="0.15">
      <c r="A39" s="18" t="str">
        <f t="shared" ca="1" si="0"/>
        <v>22_2-2/45&lt;lv42&gt;s3</v>
      </c>
      <c r="B39" s="50">
        <v>22</v>
      </c>
      <c r="C39" s="49">
        <v>2</v>
      </c>
      <c r="D39" s="2" t="str">
        <f t="shared" si="1"/>
        <v>22_2</v>
      </c>
      <c r="E39" s="2" t="str">
        <f t="shared" si="1"/>
        <v>2_22_2</v>
      </c>
      <c r="F39" s="4" t="str">
        <f ca="1">VLOOKUP($D39,OFFSET([1]stages!$A$1,0,0,COUNTA([1]stages!$A:$A),MATCH(F$1,[1]stages!$2:$2,0)-MATCH($D$1,[1]stages!$2:$2,0)+1),MATCH(F$1,[1]stages!$2:$2,0)-MATCH($D$1,[1]stages!$2:$2,0)+1,FALSE)</f>
        <v>22-2．排他的な案内人</v>
      </c>
      <c r="G39" s="55">
        <v>2</v>
      </c>
      <c r="H39" s="17" t="str">
        <f t="shared" si="2"/>
        <v>22_2-2</v>
      </c>
      <c r="I39" s="17"/>
      <c r="J39" s="17"/>
      <c r="K39" s="65" t="s">
        <v>56</v>
      </c>
      <c r="L39" s="52">
        <v>45</v>
      </c>
      <c r="M39" s="21" t="str">
        <f ca="1">VLOOKUP($L39,OFFSET([2]enemies!$A$1,0,0,COUNTA([2]enemies!$A:$A),MATCH(M$1,[2]enemies!$1:$1,0)-MATCH($L$1,[2]enemies!$1:$1,0)+1),MATCH(M$1,[2]enemies!$1:$1,0)-MATCH($L$1,[2]enemies!$1:$1,0)+1,FALSE)</f>
        <v>ショウイン</v>
      </c>
      <c r="N39" s="21" t="str">
        <f ca="1">VLOOKUP($L39,OFFSET([2]enemies!$A$1,0,0,COUNTA([2]enemies!$A:$A),MATCH(N$1,[2]enemies!$1:$1,0)-MATCH($L$1,[2]enemies!$1:$1,0)+1),MATCH(N$1,[2]enemies!$1:$1,0)-MATCH($L$1,[2]enemies!$1:$1,0)+1,FALSE)</f>
        <v>blue</v>
      </c>
      <c r="O39" s="21" t="str">
        <f ca="1">VLOOKUP($L39,OFFSET([3]characters!$A$1,0,0,COUNTA([3]characters!$A:$A),MATCH(O$1,[3]characters!$1:$1,0)-MATCH($L$1,[3]characters!$1:$1,0)+1),MATCH(O$1,[3]characters!$1:$1,0)-MATCH($L$1,[3]characters!$1:$1,0)+1,FALSE)</f>
        <v>Drop1N</v>
      </c>
      <c r="P39" s="21" t="str">
        <f ca="1">VLOOKUP($L39,OFFSET([2]enemies!$A$1,0,0,COUNTA([2]enemies!$A:$A),MATCH(P$1,[2]enemies!$1:$1,0)-MATCH($L$1,[2]enemies!$1:$1,0)+1),MATCH(P$1,[2]enemies!$1:$1,0)-MATCH($L$1,[2]enemies!$1:$1,0)+1,FALSE)</f>
        <v>animal</v>
      </c>
      <c r="Q39" s="21">
        <f ca="1">VLOOKUP($L39,OFFSET([2]enemies!$A$1,0,0,COUNTA([2]enemies!$A:$A),MATCH(Q$1,[2]enemies!$1:$1,0)-MATCH($L$1,[2]enemies!$1:$1,0)+1),MATCH(Q$1,[2]enemies!$1:$1,0)-MATCH($L$1,[2]enemies!$1:$1,0)+1,FALSE)</f>
        <v>15</v>
      </c>
      <c r="R39" s="53">
        <v>42</v>
      </c>
      <c r="S39" s="27">
        <v>1</v>
      </c>
      <c r="T39" s="27">
        <v>1</v>
      </c>
      <c r="U39" s="5">
        <v>0</v>
      </c>
      <c r="V39" s="4" t="str">
        <f ca="1">VLOOKUP($W39,OFFSET([4]enemy_skill_sets!$B$1,0,0,COUNTA([4]enemy_skill_sets!$B:$B),MATCH(M$1,[4]enemy_skill_sets!$1:$1,0)-MATCH($W$1,[4]enemy_skill_sets!$1:$1,0)+2),MATCH(M$1,[4]enemy_skill_sets!$1:$1,0)-MATCH($W$1,[4]enemy_skill_sets!$1:$1,0)+2,FALSE)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9" s="4">
        <f ca="1">VLOOKUP($L39,OFFSET([2]enemies!$A$1,0,0,COUNTA([2]enemies!$A:$A),MATCH(W$1,[2]enemies!$1:$1,0)-MATCH($L$1,[2]enemies!$1:$1,0)+1),MATCH(W$1,[2]enemies!$1:$1,0)-MATCH($L$1,[2]enemies!$1:$1,0)+1,FALSE)</f>
        <v>0</v>
      </c>
      <c r="X39" s="6">
        <v>0</v>
      </c>
      <c r="Y39" s="6">
        <v>100</v>
      </c>
      <c r="Z39" s="6">
        <v>0</v>
      </c>
      <c r="AA39" s="4">
        <f ca="1">VLOOKUP($L39,OFFSET([2]enemies!$A$1,0,0,COUNTA([2]enemies!$A:$A),MATCH(AA$1,[2]enemies!$1:$1,0)-MATCH($L$1,[2]enemies!$1:$1,0)+1),MATCH(AA$1,[2]enemies!$1:$1,0)-MATCH($L$1,[2]enemies!$1:$1,0)+1,FALSE)</f>
        <v>3</v>
      </c>
      <c r="AB39" s="52">
        <v>45</v>
      </c>
      <c r="AC39" s="4" t="str">
        <f ca="1">VLOOKUP($AB39,OFFSET([3]characters!$A$1,0,0,COUNTA([3]characters!$A:$A),MATCH(AC$1,[3]characters!$1:$1,0)-MATCH("character_id",[3]characters!$1:$1,0)+1),MATCH(AC$1,[3]characters!$1:$1,0)-MATCH("character_id",[3]characters!$1:$1,0)+1,FALSE)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39" s="4">
        <f ca="1">VLOOKUP($AB39,OFFSET([3]characters!$A$1,0,0,COUNTA([3]characters!$A:$A),MATCH(AD$1,[3]characters!$1:$1,0)-MATCH("character_id",[3]characters!$1:$1,0)+1),MATCH(AD$1,[3]characters!$1:$1,0)-MATCH("character_id",[3]characters!$1:$1,0)+1,FALSE)</f>
        <v>2</v>
      </c>
      <c r="AE39" s="4" t="str">
        <f ca="1">VLOOKUP($AB39,OFFSET([3]characters!$A$1,0,0,COUNTA([3]characters!$A:$A),MATCH(AE$1,[3]characters!$1:$1,0)-MATCH("character_id",[3]characters!$1:$1,0)+1),MATCH(AE$1,[3]characters!$1:$1,0)-MATCH("character_id",[3]characters!$1:$1,0)+1,FALSE)</f>
        <v>Drop1N</v>
      </c>
      <c r="AF39" s="7">
        <v>7</v>
      </c>
      <c r="AG39" s="26">
        <f t="shared" ca="1" si="3"/>
        <v>2</v>
      </c>
      <c r="AH39" s="8">
        <v>20</v>
      </c>
      <c r="AI39" s="7">
        <v>0</v>
      </c>
      <c r="AJ39" s="7">
        <v>0</v>
      </c>
      <c r="AK39" s="7">
        <v>0</v>
      </c>
      <c r="AL39" s="7">
        <v>0</v>
      </c>
      <c r="AM39" s="7">
        <v>1</v>
      </c>
    </row>
    <row r="40" spans="1:39" ht="14" x14ac:dyDescent="0.15">
      <c r="A40" s="18" t="str">
        <f t="shared" ca="1" si="0"/>
        <v>22_2-2/61&lt;lv42&gt;s2</v>
      </c>
      <c r="B40" s="50">
        <v>22</v>
      </c>
      <c r="C40" s="49">
        <v>2</v>
      </c>
      <c r="D40" s="2" t="str">
        <f t="shared" si="1"/>
        <v>22_2</v>
      </c>
      <c r="E40" s="2" t="str">
        <f t="shared" si="1"/>
        <v>2_22_2</v>
      </c>
      <c r="F40" s="4" t="str">
        <f ca="1">VLOOKUP($D40,OFFSET([1]stages!$A$1,0,0,COUNTA([1]stages!$A:$A),MATCH(F$1,[1]stages!$2:$2,0)-MATCH($D$1,[1]stages!$2:$2,0)+1),MATCH(F$1,[1]stages!$2:$2,0)-MATCH($D$1,[1]stages!$2:$2,0)+1,FALSE)</f>
        <v>22-2．排他的な案内人</v>
      </c>
      <c r="G40" s="55">
        <v>2</v>
      </c>
      <c r="H40" s="17" t="str">
        <f t="shared" si="2"/>
        <v>22_2-2</v>
      </c>
      <c r="I40" s="17"/>
      <c r="J40" s="17"/>
      <c r="K40" s="65" t="s">
        <v>56</v>
      </c>
      <c r="L40" s="52">
        <v>61</v>
      </c>
      <c r="M40" s="21" t="str">
        <f ca="1">VLOOKUP($L40,OFFSET([2]enemies!$A$1,0,0,COUNTA([2]enemies!$A:$A),MATCH(M$1,[2]enemies!$1:$1,0)-MATCH($L$1,[2]enemies!$1:$1,0)+1),MATCH(M$1,[2]enemies!$1:$1,0)-MATCH($L$1,[2]enemies!$1:$1,0)+1,FALSE)</f>
        <v>クロウ</v>
      </c>
      <c r="N40" s="21" t="str">
        <f ca="1">VLOOKUP($L40,OFFSET([2]enemies!$A$1,0,0,COUNTA([2]enemies!$A:$A),MATCH(N$1,[2]enemies!$1:$1,0)-MATCH($L$1,[2]enemies!$1:$1,0)+1),MATCH(N$1,[2]enemies!$1:$1,0)-MATCH($L$1,[2]enemies!$1:$1,0)+1,FALSE)</f>
        <v>blue</v>
      </c>
      <c r="O40" s="21" t="str">
        <f ca="1">VLOOKUP($L40,OFFSET([3]characters!$A$1,0,0,COUNTA([3]characters!$A:$A),MATCH(O$1,[3]characters!$1:$1,0)-MATCH($L$1,[3]characters!$1:$1,0)+1),MATCH(O$1,[3]characters!$1:$1,0)-MATCH($L$1,[3]characters!$1:$1,0)+1,FALSE)</f>
        <v>Drop1N</v>
      </c>
      <c r="P40" s="21" t="str">
        <f ca="1">VLOOKUP($L40,OFFSET([2]enemies!$A$1,0,0,COUNTA([2]enemies!$A:$A),MATCH(P$1,[2]enemies!$1:$1,0)-MATCH($L$1,[2]enemies!$1:$1,0)+1),MATCH(P$1,[2]enemies!$1:$1,0)-MATCH($L$1,[2]enemies!$1:$1,0)+1,FALSE)</f>
        <v>animal</v>
      </c>
      <c r="Q40" s="21">
        <f ca="1">VLOOKUP($L40,OFFSET([2]enemies!$A$1,0,0,COUNTA([2]enemies!$A:$A),MATCH(Q$1,[2]enemies!$1:$1,0)-MATCH($L$1,[2]enemies!$1:$1,0)+1),MATCH(Q$1,[2]enemies!$1:$1,0)-MATCH($L$1,[2]enemies!$1:$1,0)+1,FALSE)</f>
        <v>15</v>
      </c>
      <c r="R40" s="53">
        <v>42</v>
      </c>
      <c r="S40" s="27">
        <v>1</v>
      </c>
      <c r="T40" s="27">
        <v>1</v>
      </c>
      <c r="U40" s="5">
        <v>0</v>
      </c>
      <c r="V40" s="4" t="str">
        <f ca="1">VLOOKUP($W40,OFFSET([4]enemy_skill_sets!$B$1,0,0,COUNTA([4]enemy_skill_sets!$B:$B),MATCH(M$1,[4]enemy_skill_sets!$1:$1,0)-MATCH($W$1,[4]enemy_skill_sets!$1:$1,0)+2),MATCH(M$1,[4]enemy_skill_sets!$1:$1,0)-MATCH($W$1,[4]enemy_skill_sets!$1:$1,0)+2,FALSE)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0" s="4">
        <f ca="1">VLOOKUP($L40,OFFSET([2]enemies!$A$1,0,0,COUNTA([2]enemies!$A:$A),MATCH(W$1,[2]enemies!$1:$1,0)-MATCH($L$1,[2]enemies!$1:$1,0)+1),MATCH(W$1,[2]enemies!$1:$1,0)-MATCH($L$1,[2]enemies!$1:$1,0)+1,FALSE)</f>
        <v>61</v>
      </c>
      <c r="X40" s="6">
        <v>0</v>
      </c>
      <c r="Y40" s="6">
        <v>100</v>
      </c>
      <c r="Z40" s="6">
        <v>0</v>
      </c>
      <c r="AA40" s="4">
        <f ca="1">VLOOKUP($L40,OFFSET([2]enemies!$A$1,0,0,COUNTA([2]enemies!$A:$A),MATCH(AA$1,[2]enemies!$1:$1,0)-MATCH($L$1,[2]enemies!$1:$1,0)+1),MATCH(AA$1,[2]enemies!$1:$1,0)-MATCH($L$1,[2]enemies!$1:$1,0)+1,FALSE)</f>
        <v>2</v>
      </c>
      <c r="AB40" s="52">
        <v>61</v>
      </c>
      <c r="AC40" s="4" t="str">
        <f ca="1">VLOOKUP($AB40,OFFSET([3]characters!$A$1,0,0,COUNTA([3]characters!$A:$A),MATCH(AC$1,[3]characters!$1:$1,0)-MATCH("character_id",[3]characters!$1:$1,0)+1),MATCH(AC$1,[3]characters!$1:$1,0)-MATCH("character_id",[3]characters!$1:$1,0)+1,FALSE)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40" s="4">
        <f ca="1">VLOOKUP($AB40,OFFSET([3]characters!$A$1,0,0,COUNTA([3]characters!$A:$A),MATCH(AD$1,[3]characters!$1:$1,0)-MATCH("character_id",[3]characters!$1:$1,0)+1),MATCH(AD$1,[3]characters!$1:$1,0)-MATCH("character_id",[3]characters!$1:$1,0)+1,FALSE)</f>
        <v>2</v>
      </c>
      <c r="AE40" s="4" t="str">
        <f ca="1">VLOOKUP($AB40,OFFSET([3]characters!$A$1,0,0,COUNTA([3]characters!$A:$A),MATCH(AE$1,[3]characters!$1:$1,0)-MATCH("character_id",[3]characters!$1:$1,0)+1),MATCH(AE$1,[3]characters!$1:$1,0)-MATCH("character_id",[3]characters!$1:$1,0)+1,FALSE)</f>
        <v>Drop1N</v>
      </c>
      <c r="AF40" s="7">
        <v>7</v>
      </c>
      <c r="AG40" s="26">
        <f t="shared" ca="1" si="3"/>
        <v>2</v>
      </c>
      <c r="AH40" s="8">
        <v>20</v>
      </c>
      <c r="AI40" s="7">
        <v>0</v>
      </c>
      <c r="AJ40" s="7">
        <v>0</v>
      </c>
      <c r="AK40" s="7">
        <v>0</v>
      </c>
      <c r="AL40" s="7">
        <v>0</v>
      </c>
      <c r="AM40" s="7">
        <v>1</v>
      </c>
    </row>
    <row r="41" spans="1:39" ht="14" x14ac:dyDescent="0.15">
      <c r="A41" s="18" t="str">
        <f t="shared" ref="A41" ca="1" si="48">B41&amp;"_"&amp;C41&amp;"-"&amp;G41&amp;"/"&amp;L41&amp;"&lt;lv"&amp;R41&amp;"&gt;s"&amp;AA41</f>
        <v>22_2-2/364&lt;lv42&gt;s3</v>
      </c>
      <c r="B41" s="53">
        <v>22</v>
      </c>
      <c r="C41" s="51">
        <v>2</v>
      </c>
      <c r="D41" s="2" t="str">
        <f t="shared" ref="D41" si="49">B41&amp;"_"&amp;C41</f>
        <v>22_2</v>
      </c>
      <c r="E41" s="2" t="str">
        <f t="shared" ref="E41" si="50">C41&amp;"_"&amp;D41</f>
        <v>2_22_2</v>
      </c>
      <c r="F41" s="4" t="str">
        <f ca="1">VLOOKUP($D41,OFFSET([1]stages!$A$1,0,0,COUNTA([1]stages!$A:$A),MATCH(F$1,[1]stages!$2:$2,0)-MATCH($D$1,[1]stages!$2:$2,0)+1),MATCH(F$1,[1]stages!$2:$2,0)-MATCH($D$1,[1]stages!$2:$2,0)+1,FALSE)</f>
        <v>22-2．排他的な案内人</v>
      </c>
      <c r="G41" s="55">
        <v>2</v>
      </c>
      <c r="H41" s="17" t="str">
        <f t="shared" ref="H41" si="51">B41&amp;"_"&amp;C41&amp;"-"&amp;G41</f>
        <v>22_2-2</v>
      </c>
      <c r="I41" s="17"/>
      <c r="J41" s="17"/>
      <c r="K41" s="65" t="s">
        <v>56</v>
      </c>
      <c r="L41" s="52">
        <v>364</v>
      </c>
      <c r="M41" s="21" t="str">
        <f ca="1">VLOOKUP($L41,OFFSET([2]enemies!$A$1,0,0,COUNTA([2]enemies!$A:$A),MATCH(M$1,[2]enemies!$1:$1,0)-MATCH($L$1,[2]enemies!$1:$1,0)+1),MATCH(M$1,[2]enemies!$1:$1,0)-MATCH($L$1,[2]enemies!$1:$1,0)+1,FALSE)</f>
        <v>ノエル</v>
      </c>
      <c r="N41" s="21" t="str">
        <f ca="1">VLOOKUP($L41,OFFSET([2]enemies!$A$1,0,0,COUNTA([2]enemies!$A:$A),MATCH(N$1,[2]enemies!$1:$1,0)-MATCH($L$1,[2]enemies!$1:$1,0)+1),MATCH(N$1,[2]enemies!$1:$1,0)-MATCH($L$1,[2]enemies!$1:$1,0)+1,FALSE)</f>
        <v>blue</v>
      </c>
      <c r="O41" s="21" t="str">
        <f ca="1">VLOOKUP($L41,OFFSET([3]characters!$A$1,0,0,COUNTA([3]characters!$A:$A),MATCH(O$1,[3]characters!$1:$1,0)-MATCH($L$1,[3]characters!$1:$1,0)+1),MATCH(O$1,[3]characters!$1:$1,0)-MATCH($L$1,[3]characters!$1:$1,0)+1,FALSE)</f>
        <v>Drop1S</v>
      </c>
      <c r="P41" s="21" t="str">
        <f ca="1">VLOOKUP($L41,OFFSET([2]enemies!$A$1,0,0,COUNTA([2]enemies!$A:$A),MATCH(P$1,[2]enemies!$1:$1,0)-MATCH($L$1,[2]enemies!$1:$1,0)+1),MATCH(P$1,[2]enemies!$1:$1,0)-MATCH($L$1,[2]enemies!$1:$1,0)+1,FALSE)</f>
        <v>animal</v>
      </c>
      <c r="Q41" s="21">
        <f ca="1">VLOOKUP($L41,OFFSET([2]enemies!$A$1,0,0,COUNTA([2]enemies!$A:$A),MATCH(Q$1,[2]enemies!$1:$1,0)-MATCH($L$1,[2]enemies!$1:$1,0)+1),MATCH(Q$1,[2]enemies!$1:$1,0)-MATCH($L$1,[2]enemies!$1:$1,0)+1,FALSE)</f>
        <v>15</v>
      </c>
      <c r="R41" s="53">
        <v>42</v>
      </c>
      <c r="S41" s="27">
        <v>1</v>
      </c>
      <c r="T41" s="27">
        <v>1</v>
      </c>
      <c r="U41" s="5">
        <v>0</v>
      </c>
      <c r="V41" s="4" t="str">
        <f ca="1">VLOOKUP($W41,OFFSET([4]enemy_skill_sets!$B$1,0,0,COUNTA([4]enemy_skill_sets!$B:$B),MATCH(M$1,[4]enemy_skill_sets!$1:$1,0)-MATCH($W$1,[4]enemy_skill_sets!$1:$1,0)+2),MATCH(M$1,[4]enemy_skill_sets!$1:$1,0)-MATCH($W$1,[4]enemy_skill_sets!$1:$1,0)+2,FALSE)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41" s="64">
        <v>364</v>
      </c>
      <c r="X41" s="6">
        <v>0</v>
      </c>
      <c r="Y41" s="6">
        <v>100</v>
      </c>
      <c r="Z41" s="6">
        <v>0</v>
      </c>
      <c r="AA41" s="4">
        <f ca="1">VLOOKUP($L41,OFFSET([2]enemies!$A$1,0,0,COUNTA([2]enemies!$A:$A),MATCH(AA$1,[2]enemies!$1:$1,0)-MATCH($L$1,[2]enemies!$1:$1,0)+1),MATCH(AA$1,[2]enemies!$1:$1,0)-MATCH($L$1,[2]enemies!$1:$1,0)+1,FALSE)</f>
        <v>3</v>
      </c>
      <c r="AB41" s="52">
        <v>364</v>
      </c>
      <c r="AC41" s="4" t="str">
        <f ca="1">VLOOKUP($AB41,OFFSET([3]characters!$A$1,0,0,COUNTA([3]characters!$A:$A),MATCH(AC$1,[3]characters!$1:$1,0)-MATCH("character_id",[3]characters!$1:$1,0)+1),MATCH(AC$1,[3]characters!$1:$1,0)-MATCH("character_id",[3]characters!$1:$1,0)+1,FALSE)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41" s="4">
        <f ca="1">VLOOKUP($AB41,OFFSET([3]characters!$A$1,0,0,COUNTA([3]characters!$A:$A),MATCH(AD$1,[3]characters!$1:$1,0)-MATCH("character_id",[3]characters!$1:$1,0)+1),MATCH(AD$1,[3]characters!$1:$1,0)-MATCH("character_id",[3]characters!$1:$1,0)+1,FALSE)</f>
        <v>2</v>
      </c>
      <c r="AE41" s="4" t="str">
        <f ca="1">VLOOKUP($AB41,OFFSET([3]characters!$A$1,0,0,COUNTA([3]characters!$A:$A),MATCH(AE$1,[3]characters!$1:$1,0)-MATCH("character_id",[3]characters!$1:$1,0)+1),MATCH(AE$1,[3]characters!$1:$1,0)-MATCH("character_id",[3]characters!$1:$1,0)+1,FALSE)</f>
        <v>Drop1S</v>
      </c>
      <c r="AF41" s="7">
        <v>7</v>
      </c>
      <c r="AG41" s="26">
        <f t="shared" ca="1" si="3"/>
        <v>2</v>
      </c>
      <c r="AH41" s="8">
        <v>20</v>
      </c>
      <c r="AI41" s="7">
        <v>0</v>
      </c>
      <c r="AJ41" s="7">
        <v>0</v>
      </c>
      <c r="AK41" s="7">
        <v>0</v>
      </c>
      <c r="AL41" s="7">
        <v>0</v>
      </c>
      <c r="AM41" s="7">
        <v>1</v>
      </c>
    </row>
    <row r="42" spans="1:39" ht="14" x14ac:dyDescent="0.15">
      <c r="A42" s="18" t="str">
        <f t="shared" ref="A42" ca="1" si="52">B42&amp;"_"&amp;C42&amp;"-"&amp;G42&amp;"/"&amp;L42&amp;"&lt;lv"&amp;R42&amp;"&gt;s"&amp;AA42</f>
        <v>22_2-2/348&lt;lv42&gt;s3</v>
      </c>
      <c r="B42" s="53">
        <v>22</v>
      </c>
      <c r="C42" s="51">
        <v>2</v>
      </c>
      <c r="D42" s="2" t="str">
        <f t="shared" ref="D42" si="53">B42&amp;"_"&amp;C42</f>
        <v>22_2</v>
      </c>
      <c r="E42" s="2" t="str">
        <f t="shared" ref="E42" si="54">C42&amp;"_"&amp;D42</f>
        <v>2_22_2</v>
      </c>
      <c r="F42" s="4" t="str">
        <f ca="1">VLOOKUP($D42,OFFSET([1]stages!$A$1,0,0,COUNTA([1]stages!$A:$A),MATCH(F$1,[1]stages!$2:$2,0)-MATCH($D$1,[1]stages!$2:$2,0)+1),MATCH(F$1,[1]stages!$2:$2,0)-MATCH($D$1,[1]stages!$2:$2,0)+1,FALSE)</f>
        <v>22-2．排他的な案内人</v>
      </c>
      <c r="G42" s="55">
        <v>2</v>
      </c>
      <c r="H42" s="17" t="str">
        <f t="shared" ref="H42" si="55">B42&amp;"_"&amp;C42&amp;"-"&amp;G42</f>
        <v>22_2-2</v>
      </c>
      <c r="I42" s="17"/>
      <c r="J42" s="17"/>
      <c r="K42" s="65" t="s">
        <v>56</v>
      </c>
      <c r="L42" s="52">
        <v>348</v>
      </c>
      <c r="M42" s="21" t="str">
        <f ca="1">VLOOKUP($L42,OFFSET([2]enemies!$A$1,0,0,COUNTA([2]enemies!$A:$A),MATCH(M$1,[2]enemies!$1:$1,0)-MATCH($L$1,[2]enemies!$1:$1,0)+1),MATCH(M$1,[2]enemies!$1:$1,0)-MATCH($L$1,[2]enemies!$1:$1,0)+1,FALSE)</f>
        <v>炎のケロケロ</v>
      </c>
      <c r="N42" s="21" t="str">
        <f ca="1">VLOOKUP($L42,OFFSET([2]enemies!$A$1,0,0,COUNTA([2]enemies!$A:$A),MATCH(N$1,[2]enemies!$1:$1,0)-MATCH($L$1,[2]enemies!$1:$1,0)+1),MATCH(N$1,[2]enemies!$1:$1,0)-MATCH($L$1,[2]enemies!$1:$1,0)+1,FALSE)</f>
        <v>red</v>
      </c>
      <c r="O42" s="21" t="str">
        <f ca="1">VLOOKUP($L42,OFFSET([3]characters!$A$1,0,0,COUNTA([3]characters!$A:$A),MATCH(O$1,[3]characters!$1:$1,0)-MATCH($L$1,[3]characters!$1:$1,0)+1),MATCH(O$1,[3]characters!$1:$1,0)-MATCH($L$1,[3]characters!$1:$1,0)+1,FALSE)</f>
        <v>Material</v>
      </c>
      <c r="P42" s="21" t="str">
        <f ca="1">VLOOKUP($L42,OFFSET([2]enemies!$A$1,0,0,COUNTA([2]enemies!$A:$A),MATCH(P$1,[2]enemies!$1:$1,0)-MATCH($L$1,[2]enemies!$1:$1,0)+1),MATCH(P$1,[2]enemies!$1:$1,0)-MATCH($L$1,[2]enemies!$1:$1,0)+1,FALSE)</f>
        <v>unknown</v>
      </c>
      <c r="Q42" s="21">
        <f ca="1">VLOOKUP($L42,OFFSET([2]enemies!$A$1,0,0,COUNTA([2]enemies!$A:$A),MATCH(Q$1,[2]enemies!$1:$1,0)-MATCH($L$1,[2]enemies!$1:$1,0)+1),MATCH(Q$1,[2]enemies!$1:$1,0)-MATCH($L$1,[2]enemies!$1:$1,0)+1,FALSE)</f>
        <v>15</v>
      </c>
      <c r="R42" s="53">
        <v>42</v>
      </c>
      <c r="S42" s="27">
        <v>1</v>
      </c>
      <c r="T42" s="27">
        <v>1</v>
      </c>
      <c r="U42" s="5">
        <v>0</v>
      </c>
      <c r="V42" s="4" t="str">
        <f ca="1">VLOOKUP($W42,OFFSET([4]enemy_skill_sets!$B$1,0,0,COUNTA([4]enemy_skill_sets!$B:$B),MATCH(M$1,[4]enemy_skill_sets!$1:$1,0)-MATCH($W$1,[4]enemy_skill_sets!$1:$1,0)+2),MATCH(M$1,[4]enemy_skill_sets!$1:$1,0)-MATCH($W$1,[4]enemy_skill_sets!$1:$1,0)+2,FALSE)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42" s="64">
        <v>348</v>
      </c>
      <c r="X42" s="6">
        <v>0</v>
      </c>
      <c r="Y42" s="6">
        <v>100</v>
      </c>
      <c r="Z42" s="6">
        <v>0</v>
      </c>
      <c r="AA42" s="4">
        <f ca="1">VLOOKUP($L42,OFFSET([2]enemies!$A$1,0,0,COUNTA([2]enemies!$A:$A),MATCH(AA$1,[2]enemies!$1:$1,0)-MATCH($L$1,[2]enemies!$1:$1,0)+1),MATCH(AA$1,[2]enemies!$1:$1,0)-MATCH($L$1,[2]enemies!$1:$1,0)+1,FALSE)</f>
        <v>3</v>
      </c>
      <c r="AB42" s="52">
        <v>348</v>
      </c>
      <c r="AC42" s="4" t="str">
        <f ca="1">VLOOKUP($AB42,OFFSET([3]characters!$A$1,0,0,COUNTA([3]characters!$A:$A),MATCH(AC$1,[3]characters!$1:$1,0)-MATCH("character_id",[3]characters!$1:$1,0)+1),MATCH(AC$1,[3]characters!$1:$1,0)-MATCH("character_id",[3]characters!$1:$1,0)+1,FALSE)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42" s="4">
        <f ca="1">VLOOKUP($AB42,OFFSET([3]characters!$A$1,0,0,COUNTA([3]characters!$A:$A),MATCH(AD$1,[3]characters!$1:$1,0)-MATCH("character_id",[3]characters!$1:$1,0)+1),MATCH(AD$1,[3]characters!$1:$1,0)-MATCH("character_id",[3]characters!$1:$1,0)+1,FALSE)</f>
        <v>2</v>
      </c>
      <c r="AE42" s="4" t="str">
        <f ca="1">VLOOKUP($AB42,OFFSET([3]characters!$A$1,0,0,COUNTA([3]characters!$A:$A),MATCH(AE$1,[3]characters!$1:$1,0)-MATCH("character_id",[3]characters!$1:$1,0)+1),MATCH(AE$1,[3]characters!$1:$1,0)-MATCH("character_id",[3]characters!$1:$1,0)+1,FALSE)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2" s="7">
        <v>10</v>
      </c>
      <c r="AG42" s="26">
        <f t="shared" ca="1" si="3"/>
        <v>2</v>
      </c>
      <c r="AH42" s="8">
        <v>20</v>
      </c>
      <c r="AI42" s="7">
        <v>0</v>
      </c>
      <c r="AJ42" s="7">
        <v>0</v>
      </c>
      <c r="AK42" s="7">
        <v>0</v>
      </c>
      <c r="AL42" s="7">
        <v>0</v>
      </c>
      <c r="AM42" s="7">
        <v>1</v>
      </c>
    </row>
    <row r="43" spans="1:39" ht="14" x14ac:dyDescent="0.15">
      <c r="A43" s="18" t="str">
        <f t="shared" ca="1" si="0"/>
        <v>22_2-3/9&lt;lv42&gt;s2</v>
      </c>
      <c r="B43" s="50">
        <v>22</v>
      </c>
      <c r="C43" s="49">
        <v>2</v>
      </c>
      <c r="D43" s="2" t="str">
        <f t="shared" si="1"/>
        <v>22_2</v>
      </c>
      <c r="E43" s="2" t="str">
        <f t="shared" si="1"/>
        <v>2_22_2</v>
      </c>
      <c r="F43" s="4" t="str">
        <f ca="1">VLOOKUP($D43,OFFSET([1]stages!$A$1,0,0,COUNTA([1]stages!$A:$A),MATCH(F$1,[1]stages!$2:$2,0)-MATCH($D$1,[1]stages!$2:$2,0)+1),MATCH(F$1,[1]stages!$2:$2,0)-MATCH($D$1,[1]stages!$2:$2,0)+1,FALSE)</f>
        <v>22-2．排他的な案内人</v>
      </c>
      <c r="G43" s="56">
        <v>3</v>
      </c>
      <c r="H43" s="17" t="str">
        <f t="shared" si="2"/>
        <v>22_2-3</v>
      </c>
      <c r="I43" s="17"/>
      <c r="J43" s="17"/>
      <c r="K43" s="65" t="s">
        <v>56</v>
      </c>
      <c r="L43" s="52">
        <v>9</v>
      </c>
      <c r="M43" s="21" t="str">
        <f ca="1">VLOOKUP($L43,OFFSET([2]enemies!$A$1,0,0,COUNTA([2]enemies!$A:$A),MATCH(M$1,[2]enemies!$1:$1,0)-MATCH($L$1,[2]enemies!$1:$1,0)+1),MATCH(M$1,[2]enemies!$1:$1,0)-MATCH($L$1,[2]enemies!$1:$1,0)+1,FALSE)</f>
        <v>ブレット</v>
      </c>
      <c r="N43" s="21" t="str">
        <f ca="1">VLOOKUP($L43,OFFSET([2]enemies!$A$1,0,0,COUNTA([2]enemies!$A:$A),MATCH(N$1,[2]enemies!$1:$1,0)-MATCH($L$1,[2]enemies!$1:$1,0)+1),MATCH(N$1,[2]enemies!$1:$1,0)-MATCH($L$1,[2]enemies!$1:$1,0)+1,FALSE)</f>
        <v>red</v>
      </c>
      <c r="O43" s="21" t="str">
        <f ca="1">VLOOKUP($L43,OFFSET([3]characters!$A$1,0,0,COUNTA([3]characters!$A:$A),MATCH(O$1,[3]characters!$1:$1,0)-MATCH($L$1,[3]characters!$1:$1,0)+1),MATCH(O$1,[3]characters!$1:$1,0)-MATCH($L$1,[3]characters!$1:$1,0)+1,FALSE)</f>
        <v>Drop1W</v>
      </c>
      <c r="P43" s="21" t="str">
        <f ca="1">VLOOKUP($L43,OFFSET([2]enemies!$A$1,0,0,COUNTA([2]enemies!$A:$A),MATCH(P$1,[2]enemies!$1:$1,0)-MATCH($L$1,[2]enemies!$1:$1,0)+1),MATCH(P$1,[2]enemies!$1:$1,0)-MATCH($L$1,[2]enemies!$1:$1,0)+1,FALSE)</f>
        <v>animal</v>
      </c>
      <c r="Q43" s="21">
        <f ca="1">VLOOKUP($L43,OFFSET([2]enemies!$A$1,0,0,COUNTA([2]enemies!$A:$A),MATCH(Q$1,[2]enemies!$1:$1,0)-MATCH($L$1,[2]enemies!$1:$1,0)+1),MATCH(Q$1,[2]enemies!$1:$1,0)-MATCH($L$1,[2]enemies!$1:$1,0)+1,FALSE)</f>
        <v>15</v>
      </c>
      <c r="R43" s="53">
        <v>42</v>
      </c>
      <c r="S43" s="27">
        <v>1</v>
      </c>
      <c r="T43" s="27">
        <v>1</v>
      </c>
      <c r="U43" s="5">
        <v>0</v>
      </c>
      <c r="V43" s="4" t="str">
        <f ca="1">VLOOKUP($W43,OFFSET([4]enemy_skill_sets!$B$1,0,0,COUNTA([4]enemy_skill_sets!$B:$B),MATCH(M$1,[4]enemy_skill_sets!$1:$1,0)-MATCH($W$1,[4]enemy_skill_sets!$1:$1,0)+2),MATCH(M$1,[4]enemy_skill_sets!$1:$1,0)-MATCH($W$1,[4]enemy_skill_sets!$1:$1,0)+2,FALSE)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3" s="4">
        <f ca="1">VLOOKUP($L43,OFFSET([2]enemies!$A$1,0,0,COUNTA([2]enemies!$A:$A),MATCH(W$1,[2]enemies!$1:$1,0)-MATCH($L$1,[2]enemies!$1:$1,0)+1),MATCH(W$1,[2]enemies!$1:$1,0)-MATCH($L$1,[2]enemies!$1:$1,0)+1,FALSE)</f>
        <v>0</v>
      </c>
      <c r="X43" s="6">
        <v>0</v>
      </c>
      <c r="Y43" s="6">
        <v>100</v>
      </c>
      <c r="Z43" s="6">
        <v>0</v>
      </c>
      <c r="AA43" s="4">
        <f ca="1">VLOOKUP($L43,OFFSET([2]enemies!$A$1,0,0,COUNTA([2]enemies!$A:$A),MATCH(AA$1,[2]enemies!$1:$1,0)-MATCH($L$1,[2]enemies!$1:$1,0)+1),MATCH(AA$1,[2]enemies!$1:$1,0)-MATCH($L$1,[2]enemies!$1:$1,0)+1,FALSE)</f>
        <v>2</v>
      </c>
      <c r="AB43" s="52">
        <v>9</v>
      </c>
      <c r="AC43" s="4" t="str">
        <f ca="1">VLOOKUP($AB43,OFFSET([3]characters!$A$1,0,0,COUNTA([3]characters!$A:$A),MATCH(AC$1,[3]characters!$1:$1,0)-MATCH("character_id",[3]characters!$1:$1,0)+1),MATCH(AC$1,[3]characters!$1:$1,0)-MATCH("character_id",[3]characters!$1:$1,0)+1,FALSE)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43" s="4">
        <f ca="1">VLOOKUP($AB43,OFFSET([3]characters!$A$1,0,0,COUNTA([3]characters!$A:$A),MATCH(AD$1,[3]characters!$1:$1,0)-MATCH("character_id",[3]characters!$1:$1,0)+1),MATCH(AD$1,[3]characters!$1:$1,0)-MATCH("character_id",[3]characters!$1:$1,0)+1,FALSE)</f>
        <v>1</v>
      </c>
      <c r="AE43" s="4" t="str">
        <f ca="1">VLOOKUP($AB43,OFFSET([3]characters!$A$1,0,0,COUNTA([3]characters!$A:$A),MATCH(AE$1,[3]characters!$1:$1,0)-MATCH("character_id",[3]characters!$1:$1,0)+1),MATCH(AE$1,[3]characters!$1:$1,0)-MATCH("character_id",[3]characters!$1:$1,0)+1,FALSE)</f>
        <v>Drop1W</v>
      </c>
      <c r="AF43" s="7">
        <v>9</v>
      </c>
      <c r="AG43" s="26">
        <f t="shared" ca="1" si="3"/>
        <v>1</v>
      </c>
      <c r="AH43" s="8">
        <v>20</v>
      </c>
      <c r="AI43" s="7">
        <v>0</v>
      </c>
      <c r="AJ43" s="7">
        <v>0</v>
      </c>
      <c r="AK43" s="7">
        <v>0</v>
      </c>
      <c r="AL43" s="7">
        <v>0</v>
      </c>
      <c r="AM43" s="7">
        <v>1</v>
      </c>
    </row>
    <row r="44" spans="1:39" ht="21" customHeight="1" x14ac:dyDescent="0.15">
      <c r="A44" s="18" t="str">
        <f t="shared" ca="1" si="0"/>
        <v>22_2-3/25&lt;lv42&gt;s3</v>
      </c>
      <c r="B44" s="50">
        <v>22</v>
      </c>
      <c r="C44" s="49">
        <v>2</v>
      </c>
      <c r="D44" s="2" t="str">
        <f t="shared" si="1"/>
        <v>22_2</v>
      </c>
      <c r="E44" s="2" t="str">
        <f t="shared" si="1"/>
        <v>2_22_2</v>
      </c>
      <c r="F44" s="4" t="str">
        <f ca="1">VLOOKUP($D44,OFFSET([1]stages!$A$1,0,0,COUNTA([1]stages!$A:$A),MATCH(F$1,[1]stages!$2:$2,0)-MATCH($D$1,[1]stages!$2:$2,0)+1),MATCH(F$1,[1]stages!$2:$2,0)-MATCH($D$1,[1]stages!$2:$2,0)+1,FALSE)</f>
        <v>22-2．排他的な案内人</v>
      </c>
      <c r="G44" s="56">
        <v>3</v>
      </c>
      <c r="H44" s="17" t="str">
        <f t="shared" si="2"/>
        <v>22_2-3</v>
      </c>
      <c r="I44" s="17"/>
      <c r="J44" s="17"/>
      <c r="K44" s="65" t="s">
        <v>56</v>
      </c>
      <c r="L44" s="52">
        <v>25</v>
      </c>
      <c r="M44" s="21" t="str">
        <f ca="1">VLOOKUP($L44,OFFSET([2]enemies!$A$1,0,0,COUNTA([2]enemies!$A:$A),MATCH(M$1,[2]enemies!$1:$1,0)-MATCH($L$1,[2]enemies!$1:$1,0)+1),MATCH(M$1,[2]enemies!$1:$1,0)-MATCH($L$1,[2]enemies!$1:$1,0)+1,FALSE)</f>
        <v>ハチ</v>
      </c>
      <c r="N44" s="21" t="str">
        <f ca="1">VLOOKUP($L44,OFFSET([2]enemies!$A$1,0,0,COUNTA([2]enemies!$A:$A),MATCH(N$1,[2]enemies!$1:$1,0)-MATCH($L$1,[2]enemies!$1:$1,0)+1),MATCH(N$1,[2]enemies!$1:$1,0)-MATCH($L$1,[2]enemies!$1:$1,0)+1,FALSE)</f>
        <v>blue</v>
      </c>
      <c r="O44" s="21" t="str">
        <f ca="1">VLOOKUP($L44,OFFSET([3]characters!$A$1,0,0,COUNTA([3]characters!$A:$A),MATCH(O$1,[3]characters!$1:$1,0)-MATCH($L$1,[3]characters!$1:$1,0)+1),MATCH(O$1,[3]characters!$1:$1,0)-MATCH($L$1,[3]characters!$1:$1,0)+1,FALSE)</f>
        <v>Drop1N</v>
      </c>
      <c r="P44" s="21" t="str">
        <f ca="1">VLOOKUP($L44,OFFSET([2]enemies!$A$1,0,0,COUNTA([2]enemies!$A:$A),MATCH(P$1,[2]enemies!$1:$1,0)-MATCH($L$1,[2]enemies!$1:$1,0)+1),MATCH(P$1,[2]enemies!$1:$1,0)-MATCH($L$1,[2]enemies!$1:$1,0)+1,FALSE)</f>
        <v>animal</v>
      </c>
      <c r="Q44" s="21">
        <f ca="1">VLOOKUP($L44,OFFSET([2]enemies!$A$1,0,0,COUNTA([2]enemies!$A:$A),MATCH(Q$1,[2]enemies!$1:$1,0)-MATCH($L$1,[2]enemies!$1:$1,0)+1),MATCH(Q$1,[2]enemies!$1:$1,0)-MATCH($L$1,[2]enemies!$1:$1,0)+1,FALSE)</f>
        <v>15</v>
      </c>
      <c r="R44" s="53">
        <v>42</v>
      </c>
      <c r="S44" s="27">
        <v>1</v>
      </c>
      <c r="T44" s="27">
        <v>1</v>
      </c>
      <c r="U44" s="5">
        <v>0</v>
      </c>
      <c r="V44" s="4" t="str">
        <f ca="1">VLOOKUP($W44,OFFSET([4]enemy_skill_sets!$B$1,0,0,COUNTA([4]enemy_skill_sets!$B:$B),MATCH(M$1,[4]enemy_skill_sets!$1:$1,0)-MATCH($W$1,[4]enemy_skill_sets!$1:$1,0)+2),MATCH(M$1,[4]enemy_skill_sets!$1:$1,0)-MATCH($W$1,[4]enemy_skill_sets!$1:$1,0)+2,FALSE)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4" s="4">
        <f ca="1">VLOOKUP($L44,OFFSET([2]enemies!$A$1,0,0,COUNTA([2]enemies!$A:$A),MATCH(W$1,[2]enemies!$1:$1,0)-MATCH($L$1,[2]enemies!$1:$1,0)+1),MATCH(W$1,[2]enemies!$1:$1,0)-MATCH($L$1,[2]enemies!$1:$1,0)+1,FALSE)</f>
        <v>0</v>
      </c>
      <c r="X44" s="6">
        <v>0</v>
      </c>
      <c r="Y44" s="6">
        <v>100</v>
      </c>
      <c r="Z44" s="6">
        <v>0</v>
      </c>
      <c r="AA44" s="4">
        <f ca="1">VLOOKUP($L44,OFFSET([2]enemies!$A$1,0,0,COUNTA([2]enemies!$A:$A),MATCH(AA$1,[2]enemies!$1:$1,0)-MATCH($L$1,[2]enemies!$1:$1,0)+1),MATCH(AA$1,[2]enemies!$1:$1,0)-MATCH($L$1,[2]enemies!$1:$1,0)+1,FALSE)</f>
        <v>3</v>
      </c>
      <c r="AB44" s="52">
        <v>25</v>
      </c>
      <c r="AC44" s="4" t="str">
        <f ca="1">VLOOKUP($AB44,OFFSET([3]characters!$A$1,0,0,COUNTA([3]characters!$A:$A),MATCH(AC$1,[3]characters!$1:$1,0)-MATCH("character_id",[3]characters!$1:$1,0)+1),MATCH(AC$1,[3]characters!$1:$1,0)-MATCH("character_id",[3]characters!$1:$1,0)+1,FALSE)</f>
        <v>ハチ</v>
      </c>
      <c r="AD44" s="4">
        <f ca="1">VLOOKUP($AB44,OFFSET([3]characters!$A$1,0,0,COUNTA([3]characters!$A:$A),MATCH(AD$1,[3]characters!$1:$1,0)-MATCH("character_id",[3]characters!$1:$1,0)+1),MATCH(AD$1,[3]characters!$1:$1,0)-MATCH("character_id",[3]characters!$1:$1,0)+1,FALSE)</f>
        <v>1</v>
      </c>
      <c r="AE44" s="4" t="str">
        <f ca="1">VLOOKUP($AB44,OFFSET([3]characters!$A$1,0,0,COUNTA([3]characters!$A:$A),MATCH(AE$1,[3]characters!$1:$1,0)-MATCH("character_id",[3]characters!$1:$1,0)+1),MATCH(AE$1,[3]characters!$1:$1,0)-MATCH("character_id",[3]characters!$1:$1,0)+1,FALSE)</f>
        <v>Drop1N</v>
      </c>
      <c r="AF44" s="7">
        <v>7</v>
      </c>
      <c r="AG44" s="26">
        <f t="shared" ca="1" si="3"/>
        <v>1</v>
      </c>
      <c r="AH44" s="8">
        <v>20</v>
      </c>
      <c r="AI44" s="7">
        <v>0</v>
      </c>
      <c r="AJ44" s="7">
        <v>0</v>
      </c>
      <c r="AK44" s="7">
        <v>0</v>
      </c>
      <c r="AL44" s="7">
        <v>0</v>
      </c>
      <c r="AM44" s="7">
        <v>1</v>
      </c>
    </row>
    <row r="45" spans="1:39" ht="21" customHeight="1" x14ac:dyDescent="0.15">
      <c r="A45" s="18" t="str">
        <f t="shared" ref="A45:A92" ca="1" si="56">B45&amp;"_"&amp;C45&amp;"-"&amp;G45&amp;"/"&amp;L45&amp;"&lt;lv"&amp;R45&amp;"&gt;s"&amp;AA45</f>
        <v>22_2-3/33&lt;lv42&gt;s2</v>
      </c>
      <c r="B45" s="50">
        <v>22</v>
      </c>
      <c r="C45" s="49">
        <v>2</v>
      </c>
      <c r="D45" s="2" t="str">
        <f t="shared" ref="D45:E92" si="57">B45&amp;"_"&amp;C45</f>
        <v>22_2</v>
      </c>
      <c r="E45" s="2" t="str">
        <f t="shared" si="57"/>
        <v>2_22_2</v>
      </c>
      <c r="F45" s="4" t="str">
        <f ca="1">VLOOKUP($D45,OFFSET([1]stages!$A$1,0,0,COUNTA([1]stages!$A:$A),MATCH(F$1,[1]stages!$2:$2,0)-MATCH($D$1,[1]stages!$2:$2,0)+1),MATCH(F$1,[1]stages!$2:$2,0)-MATCH($D$1,[1]stages!$2:$2,0)+1,FALSE)</f>
        <v>22-2．排他的な案内人</v>
      </c>
      <c r="G45" s="56">
        <v>3</v>
      </c>
      <c r="H45" s="17" t="str">
        <f t="shared" ref="H45:H92" si="58">B45&amp;"_"&amp;C45&amp;"-"&amp;G45</f>
        <v>22_2-3</v>
      </c>
      <c r="I45" s="17"/>
      <c r="J45" s="17"/>
      <c r="K45" s="65" t="s">
        <v>56</v>
      </c>
      <c r="L45" s="52">
        <v>33</v>
      </c>
      <c r="M45" s="21" t="str">
        <f ca="1">VLOOKUP($L45,OFFSET([2]enemies!$A$1,0,0,COUNTA([2]enemies!$A:$A),MATCH(M$1,[2]enemies!$1:$1,0)-MATCH($L$1,[2]enemies!$1:$1,0)+1),MATCH(M$1,[2]enemies!$1:$1,0)-MATCH($L$1,[2]enemies!$1:$1,0)+1,FALSE)</f>
        <v>ゴクウ</v>
      </c>
      <c r="N45" s="21" t="str">
        <f ca="1">VLOOKUP($L45,OFFSET([2]enemies!$A$1,0,0,COUNTA([2]enemies!$A:$A),MATCH(N$1,[2]enemies!$1:$1,0)-MATCH($L$1,[2]enemies!$1:$1,0)+1),MATCH(N$1,[2]enemies!$1:$1,0)-MATCH($L$1,[2]enemies!$1:$1,0)+1,FALSE)</f>
        <v>red</v>
      </c>
      <c r="O45" s="21" t="str">
        <f ca="1">VLOOKUP($L45,OFFSET([3]characters!$A$1,0,0,COUNTA([3]characters!$A:$A),MATCH(O$1,[3]characters!$1:$1,0)-MATCH($L$1,[3]characters!$1:$1,0)+1),MATCH(O$1,[3]characters!$1:$1,0)-MATCH($L$1,[3]characters!$1:$1,0)+1,FALSE)</f>
        <v>Drop1S</v>
      </c>
      <c r="P45" s="21" t="str">
        <f ca="1">VLOOKUP($L45,OFFSET([2]enemies!$A$1,0,0,COUNTA([2]enemies!$A:$A),MATCH(P$1,[2]enemies!$1:$1,0)-MATCH($L$1,[2]enemies!$1:$1,0)+1),MATCH(P$1,[2]enemies!$1:$1,0)-MATCH($L$1,[2]enemies!$1:$1,0)+1,FALSE)</f>
        <v>animal</v>
      </c>
      <c r="Q45" s="21">
        <f ca="1">VLOOKUP($L45,OFFSET([2]enemies!$A$1,0,0,COUNTA([2]enemies!$A:$A),MATCH(Q$1,[2]enemies!$1:$1,0)-MATCH($L$1,[2]enemies!$1:$1,0)+1),MATCH(Q$1,[2]enemies!$1:$1,0)-MATCH($L$1,[2]enemies!$1:$1,0)+1,FALSE)</f>
        <v>15</v>
      </c>
      <c r="R45" s="53">
        <v>42</v>
      </c>
      <c r="S45" s="27">
        <v>1</v>
      </c>
      <c r="T45" s="27">
        <v>1</v>
      </c>
      <c r="U45" s="5">
        <v>0</v>
      </c>
      <c r="V45" s="4" t="str">
        <f ca="1">VLOOKUP($W45,OFFSET([4]enemy_skill_sets!$B$1,0,0,COUNTA([4]enemy_skill_sets!$B:$B),MATCH(M$1,[4]enemy_skill_sets!$1:$1,0)-MATCH($W$1,[4]enemy_skill_sets!$1:$1,0)+2),MATCH(M$1,[4]enemy_skill_sets!$1:$1,0)-MATCH($W$1,[4]enemy_skill_sets!$1:$1,0)+2,FALSE)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45" s="4">
        <f ca="1">VLOOKUP($L45,OFFSET([2]enemies!$A$1,0,0,COUNTA([2]enemies!$A:$A),MATCH(W$1,[2]enemies!$1:$1,0)-MATCH($L$1,[2]enemies!$1:$1,0)+1),MATCH(W$1,[2]enemies!$1:$1,0)-MATCH($L$1,[2]enemies!$1:$1,0)+1,FALSE)</f>
        <v>33</v>
      </c>
      <c r="X45" s="6">
        <v>0</v>
      </c>
      <c r="Y45" s="6">
        <v>100</v>
      </c>
      <c r="Z45" s="6">
        <v>0</v>
      </c>
      <c r="AA45" s="4">
        <f ca="1">VLOOKUP($L45,OFFSET([2]enemies!$A$1,0,0,COUNTA([2]enemies!$A:$A),MATCH(AA$1,[2]enemies!$1:$1,0)-MATCH($L$1,[2]enemies!$1:$1,0)+1),MATCH(AA$1,[2]enemies!$1:$1,0)-MATCH($L$1,[2]enemies!$1:$1,0)+1,FALSE)</f>
        <v>2</v>
      </c>
      <c r="AB45" s="52">
        <v>33</v>
      </c>
      <c r="AC45" s="4" t="str">
        <f ca="1">VLOOKUP($AB45,OFFSET([3]characters!$A$1,0,0,COUNTA([3]characters!$A:$A),MATCH(AC$1,[3]characters!$1:$1,0)-MATCH("character_id",[3]characters!$1:$1,0)+1),MATCH(AC$1,[3]characters!$1:$1,0)-MATCH("character_id",[3]characters!$1:$1,0)+1,FALSE)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45" s="4">
        <f ca="1">VLOOKUP($AB45,OFFSET([3]characters!$A$1,0,0,COUNTA([3]characters!$A:$A),MATCH(AD$1,[3]characters!$1:$1,0)-MATCH("character_id",[3]characters!$1:$1,0)+1),MATCH(AD$1,[3]characters!$1:$1,0)-MATCH("character_id",[3]characters!$1:$1,0)+1,FALSE)</f>
        <v>2</v>
      </c>
      <c r="AE45" s="4" t="str">
        <f ca="1">VLOOKUP($AB45,OFFSET([3]characters!$A$1,0,0,COUNTA([3]characters!$A:$A),MATCH(AE$1,[3]characters!$1:$1,0)-MATCH("character_id",[3]characters!$1:$1,0)+1),MATCH(AE$1,[3]characters!$1:$1,0)-MATCH("character_id",[3]characters!$1:$1,0)+1,FALSE)</f>
        <v>Drop1S</v>
      </c>
      <c r="AF45" s="7">
        <v>5</v>
      </c>
      <c r="AG45" s="26">
        <f t="shared" ca="1" si="3"/>
        <v>2</v>
      </c>
      <c r="AH45" s="8">
        <v>20</v>
      </c>
      <c r="AI45" s="7">
        <v>0</v>
      </c>
      <c r="AJ45" s="7">
        <v>0</v>
      </c>
      <c r="AK45" s="7">
        <v>0</v>
      </c>
      <c r="AL45" s="7">
        <v>0</v>
      </c>
      <c r="AM45" s="7">
        <v>1</v>
      </c>
    </row>
    <row r="46" spans="1:39" ht="21" customHeight="1" x14ac:dyDescent="0.15">
      <c r="A46" s="18" t="str">
        <f t="shared" ca="1" si="56"/>
        <v>22_2-3/37&lt;lv42&gt;s3</v>
      </c>
      <c r="B46" s="50">
        <v>22</v>
      </c>
      <c r="C46" s="49">
        <v>2</v>
      </c>
      <c r="D46" s="2" t="str">
        <f t="shared" si="57"/>
        <v>22_2</v>
      </c>
      <c r="E46" s="2" t="str">
        <f t="shared" si="57"/>
        <v>2_22_2</v>
      </c>
      <c r="F46" s="4" t="str">
        <f ca="1">VLOOKUP($D46,OFFSET([1]stages!$A$1,0,0,COUNTA([1]stages!$A:$A),MATCH(F$1,[1]stages!$2:$2,0)-MATCH($D$1,[1]stages!$2:$2,0)+1),MATCH(F$1,[1]stages!$2:$2,0)-MATCH($D$1,[1]stages!$2:$2,0)+1,FALSE)</f>
        <v>22-2．排他的な案内人</v>
      </c>
      <c r="G46" s="56">
        <v>3</v>
      </c>
      <c r="H46" s="17" t="str">
        <f t="shared" si="58"/>
        <v>22_2-3</v>
      </c>
      <c r="I46" s="17"/>
      <c r="J46" s="17"/>
      <c r="K46" s="65" t="s">
        <v>56</v>
      </c>
      <c r="L46" s="52">
        <v>37</v>
      </c>
      <c r="M46" s="21" t="str">
        <f ca="1">VLOOKUP($L46,OFFSET([2]enemies!$A$1,0,0,COUNTA([2]enemies!$A:$A),MATCH(M$1,[2]enemies!$1:$1,0)-MATCH($L$1,[2]enemies!$1:$1,0)+1),MATCH(M$1,[2]enemies!$1:$1,0)-MATCH($L$1,[2]enemies!$1:$1,0)+1,FALSE)</f>
        <v>ガイル</v>
      </c>
      <c r="N46" s="21" t="str">
        <f ca="1">VLOOKUP($L46,OFFSET([2]enemies!$A$1,0,0,COUNTA([2]enemies!$A:$A),MATCH(N$1,[2]enemies!$1:$1,0)-MATCH($L$1,[2]enemies!$1:$1,0)+1),MATCH(N$1,[2]enemies!$1:$1,0)-MATCH($L$1,[2]enemies!$1:$1,0)+1,FALSE)</f>
        <v>blue</v>
      </c>
      <c r="O46" s="21" t="str">
        <f ca="1">VLOOKUP($L46,OFFSET([3]characters!$A$1,0,0,COUNTA([3]characters!$A:$A),MATCH(O$1,[3]characters!$1:$1,0)-MATCH($L$1,[3]characters!$1:$1,0)+1),MATCH(O$1,[3]characters!$1:$1,0)-MATCH($L$1,[3]characters!$1:$1,0)+1,FALSE)</f>
        <v>Drop1S</v>
      </c>
      <c r="P46" s="21" t="str">
        <f ca="1">VLOOKUP($L46,OFFSET([2]enemies!$A$1,0,0,COUNTA([2]enemies!$A:$A),MATCH(P$1,[2]enemies!$1:$1,0)-MATCH($L$1,[2]enemies!$1:$1,0)+1),MATCH(P$1,[2]enemies!$1:$1,0)-MATCH($L$1,[2]enemies!$1:$1,0)+1,FALSE)</f>
        <v>animal</v>
      </c>
      <c r="Q46" s="21">
        <f ca="1">VLOOKUP($L46,OFFSET([2]enemies!$A$1,0,0,COUNTA([2]enemies!$A:$A),MATCH(Q$1,[2]enemies!$1:$1,0)-MATCH($L$1,[2]enemies!$1:$1,0)+1),MATCH(Q$1,[2]enemies!$1:$1,0)-MATCH($L$1,[2]enemies!$1:$1,0)+1,FALSE)</f>
        <v>15</v>
      </c>
      <c r="R46" s="53">
        <v>42</v>
      </c>
      <c r="S46" s="27">
        <v>1</v>
      </c>
      <c r="T46" s="27">
        <v>1</v>
      </c>
      <c r="U46" s="5">
        <v>0</v>
      </c>
      <c r="V46" s="4" t="str">
        <f ca="1">VLOOKUP($W46,OFFSET([4]enemy_skill_sets!$B$1,0,0,COUNTA([4]enemy_skill_sets!$B:$B),MATCH(M$1,[4]enemy_skill_sets!$1:$1,0)-MATCH($W$1,[4]enemy_skill_sets!$1:$1,0)+2),MATCH(M$1,[4]enemy_skill_sets!$1:$1,0)-MATCH($W$1,[4]enemy_skill_sets!$1:$1,0)+2,FALSE)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6" s="4">
        <f ca="1">VLOOKUP($L46,OFFSET([2]enemies!$A$1,0,0,COUNTA([2]enemies!$A:$A),MATCH(W$1,[2]enemies!$1:$1,0)-MATCH($L$1,[2]enemies!$1:$1,0)+1),MATCH(W$1,[2]enemies!$1:$1,0)-MATCH($L$1,[2]enemies!$1:$1,0)+1,FALSE)</f>
        <v>37</v>
      </c>
      <c r="X46" s="6">
        <v>0</v>
      </c>
      <c r="Y46" s="6">
        <v>100</v>
      </c>
      <c r="Z46" s="6">
        <v>0</v>
      </c>
      <c r="AA46" s="4">
        <f ca="1">VLOOKUP($L46,OFFSET([2]enemies!$A$1,0,0,COUNTA([2]enemies!$A:$A),MATCH(AA$1,[2]enemies!$1:$1,0)-MATCH($L$1,[2]enemies!$1:$1,0)+1),MATCH(AA$1,[2]enemies!$1:$1,0)-MATCH($L$1,[2]enemies!$1:$1,0)+1,FALSE)</f>
        <v>3</v>
      </c>
      <c r="AB46" s="52">
        <v>37</v>
      </c>
      <c r="AC46" s="4" t="str">
        <f ca="1">VLOOKUP($AB46,OFFSET([3]characters!$A$1,0,0,COUNTA([3]characters!$A:$A),MATCH(AC$1,[3]characters!$1:$1,0)-MATCH("character_id",[3]characters!$1:$1,0)+1),MATCH(AC$1,[3]characters!$1:$1,0)-MATCH("character_id",[3]characters!$1:$1,0)+1,FALSE)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46" s="4">
        <f ca="1">VLOOKUP($AB46,OFFSET([3]characters!$A$1,0,0,COUNTA([3]characters!$A:$A),MATCH(AD$1,[3]characters!$1:$1,0)-MATCH("character_id",[3]characters!$1:$1,0)+1),MATCH(AD$1,[3]characters!$1:$1,0)-MATCH("character_id",[3]characters!$1:$1,0)+1,FALSE)</f>
        <v>2</v>
      </c>
      <c r="AE46" s="4" t="str">
        <f ca="1">VLOOKUP($AB46,OFFSET([3]characters!$A$1,0,0,COUNTA([3]characters!$A:$A),MATCH(AE$1,[3]characters!$1:$1,0)-MATCH("character_id",[3]characters!$1:$1,0)+1),MATCH(AE$1,[3]characters!$1:$1,0)-MATCH("character_id",[3]characters!$1:$1,0)+1,FALSE)</f>
        <v>Drop1S</v>
      </c>
      <c r="AF46" s="7">
        <v>5</v>
      </c>
      <c r="AG46" s="26">
        <f t="shared" ca="1" si="3"/>
        <v>2</v>
      </c>
      <c r="AH46" s="8">
        <v>20</v>
      </c>
      <c r="AI46" s="7">
        <v>0</v>
      </c>
      <c r="AJ46" s="7">
        <v>0</v>
      </c>
      <c r="AK46" s="7">
        <v>0</v>
      </c>
      <c r="AL46" s="7">
        <v>0</v>
      </c>
      <c r="AM46" s="7">
        <v>1</v>
      </c>
    </row>
    <row r="47" spans="1:39" ht="21" customHeight="1" x14ac:dyDescent="0.15">
      <c r="A47" s="18" t="str">
        <f t="shared" ca="1" si="56"/>
        <v>22_2-3/45&lt;lv42&gt;s3</v>
      </c>
      <c r="B47" s="50">
        <v>22</v>
      </c>
      <c r="C47" s="49">
        <v>2</v>
      </c>
      <c r="D47" s="2" t="str">
        <f t="shared" si="57"/>
        <v>22_2</v>
      </c>
      <c r="E47" s="2" t="str">
        <f t="shared" si="57"/>
        <v>2_22_2</v>
      </c>
      <c r="F47" s="4" t="str">
        <f ca="1">VLOOKUP($D47,OFFSET([1]stages!$A$1,0,0,COUNTA([1]stages!$A:$A),MATCH(F$1,[1]stages!$2:$2,0)-MATCH($D$1,[1]stages!$2:$2,0)+1),MATCH(F$1,[1]stages!$2:$2,0)-MATCH($D$1,[1]stages!$2:$2,0)+1,FALSE)</f>
        <v>22-2．排他的な案内人</v>
      </c>
      <c r="G47" s="56">
        <v>3</v>
      </c>
      <c r="H47" s="17" t="str">
        <f t="shared" si="58"/>
        <v>22_2-3</v>
      </c>
      <c r="I47" s="17"/>
      <c r="J47" s="17"/>
      <c r="K47" s="65" t="s">
        <v>56</v>
      </c>
      <c r="L47" s="52">
        <v>45</v>
      </c>
      <c r="M47" s="21" t="str">
        <f ca="1">VLOOKUP($L47,OFFSET([2]enemies!$A$1,0,0,COUNTA([2]enemies!$A:$A),MATCH(M$1,[2]enemies!$1:$1,0)-MATCH($L$1,[2]enemies!$1:$1,0)+1),MATCH(M$1,[2]enemies!$1:$1,0)-MATCH($L$1,[2]enemies!$1:$1,0)+1,FALSE)</f>
        <v>ショウイン</v>
      </c>
      <c r="N47" s="21" t="str">
        <f ca="1">VLOOKUP($L47,OFFSET([2]enemies!$A$1,0,0,COUNTA([2]enemies!$A:$A),MATCH(N$1,[2]enemies!$1:$1,0)-MATCH($L$1,[2]enemies!$1:$1,0)+1),MATCH(N$1,[2]enemies!$1:$1,0)-MATCH($L$1,[2]enemies!$1:$1,0)+1,FALSE)</f>
        <v>blue</v>
      </c>
      <c r="O47" s="21" t="str">
        <f ca="1">VLOOKUP($L47,OFFSET([3]characters!$A$1,0,0,COUNTA([3]characters!$A:$A),MATCH(O$1,[3]characters!$1:$1,0)-MATCH($L$1,[3]characters!$1:$1,0)+1),MATCH(O$1,[3]characters!$1:$1,0)-MATCH($L$1,[3]characters!$1:$1,0)+1,FALSE)</f>
        <v>Drop1N</v>
      </c>
      <c r="P47" s="21" t="str">
        <f ca="1">VLOOKUP($L47,OFFSET([2]enemies!$A$1,0,0,COUNTA([2]enemies!$A:$A),MATCH(P$1,[2]enemies!$1:$1,0)-MATCH($L$1,[2]enemies!$1:$1,0)+1),MATCH(P$1,[2]enemies!$1:$1,0)-MATCH($L$1,[2]enemies!$1:$1,0)+1,FALSE)</f>
        <v>animal</v>
      </c>
      <c r="Q47" s="21">
        <f ca="1">VLOOKUP($L47,OFFSET([2]enemies!$A$1,0,0,COUNTA([2]enemies!$A:$A),MATCH(Q$1,[2]enemies!$1:$1,0)-MATCH($L$1,[2]enemies!$1:$1,0)+1),MATCH(Q$1,[2]enemies!$1:$1,0)-MATCH($L$1,[2]enemies!$1:$1,0)+1,FALSE)</f>
        <v>15</v>
      </c>
      <c r="R47" s="53">
        <v>42</v>
      </c>
      <c r="S47" s="27">
        <v>1</v>
      </c>
      <c r="T47" s="27">
        <v>1</v>
      </c>
      <c r="U47" s="5">
        <v>0</v>
      </c>
      <c r="V47" s="4" t="str">
        <f ca="1">VLOOKUP($W47,OFFSET([4]enemy_skill_sets!$B$1,0,0,COUNTA([4]enemy_skill_sets!$B:$B),MATCH(M$1,[4]enemy_skill_sets!$1:$1,0)-MATCH($W$1,[4]enemy_skill_sets!$1:$1,0)+2),MATCH(M$1,[4]enemy_skill_sets!$1:$1,0)-MATCH($W$1,[4]enemy_skill_sets!$1:$1,0)+2,FALSE)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7" s="4">
        <f ca="1">VLOOKUP($L47,OFFSET([2]enemies!$A$1,0,0,COUNTA([2]enemies!$A:$A),MATCH(W$1,[2]enemies!$1:$1,0)-MATCH($L$1,[2]enemies!$1:$1,0)+1),MATCH(W$1,[2]enemies!$1:$1,0)-MATCH($L$1,[2]enemies!$1:$1,0)+1,FALSE)</f>
        <v>0</v>
      </c>
      <c r="X47" s="6">
        <v>0</v>
      </c>
      <c r="Y47" s="6">
        <v>100</v>
      </c>
      <c r="Z47" s="6">
        <v>0</v>
      </c>
      <c r="AA47" s="4">
        <f ca="1">VLOOKUP($L47,OFFSET([2]enemies!$A$1,0,0,COUNTA([2]enemies!$A:$A),MATCH(AA$1,[2]enemies!$1:$1,0)-MATCH($L$1,[2]enemies!$1:$1,0)+1),MATCH(AA$1,[2]enemies!$1:$1,0)-MATCH($L$1,[2]enemies!$1:$1,0)+1,FALSE)</f>
        <v>3</v>
      </c>
      <c r="AB47" s="52">
        <v>45</v>
      </c>
      <c r="AC47" s="4" t="str">
        <f ca="1">VLOOKUP($AB47,OFFSET([3]characters!$A$1,0,0,COUNTA([3]characters!$A:$A),MATCH(AC$1,[3]characters!$1:$1,0)-MATCH("character_id",[3]characters!$1:$1,0)+1),MATCH(AC$1,[3]characters!$1:$1,0)-MATCH("character_id",[3]characters!$1:$1,0)+1,FALSE)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47" s="4">
        <f ca="1">VLOOKUP($AB47,OFFSET([3]characters!$A$1,0,0,COUNTA([3]characters!$A:$A),MATCH(AD$1,[3]characters!$1:$1,0)-MATCH("character_id",[3]characters!$1:$1,0)+1),MATCH(AD$1,[3]characters!$1:$1,0)-MATCH("character_id",[3]characters!$1:$1,0)+1,FALSE)</f>
        <v>2</v>
      </c>
      <c r="AE47" s="4" t="str">
        <f ca="1">VLOOKUP($AB47,OFFSET([3]characters!$A$1,0,0,COUNTA([3]characters!$A:$A),MATCH(AE$1,[3]characters!$1:$1,0)-MATCH("character_id",[3]characters!$1:$1,0)+1),MATCH(AE$1,[3]characters!$1:$1,0)-MATCH("character_id",[3]characters!$1:$1,0)+1,FALSE)</f>
        <v>Drop1N</v>
      </c>
      <c r="AF47" s="7">
        <v>7</v>
      </c>
      <c r="AG47" s="26">
        <f t="shared" ca="1" si="3"/>
        <v>2</v>
      </c>
      <c r="AH47" s="8">
        <v>20</v>
      </c>
      <c r="AI47" s="7">
        <v>0</v>
      </c>
      <c r="AJ47" s="7">
        <v>0</v>
      </c>
      <c r="AK47" s="7">
        <v>0</v>
      </c>
      <c r="AL47" s="7">
        <v>0</v>
      </c>
      <c r="AM47" s="7">
        <v>1</v>
      </c>
    </row>
    <row r="48" spans="1:39" ht="21" customHeight="1" x14ac:dyDescent="0.15">
      <c r="A48" s="18" t="str">
        <f t="shared" ca="1" si="56"/>
        <v>22_2-3/57&lt;lv42&gt;s2</v>
      </c>
      <c r="B48" s="50">
        <v>22</v>
      </c>
      <c r="C48" s="49">
        <v>2</v>
      </c>
      <c r="D48" s="2" t="str">
        <f t="shared" si="57"/>
        <v>22_2</v>
      </c>
      <c r="E48" s="2" t="str">
        <f t="shared" si="57"/>
        <v>2_22_2</v>
      </c>
      <c r="F48" s="4" t="str">
        <f ca="1">VLOOKUP($D48,OFFSET([1]stages!$A$1,0,0,COUNTA([1]stages!$A:$A),MATCH(F$1,[1]stages!$2:$2,0)-MATCH($D$1,[1]stages!$2:$2,0)+1),MATCH(F$1,[1]stages!$2:$2,0)-MATCH($D$1,[1]stages!$2:$2,0)+1,FALSE)</f>
        <v>22-2．排他的な案内人</v>
      </c>
      <c r="G48" s="56">
        <v>3</v>
      </c>
      <c r="H48" s="17" t="str">
        <f t="shared" si="58"/>
        <v>22_2-3</v>
      </c>
      <c r="I48" s="17"/>
      <c r="J48" s="17"/>
      <c r="K48" s="65" t="s">
        <v>56</v>
      </c>
      <c r="L48" s="52">
        <v>57</v>
      </c>
      <c r="M48" s="21" t="str">
        <f ca="1">VLOOKUP($L48,OFFSET([2]enemies!$A$1,0,0,COUNTA([2]enemies!$A:$A),MATCH(M$1,[2]enemies!$1:$1,0)-MATCH($L$1,[2]enemies!$1:$1,0)+1),MATCH(M$1,[2]enemies!$1:$1,0)-MATCH($L$1,[2]enemies!$1:$1,0)+1,FALSE)</f>
        <v>チェン・リー</v>
      </c>
      <c r="N48" s="21" t="str">
        <f ca="1">VLOOKUP($L48,OFFSET([2]enemies!$A$1,0,0,COUNTA([2]enemies!$A:$A),MATCH(N$1,[2]enemies!$1:$1,0)-MATCH($L$1,[2]enemies!$1:$1,0)+1),MATCH(N$1,[2]enemies!$1:$1,0)-MATCH($L$1,[2]enemies!$1:$1,0)+1,FALSE)</f>
        <v>red</v>
      </c>
      <c r="O48" s="21" t="str">
        <f ca="1">VLOOKUP($L48,OFFSET([3]characters!$A$1,0,0,COUNTA([3]characters!$A:$A),MATCH(O$1,[3]characters!$1:$1,0)-MATCH($L$1,[3]characters!$1:$1,0)+1),MATCH(O$1,[3]characters!$1:$1,0)-MATCH($L$1,[3]characters!$1:$1,0)+1,FALSE)</f>
        <v>Drop1N</v>
      </c>
      <c r="P48" s="21" t="str">
        <f ca="1">VLOOKUP($L48,OFFSET([2]enemies!$A$1,0,0,COUNTA([2]enemies!$A:$A),MATCH(P$1,[2]enemies!$1:$1,0)-MATCH($L$1,[2]enemies!$1:$1,0)+1),MATCH(P$1,[2]enemies!$1:$1,0)-MATCH($L$1,[2]enemies!$1:$1,0)+1,FALSE)</f>
        <v>animal</v>
      </c>
      <c r="Q48" s="21">
        <f ca="1">VLOOKUP($L48,OFFSET([2]enemies!$A$1,0,0,COUNTA([2]enemies!$A:$A),MATCH(Q$1,[2]enemies!$1:$1,0)-MATCH($L$1,[2]enemies!$1:$1,0)+1),MATCH(Q$1,[2]enemies!$1:$1,0)-MATCH($L$1,[2]enemies!$1:$1,0)+1,FALSE)</f>
        <v>15</v>
      </c>
      <c r="R48" s="53">
        <v>42</v>
      </c>
      <c r="S48" s="27">
        <v>1</v>
      </c>
      <c r="T48" s="27">
        <v>1</v>
      </c>
      <c r="U48" s="5">
        <v>0</v>
      </c>
      <c r="V48" s="4" t="str">
        <f ca="1">VLOOKUP($W48,OFFSET([4]enemy_skill_sets!$B$1,0,0,COUNTA([4]enemy_skill_sets!$B:$B),MATCH(M$1,[4]enemy_skill_sets!$1:$1,0)-MATCH($W$1,[4]enemy_skill_sets!$1:$1,0)+2),MATCH(M$1,[4]enemy_skill_sets!$1:$1,0)-MATCH($W$1,[4]enemy_skill_sets!$1:$1,0)+2,FALSE)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48" s="4">
        <f ca="1">VLOOKUP($L48,OFFSET([2]enemies!$A$1,0,0,COUNTA([2]enemies!$A:$A),MATCH(W$1,[2]enemies!$1:$1,0)-MATCH($L$1,[2]enemies!$1:$1,0)+1),MATCH(W$1,[2]enemies!$1:$1,0)-MATCH($L$1,[2]enemies!$1:$1,0)+1,FALSE)</f>
        <v>57</v>
      </c>
      <c r="X48" s="6">
        <v>0</v>
      </c>
      <c r="Y48" s="6">
        <v>100</v>
      </c>
      <c r="Z48" s="6">
        <v>0</v>
      </c>
      <c r="AA48" s="4">
        <f ca="1">VLOOKUP($L48,OFFSET([2]enemies!$A$1,0,0,COUNTA([2]enemies!$A:$A),MATCH(AA$1,[2]enemies!$1:$1,0)-MATCH($L$1,[2]enemies!$1:$1,0)+1),MATCH(AA$1,[2]enemies!$1:$1,0)-MATCH($L$1,[2]enemies!$1:$1,0)+1,FALSE)</f>
        <v>2</v>
      </c>
      <c r="AB48" s="52">
        <v>57</v>
      </c>
      <c r="AC48" s="4" t="str">
        <f ca="1">VLOOKUP($AB48,OFFSET([3]characters!$A$1,0,0,COUNTA([3]characters!$A:$A),MATCH(AC$1,[3]characters!$1:$1,0)-MATCH("character_id",[3]characters!$1:$1,0)+1),MATCH(AC$1,[3]characters!$1:$1,0)-MATCH("character_id",[3]characters!$1:$1,0)+1,FALSE)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48" s="4">
        <f ca="1">VLOOKUP($AB48,OFFSET([3]characters!$A$1,0,0,COUNTA([3]characters!$A:$A),MATCH(AD$1,[3]characters!$1:$1,0)-MATCH("character_id",[3]characters!$1:$1,0)+1),MATCH(AD$1,[3]characters!$1:$1,0)-MATCH("character_id",[3]characters!$1:$1,0)+1,FALSE)</f>
        <v>2</v>
      </c>
      <c r="AE48" s="4" t="str">
        <f ca="1">VLOOKUP($AB48,OFFSET([3]characters!$A$1,0,0,COUNTA([3]characters!$A:$A),MATCH(AE$1,[3]characters!$1:$1,0)-MATCH("character_id",[3]characters!$1:$1,0)+1),MATCH(AE$1,[3]characters!$1:$1,0)-MATCH("character_id",[3]characters!$1:$1,0)+1,FALSE)</f>
        <v>Drop1N</v>
      </c>
      <c r="AF48" s="7">
        <v>7</v>
      </c>
      <c r="AG48" s="26">
        <f t="shared" ca="1" si="3"/>
        <v>2</v>
      </c>
      <c r="AH48" s="8">
        <v>20</v>
      </c>
      <c r="AI48" s="7">
        <v>0</v>
      </c>
      <c r="AJ48" s="7">
        <v>0</v>
      </c>
      <c r="AK48" s="7">
        <v>0</v>
      </c>
      <c r="AL48" s="7">
        <v>0</v>
      </c>
      <c r="AM48" s="7">
        <v>1</v>
      </c>
    </row>
    <row r="49" spans="1:39" ht="21" customHeight="1" x14ac:dyDescent="0.15">
      <c r="A49" s="18" t="str">
        <f t="shared" ca="1" si="56"/>
        <v>22_2-3/61&lt;lv42&gt;s2</v>
      </c>
      <c r="B49" s="50">
        <v>22</v>
      </c>
      <c r="C49" s="49">
        <v>2</v>
      </c>
      <c r="D49" s="2" t="str">
        <f t="shared" si="57"/>
        <v>22_2</v>
      </c>
      <c r="E49" s="2" t="str">
        <f t="shared" si="57"/>
        <v>2_22_2</v>
      </c>
      <c r="F49" s="4" t="str">
        <f ca="1">VLOOKUP($D49,OFFSET([1]stages!$A$1,0,0,COUNTA([1]stages!$A:$A),MATCH(F$1,[1]stages!$2:$2,0)-MATCH($D$1,[1]stages!$2:$2,0)+1),MATCH(F$1,[1]stages!$2:$2,0)-MATCH($D$1,[1]stages!$2:$2,0)+1,FALSE)</f>
        <v>22-2．排他的な案内人</v>
      </c>
      <c r="G49" s="56">
        <v>3</v>
      </c>
      <c r="H49" s="17" t="str">
        <f t="shared" si="58"/>
        <v>22_2-3</v>
      </c>
      <c r="I49" s="17"/>
      <c r="J49" s="17"/>
      <c r="K49" s="65" t="s">
        <v>56</v>
      </c>
      <c r="L49" s="52">
        <v>61</v>
      </c>
      <c r="M49" s="21" t="str">
        <f ca="1">VLOOKUP($L49,OFFSET([2]enemies!$A$1,0,0,COUNTA([2]enemies!$A:$A),MATCH(M$1,[2]enemies!$1:$1,0)-MATCH($L$1,[2]enemies!$1:$1,0)+1),MATCH(M$1,[2]enemies!$1:$1,0)-MATCH($L$1,[2]enemies!$1:$1,0)+1,FALSE)</f>
        <v>クロウ</v>
      </c>
      <c r="N49" s="21" t="str">
        <f ca="1">VLOOKUP($L49,OFFSET([2]enemies!$A$1,0,0,COUNTA([2]enemies!$A:$A),MATCH(N$1,[2]enemies!$1:$1,0)-MATCH($L$1,[2]enemies!$1:$1,0)+1),MATCH(N$1,[2]enemies!$1:$1,0)-MATCH($L$1,[2]enemies!$1:$1,0)+1,FALSE)</f>
        <v>blue</v>
      </c>
      <c r="O49" s="21" t="str">
        <f ca="1">VLOOKUP($L49,OFFSET([3]characters!$A$1,0,0,COUNTA([3]characters!$A:$A),MATCH(O$1,[3]characters!$1:$1,0)-MATCH($L$1,[3]characters!$1:$1,0)+1),MATCH(O$1,[3]characters!$1:$1,0)-MATCH($L$1,[3]characters!$1:$1,0)+1,FALSE)</f>
        <v>Drop1N</v>
      </c>
      <c r="P49" s="21" t="str">
        <f ca="1">VLOOKUP($L49,OFFSET([2]enemies!$A$1,0,0,COUNTA([2]enemies!$A:$A),MATCH(P$1,[2]enemies!$1:$1,0)-MATCH($L$1,[2]enemies!$1:$1,0)+1),MATCH(P$1,[2]enemies!$1:$1,0)-MATCH($L$1,[2]enemies!$1:$1,0)+1,FALSE)</f>
        <v>animal</v>
      </c>
      <c r="Q49" s="21">
        <f ca="1">VLOOKUP($L49,OFFSET([2]enemies!$A$1,0,0,COUNTA([2]enemies!$A:$A),MATCH(Q$1,[2]enemies!$1:$1,0)-MATCH($L$1,[2]enemies!$1:$1,0)+1),MATCH(Q$1,[2]enemies!$1:$1,0)-MATCH($L$1,[2]enemies!$1:$1,0)+1,FALSE)</f>
        <v>15</v>
      </c>
      <c r="R49" s="53">
        <v>42</v>
      </c>
      <c r="S49" s="27">
        <v>1</v>
      </c>
      <c r="T49" s="27">
        <v>1</v>
      </c>
      <c r="U49" s="5">
        <v>0</v>
      </c>
      <c r="V49" s="4" t="str">
        <f ca="1">VLOOKUP($W49,OFFSET([4]enemy_skill_sets!$B$1,0,0,COUNTA([4]enemy_skill_sets!$B:$B),MATCH(M$1,[4]enemy_skill_sets!$1:$1,0)-MATCH($W$1,[4]enemy_skill_sets!$1:$1,0)+2),MATCH(M$1,[4]enemy_skill_sets!$1:$1,0)-MATCH($W$1,[4]enemy_skill_sets!$1:$1,0)+2,FALSE)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9" s="4">
        <f ca="1">VLOOKUP($L49,OFFSET([2]enemies!$A$1,0,0,COUNTA([2]enemies!$A:$A),MATCH(W$1,[2]enemies!$1:$1,0)-MATCH($L$1,[2]enemies!$1:$1,0)+1),MATCH(W$1,[2]enemies!$1:$1,0)-MATCH($L$1,[2]enemies!$1:$1,0)+1,FALSE)</f>
        <v>61</v>
      </c>
      <c r="X49" s="6">
        <v>0</v>
      </c>
      <c r="Y49" s="6">
        <v>100</v>
      </c>
      <c r="Z49" s="6">
        <v>0</v>
      </c>
      <c r="AA49" s="4">
        <f ca="1">VLOOKUP($L49,OFFSET([2]enemies!$A$1,0,0,COUNTA([2]enemies!$A:$A),MATCH(AA$1,[2]enemies!$1:$1,0)-MATCH($L$1,[2]enemies!$1:$1,0)+1),MATCH(AA$1,[2]enemies!$1:$1,0)-MATCH($L$1,[2]enemies!$1:$1,0)+1,FALSE)</f>
        <v>2</v>
      </c>
      <c r="AB49" s="52">
        <v>61</v>
      </c>
      <c r="AC49" s="4" t="str">
        <f ca="1">VLOOKUP($AB49,OFFSET([3]characters!$A$1,0,0,COUNTA([3]characters!$A:$A),MATCH(AC$1,[3]characters!$1:$1,0)-MATCH("character_id",[3]characters!$1:$1,0)+1),MATCH(AC$1,[3]characters!$1:$1,0)-MATCH("character_id",[3]characters!$1:$1,0)+1,FALSE)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49" s="4">
        <f ca="1">VLOOKUP($AB49,OFFSET([3]characters!$A$1,0,0,COUNTA([3]characters!$A:$A),MATCH(AD$1,[3]characters!$1:$1,0)-MATCH("character_id",[3]characters!$1:$1,0)+1),MATCH(AD$1,[3]characters!$1:$1,0)-MATCH("character_id",[3]characters!$1:$1,0)+1,FALSE)</f>
        <v>2</v>
      </c>
      <c r="AE49" s="4" t="str">
        <f ca="1">VLOOKUP($AB49,OFFSET([3]characters!$A$1,0,0,COUNTA([3]characters!$A:$A),MATCH(AE$1,[3]characters!$1:$1,0)-MATCH("character_id",[3]characters!$1:$1,0)+1),MATCH(AE$1,[3]characters!$1:$1,0)-MATCH("character_id",[3]characters!$1:$1,0)+1,FALSE)</f>
        <v>Drop1N</v>
      </c>
      <c r="AF49" s="7">
        <v>7</v>
      </c>
      <c r="AG49" s="26">
        <f t="shared" ca="1" si="3"/>
        <v>2</v>
      </c>
      <c r="AH49" s="8">
        <v>20</v>
      </c>
      <c r="AI49" s="7">
        <v>0</v>
      </c>
      <c r="AJ49" s="7">
        <v>0</v>
      </c>
      <c r="AK49" s="7">
        <v>0</v>
      </c>
      <c r="AL49" s="7">
        <v>0</v>
      </c>
      <c r="AM49" s="7">
        <v>1</v>
      </c>
    </row>
    <row r="50" spans="1:39" ht="21" customHeight="1" x14ac:dyDescent="0.15">
      <c r="A50" s="18" t="str">
        <f t="shared" ref="A50:A51" ca="1" si="59">B50&amp;"_"&amp;C50&amp;"-"&amp;G50&amp;"/"&amp;L50&amp;"&lt;lv"&amp;R50&amp;"&gt;s"&amp;AA50</f>
        <v>22_2-3/360&lt;lv42&gt;s3</v>
      </c>
      <c r="B50" s="53">
        <v>22</v>
      </c>
      <c r="C50" s="51">
        <v>2</v>
      </c>
      <c r="D50" s="2" t="str">
        <f t="shared" ref="D50:D51" si="60">B50&amp;"_"&amp;C50</f>
        <v>22_2</v>
      </c>
      <c r="E50" s="2" t="str">
        <f t="shared" ref="E50:E51" si="61">C50&amp;"_"&amp;D50</f>
        <v>2_22_2</v>
      </c>
      <c r="F50" s="4" t="str">
        <f ca="1">VLOOKUP($D50,OFFSET([1]stages!$A$1,0,0,COUNTA([1]stages!$A:$A),MATCH(F$1,[1]stages!$2:$2,0)-MATCH($D$1,[1]stages!$2:$2,0)+1),MATCH(F$1,[1]stages!$2:$2,0)-MATCH($D$1,[1]stages!$2:$2,0)+1,FALSE)</f>
        <v>22-2．排他的な案内人</v>
      </c>
      <c r="G50" s="56">
        <v>3</v>
      </c>
      <c r="H50" s="17" t="str">
        <f t="shared" ref="H50:H51" si="62">B50&amp;"_"&amp;C50&amp;"-"&amp;G50</f>
        <v>22_2-3</v>
      </c>
      <c r="I50" s="17"/>
      <c r="J50" s="17"/>
      <c r="K50" s="65" t="s">
        <v>56</v>
      </c>
      <c r="L50" s="52">
        <v>360</v>
      </c>
      <c r="M50" s="21" t="str">
        <f ca="1">VLOOKUP($L50,OFFSET([2]enemies!$A$1,0,0,COUNTA([2]enemies!$A:$A),MATCH(M$1,[2]enemies!$1:$1,0)-MATCH($L$1,[2]enemies!$1:$1,0)+1),MATCH(M$1,[2]enemies!$1:$1,0)-MATCH($L$1,[2]enemies!$1:$1,0)+1,FALSE)</f>
        <v>ガンテツ</v>
      </c>
      <c r="N50" s="21" t="str">
        <f ca="1">VLOOKUP($L50,OFFSET([2]enemies!$A$1,0,0,COUNTA([2]enemies!$A:$A),MATCH(N$1,[2]enemies!$1:$1,0)-MATCH($L$1,[2]enemies!$1:$1,0)+1),MATCH(N$1,[2]enemies!$1:$1,0)-MATCH($L$1,[2]enemies!$1:$1,0)+1,FALSE)</f>
        <v>red</v>
      </c>
      <c r="O50" s="21" t="str">
        <f ca="1">VLOOKUP($L50,OFFSET([3]characters!$A$1,0,0,COUNTA([3]characters!$A:$A),MATCH(O$1,[3]characters!$1:$1,0)-MATCH($L$1,[3]characters!$1:$1,0)+1),MATCH(O$1,[3]characters!$1:$1,0)-MATCH($L$1,[3]characters!$1:$1,0)+1,FALSE)</f>
        <v>Drop1S</v>
      </c>
      <c r="P50" s="21" t="str">
        <f ca="1">VLOOKUP($L50,OFFSET([2]enemies!$A$1,0,0,COUNTA([2]enemies!$A:$A),MATCH(P$1,[2]enemies!$1:$1,0)-MATCH($L$1,[2]enemies!$1:$1,0)+1),MATCH(P$1,[2]enemies!$1:$1,0)-MATCH($L$1,[2]enemies!$1:$1,0)+1,FALSE)</f>
        <v>animal</v>
      </c>
      <c r="Q50" s="21">
        <f ca="1">VLOOKUP($L50,OFFSET([2]enemies!$A$1,0,0,COUNTA([2]enemies!$A:$A),MATCH(Q$1,[2]enemies!$1:$1,0)-MATCH($L$1,[2]enemies!$1:$1,0)+1),MATCH(Q$1,[2]enemies!$1:$1,0)-MATCH($L$1,[2]enemies!$1:$1,0)+1,FALSE)</f>
        <v>15</v>
      </c>
      <c r="R50" s="53">
        <v>42</v>
      </c>
      <c r="S50" s="27">
        <v>1</v>
      </c>
      <c r="T50" s="27">
        <v>1</v>
      </c>
      <c r="U50" s="5">
        <v>0</v>
      </c>
      <c r="V50" s="4" t="str">
        <f ca="1">VLOOKUP($W50,OFFSET([4]enemy_skill_sets!$B$1,0,0,COUNTA([4]enemy_skill_sets!$B:$B),MATCH(M$1,[4]enemy_skill_sets!$1:$1,0)-MATCH($W$1,[4]enemy_skill_sets!$1:$1,0)+2),MATCH(M$1,[4]enemy_skill_sets!$1:$1,0)-MATCH($W$1,[4]enemy_skill_sets!$1:$1,0)+2,FALSE)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50" s="76">
        <v>360</v>
      </c>
      <c r="X50" s="6">
        <v>0</v>
      </c>
      <c r="Y50" s="6">
        <v>100</v>
      </c>
      <c r="Z50" s="6">
        <v>0</v>
      </c>
      <c r="AA50" s="4">
        <f ca="1">VLOOKUP($L50,OFFSET([2]enemies!$A$1,0,0,COUNTA([2]enemies!$A:$A),MATCH(AA$1,[2]enemies!$1:$1,0)-MATCH($L$1,[2]enemies!$1:$1,0)+1),MATCH(AA$1,[2]enemies!$1:$1,0)-MATCH($L$1,[2]enemies!$1:$1,0)+1,FALSE)</f>
        <v>3</v>
      </c>
      <c r="AB50" s="52">
        <v>360</v>
      </c>
      <c r="AC50" s="4" t="str">
        <f ca="1">VLOOKUP($AB50,OFFSET([3]characters!$A$1,0,0,COUNTA([3]characters!$A:$A),MATCH(AC$1,[3]characters!$1:$1,0)-MATCH("character_id",[3]characters!$1:$1,0)+1),MATCH(AC$1,[3]characters!$1:$1,0)-MATCH("character_id",[3]characters!$1:$1,0)+1,FALSE)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50" s="4">
        <f ca="1">VLOOKUP($AB50,OFFSET([3]characters!$A$1,0,0,COUNTA([3]characters!$A:$A),MATCH(AD$1,[3]characters!$1:$1,0)-MATCH("character_id",[3]characters!$1:$1,0)+1),MATCH(AD$1,[3]characters!$1:$1,0)-MATCH("character_id",[3]characters!$1:$1,0)+1,FALSE)</f>
        <v>2</v>
      </c>
      <c r="AE50" s="4" t="str">
        <f ca="1">VLOOKUP($AB50,OFFSET([3]characters!$A$1,0,0,COUNTA([3]characters!$A:$A),MATCH(AE$1,[3]characters!$1:$1,0)-MATCH("character_id",[3]characters!$1:$1,0)+1),MATCH(AE$1,[3]characters!$1:$1,0)-MATCH("character_id",[3]characters!$1:$1,0)+1,FALSE)</f>
        <v>Drop1S</v>
      </c>
      <c r="AF50" s="7">
        <v>7</v>
      </c>
      <c r="AG50" s="26">
        <f t="shared" ca="1" si="3"/>
        <v>2</v>
      </c>
      <c r="AH50" s="8">
        <v>20</v>
      </c>
      <c r="AI50" s="7">
        <v>0</v>
      </c>
      <c r="AJ50" s="7">
        <v>0</v>
      </c>
      <c r="AK50" s="7">
        <v>0</v>
      </c>
      <c r="AL50" s="7">
        <v>0</v>
      </c>
      <c r="AM50" s="7">
        <v>1</v>
      </c>
    </row>
    <row r="51" spans="1:39" ht="21" customHeight="1" x14ac:dyDescent="0.15">
      <c r="A51" s="18" t="str">
        <f t="shared" ca="1" si="59"/>
        <v>22_2-3/364&lt;lv42&gt;s3</v>
      </c>
      <c r="B51" s="53">
        <v>22</v>
      </c>
      <c r="C51" s="51">
        <v>2</v>
      </c>
      <c r="D51" s="2" t="str">
        <f t="shared" si="60"/>
        <v>22_2</v>
      </c>
      <c r="E51" s="2" t="str">
        <f t="shared" si="61"/>
        <v>2_22_2</v>
      </c>
      <c r="F51" s="4" t="str">
        <f ca="1">VLOOKUP($D51,OFFSET([1]stages!$A$1,0,0,COUNTA([1]stages!$A:$A),MATCH(F$1,[1]stages!$2:$2,0)-MATCH($D$1,[1]stages!$2:$2,0)+1),MATCH(F$1,[1]stages!$2:$2,0)-MATCH($D$1,[1]stages!$2:$2,0)+1,FALSE)</f>
        <v>22-2．排他的な案内人</v>
      </c>
      <c r="G51" s="56">
        <v>3</v>
      </c>
      <c r="H51" s="17" t="str">
        <f t="shared" si="62"/>
        <v>22_2-3</v>
      </c>
      <c r="I51" s="17"/>
      <c r="J51" s="17"/>
      <c r="K51" s="65" t="s">
        <v>56</v>
      </c>
      <c r="L51" s="52">
        <v>364</v>
      </c>
      <c r="M51" s="21" t="str">
        <f ca="1">VLOOKUP($L51,OFFSET([2]enemies!$A$1,0,0,COUNTA([2]enemies!$A:$A),MATCH(M$1,[2]enemies!$1:$1,0)-MATCH($L$1,[2]enemies!$1:$1,0)+1),MATCH(M$1,[2]enemies!$1:$1,0)-MATCH($L$1,[2]enemies!$1:$1,0)+1,FALSE)</f>
        <v>ノエル</v>
      </c>
      <c r="N51" s="21" t="str">
        <f ca="1">VLOOKUP($L51,OFFSET([2]enemies!$A$1,0,0,COUNTA([2]enemies!$A:$A),MATCH(N$1,[2]enemies!$1:$1,0)-MATCH($L$1,[2]enemies!$1:$1,0)+1),MATCH(N$1,[2]enemies!$1:$1,0)-MATCH($L$1,[2]enemies!$1:$1,0)+1,FALSE)</f>
        <v>blue</v>
      </c>
      <c r="O51" s="21" t="str">
        <f ca="1">VLOOKUP($L51,OFFSET([3]characters!$A$1,0,0,COUNTA([3]characters!$A:$A),MATCH(O$1,[3]characters!$1:$1,0)-MATCH($L$1,[3]characters!$1:$1,0)+1),MATCH(O$1,[3]characters!$1:$1,0)-MATCH($L$1,[3]characters!$1:$1,0)+1,FALSE)</f>
        <v>Drop1S</v>
      </c>
      <c r="P51" s="21" t="str">
        <f ca="1">VLOOKUP($L51,OFFSET([2]enemies!$A$1,0,0,COUNTA([2]enemies!$A:$A),MATCH(P$1,[2]enemies!$1:$1,0)-MATCH($L$1,[2]enemies!$1:$1,0)+1),MATCH(P$1,[2]enemies!$1:$1,0)-MATCH($L$1,[2]enemies!$1:$1,0)+1,FALSE)</f>
        <v>animal</v>
      </c>
      <c r="Q51" s="21">
        <f ca="1">VLOOKUP($L51,OFFSET([2]enemies!$A$1,0,0,COUNTA([2]enemies!$A:$A),MATCH(Q$1,[2]enemies!$1:$1,0)-MATCH($L$1,[2]enemies!$1:$1,0)+1),MATCH(Q$1,[2]enemies!$1:$1,0)-MATCH($L$1,[2]enemies!$1:$1,0)+1,FALSE)</f>
        <v>15</v>
      </c>
      <c r="R51" s="53">
        <v>42</v>
      </c>
      <c r="S51" s="27">
        <v>1</v>
      </c>
      <c r="T51" s="27">
        <v>1</v>
      </c>
      <c r="U51" s="5">
        <v>0</v>
      </c>
      <c r="V51" s="4" t="str">
        <f ca="1">VLOOKUP($W51,OFFSET([4]enemy_skill_sets!$B$1,0,0,COUNTA([4]enemy_skill_sets!$B:$B),MATCH(M$1,[4]enemy_skill_sets!$1:$1,0)-MATCH($W$1,[4]enemy_skill_sets!$1:$1,0)+2),MATCH(M$1,[4]enemy_skill_sets!$1:$1,0)-MATCH($W$1,[4]enemy_skill_sets!$1:$1,0)+2,FALSE)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1" s="64">
        <v>364</v>
      </c>
      <c r="X51" s="6">
        <v>0</v>
      </c>
      <c r="Y51" s="6">
        <v>100</v>
      </c>
      <c r="Z51" s="6">
        <v>0</v>
      </c>
      <c r="AA51" s="4">
        <f ca="1">VLOOKUP($L51,OFFSET([2]enemies!$A$1,0,0,COUNTA([2]enemies!$A:$A),MATCH(AA$1,[2]enemies!$1:$1,0)-MATCH($L$1,[2]enemies!$1:$1,0)+1),MATCH(AA$1,[2]enemies!$1:$1,0)-MATCH($L$1,[2]enemies!$1:$1,0)+1,FALSE)</f>
        <v>3</v>
      </c>
      <c r="AB51" s="52">
        <v>364</v>
      </c>
      <c r="AC51" s="4" t="str">
        <f ca="1">VLOOKUP($AB51,OFFSET([3]characters!$A$1,0,0,COUNTA([3]characters!$A:$A),MATCH(AC$1,[3]characters!$1:$1,0)-MATCH("character_id",[3]characters!$1:$1,0)+1),MATCH(AC$1,[3]characters!$1:$1,0)-MATCH("character_id",[3]characters!$1:$1,0)+1,FALSE)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1" s="4">
        <f ca="1">VLOOKUP($AB51,OFFSET([3]characters!$A$1,0,0,COUNTA([3]characters!$A:$A),MATCH(AD$1,[3]characters!$1:$1,0)-MATCH("character_id",[3]characters!$1:$1,0)+1),MATCH(AD$1,[3]characters!$1:$1,0)-MATCH("character_id",[3]characters!$1:$1,0)+1,FALSE)</f>
        <v>2</v>
      </c>
      <c r="AE51" s="4" t="str">
        <f ca="1">VLOOKUP($AB51,OFFSET([3]characters!$A$1,0,0,COUNTA([3]characters!$A:$A),MATCH(AE$1,[3]characters!$1:$1,0)-MATCH("character_id",[3]characters!$1:$1,0)+1),MATCH(AE$1,[3]characters!$1:$1,0)-MATCH("character_id",[3]characters!$1:$1,0)+1,FALSE)</f>
        <v>Drop1S</v>
      </c>
      <c r="AF51" s="7">
        <v>7</v>
      </c>
      <c r="AG51" s="26">
        <f t="shared" ca="1" si="3"/>
        <v>2</v>
      </c>
      <c r="AH51" s="8">
        <v>20</v>
      </c>
      <c r="AI51" s="7">
        <v>0</v>
      </c>
      <c r="AJ51" s="7">
        <v>0</v>
      </c>
      <c r="AK51" s="7">
        <v>0</v>
      </c>
      <c r="AL51" s="7">
        <v>0</v>
      </c>
      <c r="AM51" s="7">
        <v>1</v>
      </c>
    </row>
    <row r="52" spans="1:39" ht="21" customHeight="1" x14ac:dyDescent="0.15">
      <c r="A52" s="18" t="str">
        <f t="shared" ref="A52" ca="1" si="63">B52&amp;"_"&amp;C52&amp;"-"&amp;G52&amp;"/"&amp;L52&amp;"&lt;lv"&amp;R52&amp;"&gt;s"&amp;AA52</f>
        <v>22_2-3/348&lt;lv42&gt;s3</v>
      </c>
      <c r="B52" s="53">
        <v>22</v>
      </c>
      <c r="C52" s="51">
        <v>2</v>
      </c>
      <c r="D52" s="2" t="str">
        <f t="shared" ref="D52" si="64">B52&amp;"_"&amp;C52</f>
        <v>22_2</v>
      </c>
      <c r="E52" s="2" t="str">
        <f t="shared" ref="E52" si="65">C52&amp;"_"&amp;D52</f>
        <v>2_22_2</v>
      </c>
      <c r="F52" s="4" t="str">
        <f ca="1">VLOOKUP($D52,OFFSET([1]stages!$A$1,0,0,COUNTA([1]stages!$A:$A),MATCH(F$1,[1]stages!$2:$2,0)-MATCH($D$1,[1]stages!$2:$2,0)+1),MATCH(F$1,[1]stages!$2:$2,0)-MATCH($D$1,[1]stages!$2:$2,0)+1,FALSE)</f>
        <v>22-2．排他的な案内人</v>
      </c>
      <c r="G52" s="56">
        <v>3</v>
      </c>
      <c r="H52" s="17" t="str">
        <f t="shared" ref="H52" si="66">B52&amp;"_"&amp;C52&amp;"-"&amp;G52</f>
        <v>22_2-3</v>
      </c>
      <c r="I52" s="17"/>
      <c r="J52" s="17"/>
      <c r="K52" s="65" t="s">
        <v>56</v>
      </c>
      <c r="L52" s="52">
        <v>348</v>
      </c>
      <c r="M52" s="21" t="str">
        <f ca="1">VLOOKUP($L52,OFFSET([2]enemies!$A$1,0,0,COUNTA([2]enemies!$A:$A),MATCH(M$1,[2]enemies!$1:$1,0)-MATCH($L$1,[2]enemies!$1:$1,0)+1),MATCH(M$1,[2]enemies!$1:$1,0)-MATCH($L$1,[2]enemies!$1:$1,0)+1,FALSE)</f>
        <v>炎のケロケロ</v>
      </c>
      <c r="N52" s="21" t="str">
        <f ca="1">VLOOKUP($L52,OFFSET([2]enemies!$A$1,0,0,COUNTA([2]enemies!$A:$A),MATCH(N$1,[2]enemies!$1:$1,0)-MATCH($L$1,[2]enemies!$1:$1,0)+1),MATCH(N$1,[2]enemies!$1:$1,0)-MATCH($L$1,[2]enemies!$1:$1,0)+1,FALSE)</f>
        <v>red</v>
      </c>
      <c r="O52" s="21" t="str">
        <f ca="1">VLOOKUP($L52,OFFSET([3]characters!$A$1,0,0,COUNTA([3]characters!$A:$A),MATCH(O$1,[3]characters!$1:$1,0)-MATCH($L$1,[3]characters!$1:$1,0)+1),MATCH(O$1,[3]characters!$1:$1,0)-MATCH($L$1,[3]characters!$1:$1,0)+1,FALSE)</f>
        <v>Material</v>
      </c>
      <c r="P52" s="21" t="str">
        <f ca="1">VLOOKUP($L52,OFFSET([2]enemies!$A$1,0,0,COUNTA([2]enemies!$A:$A),MATCH(P$1,[2]enemies!$1:$1,0)-MATCH($L$1,[2]enemies!$1:$1,0)+1),MATCH(P$1,[2]enemies!$1:$1,0)-MATCH($L$1,[2]enemies!$1:$1,0)+1,FALSE)</f>
        <v>unknown</v>
      </c>
      <c r="Q52" s="21">
        <f ca="1">VLOOKUP($L52,OFFSET([2]enemies!$A$1,0,0,COUNTA([2]enemies!$A:$A),MATCH(Q$1,[2]enemies!$1:$1,0)-MATCH($L$1,[2]enemies!$1:$1,0)+1),MATCH(Q$1,[2]enemies!$1:$1,0)-MATCH($L$1,[2]enemies!$1:$1,0)+1,FALSE)</f>
        <v>15</v>
      </c>
      <c r="R52" s="53">
        <v>42</v>
      </c>
      <c r="S52" s="27">
        <v>1</v>
      </c>
      <c r="T52" s="27">
        <v>1</v>
      </c>
      <c r="U52" s="5">
        <v>0</v>
      </c>
      <c r="V52" s="4" t="str">
        <f ca="1">VLOOKUP($W52,OFFSET([4]enemy_skill_sets!$B$1,0,0,COUNTA([4]enemy_skill_sets!$B:$B),MATCH(M$1,[4]enemy_skill_sets!$1:$1,0)-MATCH($W$1,[4]enemy_skill_sets!$1:$1,0)+2),MATCH(M$1,[4]enemy_skill_sets!$1:$1,0)-MATCH($W$1,[4]enemy_skill_sets!$1:$1,0)+2,FALSE)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52" s="64">
        <v>348</v>
      </c>
      <c r="X52" s="6">
        <v>0</v>
      </c>
      <c r="Y52" s="6">
        <v>100</v>
      </c>
      <c r="Z52" s="6">
        <v>0</v>
      </c>
      <c r="AA52" s="4">
        <f ca="1">VLOOKUP($L52,OFFSET([2]enemies!$A$1,0,0,COUNTA([2]enemies!$A:$A),MATCH(AA$1,[2]enemies!$1:$1,0)-MATCH($L$1,[2]enemies!$1:$1,0)+1),MATCH(AA$1,[2]enemies!$1:$1,0)-MATCH($L$1,[2]enemies!$1:$1,0)+1,FALSE)</f>
        <v>3</v>
      </c>
      <c r="AB52" s="52">
        <v>348</v>
      </c>
      <c r="AC52" s="4" t="str">
        <f ca="1">VLOOKUP($AB52,OFFSET([3]characters!$A$1,0,0,COUNTA([3]characters!$A:$A),MATCH(AC$1,[3]characters!$1:$1,0)-MATCH("character_id",[3]characters!$1:$1,0)+1),MATCH(AC$1,[3]characters!$1:$1,0)-MATCH("character_id",[3]characters!$1:$1,0)+1,FALSE)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52" s="4">
        <f ca="1">VLOOKUP($AB52,OFFSET([3]characters!$A$1,0,0,COUNTA([3]characters!$A:$A),MATCH(AD$1,[3]characters!$1:$1,0)-MATCH("character_id",[3]characters!$1:$1,0)+1),MATCH(AD$1,[3]characters!$1:$1,0)-MATCH("character_id",[3]characters!$1:$1,0)+1,FALSE)</f>
        <v>2</v>
      </c>
      <c r="AE52" s="4" t="str">
        <f ca="1">VLOOKUP($AB52,OFFSET([3]characters!$A$1,0,0,COUNTA([3]characters!$A:$A),MATCH(AE$1,[3]characters!$1:$1,0)-MATCH("character_id",[3]characters!$1:$1,0)+1),MATCH(AE$1,[3]characters!$1:$1,0)-MATCH("character_id",[3]characters!$1:$1,0)+1,FALSE)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2" s="7">
        <v>10</v>
      </c>
      <c r="AG52" s="26">
        <f t="shared" ca="1" si="3"/>
        <v>2</v>
      </c>
      <c r="AH52" s="8">
        <v>20</v>
      </c>
      <c r="AI52" s="7">
        <v>0</v>
      </c>
      <c r="AJ52" s="7">
        <v>0</v>
      </c>
      <c r="AK52" s="7">
        <v>0</v>
      </c>
      <c r="AL52" s="7">
        <v>0</v>
      </c>
      <c r="AM52" s="7">
        <v>1</v>
      </c>
    </row>
    <row r="53" spans="1:39" ht="21" customHeight="1" x14ac:dyDescent="0.15">
      <c r="A53" s="18" t="str">
        <f t="shared" ca="1" si="56"/>
        <v>22_2-4/33&lt;lv42&gt;s2</v>
      </c>
      <c r="B53" s="50">
        <v>22</v>
      </c>
      <c r="C53" s="49">
        <v>2</v>
      </c>
      <c r="D53" s="2" t="str">
        <f t="shared" si="57"/>
        <v>22_2</v>
      </c>
      <c r="E53" s="2" t="str">
        <f t="shared" si="57"/>
        <v>2_22_2</v>
      </c>
      <c r="F53" s="4" t="str">
        <f ca="1">VLOOKUP($D53,OFFSET([1]stages!$A$1,0,0,COUNTA([1]stages!$A:$A),MATCH(F$1,[1]stages!$2:$2,0)-MATCH($D$1,[1]stages!$2:$2,0)+1),MATCH(F$1,[1]stages!$2:$2,0)-MATCH($D$1,[1]stages!$2:$2,0)+1,FALSE)</f>
        <v>22-2．排他的な案内人</v>
      </c>
      <c r="G53" s="57">
        <v>4</v>
      </c>
      <c r="H53" s="17" t="str">
        <f t="shared" si="58"/>
        <v>22_2-4</v>
      </c>
      <c r="I53" s="17"/>
      <c r="J53" s="17"/>
      <c r="K53" s="65" t="s">
        <v>56</v>
      </c>
      <c r="L53" s="52">
        <v>33</v>
      </c>
      <c r="M53" s="21" t="str">
        <f ca="1">VLOOKUP($L53,OFFSET([2]enemies!$A$1,0,0,COUNTA([2]enemies!$A:$A),MATCH(M$1,[2]enemies!$1:$1,0)-MATCH($L$1,[2]enemies!$1:$1,0)+1),MATCH(M$1,[2]enemies!$1:$1,0)-MATCH($L$1,[2]enemies!$1:$1,0)+1,FALSE)</f>
        <v>ゴクウ</v>
      </c>
      <c r="N53" s="21" t="str">
        <f ca="1">VLOOKUP($L53,OFFSET([2]enemies!$A$1,0,0,COUNTA([2]enemies!$A:$A),MATCH(N$1,[2]enemies!$1:$1,0)-MATCH($L$1,[2]enemies!$1:$1,0)+1),MATCH(N$1,[2]enemies!$1:$1,0)-MATCH($L$1,[2]enemies!$1:$1,0)+1,FALSE)</f>
        <v>red</v>
      </c>
      <c r="O53" s="21" t="str">
        <f ca="1">VLOOKUP($L53,OFFSET([3]characters!$A$1,0,0,COUNTA([3]characters!$A:$A),MATCH(O$1,[3]characters!$1:$1,0)-MATCH($L$1,[3]characters!$1:$1,0)+1),MATCH(O$1,[3]characters!$1:$1,0)-MATCH($L$1,[3]characters!$1:$1,0)+1,FALSE)</f>
        <v>Drop1S</v>
      </c>
      <c r="P53" s="21" t="str">
        <f ca="1">VLOOKUP($L53,OFFSET([2]enemies!$A$1,0,0,COUNTA([2]enemies!$A:$A),MATCH(P$1,[2]enemies!$1:$1,0)-MATCH($L$1,[2]enemies!$1:$1,0)+1),MATCH(P$1,[2]enemies!$1:$1,0)-MATCH($L$1,[2]enemies!$1:$1,0)+1,FALSE)</f>
        <v>animal</v>
      </c>
      <c r="Q53" s="21">
        <f ca="1">VLOOKUP($L53,OFFSET([2]enemies!$A$1,0,0,COUNTA([2]enemies!$A:$A),MATCH(Q$1,[2]enemies!$1:$1,0)-MATCH($L$1,[2]enemies!$1:$1,0)+1),MATCH(Q$1,[2]enemies!$1:$1,0)-MATCH($L$1,[2]enemies!$1:$1,0)+1,FALSE)</f>
        <v>15</v>
      </c>
      <c r="R53" s="53">
        <v>42</v>
      </c>
      <c r="S53" s="27">
        <v>1</v>
      </c>
      <c r="T53" s="27">
        <v>1</v>
      </c>
      <c r="U53" s="5">
        <v>0</v>
      </c>
      <c r="V53" s="4" t="str">
        <f ca="1">VLOOKUP($W53,OFFSET([4]enemy_skill_sets!$B$1,0,0,COUNTA([4]enemy_skill_sets!$B:$B),MATCH(M$1,[4]enemy_skill_sets!$1:$1,0)-MATCH($W$1,[4]enemy_skill_sets!$1:$1,0)+2),MATCH(M$1,[4]enemy_skill_sets!$1:$1,0)-MATCH($W$1,[4]enemy_skill_sets!$1:$1,0)+2,FALSE)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53" s="4">
        <f ca="1">VLOOKUP($L53,OFFSET([2]enemies!$A$1,0,0,COUNTA([2]enemies!$A:$A),MATCH(W$1,[2]enemies!$1:$1,0)-MATCH($L$1,[2]enemies!$1:$1,0)+1),MATCH(W$1,[2]enemies!$1:$1,0)-MATCH($L$1,[2]enemies!$1:$1,0)+1,FALSE)</f>
        <v>33</v>
      </c>
      <c r="X53" s="6">
        <v>0</v>
      </c>
      <c r="Y53" s="6">
        <v>100</v>
      </c>
      <c r="Z53" s="6">
        <v>0</v>
      </c>
      <c r="AA53" s="4">
        <f ca="1">VLOOKUP($L53,OFFSET([2]enemies!$A$1,0,0,COUNTA([2]enemies!$A:$A),MATCH(AA$1,[2]enemies!$1:$1,0)-MATCH($L$1,[2]enemies!$1:$1,0)+1),MATCH(AA$1,[2]enemies!$1:$1,0)-MATCH($L$1,[2]enemies!$1:$1,0)+1,FALSE)</f>
        <v>2</v>
      </c>
      <c r="AB53" s="52">
        <v>33</v>
      </c>
      <c r="AC53" s="4" t="str">
        <f ca="1">VLOOKUP($AB53,OFFSET([3]characters!$A$1,0,0,COUNTA([3]characters!$A:$A),MATCH(AC$1,[3]characters!$1:$1,0)-MATCH("character_id",[3]characters!$1:$1,0)+1),MATCH(AC$1,[3]characters!$1:$1,0)-MATCH("character_id",[3]characters!$1:$1,0)+1,FALSE)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53" s="4">
        <f ca="1">VLOOKUP($AB53,OFFSET([3]characters!$A$1,0,0,COUNTA([3]characters!$A:$A),MATCH(AD$1,[3]characters!$1:$1,0)-MATCH("character_id",[3]characters!$1:$1,0)+1),MATCH(AD$1,[3]characters!$1:$1,0)-MATCH("character_id",[3]characters!$1:$1,0)+1,FALSE)</f>
        <v>2</v>
      </c>
      <c r="AE53" s="4" t="str">
        <f ca="1">VLOOKUP($AB53,OFFSET([3]characters!$A$1,0,0,COUNTA([3]characters!$A:$A),MATCH(AE$1,[3]characters!$1:$1,0)-MATCH("character_id",[3]characters!$1:$1,0)+1),MATCH(AE$1,[3]characters!$1:$1,0)-MATCH("character_id",[3]characters!$1:$1,0)+1,FALSE)</f>
        <v>Drop1S</v>
      </c>
      <c r="AF53" s="7">
        <v>5</v>
      </c>
      <c r="AG53" s="26">
        <f t="shared" ca="1" si="3"/>
        <v>2</v>
      </c>
      <c r="AH53" s="8">
        <v>20</v>
      </c>
      <c r="AI53" s="7">
        <v>0</v>
      </c>
      <c r="AJ53" s="7">
        <v>0</v>
      </c>
      <c r="AK53" s="7">
        <v>0</v>
      </c>
      <c r="AL53" s="7">
        <v>0</v>
      </c>
      <c r="AM53" s="7">
        <v>1</v>
      </c>
    </row>
    <row r="54" spans="1:39" ht="21" customHeight="1" x14ac:dyDescent="0.15">
      <c r="A54" s="18" t="str">
        <f t="shared" ca="1" si="56"/>
        <v>22_2-4/37&lt;lv42&gt;s3</v>
      </c>
      <c r="B54" s="50">
        <v>22</v>
      </c>
      <c r="C54" s="49">
        <v>2</v>
      </c>
      <c r="D54" s="2" t="str">
        <f t="shared" si="57"/>
        <v>22_2</v>
      </c>
      <c r="E54" s="2" t="str">
        <f t="shared" si="57"/>
        <v>2_22_2</v>
      </c>
      <c r="F54" s="4" t="str">
        <f ca="1">VLOOKUP($D54,OFFSET([1]stages!$A$1,0,0,COUNTA([1]stages!$A:$A),MATCH(F$1,[1]stages!$2:$2,0)-MATCH($D$1,[1]stages!$2:$2,0)+1),MATCH(F$1,[1]stages!$2:$2,0)-MATCH($D$1,[1]stages!$2:$2,0)+1,FALSE)</f>
        <v>22-2．排他的な案内人</v>
      </c>
      <c r="G54" s="57">
        <v>4</v>
      </c>
      <c r="H54" s="17" t="str">
        <f t="shared" si="58"/>
        <v>22_2-4</v>
      </c>
      <c r="I54" s="17"/>
      <c r="J54" s="17"/>
      <c r="K54" s="65" t="s">
        <v>56</v>
      </c>
      <c r="L54" s="52">
        <v>37</v>
      </c>
      <c r="M54" s="21" t="str">
        <f ca="1">VLOOKUP($L54,OFFSET([2]enemies!$A$1,0,0,COUNTA([2]enemies!$A:$A),MATCH(M$1,[2]enemies!$1:$1,0)-MATCH($L$1,[2]enemies!$1:$1,0)+1),MATCH(M$1,[2]enemies!$1:$1,0)-MATCH($L$1,[2]enemies!$1:$1,0)+1,FALSE)</f>
        <v>ガイル</v>
      </c>
      <c r="N54" s="21" t="str">
        <f ca="1">VLOOKUP($L54,OFFSET([2]enemies!$A$1,0,0,COUNTA([2]enemies!$A:$A),MATCH(N$1,[2]enemies!$1:$1,0)-MATCH($L$1,[2]enemies!$1:$1,0)+1),MATCH(N$1,[2]enemies!$1:$1,0)-MATCH($L$1,[2]enemies!$1:$1,0)+1,FALSE)</f>
        <v>blue</v>
      </c>
      <c r="O54" s="21" t="str">
        <f ca="1">VLOOKUP($L54,OFFSET([3]characters!$A$1,0,0,COUNTA([3]characters!$A:$A),MATCH(O$1,[3]characters!$1:$1,0)-MATCH($L$1,[3]characters!$1:$1,0)+1),MATCH(O$1,[3]characters!$1:$1,0)-MATCH($L$1,[3]characters!$1:$1,0)+1,FALSE)</f>
        <v>Drop1S</v>
      </c>
      <c r="P54" s="21" t="str">
        <f ca="1">VLOOKUP($L54,OFFSET([2]enemies!$A$1,0,0,COUNTA([2]enemies!$A:$A),MATCH(P$1,[2]enemies!$1:$1,0)-MATCH($L$1,[2]enemies!$1:$1,0)+1),MATCH(P$1,[2]enemies!$1:$1,0)-MATCH($L$1,[2]enemies!$1:$1,0)+1,FALSE)</f>
        <v>animal</v>
      </c>
      <c r="Q54" s="21">
        <f ca="1">VLOOKUP($L54,OFFSET([2]enemies!$A$1,0,0,COUNTA([2]enemies!$A:$A),MATCH(Q$1,[2]enemies!$1:$1,0)-MATCH($L$1,[2]enemies!$1:$1,0)+1),MATCH(Q$1,[2]enemies!$1:$1,0)-MATCH($L$1,[2]enemies!$1:$1,0)+1,FALSE)</f>
        <v>15</v>
      </c>
      <c r="R54" s="53">
        <v>42</v>
      </c>
      <c r="S54" s="27">
        <v>1</v>
      </c>
      <c r="T54" s="27">
        <v>1</v>
      </c>
      <c r="U54" s="5">
        <v>0</v>
      </c>
      <c r="V54" s="4" t="str">
        <f ca="1">VLOOKUP($W54,OFFSET([4]enemy_skill_sets!$B$1,0,0,COUNTA([4]enemy_skill_sets!$B:$B),MATCH(M$1,[4]enemy_skill_sets!$1:$1,0)-MATCH($W$1,[4]enemy_skill_sets!$1:$1,0)+2),MATCH(M$1,[4]enemy_skill_sets!$1:$1,0)-MATCH($W$1,[4]enemy_skill_sets!$1:$1,0)+2,FALSE)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54" s="4">
        <f ca="1">VLOOKUP($L54,OFFSET([2]enemies!$A$1,0,0,COUNTA([2]enemies!$A:$A),MATCH(W$1,[2]enemies!$1:$1,0)-MATCH($L$1,[2]enemies!$1:$1,0)+1),MATCH(W$1,[2]enemies!$1:$1,0)-MATCH($L$1,[2]enemies!$1:$1,0)+1,FALSE)</f>
        <v>37</v>
      </c>
      <c r="X54" s="6">
        <v>0</v>
      </c>
      <c r="Y54" s="6">
        <v>100</v>
      </c>
      <c r="Z54" s="6">
        <v>0</v>
      </c>
      <c r="AA54" s="4">
        <f ca="1">VLOOKUP($L54,OFFSET([2]enemies!$A$1,0,0,COUNTA([2]enemies!$A:$A),MATCH(AA$1,[2]enemies!$1:$1,0)-MATCH($L$1,[2]enemies!$1:$1,0)+1),MATCH(AA$1,[2]enemies!$1:$1,0)-MATCH($L$1,[2]enemies!$1:$1,0)+1,FALSE)</f>
        <v>3</v>
      </c>
      <c r="AB54" s="52">
        <v>37</v>
      </c>
      <c r="AC54" s="4" t="str">
        <f ca="1">VLOOKUP($AB54,OFFSET([3]characters!$A$1,0,0,COUNTA([3]characters!$A:$A),MATCH(AC$1,[3]characters!$1:$1,0)-MATCH("character_id",[3]characters!$1:$1,0)+1),MATCH(AC$1,[3]characters!$1:$1,0)-MATCH("character_id",[3]characters!$1:$1,0)+1,FALSE)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54" s="4">
        <f ca="1">VLOOKUP($AB54,OFFSET([3]characters!$A$1,0,0,COUNTA([3]characters!$A:$A),MATCH(AD$1,[3]characters!$1:$1,0)-MATCH("character_id",[3]characters!$1:$1,0)+1),MATCH(AD$1,[3]characters!$1:$1,0)-MATCH("character_id",[3]characters!$1:$1,0)+1,FALSE)</f>
        <v>2</v>
      </c>
      <c r="AE54" s="4" t="str">
        <f ca="1">VLOOKUP($AB54,OFFSET([3]characters!$A$1,0,0,COUNTA([3]characters!$A:$A),MATCH(AE$1,[3]characters!$1:$1,0)-MATCH("character_id",[3]characters!$1:$1,0)+1),MATCH(AE$1,[3]characters!$1:$1,0)-MATCH("character_id",[3]characters!$1:$1,0)+1,FALSE)</f>
        <v>Drop1S</v>
      </c>
      <c r="AF54" s="7">
        <v>5</v>
      </c>
      <c r="AG54" s="26">
        <f t="shared" ca="1" si="3"/>
        <v>2</v>
      </c>
      <c r="AH54" s="8">
        <v>20</v>
      </c>
      <c r="AI54" s="7">
        <v>0</v>
      </c>
      <c r="AJ54" s="7">
        <v>0</v>
      </c>
      <c r="AK54" s="7">
        <v>0</v>
      </c>
      <c r="AL54" s="7">
        <v>0</v>
      </c>
      <c r="AM54" s="7">
        <v>1</v>
      </c>
    </row>
    <row r="55" spans="1:39" ht="21" customHeight="1" x14ac:dyDescent="0.15">
      <c r="A55" s="18" t="str">
        <f t="shared" ca="1" si="56"/>
        <v>22_2-4/45&lt;lv42&gt;s3</v>
      </c>
      <c r="B55" s="50">
        <v>22</v>
      </c>
      <c r="C55" s="49">
        <v>2</v>
      </c>
      <c r="D55" s="2" t="str">
        <f t="shared" si="57"/>
        <v>22_2</v>
      </c>
      <c r="E55" s="2" t="str">
        <f t="shared" si="57"/>
        <v>2_22_2</v>
      </c>
      <c r="F55" s="4" t="str">
        <f ca="1">VLOOKUP($D55,OFFSET([1]stages!$A$1,0,0,COUNTA([1]stages!$A:$A),MATCH(F$1,[1]stages!$2:$2,0)-MATCH($D$1,[1]stages!$2:$2,0)+1),MATCH(F$1,[1]stages!$2:$2,0)-MATCH($D$1,[1]stages!$2:$2,0)+1,FALSE)</f>
        <v>22-2．排他的な案内人</v>
      </c>
      <c r="G55" s="57">
        <v>4</v>
      </c>
      <c r="H55" s="17" t="str">
        <f t="shared" si="58"/>
        <v>22_2-4</v>
      </c>
      <c r="I55" s="17"/>
      <c r="J55" s="17"/>
      <c r="K55" s="65" t="s">
        <v>56</v>
      </c>
      <c r="L55" s="52">
        <v>45</v>
      </c>
      <c r="M55" s="21" t="str">
        <f ca="1">VLOOKUP($L55,OFFSET([2]enemies!$A$1,0,0,COUNTA([2]enemies!$A:$A),MATCH(M$1,[2]enemies!$1:$1,0)-MATCH($L$1,[2]enemies!$1:$1,0)+1),MATCH(M$1,[2]enemies!$1:$1,0)-MATCH($L$1,[2]enemies!$1:$1,0)+1,FALSE)</f>
        <v>ショウイン</v>
      </c>
      <c r="N55" s="21" t="str">
        <f ca="1">VLOOKUP($L55,OFFSET([2]enemies!$A$1,0,0,COUNTA([2]enemies!$A:$A),MATCH(N$1,[2]enemies!$1:$1,0)-MATCH($L$1,[2]enemies!$1:$1,0)+1),MATCH(N$1,[2]enemies!$1:$1,0)-MATCH($L$1,[2]enemies!$1:$1,0)+1,FALSE)</f>
        <v>blue</v>
      </c>
      <c r="O55" s="21" t="str">
        <f ca="1">VLOOKUP($L55,OFFSET([3]characters!$A$1,0,0,COUNTA([3]characters!$A:$A),MATCH(O$1,[3]characters!$1:$1,0)-MATCH($L$1,[3]characters!$1:$1,0)+1),MATCH(O$1,[3]characters!$1:$1,0)-MATCH($L$1,[3]characters!$1:$1,0)+1,FALSE)</f>
        <v>Drop1N</v>
      </c>
      <c r="P55" s="21" t="str">
        <f ca="1">VLOOKUP($L55,OFFSET([2]enemies!$A$1,0,0,COUNTA([2]enemies!$A:$A),MATCH(P$1,[2]enemies!$1:$1,0)-MATCH($L$1,[2]enemies!$1:$1,0)+1),MATCH(P$1,[2]enemies!$1:$1,0)-MATCH($L$1,[2]enemies!$1:$1,0)+1,FALSE)</f>
        <v>animal</v>
      </c>
      <c r="Q55" s="21">
        <f ca="1">VLOOKUP($L55,OFFSET([2]enemies!$A$1,0,0,COUNTA([2]enemies!$A:$A),MATCH(Q$1,[2]enemies!$1:$1,0)-MATCH($L$1,[2]enemies!$1:$1,0)+1),MATCH(Q$1,[2]enemies!$1:$1,0)-MATCH($L$1,[2]enemies!$1:$1,0)+1,FALSE)</f>
        <v>15</v>
      </c>
      <c r="R55" s="53">
        <v>42</v>
      </c>
      <c r="S55" s="27">
        <v>1</v>
      </c>
      <c r="T55" s="27">
        <v>1</v>
      </c>
      <c r="U55" s="5">
        <v>0</v>
      </c>
      <c r="V55" s="4" t="str">
        <f ca="1">VLOOKUP($W55,OFFSET([4]enemy_skill_sets!$B$1,0,0,COUNTA([4]enemy_skill_sets!$B:$B),MATCH(M$1,[4]enemy_skill_sets!$1:$1,0)-MATCH($W$1,[4]enemy_skill_sets!$1:$1,0)+2),MATCH(M$1,[4]enemy_skill_sets!$1:$1,0)-MATCH($W$1,[4]enemy_skill_sets!$1:$1,0)+2,FALSE)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5" s="4">
        <f ca="1">VLOOKUP($L55,OFFSET([2]enemies!$A$1,0,0,COUNTA([2]enemies!$A:$A),MATCH(W$1,[2]enemies!$1:$1,0)-MATCH($L$1,[2]enemies!$1:$1,0)+1),MATCH(W$1,[2]enemies!$1:$1,0)-MATCH($L$1,[2]enemies!$1:$1,0)+1,FALSE)</f>
        <v>0</v>
      </c>
      <c r="X55" s="6">
        <v>0</v>
      </c>
      <c r="Y55" s="6">
        <v>100</v>
      </c>
      <c r="Z55" s="6">
        <v>0</v>
      </c>
      <c r="AA55" s="4">
        <f ca="1">VLOOKUP($L55,OFFSET([2]enemies!$A$1,0,0,COUNTA([2]enemies!$A:$A),MATCH(AA$1,[2]enemies!$1:$1,0)-MATCH($L$1,[2]enemies!$1:$1,0)+1),MATCH(AA$1,[2]enemies!$1:$1,0)-MATCH($L$1,[2]enemies!$1:$1,0)+1,FALSE)</f>
        <v>3</v>
      </c>
      <c r="AB55" s="52">
        <v>45</v>
      </c>
      <c r="AC55" s="4" t="str">
        <f ca="1">VLOOKUP($AB55,OFFSET([3]characters!$A$1,0,0,COUNTA([3]characters!$A:$A),MATCH(AC$1,[3]characters!$1:$1,0)-MATCH("character_id",[3]characters!$1:$1,0)+1),MATCH(AC$1,[3]characters!$1:$1,0)-MATCH("character_id",[3]characters!$1:$1,0)+1,FALSE)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55" s="4">
        <f ca="1">VLOOKUP($AB55,OFFSET([3]characters!$A$1,0,0,COUNTA([3]characters!$A:$A),MATCH(AD$1,[3]characters!$1:$1,0)-MATCH("character_id",[3]characters!$1:$1,0)+1),MATCH(AD$1,[3]characters!$1:$1,0)-MATCH("character_id",[3]characters!$1:$1,0)+1,FALSE)</f>
        <v>2</v>
      </c>
      <c r="AE55" s="4" t="str">
        <f ca="1">VLOOKUP($AB55,OFFSET([3]characters!$A$1,0,0,COUNTA([3]characters!$A:$A),MATCH(AE$1,[3]characters!$1:$1,0)-MATCH("character_id",[3]characters!$1:$1,0)+1),MATCH(AE$1,[3]characters!$1:$1,0)-MATCH("character_id",[3]characters!$1:$1,0)+1,FALSE)</f>
        <v>Drop1N</v>
      </c>
      <c r="AF55" s="7">
        <v>7</v>
      </c>
      <c r="AG55" s="26">
        <f t="shared" ca="1" si="3"/>
        <v>2</v>
      </c>
      <c r="AH55" s="8">
        <v>20</v>
      </c>
      <c r="AI55" s="7">
        <v>0</v>
      </c>
      <c r="AJ55" s="7">
        <v>0</v>
      </c>
      <c r="AK55" s="7">
        <v>0</v>
      </c>
      <c r="AL55" s="7">
        <v>0</v>
      </c>
      <c r="AM55" s="7">
        <v>1</v>
      </c>
    </row>
    <row r="56" spans="1:39" ht="21" customHeight="1" x14ac:dyDescent="0.15">
      <c r="A56" s="18" t="str">
        <f t="shared" ca="1" si="56"/>
        <v>22_2-4/57&lt;lv42&gt;s2</v>
      </c>
      <c r="B56" s="50">
        <v>22</v>
      </c>
      <c r="C56" s="49">
        <v>2</v>
      </c>
      <c r="D56" s="2" t="str">
        <f t="shared" si="57"/>
        <v>22_2</v>
      </c>
      <c r="E56" s="2" t="str">
        <f t="shared" si="57"/>
        <v>2_22_2</v>
      </c>
      <c r="F56" s="4" t="str">
        <f ca="1">VLOOKUP($D56,OFFSET([1]stages!$A$1,0,0,COUNTA([1]stages!$A:$A),MATCH(F$1,[1]stages!$2:$2,0)-MATCH($D$1,[1]stages!$2:$2,0)+1),MATCH(F$1,[1]stages!$2:$2,0)-MATCH($D$1,[1]stages!$2:$2,0)+1,FALSE)</f>
        <v>22-2．排他的な案内人</v>
      </c>
      <c r="G56" s="57">
        <v>4</v>
      </c>
      <c r="H56" s="17" t="str">
        <f t="shared" si="58"/>
        <v>22_2-4</v>
      </c>
      <c r="I56" s="17"/>
      <c r="J56" s="17"/>
      <c r="K56" s="65" t="s">
        <v>56</v>
      </c>
      <c r="L56" s="52">
        <v>57</v>
      </c>
      <c r="M56" s="21" t="str">
        <f ca="1">VLOOKUP($L56,OFFSET([2]enemies!$A$1,0,0,COUNTA([2]enemies!$A:$A),MATCH(M$1,[2]enemies!$1:$1,0)-MATCH($L$1,[2]enemies!$1:$1,0)+1),MATCH(M$1,[2]enemies!$1:$1,0)-MATCH($L$1,[2]enemies!$1:$1,0)+1,FALSE)</f>
        <v>チェン・リー</v>
      </c>
      <c r="N56" s="21" t="str">
        <f ca="1">VLOOKUP($L56,OFFSET([2]enemies!$A$1,0,0,COUNTA([2]enemies!$A:$A),MATCH(N$1,[2]enemies!$1:$1,0)-MATCH($L$1,[2]enemies!$1:$1,0)+1),MATCH(N$1,[2]enemies!$1:$1,0)-MATCH($L$1,[2]enemies!$1:$1,0)+1,FALSE)</f>
        <v>red</v>
      </c>
      <c r="O56" s="21" t="str">
        <f ca="1">VLOOKUP($L56,OFFSET([3]characters!$A$1,0,0,COUNTA([3]characters!$A:$A),MATCH(O$1,[3]characters!$1:$1,0)-MATCH($L$1,[3]characters!$1:$1,0)+1),MATCH(O$1,[3]characters!$1:$1,0)-MATCH($L$1,[3]characters!$1:$1,0)+1,FALSE)</f>
        <v>Drop1N</v>
      </c>
      <c r="P56" s="21" t="str">
        <f ca="1">VLOOKUP($L56,OFFSET([2]enemies!$A$1,0,0,COUNTA([2]enemies!$A:$A),MATCH(P$1,[2]enemies!$1:$1,0)-MATCH($L$1,[2]enemies!$1:$1,0)+1),MATCH(P$1,[2]enemies!$1:$1,0)-MATCH($L$1,[2]enemies!$1:$1,0)+1,FALSE)</f>
        <v>animal</v>
      </c>
      <c r="Q56" s="21">
        <f ca="1">VLOOKUP($L56,OFFSET([2]enemies!$A$1,0,0,COUNTA([2]enemies!$A:$A),MATCH(Q$1,[2]enemies!$1:$1,0)-MATCH($L$1,[2]enemies!$1:$1,0)+1),MATCH(Q$1,[2]enemies!$1:$1,0)-MATCH($L$1,[2]enemies!$1:$1,0)+1,FALSE)</f>
        <v>15</v>
      </c>
      <c r="R56" s="53">
        <v>42</v>
      </c>
      <c r="S56" s="27">
        <v>1</v>
      </c>
      <c r="T56" s="27">
        <v>1</v>
      </c>
      <c r="U56" s="5">
        <v>0</v>
      </c>
      <c r="V56" s="4" t="str">
        <f ca="1">VLOOKUP($W56,OFFSET([4]enemy_skill_sets!$B$1,0,0,COUNTA([4]enemy_skill_sets!$B:$B),MATCH(M$1,[4]enemy_skill_sets!$1:$1,0)-MATCH($W$1,[4]enemy_skill_sets!$1:$1,0)+2),MATCH(M$1,[4]enemy_skill_sets!$1:$1,0)-MATCH($W$1,[4]enemy_skill_sets!$1:$1,0)+2,FALSE)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56" s="4">
        <f ca="1">VLOOKUP($L56,OFFSET([2]enemies!$A$1,0,0,COUNTA([2]enemies!$A:$A),MATCH(W$1,[2]enemies!$1:$1,0)-MATCH($L$1,[2]enemies!$1:$1,0)+1),MATCH(W$1,[2]enemies!$1:$1,0)-MATCH($L$1,[2]enemies!$1:$1,0)+1,FALSE)</f>
        <v>57</v>
      </c>
      <c r="X56" s="6">
        <v>0</v>
      </c>
      <c r="Y56" s="6">
        <v>100</v>
      </c>
      <c r="Z56" s="6">
        <v>0</v>
      </c>
      <c r="AA56" s="4">
        <f ca="1">VLOOKUP($L56,OFFSET([2]enemies!$A$1,0,0,COUNTA([2]enemies!$A:$A),MATCH(AA$1,[2]enemies!$1:$1,0)-MATCH($L$1,[2]enemies!$1:$1,0)+1),MATCH(AA$1,[2]enemies!$1:$1,0)-MATCH($L$1,[2]enemies!$1:$1,0)+1,FALSE)</f>
        <v>2</v>
      </c>
      <c r="AB56" s="52">
        <v>57</v>
      </c>
      <c r="AC56" s="4" t="str">
        <f ca="1">VLOOKUP($AB56,OFFSET([3]characters!$A$1,0,0,COUNTA([3]characters!$A:$A),MATCH(AC$1,[3]characters!$1:$1,0)-MATCH("character_id",[3]characters!$1:$1,0)+1),MATCH(AC$1,[3]characters!$1:$1,0)-MATCH("character_id",[3]characters!$1:$1,0)+1,FALSE)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56" s="4">
        <f ca="1">VLOOKUP($AB56,OFFSET([3]characters!$A$1,0,0,COUNTA([3]characters!$A:$A),MATCH(AD$1,[3]characters!$1:$1,0)-MATCH("character_id",[3]characters!$1:$1,0)+1),MATCH(AD$1,[3]characters!$1:$1,0)-MATCH("character_id",[3]characters!$1:$1,0)+1,FALSE)</f>
        <v>2</v>
      </c>
      <c r="AE56" s="4" t="str">
        <f ca="1">VLOOKUP($AB56,OFFSET([3]characters!$A$1,0,0,COUNTA([3]characters!$A:$A),MATCH(AE$1,[3]characters!$1:$1,0)-MATCH("character_id",[3]characters!$1:$1,0)+1),MATCH(AE$1,[3]characters!$1:$1,0)-MATCH("character_id",[3]characters!$1:$1,0)+1,FALSE)</f>
        <v>Drop1N</v>
      </c>
      <c r="AF56" s="7">
        <v>7</v>
      </c>
      <c r="AG56" s="26">
        <f t="shared" ca="1" si="3"/>
        <v>2</v>
      </c>
      <c r="AH56" s="8">
        <v>20</v>
      </c>
      <c r="AI56" s="7">
        <v>0</v>
      </c>
      <c r="AJ56" s="7">
        <v>0</v>
      </c>
      <c r="AK56" s="7">
        <v>0</v>
      </c>
      <c r="AL56" s="7">
        <v>0</v>
      </c>
      <c r="AM56" s="7">
        <v>1</v>
      </c>
    </row>
    <row r="57" spans="1:39" ht="21" customHeight="1" x14ac:dyDescent="0.15">
      <c r="A57" s="18" t="str">
        <f t="shared" ca="1" si="56"/>
        <v>22_2-4/61&lt;lv42&gt;s2</v>
      </c>
      <c r="B57" s="50">
        <v>22</v>
      </c>
      <c r="C57" s="49">
        <v>2</v>
      </c>
      <c r="D57" s="2" t="str">
        <f t="shared" si="57"/>
        <v>22_2</v>
      </c>
      <c r="E57" s="2" t="str">
        <f t="shared" si="57"/>
        <v>2_22_2</v>
      </c>
      <c r="F57" s="4" t="str">
        <f ca="1">VLOOKUP($D57,OFFSET([1]stages!$A$1,0,0,COUNTA([1]stages!$A:$A),MATCH(F$1,[1]stages!$2:$2,0)-MATCH($D$1,[1]stages!$2:$2,0)+1),MATCH(F$1,[1]stages!$2:$2,0)-MATCH($D$1,[1]stages!$2:$2,0)+1,FALSE)</f>
        <v>22-2．排他的な案内人</v>
      </c>
      <c r="G57" s="57">
        <v>4</v>
      </c>
      <c r="H57" s="17" t="str">
        <f t="shared" si="58"/>
        <v>22_2-4</v>
      </c>
      <c r="I57" s="17"/>
      <c r="J57" s="17"/>
      <c r="K57" s="65" t="s">
        <v>56</v>
      </c>
      <c r="L57" s="52">
        <v>61</v>
      </c>
      <c r="M57" s="21" t="str">
        <f ca="1">VLOOKUP($L57,OFFSET([2]enemies!$A$1,0,0,COUNTA([2]enemies!$A:$A),MATCH(M$1,[2]enemies!$1:$1,0)-MATCH($L$1,[2]enemies!$1:$1,0)+1),MATCH(M$1,[2]enemies!$1:$1,0)-MATCH($L$1,[2]enemies!$1:$1,0)+1,FALSE)</f>
        <v>クロウ</v>
      </c>
      <c r="N57" s="21" t="str">
        <f ca="1">VLOOKUP($L57,OFFSET([2]enemies!$A$1,0,0,COUNTA([2]enemies!$A:$A),MATCH(N$1,[2]enemies!$1:$1,0)-MATCH($L$1,[2]enemies!$1:$1,0)+1),MATCH(N$1,[2]enemies!$1:$1,0)-MATCH($L$1,[2]enemies!$1:$1,0)+1,FALSE)</f>
        <v>blue</v>
      </c>
      <c r="O57" s="21" t="str">
        <f ca="1">VLOOKUP($L57,OFFSET([3]characters!$A$1,0,0,COUNTA([3]characters!$A:$A),MATCH(O$1,[3]characters!$1:$1,0)-MATCH($L$1,[3]characters!$1:$1,0)+1),MATCH(O$1,[3]characters!$1:$1,0)-MATCH($L$1,[3]characters!$1:$1,0)+1,FALSE)</f>
        <v>Drop1N</v>
      </c>
      <c r="P57" s="21" t="str">
        <f ca="1">VLOOKUP($L57,OFFSET([2]enemies!$A$1,0,0,COUNTA([2]enemies!$A:$A),MATCH(P$1,[2]enemies!$1:$1,0)-MATCH($L$1,[2]enemies!$1:$1,0)+1),MATCH(P$1,[2]enemies!$1:$1,0)-MATCH($L$1,[2]enemies!$1:$1,0)+1,FALSE)</f>
        <v>animal</v>
      </c>
      <c r="Q57" s="21">
        <f ca="1">VLOOKUP($L57,OFFSET([2]enemies!$A$1,0,0,COUNTA([2]enemies!$A:$A),MATCH(Q$1,[2]enemies!$1:$1,0)-MATCH($L$1,[2]enemies!$1:$1,0)+1),MATCH(Q$1,[2]enemies!$1:$1,0)-MATCH($L$1,[2]enemies!$1:$1,0)+1,FALSE)</f>
        <v>15</v>
      </c>
      <c r="R57" s="53">
        <v>42</v>
      </c>
      <c r="S57" s="27">
        <v>1</v>
      </c>
      <c r="T57" s="27">
        <v>1</v>
      </c>
      <c r="U57" s="5">
        <v>0</v>
      </c>
      <c r="V57" s="4" t="str">
        <f ca="1">VLOOKUP($W57,OFFSET([4]enemy_skill_sets!$B$1,0,0,COUNTA([4]enemy_skill_sets!$B:$B),MATCH(M$1,[4]enemy_skill_sets!$1:$1,0)-MATCH($W$1,[4]enemy_skill_sets!$1:$1,0)+2),MATCH(M$1,[4]enemy_skill_sets!$1:$1,0)-MATCH($W$1,[4]enemy_skill_sets!$1:$1,0)+2,FALSE)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7" s="4">
        <f ca="1">VLOOKUP($L57,OFFSET([2]enemies!$A$1,0,0,COUNTA([2]enemies!$A:$A),MATCH(W$1,[2]enemies!$1:$1,0)-MATCH($L$1,[2]enemies!$1:$1,0)+1),MATCH(W$1,[2]enemies!$1:$1,0)-MATCH($L$1,[2]enemies!$1:$1,0)+1,FALSE)</f>
        <v>61</v>
      </c>
      <c r="X57" s="6">
        <v>0</v>
      </c>
      <c r="Y57" s="6">
        <v>100</v>
      </c>
      <c r="Z57" s="6">
        <v>0</v>
      </c>
      <c r="AA57" s="4">
        <f ca="1">VLOOKUP($L57,OFFSET([2]enemies!$A$1,0,0,COUNTA([2]enemies!$A:$A),MATCH(AA$1,[2]enemies!$1:$1,0)-MATCH($L$1,[2]enemies!$1:$1,0)+1),MATCH(AA$1,[2]enemies!$1:$1,0)-MATCH($L$1,[2]enemies!$1:$1,0)+1,FALSE)</f>
        <v>2</v>
      </c>
      <c r="AB57" s="52">
        <v>61</v>
      </c>
      <c r="AC57" s="4" t="str">
        <f ca="1">VLOOKUP($AB57,OFFSET([3]characters!$A$1,0,0,COUNTA([3]characters!$A:$A),MATCH(AC$1,[3]characters!$1:$1,0)-MATCH("character_id",[3]characters!$1:$1,0)+1),MATCH(AC$1,[3]characters!$1:$1,0)-MATCH("character_id",[3]characters!$1:$1,0)+1,FALSE)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57" s="4">
        <f ca="1">VLOOKUP($AB57,OFFSET([3]characters!$A$1,0,0,COUNTA([3]characters!$A:$A),MATCH(AD$1,[3]characters!$1:$1,0)-MATCH("character_id",[3]characters!$1:$1,0)+1),MATCH(AD$1,[3]characters!$1:$1,0)-MATCH("character_id",[3]characters!$1:$1,0)+1,FALSE)</f>
        <v>2</v>
      </c>
      <c r="AE57" s="4" t="str">
        <f ca="1">VLOOKUP($AB57,OFFSET([3]characters!$A$1,0,0,COUNTA([3]characters!$A:$A),MATCH(AE$1,[3]characters!$1:$1,0)-MATCH("character_id",[3]characters!$1:$1,0)+1),MATCH(AE$1,[3]characters!$1:$1,0)-MATCH("character_id",[3]characters!$1:$1,0)+1,FALSE)</f>
        <v>Drop1N</v>
      </c>
      <c r="AF57" s="7">
        <v>7</v>
      </c>
      <c r="AG57" s="26">
        <f t="shared" ca="1" si="3"/>
        <v>2</v>
      </c>
      <c r="AH57" s="8">
        <v>20</v>
      </c>
      <c r="AI57" s="7">
        <v>0</v>
      </c>
      <c r="AJ57" s="7">
        <v>0</v>
      </c>
      <c r="AK57" s="7">
        <v>0</v>
      </c>
      <c r="AL57" s="7">
        <v>0</v>
      </c>
      <c r="AM57" s="7">
        <v>1</v>
      </c>
    </row>
    <row r="58" spans="1:39" ht="21" customHeight="1" x14ac:dyDescent="0.15">
      <c r="A58" s="18" t="str">
        <f t="shared" ref="A58:A59" ca="1" si="67">B58&amp;"_"&amp;C58&amp;"-"&amp;G58&amp;"/"&amp;L58&amp;"&lt;lv"&amp;R58&amp;"&gt;s"&amp;AA58</f>
        <v>22_2-4/360&lt;lv42&gt;s3</v>
      </c>
      <c r="B58" s="53">
        <v>22</v>
      </c>
      <c r="C58" s="51">
        <v>2</v>
      </c>
      <c r="D58" s="2" t="str">
        <f t="shared" ref="D58:D59" si="68">B58&amp;"_"&amp;C58</f>
        <v>22_2</v>
      </c>
      <c r="E58" s="2" t="str">
        <f t="shared" ref="E58:E59" si="69">C58&amp;"_"&amp;D58</f>
        <v>2_22_2</v>
      </c>
      <c r="F58" s="4" t="str">
        <f ca="1">VLOOKUP($D58,OFFSET([1]stages!$A$1,0,0,COUNTA([1]stages!$A:$A),MATCH(F$1,[1]stages!$2:$2,0)-MATCH($D$1,[1]stages!$2:$2,0)+1),MATCH(F$1,[1]stages!$2:$2,0)-MATCH($D$1,[1]stages!$2:$2,0)+1,FALSE)</f>
        <v>22-2．排他的な案内人</v>
      </c>
      <c r="G58" s="57">
        <v>4</v>
      </c>
      <c r="H58" s="17" t="str">
        <f t="shared" ref="H58:H59" si="70">B58&amp;"_"&amp;C58&amp;"-"&amp;G58</f>
        <v>22_2-4</v>
      </c>
      <c r="I58" s="17"/>
      <c r="J58" s="17"/>
      <c r="K58" s="65" t="s">
        <v>56</v>
      </c>
      <c r="L58" s="52">
        <v>360</v>
      </c>
      <c r="M58" s="21" t="str">
        <f ca="1">VLOOKUP($L58,OFFSET([2]enemies!$A$1,0,0,COUNTA([2]enemies!$A:$A),MATCH(M$1,[2]enemies!$1:$1,0)-MATCH($L$1,[2]enemies!$1:$1,0)+1),MATCH(M$1,[2]enemies!$1:$1,0)-MATCH($L$1,[2]enemies!$1:$1,0)+1,FALSE)</f>
        <v>ガンテツ</v>
      </c>
      <c r="N58" s="21" t="str">
        <f ca="1">VLOOKUP($L58,OFFSET([2]enemies!$A$1,0,0,COUNTA([2]enemies!$A:$A),MATCH(N$1,[2]enemies!$1:$1,0)-MATCH($L$1,[2]enemies!$1:$1,0)+1),MATCH(N$1,[2]enemies!$1:$1,0)-MATCH($L$1,[2]enemies!$1:$1,0)+1,FALSE)</f>
        <v>red</v>
      </c>
      <c r="O58" s="21" t="str">
        <f ca="1">VLOOKUP($L58,OFFSET([3]characters!$A$1,0,0,COUNTA([3]characters!$A:$A),MATCH(O$1,[3]characters!$1:$1,0)-MATCH($L$1,[3]characters!$1:$1,0)+1),MATCH(O$1,[3]characters!$1:$1,0)-MATCH($L$1,[3]characters!$1:$1,0)+1,FALSE)</f>
        <v>Drop1S</v>
      </c>
      <c r="P58" s="21" t="str">
        <f ca="1">VLOOKUP($L58,OFFSET([2]enemies!$A$1,0,0,COUNTA([2]enemies!$A:$A),MATCH(P$1,[2]enemies!$1:$1,0)-MATCH($L$1,[2]enemies!$1:$1,0)+1),MATCH(P$1,[2]enemies!$1:$1,0)-MATCH($L$1,[2]enemies!$1:$1,0)+1,FALSE)</f>
        <v>animal</v>
      </c>
      <c r="Q58" s="21">
        <f ca="1">VLOOKUP($L58,OFFSET([2]enemies!$A$1,0,0,COUNTA([2]enemies!$A:$A),MATCH(Q$1,[2]enemies!$1:$1,0)-MATCH($L$1,[2]enemies!$1:$1,0)+1),MATCH(Q$1,[2]enemies!$1:$1,0)-MATCH($L$1,[2]enemies!$1:$1,0)+1,FALSE)</f>
        <v>15</v>
      </c>
      <c r="R58" s="53">
        <v>42</v>
      </c>
      <c r="S58" s="27">
        <v>1</v>
      </c>
      <c r="T58" s="27">
        <v>1</v>
      </c>
      <c r="U58" s="5">
        <v>0</v>
      </c>
      <c r="V58" s="4" t="str">
        <f ca="1">VLOOKUP($W58,OFFSET([4]enemy_skill_sets!$B$1,0,0,COUNTA([4]enemy_skill_sets!$B:$B),MATCH(M$1,[4]enemy_skill_sets!$1:$1,0)-MATCH($W$1,[4]enemy_skill_sets!$1:$1,0)+2),MATCH(M$1,[4]enemy_skill_sets!$1:$1,0)-MATCH($W$1,[4]enemy_skill_sets!$1:$1,0)+2,FALSE)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58" s="76">
        <v>360</v>
      </c>
      <c r="X58" s="6">
        <v>0</v>
      </c>
      <c r="Y58" s="6">
        <v>100</v>
      </c>
      <c r="Z58" s="6">
        <v>0</v>
      </c>
      <c r="AA58" s="4">
        <f ca="1">VLOOKUP($L58,OFFSET([2]enemies!$A$1,0,0,COUNTA([2]enemies!$A:$A),MATCH(AA$1,[2]enemies!$1:$1,0)-MATCH($L$1,[2]enemies!$1:$1,0)+1),MATCH(AA$1,[2]enemies!$1:$1,0)-MATCH($L$1,[2]enemies!$1:$1,0)+1,FALSE)</f>
        <v>3</v>
      </c>
      <c r="AB58" s="52">
        <v>360</v>
      </c>
      <c r="AC58" s="4" t="str">
        <f ca="1">VLOOKUP($AB58,OFFSET([3]characters!$A$1,0,0,COUNTA([3]characters!$A:$A),MATCH(AC$1,[3]characters!$1:$1,0)-MATCH("character_id",[3]characters!$1:$1,0)+1),MATCH(AC$1,[3]characters!$1:$1,0)-MATCH("character_id",[3]characters!$1:$1,0)+1,FALSE)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58" s="4">
        <f ca="1">VLOOKUP($AB58,OFFSET([3]characters!$A$1,0,0,COUNTA([3]characters!$A:$A),MATCH(AD$1,[3]characters!$1:$1,0)-MATCH("character_id",[3]characters!$1:$1,0)+1),MATCH(AD$1,[3]characters!$1:$1,0)-MATCH("character_id",[3]characters!$1:$1,0)+1,FALSE)</f>
        <v>2</v>
      </c>
      <c r="AE58" s="4" t="str">
        <f ca="1">VLOOKUP($AB58,OFFSET([3]characters!$A$1,0,0,COUNTA([3]characters!$A:$A),MATCH(AE$1,[3]characters!$1:$1,0)-MATCH("character_id",[3]characters!$1:$1,0)+1),MATCH(AE$1,[3]characters!$1:$1,0)-MATCH("character_id",[3]characters!$1:$1,0)+1,FALSE)</f>
        <v>Drop1S</v>
      </c>
      <c r="AF58" s="7">
        <v>7</v>
      </c>
      <c r="AG58" s="26">
        <f t="shared" ca="1" si="3"/>
        <v>2</v>
      </c>
      <c r="AH58" s="8">
        <v>20</v>
      </c>
      <c r="AI58" s="7">
        <v>0</v>
      </c>
      <c r="AJ58" s="7">
        <v>0</v>
      </c>
      <c r="AK58" s="7">
        <v>0</v>
      </c>
      <c r="AL58" s="7">
        <v>0</v>
      </c>
      <c r="AM58" s="7">
        <v>1</v>
      </c>
    </row>
    <row r="59" spans="1:39" ht="21" customHeight="1" x14ac:dyDescent="0.15">
      <c r="A59" s="18" t="str">
        <f t="shared" ca="1" si="67"/>
        <v>22_2-4/364&lt;lv42&gt;s3</v>
      </c>
      <c r="B59" s="53">
        <v>22</v>
      </c>
      <c r="C59" s="51">
        <v>2</v>
      </c>
      <c r="D59" s="2" t="str">
        <f t="shared" si="68"/>
        <v>22_2</v>
      </c>
      <c r="E59" s="2" t="str">
        <f t="shared" si="69"/>
        <v>2_22_2</v>
      </c>
      <c r="F59" s="4" t="str">
        <f ca="1">VLOOKUP($D59,OFFSET([1]stages!$A$1,0,0,COUNTA([1]stages!$A:$A),MATCH(F$1,[1]stages!$2:$2,0)-MATCH($D$1,[1]stages!$2:$2,0)+1),MATCH(F$1,[1]stages!$2:$2,0)-MATCH($D$1,[1]stages!$2:$2,0)+1,FALSE)</f>
        <v>22-2．排他的な案内人</v>
      </c>
      <c r="G59" s="57">
        <v>4</v>
      </c>
      <c r="H59" s="17" t="str">
        <f t="shared" si="70"/>
        <v>22_2-4</v>
      </c>
      <c r="I59" s="17"/>
      <c r="J59" s="17"/>
      <c r="K59" s="65" t="s">
        <v>56</v>
      </c>
      <c r="L59" s="52">
        <v>364</v>
      </c>
      <c r="M59" s="21" t="str">
        <f ca="1">VLOOKUP($L59,OFFSET([2]enemies!$A$1,0,0,COUNTA([2]enemies!$A:$A),MATCH(M$1,[2]enemies!$1:$1,0)-MATCH($L$1,[2]enemies!$1:$1,0)+1),MATCH(M$1,[2]enemies!$1:$1,0)-MATCH($L$1,[2]enemies!$1:$1,0)+1,FALSE)</f>
        <v>ノエル</v>
      </c>
      <c r="N59" s="21" t="str">
        <f ca="1">VLOOKUP($L59,OFFSET([2]enemies!$A$1,0,0,COUNTA([2]enemies!$A:$A),MATCH(N$1,[2]enemies!$1:$1,0)-MATCH($L$1,[2]enemies!$1:$1,0)+1),MATCH(N$1,[2]enemies!$1:$1,0)-MATCH($L$1,[2]enemies!$1:$1,0)+1,FALSE)</f>
        <v>blue</v>
      </c>
      <c r="O59" s="21" t="str">
        <f ca="1">VLOOKUP($L59,OFFSET([3]characters!$A$1,0,0,COUNTA([3]characters!$A:$A),MATCH(O$1,[3]characters!$1:$1,0)-MATCH($L$1,[3]characters!$1:$1,0)+1),MATCH(O$1,[3]characters!$1:$1,0)-MATCH($L$1,[3]characters!$1:$1,0)+1,FALSE)</f>
        <v>Drop1S</v>
      </c>
      <c r="P59" s="21" t="str">
        <f ca="1">VLOOKUP($L59,OFFSET([2]enemies!$A$1,0,0,COUNTA([2]enemies!$A:$A),MATCH(P$1,[2]enemies!$1:$1,0)-MATCH($L$1,[2]enemies!$1:$1,0)+1),MATCH(P$1,[2]enemies!$1:$1,0)-MATCH($L$1,[2]enemies!$1:$1,0)+1,FALSE)</f>
        <v>animal</v>
      </c>
      <c r="Q59" s="21">
        <f ca="1">VLOOKUP($L59,OFFSET([2]enemies!$A$1,0,0,COUNTA([2]enemies!$A:$A),MATCH(Q$1,[2]enemies!$1:$1,0)-MATCH($L$1,[2]enemies!$1:$1,0)+1),MATCH(Q$1,[2]enemies!$1:$1,0)-MATCH($L$1,[2]enemies!$1:$1,0)+1,FALSE)</f>
        <v>15</v>
      </c>
      <c r="R59" s="53">
        <v>42</v>
      </c>
      <c r="S59" s="27">
        <v>1</v>
      </c>
      <c r="T59" s="27">
        <v>1</v>
      </c>
      <c r="U59" s="5">
        <v>0</v>
      </c>
      <c r="V59" s="4" t="str">
        <f ca="1">VLOOKUP($W59,OFFSET([4]enemy_skill_sets!$B$1,0,0,COUNTA([4]enemy_skill_sets!$B:$B),MATCH(M$1,[4]enemy_skill_sets!$1:$1,0)-MATCH($W$1,[4]enemy_skill_sets!$1:$1,0)+2),MATCH(M$1,[4]enemy_skill_sets!$1:$1,0)-MATCH($W$1,[4]enemy_skill_sets!$1:$1,0)+2,FALSE)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9" s="64">
        <v>364</v>
      </c>
      <c r="X59" s="6">
        <v>0</v>
      </c>
      <c r="Y59" s="6">
        <v>100</v>
      </c>
      <c r="Z59" s="6">
        <v>0</v>
      </c>
      <c r="AA59" s="4">
        <f ca="1">VLOOKUP($L59,OFFSET([2]enemies!$A$1,0,0,COUNTA([2]enemies!$A:$A),MATCH(AA$1,[2]enemies!$1:$1,0)-MATCH($L$1,[2]enemies!$1:$1,0)+1),MATCH(AA$1,[2]enemies!$1:$1,0)-MATCH($L$1,[2]enemies!$1:$1,0)+1,FALSE)</f>
        <v>3</v>
      </c>
      <c r="AB59" s="52">
        <v>364</v>
      </c>
      <c r="AC59" s="4" t="str">
        <f ca="1">VLOOKUP($AB59,OFFSET([3]characters!$A$1,0,0,COUNTA([3]characters!$A:$A),MATCH(AC$1,[3]characters!$1:$1,0)-MATCH("character_id",[3]characters!$1:$1,0)+1),MATCH(AC$1,[3]characters!$1:$1,0)-MATCH("character_id",[3]characters!$1:$1,0)+1,FALSE)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9" s="4">
        <f ca="1">VLOOKUP($AB59,OFFSET([3]characters!$A$1,0,0,COUNTA([3]characters!$A:$A),MATCH(AD$1,[3]characters!$1:$1,0)-MATCH("character_id",[3]characters!$1:$1,0)+1),MATCH(AD$1,[3]characters!$1:$1,0)-MATCH("character_id",[3]characters!$1:$1,0)+1,FALSE)</f>
        <v>2</v>
      </c>
      <c r="AE59" s="4" t="str">
        <f ca="1">VLOOKUP($AB59,OFFSET([3]characters!$A$1,0,0,COUNTA([3]characters!$A:$A),MATCH(AE$1,[3]characters!$1:$1,0)-MATCH("character_id",[3]characters!$1:$1,0)+1),MATCH(AE$1,[3]characters!$1:$1,0)-MATCH("character_id",[3]characters!$1:$1,0)+1,FALSE)</f>
        <v>Drop1S</v>
      </c>
      <c r="AF59" s="7">
        <v>7</v>
      </c>
      <c r="AG59" s="26">
        <f t="shared" ca="1" si="3"/>
        <v>2</v>
      </c>
      <c r="AH59" s="8">
        <v>20</v>
      </c>
      <c r="AI59" s="7">
        <v>0</v>
      </c>
      <c r="AJ59" s="7">
        <v>0</v>
      </c>
      <c r="AK59" s="7">
        <v>0</v>
      </c>
      <c r="AL59" s="7">
        <v>0</v>
      </c>
      <c r="AM59" s="7">
        <v>1</v>
      </c>
    </row>
    <row r="60" spans="1:39" ht="21" customHeight="1" x14ac:dyDescent="0.15">
      <c r="A60" s="18" t="str">
        <f t="shared" ref="A60" ca="1" si="71">B60&amp;"_"&amp;C60&amp;"-"&amp;G60&amp;"/"&amp;L60&amp;"&lt;lv"&amp;R60&amp;"&gt;s"&amp;AA60</f>
        <v>22_2-4/348&lt;lv42&gt;s3</v>
      </c>
      <c r="B60" s="53">
        <v>22</v>
      </c>
      <c r="C60" s="51">
        <v>2</v>
      </c>
      <c r="D60" s="2" t="str">
        <f t="shared" ref="D60" si="72">B60&amp;"_"&amp;C60</f>
        <v>22_2</v>
      </c>
      <c r="E60" s="2" t="str">
        <f t="shared" ref="E60" si="73">C60&amp;"_"&amp;D60</f>
        <v>2_22_2</v>
      </c>
      <c r="F60" s="4" t="str">
        <f ca="1">VLOOKUP($D60,OFFSET([1]stages!$A$1,0,0,COUNTA([1]stages!$A:$A),MATCH(F$1,[1]stages!$2:$2,0)-MATCH($D$1,[1]stages!$2:$2,0)+1),MATCH(F$1,[1]stages!$2:$2,0)-MATCH($D$1,[1]stages!$2:$2,0)+1,FALSE)</f>
        <v>22-2．排他的な案内人</v>
      </c>
      <c r="G60" s="57">
        <v>4</v>
      </c>
      <c r="H60" s="17" t="str">
        <f t="shared" ref="H60" si="74">B60&amp;"_"&amp;C60&amp;"-"&amp;G60</f>
        <v>22_2-4</v>
      </c>
      <c r="I60" s="17"/>
      <c r="J60" s="17"/>
      <c r="K60" s="65" t="s">
        <v>56</v>
      </c>
      <c r="L60" s="52">
        <v>348</v>
      </c>
      <c r="M60" s="21" t="str">
        <f ca="1">VLOOKUP($L60,OFFSET([2]enemies!$A$1,0,0,COUNTA([2]enemies!$A:$A),MATCH(M$1,[2]enemies!$1:$1,0)-MATCH($L$1,[2]enemies!$1:$1,0)+1),MATCH(M$1,[2]enemies!$1:$1,0)-MATCH($L$1,[2]enemies!$1:$1,0)+1,FALSE)</f>
        <v>炎のケロケロ</v>
      </c>
      <c r="N60" s="21" t="str">
        <f ca="1">VLOOKUP($L60,OFFSET([2]enemies!$A$1,0,0,COUNTA([2]enemies!$A:$A),MATCH(N$1,[2]enemies!$1:$1,0)-MATCH($L$1,[2]enemies!$1:$1,0)+1),MATCH(N$1,[2]enemies!$1:$1,0)-MATCH($L$1,[2]enemies!$1:$1,0)+1,FALSE)</f>
        <v>red</v>
      </c>
      <c r="O60" s="21" t="str">
        <f ca="1">VLOOKUP($L60,OFFSET([3]characters!$A$1,0,0,COUNTA([3]characters!$A:$A),MATCH(O$1,[3]characters!$1:$1,0)-MATCH($L$1,[3]characters!$1:$1,0)+1),MATCH(O$1,[3]characters!$1:$1,0)-MATCH($L$1,[3]characters!$1:$1,0)+1,FALSE)</f>
        <v>Material</v>
      </c>
      <c r="P60" s="21" t="str">
        <f ca="1">VLOOKUP($L60,OFFSET([2]enemies!$A$1,0,0,COUNTA([2]enemies!$A:$A),MATCH(P$1,[2]enemies!$1:$1,0)-MATCH($L$1,[2]enemies!$1:$1,0)+1),MATCH(P$1,[2]enemies!$1:$1,0)-MATCH($L$1,[2]enemies!$1:$1,0)+1,FALSE)</f>
        <v>unknown</v>
      </c>
      <c r="Q60" s="21">
        <f ca="1">VLOOKUP($L60,OFFSET([2]enemies!$A$1,0,0,COUNTA([2]enemies!$A:$A),MATCH(Q$1,[2]enemies!$1:$1,0)-MATCH($L$1,[2]enemies!$1:$1,0)+1),MATCH(Q$1,[2]enemies!$1:$1,0)-MATCH($L$1,[2]enemies!$1:$1,0)+1,FALSE)</f>
        <v>15</v>
      </c>
      <c r="R60" s="53">
        <v>42</v>
      </c>
      <c r="S60" s="27">
        <v>1</v>
      </c>
      <c r="T60" s="27">
        <v>1</v>
      </c>
      <c r="U60" s="5">
        <v>0</v>
      </c>
      <c r="V60" s="4" t="str">
        <f ca="1">VLOOKUP($W60,OFFSET([4]enemy_skill_sets!$B$1,0,0,COUNTA([4]enemy_skill_sets!$B:$B),MATCH(M$1,[4]enemy_skill_sets!$1:$1,0)-MATCH($W$1,[4]enemy_skill_sets!$1:$1,0)+2),MATCH(M$1,[4]enemy_skill_sets!$1:$1,0)-MATCH($W$1,[4]enemy_skill_sets!$1:$1,0)+2,FALSE)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60" s="64">
        <v>348</v>
      </c>
      <c r="X60" s="6">
        <v>1</v>
      </c>
      <c r="Y60" s="6">
        <v>100</v>
      </c>
      <c r="Z60" s="6">
        <v>0</v>
      </c>
      <c r="AA60" s="4">
        <f ca="1">VLOOKUP($L60,OFFSET([2]enemies!$A$1,0,0,COUNTA([2]enemies!$A:$A),MATCH(AA$1,[2]enemies!$1:$1,0)-MATCH($L$1,[2]enemies!$1:$1,0)+1),MATCH(AA$1,[2]enemies!$1:$1,0)-MATCH($L$1,[2]enemies!$1:$1,0)+1,FALSE)</f>
        <v>3</v>
      </c>
      <c r="AB60" s="52">
        <v>348</v>
      </c>
      <c r="AC60" s="4" t="str">
        <f ca="1">VLOOKUP($AB60,OFFSET([3]characters!$A$1,0,0,COUNTA([3]characters!$A:$A),MATCH(AC$1,[3]characters!$1:$1,0)-MATCH("character_id",[3]characters!$1:$1,0)+1),MATCH(AC$1,[3]characters!$1:$1,0)-MATCH("character_id",[3]characters!$1:$1,0)+1,FALSE)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60" s="4">
        <f ca="1">VLOOKUP($AB60,OFFSET([3]characters!$A$1,0,0,COUNTA([3]characters!$A:$A),MATCH(AD$1,[3]characters!$1:$1,0)-MATCH("character_id",[3]characters!$1:$1,0)+1),MATCH(AD$1,[3]characters!$1:$1,0)-MATCH("character_id",[3]characters!$1:$1,0)+1,FALSE)</f>
        <v>2</v>
      </c>
      <c r="AE60" s="4" t="str">
        <f ca="1">VLOOKUP($AB60,OFFSET([3]characters!$A$1,0,0,COUNTA([3]characters!$A:$A),MATCH(AE$1,[3]characters!$1:$1,0)-MATCH("character_id",[3]characters!$1:$1,0)+1),MATCH(AE$1,[3]characters!$1:$1,0)-MATCH("character_id",[3]characters!$1:$1,0)+1,FALSE)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0" s="7">
        <v>10</v>
      </c>
      <c r="AG60" s="26">
        <f t="shared" ca="1" si="3"/>
        <v>2</v>
      </c>
      <c r="AH60" s="8">
        <v>100</v>
      </c>
      <c r="AI60" s="7">
        <v>0</v>
      </c>
      <c r="AJ60" s="7">
        <v>0</v>
      </c>
      <c r="AK60" s="7">
        <v>0</v>
      </c>
      <c r="AL60" s="7">
        <v>0</v>
      </c>
      <c r="AM60" s="7">
        <v>1</v>
      </c>
    </row>
    <row r="61" spans="1:39" ht="21" customHeight="1" x14ac:dyDescent="0.15">
      <c r="A61" s="18" t="str">
        <f t="shared" ca="1" si="56"/>
        <v>22_2-5/178&lt;lv47&gt;s3</v>
      </c>
      <c r="B61" s="50">
        <v>22</v>
      </c>
      <c r="C61" s="49">
        <v>2</v>
      </c>
      <c r="D61" s="2" t="str">
        <f t="shared" si="57"/>
        <v>22_2</v>
      </c>
      <c r="E61" s="2" t="str">
        <f t="shared" si="57"/>
        <v>2_22_2</v>
      </c>
      <c r="F61" s="4" t="str">
        <f ca="1">VLOOKUP($D61,OFFSET([1]stages!$A$1,0,0,COUNTA([1]stages!$A:$A),MATCH(F$1,[1]stages!$2:$2,0)-MATCH($D$1,[1]stages!$2:$2,0)+1),MATCH(F$1,[1]stages!$2:$2,0)-MATCH($D$1,[1]stages!$2:$2,0)+1,FALSE)</f>
        <v>22-2．排他的な案内人</v>
      </c>
      <c r="G61" s="54">
        <v>5</v>
      </c>
      <c r="H61" s="17" t="str">
        <f t="shared" si="58"/>
        <v>22_2-5</v>
      </c>
      <c r="I61" s="17"/>
      <c r="J61" s="17"/>
      <c r="K61" s="65" t="s">
        <v>56</v>
      </c>
      <c r="L61" s="52">
        <v>178</v>
      </c>
      <c r="M61" s="21" t="str">
        <f ca="1">VLOOKUP($L61,OFFSET([2]enemies!$A$1,0,0,COUNTA([2]enemies!$A:$A),MATCH(M$1,[2]enemies!$1:$1,0)-MATCH($L$1,[2]enemies!$1:$1,0)+1),MATCH(M$1,[2]enemies!$1:$1,0)-MATCH($L$1,[2]enemies!$1:$1,0)+1,FALSE)</f>
        <v>ケルベロス</v>
      </c>
      <c r="N61" s="21" t="str">
        <f ca="1">VLOOKUP($L61,OFFSET([2]enemies!$A$1,0,0,COUNTA([2]enemies!$A:$A),MATCH(N$1,[2]enemies!$1:$1,0)-MATCH($L$1,[2]enemies!$1:$1,0)+1),MATCH(N$1,[2]enemies!$1:$1,0)-MATCH($L$1,[2]enemies!$1:$1,0)+1,FALSE)</f>
        <v>red</v>
      </c>
      <c r="O61" s="21" t="str">
        <f ca="1">VLOOKUP($L61,OFFSET([3]characters!$A$1,0,0,COUNTA([3]characters!$A:$A),MATCH(O$1,[3]characters!$1:$1,0)-MATCH($L$1,[3]characters!$1:$1,0)+1),MATCH(O$1,[3]characters!$1:$1,0)-MATCH($L$1,[3]characters!$1:$1,0)+1,FALSE)</f>
        <v>PremiumN</v>
      </c>
      <c r="P61" s="21" t="str">
        <f ca="1">VLOOKUP($L61,OFFSET([2]enemies!$A$1,0,0,COUNTA([2]enemies!$A:$A),MATCH(P$1,[2]enemies!$1:$1,0)-MATCH($L$1,[2]enemies!$1:$1,0)+1),MATCH(P$1,[2]enemies!$1:$1,0)-MATCH($L$1,[2]enemies!$1:$1,0)+1,FALSE)</f>
        <v>animal</v>
      </c>
      <c r="Q61" s="21">
        <f ca="1">VLOOKUP($L61,OFFSET([2]enemies!$A$1,0,0,COUNTA([2]enemies!$A:$A),MATCH(Q$1,[2]enemies!$1:$1,0)-MATCH($L$1,[2]enemies!$1:$1,0)+1),MATCH(Q$1,[2]enemies!$1:$1,0)-MATCH($L$1,[2]enemies!$1:$1,0)+1,FALSE)</f>
        <v>20</v>
      </c>
      <c r="R61" s="53">
        <v>47</v>
      </c>
      <c r="S61" s="27">
        <v>2.6</v>
      </c>
      <c r="T61" s="27">
        <v>0.9</v>
      </c>
      <c r="U61" s="5">
        <v>0</v>
      </c>
      <c r="V61" s="4" t="str">
        <f ca="1">VLOOKUP($W61,OFFSET([4]enemy_skill_sets!$B$1,0,0,COUNTA([4]enemy_skill_sets!$B:$B),MATCH(M$1,[4]enemy_skill_sets!$1:$1,0)-MATCH($W$1,[4]enemy_skill_sets!$1:$1,0)+2),MATCH(M$1,[4]enemy_skill_sets!$1:$1,0)-MATCH($W$1,[4]enemy_skill_sets!$1:$1,0)+2,FALSE)</f>
        <v>8ターン攻撃力小UP</v>
      </c>
      <c r="W61" s="64">
        <v>17801</v>
      </c>
      <c r="X61" s="6">
        <v>1</v>
      </c>
      <c r="Y61" s="6">
        <v>100</v>
      </c>
      <c r="Z61" s="6">
        <v>1</v>
      </c>
      <c r="AA61" s="4">
        <f ca="1">VLOOKUP($L61,OFFSET([2]enemies!$A$1,0,0,COUNTA([2]enemies!$A:$A),MATCH(AA$1,[2]enemies!$1:$1,0)-MATCH($L$1,[2]enemies!$1:$1,0)+1),MATCH(AA$1,[2]enemies!$1:$1,0)-MATCH($L$1,[2]enemies!$1:$1,0)+1,FALSE)</f>
        <v>3</v>
      </c>
      <c r="AB61" s="52">
        <v>178</v>
      </c>
      <c r="AC61" s="4" t="str">
        <f ca="1">VLOOKUP($AB61,OFFSET([3]characters!$A$1,0,0,COUNTA([3]characters!$A:$A),MATCH(AC$1,[3]characters!$1:$1,0)-MATCH("character_id",[3]characters!$1:$1,0)+1),MATCH(AC$1,[3]characters!$1:$1,0)-MATCH("character_id",[3]characters!$1:$1,0)+1,FALSE)</f>
        <v>ケルベロス</v>
      </c>
      <c r="AD61" s="4">
        <f ca="1">VLOOKUP($AB61,OFFSET([3]characters!$A$1,0,0,COUNTA([3]characters!$A:$A),MATCH(AD$1,[3]characters!$1:$1,0)-MATCH("character_id",[3]characters!$1:$1,0)+1),MATCH(AD$1,[3]characters!$1:$1,0)-MATCH("character_id",[3]characters!$1:$1,0)+1,FALSE)</f>
        <v>3</v>
      </c>
      <c r="AE61" s="4" t="str">
        <f ca="1">VLOOKUP($AB61,OFFSET([3]characters!$A$1,0,0,COUNTA([3]characters!$A:$A),MATCH(AE$1,[3]characters!$1:$1,0)-MATCH("character_id",[3]characters!$1:$1,0)+1),MATCH(AE$1,[3]characters!$1:$1,0)-MATCH("character_id",[3]characters!$1:$1,0)+1,FALSE)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61" s="7">
        <v>7</v>
      </c>
      <c r="AG61" s="26">
        <f t="shared" ca="1" si="3"/>
        <v>3</v>
      </c>
      <c r="AH61" s="8">
        <v>0</v>
      </c>
      <c r="AI61" s="7">
        <v>0</v>
      </c>
      <c r="AJ61" s="7">
        <v>0</v>
      </c>
      <c r="AK61" s="7">
        <v>0</v>
      </c>
      <c r="AL61" s="7">
        <v>0</v>
      </c>
      <c r="AM61" s="7">
        <v>1</v>
      </c>
    </row>
    <row r="62" spans="1:39" ht="14" x14ac:dyDescent="0.15">
      <c r="A62" s="18" t="str">
        <f t="shared" ref="A62" ca="1" si="75">B62&amp;"_"&amp;C62&amp;"-"&amp;G62&amp;"/"&amp;L62&amp;"&lt;lv"&amp;R62&amp;"&gt;s"&amp;AA62</f>
        <v>22_2-5/38&lt;lv47&gt;s3</v>
      </c>
      <c r="B62" s="53">
        <v>22</v>
      </c>
      <c r="C62" s="51">
        <v>2</v>
      </c>
      <c r="D62" s="2" t="str">
        <f t="shared" ref="D62:E62" si="76">B62&amp;"_"&amp;C62</f>
        <v>22_2</v>
      </c>
      <c r="E62" s="2" t="str">
        <f t="shared" si="76"/>
        <v>2_22_2</v>
      </c>
      <c r="F62" s="4" t="str">
        <f ca="1">VLOOKUP($D62,OFFSET([1]stages!$A$1,0,0,COUNTA([1]stages!$A:$A),MATCH(F$1,[1]stages!$2:$2,0)-MATCH($D$1,[1]stages!$2:$2,0)+1),MATCH(F$1,[1]stages!$2:$2,0)-MATCH($D$1,[1]stages!$2:$2,0)+1,FALSE)</f>
        <v>22-2．排他的な案内人</v>
      </c>
      <c r="G62" s="54">
        <v>5</v>
      </c>
      <c r="H62" s="17" t="str">
        <f t="shared" ref="H62" si="77">B62&amp;"_"&amp;C62&amp;"-"&amp;G62</f>
        <v>22_2-5</v>
      </c>
      <c r="I62" s="17"/>
      <c r="J62" s="17"/>
      <c r="K62" s="65" t="s">
        <v>56</v>
      </c>
      <c r="L62" s="52">
        <v>38</v>
      </c>
      <c r="M62" s="21" t="str">
        <f ca="1">VLOOKUP($L62,OFFSET([2]enemies!$A$1,0,0,COUNTA([2]enemies!$A:$A),MATCH(M$1,[2]enemies!$1:$1,0)-MATCH($L$1,[2]enemies!$1:$1,0)+1),MATCH(M$1,[2]enemies!$1:$1,0)-MATCH($L$1,[2]enemies!$1:$1,0)+1,FALSE)</f>
        <v>通話対応型 ガイル</v>
      </c>
      <c r="N62" s="21" t="str">
        <f ca="1">VLOOKUP($L62,OFFSET([2]enemies!$A$1,0,0,COUNTA([2]enemies!$A:$A),MATCH(N$1,[2]enemies!$1:$1,0)-MATCH($L$1,[2]enemies!$1:$1,0)+1),MATCH(N$1,[2]enemies!$1:$1,0)-MATCH($L$1,[2]enemies!$1:$1,0)+1,FALSE)</f>
        <v>blue</v>
      </c>
      <c r="O62" s="21" t="str">
        <f ca="1">VLOOKUP($L62,OFFSET([3]characters!$A$1,0,0,COUNTA([3]characters!$A:$A),MATCH(O$1,[3]characters!$1:$1,0)-MATCH($L$1,[3]characters!$1:$1,0)+1),MATCH(O$1,[3]characters!$1:$1,0)-MATCH($L$1,[3]characters!$1:$1,0)+1,FALSE)</f>
        <v>Drop1S</v>
      </c>
      <c r="P62" s="21" t="str">
        <f ca="1">VLOOKUP($L62,OFFSET([2]enemies!$A$1,0,0,COUNTA([2]enemies!$A:$A),MATCH(P$1,[2]enemies!$1:$1,0)-MATCH($L$1,[2]enemies!$1:$1,0)+1),MATCH(P$1,[2]enemies!$1:$1,0)-MATCH($L$1,[2]enemies!$1:$1,0)+1,FALSE)</f>
        <v>animal</v>
      </c>
      <c r="Q62" s="21">
        <f ca="1">VLOOKUP($L62,OFFSET([2]enemies!$A$1,0,0,COUNTA([2]enemies!$A:$A),MATCH(Q$1,[2]enemies!$1:$1,0)-MATCH($L$1,[2]enemies!$1:$1,0)+1),MATCH(Q$1,[2]enemies!$1:$1,0)-MATCH($L$1,[2]enemies!$1:$1,0)+1,FALSE)</f>
        <v>20</v>
      </c>
      <c r="R62" s="53">
        <v>47</v>
      </c>
      <c r="S62" s="27">
        <v>3</v>
      </c>
      <c r="T62" s="27">
        <v>0.7</v>
      </c>
      <c r="U62" s="5">
        <v>0</v>
      </c>
      <c r="V62" s="4" t="str">
        <f ca="1">VLOOKUP($W62,OFFSET([4]enemy_skill_sets!$B$1,0,0,COUNTA([4]enemy_skill_sets!$B:$B),MATCH(M$1,[4]enemy_skill_sets!$1:$1,0)-MATCH($W$1,[4]enemy_skill_sets!$1:$1,0)+2),MATCH(M$1,[4]enemy_skill_sets!$1:$1,0)-MATCH($W$1,[4]enemy_skill_sets!$1:$1,0)+2,FALSE)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62" s="4">
        <f ca="1">VLOOKUP($L62,OFFSET([2]enemies!$A$1,0,0,COUNTA([2]enemies!$A:$A),MATCH(W$1,[2]enemies!$1:$1,0)-MATCH($L$1,[2]enemies!$1:$1,0)+1),MATCH(W$1,[2]enemies!$1:$1,0)-MATCH($L$1,[2]enemies!$1:$1,0)+1,FALSE)</f>
        <v>38</v>
      </c>
      <c r="X62" s="6">
        <v>1</v>
      </c>
      <c r="Y62" s="6">
        <v>100</v>
      </c>
      <c r="Z62" s="6">
        <v>0</v>
      </c>
      <c r="AA62" s="4">
        <f ca="1">VLOOKUP($L62,OFFSET([2]enemies!$A$1,0,0,COUNTA([2]enemies!$A:$A),MATCH(AA$1,[2]enemies!$1:$1,0)-MATCH($L$1,[2]enemies!$1:$1,0)+1),MATCH(AA$1,[2]enemies!$1:$1,0)-MATCH($L$1,[2]enemies!$1:$1,0)+1,FALSE)</f>
        <v>3</v>
      </c>
      <c r="AB62" s="52">
        <v>38</v>
      </c>
      <c r="AC62" s="4" t="str">
        <f ca="1">VLOOKUP($AB62,OFFSET([3]characters!$A$1,0,0,COUNTA([3]characters!$A:$A),MATCH(AC$1,[3]characters!$1:$1,0)-MATCH("character_id",[3]characters!$1:$1,0)+1),MATCH(AC$1,[3]characters!$1:$1,0)-MATCH("character_id",[3]characters!$1:$1,0)+1,FALSE)</f>
        <v>通話対応型 ガイル</v>
      </c>
      <c r="AD62" s="4">
        <f ca="1">VLOOKUP($AB62,OFFSET([3]characters!$A$1,0,0,COUNTA([3]characters!$A:$A),MATCH(AD$1,[3]characters!$1:$1,0)-MATCH("character_id",[3]characters!$1:$1,0)+1),MATCH(AD$1,[3]characters!$1:$1,0)-MATCH("character_id",[3]characters!$1:$1,0)+1,FALSE)</f>
        <v>3</v>
      </c>
      <c r="AE62" s="4" t="str">
        <f ca="1">VLOOKUP($AB62,OFFSET([3]characters!$A$1,0,0,COUNTA([3]characters!$A:$A),MATCH(AE$1,[3]characters!$1:$1,0)-MATCH("character_id",[3]characters!$1:$1,0)+1),MATCH(AE$1,[3]characters!$1:$1,0)-MATCH("character_id",[3]characters!$1:$1,0)+1,FALSE)</f>
        <v>Drop1S</v>
      </c>
      <c r="AF62" s="7">
        <v>5</v>
      </c>
      <c r="AG62" s="26">
        <f t="shared" ca="1" si="3"/>
        <v>3</v>
      </c>
      <c r="AH62" s="8">
        <v>0</v>
      </c>
      <c r="AI62" s="7">
        <v>0</v>
      </c>
      <c r="AJ62" s="7">
        <v>0</v>
      </c>
      <c r="AK62" s="7">
        <v>0</v>
      </c>
      <c r="AL62" s="7">
        <v>0</v>
      </c>
      <c r="AM62" s="7">
        <v>1</v>
      </c>
    </row>
    <row r="63" spans="1:39" ht="14" x14ac:dyDescent="0.15">
      <c r="A63" s="18" t="str">
        <f t="shared" ca="1" si="56"/>
        <v>22_3-1/25&lt;lv44&gt;s3</v>
      </c>
      <c r="B63" s="50">
        <v>22</v>
      </c>
      <c r="C63" s="49">
        <v>3</v>
      </c>
      <c r="D63" s="2" t="str">
        <f t="shared" si="57"/>
        <v>22_3</v>
      </c>
      <c r="E63" s="2" t="str">
        <f t="shared" si="57"/>
        <v>3_22_3</v>
      </c>
      <c r="F63" s="4" t="str">
        <f ca="1">VLOOKUP($D63,OFFSET([1]stages!$A$1,0,0,COUNTA([1]stages!$A:$A),MATCH(F$1,[1]stages!$2:$2,0)-MATCH($D$1,[1]stages!$2:$2,0)+1),MATCH(F$1,[1]stages!$2:$2,0)-MATCH($D$1,[1]stages!$2:$2,0)+1,FALSE)</f>
        <v>22-3．誘眠の鼓音</v>
      </c>
      <c r="G63" s="55">
        <v>1</v>
      </c>
      <c r="H63" s="17" t="str">
        <f t="shared" si="58"/>
        <v>22_3-1</v>
      </c>
      <c r="I63" s="17"/>
      <c r="J63" s="17"/>
      <c r="K63" s="65" t="s">
        <v>56</v>
      </c>
      <c r="L63" s="52">
        <v>25</v>
      </c>
      <c r="M63" s="21" t="str">
        <f ca="1">VLOOKUP($L63,OFFSET([2]enemies!$A$1,0,0,COUNTA([2]enemies!$A:$A),MATCH(M$1,[2]enemies!$1:$1,0)-MATCH($L$1,[2]enemies!$1:$1,0)+1),MATCH(M$1,[2]enemies!$1:$1,0)-MATCH($L$1,[2]enemies!$1:$1,0)+1,FALSE)</f>
        <v>ハチ</v>
      </c>
      <c r="N63" s="21" t="str">
        <f ca="1">VLOOKUP($L63,OFFSET([2]enemies!$A$1,0,0,COUNTA([2]enemies!$A:$A),MATCH(N$1,[2]enemies!$1:$1,0)-MATCH($L$1,[2]enemies!$1:$1,0)+1),MATCH(N$1,[2]enemies!$1:$1,0)-MATCH($L$1,[2]enemies!$1:$1,0)+1,FALSE)</f>
        <v>blue</v>
      </c>
      <c r="O63" s="21" t="str">
        <f ca="1">VLOOKUP($L63,OFFSET([3]characters!$A$1,0,0,COUNTA([3]characters!$A:$A),MATCH(O$1,[3]characters!$1:$1,0)-MATCH($L$1,[3]characters!$1:$1,0)+1),MATCH(O$1,[3]characters!$1:$1,0)-MATCH($L$1,[3]characters!$1:$1,0)+1,FALSE)</f>
        <v>Drop1N</v>
      </c>
      <c r="P63" s="21" t="str">
        <f ca="1">VLOOKUP($L63,OFFSET([2]enemies!$A$1,0,0,COUNTA([2]enemies!$A:$A),MATCH(P$1,[2]enemies!$1:$1,0)-MATCH($L$1,[2]enemies!$1:$1,0)+1),MATCH(P$1,[2]enemies!$1:$1,0)-MATCH($L$1,[2]enemies!$1:$1,0)+1,FALSE)</f>
        <v>animal</v>
      </c>
      <c r="Q63" s="21">
        <f ca="1">VLOOKUP($L63,OFFSET([2]enemies!$A$1,0,0,COUNTA([2]enemies!$A:$A),MATCH(Q$1,[2]enemies!$1:$1,0)-MATCH($L$1,[2]enemies!$1:$1,0)+1),MATCH(Q$1,[2]enemies!$1:$1,0)-MATCH($L$1,[2]enemies!$1:$1,0)+1,FALSE)</f>
        <v>15</v>
      </c>
      <c r="R63" s="53">
        <v>44</v>
      </c>
      <c r="S63" s="27">
        <v>1</v>
      </c>
      <c r="T63" s="27">
        <v>1</v>
      </c>
      <c r="U63" s="5">
        <v>0</v>
      </c>
      <c r="V63" s="4" t="str">
        <f ca="1">VLOOKUP($W63,OFFSET([4]enemy_skill_sets!$B$1,0,0,COUNTA([4]enemy_skill_sets!$B:$B),MATCH(M$1,[4]enemy_skill_sets!$1:$1,0)-MATCH($W$1,[4]enemy_skill_sets!$1:$1,0)+2),MATCH(M$1,[4]enemy_skill_sets!$1:$1,0)-MATCH($W$1,[4]enemy_skill_sets!$1:$1,0)+2,FALSE)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3" s="4">
        <f ca="1">VLOOKUP($L63,OFFSET([2]enemies!$A$1,0,0,COUNTA([2]enemies!$A:$A),MATCH(W$1,[2]enemies!$1:$1,0)-MATCH($L$1,[2]enemies!$1:$1,0)+1),MATCH(W$1,[2]enemies!$1:$1,0)-MATCH($L$1,[2]enemies!$1:$1,0)+1,FALSE)</f>
        <v>0</v>
      </c>
      <c r="X63" s="6">
        <v>0</v>
      </c>
      <c r="Y63" s="6">
        <v>100</v>
      </c>
      <c r="Z63" s="6">
        <v>0</v>
      </c>
      <c r="AA63" s="4">
        <f ca="1">VLOOKUP($L63,OFFSET([2]enemies!$A$1,0,0,COUNTA([2]enemies!$A:$A),MATCH(AA$1,[2]enemies!$1:$1,0)-MATCH($L$1,[2]enemies!$1:$1,0)+1),MATCH(AA$1,[2]enemies!$1:$1,0)-MATCH($L$1,[2]enemies!$1:$1,0)+1,FALSE)</f>
        <v>3</v>
      </c>
      <c r="AB63" s="52">
        <v>25</v>
      </c>
      <c r="AC63" s="4" t="str">
        <f ca="1">VLOOKUP($AB63,OFFSET([3]characters!$A$1,0,0,COUNTA([3]characters!$A:$A),MATCH(AC$1,[3]characters!$1:$1,0)-MATCH("character_id",[3]characters!$1:$1,0)+1),MATCH(AC$1,[3]characters!$1:$1,0)-MATCH("character_id",[3]characters!$1:$1,0)+1,FALSE)</f>
        <v>ハチ</v>
      </c>
      <c r="AD63" s="4">
        <f ca="1">VLOOKUP($AB63,OFFSET([3]characters!$A$1,0,0,COUNTA([3]characters!$A:$A),MATCH(AD$1,[3]characters!$1:$1,0)-MATCH("character_id",[3]characters!$1:$1,0)+1),MATCH(AD$1,[3]characters!$1:$1,0)-MATCH("character_id",[3]characters!$1:$1,0)+1,FALSE)</f>
        <v>1</v>
      </c>
      <c r="AE63" s="4" t="str">
        <f ca="1">VLOOKUP($AB63,OFFSET([3]characters!$A$1,0,0,COUNTA([3]characters!$A:$A),MATCH(AE$1,[3]characters!$1:$1,0)-MATCH("character_id",[3]characters!$1:$1,0)+1),MATCH(AE$1,[3]characters!$1:$1,0)-MATCH("character_id",[3]characters!$1:$1,0)+1,FALSE)</f>
        <v>Drop1N</v>
      </c>
      <c r="AF63" s="7">
        <v>7</v>
      </c>
      <c r="AG63" s="26">
        <f t="shared" ca="1" si="3"/>
        <v>1</v>
      </c>
      <c r="AH63" s="8">
        <v>20</v>
      </c>
      <c r="AI63" s="7">
        <v>0</v>
      </c>
      <c r="AJ63" s="7">
        <v>0</v>
      </c>
      <c r="AK63" s="7">
        <v>0</v>
      </c>
      <c r="AL63" s="7">
        <v>0</v>
      </c>
      <c r="AM63" s="7">
        <v>1</v>
      </c>
    </row>
    <row r="64" spans="1:39" ht="14" x14ac:dyDescent="0.15">
      <c r="A64" s="18" t="str">
        <f t="shared" ca="1" si="56"/>
        <v>22_3-1/37&lt;lv44&gt;s3</v>
      </c>
      <c r="B64" s="50">
        <v>22</v>
      </c>
      <c r="C64" s="49">
        <v>3</v>
      </c>
      <c r="D64" s="2" t="str">
        <f t="shared" si="57"/>
        <v>22_3</v>
      </c>
      <c r="E64" s="2" t="str">
        <f t="shared" si="57"/>
        <v>3_22_3</v>
      </c>
      <c r="F64" s="4" t="str">
        <f ca="1">VLOOKUP($D64,OFFSET([1]stages!$A$1,0,0,COUNTA([1]stages!$A:$A),MATCH(F$1,[1]stages!$2:$2,0)-MATCH($D$1,[1]stages!$2:$2,0)+1),MATCH(F$1,[1]stages!$2:$2,0)-MATCH($D$1,[1]stages!$2:$2,0)+1,FALSE)</f>
        <v>22-3．誘眠の鼓音</v>
      </c>
      <c r="G64" s="55">
        <v>1</v>
      </c>
      <c r="H64" s="17" t="str">
        <f t="shared" si="58"/>
        <v>22_3-1</v>
      </c>
      <c r="I64" s="17"/>
      <c r="J64" s="17"/>
      <c r="K64" s="65" t="s">
        <v>56</v>
      </c>
      <c r="L64" s="52">
        <v>37</v>
      </c>
      <c r="M64" s="21" t="str">
        <f ca="1">VLOOKUP($L64,OFFSET([2]enemies!$A$1,0,0,COUNTA([2]enemies!$A:$A),MATCH(M$1,[2]enemies!$1:$1,0)-MATCH($L$1,[2]enemies!$1:$1,0)+1),MATCH(M$1,[2]enemies!$1:$1,0)-MATCH($L$1,[2]enemies!$1:$1,0)+1,FALSE)</f>
        <v>ガイル</v>
      </c>
      <c r="N64" s="21" t="str">
        <f ca="1">VLOOKUP($L64,OFFSET([2]enemies!$A$1,0,0,COUNTA([2]enemies!$A:$A),MATCH(N$1,[2]enemies!$1:$1,0)-MATCH($L$1,[2]enemies!$1:$1,0)+1),MATCH(N$1,[2]enemies!$1:$1,0)-MATCH($L$1,[2]enemies!$1:$1,0)+1,FALSE)</f>
        <v>blue</v>
      </c>
      <c r="O64" s="21" t="str">
        <f ca="1">VLOOKUP($L64,OFFSET([3]characters!$A$1,0,0,COUNTA([3]characters!$A:$A),MATCH(O$1,[3]characters!$1:$1,0)-MATCH($L$1,[3]characters!$1:$1,0)+1),MATCH(O$1,[3]characters!$1:$1,0)-MATCH($L$1,[3]characters!$1:$1,0)+1,FALSE)</f>
        <v>Drop1S</v>
      </c>
      <c r="P64" s="21" t="str">
        <f ca="1">VLOOKUP($L64,OFFSET([2]enemies!$A$1,0,0,COUNTA([2]enemies!$A:$A),MATCH(P$1,[2]enemies!$1:$1,0)-MATCH($L$1,[2]enemies!$1:$1,0)+1),MATCH(P$1,[2]enemies!$1:$1,0)-MATCH($L$1,[2]enemies!$1:$1,0)+1,FALSE)</f>
        <v>animal</v>
      </c>
      <c r="Q64" s="21">
        <f ca="1">VLOOKUP($L64,OFFSET([2]enemies!$A$1,0,0,COUNTA([2]enemies!$A:$A),MATCH(Q$1,[2]enemies!$1:$1,0)-MATCH($L$1,[2]enemies!$1:$1,0)+1),MATCH(Q$1,[2]enemies!$1:$1,0)-MATCH($L$1,[2]enemies!$1:$1,0)+1,FALSE)</f>
        <v>15</v>
      </c>
      <c r="R64" s="53">
        <v>44</v>
      </c>
      <c r="S64" s="27">
        <v>1</v>
      </c>
      <c r="T64" s="27">
        <v>1</v>
      </c>
      <c r="U64" s="5">
        <v>0</v>
      </c>
      <c r="V64" s="4" t="str">
        <f ca="1">VLOOKUP($W64,OFFSET([4]enemy_skill_sets!$B$1,0,0,COUNTA([4]enemy_skill_sets!$B:$B),MATCH(M$1,[4]enemy_skill_sets!$1:$1,0)-MATCH($W$1,[4]enemy_skill_sets!$1:$1,0)+2),MATCH(M$1,[4]enemy_skill_sets!$1:$1,0)-MATCH($W$1,[4]enemy_skill_sets!$1:$1,0)+2,FALSE)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64" s="4">
        <f ca="1">VLOOKUP($L64,OFFSET([2]enemies!$A$1,0,0,COUNTA([2]enemies!$A:$A),MATCH(W$1,[2]enemies!$1:$1,0)-MATCH($L$1,[2]enemies!$1:$1,0)+1),MATCH(W$1,[2]enemies!$1:$1,0)-MATCH($L$1,[2]enemies!$1:$1,0)+1,FALSE)</f>
        <v>37</v>
      </c>
      <c r="X64" s="6">
        <v>0</v>
      </c>
      <c r="Y64" s="6">
        <v>100</v>
      </c>
      <c r="Z64" s="6">
        <v>0</v>
      </c>
      <c r="AA64" s="4">
        <f ca="1">VLOOKUP($L64,OFFSET([2]enemies!$A$1,0,0,COUNTA([2]enemies!$A:$A),MATCH(AA$1,[2]enemies!$1:$1,0)-MATCH($L$1,[2]enemies!$1:$1,0)+1),MATCH(AA$1,[2]enemies!$1:$1,0)-MATCH($L$1,[2]enemies!$1:$1,0)+1,FALSE)</f>
        <v>3</v>
      </c>
      <c r="AB64" s="52">
        <v>37</v>
      </c>
      <c r="AC64" s="4" t="str">
        <f ca="1">VLOOKUP($AB64,OFFSET([3]characters!$A$1,0,0,COUNTA([3]characters!$A:$A),MATCH(AC$1,[3]characters!$1:$1,0)-MATCH("character_id",[3]characters!$1:$1,0)+1),MATCH(AC$1,[3]characters!$1:$1,0)-MATCH("character_id",[3]characters!$1:$1,0)+1,FALSE)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64" s="4">
        <f ca="1">VLOOKUP($AB64,OFFSET([3]characters!$A$1,0,0,COUNTA([3]characters!$A:$A),MATCH(AD$1,[3]characters!$1:$1,0)-MATCH("character_id",[3]characters!$1:$1,0)+1),MATCH(AD$1,[3]characters!$1:$1,0)-MATCH("character_id",[3]characters!$1:$1,0)+1,FALSE)</f>
        <v>2</v>
      </c>
      <c r="AE64" s="4" t="str">
        <f ca="1">VLOOKUP($AB64,OFFSET([3]characters!$A$1,0,0,COUNTA([3]characters!$A:$A),MATCH(AE$1,[3]characters!$1:$1,0)-MATCH("character_id",[3]characters!$1:$1,0)+1),MATCH(AE$1,[3]characters!$1:$1,0)-MATCH("character_id",[3]characters!$1:$1,0)+1,FALSE)</f>
        <v>Drop1S</v>
      </c>
      <c r="AF64" s="7">
        <v>5</v>
      </c>
      <c r="AG64" s="26">
        <f t="shared" ca="1" si="3"/>
        <v>2</v>
      </c>
      <c r="AH64" s="8">
        <v>20</v>
      </c>
      <c r="AI64" s="7">
        <v>0</v>
      </c>
      <c r="AJ64" s="7">
        <v>0</v>
      </c>
      <c r="AK64" s="7">
        <v>0</v>
      </c>
      <c r="AL64" s="7">
        <v>0</v>
      </c>
      <c r="AM64" s="7">
        <v>1</v>
      </c>
    </row>
    <row r="65" spans="1:39" ht="14" x14ac:dyDescent="0.15">
      <c r="A65" s="18" t="str">
        <f t="shared" ca="1" si="56"/>
        <v>22_3-1/45&lt;lv44&gt;s3</v>
      </c>
      <c r="B65" s="50">
        <v>22</v>
      </c>
      <c r="C65" s="49">
        <v>3</v>
      </c>
      <c r="D65" s="2" t="str">
        <f t="shared" si="57"/>
        <v>22_3</v>
      </c>
      <c r="E65" s="2" t="str">
        <f t="shared" si="57"/>
        <v>3_22_3</v>
      </c>
      <c r="F65" s="4" t="str">
        <f ca="1">VLOOKUP($D65,OFFSET([1]stages!$A$1,0,0,COUNTA([1]stages!$A:$A),MATCH(F$1,[1]stages!$2:$2,0)-MATCH($D$1,[1]stages!$2:$2,0)+1),MATCH(F$1,[1]stages!$2:$2,0)-MATCH($D$1,[1]stages!$2:$2,0)+1,FALSE)</f>
        <v>22-3．誘眠の鼓音</v>
      </c>
      <c r="G65" s="55">
        <v>1</v>
      </c>
      <c r="H65" s="17" t="str">
        <f t="shared" si="58"/>
        <v>22_3-1</v>
      </c>
      <c r="I65" s="17"/>
      <c r="J65" s="17"/>
      <c r="K65" s="65" t="s">
        <v>56</v>
      </c>
      <c r="L65" s="52">
        <v>45</v>
      </c>
      <c r="M65" s="21" t="str">
        <f ca="1">VLOOKUP($L65,OFFSET([2]enemies!$A$1,0,0,COUNTA([2]enemies!$A:$A),MATCH(M$1,[2]enemies!$1:$1,0)-MATCH($L$1,[2]enemies!$1:$1,0)+1),MATCH(M$1,[2]enemies!$1:$1,0)-MATCH($L$1,[2]enemies!$1:$1,0)+1,FALSE)</f>
        <v>ショウイン</v>
      </c>
      <c r="N65" s="21" t="str">
        <f ca="1">VLOOKUP($L65,OFFSET([2]enemies!$A$1,0,0,COUNTA([2]enemies!$A:$A),MATCH(N$1,[2]enemies!$1:$1,0)-MATCH($L$1,[2]enemies!$1:$1,0)+1),MATCH(N$1,[2]enemies!$1:$1,0)-MATCH($L$1,[2]enemies!$1:$1,0)+1,FALSE)</f>
        <v>blue</v>
      </c>
      <c r="O65" s="21" t="str">
        <f ca="1">VLOOKUP($L65,OFFSET([3]characters!$A$1,0,0,COUNTA([3]characters!$A:$A),MATCH(O$1,[3]characters!$1:$1,0)-MATCH($L$1,[3]characters!$1:$1,0)+1),MATCH(O$1,[3]characters!$1:$1,0)-MATCH($L$1,[3]characters!$1:$1,0)+1,FALSE)</f>
        <v>Drop1N</v>
      </c>
      <c r="P65" s="21" t="str">
        <f ca="1">VLOOKUP($L65,OFFSET([2]enemies!$A$1,0,0,COUNTA([2]enemies!$A:$A),MATCH(P$1,[2]enemies!$1:$1,0)-MATCH($L$1,[2]enemies!$1:$1,0)+1),MATCH(P$1,[2]enemies!$1:$1,0)-MATCH($L$1,[2]enemies!$1:$1,0)+1,FALSE)</f>
        <v>animal</v>
      </c>
      <c r="Q65" s="21">
        <f ca="1">VLOOKUP($L65,OFFSET([2]enemies!$A$1,0,0,COUNTA([2]enemies!$A:$A),MATCH(Q$1,[2]enemies!$1:$1,0)-MATCH($L$1,[2]enemies!$1:$1,0)+1),MATCH(Q$1,[2]enemies!$1:$1,0)-MATCH($L$1,[2]enemies!$1:$1,0)+1,FALSE)</f>
        <v>15</v>
      </c>
      <c r="R65" s="53">
        <v>44</v>
      </c>
      <c r="S65" s="27">
        <v>1</v>
      </c>
      <c r="T65" s="27">
        <v>1</v>
      </c>
      <c r="U65" s="5">
        <v>0</v>
      </c>
      <c r="V65" s="4" t="str">
        <f ca="1">VLOOKUP($W65,OFFSET([4]enemy_skill_sets!$B$1,0,0,COUNTA([4]enemy_skill_sets!$B:$B),MATCH(M$1,[4]enemy_skill_sets!$1:$1,0)-MATCH($W$1,[4]enemy_skill_sets!$1:$1,0)+2),MATCH(M$1,[4]enemy_skill_sets!$1:$1,0)-MATCH($W$1,[4]enemy_skill_sets!$1:$1,0)+2,FALSE)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5" s="4">
        <f ca="1">VLOOKUP($L65,OFFSET([2]enemies!$A$1,0,0,COUNTA([2]enemies!$A:$A),MATCH(W$1,[2]enemies!$1:$1,0)-MATCH($L$1,[2]enemies!$1:$1,0)+1),MATCH(W$1,[2]enemies!$1:$1,0)-MATCH($L$1,[2]enemies!$1:$1,0)+1,FALSE)</f>
        <v>0</v>
      </c>
      <c r="X65" s="6">
        <v>0</v>
      </c>
      <c r="Y65" s="6">
        <v>100</v>
      </c>
      <c r="Z65" s="6">
        <v>0</v>
      </c>
      <c r="AA65" s="4">
        <f ca="1">VLOOKUP($L65,OFFSET([2]enemies!$A$1,0,0,COUNTA([2]enemies!$A:$A),MATCH(AA$1,[2]enemies!$1:$1,0)-MATCH($L$1,[2]enemies!$1:$1,0)+1),MATCH(AA$1,[2]enemies!$1:$1,0)-MATCH($L$1,[2]enemies!$1:$1,0)+1,FALSE)</f>
        <v>3</v>
      </c>
      <c r="AB65" s="52">
        <v>45</v>
      </c>
      <c r="AC65" s="4" t="str">
        <f ca="1">VLOOKUP($AB65,OFFSET([3]characters!$A$1,0,0,COUNTA([3]characters!$A:$A),MATCH(AC$1,[3]characters!$1:$1,0)-MATCH("character_id",[3]characters!$1:$1,0)+1),MATCH(AC$1,[3]characters!$1:$1,0)-MATCH("character_id",[3]characters!$1:$1,0)+1,FALSE)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65" s="4">
        <f ca="1">VLOOKUP($AB65,OFFSET([3]characters!$A$1,0,0,COUNTA([3]characters!$A:$A),MATCH(AD$1,[3]characters!$1:$1,0)-MATCH("character_id",[3]characters!$1:$1,0)+1),MATCH(AD$1,[3]characters!$1:$1,0)-MATCH("character_id",[3]characters!$1:$1,0)+1,FALSE)</f>
        <v>2</v>
      </c>
      <c r="AE65" s="4" t="str">
        <f ca="1">VLOOKUP($AB65,OFFSET([3]characters!$A$1,0,0,COUNTA([3]characters!$A:$A),MATCH(AE$1,[3]characters!$1:$1,0)-MATCH("character_id",[3]characters!$1:$1,0)+1),MATCH(AE$1,[3]characters!$1:$1,0)-MATCH("character_id",[3]characters!$1:$1,0)+1,FALSE)</f>
        <v>Drop1N</v>
      </c>
      <c r="AF65" s="7">
        <v>7</v>
      </c>
      <c r="AG65" s="26">
        <f t="shared" ca="1" si="3"/>
        <v>2</v>
      </c>
      <c r="AH65" s="8">
        <v>20</v>
      </c>
      <c r="AI65" s="7">
        <v>0</v>
      </c>
      <c r="AJ65" s="7">
        <v>0</v>
      </c>
      <c r="AK65" s="7">
        <v>0</v>
      </c>
      <c r="AL65" s="7">
        <v>0</v>
      </c>
      <c r="AM65" s="7">
        <v>1</v>
      </c>
    </row>
    <row r="66" spans="1:39" ht="14" x14ac:dyDescent="0.15">
      <c r="A66" s="18" t="str">
        <f t="shared" ca="1" si="56"/>
        <v>22_3-1/61&lt;lv44&gt;s2</v>
      </c>
      <c r="B66" s="50">
        <v>22</v>
      </c>
      <c r="C66" s="49">
        <v>3</v>
      </c>
      <c r="D66" s="2" t="str">
        <f t="shared" si="57"/>
        <v>22_3</v>
      </c>
      <c r="E66" s="2" t="str">
        <f t="shared" si="57"/>
        <v>3_22_3</v>
      </c>
      <c r="F66" s="4" t="str">
        <f ca="1">VLOOKUP($D66,OFFSET([1]stages!$A$1,0,0,COUNTA([1]stages!$A:$A),MATCH(F$1,[1]stages!$2:$2,0)-MATCH($D$1,[1]stages!$2:$2,0)+1),MATCH(F$1,[1]stages!$2:$2,0)-MATCH($D$1,[1]stages!$2:$2,0)+1,FALSE)</f>
        <v>22-3．誘眠の鼓音</v>
      </c>
      <c r="G66" s="55">
        <v>1</v>
      </c>
      <c r="H66" s="17" t="str">
        <f t="shared" si="58"/>
        <v>22_3-1</v>
      </c>
      <c r="I66" s="17"/>
      <c r="J66" s="17"/>
      <c r="K66" s="65" t="s">
        <v>56</v>
      </c>
      <c r="L66" s="52">
        <v>61</v>
      </c>
      <c r="M66" s="21" t="str">
        <f ca="1">VLOOKUP($L66,OFFSET([2]enemies!$A$1,0,0,COUNTA([2]enemies!$A:$A),MATCH(M$1,[2]enemies!$1:$1,0)-MATCH($L$1,[2]enemies!$1:$1,0)+1),MATCH(M$1,[2]enemies!$1:$1,0)-MATCH($L$1,[2]enemies!$1:$1,0)+1,FALSE)</f>
        <v>クロウ</v>
      </c>
      <c r="N66" s="21" t="str">
        <f ca="1">VLOOKUP($L66,OFFSET([2]enemies!$A$1,0,0,COUNTA([2]enemies!$A:$A),MATCH(N$1,[2]enemies!$1:$1,0)-MATCH($L$1,[2]enemies!$1:$1,0)+1),MATCH(N$1,[2]enemies!$1:$1,0)-MATCH($L$1,[2]enemies!$1:$1,0)+1,FALSE)</f>
        <v>blue</v>
      </c>
      <c r="O66" s="21" t="str">
        <f ca="1">VLOOKUP($L66,OFFSET([3]characters!$A$1,0,0,COUNTA([3]characters!$A:$A),MATCH(O$1,[3]characters!$1:$1,0)-MATCH($L$1,[3]characters!$1:$1,0)+1),MATCH(O$1,[3]characters!$1:$1,0)-MATCH($L$1,[3]characters!$1:$1,0)+1,FALSE)</f>
        <v>Drop1N</v>
      </c>
      <c r="P66" s="21" t="str">
        <f ca="1">VLOOKUP($L66,OFFSET([2]enemies!$A$1,0,0,COUNTA([2]enemies!$A:$A),MATCH(P$1,[2]enemies!$1:$1,0)-MATCH($L$1,[2]enemies!$1:$1,0)+1),MATCH(P$1,[2]enemies!$1:$1,0)-MATCH($L$1,[2]enemies!$1:$1,0)+1,FALSE)</f>
        <v>animal</v>
      </c>
      <c r="Q66" s="21">
        <f ca="1">VLOOKUP($L66,OFFSET([2]enemies!$A$1,0,0,COUNTA([2]enemies!$A:$A),MATCH(Q$1,[2]enemies!$1:$1,0)-MATCH($L$1,[2]enemies!$1:$1,0)+1),MATCH(Q$1,[2]enemies!$1:$1,0)-MATCH($L$1,[2]enemies!$1:$1,0)+1,FALSE)</f>
        <v>15</v>
      </c>
      <c r="R66" s="53">
        <v>44</v>
      </c>
      <c r="S66" s="27">
        <v>1</v>
      </c>
      <c r="T66" s="27">
        <v>1</v>
      </c>
      <c r="U66" s="5">
        <v>0</v>
      </c>
      <c r="V66" s="4" t="str">
        <f ca="1">VLOOKUP($W66,OFFSET([4]enemy_skill_sets!$B$1,0,0,COUNTA([4]enemy_skill_sets!$B:$B),MATCH(M$1,[4]enemy_skill_sets!$1:$1,0)-MATCH($W$1,[4]enemy_skill_sets!$1:$1,0)+2),MATCH(M$1,[4]enemy_skill_sets!$1:$1,0)-MATCH($W$1,[4]enemy_skill_sets!$1:$1,0)+2,FALSE)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6" s="4">
        <f ca="1">VLOOKUP($L66,OFFSET([2]enemies!$A$1,0,0,COUNTA([2]enemies!$A:$A),MATCH(W$1,[2]enemies!$1:$1,0)-MATCH($L$1,[2]enemies!$1:$1,0)+1),MATCH(W$1,[2]enemies!$1:$1,0)-MATCH($L$1,[2]enemies!$1:$1,0)+1,FALSE)</f>
        <v>61</v>
      </c>
      <c r="X66" s="6">
        <v>0</v>
      </c>
      <c r="Y66" s="6">
        <v>100</v>
      </c>
      <c r="Z66" s="6">
        <v>0</v>
      </c>
      <c r="AA66" s="4">
        <f ca="1">VLOOKUP($L66,OFFSET([2]enemies!$A$1,0,0,COUNTA([2]enemies!$A:$A),MATCH(AA$1,[2]enemies!$1:$1,0)-MATCH($L$1,[2]enemies!$1:$1,0)+1),MATCH(AA$1,[2]enemies!$1:$1,0)-MATCH($L$1,[2]enemies!$1:$1,0)+1,FALSE)</f>
        <v>2</v>
      </c>
      <c r="AB66" s="52">
        <v>61</v>
      </c>
      <c r="AC66" s="4" t="str">
        <f ca="1">VLOOKUP($AB66,OFFSET([3]characters!$A$1,0,0,COUNTA([3]characters!$A:$A),MATCH(AC$1,[3]characters!$1:$1,0)-MATCH("character_id",[3]characters!$1:$1,0)+1),MATCH(AC$1,[3]characters!$1:$1,0)-MATCH("character_id",[3]characters!$1:$1,0)+1,FALSE)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66" s="4">
        <f ca="1">VLOOKUP($AB66,OFFSET([3]characters!$A$1,0,0,COUNTA([3]characters!$A:$A),MATCH(AD$1,[3]characters!$1:$1,0)-MATCH("character_id",[3]characters!$1:$1,0)+1),MATCH(AD$1,[3]characters!$1:$1,0)-MATCH("character_id",[3]characters!$1:$1,0)+1,FALSE)</f>
        <v>2</v>
      </c>
      <c r="AE66" s="4" t="str">
        <f ca="1">VLOOKUP($AB66,OFFSET([3]characters!$A$1,0,0,COUNTA([3]characters!$A:$A),MATCH(AE$1,[3]characters!$1:$1,0)-MATCH("character_id",[3]characters!$1:$1,0)+1),MATCH(AE$1,[3]characters!$1:$1,0)-MATCH("character_id",[3]characters!$1:$1,0)+1,FALSE)</f>
        <v>Drop1N</v>
      </c>
      <c r="AF66" s="7">
        <v>7</v>
      </c>
      <c r="AG66" s="26">
        <f t="shared" ca="1" si="3"/>
        <v>2</v>
      </c>
      <c r="AH66" s="8">
        <v>20</v>
      </c>
      <c r="AI66" s="7">
        <v>0</v>
      </c>
      <c r="AJ66" s="7">
        <v>0</v>
      </c>
      <c r="AK66" s="7">
        <v>0</v>
      </c>
      <c r="AL66" s="7">
        <v>0</v>
      </c>
      <c r="AM66" s="7">
        <v>1</v>
      </c>
    </row>
    <row r="67" spans="1:39" ht="14" x14ac:dyDescent="0.15">
      <c r="A67" s="18" t="str">
        <f t="shared" ref="A67" ca="1" si="78">B67&amp;"_"&amp;C67&amp;"-"&amp;G67&amp;"/"&amp;L67&amp;"&lt;lv"&amp;R67&amp;"&gt;s"&amp;AA67</f>
        <v>22_3-1/364&lt;lv44&gt;s3</v>
      </c>
      <c r="B67" s="53">
        <v>22</v>
      </c>
      <c r="C67" s="51">
        <v>3</v>
      </c>
      <c r="D67" s="2" t="str">
        <f t="shared" ref="D67" si="79">B67&amp;"_"&amp;C67</f>
        <v>22_3</v>
      </c>
      <c r="E67" s="2" t="str">
        <f t="shared" ref="E67" si="80">C67&amp;"_"&amp;D67</f>
        <v>3_22_3</v>
      </c>
      <c r="F67" s="4" t="str">
        <f ca="1">VLOOKUP($D67,OFFSET([1]stages!$A$1,0,0,COUNTA([1]stages!$A:$A),MATCH(F$1,[1]stages!$2:$2,0)-MATCH($D$1,[1]stages!$2:$2,0)+1),MATCH(F$1,[1]stages!$2:$2,0)-MATCH($D$1,[1]stages!$2:$2,0)+1,FALSE)</f>
        <v>22-3．誘眠の鼓音</v>
      </c>
      <c r="G67" s="55">
        <v>1</v>
      </c>
      <c r="H67" s="17" t="str">
        <f t="shared" ref="H67" si="81">B67&amp;"_"&amp;C67&amp;"-"&amp;G67</f>
        <v>22_3-1</v>
      </c>
      <c r="I67" s="17"/>
      <c r="J67" s="17"/>
      <c r="K67" s="65" t="s">
        <v>56</v>
      </c>
      <c r="L67" s="52">
        <v>364</v>
      </c>
      <c r="M67" s="21" t="str">
        <f ca="1">VLOOKUP($L67,OFFSET([2]enemies!$A$1,0,0,COUNTA([2]enemies!$A:$A),MATCH(M$1,[2]enemies!$1:$1,0)-MATCH($L$1,[2]enemies!$1:$1,0)+1),MATCH(M$1,[2]enemies!$1:$1,0)-MATCH($L$1,[2]enemies!$1:$1,0)+1,FALSE)</f>
        <v>ノエル</v>
      </c>
      <c r="N67" s="21" t="str">
        <f ca="1">VLOOKUP($L67,OFFSET([2]enemies!$A$1,0,0,COUNTA([2]enemies!$A:$A),MATCH(N$1,[2]enemies!$1:$1,0)-MATCH($L$1,[2]enemies!$1:$1,0)+1),MATCH(N$1,[2]enemies!$1:$1,0)-MATCH($L$1,[2]enemies!$1:$1,0)+1,FALSE)</f>
        <v>blue</v>
      </c>
      <c r="O67" s="21" t="str">
        <f ca="1">VLOOKUP($L67,OFFSET([3]characters!$A$1,0,0,COUNTA([3]characters!$A:$A),MATCH(O$1,[3]characters!$1:$1,0)-MATCH($L$1,[3]characters!$1:$1,0)+1),MATCH(O$1,[3]characters!$1:$1,0)-MATCH($L$1,[3]characters!$1:$1,0)+1,FALSE)</f>
        <v>Drop1S</v>
      </c>
      <c r="P67" s="21" t="str">
        <f ca="1">VLOOKUP($L67,OFFSET([2]enemies!$A$1,0,0,COUNTA([2]enemies!$A:$A),MATCH(P$1,[2]enemies!$1:$1,0)-MATCH($L$1,[2]enemies!$1:$1,0)+1),MATCH(P$1,[2]enemies!$1:$1,0)-MATCH($L$1,[2]enemies!$1:$1,0)+1,FALSE)</f>
        <v>animal</v>
      </c>
      <c r="Q67" s="21">
        <f ca="1">VLOOKUP($L67,OFFSET([2]enemies!$A$1,0,0,COUNTA([2]enemies!$A:$A),MATCH(Q$1,[2]enemies!$1:$1,0)-MATCH($L$1,[2]enemies!$1:$1,0)+1),MATCH(Q$1,[2]enemies!$1:$1,0)-MATCH($L$1,[2]enemies!$1:$1,0)+1,FALSE)</f>
        <v>15</v>
      </c>
      <c r="R67" s="53">
        <v>44</v>
      </c>
      <c r="S67" s="27">
        <v>1</v>
      </c>
      <c r="T67" s="27">
        <v>1</v>
      </c>
      <c r="U67" s="5">
        <v>0</v>
      </c>
      <c r="V67" s="4" t="str">
        <f ca="1">VLOOKUP($W67,OFFSET([4]enemy_skill_sets!$B$1,0,0,COUNTA([4]enemy_skill_sets!$B:$B),MATCH(M$1,[4]enemy_skill_sets!$1:$1,0)-MATCH($W$1,[4]enemy_skill_sets!$1:$1,0)+2),MATCH(M$1,[4]enemy_skill_sets!$1:$1,0)-MATCH($W$1,[4]enemy_skill_sets!$1:$1,0)+2,FALSE)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67" s="64">
        <v>364</v>
      </c>
      <c r="X67" s="6">
        <v>0</v>
      </c>
      <c r="Y67" s="6">
        <v>100</v>
      </c>
      <c r="Z67" s="6">
        <v>0</v>
      </c>
      <c r="AA67" s="4">
        <f ca="1">VLOOKUP($L67,OFFSET([2]enemies!$A$1,0,0,COUNTA([2]enemies!$A:$A),MATCH(AA$1,[2]enemies!$1:$1,0)-MATCH($L$1,[2]enemies!$1:$1,0)+1),MATCH(AA$1,[2]enemies!$1:$1,0)-MATCH($L$1,[2]enemies!$1:$1,0)+1,FALSE)</f>
        <v>3</v>
      </c>
      <c r="AB67" s="52">
        <v>364</v>
      </c>
      <c r="AC67" s="4" t="str">
        <f ca="1">VLOOKUP($AB67,OFFSET([3]characters!$A$1,0,0,COUNTA([3]characters!$A:$A),MATCH(AC$1,[3]characters!$1:$1,0)-MATCH("character_id",[3]characters!$1:$1,0)+1),MATCH(AC$1,[3]characters!$1:$1,0)-MATCH("character_id",[3]characters!$1:$1,0)+1,FALSE)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67" s="4">
        <f ca="1">VLOOKUP($AB67,OFFSET([3]characters!$A$1,0,0,COUNTA([3]characters!$A:$A),MATCH(AD$1,[3]characters!$1:$1,0)-MATCH("character_id",[3]characters!$1:$1,0)+1),MATCH(AD$1,[3]characters!$1:$1,0)-MATCH("character_id",[3]characters!$1:$1,0)+1,FALSE)</f>
        <v>2</v>
      </c>
      <c r="AE67" s="4" t="str">
        <f ca="1">VLOOKUP($AB67,OFFSET([3]characters!$A$1,0,0,COUNTA([3]characters!$A:$A),MATCH(AE$1,[3]characters!$1:$1,0)-MATCH("character_id",[3]characters!$1:$1,0)+1),MATCH(AE$1,[3]characters!$1:$1,0)-MATCH("character_id",[3]characters!$1:$1,0)+1,FALSE)</f>
        <v>Drop1S</v>
      </c>
      <c r="AF67" s="7">
        <v>7</v>
      </c>
      <c r="AG67" s="26">
        <f t="shared" ref="AG67:AG130" ca="1" si="82">AD67</f>
        <v>2</v>
      </c>
      <c r="AH67" s="8">
        <v>20</v>
      </c>
      <c r="AI67" s="7">
        <v>0</v>
      </c>
      <c r="AJ67" s="7">
        <v>0</v>
      </c>
      <c r="AK67" s="7">
        <v>0</v>
      </c>
      <c r="AL67" s="7">
        <v>0</v>
      </c>
      <c r="AM67" s="7">
        <v>1</v>
      </c>
    </row>
    <row r="68" spans="1:39" ht="14" x14ac:dyDescent="0.15">
      <c r="A68" s="18" t="str">
        <f t="shared" ref="A68" ca="1" si="83">B68&amp;"_"&amp;C68&amp;"-"&amp;G68&amp;"/"&amp;L68&amp;"&lt;lv"&amp;R68&amp;"&gt;s"&amp;AA68</f>
        <v>22_3-1/348&lt;lv44&gt;s3</v>
      </c>
      <c r="B68" s="53">
        <v>22</v>
      </c>
      <c r="C68" s="51">
        <v>3</v>
      </c>
      <c r="D68" s="2" t="str">
        <f t="shared" ref="D68" si="84">B68&amp;"_"&amp;C68</f>
        <v>22_3</v>
      </c>
      <c r="E68" s="2" t="str">
        <f t="shared" ref="E68" si="85">C68&amp;"_"&amp;D68</f>
        <v>3_22_3</v>
      </c>
      <c r="F68" s="4" t="str">
        <f ca="1">VLOOKUP($D68,OFFSET([1]stages!$A$1,0,0,COUNTA([1]stages!$A:$A),MATCH(F$1,[1]stages!$2:$2,0)-MATCH($D$1,[1]stages!$2:$2,0)+1),MATCH(F$1,[1]stages!$2:$2,0)-MATCH($D$1,[1]stages!$2:$2,0)+1,FALSE)</f>
        <v>22-3．誘眠の鼓音</v>
      </c>
      <c r="G68" s="55">
        <v>1</v>
      </c>
      <c r="H68" s="17" t="str">
        <f t="shared" ref="H68" si="86">B68&amp;"_"&amp;C68&amp;"-"&amp;G68</f>
        <v>22_3-1</v>
      </c>
      <c r="I68" s="17"/>
      <c r="J68" s="17"/>
      <c r="K68" s="65" t="s">
        <v>56</v>
      </c>
      <c r="L68" s="52">
        <v>348</v>
      </c>
      <c r="M68" s="21" t="str">
        <f ca="1">VLOOKUP($L68,OFFSET([2]enemies!$A$1,0,0,COUNTA([2]enemies!$A:$A),MATCH(M$1,[2]enemies!$1:$1,0)-MATCH($L$1,[2]enemies!$1:$1,0)+1),MATCH(M$1,[2]enemies!$1:$1,0)-MATCH($L$1,[2]enemies!$1:$1,0)+1,FALSE)</f>
        <v>炎のケロケロ</v>
      </c>
      <c r="N68" s="21" t="str">
        <f ca="1">VLOOKUP($L68,OFFSET([2]enemies!$A$1,0,0,COUNTA([2]enemies!$A:$A),MATCH(N$1,[2]enemies!$1:$1,0)-MATCH($L$1,[2]enemies!$1:$1,0)+1),MATCH(N$1,[2]enemies!$1:$1,0)-MATCH($L$1,[2]enemies!$1:$1,0)+1,FALSE)</f>
        <v>red</v>
      </c>
      <c r="O68" s="21" t="str">
        <f ca="1">VLOOKUP($L68,OFFSET([3]characters!$A$1,0,0,COUNTA([3]characters!$A:$A),MATCH(O$1,[3]characters!$1:$1,0)-MATCH($L$1,[3]characters!$1:$1,0)+1),MATCH(O$1,[3]characters!$1:$1,0)-MATCH($L$1,[3]characters!$1:$1,0)+1,FALSE)</f>
        <v>Material</v>
      </c>
      <c r="P68" s="21" t="str">
        <f ca="1">VLOOKUP($L68,OFFSET([2]enemies!$A$1,0,0,COUNTA([2]enemies!$A:$A),MATCH(P$1,[2]enemies!$1:$1,0)-MATCH($L$1,[2]enemies!$1:$1,0)+1),MATCH(P$1,[2]enemies!$1:$1,0)-MATCH($L$1,[2]enemies!$1:$1,0)+1,FALSE)</f>
        <v>unknown</v>
      </c>
      <c r="Q68" s="21">
        <f ca="1">VLOOKUP($L68,OFFSET([2]enemies!$A$1,0,0,COUNTA([2]enemies!$A:$A),MATCH(Q$1,[2]enemies!$1:$1,0)-MATCH($L$1,[2]enemies!$1:$1,0)+1),MATCH(Q$1,[2]enemies!$1:$1,0)-MATCH($L$1,[2]enemies!$1:$1,0)+1,FALSE)</f>
        <v>15</v>
      </c>
      <c r="R68" s="53">
        <v>44</v>
      </c>
      <c r="S68" s="27">
        <v>1</v>
      </c>
      <c r="T68" s="27">
        <v>1</v>
      </c>
      <c r="U68" s="5">
        <v>0</v>
      </c>
      <c r="V68" s="4" t="str">
        <f ca="1">VLOOKUP($W68,OFFSET([4]enemy_skill_sets!$B$1,0,0,COUNTA([4]enemy_skill_sets!$B:$B),MATCH(M$1,[4]enemy_skill_sets!$1:$1,0)-MATCH($W$1,[4]enemy_skill_sets!$1:$1,0)+2),MATCH(M$1,[4]enemy_skill_sets!$1:$1,0)-MATCH($W$1,[4]enemy_skill_sets!$1:$1,0)+2,FALSE)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68" s="64">
        <v>348</v>
      </c>
      <c r="X68" s="6">
        <v>1</v>
      </c>
      <c r="Y68" s="6">
        <v>100</v>
      </c>
      <c r="Z68" s="6">
        <v>0</v>
      </c>
      <c r="AA68" s="4">
        <f ca="1">VLOOKUP($L68,OFFSET([2]enemies!$A$1,0,0,COUNTA([2]enemies!$A:$A),MATCH(AA$1,[2]enemies!$1:$1,0)-MATCH($L$1,[2]enemies!$1:$1,0)+1),MATCH(AA$1,[2]enemies!$1:$1,0)-MATCH($L$1,[2]enemies!$1:$1,0)+1,FALSE)</f>
        <v>3</v>
      </c>
      <c r="AB68" s="52">
        <v>348</v>
      </c>
      <c r="AC68" s="4" t="str">
        <f ca="1">VLOOKUP($AB68,OFFSET([3]characters!$A$1,0,0,COUNTA([3]characters!$A:$A),MATCH(AC$1,[3]characters!$1:$1,0)-MATCH("character_id",[3]characters!$1:$1,0)+1),MATCH(AC$1,[3]characters!$1:$1,0)-MATCH("character_id",[3]characters!$1:$1,0)+1,FALSE)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68" s="4">
        <f ca="1">VLOOKUP($AB68,OFFSET([3]characters!$A$1,0,0,COUNTA([3]characters!$A:$A),MATCH(AD$1,[3]characters!$1:$1,0)-MATCH("character_id",[3]characters!$1:$1,0)+1),MATCH(AD$1,[3]characters!$1:$1,0)-MATCH("character_id",[3]characters!$1:$1,0)+1,FALSE)</f>
        <v>2</v>
      </c>
      <c r="AE68" s="4" t="str">
        <f ca="1">VLOOKUP($AB68,OFFSET([3]characters!$A$1,0,0,COUNTA([3]characters!$A:$A),MATCH(AE$1,[3]characters!$1:$1,0)-MATCH("character_id",[3]characters!$1:$1,0)+1),MATCH(AE$1,[3]characters!$1:$1,0)-MATCH("character_id",[3]characters!$1:$1,0)+1,FALSE)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8" s="7">
        <v>10</v>
      </c>
      <c r="AG68" s="26">
        <f t="shared" ca="1" si="82"/>
        <v>2</v>
      </c>
      <c r="AH68" s="8">
        <v>100</v>
      </c>
      <c r="AI68" s="7">
        <v>0</v>
      </c>
      <c r="AJ68" s="7">
        <v>0</v>
      </c>
      <c r="AK68" s="7">
        <v>0</v>
      </c>
      <c r="AL68" s="7">
        <v>0</v>
      </c>
      <c r="AM68" s="7">
        <v>1</v>
      </c>
    </row>
    <row r="69" spans="1:39" ht="14" x14ac:dyDescent="0.15">
      <c r="A69" s="18" t="str">
        <f t="shared" ca="1" si="56"/>
        <v>22_3-2/9&lt;lv44&gt;s2</v>
      </c>
      <c r="B69" s="50">
        <v>22</v>
      </c>
      <c r="C69" s="49">
        <v>3</v>
      </c>
      <c r="D69" s="2" t="str">
        <f t="shared" si="57"/>
        <v>22_3</v>
      </c>
      <c r="E69" s="2" t="str">
        <f t="shared" si="57"/>
        <v>3_22_3</v>
      </c>
      <c r="F69" s="4" t="str">
        <f ca="1">VLOOKUP($D69,OFFSET([1]stages!$A$1,0,0,COUNTA([1]stages!$A:$A),MATCH(F$1,[1]stages!$2:$2,0)-MATCH($D$1,[1]stages!$2:$2,0)+1),MATCH(F$1,[1]stages!$2:$2,0)-MATCH($D$1,[1]stages!$2:$2,0)+1,FALSE)</f>
        <v>22-3．誘眠の鼓音</v>
      </c>
      <c r="G69" s="58">
        <v>2</v>
      </c>
      <c r="H69" s="17" t="str">
        <f t="shared" si="58"/>
        <v>22_3-2</v>
      </c>
      <c r="I69" s="17"/>
      <c r="J69" s="17"/>
      <c r="K69" s="65" t="s">
        <v>56</v>
      </c>
      <c r="L69" s="52">
        <v>9</v>
      </c>
      <c r="M69" s="21" t="str">
        <f ca="1">VLOOKUP($L69,OFFSET([2]enemies!$A$1,0,0,COUNTA([2]enemies!$A:$A),MATCH(M$1,[2]enemies!$1:$1,0)-MATCH($L$1,[2]enemies!$1:$1,0)+1),MATCH(M$1,[2]enemies!$1:$1,0)-MATCH($L$1,[2]enemies!$1:$1,0)+1,FALSE)</f>
        <v>ブレット</v>
      </c>
      <c r="N69" s="21" t="str">
        <f ca="1">VLOOKUP($L69,OFFSET([2]enemies!$A$1,0,0,COUNTA([2]enemies!$A:$A),MATCH(N$1,[2]enemies!$1:$1,0)-MATCH($L$1,[2]enemies!$1:$1,0)+1),MATCH(N$1,[2]enemies!$1:$1,0)-MATCH($L$1,[2]enemies!$1:$1,0)+1,FALSE)</f>
        <v>red</v>
      </c>
      <c r="O69" s="21" t="str">
        <f ca="1">VLOOKUP($L69,OFFSET([3]characters!$A$1,0,0,COUNTA([3]characters!$A:$A),MATCH(O$1,[3]characters!$1:$1,0)-MATCH($L$1,[3]characters!$1:$1,0)+1),MATCH(O$1,[3]characters!$1:$1,0)-MATCH($L$1,[3]characters!$1:$1,0)+1,FALSE)</f>
        <v>Drop1W</v>
      </c>
      <c r="P69" s="21" t="str">
        <f ca="1">VLOOKUP($L69,OFFSET([2]enemies!$A$1,0,0,COUNTA([2]enemies!$A:$A),MATCH(P$1,[2]enemies!$1:$1,0)-MATCH($L$1,[2]enemies!$1:$1,0)+1),MATCH(P$1,[2]enemies!$1:$1,0)-MATCH($L$1,[2]enemies!$1:$1,0)+1,FALSE)</f>
        <v>animal</v>
      </c>
      <c r="Q69" s="21">
        <f ca="1">VLOOKUP($L69,OFFSET([2]enemies!$A$1,0,0,COUNTA([2]enemies!$A:$A),MATCH(Q$1,[2]enemies!$1:$1,0)-MATCH($L$1,[2]enemies!$1:$1,0)+1),MATCH(Q$1,[2]enemies!$1:$1,0)-MATCH($L$1,[2]enemies!$1:$1,0)+1,FALSE)</f>
        <v>15</v>
      </c>
      <c r="R69" s="53">
        <v>44</v>
      </c>
      <c r="S69" s="27">
        <v>1</v>
      </c>
      <c r="T69" s="27">
        <v>1</v>
      </c>
      <c r="U69" s="5">
        <v>0</v>
      </c>
      <c r="V69" s="4" t="str">
        <f ca="1">VLOOKUP($W69,OFFSET([4]enemy_skill_sets!$B$1,0,0,COUNTA([4]enemy_skill_sets!$B:$B),MATCH(M$1,[4]enemy_skill_sets!$1:$1,0)-MATCH($W$1,[4]enemy_skill_sets!$1:$1,0)+2),MATCH(M$1,[4]enemy_skill_sets!$1:$1,0)-MATCH($W$1,[4]enemy_skill_sets!$1:$1,0)+2,FALSE)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9" s="4">
        <f ca="1">VLOOKUP($L69,OFFSET([2]enemies!$A$1,0,0,COUNTA([2]enemies!$A:$A),MATCH(W$1,[2]enemies!$1:$1,0)-MATCH($L$1,[2]enemies!$1:$1,0)+1),MATCH(W$1,[2]enemies!$1:$1,0)-MATCH($L$1,[2]enemies!$1:$1,0)+1,FALSE)</f>
        <v>0</v>
      </c>
      <c r="X69" s="6">
        <v>0</v>
      </c>
      <c r="Y69" s="6">
        <v>100</v>
      </c>
      <c r="Z69" s="6">
        <v>0</v>
      </c>
      <c r="AA69" s="4">
        <f ca="1">VLOOKUP($L69,OFFSET([2]enemies!$A$1,0,0,COUNTA([2]enemies!$A:$A),MATCH(AA$1,[2]enemies!$1:$1,0)-MATCH($L$1,[2]enemies!$1:$1,0)+1),MATCH(AA$1,[2]enemies!$1:$1,0)-MATCH($L$1,[2]enemies!$1:$1,0)+1,FALSE)</f>
        <v>2</v>
      </c>
      <c r="AB69" s="52">
        <v>9</v>
      </c>
      <c r="AC69" s="4" t="str">
        <f ca="1">VLOOKUP($AB69,OFFSET([3]characters!$A$1,0,0,COUNTA([3]characters!$A:$A),MATCH(AC$1,[3]characters!$1:$1,0)-MATCH("character_id",[3]characters!$1:$1,0)+1),MATCH(AC$1,[3]characters!$1:$1,0)-MATCH("character_id",[3]characters!$1:$1,0)+1,FALSE)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69" s="4">
        <f ca="1">VLOOKUP($AB69,OFFSET([3]characters!$A$1,0,0,COUNTA([3]characters!$A:$A),MATCH(AD$1,[3]characters!$1:$1,0)-MATCH("character_id",[3]characters!$1:$1,0)+1),MATCH(AD$1,[3]characters!$1:$1,0)-MATCH("character_id",[3]characters!$1:$1,0)+1,FALSE)</f>
        <v>1</v>
      </c>
      <c r="AE69" s="4" t="str">
        <f ca="1">VLOOKUP($AB69,OFFSET([3]characters!$A$1,0,0,COUNTA([3]characters!$A:$A),MATCH(AE$1,[3]characters!$1:$1,0)-MATCH("character_id",[3]characters!$1:$1,0)+1),MATCH(AE$1,[3]characters!$1:$1,0)-MATCH("character_id",[3]characters!$1:$1,0)+1,FALSE)</f>
        <v>Drop1W</v>
      </c>
      <c r="AF69" s="7">
        <v>9</v>
      </c>
      <c r="AG69" s="26">
        <f t="shared" ca="1" si="82"/>
        <v>1</v>
      </c>
      <c r="AH69" s="8">
        <v>20</v>
      </c>
      <c r="AI69" s="7">
        <v>0</v>
      </c>
      <c r="AJ69" s="7">
        <v>0</v>
      </c>
      <c r="AK69" s="7">
        <v>0</v>
      </c>
      <c r="AL69" s="7">
        <v>0</v>
      </c>
      <c r="AM69" s="7">
        <v>1</v>
      </c>
    </row>
    <row r="70" spans="1:39" ht="14" x14ac:dyDescent="0.15">
      <c r="A70" s="18" t="str">
        <f t="shared" ca="1" si="56"/>
        <v>22_3-2/33&lt;lv44&gt;s2</v>
      </c>
      <c r="B70" s="50">
        <v>22</v>
      </c>
      <c r="C70" s="49">
        <v>3</v>
      </c>
      <c r="D70" s="2" t="str">
        <f t="shared" si="57"/>
        <v>22_3</v>
      </c>
      <c r="E70" s="2" t="str">
        <f t="shared" si="57"/>
        <v>3_22_3</v>
      </c>
      <c r="F70" s="4" t="str">
        <f ca="1">VLOOKUP($D70,OFFSET([1]stages!$A$1,0,0,COUNTA([1]stages!$A:$A),MATCH(F$1,[1]stages!$2:$2,0)-MATCH($D$1,[1]stages!$2:$2,0)+1),MATCH(F$1,[1]stages!$2:$2,0)-MATCH($D$1,[1]stages!$2:$2,0)+1,FALSE)</f>
        <v>22-3．誘眠の鼓音</v>
      </c>
      <c r="G70" s="58">
        <v>2</v>
      </c>
      <c r="H70" s="17" t="str">
        <f t="shared" si="58"/>
        <v>22_3-2</v>
      </c>
      <c r="I70" s="17"/>
      <c r="J70" s="17"/>
      <c r="K70" s="65" t="s">
        <v>56</v>
      </c>
      <c r="L70" s="52">
        <v>33</v>
      </c>
      <c r="M70" s="21" t="str">
        <f ca="1">VLOOKUP($L70,OFFSET([2]enemies!$A$1,0,0,COUNTA([2]enemies!$A:$A),MATCH(M$1,[2]enemies!$1:$1,0)-MATCH($L$1,[2]enemies!$1:$1,0)+1),MATCH(M$1,[2]enemies!$1:$1,0)-MATCH($L$1,[2]enemies!$1:$1,0)+1,FALSE)</f>
        <v>ゴクウ</v>
      </c>
      <c r="N70" s="21" t="str">
        <f ca="1">VLOOKUP($L70,OFFSET([2]enemies!$A$1,0,0,COUNTA([2]enemies!$A:$A),MATCH(N$1,[2]enemies!$1:$1,0)-MATCH($L$1,[2]enemies!$1:$1,0)+1),MATCH(N$1,[2]enemies!$1:$1,0)-MATCH($L$1,[2]enemies!$1:$1,0)+1,FALSE)</f>
        <v>red</v>
      </c>
      <c r="O70" s="21" t="str">
        <f ca="1">VLOOKUP($L70,OFFSET([3]characters!$A$1,0,0,COUNTA([3]characters!$A:$A),MATCH(O$1,[3]characters!$1:$1,0)-MATCH($L$1,[3]characters!$1:$1,0)+1),MATCH(O$1,[3]characters!$1:$1,0)-MATCH($L$1,[3]characters!$1:$1,0)+1,FALSE)</f>
        <v>Drop1S</v>
      </c>
      <c r="P70" s="21" t="str">
        <f ca="1">VLOOKUP($L70,OFFSET([2]enemies!$A$1,0,0,COUNTA([2]enemies!$A:$A),MATCH(P$1,[2]enemies!$1:$1,0)-MATCH($L$1,[2]enemies!$1:$1,0)+1),MATCH(P$1,[2]enemies!$1:$1,0)-MATCH($L$1,[2]enemies!$1:$1,0)+1,FALSE)</f>
        <v>animal</v>
      </c>
      <c r="Q70" s="21">
        <f ca="1">VLOOKUP($L70,OFFSET([2]enemies!$A$1,0,0,COUNTA([2]enemies!$A:$A),MATCH(Q$1,[2]enemies!$1:$1,0)-MATCH($L$1,[2]enemies!$1:$1,0)+1),MATCH(Q$1,[2]enemies!$1:$1,0)-MATCH($L$1,[2]enemies!$1:$1,0)+1,FALSE)</f>
        <v>15</v>
      </c>
      <c r="R70" s="53">
        <v>44</v>
      </c>
      <c r="S70" s="27">
        <v>1</v>
      </c>
      <c r="T70" s="27">
        <v>1</v>
      </c>
      <c r="U70" s="5">
        <v>0</v>
      </c>
      <c r="V70" s="4" t="str">
        <f ca="1">VLOOKUP($W70,OFFSET([4]enemy_skill_sets!$B$1,0,0,COUNTA([4]enemy_skill_sets!$B:$B),MATCH(M$1,[4]enemy_skill_sets!$1:$1,0)-MATCH($W$1,[4]enemy_skill_sets!$1:$1,0)+2),MATCH(M$1,[4]enemy_skill_sets!$1:$1,0)-MATCH($W$1,[4]enemy_skill_sets!$1:$1,0)+2,FALSE)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70" s="4">
        <f ca="1">VLOOKUP($L70,OFFSET([2]enemies!$A$1,0,0,COUNTA([2]enemies!$A:$A),MATCH(W$1,[2]enemies!$1:$1,0)-MATCH($L$1,[2]enemies!$1:$1,0)+1),MATCH(W$1,[2]enemies!$1:$1,0)-MATCH($L$1,[2]enemies!$1:$1,0)+1,FALSE)</f>
        <v>33</v>
      </c>
      <c r="X70" s="6">
        <v>0</v>
      </c>
      <c r="Y70" s="6">
        <v>100</v>
      </c>
      <c r="Z70" s="6">
        <v>0</v>
      </c>
      <c r="AA70" s="4">
        <f ca="1">VLOOKUP($L70,OFFSET([2]enemies!$A$1,0,0,COUNTA([2]enemies!$A:$A),MATCH(AA$1,[2]enemies!$1:$1,0)-MATCH($L$1,[2]enemies!$1:$1,0)+1),MATCH(AA$1,[2]enemies!$1:$1,0)-MATCH($L$1,[2]enemies!$1:$1,0)+1,FALSE)</f>
        <v>2</v>
      </c>
      <c r="AB70" s="52">
        <v>33</v>
      </c>
      <c r="AC70" s="4" t="str">
        <f ca="1">VLOOKUP($AB70,OFFSET([3]characters!$A$1,0,0,COUNTA([3]characters!$A:$A),MATCH(AC$1,[3]characters!$1:$1,0)-MATCH("character_id",[3]characters!$1:$1,0)+1),MATCH(AC$1,[3]characters!$1:$1,0)-MATCH("character_id",[3]characters!$1:$1,0)+1,FALSE)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70" s="4">
        <f ca="1">VLOOKUP($AB70,OFFSET([3]characters!$A$1,0,0,COUNTA([3]characters!$A:$A),MATCH(AD$1,[3]characters!$1:$1,0)-MATCH("character_id",[3]characters!$1:$1,0)+1),MATCH(AD$1,[3]characters!$1:$1,0)-MATCH("character_id",[3]characters!$1:$1,0)+1,FALSE)</f>
        <v>2</v>
      </c>
      <c r="AE70" s="4" t="str">
        <f ca="1">VLOOKUP($AB70,OFFSET([3]characters!$A$1,0,0,COUNTA([3]characters!$A:$A),MATCH(AE$1,[3]characters!$1:$1,0)-MATCH("character_id",[3]characters!$1:$1,0)+1),MATCH(AE$1,[3]characters!$1:$1,0)-MATCH("character_id",[3]characters!$1:$1,0)+1,FALSE)</f>
        <v>Drop1S</v>
      </c>
      <c r="AF70" s="7">
        <v>5</v>
      </c>
      <c r="AG70" s="26">
        <f t="shared" ca="1" si="82"/>
        <v>2</v>
      </c>
      <c r="AH70" s="8">
        <v>20</v>
      </c>
      <c r="AI70" s="7">
        <v>0</v>
      </c>
      <c r="AJ70" s="7">
        <v>0</v>
      </c>
      <c r="AK70" s="7">
        <v>0</v>
      </c>
      <c r="AL70" s="7">
        <v>0</v>
      </c>
      <c r="AM70" s="7">
        <v>1</v>
      </c>
    </row>
    <row r="71" spans="1:39" ht="14" x14ac:dyDescent="0.15">
      <c r="A71" s="18" t="str">
        <f t="shared" ca="1" si="56"/>
        <v>22_3-2/57&lt;lv44&gt;s2</v>
      </c>
      <c r="B71" s="50">
        <v>22</v>
      </c>
      <c r="C71" s="49">
        <v>3</v>
      </c>
      <c r="D71" s="2" t="str">
        <f t="shared" si="57"/>
        <v>22_3</v>
      </c>
      <c r="E71" s="2" t="str">
        <f t="shared" si="57"/>
        <v>3_22_3</v>
      </c>
      <c r="F71" s="4" t="str">
        <f ca="1">VLOOKUP($D71,OFFSET([1]stages!$A$1,0,0,COUNTA([1]stages!$A:$A),MATCH(F$1,[1]stages!$2:$2,0)-MATCH($D$1,[1]stages!$2:$2,0)+1),MATCH(F$1,[1]stages!$2:$2,0)-MATCH($D$1,[1]stages!$2:$2,0)+1,FALSE)</f>
        <v>22-3．誘眠の鼓音</v>
      </c>
      <c r="G71" s="58">
        <v>2</v>
      </c>
      <c r="H71" s="17" t="str">
        <f t="shared" si="58"/>
        <v>22_3-2</v>
      </c>
      <c r="I71" s="17"/>
      <c r="J71" s="17"/>
      <c r="K71" s="65" t="s">
        <v>56</v>
      </c>
      <c r="L71" s="52">
        <v>57</v>
      </c>
      <c r="M71" s="21" t="str">
        <f ca="1">VLOOKUP($L71,OFFSET([2]enemies!$A$1,0,0,COUNTA([2]enemies!$A:$A),MATCH(M$1,[2]enemies!$1:$1,0)-MATCH($L$1,[2]enemies!$1:$1,0)+1),MATCH(M$1,[2]enemies!$1:$1,0)-MATCH($L$1,[2]enemies!$1:$1,0)+1,FALSE)</f>
        <v>チェン・リー</v>
      </c>
      <c r="N71" s="21" t="str">
        <f ca="1">VLOOKUP($L71,OFFSET([2]enemies!$A$1,0,0,COUNTA([2]enemies!$A:$A),MATCH(N$1,[2]enemies!$1:$1,0)-MATCH($L$1,[2]enemies!$1:$1,0)+1),MATCH(N$1,[2]enemies!$1:$1,0)-MATCH($L$1,[2]enemies!$1:$1,0)+1,FALSE)</f>
        <v>red</v>
      </c>
      <c r="O71" s="21" t="str">
        <f ca="1">VLOOKUP($L71,OFFSET([3]characters!$A$1,0,0,COUNTA([3]characters!$A:$A),MATCH(O$1,[3]characters!$1:$1,0)-MATCH($L$1,[3]characters!$1:$1,0)+1),MATCH(O$1,[3]characters!$1:$1,0)-MATCH($L$1,[3]characters!$1:$1,0)+1,FALSE)</f>
        <v>Drop1N</v>
      </c>
      <c r="P71" s="21" t="str">
        <f ca="1">VLOOKUP($L71,OFFSET([2]enemies!$A$1,0,0,COUNTA([2]enemies!$A:$A),MATCH(P$1,[2]enemies!$1:$1,0)-MATCH($L$1,[2]enemies!$1:$1,0)+1),MATCH(P$1,[2]enemies!$1:$1,0)-MATCH($L$1,[2]enemies!$1:$1,0)+1,FALSE)</f>
        <v>animal</v>
      </c>
      <c r="Q71" s="21">
        <f ca="1">VLOOKUP($L71,OFFSET([2]enemies!$A$1,0,0,COUNTA([2]enemies!$A:$A),MATCH(Q$1,[2]enemies!$1:$1,0)-MATCH($L$1,[2]enemies!$1:$1,0)+1),MATCH(Q$1,[2]enemies!$1:$1,0)-MATCH($L$1,[2]enemies!$1:$1,0)+1,FALSE)</f>
        <v>15</v>
      </c>
      <c r="R71" s="53">
        <v>44</v>
      </c>
      <c r="S71" s="27">
        <v>1</v>
      </c>
      <c r="T71" s="27">
        <v>1</v>
      </c>
      <c r="U71" s="5">
        <v>0</v>
      </c>
      <c r="V71" s="4" t="str">
        <f ca="1">VLOOKUP($W71,OFFSET([4]enemy_skill_sets!$B$1,0,0,COUNTA([4]enemy_skill_sets!$B:$B),MATCH(M$1,[4]enemy_skill_sets!$1:$1,0)-MATCH($W$1,[4]enemy_skill_sets!$1:$1,0)+2),MATCH(M$1,[4]enemy_skill_sets!$1:$1,0)-MATCH($W$1,[4]enemy_skill_sets!$1:$1,0)+2,FALSE)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71" s="4">
        <f ca="1">VLOOKUP($L71,OFFSET([2]enemies!$A$1,0,0,COUNTA([2]enemies!$A:$A),MATCH(W$1,[2]enemies!$1:$1,0)-MATCH($L$1,[2]enemies!$1:$1,0)+1),MATCH(W$1,[2]enemies!$1:$1,0)-MATCH($L$1,[2]enemies!$1:$1,0)+1,FALSE)</f>
        <v>57</v>
      </c>
      <c r="X71" s="6">
        <v>0</v>
      </c>
      <c r="Y71" s="6">
        <v>100</v>
      </c>
      <c r="Z71" s="6">
        <v>0</v>
      </c>
      <c r="AA71" s="4">
        <f ca="1">VLOOKUP($L71,OFFSET([2]enemies!$A$1,0,0,COUNTA([2]enemies!$A:$A),MATCH(AA$1,[2]enemies!$1:$1,0)-MATCH($L$1,[2]enemies!$1:$1,0)+1),MATCH(AA$1,[2]enemies!$1:$1,0)-MATCH($L$1,[2]enemies!$1:$1,0)+1,FALSE)</f>
        <v>2</v>
      </c>
      <c r="AB71" s="52">
        <v>57</v>
      </c>
      <c r="AC71" s="4" t="str">
        <f ca="1">VLOOKUP($AB71,OFFSET([3]characters!$A$1,0,0,COUNTA([3]characters!$A:$A),MATCH(AC$1,[3]characters!$1:$1,0)-MATCH("character_id",[3]characters!$1:$1,0)+1),MATCH(AC$1,[3]characters!$1:$1,0)-MATCH("character_id",[3]characters!$1:$1,0)+1,FALSE)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71" s="4">
        <f ca="1">VLOOKUP($AB71,OFFSET([3]characters!$A$1,0,0,COUNTA([3]characters!$A:$A),MATCH(AD$1,[3]characters!$1:$1,0)-MATCH("character_id",[3]characters!$1:$1,0)+1),MATCH(AD$1,[3]characters!$1:$1,0)-MATCH("character_id",[3]characters!$1:$1,0)+1,FALSE)</f>
        <v>2</v>
      </c>
      <c r="AE71" s="4" t="str">
        <f ca="1">VLOOKUP($AB71,OFFSET([3]characters!$A$1,0,0,COUNTA([3]characters!$A:$A),MATCH(AE$1,[3]characters!$1:$1,0)-MATCH("character_id",[3]characters!$1:$1,0)+1),MATCH(AE$1,[3]characters!$1:$1,0)-MATCH("character_id",[3]characters!$1:$1,0)+1,FALSE)</f>
        <v>Drop1N</v>
      </c>
      <c r="AF71" s="7">
        <v>7</v>
      </c>
      <c r="AG71" s="26">
        <f t="shared" ca="1" si="82"/>
        <v>2</v>
      </c>
      <c r="AH71" s="8">
        <v>20</v>
      </c>
      <c r="AI71" s="7">
        <v>0</v>
      </c>
      <c r="AJ71" s="7">
        <v>0</v>
      </c>
      <c r="AK71" s="7">
        <v>0</v>
      </c>
      <c r="AL71" s="7">
        <v>0</v>
      </c>
      <c r="AM71" s="7">
        <v>1</v>
      </c>
    </row>
    <row r="72" spans="1:39" ht="14" x14ac:dyDescent="0.15">
      <c r="A72" s="18" t="str">
        <f t="shared" ref="A72" ca="1" si="87">B72&amp;"_"&amp;C72&amp;"-"&amp;G72&amp;"/"&amp;L72&amp;"&lt;lv"&amp;R72&amp;"&gt;s"&amp;AA72</f>
        <v>22_3-2/360&lt;lv44&gt;s3</v>
      </c>
      <c r="B72" s="53">
        <v>22</v>
      </c>
      <c r="C72" s="51">
        <v>3</v>
      </c>
      <c r="D72" s="2" t="str">
        <f t="shared" ref="D72" si="88">B72&amp;"_"&amp;C72</f>
        <v>22_3</v>
      </c>
      <c r="E72" s="2" t="str">
        <f t="shared" ref="E72" si="89">C72&amp;"_"&amp;D72</f>
        <v>3_22_3</v>
      </c>
      <c r="F72" s="4" t="str">
        <f ca="1">VLOOKUP($D72,OFFSET([1]stages!$A$1,0,0,COUNTA([1]stages!$A:$A),MATCH(F$1,[1]stages!$2:$2,0)-MATCH($D$1,[1]stages!$2:$2,0)+1),MATCH(F$1,[1]stages!$2:$2,0)-MATCH($D$1,[1]stages!$2:$2,0)+1,FALSE)</f>
        <v>22-3．誘眠の鼓音</v>
      </c>
      <c r="G72" s="58">
        <v>2</v>
      </c>
      <c r="H72" s="17" t="str">
        <f t="shared" ref="H72" si="90">B72&amp;"_"&amp;C72&amp;"-"&amp;G72</f>
        <v>22_3-2</v>
      </c>
      <c r="I72" s="17"/>
      <c r="J72" s="17"/>
      <c r="K72" s="65" t="s">
        <v>56</v>
      </c>
      <c r="L72" s="52">
        <v>360</v>
      </c>
      <c r="M72" s="21" t="str">
        <f ca="1">VLOOKUP($L72,OFFSET([2]enemies!$A$1,0,0,COUNTA([2]enemies!$A:$A),MATCH(M$1,[2]enemies!$1:$1,0)-MATCH($L$1,[2]enemies!$1:$1,0)+1),MATCH(M$1,[2]enemies!$1:$1,0)-MATCH($L$1,[2]enemies!$1:$1,0)+1,FALSE)</f>
        <v>ガンテツ</v>
      </c>
      <c r="N72" s="21" t="str">
        <f ca="1">VLOOKUP($L72,OFFSET([2]enemies!$A$1,0,0,COUNTA([2]enemies!$A:$A),MATCH(N$1,[2]enemies!$1:$1,0)-MATCH($L$1,[2]enemies!$1:$1,0)+1),MATCH(N$1,[2]enemies!$1:$1,0)-MATCH($L$1,[2]enemies!$1:$1,0)+1,FALSE)</f>
        <v>red</v>
      </c>
      <c r="O72" s="21" t="str">
        <f ca="1">VLOOKUP($L72,OFFSET([3]characters!$A$1,0,0,COUNTA([3]characters!$A:$A),MATCH(O$1,[3]characters!$1:$1,0)-MATCH($L$1,[3]characters!$1:$1,0)+1),MATCH(O$1,[3]characters!$1:$1,0)-MATCH($L$1,[3]characters!$1:$1,0)+1,FALSE)</f>
        <v>Drop1S</v>
      </c>
      <c r="P72" s="21" t="str">
        <f ca="1">VLOOKUP($L72,OFFSET([2]enemies!$A$1,0,0,COUNTA([2]enemies!$A:$A),MATCH(P$1,[2]enemies!$1:$1,0)-MATCH($L$1,[2]enemies!$1:$1,0)+1),MATCH(P$1,[2]enemies!$1:$1,0)-MATCH($L$1,[2]enemies!$1:$1,0)+1,FALSE)</f>
        <v>animal</v>
      </c>
      <c r="Q72" s="21">
        <f ca="1">VLOOKUP($L72,OFFSET([2]enemies!$A$1,0,0,COUNTA([2]enemies!$A:$A),MATCH(Q$1,[2]enemies!$1:$1,0)-MATCH($L$1,[2]enemies!$1:$1,0)+1),MATCH(Q$1,[2]enemies!$1:$1,0)-MATCH($L$1,[2]enemies!$1:$1,0)+1,FALSE)</f>
        <v>15</v>
      </c>
      <c r="R72" s="53">
        <v>44</v>
      </c>
      <c r="S72" s="27">
        <v>1</v>
      </c>
      <c r="T72" s="27">
        <v>1</v>
      </c>
      <c r="U72" s="5">
        <v>0</v>
      </c>
      <c r="V72" s="4" t="str">
        <f ca="1">VLOOKUP($W72,OFFSET([4]enemy_skill_sets!$B$1,0,0,COUNTA([4]enemy_skill_sets!$B:$B),MATCH(M$1,[4]enemy_skill_sets!$1:$1,0)-MATCH($W$1,[4]enemy_skill_sets!$1:$1,0)+2),MATCH(M$1,[4]enemy_skill_sets!$1:$1,0)-MATCH($W$1,[4]enemy_skill_sets!$1:$1,0)+2,FALSE)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72" s="76">
        <v>360</v>
      </c>
      <c r="X72" s="6">
        <v>0</v>
      </c>
      <c r="Y72" s="6">
        <v>100</v>
      </c>
      <c r="Z72" s="6">
        <v>0</v>
      </c>
      <c r="AA72" s="4">
        <f ca="1">VLOOKUP($L72,OFFSET([2]enemies!$A$1,0,0,COUNTA([2]enemies!$A:$A),MATCH(AA$1,[2]enemies!$1:$1,0)-MATCH($L$1,[2]enemies!$1:$1,0)+1),MATCH(AA$1,[2]enemies!$1:$1,0)-MATCH($L$1,[2]enemies!$1:$1,0)+1,FALSE)</f>
        <v>3</v>
      </c>
      <c r="AB72" s="52">
        <v>360</v>
      </c>
      <c r="AC72" s="4" t="str">
        <f ca="1">VLOOKUP($AB72,OFFSET([3]characters!$A$1,0,0,COUNTA([3]characters!$A:$A),MATCH(AC$1,[3]characters!$1:$1,0)-MATCH("character_id",[3]characters!$1:$1,0)+1),MATCH(AC$1,[3]characters!$1:$1,0)-MATCH("character_id",[3]characters!$1:$1,0)+1,FALSE)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72" s="4">
        <f ca="1">VLOOKUP($AB72,OFFSET([3]characters!$A$1,0,0,COUNTA([3]characters!$A:$A),MATCH(AD$1,[3]characters!$1:$1,0)-MATCH("character_id",[3]characters!$1:$1,0)+1),MATCH(AD$1,[3]characters!$1:$1,0)-MATCH("character_id",[3]characters!$1:$1,0)+1,FALSE)</f>
        <v>2</v>
      </c>
      <c r="AE72" s="4" t="str">
        <f ca="1">VLOOKUP($AB72,OFFSET([3]characters!$A$1,0,0,COUNTA([3]characters!$A:$A),MATCH(AE$1,[3]characters!$1:$1,0)-MATCH("character_id",[3]characters!$1:$1,0)+1),MATCH(AE$1,[3]characters!$1:$1,0)-MATCH("character_id",[3]characters!$1:$1,0)+1,FALSE)</f>
        <v>Drop1S</v>
      </c>
      <c r="AF72" s="7">
        <v>7</v>
      </c>
      <c r="AG72" s="26">
        <f t="shared" ca="1" si="82"/>
        <v>2</v>
      </c>
      <c r="AH72" s="8">
        <v>20</v>
      </c>
      <c r="AI72" s="7">
        <v>0</v>
      </c>
      <c r="AJ72" s="7">
        <v>0</v>
      </c>
      <c r="AK72" s="7">
        <v>0</v>
      </c>
      <c r="AL72" s="7">
        <v>0</v>
      </c>
      <c r="AM72" s="7">
        <v>1</v>
      </c>
    </row>
    <row r="73" spans="1:39" ht="14" x14ac:dyDescent="0.15">
      <c r="A73" s="18" t="str">
        <f t="shared" ref="A73" ca="1" si="91">B73&amp;"_"&amp;C73&amp;"-"&amp;G73&amp;"/"&amp;L73&amp;"&lt;lv"&amp;R73&amp;"&gt;s"&amp;AA73</f>
        <v>22_3-2/348&lt;lv44&gt;s3</v>
      </c>
      <c r="B73" s="53">
        <v>22</v>
      </c>
      <c r="C73" s="51">
        <v>3</v>
      </c>
      <c r="D73" s="2" t="str">
        <f t="shared" ref="D73" si="92">B73&amp;"_"&amp;C73</f>
        <v>22_3</v>
      </c>
      <c r="E73" s="2" t="str">
        <f t="shared" ref="E73" si="93">C73&amp;"_"&amp;D73</f>
        <v>3_22_3</v>
      </c>
      <c r="F73" s="4" t="str">
        <f ca="1">VLOOKUP($D73,OFFSET([1]stages!$A$1,0,0,COUNTA([1]stages!$A:$A),MATCH(F$1,[1]stages!$2:$2,0)-MATCH($D$1,[1]stages!$2:$2,0)+1),MATCH(F$1,[1]stages!$2:$2,0)-MATCH($D$1,[1]stages!$2:$2,0)+1,FALSE)</f>
        <v>22-3．誘眠の鼓音</v>
      </c>
      <c r="G73" s="58">
        <v>2</v>
      </c>
      <c r="H73" s="17" t="str">
        <f t="shared" ref="H73" si="94">B73&amp;"_"&amp;C73&amp;"-"&amp;G73</f>
        <v>22_3-2</v>
      </c>
      <c r="I73" s="17"/>
      <c r="J73" s="17"/>
      <c r="K73" s="65" t="s">
        <v>56</v>
      </c>
      <c r="L73" s="52">
        <v>348</v>
      </c>
      <c r="M73" s="21" t="str">
        <f ca="1">VLOOKUP($L73,OFFSET([2]enemies!$A$1,0,0,COUNTA([2]enemies!$A:$A),MATCH(M$1,[2]enemies!$1:$1,0)-MATCH($L$1,[2]enemies!$1:$1,0)+1),MATCH(M$1,[2]enemies!$1:$1,0)-MATCH($L$1,[2]enemies!$1:$1,0)+1,FALSE)</f>
        <v>炎のケロケロ</v>
      </c>
      <c r="N73" s="21" t="str">
        <f ca="1">VLOOKUP($L73,OFFSET([2]enemies!$A$1,0,0,COUNTA([2]enemies!$A:$A),MATCH(N$1,[2]enemies!$1:$1,0)-MATCH($L$1,[2]enemies!$1:$1,0)+1),MATCH(N$1,[2]enemies!$1:$1,0)-MATCH($L$1,[2]enemies!$1:$1,0)+1,FALSE)</f>
        <v>red</v>
      </c>
      <c r="O73" s="21" t="str">
        <f ca="1">VLOOKUP($L73,OFFSET([3]characters!$A$1,0,0,COUNTA([3]characters!$A:$A),MATCH(O$1,[3]characters!$1:$1,0)-MATCH($L$1,[3]characters!$1:$1,0)+1),MATCH(O$1,[3]characters!$1:$1,0)-MATCH($L$1,[3]characters!$1:$1,0)+1,FALSE)</f>
        <v>Material</v>
      </c>
      <c r="P73" s="21" t="str">
        <f ca="1">VLOOKUP($L73,OFFSET([2]enemies!$A$1,0,0,COUNTA([2]enemies!$A:$A),MATCH(P$1,[2]enemies!$1:$1,0)-MATCH($L$1,[2]enemies!$1:$1,0)+1),MATCH(P$1,[2]enemies!$1:$1,0)-MATCH($L$1,[2]enemies!$1:$1,0)+1,FALSE)</f>
        <v>unknown</v>
      </c>
      <c r="Q73" s="21">
        <f ca="1">VLOOKUP($L73,OFFSET([2]enemies!$A$1,0,0,COUNTA([2]enemies!$A:$A),MATCH(Q$1,[2]enemies!$1:$1,0)-MATCH($L$1,[2]enemies!$1:$1,0)+1),MATCH(Q$1,[2]enemies!$1:$1,0)-MATCH($L$1,[2]enemies!$1:$1,0)+1,FALSE)</f>
        <v>15</v>
      </c>
      <c r="R73" s="53">
        <v>44</v>
      </c>
      <c r="S73" s="27">
        <v>1</v>
      </c>
      <c r="T73" s="27">
        <v>1</v>
      </c>
      <c r="U73" s="5">
        <v>0</v>
      </c>
      <c r="V73" s="4" t="str">
        <f ca="1">VLOOKUP($W73,OFFSET([4]enemy_skill_sets!$B$1,0,0,COUNTA([4]enemy_skill_sets!$B:$B),MATCH(M$1,[4]enemy_skill_sets!$1:$1,0)-MATCH($W$1,[4]enemy_skill_sets!$1:$1,0)+2),MATCH(M$1,[4]enemy_skill_sets!$1:$1,0)-MATCH($W$1,[4]enemy_skill_sets!$1:$1,0)+2,FALSE)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73" s="64">
        <v>348</v>
      </c>
      <c r="X73" s="6">
        <v>0</v>
      </c>
      <c r="Y73" s="6">
        <v>100</v>
      </c>
      <c r="Z73" s="6">
        <v>0</v>
      </c>
      <c r="AA73" s="4">
        <f ca="1">VLOOKUP($L73,OFFSET([2]enemies!$A$1,0,0,COUNTA([2]enemies!$A:$A),MATCH(AA$1,[2]enemies!$1:$1,0)-MATCH($L$1,[2]enemies!$1:$1,0)+1),MATCH(AA$1,[2]enemies!$1:$1,0)-MATCH($L$1,[2]enemies!$1:$1,0)+1,FALSE)</f>
        <v>3</v>
      </c>
      <c r="AB73" s="52">
        <v>348</v>
      </c>
      <c r="AC73" s="4" t="str">
        <f ca="1">VLOOKUP($AB73,OFFSET([3]characters!$A$1,0,0,COUNTA([3]characters!$A:$A),MATCH(AC$1,[3]characters!$1:$1,0)-MATCH("character_id",[3]characters!$1:$1,0)+1),MATCH(AC$1,[3]characters!$1:$1,0)-MATCH("character_id",[3]characters!$1:$1,0)+1,FALSE)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73" s="4">
        <f ca="1">VLOOKUP($AB73,OFFSET([3]characters!$A$1,0,0,COUNTA([3]characters!$A:$A),MATCH(AD$1,[3]characters!$1:$1,0)-MATCH("character_id",[3]characters!$1:$1,0)+1),MATCH(AD$1,[3]characters!$1:$1,0)-MATCH("character_id",[3]characters!$1:$1,0)+1,FALSE)</f>
        <v>2</v>
      </c>
      <c r="AE73" s="4" t="str">
        <f ca="1">VLOOKUP($AB73,OFFSET([3]characters!$A$1,0,0,COUNTA([3]characters!$A:$A),MATCH(AE$1,[3]characters!$1:$1,0)-MATCH("character_id",[3]characters!$1:$1,0)+1),MATCH(AE$1,[3]characters!$1:$1,0)-MATCH("character_id",[3]characters!$1:$1,0)+1,FALSE)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3" s="7">
        <v>10</v>
      </c>
      <c r="AG73" s="26">
        <f t="shared" ca="1" si="82"/>
        <v>2</v>
      </c>
      <c r="AH73" s="8">
        <v>20</v>
      </c>
      <c r="AI73" s="7">
        <v>0</v>
      </c>
      <c r="AJ73" s="7">
        <v>0</v>
      </c>
      <c r="AK73" s="7">
        <v>0</v>
      </c>
      <c r="AL73" s="7">
        <v>0</v>
      </c>
      <c r="AM73" s="7">
        <v>1</v>
      </c>
    </row>
    <row r="74" spans="1:39" ht="14" x14ac:dyDescent="0.15">
      <c r="A74" s="18" t="str">
        <f t="shared" ca="1" si="56"/>
        <v>22_3-3/9&lt;lv44&gt;s2</v>
      </c>
      <c r="B74" s="50">
        <v>22</v>
      </c>
      <c r="C74" s="49">
        <v>3</v>
      </c>
      <c r="D74" s="2" t="str">
        <f t="shared" si="57"/>
        <v>22_3</v>
      </c>
      <c r="E74" s="2" t="str">
        <f t="shared" si="57"/>
        <v>3_22_3</v>
      </c>
      <c r="F74" s="4" t="str">
        <f ca="1">VLOOKUP($D74,OFFSET([1]stages!$A$1,0,0,COUNTA([1]stages!$A:$A),MATCH(F$1,[1]stages!$2:$2,0)-MATCH($D$1,[1]stages!$2:$2,0)+1),MATCH(F$1,[1]stages!$2:$2,0)-MATCH($D$1,[1]stages!$2:$2,0)+1,FALSE)</f>
        <v>22-3．誘眠の鼓音</v>
      </c>
      <c r="G74" s="57">
        <v>3</v>
      </c>
      <c r="H74" s="17" t="str">
        <f t="shared" si="58"/>
        <v>22_3-3</v>
      </c>
      <c r="I74" s="17"/>
      <c r="J74" s="17"/>
      <c r="K74" s="65" t="s">
        <v>56</v>
      </c>
      <c r="L74" s="52">
        <v>9</v>
      </c>
      <c r="M74" s="21" t="str">
        <f ca="1">VLOOKUP($L74,OFFSET([2]enemies!$A$1,0,0,COUNTA([2]enemies!$A:$A),MATCH(M$1,[2]enemies!$1:$1,0)-MATCH($L$1,[2]enemies!$1:$1,0)+1),MATCH(M$1,[2]enemies!$1:$1,0)-MATCH($L$1,[2]enemies!$1:$1,0)+1,FALSE)</f>
        <v>ブレット</v>
      </c>
      <c r="N74" s="21" t="str">
        <f ca="1">VLOOKUP($L74,OFFSET([2]enemies!$A$1,0,0,COUNTA([2]enemies!$A:$A),MATCH(N$1,[2]enemies!$1:$1,0)-MATCH($L$1,[2]enemies!$1:$1,0)+1),MATCH(N$1,[2]enemies!$1:$1,0)-MATCH($L$1,[2]enemies!$1:$1,0)+1,FALSE)</f>
        <v>red</v>
      </c>
      <c r="O74" s="21" t="str">
        <f ca="1">VLOOKUP($L74,OFFSET([3]characters!$A$1,0,0,COUNTA([3]characters!$A:$A),MATCH(O$1,[3]characters!$1:$1,0)-MATCH($L$1,[3]characters!$1:$1,0)+1),MATCH(O$1,[3]characters!$1:$1,0)-MATCH($L$1,[3]characters!$1:$1,0)+1,FALSE)</f>
        <v>Drop1W</v>
      </c>
      <c r="P74" s="21" t="str">
        <f ca="1">VLOOKUP($L74,OFFSET([2]enemies!$A$1,0,0,COUNTA([2]enemies!$A:$A),MATCH(P$1,[2]enemies!$1:$1,0)-MATCH($L$1,[2]enemies!$1:$1,0)+1),MATCH(P$1,[2]enemies!$1:$1,0)-MATCH($L$1,[2]enemies!$1:$1,0)+1,FALSE)</f>
        <v>animal</v>
      </c>
      <c r="Q74" s="21">
        <f ca="1">VLOOKUP($L74,OFFSET([2]enemies!$A$1,0,0,COUNTA([2]enemies!$A:$A),MATCH(Q$1,[2]enemies!$1:$1,0)-MATCH($L$1,[2]enemies!$1:$1,0)+1),MATCH(Q$1,[2]enemies!$1:$1,0)-MATCH($L$1,[2]enemies!$1:$1,0)+1,FALSE)</f>
        <v>15</v>
      </c>
      <c r="R74" s="53">
        <v>44</v>
      </c>
      <c r="S74" s="27">
        <v>1</v>
      </c>
      <c r="T74" s="27">
        <v>1</v>
      </c>
      <c r="U74" s="5">
        <v>0</v>
      </c>
      <c r="V74" s="4" t="str">
        <f ca="1">VLOOKUP($W74,OFFSET([4]enemy_skill_sets!$B$1,0,0,COUNTA([4]enemy_skill_sets!$B:$B),MATCH(M$1,[4]enemy_skill_sets!$1:$1,0)-MATCH($W$1,[4]enemy_skill_sets!$1:$1,0)+2),MATCH(M$1,[4]enemy_skill_sets!$1:$1,0)-MATCH($W$1,[4]enemy_skill_sets!$1:$1,0)+2,FALSE)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4" s="4">
        <f ca="1">VLOOKUP($L74,OFFSET([2]enemies!$A$1,0,0,COUNTA([2]enemies!$A:$A),MATCH(W$1,[2]enemies!$1:$1,0)-MATCH($L$1,[2]enemies!$1:$1,0)+1),MATCH(W$1,[2]enemies!$1:$1,0)-MATCH($L$1,[2]enemies!$1:$1,0)+1,FALSE)</f>
        <v>0</v>
      </c>
      <c r="X74" s="6">
        <v>0</v>
      </c>
      <c r="Y74" s="6">
        <v>100</v>
      </c>
      <c r="Z74" s="6">
        <v>0</v>
      </c>
      <c r="AA74" s="4">
        <f ca="1">VLOOKUP($L74,OFFSET([2]enemies!$A$1,0,0,COUNTA([2]enemies!$A:$A),MATCH(AA$1,[2]enemies!$1:$1,0)-MATCH($L$1,[2]enemies!$1:$1,0)+1),MATCH(AA$1,[2]enemies!$1:$1,0)-MATCH($L$1,[2]enemies!$1:$1,0)+1,FALSE)</f>
        <v>2</v>
      </c>
      <c r="AB74" s="52">
        <v>9</v>
      </c>
      <c r="AC74" s="4" t="str">
        <f ca="1">VLOOKUP($AB74,OFFSET([3]characters!$A$1,0,0,COUNTA([3]characters!$A:$A),MATCH(AC$1,[3]characters!$1:$1,0)-MATCH("character_id",[3]characters!$1:$1,0)+1),MATCH(AC$1,[3]characters!$1:$1,0)-MATCH("character_id",[3]characters!$1:$1,0)+1,FALSE)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74" s="4">
        <f ca="1">VLOOKUP($AB74,OFFSET([3]characters!$A$1,0,0,COUNTA([3]characters!$A:$A),MATCH(AD$1,[3]characters!$1:$1,0)-MATCH("character_id",[3]characters!$1:$1,0)+1),MATCH(AD$1,[3]characters!$1:$1,0)-MATCH("character_id",[3]characters!$1:$1,0)+1,FALSE)</f>
        <v>1</v>
      </c>
      <c r="AE74" s="4" t="str">
        <f ca="1">VLOOKUP($AB74,OFFSET([3]characters!$A$1,0,0,COUNTA([3]characters!$A:$A),MATCH(AE$1,[3]characters!$1:$1,0)-MATCH("character_id",[3]characters!$1:$1,0)+1),MATCH(AE$1,[3]characters!$1:$1,0)-MATCH("character_id",[3]characters!$1:$1,0)+1,FALSE)</f>
        <v>Drop1W</v>
      </c>
      <c r="AF74" s="7">
        <v>9</v>
      </c>
      <c r="AG74" s="26">
        <f t="shared" ca="1" si="82"/>
        <v>1</v>
      </c>
      <c r="AH74" s="8">
        <v>20</v>
      </c>
      <c r="AI74" s="7">
        <v>0</v>
      </c>
      <c r="AJ74" s="7">
        <v>0</v>
      </c>
      <c r="AK74" s="7">
        <v>0</v>
      </c>
      <c r="AL74" s="7">
        <v>0</v>
      </c>
      <c r="AM74" s="7">
        <v>1</v>
      </c>
    </row>
    <row r="75" spans="1:39" ht="21" customHeight="1" x14ac:dyDescent="0.15">
      <c r="A75" s="18" t="str">
        <f t="shared" ca="1" si="56"/>
        <v>22_3-3/25&lt;lv44&gt;s3</v>
      </c>
      <c r="B75" s="50">
        <v>22</v>
      </c>
      <c r="C75" s="49">
        <v>3</v>
      </c>
      <c r="D75" s="2" t="str">
        <f t="shared" si="57"/>
        <v>22_3</v>
      </c>
      <c r="E75" s="2" t="str">
        <f t="shared" si="57"/>
        <v>3_22_3</v>
      </c>
      <c r="F75" s="4" t="str">
        <f ca="1">VLOOKUP($D75,OFFSET([1]stages!$A$1,0,0,COUNTA([1]stages!$A:$A),MATCH(F$1,[1]stages!$2:$2,0)-MATCH($D$1,[1]stages!$2:$2,0)+1),MATCH(F$1,[1]stages!$2:$2,0)-MATCH($D$1,[1]stages!$2:$2,0)+1,FALSE)</f>
        <v>22-3．誘眠の鼓音</v>
      </c>
      <c r="G75" s="57">
        <v>3</v>
      </c>
      <c r="H75" s="17" t="str">
        <f t="shared" si="58"/>
        <v>22_3-3</v>
      </c>
      <c r="I75" s="17"/>
      <c r="J75" s="17"/>
      <c r="K75" s="65" t="s">
        <v>56</v>
      </c>
      <c r="L75" s="52">
        <v>25</v>
      </c>
      <c r="M75" s="21" t="str">
        <f ca="1">VLOOKUP($L75,OFFSET([2]enemies!$A$1,0,0,COUNTA([2]enemies!$A:$A),MATCH(M$1,[2]enemies!$1:$1,0)-MATCH($L$1,[2]enemies!$1:$1,0)+1),MATCH(M$1,[2]enemies!$1:$1,0)-MATCH($L$1,[2]enemies!$1:$1,0)+1,FALSE)</f>
        <v>ハチ</v>
      </c>
      <c r="N75" s="21" t="str">
        <f ca="1">VLOOKUP($L75,OFFSET([2]enemies!$A$1,0,0,COUNTA([2]enemies!$A:$A),MATCH(N$1,[2]enemies!$1:$1,0)-MATCH($L$1,[2]enemies!$1:$1,0)+1),MATCH(N$1,[2]enemies!$1:$1,0)-MATCH($L$1,[2]enemies!$1:$1,0)+1,FALSE)</f>
        <v>blue</v>
      </c>
      <c r="O75" s="21" t="str">
        <f ca="1">VLOOKUP($L75,OFFSET([3]characters!$A$1,0,0,COUNTA([3]characters!$A:$A),MATCH(O$1,[3]characters!$1:$1,0)-MATCH($L$1,[3]characters!$1:$1,0)+1),MATCH(O$1,[3]characters!$1:$1,0)-MATCH($L$1,[3]characters!$1:$1,0)+1,FALSE)</f>
        <v>Drop1N</v>
      </c>
      <c r="P75" s="21" t="str">
        <f ca="1">VLOOKUP($L75,OFFSET([2]enemies!$A$1,0,0,COUNTA([2]enemies!$A:$A),MATCH(P$1,[2]enemies!$1:$1,0)-MATCH($L$1,[2]enemies!$1:$1,0)+1),MATCH(P$1,[2]enemies!$1:$1,0)-MATCH($L$1,[2]enemies!$1:$1,0)+1,FALSE)</f>
        <v>animal</v>
      </c>
      <c r="Q75" s="21">
        <f ca="1">VLOOKUP($L75,OFFSET([2]enemies!$A$1,0,0,COUNTA([2]enemies!$A:$A),MATCH(Q$1,[2]enemies!$1:$1,0)-MATCH($L$1,[2]enemies!$1:$1,0)+1),MATCH(Q$1,[2]enemies!$1:$1,0)-MATCH($L$1,[2]enemies!$1:$1,0)+1,FALSE)</f>
        <v>15</v>
      </c>
      <c r="R75" s="53">
        <v>44</v>
      </c>
      <c r="S75" s="27">
        <v>1</v>
      </c>
      <c r="T75" s="27">
        <v>1</v>
      </c>
      <c r="U75" s="5">
        <v>0</v>
      </c>
      <c r="V75" s="4" t="str">
        <f ca="1">VLOOKUP($W75,OFFSET([4]enemy_skill_sets!$B$1,0,0,COUNTA([4]enemy_skill_sets!$B:$B),MATCH(M$1,[4]enemy_skill_sets!$1:$1,0)-MATCH($W$1,[4]enemy_skill_sets!$1:$1,0)+2),MATCH(M$1,[4]enemy_skill_sets!$1:$1,0)-MATCH($W$1,[4]enemy_skill_sets!$1:$1,0)+2,FALSE)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5" s="4">
        <f ca="1">VLOOKUP($L75,OFFSET([2]enemies!$A$1,0,0,COUNTA([2]enemies!$A:$A),MATCH(W$1,[2]enemies!$1:$1,0)-MATCH($L$1,[2]enemies!$1:$1,0)+1),MATCH(W$1,[2]enemies!$1:$1,0)-MATCH($L$1,[2]enemies!$1:$1,0)+1,FALSE)</f>
        <v>0</v>
      </c>
      <c r="X75" s="6">
        <v>0</v>
      </c>
      <c r="Y75" s="6">
        <v>100</v>
      </c>
      <c r="Z75" s="6">
        <v>0</v>
      </c>
      <c r="AA75" s="4">
        <f ca="1">VLOOKUP($L75,OFFSET([2]enemies!$A$1,0,0,COUNTA([2]enemies!$A:$A),MATCH(AA$1,[2]enemies!$1:$1,0)-MATCH($L$1,[2]enemies!$1:$1,0)+1),MATCH(AA$1,[2]enemies!$1:$1,0)-MATCH($L$1,[2]enemies!$1:$1,0)+1,FALSE)</f>
        <v>3</v>
      </c>
      <c r="AB75" s="52">
        <v>25</v>
      </c>
      <c r="AC75" s="4" t="str">
        <f ca="1">VLOOKUP($AB75,OFFSET([3]characters!$A$1,0,0,COUNTA([3]characters!$A:$A),MATCH(AC$1,[3]characters!$1:$1,0)-MATCH("character_id",[3]characters!$1:$1,0)+1),MATCH(AC$1,[3]characters!$1:$1,0)-MATCH("character_id",[3]characters!$1:$1,0)+1,FALSE)</f>
        <v>ハチ</v>
      </c>
      <c r="AD75" s="4">
        <f ca="1">VLOOKUP($AB75,OFFSET([3]characters!$A$1,0,0,COUNTA([3]characters!$A:$A),MATCH(AD$1,[3]characters!$1:$1,0)-MATCH("character_id",[3]characters!$1:$1,0)+1),MATCH(AD$1,[3]characters!$1:$1,0)-MATCH("character_id",[3]characters!$1:$1,0)+1,FALSE)</f>
        <v>1</v>
      </c>
      <c r="AE75" s="4" t="str">
        <f ca="1">VLOOKUP($AB75,OFFSET([3]characters!$A$1,0,0,COUNTA([3]characters!$A:$A),MATCH(AE$1,[3]characters!$1:$1,0)-MATCH("character_id",[3]characters!$1:$1,0)+1),MATCH(AE$1,[3]characters!$1:$1,0)-MATCH("character_id",[3]characters!$1:$1,0)+1,FALSE)</f>
        <v>Drop1N</v>
      </c>
      <c r="AF75" s="7">
        <v>7</v>
      </c>
      <c r="AG75" s="26">
        <f t="shared" ca="1" si="82"/>
        <v>1</v>
      </c>
      <c r="AH75" s="8">
        <v>20</v>
      </c>
      <c r="AI75" s="7">
        <v>0</v>
      </c>
      <c r="AJ75" s="7">
        <v>0</v>
      </c>
      <c r="AK75" s="7">
        <v>0</v>
      </c>
      <c r="AL75" s="7">
        <v>0</v>
      </c>
      <c r="AM75" s="7">
        <v>1</v>
      </c>
    </row>
    <row r="76" spans="1:39" ht="21" customHeight="1" x14ac:dyDescent="0.15">
      <c r="A76" s="18" t="str">
        <f t="shared" ca="1" si="56"/>
        <v>22_3-3/33&lt;lv44&gt;s2</v>
      </c>
      <c r="B76" s="50">
        <v>22</v>
      </c>
      <c r="C76" s="49">
        <v>3</v>
      </c>
      <c r="D76" s="2" t="str">
        <f t="shared" si="57"/>
        <v>22_3</v>
      </c>
      <c r="E76" s="2" t="str">
        <f t="shared" si="57"/>
        <v>3_22_3</v>
      </c>
      <c r="F76" s="4" t="str">
        <f ca="1">VLOOKUP($D76,OFFSET([1]stages!$A$1,0,0,COUNTA([1]stages!$A:$A),MATCH(F$1,[1]stages!$2:$2,0)-MATCH($D$1,[1]stages!$2:$2,0)+1),MATCH(F$1,[1]stages!$2:$2,0)-MATCH($D$1,[1]stages!$2:$2,0)+1,FALSE)</f>
        <v>22-3．誘眠の鼓音</v>
      </c>
      <c r="G76" s="57">
        <v>3</v>
      </c>
      <c r="H76" s="17" t="str">
        <f t="shared" si="58"/>
        <v>22_3-3</v>
      </c>
      <c r="I76" s="17"/>
      <c r="J76" s="17"/>
      <c r="K76" s="65" t="s">
        <v>56</v>
      </c>
      <c r="L76" s="52">
        <v>33</v>
      </c>
      <c r="M76" s="21" t="str">
        <f ca="1">VLOOKUP($L76,OFFSET([2]enemies!$A$1,0,0,COUNTA([2]enemies!$A:$A),MATCH(M$1,[2]enemies!$1:$1,0)-MATCH($L$1,[2]enemies!$1:$1,0)+1),MATCH(M$1,[2]enemies!$1:$1,0)-MATCH($L$1,[2]enemies!$1:$1,0)+1,FALSE)</f>
        <v>ゴクウ</v>
      </c>
      <c r="N76" s="21" t="str">
        <f ca="1">VLOOKUP($L76,OFFSET([2]enemies!$A$1,0,0,COUNTA([2]enemies!$A:$A),MATCH(N$1,[2]enemies!$1:$1,0)-MATCH($L$1,[2]enemies!$1:$1,0)+1),MATCH(N$1,[2]enemies!$1:$1,0)-MATCH($L$1,[2]enemies!$1:$1,0)+1,FALSE)</f>
        <v>red</v>
      </c>
      <c r="O76" s="21" t="str">
        <f ca="1">VLOOKUP($L76,OFFSET([3]characters!$A$1,0,0,COUNTA([3]characters!$A:$A),MATCH(O$1,[3]characters!$1:$1,0)-MATCH($L$1,[3]characters!$1:$1,0)+1),MATCH(O$1,[3]characters!$1:$1,0)-MATCH($L$1,[3]characters!$1:$1,0)+1,FALSE)</f>
        <v>Drop1S</v>
      </c>
      <c r="P76" s="21" t="str">
        <f ca="1">VLOOKUP($L76,OFFSET([2]enemies!$A$1,0,0,COUNTA([2]enemies!$A:$A),MATCH(P$1,[2]enemies!$1:$1,0)-MATCH($L$1,[2]enemies!$1:$1,0)+1),MATCH(P$1,[2]enemies!$1:$1,0)-MATCH($L$1,[2]enemies!$1:$1,0)+1,FALSE)</f>
        <v>animal</v>
      </c>
      <c r="Q76" s="21">
        <f ca="1">VLOOKUP($L76,OFFSET([2]enemies!$A$1,0,0,COUNTA([2]enemies!$A:$A),MATCH(Q$1,[2]enemies!$1:$1,0)-MATCH($L$1,[2]enemies!$1:$1,0)+1),MATCH(Q$1,[2]enemies!$1:$1,0)-MATCH($L$1,[2]enemies!$1:$1,0)+1,FALSE)</f>
        <v>15</v>
      </c>
      <c r="R76" s="53">
        <v>44</v>
      </c>
      <c r="S76" s="27">
        <v>1</v>
      </c>
      <c r="T76" s="27">
        <v>1</v>
      </c>
      <c r="U76" s="5">
        <v>0</v>
      </c>
      <c r="V76" s="4" t="str">
        <f ca="1">VLOOKUP($W76,OFFSET([4]enemy_skill_sets!$B$1,0,0,COUNTA([4]enemy_skill_sets!$B:$B),MATCH(M$1,[4]enemy_skill_sets!$1:$1,0)-MATCH($W$1,[4]enemy_skill_sets!$1:$1,0)+2),MATCH(M$1,[4]enemy_skill_sets!$1:$1,0)-MATCH($W$1,[4]enemy_skill_sets!$1:$1,0)+2,FALSE)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76" s="4">
        <f ca="1">VLOOKUP($L76,OFFSET([2]enemies!$A$1,0,0,COUNTA([2]enemies!$A:$A),MATCH(W$1,[2]enemies!$1:$1,0)-MATCH($L$1,[2]enemies!$1:$1,0)+1),MATCH(W$1,[2]enemies!$1:$1,0)-MATCH($L$1,[2]enemies!$1:$1,0)+1,FALSE)</f>
        <v>33</v>
      </c>
      <c r="X76" s="6">
        <v>0</v>
      </c>
      <c r="Y76" s="6">
        <v>100</v>
      </c>
      <c r="Z76" s="6">
        <v>0</v>
      </c>
      <c r="AA76" s="4">
        <f ca="1">VLOOKUP($L76,OFFSET([2]enemies!$A$1,0,0,COUNTA([2]enemies!$A:$A),MATCH(AA$1,[2]enemies!$1:$1,0)-MATCH($L$1,[2]enemies!$1:$1,0)+1),MATCH(AA$1,[2]enemies!$1:$1,0)-MATCH($L$1,[2]enemies!$1:$1,0)+1,FALSE)</f>
        <v>2</v>
      </c>
      <c r="AB76" s="52">
        <v>33</v>
      </c>
      <c r="AC76" s="4" t="str">
        <f ca="1">VLOOKUP($AB76,OFFSET([3]characters!$A$1,0,0,COUNTA([3]characters!$A:$A),MATCH(AC$1,[3]characters!$1:$1,0)-MATCH("character_id",[3]characters!$1:$1,0)+1),MATCH(AC$1,[3]characters!$1:$1,0)-MATCH("character_id",[3]characters!$1:$1,0)+1,FALSE)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76" s="4">
        <f ca="1">VLOOKUP($AB76,OFFSET([3]characters!$A$1,0,0,COUNTA([3]characters!$A:$A),MATCH(AD$1,[3]characters!$1:$1,0)-MATCH("character_id",[3]characters!$1:$1,0)+1),MATCH(AD$1,[3]characters!$1:$1,0)-MATCH("character_id",[3]characters!$1:$1,0)+1,FALSE)</f>
        <v>2</v>
      </c>
      <c r="AE76" s="4" t="str">
        <f ca="1">VLOOKUP($AB76,OFFSET([3]characters!$A$1,0,0,COUNTA([3]characters!$A:$A),MATCH(AE$1,[3]characters!$1:$1,0)-MATCH("character_id",[3]characters!$1:$1,0)+1),MATCH(AE$1,[3]characters!$1:$1,0)-MATCH("character_id",[3]characters!$1:$1,0)+1,FALSE)</f>
        <v>Drop1S</v>
      </c>
      <c r="AF76" s="7">
        <v>5</v>
      </c>
      <c r="AG76" s="26">
        <f t="shared" ca="1" si="82"/>
        <v>2</v>
      </c>
      <c r="AH76" s="8">
        <v>20</v>
      </c>
      <c r="AI76" s="7">
        <v>0</v>
      </c>
      <c r="AJ76" s="7">
        <v>0</v>
      </c>
      <c r="AK76" s="7">
        <v>0</v>
      </c>
      <c r="AL76" s="7">
        <v>0</v>
      </c>
      <c r="AM76" s="7">
        <v>1</v>
      </c>
    </row>
    <row r="77" spans="1:39" ht="21" customHeight="1" x14ac:dyDescent="0.15">
      <c r="A77" s="18" t="str">
        <f t="shared" ca="1" si="56"/>
        <v>22_3-3/37&lt;lv44&gt;s3</v>
      </c>
      <c r="B77" s="50">
        <v>22</v>
      </c>
      <c r="C77" s="49">
        <v>3</v>
      </c>
      <c r="D77" s="2" t="str">
        <f t="shared" si="57"/>
        <v>22_3</v>
      </c>
      <c r="E77" s="2" t="str">
        <f t="shared" si="57"/>
        <v>3_22_3</v>
      </c>
      <c r="F77" s="4" t="str">
        <f ca="1">VLOOKUP($D77,OFFSET([1]stages!$A$1,0,0,COUNTA([1]stages!$A:$A),MATCH(F$1,[1]stages!$2:$2,0)-MATCH($D$1,[1]stages!$2:$2,0)+1),MATCH(F$1,[1]stages!$2:$2,0)-MATCH($D$1,[1]stages!$2:$2,0)+1,FALSE)</f>
        <v>22-3．誘眠の鼓音</v>
      </c>
      <c r="G77" s="57">
        <v>3</v>
      </c>
      <c r="H77" s="17" t="str">
        <f t="shared" si="58"/>
        <v>22_3-3</v>
      </c>
      <c r="I77" s="17"/>
      <c r="J77" s="17"/>
      <c r="K77" s="65" t="s">
        <v>56</v>
      </c>
      <c r="L77" s="52">
        <v>37</v>
      </c>
      <c r="M77" s="21" t="str">
        <f ca="1">VLOOKUP($L77,OFFSET([2]enemies!$A$1,0,0,COUNTA([2]enemies!$A:$A),MATCH(M$1,[2]enemies!$1:$1,0)-MATCH($L$1,[2]enemies!$1:$1,0)+1),MATCH(M$1,[2]enemies!$1:$1,0)-MATCH($L$1,[2]enemies!$1:$1,0)+1,FALSE)</f>
        <v>ガイル</v>
      </c>
      <c r="N77" s="21" t="str">
        <f ca="1">VLOOKUP($L77,OFFSET([2]enemies!$A$1,0,0,COUNTA([2]enemies!$A:$A),MATCH(N$1,[2]enemies!$1:$1,0)-MATCH($L$1,[2]enemies!$1:$1,0)+1),MATCH(N$1,[2]enemies!$1:$1,0)-MATCH($L$1,[2]enemies!$1:$1,0)+1,FALSE)</f>
        <v>blue</v>
      </c>
      <c r="O77" s="21" t="str">
        <f ca="1">VLOOKUP($L77,OFFSET([3]characters!$A$1,0,0,COUNTA([3]characters!$A:$A),MATCH(O$1,[3]characters!$1:$1,0)-MATCH($L$1,[3]characters!$1:$1,0)+1),MATCH(O$1,[3]characters!$1:$1,0)-MATCH($L$1,[3]characters!$1:$1,0)+1,FALSE)</f>
        <v>Drop1S</v>
      </c>
      <c r="P77" s="21" t="str">
        <f ca="1">VLOOKUP($L77,OFFSET([2]enemies!$A$1,0,0,COUNTA([2]enemies!$A:$A),MATCH(P$1,[2]enemies!$1:$1,0)-MATCH($L$1,[2]enemies!$1:$1,0)+1),MATCH(P$1,[2]enemies!$1:$1,0)-MATCH($L$1,[2]enemies!$1:$1,0)+1,FALSE)</f>
        <v>animal</v>
      </c>
      <c r="Q77" s="21">
        <f ca="1">VLOOKUP($L77,OFFSET([2]enemies!$A$1,0,0,COUNTA([2]enemies!$A:$A),MATCH(Q$1,[2]enemies!$1:$1,0)-MATCH($L$1,[2]enemies!$1:$1,0)+1),MATCH(Q$1,[2]enemies!$1:$1,0)-MATCH($L$1,[2]enemies!$1:$1,0)+1,FALSE)</f>
        <v>15</v>
      </c>
      <c r="R77" s="53">
        <v>44</v>
      </c>
      <c r="S77" s="27">
        <v>1</v>
      </c>
      <c r="T77" s="27">
        <v>1</v>
      </c>
      <c r="U77" s="5">
        <v>0</v>
      </c>
      <c r="V77" s="4" t="str">
        <f ca="1">VLOOKUP($W77,OFFSET([4]enemy_skill_sets!$B$1,0,0,COUNTA([4]enemy_skill_sets!$B:$B),MATCH(M$1,[4]enemy_skill_sets!$1:$1,0)-MATCH($W$1,[4]enemy_skill_sets!$1:$1,0)+2),MATCH(M$1,[4]enemy_skill_sets!$1:$1,0)-MATCH($W$1,[4]enemy_skill_sets!$1:$1,0)+2,FALSE)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77" s="4">
        <f ca="1">VLOOKUP($L77,OFFSET([2]enemies!$A$1,0,0,COUNTA([2]enemies!$A:$A),MATCH(W$1,[2]enemies!$1:$1,0)-MATCH($L$1,[2]enemies!$1:$1,0)+1),MATCH(W$1,[2]enemies!$1:$1,0)-MATCH($L$1,[2]enemies!$1:$1,0)+1,FALSE)</f>
        <v>37</v>
      </c>
      <c r="X77" s="6">
        <v>0</v>
      </c>
      <c r="Y77" s="6">
        <v>100</v>
      </c>
      <c r="Z77" s="6">
        <v>0</v>
      </c>
      <c r="AA77" s="4">
        <f ca="1">VLOOKUP($L77,OFFSET([2]enemies!$A$1,0,0,COUNTA([2]enemies!$A:$A),MATCH(AA$1,[2]enemies!$1:$1,0)-MATCH($L$1,[2]enemies!$1:$1,0)+1),MATCH(AA$1,[2]enemies!$1:$1,0)-MATCH($L$1,[2]enemies!$1:$1,0)+1,FALSE)</f>
        <v>3</v>
      </c>
      <c r="AB77" s="52">
        <v>37</v>
      </c>
      <c r="AC77" s="4" t="str">
        <f ca="1">VLOOKUP($AB77,OFFSET([3]characters!$A$1,0,0,COUNTA([3]characters!$A:$A),MATCH(AC$1,[3]characters!$1:$1,0)-MATCH("character_id",[3]characters!$1:$1,0)+1),MATCH(AC$1,[3]characters!$1:$1,0)-MATCH("character_id",[3]characters!$1:$1,0)+1,FALSE)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77" s="4">
        <f ca="1">VLOOKUP($AB77,OFFSET([3]characters!$A$1,0,0,COUNTA([3]characters!$A:$A),MATCH(AD$1,[3]characters!$1:$1,0)-MATCH("character_id",[3]characters!$1:$1,0)+1),MATCH(AD$1,[3]characters!$1:$1,0)-MATCH("character_id",[3]characters!$1:$1,0)+1,FALSE)</f>
        <v>2</v>
      </c>
      <c r="AE77" s="4" t="str">
        <f ca="1">VLOOKUP($AB77,OFFSET([3]characters!$A$1,0,0,COUNTA([3]characters!$A:$A),MATCH(AE$1,[3]characters!$1:$1,0)-MATCH("character_id",[3]characters!$1:$1,0)+1),MATCH(AE$1,[3]characters!$1:$1,0)-MATCH("character_id",[3]characters!$1:$1,0)+1,FALSE)</f>
        <v>Drop1S</v>
      </c>
      <c r="AF77" s="7">
        <v>5</v>
      </c>
      <c r="AG77" s="26">
        <f t="shared" ca="1" si="82"/>
        <v>2</v>
      </c>
      <c r="AH77" s="8">
        <v>20</v>
      </c>
      <c r="AI77" s="7">
        <v>0</v>
      </c>
      <c r="AJ77" s="7">
        <v>0</v>
      </c>
      <c r="AK77" s="7">
        <v>0</v>
      </c>
      <c r="AL77" s="7">
        <v>0</v>
      </c>
      <c r="AM77" s="7">
        <v>1</v>
      </c>
    </row>
    <row r="78" spans="1:39" ht="21" customHeight="1" x14ac:dyDescent="0.15">
      <c r="A78" s="18" t="str">
        <f t="shared" ca="1" si="56"/>
        <v>22_3-3/45&lt;lv44&gt;s3</v>
      </c>
      <c r="B78" s="50">
        <v>22</v>
      </c>
      <c r="C78" s="49">
        <v>3</v>
      </c>
      <c r="D78" s="2" t="str">
        <f t="shared" si="57"/>
        <v>22_3</v>
      </c>
      <c r="E78" s="2" t="str">
        <f t="shared" si="57"/>
        <v>3_22_3</v>
      </c>
      <c r="F78" s="4" t="str">
        <f ca="1">VLOOKUP($D78,OFFSET([1]stages!$A$1,0,0,COUNTA([1]stages!$A:$A),MATCH(F$1,[1]stages!$2:$2,0)-MATCH($D$1,[1]stages!$2:$2,0)+1),MATCH(F$1,[1]stages!$2:$2,0)-MATCH($D$1,[1]stages!$2:$2,0)+1,FALSE)</f>
        <v>22-3．誘眠の鼓音</v>
      </c>
      <c r="G78" s="57">
        <v>3</v>
      </c>
      <c r="H78" s="17" t="str">
        <f t="shared" si="58"/>
        <v>22_3-3</v>
      </c>
      <c r="I78" s="17"/>
      <c r="J78" s="17"/>
      <c r="K78" s="65" t="s">
        <v>56</v>
      </c>
      <c r="L78" s="52">
        <v>45</v>
      </c>
      <c r="M78" s="21" t="str">
        <f ca="1">VLOOKUP($L78,OFFSET([2]enemies!$A$1,0,0,COUNTA([2]enemies!$A:$A),MATCH(M$1,[2]enemies!$1:$1,0)-MATCH($L$1,[2]enemies!$1:$1,0)+1),MATCH(M$1,[2]enemies!$1:$1,0)-MATCH($L$1,[2]enemies!$1:$1,0)+1,FALSE)</f>
        <v>ショウイン</v>
      </c>
      <c r="N78" s="21" t="str">
        <f ca="1">VLOOKUP($L78,OFFSET([2]enemies!$A$1,0,0,COUNTA([2]enemies!$A:$A),MATCH(N$1,[2]enemies!$1:$1,0)-MATCH($L$1,[2]enemies!$1:$1,0)+1),MATCH(N$1,[2]enemies!$1:$1,0)-MATCH($L$1,[2]enemies!$1:$1,0)+1,FALSE)</f>
        <v>blue</v>
      </c>
      <c r="O78" s="21" t="str">
        <f ca="1">VLOOKUP($L78,OFFSET([3]characters!$A$1,0,0,COUNTA([3]characters!$A:$A),MATCH(O$1,[3]characters!$1:$1,0)-MATCH($L$1,[3]characters!$1:$1,0)+1),MATCH(O$1,[3]characters!$1:$1,0)-MATCH($L$1,[3]characters!$1:$1,0)+1,FALSE)</f>
        <v>Drop1N</v>
      </c>
      <c r="P78" s="21" t="str">
        <f ca="1">VLOOKUP($L78,OFFSET([2]enemies!$A$1,0,0,COUNTA([2]enemies!$A:$A),MATCH(P$1,[2]enemies!$1:$1,0)-MATCH($L$1,[2]enemies!$1:$1,0)+1),MATCH(P$1,[2]enemies!$1:$1,0)-MATCH($L$1,[2]enemies!$1:$1,0)+1,FALSE)</f>
        <v>animal</v>
      </c>
      <c r="Q78" s="21">
        <f ca="1">VLOOKUP($L78,OFFSET([2]enemies!$A$1,0,0,COUNTA([2]enemies!$A:$A),MATCH(Q$1,[2]enemies!$1:$1,0)-MATCH($L$1,[2]enemies!$1:$1,0)+1),MATCH(Q$1,[2]enemies!$1:$1,0)-MATCH($L$1,[2]enemies!$1:$1,0)+1,FALSE)</f>
        <v>15</v>
      </c>
      <c r="R78" s="53">
        <v>44</v>
      </c>
      <c r="S78" s="27">
        <v>1</v>
      </c>
      <c r="T78" s="27">
        <v>1</v>
      </c>
      <c r="U78" s="5">
        <v>0</v>
      </c>
      <c r="V78" s="4" t="str">
        <f ca="1">VLOOKUP($W78,OFFSET([4]enemy_skill_sets!$B$1,0,0,COUNTA([4]enemy_skill_sets!$B:$B),MATCH(M$1,[4]enemy_skill_sets!$1:$1,0)-MATCH($W$1,[4]enemy_skill_sets!$1:$1,0)+2),MATCH(M$1,[4]enemy_skill_sets!$1:$1,0)-MATCH($W$1,[4]enemy_skill_sets!$1:$1,0)+2,FALSE)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8" s="4">
        <f ca="1">VLOOKUP($L78,OFFSET([2]enemies!$A$1,0,0,COUNTA([2]enemies!$A:$A),MATCH(W$1,[2]enemies!$1:$1,0)-MATCH($L$1,[2]enemies!$1:$1,0)+1),MATCH(W$1,[2]enemies!$1:$1,0)-MATCH($L$1,[2]enemies!$1:$1,0)+1,FALSE)</f>
        <v>0</v>
      </c>
      <c r="X78" s="6">
        <v>0</v>
      </c>
      <c r="Y78" s="6">
        <v>100</v>
      </c>
      <c r="Z78" s="6">
        <v>0</v>
      </c>
      <c r="AA78" s="4">
        <f ca="1">VLOOKUP($L78,OFFSET([2]enemies!$A$1,0,0,COUNTA([2]enemies!$A:$A),MATCH(AA$1,[2]enemies!$1:$1,0)-MATCH($L$1,[2]enemies!$1:$1,0)+1),MATCH(AA$1,[2]enemies!$1:$1,0)-MATCH($L$1,[2]enemies!$1:$1,0)+1,FALSE)</f>
        <v>3</v>
      </c>
      <c r="AB78" s="52">
        <v>45</v>
      </c>
      <c r="AC78" s="4" t="str">
        <f ca="1">VLOOKUP($AB78,OFFSET([3]characters!$A$1,0,0,COUNTA([3]characters!$A:$A),MATCH(AC$1,[3]characters!$1:$1,0)-MATCH("character_id",[3]characters!$1:$1,0)+1),MATCH(AC$1,[3]characters!$1:$1,0)-MATCH("character_id",[3]characters!$1:$1,0)+1,FALSE)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78" s="4">
        <f ca="1">VLOOKUP($AB78,OFFSET([3]characters!$A$1,0,0,COUNTA([3]characters!$A:$A),MATCH(AD$1,[3]characters!$1:$1,0)-MATCH("character_id",[3]characters!$1:$1,0)+1),MATCH(AD$1,[3]characters!$1:$1,0)-MATCH("character_id",[3]characters!$1:$1,0)+1,FALSE)</f>
        <v>2</v>
      </c>
      <c r="AE78" s="4" t="str">
        <f ca="1">VLOOKUP($AB78,OFFSET([3]characters!$A$1,0,0,COUNTA([3]characters!$A:$A),MATCH(AE$1,[3]characters!$1:$1,0)-MATCH("character_id",[3]characters!$1:$1,0)+1),MATCH(AE$1,[3]characters!$1:$1,0)-MATCH("character_id",[3]characters!$1:$1,0)+1,FALSE)</f>
        <v>Drop1N</v>
      </c>
      <c r="AF78" s="7">
        <v>7</v>
      </c>
      <c r="AG78" s="26">
        <f t="shared" ca="1" si="82"/>
        <v>2</v>
      </c>
      <c r="AH78" s="8">
        <v>20</v>
      </c>
      <c r="AI78" s="7">
        <v>0</v>
      </c>
      <c r="AJ78" s="7">
        <v>0</v>
      </c>
      <c r="AK78" s="7">
        <v>0</v>
      </c>
      <c r="AL78" s="7">
        <v>0</v>
      </c>
      <c r="AM78" s="7">
        <v>1</v>
      </c>
    </row>
    <row r="79" spans="1:39" ht="21" customHeight="1" x14ac:dyDescent="0.15">
      <c r="A79" s="18" t="str">
        <f t="shared" ca="1" si="56"/>
        <v>22_3-3/57&lt;lv44&gt;s2</v>
      </c>
      <c r="B79" s="50">
        <v>22</v>
      </c>
      <c r="C79" s="49">
        <v>3</v>
      </c>
      <c r="D79" s="2" t="str">
        <f t="shared" si="57"/>
        <v>22_3</v>
      </c>
      <c r="E79" s="2" t="str">
        <f t="shared" si="57"/>
        <v>3_22_3</v>
      </c>
      <c r="F79" s="4" t="str">
        <f ca="1">VLOOKUP($D79,OFFSET([1]stages!$A$1,0,0,COUNTA([1]stages!$A:$A),MATCH(F$1,[1]stages!$2:$2,0)-MATCH($D$1,[1]stages!$2:$2,0)+1),MATCH(F$1,[1]stages!$2:$2,0)-MATCH($D$1,[1]stages!$2:$2,0)+1,FALSE)</f>
        <v>22-3．誘眠の鼓音</v>
      </c>
      <c r="G79" s="57">
        <v>3</v>
      </c>
      <c r="H79" s="17" t="str">
        <f t="shared" si="58"/>
        <v>22_3-3</v>
      </c>
      <c r="I79" s="17"/>
      <c r="J79" s="17"/>
      <c r="K79" s="65" t="s">
        <v>56</v>
      </c>
      <c r="L79" s="52">
        <v>57</v>
      </c>
      <c r="M79" s="21" t="str">
        <f ca="1">VLOOKUP($L79,OFFSET([2]enemies!$A$1,0,0,COUNTA([2]enemies!$A:$A),MATCH(M$1,[2]enemies!$1:$1,0)-MATCH($L$1,[2]enemies!$1:$1,0)+1),MATCH(M$1,[2]enemies!$1:$1,0)-MATCH($L$1,[2]enemies!$1:$1,0)+1,FALSE)</f>
        <v>チェン・リー</v>
      </c>
      <c r="N79" s="21" t="str">
        <f ca="1">VLOOKUP($L79,OFFSET([2]enemies!$A$1,0,0,COUNTA([2]enemies!$A:$A),MATCH(N$1,[2]enemies!$1:$1,0)-MATCH($L$1,[2]enemies!$1:$1,0)+1),MATCH(N$1,[2]enemies!$1:$1,0)-MATCH($L$1,[2]enemies!$1:$1,0)+1,FALSE)</f>
        <v>red</v>
      </c>
      <c r="O79" s="21" t="str">
        <f ca="1">VLOOKUP($L79,OFFSET([3]characters!$A$1,0,0,COUNTA([3]characters!$A:$A),MATCH(O$1,[3]characters!$1:$1,0)-MATCH($L$1,[3]characters!$1:$1,0)+1),MATCH(O$1,[3]characters!$1:$1,0)-MATCH($L$1,[3]characters!$1:$1,0)+1,FALSE)</f>
        <v>Drop1N</v>
      </c>
      <c r="P79" s="21" t="str">
        <f ca="1">VLOOKUP($L79,OFFSET([2]enemies!$A$1,0,0,COUNTA([2]enemies!$A:$A),MATCH(P$1,[2]enemies!$1:$1,0)-MATCH($L$1,[2]enemies!$1:$1,0)+1),MATCH(P$1,[2]enemies!$1:$1,0)-MATCH($L$1,[2]enemies!$1:$1,0)+1,FALSE)</f>
        <v>animal</v>
      </c>
      <c r="Q79" s="21">
        <f ca="1">VLOOKUP($L79,OFFSET([2]enemies!$A$1,0,0,COUNTA([2]enemies!$A:$A),MATCH(Q$1,[2]enemies!$1:$1,0)-MATCH($L$1,[2]enemies!$1:$1,0)+1),MATCH(Q$1,[2]enemies!$1:$1,0)-MATCH($L$1,[2]enemies!$1:$1,0)+1,FALSE)</f>
        <v>15</v>
      </c>
      <c r="R79" s="53">
        <v>44</v>
      </c>
      <c r="S79" s="27">
        <v>1</v>
      </c>
      <c r="T79" s="27">
        <v>1</v>
      </c>
      <c r="U79" s="5">
        <v>0</v>
      </c>
      <c r="V79" s="4" t="str">
        <f ca="1">VLOOKUP($W79,OFFSET([4]enemy_skill_sets!$B$1,0,0,COUNTA([4]enemy_skill_sets!$B:$B),MATCH(M$1,[4]enemy_skill_sets!$1:$1,0)-MATCH($W$1,[4]enemy_skill_sets!$1:$1,0)+2),MATCH(M$1,[4]enemy_skill_sets!$1:$1,0)-MATCH($W$1,[4]enemy_skill_sets!$1:$1,0)+2,FALSE)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79" s="4">
        <f ca="1">VLOOKUP($L79,OFFSET([2]enemies!$A$1,0,0,COUNTA([2]enemies!$A:$A),MATCH(W$1,[2]enemies!$1:$1,0)-MATCH($L$1,[2]enemies!$1:$1,0)+1),MATCH(W$1,[2]enemies!$1:$1,0)-MATCH($L$1,[2]enemies!$1:$1,0)+1,FALSE)</f>
        <v>57</v>
      </c>
      <c r="X79" s="6">
        <v>0</v>
      </c>
      <c r="Y79" s="6">
        <v>100</v>
      </c>
      <c r="Z79" s="6">
        <v>0</v>
      </c>
      <c r="AA79" s="4">
        <f ca="1">VLOOKUP($L79,OFFSET([2]enemies!$A$1,0,0,COUNTA([2]enemies!$A:$A),MATCH(AA$1,[2]enemies!$1:$1,0)-MATCH($L$1,[2]enemies!$1:$1,0)+1),MATCH(AA$1,[2]enemies!$1:$1,0)-MATCH($L$1,[2]enemies!$1:$1,0)+1,FALSE)</f>
        <v>2</v>
      </c>
      <c r="AB79" s="52">
        <v>57</v>
      </c>
      <c r="AC79" s="4" t="str">
        <f ca="1">VLOOKUP($AB79,OFFSET([3]characters!$A$1,0,0,COUNTA([3]characters!$A:$A),MATCH(AC$1,[3]characters!$1:$1,0)-MATCH("character_id",[3]characters!$1:$1,0)+1),MATCH(AC$1,[3]characters!$1:$1,0)-MATCH("character_id",[3]characters!$1:$1,0)+1,FALSE)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79" s="4">
        <f ca="1">VLOOKUP($AB79,OFFSET([3]characters!$A$1,0,0,COUNTA([3]characters!$A:$A),MATCH(AD$1,[3]characters!$1:$1,0)-MATCH("character_id",[3]characters!$1:$1,0)+1),MATCH(AD$1,[3]characters!$1:$1,0)-MATCH("character_id",[3]characters!$1:$1,0)+1,FALSE)</f>
        <v>2</v>
      </c>
      <c r="AE79" s="4" t="str">
        <f ca="1">VLOOKUP($AB79,OFFSET([3]characters!$A$1,0,0,COUNTA([3]characters!$A:$A),MATCH(AE$1,[3]characters!$1:$1,0)-MATCH("character_id",[3]characters!$1:$1,0)+1),MATCH(AE$1,[3]characters!$1:$1,0)-MATCH("character_id",[3]characters!$1:$1,0)+1,FALSE)</f>
        <v>Drop1N</v>
      </c>
      <c r="AF79" s="7">
        <v>7</v>
      </c>
      <c r="AG79" s="26">
        <f t="shared" ca="1" si="82"/>
        <v>2</v>
      </c>
      <c r="AH79" s="8">
        <v>20</v>
      </c>
      <c r="AI79" s="7">
        <v>0</v>
      </c>
      <c r="AJ79" s="7">
        <v>0</v>
      </c>
      <c r="AK79" s="7">
        <v>0</v>
      </c>
      <c r="AL79" s="7">
        <v>0</v>
      </c>
      <c r="AM79" s="7">
        <v>1</v>
      </c>
    </row>
    <row r="80" spans="1:39" ht="21" customHeight="1" x14ac:dyDescent="0.15">
      <c r="A80" s="18" t="str">
        <f t="shared" ca="1" si="56"/>
        <v>22_3-3/61&lt;lv44&gt;s2</v>
      </c>
      <c r="B80" s="50">
        <v>22</v>
      </c>
      <c r="C80" s="49">
        <v>3</v>
      </c>
      <c r="D80" s="2" t="str">
        <f t="shared" si="57"/>
        <v>22_3</v>
      </c>
      <c r="E80" s="2" t="str">
        <f t="shared" si="57"/>
        <v>3_22_3</v>
      </c>
      <c r="F80" s="4" t="str">
        <f ca="1">VLOOKUP($D80,OFFSET([1]stages!$A$1,0,0,COUNTA([1]stages!$A:$A),MATCH(F$1,[1]stages!$2:$2,0)-MATCH($D$1,[1]stages!$2:$2,0)+1),MATCH(F$1,[1]stages!$2:$2,0)-MATCH($D$1,[1]stages!$2:$2,0)+1,FALSE)</f>
        <v>22-3．誘眠の鼓音</v>
      </c>
      <c r="G80" s="57">
        <v>3</v>
      </c>
      <c r="H80" s="17" t="str">
        <f t="shared" si="58"/>
        <v>22_3-3</v>
      </c>
      <c r="I80" s="17"/>
      <c r="J80" s="17"/>
      <c r="K80" s="65" t="s">
        <v>56</v>
      </c>
      <c r="L80" s="52">
        <v>61</v>
      </c>
      <c r="M80" s="21" t="str">
        <f ca="1">VLOOKUP($L80,OFFSET([2]enemies!$A$1,0,0,COUNTA([2]enemies!$A:$A),MATCH(M$1,[2]enemies!$1:$1,0)-MATCH($L$1,[2]enemies!$1:$1,0)+1),MATCH(M$1,[2]enemies!$1:$1,0)-MATCH($L$1,[2]enemies!$1:$1,0)+1,FALSE)</f>
        <v>クロウ</v>
      </c>
      <c r="N80" s="21" t="str">
        <f ca="1">VLOOKUP($L80,OFFSET([2]enemies!$A$1,0,0,COUNTA([2]enemies!$A:$A),MATCH(N$1,[2]enemies!$1:$1,0)-MATCH($L$1,[2]enemies!$1:$1,0)+1),MATCH(N$1,[2]enemies!$1:$1,0)-MATCH($L$1,[2]enemies!$1:$1,0)+1,FALSE)</f>
        <v>blue</v>
      </c>
      <c r="O80" s="21" t="str">
        <f ca="1">VLOOKUP($L80,OFFSET([3]characters!$A$1,0,0,COUNTA([3]characters!$A:$A),MATCH(O$1,[3]characters!$1:$1,0)-MATCH($L$1,[3]characters!$1:$1,0)+1),MATCH(O$1,[3]characters!$1:$1,0)-MATCH($L$1,[3]characters!$1:$1,0)+1,FALSE)</f>
        <v>Drop1N</v>
      </c>
      <c r="P80" s="21" t="str">
        <f ca="1">VLOOKUP($L80,OFFSET([2]enemies!$A$1,0,0,COUNTA([2]enemies!$A:$A),MATCH(P$1,[2]enemies!$1:$1,0)-MATCH($L$1,[2]enemies!$1:$1,0)+1),MATCH(P$1,[2]enemies!$1:$1,0)-MATCH($L$1,[2]enemies!$1:$1,0)+1,FALSE)</f>
        <v>animal</v>
      </c>
      <c r="Q80" s="21">
        <f ca="1">VLOOKUP($L80,OFFSET([2]enemies!$A$1,0,0,COUNTA([2]enemies!$A:$A),MATCH(Q$1,[2]enemies!$1:$1,0)-MATCH($L$1,[2]enemies!$1:$1,0)+1),MATCH(Q$1,[2]enemies!$1:$1,0)-MATCH($L$1,[2]enemies!$1:$1,0)+1,FALSE)</f>
        <v>15</v>
      </c>
      <c r="R80" s="53">
        <v>44</v>
      </c>
      <c r="S80" s="27">
        <v>1</v>
      </c>
      <c r="T80" s="27">
        <v>1</v>
      </c>
      <c r="U80" s="5">
        <v>0</v>
      </c>
      <c r="V80" s="4" t="str">
        <f ca="1">VLOOKUP($W80,OFFSET([4]enemy_skill_sets!$B$1,0,0,COUNTA([4]enemy_skill_sets!$B:$B),MATCH(M$1,[4]enemy_skill_sets!$1:$1,0)-MATCH($W$1,[4]enemy_skill_sets!$1:$1,0)+2),MATCH(M$1,[4]enemy_skill_sets!$1:$1,0)-MATCH($W$1,[4]enemy_skill_sets!$1:$1,0)+2,FALSE)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0" s="4">
        <f ca="1">VLOOKUP($L80,OFFSET([2]enemies!$A$1,0,0,COUNTA([2]enemies!$A:$A),MATCH(W$1,[2]enemies!$1:$1,0)-MATCH($L$1,[2]enemies!$1:$1,0)+1),MATCH(W$1,[2]enemies!$1:$1,0)-MATCH($L$1,[2]enemies!$1:$1,0)+1,FALSE)</f>
        <v>61</v>
      </c>
      <c r="X80" s="6">
        <v>0</v>
      </c>
      <c r="Y80" s="6">
        <v>100</v>
      </c>
      <c r="Z80" s="6">
        <v>0</v>
      </c>
      <c r="AA80" s="4">
        <f ca="1">VLOOKUP($L80,OFFSET([2]enemies!$A$1,0,0,COUNTA([2]enemies!$A:$A),MATCH(AA$1,[2]enemies!$1:$1,0)-MATCH($L$1,[2]enemies!$1:$1,0)+1),MATCH(AA$1,[2]enemies!$1:$1,0)-MATCH($L$1,[2]enemies!$1:$1,0)+1,FALSE)</f>
        <v>2</v>
      </c>
      <c r="AB80" s="52">
        <v>61</v>
      </c>
      <c r="AC80" s="4" t="str">
        <f ca="1">VLOOKUP($AB80,OFFSET([3]characters!$A$1,0,0,COUNTA([3]characters!$A:$A),MATCH(AC$1,[3]characters!$1:$1,0)-MATCH("character_id",[3]characters!$1:$1,0)+1),MATCH(AC$1,[3]characters!$1:$1,0)-MATCH("character_id",[3]characters!$1:$1,0)+1,FALSE)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80" s="4">
        <f ca="1">VLOOKUP($AB80,OFFSET([3]characters!$A$1,0,0,COUNTA([3]characters!$A:$A),MATCH(AD$1,[3]characters!$1:$1,0)-MATCH("character_id",[3]characters!$1:$1,0)+1),MATCH(AD$1,[3]characters!$1:$1,0)-MATCH("character_id",[3]characters!$1:$1,0)+1,FALSE)</f>
        <v>2</v>
      </c>
      <c r="AE80" s="4" t="str">
        <f ca="1">VLOOKUP($AB80,OFFSET([3]characters!$A$1,0,0,COUNTA([3]characters!$A:$A),MATCH(AE$1,[3]characters!$1:$1,0)-MATCH("character_id",[3]characters!$1:$1,0)+1),MATCH(AE$1,[3]characters!$1:$1,0)-MATCH("character_id",[3]characters!$1:$1,0)+1,FALSE)</f>
        <v>Drop1N</v>
      </c>
      <c r="AF80" s="7">
        <v>7</v>
      </c>
      <c r="AG80" s="26">
        <f t="shared" ca="1" si="82"/>
        <v>2</v>
      </c>
      <c r="AH80" s="8">
        <v>20</v>
      </c>
      <c r="AI80" s="7">
        <v>0</v>
      </c>
      <c r="AJ80" s="7">
        <v>0</v>
      </c>
      <c r="AK80" s="7">
        <v>0</v>
      </c>
      <c r="AL80" s="7">
        <v>0</v>
      </c>
      <c r="AM80" s="7">
        <v>1</v>
      </c>
    </row>
    <row r="81" spans="1:39" ht="21" customHeight="1" x14ac:dyDescent="0.15">
      <c r="A81" s="18" t="str">
        <f t="shared" ref="A81:A82" ca="1" si="95">B81&amp;"_"&amp;C81&amp;"-"&amp;G81&amp;"/"&amp;L81&amp;"&lt;lv"&amp;R81&amp;"&gt;s"&amp;AA81</f>
        <v>22_3-3/360&lt;lv44&gt;s3</v>
      </c>
      <c r="B81" s="53">
        <v>22</v>
      </c>
      <c r="C81" s="51">
        <v>3</v>
      </c>
      <c r="D81" s="2" t="str">
        <f t="shared" ref="D81:D82" si="96">B81&amp;"_"&amp;C81</f>
        <v>22_3</v>
      </c>
      <c r="E81" s="2" t="str">
        <f t="shared" ref="E81:E82" si="97">C81&amp;"_"&amp;D81</f>
        <v>3_22_3</v>
      </c>
      <c r="F81" s="4" t="str">
        <f ca="1">VLOOKUP($D81,OFFSET([1]stages!$A$1,0,0,COUNTA([1]stages!$A:$A),MATCH(F$1,[1]stages!$2:$2,0)-MATCH($D$1,[1]stages!$2:$2,0)+1),MATCH(F$1,[1]stages!$2:$2,0)-MATCH($D$1,[1]stages!$2:$2,0)+1,FALSE)</f>
        <v>22-3．誘眠の鼓音</v>
      </c>
      <c r="G81" s="57">
        <v>3</v>
      </c>
      <c r="H81" s="17" t="str">
        <f t="shared" ref="H81:H82" si="98">B81&amp;"_"&amp;C81&amp;"-"&amp;G81</f>
        <v>22_3-3</v>
      </c>
      <c r="I81" s="17"/>
      <c r="J81" s="17"/>
      <c r="K81" s="65" t="s">
        <v>56</v>
      </c>
      <c r="L81" s="52">
        <v>360</v>
      </c>
      <c r="M81" s="21" t="str">
        <f ca="1">VLOOKUP($L81,OFFSET([2]enemies!$A$1,0,0,COUNTA([2]enemies!$A:$A),MATCH(M$1,[2]enemies!$1:$1,0)-MATCH($L$1,[2]enemies!$1:$1,0)+1),MATCH(M$1,[2]enemies!$1:$1,0)-MATCH($L$1,[2]enemies!$1:$1,0)+1,FALSE)</f>
        <v>ガンテツ</v>
      </c>
      <c r="N81" s="21" t="str">
        <f ca="1">VLOOKUP($L81,OFFSET([2]enemies!$A$1,0,0,COUNTA([2]enemies!$A:$A),MATCH(N$1,[2]enemies!$1:$1,0)-MATCH($L$1,[2]enemies!$1:$1,0)+1),MATCH(N$1,[2]enemies!$1:$1,0)-MATCH($L$1,[2]enemies!$1:$1,0)+1,FALSE)</f>
        <v>red</v>
      </c>
      <c r="O81" s="21" t="str">
        <f ca="1">VLOOKUP($L81,OFFSET([3]characters!$A$1,0,0,COUNTA([3]characters!$A:$A),MATCH(O$1,[3]characters!$1:$1,0)-MATCH($L$1,[3]characters!$1:$1,0)+1),MATCH(O$1,[3]characters!$1:$1,0)-MATCH($L$1,[3]characters!$1:$1,0)+1,FALSE)</f>
        <v>Drop1S</v>
      </c>
      <c r="P81" s="21" t="str">
        <f ca="1">VLOOKUP($L81,OFFSET([2]enemies!$A$1,0,0,COUNTA([2]enemies!$A:$A),MATCH(P$1,[2]enemies!$1:$1,0)-MATCH($L$1,[2]enemies!$1:$1,0)+1),MATCH(P$1,[2]enemies!$1:$1,0)-MATCH($L$1,[2]enemies!$1:$1,0)+1,FALSE)</f>
        <v>animal</v>
      </c>
      <c r="Q81" s="21">
        <f ca="1">VLOOKUP($L81,OFFSET([2]enemies!$A$1,0,0,COUNTA([2]enemies!$A:$A),MATCH(Q$1,[2]enemies!$1:$1,0)-MATCH($L$1,[2]enemies!$1:$1,0)+1),MATCH(Q$1,[2]enemies!$1:$1,0)-MATCH($L$1,[2]enemies!$1:$1,0)+1,FALSE)</f>
        <v>15</v>
      </c>
      <c r="R81" s="53">
        <v>44</v>
      </c>
      <c r="S81" s="27">
        <v>1</v>
      </c>
      <c r="T81" s="27">
        <v>1</v>
      </c>
      <c r="U81" s="5">
        <v>0</v>
      </c>
      <c r="V81" s="4" t="str">
        <f ca="1">VLOOKUP($W81,OFFSET([4]enemy_skill_sets!$B$1,0,0,COUNTA([4]enemy_skill_sets!$B:$B),MATCH(M$1,[4]enemy_skill_sets!$1:$1,0)-MATCH($W$1,[4]enemy_skill_sets!$1:$1,0)+2),MATCH(M$1,[4]enemy_skill_sets!$1:$1,0)-MATCH($W$1,[4]enemy_skill_sets!$1:$1,0)+2,FALSE)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81" s="76">
        <v>360</v>
      </c>
      <c r="X81" s="6">
        <v>0</v>
      </c>
      <c r="Y81" s="6">
        <v>100</v>
      </c>
      <c r="Z81" s="6">
        <v>0</v>
      </c>
      <c r="AA81" s="4">
        <f ca="1">VLOOKUP($L81,OFFSET([2]enemies!$A$1,0,0,COUNTA([2]enemies!$A:$A),MATCH(AA$1,[2]enemies!$1:$1,0)-MATCH($L$1,[2]enemies!$1:$1,0)+1),MATCH(AA$1,[2]enemies!$1:$1,0)-MATCH($L$1,[2]enemies!$1:$1,0)+1,FALSE)</f>
        <v>3</v>
      </c>
      <c r="AB81" s="52">
        <v>360</v>
      </c>
      <c r="AC81" s="4" t="str">
        <f ca="1">VLOOKUP($AB81,OFFSET([3]characters!$A$1,0,0,COUNTA([3]characters!$A:$A),MATCH(AC$1,[3]characters!$1:$1,0)-MATCH("character_id",[3]characters!$1:$1,0)+1),MATCH(AC$1,[3]characters!$1:$1,0)-MATCH("character_id",[3]characters!$1:$1,0)+1,FALSE)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81" s="4">
        <f ca="1">VLOOKUP($AB81,OFFSET([3]characters!$A$1,0,0,COUNTA([3]characters!$A:$A),MATCH(AD$1,[3]characters!$1:$1,0)-MATCH("character_id",[3]characters!$1:$1,0)+1),MATCH(AD$1,[3]characters!$1:$1,0)-MATCH("character_id",[3]characters!$1:$1,0)+1,FALSE)</f>
        <v>2</v>
      </c>
      <c r="AE81" s="4" t="str">
        <f ca="1">VLOOKUP($AB81,OFFSET([3]characters!$A$1,0,0,COUNTA([3]characters!$A:$A),MATCH(AE$1,[3]characters!$1:$1,0)-MATCH("character_id",[3]characters!$1:$1,0)+1),MATCH(AE$1,[3]characters!$1:$1,0)-MATCH("character_id",[3]characters!$1:$1,0)+1,FALSE)</f>
        <v>Drop1S</v>
      </c>
      <c r="AF81" s="7">
        <v>7</v>
      </c>
      <c r="AG81" s="26">
        <f t="shared" ca="1" si="82"/>
        <v>2</v>
      </c>
      <c r="AH81" s="8">
        <v>20</v>
      </c>
      <c r="AI81" s="7">
        <v>0</v>
      </c>
      <c r="AJ81" s="7">
        <v>0</v>
      </c>
      <c r="AK81" s="7">
        <v>0</v>
      </c>
      <c r="AL81" s="7">
        <v>0</v>
      </c>
      <c r="AM81" s="7">
        <v>1</v>
      </c>
    </row>
    <row r="82" spans="1:39" ht="21" customHeight="1" x14ac:dyDescent="0.15">
      <c r="A82" s="18" t="str">
        <f t="shared" ca="1" si="95"/>
        <v>22_3-3/364&lt;lv44&gt;s3</v>
      </c>
      <c r="B82" s="53">
        <v>22</v>
      </c>
      <c r="C82" s="51">
        <v>3</v>
      </c>
      <c r="D82" s="2" t="str">
        <f t="shared" si="96"/>
        <v>22_3</v>
      </c>
      <c r="E82" s="2" t="str">
        <f t="shared" si="97"/>
        <v>3_22_3</v>
      </c>
      <c r="F82" s="4" t="str">
        <f ca="1">VLOOKUP($D82,OFFSET([1]stages!$A$1,0,0,COUNTA([1]stages!$A:$A),MATCH(F$1,[1]stages!$2:$2,0)-MATCH($D$1,[1]stages!$2:$2,0)+1),MATCH(F$1,[1]stages!$2:$2,0)-MATCH($D$1,[1]stages!$2:$2,0)+1,FALSE)</f>
        <v>22-3．誘眠の鼓音</v>
      </c>
      <c r="G82" s="57">
        <v>3</v>
      </c>
      <c r="H82" s="17" t="str">
        <f t="shared" si="98"/>
        <v>22_3-3</v>
      </c>
      <c r="I82" s="17"/>
      <c r="J82" s="17"/>
      <c r="K82" s="65" t="s">
        <v>56</v>
      </c>
      <c r="L82" s="52">
        <v>364</v>
      </c>
      <c r="M82" s="21" t="str">
        <f ca="1">VLOOKUP($L82,OFFSET([2]enemies!$A$1,0,0,COUNTA([2]enemies!$A:$A),MATCH(M$1,[2]enemies!$1:$1,0)-MATCH($L$1,[2]enemies!$1:$1,0)+1),MATCH(M$1,[2]enemies!$1:$1,0)-MATCH($L$1,[2]enemies!$1:$1,0)+1,FALSE)</f>
        <v>ノエル</v>
      </c>
      <c r="N82" s="21" t="str">
        <f ca="1">VLOOKUP($L82,OFFSET([2]enemies!$A$1,0,0,COUNTA([2]enemies!$A:$A),MATCH(N$1,[2]enemies!$1:$1,0)-MATCH($L$1,[2]enemies!$1:$1,0)+1),MATCH(N$1,[2]enemies!$1:$1,0)-MATCH($L$1,[2]enemies!$1:$1,0)+1,FALSE)</f>
        <v>blue</v>
      </c>
      <c r="O82" s="21" t="str">
        <f ca="1">VLOOKUP($L82,OFFSET([3]characters!$A$1,0,0,COUNTA([3]characters!$A:$A),MATCH(O$1,[3]characters!$1:$1,0)-MATCH($L$1,[3]characters!$1:$1,0)+1),MATCH(O$1,[3]characters!$1:$1,0)-MATCH($L$1,[3]characters!$1:$1,0)+1,FALSE)</f>
        <v>Drop1S</v>
      </c>
      <c r="P82" s="21" t="str">
        <f ca="1">VLOOKUP($L82,OFFSET([2]enemies!$A$1,0,0,COUNTA([2]enemies!$A:$A),MATCH(P$1,[2]enemies!$1:$1,0)-MATCH($L$1,[2]enemies!$1:$1,0)+1),MATCH(P$1,[2]enemies!$1:$1,0)-MATCH($L$1,[2]enemies!$1:$1,0)+1,FALSE)</f>
        <v>animal</v>
      </c>
      <c r="Q82" s="21">
        <f ca="1">VLOOKUP($L82,OFFSET([2]enemies!$A$1,0,0,COUNTA([2]enemies!$A:$A),MATCH(Q$1,[2]enemies!$1:$1,0)-MATCH($L$1,[2]enemies!$1:$1,0)+1),MATCH(Q$1,[2]enemies!$1:$1,0)-MATCH($L$1,[2]enemies!$1:$1,0)+1,FALSE)</f>
        <v>15</v>
      </c>
      <c r="R82" s="53">
        <v>44</v>
      </c>
      <c r="S82" s="27">
        <v>1</v>
      </c>
      <c r="T82" s="27">
        <v>1</v>
      </c>
      <c r="U82" s="5">
        <v>0</v>
      </c>
      <c r="V82" s="4" t="str">
        <f ca="1">VLOOKUP($W82,OFFSET([4]enemy_skill_sets!$B$1,0,0,COUNTA([4]enemy_skill_sets!$B:$B),MATCH(M$1,[4]enemy_skill_sets!$1:$1,0)-MATCH($W$1,[4]enemy_skill_sets!$1:$1,0)+2),MATCH(M$1,[4]enemy_skill_sets!$1:$1,0)-MATCH($W$1,[4]enemy_skill_sets!$1:$1,0)+2,FALSE)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82" s="64">
        <v>364</v>
      </c>
      <c r="X82" s="6">
        <v>0</v>
      </c>
      <c r="Y82" s="6">
        <v>100</v>
      </c>
      <c r="Z82" s="6">
        <v>0</v>
      </c>
      <c r="AA82" s="4">
        <f ca="1">VLOOKUP($L82,OFFSET([2]enemies!$A$1,0,0,COUNTA([2]enemies!$A:$A),MATCH(AA$1,[2]enemies!$1:$1,0)-MATCH($L$1,[2]enemies!$1:$1,0)+1),MATCH(AA$1,[2]enemies!$1:$1,0)-MATCH($L$1,[2]enemies!$1:$1,0)+1,FALSE)</f>
        <v>3</v>
      </c>
      <c r="AB82" s="52">
        <v>364</v>
      </c>
      <c r="AC82" s="4" t="str">
        <f ca="1">VLOOKUP($AB82,OFFSET([3]characters!$A$1,0,0,COUNTA([3]characters!$A:$A),MATCH(AC$1,[3]characters!$1:$1,0)-MATCH("character_id",[3]characters!$1:$1,0)+1),MATCH(AC$1,[3]characters!$1:$1,0)-MATCH("character_id",[3]characters!$1:$1,0)+1,FALSE)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82" s="4">
        <f ca="1">VLOOKUP($AB82,OFFSET([3]characters!$A$1,0,0,COUNTA([3]characters!$A:$A),MATCH(AD$1,[3]characters!$1:$1,0)-MATCH("character_id",[3]characters!$1:$1,0)+1),MATCH(AD$1,[3]characters!$1:$1,0)-MATCH("character_id",[3]characters!$1:$1,0)+1,FALSE)</f>
        <v>2</v>
      </c>
      <c r="AE82" s="4" t="str">
        <f ca="1">VLOOKUP($AB82,OFFSET([3]characters!$A$1,0,0,COUNTA([3]characters!$A:$A),MATCH(AE$1,[3]characters!$1:$1,0)-MATCH("character_id",[3]characters!$1:$1,0)+1),MATCH(AE$1,[3]characters!$1:$1,0)-MATCH("character_id",[3]characters!$1:$1,0)+1,FALSE)</f>
        <v>Drop1S</v>
      </c>
      <c r="AF82" s="7">
        <v>7</v>
      </c>
      <c r="AG82" s="26">
        <f t="shared" ca="1" si="82"/>
        <v>2</v>
      </c>
      <c r="AH82" s="8">
        <v>20</v>
      </c>
      <c r="AI82" s="7">
        <v>0</v>
      </c>
      <c r="AJ82" s="7">
        <v>0</v>
      </c>
      <c r="AK82" s="7">
        <v>0</v>
      </c>
      <c r="AL82" s="7">
        <v>0</v>
      </c>
      <c r="AM82" s="7">
        <v>1</v>
      </c>
    </row>
    <row r="83" spans="1:39" ht="21" customHeight="1" x14ac:dyDescent="0.15">
      <c r="A83" s="18" t="str">
        <f t="shared" ref="A83" ca="1" si="99">B83&amp;"_"&amp;C83&amp;"-"&amp;G83&amp;"/"&amp;L83&amp;"&lt;lv"&amp;R83&amp;"&gt;s"&amp;AA83</f>
        <v>22_3-3/348&lt;lv44&gt;s3</v>
      </c>
      <c r="B83" s="53">
        <v>22</v>
      </c>
      <c r="C83" s="51">
        <v>3</v>
      </c>
      <c r="D83" s="2" t="str">
        <f t="shared" ref="D83" si="100">B83&amp;"_"&amp;C83</f>
        <v>22_3</v>
      </c>
      <c r="E83" s="2" t="str">
        <f t="shared" ref="E83" si="101">C83&amp;"_"&amp;D83</f>
        <v>3_22_3</v>
      </c>
      <c r="F83" s="4" t="str">
        <f ca="1">VLOOKUP($D83,OFFSET([1]stages!$A$1,0,0,COUNTA([1]stages!$A:$A),MATCH(F$1,[1]stages!$2:$2,0)-MATCH($D$1,[1]stages!$2:$2,0)+1),MATCH(F$1,[1]stages!$2:$2,0)-MATCH($D$1,[1]stages!$2:$2,0)+1,FALSE)</f>
        <v>22-3．誘眠の鼓音</v>
      </c>
      <c r="G83" s="57">
        <v>3</v>
      </c>
      <c r="H83" s="17" t="str">
        <f t="shared" ref="H83" si="102">B83&amp;"_"&amp;C83&amp;"-"&amp;G83</f>
        <v>22_3-3</v>
      </c>
      <c r="I83" s="17"/>
      <c r="J83" s="17"/>
      <c r="K83" s="65" t="s">
        <v>56</v>
      </c>
      <c r="L83" s="52">
        <v>348</v>
      </c>
      <c r="M83" s="21" t="str">
        <f ca="1">VLOOKUP($L83,OFFSET([2]enemies!$A$1,0,0,COUNTA([2]enemies!$A:$A),MATCH(M$1,[2]enemies!$1:$1,0)-MATCH($L$1,[2]enemies!$1:$1,0)+1),MATCH(M$1,[2]enemies!$1:$1,0)-MATCH($L$1,[2]enemies!$1:$1,0)+1,FALSE)</f>
        <v>炎のケロケロ</v>
      </c>
      <c r="N83" s="21" t="str">
        <f ca="1">VLOOKUP($L83,OFFSET([2]enemies!$A$1,0,0,COUNTA([2]enemies!$A:$A),MATCH(N$1,[2]enemies!$1:$1,0)-MATCH($L$1,[2]enemies!$1:$1,0)+1),MATCH(N$1,[2]enemies!$1:$1,0)-MATCH($L$1,[2]enemies!$1:$1,0)+1,FALSE)</f>
        <v>red</v>
      </c>
      <c r="O83" s="21" t="str">
        <f ca="1">VLOOKUP($L83,OFFSET([3]characters!$A$1,0,0,COUNTA([3]characters!$A:$A),MATCH(O$1,[3]characters!$1:$1,0)-MATCH($L$1,[3]characters!$1:$1,0)+1),MATCH(O$1,[3]characters!$1:$1,0)-MATCH($L$1,[3]characters!$1:$1,0)+1,FALSE)</f>
        <v>Material</v>
      </c>
      <c r="P83" s="21" t="str">
        <f ca="1">VLOOKUP($L83,OFFSET([2]enemies!$A$1,0,0,COUNTA([2]enemies!$A:$A),MATCH(P$1,[2]enemies!$1:$1,0)-MATCH($L$1,[2]enemies!$1:$1,0)+1),MATCH(P$1,[2]enemies!$1:$1,0)-MATCH($L$1,[2]enemies!$1:$1,0)+1,FALSE)</f>
        <v>unknown</v>
      </c>
      <c r="Q83" s="21">
        <f ca="1">VLOOKUP($L83,OFFSET([2]enemies!$A$1,0,0,COUNTA([2]enemies!$A:$A),MATCH(Q$1,[2]enemies!$1:$1,0)-MATCH($L$1,[2]enemies!$1:$1,0)+1),MATCH(Q$1,[2]enemies!$1:$1,0)-MATCH($L$1,[2]enemies!$1:$1,0)+1,FALSE)</f>
        <v>15</v>
      </c>
      <c r="R83" s="53">
        <v>44</v>
      </c>
      <c r="S83" s="27">
        <v>1</v>
      </c>
      <c r="T83" s="27">
        <v>1</v>
      </c>
      <c r="U83" s="5">
        <v>0</v>
      </c>
      <c r="V83" s="4" t="str">
        <f ca="1">VLOOKUP($W83,OFFSET([4]enemy_skill_sets!$B$1,0,0,COUNTA([4]enemy_skill_sets!$B:$B),MATCH(M$1,[4]enemy_skill_sets!$1:$1,0)-MATCH($W$1,[4]enemy_skill_sets!$1:$1,0)+2),MATCH(M$1,[4]enemy_skill_sets!$1:$1,0)-MATCH($W$1,[4]enemy_skill_sets!$1:$1,0)+2,FALSE)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83" s="64">
        <v>348</v>
      </c>
      <c r="X83" s="6">
        <v>0</v>
      </c>
      <c r="Y83" s="6">
        <v>100</v>
      </c>
      <c r="Z83" s="6">
        <v>0</v>
      </c>
      <c r="AA83" s="4">
        <f ca="1">VLOOKUP($L83,OFFSET([2]enemies!$A$1,0,0,COUNTA([2]enemies!$A:$A),MATCH(AA$1,[2]enemies!$1:$1,0)-MATCH($L$1,[2]enemies!$1:$1,0)+1),MATCH(AA$1,[2]enemies!$1:$1,0)-MATCH($L$1,[2]enemies!$1:$1,0)+1,FALSE)</f>
        <v>3</v>
      </c>
      <c r="AB83" s="52">
        <v>348</v>
      </c>
      <c r="AC83" s="4" t="str">
        <f ca="1">VLOOKUP($AB83,OFFSET([3]characters!$A$1,0,0,COUNTA([3]characters!$A:$A),MATCH(AC$1,[3]characters!$1:$1,0)-MATCH("character_id",[3]characters!$1:$1,0)+1),MATCH(AC$1,[3]characters!$1:$1,0)-MATCH("character_id",[3]characters!$1:$1,0)+1,FALSE)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83" s="4">
        <f ca="1">VLOOKUP($AB83,OFFSET([3]characters!$A$1,0,0,COUNTA([3]characters!$A:$A),MATCH(AD$1,[3]characters!$1:$1,0)-MATCH("character_id",[3]characters!$1:$1,0)+1),MATCH(AD$1,[3]characters!$1:$1,0)-MATCH("character_id",[3]characters!$1:$1,0)+1,FALSE)</f>
        <v>2</v>
      </c>
      <c r="AE83" s="4" t="str">
        <f ca="1">VLOOKUP($AB83,OFFSET([3]characters!$A$1,0,0,COUNTA([3]characters!$A:$A),MATCH(AE$1,[3]characters!$1:$1,0)-MATCH("character_id",[3]characters!$1:$1,0)+1),MATCH(AE$1,[3]characters!$1:$1,0)-MATCH("character_id",[3]characters!$1:$1,0)+1,FALSE)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3" s="7">
        <v>10</v>
      </c>
      <c r="AG83" s="26">
        <f t="shared" ca="1" si="82"/>
        <v>2</v>
      </c>
      <c r="AH83" s="8">
        <v>20</v>
      </c>
      <c r="AI83" s="7">
        <v>0</v>
      </c>
      <c r="AJ83" s="7">
        <v>0</v>
      </c>
      <c r="AK83" s="7">
        <v>0</v>
      </c>
      <c r="AL83" s="7">
        <v>0</v>
      </c>
      <c r="AM83" s="7">
        <v>1</v>
      </c>
    </row>
    <row r="84" spans="1:39" ht="21" customHeight="1" x14ac:dyDescent="0.15">
      <c r="A84" s="18" t="str">
        <f t="shared" ca="1" si="56"/>
        <v>22_3-4/33&lt;lv44&gt;s2</v>
      </c>
      <c r="B84" s="50">
        <v>22</v>
      </c>
      <c r="C84" s="49">
        <v>3</v>
      </c>
      <c r="D84" s="2" t="str">
        <f t="shared" si="57"/>
        <v>22_3</v>
      </c>
      <c r="E84" s="2" t="str">
        <f t="shared" si="57"/>
        <v>3_22_3</v>
      </c>
      <c r="F84" s="4" t="str">
        <f ca="1">VLOOKUP($D84,OFFSET([1]stages!$A$1,0,0,COUNTA([1]stages!$A:$A),MATCH(F$1,[1]stages!$2:$2,0)-MATCH($D$1,[1]stages!$2:$2,0)+1),MATCH(F$1,[1]stages!$2:$2,0)-MATCH($D$1,[1]stages!$2:$2,0)+1,FALSE)</f>
        <v>22-3．誘眠の鼓音</v>
      </c>
      <c r="G84" s="54">
        <v>4</v>
      </c>
      <c r="H84" s="17" t="str">
        <f t="shared" si="58"/>
        <v>22_3-4</v>
      </c>
      <c r="I84" s="17"/>
      <c r="J84" s="17"/>
      <c r="K84" s="65" t="s">
        <v>56</v>
      </c>
      <c r="L84" s="52">
        <v>33</v>
      </c>
      <c r="M84" s="21" t="str">
        <f ca="1">VLOOKUP($L84,OFFSET([2]enemies!$A$1,0,0,COUNTA([2]enemies!$A:$A),MATCH(M$1,[2]enemies!$1:$1,0)-MATCH($L$1,[2]enemies!$1:$1,0)+1),MATCH(M$1,[2]enemies!$1:$1,0)-MATCH($L$1,[2]enemies!$1:$1,0)+1,FALSE)</f>
        <v>ゴクウ</v>
      </c>
      <c r="N84" s="21" t="str">
        <f ca="1">VLOOKUP($L84,OFFSET([2]enemies!$A$1,0,0,COUNTA([2]enemies!$A:$A),MATCH(N$1,[2]enemies!$1:$1,0)-MATCH($L$1,[2]enemies!$1:$1,0)+1),MATCH(N$1,[2]enemies!$1:$1,0)-MATCH($L$1,[2]enemies!$1:$1,0)+1,FALSE)</f>
        <v>red</v>
      </c>
      <c r="O84" s="21" t="str">
        <f ca="1">VLOOKUP($L84,OFFSET([3]characters!$A$1,0,0,COUNTA([3]characters!$A:$A),MATCH(O$1,[3]characters!$1:$1,0)-MATCH($L$1,[3]characters!$1:$1,0)+1),MATCH(O$1,[3]characters!$1:$1,0)-MATCH($L$1,[3]characters!$1:$1,0)+1,FALSE)</f>
        <v>Drop1S</v>
      </c>
      <c r="P84" s="21" t="str">
        <f ca="1">VLOOKUP($L84,OFFSET([2]enemies!$A$1,0,0,COUNTA([2]enemies!$A:$A),MATCH(P$1,[2]enemies!$1:$1,0)-MATCH($L$1,[2]enemies!$1:$1,0)+1),MATCH(P$1,[2]enemies!$1:$1,0)-MATCH($L$1,[2]enemies!$1:$1,0)+1,FALSE)</f>
        <v>animal</v>
      </c>
      <c r="Q84" s="21">
        <f ca="1">VLOOKUP($L84,OFFSET([2]enemies!$A$1,0,0,COUNTA([2]enemies!$A:$A),MATCH(Q$1,[2]enemies!$1:$1,0)-MATCH($L$1,[2]enemies!$1:$1,0)+1),MATCH(Q$1,[2]enemies!$1:$1,0)-MATCH($L$1,[2]enemies!$1:$1,0)+1,FALSE)</f>
        <v>15</v>
      </c>
      <c r="R84" s="53">
        <v>44</v>
      </c>
      <c r="S84" s="27">
        <v>1</v>
      </c>
      <c r="T84" s="27">
        <v>1</v>
      </c>
      <c r="U84" s="5">
        <v>0</v>
      </c>
      <c r="V84" s="4" t="str">
        <f ca="1">VLOOKUP($W84,OFFSET([4]enemy_skill_sets!$B$1,0,0,COUNTA([4]enemy_skill_sets!$B:$B),MATCH(M$1,[4]enemy_skill_sets!$1:$1,0)-MATCH($W$1,[4]enemy_skill_sets!$1:$1,0)+2),MATCH(M$1,[4]enemy_skill_sets!$1:$1,0)-MATCH($W$1,[4]enemy_skill_sets!$1:$1,0)+2,FALSE)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84" s="4">
        <f ca="1">VLOOKUP($L84,OFFSET([2]enemies!$A$1,0,0,COUNTA([2]enemies!$A:$A),MATCH(W$1,[2]enemies!$1:$1,0)-MATCH($L$1,[2]enemies!$1:$1,0)+1),MATCH(W$1,[2]enemies!$1:$1,0)-MATCH($L$1,[2]enemies!$1:$1,0)+1,FALSE)</f>
        <v>33</v>
      </c>
      <c r="X84" s="6">
        <v>0</v>
      </c>
      <c r="Y84" s="6">
        <v>100</v>
      </c>
      <c r="Z84" s="6">
        <v>0</v>
      </c>
      <c r="AA84" s="4">
        <f ca="1">VLOOKUP($L84,OFFSET([2]enemies!$A$1,0,0,COUNTA([2]enemies!$A:$A),MATCH(AA$1,[2]enemies!$1:$1,0)-MATCH($L$1,[2]enemies!$1:$1,0)+1),MATCH(AA$1,[2]enemies!$1:$1,0)-MATCH($L$1,[2]enemies!$1:$1,0)+1,FALSE)</f>
        <v>2</v>
      </c>
      <c r="AB84" s="52">
        <v>33</v>
      </c>
      <c r="AC84" s="4" t="str">
        <f ca="1">VLOOKUP($AB84,OFFSET([3]characters!$A$1,0,0,COUNTA([3]characters!$A:$A),MATCH(AC$1,[3]characters!$1:$1,0)-MATCH("character_id",[3]characters!$1:$1,0)+1),MATCH(AC$1,[3]characters!$1:$1,0)-MATCH("character_id",[3]characters!$1:$1,0)+1,FALSE)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84" s="4">
        <f ca="1">VLOOKUP($AB84,OFFSET([3]characters!$A$1,0,0,COUNTA([3]characters!$A:$A),MATCH(AD$1,[3]characters!$1:$1,0)-MATCH("character_id",[3]characters!$1:$1,0)+1),MATCH(AD$1,[3]characters!$1:$1,0)-MATCH("character_id",[3]characters!$1:$1,0)+1,FALSE)</f>
        <v>2</v>
      </c>
      <c r="AE84" s="4" t="str">
        <f ca="1">VLOOKUP($AB84,OFFSET([3]characters!$A$1,0,0,COUNTA([3]characters!$A:$A),MATCH(AE$1,[3]characters!$1:$1,0)-MATCH("character_id",[3]characters!$1:$1,0)+1),MATCH(AE$1,[3]characters!$1:$1,0)-MATCH("character_id",[3]characters!$1:$1,0)+1,FALSE)</f>
        <v>Drop1S</v>
      </c>
      <c r="AF84" s="7">
        <v>5</v>
      </c>
      <c r="AG84" s="26">
        <f t="shared" ca="1" si="82"/>
        <v>2</v>
      </c>
      <c r="AH84" s="8">
        <v>20</v>
      </c>
      <c r="AI84" s="7">
        <v>0</v>
      </c>
      <c r="AJ84" s="7">
        <v>0</v>
      </c>
      <c r="AK84" s="7">
        <v>0</v>
      </c>
      <c r="AL84" s="7">
        <v>0</v>
      </c>
      <c r="AM84" s="7">
        <v>1</v>
      </c>
    </row>
    <row r="85" spans="1:39" ht="21" customHeight="1" x14ac:dyDescent="0.15">
      <c r="A85" s="18" t="str">
        <f t="shared" ca="1" si="56"/>
        <v>22_3-4/37&lt;lv44&gt;s3</v>
      </c>
      <c r="B85" s="50">
        <v>22</v>
      </c>
      <c r="C85" s="49">
        <v>3</v>
      </c>
      <c r="D85" s="2" t="str">
        <f t="shared" si="57"/>
        <v>22_3</v>
      </c>
      <c r="E85" s="2" t="str">
        <f t="shared" si="57"/>
        <v>3_22_3</v>
      </c>
      <c r="F85" s="4" t="str">
        <f ca="1">VLOOKUP($D85,OFFSET([1]stages!$A$1,0,0,COUNTA([1]stages!$A:$A),MATCH(F$1,[1]stages!$2:$2,0)-MATCH($D$1,[1]stages!$2:$2,0)+1),MATCH(F$1,[1]stages!$2:$2,0)-MATCH($D$1,[1]stages!$2:$2,0)+1,FALSE)</f>
        <v>22-3．誘眠の鼓音</v>
      </c>
      <c r="G85" s="54">
        <v>4</v>
      </c>
      <c r="H85" s="17" t="str">
        <f t="shared" si="58"/>
        <v>22_3-4</v>
      </c>
      <c r="I85" s="17"/>
      <c r="J85" s="17"/>
      <c r="K85" s="65" t="s">
        <v>56</v>
      </c>
      <c r="L85" s="52">
        <v>37</v>
      </c>
      <c r="M85" s="21" t="str">
        <f ca="1">VLOOKUP($L85,OFFSET([2]enemies!$A$1,0,0,COUNTA([2]enemies!$A:$A),MATCH(M$1,[2]enemies!$1:$1,0)-MATCH($L$1,[2]enemies!$1:$1,0)+1),MATCH(M$1,[2]enemies!$1:$1,0)-MATCH($L$1,[2]enemies!$1:$1,0)+1,FALSE)</f>
        <v>ガイル</v>
      </c>
      <c r="N85" s="21" t="str">
        <f ca="1">VLOOKUP($L85,OFFSET([2]enemies!$A$1,0,0,COUNTA([2]enemies!$A:$A),MATCH(N$1,[2]enemies!$1:$1,0)-MATCH($L$1,[2]enemies!$1:$1,0)+1),MATCH(N$1,[2]enemies!$1:$1,0)-MATCH($L$1,[2]enemies!$1:$1,0)+1,FALSE)</f>
        <v>blue</v>
      </c>
      <c r="O85" s="21" t="str">
        <f ca="1">VLOOKUP($L85,OFFSET([3]characters!$A$1,0,0,COUNTA([3]characters!$A:$A),MATCH(O$1,[3]characters!$1:$1,0)-MATCH($L$1,[3]characters!$1:$1,0)+1),MATCH(O$1,[3]characters!$1:$1,0)-MATCH($L$1,[3]characters!$1:$1,0)+1,FALSE)</f>
        <v>Drop1S</v>
      </c>
      <c r="P85" s="21" t="str">
        <f ca="1">VLOOKUP($L85,OFFSET([2]enemies!$A$1,0,0,COUNTA([2]enemies!$A:$A),MATCH(P$1,[2]enemies!$1:$1,0)-MATCH($L$1,[2]enemies!$1:$1,0)+1),MATCH(P$1,[2]enemies!$1:$1,0)-MATCH($L$1,[2]enemies!$1:$1,0)+1,FALSE)</f>
        <v>animal</v>
      </c>
      <c r="Q85" s="21">
        <f ca="1">VLOOKUP($L85,OFFSET([2]enemies!$A$1,0,0,COUNTA([2]enemies!$A:$A),MATCH(Q$1,[2]enemies!$1:$1,0)-MATCH($L$1,[2]enemies!$1:$1,0)+1),MATCH(Q$1,[2]enemies!$1:$1,0)-MATCH($L$1,[2]enemies!$1:$1,0)+1,FALSE)</f>
        <v>15</v>
      </c>
      <c r="R85" s="53">
        <v>44</v>
      </c>
      <c r="S85" s="27">
        <v>1</v>
      </c>
      <c r="T85" s="27">
        <v>1</v>
      </c>
      <c r="U85" s="5">
        <v>0</v>
      </c>
      <c r="V85" s="4" t="str">
        <f ca="1">VLOOKUP($W85,OFFSET([4]enemy_skill_sets!$B$1,0,0,COUNTA([4]enemy_skill_sets!$B:$B),MATCH(M$1,[4]enemy_skill_sets!$1:$1,0)-MATCH($W$1,[4]enemy_skill_sets!$1:$1,0)+2),MATCH(M$1,[4]enemy_skill_sets!$1:$1,0)-MATCH($W$1,[4]enemy_skill_sets!$1:$1,0)+2,FALSE)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85" s="4">
        <f ca="1">VLOOKUP($L85,OFFSET([2]enemies!$A$1,0,0,COUNTA([2]enemies!$A:$A),MATCH(W$1,[2]enemies!$1:$1,0)-MATCH($L$1,[2]enemies!$1:$1,0)+1),MATCH(W$1,[2]enemies!$1:$1,0)-MATCH($L$1,[2]enemies!$1:$1,0)+1,FALSE)</f>
        <v>37</v>
      </c>
      <c r="X85" s="6">
        <v>0</v>
      </c>
      <c r="Y85" s="6">
        <v>100</v>
      </c>
      <c r="Z85" s="6">
        <v>0</v>
      </c>
      <c r="AA85" s="4">
        <f ca="1">VLOOKUP($L85,OFFSET([2]enemies!$A$1,0,0,COUNTA([2]enemies!$A:$A),MATCH(AA$1,[2]enemies!$1:$1,0)-MATCH($L$1,[2]enemies!$1:$1,0)+1),MATCH(AA$1,[2]enemies!$1:$1,0)-MATCH($L$1,[2]enemies!$1:$1,0)+1,FALSE)</f>
        <v>3</v>
      </c>
      <c r="AB85" s="52">
        <v>37</v>
      </c>
      <c r="AC85" s="4" t="str">
        <f ca="1">VLOOKUP($AB85,OFFSET([3]characters!$A$1,0,0,COUNTA([3]characters!$A:$A),MATCH(AC$1,[3]characters!$1:$1,0)-MATCH("character_id",[3]characters!$1:$1,0)+1),MATCH(AC$1,[3]characters!$1:$1,0)-MATCH("character_id",[3]characters!$1:$1,0)+1,FALSE)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85" s="4">
        <f ca="1">VLOOKUP($AB85,OFFSET([3]characters!$A$1,0,0,COUNTA([3]characters!$A:$A),MATCH(AD$1,[3]characters!$1:$1,0)-MATCH("character_id",[3]characters!$1:$1,0)+1),MATCH(AD$1,[3]characters!$1:$1,0)-MATCH("character_id",[3]characters!$1:$1,0)+1,FALSE)</f>
        <v>2</v>
      </c>
      <c r="AE85" s="4" t="str">
        <f ca="1">VLOOKUP($AB85,OFFSET([3]characters!$A$1,0,0,COUNTA([3]characters!$A:$A),MATCH(AE$1,[3]characters!$1:$1,0)-MATCH("character_id",[3]characters!$1:$1,0)+1),MATCH(AE$1,[3]characters!$1:$1,0)-MATCH("character_id",[3]characters!$1:$1,0)+1,FALSE)</f>
        <v>Drop1S</v>
      </c>
      <c r="AF85" s="7">
        <v>5</v>
      </c>
      <c r="AG85" s="26">
        <f t="shared" ca="1" si="82"/>
        <v>2</v>
      </c>
      <c r="AH85" s="8">
        <v>20</v>
      </c>
      <c r="AI85" s="7">
        <v>0</v>
      </c>
      <c r="AJ85" s="7">
        <v>0</v>
      </c>
      <c r="AK85" s="7">
        <v>0</v>
      </c>
      <c r="AL85" s="7">
        <v>0</v>
      </c>
      <c r="AM85" s="7">
        <v>1</v>
      </c>
    </row>
    <row r="86" spans="1:39" ht="21" customHeight="1" x14ac:dyDescent="0.15">
      <c r="A86" s="18" t="str">
        <f t="shared" ca="1" si="56"/>
        <v>22_3-4/45&lt;lv44&gt;s3</v>
      </c>
      <c r="B86" s="50">
        <v>22</v>
      </c>
      <c r="C86" s="49">
        <v>3</v>
      </c>
      <c r="D86" s="2" t="str">
        <f t="shared" si="57"/>
        <v>22_3</v>
      </c>
      <c r="E86" s="2" t="str">
        <f t="shared" si="57"/>
        <v>3_22_3</v>
      </c>
      <c r="F86" s="4" t="str">
        <f ca="1">VLOOKUP($D86,OFFSET([1]stages!$A$1,0,0,COUNTA([1]stages!$A:$A),MATCH(F$1,[1]stages!$2:$2,0)-MATCH($D$1,[1]stages!$2:$2,0)+1),MATCH(F$1,[1]stages!$2:$2,0)-MATCH($D$1,[1]stages!$2:$2,0)+1,FALSE)</f>
        <v>22-3．誘眠の鼓音</v>
      </c>
      <c r="G86" s="54">
        <v>4</v>
      </c>
      <c r="H86" s="17" t="str">
        <f t="shared" si="58"/>
        <v>22_3-4</v>
      </c>
      <c r="I86" s="17"/>
      <c r="J86" s="17"/>
      <c r="K86" s="65" t="s">
        <v>56</v>
      </c>
      <c r="L86" s="52">
        <v>45</v>
      </c>
      <c r="M86" s="21" t="str">
        <f ca="1">VLOOKUP($L86,OFFSET([2]enemies!$A$1,0,0,COUNTA([2]enemies!$A:$A),MATCH(M$1,[2]enemies!$1:$1,0)-MATCH($L$1,[2]enemies!$1:$1,0)+1),MATCH(M$1,[2]enemies!$1:$1,0)-MATCH($L$1,[2]enemies!$1:$1,0)+1,FALSE)</f>
        <v>ショウイン</v>
      </c>
      <c r="N86" s="21" t="str">
        <f ca="1">VLOOKUP($L86,OFFSET([2]enemies!$A$1,0,0,COUNTA([2]enemies!$A:$A),MATCH(N$1,[2]enemies!$1:$1,0)-MATCH($L$1,[2]enemies!$1:$1,0)+1),MATCH(N$1,[2]enemies!$1:$1,0)-MATCH($L$1,[2]enemies!$1:$1,0)+1,FALSE)</f>
        <v>blue</v>
      </c>
      <c r="O86" s="21" t="str">
        <f ca="1">VLOOKUP($L86,OFFSET([3]characters!$A$1,0,0,COUNTA([3]characters!$A:$A),MATCH(O$1,[3]characters!$1:$1,0)-MATCH($L$1,[3]characters!$1:$1,0)+1),MATCH(O$1,[3]characters!$1:$1,0)-MATCH($L$1,[3]characters!$1:$1,0)+1,FALSE)</f>
        <v>Drop1N</v>
      </c>
      <c r="P86" s="21" t="str">
        <f ca="1">VLOOKUP($L86,OFFSET([2]enemies!$A$1,0,0,COUNTA([2]enemies!$A:$A),MATCH(P$1,[2]enemies!$1:$1,0)-MATCH($L$1,[2]enemies!$1:$1,0)+1),MATCH(P$1,[2]enemies!$1:$1,0)-MATCH($L$1,[2]enemies!$1:$1,0)+1,FALSE)</f>
        <v>animal</v>
      </c>
      <c r="Q86" s="21">
        <f ca="1">VLOOKUP($L86,OFFSET([2]enemies!$A$1,0,0,COUNTA([2]enemies!$A:$A),MATCH(Q$1,[2]enemies!$1:$1,0)-MATCH($L$1,[2]enemies!$1:$1,0)+1),MATCH(Q$1,[2]enemies!$1:$1,0)-MATCH($L$1,[2]enemies!$1:$1,0)+1,FALSE)</f>
        <v>15</v>
      </c>
      <c r="R86" s="53">
        <v>44</v>
      </c>
      <c r="S86" s="27">
        <v>1</v>
      </c>
      <c r="T86" s="27">
        <v>1</v>
      </c>
      <c r="U86" s="5">
        <v>0</v>
      </c>
      <c r="V86" s="4" t="str">
        <f ca="1">VLOOKUP($W86,OFFSET([4]enemy_skill_sets!$B$1,0,0,COUNTA([4]enemy_skill_sets!$B:$B),MATCH(M$1,[4]enemy_skill_sets!$1:$1,0)-MATCH($W$1,[4]enemy_skill_sets!$1:$1,0)+2),MATCH(M$1,[4]enemy_skill_sets!$1:$1,0)-MATCH($W$1,[4]enemy_skill_sets!$1:$1,0)+2,FALSE)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6" s="4">
        <f ca="1">VLOOKUP($L86,OFFSET([2]enemies!$A$1,0,0,COUNTA([2]enemies!$A:$A),MATCH(W$1,[2]enemies!$1:$1,0)-MATCH($L$1,[2]enemies!$1:$1,0)+1),MATCH(W$1,[2]enemies!$1:$1,0)-MATCH($L$1,[2]enemies!$1:$1,0)+1,FALSE)</f>
        <v>0</v>
      </c>
      <c r="X86" s="6">
        <v>0</v>
      </c>
      <c r="Y86" s="6">
        <v>100</v>
      </c>
      <c r="Z86" s="6">
        <v>0</v>
      </c>
      <c r="AA86" s="4">
        <f ca="1">VLOOKUP($L86,OFFSET([2]enemies!$A$1,0,0,COUNTA([2]enemies!$A:$A),MATCH(AA$1,[2]enemies!$1:$1,0)-MATCH($L$1,[2]enemies!$1:$1,0)+1),MATCH(AA$1,[2]enemies!$1:$1,0)-MATCH($L$1,[2]enemies!$1:$1,0)+1,FALSE)</f>
        <v>3</v>
      </c>
      <c r="AB86" s="52">
        <v>45</v>
      </c>
      <c r="AC86" s="4" t="str">
        <f ca="1">VLOOKUP($AB86,OFFSET([3]characters!$A$1,0,0,COUNTA([3]characters!$A:$A),MATCH(AC$1,[3]characters!$1:$1,0)-MATCH("character_id",[3]characters!$1:$1,0)+1),MATCH(AC$1,[3]characters!$1:$1,0)-MATCH("character_id",[3]characters!$1:$1,0)+1,FALSE)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86" s="4">
        <f ca="1">VLOOKUP($AB86,OFFSET([3]characters!$A$1,0,0,COUNTA([3]characters!$A:$A),MATCH(AD$1,[3]characters!$1:$1,0)-MATCH("character_id",[3]characters!$1:$1,0)+1),MATCH(AD$1,[3]characters!$1:$1,0)-MATCH("character_id",[3]characters!$1:$1,0)+1,FALSE)</f>
        <v>2</v>
      </c>
      <c r="AE86" s="4" t="str">
        <f ca="1">VLOOKUP($AB86,OFFSET([3]characters!$A$1,0,0,COUNTA([3]characters!$A:$A),MATCH(AE$1,[3]characters!$1:$1,0)-MATCH("character_id",[3]characters!$1:$1,0)+1),MATCH(AE$1,[3]characters!$1:$1,0)-MATCH("character_id",[3]characters!$1:$1,0)+1,FALSE)</f>
        <v>Drop1N</v>
      </c>
      <c r="AF86" s="7">
        <v>7</v>
      </c>
      <c r="AG86" s="26">
        <f t="shared" ca="1" si="82"/>
        <v>2</v>
      </c>
      <c r="AH86" s="8">
        <v>20</v>
      </c>
      <c r="AI86" s="7">
        <v>0</v>
      </c>
      <c r="AJ86" s="7">
        <v>0</v>
      </c>
      <c r="AK86" s="7">
        <v>0</v>
      </c>
      <c r="AL86" s="7">
        <v>0</v>
      </c>
      <c r="AM86" s="7">
        <v>1</v>
      </c>
    </row>
    <row r="87" spans="1:39" ht="21" customHeight="1" x14ac:dyDescent="0.15">
      <c r="A87" s="18" t="str">
        <f t="shared" ca="1" si="56"/>
        <v>22_3-4/57&lt;lv44&gt;s2</v>
      </c>
      <c r="B87" s="50">
        <v>22</v>
      </c>
      <c r="C87" s="49">
        <v>3</v>
      </c>
      <c r="D87" s="2" t="str">
        <f t="shared" si="57"/>
        <v>22_3</v>
      </c>
      <c r="E87" s="2" t="str">
        <f t="shared" si="57"/>
        <v>3_22_3</v>
      </c>
      <c r="F87" s="4" t="str">
        <f ca="1">VLOOKUP($D87,OFFSET([1]stages!$A$1,0,0,COUNTA([1]stages!$A:$A),MATCH(F$1,[1]stages!$2:$2,0)-MATCH($D$1,[1]stages!$2:$2,0)+1),MATCH(F$1,[1]stages!$2:$2,0)-MATCH($D$1,[1]stages!$2:$2,0)+1,FALSE)</f>
        <v>22-3．誘眠の鼓音</v>
      </c>
      <c r="G87" s="54">
        <v>4</v>
      </c>
      <c r="H87" s="17" t="str">
        <f t="shared" si="58"/>
        <v>22_3-4</v>
      </c>
      <c r="I87" s="17"/>
      <c r="J87" s="17"/>
      <c r="K87" s="65" t="s">
        <v>56</v>
      </c>
      <c r="L87" s="52">
        <v>57</v>
      </c>
      <c r="M87" s="21" t="str">
        <f ca="1">VLOOKUP($L87,OFFSET([2]enemies!$A$1,0,0,COUNTA([2]enemies!$A:$A),MATCH(M$1,[2]enemies!$1:$1,0)-MATCH($L$1,[2]enemies!$1:$1,0)+1),MATCH(M$1,[2]enemies!$1:$1,0)-MATCH($L$1,[2]enemies!$1:$1,0)+1,FALSE)</f>
        <v>チェン・リー</v>
      </c>
      <c r="N87" s="21" t="str">
        <f ca="1">VLOOKUP($L87,OFFSET([2]enemies!$A$1,0,0,COUNTA([2]enemies!$A:$A),MATCH(N$1,[2]enemies!$1:$1,0)-MATCH($L$1,[2]enemies!$1:$1,0)+1),MATCH(N$1,[2]enemies!$1:$1,0)-MATCH($L$1,[2]enemies!$1:$1,0)+1,FALSE)</f>
        <v>red</v>
      </c>
      <c r="O87" s="21" t="str">
        <f ca="1">VLOOKUP($L87,OFFSET([3]characters!$A$1,0,0,COUNTA([3]characters!$A:$A),MATCH(O$1,[3]characters!$1:$1,0)-MATCH($L$1,[3]characters!$1:$1,0)+1),MATCH(O$1,[3]characters!$1:$1,0)-MATCH($L$1,[3]characters!$1:$1,0)+1,FALSE)</f>
        <v>Drop1N</v>
      </c>
      <c r="P87" s="21" t="str">
        <f ca="1">VLOOKUP($L87,OFFSET([2]enemies!$A$1,0,0,COUNTA([2]enemies!$A:$A),MATCH(P$1,[2]enemies!$1:$1,0)-MATCH($L$1,[2]enemies!$1:$1,0)+1),MATCH(P$1,[2]enemies!$1:$1,0)-MATCH($L$1,[2]enemies!$1:$1,0)+1,FALSE)</f>
        <v>animal</v>
      </c>
      <c r="Q87" s="21">
        <f ca="1">VLOOKUP($L87,OFFSET([2]enemies!$A$1,0,0,COUNTA([2]enemies!$A:$A),MATCH(Q$1,[2]enemies!$1:$1,0)-MATCH($L$1,[2]enemies!$1:$1,0)+1),MATCH(Q$1,[2]enemies!$1:$1,0)-MATCH($L$1,[2]enemies!$1:$1,0)+1,FALSE)</f>
        <v>15</v>
      </c>
      <c r="R87" s="53">
        <v>44</v>
      </c>
      <c r="S87" s="27">
        <v>1</v>
      </c>
      <c r="T87" s="27">
        <v>1</v>
      </c>
      <c r="U87" s="5">
        <v>0</v>
      </c>
      <c r="V87" s="4" t="str">
        <f ca="1">VLOOKUP($W87,OFFSET([4]enemy_skill_sets!$B$1,0,0,COUNTA([4]enemy_skill_sets!$B:$B),MATCH(M$1,[4]enemy_skill_sets!$1:$1,0)-MATCH($W$1,[4]enemy_skill_sets!$1:$1,0)+2),MATCH(M$1,[4]enemy_skill_sets!$1:$1,0)-MATCH($W$1,[4]enemy_skill_sets!$1:$1,0)+2,FALSE)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87" s="4">
        <f ca="1">VLOOKUP($L87,OFFSET([2]enemies!$A$1,0,0,COUNTA([2]enemies!$A:$A),MATCH(W$1,[2]enemies!$1:$1,0)-MATCH($L$1,[2]enemies!$1:$1,0)+1),MATCH(W$1,[2]enemies!$1:$1,0)-MATCH($L$1,[2]enemies!$1:$1,0)+1,FALSE)</f>
        <v>57</v>
      </c>
      <c r="X87" s="6">
        <v>0</v>
      </c>
      <c r="Y87" s="6">
        <v>100</v>
      </c>
      <c r="Z87" s="6">
        <v>0</v>
      </c>
      <c r="AA87" s="4">
        <f ca="1">VLOOKUP($L87,OFFSET([2]enemies!$A$1,0,0,COUNTA([2]enemies!$A:$A),MATCH(AA$1,[2]enemies!$1:$1,0)-MATCH($L$1,[2]enemies!$1:$1,0)+1),MATCH(AA$1,[2]enemies!$1:$1,0)-MATCH($L$1,[2]enemies!$1:$1,0)+1,FALSE)</f>
        <v>2</v>
      </c>
      <c r="AB87" s="52">
        <v>57</v>
      </c>
      <c r="AC87" s="4" t="str">
        <f ca="1">VLOOKUP($AB87,OFFSET([3]characters!$A$1,0,0,COUNTA([3]characters!$A:$A),MATCH(AC$1,[3]characters!$1:$1,0)-MATCH("character_id",[3]characters!$1:$1,0)+1),MATCH(AC$1,[3]characters!$1:$1,0)-MATCH("character_id",[3]characters!$1:$1,0)+1,FALSE)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87" s="4">
        <f ca="1">VLOOKUP($AB87,OFFSET([3]characters!$A$1,0,0,COUNTA([3]characters!$A:$A),MATCH(AD$1,[3]characters!$1:$1,0)-MATCH("character_id",[3]characters!$1:$1,0)+1),MATCH(AD$1,[3]characters!$1:$1,0)-MATCH("character_id",[3]characters!$1:$1,0)+1,FALSE)</f>
        <v>2</v>
      </c>
      <c r="AE87" s="4" t="str">
        <f ca="1">VLOOKUP($AB87,OFFSET([3]characters!$A$1,0,0,COUNTA([3]characters!$A:$A),MATCH(AE$1,[3]characters!$1:$1,0)-MATCH("character_id",[3]characters!$1:$1,0)+1),MATCH(AE$1,[3]characters!$1:$1,0)-MATCH("character_id",[3]characters!$1:$1,0)+1,FALSE)</f>
        <v>Drop1N</v>
      </c>
      <c r="AF87" s="7">
        <v>7</v>
      </c>
      <c r="AG87" s="26">
        <f t="shared" ca="1" si="82"/>
        <v>2</v>
      </c>
      <c r="AH87" s="8">
        <v>20</v>
      </c>
      <c r="AI87" s="7">
        <v>0</v>
      </c>
      <c r="AJ87" s="7">
        <v>0</v>
      </c>
      <c r="AK87" s="7">
        <v>0</v>
      </c>
      <c r="AL87" s="7">
        <v>0</v>
      </c>
      <c r="AM87" s="7">
        <v>1</v>
      </c>
    </row>
    <row r="88" spans="1:39" ht="21" customHeight="1" x14ac:dyDescent="0.15">
      <c r="A88" s="18" t="str">
        <f t="shared" ca="1" si="56"/>
        <v>22_3-4/61&lt;lv44&gt;s2</v>
      </c>
      <c r="B88" s="50">
        <v>22</v>
      </c>
      <c r="C88" s="49">
        <v>3</v>
      </c>
      <c r="D88" s="2" t="str">
        <f t="shared" si="57"/>
        <v>22_3</v>
      </c>
      <c r="E88" s="2" t="str">
        <f t="shared" si="57"/>
        <v>3_22_3</v>
      </c>
      <c r="F88" s="4" t="str">
        <f ca="1">VLOOKUP($D88,OFFSET([1]stages!$A$1,0,0,COUNTA([1]stages!$A:$A),MATCH(F$1,[1]stages!$2:$2,0)-MATCH($D$1,[1]stages!$2:$2,0)+1),MATCH(F$1,[1]stages!$2:$2,0)-MATCH($D$1,[1]stages!$2:$2,0)+1,FALSE)</f>
        <v>22-3．誘眠の鼓音</v>
      </c>
      <c r="G88" s="54">
        <v>4</v>
      </c>
      <c r="H88" s="17" t="str">
        <f t="shared" si="58"/>
        <v>22_3-4</v>
      </c>
      <c r="I88" s="17"/>
      <c r="J88" s="17"/>
      <c r="K88" s="65" t="s">
        <v>56</v>
      </c>
      <c r="L88" s="52">
        <v>61</v>
      </c>
      <c r="M88" s="21" t="str">
        <f ca="1">VLOOKUP($L88,OFFSET([2]enemies!$A$1,0,0,COUNTA([2]enemies!$A:$A),MATCH(M$1,[2]enemies!$1:$1,0)-MATCH($L$1,[2]enemies!$1:$1,0)+1),MATCH(M$1,[2]enemies!$1:$1,0)-MATCH($L$1,[2]enemies!$1:$1,0)+1,FALSE)</f>
        <v>クロウ</v>
      </c>
      <c r="N88" s="21" t="str">
        <f ca="1">VLOOKUP($L88,OFFSET([2]enemies!$A$1,0,0,COUNTA([2]enemies!$A:$A),MATCH(N$1,[2]enemies!$1:$1,0)-MATCH($L$1,[2]enemies!$1:$1,0)+1),MATCH(N$1,[2]enemies!$1:$1,0)-MATCH($L$1,[2]enemies!$1:$1,0)+1,FALSE)</f>
        <v>blue</v>
      </c>
      <c r="O88" s="21" t="str">
        <f ca="1">VLOOKUP($L88,OFFSET([3]characters!$A$1,0,0,COUNTA([3]characters!$A:$A),MATCH(O$1,[3]characters!$1:$1,0)-MATCH($L$1,[3]characters!$1:$1,0)+1),MATCH(O$1,[3]characters!$1:$1,0)-MATCH($L$1,[3]characters!$1:$1,0)+1,FALSE)</f>
        <v>Drop1N</v>
      </c>
      <c r="P88" s="21" t="str">
        <f ca="1">VLOOKUP($L88,OFFSET([2]enemies!$A$1,0,0,COUNTA([2]enemies!$A:$A),MATCH(P$1,[2]enemies!$1:$1,0)-MATCH($L$1,[2]enemies!$1:$1,0)+1),MATCH(P$1,[2]enemies!$1:$1,0)-MATCH($L$1,[2]enemies!$1:$1,0)+1,FALSE)</f>
        <v>animal</v>
      </c>
      <c r="Q88" s="21">
        <f ca="1">VLOOKUP($L88,OFFSET([2]enemies!$A$1,0,0,COUNTA([2]enemies!$A:$A),MATCH(Q$1,[2]enemies!$1:$1,0)-MATCH($L$1,[2]enemies!$1:$1,0)+1),MATCH(Q$1,[2]enemies!$1:$1,0)-MATCH($L$1,[2]enemies!$1:$1,0)+1,FALSE)</f>
        <v>15</v>
      </c>
      <c r="R88" s="53">
        <v>44</v>
      </c>
      <c r="S88" s="27">
        <v>1</v>
      </c>
      <c r="T88" s="27">
        <v>1</v>
      </c>
      <c r="U88" s="5">
        <v>0</v>
      </c>
      <c r="V88" s="4" t="str">
        <f ca="1">VLOOKUP($W88,OFFSET([4]enemy_skill_sets!$B$1,0,0,COUNTA([4]enemy_skill_sets!$B:$B),MATCH(M$1,[4]enemy_skill_sets!$1:$1,0)-MATCH($W$1,[4]enemy_skill_sets!$1:$1,0)+2),MATCH(M$1,[4]enemy_skill_sets!$1:$1,0)-MATCH($W$1,[4]enemy_skill_sets!$1:$1,0)+2,FALSE)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8" s="4">
        <f ca="1">VLOOKUP($L88,OFFSET([2]enemies!$A$1,0,0,COUNTA([2]enemies!$A:$A),MATCH(W$1,[2]enemies!$1:$1,0)-MATCH($L$1,[2]enemies!$1:$1,0)+1),MATCH(W$1,[2]enemies!$1:$1,0)-MATCH($L$1,[2]enemies!$1:$1,0)+1,FALSE)</f>
        <v>61</v>
      </c>
      <c r="X88" s="6">
        <v>0</v>
      </c>
      <c r="Y88" s="6">
        <v>100</v>
      </c>
      <c r="Z88" s="6">
        <v>0</v>
      </c>
      <c r="AA88" s="4">
        <f ca="1">VLOOKUP($L88,OFFSET([2]enemies!$A$1,0,0,COUNTA([2]enemies!$A:$A),MATCH(AA$1,[2]enemies!$1:$1,0)-MATCH($L$1,[2]enemies!$1:$1,0)+1),MATCH(AA$1,[2]enemies!$1:$1,0)-MATCH($L$1,[2]enemies!$1:$1,0)+1,FALSE)</f>
        <v>2</v>
      </c>
      <c r="AB88" s="52">
        <v>61</v>
      </c>
      <c r="AC88" s="4" t="str">
        <f ca="1">VLOOKUP($AB88,OFFSET([3]characters!$A$1,0,0,COUNTA([3]characters!$A:$A),MATCH(AC$1,[3]characters!$1:$1,0)-MATCH("character_id",[3]characters!$1:$1,0)+1),MATCH(AC$1,[3]characters!$1:$1,0)-MATCH("character_id",[3]characters!$1:$1,0)+1,FALSE)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88" s="4">
        <f ca="1">VLOOKUP($AB88,OFFSET([3]characters!$A$1,0,0,COUNTA([3]characters!$A:$A),MATCH(AD$1,[3]characters!$1:$1,0)-MATCH("character_id",[3]characters!$1:$1,0)+1),MATCH(AD$1,[3]characters!$1:$1,0)-MATCH("character_id",[3]characters!$1:$1,0)+1,FALSE)</f>
        <v>2</v>
      </c>
      <c r="AE88" s="4" t="str">
        <f ca="1">VLOOKUP($AB88,OFFSET([3]characters!$A$1,0,0,COUNTA([3]characters!$A:$A),MATCH(AE$1,[3]characters!$1:$1,0)-MATCH("character_id",[3]characters!$1:$1,0)+1),MATCH(AE$1,[3]characters!$1:$1,0)-MATCH("character_id",[3]characters!$1:$1,0)+1,FALSE)</f>
        <v>Drop1N</v>
      </c>
      <c r="AF88" s="7">
        <v>7</v>
      </c>
      <c r="AG88" s="26">
        <f t="shared" ca="1" si="82"/>
        <v>2</v>
      </c>
      <c r="AH88" s="8">
        <v>20</v>
      </c>
      <c r="AI88" s="7">
        <v>0</v>
      </c>
      <c r="AJ88" s="7">
        <v>0</v>
      </c>
      <c r="AK88" s="7">
        <v>0</v>
      </c>
      <c r="AL88" s="7">
        <v>0</v>
      </c>
      <c r="AM88" s="7">
        <v>1</v>
      </c>
    </row>
    <row r="89" spans="1:39" ht="21" customHeight="1" x14ac:dyDescent="0.15">
      <c r="A89" s="18" t="str">
        <f t="shared" ref="A89:A90" ca="1" si="103">B89&amp;"_"&amp;C89&amp;"-"&amp;G89&amp;"/"&amp;L89&amp;"&lt;lv"&amp;R89&amp;"&gt;s"&amp;AA89</f>
        <v>22_3-4/360&lt;lv44&gt;s3</v>
      </c>
      <c r="B89" s="53">
        <v>22</v>
      </c>
      <c r="C89" s="51">
        <v>3</v>
      </c>
      <c r="D89" s="2" t="str">
        <f t="shared" ref="D89:D90" si="104">B89&amp;"_"&amp;C89</f>
        <v>22_3</v>
      </c>
      <c r="E89" s="2" t="str">
        <f t="shared" ref="E89:E90" si="105">C89&amp;"_"&amp;D89</f>
        <v>3_22_3</v>
      </c>
      <c r="F89" s="4" t="str">
        <f ca="1">VLOOKUP($D89,OFFSET([1]stages!$A$1,0,0,COUNTA([1]stages!$A:$A),MATCH(F$1,[1]stages!$2:$2,0)-MATCH($D$1,[1]stages!$2:$2,0)+1),MATCH(F$1,[1]stages!$2:$2,0)-MATCH($D$1,[1]stages!$2:$2,0)+1,FALSE)</f>
        <v>22-3．誘眠の鼓音</v>
      </c>
      <c r="G89" s="54">
        <v>4</v>
      </c>
      <c r="H89" s="17" t="str">
        <f t="shared" ref="H89:H90" si="106">B89&amp;"_"&amp;C89&amp;"-"&amp;G89</f>
        <v>22_3-4</v>
      </c>
      <c r="I89" s="17"/>
      <c r="J89" s="17"/>
      <c r="K89" s="65" t="s">
        <v>56</v>
      </c>
      <c r="L89" s="52">
        <v>360</v>
      </c>
      <c r="M89" s="21" t="str">
        <f ca="1">VLOOKUP($L89,OFFSET([2]enemies!$A$1,0,0,COUNTA([2]enemies!$A:$A),MATCH(M$1,[2]enemies!$1:$1,0)-MATCH($L$1,[2]enemies!$1:$1,0)+1),MATCH(M$1,[2]enemies!$1:$1,0)-MATCH($L$1,[2]enemies!$1:$1,0)+1,FALSE)</f>
        <v>ガンテツ</v>
      </c>
      <c r="N89" s="21" t="str">
        <f ca="1">VLOOKUP($L89,OFFSET([2]enemies!$A$1,0,0,COUNTA([2]enemies!$A:$A),MATCH(N$1,[2]enemies!$1:$1,0)-MATCH($L$1,[2]enemies!$1:$1,0)+1),MATCH(N$1,[2]enemies!$1:$1,0)-MATCH($L$1,[2]enemies!$1:$1,0)+1,FALSE)</f>
        <v>red</v>
      </c>
      <c r="O89" s="21" t="str">
        <f ca="1">VLOOKUP($L89,OFFSET([3]characters!$A$1,0,0,COUNTA([3]characters!$A:$A),MATCH(O$1,[3]characters!$1:$1,0)-MATCH($L$1,[3]characters!$1:$1,0)+1),MATCH(O$1,[3]characters!$1:$1,0)-MATCH($L$1,[3]characters!$1:$1,0)+1,FALSE)</f>
        <v>Drop1S</v>
      </c>
      <c r="P89" s="21" t="str">
        <f ca="1">VLOOKUP($L89,OFFSET([2]enemies!$A$1,0,0,COUNTA([2]enemies!$A:$A),MATCH(P$1,[2]enemies!$1:$1,0)-MATCH($L$1,[2]enemies!$1:$1,0)+1),MATCH(P$1,[2]enemies!$1:$1,0)-MATCH($L$1,[2]enemies!$1:$1,0)+1,FALSE)</f>
        <v>animal</v>
      </c>
      <c r="Q89" s="21">
        <f ca="1">VLOOKUP($L89,OFFSET([2]enemies!$A$1,0,0,COUNTA([2]enemies!$A:$A),MATCH(Q$1,[2]enemies!$1:$1,0)-MATCH($L$1,[2]enemies!$1:$1,0)+1),MATCH(Q$1,[2]enemies!$1:$1,0)-MATCH($L$1,[2]enemies!$1:$1,0)+1,FALSE)</f>
        <v>15</v>
      </c>
      <c r="R89" s="53">
        <v>44</v>
      </c>
      <c r="S89" s="27">
        <v>1</v>
      </c>
      <c r="T89" s="27">
        <v>1</v>
      </c>
      <c r="U89" s="5">
        <v>0</v>
      </c>
      <c r="V89" s="4" t="str">
        <f ca="1">VLOOKUP($W89,OFFSET([4]enemy_skill_sets!$B$1,0,0,COUNTA([4]enemy_skill_sets!$B:$B),MATCH(M$1,[4]enemy_skill_sets!$1:$1,0)-MATCH($W$1,[4]enemy_skill_sets!$1:$1,0)+2),MATCH(M$1,[4]enemy_skill_sets!$1:$1,0)-MATCH($W$1,[4]enemy_skill_sets!$1:$1,0)+2,FALSE)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89" s="76">
        <v>360</v>
      </c>
      <c r="X89" s="6">
        <v>0</v>
      </c>
      <c r="Y89" s="6">
        <v>100</v>
      </c>
      <c r="Z89" s="6">
        <v>0</v>
      </c>
      <c r="AA89" s="4">
        <f ca="1">VLOOKUP($L89,OFFSET([2]enemies!$A$1,0,0,COUNTA([2]enemies!$A:$A),MATCH(AA$1,[2]enemies!$1:$1,0)-MATCH($L$1,[2]enemies!$1:$1,0)+1),MATCH(AA$1,[2]enemies!$1:$1,0)-MATCH($L$1,[2]enemies!$1:$1,0)+1,FALSE)</f>
        <v>3</v>
      </c>
      <c r="AB89" s="52">
        <v>360</v>
      </c>
      <c r="AC89" s="4" t="str">
        <f ca="1">VLOOKUP($AB89,OFFSET([3]characters!$A$1,0,0,COUNTA([3]characters!$A:$A),MATCH(AC$1,[3]characters!$1:$1,0)-MATCH("character_id",[3]characters!$1:$1,0)+1),MATCH(AC$1,[3]characters!$1:$1,0)-MATCH("character_id",[3]characters!$1:$1,0)+1,FALSE)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89" s="4">
        <f ca="1">VLOOKUP($AB89,OFFSET([3]characters!$A$1,0,0,COUNTA([3]characters!$A:$A),MATCH(AD$1,[3]characters!$1:$1,0)-MATCH("character_id",[3]characters!$1:$1,0)+1),MATCH(AD$1,[3]characters!$1:$1,0)-MATCH("character_id",[3]characters!$1:$1,0)+1,FALSE)</f>
        <v>2</v>
      </c>
      <c r="AE89" s="4" t="str">
        <f ca="1">VLOOKUP($AB89,OFFSET([3]characters!$A$1,0,0,COUNTA([3]characters!$A:$A),MATCH(AE$1,[3]characters!$1:$1,0)-MATCH("character_id",[3]characters!$1:$1,0)+1),MATCH(AE$1,[3]characters!$1:$1,0)-MATCH("character_id",[3]characters!$1:$1,0)+1,FALSE)</f>
        <v>Drop1S</v>
      </c>
      <c r="AF89" s="7">
        <v>7</v>
      </c>
      <c r="AG89" s="26">
        <f t="shared" ca="1" si="82"/>
        <v>2</v>
      </c>
      <c r="AH89" s="8">
        <v>20</v>
      </c>
      <c r="AI89" s="7">
        <v>0</v>
      </c>
      <c r="AJ89" s="7">
        <v>0</v>
      </c>
      <c r="AK89" s="7">
        <v>0</v>
      </c>
      <c r="AL89" s="7">
        <v>0</v>
      </c>
      <c r="AM89" s="7">
        <v>1</v>
      </c>
    </row>
    <row r="90" spans="1:39" ht="21" customHeight="1" x14ac:dyDescent="0.15">
      <c r="A90" s="18" t="str">
        <f t="shared" ca="1" si="103"/>
        <v>22_3-4/364&lt;lv44&gt;s3</v>
      </c>
      <c r="B90" s="53">
        <v>22</v>
      </c>
      <c r="C90" s="51">
        <v>3</v>
      </c>
      <c r="D90" s="2" t="str">
        <f t="shared" si="104"/>
        <v>22_3</v>
      </c>
      <c r="E90" s="2" t="str">
        <f t="shared" si="105"/>
        <v>3_22_3</v>
      </c>
      <c r="F90" s="4" t="str">
        <f ca="1">VLOOKUP($D90,OFFSET([1]stages!$A$1,0,0,COUNTA([1]stages!$A:$A),MATCH(F$1,[1]stages!$2:$2,0)-MATCH($D$1,[1]stages!$2:$2,0)+1),MATCH(F$1,[1]stages!$2:$2,0)-MATCH($D$1,[1]stages!$2:$2,0)+1,FALSE)</f>
        <v>22-3．誘眠の鼓音</v>
      </c>
      <c r="G90" s="54">
        <v>4</v>
      </c>
      <c r="H90" s="17" t="str">
        <f t="shared" si="106"/>
        <v>22_3-4</v>
      </c>
      <c r="I90" s="17"/>
      <c r="J90" s="17"/>
      <c r="K90" s="65" t="s">
        <v>56</v>
      </c>
      <c r="L90" s="52">
        <v>364</v>
      </c>
      <c r="M90" s="21" t="str">
        <f ca="1">VLOOKUP($L90,OFFSET([2]enemies!$A$1,0,0,COUNTA([2]enemies!$A:$A),MATCH(M$1,[2]enemies!$1:$1,0)-MATCH($L$1,[2]enemies!$1:$1,0)+1),MATCH(M$1,[2]enemies!$1:$1,0)-MATCH($L$1,[2]enemies!$1:$1,0)+1,FALSE)</f>
        <v>ノエル</v>
      </c>
      <c r="N90" s="21" t="str">
        <f ca="1">VLOOKUP($L90,OFFSET([2]enemies!$A$1,0,0,COUNTA([2]enemies!$A:$A),MATCH(N$1,[2]enemies!$1:$1,0)-MATCH($L$1,[2]enemies!$1:$1,0)+1),MATCH(N$1,[2]enemies!$1:$1,0)-MATCH($L$1,[2]enemies!$1:$1,0)+1,FALSE)</f>
        <v>blue</v>
      </c>
      <c r="O90" s="21" t="str">
        <f ca="1">VLOOKUP($L90,OFFSET([3]characters!$A$1,0,0,COUNTA([3]characters!$A:$A),MATCH(O$1,[3]characters!$1:$1,0)-MATCH($L$1,[3]characters!$1:$1,0)+1),MATCH(O$1,[3]characters!$1:$1,0)-MATCH($L$1,[3]characters!$1:$1,0)+1,FALSE)</f>
        <v>Drop1S</v>
      </c>
      <c r="P90" s="21" t="str">
        <f ca="1">VLOOKUP($L90,OFFSET([2]enemies!$A$1,0,0,COUNTA([2]enemies!$A:$A),MATCH(P$1,[2]enemies!$1:$1,0)-MATCH($L$1,[2]enemies!$1:$1,0)+1),MATCH(P$1,[2]enemies!$1:$1,0)-MATCH($L$1,[2]enemies!$1:$1,0)+1,FALSE)</f>
        <v>animal</v>
      </c>
      <c r="Q90" s="21">
        <f ca="1">VLOOKUP($L90,OFFSET([2]enemies!$A$1,0,0,COUNTA([2]enemies!$A:$A),MATCH(Q$1,[2]enemies!$1:$1,0)-MATCH($L$1,[2]enemies!$1:$1,0)+1),MATCH(Q$1,[2]enemies!$1:$1,0)-MATCH($L$1,[2]enemies!$1:$1,0)+1,FALSE)</f>
        <v>15</v>
      </c>
      <c r="R90" s="53">
        <v>44</v>
      </c>
      <c r="S90" s="27">
        <v>1</v>
      </c>
      <c r="T90" s="27">
        <v>1</v>
      </c>
      <c r="U90" s="5">
        <v>0</v>
      </c>
      <c r="V90" s="4" t="str">
        <f ca="1">VLOOKUP($W90,OFFSET([4]enemy_skill_sets!$B$1,0,0,COUNTA([4]enemy_skill_sets!$B:$B),MATCH(M$1,[4]enemy_skill_sets!$1:$1,0)-MATCH($W$1,[4]enemy_skill_sets!$1:$1,0)+2),MATCH(M$1,[4]enemy_skill_sets!$1:$1,0)-MATCH($W$1,[4]enemy_skill_sets!$1:$1,0)+2,FALSE)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90" s="64">
        <v>364</v>
      </c>
      <c r="X90" s="6">
        <v>0</v>
      </c>
      <c r="Y90" s="6">
        <v>100</v>
      </c>
      <c r="Z90" s="6">
        <v>0</v>
      </c>
      <c r="AA90" s="4">
        <f ca="1">VLOOKUP($L90,OFFSET([2]enemies!$A$1,0,0,COUNTA([2]enemies!$A:$A),MATCH(AA$1,[2]enemies!$1:$1,0)-MATCH($L$1,[2]enemies!$1:$1,0)+1),MATCH(AA$1,[2]enemies!$1:$1,0)-MATCH($L$1,[2]enemies!$1:$1,0)+1,FALSE)</f>
        <v>3</v>
      </c>
      <c r="AB90" s="52">
        <v>364</v>
      </c>
      <c r="AC90" s="4" t="str">
        <f ca="1">VLOOKUP($AB90,OFFSET([3]characters!$A$1,0,0,COUNTA([3]characters!$A:$A),MATCH(AC$1,[3]characters!$1:$1,0)-MATCH("character_id",[3]characters!$1:$1,0)+1),MATCH(AC$1,[3]characters!$1:$1,0)-MATCH("character_id",[3]characters!$1:$1,0)+1,FALSE)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90" s="4">
        <f ca="1">VLOOKUP($AB90,OFFSET([3]characters!$A$1,0,0,COUNTA([3]characters!$A:$A),MATCH(AD$1,[3]characters!$1:$1,0)-MATCH("character_id",[3]characters!$1:$1,0)+1),MATCH(AD$1,[3]characters!$1:$1,0)-MATCH("character_id",[3]characters!$1:$1,0)+1,FALSE)</f>
        <v>2</v>
      </c>
      <c r="AE90" s="4" t="str">
        <f ca="1">VLOOKUP($AB90,OFFSET([3]characters!$A$1,0,0,COUNTA([3]characters!$A:$A),MATCH(AE$1,[3]characters!$1:$1,0)-MATCH("character_id",[3]characters!$1:$1,0)+1),MATCH(AE$1,[3]characters!$1:$1,0)-MATCH("character_id",[3]characters!$1:$1,0)+1,FALSE)</f>
        <v>Drop1S</v>
      </c>
      <c r="AF90" s="7">
        <v>7</v>
      </c>
      <c r="AG90" s="26">
        <f t="shared" ca="1" si="82"/>
        <v>2</v>
      </c>
      <c r="AH90" s="8">
        <v>20</v>
      </c>
      <c r="AI90" s="7">
        <v>0</v>
      </c>
      <c r="AJ90" s="7">
        <v>0</v>
      </c>
      <c r="AK90" s="7">
        <v>0</v>
      </c>
      <c r="AL90" s="7">
        <v>0</v>
      </c>
      <c r="AM90" s="7">
        <v>1</v>
      </c>
    </row>
    <row r="91" spans="1:39" ht="21" customHeight="1" x14ac:dyDescent="0.15">
      <c r="A91" s="18" t="str">
        <f t="shared" ref="A91" ca="1" si="107">B91&amp;"_"&amp;C91&amp;"-"&amp;G91&amp;"/"&amp;L91&amp;"&lt;lv"&amp;R91&amp;"&gt;s"&amp;AA91</f>
        <v>22_3-4/348&lt;lv44&gt;s3</v>
      </c>
      <c r="B91" s="53">
        <v>22</v>
      </c>
      <c r="C91" s="51">
        <v>3</v>
      </c>
      <c r="D91" s="2" t="str">
        <f t="shared" ref="D91" si="108">B91&amp;"_"&amp;C91</f>
        <v>22_3</v>
      </c>
      <c r="E91" s="2" t="str">
        <f t="shared" ref="E91" si="109">C91&amp;"_"&amp;D91</f>
        <v>3_22_3</v>
      </c>
      <c r="F91" s="4" t="str">
        <f ca="1">VLOOKUP($D91,OFFSET([1]stages!$A$1,0,0,COUNTA([1]stages!$A:$A),MATCH(F$1,[1]stages!$2:$2,0)-MATCH($D$1,[1]stages!$2:$2,0)+1),MATCH(F$1,[1]stages!$2:$2,0)-MATCH($D$1,[1]stages!$2:$2,0)+1,FALSE)</f>
        <v>22-3．誘眠の鼓音</v>
      </c>
      <c r="G91" s="54">
        <v>4</v>
      </c>
      <c r="H91" s="17" t="str">
        <f t="shared" ref="H91" si="110">B91&amp;"_"&amp;C91&amp;"-"&amp;G91</f>
        <v>22_3-4</v>
      </c>
      <c r="I91" s="17"/>
      <c r="J91" s="17"/>
      <c r="K91" s="65" t="s">
        <v>56</v>
      </c>
      <c r="L91" s="52">
        <v>348</v>
      </c>
      <c r="M91" s="21" t="str">
        <f ca="1">VLOOKUP($L91,OFFSET([2]enemies!$A$1,0,0,COUNTA([2]enemies!$A:$A),MATCH(M$1,[2]enemies!$1:$1,0)-MATCH($L$1,[2]enemies!$1:$1,0)+1),MATCH(M$1,[2]enemies!$1:$1,0)-MATCH($L$1,[2]enemies!$1:$1,0)+1,FALSE)</f>
        <v>炎のケロケロ</v>
      </c>
      <c r="N91" s="21" t="str">
        <f ca="1">VLOOKUP($L91,OFFSET([2]enemies!$A$1,0,0,COUNTA([2]enemies!$A:$A),MATCH(N$1,[2]enemies!$1:$1,0)-MATCH($L$1,[2]enemies!$1:$1,0)+1),MATCH(N$1,[2]enemies!$1:$1,0)-MATCH($L$1,[2]enemies!$1:$1,0)+1,FALSE)</f>
        <v>red</v>
      </c>
      <c r="O91" s="21" t="str">
        <f ca="1">VLOOKUP($L91,OFFSET([3]characters!$A$1,0,0,COUNTA([3]characters!$A:$A),MATCH(O$1,[3]characters!$1:$1,0)-MATCH($L$1,[3]characters!$1:$1,0)+1),MATCH(O$1,[3]characters!$1:$1,0)-MATCH($L$1,[3]characters!$1:$1,0)+1,FALSE)</f>
        <v>Material</v>
      </c>
      <c r="P91" s="21" t="str">
        <f ca="1">VLOOKUP($L91,OFFSET([2]enemies!$A$1,0,0,COUNTA([2]enemies!$A:$A),MATCH(P$1,[2]enemies!$1:$1,0)-MATCH($L$1,[2]enemies!$1:$1,0)+1),MATCH(P$1,[2]enemies!$1:$1,0)-MATCH($L$1,[2]enemies!$1:$1,0)+1,FALSE)</f>
        <v>unknown</v>
      </c>
      <c r="Q91" s="21">
        <f ca="1">VLOOKUP($L91,OFFSET([2]enemies!$A$1,0,0,COUNTA([2]enemies!$A:$A),MATCH(Q$1,[2]enemies!$1:$1,0)-MATCH($L$1,[2]enemies!$1:$1,0)+1),MATCH(Q$1,[2]enemies!$1:$1,0)-MATCH($L$1,[2]enemies!$1:$1,0)+1,FALSE)</f>
        <v>15</v>
      </c>
      <c r="R91" s="53">
        <v>44</v>
      </c>
      <c r="S91" s="27">
        <v>1</v>
      </c>
      <c r="T91" s="27">
        <v>1</v>
      </c>
      <c r="U91" s="5">
        <v>0</v>
      </c>
      <c r="V91" s="4" t="str">
        <f ca="1">VLOOKUP($W91,OFFSET([4]enemy_skill_sets!$B$1,0,0,COUNTA([4]enemy_skill_sets!$B:$B),MATCH(M$1,[4]enemy_skill_sets!$1:$1,0)-MATCH($W$1,[4]enemy_skill_sets!$1:$1,0)+2),MATCH(M$1,[4]enemy_skill_sets!$1:$1,0)-MATCH($W$1,[4]enemy_skill_sets!$1:$1,0)+2,FALSE)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91" s="64">
        <v>348</v>
      </c>
      <c r="X91" s="6">
        <v>0</v>
      </c>
      <c r="Y91" s="6">
        <v>100</v>
      </c>
      <c r="Z91" s="6">
        <v>0</v>
      </c>
      <c r="AA91" s="4">
        <f ca="1">VLOOKUP($L91,OFFSET([2]enemies!$A$1,0,0,COUNTA([2]enemies!$A:$A),MATCH(AA$1,[2]enemies!$1:$1,0)-MATCH($L$1,[2]enemies!$1:$1,0)+1),MATCH(AA$1,[2]enemies!$1:$1,0)-MATCH($L$1,[2]enemies!$1:$1,0)+1,FALSE)</f>
        <v>3</v>
      </c>
      <c r="AB91" s="52">
        <v>348</v>
      </c>
      <c r="AC91" s="4" t="str">
        <f ca="1">VLOOKUP($AB91,OFFSET([3]characters!$A$1,0,0,COUNTA([3]characters!$A:$A),MATCH(AC$1,[3]characters!$1:$1,0)-MATCH("character_id",[3]characters!$1:$1,0)+1),MATCH(AC$1,[3]characters!$1:$1,0)-MATCH("character_id",[3]characters!$1:$1,0)+1,FALSE)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91" s="4">
        <f ca="1">VLOOKUP($AB91,OFFSET([3]characters!$A$1,0,0,COUNTA([3]characters!$A:$A),MATCH(AD$1,[3]characters!$1:$1,0)-MATCH("character_id",[3]characters!$1:$1,0)+1),MATCH(AD$1,[3]characters!$1:$1,0)-MATCH("character_id",[3]characters!$1:$1,0)+1,FALSE)</f>
        <v>2</v>
      </c>
      <c r="AE91" s="4" t="str">
        <f ca="1">VLOOKUP($AB91,OFFSET([3]characters!$A$1,0,0,COUNTA([3]characters!$A:$A),MATCH(AE$1,[3]characters!$1:$1,0)-MATCH("character_id",[3]characters!$1:$1,0)+1),MATCH(AE$1,[3]characters!$1:$1,0)-MATCH("character_id",[3]characters!$1:$1,0)+1,FALSE)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1" s="7">
        <v>10</v>
      </c>
      <c r="AG91" s="26">
        <f t="shared" ca="1" si="82"/>
        <v>2</v>
      </c>
      <c r="AH91" s="8">
        <v>20</v>
      </c>
      <c r="AI91" s="7">
        <v>0</v>
      </c>
      <c r="AJ91" s="7">
        <v>0</v>
      </c>
      <c r="AK91" s="7">
        <v>0</v>
      </c>
      <c r="AL91" s="7">
        <v>0</v>
      </c>
      <c r="AM91" s="7">
        <v>1</v>
      </c>
    </row>
    <row r="92" spans="1:39" ht="14" x14ac:dyDescent="0.15">
      <c r="A92" s="18" t="str">
        <f t="shared" ca="1" si="56"/>
        <v>22_3-5/185&lt;lv49&gt;s3</v>
      </c>
      <c r="B92" s="50">
        <v>22</v>
      </c>
      <c r="C92" s="49">
        <v>3</v>
      </c>
      <c r="D92" s="2" t="str">
        <f t="shared" si="57"/>
        <v>22_3</v>
      </c>
      <c r="E92" s="2" t="str">
        <f t="shared" si="57"/>
        <v>3_22_3</v>
      </c>
      <c r="F92" s="4" t="str">
        <f ca="1">VLOOKUP($D92,OFFSET([1]stages!$A$1,0,0,COUNTA([1]stages!$A:$A),MATCH(F$1,[1]stages!$2:$2,0)-MATCH($D$1,[1]stages!$2:$2,0)+1),MATCH(F$1,[1]stages!$2:$2,0)-MATCH($D$1,[1]stages!$2:$2,0)+1,FALSE)</f>
        <v>22-3．誘眠の鼓音</v>
      </c>
      <c r="G92" s="55">
        <v>5</v>
      </c>
      <c r="H92" s="17" t="str">
        <f t="shared" si="58"/>
        <v>22_3-5</v>
      </c>
      <c r="I92" s="17"/>
      <c r="J92" s="17"/>
      <c r="K92" s="65" t="s">
        <v>56</v>
      </c>
      <c r="L92" s="52">
        <v>185</v>
      </c>
      <c r="M92" s="21" t="str">
        <f ca="1">VLOOKUP($L92,OFFSET([2]enemies!$A$1,0,0,COUNTA([2]enemies!$A:$A),MATCH(M$1,[2]enemies!$1:$1,0)-MATCH($L$1,[2]enemies!$1:$1,0)+1),MATCH(M$1,[2]enemies!$1:$1,0)-MATCH($L$1,[2]enemies!$1:$1,0)+1,FALSE)</f>
        <v>海姫 クラーケン</v>
      </c>
      <c r="N92" s="21" t="str">
        <f ca="1">VLOOKUP($L92,OFFSET([2]enemies!$A$1,0,0,COUNTA([2]enemies!$A:$A),MATCH(N$1,[2]enemies!$1:$1,0)-MATCH($L$1,[2]enemies!$1:$1,0)+1),MATCH(N$1,[2]enemies!$1:$1,0)-MATCH($L$1,[2]enemies!$1:$1,0)+1,FALSE)</f>
        <v>blue</v>
      </c>
      <c r="O92" s="21" t="str">
        <f ca="1">VLOOKUP($L92,OFFSET([3]characters!$A$1,0,0,COUNTA([3]characters!$A:$A),MATCH(O$1,[3]characters!$1:$1,0)-MATCH($L$1,[3]characters!$1:$1,0)+1),MATCH(O$1,[3]characters!$1:$1,0)-MATCH($L$1,[3]characters!$1:$1,0)+1,FALSE)</f>
        <v>PremiumN</v>
      </c>
      <c r="P92" s="21" t="str">
        <f ca="1">VLOOKUP($L92,OFFSET([2]enemies!$A$1,0,0,COUNTA([2]enemies!$A:$A),MATCH(P$1,[2]enemies!$1:$1,0)-MATCH($L$1,[2]enemies!$1:$1,0)+1),MATCH(P$1,[2]enemies!$1:$1,0)-MATCH($L$1,[2]enemies!$1:$1,0)+1,FALSE)</f>
        <v>animal</v>
      </c>
      <c r="Q92" s="21">
        <f ca="1">VLOOKUP($L92,OFFSET([2]enemies!$A$1,0,0,COUNTA([2]enemies!$A:$A),MATCH(Q$1,[2]enemies!$1:$1,0)-MATCH($L$1,[2]enemies!$1:$1,0)+1),MATCH(Q$1,[2]enemies!$1:$1,0)-MATCH($L$1,[2]enemies!$1:$1,0)+1,FALSE)</f>
        <v>30</v>
      </c>
      <c r="R92" s="53">
        <v>49</v>
      </c>
      <c r="S92" s="27">
        <v>2</v>
      </c>
      <c r="T92" s="27">
        <v>1.9</v>
      </c>
      <c r="U92" s="5">
        <v>0</v>
      </c>
      <c r="V92" s="4" t="str">
        <f ca="1">VLOOKUP($W92,OFFSET([4]enemy_skill_sets!$B$1,0,0,COUNTA([4]enemy_skill_sets!$B:$B),MATCH(M$1,[4]enemy_skill_sets!$1:$1,0)-MATCH($W$1,[4]enemy_skill_sets!$1:$1,0)+2),MATCH(M$1,[4]enemy_skill_sets!$1:$1,0)-MATCH($W$1,[4]enemy_skill_sets!$1:$1,0)+2,FALSE)</f>
        <v>3ターンの間行動できない</v>
      </c>
      <c r="W92" s="64">
        <v>18502</v>
      </c>
      <c r="X92" s="6">
        <v>1</v>
      </c>
      <c r="Y92" s="6">
        <v>100</v>
      </c>
      <c r="Z92" s="6">
        <v>1</v>
      </c>
      <c r="AA92" s="4">
        <f ca="1">VLOOKUP($L92,OFFSET([2]enemies!$A$1,0,0,COUNTA([2]enemies!$A:$A),MATCH(AA$1,[2]enemies!$1:$1,0)-MATCH($L$1,[2]enemies!$1:$1,0)+1),MATCH(AA$1,[2]enemies!$1:$1,0)-MATCH($L$1,[2]enemies!$1:$1,0)+1,FALSE)</f>
        <v>3</v>
      </c>
      <c r="AB92" s="52">
        <v>184</v>
      </c>
      <c r="AC92" s="4" t="str">
        <f ca="1">VLOOKUP($AB92,OFFSET([3]characters!$A$1,0,0,COUNTA([3]characters!$A:$A),MATCH(AC$1,[3]characters!$1:$1,0)-MATCH("character_id",[3]characters!$1:$1,0)+1),MATCH(AC$1,[3]characters!$1:$1,0)-MATCH("character_id",[3]characters!$1:$1,0)+1,FALSE)</f>
        <v>クラーケン</v>
      </c>
      <c r="AD92" s="4">
        <f ca="1">VLOOKUP($AB92,OFFSET([3]characters!$A$1,0,0,COUNTA([3]characters!$A:$A),MATCH(AD$1,[3]characters!$1:$1,0)-MATCH("character_id",[3]characters!$1:$1,0)+1),MATCH(AD$1,[3]characters!$1:$1,0)-MATCH("character_id",[3]characters!$1:$1,0)+1,FALSE)</f>
        <v>3</v>
      </c>
      <c r="AE92" s="4" t="str">
        <f ca="1">VLOOKUP($AB92,OFFSET([3]characters!$A$1,0,0,COUNTA([3]characters!$A:$A),MATCH(AE$1,[3]characters!$1:$1,0)-MATCH("character_id",[3]characters!$1:$1,0)+1),MATCH(AE$1,[3]characters!$1:$1,0)-MATCH("character_id",[3]characters!$1:$1,0)+1,FALSE)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92" s="7">
        <v>1</v>
      </c>
      <c r="AG92" s="26">
        <f t="shared" ca="1" si="82"/>
        <v>3</v>
      </c>
      <c r="AH92" s="8">
        <v>0</v>
      </c>
      <c r="AI92" s="7">
        <v>0</v>
      </c>
      <c r="AJ92" s="7">
        <v>0</v>
      </c>
      <c r="AK92" s="7">
        <v>0</v>
      </c>
      <c r="AL92" s="7">
        <v>0</v>
      </c>
      <c r="AM92" s="7">
        <v>1</v>
      </c>
    </row>
    <row r="93" spans="1:39" ht="14" x14ac:dyDescent="0.15">
      <c r="A93" s="18" t="str">
        <f t="shared" ref="A93:A123" ca="1" si="111">B93&amp;"_"&amp;C93&amp;"-"&amp;G93&amp;"/"&amp;L93&amp;"&lt;lv"&amp;R93&amp;"&gt;s"&amp;AA93</f>
        <v>22_4-1/9&lt;lv46&gt;s2</v>
      </c>
      <c r="B93" s="50">
        <v>22</v>
      </c>
      <c r="C93" s="49">
        <v>4</v>
      </c>
      <c r="D93" s="2" t="str">
        <f t="shared" ref="D93:E123" si="112">B93&amp;"_"&amp;C93</f>
        <v>22_4</v>
      </c>
      <c r="E93" s="2" t="str">
        <f t="shared" si="112"/>
        <v>4_22_4</v>
      </c>
      <c r="F93" s="4" t="str">
        <f ca="1">VLOOKUP($D93,OFFSET([1]stages!$A$1,0,0,COUNTA([1]stages!$A:$A),MATCH(F$1,[1]stages!$2:$2,0)-MATCH($D$1,[1]stages!$2:$2,0)+1),MATCH(F$1,[1]stages!$2:$2,0)-MATCH($D$1,[1]stages!$2:$2,0)+1,FALSE)</f>
        <v>22-4．聖火の啼き声</v>
      </c>
      <c r="G93" s="56">
        <v>1</v>
      </c>
      <c r="H93" s="17" t="str">
        <f t="shared" ref="H93:H123" si="113">B93&amp;"_"&amp;C93&amp;"-"&amp;G93</f>
        <v>22_4-1</v>
      </c>
      <c r="I93" s="17"/>
      <c r="J93" s="17"/>
      <c r="K93" s="65" t="s">
        <v>56</v>
      </c>
      <c r="L93" s="52">
        <v>9</v>
      </c>
      <c r="M93" s="21" t="str">
        <f ca="1">VLOOKUP($L93,OFFSET([2]enemies!$A$1,0,0,COUNTA([2]enemies!$A:$A),MATCH(M$1,[2]enemies!$1:$1,0)-MATCH($L$1,[2]enemies!$1:$1,0)+1),MATCH(M$1,[2]enemies!$1:$1,0)-MATCH($L$1,[2]enemies!$1:$1,0)+1,FALSE)</f>
        <v>ブレット</v>
      </c>
      <c r="N93" s="21" t="str">
        <f ca="1">VLOOKUP($L93,OFFSET([2]enemies!$A$1,0,0,COUNTA([2]enemies!$A:$A),MATCH(N$1,[2]enemies!$1:$1,0)-MATCH($L$1,[2]enemies!$1:$1,0)+1),MATCH(N$1,[2]enemies!$1:$1,0)-MATCH($L$1,[2]enemies!$1:$1,0)+1,FALSE)</f>
        <v>red</v>
      </c>
      <c r="O93" s="21" t="str">
        <f ca="1">VLOOKUP($L93,OFFSET([3]characters!$A$1,0,0,COUNTA([3]characters!$A:$A),MATCH(O$1,[3]characters!$1:$1,0)-MATCH($L$1,[3]characters!$1:$1,0)+1),MATCH(O$1,[3]characters!$1:$1,0)-MATCH($L$1,[3]characters!$1:$1,0)+1,FALSE)</f>
        <v>Drop1W</v>
      </c>
      <c r="P93" s="21" t="str">
        <f ca="1">VLOOKUP($L93,OFFSET([2]enemies!$A$1,0,0,COUNTA([2]enemies!$A:$A),MATCH(P$1,[2]enemies!$1:$1,0)-MATCH($L$1,[2]enemies!$1:$1,0)+1),MATCH(P$1,[2]enemies!$1:$1,0)-MATCH($L$1,[2]enemies!$1:$1,0)+1,FALSE)</f>
        <v>animal</v>
      </c>
      <c r="Q93" s="21">
        <f ca="1">VLOOKUP($L93,OFFSET([2]enemies!$A$1,0,0,COUNTA([2]enemies!$A:$A),MATCH(Q$1,[2]enemies!$1:$1,0)-MATCH($L$1,[2]enemies!$1:$1,0)+1),MATCH(Q$1,[2]enemies!$1:$1,0)-MATCH($L$1,[2]enemies!$1:$1,0)+1,FALSE)</f>
        <v>15</v>
      </c>
      <c r="R93" s="53">
        <v>46</v>
      </c>
      <c r="S93" s="27">
        <v>1</v>
      </c>
      <c r="T93" s="27">
        <v>1</v>
      </c>
      <c r="U93" s="5">
        <v>0</v>
      </c>
      <c r="V93" s="4" t="str">
        <f ca="1">VLOOKUP($W93,OFFSET([4]enemy_skill_sets!$B$1,0,0,COUNTA([4]enemy_skill_sets!$B:$B),MATCH(M$1,[4]enemy_skill_sets!$1:$1,0)-MATCH($W$1,[4]enemy_skill_sets!$1:$1,0)+2),MATCH(M$1,[4]enemy_skill_sets!$1:$1,0)-MATCH($W$1,[4]enemy_skill_sets!$1:$1,0)+2,FALSE)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" s="4">
        <f ca="1">VLOOKUP($L93,OFFSET([2]enemies!$A$1,0,0,COUNTA([2]enemies!$A:$A),MATCH(W$1,[2]enemies!$1:$1,0)-MATCH($L$1,[2]enemies!$1:$1,0)+1),MATCH(W$1,[2]enemies!$1:$1,0)-MATCH($L$1,[2]enemies!$1:$1,0)+1,FALSE)</f>
        <v>0</v>
      </c>
      <c r="X93" s="6">
        <v>0</v>
      </c>
      <c r="Y93" s="6">
        <v>100</v>
      </c>
      <c r="Z93" s="6">
        <v>0</v>
      </c>
      <c r="AA93" s="4">
        <f ca="1">VLOOKUP($L93,OFFSET([2]enemies!$A$1,0,0,COUNTA([2]enemies!$A:$A),MATCH(AA$1,[2]enemies!$1:$1,0)-MATCH($L$1,[2]enemies!$1:$1,0)+1),MATCH(AA$1,[2]enemies!$1:$1,0)-MATCH($L$1,[2]enemies!$1:$1,0)+1,FALSE)</f>
        <v>2</v>
      </c>
      <c r="AB93" s="52">
        <v>9</v>
      </c>
      <c r="AC93" s="4" t="str">
        <f ca="1">VLOOKUP($AB93,OFFSET([3]characters!$A$1,0,0,COUNTA([3]characters!$A:$A),MATCH(AC$1,[3]characters!$1:$1,0)-MATCH("character_id",[3]characters!$1:$1,0)+1),MATCH(AC$1,[3]characters!$1:$1,0)-MATCH("character_id",[3]characters!$1:$1,0)+1,FALSE)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93" s="4">
        <f ca="1">VLOOKUP($AB93,OFFSET([3]characters!$A$1,0,0,COUNTA([3]characters!$A:$A),MATCH(AD$1,[3]characters!$1:$1,0)-MATCH("character_id",[3]characters!$1:$1,0)+1),MATCH(AD$1,[3]characters!$1:$1,0)-MATCH("character_id",[3]characters!$1:$1,0)+1,FALSE)</f>
        <v>1</v>
      </c>
      <c r="AE93" s="4" t="str">
        <f ca="1">VLOOKUP($AB93,OFFSET([3]characters!$A$1,0,0,COUNTA([3]characters!$A:$A),MATCH(AE$1,[3]characters!$1:$1,0)-MATCH("character_id",[3]characters!$1:$1,0)+1),MATCH(AE$1,[3]characters!$1:$1,0)-MATCH("character_id",[3]characters!$1:$1,0)+1,FALSE)</f>
        <v>Drop1W</v>
      </c>
      <c r="AF93" s="7">
        <v>9</v>
      </c>
      <c r="AG93" s="26">
        <f t="shared" ca="1" si="82"/>
        <v>1</v>
      </c>
      <c r="AH93" s="8">
        <v>20</v>
      </c>
      <c r="AI93" s="7">
        <v>0</v>
      </c>
      <c r="AJ93" s="7">
        <v>0</v>
      </c>
      <c r="AK93" s="7">
        <v>0</v>
      </c>
      <c r="AL93" s="7">
        <v>0</v>
      </c>
      <c r="AM93" s="7">
        <v>1</v>
      </c>
    </row>
    <row r="94" spans="1:39" ht="14" x14ac:dyDescent="0.15">
      <c r="A94" s="18" t="str">
        <f t="shared" ca="1" si="111"/>
        <v>22_4-1/33&lt;lv46&gt;s2</v>
      </c>
      <c r="B94" s="50">
        <v>22</v>
      </c>
      <c r="C94" s="49">
        <v>4</v>
      </c>
      <c r="D94" s="2" t="str">
        <f t="shared" si="112"/>
        <v>22_4</v>
      </c>
      <c r="E94" s="2" t="str">
        <f t="shared" si="112"/>
        <v>4_22_4</v>
      </c>
      <c r="F94" s="4" t="str">
        <f ca="1">VLOOKUP($D94,OFFSET([1]stages!$A$1,0,0,COUNTA([1]stages!$A:$A),MATCH(F$1,[1]stages!$2:$2,0)-MATCH($D$1,[1]stages!$2:$2,0)+1),MATCH(F$1,[1]stages!$2:$2,0)-MATCH($D$1,[1]stages!$2:$2,0)+1,FALSE)</f>
        <v>22-4．聖火の啼き声</v>
      </c>
      <c r="G94" s="56">
        <v>1</v>
      </c>
      <c r="H94" s="17" t="str">
        <f t="shared" si="113"/>
        <v>22_4-1</v>
      </c>
      <c r="I94" s="17"/>
      <c r="J94" s="17"/>
      <c r="K94" s="65" t="s">
        <v>56</v>
      </c>
      <c r="L94" s="52">
        <v>33</v>
      </c>
      <c r="M94" s="21" t="str">
        <f ca="1">VLOOKUP($L94,OFFSET([2]enemies!$A$1,0,0,COUNTA([2]enemies!$A:$A),MATCH(M$1,[2]enemies!$1:$1,0)-MATCH($L$1,[2]enemies!$1:$1,0)+1),MATCH(M$1,[2]enemies!$1:$1,0)-MATCH($L$1,[2]enemies!$1:$1,0)+1,FALSE)</f>
        <v>ゴクウ</v>
      </c>
      <c r="N94" s="21" t="str">
        <f ca="1">VLOOKUP($L94,OFFSET([2]enemies!$A$1,0,0,COUNTA([2]enemies!$A:$A),MATCH(N$1,[2]enemies!$1:$1,0)-MATCH($L$1,[2]enemies!$1:$1,0)+1),MATCH(N$1,[2]enemies!$1:$1,0)-MATCH($L$1,[2]enemies!$1:$1,0)+1,FALSE)</f>
        <v>red</v>
      </c>
      <c r="O94" s="21" t="str">
        <f ca="1">VLOOKUP($L94,OFFSET([3]characters!$A$1,0,0,COUNTA([3]characters!$A:$A),MATCH(O$1,[3]characters!$1:$1,0)-MATCH($L$1,[3]characters!$1:$1,0)+1),MATCH(O$1,[3]characters!$1:$1,0)-MATCH($L$1,[3]characters!$1:$1,0)+1,FALSE)</f>
        <v>Drop1S</v>
      </c>
      <c r="P94" s="21" t="str">
        <f ca="1">VLOOKUP($L94,OFFSET([2]enemies!$A$1,0,0,COUNTA([2]enemies!$A:$A),MATCH(P$1,[2]enemies!$1:$1,0)-MATCH($L$1,[2]enemies!$1:$1,0)+1),MATCH(P$1,[2]enemies!$1:$1,0)-MATCH($L$1,[2]enemies!$1:$1,0)+1,FALSE)</f>
        <v>animal</v>
      </c>
      <c r="Q94" s="21">
        <f ca="1">VLOOKUP($L94,OFFSET([2]enemies!$A$1,0,0,COUNTA([2]enemies!$A:$A),MATCH(Q$1,[2]enemies!$1:$1,0)-MATCH($L$1,[2]enemies!$1:$1,0)+1),MATCH(Q$1,[2]enemies!$1:$1,0)-MATCH($L$1,[2]enemies!$1:$1,0)+1,FALSE)</f>
        <v>15</v>
      </c>
      <c r="R94" s="53">
        <v>46</v>
      </c>
      <c r="S94" s="27">
        <v>1</v>
      </c>
      <c r="T94" s="27">
        <v>1</v>
      </c>
      <c r="U94" s="5">
        <v>0</v>
      </c>
      <c r="V94" s="4" t="str">
        <f ca="1">VLOOKUP($W94,OFFSET([4]enemy_skill_sets!$B$1,0,0,COUNTA([4]enemy_skill_sets!$B:$B),MATCH(M$1,[4]enemy_skill_sets!$1:$1,0)-MATCH($W$1,[4]enemy_skill_sets!$1:$1,0)+2),MATCH(M$1,[4]enemy_skill_sets!$1:$1,0)-MATCH($W$1,[4]enemy_skill_sets!$1:$1,0)+2,FALSE)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94" s="4">
        <f ca="1">VLOOKUP($L94,OFFSET([2]enemies!$A$1,0,0,COUNTA([2]enemies!$A:$A),MATCH(W$1,[2]enemies!$1:$1,0)-MATCH($L$1,[2]enemies!$1:$1,0)+1),MATCH(W$1,[2]enemies!$1:$1,0)-MATCH($L$1,[2]enemies!$1:$1,0)+1,FALSE)</f>
        <v>33</v>
      </c>
      <c r="X94" s="6">
        <v>0</v>
      </c>
      <c r="Y94" s="6">
        <v>100</v>
      </c>
      <c r="Z94" s="6">
        <v>0</v>
      </c>
      <c r="AA94" s="4">
        <f ca="1">VLOOKUP($L94,OFFSET([2]enemies!$A$1,0,0,COUNTA([2]enemies!$A:$A),MATCH(AA$1,[2]enemies!$1:$1,0)-MATCH($L$1,[2]enemies!$1:$1,0)+1),MATCH(AA$1,[2]enemies!$1:$1,0)-MATCH($L$1,[2]enemies!$1:$1,0)+1,FALSE)</f>
        <v>2</v>
      </c>
      <c r="AB94" s="52">
        <v>33</v>
      </c>
      <c r="AC94" s="4" t="str">
        <f ca="1">VLOOKUP($AB94,OFFSET([3]characters!$A$1,0,0,COUNTA([3]characters!$A:$A),MATCH(AC$1,[3]characters!$1:$1,0)-MATCH("character_id",[3]characters!$1:$1,0)+1),MATCH(AC$1,[3]characters!$1:$1,0)-MATCH("character_id",[3]characters!$1:$1,0)+1,FALSE)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94" s="4">
        <f ca="1">VLOOKUP($AB94,OFFSET([3]characters!$A$1,0,0,COUNTA([3]characters!$A:$A),MATCH(AD$1,[3]characters!$1:$1,0)-MATCH("character_id",[3]characters!$1:$1,0)+1),MATCH(AD$1,[3]characters!$1:$1,0)-MATCH("character_id",[3]characters!$1:$1,0)+1,FALSE)</f>
        <v>2</v>
      </c>
      <c r="AE94" s="4" t="str">
        <f ca="1">VLOOKUP($AB94,OFFSET([3]characters!$A$1,0,0,COUNTA([3]characters!$A:$A),MATCH(AE$1,[3]characters!$1:$1,0)-MATCH("character_id",[3]characters!$1:$1,0)+1),MATCH(AE$1,[3]characters!$1:$1,0)-MATCH("character_id",[3]characters!$1:$1,0)+1,FALSE)</f>
        <v>Drop1S</v>
      </c>
      <c r="AF94" s="7">
        <v>5</v>
      </c>
      <c r="AG94" s="26">
        <f t="shared" ca="1" si="82"/>
        <v>2</v>
      </c>
      <c r="AH94" s="8">
        <v>20</v>
      </c>
      <c r="AI94" s="7">
        <v>0</v>
      </c>
      <c r="AJ94" s="7">
        <v>0</v>
      </c>
      <c r="AK94" s="7">
        <v>0</v>
      </c>
      <c r="AL94" s="7">
        <v>0</v>
      </c>
      <c r="AM94" s="7">
        <v>1</v>
      </c>
    </row>
    <row r="95" spans="1:39" ht="14" x14ac:dyDescent="0.15">
      <c r="A95" s="18" t="str">
        <f t="shared" ca="1" si="111"/>
        <v>22_4-1/57&lt;lv46&gt;s2</v>
      </c>
      <c r="B95" s="50">
        <v>22</v>
      </c>
      <c r="C95" s="49">
        <v>4</v>
      </c>
      <c r="D95" s="2" t="str">
        <f t="shared" si="112"/>
        <v>22_4</v>
      </c>
      <c r="E95" s="2" t="str">
        <f t="shared" si="112"/>
        <v>4_22_4</v>
      </c>
      <c r="F95" s="4" t="str">
        <f ca="1">VLOOKUP($D95,OFFSET([1]stages!$A$1,0,0,COUNTA([1]stages!$A:$A),MATCH(F$1,[1]stages!$2:$2,0)-MATCH($D$1,[1]stages!$2:$2,0)+1),MATCH(F$1,[1]stages!$2:$2,0)-MATCH($D$1,[1]stages!$2:$2,0)+1,FALSE)</f>
        <v>22-4．聖火の啼き声</v>
      </c>
      <c r="G95" s="56">
        <v>1</v>
      </c>
      <c r="H95" s="17" t="str">
        <f t="shared" si="113"/>
        <v>22_4-1</v>
      </c>
      <c r="I95" s="17"/>
      <c r="J95" s="17"/>
      <c r="K95" s="65" t="s">
        <v>56</v>
      </c>
      <c r="L95" s="52">
        <v>57</v>
      </c>
      <c r="M95" s="21" t="str">
        <f ca="1">VLOOKUP($L95,OFFSET([2]enemies!$A$1,0,0,COUNTA([2]enemies!$A:$A),MATCH(M$1,[2]enemies!$1:$1,0)-MATCH($L$1,[2]enemies!$1:$1,0)+1),MATCH(M$1,[2]enemies!$1:$1,0)-MATCH($L$1,[2]enemies!$1:$1,0)+1,FALSE)</f>
        <v>チェン・リー</v>
      </c>
      <c r="N95" s="21" t="str">
        <f ca="1">VLOOKUP($L95,OFFSET([2]enemies!$A$1,0,0,COUNTA([2]enemies!$A:$A),MATCH(N$1,[2]enemies!$1:$1,0)-MATCH($L$1,[2]enemies!$1:$1,0)+1),MATCH(N$1,[2]enemies!$1:$1,0)-MATCH($L$1,[2]enemies!$1:$1,0)+1,FALSE)</f>
        <v>red</v>
      </c>
      <c r="O95" s="21" t="str">
        <f ca="1">VLOOKUP($L95,OFFSET([3]characters!$A$1,0,0,COUNTA([3]characters!$A:$A),MATCH(O$1,[3]characters!$1:$1,0)-MATCH($L$1,[3]characters!$1:$1,0)+1),MATCH(O$1,[3]characters!$1:$1,0)-MATCH($L$1,[3]characters!$1:$1,0)+1,FALSE)</f>
        <v>Drop1N</v>
      </c>
      <c r="P95" s="21" t="str">
        <f ca="1">VLOOKUP($L95,OFFSET([2]enemies!$A$1,0,0,COUNTA([2]enemies!$A:$A),MATCH(P$1,[2]enemies!$1:$1,0)-MATCH($L$1,[2]enemies!$1:$1,0)+1),MATCH(P$1,[2]enemies!$1:$1,0)-MATCH($L$1,[2]enemies!$1:$1,0)+1,FALSE)</f>
        <v>animal</v>
      </c>
      <c r="Q95" s="21">
        <f ca="1">VLOOKUP($L95,OFFSET([2]enemies!$A$1,0,0,COUNTA([2]enemies!$A:$A),MATCH(Q$1,[2]enemies!$1:$1,0)-MATCH($L$1,[2]enemies!$1:$1,0)+1),MATCH(Q$1,[2]enemies!$1:$1,0)-MATCH($L$1,[2]enemies!$1:$1,0)+1,FALSE)</f>
        <v>15</v>
      </c>
      <c r="R95" s="53">
        <v>46</v>
      </c>
      <c r="S95" s="27">
        <v>1</v>
      </c>
      <c r="T95" s="27">
        <v>1</v>
      </c>
      <c r="U95" s="5">
        <v>0</v>
      </c>
      <c r="V95" s="4" t="str">
        <f ca="1">VLOOKUP($W95,OFFSET([4]enemy_skill_sets!$B$1,0,0,COUNTA([4]enemy_skill_sets!$B:$B),MATCH(M$1,[4]enemy_skill_sets!$1:$1,0)-MATCH($W$1,[4]enemy_skill_sets!$1:$1,0)+2),MATCH(M$1,[4]enemy_skill_sets!$1:$1,0)-MATCH($W$1,[4]enemy_skill_sets!$1:$1,0)+2,FALSE)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95" s="4">
        <f ca="1">VLOOKUP($L95,OFFSET([2]enemies!$A$1,0,0,COUNTA([2]enemies!$A:$A),MATCH(W$1,[2]enemies!$1:$1,0)-MATCH($L$1,[2]enemies!$1:$1,0)+1),MATCH(W$1,[2]enemies!$1:$1,0)-MATCH($L$1,[2]enemies!$1:$1,0)+1,FALSE)</f>
        <v>57</v>
      </c>
      <c r="X95" s="6">
        <v>0</v>
      </c>
      <c r="Y95" s="6">
        <v>100</v>
      </c>
      <c r="Z95" s="6">
        <v>0</v>
      </c>
      <c r="AA95" s="4">
        <f ca="1">VLOOKUP($L95,OFFSET([2]enemies!$A$1,0,0,COUNTA([2]enemies!$A:$A),MATCH(AA$1,[2]enemies!$1:$1,0)-MATCH($L$1,[2]enemies!$1:$1,0)+1),MATCH(AA$1,[2]enemies!$1:$1,0)-MATCH($L$1,[2]enemies!$1:$1,0)+1,FALSE)</f>
        <v>2</v>
      </c>
      <c r="AB95" s="52">
        <v>57</v>
      </c>
      <c r="AC95" s="4" t="str">
        <f ca="1">VLOOKUP($AB95,OFFSET([3]characters!$A$1,0,0,COUNTA([3]characters!$A:$A),MATCH(AC$1,[3]characters!$1:$1,0)-MATCH("character_id",[3]characters!$1:$1,0)+1),MATCH(AC$1,[3]characters!$1:$1,0)-MATCH("character_id",[3]characters!$1:$1,0)+1,FALSE)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95" s="4">
        <f ca="1">VLOOKUP($AB95,OFFSET([3]characters!$A$1,0,0,COUNTA([3]characters!$A:$A),MATCH(AD$1,[3]characters!$1:$1,0)-MATCH("character_id",[3]characters!$1:$1,0)+1),MATCH(AD$1,[3]characters!$1:$1,0)-MATCH("character_id",[3]characters!$1:$1,0)+1,FALSE)</f>
        <v>2</v>
      </c>
      <c r="AE95" s="4" t="str">
        <f ca="1">VLOOKUP($AB95,OFFSET([3]characters!$A$1,0,0,COUNTA([3]characters!$A:$A),MATCH(AE$1,[3]characters!$1:$1,0)-MATCH("character_id",[3]characters!$1:$1,0)+1),MATCH(AE$1,[3]characters!$1:$1,0)-MATCH("character_id",[3]characters!$1:$1,0)+1,FALSE)</f>
        <v>Drop1N</v>
      </c>
      <c r="AF95" s="7">
        <v>7</v>
      </c>
      <c r="AG95" s="26">
        <f t="shared" ca="1" si="82"/>
        <v>2</v>
      </c>
      <c r="AH95" s="8">
        <v>20</v>
      </c>
      <c r="AI95" s="7">
        <v>0</v>
      </c>
      <c r="AJ95" s="7">
        <v>0</v>
      </c>
      <c r="AK95" s="7">
        <v>0</v>
      </c>
      <c r="AL95" s="7">
        <v>0</v>
      </c>
      <c r="AM95" s="7">
        <v>1</v>
      </c>
    </row>
    <row r="96" spans="1:39" ht="14" x14ac:dyDescent="0.15">
      <c r="A96" s="18" t="str">
        <f t="shared" ref="A96" ca="1" si="114">B96&amp;"_"&amp;C96&amp;"-"&amp;G96&amp;"/"&amp;L96&amp;"&lt;lv"&amp;R96&amp;"&gt;s"&amp;AA96</f>
        <v>22_4-1/360&lt;lv46&gt;s3</v>
      </c>
      <c r="B96" s="53">
        <v>22</v>
      </c>
      <c r="C96" s="51">
        <v>4</v>
      </c>
      <c r="D96" s="2" t="str">
        <f t="shared" ref="D96" si="115">B96&amp;"_"&amp;C96</f>
        <v>22_4</v>
      </c>
      <c r="E96" s="2" t="str">
        <f t="shared" ref="E96" si="116">C96&amp;"_"&amp;D96</f>
        <v>4_22_4</v>
      </c>
      <c r="F96" s="4" t="str">
        <f ca="1">VLOOKUP($D96,OFFSET([1]stages!$A$1,0,0,COUNTA([1]stages!$A:$A),MATCH(F$1,[1]stages!$2:$2,0)-MATCH($D$1,[1]stages!$2:$2,0)+1),MATCH(F$1,[1]stages!$2:$2,0)-MATCH($D$1,[1]stages!$2:$2,0)+1,FALSE)</f>
        <v>22-4．聖火の啼き声</v>
      </c>
      <c r="G96" s="56">
        <v>1</v>
      </c>
      <c r="H96" s="17" t="str">
        <f t="shared" ref="H96" si="117">B96&amp;"_"&amp;C96&amp;"-"&amp;G96</f>
        <v>22_4-1</v>
      </c>
      <c r="I96" s="17"/>
      <c r="J96" s="17"/>
      <c r="K96" s="65" t="s">
        <v>56</v>
      </c>
      <c r="L96" s="52">
        <v>360</v>
      </c>
      <c r="M96" s="21" t="str">
        <f ca="1">VLOOKUP($L96,OFFSET([2]enemies!$A$1,0,0,COUNTA([2]enemies!$A:$A),MATCH(M$1,[2]enemies!$1:$1,0)-MATCH($L$1,[2]enemies!$1:$1,0)+1),MATCH(M$1,[2]enemies!$1:$1,0)-MATCH($L$1,[2]enemies!$1:$1,0)+1,FALSE)</f>
        <v>ガンテツ</v>
      </c>
      <c r="N96" s="21" t="str">
        <f ca="1">VLOOKUP($L96,OFFSET([2]enemies!$A$1,0,0,COUNTA([2]enemies!$A:$A),MATCH(N$1,[2]enemies!$1:$1,0)-MATCH($L$1,[2]enemies!$1:$1,0)+1),MATCH(N$1,[2]enemies!$1:$1,0)-MATCH($L$1,[2]enemies!$1:$1,0)+1,FALSE)</f>
        <v>red</v>
      </c>
      <c r="O96" s="21" t="str">
        <f ca="1">VLOOKUP($L96,OFFSET([3]characters!$A$1,0,0,COUNTA([3]characters!$A:$A),MATCH(O$1,[3]characters!$1:$1,0)-MATCH($L$1,[3]characters!$1:$1,0)+1),MATCH(O$1,[3]characters!$1:$1,0)-MATCH($L$1,[3]characters!$1:$1,0)+1,FALSE)</f>
        <v>Drop1S</v>
      </c>
      <c r="P96" s="21" t="str">
        <f ca="1">VLOOKUP($L96,OFFSET([2]enemies!$A$1,0,0,COUNTA([2]enemies!$A:$A),MATCH(P$1,[2]enemies!$1:$1,0)-MATCH($L$1,[2]enemies!$1:$1,0)+1),MATCH(P$1,[2]enemies!$1:$1,0)-MATCH($L$1,[2]enemies!$1:$1,0)+1,FALSE)</f>
        <v>animal</v>
      </c>
      <c r="Q96" s="21">
        <f ca="1">VLOOKUP($L96,OFFSET([2]enemies!$A$1,0,0,COUNTA([2]enemies!$A:$A),MATCH(Q$1,[2]enemies!$1:$1,0)-MATCH($L$1,[2]enemies!$1:$1,0)+1),MATCH(Q$1,[2]enemies!$1:$1,0)-MATCH($L$1,[2]enemies!$1:$1,0)+1,FALSE)</f>
        <v>15</v>
      </c>
      <c r="R96" s="53">
        <v>46</v>
      </c>
      <c r="S96" s="27">
        <v>1</v>
      </c>
      <c r="T96" s="27">
        <v>1</v>
      </c>
      <c r="U96" s="5">
        <v>0</v>
      </c>
      <c r="V96" s="4" t="str">
        <f ca="1">VLOOKUP($W96,OFFSET([4]enemy_skill_sets!$B$1,0,0,COUNTA([4]enemy_skill_sets!$B:$B),MATCH(M$1,[4]enemy_skill_sets!$1:$1,0)-MATCH($W$1,[4]enemy_skill_sets!$1:$1,0)+2),MATCH(M$1,[4]enemy_skill_sets!$1:$1,0)-MATCH($W$1,[4]enemy_skill_sets!$1:$1,0)+2,FALSE)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96" s="76">
        <v>360</v>
      </c>
      <c r="X96" s="6">
        <v>0</v>
      </c>
      <c r="Y96" s="6">
        <v>100</v>
      </c>
      <c r="Z96" s="6">
        <v>0</v>
      </c>
      <c r="AA96" s="4">
        <f ca="1">VLOOKUP($L96,OFFSET([2]enemies!$A$1,0,0,COUNTA([2]enemies!$A:$A),MATCH(AA$1,[2]enemies!$1:$1,0)-MATCH($L$1,[2]enemies!$1:$1,0)+1),MATCH(AA$1,[2]enemies!$1:$1,0)-MATCH($L$1,[2]enemies!$1:$1,0)+1,FALSE)</f>
        <v>3</v>
      </c>
      <c r="AB96" s="52">
        <v>360</v>
      </c>
      <c r="AC96" s="4" t="str">
        <f ca="1">VLOOKUP($AB96,OFFSET([3]characters!$A$1,0,0,COUNTA([3]characters!$A:$A),MATCH(AC$1,[3]characters!$1:$1,0)-MATCH("character_id",[3]characters!$1:$1,0)+1),MATCH(AC$1,[3]characters!$1:$1,0)-MATCH("character_id",[3]characters!$1:$1,0)+1,FALSE)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96" s="4">
        <f ca="1">VLOOKUP($AB96,OFFSET([3]characters!$A$1,0,0,COUNTA([3]characters!$A:$A),MATCH(AD$1,[3]characters!$1:$1,0)-MATCH("character_id",[3]characters!$1:$1,0)+1),MATCH(AD$1,[3]characters!$1:$1,0)-MATCH("character_id",[3]characters!$1:$1,0)+1,FALSE)</f>
        <v>2</v>
      </c>
      <c r="AE96" s="4" t="str">
        <f ca="1">VLOOKUP($AB96,OFFSET([3]characters!$A$1,0,0,COUNTA([3]characters!$A:$A),MATCH(AE$1,[3]characters!$1:$1,0)-MATCH("character_id",[3]characters!$1:$1,0)+1),MATCH(AE$1,[3]characters!$1:$1,0)-MATCH("character_id",[3]characters!$1:$1,0)+1,FALSE)</f>
        <v>Drop1S</v>
      </c>
      <c r="AF96" s="7">
        <v>7</v>
      </c>
      <c r="AG96" s="26">
        <f t="shared" ca="1" si="82"/>
        <v>2</v>
      </c>
      <c r="AH96" s="8">
        <v>20</v>
      </c>
      <c r="AI96" s="7">
        <v>0</v>
      </c>
      <c r="AJ96" s="7">
        <v>0</v>
      </c>
      <c r="AK96" s="7">
        <v>0</v>
      </c>
      <c r="AL96" s="7">
        <v>0</v>
      </c>
      <c r="AM96" s="7">
        <v>1</v>
      </c>
    </row>
    <row r="97" spans="1:39" ht="14" x14ac:dyDescent="0.15">
      <c r="A97" s="18" t="str">
        <f t="shared" ref="A97" ca="1" si="118">B97&amp;"_"&amp;C97&amp;"-"&amp;G97&amp;"/"&amp;L97&amp;"&lt;lv"&amp;R97&amp;"&gt;s"&amp;AA97</f>
        <v>22_4-1/348&lt;lv46&gt;s3</v>
      </c>
      <c r="B97" s="53">
        <v>22</v>
      </c>
      <c r="C97" s="51">
        <v>4</v>
      </c>
      <c r="D97" s="2" t="str">
        <f t="shared" ref="D97" si="119">B97&amp;"_"&amp;C97</f>
        <v>22_4</v>
      </c>
      <c r="E97" s="2" t="str">
        <f t="shared" ref="E97" si="120">C97&amp;"_"&amp;D97</f>
        <v>4_22_4</v>
      </c>
      <c r="F97" s="4" t="str">
        <f ca="1">VLOOKUP($D97,OFFSET([1]stages!$A$1,0,0,COUNTA([1]stages!$A:$A),MATCH(F$1,[1]stages!$2:$2,0)-MATCH($D$1,[1]stages!$2:$2,0)+1),MATCH(F$1,[1]stages!$2:$2,0)-MATCH($D$1,[1]stages!$2:$2,0)+1,FALSE)</f>
        <v>22-4．聖火の啼き声</v>
      </c>
      <c r="G97" s="56">
        <v>1</v>
      </c>
      <c r="H97" s="17" t="str">
        <f t="shared" ref="H97" si="121">B97&amp;"_"&amp;C97&amp;"-"&amp;G97</f>
        <v>22_4-1</v>
      </c>
      <c r="I97" s="17"/>
      <c r="J97" s="17"/>
      <c r="K97" s="65" t="s">
        <v>56</v>
      </c>
      <c r="L97" s="52">
        <v>348</v>
      </c>
      <c r="M97" s="21" t="str">
        <f ca="1">VLOOKUP($L97,OFFSET([2]enemies!$A$1,0,0,COUNTA([2]enemies!$A:$A),MATCH(M$1,[2]enemies!$1:$1,0)-MATCH($L$1,[2]enemies!$1:$1,0)+1),MATCH(M$1,[2]enemies!$1:$1,0)-MATCH($L$1,[2]enemies!$1:$1,0)+1,FALSE)</f>
        <v>炎のケロケロ</v>
      </c>
      <c r="N97" s="21" t="str">
        <f ca="1">VLOOKUP($L97,OFFSET([2]enemies!$A$1,0,0,COUNTA([2]enemies!$A:$A),MATCH(N$1,[2]enemies!$1:$1,0)-MATCH($L$1,[2]enemies!$1:$1,0)+1),MATCH(N$1,[2]enemies!$1:$1,0)-MATCH($L$1,[2]enemies!$1:$1,0)+1,FALSE)</f>
        <v>red</v>
      </c>
      <c r="O97" s="21" t="str">
        <f ca="1">VLOOKUP($L97,OFFSET([3]characters!$A$1,0,0,COUNTA([3]characters!$A:$A),MATCH(O$1,[3]characters!$1:$1,0)-MATCH($L$1,[3]characters!$1:$1,0)+1),MATCH(O$1,[3]characters!$1:$1,0)-MATCH($L$1,[3]characters!$1:$1,0)+1,FALSE)</f>
        <v>Material</v>
      </c>
      <c r="P97" s="21" t="str">
        <f ca="1">VLOOKUP($L97,OFFSET([2]enemies!$A$1,0,0,COUNTA([2]enemies!$A:$A),MATCH(P$1,[2]enemies!$1:$1,0)-MATCH($L$1,[2]enemies!$1:$1,0)+1),MATCH(P$1,[2]enemies!$1:$1,0)-MATCH($L$1,[2]enemies!$1:$1,0)+1,FALSE)</f>
        <v>unknown</v>
      </c>
      <c r="Q97" s="21">
        <f ca="1">VLOOKUP($L97,OFFSET([2]enemies!$A$1,0,0,COUNTA([2]enemies!$A:$A),MATCH(Q$1,[2]enemies!$1:$1,0)-MATCH($L$1,[2]enemies!$1:$1,0)+1),MATCH(Q$1,[2]enemies!$1:$1,0)-MATCH($L$1,[2]enemies!$1:$1,0)+1,FALSE)</f>
        <v>15</v>
      </c>
      <c r="R97" s="53">
        <v>46</v>
      </c>
      <c r="S97" s="27">
        <v>1</v>
      </c>
      <c r="T97" s="27">
        <v>1</v>
      </c>
      <c r="U97" s="5">
        <v>0</v>
      </c>
      <c r="V97" s="4" t="str">
        <f ca="1">VLOOKUP($W97,OFFSET([4]enemy_skill_sets!$B$1,0,0,COUNTA([4]enemy_skill_sets!$B:$B),MATCH(M$1,[4]enemy_skill_sets!$1:$1,0)-MATCH($W$1,[4]enemy_skill_sets!$1:$1,0)+2),MATCH(M$1,[4]enemy_skill_sets!$1:$1,0)-MATCH($W$1,[4]enemy_skill_sets!$1:$1,0)+2,FALSE)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97" s="64">
        <v>348</v>
      </c>
      <c r="X97" s="6">
        <v>0</v>
      </c>
      <c r="Y97" s="6">
        <v>100</v>
      </c>
      <c r="Z97" s="6">
        <v>0</v>
      </c>
      <c r="AA97" s="4">
        <f ca="1">VLOOKUP($L97,OFFSET([2]enemies!$A$1,0,0,COUNTA([2]enemies!$A:$A),MATCH(AA$1,[2]enemies!$1:$1,0)-MATCH($L$1,[2]enemies!$1:$1,0)+1),MATCH(AA$1,[2]enemies!$1:$1,0)-MATCH($L$1,[2]enemies!$1:$1,0)+1,FALSE)</f>
        <v>3</v>
      </c>
      <c r="AB97" s="52">
        <v>348</v>
      </c>
      <c r="AC97" s="4" t="str">
        <f ca="1">VLOOKUP($AB97,OFFSET([3]characters!$A$1,0,0,COUNTA([3]characters!$A:$A),MATCH(AC$1,[3]characters!$1:$1,0)-MATCH("character_id",[3]characters!$1:$1,0)+1),MATCH(AC$1,[3]characters!$1:$1,0)-MATCH("character_id",[3]characters!$1:$1,0)+1,FALSE)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97" s="4">
        <f ca="1">VLOOKUP($AB97,OFFSET([3]characters!$A$1,0,0,COUNTA([3]characters!$A:$A),MATCH(AD$1,[3]characters!$1:$1,0)-MATCH("character_id",[3]characters!$1:$1,0)+1),MATCH(AD$1,[3]characters!$1:$1,0)-MATCH("character_id",[3]characters!$1:$1,0)+1,FALSE)</f>
        <v>2</v>
      </c>
      <c r="AE97" s="4" t="str">
        <f ca="1">VLOOKUP($AB97,OFFSET([3]characters!$A$1,0,0,COUNTA([3]characters!$A:$A),MATCH(AE$1,[3]characters!$1:$1,0)-MATCH("character_id",[3]characters!$1:$1,0)+1),MATCH(AE$1,[3]characters!$1:$1,0)-MATCH("character_id",[3]characters!$1:$1,0)+1,FALSE)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7" s="7">
        <v>10</v>
      </c>
      <c r="AG97" s="26">
        <f t="shared" ca="1" si="82"/>
        <v>2</v>
      </c>
      <c r="AH97" s="8">
        <v>20</v>
      </c>
      <c r="AI97" s="7">
        <v>0</v>
      </c>
      <c r="AJ97" s="7">
        <v>0</v>
      </c>
      <c r="AK97" s="7">
        <v>0</v>
      </c>
      <c r="AL97" s="7">
        <v>0</v>
      </c>
      <c r="AM97" s="7">
        <v>1</v>
      </c>
    </row>
    <row r="98" spans="1:39" ht="14" x14ac:dyDescent="0.15">
      <c r="A98" s="18" t="str">
        <f t="shared" ca="1" si="111"/>
        <v>22_4-2/25&lt;lv46&gt;s3</v>
      </c>
      <c r="B98" s="50">
        <v>22</v>
      </c>
      <c r="C98" s="49">
        <v>4</v>
      </c>
      <c r="D98" s="2" t="str">
        <f t="shared" si="112"/>
        <v>22_4</v>
      </c>
      <c r="E98" s="2" t="str">
        <f t="shared" si="112"/>
        <v>4_22_4</v>
      </c>
      <c r="F98" s="4" t="str">
        <f ca="1">VLOOKUP($D98,OFFSET([1]stages!$A$1,0,0,COUNTA([1]stages!$A:$A),MATCH(F$1,[1]stages!$2:$2,0)-MATCH($D$1,[1]stages!$2:$2,0)+1),MATCH(F$1,[1]stages!$2:$2,0)-MATCH($D$1,[1]stages!$2:$2,0)+1,FALSE)</f>
        <v>22-4．聖火の啼き声</v>
      </c>
      <c r="G98" s="57">
        <v>2</v>
      </c>
      <c r="H98" s="17" t="str">
        <f t="shared" si="113"/>
        <v>22_4-2</v>
      </c>
      <c r="I98" s="17"/>
      <c r="J98" s="17"/>
      <c r="K98" s="65" t="s">
        <v>56</v>
      </c>
      <c r="L98" s="52">
        <v>25</v>
      </c>
      <c r="M98" s="21" t="str">
        <f ca="1">VLOOKUP($L98,OFFSET([2]enemies!$A$1,0,0,COUNTA([2]enemies!$A:$A),MATCH(M$1,[2]enemies!$1:$1,0)-MATCH($L$1,[2]enemies!$1:$1,0)+1),MATCH(M$1,[2]enemies!$1:$1,0)-MATCH($L$1,[2]enemies!$1:$1,0)+1,FALSE)</f>
        <v>ハチ</v>
      </c>
      <c r="N98" s="21" t="str">
        <f ca="1">VLOOKUP($L98,OFFSET([2]enemies!$A$1,0,0,COUNTA([2]enemies!$A:$A),MATCH(N$1,[2]enemies!$1:$1,0)-MATCH($L$1,[2]enemies!$1:$1,0)+1),MATCH(N$1,[2]enemies!$1:$1,0)-MATCH($L$1,[2]enemies!$1:$1,0)+1,FALSE)</f>
        <v>blue</v>
      </c>
      <c r="O98" s="21" t="str">
        <f ca="1">VLOOKUP($L98,OFFSET([3]characters!$A$1,0,0,COUNTA([3]characters!$A:$A),MATCH(O$1,[3]characters!$1:$1,0)-MATCH($L$1,[3]characters!$1:$1,0)+1),MATCH(O$1,[3]characters!$1:$1,0)-MATCH($L$1,[3]characters!$1:$1,0)+1,FALSE)</f>
        <v>Drop1N</v>
      </c>
      <c r="P98" s="21" t="str">
        <f ca="1">VLOOKUP($L98,OFFSET([2]enemies!$A$1,0,0,COUNTA([2]enemies!$A:$A),MATCH(P$1,[2]enemies!$1:$1,0)-MATCH($L$1,[2]enemies!$1:$1,0)+1),MATCH(P$1,[2]enemies!$1:$1,0)-MATCH($L$1,[2]enemies!$1:$1,0)+1,FALSE)</f>
        <v>animal</v>
      </c>
      <c r="Q98" s="21">
        <f ca="1">VLOOKUP($L98,OFFSET([2]enemies!$A$1,0,0,COUNTA([2]enemies!$A:$A),MATCH(Q$1,[2]enemies!$1:$1,0)-MATCH($L$1,[2]enemies!$1:$1,0)+1),MATCH(Q$1,[2]enemies!$1:$1,0)-MATCH($L$1,[2]enemies!$1:$1,0)+1,FALSE)</f>
        <v>15</v>
      </c>
      <c r="R98" s="53">
        <v>46</v>
      </c>
      <c r="S98" s="27">
        <v>1</v>
      </c>
      <c r="T98" s="27">
        <v>1</v>
      </c>
      <c r="U98" s="5">
        <v>0</v>
      </c>
      <c r="V98" s="4" t="str">
        <f ca="1">VLOOKUP($W98,OFFSET([4]enemy_skill_sets!$B$1,0,0,COUNTA([4]enemy_skill_sets!$B:$B),MATCH(M$1,[4]enemy_skill_sets!$1:$1,0)-MATCH($W$1,[4]enemy_skill_sets!$1:$1,0)+2),MATCH(M$1,[4]enemy_skill_sets!$1:$1,0)-MATCH($W$1,[4]enemy_skill_sets!$1:$1,0)+2,FALSE)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8" s="4">
        <f ca="1">VLOOKUP($L98,OFFSET([2]enemies!$A$1,0,0,COUNTA([2]enemies!$A:$A),MATCH(W$1,[2]enemies!$1:$1,0)-MATCH($L$1,[2]enemies!$1:$1,0)+1),MATCH(W$1,[2]enemies!$1:$1,0)-MATCH($L$1,[2]enemies!$1:$1,0)+1,FALSE)</f>
        <v>0</v>
      </c>
      <c r="X98" s="6">
        <v>0</v>
      </c>
      <c r="Y98" s="6">
        <v>100</v>
      </c>
      <c r="Z98" s="6">
        <v>0</v>
      </c>
      <c r="AA98" s="4">
        <f ca="1">VLOOKUP($L98,OFFSET([2]enemies!$A$1,0,0,COUNTA([2]enemies!$A:$A),MATCH(AA$1,[2]enemies!$1:$1,0)-MATCH($L$1,[2]enemies!$1:$1,0)+1),MATCH(AA$1,[2]enemies!$1:$1,0)-MATCH($L$1,[2]enemies!$1:$1,0)+1,FALSE)</f>
        <v>3</v>
      </c>
      <c r="AB98" s="52">
        <v>25</v>
      </c>
      <c r="AC98" s="4" t="str">
        <f ca="1">VLOOKUP($AB98,OFFSET([3]characters!$A$1,0,0,COUNTA([3]characters!$A:$A),MATCH(AC$1,[3]characters!$1:$1,0)-MATCH("character_id",[3]characters!$1:$1,0)+1),MATCH(AC$1,[3]characters!$1:$1,0)-MATCH("character_id",[3]characters!$1:$1,0)+1,FALSE)</f>
        <v>ハチ</v>
      </c>
      <c r="AD98" s="4">
        <f ca="1">VLOOKUP($AB98,OFFSET([3]characters!$A$1,0,0,COUNTA([3]characters!$A:$A),MATCH(AD$1,[3]characters!$1:$1,0)-MATCH("character_id",[3]characters!$1:$1,0)+1),MATCH(AD$1,[3]characters!$1:$1,0)-MATCH("character_id",[3]characters!$1:$1,0)+1,FALSE)</f>
        <v>1</v>
      </c>
      <c r="AE98" s="4" t="str">
        <f ca="1">VLOOKUP($AB98,OFFSET([3]characters!$A$1,0,0,COUNTA([3]characters!$A:$A),MATCH(AE$1,[3]characters!$1:$1,0)-MATCH("character_id",[3]characters!$1:$1,0)+1),MATCH(AE$1,[3]characters!$1:$1,0)-MATCH("character_id",[3]characters!$1:$1,0)+1,FALSE)</f>
        <v>Drop1N</v>
      </c>
      <c r="AF98" s="7">
        <v>7</v>
      </c>
      <c r="AG98" s="26">
        <f t="shared" ca="1" si="82"/>
        <v>1</v>
      </c>
      <c r="AH98" s="8">
        <v>20</v>
      </c>
      <c r="AI98" s="7">
        <v>0</v>
      </c>
      <c r="AJ98" s="7">
        <v>0</v>
      </c>
      <c r="AK98" s="7">
        <v>0</v>
      </c>
      <c r="AL98" s="7">
        <v>0</v>
      </c>
      <c r="AM98" s="7">
        <v>1</v>
      </c>
    </row>
    <row r="99" spans="1:39" ht="14" x14ac:dyDescent="0.15">
      <c r="A99" s="18" t="str">
        <f t="shared" ca="1" si="111"/>
        <v>22_4-2/37&lt;lv46&gt;s3</v>
      </c>
      <c r="B99" s="50">
        <v>22</v>
      </c>
      <c r="C99" s="49">
        <v>4</v>
      </c>
      <c r="D99" s="2" t="str">
        <f t="shared" si="112"/>
        <v>22_4</v>
      </c>
      <c r="E99" s="2" t="str">
        <f t="shared" si="112"/>
        <v>4_22_4</v>
      </c>
      <c r="F99" s="4" t="str">
        <f ca="1">VLOOKUP($D99,OFFSET([1]stages!$A$1,0,0,COUNTA([1]stages!$A:$A),MATCH(F$1,[1]stages!$2:$2,0)-MATCH($D$1,[1]stages!$2:$2,0)+1),MATCH(F$1,[1]stages!$2:$2,0)-MATCH($D$1,[1]stages!$2:$2,0)+1,FALSE)</f>
        <v>22-4．聖火の啼き声</v>
      </c>
      <c r="G99" s="57">
        <v>2</v>
      </c>
      <c r="H99" s="17" t="str">
        <f t="shared" si="113"/>
        <v>22_4-2</v>
      </c>
      <c r="I99" s="17"/>
      <c r="J99" s="17"/>
      <c r="K99" s="65" t="s">
        <v>56</v>
      </c>
      <c r="L99" s="52">
        <v>37</v>
      </c>
      <c r="M99" s="21" t="str">
        <f ca="1">VLOOKUP($L99,OFFSET([2]enemies!$A$1,0,0,COUNTA([2]enemies!$A:$A),MATCH(M$1,[2]enemies!$1:$1,0)-MATCH($L$1,[2]enemies!$1:$1,0)+1),MATCH(M$1,[2]enemies!$1:$1,0)-MATCH($L$1,[2]enemies!$1:$1,0)+1,FALSE)</f>
        <v>ガイル</v>
      </c>
      <c r="N99" s="21" t="str">
        <f ca="1">VLOOKUP($L99,OFFSET([2]enemies!$A$1,0,0,COUNTA([2]enemies!$A:$A),MATCH(N$1,[2]enemies!$1:$1,0)-MATCH($L$1,[2]enemies!$1:$1,0)+1),MATCH(N$1,[2]enemies!$1:$1,0)-MATCH($L$1,[2]enemies!$1:$1,0)+1,FALSE)</f>
        <v>blue</v>
      </c>
      <c r="O99" s="21" t="str">
        <f ca="1">VLOOKUP($L99,OFFSET([3]characters!$A$1,0,0,COUNTA([3]characters!$A:$A),MATCH(O$1,[3]characters!$1:$1,0)-MATCH($L$1,[3]characters!$1:$1,0)+1),MATCH(O$1,[3]characters!$1:$1,0)-MATCH($L$1,[3]characters!$1:$1,0)+1,FALSE)</f>
        <v>Drop1S</v>
      </c>
      <c r="P99" s="21" t="str">
        <f ca="1">VLOOKUP($L99,OFFSET([2]enemies!$A$1,0,0,COUNTA([2]enemies!$A:$A),MATCH(P$1,[2]enemies!$1:$1,0)-MATCH($L$1,[2]enemies!$1:$1,0)+1),MATCH(P$1,[2]enemies!$1:$1,0)-MATCH($L$1,[2]enemies!$1:$1,0)+1,FALSE)</f>
        <v>animal</v>
      </c>
      <c r="Q99" s="21">
        <f ca="1">VLOOKUP($L99,OFFSET([2]enemies!$A$1,0,0,COUNTA([2]enemies!$A:$A),MATCH(Q$1,[2]enemies!$1:$1,0)-MATCH($L$1,[2]enemies!$1:$1,0)+1),MATCH(Q$1,[2]enemies!$1:$1,0)-MATCH($L$1,[2]enemies!$1:$1,0)+1,FALSE)</f>
        <v>15</v>
      </c>
      <c r="R99" s="53">
        <v>46</v>
      </c>
      <c r="S99" s="27">
        <v>1</v>
      </c>
      <c r="T99" s="27">
        <v>1</v>
      </c>
      <c r="U99" s="5">
        <v>0</v>
      </c>
      <c r="V99" s="4" t="str">
        <f ca="1">VLOOKUP($W99,OFFSET([4]enemy_skill_sets!$B$1,0,0,COUNTA([4]enemy_skill_sets!$B:$B),MATCH(M$1,[4]enemy_skill_sets!$1:$1,0)-MATCH($W$1,[4]enemy_skill_sets!$1:$1,0)+2),MATCH(M$1,[4]enemy_skill_sets!$1:$1,0)-MATCH($W$1,[4]enemy_skill_sets!$1:$1,0)+2,FALSE)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99" s="4">
        <f ca="1">VLOOKUP($L99,OFFSET([2]enemies!$A$1,0,0,COUNTA([2]enemies!$A:$A),MATCH(W$1,[2]enemies!$1:$1,0)-MATCH($L$1,[2]enemies!$1:$1,0)+1),MATCH(W$1,[2]enemies!$1:$1,0)-MATCH($L$1,[2]enemies!$1:$1,0)+1,FALSE)</f>
        <v>37</v>
      </c>
      <c r="X99" s="6">
        <v>0</v>
      </c>
      <c r="Y99" s="6">
        <v>100</v>
      </c>
      <c r="Z99" s="6">
        <v>0</v>
      </c>
      <c r="AA99" s="4">
        <f ca="1">VLOOKUP($L99,OFFSET([2]enemies!$A$1,0,0,COUNTA([2]enemies!$A:$A),MATCH(AA$1,[2]enemies!$1:$1,0)-MATCH($L$1,[2]enemies!$1:$1,0)+1),MATCH(AA$1,[2]enemies!$1:$1,0)-MATCH($L$1,[2]enemies!$1:$1,0)+1,FALSE)</f>
        <v>3</v>
      </c>
      <c r="AB99" s="52">
        <v>37</v>
      </c>
      <c r="AC99" s="4" t="str">
        <f ca="1">VLOOKUP($AB99,OFFSET([3]characters!$A$1,0,0,COUNTA([3]characters!$A:$A),MATCH(AC$1,[3]characters!$1:$1,0)-MATCH("character_id",[3]characters!$1:$1,0)+1),MATCH(AC$1,[3]characters!$1:$1,0)-MATCH("character_id",[3]characters!$1:$1,0)+1,FALSE)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99" s="4">
        <f ca="1">VLOOKUP($AB99,OFFSET([3]characters!$A$1,0,0,COUNTA([3]characters!$A:$A),MATCH(AD$1,[3]characters!$1:$1,0)-MATCH("character_id",[3]characters!$1:$1,0)+1),MATCH(AD$1,[3]characters!$1:$1,0)-MATCH("character_id",[3]characters!$1:$1,0)+1,FALSE)</f>
        <v>2</v>
      </c>
      <c r="AE99" s="4" t="str">
        <f ca="1">VLOOKUP($AB99,OFFSET([3]characters!$A$1,0,0,COUNTA([3]characters!$A:$A),MATCH(AE$1,[3]characters!$1:$1,0)-MATCH("character_id",[3]characters!$1:$1,0)+1),MATCH(AE$1,[3]characters!$1:$1,0)-MATCH("character_id",[3]characters!$1:$1,0)+1,FALSE)</f>
        <v>Drop1S</v>
      </c>
      <c r="AF99" s="7">
        <v>5</v>
      </c>
      <c r="AG99" s="26">
        <f t="shared" ca="1" si="82"/>
        <v>2</v>
      </c>
      <c r="AH99" s="8">
        <v>20</v>
      </c>
      <c r="AI99" s="7">
        <v>0</v>
      </c>
      <c r="AJ99" s="7">
        <v>0</v>
      </c>
      <c r="AK99" s="7">
        <v>0</v>
      </c>
      <c r="AL99" s="7">
        <v>0</v>
      </c>
      <c r="AM99" s="7">
        <v>1</v>
      </c>
    </row>
    <row r="100" spans="1:39" ht="14" x14ac:dyDescent="0.15">
      <c r="A100" s="18" t="str">
        <f t="shared" ca="1" si="111"/>
        <v>22_4-2/45&lt;lv46&gt;s3</v>
      </c>
      <c r="B100" s="50">
        <v>22</v>
      </c>
      <c r="C100" s="49">
        <v>4</v>
      </c>
      <c r="D100" s="2" t="str">
        <f t="shared" si="112"/>
        <v>22_4</v>
      </c>
      <c r="E100" s="2" t="str">
        <f t="shared" si="112"/>
        <v>4_22_4</v>
      </c>
      <c r="F100" s="4" t="str">
        <f ca="1">VLOOKUP($D100,OFFSET([1]stages!$A$1,0,0,COUNTA([1]stages!$A:$A),MATCH(F$1,[1]stages!$2:$2,0)-MATCH($D$1,[1]stages!$2:$2,0)+1),MATCH(F$1,[1]stages!$2:$2,0)-MATCH($D$1,[1]stages!$2:$2,0)+1,FALSE)</f>
        <v>22-4．聖火の啼き声</v>
      </c>
      <c r="G100" s="57">
        <v>2</v>
      </c>
      <c r="H100" s="17" t="str">
        <f t="shared" si="113"/>
        <v>22_4-2</v>
      </c>
      <c r="I100" s="17"/>
      <c r="J100" s="17"/>
      <c r="K100" s="65" t="s">
        <v>56</v>
      </c>
      <c r="L100" s="52">
        <v>45</v>
      </c>
      <c r="M100" s="21" t="str">
        <f ca="1">VLOOKUP($L100,OFFSET([2]enemies!$A$1,0,0,COUNTA([2]enemies!$A:$A),MATCH(M$1,[2]enemies!$1:$1,0)-MATCH($L$1,[2]enemies!$1:$1,0)+1),MATCH(M$1,[2]enemies!$1:$1,0)-MATCH($L$1,[2]enemies!$1:$1,0)+1,FALSE)</f>
        <v>ショウイン</v>
      </c>
      <c r="N100" s="21" t="str">
        <f ca="1">VLOOKUP($L100,OFFSET([2]enemies!$A$1,0,0,COUNTA([2]enemies!$A:$A),MATCH(N$1,[2]enemies!$1:$1,0)-MATCH($L$1,[2]enemies!$1:$1,0)+1),MATCH(N$1,[2]enemies!$1:$1,0)-MATCH($L$1,[2]enemies!$1:$1,0)+1,FALSE)</f>
        <v>blue</v>
      </c>
      <c r="O100" s="21" t="str">
        <f ca="1">VLOOKUP($L100,OFFSET([3]characters!$A$1,0,0,COUNTA([3]characters!$A:$A),MATCH(O$1,[3]characters!$1:$1,0)-MATCH($L$1,[3]characters!$1:$1,0)+1),MATCH(O$1,[3]characters!$1:$1,0)-MATCH($L$1,[3]characters!$1:$1,0)+1,FALSE)</f>
        <v>Drop1N</v>
      </c>
      <c r="P100" s="21" t="str">
        <f ca="1">VLOOKUP($L100,OFFSET([2]enemies!$A$1,0,0,COUNTA([2]enemies!$A:$A),MATCH(P$1,[2]enemies!$1:$1,0)-MATCH($L$1,[2]enemies!$1:$1,0)+1),MATCH(P$1,[2]enemies!$1:$1,0)-MATCH($L$1,[2]enemies!$1:$1,0)+1,FALSE)</f>
        <v>animal</v>
      </c>
      <c r="Q100" s="21">
        <f ca="1">VLOOKUP($L100,OFFSET([2]enemies!$A$1,0,0,COUNTA([2]enemies!$A:$A),MATCH(Q$1,[2]enemies!$1:$1,0)-MATCH($L$1,[2]enemies!$1:$1,0)+1),MATCH(Q$1,[2]enemies!$1:$1,0)-MATCH($L$1,[2]enemies!$1:$1,0)+1,FALSE)</f>
        <v>15</v>
      </c>
      <c r="R100" s="53">
        <v>46</v>
      </c>
      <c r="S100" s="27">
        <v>1</v>
      </c>
      <c r="T100" s="27">
        <v>1</v>
      </c>
      <c r="U100" s="5">
        <v>0</v>
      </c>
      <c r="V100" s="4" t="str">
        <f ca="1">VLOOKUP($W100,OFFSET([4]enemy_skill_sets!$B$1,0,0,COUNTA([4]enemy_skill_sets!$B:$B),MATCH(M$1,[4]enemy_skill_sets!$1:$1,0)-MATCH($W$1,[4]enemy_skill_sets!$1:$1,0)+2),MATCH(M$1,[4]enemy_skill_sets!$1:$1,0)-MATCH($W$1,[4]enemy_skill_sets!$1:$1,0)+2,FALSE)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00" s="4">
        <f ca="1">VLOOKUP($L100,OFFSET([2]enemies!$A$1,0,0,COUNTA([2]enemies!$A:$A),MATCH(W$1,[2]enemies!$1:$1,0)-MATCH($L$1,[2]enemies!$1:$1,0)+1),MATCH(W$1,[2]enemies!$1:$1,0)-MATCH($L$1,[2]enemies!$1:$1,0)+1,FALSE)</f>
        <v>0</v>
      </c>
      <c r="X100" s="6">
        <v>0</v>
      </c>
      <c r="Y100" s="6">
        <v>100</v>
      </c>
      <c r="Z100" s="6">
        <v>0</v>
      </c>
      <c r="AA100" s="4">
        <f ca="1">VLOOKUP($L100,OFFSET([2]enemies!$A$1,0,0,COUNTA([2]enemies!$A:$A),MATCH(AA$1,[2]enemies!$1:$1,0)-MATCH($L$1,[2]enemies!$1:$1,0)+1),MATCH(AA$1,[2]enemies!$1:$1,0)-MATCH($L$1,[2]enemies!$1:$1,0)+1,FALSE)</f>
        <v>3</v>
      </c>
      <c r="AB100" s="52">
        <v>45</v>
      </c>
      <c r="AC100" s="4" t="str">
        <f ca="1">VLOOKUP($AB100,OFFSET([3]characters!$A$1,0,0,COUNTA([3]characters!$A:$A),MATCH(AC$1,[3]characters!$1:$1,0)-MATCH("character_id",[3]characters!$1:$1,0)+1),MATCH(AC$1,[3]characters!$1:$1,0)-MATCH("character_id",[3]characters!$1:$1,0)+1,FALSE)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100" s="4">
        <f ca="1">VLOOKUP($AB100,OFFSET([3]characters!$A$1,0,0,COUNTA([3]characters!$A:$A),MATCH(AD$1,[3]characters!$1:$1,0)-MATCH("character_id",[3]characters!$1:$1,0)+1),MATCH(AD$1,[3]characters!$1:$1,0)-MATCH("character_id",[3]characters!$1:$1,0)+1,FALSE)</f>
        <v>2</v>
      </c>
      <c r="AE100" s="4" t="str">
        <f ca="1">VLOOKUP($AB100,OFFSET([3]characters!$A$1,0,0,COUNTA([3]characters!$A:$A),MATCH(AE$1,[3]characters!$1:$1,0)-MATCH("character_id",[3]characters!$1:$1,0)+1),MATCH(AE$1,[3]characters!$1:$1,0)-MATCH("character_id",[3]characters!$1:$1,0)+1,FALSE)</f>
        <v>Drop1N</v>
      </c>
      <c r="AF100" s="7">
        <v>7</v>
      </c>
      <c r="AG100" s="26">
        <f t="shared" ca="1" si="82"/>
        <v>2</v>
      </c>
      <c r="AH100" s="8">
        <v>20</v>
      </c>
      <c r="AI100" s="7">
        <v>0</v>
      </c>
      <c r="AJ100" s="7">
        <v>0</v>
      </c>
      <c r="AK100" s="7">
        <v>0</v>
      </c>
      <c r="AL100" s="7">
        <v>0</v>
      </c>
      <c r="AM100" s="7">
        <v>1</v>
      </c>
    </row>
    <row r="101" spans="1:39" ht="14" x14ac:dyDescent="0.15">
      <c r="A101" s="18" t="str">
        <f t="shared" ca="1" si="111"/>
        <v>22_4-2/61&lt;lv46&gt;s2</v>
      </c>
      <c r="B101" s="50">
        <v>22</v>
      </c>
      <c r="C101" s="49">
        <v>4</v>
      </c>
      <c r="D101" s="2" t="str">
        <f t="shared" si="112"/>
        <v>22_4</v>
      </c>
      <c r="E101" s="2" t="str">
        <f t="shared" si="112"/>
        <v>4_22_4</v>
      </c>
      <c r="F101" s="4" t="str">
        <f ca="1">VLOOKUP($D101,OFFSET([1]stages!$A$1,0,0,COUNTA([1]stages!$A:$A),MATCH(F$1,[1]stages!$2:$2,0)-MATCH($D$1,[1]stages!$2:$2,0)+1),MATCH(F$1,[1]stages!$2:$2,0)-MATCH($D$1,[1]stages!$2:$2,0)+1,FALSE)</f>
        <v>22-4．聖火の啼き声</v>
      </c>
      <c r="G101" s="57">
        <v>2</v>
      </c>
      <c r="H101" s="17" t="str">
        <f t="shared" si="113"/>
        <v>22_4-2</v>
      </c>
      <c r="I101" s="17"/>
      <c r="J101" s="17"/>
      <c r="K101" s="65" t="s">
        <v>56</v>
      </c>
      <c r="L101" s="52">
        <v>61</v>
      </c>
      <c r="M101" s="21" t="str">
        <f ca="1">VLOOKUP($L101,OFFSET([2]enemies!$A$1,0,0,COUNTA([2]enemies!$A:$A),MATCH(M$1,[2]enemies!$1:$1,0)-MATCH($L$1,[2]enemies!$1:$1,0)+1),MATCH(M$1,[2]enemies!$1:$1,0)-MATCH($L$1,[2]enemies!$1:$1,0)+1,FALSE)</f>
        <v>クロウ</v>
      </c>
      <c r="N101" s="21" t="str">
        <f ca="1">VLOOKUP($L101,OFFSET([2]enemies!$A$1,0,0,COUNTA([2]enemies!$A:$A),MATCH(N$1,[2]enemies!$1:$1,0)-MATCH($L$1,[2]enemies!$1:$1,0)+1),MATCH(N$1,[2]enemies!$1:$1,0)-MATCH($L$1,[2]enemies!$1:$1,0)+1,FALSE)</f>
        <v>blue</v>
      </c>
      <c r="O101" s="21" t="str">
        <f ca="1">VLOOKUP($L101,OFFSET([3]characters!$A$1,0,0,COUNTA([3]characters!$A:$A),MATCH(O$1,[3]characters!$1:$1,0)-MATCH($L$1,[3]characters!$1:$1,0)+1),MATCH(O$1,[3]characters!$1:$1,0)-MATCH($L$1,[3]characters!$1:$1,0)+1,FALSE)</f>
        <v>Drop1N</v>
      </c>
      <c r="P101" s="21" t="str">
        <f ca="1">VLOOKUP($L101,OFFSET([2]enemies!$A$1,0,0,COUNTA([2]enemies!$A:$A),MATCH(P$1,[2]enemies!$1:$1,0)-MATCH($L$1,[2]enemies!$1:$1,0)+1),MATCH(P$1,[2]enemies!$1:$1,0)-MATCH($L$1,[2]enemies!$1:$1,0)+1,FALSE)</f>
        <v>animal</v>
      </c>
      <c r="Q101" s="21">
        <f ca="1">VLOOKUP($L101,OFFSET([2]enemies!$A$1,0,0,COUNTA([2]enemies!$A:$A),MATCH(Q$1,[2]enemies!$1:$1,0)-MATCH($L$1,[2]enemies!$1:$1,0)+1),MATCH(Q$1,[2]enemies!$1:$1,0)-MATCH($L$1,[2]enemies!$1:$1,0)+1,FALSE)</f>
        <v>15</v>
      </c>
      <c r="R101" s="53">
        <v>46</v>
      </c>
      <c r="S101" s="27">
        <v>1</v>
      </c>
      <c r="T101" s="27">
        <v>1</v>
      </c>
      <c r="U101" s="5">
        <v>0</v>
      </c>
      <c r="V101" s="4" t="str">
        <f ca="1">VLOOKUP($W101,OFFSET([4]enemy_skill_sets!$B$1,0,0,COUNTA([4]enemy_skill_sets!$B:$B),MATCH(M$1,[4]enemy_skill_sets!$1:$1,0)-MATCH($W$1,[4]enemy_skill_sets!$1:$1,0)+2),MATCH(M$1,[4]enemy_skill_sets!$1:$1,0)-MATCH($W$1,[4]enemy_skill_sets!$1:$1,0)+2,FALSE)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01" s="4">
        <f ca="1">VLOOKUP($L101,OFFSET([2]enemies!$A$1,0,0,COUNTA([2]enemies!$A:$A),MATCH(W$1,[2]enemies!$1:$1,0)-MATCH($L$1,[2]enemies!$1:$1,0)+1),MATCH(W$1,[2]enemies!$1:$1,0)-MATCH($L$1,[2]enemies!$1:$1,0)+1,FALSE)</f>
        <v>61</v>
      </c>
      <c r="X101" s="6">
        <v>0</v>
      </c>
      <c r="Y101" s="6">
        <v>100</v>
      </c>
      <c r="Z101" s="6">
        <v>0</v>
      </c>
      <c r="AA101" s="4">
        <f ca="1">VLOOKUP($L101,OFFSET([2]enemies!$A$1,0,0,COUNTA([2]enemies!$A:$A),MATCH(AA$1,[2]enemies!$1:$1,0)-MATCH($L$1,[2]enemies!$1:$1,0)+1),MATCH(AA$1,[2]enemies!$1:$1,0)-MATCH($L$1,[2]enemies!$1:$1,0)+1,FALSE)</f>
        <v>2</v>
      </c>
      <c r="AB101" s="52">
        <v>61</v>
      </c>
      <c r="AC101" s="4" t="str">
        <f ca="1">VLOOKUP($AB101,OFFSET([3]characters!$A$1,0,0,COUNTA([3]characters!$A:$A),MATCH(AC$1,[3]characters!$1:$1,0)-MATCH("character_id",[3]characters!$1:$1,0)+1),MATCH(AC$1,[3]characters!$1:$1,0)-MATCH("character_id",[3]characters!$1:$1,0)+1,FALSE)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101" s="4">
        <f ca="1">VLOOKUP($AB101,OFFSET([3]characters!$A$1,0,0,COUNTA([3]characters!$A:$A),MATCH(AD$1,[3]characters!$1:$1,0)-MATCH("character_id",[3]characters!$1:$1,0)+1),MATCH(AD$1,[3]characters!$1:$1,0)-MATCH("character_id",[3]characters!$1:$1,0)+1,FALSE)</f>
        <v>2</v>
      </c>
      <c r="AE101" s="4" t="str">
        <f ca="1">VLOOKUP($AB101,OFFSET([3]characters!$A$1,0,0,COUNTA([3]characters!$A:$A),MATCH(AE$1,[3]characters!$1:$1,0)-MATCH("character_id",[3]characters!$1:$1,0)+1),MATCH(AE$1,[3]characters!$1:$1,0)-MATCH("character_id",[3]characters!$1:$1,0)+1,FALSE)</f>
        <v>Drop1N</v>
      </c>
      <c r="AF101" s="7">
        <v>7</v>
      </c>
      <c r="AG101" s="26">
        <f t="shared" ca="1" si="82"/>
        <v>2</v>
      </c>
      <c r="AH101" s="8">
        <v>20</v>
      </c>
      <c r="AI101" s="7">
        <v>0</v>
      </c>
      <c r="AJ101" s="7">
        <v>0</v>
      </c>
      <c r="AK101" s="7">
        <v>0</v>
      </c>
      <c r="AL101" s="7">
        <v>0</v>
      </c>
      <c r="AM101" s="7">
        <v>1</v>
      </c>
    </row>
    <row r="102" spans="1:39" ht="14" x14ac:dyDescent="0.15">
      <c r="A102" s="18" t="str">
        <f t="shared" ref="A102" ca="1" si="122">B102&amp;"_"&amp;C102&amp;"-"&amp;G102&amp;"/"&amp;L102&amp;"&lt;lv"&amp;R102&amp;"&gt;s"&amp;AA102</f>
        <v>22_4-2/364&lt;lv46&gt;s3</v>
      </c>
      <c r="B102" s="53">
        <v>22</v>
      </c>
      <c r="C102" s="51">
        <v>4</v>
      </c>
      <c r="D102" s="2" t="str">
        <f t="shared" ref="D102" si="123">B102&amp;"_"&amp;C102</f>
        <v>22_4</v>
      </c>
      <c r="E102" s="2" t="str">
        <f t="shared" ref="E102" si="124">C102&amp;"_"&amp;D102</f>
        <v>4_22_4</v>
      </c>
      <c r="F102" s="4" t="str">
        <f ca="1">VLOOKUP($D102,OFFSET([1]stages!$A$1,0,0,COUNTA([1]stages!$A:$A),MATCH(F$1,[1]stages!$2:$2,0)-MATCH($D$1,[1]stages!$2:$2,0)+1),MATCH(F$1,[1]stages!$2:$2,0)-MATCH($D$1,[1]stages!$2:$2,0)+1,FALSE)</f>
        <v>22-4．聖火の啼き声</v>
      </c>
      <c r="G102" s="57">
        <v>2</v>
      </c>
      <c r="H102" s="17" t="str">
        <f t="shared" ref="H102" si="125">B102&amp;"_"&amp;C102&amp;"-"&amp;G102</f>
        <v>22_4-2</v>
      </c>
      <c r="I102" s="17"/>
      <c r="J102" s="17"/>
      <c r="K102" s="65" t="s">
        <v>56</v>
      </c>
      <c r="L102" s="52">
        <v>364</v>
      </c>
      <c r="M102" s="21" t="str">
        <f ca="1">VLOOKUP($L102,OFFSET([2]enemies!$A$1,0,0,COUNTA([2]enemies!$A:$A),MATCH(M$1,[2]enemies!$1:$1,0)-MATCH($L$1,[2]enemies!$1:$1,0)+1),MATCH(M$1,[2]enemies!$1:$1,0)-MATCH($L$1,[2]enemies!$1:$1,0)+1,FALSE)</f>
        <v>ノエル</v>
      </c>
      <c r="N102" s="21" t="str">
        <f ca="1">VLOOKUP($L102,OFFSET([2]enemies!$A$1,0,0,COUNTA([2]enemies!$A:$A),MATCH(N$1,[2]enemies!$1:$1,0)-MATCH($L$1,[2]enemies!$1:$1,0)+1),MATCH(N$1,[2]enemies!$1:$1,0)-MATCH($L$1,[2]enemies!$1:$1,0)+1,FALSE)</f>
        <v>blue</v>
      </c>
      <c r="O102" s="21" t="str">
        <f ca="1">VLOOKUP($L102,OFFSET([3]characters!$A$1,0,0,COUNTA([3]characters!$A:$A),MATCH(O$1,[3]characters!$1:$1,0)-MATCH($L$1,[3]characters!$1:$1,0)+1),MATCH(O$1,[3]characters!$1:$1,0)-MATCH($L$1,[3]characters!$1:$1,0)+1,FALSE)</f>
        <v>Drop1S</v>
      </c>
      <c r="P102" s="21" t="str">
        <f ca="1">VLOOKUP($L102,OFFSET([2]enemies!$A$1,0,0,COUNTA([2]enemies!$A:$A),MATCH(P$1,[2]enemies!$1:$1,0)-MATCH($L$1,[2]enemies!$1:$1,0)+1),MATCH(P$1,[2]enemies!$1:$1,0)-MATCH($L$1,[2]enemies!$1:$1,0)+1,FALSE)</f>
        <v>animal</v>
      </c>
      <c r="Q102" s="21">
        <f ca="1">VLOOKUP($L102,OFFSET([2]enemies!$A$1,0,0,COUNTA([2]enemies!$A:$A),MATCH(Q$1,[2]enemies!$1:$1,0)-MATCH($L$1,[2]enemies!$1:$1,0)+1),MATCH(Q$1,[2]enemies!$1:$1,0)-MATCH($L$1,[2]enemies!$1:$1,0)+1,FALSE)</f>
        <v>15</v>
      </c>
      <c r="R102" s="53">
        <v>46</v>
      </c>
      <c r="S102" s="27">
        <v>1</v>
      </c>
      <c r="T102" s="27">
        <v>1</v>
      </c>
      <c r="U102" s="5">
        <v>0</v>
      </c>
      <c r="V102" s="4" t="str">
        <f ca="1">VLOOKUP($W102,OFFSET([4]enemy_skill_sets!$B$1,0,0,COUNTA([4]enemy_skill_sets!$B:$B),MATCH(M$1,[4]enemy_skill_sets!$1:$1,0)-MATCH($W$1,[4]enemy_skill_sets!$1:$1,0)+2),MATCH(M$1,[4]enemy_skill_sets!$1:$1,0)-MATCH($W$1,[4]enemy_skill_sets!$1:$1,0)+2,FALSE)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102" s="64">
        <v>364</v>
      </c>
      <c r="X102" s="6">
        <v>0</v>
      </c>
      <c r="Y102" s="6">
        <v>100</v>
      </c>
      <c r="Z102" s="6">
        <v>0</v>
      </c>
      <c r="AA102" s="4">
        <f ca="1">VLOOKUP($L102,OFFSET([2]enemies!$A$1,0,0,COUNTA([2]enemies!$A:$A),MATCH(AA$1,[2]enemies!$1:$1,0)-MATCH($L$1,[2]enemies!$1:$1,0)+1),MATCH(AA$1,[2]enemies!$1:$1,0)-MATCH($L$1,[2]enemies!$1:$1,0)+1,FALSE)</f>
        <v>3</v>
      </c>
      <c r="AB102" s="52">
        <v>364</v>
      </c>
      <c r="AC102" s="4" t="str">
        <f ca="1">VLOOKUP($AB102,OFFSET([3]characters!$A$1,0,0,COUNTA([3]characters!$A:$A),MATCH(AC$1,[3]characters!$1:$1,0)-MATCH("character_id",[3]characters!$1:$1,0)+1),MATCH(AC$1,[3]characters!$1:$1,0)-MATCH("character_id",[3]characters!$1:$1,0)+1,FALSE)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102" s="4">
        <f ca="1">VLOOKUP($AB102,OFFSET([3]characters!$A$1,0,0,COUNTA([3]characters!$A:$A),MATCH(AD$1,[3]characters!$1:$1,0)-MATCH("character_id",[3]characters!$1:$1,0)+1),MATCH(AD$1,[3]characters!$1:$1,0)-MATCH("character_id",[3]characters!$1:$1,0)+1,FALSE)</f>
        <v>2</v>
      </c>
      <c r="AE102" s="4" t="str">
        <f ca="1">VLOOKUP($AB102,OFFSET([3]characters!$A$1,0,0,COUNTA([3]characters!$A:$A),MATCH(AE$1,[3]characters!$1:$1,0)-MATCH("character_id",[3]characters!$1:$1,0)+1),MATCH(AE$1,[3]characters!$1:$1,0)-MATCH("character_id",[3]characters!$1:$1,0)+1,FALSE)</f>
        <v>Drop1S</v>
      </c>
      <c r="AF102" s="7">
        <v>7</v>
      </c>
      <c r="AG102" s="26">
        <f t="shared" ca="1" si="82"/>
        <v>2</v>
      </c>
      <c r="AH102" s="8">
        <v>20</v>
      </c>
      <c r="AI102" s="7">
        <v>0</v>
      </c>
      <c r="AJ102" s="7">
        <v>0</v>
      </c>
      <c r="AK102" s="7">
        <v>0</v>
      </c>
      <c r="AL102" s="7">
        <v>0</v>
      </c>
      <c r="AM102" s="7">
        <v>1</v>
      </c>
    </row>
    <row r="103" spans="1:39" ht="14" x14ac:dyDescent="0.15">
      <c r="A103" s="18" t="str">
        <f t="shared" ref="A103" ca="1" si="126">B103&amp;"_"&amp;C103&amp;"-"&amp;G103&amp;"/"&amp;L103&amp;"&lt;lv"&amp;R103&amp;"&gt;s"&amp;AA103</f>
        <v>22_4-2/348&lt;lv47&gt;s3</v>
      </c>
      <c r="B103" s="53">
        <v>22</v>
      </c>
      <c r="C103" s="51">
        <v>4</v>
      </c>
      <c r="D103" s="2" t="str">
        <f t="shared" ref="D103" si="127">B103&amp;"_"&amp;C103</f>
        <v>22_4</v>
      </c>
      <c r="E103" s="2" t="str">
        <f t="shared" ref="E103" si="128">C103&amp;"_"&amp;D103</f>
        <v>4_22_4</v>
      </c>
      <c r="F103" s="4" t="str">
        <f ca="1">VLOOKUP($D103,OFFSET([1]stages!$A$1,0,0,COUNTA([1]stages!$A:$A),MATCH(F$1,[1]stages!$2:$2,0)-MATCH($D$1,[1]stages!$2:$2,0)+1),MATCH(F$1,[1]stages!$2:$2,0)-MATCH($D$1,[1]stages!$2:$2,0)+1,FALSE)</f>
        <v>22-4．聖火の啼き声</v>
      </c>
      <c r="G103" s="57">
        <v>2</v>
      </c>
      <c r="H103" s="17" t="str">
        <f t="shared" ref="H103" si="129">B103&amp;"_"&amp;C103&amp;"-"&amp;G103</f>
        <v>22_4-2</v>
      </c>
      <c r="I103" s="17"/>
      <c r="J103" s="17"/>
      <c r="K103" s="65" t="s">
        <v>56</v>
      </c>
      <c r="L103" s="52">
        <v>348</v>
      </c>
      <c r="M103" s="21" t="str">
        <f ca="1">VLOOKUP($L103,OFFSET([2]enemies!$A$1,0,0,COUNTA([2]enemies!$A:$A),MATCH(M$1,[2]enemies!$1:$1,0)-MATCH($L$1,[2]enemies!$1:$1,0)+1),MATCH(M$1,[2]enemies!$1:$1,0)-MATCH($L$1,[2]enemies!$1:$1,0)+1,FALSE)</f>
        <v>炎のケロケロ</v>
      </c>
      <c r="N103" s="21" t="str">
        <f ca="1">VLOOKUP($L103,OFFSET([2]enemies!$A$1,0,0,COUNTA([2]enemies!$A:$A),MATCH(N$1,[2]enemies!$1:$1,0)-MATCH($L$1,[2]enemies!$1:$1,0)+1),MATCH(N$1,[2]enemies!$1:$1,0)-MATCH($L$1,[2]enemies!$1:$1,0)+1,FALSE)</f>
        <v>red</v>
      </c>
      <c r="O103" s="21" t="str">
        <f ca="1">VLOOKUP($L103,OFFSET([3]characters!$A$1,0,0,COUNTA([3]characters!$A:$A),MATCH(O$1,[3]characters!$1:$1,0)-MATCH($L$1,[3]characters!$1:$1,0)+1),MATCH(O$1,[3]characters!$1:$1,0)-MATCH($L$1,[3]characters!$1:$1,0)+1,FALSE)</f>
        <v>Material</v>
      </c>
      <c r="P103" s="21" t="str">
        <f ca="1">VLOOKUP($L103,OFFSET([2]enemies!$A$1,0,0,COUNTA([2]enemies!$A:$A),MATCH(P$1,[2]enemies!$1:$1,0)-MATCH($L$1,[2]enemies!$1:$1,0)+1),MATCH(P$1,[2]enemies!$1:$1,0)-MATCH($L$1,[2]enemies!$1:$1,0)+1,FALSE)</f>
        <v>unknown</v>
      </c>
      <c r="Q103" s="21">
        <f ca="1">VLOOKUP($L103,OFFSET([2]enemies!$A$1,0,0,COUNTA([2]enemies!$A:$A),MATCH(Q$1,[2]enemies!$1:$1,0)-MATCH($L$1,[2]enemies!$1:$1,0)+1),MATCH(Q$1,[2]enemies!$1:$1,0)-MATCH($L$1,[2]enemies!$1:$1,0)+1,FALSE)</f>
        <v>15</v>
      </c>
      <c r="R103" s="53">
        <v>47</v>
      </c>
      <c r="S103" s="27">
        <v>1</v>
      </c>
      <c r="T103" s="27">
        <v>1</v>
      </c>
      <c r="U103" s="5">
        <v>0</v>
      </c>
      <c r="V103" s="4" t="str">
        <f ca="1">VLOOKUP($W103,OFFSET([4]enemy_skill_sets!$B$1,0,0,COUNTA([4]enemy_skill_sets!$B:$B),MATCH(M$1,[4]enemy_skill_sets!$1:$1,0)-MATCH($W$1,[4]enemy_skill_sets!$1:$1,0)+2),MATCH(M$1,[4]enemy_skill_sets!$1:$1,0)-MATCH($W$1,[4]enemy_skill_sets!$1:$1,0)+2,FALSE)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103" s="64">
        <v>348</v>
      </c>
      <c r="X103" s="6">
        <v>1</v>
      </c>
      <c r="Y103" s="6">
        <v>100</v>
      </c>
      <c r="Z103" s="6">
        <v>0</v>
      </c>
      <c r="AA103" s="4">
        <f ca="1">VLOOKUP($L103,OFFSET([2]enemies!$A$1,0,0,COUNTA([2]enemies!$A:$A),MATCH(AA$1,[2]enemies!$1:$1,0)-MATCH($L$1,[2]enemies!$1:$1,0)+1),MATCH(AA$1,[2]enemies!$1:$1,0)-MATCH($L$1,[2]enemies!$1:$1,0)+1,FALSE)</f>
        <v>3</v>
      </c>
      <c r="AB103" s="52">
        <v>348</v>
      </c>
      <c r="AC103" s="4" t="str">
        <f ca="1">VLOOKUP($AB103,OFFSET([3]characters!$A$1,0,0,COUNTA([3]characters!$A:$A),MATCH(AC$1,[3]characters!$1:$1,0)-MATCH("character_id",[3]characters!$1:$1,0)+1),MATCH(AC$1,[3]characters!$1:$1,0)-MATCH("character_id",[3]characters!$1:$1,0)+1,FALSE)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103" s="4">
        <f ca="1">VLOOKUP($AB103,OFFSET([3]characters!$A$1,0,0,COUNTA([3]characters!$A:$A),MATCH(AD$1,[3]characters!$1:$1,0)-MATCH("character_id",[3]characters!$1:$1,0)+1),MATCH(AD$1,[3]characters!$1:$1,0)-MATCH("character_id",[3]characters!$1:$1,0)+1,FALSE)</f>
        <v>2</v>
      </c>
      <c r="AE103" s="4" t="str">
        <f ca="1">VLOOKUP($AB103,OFFSET([3]characters!$A$1,0,0,COUNTA([3]characters!$A:$A),MATCH(AE$1,[3]characters!$1:$1,0)-MATCH("character_id",[3]characters!$1:$1,0)+1),MATCH(AE$1,[3]characters!$1:$1,0)-MATCH("character_id",[3]characters!$1:$1,0)+1,FALSE)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03" s="7">
        <v>10</v>
      </c>
      <c r="AG103" s="26">
        <f t="shared" ca="1" si="82"/>
        <v>2</v>
      </c>
      <c r="AH103" s="8">
        <v>100</v>
      </c>
      <c r="AI103" s="7">
        <v>0</v>
      </c>
      <c r="AJ103" s="7">
        <v>0</v>
      </c>
      <c r="AK103" s="7">
        <v>0</v>
      </c>
      <c r="AL103" s="7">
        <v>0</v>
      </c>
      <c r="AM103" s="7">
        <v>1</v>
      </c>
    </row>
    <row r="104" spans="1:39" ht="14" x14ac:dyDescent="0.15">
      <c r="A104" s="18" t="str">
        <f t="shared" ca="1" si="111"/>
        <v>22_4-3/126&lt;lv48&gt;s1</v>
      </c>
      <c r="B104" s="50">
        <v>22</v>
      </c>
      <c r="C104" s="49">
        <v>4</v>
      </c>
      <c r="D104" s="2" t="str">
        <f t="shared" si="112"/>
        <v>22_4</v>
      </c>
      <c r="E104" s="2" t="str">
        <f t="shared" si="112"/>
        <v>4_22_4</v>
      </c>
      <c r="F104" s="4" t="str">
        <f ca="1">VLOOKUP($D104,OFFSET([1]stages!$A$1,0,0,COUNTA([1]stages!$A:$A),MATCH(F$1,[1]stages!$2:$2,0)-MATCH($D$1,[1]stages!$2:$2,0)+1),MATCH(F$1,[1]stages!$2:$2,0)-MATCH($D$1,[1]stages!$2:$2,0)+1,FALSE)</f>
        <v>22-4．聖火の啼き声</v>
      </c>
      <c r="G104" s="54">
        <v>3</v>
      </c>
      <c r="H104" s="17" t="str">
        <f t="shared" si="113"/>
        <v>22_4-3</v>
      </c>
      <c r="I104" s="17"/>
      <c r="J104" s="17"/>
      <c r="K104" s="65" t="s">
        <v>56</v>
      </c>
      <c r="L104" s="52">
        <v>126</v>
      </c>
      <c r="M104" s="21" t="str">
        <f ca="1">VLOOKUP($L104,OFFSET([2]enemies!$A$1,0,0,COUNTA([2]enemies!$A:$A),MATCH(M$1,[2]enemies!$1:$1,0)-MATCH($L$1,[2]enemies!$1:$1,0)+1),MATCH(M$1,[2]enemies!$1:$1,0)-MATCH($L$1,[2]enemies!$1:$1,0)+1,FALSE)</f>
        <v>骨器使い ユノ</v>
      </c>
      <c r="N104" s="21" t="str">
        <f ca="1">VLOOKUP($L104,OFFSET([2]enemies!$A$1,0,0,COUNTA([2]enemies!$A:$A),MATCH(N$1,[2]enemies!$1:$1,0)-MATCH($L$1,[2]enemies!$1:$1,0)+1),MATCH(N$1,[2]enemies!$1:$1,0)-MATCH($L$1,[2]enemies!$1:$1,0)+1,FALSE)</f>
        <v>red</v>
      </c>
      <c r="O104" s="21" t="str">
        <f ca="1">VLOOKUP($L104,OFFSET([3]characters!$A$1,0,0,COUNTA([3]characters!$A:$A),MATCH(O$1,[3]characters!$1:$1,0)-MATCH($L$1,[3]characters!$1:$1,0)+1),MATCH(O$1,[3]characters!$1:$1,0)-MATCH($L$1,[3]characters!$1:$1,0)+1,FALSE)</f>
        <v>PremiumW</v>
      </c>
      <c r="P104" s="21" t="str">
        <f ca="1">VLOOKUP($L104,OFFSET([2]enemies!$A$1,0,0,COUNTA([2]enemies!$A:$A),MATCH(P$1,[2]enemies!$1:$1,0)-MATCH($L$1,[2]enemies!$1:$1,0)+1),MATCH(P$1,[2]enemies!$1:$1,0)-MATCH($L$1,[2]enemies!$1:$1,0)+1,FALSE)</f>
        <v>human</v>
      </c>
      <c r="Q104" s="21">
        <f ca="1">VLOOKUP($L104,OFFSET([2]enemies!$A$1,0,0,COUNTA([2]enemies!$A:$A),MATCH(Q$1,[2]enemies!$1:$1,0)-MATCH($L$1,[2]enemies!$1:$1,0)+1),MATCH(Q$1,[2]enemies!$1:$1,0)-MATCH($L$1,[2]enemies!$1:$1,0)+1,FALSE)</f>
        <v>20</v>
      </c>
      <c r="R104" s="53">
        <v>48</v>
      </c>
      <c r="S104" s="27">
        <v>1</v>
      </c>
      <c r="T104" s="27">
        <v>1.3</v>
      </c>
      <c r="U104" s="5">
        <v>0</v>
      </c>
      <c r="V104" s="4" t="str">
        <f ca="1">VLOOKUP($W104,OFFSET([4]enemy_skill_sets!$B$1,0,0,COUNTA([4]enemy_skill_sets!$B:$B),MATCH(M$1,[4]enemy_skill_sets!$1:$1,0)-MATCH($W$1,[4]enemy_skill_sets!$1:$1,0)+2),MATCH(M$1,[4]enemy_skill_sets!$1:$1,0)-MATCH($W$1,[4]enemy_skill_sets!$1:$1,0)+2,FALSE)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104" s="4">
        <f ca="1">VLOOKUP($L104,OFFSET([2]enemies!$A$1,0,0,COUNTA([2]enemies!$A:$A),MATCH(W$1,[2]enemies!$1:$1,0)-MATCH($L$1,[2]enemies!$1:$1,0)+1),MATCH(W$1,[2]enemies!$1:$1,0)-MATCH($L$1,[2]enemies!$1:$1,0)+1,FALSE)</f>
        <v>126</v>
      </c>
      <c r="X104" s="6">
        <v>1</v>
      </c>
      <c r="Y104" s="6">
        <v>100</v>
      </c>
      <c r="Z104" s="6">
        <v>1</v>
      </c>
      <c r="AA104" s="4">
        <f ca="1">VLOOKUP($L104,OFFSET([2]enemies!$A$1,0,0,COUNTA([2]enemies!$A:$A),MATCH(AA$1,[2]enemies!$1:$1,0)-MATCH($L$1,[2]enemies!$1:$1,0)+1),MATCH(AA$1,[2]enemies!$1:$1,0)-MATCH($L$1,[2]enemies!$1:$1,0)+1,FALSE)</f>
        <v>1</v>
      </c>
      <c r="AB104" s="52">
        <v>126</v>
      </c>
      <c r="AC104" s="4" t="str">
        <f ca="1">VLOOKUP($AB104,OFFSET([3]characters!$A$1,0,0,COUNTA([3]characters!$A:$A),MATCH(AC$1,[3]characters!$1:$1,0)-MATCH("character_id",[3]characters!$1:$1,0)+1),MATCH(AC$1,[3]characters!$1:$1,0)-MATCH("character_id",[3]characters!$1:$1,0)+1,FALSE)</f>
        <v>骨器使い ユノ</v>
      </c>
      <c r="AD104" s="4">
        <f ca="1">VLOOKUP($AB104,OFFSET([3]characters!$A$1,0,0,COUNTA([3]characters!$A:$A),MATCH(AD$1,[3]characters!$1:$1,0)-MATCH("character_id",[3]characters!$1:$1,0)+1),MATCH(AD$1,[3]characters!$1:$1,0)-MATCH("character_id",[3]characters!$1:$1,0)+1,FALSE)</f>
        <v>3</v>
      </c>
      <c r="AE104" s="4" t="str">
        <f ca="1">VLOOKUP($AB104,OFFSET([3]characters!$A$1,0,0,COUNTA([3]characters!$A:$A),MATCH(AE$1,[3]characters!$1:$1,0)-MATCH("character_id",[3]characters!$1:$1,0)+1),MATCH(AE$1,[3]characters!$1:$1,0)-MATCH("character_id",[3]characters!$1:$1,0)+1,FALSE)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104" s="7">
        <v>1</v>
      </c>
      <c r="AG104" s="26">
        <f t="shared" ca="1" si="82"/>
        <v>3</v>
      </c>
      <c r="AH104" s="8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1</v>
      </c>
    </row>
    <row r="105" spans="1:39" ht="21" customHeight="1" x14ac:dyDescent="0.15">
      <c r="A105" s="18" t="str">
        <f t="shared" ref="A105" ca="1" si="130">B105&amp;"_"&amp;C105&amp;"-"&amp;G105&amp;"/"&amp;L105&amp;"&lt;lv"&amp;R105&amp;"&gt;s"&amp;AA105</f>
        <v>22_4-3/33&lt;lv48&gt;s2</v>
      </c>
      <c r="B105" s="53">
        <v>22</v>
      </c>
      <c r="C105" s="51">
        <v>4</v>
      </c>
      <c r="D105" s="2" t="str">
        <f t="shared" ref="D105" si="131">B105&amp;"_"&amp;C105</f>
        <v>22_4</v>
      </c>
      <c r="E105" s="2" t="str">
        <f t="shared" ref="E105" si="132">C105&amp;"_"&amp;D105</f>
        <v>4_22_4</v>
      </c>
      <c r="F105" s="4" t="str">
        <f ca="1">VLOOKUP($D105,OFFSET([1]stages!$A$1,0,0,COUNTA([1]stages!$A:$A),MATCH(F$1,[1]stages!$2:$2,0)-MATCH($D$1,[1]stages!$2:$2,0)+1),MATCH(F$1,[1]stages!$2:$2,0)-MATCH($D$1,[1]stages!$2:$2,0)+1,FALSE)</f>
        <v>22-4．聖火の啼き声</v>
      </c>
      <c r="G105" s="54">
        <v>3</v>
      </c>
      <c r="H105" s="17" t="str">
        <f t="shared" ref="H105" si="133">B105&amp;"_"&amp;C105&amp;"-"&amp;G105</f>
        <v>22_4-3</v>
      </c>
      <c r="I105" s="17"/>
      <c r="J105" s="17"/>
      <c r="K105" s="65" t="s">
        <v>56</v>
      </c>
      <c r="L105" s="52">
        <v>33</v>
      </c>
      <c r="M105" s="21" t="str">
        <f ca="1">VLOOKUP($L105,OFFSET([2]enemies!$A$1,0,0,COUNTA([2]enemies!$A:$A),MATCH(M$1,[2]enemies!$1:$1,0)-MATCH($L$1,[2]enemies!$1:$1,0)+1),MATCH(M$1,[2]enemies!$1:$1,0)-MATCH($L$1,[2]enemies!$1:$1,0)+1,FALSE)</f>
        <v>ゴクウ</v>
      </c>
      <c r="N105" s="21" t="str">
        <f ca="1">VLOOKUP($L105,OFFSET([2]enemies!$A$1,0,0,COUNTA([2]enemies!$A:$A),MATCH(N$1,[2]enemies!$1:$1,0)-MATCH($L$1,[2]enemies!$1:$1,0)+1),MATCH(N$1,[2]enemies!$1:$1,0)-MATCH($L$1,[2]enemies!$1:$1,0)+1,FALSE)</f>
        <v>red</v>
      </c>
      <c r="O105" s="21" t="str">
        <f ca="1">VLOOKUP($L105,OFFSET([3]characters!$A$1,0,0,COUNTA([3]characters!$A:$A),MATCH(O$1,[3]characters!$1:$1,0)-MATCH($L$1,[3]characters!$1:$1,0)+1),MATCH(O$1,[3]characters!$1:$1,0)-MATCH($L$1,[3]characters!$1:$1,0)+1,FALSE)</f>
        <v>Drop1S</v>
      </c>
      <c r="P105" s="21" t="str">
        <f ca="1">VLOOKUP($L105,OFFSET([2]enemies!$A$1,0,0,COUNTA([2]enemies!$A:$A),MATCH(P$1,[2]enemies!$1:$1,0)-MATCH($L$1,[2]enemies!$1:$1,0)+1),MATCH(P$1,[2]enemies!$1:$1,0)-MATCH($L$1,[2]enemies!$1:$1,0)+1,FALSE)</f>
        <v>animal</v>
      </c>
      <c r="Q105" s="21">
        <f ca="1">VLOOKUP($L105,OFFSET([2]enemies!$A$1,0,0,COUNTA([2]enemies!$A:$A),MATCH(Q$1,[2]enemies!$1:$1,0)-MATCH($L$1,[2]enemies!$1:$1,0)+1),MATCH(Q$1,[2]enemies!$1:$1,0)-MATCH($L$1,[2]enemies!$1:$1,0)+1,FALSE)</f>
        <v>15</v>
      </c>
      <c r="R105" s="53">
        <v>48</v>
      </c>
      <c r="S105" s="27">
        <v>1</v>
      </c>
      <c r="T105" s="27">
        <v>1</v>
      </c>
      <c r="U105" s="5">
        <v>0</v>
      </c>
      <c r="V105" s="4" t="str">
        <f ca="1">VLOOKUP($W105,OFFSET([4]enemy_skill_sets!$B$1,0,0,COUNTA([4]enemy_skill_sets!$B:$B),MATCH(M$1,[4]enemy_skill_sets!$1:$1,0)-MATCH($W$1,[4]enemy_skill_sets!$1:$1,0)+2),MATCH(M$1,[4]enemy_skill_sets!$1:$1,0)-MATCH($W$1,[4]enemy_skill_sets!$1:$1,0)+2,FALSE)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05" s="4">
        <f ca="1">VLOOKUP($L105,OFFSET([2]enemies!$A$1,0,0,COUNTA([2]enemies!$A:$A),MATCH(W$1,[2]enemies!$1:$1,0)-MATCH($L$1,[2]enemies!$1:$1,0)+1),MATCH(W$1,[2]enemies!$1:$1,0)-MATCH($L$1,[2]enemies!$1:$1,0)+1,FALSE)</f>
        <v>33</v>
      </c>
      <c r="X105" s="6">
        <v>2</v>
      </c>
      <c r="Y105" s="6">
        <v>100</v>
      </c>
      <c r="Z105" s="6">
        <v>0</v>
      </c>
      <c r="AA105" s="4">
        <f ca="1">VLOOKUP($L105,OFFSET([2]enemies!$A$1,0,0,COUNTA([2]enemies!$A:$A),MATCH(AA$1,[2]enemies!$1:$1,0)-MATCH($L$1,[2]enemies!$1:$1,0)+1),MATCH(AA$1,[2]enemies!$1:$1,0)-MATCH($L$1,[2]enemies!$1:$1,0)+1,FALSE)</f>
        <v>2</v>
      </c>
      <c r="AB105" s="52">
        <v>33</v>
      </c>
      <c r="AC105" s="4" t="str">
        <f ca="1">VLOOKUP($AB105,OFFSET([3]characters!$A$1,0,0,COUNTA([3]characters!$A:$A),MATCH(AC$1,[3]characters!$1:$1,0)-MATCH("character_id",[3]characters!$1:$1,0)+1),MATCH(AC$1,[3]characters!$1:$1,0)-MATCH("character_id",[3]characters!$1:$1,0)+1,FALSE)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05" s="4">
        <f ca="1">VLOOKUP($AB105,OFFSET([3]characters!$A$1,0,0,COUNTA([3]characters!$A:$A),MATCH(AD$1,[3]characters!$1:$1,0)-MATCH("character_id",[3]characters!$1:$1,0)+1),MATCH(AD$1,[3]characters!$1:$1,0)-MATCH("character_id",[3]characters!$1:$1,0)+1,FALSE)</f>
        <v>2</v>
      </c>
      <c r="AE105" s="4" t="str">
        <f ca="1">VLOOKUP($AB105,OFFSET([3]characters!$A$1,0,0,COUNTA([3]characters!$A:$A),MATCH(AE$1,[3]characters!$1:$1,0)-MATCH("character_id",[3]characters!$1:$1,0)+1),MATCH(AE$1,[3]characters!$1:$1,0)-MATCH("character_id",[3]characters!$1:$1,0)+1,FALSE)</f>
        <v>Drop1S</v>
      </c>
      <c r="AF105" s="7">
        <v>5</v>
      </c>
      <c r="AG105" s="26">
        <f t="shared" ca="1" si="82"/>
        <v>2</v>
      </c>
      <c r="AH105" s="8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1</v>
      </c>
    </row>
    <row r="106" spans="1:39" ht="21" customHeight="1" x14ac:dyDescent="0.15">
      <c r="A106" s="18" t="str">
        <f t="shared" ca="1" si="111"/>
        <v>22_4-4/33&lt;lv46&gt;s2</v>
      </c>
      <c r="B106" s="50">
        <v>22</v>
      </c>
      <c r="C106" s="49">
        <v>4</v>
      </c>
      <c r="D106" s="2" t="str">
        <f t="shared" si="112"/>
        <v>22_4</v>
      </c>
      <c r="E106" s="2" t="str">
        <f t="shared" si="112"/>
        <v>4_22_4</v>
      </c>
      <c r="F106" s="4" t="str">
        <f ca="1">VLOOKUP($D106,OFFSET([1]stages!$A$1,0,0,COUNTA([1]stages!$A:$A),MATCH(F$1,[1]stages!$2:$2,0)-MATCH($D$1,[1]stages!$2:$2,0)+1),MATCH(F$1,[1]stages!$2:$2,0)-MATCH($D$1,[1]stages!$2:$2,0)+1,FALSE)</f>
        <v>22-4．聖火の啼き声</v>
      </c>
      <c r="G106" s="55">
        <v>4</v>
      </c>
      <c r="H106" s="17" t="str">
        <f t="shared" si="113"/>
        <v>22_4-4</v>
      </c>
      <c r="I106" s="17"/>
      <c r="J106" s="17"/>
      <c r="K106" s="65" t="s">
        <v>56</v>
      </c>
      <c r="L106" s="52">
        <v>33</v>
      </c>
      <c r="M106" s="21" t="str">
        <f ca="1">VLOOKUP($L106,OFFSET([2]enemies!$A$1,0,0,COUNTA([2]enemies!$A:$A),MATCH(M$1,[2]enemies!$1:$1,0)-MATCH($L$1,[2]enemies!$1:$1,0)+1),MATCH(M$1,[2]enemies!$1:$1,0)-MATCH($L$1,[2]enemies!$1:$1,0)+1,FALSE)</f>
        <v>ゴクウ</v>
      </c>
      <c r="N106" s="21" t="str">
        <f ca="1">VLOOKUP($L106,OFFSET([2]enemies!$A$1,0,0,COUNTA([2]enemies!$A:$A),MATCH(N$1,[2]enemies!$1:$1,0)-MATCH($L$1,[2]enemies!$1:$1,0)+1),MATCH(N$1,[2]enemies!$1:$1,0)-MATCH($L$1,[2]enemies!$1:$1,0)+1,FALSE)</f>
        <v>red</v>
      </c>
      <c r="O106" s="21" t="str">
        <f ca="1">VLOOKUP($L106,OFFSET([3]characters!$A$1,0,0,COUNTA([3]characters!$A:$A),MATCH(O$1,[3]characters!$1:$1,0)-MATCH($L$1,[3]characters!$1:$1,0)+1),MATCH(O$1,[3]characters!$1:$1,0)-MATCH($L$1,[3]characters!$1:$1,0)+1,FALSE)</f>
        <v>Drop1S</v>
      </c>
      <c r="P106" s="21" t="str">
        <f ca="1">VLOOKUP($L106,OFFSET([2]enemies!$A$1,0,0,COUNTA([2]enemies!$A:$A),MATCH(P$1,[2]enemies!$1:$1,0)-MATCH($L$1,[2]enemies!$1:$1,0)+1),MATCH(P$1,[2]enemies!$1:$1,0)-MATCH($L$1,[2]enemies!$1:$1,0)+1,FALSE)</f>
        <v>animal</v>
      </c>
      <c r="Q106" s="21">
        <f ca="1">VLOOKUP($L106,OFFSET([2]enemies!$A$1,0,0,COUNTA([2]enemies!$A:$A),MATCH(Q$1,[2]enemies!$1:$1,0)-MATCH($L$1,[2]enemies!$1:$1,0)+1),MATCH(Q$1,[2]enemies!$1:$1,0)-MATCH($L$1,[2]enemies!$1:$1,0)+1,FALSE)</f>
        <v>15</v>
      </c>
      <c r="R106" s="53">
        <v>46</v>
      </c>
      <c r="S106" s="27">
        <v>1</v>
      </c>
      <c r="T106" s="27">
        <v>1</v>
      </c>
      <c r="U106" s="5">
        <v>0</v>
      </c>
      <c r="V106" s="4" t="str">
        <f ca="1">VLOOKUP($W106,OFFSET([4]enemy_skill_sets!$B$1,0,0,COUNTA([4]enemy_skill_sets!$B:$B),MATCH(M$1,[4]enemy_skill_sets!$1:$1,0)-MATCH($W$1,[4]enemy_skill_sets!$1:$1,0)+2),MATCH(M$1,[4]enemy_skill_sets!$1:$1,0)-MATCH($W$1,[4]enemy_skill_sets!$1:$1,0)+2,FALSE)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06" s="4">
        <f ca="1">VLOOKUP($L106,OFFSET([2]enemies!$A$1,0,0,COUNTA([2]enemies!$A:$A),MATCH(W$1,[2]enemies!$1:$1,0)-MATCH($L$1,[2]enemies!$1:$1,0)+1),MATCH(W$1,[2]enemies!$1:$1,0)-MATCH($L$1,[2]enemies!$1:$1,0)+1,FALSE)</f>
        <v>33</v>
      </c>
      <c r="X106" s="6">
        <v>0</v>
      </c>
      <c r="Y106" s="6">
        <v>100</v>
      </c>
      <c r="Z106" s="6">
        <v>0</v>
      </c>
      <c r="AA106" s="4">
        <f ca="1">VLOOKUP($L106,OFFSET([2]enemies!$A$1,0,0,COUNTA([2]enemies!$A:$A),MATCH(AA$1,[2]enemies!$1:$1,0)-MATCH($L$1,[2]enemies!$1:$1,0)+1),MATCH(AA$1,[2]enemies!$1:$1,0)-MATCH($L$1,[2]enemies!$1:$1,0)+1,FALSE)</f>
        <v>2</v>
      </c>
      <c r="AB106" s="52">
        <v>33</v>
      </c>
      <c r="AC106" s="4" t="str">
        <f ca="1">VLOOKUP($AB106,OFFSET([3]characters!$A$1,0,0,COUNTA([3]characters!$A:$A),MATCH(AC$1,[3]characters!$1:$1,0)-MATCH("character_id",[3]characters!$1:$1,0)+1),MATCH(AC$1,[3]characters!$1:$1,0)-MATCH("character_id",[3]characters!$1:$1,0)+1,FALSE)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06" s="4">
        <f ca="1">VLOOKUP($AB106,OFFSET([3]characters!$A$1,0,0,COUNTA([3]characters!$A:$A),MATCH(AD$1,[3]characters!$1:$1,0)-MATCH("character_id",[3]characters!$1:$1,0)+1),MATCH(AD$1,[3]characters!$1:$1,0)-MATCH("character_id",[3]characters!$1:$1,0)+1,FALSE)</f>
        <v>2</v>
      </c>
      <c r="AE106" s="4" t="str">
        <f ca="1">VLOOKUP($AB106,OFFSET([3]characters!$A$1,0,0,COUNTA([3]characters!$A:$A),MATCH(AE$1,[3]characters!$1:$1,0)-MATCH("character_id",[3]characters!$1:$1,0)+1),MATCH(AE$1,[3]characters!$1:$1,0)-MATCH("character_id",[3]characters!$1:$1,0)+1,FALSE)</f>
        <v>Drop1S</v>
      </c>
      <c r="AF106" s="7">
        <v>5</v>
      </c>
      <c r="AG106" s="26">
        <f t="shared" ca="1" si="82"/>
        <v>2</v>
      </c>
      <c r="AH106" s="8">
        <v>20</v>
      </c>
      <c r="AI106" s="7">
        <v>0</v>
      </c>
      <c r="AJ106" s="7">
        <v>0</v>
      </c>
      <c r="AK106" s="7">
        <v>0</v>
      </c>
      <c r="AL106" s="7">
        <v>0</v>
      </c>
      <c r="AM106" s="7">
        <v>1</v>
      </c>
    </row>
    <row r="107" spans="1:39" ht="21" customHeight="1" x14ac:dyDescent="0.15">
      <c r="A107" s="18" t="str">
        <f t="shared" ca="1" si="111"/>
        <v>22_4-4/37&lt;lv46&gt;s3</v>
      </c>
      <c r="B107" s="50">
        <v>22</v>
      </c>
      <c r="C107" s="49">
        <v>4</v>
      </c>
      <c r="D107" s="2" t="str">
        <f t="shared" si="112"/>
        <v>22_4</v>
      </c>
      <c r="E107" s="2" t="str">
        <f t="shared" si="112"/>
        <v>4_22_4</v>
      </c>
      <c r="F107" s="4" t="str">
        <f ca="1">VLOOKUP($D107,OFFSET([1]stages!$A$1,0,0,COUNTA([1]stages!$A:$A),MATCH(F$1,[1]stages!$2:$2,0)-MATCH($D$1,[1]stages!$2:$2,0)+1),MATCH(F$1,[1]stages!$2:$2,0)-MATCH($D$1,[1]stages!$2:$2,0)+1,FALSE)</f>
        <v>22-4．聖火の啼き声</v>
      </c>
      <c r="G107" s="55">
        <v>4</v>
      </c>
      <c r="H107" s="17" t="str">
        <f t="shared" si="113"/>
        <v>22_4-4</v>
      </c>
      <c r="I107" s="17"/>
      <c r="J107" s="17"/>
      <c r="K107" s="65" t="s">
        <v>56</v>
      </c>
      <c r="L107" s="52">
        <v>37</v>
      </c>
      <c r="M107" s="21" t="str">
        <f ca="1">VLOOKUP($L107,OFFSET([2]enemies!$A$1,0,0,COUNTA([2]enemies!$A:$A),MATCH(M$1,[2]enemies!$1:$1,0)-MATCH($L$1,[2]enemies!$1:$1,0)+1),MATCH(M$1,[2]enemies!$1:$1,0)-MATCH($L$1,[2]enemies!$1:$1,0)+1,FALSE)</f>
        <v>ガイル</v>
      </c>
      <c r="N107" s="21" t="str">
        <f ca="1">VLOOKUP($L107,OFFSET([2]enemies!$A$1,0,0,COUNTA([2]enemies!$A:$A),MATCH(N$1,[2]enemies!$1:$1,0)-MATCH($L$1,[2]enemies!$1:$1,0)+1),MATCH(N$1,[2]enemies!$1:$1,0)-MATCH($L$1,[2]enemies!$1:$1,0)+1,FALSE)</f>
        <v>blue</v>
      </c>
      <c r="O107" s="21" t="str">
        <f ca="1">VLOOKUP($L107,OFFSET([3]characters!$A$1,0,0,COUNTA([3]characters!$A:$A),MATCH(O$1,[3]characters!$1:$1,0)-MATCH($L$1,[3]characters!$1:$1,0)+1),MATCH(O$1,[3]characters!$1:$1,0)-MATCH($L$1,[3]characters!$1:$1,0)+1,FALSE)</f>
        <v>Drop1S</v>
      </c>
      <c r="P107" s="21" t="str">
        <f ca="1">VLOOKUP($L107,OFFSET([2]enemies!$A$1,0,0,COUNTA([2]enemies!$A:$A),MATCH(P$1,[2]enemies!$1:$1,0)-MATCH($L$1,[2]enemies!$1:$1,0)+1),MATCH(P$1,[2]enemies!$1:$1,0)-MATCH($L$1,[2]enemies!$1:$1,0)+1,FALSE)</f>
        <v>animal</v>
      </c>
      <c r="Q107" s="21">
        <f ca="1">VLOOKUP($L107,OFFSET([2]enemies!$A$1,0,0,COUNTA([2]enemies!$A:$A),MATCH(Q$1,[2]enemies!$1:$1,0)-MATCH($L$1,[2]enemies!$1:$1,0)+1),MATCH(Q$1,[2]enemies!$1:$1,0)-MATCH($L$1,[2]enemies!$1:$1,0)+1,FALSE)</f>
        <v>15</v>
      </c>
      <c r="R107" s="53">
        <v>46</v>
      </c>
      <c r="S107" s="27">
        <v>1</v>
      </c>
      <c r="T107" s="27">
        <v>1</v>
      </c>
      <c r="U107" s="5">
        <v>0</v>
      </c>
      <c r="V107" s="4" t="str">
        <f ca="1">VLOOKUP($W107,OFFSET([4]enemy_skill_sets!$B$1,0,0,COUNTA([4]enemy_skill_sets!$B:$B),MATCH(M$1,[4]enemy_skill_sets!$1:$1,0)-MATCH($W$1,[4]enemy_skill_sets!$1:$1,0)+2),MATCH(M$1,[4]enemy_skill_sets!$1:$1,0)-MATCH($W$1,[4]enemy_skill_sets!$1:$1,0)+2,FALSE)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107" s="4">
        <f ca="1">VLOOKUP($L107,OFFSET([2]enemies!$A$1,0,0,COUNTA([2]enemies!$A:$A),MATCH(W$1,[2]enemies!$1:$1,0)-MATCH($L$1,[2]enemies!$1:$1,0)+1),MATCH(W$1,[2]enemies!$1:$1,0)-MATCH($L$1,[2]enemies!$1:$1,0)+1,FALSE)</f>
        <v>37</v>
      </c>
      <c r="X107" s="6">
        <v>0</v>
      </c>
      <c r="Y107" s="6">
        <v>100</v>
      </c>
      <c r="Z107" s="6">
        <v>0</v>
      </c>
      <c r="AA107" s="4">
        <f ca="1">VLOOKUP($L107,OFFSET([2]enemies!$A$1,0,0,COUNTA([2]enemies!$A:$A),MATCH(AA$1,[2]enemies!$1:$1,0)-MATCH($L$1,[2]enemies!$1:$1,0)+1),MATCH(AA$1,[2]enemies!$1:$1,0)-MATCH($L$1,[2]enemies!$1:$1,0)+1,FALSE)</f>
        <v>3</v>
      </c>
      <c r="AB107" s="52">
        <v>37</v>
      </c>
      <c r="AC107" s="4" t="str">
        <f ca="1">VLOOKUP($AB107,OFFSET([3]characters!$A$1,0,0,COUNTA([3]characters!$A:$A),MATCH(AC$1,[3]characters!$1:$1,0)-MATCH("character_id",[3]characters!$1:$1,0)+1),MATCH(AC$1,[3]characters!$1:$1,0)-MATCH("character_id",[3]characters!$1:$1,0)+1,FALSE)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107" s="4">
        <f ca="1">VLOOKUP($AB107,OFFSET([3]characters!$A$1,0,0,COUNTA([3]characters!$A:$A),MATCH(AD$1,[3]characters!$1:$1,0)-MATCH("character_id",[3]characters!$1:$1,0)+1),MATCH(AD$1,[3]characters!$1:$1,0)-MATCH("character_id",[3]characters!$1:$1,0)+1,FALSE)</f>
        <v>2</v>
      </c>
      <c r="AE107" s="4" t="str">
        <f ca="1">VLOOKUP($AB107,OFFSET([3]characters!$A$1,0,0,COUNTA([3]characters!$A:$A),MATCH(AE$1,[3]characters!$1:$1,0)-MATCH("character_id",[3]characters!$1:$1,0)+1),MATCH(AE$1,[3]characters!$1:$1,0)-MATCH("character_id",[3]characters!$1:$1,0)+1,FALSE)</f>
        <v>Drop1S</v>
      </c>
      <c r="AF107" s="7">
        <v>5</v>
      </c>
      <c r="AG107" s="26">
        <f t="shared" ca="1" si="82"/>
        <v>2</v>
      </c>
      <c r="AH107" s="8">
        <v>20</v>
      </c>
      <c r="AI107" s="7">
        <v>0</v>
      </c>
      <c r="AJ107" s="7">
        <v>0</v>
      </c>
      <c r="AK107" s="7">
        <v>0</v>
      </c>
      <c r="AL107" s="7">
        <v>0</v>
      </c>
      <c r="AM107" s="7">
        <v>1</v>
      </c>
    </row>
    <row r="108" spans="1:39" ht="21" customHeight="1" x14ac:dyDescent="0.15">
      <c r="A108" s="18" t="str">
        <f t="shared" ca="1" si="111"/>
        <v>22_4-4/45&lt;lv46&gt;s3</v>
      </c>
      <c r="B108" s="50">
        <v>22</v>
      </c>
      <c r="C108" s="49">
        <v>4</v>
      </c>
      <c r="D108" s="2" t="str">
        <f t="shared" si="112"/>
        <v>22_4</v>
      </c>
      <c r="E108" s="2" t="str">
        <f t="shared" si="112"/>
        <v>4_22_4</v>
      </c>
      <c r="F108" s="4" t="str">
        <f ca="1">VLOOKUP($D108,OFFSET([1]stages!$A$1,0,0,COUNTA([1]stages!$A:$A),MATCH(F$1,[1]stages!$2:$2,0)-MATCH($D$1,[1]stages!$2:$2,0)+1),MATCH(F$1,[1]stages!$2:$2,0)-MATCH($D$1,[1]stages!$2:$2,0)+1,FALSE)</f>
        <v>22-4．聖火の啼き声</v>
      </c>
      <c r="G108" s="55">
        <v>4</v>
      </c>
      <c r="H108" s="17" t="str">
        <f t="shared" si="113"/>
        <v>22_4-4</v>
      </c>
      <c r="I108" s="17"/>
      <c r="J108" s="17"/>
      <c r="K108" s="65" t="s">
        <v>56</v>
      </c>
      <c r="L108" s="52">
        <v>45</v>
      </c>
      <c r="M108" s="21" t="str">
        <f ca="1">VLOOKUP($L108,OFFSET([2]enemies!$A$1,0,0,COUNTA([2]enemies!$A:$A),MATCH(M$1,[2]enemies!$1:$1,0)-MATCH($L$1,[2]enemies!$1:$1,0)+1),MATCH(M$1,[2]enemies!$1:$1,0)-MATCH($L$1,[2]enemies!$1:$1,0)+1,FALSE)</f>
        <v>ショウイン</v>
      </c>
      <c r="N108" s="21" t="str">
        <f ca="1">VLOOKUP($L108,OFFSET([2]enemies!$A$1,0,0,COUNTA([2]enemies!$A:$A),MATCH(N$1,[2]enemies!$1:$1,0)-MATCH($L$1,[2]enemies!$1:$1,0)+1),MATCH(N$1,[2]enemies!$1:$1,0)-MATCH($L$1,[2]enemies!$1:$1,0)+1,FALSE)</f>
        <v>blue</v>
      </c>
      <c r="O108" s="21" t="str">
        <f ca="1">VLOOKUP($L108,OFFSET([3]characters!$A$1,0,0,COUNTA([3]characters!$A:$A),MATCH(O$1,[3]characters!$1:$1,0)-MATCH($L$1,[3]characters!$1:$1,0)+1),MATCH(O$1,[3]characters!$1:$1,0)-MATCH($L$1,[3]characters!$1:$1,0)+1,FALSE)</f>
        <v>Drop1N</v>
      </c>
      <c r="P108" s="21" t="str">
        <f ca="1">VLOOKUP($L108,OFFSET([2]enemies!$A$1,0,0,COUNTA([2]enemies!$A:$A),MATCH(P$1,[2]enemies!$1:$1,0)-MATCH($L$1,[2]enemies!$1:$1,0)+1),MATCH(P$1,[2]enemies!$1:$1,0)-MATCH($L$1,[2]enemies!$1:$1,0)+1,FALSE)</f>
        <v>animal</v>
      </c>
      <c r="Q108" s="21">
        <f ca="1">VLOOKUP($L108,OFFSET([2]enemies!$A$1,0,0,COUNTA([2]enemies!$A:$A),MATCH(Q$1,[2]enemies!$1:$1,0)-MATCH($L$1,[2]enemies!$1:$1,0)+1),MATCH(Q$1,[2]enemies!$1:$1,0)-MATCH($L$1,[2]enemies!$1:$1,0)+1,FALSE)</f>
        <v>15</v>
      </c>
      <c r="R108" s="53">
        <v>46</v>
      </c>
      <c r="S108" s="27">
        <v>1</v>
      </c>
      <c r="T108" s="27">
        <v>1</v>
      </c>
      <c r="U108" s="5">
        <v>0</v>
      </c>
      <c r="V108" s="4" t="str">
        <f ca="1">VLOOKUP($W108,OFFSET([4]enemy_skill_sets!$B$1,0,0,COUNTA([4]enemy_skill_sets!$B:$B),MATCH(M$1,[4]enemy_skill_sets!$1:$1,0)-MATCH($W$1,[4]enemy_skill_sets!$1:$1,0)+2),MATCH(M$1,[4]enemy_skill_sets!$1:$1,0)-MATCH($W$1,[4]enemy_skill_sets!$1:$1,0)+2,FALSE)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08" s="4">
        <f ca="1">VLOOKUP($L108,OFFSET([2]enemies!$A$1,0,0,COUNTA([2]enemies!$A:$A),MATCH(W$1,[2]enemies!$1:$1,0)-MATCH($L$1,[2]enemies!$1:$1,0)+1),MATCH(W$1,[2]enemies!$1:$1,0)-MATCH($L$1,[2]enemies!$1:$1,0)+1,FALSE)</f>
        <v>0</v>
      </c>
      <c r="X108" s="6">
        <v>0</v>
      </c>
      <c r="Y108" s="6">
        <v>100</v>
      </c>
      <c r="Z108" s="6">
        <v>0</v>
      </c>
      <c r="AA108" s="4">
        <f ca="1">VLOOKUP($L108,OFFSET([2]enemies!$A$1,0,0,COUNTA([2]enemies!$A:$A),MATCH(AA$1,[2]enemies!$1:$1,0)-MATCH($L$1,[2]enemies!$1:$1,0)+1),MATCH(AA$1,[2]enemies!$1:$1,0)-MATCH($L$1,[2]enemies!$1:$1,0)+1,FALSE)</f>
        <v>3</v>
      </c>
      <c r="AB108" s="52">
        <v>45</v>
      </c>
      <c r="AC108" s="4" t="str">
        <f ca="1">VLOOKUP($AB108,OFFSET([3]characters!$A$1,0,0,COUNTA([3]characters!$A:$A),MATCH(AC$1,[3]characters!$1:$1,0)-MATCH("character_id",[3]characters!$1:$1,0)+1),MATCH(AC$1,[3]characters!$1:$1,0)-MATCH("character_id",[3]characters!$1:$1,0)+1,FALSE)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108" s="4">
        <f ca="1">VLOOKUP($AB108,OFFSET([3]characters!$A$1,0,0,COUNTA([3]characters!$A:$A),MATCH(AD$1,[3]characters!$1:$1,0)-MATCH("character_id",[3]characters!$1:$1,0)+1),MATCH(AD$1,[3]characters!$1:$1,0)-MATCH("character_id",[3]characters!$1:$1,0)+1,FALSE)</f>
        <v>2</v>
      </c>
      <c r="AE108" s="4" t="str">
        <f ca="1">VLOOKUP($AB108,OFFSET([3]characters!$A$1,0,0,COUNTA([3]characters!$A:$A),MATCH(AE$1,[3]characters!$1:$1,0)-MATCH("character_id",[3]characters!$1:$1,0)+1),MATCH(AE$1,[3]characters!$1:$1,0)-MATCH("character_id",[3]characters!$1:$1,0)+1,FALSE)</f>
        <v>Drop1N</v>
      </c>
      <c r="AF108" s="7">
        <v>7</v>
      </c>
      <c r="AG108" s="26">
        <f t="shared" ca="1" si="82"/>
        <v>2</v>
      </c>
      <c r="AH108" s="8">
        <v>20</v>
      </c>
      <c r="AI108" s="7">
        <v>0</v>
      </c>
      <c r="AJ108" s="7">
        <v>0</v>
      </c>
      <c r="AK108" s="7">
        <v>0</v>
      </c>
      <c r="AL108" s="7">
        <v>0</v>
      </c>
      <c r="AM108" s="7">
        <v>1</v>
      </c>
    </row>
    <row r="109" spans="1:39" ht="21" customHeight="1" x14ac:dyDescent="0.15">
      <c r="A109" s="18" t="str">
        <f t="shared" ca="1" si="111"/>
        <v>22_4-4/57&lt;lv46&gt;s2</v>
      </c>
      <c r="B109" s="50">
        <v>22</v>
      </c>
      <c r="C109" s="49">
        <v>4</v>
      </c>
      <c r="D109" s="2" t="str">
        <f t="shared" si="112"/>
        <v>22_4</v>
      </c>
      <c r="E109" s="2" t="str">
        <f t="shared" si="112"/>
        <v>4_22_4</v>
      </c>
      <c r="F109" s="4" t="str">
        <f ca="1">VLOOKUP($D109,OFFSET([1]stages!$A$1,0,0,COUNTA([1]stages!$A:$A),MATCH(F$1,[1]stages!$2:$2,0)-MATCH($D$1,[1]stages!$2:$2,0)+1),MATCH(F$1,[1]stages!$2:$2,0)-MATCH($D$1,[1]stages!$2:$2,0)+1,FALSE)</f>
        <v>22-4．聖火の啼き声</v>
      </c>
      <c r="G109" s="55">
        <v>4</v>
      </c>
      <c r="H109" s="17" t="str">
        <f t="shared" si="113"/>
        <v>22_4-4</v>
      </c>
      <c r="I109" s="17"/>
      <c r="J109" s="17"/>
      <c r="K109" s="65" t="s">
        <v>56</v>
      </c>
      <c r="L109" s="52">
        <v>57</v>
      </c>
      <c r="M109" s="21" t="str">
        <f ca="1">VLOOKUP($L109,OFFSET([2]enemies!$A$1,0,0,COUNTA([2]enemies!$A:$A),MATCH(M$1,[2]enemies!$1:$1,0)-MATCH($L$1,[2]enemies!$1:$1,0)+1),MATCH(M$1,[2]enemies!$1:$1,0)-MATCH($L$1,[2]enemies!$1:$1,0)+1,FALSE)</f>
        <v>チェン・リー</v>
      </c>
      <c r="N109" s="21" t="str">
        <f ca="1">VLOOKUP($L109,OFFSET([2]enemies!$A$1,0,0,COUNTA([2]enemies!$A:$A),MATCH(N$1,[2]enemies!$1:$1,0)-MATCH($L$1,[2]enemies!$1:$1,0)+1),MATCH(N$1,[2]enemies!$1:$1,0)-MATCH($L$1,[2]enemies!$1:$1,0)+1,FALSE)</f>
        <v>red</v>
      </c>
      <c r="O109" s="21" t="str">
        <f ca="1">VLOOKUP($L109,OFFSET([3]characters!$A$1,0,0,COUNTA([3]characters!$A:$A),MATCH(O$1,[3]characters!$1:$1,0)-MATCH($L$1,[3]characters!$1:$1,0)+1),MATCH(O$1,[3]characters!$1:$1,0)-MATCH($L$1,[3]characters!$1:$1,0)+1,FALSE)</f>
        <v>Drop1N</v>
      </c>
      <c r="P109" s="21" t="str">
        <f ca="1">VLOOKUP($L109,OFFSET([2]enemies!$A$1,0,0,COUNTA([2]enemies!$A:$A),MATCH(P$1,[2]enemies!$1:$1,0)-MATCH($L$1,[2]enemies!$1:$1,0)+1),MATCH(P$1,[2]enemies!$1:$1,0)-MATCH($L$1,[2]enemies!$1:$1,0)+1,FALSE)</f>
        <v>animal</v>
      </c>
      <c r="Q109" s="21">
        <f ca="1">VLOOKUP($L109,OFFSET([2]enemies!$A$1,0,0,COUNTA([2]enemies!$A:$A),MATCH(Q$1,[2]enemies!$1:$1,0)-MATCH($L$1,[2]enemies!$1:$1,0)+1),MATCH(Q$1,[2]enemies!$1:$1,0)-MATCH($L$1,[2]enemies!$1:$1,0)+1,FALSE)</f>
        <v>15</v>
      </c>
      <c r="R109" s="53">
        <v>46</v>
      </c>
      <c r="S109" s="27">
        <v>1</v>
      </c>
      <c r="T109" s="27">
        <v>1</v>
      </c>
      <c r="U109" s="5">
        <v>0</v>
      </c>
      <c r="V109" s="4" t="str">
        <f ca="1">VLOOKUP($W109,OFFSET([4]enemy_skill_sets!$B$1,0,0,COUNTA([4]enemy_skill_sets!$B:$B),MATCH(M$1,[4]enemy_skill_sets!$1:$1,0)-MATCH($W$1,[4]enemy_skill_sets!$1:$1,0)+2),MATCH(M$1,[4]enemy_skill_sets!$1:$1,0)-MATCH($W$1,[4]enemy_skill_sets!$1:$1,0)+2,FALSE)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09" s="4">
        <f ca="1">VLOOKUP($L109,OFFSET([2]enemies!$A$1,0,0,COUNTA([2]enemies!$A:$A),MATCH(W$1,[2]enemies!$1:$1,0)-MATCH($L$1,[2]enemies!$1:$1,0)+1),MATCH(W$1,[2]enemies!$1:$1,0)-MATCH($L$1,[2]enemies!$1:$1,0)+1,FALSE)</f>
        <v>57</v>
      </c>
      <c r="X109" s="6">
        <v>0</v>
      </c>
      <c r="Y109" s="6">
        <v>100</v>
      </c>
      <c r="Z109" s="6">
        <v>0</v>
      </c>
      <c r="AA109" s="4">
        <f ca="1">VLOOKUP($L109,OFFSET([2]enemies!$A$1,0,0,COUNTA([2]enemies!$A:$A),MATCH(AA$1,[2]enemies!$1:$1,0)-MATCH($L$1,[2]enemies!$1:$1,0)+1),MATCH(AA$1,[2]enemies!$1:$1,0)-MATCH($L$1,[2]enemies!$1:$1,0)+1,FALSE)</f>
        <v>2</v>
      </c>
      <c r="AB109" s="52">
        <v>57</v>
      </c>
      <c r="AC109" s="4" t="str">
        <f ca="1">VLOOKUP($AB109,OFFSET([3]characters!$A$1,0,0,COUNTA([3]characters!$A:$A),MATCH(AC$1,[3]characters!$1:$1,0)-MATCH("character_id",[3]characters!$1:$1,0)+1),MATCH(AC$1,[3]characters!$1:$1,0)-MATCH("character_id",[3]characters!$1:$1,0)+1,FALSE)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09" s="4">
        <f ca="1">VLOOKUP($AB109,OFFSET([3]characters!$A$1,0,0,COUNTA([3]characters!$A:$A),MATCH(AD$1,[3]characters!$1:$1,0)-MATCH("character_id",[3]characters!$1:$1,0)+1),MATCH(AD$1,[3]characters!$1:$1,0)-MATCH("character_id",[3]characters!$1:$1,0)+1,FALSE)</f>
        <v>2</v>
      </c>
      <c r="AE109" s="4" t="str">
        <f ca="1">VLOOKUP($AB109,OFFSET([3]characters!$A$1,0,0,COUNTA([3]characters!$A:$A),MATCH(AE$1,[3]characters!$1:$1,0)-MATCH("character_id",[3]characters!$1:$1,0)+1),MATCH(AE$1,[3]characters!$1:$1,0)-MATCH("character_id",[3]characters!$1:$1,0)+1,FALSE)</f>
        <v>Drop1N</v>
      </c>
      <c r="AF109" s="7">
        <v>7</v>
      </c>
      <c r="AG109" s="26">
        <f t="shared" ca="1" si="82"/>
        <v>2</v>
      </c>
      <c r="AH109" s="8">
        <v>20</v>
      </c>
      <c r="AI109" s="7">
        <v>0</v>
      </c>
      <c r="AJ109" s="7">
        <v>0</v>
      </c>
      <c r="AK109" s="7">
        <v>0</v>
      </c>
      <c r="AL109" s="7">
        <v>0</v>
      </c>
      <c r="AM109" s="7">
        <v>1</v>
      </c>
    </row>
    <row r="110" spans="1:39" ht="21" customHeight="1" x14ac:dyDescent="0.15">
      <c r="A110" s="18" t="str">
        <f t="shared" ca="1" si="111"/>
        <v>22_4-4/61&lt;lv46&gt;s2</v>
      </c>
      <c r="B110" s="50">
        <v>22</v>
      </c>
      <c r="C110" s="49">
        <v>4</v>
      </c>
      <c r="D110" s="2" t="str">
        <f t="shared" si="112"/>
        <v>22_4</v>
      </c>
      <c r="E110" s="2" t="str">
        <f t="shared" si="112"/>
        <v>4_22_4</v>
      </c>
      <c r="F110" s="4" t="str">
        <f ca="1">VLOOKUP($D110,OFFSET([1]stages!$A$1,0,0,COUNTA([1]stages!$A:$A),MATCH(F$1,[1]stages!$2:$2,0)-MATCH($D$1,[1]stages!$2:$2,0)+1),MATCH(F$1,[1]stages!$2:$2,0)-MATCH($D$1,[1]stages!$2:$2,0)+1,FALSE)</f>
        <v>22-4．聖火の啼き声</v>
      </c>
      <c r="G110" s="55">
        <v>4</v>
      </c>
      <c r="H110" s="17" t="str">
        <f t="shared" si="113"/>
        <v>22_4-4</v>
      </c>
      <c r="I110" s="17"/>
      <c r="J110" s="17"/>
      <c r="K110" s="65" t="s">
        <v>56</v>
      </c>
      <c r="L110" s="52">
        <v>61</v>
      </c>
      <c r="M110" s="21" t="str">
        <f ca="1">VLOOKUP($L110,OFFSET([2]enemies!$A$1,0,0,COUNTA([2]enemies!$A:$A),MATCH(M$1,[2]enemies!$1:$1,0)-MATCH($L$1,[2]enemies!$1:$1,0)+1),MATCH(M$1,[2]enemies!$1:$1,0)-MATCH($L$1,[2]enemies!$1:$1,0)+1,FALSE)</f>
        <v>クロウ</v>
      </c>
      <c r="N110" s="21" t="str">
        <f ca="1">VLOOKUP($L110,OFFSET([2]enemies!$A$1,0,0,COUNTA([2]enemies!$A:$A),MATCH(N$1,[2]enemies!$1:$1,0)-MATCH($L$1,[2]enemies!$1:$1,0)+1),MATCH(N$1,[2]enemies!$1:$1,0)-MATCH($L$1,[2]enemies!$1:$1,0)+1,FALSE)</f>
        <v>blue</v>
      </c>
      <c r="O110" s="21" t="str">
        <f ca="1">VLOOKUP($L110,OFFSET([3]characters!$A$1,0,0,COUNTA([3]characters!$A:$A),MATCH(O$1,[3]characters!$1:$1,0)-MATCH($L$1,[3]characters!$1:$1,0)+1),MATCH(O$1,[3]characters!$1:$1,0)-MATCH($L$1,[3]characters!$1:$1,0)+1,FALSE)</f>
        <v>Drop1N</v>
      </c>
      <c r="P110" s="21" t="str">
        <f ca="1">VLOOKUP($L110,OFFSET([2]enemies!$A$1,0,0,COUNTA([2]enemies!$A:$A),MATCH(P$1,[2]enemies!$1:$1,0)-MATCH($L$1,[2]enemies!$1:$1,0)+1),MATCH(P$1,[2]enemies!$1:$1,0)-MATCH($L$1,[2]enemies!$1:$1,0)+1,FALSE)</f>
        <v>animal</v>
      </c>
      <c r="Q110" s="21">
        <f ca="1">VLOOKUP($L110,OFFSET([2]enemies!$A$1,0,0,COUNTA([2]enemies!$A:$A),MATCH(Q$1,[2]enemies!$1:$1,0)-MATCH($L$1,[2]enemies!$1:$1,0)+1),MATCH(Q$1,[2]enemies!$1:$1,0)-MATCH($L$1,[2]enemies!$1:$1,0)+1,FALSE)</f>
        <v>15</v>
      </c>
      <c r="R110" s="53">
        <v>46</v>
      </c>
      <c r="S110" s="27">
        <v>1</v>
      </c>
      <c r="T110" s="27">
        <v>1</v>
      </c>
      <c r="U110" s="5">
        <v>0</v>
      </c>
      <c r="V110" s="4" t="str">
        <f ca="1">VLOOKUP($W110,OFFSET([4]enemy_skill_sets!$B$1,0,0,COUNTA([4]enemy_skill_sets!$B:$B),MATCH(M$1,[4]enemy_skill_sets!$1:$1,0)-MATCH($W$1,[4]enemy_skill_sets!$1:$1,0)+2),MATCH(M$1,[4]enemy_skill_sets!$1:$1,0)-MATCH($W$1,[4]enemy_skill_sets!$1:$1,0)+2,FALSE)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10" s="4">
        <f ca="1">VLOOKUP($L110,OFFSET([2]enemies!$A$1,0,0,COUNTA([2]enemies!$A:$A),MATCH(W$1,[2]enemies!$1:$1,0)-MATCH($L$1,[2]enemies!$1:$1,0)+1),MATCH(W$1,[2]enemies!$1:$1,0)-MATCH($L$1,[2]enemies!$1:$1,0)+1,FALSE)</f>
        <v>61</v>
      </c>
      <c r="X110" s="6">
        <v>0</v>
      </c>
      <c r="Y110" s="6">
        <v>100</v>
      </c>
      <c r="Z110" s="6">
        <v>0</v>
      </c>
      <c r="AA110" s="4">
        <f ca="1">VLOOKUP($L110,OFFSET([2]enemies!$A$1,0,0,COUNTA([2]enemies!$A:$A),MATCH(AA$1,[2]enemies!$1:$1,0)-MATCH($L$1,[2]enemies!$1:$1,0)+1),MATCH(AA$1,[2]enemies!$1:$1,0)-MATCH($L$1,[2]enemies!$1:$1,0)+1,FALSE)</f>
        <v>2</v>
      </c>
      <c r="AB110" s="52">
        <v>61</v>
      </c>
      <c r="AC110" s="4" t="str">
        <f ca="1">VLOOKUP($AB110,OFFSET([3]characters!$A$1,0,0,COUNTA([3]characters!$A:$A),MATCH(AC$1,[3]characters!$1:$1,0)-MATCH("character_id",[3]characters!$1:$1,0)+1),MATCH(AC$1,[3]characters!$1:$1,0)-MATCH("character_id",[3]characters!$1:$1,0)+1,FALSE)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110" s="4">
        <f ca="1">VLOOKUP($AB110,OFFSET([3]characters!$A$1,0,0,COUNTA([3]characters!$A:$A),MATCH(AD$1,[3]characters!$1:$1,0)-MATCH("character_id",[3]characters!$1:$1,0)+1),MATCH(AD$1,[3]characters!$1:$1,0)-MATCH("character_id",[3]characters!$1:$1,0)+1,FALSE)</f>
        <v>2</v>
      </c>
      <c r="AE110" s="4" t="str">
        <f ca="1">VLOOKUP($AB110,OFFSET([3]characters!$A$1,0,0,COUNTA([3]characters!$A:$A),MATCH(AE$1,[3]characters!$1:$1,0)-MATCH("character_id",[3]characters!$1:$1,0)+1),MATCH(AE$1,[3]characters!$1:$1,0)-MATCH("character_id",[3]characters!$1:$1,0)+1,FALSE)</f>
        <v>Drop1N</v>
      </c>
      <c r="AF110" s="7">
        <v>7</v>
      </c>
      <c r="AG110" s="26">
        <f t="shared" ca="1" si="82"/>
        <v>2</v>
      </c>
      <c r="AH110" s="8">
        <v>20</v>
      </c>
      <c r="AI110" s="7">
        <v>0</v>
      </c>
      <c r="AJ110" s="7">
        <v>0</v>
      </c>
      <c r="AK110" s="7">
        <v>0</v>
      </c>
      <c r="AL110" s="7">
        <v>0</v>
      </c>
      <c r="AM110" s="7">
        <v>1</v>
      </c>
    </row>
    <row r="111" spans="1:39" ht="21" customHeight="1" x14ac:dyDescent="0.15">
      <c r="A111" s="18" t="str">
        <f t="shared" ref="A111:A112" ca="1" si="134">B111&amp;"_"&amp;C111&amp;"-"&amp;G111&amp;"/"&amp;L111&amp;"&lt;lv"&amp;R111&amp;"&gt;s"&amp;AA111</f>
        <v>22_4-4/360&lt;lv46&gt;s3</v>
      </c>
      <c r="B111" s="53">
        <v>22</v>
      </c>
      <c r="C111" s="51">
        <v>4</v>
      </c>
      <c r="D111" s="2" t="str">
        <f t="shared" ref="D111:D112" si="135">B111&amp;"_"&amp;C111</f>
        <v>22_4</v>
      </c>
      <c r="E111" s="2" t="str">
        <f t="shared" ref="E111:E112" si="136">C111&amp;"_"&amp;D111</f>
        <v>4_22_4</v>
      </c>
      <c r="F111" s="4" t="str">
        <f ca="1">VLOOKUP($D111,OFFSET([1]stages!$A$1,0,0,COUNTA([1]stages!$A:$A),MATCH(F$1,[1]stages!$2:$2,0)-MATCH($D$1,[1]stages!$2:$2,0)+1),MATCH(F$1,[1]stages!$2:$2,0)-MATCH($D$1,[1]stages!$2:$2,0)+1,FALSE)</f>
        <v>22-4．聖火の啼き声</v>
      </c>
      <c r="G111" s="55">
        <v>4</v>
      </c>
      <c r="H111" s="17" t="str">
        <f t="shared" ref="H111:H112" si="137">B111&amp;"_"&amp;C111&amp;"-"&amp;G111</f>
        <v>22_4-4</v>
      </c>
      <c r="I111" s="17"/>
      <c r="J111" s="17"/>
      <c r="K111" s="65" t="s">
        <v>56</v>
      </c>
      <c r="L111" s="52">
        <v>360</v>
      </c>
      <c r="M111" s="21" t="str">
        <f ca="1">VLOOKUP($L111,OFFSET([2]enemies!$A$1,0,0,COUNTA([2]enemies!$A:$A),MATCH(M$1,[2]enemies!$1:$1,0)-MATCH($L$1,[2]enemies!$1:$1,0)+1),MATCH(M$1,[2]enemies!$1:$1,0)-MATCH($L$1,[2]enemies!$1:$1,0)+1,FALSE)</f>
        <v>ガンテツ</v>
      </c>
      <c r="N111" s="21" t="str">
        <f ca="1">VLOOKUP($L111,OFFSET([2]enemies!$A$1,0,0,COUNTA([2]enemies!$A:$A),MATCH(N$1,[2]enemies!$1:$1,0)-MATCH($L$1,[2]enemies!$1:$1,0)+1),MATCH(N$1,[2]enemies!$1:$1,0)-MATCH($L$1,[2]enemies!$1:$1,0)+1,FALSE)</f>
        <v>red</v>
      </c>
      <c r="O111" s="21" t="str">
        <f ca="1">VLOOKUP($L111,OFFSET([3]characters!$A$1,0,0,COUNTA([3]characters!$A:$A),MATCH(O$1,[3]characters!$1:$1,0)-MATCH($L$1,[3]characters!$1:$1,0)+1),MATCH(O$1,[3]characters!$1:$1,0)-MATCH($L$1,[3]characters!$1:$1,0)+1,FALSE)</f>
        <v>Drop1S</v>
      </c>
      <c r="P111" s="21" t="str">
        <f ca="1">VLOOKUP($L111,OFFSET([2]enemies!$A$1,0,0,COUNTA([2]enemies!$A:$A),MATCH(P$1,[2]enemies!$1:$1,0)-MATCH($L$1,[2]enemies!$1:$1,0)+1),MATCH(P$1,[2]enemies!$1:$1,0)-MATCH($L$1,[2]enemies!$1:$1,0)+1,FALSE)</f>
        <v>animal</v>
      </c>
      <c r="Q111" s="21">
        <f ca="1">VLOOKUP($L111,OFFSET([2]enemies!$A$1,0,0,COUNTA([2]enemies!$A:$A),MATCH(Q$1,[2]enemies!$1:$1,0)-MATCH($L$1,[2]enemies!$1:$1,0)+1),MATCH(Q$1,[2]enemies!$1:$1,0)-MATCH($L$1,[2]enemies!$1:$1,0)+1,FALSE)</f>
        <v>15</v>
      </c>
      <c r="R111" s="53">
        <v>46</v>
      </c>
      <c r="S111" s="27">
        <v>1</v>
      </c>
      <c r="T111" s="27">
        <v>1</v>
      </c>
      <c r="U111" s="5">
        <v>0</v>
      </c>
      <c r="V111" s="4" t="str">
        <f ca="1">VLOOKUP($W111,OFFSET([4]enemy_skill_sets!$B$1,0,0,COUNTA([4]enemy_skill_sets!$B:$B),MATCH(M$1,[4]enemy_skill_sets!$1:$1,0)-MATCH($W$1,[4]enemy_skill_sets!$1:$1,0)+2),MATCH(M$1,[4]enemy_skill_sets!$1:$1,0)-MATCH($W$1,[4]enemy_skill_sets!$1:$1,0)+2,FALSE)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11" s="76">
        <v>360</v>
      </c>
      <c r="X111" s="6">
        <v>0</v>
      </c>
      <c r="Y111" s="6">
        <v>100</v>
      </c>
      <c r="Z111" s="6">
        <v>0</v>
      </c>
      <c r="AA111" s="4">
        <f ca="1">VLOOKUP($L111,OFFSET([2]enemies!$A$1,0,0,COUNTA([2]enemies!$A:$A),MATCH(AA$1,[2]enemies!$1:$1,0)-MATCH($L$1,[2]enemies!$1:$1,0)+1),MATCH(AA$1,[2]enemies!$1:$1,0)-MATCH($L$1,[2]enemies!$1:$1,0)+1,FALSE)</f>
        <v>3</v>
      </c>
      <c r="AB111" s="52">
        <v>360</v>
      </c>
      <c r="AC111" s="4" t="str">
        <f ca="1">VLOOKUP($AB111,OFFSET([3]characters!$A$1,0,0,COUNTA([3]characters!$A:$A),MATCH(AC$1,[3]characters!$1:$1,0)-MATCH("character_id",[3]characters!$1:$1,0)+1),MATCH(AC$1,[3]characters!$1:$1,0)-MATCH("character_id",[3]characters!$1:$1,0)+1,FALSE)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11" s="4">
        <f ca="1">VLOOKUP($AB111,OFFSET([3]characters!$A$1,0,0,COUNTA([3]characters!$A:$A),MATCH(AD$1,[3]characters!$1:$1,0)-MATCH("character_id",[3]characters!$1:$1,0)+1),MATCH(AD$1,[3]characters!$1:$1,0)-MATCH("character_id",[3]characters!$1:$1,0)+1,FALSE)</f>
        <v>2</v>
      </c>
      <c r="AE111" s="4" t="str">
        <f ca="1">VLOOKUP($AB111,OFFSET([3]characters!$A$1,0,0,COUNTA([3]characters!$A:$A),MATCH(AE$1,[3]characters!$1:$1,0)-MATCH("character_id",[3]characters!$1:$1,0)+1),MATCH(AE$1,[3]characters!$1:$1,0)-MATCH("character_id",[3]characters!$1:$1,0)+1,FALSE)</f>
        <v>Drop1S</v>
      </c>
      <c r="AF111" s="7">
        <v>7</v>
      </c>
      <c r="AG111" s="26">
        <f t="shared" ca="1" si="82"/>
        <v>2</v>
      </c>
      <c r="AH111" s="8">
        <v>20</v>
      </c>
      <c r="AI111" s="7">
        <v>0</v>
      </c>
      <c r="AJ111" s="7">
        <v>0</v>
      </c>
      <c r="AK111" s="7">
        <v>0</v>
      </c>
      <c r="AL111" s="7">
        <v>0</v>
      </c>
      <c r="AM111" s="7">
        <v>1</v>
      </c>
    </row>
    <row r="112" spans="1:39" ht="21" customHeight="1" x14ac:dyDescent="0.15">
      <c r="A112" s="18" t="str">
        <f t="shared" ca="1" si="134"/>
        <v>22_4-4/364&lt;lv46&gt;s3</v>
      </c>
      <c r="B112" s="53">
        <v>22</v>
      </c>
      <c r="C112" s="51">
        <v>4</v>
      </c>
      <c r="D112" s="2" t="str">
        <f t="shared" si="135"/>
        <v>22_4</v>
      </c>
      <c r="E112" s="2" t="str">
        <f t="shared" si="136"/>
        <v>4_22_4</v>
      </c>
      <c r="F112" s="4" t="str">
        <f ca="1">VLOOKUP($D112,OFFSET([1]stages!$A$1,0,0,COUNTA([1]stages!$A:$A),MATCH(F$1,[1]stages!$2:$2,0)-MATCH($D$1,[1]stages!$2:$2,0)+1),MATCH(F$1,[1]stages!$2:$2,0)-MATCH($D$1,[1]stages!$2:$2,0)+1,FALSE)</f>
        <v>22-4．聖火の啼き声</v>
      </c>
      <c r="G112" s="55">
        <v>4</v>
      </c>
      <c r="H112" s="17" t="str">
        <f t="shared" si="137"/>
        <v>22_4-4</v>
      </c>
      <c r="I112" s="17"/>
      <c r="J112" s="17"/>
      <c r="K112" s="65" t="s">
        <v>56</v>
      </c>
      <c r="L112" s="52">
        <v>364</v>
      </c>
      <c r="M112" s="21" t="str">
        <f ca="1">VLOOKUP($L112,OFFSET([2]enemies!$A$1,0,0,COUNTA([2]enemies!$A:$A),MATCH(M$1,[2]enemies!$1:$1,0)-MATCH($L$1,[2]enemies!$1:$1,0)+1),MATCH(M$1,[2]enemies!$1:$1,0)-MATCH($L$1,[2]enemies!$1:$1,0)+1,FALSE)</f>
        <v>ノエル</v>
      </c>
      <c r="N112" s="21" t="str">
        <f ca="1">VLOOKUP($L112,OFFSET([2]enemies!$A$1,0,0,COUNTA([2]enemies!$A:$A),MATCH(N$1,[2]enemies!$1:$1,0)-MATCH($L$1,[2]enemies!$1:$1,0)+1),MATCH(N$1,[2]enemies!$1:$1,0)-MATCH($L$1,[2]enemies!$1:$1,0)+1,FALSE)</f>
        <v>blue</v>
      </c>
      <c r="O112" s="21" t="str">
        <f ca="1">VLOOKUP($L112,OFFSET([3]characters!$A$1,0,0,COUNTA([3]characters!$A:$A),MATCH(O$1,[3]characters!$1:$1,0)-MATCH($L$1,[3]characters!$1:$1,0)+1),MATCH(O$1,[3]characters!$1:$1,0)-MATCH($L$1,[3]characters!$1:$1,0)+1,FALSE)</f>
        <v>Drop1S</v>
      </c>
      <c r="P112" s="21" t="str">
        <f ca="1">VLOOKUP($L112,OFFSET([2]enemies!$A$1,0,0,COUNTA([2]enemies!$A:$A),MATCH(P$1,[2]enemies!$1:$1,0)-MATCH($L$1,[2]enemies!$1:$1,0)+1),MATCH(P$1,[2]enemies!$1:$1,0)-MATCH($L$1,[2]enemies!$1:$1,0)+1,FALSE)</f>
        <v>animal</v>
      </c>
      <c r="Q112" s="21">
        <f ca="1">VLOOKUP($L112,OFFSET([2]enemies!$A$1,0,0,COUNTA([2]enemies!$A:$A),MATCH(Q$1,[2]enemies!$1:$1,0)-MATCH($L$1,[2]enemies!$1:$1,0)+1),MATCH(Q$1,[2]enemies!$1:$1,0)-MATCH($L$1,[2]enemies!$1:$1,0)+1,FALSE)</f>
        <v>15</v>
      </c>
      <c r="R112" s="53">
        <v>46</v>
      </c>
      <c r="S112" s="27">
        <v>1</v>
      </c>
      <c r="T112" s="27">
        <v>1</v>
      </c>
      <c r="U112" s="5">
        <v>0</v>
      </c>
      <c r="V112" s="4" t="str">
        <f ca="1">VLOOKUP($W112,OFFSET([4]enemy_skill_sets!$B$1,0,0,COUNTA([4]enemy_skill_sets!$B:$B),MATCH(M$1,[4]enemy_skill_sets!$1:$1,0)-MATCH($W$1,[4]enemy_skill_sets!$1:$1,0)+2),MATCH(M$1,[4]enemy_skill_sets!$1:$1,0)-MATCH($W$1,[4]enemy_skill_sets!$1:$1,0)+2,FALSE)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112" s="64">
        <v>364</v>
      </c>
      <c r="X112" s="6">
        <v>0</v>
      </c>
      <c r="Y112" s="6">
        <v>100</v>
      </c>
      <c r="Z112" s="6">
        <v>0</v>
      </c>
      <c r="AA112" s="4">
        <f ca="1">VLOOKUP($L112,OFFSET([2]enemies!$A$1,0,0,COUNTA([2]enemies!$A:$A),MATCH(AA$1,[2]enemies!$1:$1,0)-MATCH($L$1,[2]enemies!$1:$1,0)+1),MATCH(AA$1,[2]enemies!$1:$1,0)-MATCH($L$1,[2]enemies!$1:$1,0)+1,FALSE)</f>
        <v>3</v>
      </c>
      <c r="AB112" s="52">
        <v>364</v>
      </c>
      <c r="AC112" s="4" t="str">
        <f ca="1">VLOOKUP($AB112,OFFSET([3]characters!$A$1,0,0,COUNTA([3]characters!$A:$A),MATCH(AC$1,[3]characters!$1:$1,0)-MATCH("character_id",[3]characters!$1:$1,0)+1),MATCH(AC$1,[3]characters!$1:$1,0)-MATCH("character_id",[3]characters!$1:$1,0)+1,FALSE)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112" s="4">
        <f ca="1">VLOOKUP($AB112,OFFSET([3]characters!$A$1,0,0,COUNTA([3]characters!$A:$A),MATCH(AD$1,[3]characters!$1:$1,0)-MATCH("character_id",[3]characters!$1:$1,0)+1),MATCH(AD$1,[3]characters!$1:$1,0)-MATCH("character_id",[3]characters!$1:$1,0)+1,FALSE)</f>
        <v>2</v>
      </c>
      <c r="AE112" s="4" t="str">
        <f ca="1">VLOOKUP($AB112,OFFSET([3]characters!$A$1,0,0,COUNTA([3]characters!$A:$A),MATCH(AE$1,[3]characters!$1:$1,0)-MATCH("character_id",[3]characters!$1:$1,0)+1),MATCH(AE$1,[3]characters!$1:$1,0)-MATCH("character_id",[3]characters!$1:$1,0)+1,FALSE)</f>
        <v>Drop1S</v>
      </c>
      <c r="AF112" s="7">
        <v>7</v>
      </c>
      <c r="AG112" s="26">
        <f t="shared" ca="1" si="82"/>
        <v>2</v>
      </c>
      <c r="AH112" s="8">
        <v>20</v>
      </c>
      <c r="AI112" s="7">
        <v>0</v>
      </c>
      <c r="AJ112" s="7">
        <v>0</v>
      </c>
      <c r="AK112" s="7">
        <v>0</v>
      </c>
      <c r="AL112" s="7">
        <v>0</v>
      </c>
      <c r="AM112" s="7">
        <v>1</v>
      </c>
    </row>
    <row r="113" spans="1:39" ht="21" customHeight="1" x14ac:dyDescent="0.15">
      <c r="A113" s="18" t="str">
        <f t="shared" ref="A113" ca="1" si="138">B113&amp;"_"&amp;C113&amp;"-"&amp;G113&amp;"/"&amp;L113&amp;"&lt;lv"&amp;R113&amp;"&gt;s"&amp;AA113</f>
        <v>22_4-4/348&lt;lv46&gt;s3</v>
      </c>
      <c r="B113" s="53">
        <v>22</v>
      </c>
      <c r="C113" s="51">
        <v>4</v>
      </c>
      <c r="D113" s="2" t="str">
        <f t="shared" ref="D113" si="139">B113&amp;"_"&amp;C113</f>
        <v>22_4</v>
      </c>
      <c r="E113" s="2" t="str">
        <f t="shared" ref="E113" si="140">C113&amp;"_"&amp;D113</f>
        <v>4_22_4</v>
      </c>
      <c r="F113" s="4" t="str">
        <f ca="1">VLOOKUP($D113,OFFSET([1]stages!$A$1,0,0,COUNTA([1]stages!$A:$A),MATCH(F$1,[1]stages!$2:$2,0)-MATCH($D$1,[1]stages!$2:$2,0)+1),MATCH(F$1,[1]stages!$2:$2,0)-MATCH($D$1,[1]stages!$2:$2,0)+1,FALSE)</f>
        <v>22-4．聖火の啼き声</v>
      </c>
      <c r="G113" s="55">
        <v>4</v>
      </c>
      <c r="H113" s="17" t="str">
        <f t="shared" ref="H113" si="141">B113&amp;"_"&amp;C113&amp;"-"&amp;G113</f>
        <v>22_4-4</v>
      </c>
      <c r="I113" s="17"/>
      <c r="J113" s="17"/>
      <c r="K113" s="65" t="s">
        <v>56</v>
      </c>
      <c r="L113" s="52">
        <v>348</v>
      </c>
      <c r="M113" s="21" t="str">
        <f ca="1">VLOOKUP($L113,OFFSET([2]enemies!$A$1,0,0,COUNTA([2]enemies!$A:$A),MATCH(M$1,[2]enemies!$1:$1,0)-MATCH($L$1,[2]enemies!$1:$1,0)+1),MATCH(M$1,[2]enemies!$1:$1,0)-MATCH($L$1,[2]enemies!$1:$1,0)+1,FALSE)</f>
        <v>炎のケロケロ</v>
      </c>
      <c r="N113" s="21" t="str">
        <f ca="1">VLOOKUP($L113,OFFSET([2]enemies!$A$1,0,0,COUNTA([2]enemies!$A:$A),MATCH(N$1,[2]enemies!$1:$1,0)-MATCH($L$1,[2]enemies!$1:$1,0)+1),MATCH(N$1,[2]enemies!$1:$1,0)-MATCH($L$1,[2]enemies!$1:$1,0)+1,FALSE)</f>
        <v>red</v>
      </c>
      <c r="O113" s="21" t="str">
        <f ca="1">VLOOKUP($L113,OFFSET([3]characters!$A$1,0,0,COUNTA([3]characters!$A:$A),MATCH(O$1,[3]characters!$1:$1,0)-MATCH($L$1,[3]characters!$1:$1,0)+1),MATCH(O$1,[3]characters!$1:$1,0)-MATCH($L$1,[3]characters!$1:$1,0)+1,FALSE)</f>
        <v>Material</v>
      </c>
      <c r="P113" s="21" t="str">
        <f ca="1">VLOOKUP($L113,OFFSET([2]enemies!$A$1,0,0,COUNTA([2]enemies!$A:$A),MATCH(P$1,[2]enemies!$1:$1,0)-MATCH($L$1,[2]enemies!$1:$1,0)+1),MATCH(P$1,[2]enemies!$1:$1,0)-MATCH($L$1,[2]enemies!$1:$1,0)+1,FALSE)</f>
        <v>unknown</v>
      </c>
      <c r="Q113" s="21">
        <f ca="1">VLOOKUP($L113,OFFSET([2]enemies!$A$1,0,0,COUNTA([2]enemies!$A:$A),MATCH(Q$1,[2]enemies!$1:$1,0)-MATCH($L$1,[2]enemies!$1:$1,0)+1),MATCH(Q$1,[2]enemies!$1:$1,0)-MATCH($L$1,[2]enemies!$1:$1,0)+1,FALSE)</f>
        <v>15</v>
      </c>
      <c r="R113" s="53">
        <v>46</v>
      </c>
      <c r="S113" s="27">
        <v>1</v>
      </c>
      <c r="T113" s="27">
        <v>1</v>
      </c>
      <c r="U113" s="5">
        <v>0</v>
      </c>
      <c r="V113" s="4" t="str">
        <f ca="1">VLOOKUP($W113,OFFSET([4]enemy_skill_sets!$B$1,0,0,COUNTA([4]enemy_skill_sets!$B:$B),MATCH(M$1,[4]enemy_skill_sets!$1:$1,0)-MATCH($W$1,[4]enemy_skill_sets!$1:$1,0)+2),MATCH(M$1,[4]enemy_skill_sets!$1:$1,0)-MATCH($W$1,[4]enemy_skill_sets!$1:$1,0)+2,FALSE)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113" s="64">
        <v>348</v>
      </c>
      <c r="X113" s="6">
        <v>0</v>
      </c>
      <c r="Y113" s="6">
        <v>100</v>
      </c>
      <c r="Z113" s="6">
        <v>0</v>
      </c>
      <c r="AA113" s="4">
        <f ca="1">VLOOKUP($L113,OFFSET([2]enemies!$A$1,0,0,COUNTA([2]enemies!$A:$A),MATCH(AA$1,[2]enemies!$1:$1,0)-MATCH($L$1,[2]enemies!$1:$1,0)+1),MATCH(AA$1,[2]enemies!$1:$1,0)-MATCH($L$1,[2]enemies!$1:$1,0)+1,FALSE)</f>
        <v>3</v>
      </c>
      <c r="AB113" s="52">
        <v>348</v>
      </c>
      <c r="AC113" s="4" t="str">
        <f ca="1">VLOOKUP($AB113,OFFSET([3]characters!$A$1,0,0,COUNTA([3]characters!$A:$A),MATCH(AC$1,[3]characters!$1:$1,0)-MATCH("character_id",[3]characters!$1:$1,0)+1),MATCH(AC$1,[3]characters!$1:$1,0)-MATCH("character_id",[3]characters!$1:$1,0)+1,FALSE)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113" s="4">
        <f ca="1">VLOOKUP($AB113,OFFSET([3]characters!$A$1,0,0,COUNTA([3]characters!$A:$A),MATCH(AD$1,[3]characters!$1:$1,0)-MATCH("character_id",[3]characters!$1:$1,0)+1),MATCH(AD$1,[3]characters!$1:$1,0)-MATCH("character_id",[3]characters!$1:$1,0)+1,FALSE)</f>
        <v>2</v>
      </c>
      <c r="AE113" s="4" t="str">
        <f ca="1">VLOOKUP($AB113,OFFSET([3]characters!$A$1,0,0,COUNTA([3]characters!$A:$A),MATCH(AE$1,[3]characters!$1:$1,0)-MATCH("character_id",[3]characters!$1:$1,0)+1),MATCH(AE$1,[3]characters!$1:$1,0)-MATCH("character_id",[3]characters!$1:$1,0)+1,FALSE)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13" s="7">
        <v>10</v>
      </c>
      <c r="AG113" s="26">
        <f t="shared" ca="1" si="82"/>
        <v>2</v>
      </c>
      <c r="AH113" s="8">
        <v>20</v>
      </c>
      <c r="AI113" s="7">
        <v>0</v>
      </c>
      <c r="AJ113" s="7">
        <v>0</v>
      </c>
      <c r="AK113" s="7">
        <v>0</v>
      </c>
      <c r="AL113" s="7">
        <v>0</v>
      </c>
      <c r="AM113" s="7">
        <v>1</v>
      </c>
    </row>
    <row r="114" spans="1:39" ht="21" customHeight="1" x14ac:dyDescent="0.15">
      <c r="A114" s="18" t="str">
        <f t="shared" ref="A114" ca="1" si="142">B114&amp;"_"&amp;C114&amp;"-"&amp;G114&amp;"/"&amp;L114&amp;"&lt;lv"&amp;R114&amp;"&gt;s"&amp;AA114</f>
        <v>22_4-5/86&lt;lv51&gt;s2</v>
      </c>
      <c r="B114" s="53">
        <v>22</v>
      </c>
      <c r="C114" s="51">
        <v>4</v>
      </c>
      <c r="D114" s="2" t="str">
        <f t="shared" ref="D114:E114" si="143">B114&amp;"_"&amp;C114</f>
        <v>22_4</v>
      </c>
      <c r="E114" s="2" t="str">
        <f t="shared" si="143"/>
        <v>4_22_4</v>
      </c>
      <c r="F114" s="4" t="str">
        <f ca="1">VLOOKUP($D114,OFFSET([1]stages!$A$1,0,0,COUNTA([1]stages!$A:$A),MATCH(F$1,[1]stages!$2:$2,0)-MATCH($D$1,[1]stages!$2:$2,0)+1),MATCH(F$1,[1]stages!$2:$2,0)-MATCH($D$1,[1]stages!$2:$2,0)+1,FALSE)</f>
        <v>22-4．聖火の啼き声</v>
      </c>
      <c r="G114" s="56">
        <v>5</v>
      </c>
      <c r="H114" s="17" t="str">
        <f t="shared" ref="H114" si="144">B114&amp;"_"&amp;C114&amp;"-"&amp;G114</f>
        <v>22_4-5</v>
      </c>
      <c r="I114" s="17"/>
      <c r="J114" s="17"/>
      <c r="K114" s="65">
        <v>86</v>
      </c>
      <c r="L114" s="52">
        <v>86</v>
      </c>
      <c r="M114" s="21" t="str">
        <f ca="1">VLOOKUP($L114,OFFSET([2]enemies!$A$1,0,0,COUNTA([2]enemies!$A:$A),MATCH(M$1,[2]enemies!$1:$1,0)-MATCH($L$1,[2]enemies!$1:$1,0)+1),MATCH(M$1,[2]enemies!$1:$1,0)-MATCH($L$1,[2]enemies!$1:$1,0)+1,FALSE)</f>
        <v>守護者 朱雀</v>
      </c>
      <c r="N114" s="21" t="str">
        <f ca="1">VLOOKUP($L114,OFFSET([2]enemies!$A$1,0,0,COUNTA([2]enemies!$A:$A),MATCH(N$1,[2]enemies!$1:$1,0)-MATCH($L$1,[2]enemies!$1:$1,0)+1),MATCH(N$1,[2]enemies!$1:$1,0)-MATCH($L$1,[2]enemies!$1:$1,0)+1,FALSE)</f>
        <v>red</v>
      </c>
      <c r="O114" s="21" t="str">
        <f ca="1">VLOOKUP($L114,OFFSET([3]characters!$A$1,0,0,COUNTA([3]characters!$A:$A),MATCH(O$1,[3]characters!$1:$1,0)-MATCH($L$1,[3]characters!$1:$1,0)+1),MATCH(O$1,[3]characters!$1:$1,0)-MATCH($L$1,[3]characters!$1:$1,0)+1,FALSE)</f>
        <v>Drop2N</v>
      </c>
      <c r="P114" s="21" t="str">
        <f ca="1">VLOOKUP($L114,OFFSET([2]enemies!$A$1,0,0,COUNTA([2]enemies!$A:$A),MATCH(P$1,[2]enemies!$1:$1,0)-MATCH($L$1,[2]enemies!$1:$1,0)+1),MATCH(P$1,[2]enemies!$1:$1,0)-MATCH($L$1,[2]enemies!$1:$1,0)+1,FALSE)</f>
        <v>animal</v>
      </c>
      <c r="Q114" s="21">
        <f ca="1">VLOOKUP($L114,OFFSET([2]enemies!$A$1,0,0,COUNTA([2]enemies!$A:$A),MATCH(Q$1,[2]enemies!$1:$1,0)-MATCH($L$1,[2]enemies!$1:$1,0)+1),MATCH(Q$1,[2]enemies!$1:$1,0)-MATCH($L$1,[2]enemies!$1:$1,0)+1,FALSE)</f>
        <v>30</v>
      </c>
      <c r="R114" s="53">
        <v>51</v>
      </c>
      <c r="S114" s="27">
        <v>0.7</v>
      </c>
      <c r="T114" s="27">
        <v>1.9</v>
      </c>
      <c r="U114" s="5">
        <v>0</v>
      </c>
      <c r="V114" s="4" t="str">
        <f ca="1">VLOOKUP($W114,OFFSET([4]enemy_skill_sets!$B$1,0,0,COUNTA([4]enemy_skill_sets!$B:$B),MATCH(M$1,[4]enemy_skill_sets!$1:$1,0)-MATCH($W$1,[4]enemy_skill_sets!$1:$1,0)+2),MATCH(M$1,[4]enemy_skill_sets!$1:$1,0)-MATCH($W$1,[4]enemy_skill_sets!$1:$1,0)+2,FALSE)</f>
        <v>5ターンの間ダメージを受ける</v>
      </c>
      <c r="W114" s="64">
        <v>8601</v>
      </c>
      <c r="X114" s="6">
        <v>1</v>
      </c>
      <c r="Y114" s="6">
        <v>100</v>
      </c>
      <c r="Z114" s="6">
        <v>1</v>
      </c>
      <c r="AA114" s="4">
        <f ca="1">VLOOKUP($L114,OFFSET([2]enemies!$A$1,0,0,COUNTA([2]enemies!$A:$A),MATCH(AA$1,[2]enemies!$1:$1,0)-MATCH($L$1,[2]enemies!$1:$1,0)+1),MATCH(AA$1,[2]enemies!$1:$1,0)-MATCH($L$1,[2]enemies!$1:$1,0)+1,FALSE)</f>
        <v>2</v>
      </c>
      <c r="AB114" s="52">
        <v>85</v>
      </c>
      <c r="AC114" s="4" t="str">
        <f ca="1">VLOOKUP($AB114,OFFSET([3]characters!$A$1,0,0,COUNTA([3]characters!$A:$A),MATCH(AC$1,[3]characters!$1:$1,0)-MATCH("character_id",[3]characters!$1:$1,0)+1),MATCH(AC$1,[3]characters!$1:$1,0)-MATCH("character_id",[3]characters!$1:$1,0)+1,FALSE)</f>
        <v>朱雀</v>
      </c>
      <c r="AD114" s="4">
        <f ca="1">VLOOKUP($AB114,OFFSET([3]characters!$A$1,0,0,COUNTA([3]characters!$A:$A),MATCH(AD$1,[3]characters!$1:$1,0)-MATCH("character_id",[3]characters!$1:$1,0)+1),MATCH(AD$1,[3]characters!$1:$1,0)-MATCH("character_id",[3]characters!$1:$1,0)+1,FALSE)</f>
        <v>3</v>
      </c>
      <c r="AE114" s="4" t="str">
        <f ca="1">VLOOKUP($AB114,OFFSET([3]characters!$A$1,0,0,COUNTA([3]characters!$A:$A),MATCH(AE$1,[3]characters!$1:$1,0)-MATCH("character_id",[3]characters!$1:$1,0)+1),MATCH(AE$1,[3]characters!$1:$1,0)-MATCH("character_id",[3]characters!$1:$1,0)+1,FALSE)</f>
        <v>Drop2N</v>
      </c>
      <c r="AF114" s="7">
        <v>1</v>
      </c>
      <c r="AG114" s="26">
        <f t="shared" ca="1" si="82"/>
        <v>3</v>
      </c>
      <c r="AH114" s="8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1</v>
      </c>
    </row>
    <row r="115" spans="1:39" ht="14" x14ac:dyDescent="0.15">
      <c r="A115" s="18" t="str">
        <f t="shared" ref="A115" ca="1" si="145">B115&amp;"_"&amp;C115&amp;"-"&amp;G115&amp;"/"&amp;L115&amp;"&lt;lv"&amp;R115&amp;"&gt;s"&amp;AA115</f>
        <v>22_4-5/361&lt;lv51&gt;s3</v>
      </c>
      <c r="B115" s="53">
        <v>22</v>
      </c>
      <c r="C115" s="51">
        <v>4</v>
      </c>
      <c r="D115" s="2" t="str">
        <f t="shared" ref="D115" si="146">B115&amp;"_"&amp;C115</f>
        <v>22_4</v>
      </c>
      <c r="E115" s="2" t="str">
        <f t="shared" ref="E115" si="147">C115&amp;"_"&amp;D115</f>
        <v>4_22_4</v>
      </c>
      <c r="F115" s="4" t="str">
        <f ca="1">VLOOKUP($D115,OFFSET([1]stages!$A$1,0,0,COUNTA([1]stages!$A:$A),MATCH(F$1,[1]stages!$2:$2,0)-MATCH($D$1,[1]stages!$2:$2,0)+1),MATCH(F$1,[1]stages!$2:$2,0)-MATCH($D$1,[1]stages!$2:$2,0)+1,FALSE)</f>
        <v>22-4．聖火の啼き声</v>
      </c>
      <c r="G115" s="56">
        <v>5</v>
      </c>
      <c r="H115" s="17" t="str">
        <f t="shared" ref="H115" si="148">B115&amp;"_"&amp;C115&amp;"-"&amp;G115</f>
        <v>22_4-5</v>
      </c>
      <c r="I115" s="17"/>
      <c r="J115" s="17"/>
      <c r="K115" s="65" t="s">
        <v>56</v>
      </c>
      <c r="L115" s="52">
        <v>361</v>
      </c>
      <c r="M115" s="21" t="str">
        <f ca="1">VLOOKUP($L115,OFFSET([2]enemies!$A$1,0,0,COUNTA([2]enemies!$A:$A),MATCH(M$1,[2]enemies!$1:$1,0)-MATCH($L$1,[2]enemies!$1:$1,0)+1),MATCH(M$1,[2]enemies!$1:$1,0)-MATCH($L$1,[2]enemies!$1:$1,0)+1,FALSE)</f>
        <v>灼熱の鉄板 ガンテツ</v>
      </c>
      <c r="N115" s="21" t="str">
        <f ca="1">VLOOKUP($L115,OFFSET([2]enemies!$A$1,0,0,COUNTA([2]enemies!$A:$A),MATCH(N$1,[2]enemies!$1:$1,0)-MATCH($L$1,[2]enemies!$1:$1,0)+1),MATCH(N$1,[2]enemies!$1:$1,0)-MATCH($L$1,[2]enemies!$1:$1,0)+1,FALSE)</f>
        <v>red</v>
      </c>
      <c r="O115" s="21" t="str">
        <f ca="1">VLOOKUP($L115,OFFSET([3]characters!$A$1,0,0,COUNTA([3]characters!$A:$A),MATCH(O$1,[3]characters!$1:$1,0)-MATCH($L$1,[3]characters!$1:$1,0)+1),MATCH(O$1,[3]characters!$1:$1,0)-MATCH($L$1,[3]characters!$1:$1,0)+1,FALSE)</f>
        <v>Drop1S</v>
      </c>
      <c r="P115" s="21" t="str">
        <f ca="1">VLOOKUP($L115,OFFSET([2]enemies!$A$1,0,0,COUNTA([2]enemies!$A:$A),MATCH(P$1,[2]enemies!$1:$1,0)-MATCH($L$1,[2]enemies!$1:$1,0)+1),MATCH(P$1,[2]enemies!$1:$1,0)-MATCH($L$1,[2]enemies!$1:$1,0)+1,FALSE)</f>
        <v>animal</v>
      </c>
      <c r="Q115" s="21">
        <f ca="1">VLOOKUP($L115,OFFSET([2]enemies!$A$1,0,0,COUNTA([2]enemies!$A:$A),MATCH(Q$1,[2]enemies!$1:$1,0)-MATCH($L$1,[2]enemies!$1:$1,0)+1),MATCH(Q$1,[2]enemies!$1:$1,0)-MATCH($L$1,[2]enemies!$1:$1,0)+1,FALSE)</f>
        <v>15</v>
      </c>
      <c r="R115" s="53">
        <v>51</v>
      </c>
      <c r="S115" s="27">
        <v>1</v>
      </c>
      <c r="T115" s="27">
        <v>1</v>
      </c>
      <c r="U115" s="5">
        <v>0</v>
      </c>
      <c r="V115" s="4" t="str">
        <f ca="1">VLOOKUP($W115,OFFSET([4]enemy_skill_sets!$B$1,0,0,COUNTA([4]enemy_skill_sets!$B:$B),MATCH(M$1,[4]enemy_skill_sets!$1:$1,0)-MATCH($W$1,[4]enemy_skill_sets!$1:$1,0)+2),MATCH(M$1,[4]enemy_skill_sets!$1:$1,0)-MATCH($W$1,[4]enemy_skill_sets!$1:$1,0)+2,FALSE)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15" s="76">
        <v>360</v>
      </c>
      <c r="X115" s="6">
        <v>2</v>
      </c>
      <c r="Y115" s="6">
        <v>100</v>
      </c>
      <c r="Z115" s="6">
        <v>0</v>
      </c>
      <c r="AA115" s="4">
        <f ca="1">VLOOKUP($L115,OFFSET([2]enemies!$A$1,0,0,COUNTA([2]enemies!$A:$A),MATCH(AA$1,[2]enemies!$1:$1,0)-MATCH($L$1,[2]enemies!$1:$1,0)+1),MATCH(AA$1,[2]enemies!$1:$1,0)-MATCH($L$1,[2]enemies!$1:$1,0)+1,FALSE)</f>
        <v>3</v>
      </c>
      <c r="AB115" s="52">
        <v>360</v>
      </c>
      <c r="AC115" s="4" t="str">
        <f ca="1">VLOOKUP($AB115,OFFSET([3]characters!$A$1,0,0,COUNTA([3]characters!$A:$A),MATCH(AC$1,[3]characters!$1:$1,0)-MATCH("character_id",[3]characters!$1:$1,0)+1),MATCH(AC$1,[3]characters!$1:$1,0)-MATCH("character_id",[3]characters!$1:$1,0)+1,FALSE)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15" s="4">
        <f ca="1">VLOOKUP($AB115,OFFSET([3]characters!$A$1,0,0,COUNTA([3]characters!$A:$A),MATCH(AD$1,[3]characters!$1:$1,0)-MATCH("character_id",[3]characters!$1:$1,0)+1),MATCH(AD$1,[3]characters!$1:$1,0)-MATCH("character_id",[3]characters!$1:$1,0)+1,FALSE)</f>
        <v>2</v>
      </c>
      <c r="AE115" s="4" t="str">
        <f ca="1">VLOOKUP($AB115,OFFSET([3]characters!$A$1,0,0,COUNTA([3]characters!$A:$A),MATCH(AE$1,[3]characters!$1:$1,0)-MATCH("character_id",[3]characters!$1:$1,0)+1),MATCH(AE$1,[3]characters!$1:$1,0)-MATCH("character_id",[3]characters!$1:$1,0)+1,FALSE)</f>
        <v>Drop1S</v>
      </c>
      <c r="AF115" s="7">
        <v>5</v>
      </c>
      <c r="AG115" s="26">
        <f t="shared" ca="1" si="82"/>
        <v>2</v>
      </c>
      <c r="AH115" s="8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1</v>
      </c>
    </row>
    <row r="116" spans="1:39" ht="14" x14ac:dyDescent="0.15">
      <c r="A116" s="18" t="str">
        <f t="shared" ca="1" si="111"/>
        <v>22_5-1/25&lt;lv48&gt;s3</v>
      </c>
      <c r="B116" s="50">
        <v>22</v>
      </c>
      <c r="C116" s="49">
        <v>5</v>
      </c>
      <c r="D116" s="2" t="str">
        <f t="shared" si="112"/>
        <v>22_5</v>
      </c>
      <c r="E116" s="2" t="str">
        <f t="shared" si="112"/>
        <v>5_22_5</v>
      </c>
      <c r="F116" s="4" t="str">
        <f ca="1">VLOOKUP($D116,OFFSET([1]stages!$A$1,0,0,COUNTA([1]stages!$A:$A),MATCH(F$1,[1]stages!$2:$2,0)-MATCH($D$1,[1]stages!$2:$2,0)+1),MATCH(F$1,[1]stages!$2:$2,0)-MATCH($D$1,[1]stages!$2:$2,0)+1,FALSE)</f>
        <v>22-5．真宴の月光</v>
      </c>
      <c r="G116" s="57">
        <v>1</v>
      </c>
      <c r="H116" s="17" t="str">
        <f t="shared" si="113"/>
        <v>22_5-1</v>
      </c>
      <c r="I116" s="17"/>
      <c r="J116" s="17"/>
      <c r="K116" s="65" t="s">
        <v>56</v>
      </c>
      <c r="L116" s="52">
        <v>25</v>
      </c>
      <c r="M116" s="21" t="str">
        <f ca="1">VLOOKUP($L116,OFFSET([2]enemies!$A$1,0,0,COUNTA([2]enemies!$A:$A),MATCH(M$1,[2]enemies!$1:$1,0)-MATCH($L$1,[2]enemies!$1:$1,0)+1),MATCH(M$1,[2]enemies!$1:$1,0)-MATCH($L$1,[2]enemies!$1:$1,0)+1,FALSE)</f>
        <v>ハチ</v>
      </c>
      <c r="N116" s="21" t="str">
        <f ca="1">VLOOKUP($L116,OFFSET([2]enemies!$A$1,0,0,COUNTA([2]enemies!$A:$A),MATCH(N$1,[2]enemies!$1:$1,0)-MATCH($L$1,[2]enemies!$1:$1,0)+1),MATCH(N$1,[2]enemies!$1:$1,0)-MATCH($L$1,[2]enemies!$1:$1,0)+1,FALSE)</f>
        <v>blue</v>
      </c>
      <c r="O116" s="21" t="str">
        <f ca="1">VLOOKUP($L116,OFFSET([3]characters!$A$1,0,0,COUNTA([3]characters!$A:$A),MATCH(O$1,[3]characters!$1:$1,0)-MATCH($L$1,[3]characters!$1:$1,0)+1),MATCH(O$1,[3]characters!$1:$1,0)-MATCH($L$1,[3]characters!$1:$1,0)+1,FALSE)</f>
        <v>Drop1N</v>
      </c>
      <c r="P116" s="21" t="str">
        <f ca="1">VLOOKUP($L116,OFFSET([2]enemies!$A$1,0,0,COUNTA([2]enemies!$A:$A),MATCH(P$1,[2]enemies!$1:$1,0)-MATCH($L$1,[2]enemies!$1:$1,0)+1),MATCH(P$1,[2]enemies!$1:$1,0)-MATCH($L$1,[2]enemies!$1:$1,0)+1,FALSE)</f>
        <v>animal</v>
      </c>
      <c r="Q116" s="21">
        <f ca="1">VLOOKUP($L116,OFFSET([2]enemies!$A$1,0,0,COUNTA([2]enemies!$A:$A),MATCH(Q$1,[2]enemies!$1:$1,0)-MATCH($L$1,[2]enemies!$1:$1,0)+1),MATCH(Q$1,[2]enemies!$1:$1,0)-MATCH($L$1,[2]enemies!$1:$1,0)+1,FALSE)</f>
        <v>15</v>
      </c>
      <c r="R116" s="53">
        <v>48</v>
      </c>
      <c r="S116" s="27">
        <v>1</v>
      </c>
      <c r="T116" s="27">
        <v>1</v>
      </c>
      <c r="U116" s="5">
        <v>0</v>
      </c>
      <c r="V116" s="4" t="str">
        <f ca="1">VLOOKUP($W116,OFFSET([4]enemy_skill_sets!$B$1,0,0,COUNTA([4]enemy_skill_sets!$B:$B),MATCH(M$1,[4]enemy_skill_sets!$1:$1,0)-MATCH($W$1,[4]enemy_skill_sets!$1:$1,0)+2),MATCH(M$1,[4]enemy_skill_sets!$1:$1,0)-MATCH($W$1,[4]enemy_skill_sets!$1:$1,0)+2,FALSE)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16" s="4">
        <f ca="1">VLOOKUP($L116,OFFSET([2]enemies!$A$1,0,0,COUNTA([2]enemies!$A:$A),MATCH(W$1,[2]enemies!$1:$1,0)-MATCH($L$1,[2]enemies!$1:$1,0)+1),MATCH(W$1,[2]enemies!$1:$1,0)-MATCH($L$1,[2]enemies!$1:$1,0)+1,FALSE)</f>
        <v>0</v>
      </c>
      <c r="X116" s="6">
        <v>0</v>
      </c>
      <c r="Y116" s="6">
        <v>100</v>
      </c>
      <c r="Z116" s="6">
        <v>0</v>
      </c>
      <c r="AA116" s="4">
        <f ca="1">VLOOKUP($L116,OFFSET([2]enemies!$A$1,0,0,COUNTA([2]enemies!$A:$A),MATCH(AA$1,[2]enemies!$1:$1,0)-MATCH($L$1,[2]enemies!$1:$1,0)+1),MATCH(AA$1,[2]enemies!$1:$1,0)-MATCH($L$1,[2]enemies!$1:$1,0)+1,FALSE)</f>
        <v>3</v>
      </c>
      <c r="AB116" s="52">
        <v>25</v>
      </c>
      <c r="AC116" s="4" t="str">
        <f ca="1">VLOOKUP($AB116,OFFSET([3]characters!$A$1,0,0,COUNTA([3]characters!$A:$A),MATCH(AC$1,[3]characters!$1:$1,0)-MATCH("character_id",[3]characters!$1:$1,0)+1),MATCH(AC$1,[3]characters!$1:$1,0)-MATCH("character_id",[3]characters!$1:$1,0)+1,FALSE)</f>
        <v>ハチ</v>
      </c>
      <c r="AD116" s="4">
        <f ca="1">VLOOKUP($AB116,OFFSET([3]characters!$A$1,0,0,COUNTA([3]characters!$A:$A),MATCH(AD$1,[3]characters!$1:$1,0)-MATCH("character_id",[3]characters!$1:$1,0)+1),MATCH(AD$1,[3]characters!$1:$1,0)-MATCH("character_id",[3]characters!$1:$1,0)+1,FALSE)</f>
        <v>1</v>
      </c>
      <c r="AE116" s="4" t="str">
        <f ca="1">VLOOKUP($AB116,OFFSET([3]characters!$A$1,0,0,COUNTA([3]characters!$A:$A),MATCH(AE$1,[3]characters!$1:$1,0)-MATCH("character_id",[3]characters!$1:$1,0)+1),MATCH(AE$1,[3]characters!$1:$1,0)-MATCH("character_id",[3]characters!$1:$1,0)+1,FALSE)</f>
        <v>Drop1N</v>
      </c>
      <c r="AF116" s="7">
        <v>7</v>
      </c>
      <c r="AG116" s="26">
        <f t="shared" ca="1" si="82"/>
        <v>1</v>
      </c>
      <c r="AH116" s="8">
        <v>20</v>
      </c>
      <c r="AI116" s="7">
        <v>0</v>
      </c>
      <c r="AJ116" s="7">
        <v>0</v>
      </c>
      <c r="AK116" s="7">
        <v>0</v>
      </c>
      <c r="AL116" s="7">
        <v>0</v>
      </c>
      <c r="AM116" s="7">
        <v>1</v>
      </c>
    </row>
    <row r="117" spans="1:39" ht="14" x14ac:dyDescent="0.15">
      <c r="A117" s="18" t="str">
        <f t="shared" ca="1" si="111"/>
        <v>22_5-1/37&lt;lv48&gt;s3</v>
      </c>
      <c r="B117" s="50">
        <v>22</v>
      </c>
      <c r="C117" s="49">
        <v>5</v>
      </c>
      <c r="D117" s="2" t="str">
        <f t="shared" si="112"/>
        <v>22_5</v>
      </c>
      <c r="E117" s="2" t="str">
        <f t="shared" si="112"/>
        <v>5_22_5</v>
      </c>
      <c r="F117" s="4" t="str">
        <f ca="1">VLOOKUP($D117,OFFSET([1]stages!$A$1,0,0,COUNTA([1]stages!$A:$A),MATCH(F$1,[1]stages!$2:$2,0)-MATCH($D$1,[1]stages!$2:$2,0)+1),MATCH(F$1,[1]stages!$2:$2,0)-MATCH($D$1,[1]stages!$2:$2,0)+1,FALSE)</f>
        <v>22-5．真宴の月光</v>
      </c>
      <c r="G117" s="57">
        <v>1</v>
      </c>
      <c r="H117" s="17" t="str">
        <f t="shared" si="113"/>
        <v>22_5-1</v>
      </c>
      <c r="I117" s="17"/>
      <c r="J117" s="17"/>
      <c r="K117" s="65" t="s">
        <v>56</v>
      </c>
      <c r="L117" s="52">
        <v>37</v>
      </c>
      <c r="M117" s="21" t="str">
        <f ca="1">VLOOKUP($L117,OFFSET([2]enemies!$A$1,0,0,COUNTA([2]enemies!$A:$A),MATCH(M$1,[2]enemies!$1:$1,0)-MATCH($L$1,[2]enemies!$1:$1,0)+1),MATCH(M$1,[2]enemies!$1:$1,0)-MATCH($L$1,[2]enemies!$1:$1,0)+1,FALSE)</f>
        <v>ガイル</v>
      </c>
      <c r="N117" s="21" t="str">
        <f ca="1">VLOOKUP($L117,OFFSET([2]enemies!$A$1,0,0,COUNTA([2]enemies!$A:$A),MATCH(N$1,[2]enemies!$1:$1,0)-MATCH($L$1,[2]enemies!$1:$1,0)+1),MATCH(N$1,[2]enemies!$1:$1,0)-MATCH($L$1,[2]enemies!$1:$1,0)+1,FALSE)</f>
        <v>blue</v>
      </c>
      <c r="O117" s="21" t="str">
        <f ca="1">VLOOKUP($L117,OFFSET([3]characters!$A$1,0,0,COUNTA([3]characters!$A:$A),MATCH(O$1,[3]characters!$1:$1,0)-MATCH($L$1,[3]characters!$1:$1,0)+1),MATCH(O$1,[3]characters!$1:$1,0)-MATCH($L$1,[3]characters!$1:$1,0)+1,FALSE)</f>
        <v>Drop1S</v>
      </c>
      <c r="P117" s="21" t="str">
        <f ca="1">VLOOKUP($L117,OFFSET([2]enemies!$A$1,0,0,COUNTA([2]enemies!$A:$A),MATCH(P$1,[2]enemies!$1:$1,0)-MATCH($L$1,[2]enemies!$1:$1,0)+1),MATCH(P$1,[2]enemies!$1:$1,0)-MATCH($L$1,[2]enemies!$1:$1,0)+1,FALSE)</f>
        <v>animal</v>
      </c>
      <c r="Q117" s="21">
        <f ca="1">VLOOKUP($L117,OFFSET([2]enemies!$A$1,0,0,COUNTA([2]enemies!$A:$A),MATCH(Q$1,[2]enemies!$1:$1,0)-MATCH($L$1,[2]enemies!$1:$1,0)+1),MATCH(Q$1,[2]enemies!$1:$1,0)-MATCH($L$1,[2]enemies!$1:$1,0)+1,FALSE)</f>
        <v>15</v>
      </c>
      <c r="R117" s="53">
        <v>48</v>
      </c>
      <c r="S117" s="27">
        <v>1</v>
      </c>
      <c r="T117" s="27">
        <v>1</v>
      </c>
      <c r="U117" s="5">
        <v>0</v>
      </c>
      <c r="V117" s="4" t="str">
        <f ca="1">VLOOKUP($W117,OFFSET([4]enemy_skill_sets!$B$1,0,0,COUNTA([4]enemy_skill_sets!$B:$B),MATCH(M$1,[4]enemy_skill_sets!$1:$1,0)-MATCH($W$1,[4]enemy_skill_sets!$1:$1,0)+2),MATCH(M$1,[4]enemy_skill_sets!$1:$1,0)-MATCH($W$1,[4]enemy_skill_sets!$1:$1,0)+2,FALSE)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117" s="4">
        <f ca="1">VLOOKUP($L117,OFFSET([2]enemies!$A$1,0,0,COUNTA([2]enemies!$A:$A),MATCH(W$1,[2]enemies!$1:$1,0)-MATCH($L$1,[2]enemies!$1:$1,0)+1),MATCH(W$1,[2]enemies!$1:$1,0)-MATCH($L$1,[2]enemies!$1:$1,0)+1,FALSE)</f>
        <v>37</v>
      </c>
      <c r="X117" s="6">
        <v>0</v>
      </c>
      <c r="Y117" s="6">
        <v>100</v>
      </c>
      <c r="Z117" s="6">
        <v>0</v>
      </c>
      <c r="AA117" s="4">
        <f ca="1">VLOOKUP($L117,OFFSET([2]enemies!$A$1,0,0,COUNTA([2]enemies!$A:$A),MATCH(AA$1,[2]enemies!$1:$1,0)-MATCH($L$1,[2]enemies!$1:$1,0)+1),MATCH(AA$1,[2]enemies!$1:$1,0)-MATCH($L$1,[2]enemies!$1:$1,0)+1,FALSE)</f>
        <v>3</v>
      </c>
      <c r="AB117" s="52">
        <v>37</v>
      </c>
      <c r="AC117" s="4" t="str">
        <f ca="1">VLOOKUP($AB117,OFFSET([3]characters!$A$1,0,0,COUNTA([3]characters!$A:$A),MATCH(AC$1,[3]characters!$1:$1,0)-MATCH("character_id",[3]characters!$1:$1,0)+1),MATCH(AC$1,[3]characters!$1:$1,0)-MATCH("character_id",[3]characters!$1:$1,0)+1,FALSE)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117" s="4">
        <f ca="1">VLOOKUP($AB117,OFFSET([3]characters!$A$1,0,0,COUNTA([3]characters!$A:$A),MATCH(AD$1,[3]characters!$1:$1,0)-MATCH("character_id",[3]characters!$1:$1,0)+1),MATCH(AD$1,[3]characters!$1:$1,0)-MATCH("character_id",[3]characters!$1:$1,0)+1,FALSE)</f>
        <v>2</v>
      </c>
      <c r="AE117" s="4" t="str">
        <f ca="1">VLOOKUP($AB117,OFFSET([3]characters!$A$1,0,0,COUNTA([3]characters!$A:$A),MATCH(AE$1,[3]characters!$1:$1,0)-MATCH("character_id",[3]characters!$1:$1,0)+1),MATCH(AE$1,[3]characters!$1:$1,0)-MATCH("character_id",[3]characters!$1:$1,0)+1,FALSE)</f>
        <v>Drop1S</v>
      </c>
      <c r="AF117" s="7">
        <v>5</v>
      </c>
      <c r="AG117" s="26">
        <f t="shared" ca="1" si="82"/>
        <v>2</v>
      </c>
      <c r="AH117" s="8">
        <v>20</v>
      </c>
      <c r="AI117" s="7">
        <v>0</v>
      </c>
      <c r="AJ117" s="7">
        <v>0</v>
      </c>
      <c r="AK117" s="7">
        <v>0</v>
      </c>
      <c r="AL117" s="7">
        <v>0</v>
      </c>
      <c r="AM117" s="7">
        <v>1</v>
      </c>
    </row>
    <row r="118" spans="1:39" ht="14" x14ac:dyDescent="0.15">
      <c r="A118" s="18" t="str">
        <f t="shared" ca="1" si="111"/>
        <v>22_5-1/45&lt;lv48&gt;s3</v>
      </c>
      <c r="B118" s="50">
        <v>22</v>
      </c>
      <c r="C118" s="49">
        <v>5</v>
      </c>
      <c r="D118" s="2" t="str">
        <f t="shared" si="112"/>
        <v>22_5</v>
      </c>
      <c r="E118" s="2" t="str">
        <f t="shared" si="112"/>
        <v>5_22_5</v>
      </c>
      <c r="F118" s="4" t="str">
        <f ca="1">VLOOKUP($D118,OFFSET([1]stages!$A$1,0,0,COUNTA([1]stages!$A:$A),MATCH(F$1,[1]stages!$2:$2,0)-MATCH($D$1,[1]stages!$2:$2,0)+1),MATCH(F$1,[1]stages!$2:$2,0)-MATCH($D$1,[1]stages!$2:$2,0)+1,FALSE)</f>
        <v>22-5．真宴の月光</v>
      </c>
      <c r="G118" s="57">
        <v>1</v>
      </c>
      <c r="H118" s="17" t="str">
        <f t="shared" si="113"/>
        <v>22_5-1</v>
      </c>
      <c r="I118" s="17"/>
      <c r="J118" s="17"/>
      <c r="K118" s="65" t="s">
        <v>56</v>
      </c>
      <c r="L118" s="52">
        <v>45</v>
      </c>
      <c r="M118" s="21" t="str">
        <f ca="1">VLOOKUP($L118,OFFSET([2]enemies!$A$1,0,0,COUNTA([2]enemies!$A:$A),MATCH(M$1,[2]enemies!$1:$1,0)-MATCH($L$1,[2]enemies!$1:$1,0)+1),MATCH(M$1,[2]enemies!$1:$1,0)-MATCH($L$1,[2]enemies!$1:$1,0)+1,FALSE)</f>
        <v>ショウイン</v>
      </c>
      <c r="N118" s="21" t="str">
        <f ca="1">VLOOKUP($L118,OFFSET([2]enemies!$A$1,0,0,COUNTA([2]enemies!$A:$A),MATCH(N$1,[2]enemies!$1:$1,0)-MATCH($L$1,[2]enemies!$1:$1,0)+1),MATCH(N$1,[2]enemies!$1:$1,0)-MATCH($L$1,[2]enemies!$1:$1,0)+1,FALSE)</f>
        <v>blue</v>
      </c>
      <c r="O118" s="21" t="str">
        <f ca="1">VLOOKUP($L118,OFFSET([3]characters!$A$1,0,0,COUNTA([3]characters!$A:$A),MATCH(O$1,[3]characters!$1:$1,0)-MATCH($L$1,[3]characters!$1:$1,0)+1),MATCH(O$1,[3]characters!$1:$1,0)-MATCH($L$1,[3]characters!$1:$1,0)+1,FALSE)</f>
        <v>Drop1N</v>
      </c>
      <c r="P118" s="21" t="str">
        <f ca="1">VLOOKUP($L118,OFFSET([2]enemies!$A$1,0,0,COUNTA([2]enemies!$A:$A),MATCH(P$1,[2]enemies!$1:$1,0)-MATCH($L$1,[2]enemies!$1:$1,0)+1),MATCH(P$1,[2]enemies!$1:$1,0)-MATCH($L$1,[2]enemies!$1:$1,0)+1,FALSE)</f>
        <v>animal</v>
      </c>
      <c r="Q118" s="21">
        <f ca="1">VLOOKUP($L118,OFFSET([2]enemies!$A$1,0,0,COUNTA([2]enemies!$A:$A),MATCH(Q$1,[2]enemies!$1:$1,0)-MATCH($L$1,[2]enemies!$1:$1,0)+1),MATCH(Q$1,[2]enemies!$1:$1,0)-MATCH($L$1,[2]enemies!$1:$1,0)+1,FALSE)</f>
        <v>15</v>
      </c>
      <c r="R118" s="53">
        <v>48</v>
      </c>
      <c r="S118" s="27">
        <v>1</v>
      </c>
      <c r="T118" s="27">
        <v>1</v>
      </c>
      <c r="U118" s="5">
        <v>0</v>
      </c>
      <c r="V118" s="4" t="str">
        <f ca="1">VLOOKUP($W118,OFFSET([4]enemy_skill_sets!$B$1,0,0,COUNTA([4]enemy_skill_sets!$B:$B),MATCH(M$1,[4]enemy_skill_sets!$1:$1,0)-MATCH($W$1,[4]enemy_skill_sets!$1:$1,0)+2),MATCH(M$1,[4]enemy_skill_sets!$1:$1,0)-MATCH($W$1,[4]enemy_skill_sets!$1:$1,0)+2,FALSE)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18" s="4">
        <f ca="1">VLOOKUP($L118,OFFSET([2]enemies!$A$1,0,0,COUNTA([2]enemies!$A:$A),MATCH(W$1,[2]enemies!$1:$1,0)-MATCH($L$1,[2]enemies!$1:$1,0)+1),MATCH(W$1,[2]enemies!$1:$1,0)-MATCH($L$1,[2]enemies!$1:$1,0)+1,FALSE)</f>
        <v>0</v>
      </c>
      <c r="X118" s="6">
        <v>0</v>
      </c>
      <c r="Y118" s="6">
        <v>100</v>
      </c>
      <c r="Z118" s="6">
        <v>0</v>
      </c>
      <c r="AA118" s="4">
        <f ca="1">VLOOKUP($L118,OFFSET([2]enemies!$A$1,0,0,COUNTA([2]enemies!$A:$A),MATCH(AA$1,[2]enemies!$1:$1,0)-MATCH($L$1,[2]enemies!$1:$1,0)+1),MATCH(AA$1,[2]enemies!$1:$1,0)-MATCH($L$1,[2]enemies!$1:$1,0)+1,FALSE)</f>
        <v>3</v>
      </c>
      <c r="AB118" s="52">
        <v>45</v>
      </c>
      <c r="AC118" s="4" t="str">
        <f ca="1">VLOOKUP($AB118,OFFSET([3]characters!$A$1,0,0,COUNTA([3]characters!$A:$A),MATCH(AC$1,[3]characters!$1:$1,0)-MATCH("character_id",[3]characters!$1:$1,0)+1),MATCH(AC$1,[3]characters!$1:$1,0)-MATCH("character_id",[3]characters!$1:$1,0)+1,FALSE)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118" s="4">
        <f ca="1">VLOOKUP($AB118,OFFSET([3]characters!$A$1,0,0,COUNTA([3]characters!$A:$A),MATCH(AD$1,[3]characters!$1:$1,0)-MATCH("character_id",[3]characters!$1:$1,0)+1),MATCH(AD$1,[3]characters!$1:$1,0)-MATCH("character_id",[3]characters!$1:$1,0)+1,FALSE)</f>
        <v>2</v>
      </c>
      <c r="AE118" s="4" t="str">
        <f ca="1">VLOOKUP($AB118,OFFSET([3]characters!$A$1,0,0,COUNTA([3]characters!$A:$A),MATCH(AE$1,[3]characters!$1:$1,0)-MATCH("character_id",[3]characters!$1:$1,0)+1),MATCH(AE$1,[3]characters!$1:$1,0)-MATCH("character_id",[3]characters!$1:$1,0)+1,FALSE)</f>
        <v>Drop1N</v>
      </c>
      <c r="AF118" s="7">
        <v>7</v>
      </c>
      <c r="AG118" s="26">
        <f t="shared" ca="1" si="82"/>
        <v>2</v>
      </c>
      <c r="AH118" s="8">
        <v>20</v>
      </c>
      <c r="AI118" s="7">
        <v>0</v>
      </c>
      <c r="AJ118" s="7">
        <v>0</v>
      </c>
      <c r="AK118" s="7">
        <v>0</v>
      </c>
      <c r="AL118" s="7">
        <v>0</v>
      </c>
      <c r="AM118" s="7">
        <v>1</v>
      </c>
    </row>
    <row r="119" spans="1:39" ht="14" x14ac:dyDescent="0.15">
      <c r="A119" s="18" t="str">
        <f t="shared" ca="1" si="111"/>
        <v>22_5-1/61&lt;lv48&gt;s2</v>
      </c>
      <c r="B119" s="50">
        <v>22</v>
      </c>
      <c r="C119" s="49">
        <v>5</v>
      </c>
      <c r="D119" s="2" t="str">
        <f t="shared" si="112"/>
        <v>22_5</v>
      </c>
      <c r="E119" s="2" t="str">
        <f t="shared" si="112"/>
        <v>5_22_5</v>
      </c>
      <c r="F119" s="4" t="str">
        <f ca="1">VLOOKUP($D119,OFFSET([1]stages!$A$1,0,0,COUNTA([1]stages!$A:$A),MATCH(F$1,[1]stages!$2:$2,0)-MATCH($D$1,[1]stages!$2:$2,0)+1),MATCH(F$1,[1]stages!$2:$2,0)-MATCH($D$1,[1]stages!$2:$2,0)+1,FALSE)</f>
        <v>22-5．真宴の月光</v>
      </c>
      <c r="G119" s="57">
        <v>1</v>
      </c>
      <c r="H119" s="17" t="str">
        <f t="shared" si="113"/>
        <v>22_5-1</v>
      </c>
      <c r="I119" s="17"/>
      <c r="J119" s="17"/>
      <c r="K119" s="65" t="s">
        <v>56</v>
      </c>
      <c r="L119" s="52">
        <v>61</v>
      </c>
      <c r="M119" s="21" t="str">
        <f ca="1">VLOOKUP($L119,OFFSET([2]enemies!$A$1,0,0,COUNTA([2]enemies!$A:$A),MATCH(M$1,[2]enemies!$1:$1,0)-MATCH($L$1,[2]enemies!$1:$1,0)+1),MATCH(M$1,[2]enemies!$1:$1,0)-MATCH($L$1,[2]enemies!$1:$1,0)+1,FALSE)</f>
        <v>クロウ</v>
      </c>
      <c r="N119" s="21" t="str">
        <f ca="1">VLOOKUP($L119,OFFSET([2]enemies!$A$1,0,0,COUNTA([2]enemies!$A:$A),MATCH(N$1,[2]enemies!$1:$1,0)-MATCH($L$1,[2]enemies!$1:$1,0)+1),MATCH(N$1,[2]enemies!$1:$1,0)-MATCH($L$1,[2]enemies!$1:$1,0)+1,FALSE)</f>
        <v>blue</v>
      </c>
      <c r="O119" s="21" t="str">
        <f ca="1">VLOOKUP($L119,OFFSET([3]characters!$A$1,0,0,COUNTA([3]characters!$A:$A),MATCH(O$1,[3]characters!$1:$1,0)-MATCH($L$1,[3]characters!$1:$1,0)+1),MATCH(O$1,[3]characters!$1:$1,0)-MATCH($L$1,[3]characters!$1:$1,0)+1,FALSE)</f>
        <v>Drop1N</v>
      </c>
      <c r="P119" s="21" t="str">
        <f ca="1">VLOOKUP($L119,OFFSET([2]enemies!$A$1,0,0,COUNTA([2]enemies!$A:$A),MATCH(P$1,[2]enemies!$1:$1,0)-MATCH($L$1,[2]enemies!$1:$1,0)+1),MATCH(P$1,[2]enemies!$1:$1,0)-MATCH($L$1,[2]enemies!$1:$1,0)+1,FALSE)</f>
        <v>animal</v>
      </c>
      <c r="Q119" s="21">
        <f ca="1">VLOOKUP($L119,OFFSET([2]enemies!$A$1,0,0,COUNTA([2]enemies!$A:$A),MATCH(Q$1,[2]enemies!$1:$1,0)-MATCH($L$1,[2]enemies!$1:$1,0)+1),MATCH(Q$1,[2]enemies!$1:$1,0)-MATCH($L$1,[2]enemies!$1:$1,0)+1,FALSE)</f>
        <v>15</v>
      </c>
      <c r="R119" s="53">
        <v>48</v>
      </c>
      <c r="S119" s="27">
        <v>1</v>
      </c>
      <c r="T119" s="27">
        <v>1</v>
      </c>
      <c r="U119" s="5">
        <v>0</v>
      </c>
      <c r="V119" s="4" t="str">
        <f ca="1">VLOOKUP($W119,OFFSET([4]enemy_skill_sets!$B$1,0,0,COUNTA([4]enemy_skill_sets!$B:$B),MATCH(M$1,[4]enemy_skill_sets!$1:$1,0)-MATCH($W$1,[4]enemy_skill_sets!$1:$1,0)+2),MATCH(M$1,[4]enemy_skill_sets!$1:$1,0)-MATCH($W$1,[4]enemy_skill_sets!$1:$1,0)+2,FALSE)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19" s="4">
        <f ca="1">VLOOKUP($L119,OFFSET([2]enemies!$A$1,0,0,COUNTA([2]enemies!$A:$A),MATCH(W$1,[2]enemies!$1:$1,0)-MATCH($L$1,[2]enemies!$1:$1,0)+1),MATCH(W$1,[2]enemies!$1:$1,0)-MATCH($L$1,[2]enemies!$1:$1,0)+1,FALSE)</f>
        <v>61</v>
      </c>
      <c r="X119" s="6">
        <v>0</v>
      </c>
      <c r="Y119" s="6">
        <v>100</v>
      </c>
      <c r="Z119" s="6">
        <v>0</v>
      </c>
      <c r="AA119" s="4">
        <f ca="1">VLOOKUP($L119,OFFSET([2]enemies!$A$1,0,0,COUNTA([2]enemies!$A:$A),MATCH(AA$1,[2]enemies!$1:$1,0)-MATCH($L$1,[2]enemies!$1:$1,0)+1),MATCH(AA$1,[2]enemies!$1:$1,0)-MATCH($L$1,[2]enemies!$1:$1,0)+1,FALSE)</f>
        <v>2</v>
      </c>
      <c r="AB119" s="52">
        <v>61</v>
      </c>
      <c r="AC119" s="4" t="str">
        <f ca="1">VLOOKUP($AB119,OFFSET([3]characters!$A$1,0,0,COUNTA([3]characters!$A:$A),MATCH(AC$1,[3]characters!$1:$1,0)-MATCH("character_id",[3]characters!$1:$1,0)+1),MATCH(AC$1,[3]characters!$1:$1,0)-MATCH("character_id",[3]characters!$1:$1,0)+1,FALSE)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119" s="4">
        <f ca="1">VLOOKUP($AB119,OFFSET([3]characters!$A$1,0,0,COUNTA([3]characters!$A:$A),MATCH(AD$1,[3]characters!$1:$1,0)-MATCH("character_id",[3]characters!$1:$1,0)+1),MATCH(AD$1,[3]characters!$1:$1,0)-MATCH("character_id",[3]characters!$1:$1,0)+1,FALSE)</f>
        <v>2</v>
      </c>
      <c r="AE119" s="4" t="str">
        <f ca="1">VLOOKUP($AB119,OFFSET([3]characters!$A$1,0,0,COUNTA([3]characters!$A:$A),MATCH(AE$1,[3]characters!$1:$1,0)-MATCH("character_id",[3]characters!$1:$1,0)+1),MATCH(AE$1,[3]characters!$1:$1,0)-MATCH("character_id",[3]characters!$1:$1,0)+1,FALSE)</f>
        <v>Drop1N</v>
      </c>
      <c r="AF119" s="7">
        <v>7</v>
      </c>
      <c r="AG119" s="26">
        <f t="shared" ca="1" si="82"/>
        <v>2</v>
      </c>
      <c r="AH119" s="8">
        <v>20</v>
      </c>
      <c r="AI119" s="7">
        <v>0</v>
      </c>
      <c r="AJ119" s="7">
        <v>0</v>
      </c>
      <c r="AK119" s="7">
        <v>0</v>
      </c>
      <c r="AL119" s="7">
        <v>0</v>
      </c>
      <c r="AM119" s="7">
        <v>1</v>
      </c>
    </row>
    <row r="120" spans="1:39" ht="14" x14ac:dyDescent="0.15">
      <c r="A120" s="18" t="str">
        <f t="shared" ref="A120" ca="1" si="149">B120&amp;"_"&amp;C120&amp;"-"&amp;G120&amp;"/"&amp;L120&amp;"&lt;lv"&amp;R120&amp;"&gt;s"&amp;AA120</f>
        <v>22_5-1/364&lt;lv48&gt;s3</v>
      </c>
      <c r="B120" s="53">
        <v>22</v>
      </c>
      <c r="C120" s="51">
        <v>5</v>
      </c>
      <c r="D120" s="2" t="str">
        <f t="shared" ref="D120" si="150">B120&amp;"_"&amp;C120</f>
        <v>22_5</v>
      </c>
      <c r="E120" s="2" t="str">
        <f t="shared" ref="E120" si="151">C120&amp;"_"&amp;D120</f>
        <v>5_22_5</v>
      </c>
      <c r="F120" s="4" t="str">
        <f ca="1">VLOOKUP($D120,OFFSET([1]stages!$A$1,0,0,COUNTA([1]stages!$A:$A),MATCH(F$1,[1]stages!$2:$2,0)-MATCH($D$1,[1]stages!$2:$2,0)+1),MATCH(F$1,[1]stages!$2:$2,0)-MATCH($D$1,[1]stages!$2:$2,0)+1,FALSE)</f>
        <v>22-5．真宴の月光</v>
      </c>
      <c r="G120" s="57">
        <v>1</v>
      </c>
      <c r="H120" s="17" t="str">
        <f t="shared" ref="H120" si="152">B120&amp;"_"&amp;C120&amp;"-"&amp;G120</f>
        <v>22_5-1</v>
      </c>
      <c r="I120" s="17"/>
      <c r="J120" s="17"/>
      <c r="K120" s="65" t="s">
        <v>56</v>
      </c>
      <c r="L120" s="52">
        <v>364</v>
      </c>
      <c r="M120" s="21" t="str">
        <f ca="1">VLOOKUP($L120,OFFSET([2]enemies!$A$1,0,0,COUNTA([2]enemies!$A:$A),MATCH(M$1,[2]enemies!$1:$1,0)-MATCH($L$1,[2]enemies!$1:$1,0)+1),MATCH(M$1,[2]enemies!$1:$1,0)-MATCH($L$1,[2]enemies!$1:$1,0)+1,FALSE)</f>
        <v>ノエル</v>
      </c>
      <c r="N120" s="21" t="str">
        <f ca="1">VLOOKUP($L120,OFFSET([2]enemies!$A$1,0,0,COUNTA([2]enemies!$A:$A),MATCH(N$1,[2]enemies!$1:$1,0)-MATCH($L$1,[2]enemies!$1:$1,0)+1),MATCH(N$1,[2]enemies!$1:$1,0)-MATCH($L$1,[2]enemies!$1:$1,0)+1,FALSE)</f>
        <v>blue</v>
      </c>
      <c r="O120" s="21" t="str">
        <f ca="1">VLOOKUP($L120,OFFSET([3]characters!$A$1,0,0,COUNTA([3]characters!$A:$A),MATCH(O$1,[3]characters!$1:$1,0)-MATCH($L$1,[3]characters!$1:$1,0)+1),MATCH(O$1,[3]characters!$1:$1,0)-MATCH($L$1,[3]characters!$1:$1,0)+1,FALSE)</f>
        <v>Drop1S</v>
      </c>
      <c r="P120" s="21" t="str">
        <f ca="1">VLOOKUP($L120,OFFSET([2]enemies!$A$1,0,0,COUNTA([2]enemies!$A:$A),MATCH(P$1,[2]enemies!$1:$1,0)-MATCH($L$1,[2]enemies!$1:$1,0)+1),MATCH(P$1,[2]enemies!$1:$1,0)-MATCH($L$1,[2]enemies!$1:$1,0)+1,FALSE)</f>
        <v>animal</v>
      </c>
      <c r="Q120" s="21">
        <f ca="1">VLOOKUP($L120,OFFSET([2]enemies!$A$1,0,0,COUNTA([2]enemies!$A:$A),MATCH(Q$1,[2]enemies!$1:$1,0)-MATCH($L$1,[2]enemies!$1:$1,0)+1),MATCH(Q$1,[2]enemies!$1:$1,0)-MATCH($L$1,[2]enemies!$1:$1,0)+1,FALSE)</f>
        <v>15</v>
      </c>
      <c r="R120" s="53">
        <v>48</v>
      </c>
      <c r="S120" s="27">
        <v>1</v>
      </c>
      <c r="T120" s="27">
        <v>1</v>
      </c>
      <c r="U120" s="5">
        <v>0</v>
      </c>
      <c r="V120" s="4" t="str">
        <f ca="1">VLOOKUP($W120,OFFSET([4]enemy_skill_sets!$B$1,0,0,COUNTA([4]enemy_skill_sets!$B:$B),MATCH(M$1,[4]enemy_skill_sets!$1:$1,0)-MATCH($W$1,[4]enemy_skill_sets!$1:$1,0)+2),MATCH(M$1,[4]enemy_skill_sets!$1:$1,0)-MATCH($W$1,[4]enemy_skill_sets!$1:$1,0)+2,FALSE)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120" s="64">
        <v>364</v>
      </c>
      <c r="X120" s="6">
        <v>0</v>
      </c>
      <c r="Y120" s="6">
        <v>100</v>
      </c>
      <c r="Z120" s="6">
        <v>0</v>
      </c>
      <c r="AA120" s="4">
        <f ca="1">VLOOKUP($L120,OFFSET([2]enemies!$A$1,0,0,COUNTA([2]enemies!$A:$A),MATCH(AA$1,[2]enemies!$1:$1,0)-MATCH($L$1,[2]enemies!$1:$1,0)+1),MATCH(AA$1,[2]enemies!$1:$1,0)-MATCH($L$1,[2]enemies!$1:$1,0)+1,FALSE)</f>
        <v>3</v>
      </c>
      <c r="AB120" s="52">
        <v>364</v>
      </c>
      <c r="AC120" s="4" t="str">
        <f ca="1">VLOOKUP($AB120,OFFSET([3]characters!$A$1,0,0,COUNTA([3]characters!$A:$A),MATCH(AC$1,[3]characters!$1:$1,0)-MATCH("character_id",[3]characters!$1:$1,0)+1),MATCH(AC$1,[3]characters!$1:$1,0)-MATCH("character_id",[3]characters!$1:$1,0)+1,FALSE)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120" s="4">
        <f ca="1">VLOOKUP($AB120,OFFSET([3]characters!$A$1,0,0,COUNTA([3]characters!$A:$A),MATCH(AD$1,[3]characters!$1:$1,0)-MATCH("character_id",[3]characters!$1:$1,0)+1),MATCH(AD$1,[3]characters!$1:$1,0)-MATCH("character_id",[3]characters!$1:$1,0)+1,FALSE)</f>
        <v>2</v>
      </c>
      <c r="AE120" s="4" t="str">
        <f ca="1">VLOOKUP($AB120,OFFSET([3]characters!$A$1,0,0,COUNTA([3]characters!$A:$A),MATCH(AE$1,[3]characters!$1:$1,0)-MATCH("character_id",[3]characters!$1:$1,0)+1),MATCH(AE$1,[3]characters!$1:$1,0)-MATCH("character_id",[3]characters!$1:$1,0)+1,FALSE)</f>
        <v>Drop1S</v>
      </c>
      <c r="AF120" s="7">
        <v>7</v>
      </c>
      <c r="AG120" s="26">
        <f t="shared" ca="1" si="82"/>
        <v>2</v>
      </c>
      <c r="AH120" s="8">
        <v>20</v>
      </c>
      <c r="AI120" s="7">
        <v>0</v>
      </c>
      <c r="AJ120" s="7">
        <v>0</v>
      </c>
      <c r="AK120" s="7">
        <v>0</v>
      </c>
      <c r="AL120" s="7">
        <v>0</v>
      </c>
      <c r="AM120" s="7">
        <v>1</v>
      </c>
    </row>
    <row r="121" spans="1:39" ht="14" x14ac:dyDescent="0.15">
      <c r="A121" s="18" t="str">
        <f t="shared" ref="A121" ca="1" si="153">B121&amp;"_"&amp;C121&amp;"-"&amp;G121&amp;"/"&amp;L121&amp;"&lt;lv"&amp;R121&amp;"&gt;s"&amp;AA121</f>
        <v>22_5-1/348&lt;lv48&gt;s3</v>
      </c>
      <c r="B121" s="53">
        <v>22</v>
      </c>
      <c r="C121" s="51">
        <v>5</v>
      </c>
      <c r="D121" s="2" t="str">
        <f t="shared" ref="D121" si="154">B121&amp;"_"&amp;C121</f>
        <v>22_5</v>
      </c>
      <c r="E121" s="2" t="str">
        <f t="shared" ref="E121" si="155">C121&amp;"_"&amp;D121</f>
        <v>5_22_5</v>
      </c>
      <c r="F121" s="4" t="str">
        <f ca="1">VLOOKUP($D121,OFFSET([1]stages!$A$1,0,0,COUNTA([1]stages!$A:$A),MATCH(F$1,[1]stages!$2:$2,0)-MATCH($D$1,[1]stages!$2:$2,0)+1),MATCH(F$1,[1]stages!$2:$2,0)-MATCH($D$1,[1]stages!$2:$2,0)+1,FALSE)</f>
        <v>22-5．真宴の月光</v>
      </c>
      <c r="G121" s="57">
        <v>1</v>
      </c>
      <c r="H121" s="17" t="str">
        <f t="shared" ref="H121" si="156">B121&amp;"_"&amp;C121&amp;"-"&amp;G121</f>
        <v>22_5-1</v>
      </c>
      <c r="I121" s="17"/>
      <c r="J121" s="17"/>
      <c r="K121" s="65" t="s">
        <v>56</v>
      </c>
      <c r="L121" s="52">
        <v>348</v>
      </c>
      <c r="M121" s="21" t="str">
        <f ca="1">VLOOKUP($L121,OFFSET([2]enemies!$A$1,0,0,COUNTA([2]enemies!$A:$A),MATCH(M$1,[2]enemies!$1:$1,0)-MATCH($L$1,[2]enemies!$1:$1,0)+1),MATCH(M$1,[2]enemies!$1:$1,0)-MATCH($L$1,[2]enemies!$1:$1,0)+1,FALSE)</f>
        <v>炎のケロケロ</v>
      </c>
      <c r="N121" s="21" t="str">
        <f ca="1">VLOOKUP($L121,OFFSET([2]enemies!$A$1,0,0,COUNTA([2]enemies!$A:$A),MATCH(N$1,[2]enemies!$1:$1,0)-MATCH($L$1,[2]enemies!$1:$1,0)+1),MATCH(N$1,[2]enemies!$1:$1,0)-MATCH($L$1,[2]enemies!$1:$1,0)+1,FALSE)</f>
        <v>red</v>
      </c>
      <c r="O121" s="21" t="str">
        <f ca="1">VLOOKUP($L121,OFFSET([3]characters!$A$1,0,0,COUNTA([3]characters!$A:$A),MATCH(O$1,[3]characters!$1:$1,0)-MATCH($L$1,[3]characters!$1:$1,0)+1),MATCH(O$1,[3]characters!$1:$1,0)-MATCH($L$1,[3]characters!$1:$1,0)+1,FALSE)</f>
        <v>Material</v>
      </c>
      <c r="P121" s="21" t="str">
        <f ca="1">VLOOKUP($L121,OFFSET([2]enemies!$A$1,0,0,COUNTA([2]enemies!$A:$A),MATCH(P$1,[2]enemies!$1:$1,0)-MATCH($L$1,[2]enemies!$1:$1,0)+1),MATCH(P$1,[2]enemies!$1:$1,0)-MATCH($L$1,[2]enemies!$1:$1,0)+1,FALSE)</f>
        <v>unknown</v>
      </c>
      <c r="Q121" s="21">
        <f ca="1">VLOOKUP($L121,OFFSET([2]enemies!$A$1,0,0,COUNTA([2]enemies!$A:$A),MATCH(Q$1,[2]enemies!$1:$1,0)-MATCH($L$1,[2]enemies!$1:$1,0)+1),MATCH(Q$1,[2]enemies!$1:$1,0)-MATCH($L$1,[2]enemies!$1:$1,0)+1,FALSE)</f>
        <v>15</v>
      </c>
      <c r="R121" s="53">
        <v>48</v>
      </c>
      <c r="S121" s="27">
        <v>1</v>
      </c>
      <c r="T121" s="27">
        <v>1</v>
      </c>
      <c r="U121" s="5">
        <v>0</v>
      </c>
      <c r="V121" s="4" t="str">
        <f ca="1">VLOOKUP($W121,OFFSET([4]enemy_skill_sets!$B$1,0,0,COUNTA([4]enemy_skill_sets!$B:$B),MATCH(M$1,[4]enemy_skill_sets!$1:$1,0)-MATCH($W$1,[4]enemy_skill_sets!$1:$1,0)+2),MATCH(M$1,[4]enemy_skill_sets!$1:$1,0)-MATCH($W$1,[4]enemy_skill_sets!$1:$1,0)+2,FALSE)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121" s="64">
        <v>348</v>
      </c>
      <c r="X121" s="6">
        <v>0</v>
      </c>
      <c r="Y121" s="6">
        <v>100</v>
      </c>
      <c r="Z121" s="6">
        <v>0</v>
      </c>
      <c r="AA121" s="4">
        <f ca="1">VLOOKUP($L121,OFFSET([2]enemies!$A$1,0,0,COUNTA([2]enemies!$A:$A),MATCH(AA$1,[2]enemies!$1:$1,0)-MATCH($L$1,[2]enemies!$1:$1,0)+1),MATCH(AA$1,[2]enemies!$1:$1,0)-MATCH($L$1,[2]enemies!$1:$1,0)+1,FALSE)</f>
        <v>3</v>
      </c>
      <c r="AB121" s="52">
        <v>348</v>
      </c>
      <c r="AC121" s="4" t="str">
        <f ca="1">VLOOKUP($AB121,OFFSET([3]characters!$A$1,0,0,COUNTA([3]characters!$A:$A),MATCH(AC$1,[3]characters!$1:$1,0)-MATCH("character_id",[3]characters!$1:$1,0)+1),MATCH(AC$1,[3]characters!$1:$1,0)-MATCH("character_id",[3]characters!$1:$1,0)+1,FALSE)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121" s="4">
        <f ca="1">VLOOKUP($AB121,OFFSET([3]characters!$A$1,0,0,COUNTA([3]characters!$A:$A),MATCH(AD$1,[3]characters!$1:$1,0)-MATCH("character_id",[3]characters!$1:$1,0)+1),MATCH(AD$1,[3]characters!$1:$1,0)-MATCH("character_id",[3]characters!$1:$1,0)+1,FALSE)</f>
        <v>2</v>
      </c>
      <c r="AE121" s="4" t="str">
        <f ca="1">VLOOKUP($AB121,OFFSET([3]characters!$A$1,0,0,COUNTA([3]characters!$A:$A),MATCH(AE$1,[3]characters!$1:$1,0)-MATCH("character_id",[3]characters!$1:$1,0)+1),MATCH(AE$1,[3]characters!$1:$1,0)-MATCH("character_id",[3]characters!$1:$1,0)+1,FALSE)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21" s="7">
        <v>10</v>
      </c>
      <c r="AG121" s="26">
        <f t="shared" ca="1" si="82"/>
        <v>2</v>
      </c>
      <c r="AH121" s="8">
        <v>20</v>
      </c>
      <c r="AI121" s="7">
        <v>0</v>
      </c>
      <c r="AJ121" s="7">
        <v>0</v>
      </c>
      <c r="AK121" s="7">
        <v>0</v>
      </c>
      <c r="AL121" s="7">
        <v>0</v>
      </c>
      <c r="AM121" s="7">
        <v>1</v>
      </c>
    </row>
    <row r="122" spans="1:39" ht="14" x14ac:dyDescent="0.15">
      <c r="A122" s="18" t="str">
        <f t="shared" ca="1" si="111"/>
        <v>22_5-2/9&lt;lv48&gt;s2</v>
      </c>
      <c r="B122" s="50">
        <v>22</v>
      </c>
      <c r="C122" s="49">
        <v>5</v>
      </c>
      <c r="D122" s="2" t="str">
        <f t="shared" si="112"/>
        <v>22_5</v>
      </c>
      <c r="E122" s="2" t="str">
        <f t="shared" si="112"/>
        <v>5_22_5</v>
      </c>
      <c r="F122" s="4" t="str">
        <f ca="1">VLOOKUP($D122,OFFSET([1]stages!$A$1,0,0,COUNTA([1]stages!$A:$A),MATCH(F$1,[1]stages!$2:$2,0)-MATCH($D$1,[1]stages!$2:$2,0)+1),MATCH(F$1,[1]stages!$2:$2,0)-MATCH($D$1,[1]stages!$2:$2,0)+1,FALSE)</f>
        <v>22-5．真宴の月光</v>
      </c>
      <c r="G122" s="54">
        <v>2</v>
      </c>
      <c r="H122" s="17" t="str">
        <f t="shared" si="113"/>
        <v>22_5-2</v>
      </c>
      <c r="I122" s="17"/>
      <c r="J122" s="17"/>
      <c r="K122" s="65" t="s">
        <v>56</v>
      </c>
      <c r="L122" s="52">
        <v>9</v>
      </c>
      <c r="M122" s="21" t="str">
        <f ca="1">VLOOKUP($L122,OFFSET([2]enemies!$A$1,0,0,COUNTA([2]enemies!$A:$A),MATCH(M$1,[2]enemies!$1:$1,0)-MATCH($L$1,[2]enemies!$1:$1,0)+1),MATCH(M$1,[2]enemies!$1:$1,0)-MATCH($L$1,[2]enemies!$1:$1,0)+1,FALSE)</f>
        <v>ブレット</v>
      </c>
      <c r="N122" s="21" t="str">
        <f ca="1">VLOOKUP($L122,OFFSET([2]enemies!$A$1,0,0,COUNTA([2]enemies!$A:$A),MATCH(N$1,[2]enemies!$1:$1,0)-MATCH($L$1,[2]enemies!$1:$1,0)+1),MATCH(N$1,[2]enemies!$1:$1,0)-MATCH($L$1,[2]enemies!$1:$1,0)+1,FALSE)</f>
        <v>red</v>
      </c>
      <c r="O122" s="21" t="str">
        <f ca="1">VLOOKUP($L122,OFFSET([3]characters!$A$1,0,0,COUNTA([3]characters!$A:$A),MATCH(O$1,[3]characters!$1:$1,0)-MATCH($L$1,[3]characters!$1:$1,0)+1),MATCH(O$1,[3]characters!$1:$1,0)-MATCH($L$1,[3]characters!$1:$1,0)+1,FALSE)</f>
        <v>Drop1W</v>
      </c>
      <c r="P122" s="21" t="str">
        <f ca="1">VLOOKUP($L122,OFFSET([2]enemies!$A$1,0,0,COUNTA([2]enemies!$A:$A),MATCH(P$1,[2]enemies!$1:$1,0)-MATCH($L$1,[2]enemies!$1:$1,0)+1),MATCH(P$1,[2]enemies!$1:$1,0)-MATCH($L$1,[2]enemies!$1:$1,0)+1,FALSE)</f>
        <v>animal</v>
      </c>
      <c r="Q122" s="21">
        <f ca="1">VLOOKUP($L122,OFFSET([2]enemies!$A$1,0,0,COUNTA([2]enemies!$A:$A),MATCH(Q$1,[2]enemies!$1:$1,0)-MATCH($L$1,[2]enemies!$1:$1,0)+1),MATCH(Q$1,[2]enemies!$1:$1,0)-MATCH($L$1,[2]enemies!$1:$1,0)+1,FALSE)</f>
        <v>15</v>
      </c>
      <c r="R122" s="53">
        <v>48</v>
      </c>
      <c r="S122" s="27">
        <v>1</v>
      </c>
      <c r="T122" s="27">
        <v>1</v>
      </c>
      <c r="U122" s="5">
        <v>0</v>
      </c>
      <c r="V122" s="4" t="str">
        <f ca="1">VLOOKUP($W122,OFFSET([4]enemy_skill_sets!$B$1,0,0,COUNTA([4]enemy_skill_sets!$B:$B),MATCH(M$1,[4]enemy_skill_sets!$1:$1,0)-MATCH($W$1,[4]enemy_skill_sets!$1:$1,0)+2),MATCH(M$1,[4]enemy_skill_sets!$1:$1,0)-MATCH($W$1,[4]enemy_skill_sets!$1:$1,0)+2,FALSE)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22" s="4">
        <f ca="1">VLOOKUP($L122,OFFSET([2]enemies!$A$1,0,0,COUNTA([2]enemies!$A:$A),MATCH(W$1,[2]enemies!$1:$1,0)-MATCH($L$1,[2]enemies!$1:$1,0)+1),MATCH(W$1,[2]enemies!$1:$1,0)-MATCH($L$1,[2]enemies!$1:$1,0)+1,FALSE)</f>
        <v>0</v>
      </c>
      <c r="X122" s="6">
        <v>0</v>
      </c>
      <c r="Y122" s="6">
        <v>100</v>
      </c>
      <c r="Z122" s="6">
        <v>0</v>
      </c>
      <c r="AA122" s="4">
        <f ca="1">VLOOKUP($L122,OFFSET([2]enemies!$A$1,0,0,COUNTA([2]enemies!$A:$A),MATCH(AA$1,[2]enemies!$1:$1,0)-MATCH($L$1,[2]enemies!$1:$1,0)+1),MATCH(AA$1,[2]enemies!$1:$1,0)-MATCH($L$1,[2]enemies!$1:$1,0)+1,FALSE)</f>
        <v>2</v>
      </c>
      <c r="AB122" s="52">
        <v>9</v>
      </c>
      <c r="AC122" s="4" t="str">
        <f ca="1">VLOOKUP($AB122,OFFSET([3]characters!$A$1,0,0,COUNTA([3]characters!$A:$A),MATCH(AC$1,[3]characters!$1:$1,0)-MATCH("character_id",[3]characters!$1:$1,0)+1),MATCH(AC$1,[3]characters!$1:$1,0)-MATCH("character_id",[3]characters!$1:$1,0)+1,FALSE)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122" s="4">
        <f ca="1">VLOOKUP($AB122,OFFSET([3]characters!$A$1,0,0,COUNTA([3]characters!$A:$A),MATCH(AD$1,[3]characters!$1:$1,0)-MATCH("character_id",[3]characters!$1:$1,0)+1),MATCH(AD$1,[3]characters!$1:$1,0)-MATCH("character_id",[3]characters!$1:$1,0)+1,FALSE)</f>
        <v>1</v>
      </c>
      <c r="AE122" s="4" t="str">
        <f ca="1">VLOOKUP($AB122,OFFSET([3]characters!$A$1,0,0,COUNTA([3]characters!$A:$A),MATCH(AE$1,[3]characters!$1:$1,0)-MATCH("character_id",[3]characters!$1:$1,0)+1),MATCH(AE$1,[3]characters!$1:$1,0)-MATCH("character_id",[3]characters!$1:$1,0)+1,FALSE)</f>
        <v>Drop1W</v>
      </c>
      <c r="AF122" s="7">
        <v>9</v>
      </c>
      <c r="AG122" s="26">
        <f t="shared" ca="1" si="82"/>
        <v>1</v>
      </c>
      <c r="AH122" s="8">
        <v>20</v>
      </c>
      <c r="AI122" s="7">
        <v>0</v>
      </c>
      <c r="AJ122" s="7">
        <v>0</v>
      </c>
      <c r="AK122" s="7">
        <v>0</v>
      </c>
      <c r="AL122" s="7">
        <v>0</v>
      </c>
      <c r="AM122" s="7">
        <v>1</v>
      </c>
    </row>
    <row r="123" spans="1:39" ht="14" x14ac:dyDescent="0.15">
      <c r="A123" s="18" t="str">
        <f t="shared" ca="1" si="111"/>
        <v>22_5-2/33&lt;lv48&gt;s2</v>
      </c>
      <c r="B123" s="50">
        <v>22</v>
      </c>
      <c r="C123" s="49">
        <v>5</v>
      </c>
      <c r="D123" s="2" t="str">
        <f t="shared" si="112"/>
        <v>22_5</v>
      </c>
      <c r="E123" s="2" t="str">
        <f t="shared" si="112"/>
        <v>5_22_5</v>
      </c>
      <c r="F123" s="4" t="str">
        <f ca="1">VLOOKUP($D123,OFFSET([1]stages!$A$1,0,0,COUNTA([1]stages!$A:$A),MATCH(F$1,[1]stages!$2:$2,0)-MATCH($D$1,[1]stages!$2:$2,0)+1),MATCH(F$1,[1]stages!$2:$2,0)-MATCH($D$1,[1]stages!$2:$2,0)+1,FALSE)</f>
        <v>22-5．真宴の月光</v>
      </c>
      <c r="G123" s="54">
        <v>2</v>
      </c>
      <c r="H123" s="17" t="str">
        <f t="shared" si="113"/>
        <v>22_5-2</v>
      </c>
      <c r="I123" s="17"/>
      <c r="J123" s="17"/>
      <c r="K123" s="65" t="s">
        <v>56</v>
      </c>
      <c r="L123" s="52">
        <v>33</v>
      </c>
      <c r="M123" s="21" t="str">
        <f ca="1">VLOOKUP($L123,OFFSET([2]enemies!$A$1,0,0,COUNTA([2]enemies!$A:$A),MATCH(M$1,[2]enemies!$1:$1,0)-MATCH($L$1,[2]enemies!$1:$1,0)+1),MATCH(M$1,[2]enemies!$1:$1,0)-MATCH($L$1,[2]enemies!$1:$1,0)+1,FALSE)</f>
        <v>ゴクウ</v>
      </c>
      <c r="N123" s="21" t="str">
        <f ca="1">VLOOKUP($L123,OFFSET([2]enemies!$A$1,0,0,COUNTA([2]enemies!$A:$A),MATCH(N$1,[2]enemies!$1:$1,0)-MATCH($L$1,[2]enemies!$1:$1,0)+1),MATCH(N$1,[2]enemies!$1:$1,0)-MATCH($L$1,[2]enemies!$1:$1,0)+1,FALSE)</f>
        <v>red</v>
      </c>
      <c r="O123" s="21" t="str">
        <f ca="1">VLOOKUP($L123,OFFSET([3]characters!$A$1,0,0,COUNTA([3]characters!$A:$A),MATCH(O$1,[3]characters!$1:$1,0)-MATCH($L$1,[3]characters!$1:$1,0)+1),MATCH(O$1,[3]characters!$1:$1,0)-MATCH($L$1,[3]characters!$1:$1,0)+1,FALSE)</f>
        <v>Drop1S</v>
      </c>
      <c r="P123" s="21" t="str">
        <f ca="1">VLOOKUP($L123,OFFSET([2]enemies!$A$1,0,0,COUNTA([2]enemies!$A:$A),MATCH(P$1,[2]enemies!$1:$1,0)-MATCH($L$1,[2]enemies!$1:$1,0)+1),MATCH(P$1,[2]enemies!$1:$1,0)-MATCH($L$1,[2]enemies!$1:$1,0)+1,FALSE)</f>
        <v>animal</v>
      </c>
      <c r="Q123" s="21">
        <f ca="1">VLOOKUP($L123,OFFSET([2]enemies!$A$1,0,0,COUNTA([2]enemies!$A:$A),MATCH(Q$1,[2]enemies!$1:$1,0)-MATCH($L$1,[2]enemies!$1:$1,0)+1),MATCH(Q$1,[2]enemies!$1:$1,0)-MATCH($L$1,[2]enemies!$1:$1,0)+1,FALSE)</f>
        <v>15</v>
      </c>
      <c r="R123" s="53">
        <v>48</v>
      </c>
      <c r="S123" s="27">
        <v>1</v>
      </c>
      <c r="T123" s="27">
        <v>1</v>
      </c>
      <c r="U123" s="5">
        <v>0</v>
      </c>
      <c r="V123" s="4" t="str">
        <f ca="1">VLOOKUP($W123,OFFSET([4]enemy_skill_sets!$B$1,0,0,COUNTA([4]enemy_skill_sets!$B:$B),MATCH(M$1,[4]enemy_skill_sets!$1:$1,0)-MATCH($W$1,[4]enemy_skill_sets!$1:$1,0)+2),MATCH(M$1,[4]enemy_skill_sets!$1:$1,0)-MATCH($W$1,[4]enemy_skill_sets!$1:$1,0)+2,FALSE)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23" s="4">
        <f ca="1">VLOOKUP($L123,OFFSET([2]enemies!$A$1,0,0,COUNTA([2]enemies!$A:$A),MATCH(W$1,[2]enemies!$1:$1,0)-MATCH($L$1,[2]enemies!$1:$1,0)+1),MATCH(W$1,[2]enemies!$1:$1,0)-MATCH($L$1,[2]enemies!$1:$1,0)+1,FALSE)</f>
        <v>33</v>
      </c>
      <c r="X123" s="6">
        <v>0</v>
      </c>
      <c r="Y123" s="6">
        <v>100</v>
      </c>
      <c r="Z123" s="6">
        <v>0</v>
      </c>
      <c r="AA123" s="4">
        <f ca="1">VLOOKUP($L123,OFFSET([2]enemies!$A$1,0,0,COUNTA([2]enemies!$A:$A),MATCH(AA$1,[2]enemies!$1:$1,0)-MATCH($L$1,[2]enemies!$1:$1,0)+1),MATCH(AA$1,[2]enemies!$1:$1,0)-MATCH($L$1,[2]enemies!$1:$1,0)+1,FALSE)</f>
        <v>2</v>
      </c>
      <c r="AB123" s="52">
        <v>33</v>
      </c>
      <c r="AC123" s="4" t="str">
        <f ca="1">VLOOKUP($AB123,OFFSET([3]characters!$A$1,0,0,COUNTA([3]characters!$A:$A),MATCH(AC$1,[3]characters!$1:$1,0)-MATCH("character_id",[3]characters!$1:$1,0)+1),MATCH(AC$1,[3]characters!$1:$1,0)-MATCH("character_id",[3]characters!$1:$1,0)+1,FALSE)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23" s="4">
        <f ca="1">VLOOKUP($AB123,OFFSET([3]characters!$A$1,0,0,COUNTA([3]characters!$A:$A),MATCH(AD$1,[3]characters!$1:$1,0)-MATCH("character_id",[3]characters!$1:$1,0)+1),MATCH(AD$1,[3]characters!$1:$1,0)-MATCH("character_id",[3]characters!$1:$1,0)+1,FALSE)</f>
        <v>2</v>
      </c>
      <c r="AE123" s="4" t="str">
        <f ca="1">VLOOKUP($AB123,OFFSET([3]characters!$A$1,0,0,COUNTA([3]characters!$A:$A),MATCH(AE$1,[3]characters!$1:$1,0)-MATCH("character_id",[3]characters!$1:$1,0)+1),MATCH(AE$1,[3]characters!$1:$1,0)-MATCH("character_id",[3]characters!$1:$1,0)+1,FALSE)</f>
        <v>Drop1S</v>
      </c>
      <c r="AF123" s="7">
        <v>5</v>
      </c>
      <c r="AG123" s="26">
        <f t="shared" ca="1" si="82"/>
        <v>2</v>
      </c>
      <c r="AH123" s="8">
        <v>20</v>
      </c>
      <c r="AI123" s="7">
        <v>0</v>
      </c>
      <c r="AJ123" s="7">
        <v>0</v>
      </c>
      <c r="AK123" s="7">
        <v>0</v>
      </c>
      <c r="AL123" s="7">
        <v>0</v>
      </c>
      <c r="AM123" s="7">
        <v>1</v>
      </c>
    </row>
    <row r="124" spans="1:39" ht="14" x14ac:dyDescent="0.15">
      <c r="A124" s="18" t="str">
        <f t="shared" ref="A124:A165" ca="1" si="157">B124&amp;"_"&amp;C124&amp;"-"&amp;G124&amp;"/"&amp;L124&amp;"&lt;lv"&amp;R124&amp;"&gt;s"&amp;AA124</f>
        <v>22_5-2/57&lt;lv48&gt;s2</v>
      </c>
      <c r="B124" s="50">
        <v>22</v>
      </c>
      <c r="C124" s="49">
        <v>5</v>
      </c>
      <c r="D124" s="2" t="str">
        <f t="shared" ref="D124:E165" si="158">B124&amp;"_"&amp;C124</f>
        <v>22_5</v>
      </c>
      <c r="E124" s="2" t="str">
        <f t="shared" si="158"/>
        <v>5_22_5</v>
      </c>
      <c r="F124" s="4" t="str">
        <f ca="1">VLOOKUP($D124,OFFSET([1]stages!$A$1,0,0,COUNTA([1]stages!$A:$A),MATCH(F$1,[1]stages!$2:$2,0)-MATCH($D$1,[1]stages!$2:$2,0)+1),MATCH(F$1,[1]stages!$2:$2,0)-MATCH($D$1,[1]stages!$2:$2,0)+1,FALSE)</f>
        <v>22-5．真宴の月光</v>
      </c>
      <c r="G124" s="54">
        <v>2</v>
      </c>
      <c r="H124" s="17" t="str">
        <f t="shared" ref="H124:H165" si="159">B124&amp;"_"&amp;C124&amp;"-"&amp;G124</f>
        <v>22_5-2</v>
      </c>
      <c r="I124" s="17"/>
      <c r="J124" s="17"/>
      <c r="K124" s="65" t="s">
        <v>56</v>
      </c>
      <c r="L124" s="52">
        <v>57</v>
      </c>
      <c r="M124" s="21" t="str">
        <f ca="1">VLOOKUP($L124,OFFSET([2]enemies!$A$1,0,0,COUNTA([2]enemies!$A:$A),MATCH(M$1,[2]enemies!$1:$1,0)-MATCH($L$1,[2]enemies!$1:$1,0)+1),MATCH(M$1,[2]enemies!$1:$1,0)-MATCH($L$1,[2]enemies!$1:$1,0)+1,FALSE)</f>
        <v>チェン・リー</v>
      </c>
      <c r="N124" s="21" t="str">
        <f ca="1">VLOOKUP($L124,OFFSET([2]enemies!$A$1,0,0,COUNTA([2]enemies!$A:$A),MATCH(N$1,[2]enemies!$1:$1,0)-MATCH($L$1,[2]enemies!$1:$1,0)+1),MATCH(N$1,[2]enemies!$1:$1,0)-MATCH($L$1,[2]enemies!$1:$1,0)+1,FALSE)</f>
        <v>red</v>
      </c>
      <c r="O124" s="21" t="str">
        <f ca="1">VLOOKUP($L124,OFFSET([3]characters!$A$1,0,0,COUNTA([3]characters!$A:$A),MATCH(O$1,[3]characters!$1:$1,0)-MATCH($L$1,[3]characters!$1:$1,0)+1),MATCH(O$1,[3]characters!$1:$1,0)-MATCH($L$1,[3]characters!$1:$1,0)+1,FALSE)</f>
        <v>Drop1N</v>
      </c>
      <c r="P124" s="21" t="str">
        <f ca="1">VLOOKUP($L124,OFFSET([2]enemies!$A$1,0,0,COUNTA([2]enemies!$A:$A),MATCH(P$1,[2]enemies!$1:$1,0)-MATCH($L$1,[2]enemies!$1:$1,0)+1),MATCH(P$1,[2]enemies!$1:$1,0)-MATCH($L$1,[2]enemies!$1:$1,0)+1,FALSE)</f>
        <v>animal</v>
      </c>
      <c r="Q124" s="21">
        <f ca="1">VLOOKUP($L124,OFFSET([2]enemies!$A$1,0,0,COUNTA([2]enemies!$A:$A),MATCH(Q$1,[2]enemies!$1:$1,0)-MATCH($L$1,[2]enemies!$1:$1,0)+1),MATCH(Q$1,[2]enemies!$1:$1,0)-MATCH($L$1,[2]enemies!$1:$1,0)+1,FALSE)</f>
        <v>15</v>
      </c>
      <c r="R124" s="53">
        <v>48</v>
      </c>
      <c r="S124" s="27">
        <v>1</v>
      </c>
      <c r="T124" s="27">
        <v>1</v>
      </c>
      <c r="U124" s="5">
        <v>0</v>
      </c>
      <c r="V124" s="4" t="str">
        <f ca="1">VLOOKUP($W124,OFFSET([4]enemy_skill_sets!$B$1,0,0,COUNTA([4]enemy_skill_sets!$B:$B),MATCH(M$1,[4]enemy_skill_sets!$1:$1,0)-MATCH($W$1,[4]enemy_skill_sets!$1:$1,0)+2),MATCH(M$1,[4]enemy_skill_sets!$1:$1,0)-MATCH($W$1,[4]enemy_skill_sets!$1:$1,0)+2,FALSE)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24" s="4">
        <f ca="1">VLOOKUP($L124,OFFSET([2]enemies!$A$1,0,0,COUNTA([2]enemies!$A:$A),MATCH(W$1,[2]enemies!$1:$1,0)-MATCH($L$1,[2]enemies!$1:$1,0)+1),MATCH(W$1,[2]enemies!$1:$1,0)-MATCH($L$1,[2]enemies!$1:$1,0)+1,FALSE)</f>
        <v>57</v>
      </c>
      <c r="X124" s="6">
        <v>0</v>
      </c>
      <c r="Y124" s="6">
        <v>100</v>
      </c>
      <c r="Z124" s="6">
        <v>0</v>
      </c>
      <c r="AA124" s="4">
        <f ca="1">VLOOKUP($L124,OFFSET([2]enemies!$A$1,0,0,COUNTA([2]enemies!$A:$A),MATCH(AA$1,[2]enemies!$1:$1,0)-MATCH($L$1,[2]enemies!$1:$1,0)+1),MATCH(AA$1,[2]enemies!$1:$1,0)-MATCH($L$1,[2]enemies!$1:$1,0)+1,FALSE)</f>
        <v>2</v>
      </c>
      <c r="AB124" s="52">
        <v>57</v>
      </c>
      <c r="AC124" s="4" t="str">
        <f ca="1">VLOOKUP($AB124,OFFSET([3]characters!$A$1,0,0,COUNTA([3]characters!$A:$A),MATCH(AC$1,[3]characters!$1:$1,0)-MATCH("character_id",[3]characters!$1:$1,0)+1),MATCH(AC$1,[3]characters!$1:$1,0)-MATCH("character_id",[3]characters!$1:$1,0)+1,FALSE)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24" s="4">
        <f ca="1">VLOOKUP($AB124,OFFSET([3]characters!$A$1,0,0,COUNTA([3]characters!$A:$A),MATCH(AD$1,[3]characters!$1:$1,0)-MATCH("character_id",[3]characters!$1:$1,0)+1),MATCH(AD$1,[3]characters!$1:$1,0)-MATCH("character_id",[3]characters!$1:$1,0)+1,FALSE)</f>
        <v>2</v>
      </c>
      <c r="AE124" s="4" t="str">
        <f ca="1">VLOOKUP($AB124,OFFSET([3]characters!$A$1,0,0,COUNTA([3]characters!$A:$A),MATCH(AE$1,[3]characters!$1:$1,0)-MATCH("character_id",[3]characters!$1:$1,0)+1),MATCH(AE$1,[3]characters!$1:$1,0)-MATCH("character_id",[3]characters!$1:$1,0)+1,FALSE)</f>
        <v>Drop1N</v>
      </c>
      <c r="AF124" s="7">
        <v>7</v>
      </c>
      <c r="AG124" s="26">
        <f t="shared" ca="1" si="82"/>
        <v>2</v>
      </c>
      <c r="AH124" s="8">
        <v>20</v>
      </c>
      <c r="AI124" s="7">
        <v>0</v>
      </c>
      <c r="AJ124" s="7">
        <v>0</v>
      </c>
      <c r="AK124" s="7">
        <v>0</v>
      </c>
      <c r="AL124" s="7">
        <v>0</v>
      </c>
      <c r="AM124" s="7">
        <v>1</v>
      </c>
    </row>
    <row r="125" spans="1:39" ht="14" x14ac:dyDescent="0.15">
      <c r="A125" s="18" t="str">
        <f t="shared" ref="A125" ca="1" si="160">B125&amp;"_"&amp;C125&amp;"-"&amp;G125&amp;"/"&amp;L125&amp;"&lt;lv"&amp;R125&amp;"&gt;s"&amp;AA125</f>
        <v>22_5-2/360&lt;lv48&gt;s3</v>
      </c>
      <c r="B125" s="53">
        <v>22</v>
      </c>
      <c r="C125" s="51">
        <v>5</v>
      </c>
      <c r="D125" s="2" t="str">
        <f t="shared" ref="D125" si="161">B125&amp;"_"&amp;C125</f>
        <v>22_5</v>
      </c>
      <c r="E125" s="2" t="str">
        <f t="shared" ref="E125" si="162">C125&amp;"_"&amp;D125</f>
        <v>5_22_5</v>
      </c>
      <c r="F125" s="4" t="str">
        <f ca="1">VLOOKUP($D125,OFFSET([1]stages!$A$1,0,0,COUNTA([1]stages!$A:$A),MATCH(F$1,[1]stages!$2:$2,0)-MATCH($D$1,[1]stages!$2:$2,0)+1),MATCH(F$1,[1]stages!$2:$2,0)-MATCH($D$1,[1]stages!$2:$2,0)+1,FALSE)</f>
        <v>22-5．真宴の月光</v>
      </c>
      <c r="G125" s="54">
        <v>2</v>
      </c>
      <c r="H125" s="17" t="str">
        <f t="shared" ref="H125" si="163">B125&amp;"_"&amp;C125&amp;"-"&amp;G125</f>
        <v>22_5-2</v>
      </c>
      <c r="I125" s="17"/>
      <c r="J125" s="17"/>
      <c r="K125" s="65" t="s">
        <v>56</v>
      </c>
      <c r="L125" s="52">
        <v>360</v>
      </c>
      <c r="M125" s="21" t="str">
        <f ca="1">VLOOKUP($L125,OFFSET([2]enemies!$A$1,0,0,COUNTA([2]enemies!$A:$A),MATCH(M$1,[2]enemies!$1:$1,0)-MATCH($L$1,[2]enemies!$1:$1,0)+1),MATCH(M$1,[2]enemies!$1:$1,0)-MATCH($L$1,[2]enemies!$1:$1,0)+1,FALSE)</f>
        <v>ガンテツ</v>
      </c>
      <c r="N125" s="21" t="str">
        <f ca="1">VLOOKUP($L125,OFFSET([2]enemies!$A$1,0,0,COUNTA([2]enemies!$A:$A),MATCH(N$1,[2]enemies!$1:$1,0)-MATCH($L$1,[2]enemies!$1:$1,0)+1),MATCH(N$1,[2]enemies!$1:$1,0)-MATCH($L$1,[2]enemies!$1:$1,0)+1,FALSE)</f>
        <v>red</v>
      </c>
      <c r="O125" s="21" t="str">
        <f ca="1">VLOOKUP($L125,OFFSET([3]characters!$A$1,0,0,COUNTA([3]characters!$A:$A),MATCH(O$1,[3]characters!$1:$1,0)-MATCH($L$1,[3]characters!$1:$1,0)+1),MATCH(O$1,[3]characters!$1:$1,0)-MATCH($L$1,[3]characters!$1:$1,0)+1,FALSE)</f>
        <v>Drop1S</v>
      </c>
      <c r="P125" s="21" t="str">
        <f ca="1">VLOOKUP($L125,OFFSET([2]enemies!$A$1,0,0,COUNTA([2]enemies!$A:$A),MATCH(P$1,[2]enemies!$1:$1,0)-MATCH($L$1,[2]enemies!$1:$1,0)+1),MATCH(P$1,[2]enemies!$1:$1,0)-MATCH($L$1,[2]enemies!$1:$1,0)+1,FALSE)</f>
        <v>animal</v>
      </c>
      <c r="Q125" s="21">
        <f ca="1">VLOOKUP($L125,OFFSET([2]enemies!$A$1,0,0,COUNTA([2]enemies!$A:$A),MATCH(Q$1,[2]enemies!$1:$1,0)-MATCH($L$1,[2]enemies!$1:$1,0)+1),MATCH(Q$1,[2]enemies!$1:$1,0)-MATCH($L$1,[2]enemies!$1:$1,0)+1,FALSE)</f>
        <v>15</v>
      </c>
      <c r="R125" s="53">
        <v>48</v>
      </c>
      <c r="S125" s="27">
        <v>1</v>
      </c>
      <c r="T125" s="27">
        <v>1</v>
      </c>
      <c r="U125" s="5">
        <v>0</v>
      </c>
      <c r="V125" s="4" t="str">
        <f ca="1">VLOOKUP($W125,OFFSET([4]enemy_skill_sets!$B$1,0,0,COUNTA([4]enemy_skill_sets!$B:$B),MATCH(M$1,[4]enemy_skill_sets!$1:$1,0)-MATCH($W$1,[4]enemy_skill_sets!$1:$1,0)+2),MATCH(M$1,[4]enemy_skill_sets!$1:$1,0)-MATCH($W$1,[4]enemy_skill_sets!$1:$1,0)+2,FALSE)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25" s="76">
        <v>360</v>
      </c>
      <c r="X125" s="6">
        <v>0</v>
      </c>
      <c r="Y125" s="6">
        <v>100</v>
      </c>
      <c r="Z125" s="6">
        <v>0</v>
      </c>
      <c r="AA125" s="4">
        <f ca="1">VLOOKUP($L125,OFFSET([2]enemies!$A$1,0,0,COUNTA([2]enemies!$A:$A),MATCH(AA$1,[2]enemies!$1:$1,0)-MATCH($L$1,[2]enemies!$1:$1,0)+1),MATCH(AA$1,[2]enemies!$1:$1,0)-MATCH($L$1,[2]enemies!$1:$1,0)+1,FALSE)</f>
        <v>3</v>
      </c>
      <c r="AB125" s="52">
        <v>360</v>
      </c>
      <c r="AC125" s="4" t="str">
        <f ca="1">VLOOKUP($AB125,OFFSET([3]characters!$A$1,0,0,COUNTA([3]characters!$A:$A),MATCH(AC$1,[3]characters!$1:$1,0)-MATCH("character_id",[3]characters!$1:$1,0)+1),MATCH(AC$1,[3]characters!$1:$1,0)-MATCH("character_id",[3]characters!$1:$1,0)+1,FALSE)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25" s="4">
        <f ca="1">VLOOKUP($AB125,OFFSET([3]characters!$A$1,0,0,COUNTA([3]characters!$A:$A),MATCH(AD$1,[3]characters!$1:$1,0)-MATCH("character_id",[3]characters!$1:$1,0)+1),MATCH(AD$1,[3]characters!$1:$1,0)-MATCH("character_id",[3]characters!$1:$1,0)+1,FALSE)</f>
        <v>2</v>
      </c>
      <c r="AE125" s="4" t="str">
        <f ca="1">VLOOKUP($AB125,OFFSET([3]characters!$A$1,0,0,COUNTA([3]characters!$A:$A),MATCH(AE$1,[3]characters!$1:$1,0)-MATCH("character_id",[3]characters!$1:$1,0)+1),MATCH(AE$1,[3]characters!$1:$1,0)-MATCH("character_id",[3]characters!$1:$1,0)+1,FALSE)</f>
        <v>Drop1S</v>
      </c>
      <c r="AF125" s="7">
        <v>7</v>
      </c>
      <c r="AG125" s="26">
        <f t="shared" ca="1" si="82"/>
        <v>2</v>
      </c>
      <c r="AH125" s="8">
        <v>20</v>
      </c>
      <c r="AI125" s="7">
        <v>0</v>
      </c>
      <c r="AJ125" s="7">
        <v>0</v>
      </c>
      <c r="AK125" s="7">
        <v>0</v>
      </c>
      <c r="AL125" s="7">
        <v>0</v>
      </c>
      <c r="AM125" s="7">
        <v>1</v>
      </c>
    </row>
    <row r="126" spans="1:39" ht="14" x14ac:dyDescent="0.15">
      <c r="A126" s="18" t="str">
        <f t="shared" ref="A126" ca="1" si="164">B126&amp;"_"&amp;C126&amp;"-"&amp;G126&amp;"/"&amp;L126&amp;"&lt;lv"&amp;R126&amp;"&gt;s"&amp;AA126</f>
        <v>22_5-2/348&lt;lv48&gt;s3</v>
      </c>
      <c r="B126" s="53">
        <v>22</v>
      </c>
      <c r="C126" s="51">
        <v>5</v>
      </c>
      <c r="D126" s="2" t="str">
        <f t="shared" ref="D126" si="165">B126&amp;"_"&amp;C126</f>
        <v>22_5</v>
      </c>
      <c r="E126" s="2" t="str">
        <f t="shared" ref="E126" si="166">C126&amp;"_"&amp;D126</f>
        <v>5_22_5</v>
      </c>
      <c r="F126" s="4" t="str">
        <f ca="1">VLOOKUP($D126,OFFSET([1]stages!$A$1,0,0,COUNTA([1]stages!$A:$A),MATCH(F$1,[1]stages!$2:$2,0)-MATCH($D$1,[1]stages!$2:$2,0)+1),MATCH(F$1,[1]stages!$2:$2,0)-MATCH($D$1,[1]stages!$2:$2,0)+1,FALSE)</f>
        <v>22-5．真宴の月光</v>
      </c>
      <c r="G126" s="54">
        <v>2</v>
      </c>
      <c r="H126" s="17" t="str">
        <f t="shared" ref="H126" si="167">B126&amp;"_"&amp;C126&amp;"-"&amp;G126</f>
        <v>22_5-2</v>
      </c>
      <c r="I126" s="17"/>
      <c r="J126" s="17"/>
      <c r="K126" s="65" t="s">
        <v>56</v>
      </c>
      <c r="L126" s="52">
        <v>348</v>
      </c>
      <c r="M126" s="21" t="str">
        <f ca="1">VLOOKUP($L126,OFFSET([2]enemies!$A$1,0,0,COUNTA([2]enemies!$A:$A),MATCH(M$1,[2]enemies!$1:$1,0)-MATCH($L$1,[2]enemies!$1:$1,0)+1),MATCH(M$1,[2]enemies!$1:$1,0)-MATCH($L$1,[2]enemies!$1:$1,0)+1,FALSE)</f>
        <v>炎のケロケロ</v>
      </c>
      <c r="N126" s="21" t="str">
        <f ca="1">VLOOKUP($L126,OFFSET([2]enemies!$A$1,0,0,COUNTA([2]enemies!$A:$A),MATCH(N$1,[2]enemies!$1:$1,0)-MATCH($L$1,[2]enemies!$1:$1,0)+1),MATCH(N$1,[2]enemies!$1:$1,0)-MATCH($L$1,[2]enemies!$1:$1,0)+1,FALSE)</f>
        <v>red</v>
      </c>
      <c r="O126" s="21" t="str">
        <f ca="1">VLOOKUP($L126,OFFSET([3]characters!$A$1,0,0,COUNTA([3]characters!$A:$A),MATCH(O$1,[3]characters!$1:$1,0)-MATCH($L$1,[3]characters!$1:$1,0)+1),MATCH(O$1,[3]characters!$1:$1,0)-MATCH($L$1,[3]characters!$1:$1,0)+1,FALSE)</f>
        <v>Material</v>
      </c>
      <c r="P126" s="21" t="str">
        <f ca="1">VLOOKUP($L126,OFFSET([2]enemies!$A$1,0,0,COUNTA([2]enemies!$A:$A),MATCH(P$1,[2]enemies!$1:$1,0)-MATCH($L$1,[2]enemies!$1:$1,0)+1),MATCH(P$1,[2]enemies!$1:$1,0)-MATCH($L$1,[2]enemies!$1:$1,0)+1,FALSE)</f>
        <v>unknown</v>
      </c>
      <c r="Q126" s="21">
        <f ca="1">VLOOKUP($L126,OFFSET([2]enemies!$A$1,0,0,COUNTA([2]enemies!$A:$A),MATCH(Q$1,[2]enemies!$1:$1,0)-MATCH($L$1,[2]enemies!$1:$1,0)+1),MATCH(Q$1,[2]enemies!$1:$1,0)-MATCH($L$1,[2]enemies!$1:$1,0)+1,FALSE)</f>
        <v>15</v>
      </c>
      <c r="R126" s="53">
        <v>48</v>
      </c>
      <c r="S126" s="27">
        <v>1</v>
      </c>
      <c r="T126" s="27">
        <v>1</v>
      </c>
      <c r="U126" s="5">
        <v>0</v>
      </c>
      <c r="V126" s="4" t="str">
        <f ca="1">VLOOKUP($W126,OFFSET([4]enemy_skill_sets!$B$1,0,0,COUNTA([4]enemy_skill_sets!$B:$B),MATCH(M$1,[4]enemy_skill_sets!$1:$1,0)-MATCH($W$1,[4]enemy_skill_sets!$1:$1,0)+2),MATCH(M$1,[4]enemy_skill_sets!$1:$1,0)-MATCH($W$1,[4]enemy_skill_sets!$1:$1,0)+2,FALSE)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126" s="64">
        <v>348</v>
      </c>
      <c r="X126" s="6">
        <v>0</v>
      </c>
      <c r="Y126" s="6">
        <v>100</v>
      </c>
      <c r="Z126" s="6">
        <v>0</v>
      </c>
      <c r="AA126" s="4">
        <f ca="1">VLOOKUP($L126,OFFSET([2]enemies!$A$1,0,0,COUNTA([2]enemies!$A:$A),MATCH(AA$1,[2]enemies!$1:$1,0)-MATCH($L$1,[2]enemies!$1:$1,0)+1),MATCH(AA$1,[2]enemies!$1:$1,0)-MATCH($L$1,[2]enemies!$1:$1,0)+1,FALSE)</f>
        <v>3</v>
      </c>
      <c r="AB126" s="52">
        <v>348</v>
      </c>
      <c r="AC126" s="4" t="str">
        <f ca="1">VLOOKUP($AB126,OFFSET([3]characters!$A$1,0,0,COUNTA([3]characters!$A:$A),MATCH(AC$1,[3]characters!$1:$1,0)-MATCH("character_id",[3]characters!$1:$1,0)+1),MATCH(AC$1,[3]characters!$1:$1,0)-MATCH("character_id",[3]characters!$1:$1,0)+1,FALSE)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126" s="4">
        <f ca="1">VLOOKUP($AB126,OFFSET([3]characters!$A$1,0,0,COUNTA([3]characters!$A:$A),MATCH(AD$1,[3]characters!$1:$1,0)-MATCH("character_id",[3]characters!$1:$1,0)+1),MATCH(AD$1,[3]characters!$1:$1,0)-MATCH("character_id",[3]characters!$1:$1,0)+1,FALSE)</f>
        <v>2</v>
      </c>
      <c r="AE126" s="4" t="str">
        <f ca="1">VLOOKUP($AB126,OFFSET([3]characters!$A$1,0,0,COUNTA([3]characters!$A:$A),MATCH(AE$1,[3]characters!$1:$1,0)-MATCH("character_id",[3]characters!$1:$1,0)+1),MATCH(AE$1,[3]characters!$1:$1,0)-MATCH("character_id",[3]characters!$1:$1,0)+1,FALSE)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26" s="7">
        <v>10</v>
      </c>
      <c r="AG126" s="26">
        <f t="shared" ca="1" si="82"/>
        <v>2</v>
      </c>
      <c r="AH126" s="8">
        <v>20</v>
      </c>
      <c r="AI126" s="7">
        <v>0</v>
      </c>
      <c r="AJ126" s="7">
        <v>0</v>
      </c>
      <c r="AK126" s="7">
        <v>0</v>
      </c>
      <c r="AL126" s="7">
        <v>0</v>
      </c>
      <c r="AM126" s="7">
        <v>1</v>
      </c>
    </row>
    <row r="127" spans="1:39" ht="14" x14ac:dyDescent="0.15">
      <c r="A127" s="18" t="str">
        <f t="shared" ca="1" si="157"/>
        <v>22_5-3/38&lt;lv50&gt;s3</v>
      </c>
      <c r="B127" s="50">
        <v>22</v>
      </c>
      <c r="C127" s="49">
        <v>5</v>
      </c>
      <c r="D127" s="2" t="str">
        <f t="shared" si="158"/>
        <v>22_5</v>
      </c>
      <c r="E127" s="2" t="str">
        <f t="shared" si="158"/>
        <v>5_22_5</v>
      </c>
      <c r="F127" s="4" t="str">
        <f ca="1">VLOOKUP($D127,OFFSET([1]stages!$A$1,0,0,COUNTA([1]stages!$A:$A),MATCH(F$1,[1]stages!$2:$2,0)-MATCH($D$1,[1]stages!$2:$2,0)+1),MATCH(F$1,[1]stages!$2:$2,0)-MATCH($D$1,[1]stages!$2:$2,0)+1,FALSE)</f>
        <v>22-5．真宴の月光</v>
      </c>
      <c r="G127" s="55">
        <v>3</v>
      </c>
      <c r="H127" s="17" t="str">
        <f t="shared" si="159"/>
        <v>22_5-3</v>
      </c>
      <c r="I127" s="17"/>
      <c r="J127" s="17"/>
      <c r="K127" s="65" t="s">
        <v>56</v>
      </c>
      <c r="L127" s="52">
        <v>38</v>
      </c>
      <c r="M127" s="21" t="str">
        <f ca="1">VLOOKUP($L127,OFFSET([2]enemies!$A$1,0,0,COUNTA([2]enemies!$A:$A),MATCH(M$1,[2]enemies!$1:$1,0)-MATCH($L$1,[2]enemies!$1:$1,0)+1),MATCH(M$1,[2]enemies!$1:$1,0)-MATCH($L$1,[2]enemies!$1:$1,0)+1,FALSE)</f>
        <v>通話対応型 ガイル</v>
      </c>
      <c r="N127" s="21" t="str">
        <f ca="1">VLOOKUP($L127,OFFSET([2]enemies!$A$1,0,0,COUNTA([2]enemies!$A:$A),MATCH(N$1,[2]enemies!$1:$1,0)-MATCH($L$1,[2]enemies!$1:$1,0)+1),MATCH(N$1,[2]enemies!$1:$1,0)-MATCH($L$1,[2]enemies!$1:$1,0)+1,FALSE)</f>
        <v>blue</v>
      </c>
      <c r="O127" s="21" t="str">
        <f ca="1">VLOOKUP($L127,OFFSET([3]characters!$A$1,0,0,COUNTA([3]characters!$A:$A),MATCH(O$1,[3]characters!$1:$1,0)-MATCH($L$1,[3]characters!$1:$1,0)+1),MATCH(O$1,[3]characters!$1:$1,0)-MATCH($L$1,[3]characters!$1:$1,0)+1,FALSE)</f>
        <v>Drop1S</v>
      </c>
      <c r="P127" s="21" t="str">
        <f ca="1">VLOOKUP($L127,OFFSET([2]enemies!$A$1,0,0,COUNTA([2]enemies!$A:$A),MATCH(P$1,[2]enemies!$1:$1,0)-MATCH($L$1,[2]enemies!$1:$1,0)+1),MATCH(P$1,[2]enemies!$1:$1,0)-MATCH($L$1,[2]enemies!$1:$1,0)+1,FALSE)</f>
        <v>animal</v>
      </c>
      <c r="Q127" s="21">
        <f ca="1">VLOOKUP($L127,OFFSET([2]enemies!$A$1,0,0,COUNTA([2]enemies!$A:$A),MATCH(Q$1,[2]enemies!$1:$1,0)-MATCH($L$1,[2]enemies!$1:$1,0)+1),MATCH(Q$1,[2]enemies!$1:$1,0)-MATCH($L$1,[2]enemies!$1:$1,0)+1,FALSE)</f>
        <v>20</v>
      </c>
      <c r="R127" s="53">
        <v>50</v>
      </c>
      <c r="S127" s="27">
        <v>1.5</v>
      </c>
      <c r="T127" s="27">
        <v>1</v>
      </c>
      <c r="U127" s="5">
        <v>0</v>
      </c>
      <c r="V127" s="4" t="str">
        <f ca="1">VLOOKUP($W127,OFFSET([4]enemy_skill_sets!$B$1,0,0,COUNTA([4]enemy_skill_sets!$B:$B),MATCH(M$1,[4]enemy_skill_sets!$1:$1,0)-MATCH($W$1,[4]enemy_skill_sets!$1:$1,0)+2),MATCH(M$1,[4]enemy_skill_sets!$1:$1,0)-MATCH($W$1,[4]enemy_skill_sets!$1:$1,0)+2,FALSE)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127" s="4">
        <f ca="1">VLOOKUP($L127,OFFSET([2]enemies!$A$1,0,0,COUNTA([2]enemies!$A:$A),MATCH(W$1,[2]enemies!$1:$1,0)-MATCH($L$1,[2]enemies!$1:$1,0)+1),MATCH(W$1,[2]enemies!$1:$1,0)-MATCH($L$1,[2]enemies!$1:$1,0)+1,FALSE)</f>
        <v>38</v>
      </c>
      <c r="X127" s="6">
        <v>1</v>
      </c>
      <c r="Y127" s="6">
        <v>100</v>
      </c>
      <c r="Z127" s="6">
        <v>1</v>
      </c>
      <c r="AA127" s="4">
        <f ca="1">VLOOKUP($L127,OFFSET([2]enemies!$A$1,0,0,COUNTA([2]enemies!$A:$A),MATCH(AA$1,[2]enemies!$1:$1,0)-MATCH($L$1,[2]enemies!$1:$1,0)+1),MATCH(AA$1,[2]enemies!$1:$1,0)-MATCH($L$1,[2]enemies!$1:$1,0)+1,FALSE)</f>
        <v>3</v>
      </c>
      <c r="AB127" s="52">
        <v>38</v>
      </c>
      <c r="AC127" s="4" t="str">
        <f ca="1">VLOOKUP($AB127,OFFSET([3]characters!$A$1,0,0,COUNTA([3]characters!$A:$A),MATCH(AC$1,[3]characters!$1:$1,0)-MATCH("character_id",[3]characters!$1:$1,0)+1),MATCH(AC$1,[3]characters!$1:$1,0)-MATCH("character_id",[3]characters!$1:$1,0)+1,FALSE)</f>
        <v>通話対応型 ガイル</v>
      </c>
      <c r="AD127" s="4">
        <f ca="1">VLOOKUP($AB127,OFFSET([3]characters!$A$1,0,0,COUNTA([3]characters!$A:$A),MATCH(AD$1,[3]characters!$1:$1,0)-MATCH("character_id",[3]characters!$1:$1,0)+1),MATCH(AD$1,[3]characters!$1:$1,0)-MATCH("character_id",[3]characters!$1:$1,0)+1,FALSE)</f>
        <v>3</v>
      </c>
      <c r="AE127" s="4" t="str">
        <f ca="1">VLOOKUP($AB127,OFFSET([3]characters!$A$1,0,0,COUNTA([3]characters!$A:$A),MATCH(AE$1,[3]characters!$1:$1,0)-MATCH("character_id",[3]characters!$1:$1,0)+1),MATCH(AE$1,[3]characters!$1:$1,0)-MATCH("character_id",[3]characters!$1:$1,0)+1,FALSE)</f>
        <v>Drop1S</v>
      </c>
      <c r="AF127" s="7">
        <v>5</v>
      </c>
      <c r="AG127" s="26">
        <f t="shared" ca="1" si="82"/>
        <v>3</v>
      </c>
      <c r="AH127" s="8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1</v>
      </c>
    </row>
    <row r="128" spans="1:39" ht="21" customHeight="1" x14ac:dyDescent="0.15">
      <c r="A128" s="18" t="str">
        <f t="shared" ref="A128" ca="1" si="168">B128&amp;"_"&amp;C128&amp;"-"&amp;G128&amp;"/"&amp;L128&amp;"&lt;lv"&amp;R128&amp;"&gt;s"&amp;AA128</f>
        <v>22_5-3/37&lt;lv50&gt;s3</v>
      </c>
      <c r="B128" s="53">
        <v>22</v>
      </c>
      <c r="C128" s="51">
        <v>5</v>
      </c>
      <c r="D128" s="2" t="str">
        <f t="shared" ref="D128" si="169">B128&amp;"_"&amp;C128</f>
        <v>22_5</v>
      </c>
      <c r="E128" s="2" t="str">
        <f t="shared" ref="E128" si="170">C128&amp;"_"&amp;D128</f>
        <v>5_22_5</v>
      </c>
      <c r="F128" s="4" t="str">
        <f ca="1">VLOOKUP($D128,OFFSET([1]stages!$A$1,0,0,COUNTA([1]stages!$A:$A),MATCH(F$1,[1]stages!$2:$2,0)-MATCH($D$1,[1]stages!$2:$2,0)+1),MATCH(F$1,[1]stages!$2:$2,0)-MATCH($D$1,[1]stages!$2:$2,0)+1,FALSE)</f>
        <v>22-5．真宴の月光</v>
      </c>
      <c r="G128" s="55">
        <v>3</v>
      </c>
      <c r="H128" s="17" t="str">
        <f t="shared" ref="H128" si="171">B128&amp;"_"&amp;C128&amp;"-"&amp;G128</f>
        <v>22_5-3</v>
      </c>
      <c r="I128" s="17"/>
      <c r="J128" s="17"/>
      <c r="K128" s="65" t="s">
        <v>56</v>
      </c>
      <c r="L128" s="52">
        <v>37</v>
      </c>
      <c r="M128" s="21" t="str">
        <f ca="1">VLOOKUP($L128,OFFSET([2]enemies!$A$1,0,0,COUNTA([2]enemies!$A:$A),MATCH(M$1,[2]enemies!$1:$1,0)-MATCH($L$1,[2]enemies!$1:$1,0)+1),MATCH(M$1,[2]enemies!$1:$1,0)-MATCH($L$1,[2]enemies!$1:$1,0)+1,FALSE)</f>
        <v>ガイル</v>
      </c>
      <c r="N128" s="21" t="str">
        <f ca="1">VLOOKUP($L128,OFFSET([2]enemies!$A$1,0,0,COUNTA([2]enemies!$A:$A),MATCH(N$1,[2]enemies!$1:$1,0)-MATCH($L$1,[2]enemies!$1:$1,0)+1),MATCH(N$1,[2]enemies!$1:$1,0)-MATCH($L$1,[2]enemies!$1:$1,0)+1,FALSE)</f>
        <v>blue</v>
      </c>
      <c r="O128" s="21" t="str">
        <f ca="1">VLOOKUP($L128,OFFSET([3]characters!$A$1,0,0,COUNTA([3]characters!$A:$A),MATCH(O$1,[3]characters!$1:$1,0)-MATCH($L$1,[3]characters!$1:$1,0)+1),MATCH(O$1,[3]characters!$1:$1,0)-MATCH($L$1,[3]characters!$1:$1,0)+1,FALSE)</f>
        <v>Drop1S</v>
      </c>
      <c r="P128" s="21" t="str">
        <f ca="1">VLOOKUP($L128,OFFSET([2]enemies!$A$1,0,0,COUNTA([2]enemies!$A:$A),MATCH(P$1,[2]enemies!$1:$1,0)-MATCH($L$1,[2]enemies!$1:$1,0)+1),MATCH(P$1,[2]enemies!$1:$1,0)-MATCH($L$1,[2]enemies!$1:$1,0)+1,FALSE)</f>
        <v>animal</v>
      </c>
      <c r="Q128" s="21">
        <f ca="1">VLOOKUP($L128,OFFSET([2]enemies!$A$1,0,0,COUNTA([2]enemies!$A:$A),MATCH(Q$1,[2]enemies!$1:$1,0)-MATCH($L$1,[2]enemies!$1:$1,0)+1),MATCH(Q$1,[2]enemies!$1:$1,0)-MATCH($L$1,[2]enemies!$1:$1,0)+1,FALSE)</f>
        <v>15</v>
      </c>
      <c r="R128" s="53">
        <v>50</v>
      </c>
      <c r="S128" s="27">
        <v>1.5</v>
      </c>
      <c r="T128" s="27">
        <v>1</v>
      </c>
      <c r="U128" s="5">
        <v>0</v>
      </c>
      <c r="V128" s="4" t="str">
        <f ca="1">VLOOKUP($W128,OFFSET([4]enemy_skill_sets!$B$1,0,0,COUNTA([4]enemy_skill_sets!$B:$B),MATCH(M$1,[4]enemy_skill_sets!$1:$1,0)-MATCH($W$1,[4]enemy_skill_sets!$1:$1,0)+2),MATCH(M$1,[4]enemy_skill_sets!$1:$1,0)-MATCH($W$1,[4]enemy_skill_sets!$1:$1,0)+2,FALSE)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128" s="4">
        <f ca="1">VLOOKUP($L128,OFFSET([2]enemies!$A$1,0,0,COUNTA([2]enemies!$A:$A),MATCH(W$1,[2]enemies!$1:$1,0)-MATCH($L$1,[2]enemies!$1:$1,0)+1),MATCH(W$1,[2]enemies!$1:$1,0)-MATCH($L$1,[2]enemies!$1:$1,0)+1,FALSE)</f>
        <v>37</v>
      </c>
      <c r="X128" s="6">
        <v>2</v>
      </c>
      <c r="Y128" s="6">
        <v>100</v>
      </c>
      <c r="Z128" s="6">
        <v>0</v>
      </c>
      <c r="AA128" s="4">
        <f ca="1">VLOOKUP($L128,OFFSET([2]enemies!$A$1,0,0,COUNTA([2]enemies!$A:$A),MATCH(AA$1,[2]enemies!$1:$1,0)-MATCH($L$1,[2]enemies!$1:$1,0)+1),MATCH(AA$1,[2]enemies!$1:$1,0)-MATCH($L$1,[2]enemies!$1:$1,0)+1,FALSE)</f>
        <v>3</v>
      </c>
      <c r="AB128" s="52">
        <v>38</v>
      </c>
      <c r="AC128" s="4" t="str">
        <f ca="1">VLOOKUP($AB128,OFFSET([3]characters!$A$1,0,0,COUNTA([3]characters!$A:$A),MATCH(AC$1,[3]characters!$1:$1,0)-MATCH("character_id",[3]characters!$1:$1,0)+1),MATCH(AC$1,[3]characters!$1:$1,0)-MATCH("character_id",[3]characters!$1:$1,0)+1,FALSE)</f>
        <v>通話対応型 ガイル</v>
      </c>
      <c r="AD128" s="4">
        <f ca="1">VLOOKUP($AB128,OFFSET([3]characters!$A$1,0,0,COUNTA([3]characters!$A:$A),MATCH(AD$1,[3]characters!$1:$1,0)-MATCH("character_id",[3]characters!$1:$1,0)+1),MATCH(AD$1,[3]characters!$1:$1,0)-MATCH("character_id",[3]characters!$1:$1,0)+1,FALSE)</f>
        <v>3</v>
      </c>
      <c r="AE128" s="4" t="str">
        <f ca="1">VLOOKUP($AB128,OFFSET([3]characters!$A$1,0,0,COUNTA([3]characters!$A:$A),MATCH(AE$1,[3]characters!$1:$1,0)-MATCH("character_id",[3]characters!$1:$1,0)+1),MATCH(AE$1,[3]characters!$1:$1,0)-MATCH("character_id",[3]characters!$1:$1,0)+1,FALSE)</f>
        <v>Drop1S</v>
      </c>
      <c r="AF128" s="7">
        <v>5</v>
      </c>
      <c r="AG128" s="26">
        <f t="shared" ca="1" si="82"/>
        <v>3</v>
      </c>
      <c r="AH128" s="8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1</v>
      </c>
    </row>
    <row r="129" spans="1:39" ht="21" customHeight="1" x14ac:dyDescent="0.15">
      <c r="A129" s="18" t="str">
        <f t="shared" ca="1" si="157"/>
        <v>22_5-4/33&lt;lv48&gt;s2</v>
      </c>
      <c r="B129" s="50">
        <v>22</v>
      </c>
      <c r="C129" s="49">
        <v>5</v>
      </c>
      <c r="D129" s="2" t="str">
        <f t="shared" si="158"/>
        <v>22_5</v>
      </c>
      <c r="E129" s="2" t="str">
        <f t="shared" si="158"/>
        <v>5_22_5</v>
      </c>
      <c r="F129" s="4" t="str">
        <f ca="1">VLOOKUP($D129,OFFSET([1]stages!$A$1,0,0,COUNTA([1]stages!$A:$A),MATCH(F$1,[1]stages!$2:$2,0)-MATCH($D$1,[1]stages!$2:$2,0)+1),MATCH(F$1,[1]stages!$2:$2,0)-MATCH($D$1,[1]stages!$2:$2,0)+1,FALSE)</f>
        <v>22-5．真宴の月光</v>
      </c>
      <c r="G129" s="56">
        <v>4</v>
      </c>
      <c r="H129" s="17" t="str">
        <f t="shared" si="159"/>
        <v>22_5-4</v>
      </c>
      <c r="I129" s="17"/>
      <c r="J129" s="17"/>
      <c r="K129" s="65" t="s">
        <v>56</v>
      </c>
      <c r="L129" s="52">
        <v>33</v>
      </c>
      <c r="M129" s="21" t="str">
        <f ca="1">VLOOKUP($L129,OFFSET([2]enemies!$A$1,0,0,COUNTA([2]enemies!$A:$A),MATCH(M$1,[2]enemies!$1:$1,0)-MATCH($L$1,[2]enemies!$1:$1,0)+1),MATCH(M$1,[2]enemies!$1:$1,0)-MATCH($L$1,[2]enemies!$1:$1,0)+1,FALSE)</f>
        <v>ゴクウ</v>
      </c>
      <c r="N129" s="21" t="str">
        <f ca="1">VLOOKUP($L129,OFFSET([2]enemies!$A$1,0,0,COUNTA([2]enemies!$A:$A),MATCH(N$1,[2]enemies!$1:$1,0)-MATCH($L$1,[2]enemies!$1:$1,0)+1),MATCH(N$1,[2]enemies!$1:$1,0)-MATCH($L$1,[2]enemies!$1:$1,0)+1,FALSE)</f>
        <v>red</v>
      </c>
      <c r="O129" s="21" t="str">
        <f ca="1">VLOOKUP($L129,OFFSET([3]characters!$A$1,0,0,COUNTA([3]characters!$A:$A),MATCH(O$1,[3]characters!$1:$1,0)-MATCH($L$1,[3]characters!$1:$1,0)+1),MATCH(O$1,[3]characters!$1:$1,0)-MATCH($L$1,[3]characters!$1:$1,0)+1,FALSE)</f>
        <v>Drop1S</v>
      </c>
      <c r="P129" s="21" t="str">
        <f ca="1">VLOOKUP($L129,OFFSET([2]enemies!$A$1,0,0,COUNTA([2]enemies!$A:$A),MATCH(P$1,[2]enemies!$1:$1,0)-MATCH($L$1,[2]enemies!$1:$1,0)+1),MATCH(P$1,[2]enemies!$1:$1,0)-MATCH($L$1,[2]enemies!$1:$1,0)+1,FALSE)</f>
        <v>animal</v>
      </c>
      <c r="Q129" s="21">
        <f ca="1">VLOOKUP($L129,OFFSET([2]enemies!$A$1,0,0,COUNTA([2]enemies!$A:$A),MATCH(Q$1,[2]enemies!$1:$1,0)-MATCH($L$1,[2]enemies!$1:$1,0)+1),MATCH(Q$1,[2]enemies!$1:$1,0)-MATCH($L$1,[2]enemies!$1:$1,0)+1,FALSE)</f>
        <v>15</v>
      </c>
      <c r="R129" s="53">
        <v>48</v>
      </c>
      <c r="S129" s="27">
        <v>1</v>
      </c>
      <c r="T129" s="27">
        <v>1</v>
      </c>
      <c r="U129" s="5">
        <v>0</v>
      </c>
      <c r="V129" s="4" t="str">
        <f ca="1">VLOOKUP($W129,OFFSET([4]enemy_skill_sets!$B$1,0,0,COUNTA([4]enemy_skill_sets!$B:$B),MATCH(M$1,[4]enemy_skill_sets!$1:$1,0)-MATCH($W$1,[4]enemy_skill_sets!$1:$1,0)+2),MATCH(M$1,[4]enemy_skill_sets!$1:$1,0)-MATCH($W$1,[4]enemy_skill_sets!$1:$1,0)+2,FALSE)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29" s="4">
        <f ca="1">VLOOKUP($L129,OFFSET([2]enemies!$A$1,0,0,COUNTA([2]enemies!$A:$A),MATCH(W$1,[2]enemies!$1:$1,0)-MATCH($L$1,[2]enemies!$1:$1,0)+1),MATCH(W$1,[2]enemies!$1:$1,0)-MATCH($L$1,[2]enemies!$1:$1,0)+1,FALSE)</f>
        <v>33</v>
      </c>
      <c r="X129" s="6">
        <v>0</v>
      </c>
      <c r="Y129" s="6">
        <v>100</v>
      </c>
      <c r="Z129" s="6">
        <v>0</v>
      </c>
      <c r="AA129" s="4">
        <f ca="1">VLOOKUP($L129,OFFSET([2]enemies!$A$1,0,0,COUNTA([2]enemies!$A:$A),MATCH(AA$1,[2]enemies!$1:$1,0)-MATCH($L$1,[2]enemies!$1:$1,0)+1),MATCH(AA$1,[2]enemies!$1:$1,0)-MATCH($L$1,[2]enemies!$1:$1,0)+1,FALSE)</f>
        <v>2</v>
      </c>
      <c r="AB129" s="52">
        <v>33</v>
      </c>
      <c r="AC129" s="4" t="str">
        <f ca="1">VLOOKUP($AB129,OFFSET([3]characters!$A$1,0,0,COUNTA([3]characters!$A:$A),MATCH(AC$1,[3]characters!$1:$1,0)-MATCH("character_id",[3]characters!$1:$1,0)+1),MATCH(AC$1,[3]characters!$1:$1,0)-MATCH("character_id",[3]characters!$1:$1,0)+1,FALSE)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29" s="4">
        <f ca="1">VLOOKUP($AB129,OFFSET([3]characters!$A$1,0,0,COUNTA([3]characters!$A:$A),MATCH(AD$1,[3]characters!$1:$1,0)-MATCH("character_id",[3]characters!$1:$1,0)+1),MATCH(AD$1,[3]characters!$1:$1,0)-MATCH("character_id",[3]characters!$1:$1,0)+1,FALSE)</f>
        <v>2</v>
      </c>
      <c r="AE129" s="4" t="str">
        <f ca="1">VLOOKUP($AB129,OFFSET([3]characters!$A$1,0,0,COUNTA([3]characters!$A:$A),MATCH(AE$1,[3]characters!$1:$1,0)-MATCH("character_id",[3]characters!$1:$1,0)+1),MATCH(AE$1,[3]characters!$1:$1,0)-MATCH("character_id",[3]characters!$1:$1,0)+1,FALSE)</f>
        <v>Drop1S</v>
      </c>
      <c r="AF129" s="7">
        <v>5</v>
      </c>
      <c r="AG129" s="26">
        <f t="shared" ca="1" si="82"/>
        <v>2</v>
      </c>
      <c r="AH129" s="8">
        <v>20</v>
      </c>
      <c r="AI129" s="7">
        <v>0</v>
      </c>
      <c r="AJ129" s="7">
        <v>0</v>
      </c>
      <c r="AK129" s="7">
        <v>0</v>
      </c>
      <c r="AL129" s="7">
        <v>0</v>
      </c>
      <c r="AM129" s="7">
        <v>1</v>
      </c>
    </row>
    <row r="130" spans="1:39" ht="21" customHeight="1" x14ac:dyDescent="0.15">
      <c r="A130" s="18" t="str">
        <f t="shared" ca="1" si="157"/>
        <v>22_5-4/45&lt;lv48&gt;s3</v>
      </c>
      <c r="B130" s="50">
        <v>22</v>
      </c>
      <c r="C130" s="49">
        <v>5</v>
      </c>
      <c r="D130" s="2" t="str">
        <f t="shared" si="158"/>
        <v>22_5</v>
      </c>
      <c r="E130" s="2" t="str">
        <f t="shared" si="158"/>
        <v>5_22_5</v>
      </c>
      <c r="F130" s="4" t="str">
        <f ca="1">VLOOKUP($D130,OFFSET([1]stages!$A$1,0,0,COUNTA([1]stages!$A:$A),MATCH(F$1,[1]stages!$2:$2,0)-MATCH($D$1,[1]stages!$2:$2,0)+1),MATCH(F$1,[1]stages!$2:$2,0)-MATCH($D$1,[1]stages!$2:$2,0)+1,FALSE)</f>
        <v>22-5．真宴の月光</v>
      </c>
      <c r="G130" s="56">
        <v>4</v>
      </c>
      <c r="H130" s="17" t="str">
        <f t="shared" si="159"/>
        <v>22_5-4</v>
      </c>
      <c r="I130" s="17"/>
      <c r="J130" s="17"/>
      <c r="K130" s="65" t="s">
        <v>56</v>
      </c>
      <c r="L130" s="52">
        <v>45</v>
      </c>
      <c r="M130" s="21" t="str">
        <f ca="1">VLOOKUP($L130,OFFSET([2]enemies!$A$1,0,0,COUNTA([2]enemies!$A:$A),MATCH(M$1,[2]enemies!$1:$1,0)-MATCH($L$1,[2]enemies!$1:$1,0)+1),MATCH(M$1,[2]enemies!$1:$1,0)-MATCH($L$1,[2]enemies!$1:$1,0)+1,FALSE)</f>
        <v>ショウイン</v>
      </c>
      <c r="N130" s="21" t="str">
        <f ca="1">VLOOKUP($L130,OFFSET([2]enemies!$A$1,0,0,COUNTA([2]enemies!$A:$A),MATCH(N$1,[2]enemies!$1:$1,0)-MATCH($L$1,[2]enemies!$1:$1,0)+1),MATCH(N$1,[2]enemies!$1:$1,0)-MATCH($L$1,[2]enemies!$1:$1,0)+1,FALSE)</f>
        <v>blue</v>
      </c>
      <c r="O130" s="21" t="str">
        <f ca="1">VLOOKUP($L130,OFFSET([3]characters!$A$1,0,0,COUNTA([3]characters!$A:$A),MATCH(O$1,[3]characters!$1:$1,0)-MATCH($L$1,[3]characters!$1:$1,0)+1),MATCH(O$1,[3]characters!$1:$1,0)-MATCH($L$1,[3]characters!$1:$1,0)+1,FALSE)</f>
        <v>Drop1N</v>
      </c>
      <c r="P130" s="21" t="str">
        <f ca="1">VLOOKUP($L130,OFFSET([2]enemies!$A$1,0,0,COUNTA([2]enemies!$A:$A),MATCH(P$1,[2]enemies!$1:$1,0)-MATCH($L$1,[2]enemies!$1:$1,0)+1),MATCH(P$1,[2]enemies!$1:$1,0)-MATCH($L$1,[2]enemies!$1:$1,0)+1,FALSE)</f>
        <v>animal</v>
      </c>
      <c r="Q130" s="21">
        <f ca="1">VLOOKUP($L130,OFFSET([2]enemies!$A$1,0,0,COUNTA([2]enemies!$A:$A),MATCH(Q$1,[2]enemies!$1:$1,0)-MATCH($L$1,[2]enemies!$1:$1,0)+1),MATCH(Q$1,[2]enemies!$1:$1,0)-MATCH($L$1,[2]enemies!$1:$1,0)+1,FALSE)</f>
        <v>15</v>
      </c>
      <c r="R130" s="53">
        <v>48</v>
      </c>
      <c r="S130" s="27">
        <v>1</v>
      </c>
      <c r="T130" s="27">
        <v>1</v>
      </c>
      <c r="U130" s="5">
        <v>0</v>
      </c>
      <c r="V130" s="4" t="str">
        <f ca="1">VLOOKUP($W130,OFFSET([4]enemy_skill_sets!$B$1,0,0,COUNTA([4]enemy_skill_sets!$B:$B),MATCH(M$1,[4]enemy_skill_sets!$1:$1,0)-MATCH($W$1,[4]enemy_skill_sets!$1:$1,0)+2),MATCH(M$1,[4]enemy_skill_sets!$1:$1,0)-MATCH($W$1,[4]enemy_skill_sets!$1:$1,0)+2,FALSE)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30" s="4">
        <f ca="1">VLOOKUP($L130,OFFSET([2]enemies!$A$1,0,0,COUNTA([2]enemies!$A:$A),MATCH(W$1,[2]enemies!$1:$1,0)-MATCH($L$1,[2]enemies!$1:$1,0)+1),MATCH(W$1,[2]enemies!$1:$1,0)-MATCH($L$1,[2]enemies!$1:$1,0)+1,FALSE)</f>
        <v>0</v>
      </c>
      <c r="X130" s="6">
        <v>0</v>
      </c>
      <c r="Y130" s="6">
        <v>100</v>
      </c>
      <c r="Z130" s="6">
        <v>0</v>
      </c>
      <c r="AA130" s="4">
        <f ca="1">VLOOKUP($L130,OFFSET([2]enemies!$A$1,0,0,COUNTA([2]enemies!$A:$A),MATCH(AA$1,[2]enemies!$1:$1,0)-MATCH($L$1,[2]enemies!$1:$1,0)+1),MATCH(AA$1,[2]enemies!$1:$1,0)-MATCH($L$1,[2]enemies!$1:$1,0)+1,FALSE)</f>
        <v>3</v>
      </c>
      <c r="AB130" s="52">
        <v>45</v>
      </c>
      <c r="AC130" s="4" t="str">
        <f ca="1">VLOOKUP($AB130,OFFSET([3]characters!$A$1,0,0,COUNTA([3]characters!$A:$A),MATCH(AC$1,[3]characters!$1:$1,0)-MATCH("character_id",[3]characters!$1:$1,0)+1),MATCH(AC$1,[3]characters!$1:$1,0)-MATCH("character_id",[3]characters!$1:$1,0)+1,FALSE)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130" s="4">
        <f ca="1">VLOOKUP($AB130,OFFSET([3]characters!$A$1,0,0,COUNTA([3]characters!$A:$A),MATCH(AD$1,[3]characters!$1:$1,0)-MATCH("character_id",[3]characters!$1:$1,0)+1),MATCH(AD$1,[3]characters!$1:$1,0)-MATCH("character_id",[3]characters!$1:$1,0)+1,FALSE)</f>
        <v>2</v>
      </c>
      <c r="AE130" s="4" t="str">
        <f ca="1">VLOOKUP($AB130,OFFSET([3]characters!$A$1,0,0,COUNTA([3]characters!$A:$A),MATCH(AE$1,[3]characters!$1:$1,0)-MATCH("character_id",[3]characters!$1:$1,0)+1),MATCH(AE$1,[3]characters!$1:$1,0)-MATCH("character_id",[3]characters!$1:$1,0)+1,FALSE)</f>
        <v>Drop1N</v>
      </c>
      <c r="AF130" s="7">
        <v>7</v>
      </c>
      <c r="AG130" s="26">
        <f t="shared" ca="1" si="82"/>
        <v>2</v>
      </c>
      <c r="AH130" s="8">
        <v>20</v>
      </c>
      <c r="AI130" s="7">
        <v>0</v>
      </c>
      <c r="AJ130" s="7">
        <v>0</v>
      </c>
      <c r="AK130" s="7">
        <v>0</v>
      </c>
      <c r="AL130" s="7">
        <v>0</v>
      </c>
      <c r="AM130" s="7">
        <v>1</v>
      </c>
    </row>
    <row r="131" spans="1:39" ht="21" customHeight="1" x14ac:dyDescent="0.15">
      <c r="A131" s="18" t="str">
        <f t="shared" ca="1" si="157"/>
        <v>22_5-4/57&lt;lv48&gt;s2</v>
      </c>
      <c r="B131" s="50">
        <v>22</v>
      </c>
      <c r="C131" s="49">
        <v>5</v>
      </c>
      <c r="D131" s="2" t="str">
        <f t="shared" si="158"/>
        <v>22_5</v>
      </c>
      <c r="E131" s="2" t="str">
        <f t="shared" si="158"/>
        <v>5_22_5</v>
      </c>
      <c r="F131" s="4" t="str">
        <f ca="1">VLOOKUP($D131,OFFSET([1]stages!$A$1,0,0,COUNTA([1]stages!$A:$A),MATCH(F$1,[1]stages!$2:$2,0)-MATCH($D$1,[1]stages!$2:$2,0)+1),MATCH(F$1,[1]stages!$2:$2,0)-MATCH($D$1,[1]stages!$2:$2,0)+1,FALSE)</f>
        <v>22-5．真宴の月光</v>
      </c>
      <c r="G131" s="56">
        <v>4</v>
      </c>
      <c r="H131" s="17" t="str">
        <f t="shared" si="159"/>
        <v>22_5-4</v>
      </c>
      <c r="I131" s="17"/>
      <c r="J131" s="17"/>
      <c r="K131" s="65" t="s">
        <v>56</v>
      </c>
      <c r="L131" s="52">
        <v>57</v>
      </c>
      <c r="M131" s="21" t="str">
        <f ca="1">VLOOKUP($L131,OFFSET([2]enemies!$A$1,0,0,COUNTA([2]enemies!$A:$A),MATCH(M$1,[2]enemies!$1:$1,0)-MATCH($L$1,[2]enemies!$1:$1,0)+1),MATCH(M$1,[2]enemies!$1:$1,0)-MATCH($L$1,[2]enemies!$1:$1,0)+1,FALSE)</f>
        <v>チェン・リー</v>
      </c>
      <c r="N131" s="21" t="str">
        <f ca="1">VLOOKUP($L131,OFFSET([2]enemies!$A$1,0,0,COUNTA([2]enemies!$A:$A),MATCH(N$1,[2]enemies!$1:$1,0)-MATCH($L$1,[2]enemies!$1:$1,0)+1),MATCH(N$1,[2]enemies!$1:$1,0)-MATCH($L$1,[2]enemies!$1:$1,0)+1,FALSE)</f>
        <v>red</v>
      </c>
      <c r="O131" s="21" t="str">
        <f ca="1">VLOOKUP($L131,OFFSET([3]characters!$A$1,0,0,COUNTA([3]characters!$A:$A),MATCH(O$1,[3]characters!$1:$1,0)-MATCH($L$1,[3]characters!$1:$1,0)+1),MATCH(O$1,[3]characters!$1:$1,0)-MATCH($L$1,[3]characters!$1:$1,0)+1,FALSE)</f>
        <v>Drop1N</v>
      </c>
      <c r="P131" s="21" t="str">
        <f ca="1">VLOOKUP($L131,OFFSET([2]enemies!$A$1,0,0,COUNTA([2]enemies!$A:$A),MATCH(P$1,[2]enemies!$1:$1,0)-MATCH($L$1,[2]enemies!$1:$1,0)+1),MATCH(P$1,[2]enemies!$1:$1,0)-MATCH($L$1,[2]enemies!$1:$1,0)+1,FALSE)</f>
        <v>animal</v>
      </c>
      <c r="Q131" s="21">
        <f ca="1">VLOOKUP($L131,OFFSET([2]enemies!$A$1,0,0,COUNTA([2]enemies!$A:$A),MATCH(Q$1,[2]enemies!$1:$1,0)-MATCH($L$1,[2]enemies!$1:$1,0)+1),MATCH(Q$1,[2]enemies!$1:$1,0)-MATCH($L$1,[2]enemies!$1:$1,0)+1,FALSE)</f>
        <v>15</v>
      </c>
      <c r="R131" s="53">
        <v>48</v>
      </c>
      <c r="S131" s="27">
        <v>1</v>
      </c>
      <c r="T131" s="27">
        <v>1</v>
      </c>
      <c r="U131" s="5">
        <v>0</v>
      </c>
      <c r="V131" s="4" t="str">
        <f ca="1">VLOOKUP($W131,OFFSET([4]enemy_skill_sets!$B$1,0,0,COUNTA([4]enemy_skill_sets!$B:$B),MATCH(M$1,[4]enemy_skill_sets!$1:$1,0)-MATCH($W$1,[4]enemy_skill_sets!$1:$1,0)+2),MATCH(M$1,[4]enemy_skill_sets!$1:$1,0)-MATCH($W$1,[4]enemy_skill_sets!$1:$1,0)+2,FALSE)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31" s="4">
        <f ca="1">VLOOKUP($L131,OFFSET([2]enemies!$A$1,0,0,COUNTA([2]enemies!$A:$A),MATCH(W$1,[2]enemies!$1:$1,0)-MATCH($L$1,[2]enemies!$1:$1,0)+1),MATCH(W$1,[2]enemies!$1:$1,0)-MATCH($L$1,[2]enemies!$1:$1,0)+1,FALSE)</f>
        <v>57</v>
      </c>
      <c r="X131" s="6">
        <v>0</v>
      </c>
      <c r="Y131" s="6">
        <v>100</v>
      </c>
      <c r="Z131" s="6">
        <v>0</v>
      </c>
      <c r="AA131" s="4">
        <f ca="1">VLOOKUP($L131,OFFSET([2]enemies!$A$1,0,0,COUNTA([2]enemies!$A:$A),MATCH(AA$1,[2]enemies!$1:$1,0)-MATCH($L$1,[2]enemies!$1:$1,0)+1),MATCH(AA$1,[2]enemies!$1:$1,0)-MATCH($L$1,[2]enemies!$1:$1,0)+1,FALSE)</f>
        <v>2</v>
      </c>
      <c r="AB131" s="52">
        <v>57</v>
      </c>
      <c r="AC131" s="4" t="str">
        <f ca="1">VLOOKUP($AB131,OFFSET([3]characters!$A$1,0,0,COUNTA([3]characters!$A:$A),MATCH(AC$1,[3]characters!$1:$1,0)-MATCH("character_id",[3]characters!$1:$1,0)+1),MATCH(AC$1,[3]characters!$1:$1,0)-MATCH("character_id",[3]characters!$1:$1,0)+1,FALSE)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31" s="4">
        <f ca="1">VLOOKUP($AB131,OFFSET([3]characters!$A$1,0,0,COUNTA([3]characters!$A:$A),MATCH(AD$1,[3]characters!$1:$1,0)-MATCH("character_id",[3]characters!$1:$1,0)+1),MATCH(AD$1,[3]characters!$1:$1,0)-MATCH("character_id",[3]characters!$1:$1,0)+1,FALSE)</f>
        <v>2</v>
      </c>
      <c r="AE131" s="4" t="str">
        <f ca="1">VLOOKUP($AB131,OFFSET([3]characters!$A$1,0,0,COUNTA([3]characters!$A:$A),MATCH(AE$1,[3]characters!$1:$1,0)-MATCH("character_id",[3]characters!$1:$1,0)+1),MATCH(AE$1,[3]characters!$1:$1,0)-MATCH("character_id",[3]characters!$1:$1,0)+1,FALSE)</f>
        <v>Drop1N</v>
      </c>
      <c r="AF131" s="7">
        <v>7</v>
      </c>
      <c r="AG131" s="26">
        <f t="shared" ref="AG131:AG194" ca="1" si="172">AD131</f>
        <v>2</v>
      </c>
      <c r="AH131" s="8">
        <v>20</v>
      </c>
      <c r="AI131" s="7">
        <v>0</v>
      </c>
      <c r="AJ131" s="7">
        <v>0</v>
      </c>
      <c r="AK131" s="7">
        <v>0</v>
      </c>
      <c r="AL131" s="7">
        <v>0</v>
      </c>
      <c r="AM131" s="7">
        <v>1</v>
      </c>
    </row>
    <row r="132" spans="1:39" ht="21" customHeight="1" x14ac:dyDescent="0.15">
      <c r="A132" s="18" t="str">
        <f t="shared" ca="1" si="157"/>
        <v>22_5-4/61&lt;lv48&gt;s2</v>
      </c>
      <c r="B132" s="50">
        <v>22</v>
      </c>
      <c r="C132" s="49">
        <v>5</v>
      </c>
      <c r="D132" s="2" t="str">
        <f t="shared" si="158"/>
        <v>22_5</v>
      </c>
      <c r="E132" s="2" t="str">
        <f t="shared" si="158"/>
        <v>5_22_5</v>
      </c>
      <c r="F132" s="4" t="str">
        <f ca="1">VLOOKUP($D132,OFFSET([1]stages!$A$1,0,0,COUNTA([1]stages!$A:$A),MATCH(F$1,[1]stages!$2:$2,0)-MATCH($D$1,[1]stages!$2:$2,0)+1),MATCH(F$1,[1]stages!$2:$2,0)-MATCH($D$1,[1]stages!$2:$2,0)+1,FALSE)</f>
        <v>22-5．真宴の月光</v>
      </c>
      <c r="G132" s="56">
        <v>4</v>
      </c>
      <c r="H132" s="17" t="str">
        <f t="shared" si="159"/>
        <v>22_5-4</v>
      </c>
      <c r="I132" s="17"/>
      <c r="J132" s="17"/>
      <c r="K132" s="65" t="s">
        <v>56</v>
      </c>
      <c r="L132" s="52">
        <v>61</v>
      </c>
      <c r="M132" s="21" t="str">
        <f ca="1">VLOOKUP($L132,OFFSET([2]enemies!$A$1,0,0,COUNTA([2]enemies!$A:$A),MATCH(M$1,[2]enemies!$1:$1,0)-MATCH($L$1,[2]enemies!$1:$1,0)+1),MATCH(M$1,[2]enemies!$1:$1,0)-MATCH($L$1,[2]enemies!$1:$1,0)+1,FALSE)</f>
        <v>クロウ</v>
      </c>
      <c r="N132" s="21" t="str">
        <f ca="1">VLOOKUP($L132,OFFSET([2]enemies!$A$1,0,0,COUNTA([2]enemies!$A:$A),MATCH(N$1,[2]enemies!$1:$1,0)-MATCH($L$1,[2]enemies!$1:$1,0)+1),MATCH(N$1,[2]enemies!$1:$1,0)-MATCH($L$1,[2]enemies!$1:$1,0)+1,FALSE)</f>
        <v>blue</v>
      </c>
      <c r="O132" s="21" t="str">
        <f ca="1">VLOOKUP($L132,OFFSET([3]characters!$A$1,0,0,COUNTA([3]characters!$A:$A),MATCH(O$1,[3]characters!$1:$1,0)-MATCH($L$1,[3]characters!$1:$1,0)+1),MATCH(O$1,[3]characters!$1:$1,0)-MATCH($L$1,[3]characters!$1:$1,0)+1,FALSE)</f>
        <v>Drop1N</v>
      </c>
      <c r="P132" s="21" t="str">
        <f ca="1">VLOOKUP($L132,OFFSET([2]enemies!$A$1,0,0,COUNTA([2]enemies!$A:$A),MATCH(P$1,[2]enemies!$1:$1,0)-MATCH($L$1,[2]enemies!$1:$1,0)+1),MATCH(P$1,[2]enemies!$1:$1,0)-MATCH($L$1,[2]enemies!$1:$1,0)+1,FALSE)</f>
        <v>animal</v>
      </c>
      <c r="Q132" s="21">
        <f ca="1">VLOOKUP($L132,OFFSET([2]enemies!$A$1,0,0,COUNTA([2]enemies!$A:$A),MATCH(Q$1,[2]enemies!$1:$1,0)-MATCH($L$1,[2]enemies!$1:$1,0)+1),MATCH(Q$1,[2]enemies!$1:$1,0)-MATCH($L$1,[2]enemies!$1:$1,0)+1,FALSE)</f>
        <v>15</v>
      </c>
      <c r="R132" s="53">
        <v>48</v>
      </c>
      <c r="S132" s="27">
        <v>1</v>
      </c>
      <c r="T132" s="27">
        <v>1</v>
      </c>
      <c r="U132" s="5">
        <v>0</v>
      </c>
      <c r="V132" s="4" t="str">
        <f ca="1">VLOOKUP($W132,OFFSET([4]enemy_skill_sets!$B$1,0,0,COUNTA([4]enemy_skill_sets!$B:$B),MATCH(M$1,[4]enemy_skill_sets!$1:$1,0)-MATCH($W$1,[4]enemy_skill_sets!$1:$1,0)+2),MATCH(M$1,[4]enemy_skill_sets!$1:$1,0)-MATCH($W$1,[4]enemy_skill_sets!$1:$1,0)+2,FALSE)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32" s="4">
        <f ca="1">VLOOKUP($L132,OFFSET([2]enemies!$A$1,0,0,COUNTA([2]enemies!$A:$A),MATCH(W$1,[2]enemies!$1:$1,0)-MATCH($L$1,[2]enemies!$1:$1,0)+1),MATCH(W$1,[2]enemies!$1:$1,0)-MATCH($L$1,[2]enemies!$1:$1,0)+1,FALSE)</f>
        <v>61</v>
      </c>
      <c r="X132" s="6">
        <v>0</v>
      </c>
      <c r="Y132" s="6">
        <v>100</v>
      </c>
      <c r="Z132" s="6">
        <v>0</v>
      </c>
      <c r="AA132" s="4">
        <f ca="1">VLOOKUP($L132,OFFSET([2]enemies!$A$1,0,0,COUNTA([2]enemies!$A:$A),MATCH(AA$1,[2]enemies!$1:$1,0)-MATCH($L$1,[2]enemies!$1:$1,0)+1),MATCH(AA$1,[2]enemies!$1:$1,0)-MATCH($L$1,[2]enemies!$1:$1,0)+1,FALSE)</f>
        <v>2</v>
      </c>
      <c r="AB132" s="52">
        <v>61</v>
      </c>
      <c r="AC132" s="4" t="str">
        <f ca="1">VLOOKUP($AB132,OFFSET([3]characters!$A$1,0,0,COUNTA([3]characters!$A:$A),MATCH(AC$1,[3]characters!$1:$1,0)-MATCH("character_id",[3]characters!$1:$1,0)+1),MATCH(AC$1,[3]characters!$1:$1,0)-MATCH("character_id",[3]characters!$1:$1,0)+1,FALSE)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132" s="4">
        <f ca="1">VLOOKUP($AB132,OFFSET([3]characters!$A$1,0,0,COUNTA([3]characters!$A:$A),MATCH(AD$1,[3]characters!$1:$1,0)-MATCH("character_id",[3]characters!$1:$1,0)+1),MATCH(AD$1,[3]characters!$1:$1,0)-MATCH("character_id",[3]characters!$1:$1,0)+1,FALSE)</f>
        <v>2</v>
      </c>
      <c r="AE132" s="4" t="str">
        <f ca="1">VLOOKUP($AB132,OFFSET([3]characters!$A$1,0,0,COUNTA([3]characters!$A:$A),MATCH(AE$1,[3]characters!$1:$1,0)-MATCH("character_id",[3]characters!$1:$1,0)+1),MATCH(AE$1,[3]characters!$1:$1,0)-MATCH("character_id",[3]characters!$1:$1,0)+1,FALSE)</f>
        <v>Drop1N</v>
      </c>
      <c r="AF132" s="7">
        <v>7</v>
      </c>
      <c r="AG132" s="26">
        <f t="shared" ca="1" si="172"/>
        <v>2</v>
      </c>
      <c r="AH132" s="8">
        <v>20</v>
      </c>
      <c r="AI132" s="7">
        <v>0</v>
      </c>
      <c r="AJ132" s="7">
        <v>0</v>
      </c>
      <c r="AK132" s="7">
        <v>0</v>
      </c>
      <c r="AL132" s="7">
        <v>0</v>
      </c>
      <c r="AM132" s="7">
        <v>1</v>
      </c>
    </row>
    <row r="133" spans="1:39" ht="21" customHeight="1" x14ac:dyDescent="0.15">
      <c r="A133" s="18" t="str">
        <f t="shared" ref="A133:A134" ca="1" si="173">B133&amp;"_"&amp;C133&amp;"-"&amp;G133&amp;"/"&amp;L133&amp;"&lt;lv"&amp;R133&amp;"&gt;s"&amp;AA133</f>
        <v>22_5-4/360&lt;lv48&gt;s3</v>
      </c>
      <c r="B133" s="53">
        <v>22</v>
      </c>
      <c r="C133" s="51">
        <v>5</v>
      </c>
      <c r="D133" s="2" t="str">
        <f t="shared" ref="D133:D134" si="174">B133&amp;"_"&amp;C133</f>
        <v>22_5</v>
      </c>
      <c r="E133" s="2" t="str">
        <f t="shared" ref="E133:E134" si="175">C133&amp;"_"&amp;D133</f>
        <v>5_22_5</v>
      </c>
      <c r="F133" s="4" t="str">
        <f ca="1">VLOOKUP($D133,OFFSET([1]stages!$A$1,0,0,COUNTA([1]stages!$A:$A),MATCH(F$1,[1]stages!$2:$2,0)-MATCH($D$1,[1]stages!$2:$2,0)+1),MATCH(F$1,[1]stages!$2:$2,0)-MATCH($D$1,[1]stages!$2:$2,0)+1,FALSE)</f>
        <v>22-5．真宴の月光</v>
      </c>
      <c r="G133" s="56">
        <v>4</v>
      </c>
      <c r="H133" s="17" t="str">
        <f t="shared" ref="H133:H134" si="176">B133&amp;"_"&amp;C133&amp;"-"&amp;G133</f>
        <v>22_5-4</v>
      </c>
      <c r="I133" s="17"/>
      <c r="J133" s="17"/>
      <c r="K133" s="65" t="s">
        <v>56</v>
      </c>
      <c r="L133" s="52">
        <v>360</v>
      </c>
      <c r="M133" s="21" t="str">
        <f ca="1">VLOOKUP($L133,OFFSET([2]enemies!$A$1,0,0,COUNTA([2]enemies!$A:$A),MATCH(M$1,[2]enemies!$1:$1,0)-MATCH($L$1,[2]enemies!$1:$1,0)+1),MATCH(M$1,[2]enemies!$1:$1,0)-MATCH($L$1,[2]enemies!$1:$1,0)+1,FALSE)</f>
        <v>ガンテツ</v>
      </c>
      <c r="N133" s="21" t="str">
        <f ca="1">VLOOKUP($L133,OFFSET([2]enemies!$A$1,0,0,COUNTA([2]enemies!$A:$A),MATCH(N$1,[2]enemies!$1:$1,0)-MATCH($L$1,[2]enemies!$1:$1,0)+1),MATCH(N$1,[2]enemies!$1:$1,0)-MATCH($L$1,[2]enemies!$1:$1,0)+1,FALSE)</f>
        <v>red</v>
      </c>
      <c r="O133" s="21" t="str">
        <f ca="1">VLOOKUP($L133,OFFSET([3]characters!$A$1,0,0,COUNTA([3]characters!$A:$A),MATCH(O$1,[3]characters!$1:$1,0)-MATCH($L$1,[3]characters!$1:$1,0)+1),MATCH(O$1,[3]characters!$1:$1,0)-MATCH($L$1,[3]characters!$1:$1,0)+1,FALSE)</f>
        <v>Drop1S</v>
      </c>
      <c r="P133" s="21" t="str">
        <f ca="1">VLOOKUP($L133,OFFSET([2]enemies!$A$1,0,0,COUNTA([2]enemies!$A:$A),MATCH(P$1,[2]enemies!$1:$1,0)-MATCH($L$1,[2]enemies!$1:$1,0)+1),MATCH(P$1,[2]enemies!$1:$1,0)-MATCH($L$1,[2]enemies!$1:$1,0)+1,FALSE)</f>
        <v>animal</v>
      </c>
      <c r="Q133" s="21">
        <f ca="1">VLOOKUP($L133,OFFSET([2]enemies!$A$1,0,0,COUNTA([2]enemies!$A:$A),MATCH(Q$1,[2]enemies!$1:$1,0)-MATCH($L$1,[2]enemies!$1:$1,0)+1),MATCH(Q$1,[2]enemies!$1:$1,0)-MATCH($L$1,[2]enemies!$1:$1,0)+1,FALSE)</f>
        <v>15</v>
      </c>
      <c r="R133" s="53">
        <v>48</v>
      </c>
      <c r="S133" s="27">
        <v>1</v>
      </c>
      <c r="T133" s="27">
        <v>1</v>
      </c>
      <c r="U133" s="5">
        <v>0</v>
      </c>
      <c r="V133" s="4" t="str">
        <f ca="1">VLOOKUP($W133,OFFSET([4]enemy_skill_sets!$B$1,0,0,COUNTA([4]enemy_skill_sets!$B:$B),MATCH(M$1,[4]enemy_skill_sets!$1:$1,0)-MATCH($W$1,[4]enemy_skill_sets!$1:$1,0)+2),MATCH(M$1,[4]enemy_skill_sets!$1:$1,0)-MATCH($W$1,[4]enemy_skill_sets!$1:$1,0)+2,FALSE)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33" s="76">
        <v>360</v>
      </c>
      <c r="X133" s="6">
        <v>0</v>
      </c>
      <c r="Y133" s="6">
        <v>100</v>
      </c>
      <c r="Z133" s="6">
        <v>0</v>
      </c>
      <c r="AA133" s="4">
        <f ca="1">VLOOKUP($L133,OFFSET([2]enemies!$A$1,0,0,COUNTA([2]enemies!$A:$A),MATCH(AA$1,[2]enemies!$1:$1,0)-MATCH($L$1,[2]enemies!$1:$1,0)+1),MATCH(AA$1,[2]enemies!$1:$1,0)-MATCH($L$1,[2]enemies!$1:$1,0)+1,FALSE)</f>
        <v>3</v>
      </c>
      <c r="AB133" s="52">
        <v>360</v>
      </c>
      <c r="AC133" s="4" t="str">
        <f ca="1">VLOOKUP($AB133,OFFSET([3]characters!$A$1,0,0,COUNTA([3]characters!$A:$A),MATCH(AC$1,[3]characters!$1:$1,0)-MATCH("character_id",[3]characters!$1:$1,0)+1),MATCH(AC$1,[3]characters!$1:$1,0)-MATCH("character_id",[3]characters!$1:$1,0)+1,FALSE)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33" s="4">
        <f ca="1">VLOOKUP($AB133,OFFSET([3]characters!$A$1,0,0,COUNTA([3]characters!$A:$A),MATCH(AD$1,[3]characters!$1:$1,0)-MATCH("character_id",[3]characters!$1:$1,0)+1),MATCH(AD$1,[3]characters!$1:$1,0)-MATCH("character_id",[3]characters!$1:$1,0)+1,FALSE)</f>
        <v>2</v>
      </c>
      <c r="AE133" s="4" t="str">
        <f ca="1">VLOOKUP($AB133,OFFSET([3]characters!$A$1,0,0,COUNTA([3]characters!$A:$A),MATCH(AE$1,[3]characters!$1:$1,0)-MATCH("character_id",[3]characters!$1:$1,0)+1),MATCH(AE$1,[3]characters!$1:$1,0)-MATCH("character_id",[3]characters!$1:$1,0)+1,FALSE)</f>
        <v>Drop1S</v>
      </c>
      <c r="AF133" s="7">
        <v>7</v>
      </c>
      <c r="AG133" s="26">
        <f t="shared" ca="1" si="172"/>
        <v>2</v>
      </c>
      <c r="AH133" s="8">
        <v>20</v>
      </c>
      <c r="AI133" s="7">
        <v>0</v>
      </c>
      <c r="AJ133" s="7">
        <v>0</v>
      </c>
      <c r="AK133" s="7">
        <v>0</v>
      </c>
      <c r="AL133" s="7">
        <v>0</v>
      </c>
      <c r="AM133" s="7">
        <v>1</v>
      </c>
    </row>
    <row r="134" spans="1:39" ht="21" customHeight="1" x14ac:dyDescent="0.15">
      <c r="A134" s="18" t="str">
        <f t="shared" ca="1" si="173"/>
        <v>22_5-4/364&lt;lv48&gt;s3</v>
      </c>
      <c r="B134" s="53">
        <v>22</v>
      </c>
      <c r="C134" s="51">
        <v>5</v>
      </c>
      <c r="D134" s="2" t="str">
        <f t="shared" si="174"/>
        <v>22_5</v>
      </c>
      <c r="E134" s="2" t="str">
        <f t="shared" si="175"/>
        <v>5_22_5</v>
      </c>
      <c r="F134" s="4" t="str">
        <f ca="1">VLOOKUP($D134,OFFSET([1]stages!$A$1,0,0,COUNTA([1]stages!$A:$A),MATCH(F$1,[1]stages!$2:$2,0)-MATCH($D$1,[1]stages!$2:$2,0)+1),MATCH(F$1,[1]stages!$2:$2,0)-MATCH($D$1,[1]stages!$2:$2,0)+1,FALSE)</f>
        <v>22-5．真宴の月光</v>
      </c>
      <c r="G134" s="56">
        <v>4</v>
      </c>
      <c r="H134" s="17" t="str">
        <f t="shared" si="176"/>
        <v>22_5-4</v>
      </c>
      <c r="I134" s="17"/>
      <c r="J134" s="17"/>
      <c r="K134" s="65" t="s">
        <v>56</v>
      </c>
      <c r="L134" s="52">
        <v>364</v>
      </c>
      <c r="M134" s="21" t="str">
        <f ca="1">VLOOKUP($L134,OFFSET([2]enemies!$A$1,0,0,COUNTA([2]enemies!$A:$A),MATCH(M$1,[2]enemies!$1:$1,0)-MATCH($L$1,[2]enemies!$1:$1,0)+1),MATCH(M$1,[2]enemies!$1:$1,0)-MATCH($L$1,[2]enemies!$1:$1,0)+1,FALSE)</f>
        <v>ノエル</v>
      </c>
      <c r="N134" s="21" t="str">
        <f ca="1">VLOOKUP($L134,OFFSET([2]enemies!$A$1,0,0,COUNTA([2]enemies!$A:$A),MATCH(N$1,[2]enemies!$1:$1,0)-MATCH($L$1,[2]enemies!$1:$1,0)+1),MATCH(N$1,[2]enemies!$1:$1,0)-MATCH($L$1,[2]enemies!$1:$1,0)+1,FALSE)</f>
        <v>blue</v>
      </c>
      <c r="O134" s="21" t="str">
        <f ca="1">VLOOKUP($L134,OFFSET([3]characters!$A$1,0,0,COUNTA([3]characters!$A:$A),MATCH(O$1,[3]characters!$1:$1,0)-MATCH($L$1,[3]characters!$1:$1,0)+1),MATCH(O$1,[3]characters!$1:$1,0)-MATCH($L$1,[3]characters!$1:$1,0)+1,FALSE)</f>
        <v>Drop1S</v>
      </c>
      <c r="P134" s="21" t="str">
        <f ca="1">VLOOKUP($L134,OFFSET([2]enemies!$A$1,0,0,COUNTA([2]enemies!$A:$A),MATCH(P$1,[2]enemies!$1:$1,0)-MATCH($L$1,[2]enemies!$1:$1,0)+1),MATCH(P$1,[2]enemies!$1:$1,0)-MATCH($L$1,[2]enemies!$1:$1,0)+1,FALSE)</f>
        <v>animal</v>
      </c>
      <c r="Q134" s="21">
        <f ca="1">VLOOKUP($L134,OFFSET([2]enemies!$A$1,0,0,COUNTA([2]enemies!$A:$A),MATCH(Q$1,[2]enemies!$1:$1,0)-MATCH($L$1,[2]enemies!$1:$1,0)+1),MATCH(Q$1,[2]enemies!$1:$1,0)-MATCH($L$1,[2]enemies!$1:$1,0)+1,FALSE)</f>
        <v>15</v>
      </c>
      <c r="R134" s="53">
        <v>48</v>
      </c>
      <c r="S134" s="27">
        <v>1</v>
      </c>
      <c r="T134" s="27">
        <v>1</v>
      </c>
      <c r="U134" s="5">
        <v>0</v>
      </c>
      <c r="V134" s="4" t="str">
        <f ca="1">VLOOKUP($W134,OFFSET([4]enemy_skill_sets!$B$1,0,0,COUNTA([4]enemy_skill_sets!$B:$B),MATCH(M$1,[4]enemy_skill_sets!$1:$1,0)-MATCH($W$1,[4]enemy_skill_sets!$1:$1,0)+2),MATCH(M$1,[4]enemy_skill_sets!$1:$1,0)-MATCH($W$1,[4]enemy_skill_sets!$1:$1,0)+2,FALSE)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134" s="64">
        <v>364</v>
      </c>
      <c r="X134" s="6">
        <v>0</v>
      </c>
      <c r="Y134" s="6">
        <v>100</v>
      </c>
      <c r="Z134" s="6">
        <v>0</v>
      </c>
      <c r="AA134" s="4">
        <f ca="1">VLOOKUP($L134,OFFSET([2]enemies!$A$1,0,0,COUNTA([2]enemies!$A:$A),MATCH(AA$1,[2]enemies!$1:$1,0)-MATCH($L$1,[2]enemies!$1:$1,0)+1),MATCH(AA$1,[2]enemies!$1:$1,0)-MATCH($L$1,[2]enemies!$1:$1,0)+1,FALSE)</f>
        <v>3</v>
      </c>
      <c r="AB134" s="52">
        <v>364</v>
      </c>
      <c r="AC134" s="4" t="str">
        <f ca="1">VLOOKUP($AB134,OFFSET([3]characters!$A$1,0,0,COUNTA([3]characters!$A:$A),MATCH(AC$1,[3]characters!$1:$1,0)-MATCH("character_id",[3]characters!$1:$1,0)+1),MATCH(AC$1,[3]characters!$1:$1,0)-MATCH("character_id",[3]characters!$1:$1,0)+1,FALSE)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134" s="4">
        <f ca="1">VLOOKUP($AB134,OFFSET([3]characters!$A$1,0,0,COUNTA([3]characters!$A:$A),MATCH(AD$1,[3]characters!$1:$1,0)-MATCH("character_id",[3]characters!$1:$1,0)+1),MATCH(AD$1,[3]characters!$1:$1,0)-MATCH("character_id",[3]characters!$1:$1,0)+1,FALSE)</f>
        <v>2</v>
      </c>
      <c r="AE134" s="4" t="str">
        <f ca="1">VLOOKUP($AB134,OFFSET([3]characters!$A$1,0,0,COUNTA([3]characters!$A:$A),MATCH(AE$1,[3]characters!$1:$1,0)-MATCH("character_id",[3]characters!$1:$1,0)+1),MATCH(AE$1,[3]characters!$1:$1,0)-MATCH("character_id",[3]characters!$1:$1,0)+1,FALSE)</f>
        <v>Drop1S</v>
      </c>
      <c r="AF134" s="7">
        <v>7</v>
      </c>
      <c r="AG134" s="26">
        <f t="shared" ca="1" si="172"/>
        <v>2</v>
      </c>
      <c r="AH134" s="8">
        <v>20</v>
      </c>
      <c r="AI134" s="7">
        <v>0</v>
      </c>
      <c r="AJ134" s="7">
        <v>0</v>
      </c>
      <c r="AK134" s="7">
        <v>0</v>
      </c>
      <c r="AL134" s="7">
        <v>0</v>
      </c>
      <c r="AM134" s="7">
        <v>1</v>
      </c>
    </row>
    <row r="135" spans="1:39" ht="21" customHeight="1" x14ac:dyDescent="0.15">
      <c r="A135" s="18" t="str">
        <f t="shared" ref="A135" ca="1" si="177">B135&amp;"_"&amp;C135&amp;"-"&amp;G135&amp;"/"&amp;L135&amp;"&lt;lv"&amp;R135&amp;"&gt;s"&amp;AA135</f>
        <v>22_5-4/348&lt;lv49&gt;s3</v>
      </c>
      <c r="B135" s="53">
        <v>22</v>
      </c>
      <c r="C135" s="51">
        <v>5</v>
      </c>
      <c r="D135" s="2" t="str">
        <f t="shared" ref="D135" si="178">B135&amp;"_"&amp;C135</f>
        <v>22_5</v>
      </c>
      <c r="E135" s="2" t="str">
        <f t="shared" ref="E135" si="179">C135&amp;"_"&amp;D135</f>
        <v>5_22_5</v>
      </c>
      <c r="F135" s="4" t="str">
        <f ca="1">VLOOKUP($D135,OFFSET([1]stages!$A$1,0,0,COUNTA([1]stages!$A:$A),MATCH(F$1,[1]stages!$2:$2,0)-MATCH($D$1,[1]stages!$2:$2,0)+1),MATCH(F$1,[1]stages!$2:$2,0)-MATCH($D$1,[1]stages!$2:$2,0)+1,FALSE)</f>
        <v>22-5．真宴の月光</v>
      </c>
      <c r="G135" s="56">
        <v>4</v>
      </c>
      <c r="H135" s="17" t="str">
        <f t="shared" ref="H135" si="180">B135&amp;"_"&amp;C135&amp;"-"&amp;G135</f>
        <v>22_5-4</v>
      </c>
      <c r="I135" s="17"/>
      <c r="J135" s="17"/>
      <c r="K135" s="65" t="s">
        <v>56</v>
      </c>
      <c r="L135" s="52">
        <v>348</v>
      </c>
      <c r="M135" s="21" t="str">
        <f ca="1">VLOOKUP($L135,OFFSET([2]enemies!$A$1,0,0,COUNTA([2]enemies!$A:$A),MATCH(M$1,[2]enemies!$1:$1,0)-MATCH($L$1,[2]enemies!$1:$1,0)+1),MATCH(M$1,[2]enemies!$1:$1,0)-MATCH($L$1,[2]enemies!$1:$1,0)+1,FALSE)</f>
        <v>炎のケロケロ</v>
      </c>
      <c r="N135" s="21" t="str">
        <f ca="1">VLOOKUP($L135,OFFSET([2]enemies!$A$1,0,0,COUNTA([2]enemies!$A:$A),MATCH(N$1,[2]enemies!$1:$1,0)-MATCH($L$1,[2]enemies!$1:$1,0)+1),MATCH(N$1,[2]enemies!$1:$1,0)-MATCH($L$1,[2]enemies!$1:$1,0)+1,FALSE)</f>
        <v>red</v>
      </c>
      <c r="O135" s="21" t="str">
        <f ca="1">VLOOKUP($L135,OFFSET([3]characters!$A$1,0,0,COUNTA([3]characters!$A:$A),MATCH(O$1,[3]characters!$1:$1,0)-MATCH($L$1,[3]characters!$1:$1,0)+1),MATCH(O$1,[3]characters!$1:$1,0)-MATCH($L$1,[3]characters!$1:$1,0)+1,FALSE)</f>
        <v>Material</v>
      </c>
      <c r="P135" s="21" t="str">
        <f ca="1">VLOOKUP($L135,OFFSET([2]enemies!$A$1,0,0,COUNTA([2]enemies!$A:$A),MATCH(P$1,[2]enemies!$1:$1,0)-MATCH($L$1,[2]enemies!$1:$1,0)+1),MATCH(P$1,[2]enemies!$1:$1,0)-MATCH($L$1,[2]enemies!$1:$1,0)+1,FALSE)</f>
        <v>unknown</v>
      </c>
      <c r="Q135" s="21">
        <f ca="1">VLOOKUP($L135,OFFSET([2]enemies!$A$1,0,0,COUNTA([2]enemies!$A:$A),MATCH(Q$1,[2]enemies!$1:$1,0)-MATCH($L$1,[2]enemies!$1:$1,0)+1),MATCH(Q$1,[2]enemies!$1:$1,0)-MATCH($L$1,[2]enemies!$1:$1,0)+1,FALSE)</f>
        <v>15</v>
      </c>
      <c r="R135" s="53">
        <v>49</v>
      </c>
      <c r="S135" s="27">
        <v>1</v>
      </c>
      <c r="T135" s="27">
        <v>1</v>
      </c>
      <c r="U135" s="5">
        <v>0</v>
      </c>
      <c r="V135" s="4" t="str">
        <f ca="1">VLOOKUP($W135,OFFSET([4]enemy_skill_sets!$B$1,0,0,COUNTA([4]enemy_skill_sets!$B:$B),MATCH(M$1,[4]enemy_skill_sets!$1:$1,0)-MATCH($W$1,[4]enemy_skill_sets!$1:$1,0)+2),MATCH(M$1,[4]enemy_skill_sets!$1:$1,0)-MATCH($W$1,[4]enemy_skill_sets!$1:$1,0)+2,FALSE)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135" s="64">
        <v>348</v>
      </c>
      <c r="X135" s="6">
        <v>1</v>
      </c>
      <c r="Y135" s="6">
        <v>100</v>
      </c>
      <c r="Z135" s="6">
        <v>0</v>
      </c>
      <c r="AA135" s="4">
        <f ca="1">VLOOKUP($L135,OFFSET([2]enemies!$A$1,0,0,COUNTA([2]enemies!$A:$A),MATCH(AA$1,[2]enemies!$1:$1,0)-MATCH($L$1,[2]enemies!$1:$1,0)+1),MATCH(AA$1,[2]enemies!$1:$1,0)-MATCH($L$1,[2]enemies!$1:$1,0)+1,FALSE)</f>
        <v>3</v>
      </c>
      <c r="AB135" s="52">
        <v>348</v>
      </c>
      <c r="AC135" s="4" t="str">
        <f ca="1">VLOOKUP($AB135,OFFSET([3]characters!$A$1,0,0,COUNTA([3]characters!$A:$A),MATCH(AC$1,[3]characters!$1:$1,0)-MATCH("character_id",[3]characters!$1:$1,0)+1),MATCH(AC$1,[3]characters!$1:$1,0)-MATCH("character_id",[3]characters!$1:$1,0)+1,FALSE)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135" s="4">
        <f ca="1">VLOOKUP($AB135,OFFSET([3]characters!$A$1,0,0,COUNTA([3]characters!$A:$A),MATCH(AD$1,[3]characters!$1:$1,0)-MATCH("character_id",[3]characters!$1:$1,0)+1),MATCH(AD$1,[3]characters!$1:$1,0)-MATCH("character_id",[3]characters!$1:$1,0)+1,FALSE)</f>
        <v>2</v>
      </c>
      <c r="AE135" s="4" t="str">
        <f ca="1">VLOOKUP($AB135,OFFSET([3]characters!$A$1,0,0,COUNTA([3]characters!$A:$A),MATCH(AE$1,[3]characters!$1:$1,0)-MATCH("character_id",[3]characters!$1:$1,0)+1),MATCH(AE$1,[3]characters!$1:$1,0)-MATCH("character_id",[3]characters!$1:$1,0)+1,FALSE)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35" s="7">
        <v>10</v>
      </c>
      <c r="AG135" s="26">
        <f t="shared" ca="1" si="172"/>
        <v>2</v>
      </c>
      <c r="AH135" s="8">
        <v>100</v>
      </c>
      <c r="AI135" s="7">
        <v>0</v>
      </c>
      <c r="AJ135" s="7">
        <v>0</v>
      </c>
      <c r="AK135" s="7">
        <v>0</v>
      </c>
      <c r="AL135" s="7">
        <v>0</v>
      </c>
      <c r="AM135" s="7">
        <v>1</v>
      </c>
    </row>
    <row r="136" spans="1:39" ht="14" x14ac:dyDescent="0.15">
      <c r="A136" s="18" t="str">
        <f t="shared" ca="1" si="157"/>
        <v>22_5-5/131&lt;lv53&gt;s3</v>
      </c>
      <c r="B136" s="50">
        <v>22</v>
      </c>
      <c r="C136" s="49">
        <v>5</v>
      </c>
      <c r="D136" s="2" t="str">
        <f t="shared" si="158"/>
        <v>22_5</v>
      </c>
      <c r="E136" s="2" t="str">
        <f t="shared" si="158"/>
        <v>5_22_5</v>
      </c>
      <c r="F136" s="4" t="str">
        <f ca="1">VLOOKUP($D136,OFFSET([1]stages!$A$1,0,0,COUNTA([1]stages!$A:$A),MATCH(F$1,[1]stages!$2:$2,0)-MATCH($D$1,[1]stages!$2:$2,0)+1),MATCH(F$1,[1]stages!$2:$2,0)-MATCH($D$1,[1]stages!$2:$2,0)+1,FALSE)</f>
        <v>22-5．真宴の月光</v>
      </c>
      <c r="G136" s="57">
        <v>5</v>
      </c>
      <c r="H136" s="17" t="str">
        <f t="shared" si="159"/>
        <v>22_5-5</v>
      </c>
      <c r="I136" s="17"/>
      <c r="J136" s="17"/>
      <c r="K136" s="65">
        <v>131</v>
      </c>
      <c r="L136" s="52">
        <v>131</v>
      </c>
      <c r="M136" s="21" t="str">
        <f ca="1">VLOOKUP($L136,OFFSET([2]enemies!$A$1,0,0,COUNTA([2]enemies!$A:$A),MATCH(M$1,[2]enemies!$1:$1,0)-MATCH($L$1,[2]enemies!$1:$1,0)+1),MATCH(M$1,[2]enemies!$1:$1,0)-MATCH($L$1,[2]enemies!$1:$1,0)+1,FALSE)</f>
        <v>月下の人狼 ローレンス</v>
      </c>
      <c r="N136" s="21" t="str">
        <f ca="1">VLOOKUP($L136,OFFSET([2]enemies!$A$1,0,0,COUNTA([2]enemies!$A:$A),MATCH(N$1,[2]enemies!$1:$1,0)-MATCH($L$1,[2]enemies!$1:$1,0)+1),MATCH(N$1,[2]enemies!$1:$1,0)-MATCH($L$1,[2]enemies!$1:$1,0)+1,FALSE)</f>
        <v>blue</v>
      </c>
      <c r="O136" s="21" t="str">
        <f ca="1">VLOOKUP($L136,OFFSET([3]characters!$A$1,0,0,COUNTA([3]characters!$A:$A),MATCH(O$1,[3]characters!$1:$1,0)-MATCH($L$1,[3]characters!$1:$1,0)+1),MATCH(O$1,[3]characters!$1:$1,0)-MATCH($L$1,[3]characters!$1:$1,0)+1,FALSE)</f>
        <v>PremiumW</v>
      </c>
      <c r="P136" s="21" t="str">
        <f ca="1">VLOOKUP($L136,OFFSET([2]enemies!$A$1,0,0,COUNTA([2]enemies!$A:$A),MATCH(P$1,[2]enemies!$1:$1,0)-MATCH($L$1,[2]enemies!$1:$1,0)+1),MATCH(P$1,[2]enemies!$1:$1,0)-MATCH($L$1,[2]enemies!$1:$1,0)+1,FALSE)</f>
        <v>animal</v>
      </c>
      <c r="Q136" s="21">
        <f ca="1">VLOOKUP($L136,OFFSET([2]enemies!$A$1,0,0,COUNTA([2]enemies!$A:$A),MATCH(Q$1,[2]enemies!$1:$1,0)-MATCH($L$1,[2]enemies!$1:$1,0)+1),MATCH(Q$1,[2]enemies!$1:$1,0)-MATCH($L$1,[2]enemies!$1:$1,0)+1,FALSE)</f>
        <v>30</v>
      </c>
      <c r="R136" s="53">
        <v>53</v>
      </c>
      <c r="S136" s="27">
        <v>1.2</v>
      </c>
      <c r="T136" s="27">
        <v>0.6</v>
      </c>
      <c r="U136" s="5">
        <v>0</v>
      </c>
      <c r="V136" s="4" t="str">
        <f ca="1">VLOOKUP($W136,OFFSET([4]enemy_skill_sets!$B$1,0,0,COUNTA([4]enemy_skill_sets!$B:$B),MATCH(M$1,[4]enemy_skill_sets!$1:$1,0)-MATCH($W$1,[4]enemy_skill_sets!$1:$1,0)+2),MATCH(M$1,[4]enemy_skill_sets!$1:$1,0)-MATCH($W$1,[4]enemy_skill_sets!$1:$1,0)+2,FALSE)</f>
        <v>攻撃力×1.5倍の攻撃</v>
      </c>
      <c r="W136" s="4">
        <f ca="1">VLOOKUP($L136,OFFSET([2]enemies!$A$1,0,0,COUNTA([2]enemies!$A:$A),MATCH(W$1,[2]enemies!$1:$1,0)-MATCH($L$1,[2]enemies!$1:$1,0)+1),MATCH(W$1,[2]enemies!$1:$1,0)-MATCH($L$1,[2]enemies!$1:$1,0)+1,FALSE)</f>
        <v>130</v>
      </c>
      <c r="X136" s="6">
        <v>1</v>
      </c>
      <c r="Y136" s="6">
        <v>100</v>
      </c>
      <c r="Z136" s="6">
        <v>1</v>
      </c>
      <c r="AA136" s="4">
        <f ca="1">VLOOKUP($L136,OFFSET([2]enemies!$A$1,0,0,COUNTA([2]enemies!$A:$A),MATCH(AA$1,[2]enemies!$1:$1,0)-MATCH($L$1,[2]enemies!$1:$1,0)+1),MATCH(AA$1,[2]enemies!$1:$1,0)-MATCH($L$1,[2]enemies!$1:$1,0)+1,FALSE)</f>
        <v>3</v>
      </c>
      <c r="AB136" s="52">
        <v>130</v>
      </c>
      <c r="AC136" s="4" t="str">
        <f ca="1">VLOOKUP($AB136,OFFSET([3]characters!$A$1,0,0,COUNTA([3]characters!$A:$A),MATCH(AC$1,[3]characters!$1:$1,0)-MATCH("character_id",[3]characters!$1:$1,0)+1),MATCH(AC$1,[3]characters!$1:$1,0)-MATCH("character_id",[3]characters!$1:$1,0)+1,FALSE)</f>
        <v>狼男 ローレンス</v>
      </c>
      <c r="AD136" s="4">
        <f ca="1">VLOOKUP($AB136,OFFSET([3]characters!$A$1,0,0,COUNTA([3]characters!$A:$A),MATCH(AD$1,[3]characters!$1:$1,0)-MATCH("character_id",[3]characters!$1:$1,0)+1),MATCH(AD$1,[3]characters!$1:$1,0)-MATCH("character_id",[3]characters!$1:$1,0)+1,FALSE)</f>
        <v>3</v>
      </c>
      <c r="AE136" s="4" t="str">
        <f ca="1">VLOOKUP($AB136,OFFSET([3]characters!$A$1,0,0,COUNTA([3]characters!$A:$A),MATCH(AE$1,[3]characters!$1:$1,0)-MATCH("character_id",[3]characters!$1:$1,0)+1),MATCH(AE$1,[3]characters!$1:$1,0)-MATCH("character_id",[3]characters!$1:$1,0)+1,FALSE)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136" s="7">
        <v>9</v>
      </c>
      <c r="AG136" s="26">
        <f t="shared" ca="1" si="172"/>
        <v>3</v>
      </c>
      <c r="AH136" s="8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1</v>
      </c>
    </row>
    <row r="137" spans="1:39" ht="14" x14ac:dyDescent="0.15">
      <c r="A137" s="18" t="str">
        <f t="shared" ca="1" si="157"/>
        <v>22_6-1/334&lt;lv1&gt;s3</v>
      </c>
      <c r="B137" s="53">
        <v>22</v>
      </c>
      <c r="C137" s="51">
        <v>6</v>
      </c>
      <c r="D137" s="2" t="str">
        <f t="shared" si="158"/>
        <v>22_6</v>
      </c>
      <c r="E137" s="2" t="str">
        <f t="shared" si="158"/>
        <v>6_22_6</v>
      </c>
      <c r="F137" s="4" t="str">
        <f ca="1">VLOOKUP($D137,OFFSET([1]stages!$A$1,0,0,COUNTA([1]stages!$A:$A),MATCH(F$1,[1]stages!$2:$2,0)-MATCH($D$1,[1]stages!$2:$2,0)+1),MATCH(F$1,[1]stages!$2:$2,0)-MATCH($D$1,[1]stages!$2:$2,0)+1,FALSE)</f>
        <v>22-6．【1回のみ】ボーナスステージ</v>
      </c>
      <c r="G137" s="51">
        <v>1</v>
      </c>
      <c r="H137" s="17" t="str">
        <f t="shared" si="159"/>
        <v>22_6-1</v>
      </c>
      <c r="I137" s="17"/>
      <c r="J137" s="17"/>
      <c r="K137" s="65" t="s">
        <v>56</v>
      </c>
      <c r="L137" s="52">
        <v>334</v>
      </c>
      <c r="M137" s="21" t="str">
        <f ca="1">VLOOKUP($L137,OFFSET([2]enemies!$A$1,0,0,COUNTA([2]enemies!$A:$A),MATCH(M$1,[2]enemies!$1:$1,0)-MATCH($L$1,[2]enemies!$1:$1,0)+1),MATCH(M$1,[2]enemies!$1:$1,0)-MATCH($L$1,[2]enemies!$1:$1,0)+1,FALSE)</f>
        <v>炎のメタルダック</v>
      </c>
      <c r="N137" s="21" t="str">
        <f ca="1">VLOOKUP($L137,OFFSET([2]enemies!$A$1,0,0,COUNTA([2]enemies!$A:$A),MATCH(N$1,[2]enemies!$1:$1,0)-MATCH($L$1,[2]enemies!$1:$1,0)+1),MATCH(N$1,[2]enemies!$1:$1,0)-MATCH($L$1,[2]enemies!$1:$1,0)+1,FALSE)</f>
        <v>red</v>
      </c>
      <c r="O137" s="21" t="str">
        <f ca="1">VLOOKUP($L137,OFFSET([3]characters!$A$1,0,0,COUNTA([3]characters!$A:$A),MATCH(O$1,[3]characters!$1:$1,0)-MATCH($L$1,[3]characters!$1:$1,0)+1),MATCH(O$1,[3]characters!$1:$1,0)-MATCH($L$1,[3]characters!$1:$1,0)+1,FALSE)</f>
        <v>Material</v>
      </c>
      <c r="P137" s="21" t="str">
        <f ca="1">VLOOKUP($L137,OFFSET([2]enemies!$A$1,0,0,COUNTA([2]enemies!$A:$A),MATCH(P$1,[2]enemies!$1:$1,0)-MATCH($L$1,[2]enemies!$1:$1,0)+1),MATCH(P$1,[2]enemies!$1:$1,0)-MATCH($L$1,[2]enemies!$1:$1,0)+1,FALSE)</f>
        <v>unknown</v>
      </c>
      <c r="Q137" s="21">
        <f ca="1">VLOOKUP($L137,OFFSET([2]enemies!$A$1,0,0,COUNTA([2]enemies!$A:$A),MATCH(Q$1,[2]enemies!$1:$1,0)-MATCH($L$1,[2]enemies!$1:$1,0)+1),MATCH(Q$1,[2]enemies!$1:$1,0)-MATCH($L$1,[2]enemies!$1:$1,0)+1,FALSE)</f>
        <v>20</v>
      </c>
      <c r="R137" s="53">
        <v>1</v>
      </c>
      <c r="S137" s="27">
        <v>1</v>
      </c>
      <c r="T137" s="27">
        <v>1</v>
      </c>
      <c r="U137" s="5">
        <v>0</v>
      </c>
      <c r="V137" s="4" t="str">
        <f ca="1">VLOOKUP($W137,OFFSET([4]enemy_skill_sets!$B$1,0,0,COUNTA([4]enemy_skill_sets!$B:$B),MATCH(M$1,[4]enemy_skill_sets!$1:$1,0)-MATCH($W$1,[4]enemy_skill_sets!$1:$1,0)+2),MATCH(M$1,[4]enemy_skill_sets!$1:$1,0)-MATCH($W$1,[4]enemy_skill_sets!$1:$1,0)+2,FALSE)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37" s="4">
        <f ca="1">VLOOKUP($L137,OFFSET([2]enemies!$A$1,0,0,COUNTA([2]enemies!$A:$A),MATCH(W$1,[2]enemies!$1:$1,0)-MATCH($L$1,[2]enemies!$1:$1,0)+1),MATCH(W$1,[2]enemies!$1:$1,0)-MATCH($L$1,[2]enemies!$1:$1,0)+1,FALSE)</f>
        <v>0</v>
      </c>
      <c r="X137" s="6">
        <v>0</v>
      </c>
      <c r="Y137" s="6">
        <v>100</v>
      </c>
      <c r="Z137" s="6">
        <v>0</v>
      </c>
      <c r="AA137" s="4">
        <f ca="1">VLOOKUP($L137,OFFSET([2]enemies!$A$1,0,0,COUNTA([2]enemies!$A:$A),MATCH(AA$1,[2]enemies!$1:$1,0)-MATCH($L$1,[2]enemies!$1:$1,0)+1),MATCH(AA$1,[2]enemies!$1:$1,0)-MATCH($L$1,[2]enemies!$1:$1,0)+1,FALSE)</f>
        <v>3</v>
      </c>
      <c r="AB137" s="52">
        <v>334</v>
      </c>
      <c r="AC137" s="4" t="str">
        <f ca="1">VLOOKUP($AB137,OFFSET([3]characters!$A$1,0,0,COUNTA([3]characters!$A:$A),MATCH(AC$1,[3]characters!$1:$1,0)-MATCH("character_id",[3]characters!$1:$1,0)+1),MATCH(AC$1,[3]characters!$1:$1,0)-MATCH("character_id",[3]characters!$1:$1,0)+1,FALSE)</f>
        <v>炎のメタルダック</v>
      </c>
      <c r="AD137" s="4">
        <f ca="1">VLOOKUP($AB137,OFFSET([3]characters!$A$1,0,0,COUNTA([3]characters!$A:$A),MATCH(AD$1,[3]characters!$1:$1,0)-MATCH("character_id",[3]characters!$1:$1,0)+1),MATCH(AD$1,[3]characters!$1:$1,0)-MATCH("character_id",[3]characters!$1:$1,0)+1,FALSE)</f>
        <v>5</v>
      </c>
      <c r="AE137" s="4" t="str">
        <f ca="1">VLOOKUP($AB137,OFFSET([3]characters!$A$1,0,0,COUNTA([3]characters!$A:$A),MATCH(AE$1,[3]characters!$1:$1,0)-MATCH("character_id",[3]characters!$1:$1,0)+1),MATCH(AE$1,[3]characters!$1:$1,0)-MATCH("character_id",[3]characters!$1:$1,0)+1,FALSE)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37" s="7">
        <v>1</v>
      </c>
      <c r="AG137" s="26">
        <f t="shared" ca="1" si="172"/>
        <v>5</v>
      </c>
      <c r="AH137" s="8">
        <v>100</v>
      </c>
      <c r="AI137" s="7">
        <v>0</v>
      </c>
      <c r="AJ137" s="7">
        <v>0</v>
      </c>
      <c r="AK137" s="7">
        <v>0</v>
      </c>
      <c r="AL137" s="7">
        <v>0</v>
      </c>
      <c r="AM137" s="7">
        <v>1</v>
      </c>
    </row>
    <row r="138" spans="1:39" ht="14" x14ac:dyDescent="0.15">
      <c r="A138" s="18" t="str">
        <f t="shared" ca="1" si="157"/>
        <v>22_6-2/342&lt;lv1&gt;s3</v>
      </c>
      <c r="B138" s="53">
        <v>22</v>
      </c>
      <c r="C138" s="51">
        <v>6</v>
      </c>
      <c r="D138" s="2" t="str">
        <f t="shared" si="158"/>
        <v>22_6</v>
      </c>
      <c r="E138" s="2" t="str">
        <f t="shared" si="158"/>
        <v>6_22_6</v>
      </c>
      <c r="F138" s="4" t="str">
        <f ca="1">VLOOKUP($D138,OFFSET([1]stages!$A$1,0,0,COUNTA([1]stages!$A:$A),MATCH(F$1,[1]stages!$2:$2,0)-MATCH($D$1,[1]stages!$2:$2,0)+1),MATCH(F$1,[1]stages!$2:$2,0)-MATCH($D$1,[1]stages!$2:$2,0)+1,FALSE)</f>
        <v>22-6．【1回のみ】ボーナスステージ</v>
      </c>
      <c r="G138" s="51">
        <v>2</v>
      </c>
      <c r="H138" s="17" t="str">
        <f t="shared" si="159"/>
        <v>22_6-2</v>
      </c>
      <c r="I138" s="17"/>
      <c r="J138" s="17"/>
      <c r="K138" s="65" t="s">
        <v>56</v>
      </c>
      <c r="L138" s="63">
        <v>342</v>
      </c>
      <c r="M138" s="21" t="str">
        <f ca="1">VLOOKUP($L138,OFFSET([2]enemies!$A$1,0,0,COUNTA([2]enemies!$A:$A),MATCH(M$1,[2]enemies!$1:$1,0)-MATCH($L$1,[2]enemies!$1:$1,0)+1),MATCH(M$1,[2]enemies!$1:$1,0)-MATCH($L$1,[2]enemies!$1:$1,0)+1,FALSE)</f>
        <v>水のメタルダック</v>
      </c>
      <c r="N138" s="21" t="str">
        <f ca="1">VLOOKUP($L138,OFFSET([2]enemies!$A$1,0,0,COUNTA([2]enemies!$A:$A),MATCH(N$1,[2]enemies!$1:$1,0)-MATCH($L$1,[2]enemies!$1:$1,0)+1),MATCH(N$1,[2]enemies!$1:$1,0)-MATCH($L$1,[2]enemies!$1:$1,0)+1,FALSE)</f>
        <v>blue</v>
      </c>
      <c r="O138" s="21" t="str">
        <f ca="1">VLOOKUP($L138,OFFSET([3]characters!$A$1,0,0,COUNTA([3]characters!$A:$A),MATCH(O$1,[3]characters!$1:$1,0)-MATCH($L$1,[3]characters!$1:$1,0)+1),MATCH(O$1,[3]characters!$1:$1,0)-MATCH($L$1,[3]characters!$1:$1,0)+1,FALSE)</f>
        <v>Material</v>
      </c>
      <c r="P138" s="21" t="str">
        <f ca="1">VLOOKUP($L138,OFFSET([2]enemies!$A$1,0,0,COUNTA([2]enemies!$A:$A),MATCH(P$1,[2]enemies!$1:$1,0)-MATCH($L$1,[2]enemies!$1:$1,0)+1),MATCH(P$1,[2]enemies!$1:$1,0)-MATCH($L$1,[2]enemies!$1:$1,0)+1,FALSE)</f>
        <v>unknown</v>
      </c>
      <c r="Q138" s="21">
        <f ca="1">VLOOKUP($L138,OFFSET([2]enemies!$A$1,0,0,COUNTA([2]enemies!$A:$A),MATCH(Q$1,[2]enemies!$1:$1,0)-MATCH($L$1,[2]enemies!$1:$1,0)+1),MATCH(Q$1,[2]enemies!$1:$1,0)-MATCH($L$1,[2]enemies!$1:$1,0)+1,FALSE)</f>
        <v>20</v>
      </c>
      <c r="R138" s="53">
        <v>1</v>
      </c>
      <c r="S138" s="27">
        <v>1</v>
      </c>
      <c r="T138" s="27">
        <v>1</v>
      </c>
      <c r="U138" s="5">
        <v>0</v>
      </c>
      <c r="V138" s="4" t="str">
        <f ca="1">VLOOKUP($W138,OFFSET([4]enemy_skill_sets!$B$1,0,0,COUNTA([4]enemy_skill_sets!$B:$B),MATCH(M$1,[4]enemy_skill_sets!$1:$1,0)-MATCH($W$1,[4]enemy_skill_sets!$1:$1,0)+2),MATCH(M$1,[4]enemy_skill_sets!$1:$1,0)-MATCH($W$1,[4]enemy_skill_sets!$1:$1,0)+2,FALSE)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38" s="4">
        <f ca="1">VLOOKUP($L138,OFFSET([2]enemies!$A$1,0,0,COUNTA([2]enemies!$A:$A),MATCH(W$1,[2]enemies!$1:$1,0)-MATCH($L$1,[2]enemies!$1:$1,0)+1),MATCH(W$1,[2]enemies!$1:$1,0)-MATCH($L$1,[2]enemies!$1:$1,0)+1,FALSE)</f>
        <v>0</v>
      </c>
      <c r="X138" s="6">
        <v>0</v>
      </c>
      <c r="Y138" s="6">
        <v>100</v>
      </c>
      <c r="Z138" s="6">
        <v>0</v>
      </c>
      <c r="AA138" s="4">
        <f ca="1">VLOOKUP($L138,OFFSET([2]enemies!$A$1,0,0,COUNTA([2]enemies!$A:$A),MATCH(AA$1,[2]enemies!$1:$1,0)-MATCH($L$1,[2]enemies!$1:$1,0)+1),MATCH(AA$1,[2]enemies!$1:$1,0)-MATCH($L$1,[2]enemies!$1:$1,0)+1,FALSE)</f>
        <v>3</v>
      </c>
      <c r="AB138" s="63">
        <v>342</v>
      </c>
      <c r="AC138" s="4" t="str">
        <f ca="1">VLOOKUP($AB138,OFFSET([3]characters!$A$1,0,0,COUNTA([3]characters!$A:$A),MATCH(AC$1,[3]characters!$1:$1,0)-MATCH("character_id",[3]characters!$1:$1,0)+1),MATCH(AC$1,[3]characters!$1:$1,0)-MATCH("character_id",[3]characters!$1:$1,0)+1,FALSE)</f>
        <v>水のメタルダック</v>
      </c>
      <c r="AD138" s="4">
        <f ca="1">VLOOKUP($AB138,OFFSET([3]characters!$A$1,0,0,COUNTA([3]characters!$A:$A),MATCH(AD$1,[3]characters!$1:$1,0)-MATCH("character_id",[3]characters!$1:$1,0)+1),MATCH(AD$1,[3]characters!$1:$1,0)-MATCH("character_id",[3]characters!$1:$1,0)+1,FALSE)</f>
        <v>5</v>
      </c>
      <c r="AE138" s="4" t="str">
        <f ca="1">VLOOKUP($AB138,OFFSET([3]characters!$A$1,0,0,COUNTA([3]characters!$A:$A),MATCH(AE$1,[3]characters!$1:$1,0)-MATCH("character_id",[3]characters!$1:$1,0)+1),MATCH(AE$1,[3]characters!$1:$1,0)-MATCH("character_id",[3]characters!$1:$1,0)+1,FALSE)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38" s="7">
        <v>1</v>
      </c>
      <c r="AG138" s="26">
        <f t="shared" ca="1" si="172"/>
        <v>5</v>
      </c>
      <c r="AH138" s="8">
        <v>100</v>
      </c>
      <c r="AI138" s="7">
        <v>0</v>
      </c>
      <c r="AJ138" s="7">
        <v>0</v>
      </c>
      <c r="AK138" s="7">
        <v>0</v>
      </c>
      <c r="AL138" s="7">
        <v>0</v>
      </c>
      <c r="AM138" s="7">
        <v>1</v>
      </c>
    </row>
    <row r="139" spans="1:39" ht="14" x14ac:dyDescent="0.15">
      <c r="A139" s="18" t="str">
        <f t="shared" ca="1" si="157"/>
        <v>22_6-3/119&lt;lv1&gt;s3</v>
      </c>
      <c r="B139" s="53">
        <v>22</v>
      </c>
      <c r="C139" s="51">
        <v>6</v>
      </c>
      <c r="D139" s="2" t="str">
        <f t="shared" si="158"/>
        <v>22_6</v>
      </c>
      <c r="E139" s="2" t="str">
        <f t="shared" si="158"/>
        <v>6_22_6</v>
      </c>
      <c r="F139" s="4" t="str">
        <f ca="1">VLOOKUP($D139,OFFSET([1]stages!$A$1,0,0,COUNTA([1]stages!$A:$A),MATCH(F$1,[1]stages!$2:$2,0)-MATCH($D$1,[1]stages!$2:$2,0)+1),MATCH(F$1,[1]stages!$2:$2,0)-MATCH($D$1,[1]stages!$2:$2,0)+1,FALSE)</f>
        <v>22-6．【1回のみ】ボーナスステージ</v>
      </c>
      <c r="G139" s="51">
        <v>3</v>
      </c>
      <c r="H139" s="17" t="str">
        <f t="shared" si="159"/>
        <v>22_6-3</v>
      </c>
      <c r="I139" s="17"/>
      <c r="J139" s="17"/>
      <c r="K139" s="65" t="s">
        <v>56</v>
      </c>
      <c r="L139" s="52">
        <v>119</v>
      </c>
      <c r="M139" s="21" t="str">
        <f ca="1">VLOOKUP($L139,OFFSET([2]enemies!$A$1,0,0,COUNTA([2]enemies!$A:$A),MATCH(M$1,[2]enemies!$1:$1,0)-MATCH($L$1,[2]enemies!$1:$1,0)+1),MATCH(M$1,[2]enemies!$1:$1,0)-MATCH($L$1,[2]enemies!$1:$1,0)+1,FALSE)</f>
        <v>ゴールドダック</v>
      </c>
      <c r="N139" s="21" t="str">
        <f ca="1">VLOOKUP($L139,OFFSET([2]enemies!$A$1,0,0,COUNTA([2]enemies!$A:$A),MATCH(N$1,[2]enemies!$1:$1,0)-MATCH($L$1,[2]enemies!$1:$1,0)+1),MATCH(N$1,[2]enemies!$1:$1,0)-MATCH($L$1,[2]enemies!$1:$1,0)+1,FALSE)</f>
        <v>yellow</v>
      </c>
      <c r="O139" s="21" t="str">
        <f ca="1">VLOOKUP($L139,OFFSET([3]characters!$A$1,0,0,COUNTA([3]characters!$A:$A),MATCH(O$1,[3]characters!$1:$1,0)-MATCH($L$1,[3]characters!$1:$1,0)+1),MATCH(O$1,[3]characters!$1:$1,0)-MATCH($L$1,[3]characters!$1:$1,0)+1,FALSE)</f>
        <v>Material</v>
      </c>
      <c r="P139" s="21" t="str">
        <f ca="1">VLOOKUP($L139,OFFSET([2]enemies!$A$1,0,0,COUNTA([2]enemies!$A:$A),MATCH(P$1,[2]enemies!$1:$1,0)-MATCH($L$1,[2]enemies!$1:$1,0)+1),MATCH(P$1,[2]enemies!$1:$1,0)-MATCH($L$1,[2]enemies!$1:$1,0)+1,FALSE)</f>
        <v>unknown</v>
      </c>
      <c r="Q139" s="21">
        <f ca="1">VLOOKUP($L139,OFFSET([2]enemies!$A$1,0,0,COUNTA([2]enemies!$A:$A),MATCH(Q$1,[2]enemies!$1:$1,0)-MATCH($L$1,[2]enemies!$1:$1,0)+1),MATCH(Q$1,[2]enemies!$1:$1,0)-MATCH($L$1,[2]enemies!$1:$1,0)+1,FALSE)</f>
        <v>20</v>
      </c>
      <c r="R139" s="53">
        <v>1</v>
      </c>
      <c r="S139" s="27">
        <v>1</v>
      </c>
      <c r="T139" s="27">
        <v>1</v>
      </c>
      <c r="U139" s="5">
        <v>0</v>
      </c>
      <c r="V139" s="4" t="str">
        <f ca="1">VLOOKUP($W139,OFFSET([4]enemy_skill_sets!$B$1,0,0,COUNTA([4]enemy_skill_sets!$B:$B),MATCH(M$1,[4]enemy_skill_sets!$1:$1,0)-MATCH($W$1,[4]enemy_skill_sets!$1:$1,0)+2),MATCH(M$1,[4]enemy_skill_sets!$1:$1,0)-MATCH($W$1,[4]enemy_skill_sets!$1:$1,0)+2,FALSE)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39" s="4">
        <f ca="1">VLOOKUP($L139,OFFSET([2]enemies!$A$1,0,0,COUNTA([2]enemies!$A:$A),MATCH(W$1,[2]enemies!$1:$1,0)-MATCH($L$1,[2]enemies!$1:$1,0)+1),MATCH(W$1,[2]enemies!$1:$1,0)-MATCH($L$1,[2]enemies!$1:$1,0)+1,FALSE)</f>
        <v>0</v>
      </c>
      <c r="X139" s="6">
        <v>0</v>
      </c>
      <c r="Y139" s="6">
        <v>100</v>
      </c>
      <c r="Z139" s="6">
        <v>0</v>
      </c>
      <c r="AA139" s="4">
        <f ca="1">VLOOKUP($L139,OFFSET([2]enemies!$A$1,0,0,COUNTA([2]enemies!$A:$A),MATCH(AA$1,[2]enemies!$1:$1,0)-MATCH($L$1,[2]enemies!$1:$1,0)+1),MATCH(AA$1,[2]enemies!$1:$1,0)-MATCH($L$1,[2]enemies!$1:$1,0)+1,FALSE)</f>
        <v>3</v>
      </c>
      <c r="AB139" s="52">
        <v>119</v>
      </c>
      <c r="AC139" s="4" t="str">
        <f ca="1">VLOOKUP($AB139,OFFSET([3]characters!$A$1,0,0,COUNTA([3]characters!$A:$A),MATCH(AC$1,[3]characters!$1:$1,0)-MATCH("character_id",[3]characters!$1:$1,0)+1),MATCH(AC$1,[3]characters!$1:$1,0)-MATCH("character_id",[3]characters!$1:$1,0)+1,FALSE)</f>
        <v>ゴールドダック</v>
      </c>
      <c r="AD139" s="4">
        <f ca="1">VLOOKUP($AB139,OFFSET([3]characters!$A$1,0,0,COUNTA([3]characters!$A:$A),MATCH(AD$1,[3]characters!$1:$1,0)-MATCH("character_id",[3]characters!$1:$1,0)+1),MATCH(AD$1,[3]characters!$1:$1,0)-MATCH("character_id",[3]characters!$1:$1,0)+1,FALSE)</f>
        <v>5</v>
      </c>
      <c r="AE139" s="4" t="str">
        <f ca="1">VLOOKUP($AB139,OFFSET([3]characters!$A$1,0,0,COUNTA([3]characters!$A:$A),MATCH(AE$1,[3]characters!$1:$1,0)-MATCH("character_id",[3]characters!$1:$1,0)+1),MATCH(AE$1,[3]characters!$1:$1,0)-MATCH("character_id",[3]characters!$1:$1,0)+1,FALSE)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39" s="7">
        <v>1</v>
      </c>
      <c r="AG139" s="26">
        <f t="shared" ca="1" si="172"/>
        <v>5</v>
      </c>
      <c r="AH139" s="8">
        <v>100</v>
      </c>
      <c r="AI139" s="7">
        <v>0</v>
      </c>
      <c r="AJ139" s="7">
        <v>0</v>
      </c>
      <c r="AK139" s="7">
        <v>0</v>
      </c>
      <c r="AL139" s="7">
        <v>0</v>
      </c>
      <c r="AM139" s="7">
        <v>1</v>
      </c>
    </row>
    <row r="140" spans="1:39" ht="21" customHeight="1" x14ac:dyDescent="0.15">
      <c r="A140" s="18" t="str">
        <f t="shared" ca="1" si="157"/>
        <v>22_6-4/334&lt;lv1&gt;s3</v>
      </c>
      <c r="B140" s="53">
        <v>22</v>
      </c>
      <c r="C140" s="51">
        <v>6</v>
      </c>
      <c r="D140" s="2" t="str">
        <f t="shared" si="158"/>
        <v>22_6</v>
      </c>
      <c r="E140" s="2" t="str">
        <f t="shared" si="158"/>
        <v>6_22_6</v>
      </c>
      <c r="F140" s="4" t="str">
        <f ca="1">VLOOKUP($D140,OFFSET([1]stages!$A$1,0,0,COUNTA([1]stages!$A:$A),MATCH(F$1,[1]stages!$2:$2,0)-MATCH($D$1,[1]stages!$2:$2,0)+1),MATCH(F$1,[1]stages!$2:$2,0)-MATCH($D$1,[1]stages!$2:$2,0)+1,FALSE)</f>
        <v>22-6．【1回のみ】ボーナスステージ</v>
      </c>
      <c r="G140" s="51">
        <v>4</v>
      </c>
      <c r="H140" s="17" t="str">
        <f t="shared" si="159"/>
        <v>22_6-4</v>
      </c>
      <c r="I140" s="17"/>
      <c r="J140" s="17"/>
      <c r="K140" s="65" t="s">
        <v>56</v>
      </c>
      <c r="L140" s="63">
        <v>334</v>
      </c>
      <c r="M140" s="21" t="str">
        <f ca="1">VLOOKUP($L140,OFFSET([2]enemies!$A$1,0,0,COUNTA([2]enemies!$A:$A),MATCH(M$1,[2]enemies!$1:$1,0)-MATCH($L$1,[2]enemies!$1:$1,0)+1),MATCH(M$1,[2]enemies!$1:$1,0)-MATCH($L$1,[2]enemies!$1:$1,0)+1,FALSE)</f>
        <v>炎のメタルダック</v>
      </c>
      <c r="N140" s="21" t="str">
        <f ca="1">VLOOKUP($L140,OFFSET([2]enemies!$A$1,0,0,COUNTA([2]enemies!$A:$A),MATCH(N$1,[2]enemies!$1:$1,0)-MATCH($L$1,[2]enemies!$1:$1,0)+1),MATCH(N$1,[2]enemies!$1:$1,0)-MATCH($L$1,[2]enemies!$1:$1,0)+1,FALSE)</f>
        <v>red</v>
      </c>
      <c r="O140" s="21" t="str">
        <f ca="1">VLOOKUP($L140,OFFSET([3]characters!$A$1,0,0,COUNTA([3]characters!$A:$A),MATCH(O$1,[3]characters!$1:$1,0)-MATCH($L$1,[3]characters!$1:$1,0)+1),MATCH(O$1,[3]characters!$1:$1,0)-MATCH($L$1,[3]characters!$1:$1,0)+1,FALSE)</f>
        <v>Material</v>
      </c>
      <c r="P140" s="21" t="str">
        <f ca="1">VLOOKUP($L140,OFFSET([2]enemies!$A$1,0,0,COUNTA([2]enemies!$A:$A),MATCH(P$1,[2]enemies!$1:$1,0)-MATCH($L$1,[2]enemies!$1:$1,0)+1),MATCH(P$1,[2]enemies!$1:$1,0)-MATCH($L$1,[2]enemies!$1:$1,0)+1,FALSE)</f>
        <v>unknown</v>
      </c>
      <c r="Q140" s="21">
        <f ca="1">VLOOKUP($L140,OFFSET([2]enemies!$A$1,0,0,COUNTA([2]enemies!$A:$A),MATCH(Q$1,[2]enemies!$1:$1,0)-MATCH($L$1,[2]enemies!$1:$1,0)+1),MATCH(Q$1,[2]enemies!$1:$1,0)-MATCH($L$1,[2]enemies!$1:$1,0)+1,FALSE)</f>
        <v>20</v>
      </c>
      <c r="R140" s="53">
        <v>1</v>
      </c>
      <c r="S140" s="27">
        <v>1</v>
      </c>
      <c r="T140" s="27">
        <v>1</v>
      </c>
      <c r="U140" s="5">
        <v>0</v>
      </c>
      <c r="V140" s="4" t="str">
        <f ca="1">VLOOKUP($W140,OFFSET([4]enemy_skill_sets!$B$1,0,0,COUNTA([4]enemy_skill_sets!$B:$B),MATCH(M$1,[4]enemy_skill_sets!$1:$1,0)-MATCH($W$1,[4]enemy_skill_sets!$1:$1,0)+2),MATCH(M$1,[4]enemy_skill_sets!$1:$1,0)-MATCH($W$1,[4]enemy_skill_sets!$1:$1,0)+2,FALSE)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0" s="4">
        <f ca="1">VLOOKUP($L140,OFFSET([2]enemies!$A$1,0,0,COUNTA([2]enemies!$A:$A),MATCH(W$1,[2]enemies!$1:$1,0)-MATCH($L$1,[2]enemies!$1:$1,0)+1),MATCH(W$1,[2]enemies!$1:$1,0)-MATCH($L$1,[2]enemies!$1:$1,0)+1,FALSE)</f>
        <v>0</v>
      </c>
      <c r="X140" s="6">
        <v>1</v>
      </c>
      <c r="Y140" s="6">
        <v>100</v>
      </c>
      <c r="Z140" s="6">
        <v>0</v>
      </c>
      <c r="AA140" s="4">
        <f ca="1">VLOOKUP($L140,OFFSET([2]enemies!$A$1,0,0,COUNTA([2]enemies!$A:$A),MATCH(AA$1,[2]enemies!$1:$1,0)-MATCH($L$1,[2]enemies!$1:$1,0)+1),MATCH(AA$1,[2]enemies!$1:$1,0)-MATCH($L$1,[2]enemies!$1:$1,0)+1,FALSE)</f>
        <v>3</v>
      </c>
      <c r="AB140" s="63">
        <v>334</v>
      </c>
      <c r="AC140" s="4" t="str">
        <f ca="1">VLOOKUP($AB140,OFFSET([3]characters!$A$1,0,0,COUNTA([3]characters!$A:$A),MATCH(AC$1,[3]characters!$1:$1,0)-MATCH("character_id",[3]characters!$1:$1,0)+1),MATCH(AC$1,[3]characters!$1:$1,0)-MATCH("character_id",[3]characters!$1:$1,0)+1,FALSE)</f>
        <v>炎のメタルダック</v>
      </c>
      <c r="AD140" s="4">
        <f ca="1">VLOOKUP($AB140,OFFSET([3]characters!$A$1,0,0,COUNTA([3]characters!$A:$A),MATCH(AD$1,[3]characters!$1:$1,0)-MATCH("character_id",[3]characters!$1:$1,0)+1),MATCH(AD$1,[3]characters!$1:$1,0)-MATCH("character_id",[3]characters!$1:$1,0)+1,FALSE)</f>
        <v>5</v>
      </c>
      <c r="AE140" s="4" t="str">
        <f ca="1">VLOOKUP($AB140,OFFSET([3]characters!$A$1,0,0,COUNTA([3]characters!$A:$A),MATCH(AE$1,[3]characters!$1:$1,0)-MATCH("character_id",[3]characters!$1:$1,0)+1),MATCH(AE$1,[3]characters!$1:$1,0)-MATCH("character_id",[3]characters!$1:$1,0)+1,FALSE)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40" s="7">
        <v>1</v>
      </c>
      <c r="AG140" s="26">
        <f t="shared" ca="1" si="172"/>
        <v>5</v>
      </c>
      <c r="AH140" s="8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1</v>
      </c>
    </row>
    <row r="141" spans="1:39" ht="21" customHeight="1" x14ac:dyDescent="0.15">
      <c r="A141" s="18" t="str">
        <f t="shared" ca="1" si="157"/>
        <v>22_6-4/342&lt;lv1&gt;s3</v>
      </c>
      <c r="B141" s="53">
        <v>22</v>
      </c>
      <c r="C141" s="51">
        <v>6</v>
      </c>
      <c r="D141" s="2" t="str">
        <f t="shared" si="158"/>
        <v>22_6</v>
      </c>
      <c r="E141" s="2" t="str">
        <f t="shared" si="158"/>
        <v>6_22_6</v>
      </c>
      <c r="F141" s="4" t="str">
        <f ca="1">VLOOKUP($D141,OFFSET([1]stages!$A$1,0,0,COUNTA([1]stages!$A:$A),MATCH(F$1,[1]stages!$2:$2,0)-MATCH($D$1,[1]stages!$2:$2,0)+1),MATCH(F$1,[1]stages!$2:$2,0)-MATCH($D$1,[1]stages!$2:$2,0)+1,FALSE)</f>
        <v>22-6．【1回のみ】ボーナスステージ</v>
      </c>
      <c r="G141" s="51">
        <v>4</v>
      </c>
      <c r="H141" s="17" t="str">
        <f t="shared" si="159"/>
        <v>22_6-4</v>
      </c>
      <c r="I141" s="17"/>
      <c r="J141" s="17"/>
      <c r="K141" s="65" t="s">
        <v>56</v>
      </c>
      <c r="L141" s="63">
        <v>342</v>
      </c>
      <c r="M141" s="21" t="str">
        <f ca="1">VLOOKUP($L141,OFFSET([2]enemies!$A$1,0,0,COUNTA([2]enemies!$A:$A),MATCH(M$1,[2]enemies!$1:$1,0)-MATCH($L$1,[2]enemies!$1:$1,0)+1),MATCH(M$1,[2]enemies!$1:$1,0)-MATCH($L$1,[2]enemies!$1:$1,0)+1,FALSE)</f>
        <v>水のメタルダック</v>
      </c>
      <c r="N141" s="21" t="str">
        <f ca="1">VLOOKUP($L141,OFFSET([2]enemies!$A$1,0,0,COUNTA([2]enemies!$A:$A),MATCH(N$1,[2]enemies!$1:$1,0)-MATCH($L$1,[2]enemies!$1:$1,0)+1),MATCH(N$1,[2]enemies!$1:$1,0)-MATCH($L$1,[2]enemies!$1:$1,0)+1,FALSE)</f>
        <v>blue</v>
      </c>
      <c r="O141" s="21" t="str">
        <f ca="1">VLOOKUP($L141,OFFSET([3]characters!$A$1,0,0,COUNTA([3]characters!$A:$A),MATCH(O$1,[3]characters!$1:$1,0)-MATCH($L$1,[3]characters!$1:$1,0)+1),MATCH(O$1,[3]characters!$1:$1,0)-MATCH($L$1,[3]characters!$1:$1,0)+1,FALSE)</f>
        <v>Material</v>
      </c>
      <c r="P141" s="21" t="str">
        <f ca="1">VLOOKUP($L141,OFFSET([2]enemies!$A$1,0,0,COUNTA([2]enemies!$A:$A),MATCH(P$1,[2]enemies!$1:$1,0)-MATCH($L$1,[2]enemies!$1:$1,0)+1),MATCH(P$1,[2]enemies!$1:$1,0)-MATCH($L$1,[2]enemies!$1:$1,0)+1,FALSE)</f>
        <v>unknown</v>
      </c>
      <c r="Q141" s="21">
        <f ca="1">VLOOKUP($L141,OFFSET([2]enemies!$A$1,0,0,COUNTA([2]enemies!$A:$A),MATCH(Q$1,[2]enemies!$1:$1,0)-MATCH($L$1,[2]enemies!$1:$1,0)+1),MATCH(Q$1,[2]enemies!$1:$1,0)-MATCH($L$1,[2]enemies!$1:$1,0)+1,FALSE)</f>
        <v>20</v>
      </c>
      <c r="R141" s="53">
        <v>1</v>
      </c>
      <c r="S141" s="27">
        <v>1</v>
      </c>
      <c r="T141" s="27">
        <v>1</v>
      </c>
      <c r="U141" s="5">
        <v>0</v>
      </c>
      <c r="V141" s="4" t="str">
        <f ca="1">VLOOKUP($W141,OFFSET([4]enemy_skill_sets!$B$1,0,0,COUNTA([4]enemy_skill_sets!$B:$B),MATCH(M$1,[4]enemy_skill_sets!$1:$1,0)-MATCH($W$1,[4]enemy_skill_sets!$1:$1,0)+2),MATCH(M$1,[4]enemy_skill_sets!$1:$1,0)-MATCH($W$1,[4]enemy_skill_sets!$1:$1,0)+2,FALSE)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1" s="4">
        <f ca="1">VLOOKUP($L141,OFFSET([2]enemies!$A$1,0,0,COUNTA([2]enemies!$A:$A),MATCH(W$1,[2]enemies!$1:$1,0)-MATCH($L$1,[2]enemies!$1:$1,0)+1),MATCH(W$1,[2]enemies!$1:$1,0)-MATCH($L$1,[2]enemies!$1:$1,0)+1,FALSE)</f>
        <v>0</v>
      </c>
      <c r="X141" s="6">
        <v>1</v>
      </c>
      <c r="Y141" s="6">
        <v>100</v>
      </c>
      <c r="Z141" s="6">
        <v>0</v>
      </c>
      <c r="AA141" s="4">
        <f ca="1">VLOOKUP($L141,OFFSET([2]enemies!$A$1,0,0,COUNTA([2]enemies!$A:$A),MATCH(AA$1,[2]enemies!$1:$1,0)-MATCH($L$1,[2]enemies!$1:$1,0)+1),MATCH(AA$1,[2]enemies!$1:$1,0)-MATCH($L$1,[2]enemies!$1:$1,0)+1,FALSE)</f>
        <v>3</v>
      </c>
      <c r="AB141" s="63">
        <v>342</v>
      </c>
      <c r="AC141" s="4" t="str">
        <f ca="1">VLOOKUP($AB141,OFFSET([3]characters!$A$1,0,0,COUNTA([3]characters!$A:$A),MATCH(AC$1,[3]characters!$1:$1,0)-MATCH("character_id",[3]characters!$1:$1,0)+1),MATCH(AC$1,[3]characters!$1:$1,0)-MATCH("character_id",[3]characters!$1:$1,0)+1,FALSE)</f>
        <v>水のメタルダック</v>
      </c>
      <c r="AD141" s="4">
        <f ca="1">VLOOKUP($AB141,OFFSET([3]characters!$A$1,0,0,COUNTA([3]characters!$A:$A),MATCH(AD$1,[3]characters!$1:$1,0)-MATCH("character_id",[3]characters!$1:$1,0)+1),MATCH(AD$1,[3]characters!$1:$1,0)-MATCH("character_id",[3]characters!$1:$1,0)+1,FALSE)</f>
        <v>5</v>
      </c>
      <c r="AE141" s="4" t="str">
        <f ca="1">VLOOKUP($AB141,OFFSET([3]characters!$A$1,0,0,COUNTA([3]characters!$A:$A),MATCH(AE$1,[3]characters!$1:$1,0)-MATCH("character_id",[3]characters!$1:$1,0)+1),MATCH(AE$1,[3]characters!$1:$1,0)-MATCH("character_id",[3]characters!$1:$1,0)+1,FALSE)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41" s="7">
        <v>1</v>
      </c>
      <c r="AG141" s="26">
        <f t="shared" ca="1" si="172"/>
        <v>5</v>
      </c>
      <c r="AH141" s="8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1</v>
      </c>
    </row>
    <row r="142" spans="1:39" ht="21" customHeight="1" x14ac:dyDescent="0.15">
      <c r="A142" s="18" t="str">
        <f t="shared" ref="A142" ca="1" si="181">B142&amp;"_"&amp;C142&amp;"-"&amp;G142&amp;"/"&amp;L142&amp;"&lt;lv"&amp;R142&amp;"&gt;s"&amp;AA142</f>
        <v>22_6-4/120&lt;lv1&gt;s4</v>
      </c>
      <c r="B142" s="53">
        <v>22</v>
      </c>
      <c r="C142" s="51">
        <v>6</v>
      </c>
      <c r="D142" s="2" t="str">
        <f t="shared" ref="D142" si="182">B142&amp;"_"&amp;C142</f>
        <v>22_6</v>
      </c>
      <c r="E142" s="2" t="str">
        <f t="shared" ref="E142" si="183">C142&amp;"_"&amp;D142</f>
        <v>6_22_6</v>
      </c>
      <c r="F142" s="4" t="str">
        <f ca="1">VLOOKUP($D142,OFFSET([1]stages!$A$1,0,0,COUNTA([1]stages!$A:$A),MATCH(F$1,[1]stages!$2:$2,0)-MATCH($D$1,[1]stages!$2:$2,0)+1),MATCH(F$1,[1]stages!$2:$2,0)-MATCH($D$1,[1]stages!$2:$2,0)+1,FALSE)</f>
        <v>22-6．【1回のみ】ボーナスステージ</v>
      </c>
      <c r="G142" s="51">
        <v>4</v>
      </c>
      <c r="H142" s="17" t="str">
        <f t="shared" ref="H142" si="184">B142&amp;"_"&amp;C142&amp;"-"&amp;G142</f>
        <v>22_6-4</v>
      </c>
      <c r="I142" s="17"/>
      <c r="J142" s="17"/>
      <c r="K142" s="65" t="s">
        <v>56</v>
      </c>
      <c r="L142" s="63">
        <v>120</v>
      </c>
      <c r="M142" s="21" t="str">
        <f ca="1">VLOOKUP($L142,OFFSET([2]enemies!$A$1,0,0,COUNTA([2]enemies!$A:$A),MATCH(M$1,[2]enemies!$1:$1,0)-MATCH($L$1,[2]enemies!$1:$1,0)+1),MATCH(M$1,[2]enemies!$1:$1,0)-MATCH($L$1,[2]enemies!$1:$1,0)+1,FALSE)</f>
        <v>ゴールドキング</v>
      </c>
      <c r="N142" s="21" t="str">
        <f ca="1">VLOOKUP($L142,OFFSET([2]enemies!$A$1,0,0,COUNTA([2]enemies!$A:$A),MATCH(N$1,[2]enemies!$1:$1,0)-MATCH($L$1,[2]enemies!$1:$1,0)+1),MATCH(N$1,[2]enemies!$1:$1,0)-MATCH($L$1,[2]enemies!$1:$1,0)+1,FALSE)</f>
        <v>yellow</v>
      </c>
      <c r="O142" s="21" t="str">
        <f ca="1">VLOOKUP($L142,OFFSET([3]characters!$A$1,0,0,COUNTA([3]characters!$A:$A),MATCH(O$1,[3]characters!$1:$1,0)-MATCH($L$1,[3]characters!$1:$1,0)+1),MATCH(O$1,[3]characters!$1:$1,0)-MATCH($L$1,[3]characters!$1:$1,0)+1,FALSE)</f>
        <v>Material</v>
      </c>
      <c r="P142" s="21" t="str">
        <f ca="1">VLOOKUP($L142,OFFSET([2]enemies!$A$1,0,0,COUNTA([2]enemies!$A:$A),MATCH(P$1,[2]enemies!$1:$1,0)-MATCH($L$1,[2]enemies!$1:$1,0)+1),MATCH(P$1,[2]enemies!$1:$1,0)-MATCH($L$1,[2]enemies!$1:$1,0)+1,FALSE)</f>
        <v>unknown</v>
      </c>
      <c r="Q142" s="21">
        <f ca="1">VLOOKUP($L142,OFFSET([2]enemies!$A$1,0,0,COUNTA([2]enemies!$A:$A),MATCH(Q$1,[2]enemies!$1:$1,0)-MATCH($L$1,[2]enemies!$1:$1,0)+1),MATCH(Q$1,[2]enemies!$1:$1,0)-MATCH($L$1,[2]enemies!$1:$1,0)+1,FALSE)</f>
        <v>20</v>
      </c>
      <c r="R142" s="53">
        <v>1</v>
      </c>
      <c r="S142" s="27">
        <v>1</v>
      </c>
      <c r="T142" s="27">
        <v>1</v>
      </c>
      <c r="U142" s="5">
        <v>0</v>
      </c>
      <c r="V142" s="4" t="str">
        <f ca="1">VLOOKUP($W142,OFFSET([4]enemy_skill_sets!$B$1,0,0,COUNTA([4]enemy_skill_sets!$B:$B),MATCH(M$1,[4]enemy_skill_sets!$1:$1,0)-MATCH($W$1,[4]enemy_skill_sets!$1:$1,0)+2),MATCH(M$1,[4]enemy_skill_sets!$1:$1,0)-MATCH($W$1,[4]enemy_skill_sets!$1:$1,0)+2,FALSE)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2" s="4">
        <f ca="1">VLOOKUP($L142,OFFSET([2]enemies!$A$1,0,0,COUNTA([2]enemies!$A:$A),MATCH(W$1,[2]enemies!$1:$1,0)-MATCH($L$1,[2]enemies!$1:$1,0)+1),MATCH(W$1,[2]enemies!$1:$1,0)-MATCH($L$1,[2]enemies!$1:$1,0)+1,FALSE)</f>
        <v>0</v>
      </c>
      <c r="X142" s="6">
        <v>1</v>
      </c>
      <c r="Y142" s="6">
        <v>100</v>
      </c>
      <c r="Z142" s="6">
        <v>1</v>
      </c>
      <c r="AA142" s="4">
        <f ca="1">VLOOKUP($L142,OFFSET([2]enemies!$A$1,0,0,COUNTA([2]enemies!$A:$A),MATCH(AA$1,[2]enemies!$1:$1,0)-MATCH($L$1,[2]enemies!$1:$1,0)+1),MATCH(AA$1,[2]enemies!$1:$1,0)-MATCH($L$1,[2]enemies!$1:$1,0)+1,FALSE)</f>
        <v>4</v>
      </c>
      <c r="AB142" s="63">
        <v>120</v>
      </c>
      <c r="AC142" s="4" t="str">
        <f ca="1">VLOOKUP($AB142,OFFSET([3]characters!$A$1,0,0,COUNTA([3]characters!$A:$A),MATCH(AC$1,[3]characters!$1:$1,0)-MATCH("character_id",[3]characters!$1:$1,0)+1),MATCH(AC$1,[3]characters!$1:$1,0)-MATCH("character_id",[3]characters!$1:$1,0)+1,FALSE)</f>
        <v>ゴールドキング</v>
      </c>
      <c r="AD142" s="4">
        <f ca="1">VLOOKUP($AB142,OFFSET([3]characters!$A$1,0,0,COUNTA([3]characters!$A:$A),MATCH(AD$1,[3]characters!$1:$1,0)-MATCH("character_id",[3]characters!$1:$1,0)+1),MATCH(AD$1,[3]characters!$1:$1,0)-MATCH("character_id",[3]characters!$1:$1,0)+1,FALSE)</f>
        <v>6</v>
      </c>
      <c r="AE142" s="4" t="str">
        <f ca="1">VLOOKUP($AB142,OFFSET([3]characters!$A$1,0,0,COUNTA([3]characters!$A:$A),MATCH(AE$1,[3]characters!$1:$1,0)-MATCH("character_id",[3]characters!$1:$1,0)+1),MATCH(AE$1,[3]characters!$1:$1,0)-MATCH("character_id",[3]characters!$1:$1,0)+1,FALSE)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42" s="7">
        <v>1</v>
      </c>
      <c r="AG142" s="26">
        <f t="shared" ca="1" si="172"/>
        <v>6</v>
      </c>
      <c r="AH142" s="8">
        <v>100</v>
      </c>
      <c r="AI142" s="7">
        <v>0</v>
      </c>
      <c r="AJ142" s="7">
        <v>0</v>
      </c>
      <c r="AK142" s="7">
        <v>0</v>
      </c>
      <c r="AL142" s="7">
        <v>0</v>
      </c>
      <c r="AM142" s="7">
        <v>1</v>
      </c>
    </row>
    <row r="143" spans="1:39" ht="21" customHeight="1" x14ac:dyDescent="0.15">
      <c r="A143" s="18" t="str">
        <f t="shared" ca="1" si="157"/>
        <v>22_6-5/335&lt;lv1&gt;s4</v>
      </c>
      <c r="B143" s="53">
        <v>22</v>
      </c>
      <c r="C143" s="51">
        <v>6</v>
      </c>
      <c r="D143" s="2" t="str">
        <f t="shared" si="158"/>
        <v>22_6</v>
      </c>
      <c r="E143" s="2" t="str">
        <f t="shared" si="158"/>
        <v>6_22_6</v>
      </c>
      <c r="F143" s="4" t="str">
        <f ca="1">VLOOKUP($D143,OFFSET([1]stages!$A$1,0,0,COUNTA([1]stages!$A:$A),MATCH(F$1,[1]stages!$2:$2,0)-MATCH($D$1,[1]stages!$2:$2,0)+1),MATCH(F$1,[1]stages!$2:$2,0)-MATCH($D$1,[1]stages!$2:$2,0)+1,FALSE)</f>
        <v>22-6．【1回のみ】ボーナスステージ</v>
      </c>
      <c r="G143" s="51">
        <v>5</v>
      </c>
      <c r="H143" s="17" t="str">
        <f t="shared" si="159"/>
        <v>22_6-5</v>
      </c>
      <c r="I143" s="17"/>
      <c r="J143" s="17"/>
      <c r="K143" s="65" t="s">
        <v>56</v>
      </c>
      <c r="L143" s="52">
        <v>335</v>
      </c>
      <c r="M143" s="21" t="str">
        <f ca="1">VLOOKUP($L143,OFFSET([2]enemies!$A$1,0,0,COUNTA([2]enemies!$A:$A),MATCH(M$1,[2]enemies!$1:$1,0)-MATCH($L$1,[2]enemies!$1:$1,0)+1),MATCH(M$1,[2]enemies!$1:$1,0)-MATCH($L$1,[2]enemies!$1:$1,0)+1,FALSE)</f>
        <v>炎のメタルジェントル</v>
      </c>
      <c r="N143" s="21" t="str">
        <f ca="1">VLOOKUP($L143,OFFSET([2]enemies!$A$1,0,0,COUNTA([2]enemies!$A:$A),MATCH(N$1,[2]enemies!$1:$1,0)-MATCH($L$1,[2]enemies!$1:$1,0)+1),MATCH(N$1,[2]enemies!$1:$1,0)-MATCH($L$1,[2]enemies!$1:$1,0)+1,FALSE)</f>
        <v>red</v>
      </c>
      <c r="O143" s="21" t="str">
        <f ca="1">VLOOKUP($L143,OFFSET([3]characters!$A$1,0,0,COUNTA([3]characters!$A:$A),MATCH(O$1,[3]characters!$1:$1,0)-MATCH($L$1,[3]characters!$1:$1,0)+1),MATCH(O$1,[3]characters!$1:$1,0)-MATCH($L$1,[3]characters!$1:$1,0)+1,FALSE)</f>
        <v>Material</v>
      </c>
      <c r="P143" s="21" t="str">
        <f ca="1">VLOOKUP($L143,OFFSET([2]enemies!$A$1,0,0,COUNTA([2]enemies!$A:$A),MATCH(P$1,[2]enemies!$1:$1,0)-MATCH($L$1,[2]enemies!$1:$1,0)+1),MATCH(P$1,[2]enemies!$1:$1,0)-MATCH($L$1,[2]enemies!$1:$1,0)+1,FALSE)</f>
        <v>unknown</v>
      </c>
      <c r="Q143" s="21">
        <f ca="1">VLOOKUP($L143,OFFSET([2]enemies!$A$1,0,0,COUNTA([2]enemies!$A:$A),MATCH(Q$1,[2]enemies!$1:$1,0)-MATCH($L$1,[2]enemies!$1:$1,0)+1),MATCH(Q$1,[2]enemies!$1:$1,0)-MATCH($L$1,[2]enemies!$1:$1,0)+1,FALSE)</f>
        <v>20</v>
      </c>
      <c r="R143" s="53">
        <v>1</v>
      </c>
      <c r="S143" s="27">
        <v>1</v>
      </c>
      <c r="T143" s="27">
        <v>1</v>
      </c>
      <c r="U143" s="5">
        <v>0</v>
      </c>
      <c r="V143" s="4" t="str">
        <f ca="1">VLOOKUP($W143,OFFSET([4]enemy_skill_sets!$B$1,0,0,COUNTA([4]enemy_skill_sets!$B:$B),MATCH(M$1,[4]enemy_skill_sets!$1:$1,0)-MATCH($W$1,[4]enemy_skill_sets!$1:$1,0)+2),MATCH(M$1,[4]enemy_skill_sets!$1:$1,0)-MATCH($W$1,[4]enemy_skill_sets!$1:$1,0)+2,FALSE)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3" s="4">
        <f ca="1">VLOOKUP($L143,OFFSET([2]enemies!$A$1,0,0,COUNTA([2]enemies!$A:$A),MATCH(W$1,[2]enemies!$1:$1,0)-MATCH($L$1,[2]enemies!$1:$1,0)+1),MATCH(W$1,[2]enemies!$1:$1,0)-MATCH($L$1,[2]enemies!$1:$1,0)+1,FALSE)</f>
        <v>0</v>
      </c>
      <c r="X143" s="6">
        <v>1</v>
      </c>
      <c r="Y143" s="6">
        <v>100</v>
      </c>
      <c r="Z143" s="6">
        <v>0</v>
      </c>
      <c r="AA143" s="4">
        <f ca="1">VLOOKUP($L143,OFFSET([2]enemies!$A$1,0,0,COUNTA([2]enemies!$A:$A),MATCH(AA$1,[2]enemies!$1:$1,0)-MATCH($L$1,[2]enemies!$1:$1,0)+1),MATCH(AA$1,[2]enemies!$1:$1,0)-MATCH($L$1,[2]enemies!$1:$1,0)+1,FALSE)</f>
        <v>4</v>
      </c>
      <c r="AB143" s="52">
        <v>335</v>
      </c>
      <c r="AC143" s="4" t="str">
        <f ca="1">VLOOKUP($AB143,OFFSET([3]characters!$A$1,0,0,COUNTA([3]characters!$A:$A),MATCH(AC$1,[3]characters!$1:$1,0)-MATCH("character_id",[3]characters!$1:$1,0)+1),MATCH(AC$1,[3]characters!$1:$1,0)-MATCH("character_id",[3]characters!$1:$1,0)+1,FALSE)</f>
        <v>炎のメタルジェントル</v>
      </c>
      <c r="AD143" s="4">
        <f ca="1">VLOOKUP($AB143,OFFSET([3]characters!$A$1,0,0,COUNTA([3]characters!$A:$A),MATCH(AD$1,[3]characters!$1:$1,0)-MATCH("character_id",[3]characters!$1:$1,0)+1),MATCH(AD$1,[3]characters!$1:$1,0)-MATCH("character_id",[3]characters!$1:$1,0)+1,FALSE)</f>
        <v>6</v>
      </c>
      <c r="AE143" s="4" t="str">
        <f ca="1">VLOOKUP($AB143,OFFSET([3]characters!$A$1,0,0,COUNTA([3]characters!$A:$A),MATCH(AE$1,[3]characters!$1:$1,0)-MATCH("character_id",[3]characters!$1:$1,0)+1),MATCH(AE$1,[3]characters!$1:$1,0)-MATCH("character_id",[3]characters!$1:$1,0)+1,FALSE)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43" s="7">
        <v>1</v>
      </c>
      <c r="AG143" s="26">
        <f t="shared" ca="1" si="172"/>
        <v>6</v>
      </c>
      <c r="AH143" s="8">
        <v>100</v>
      </c>
      <c r="AI143" s="7">
        <v>0</v>
      </c>
      <c r="AJ143" s="7">
        <v>0</v>
      </c>
      <c r="AK143" s="7">
        <v>0</v>
      </c>
      <c r="AL143" s="7">
        <v>0</v>
      </c>
      <c r="AM143" s="7">
        <v>1</v>
      </c>
    </row>
    <row r="144" spans="1:39" ht="14" x14ac:dyDescent="0.15">
      <c r="A144" s="18" t="str">
        <f t="shared" ca="1" si="157"/>
        <v>22_6-5/343&lt;lv1&gt;s4</v>
      </c>
      <c r="B144" s="53">
        <v>22</v>
      </c>
      <c r="C144" s="51">
        <v>6</v>
      </c>
      <c r="D144" s="2" t="str">
        <f t="shared" si="158"/>
        <v>22_6</v>
      </c>
      <c r="E144" s="2" t="str">
        <f t="shared" si="158"/>
        <v>6_22_6</v>
      </c>
      <c r="F144" s="4" t="str">
        <f ca="1">VLOOKUP($D144,OFFSET([1]stages!$A$1,0,0,COUNTA([1]stages!$A:$A),MATCH(F$1,[1]stages!$2:$2,0)-MATCH($D$1,[1]stages!$2:$2,0)+1),MATCH(F$1,[1]stages!$2:$2,0)-MATCH($D$1,[1]stages!$2:$2,0)+1,FALSE)</f>
        <v>22-6．【1回のみ】ボーナスステージ</v>
      </c>
      <c r="G144" s="51">
        <v>5</v>
      </c>
      <c r="H144" s="17" t="str">
        <f t="shared" si="159"/>
        <v>22_6-5</v>
      </c>
      <c r="I144" s="17"/>
      <c r="J144" s="17"/>
      <c r="K144" s="65" t="s">
        <v>56</v>
      </c>
      <c r="L144" s="52">
        <v>343</v>
      </c>
      <c r="M144" s="21" t="str">
        <f ca="1">VLOOKUP($L144,OFFSET([2]enemies!$A$1,0,0,COUNTA([2]enemies!$A:$A),MATCH(M$1,[2]enemies!$1:$1,0)-MATCH($L$1,[2]enemies!$1:$1,0)+1),MATCH(M$1,[2]enemies!$1:$1,0)-MATCH($L$1,[2]enemies!$1:$1,0)+1,FALSE)</f>
        <v>水のメタルジェントル</v>
      </c>
      <c r="N144" s="21" t="str">
        <f ca="1">VLOOKUP($L144,OFFSET([2]enemies!$A$1,0,0,COUNTA([2]enemies!$A:$A),MATCH(N$1,[2]enemies!$1:$1,0)-MATCH($L$1,[2]enemies!$1:$1,0)+1),MATCH(N$1,[2]enemies!$1:$1,0)-MATCH($L$1,[2]enemies!$1:$1,0)+1,FALSE)</f>
        <v>blue</v>
      </c>
      <c r="O144" s="21" t="str">
        <f ca="1">VLOOKUP($L144,OFFSET([3]characters!$A$1,0,0,COUNTA([3]characters!$A:$A),MATCH(O$1,[3]characters!$1:$1,0)-MATCH($L$1,[3]characters!$1:$1,0)+1),MATCH(O$1,[3]characters!$1:$1,0)-MATCH($L$1,[3]characters!$1:$1,0)+1,FALSE)</f>
        <v>Material</v>
      </c>
      <c r="P144" s="21" t="str">
        <f ca="1">VLOOKUP($L144,OFFSET([2]enemies!$A$1,0,0,COUNTA([2]enemies!$A:$A),MATCH(P$1,[2]enemies!$1:$1,0)-MATCH($L$1,[2]enemies!$1:$1,0)+1),MATCH(P$1,[2]enemies!$1:$1,0)-MATCH($L$1,[2]enemies!$1:$1,0)+1,FALSE)</f>
        <v>unknown</v>
      </c>
      <c r="Q144" s="21">
        <f ca="1">VLOOKUP($L144,OFFSET([2]enemies!$A$1,0,0,COUNTA([2]enemies!$A:$A),MATCH(Q$1,[2]enemies!$1:$1,0)-MATCH($L$1,[2]enemies!$1:$1,0)+1),MATCH(Q$1,[2]enemies!$1:$1,0)-MATCH($L$1,[2]enemies!$1:$1,0)+1,FALSE)</f>
        <v>20</v>
      </c>
      <c r="R144" s="53">
        <v>1</v>
      </c>
      <c r="S144" s="27">
        <v>1</v>
      </c>
      <c r="T144" s="27">
        <v>1</v>
      </c>
      <c r="U144" s="5">
        <v>0</v>
      </c>
      <c r="V144" s="4" t="str">
        <f ca="1">VLOOKUP($W144,OFFSET([4]enemy_skill_sets!$B$1,0,0,COUNTA([4]enemy_skill_sets!$B:$B),MATCH(M$1,[4]enemy_skill_sets!$1:$1,0)-MATCH($W$1,[4]enemy_skill_sets!$1:$1,0)+2),MATCH(M$1,[4]enemy_skill_sets!$1:$1,0)-MATCH($W$1,[4]enemy_skill_sets!$1:$1,0)+2,FALSE)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4" s="4">
        <f ca="1">VLOOKUP($L144,OFFSET([2]enemies!$A$1,0,0,COUNTA([2]enemies!$A:$A),MATCH(W$1,[2]enemies!$1:$1,0)-MATCH($L$1,[2]enemies!$1:$1,0)+1),MATCH(W$1,[2]enemies!$1:$1,0)-MATCH($L$1,[2]enemies!$1:$1,0)+1,FALSE)</f>
        <v>0</v>
      </c>
      <c r="X144" s="6">
        <v>1</v>
      </c>
      <c r="Y144" s="6">
        <v>100</v>
      </c>
      <c r="Z144" s="6">
        <v>0</v>
      </c>
      <c r="AA144" s="4">
        <f ca="1">VLOOKUP($L144,OFFSET([2]enemies!$A$1,0,0,COUNTA([2]enemies!$A:$A),MATCH(AA$1,[2]enemies!$1:$1,0)-MATCH($L$1,[2]enemies!$1:$1,0)+1),MATCH(AA$1,[2]enemies!$1:$1,0)-MATCH($L$1,[2]enemies!$1:$1,0)+1,FALSE)</f>
        <v>4</v>
      </c>
      <c r="AB144" s="52">
        <v>343</v>
      </c>
      <c r="AC144" s="4" t="str">
        <f ca="1">VLOOKUP($AB144,OFFSET([3]characters!$A$1,0,0,COUNTA([3]characters!$A:$A),MATCH(AC$1,[3]characters!$1:$1,0)-MATCH("character_id",[3]characters!$1:$1,0)+1),MATCH(AC$1,[3]characters!$1:$1,0)-MATCH("character_id",[3]characters!$1:$1,0)+1,FALSE)</f>
        <v>水のメタルジェントル</v>
      </c>
      <c r="AD144" s="4">
        <f ca="1">VLOOKUP($AB144,OFFSET([3]characters!$A$1,0,0,COUNTA([3]characters!$A:$A),MATCH(AD$1,[3]characters!$1:$1,0)-MATCH("character_id",[3]characters!$1:$1,0)+1),MATCH(AD$1,[3]characters!$1:$1,0)-MATCH("character_id",[3]characters!$1:$1,0)+1,FALSE)</f>
        <v>6</v>
      </c>
      <c r="AE144" s="4" t="str">
        <f ca="1">VLOOKUP($AB144,OFFSET([3]characters!$A$1,0,0,COUNTA([3]characters!$A:$A),MATCH(AE$1,[3]characters!$1:$1,0)-MATCH("character_id",[3]characters!$1:$1,0)+1),MATCH(AE$1,[3]characters!$1:$1,0)-MATCH("character_id",[3]characters!$1:$1,0)+1,FALSE)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44" s="7">
        <v>1</v>
      </c>
      <c r="AG144" s="26">
        <f t="shared" ca="1" si="172"/>
        <v>6</v>
      </c>
      <c r="AH144" s="8">
        <v>100</v>
      </c>
      <c r="AI144" s="7">
        <v>0</v>
      </c>
      <c r="AJ144" s="7">
        <v>0</v>
      </c>
      <c r="AK144" s="7">
        <v>0</v>
      </c>
      <c r="AL144" s="7">
        <v>0</v>
      </c>
      <c r="AM144" s="7">
        <v>1</v>
      </c>
    </row>
    <row r="145" spans="1:39" ht="14" x14ac:dyDescent="0.15">
      <c r="A145" s="18" t="str">
        <f t="shared" ca="1" si="157"/>
        <v>23_1-1/11&lt;lv42&gt;s3</v>
      </c>
      <c r="B145" s="50">
        <v>23</v>
      </c>
      <c r="C145" s="49">
        <v>1</v>
      </c>
      <c r="D145" s="2" t="str">
        <f t="shared" si="158"/>
        <v>23_1</v>
      </c>
      <c r="E145" s="2" t="str">
        <f t="shared" si="158"/>
        <v>1_23_1</v>
      </c>
      <c r="F145" s="4" t="str">
        <f ca="1">VLOOKUP($D145,OFFSET([1]stages!$A$1,0,0,COUNTA([1]stages!$A:$A),MATCH(F$1,[1]stages!$2:$2,0)-MATCH($D$1,[1]stages!$2:$2,0)+1),MATCH(F$1,[1]stages!$2:$2,0)-MATCH($D$1,[1]stages!$2:$2,0)+1,FALSE)</f>
        <v>23-1．牙森の子どもたち</v>
      </c>
      <c r="G145" s="54">
        <v>1</v>
      </c>
      <c r="H145" s="17" t="str">
        <f t="shared" si="159"/>
        <v>23_1-1</v>
      </c>
      <c r="I145" s="17"/>
      <c r="J145" s="17"/>
      <c r="K145" s="65" t="s">
        <v>56</v>
      </c>
      <c r="L145" s="52">
        <v>11</v>
      </c>
      <c r="M145" s="21" t="str">
        <f ca="1">VLOOKUP($L145,OFFSET([2]enemies!$A$1,0,0,COUNTA([2]enemies!$A:$A),MATCH(M$1,[2]enemies!$1:$1,0)-MATCH($L$1,[2]enemies!$1:$1,0)+1),MATCH(M$1,[2]enemies!$1:$1,0)-MATCH($L$1,[2]enemies!$1:$1,0)+1,FALSE)</f>
        <v>マグリット</v>
      </c>
      <c r="N145" s="21" t="str">
        <f ca="1">VLOOKUP($L145,OFFSET([2]enemies!$A$1,0,0,COUNTA([2]enemies!$A:$A),MATCH(N$1,[2]enemies!$1:$1,0)-MATCH($L$1,[2]enemies!$1:$1,0)+1),MATCH(N$1,[2]enemies!$1:$1,0)-MATCH($L$1,[2]enemies!$1:$1,0)+1,FALSE)</f>
        <v>green</v>
      </c>
      <c r="O145" s="21" t="str">
        <f ca="1">VLOOKUP($L145,OFFSET([3]characters!$A$1,0,0,COUNTA([3]characters!$A:$A),MATCH(O$1,[3]characters!$1:$1,0)-MATCH($L$1,[3]characters!$1:$1,0)+1),MATCH(O$1,[3]characters!$1:$1,0)-MATCH($L$1,[3]characters!$1:$1,0)+1,FALSE)</f>
        <v>Drop1W</v>
      </c>
      <c r="P145" s="21" t="str">
        <f ca="1">VLOOKUP($L145,OFFSET([2]enemies!$A$1,0,0,COUNTA([2]enemies!$A:$A),MATCH(P$1,[2]enemies!$1:$1,0)-MATCH($L$1,[2]enemies!$1:$1,0)+1),MATCH(P$1,[2]enemies!$1:$1,0)-MATCH($L$1,[2]enemies!$1:$1,0)+1,FALSE)</f>
        <v>animal</v>
      </c>
      <c r="Q145" s="21">
        <f ca="1">VLOOKUP($L145,OFFSET([2]enemies!$A$1,0,0,COUNTA([2]enemies!$A:$A),MATCH(Q$1,[2]enemies!$1:$1,0)-MATCH($L$1,[2]enemies!$1:$1,0)+1),MATCH(Q$1,[2]enemies!$1:$1,0)-MATCH($L$1,[2]enemies!$1:$1,0)+1,FALSE)</f>
        <v>15</v>
      </c>
      <c r="R145" s="53">
        <v>42</v>
      </c>
      <c r="S145" s="27">
        <v>1</v>
      </c>
      <c r="T145" s="27">
        <v>1</v>
      </c>
      <c r="U145" s="5">
        <v>0</v>
      </c>
      <c r="V145" s="4" t="str">
        <f ca="1">VLOOKUP($W145,OFFSET([4]enemy_skill_sets!$B$1,0,0,COUNTA([4]enemy_skill_sets!$B:$B),MATCH(M$1,[4]enemy_skill_sets!$1:$1,0)-MATCH($W$1,[4]enemy_skill_sets!$1:$1,0)+2),MATCH(M$1,[4]enemy_skill_sets!$1:$1,0)-MATCH($W$1,[4]enemy_skill_sets!$1:$1,0)+2,FALSE)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5" s="4">
        <f ca="1">VLOOKUP($L145,OFFSET([2]enemies!$A$1,0,0,COUNTA([2]enemies!$A:$A),MATCH(W$1,[2]enemies!$1:$1,0)-MATCH($L$1,[2]enemies!$1:$1,0)+1),MATCH(W$1,[2]enemies!$1:$1,0)-MATCH($L$1,[2]enemies!$1:$1,0)+1,FALSE)</f>
        <v>0</v>
      </c>
      <c r="X145" s="6">
        <v>0</v>
      </c>
      <c r="Y145" s="6">
        <v>100</v>
      </c>
      <c r="Z145" s="6">
        <v>0</v>
      </c>
      <c r="AA145" s="4">
        <f ca="1">VLOOKUP($L145,OFFSET([2]enemies!$A$1,0,0,COUNTA([2]enemies!$A:$A),MATCH(AA$1,[2]enemies!$1:$1,0)-MATCH($L$1,[2]enemies!$1:$1,0)+1),MATCH(AA$1,[2]enemies!$1:$1,0)-MATCH($L$1,[2]enemies!$1:$1,0)+1,FALSE)</f>
        <v>3</v>
      </c>
      <c r="AB145" s="52">
        <v>11</v>
      </c>
      <c r="AC145" s="4" t="str">
        <f ca="1">VLOOKUP($AB145,OFFSET([3]characters!$A$1,0,0,COUNTA([3]characters!$A:$A),MATCH(AC$1,[3]characters!$1:$1,0)-MATCH("character_id",[3]characters!$1:$1,0)+1),MATCH(AC$1,[3]characters!$1:$1,0)-MATCH("character_id",[3]characters!$1:$1,0)+1,FALSE)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145" s="4">
        <f ca="1">VLOOKUP($AB145,OFFSET([3]characters!$A$1,0,0,COUNTA([3]characters!$A:$A),MATCH(AD$1,[3]characters!$1:$1,0)-MATCH("character_id",[3]characters!$1:$1,0)+1),MATCH(AD$1,[3]characters!$1:$1,0)-MATCH("character_id",[3]characters!$1:$1,0)+1,FALSE)</f>
        <v>1</v>
      </c>
      <c r="AE145" s="4" t="str">
        <f ca="1">VLOOKUP($AB145,OFFSET([3]characters!$A$1,0,0,COUNTA([3]characters!$A:$A),MATCH(AE$1,[3]characters!$1:$1,0)-MATCH("character_id",[3]characters!$1:$1,0)+1),MATCH(AE$1,[3]characters!$1:$1,0)-MATCH("character_id",[3]characters!$1:$1,0)+1,FALSE)</f>
        <v>Drop1W</v>
      </c>
      <c r="AF145" s="7">
        <v>9</v>
      </c>
      <c r="AG145" s="26">
        <f t="shared" ca="1" si="172"/>
        <v>1</v>
      </c>
      <c r="AH145" s="8">
        <v>20</v>
      </c>
      <c r="AI145" s="7">
        <v>0</v>
      </c>
      <c r="AJ145" s="7">
        <v>0</v>
      </c>
      <c r="AK145" s="7">
        <v>0</v>
      </c>
      <c r="AL145" s="7">
        <v>0</v>
      </c>
      <c r="AM145" s="7">
        <v>1</v>
      </c>
    </row>
    <row r="146" spans="1:39" ht="14" x14ac:dyDescent="0.15">
      <c r="A146" s="18" t="str">
        <f t="shared" ca="1" si="157"/>
        <v>23_1-1/23&lt;lv42&gt;s4</v>
      </c>
      <c r="B146" s="50">
        <v>23</v>
      </c>
      <c r="C146" s="49">
        <v>1</v>
      </c>
      <c r="D146" s="2" t="str">
        <f t="shared" si="158"/>
        <v>23_1</v>
      </c>
      <c r="E146" s="2" t="str">
        <f t="shared" si="158"/>
        <v>1_23_1</v>
      </c>
      <c r="F146" s="4" t="str">
        <f ca="1">VLOOKUP($D146,OFFSET([1]stages!$A$1,0,0,COUNTA([1]stages!$A:$A),MATCH(F$1,[1]stages!$2:$2,0)-MATCH($D$1,[1]stages!$2:$2,0)+1),MATCH(F$1,[1]stages!$2:$2,0)-MATCH($D$1,[1]stages!$2:$2,0)+1,FALSE)</f>
        <v>23-1．牙森の子どもたち</v>
      </c>
      <c r="G146" s="54">
        <v>1</v>
      </c>
      <c r="H146" s="17" t="str">
        <f t="shared" si="159"/>
        <v>23_1-1</v>
      </c>
      <c r="I146" s="17"/>
      <c r="J146" s="17"/>
      <c r="K146" s="65" t="s">
        <v>56</v>
      </c>
      <c r="L146" s="52">
        <v>23</v>
      </c>
      <c r="M146" s="21" t="str">
        <f ca="1">VLOOKUP($L146,OFFSET([2]enemies!$A$1,0,0,COUNTA([2]enemies!$A:$A),MATCH(M$1,[2]enemies!$1:$1,0)-MATCH($L$1,[2]enemies!$1:$1,0)+1),MATCH(M$1,[2]enemies!$1:$1,0)-MATCH($L$1,[2]enemies!$1:$1,0)+1,FALSE)</f>
        <v>ミール</v>
      </c>
      <c r="N146" s="21" t="str">
        <f ca="1">VLOOKUP($L146,OFFSET([2]enemies!$A$1,0,0,COUNTA([2]enemies!$A:$A),MATCH(N$1,[2]enemies!$1:$1,0)-MATCH($L$1,[2]enemies!$1:$1,0)+1),MATCH(N$1,[2]enemies!$1:$1,0)-MATCH($L$1,[2]enemies!$1:$1,0)+1,FALSE)</f>
        <v>green</v>
      </c>
      <c r="O146" s="21" t="str">
        <f ca="1">VLOOKUP($L146,OFFSET([3]characters!$A$1,0,0,COUNTA([3]characters!$A:$A),MATCH(O$1,[3]characters!$1:$1,0)-MATCH($L$1,[3]characters!$1:$1,0)+1),MATCH(O$1,[3]characters!$1:$1,0)-MATCH($L$1,[3]characters!$1:$1,0)+1,FALSE)</f>
        <v>Drop1N</v>
      </c>
      <c r="P146" s="21" t="str">
        <f ca="1">VLOOKUP($L146,OFFSET([2]enemies!$A$1,0,0,COUNTA([2]enemies!$A:$A),MATCH(P$1,[2]enemies!$1:$1,0)-MATCH($L$1,[2]enemies!$1:$1,0)+1),MATCH(P$1,[2]enemies!$1:$1,0)-MATCH($L$1,[2]enemies!$1:$1,0)+1,FALSE)</f>
        <v>animal</v>
      </c>
      <c r="Q146" s="21">
        <f ca="1">VLOOKUP($L146,OFFSET([2]enemies!$A$1,0,0,COUNTA([2]enemies!$A:$A),MATCH(Q$1,[2]enemies!$1:$1,0)-MATCH($L$1,[2]enemies!$1:$1,0)+1),MATCH(Q$1,[2]enemies!$1:$1,0)-MATCH($L$1,[2]enemies!$1:$1,0)+1,FALSE)</f>
        <v>15</v>
      </c>
      <c r="R146" s="53">
        <v>42</v>
      </c>
      <c r="S146" s="27">
        <v>1</v>
      </c>
      <c r="T146" s="27">
        <v>1</v>
      </c>
      <c r="U146" s="5">
        <v>0</v>
      </c>
      <c r="V146" s="4" t="str">
        <f ca="1">VLOOKUP($W146,OFFSET([4]enemy_skill_sets!$B$1,0,0,COUNTA([4]enemy_skill_sets!$B:$B),MATCH(M$1,[4]enemy_skill_sets!$1:$1,0)-MATCH($W$1,[4]enemy_skill_sets!$1:$1,0)+2),MATCH(M$1,[4]enemy_skill_sets!$1:$1,0)-MATCH($W$1,[4]enemy_skill_sets!$1:$1,0)+2,FALSE)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6" s="4">
        <f ca="1">VLOOKUP($L146,OFFSET([2]enemies!$A$1,0,0,COUNTA([2]enemies!$A:$A),MATCH(W$1,[2]enemies!$1:$1,0)-MATCH($L$1,[2]enemies!$1:$1,0)+1),MATCH(W$1,[2]enemies!$1:$1,0)-MATCH($L$1,[2]enemies!$1:$1,0)+1,FALSE)</f>
        <v>0</v>
      </c>
      <c r="X146" s="6">
        <v>0</v>
      </c>
      <c r="Y146" s="6">
        <v>100</v>
      </c>
      <c r="Z146" s="6">
        <v>0</v>
      </c>
      <c r="AA146" s="4">
        <f ca="1">VLOOKUP($L146,OFFSET([2]enemies!$A$1,0,0,COUNTA([2]enemies!$A:$A),MATCH(AA$1,[2]enemies!$1:$1,0)-MATCH($L$1,[2]enemies!$1:$1,0)+1),MATCH(AA$1,[2]enemies!$1:$1,0)-MATCH($L$1,[2]enemies!$1:$1,0)+1,FALSE)</f>
        <v>4</v>
      </c>
      <c r="AB146" s="52">
        <v>23</v>
      </c>
      <c r="AC146" s="4" t="str">
        <f ca="1">VLOOKUP($AB146,OFFSET([3]characters!$A$1,0,0,COUNTA([3]characters!$A:$A),MATCH(AC$1,[3]characters!$1:$1,0)-MATCH("character_id",[3]characters!$1:$1,0)+1),MATCH(AC$1,[3]characters!$1:$1,0)-MATCH("character_id",[3]characters!$1:$1,0)+1,FALSE)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146" s="4">
        <f ca="1">VLOOKUP($AB146,OFFSET([3]characters!$A$1,0,0,COUNTA([3]characters!$A:$A),MATCH(AD$1,[3]characters!$1:$1,0)-MATCH("character_id",[3]characters!$1:$1,0)+1),MATCH(AD$1,[3]characters!$1:$1,0)-MATCH("character_id",[3]characters!$1:$1,0)+1,FALSE)</f>
        <v>1</v>
      </c>
      <c r="AE146" s="4" t="str">
        <f ca="1">VLOOKUP($AB146,OFFSET([3]characters!$A$1,0,0,COUNTA([3]characters!$A:$A),MATCH(AE$1,[3]characters!$1:$1,0)-MATCH("character_id",[3]characters!$1:$1,0)+1),MATCH(AE$1,[3]characters!$1:$1,0)-MATCH("character_id",[3]characters!$1:$1,0)+1,FALSE)</f>
        <v>Drop1N</v>
      </c>
      <c r="AF146" s="7">
        <v>7</v>
      </c>
      <c r="AG146" s="26">
        <f t="shared" ca="1" si="172"/>
        <v>1</v>
      </c>
      <c r="AH146" s="8">
        <v>20</v>
      </c>
      <c r="AI146" s="7">
        <v>0</v>
      </c>
      <c r="AJ146" s="7">
        <v>0</v>
      </c>
      <c r="AK146" s="7">
        <v>0</v>
      </c>
      <c r="AL146" s="7">
        <v>0</v>
      </c>
      <c r="AM146" s="7">
        <v>1</v>
      </c>
    </row>
    <row r="147" spans="1:39" ht="14" x14ac:dyDescent="0.15">
      <c r="A147" s="18" t="str">
        <f t="shared" ca="1" si="157"/>
        <v>23_1-1/59&lt;lv42&gt;s2</v>
      </c>
      <c r="B147" s="50">
        <v>23</v>
      </c>
      <c r="C147" s="49">
        <v>1</v>
      </c>
      <c r="D147" s="2" t="str">
        <f t="shared" si="158"/>
        <v>23_1</v>
      </c>
      <c r="E147" s="2" t="str">
        <f t="shared" si="158"/>
        <v>1_23_1</v>
      </c>
      <c r="F147" s="4" t="str">
        <f ca="1">VLOOKUP($D147,OFFSET([1]stages!$A$1,0,0,COUNTA([1]stages!$A:$A),MATCH(F$1,[1]stages!$2:$2,0)-MATCH($D$1,[1]stages!$2:$2,0)+1),MATCH(F$1,[1]stages!$2:$2,0)-MATCH($D$1,[1]stages!$2:$2,0)+1,FALSE)</f>
        <v>23-1．牙森の子どもたち</v>
      </c>
      <c r="G147" s="54">
        <v>1</v>
      </c>
      <c r="H147" s="17" t="str">
        <f t="shared" si="159"/>
        <v>23_1-1</v>
      </c>
      <c r="I147" s="17"/>
      <c r="J147" s="17"/>
      <c r="K147" s="65" t="s">
        <v>56</v>
      </c>
      <c r="L147" s="52">
        <v>59</v>
      </c>
      <c r="M147" s="21" t="str">
        <f ca="1">VLOOKUP($L147,OFFSET([2]enemies!$A$1,0,0,COUNTA([2]enemies!$A:$A),MATCH(M$1,[2]enemies!$1:$1,0)-MATCH($L$1,[2]enemies!$1:$1,0)+1),MATCH(M$1,[2]enemies!$1:$1,0)-MATCH($L$1,[2]enemies!$1:$1,0)+1,FALSE)</f>
        <v>マーチ</v>
      </c>
      <c r="N147" s="21" t="str">
        <f ca="1">VLOOKUP($L147,OFFSET([2]enemies!$A$1,0,0,COUNTA([2]enemies!$A:$A),MATCH(N$1,[2]enemies!$1:$1,0)-MATCH($L$1,[2]enemies!$1:$1,0)+1),MATCH(N$1,[2]enemies!$1:$1,0)-MATCH($L$1,[2]enemies!$1:$1,0)+1,FALSE)</f>
        <v>green</v>
      </c>
      <c r="O147" s="21" t="str">
        <f ca="1">VLOOKUP($L147,OFFSET([3]characters!$A$1,0,0,COUNTA([3]characters!$A:$A),MATCH(O$1,[3]characters!$1:$1,0)-MATCH($L$1,[3]characters!$1:$1,0)+1),MATCH(O$1,[3]characters!$1:$1,0)-MATCH($L$1,[3]characters!$1:$1,0)+1,FALSE)</f>
        <v>Drop1N</v>
      </c>
      <c r="P147" s="21" t="str">
        <f ca="1">VLOOKUP($L147,OFFSET([2]enemies!$A$1,0,0,COUNTA([2]enemies!$A:$A),MATCH(P$1,[2]enemies!$1:$1,0)-MATCH($L$1,[2]enemies!$1:$1,0)+1),MATCH(P$1,[2]enemies!$1:$1,0)-MATCH($L$1,[2]enemies!$1:$1,0)+1,FALSE)</f>
        <v>animal</v>
      </c>
      <c r="Q147" s="21">
        <f ca="1">VLOOKUP($L147,OFFSET([2]enemies!$A$1,0,0,COUNTA([2]enemies!$A:$A),MATCH(Q$1,[2]enemies!$1:$1,0)-MATCH($L$1,[2]enemies!$1:$1,0)+1),MATCH(Q$1,[2]enemies!$1:$1,0)-MATCH($L$1,[2]enemies!$1:$1,0)+1,FALSE)</f>
        <v>15</v>
      </c>
      <c r="R147" s="53">
        <v>42</v>
      </c>
      <c r="S147" s="27">
        <v>1</v>
      </c>
      <c r="T147" s="27">
        <v>1</v>
      </c>
      <c r="U147" s="5">
        <v>0</v>
      </c>
      <c r="V147" s="4" t="str">
        <f ca="1">VLOOKUP($W147,OFFSET([4]enemy_skill_sets!$B$1,0,0,COUNTA([4]enemy_skill_sets!$B:$B),MATCH(M$1,[4]enemy_skill_sets!$1:$1,0)-MATCH($W$1,[4]enemy_skill_sets!$1:$1,0)+2),MATCH(M$1,[4]enemy_skill_sets!$1:$1,0)-MATCH($W$1,[4]enemy_skill_sets!$1:$1,0)+2,FALSE)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47" s="4">
        <f ca="1">VLOOKUP($L147,OFFSET([2]enemies!$A$1,0,0,COUNTA([2]enemies!$A:$A),MATCH(W$1,[2]enemies!$1:$1,0)-MATCH($L$1,[2]enemies!$1:$1,0)+1),MATCH(W$1,[2]enemies!$1:$1,0)-MATCH($L$1,[2]enemies!$1:$1,0)+1,FALSE)</f>
        <v>59</v>
      </c>
      <c r="X147" s="6">
        <v>0</v>
      </c>
      <c r="Y147" s="6">
        <v>100</v>
      </c>
      <c r="Z147" s="6">
        <v>0</v>
      </c>
      <c r="AA147" s="4">
        <f ca="1">VLOOKUP($L147,OFFSET([2]enemies!$A$1,0,0,COUNTA([2]enemies!$A:$A),MATCH(AA$1,[2]enemies!$1:$1,0)-MATCH($L$1,[2]enemies!$1:$1,0)+1),MATCH(AA$1,[2]enemies!$1:$1,0)-MATCH($L$1,[2]enemies!$1:$1,0)+1,FALSE)</f>
        <v>2</v>
      </c>
      <c r="AB147" s="52">
        <v>59</v>
      </c>
      <c r="AC147" s="4" t="str">
        <f ca="1">VLOOKUP($AB147,OFFSET([3]characters!$A$1,0,0,COUNTA([3]characters!$A:$A),MATCH(AC$1,[3]characters!$1:$1,0)-MATCH("character_id",[3]characters!$1:$1,0)+1),MATCH(AC$1,[3]characters!$1:$1,0)-MATCH("character_id",[3]characters!$1:$1,0)+1,FALSE)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147" s="4">
        <f ca="1">VLOOKUP($AB147,OFFSET([3]characters!$A$1,0,0,COUNTA([3]characters!$A:$A),MATCH(AD$1,[3]characters!$1:$1,0)-MATCH("character_id",[3]characters!$1:$1,0)+1),MATCH(AD$1,[3]characters!$1:$1,0)-MATCH("character_id",[3]characters!$1:$1,0)+1,FALSE)</f>
        <v>2</v>
      </c>
      <c r="AE147" s="4" t="str">
        <f ca="1">VLOOKUP($AB147,OFFSET([3]characters!$A$1,0,0,COUNTA([3]characters!$A:$A),MATCH(AE$1,[3]characters!$1:$1,0)-MATCH("character_id",[3]characters!$1:$1,0)+1),MATCH(AE$1,[3]characters!$1:$1,0)-MATCH("character_id",[3]characters!$1:$1,0)+1,FALSE)</f>
        <v>Drop1N</v>
      </c>
      <c r="AF147" s="7">
        <v>7</v>
      </c>
      <c r="AG147" s="26">
        <f t="shared" ca="1" si="172"/>
        <v>2</v>
      </c>
      <c r="AH147" s="8">
        <v>20</v>
      </c>
      <c r="AI147" s="7">
        <v>0</v>
      </c>
      <c r="AJ147" s="7">
        <v>0</v>
      </c>
      <c r="AK147" s="7">
        <v>0</v>
      </c>
      <c r="AL147" s="7">
        <v>0</v>
      </c>
      <c r="AM147" s="7">
        <v>1</v>
      </c>
    </row>
    <row r="148" spans="1:39" ht="14" x14ac:dyDescent="0.15">
      <c r="A148" s="18" t="str">
        <f t="shared" ca="1" si="157"/>
        <v>23_1-1/43&lt;lv42&gt;s2</v>
      </c>
      <c r="B148" s="50">
        <v>23</v>
      </c>
      <c r="C148" s="49">
        <v>1</v>
      </c>
      <c r="D148" s="2" t="str">
        <f t="shared" si="158"/>
        <v>23_1</v>
      </c>
      <c r="E148" s="2" t="str">
        <f t="shared" si="158"/>
        <v>1_23_1</v>
      </c>
      <c r="F148" s="4" t="str">
        <f ca="1">VLOOKUP($D148,OFFSET([1]stages!$A$1,0,0,COUNTA([1]stages!$A:$A),MATCH(F$1,[1]stages!$2:$2,0)-MATCH($D$1,[1]stages!$2:$2,0)+1),MATCH(F$1,[1]stages!$2:$2,0)-MATCH($D$1,[1]stages!$2:$2,0)+1,FALSE)</f>
        <v>23-1．牙森の子どもたち</v>
      </c>
      <c r="G148" s="54">
        <v>1</v>
      </c>
      <c r="H148" s="17" t="str">
        <f t="shared" si="159"/>
        <v>23_1-1</v>
      </c>
      <c r="I148" s="17"/>
      <c r="J148" s="17"/>
      <c r="K148" s="65" t="s">
        <v>56</v>
      </c>
      <c r="L148" s="52">
        <v>43</v>
      </c>
      <c r="M148" s="21" t="str">
        <f ca="1">VLOOKUP($L148,OFFSET([2]enemies!$A$1,0,0,COUNTA([2]enemies!$A:$A),MATCH(M$1,[2]enemies!$1:$1,0)-MATCH($L$1,[2]enemies!$1:$1,0)+1),MATCH(M$1,[2]enemies!$1:$1,0)-MATCH($L$1,[2]enemies!$1:$1,0)+1,FALSE)</f>
        <v>ムゥ</v>
      </c>
      <c r="N148" s="21" t="str">
        <f ca="1">VLOOKUP($L148,OFFSET([2]enemies!$A$1,0,0,COUNTA([2]enemies!$A:$A),MATCH(N$1,[2]enemies!$1:$1,0)-MATCH($L$1,[2]enemies!$1:$1,0)+1),MATCH(N$1,[2]enemies!$1:$1,0)-MATCH($L$1,[2]enemies!$1:$1,0)+1,FALSE)</f>
        <v>green</v>
      </c>
      <c r="O148" s="21" t="str">
        <f ca="1">VLOOKUP($L148,OFFSET([3]characters!$A$1,0,0,COUNTA([3]characters!$A:$A),MATCH(O$1,[3]characters!$1:$1,0)-MATCH($L$1,[3]characters!$1:$1,0)+1),MATCH(O$1,[3]characters!$1:$1,0)-MATCH($L$1,[3]characters!$1:$1,0)+1,FALSE)</f>
        <v>Drop1N</v>
      </c>
      <c r="P148" s="21" t="str">
        <f ca="1">VLOOKUP($L148,OFFSET([2]enemies!$A$1,0,0,COUNTA([2]enemies!$A:$A),MATCH(P$1,[2]enemies!$1:$1,0)-MATCH($L$1,[2]enemies!$1:$1,0)+1),MATCH(P$1,[2]enemies!$1:$1,0)-MATCH($L$1,[2]enemies!$1:$1,0)+1,FALSE)</f>
        <v>dragon</v>
      </c>
      <c r="Q148" s="21">
        <f ca="1">VLOOKUP($L148,OFFSET([2]enemies!$A$1,0,0,COUNTA([2]enemies!$A:$A),MATCH(Q$1,[2]enemies!$1:$1,0)-MATCH($L$1,[2]enemies!$1:$1,0)+1),MATCH(Q$1,[2]enemies!$1:$1,0)-MATCH($L$1,[2]enemies!$1:$1,0)+1,FALSE)</f>
        <v>15</v>
      </c>
      <c r="R148" s="53">
        <v>42</v>
      </c>
      <c r="S148" s="27">
        <v>1</v>
      </c>
      <c r="T148" s="27">
        <v>1</v>
      </c>
      <c r="U148" s="5">
        <v>0</v>
      </c>
      <c r="V148" s="4" t="str">
        <f ca="1">VLOOKUP($W148,OFFSET([4]enemy_skill_sets!$B$1,0,0,COUNTA([4]enemy_skill_sets!$B:$B),MATCH(M$1,[4]enemy_skill_sets!$1:$1,0)-MATCH($W$1,[4]enemy_skill_sets!$1:$1,0)+2),MATCH(M$1,[4]enemy_skill_sets!$1:$1,0)-MATCH($W$1,[4]enemy_skill_sets!$1:$1,0)+2,FALSE)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48" s="4">
        <f ca="1">VLOOKUP($L148,OFFSET([2]enemies!$A$1,0,0,COUNTA([2]enemies!$A:$A),MATCH(W$1,[2]enemies!$1:$1,0)-MATCH($L$1,[2]enemies!$1:$1,0)+1),MATCH(W$1,[2]enemies!$1:$1,0)-MATCH($L$1,[2]enemies!$1:$1,0)+1,FALSE)</f>
        <v>0</v>
      </c>
      <c r="X148" s="6">
        <v>0</v>
      </c>
      <c r="Y148" s="6">
        <v>100</v>
      </c>
      <c r="Z148" s="6">
        <v>0</v>
      </c>
      <c r="AA148" s="4">
        <f ca="1">VLOOKUP($L148,OFFSET([2]enemies!$A$1,0,0,COUNTA([2]enemies!$A:$A),MATCH(AA$1,[2]enemies!$1:$1,0)-MATCH($L$1,[2]enemies!$1:$1,0)+1),MATCH(AA$1,[2]enemies!$1:$1,0)-MATCH($L$1,[2]enemies!$1:$1,0)+1,FALSE)</f>
        <v>2</v>
      </c>
      <c r="AB148" s="52">
        <v>43</v>
      </c>
      <c r="AC148" s="4" t="str">
        <f ca="1">VLOOKUP($AB148,OFFSET([3]characters!$A$1,0,0,COUNTA([3]characters!$A:$A),MATCH(AC$1,[3]characters!$1:$1,0)-MATCH("character_id",[3]characters!$1:$1,0)+1),MATCH(AC$1,[3]characters!$1:$1,0)-MATCH("character_id",[3]characters!$1:$1,0)+1,FALSE)</f>
        <v>ムゥ</v>
      </c>
      <c r="AD148" s="4">
        <f ca="1">VLOOKUP($AB148,OFFSET([3]characters!$A$1,0,0,COUNTA([3]characters!$A:$A),MATCH(AD$1,[3]characters!$1:$1,0)-MATCH("character_id",[3]characters!$1:$1,0)+1),MATCH(AD$1,[3]characters!$1:$1,0)-MATCH("character_id",[3]characters!$1:$1,0)+1,FALSE)</f>
        <v>2</v>
      </c>
      <c r="AE148" s="4" t="str">
        <f ca="1">VLOOKUP($AB148,OFFSET([3]characters!$A$1,0,0,COUNTA([3]characters!$A:$A),MATCH(AE$1,[3]characters!$1:$1,0)-MATCH("character_id",[3]characters!$1:$1,0)+1),MATCH(AE$1,[3]characters!$1:$1,0)-MATCH("character_id",[3]characters!$1:$1,0)+1,FALSE)</f>
        <v>Drop1N</v>
      </c>
      <c r="AF148" s="7">
        <v>7</v>
      </c>
      <c r="AG148" s="26">
        <f t="shared" ca="1" si="172"/>
        <v>2</v>
      </c>
      <c r="AH148" s="8">
        <v>20</v>
      </c>
      <c r="AI148" s="7">
        <v>0</v>
      </c>
      <c r="AJ148" s="7">
        <v>0</v>
      </c>
      <c r="AK148" s="7">
        <v>0</v>
      </c>
      <c r="AL148" s="7">
        <v>0</v>
      </c>
      <c r="AM148" s="7">
        <v>1</v>
      </c>
    </row>
    <row r="149" spans="1:39" ht="14" x14ac:dyDescent="0.15">
      <c r="A149" s="18" t="str">
        <f t="shared" ref="A149" ca="1" si="185">B149&amp;"_"&amp;C149&amp;"-"&amp;G149&amp;"/"&amp;L149&amp;"&lt;lv"&amp;R149&amp;"&gt;s"&amp;AA149</f>
        <v>23_1-1/362&lt;lv42&gt;s3</v>
      </c>
      <c r="B149" s="53">
        <v>23</v>
      </c>
      <c r="C149" s="51">
        <v>1</v>
      </c>
      <c r="D149" s="2" t="str">
        <f t="shared" ref="D149" si="186">B149&amp;"_"&amp;C149</f>
        <v>23_1</v>
      </c>
      <c r="E149" s="2" t="str">
        <f t="shared" ref="E149" si="187">C149&amp;"_"&amp;D149</f>
        <v>1_23_1</v>
      </c>
      <c r="F149" s="4" t="str">
        <f ca="1">VLOOKUP($D149,OFFSET([1]stages!$A$1,0,0,COUNTA([1]stages!$A:$A),MATCH(F$1,[1]stages!$2:$2,0)-MATCH($D$1,[1]stages!$2:$2,0)+1),MATCH(F$1,[1]stages!$2:$2,0)-MATCH($D$1,[1]stages!$2:$2,0)+1,FALSE)</f>
        <v>23-1．牙森の子どもたち</v>
      </c>
      <c r="G149" s="54">
        <v>1</v>
      </c>
      <c r="H149" s="17" t="str">
        <f t="shared" ref="H149" si="188">B149&amp;"_"&amp;C149&amp;"-"&amp;G149</f>
        <v>23_1-1</v>
      </c>
      <c r="I149" s="17"/>
      <c r="J149" s="17"/>
      <c r="K149" s="65" t="s">
        <v>56</v>
      </c>
      <c r="L149" s="52">
        <v>362</v>
      </c>
      <c r="M149" s="21" t="str">
        <f ca="1">VLOOKUP($L149,OFFSET([2]enemies!$A$1,0,0,COUNTA([2]enemies!$A:$A),MATCH(M$1,[2]enemies!$1:$1,0)-MATCH($L$1,[2]enemies!$1:$1,0)+1),MATCH(M$1,[2]enemies!$1:$1,0)-MATCH($L$1,[2]enemies!$1:$1,0)+1,FALSE)</f>
        <v>ゆらら</v>
      </c>
      <c r="N149" s="21" t="str">
        <f ca="1">VLOOKUP($L149,OFFSET([2]enemies!$A$1,0,0,COUNTA([2]enemies!$A:$A),MATCH(N$1,[2]enemies!$1:$1,0)-MATCH($L$1,[2]enemies!$1:$1,0)+1),MATCH(N$1,[2]enemies!$1:$1,0)-MATCH($L$1,[2]enemies!$1:$1,0)+1,FALSE)</f>
        <v>green</v>
      </c>
      <c r="O149" s="21" t="str">
        <f ca="1">VLOOKUP($L149,OFFSET([3]characters!$A$1,0,0,COUNTA([3]characters!$A:$A),MATCH(O$1,[3]characters!$1:$1,0)-MATCH($L$1,[3]characters!$1:$1,0)+1),MATCH(O$1,[3]characters!$1:$1,0)-MATCH($L$1,[3]characters!$1:$1,0)+1,FALSE)</f>
        <v>Drop1S</v>
      </c>
      <c r="P149" s="21" t="str">
        <f ca="1">VLOOKUP($L149,OFFSET([2]enemies!$A$1,0,0,COUNTA([2]enemies!$A:$A),MATCH(P$1,[2]enemies!$1:$1,0)-MATCH($L$1,[2]enemies!$1:$1,0)+1),MATCH(P$1,[2]enemies!$1:$1,0)-MATCH($L$1,[2]enemies!$1:$1,0)+1,FALSE)</f>
        <v>animal</v>
      </c>
      <c r="Q149" s="21">
        <f ca="1">VLOOKUP($L149,OFFSET([2]enemies!$A$1,0,0,COUNTA([2]enemies!$A:$A),MATCH(Q$1,[2]enemies!$1:$1,0)-MATCH($L$1,[2]enemies!$1:$1,0)+1),MATCH(Q$1,[2]enemies!$1:$1,0)-MATCH($L$1,[2]enemies!$1:$1,0)+1,FALSE)</f>
        <v>15</v>
      </c>
      <c r="R149" s="53">
        <v>42</v>
      </c>
      <c r="S149" s="27">
        <v>1</v>
      </c>
      <c r="T149" s="27">
        <v>1</v>
      </c>
      <c r="U149" s="5">
        <v>0</v>
      </c>
      <c r="V149" s="4" t="str">
        <f ca="1">VLOOKUP($W149,OFFSET([4]enemy_skill_sets!$B$1,0,0,COUNTA([4]enemy_skill_sets!$B:$B),MATCH(M$1,[4]enemy_skill_sets!$1:$1,0)-MATCH($W$1,[4]enemy_skill_sets!$1:$1,0)+2),MATCH(M$1,[4]enemy_skill_sets!$1:$1,0)-MATCH($W$1,[4]enemy_skill_sets!$1:$1,0)+2,FALSE)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149" s="64">
        <v>362</v>
      </c>
      <c r="X149" s="6">
        <v>0</v>
      </c>
      <c r="Y149" s="6">
        <v>100</v>
      </c>
      <c r="Z149" s="6">
        <v>0</v>
      </c>
      <c r="AA149" s="4">
        <f ca="1">VLOOKUP($L149,OFFSET([2]enemies!$A$1,0,0,COUNTA([2]enemies!$A:$A),MATCH(AA$1,[2]enemies!$1:$1,0)-MATCH($L$1,[2]enemies!$1:$1,0)+1),MATCH(AA$1,[2]enemies!$1:$1,0)-MATCH($L$1,[2]enemies!$1:$1,0)+1,FALSE)</f>
        <v>3</v>
      </c>
      <c r="AB149" s="52">
        <v>362</v>
      </c>
      <c r="AC149" s="4" t="str">
        <f ca="1">VLOOKUP($AB149,OFFSET([3]characters!$A$1,0,0,COUNTA([3]characters!$A:$A),MATCH(AC$1,[3]characters!$1:$1,0)-MATCH("character_id",[3]characters!$1:$1,0)+1),MATCH(AC$1,[3]characters!$1:$1,0)-MATCH("character_id",[3]characters!$1:$1,0)+1,FALSE)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149" s="4">
        <f ca="1">VLOOKUP($AB149,OFFSET([3]characters!$A$1,0,0,COUNTA([3]characters!$A:$A),MATCH(AD$1,[3]characters!$1:$1,0)-MATCH("character_id",[3]characters!$1:$1,0)+1),MATCH(AD$1,[3]characters!$1:$1,0)-MATCH("character_id",[3]characters!$1:$1,0)+1,FALSE)</f>
        <v>2</v>
      </c>
      <c r="AE149" s="4" t="str">
        <f ca="1">VLOOKUP($AB149,OFFSET([3]characters!$A$1,0,0,COUNTA([3]characters!$A:$A),MATCH(AE$1,[3]characters!$1:$1,0)-MATCH("character_id",[3]characters!$1:$1,0)+1),MATCH(AE$1,[3]characters!$1:$1,0)-MATCH("character_id",[3]characters!$1:$1,0)+1,FALSE)</f>
        <v>Drop1S</v>
      </c>
      <c r="AF149" s="7">
        <v>7</v>
      </c>
      <c r="AG149" s="26">
        <f t="shared" ca="1" si="172"/>
        <v>2</v>
      </c>
      <c r="AH149" s="8">
        <v>20</v>
      </c>
      <c r="AI149" s="7">
        <v>0</v>
      </c>
      <c r="AJ149" s="7">
        <v>0</v>
      </c>
      <c r="AK149" s="7">
        <v>0</v>
      </c>
      <c r="AL149" s="7">
        <v>0</v>
      </c>
      <c r="AM149" s="7">
        <v>1</v>
      </c>
    </row>
    <row r="150" spans="1:39" ht="14" x14ac:dyDescent="0.15">
      <c r="A150" s="18" t="str">
        <f t="shared" ref="A150" ca="1" si="189">B150&amp;"_"&amp;C150&amp;"-"&amp;G150&amp;"/"&amp;L150&amp;"&lt;lv"&amp;R150&amp;"&gt;s"&amp;AA150</f>
        <v>23_1-1/350&lt;lv42&gt;s3</v>
      </c>
      <c r="B150" s="53">
        <v>23</v>
      </c>
      <c r="C150" s="51">
        <v>1</v>
      </c>
      <c r="D150" s="2" t="str">
        <f t="shared" ref="D150" si="190">B150&amp;"_"&amp;C150</f>
        <v>23_1</v>
      </c>
      <c r="E150" s="2" t="str">
        <f t="shared" ref="E150" si="191">C150&amp;"_"&amp;D150</f>
        <v>1_23_1</v>
      </c>
      <c r="F150" s="4" t="str">
        <f ca="1">VLOOKUP($D150,OFFSET([1]stages!$A$1,0,0,COUNTA([1]stages!$A:$A),MATCH(F$1,[1]stages!$2:$2,0)-MATCH($D$1,[1]stages!$2:$2,0)+1),MATCH(F$1,[1]stages!$2:$2,0)-MATCH($D$1,[1]stages!$2:$2,0)+1,FALSE)</f>
        <v>23-1．牙森の子どもたち</v>
      </c>
      <c r="G150" s="54">
        <v>1</v>
      </c>
      <c r="H150" s="17" t="str">
        <f t="shared" ref="H150" si="192">B150&amp;"_"&amp;C150&amp;"-"&amp;G150</f>
        <v>23_1-1</v>
      </c>
      <c r="I150" s="17"/>
      <c r="J150" s="17"/>
      <c r="K150" s="65" t="s">
        <v>56</v>
      </c>
      <c r="L150" s="52">
        <v>350</v>
      </c>
      <c r="M150" s="21" t="str">
        <f ca="1">VLOOKUP($L150,OFFSET([2]enemies!$A$1,0,0,COUNTA([2]enemies!$A:$A),MATCH(M$1,[2]enemies!$1:$1,0)-MATCH($L$1,[2]enemies!$1:$1,0)+1),MATCH(M$1,[2]enemies!$1:$1,0)-MATCH($L$1,[2]enemies!$1:$1,0)+1,FALSE)</f>
        <v>森のケロケロ</v>
      </c>
      <c r="N150" s="21" t="str">
        <f ca="1">VLOOKUP($L150,OFFSET([2]enemies!$A$1,0,0,COUNTA([2]enemies!$A:$A),MATCH(N$1,[2]enemies!$1:$1,0)-MATCH($L$1,[2]enemies!$1:$1,0)+1),MATCH(N$1,[2]enemies!$1:$1,0)-MATCH($L$1,[2]enemies!$1:$1,0)+1,FALSE)</f>
        <v>green</v>
      </c>
      <c r="O150" s="21" t="str">
        <f ca="1">VLOOKUP($L150,OFFSET([3]characters!$A$1,0,0,COUNTA([3]characters!$A:$A),MATCH(O$1,[3]characters!$1:$1,0)-MATCH($L$1,[3]characters!$1:$1,0)+1),MATCH(O$1,[3]characters!$1:$1,0)-MATCH($L$1,[3]characters!$1:$1,0)+1,FALSE)</f>
        <v>Material</v>
      </c>
      <c r="P150" s="21" t="str">
        <f ca="1">VLOOKUP($L150,OFFSET([2]enemies!$A$1,0,0,COUNTA([2]enemies!$A:$A),MATCH(P$1,[2]enemies!$1:$1,0)-MATCH($L$1,[2]enemies!$1:$1,0)+1),MATCH(P$1,[2]enemies!$1:$1,0)-MATCH($L$1,[2]enemies!$1:$1,0)+1,FALSE)</f>
        <v>unknown</v>
      </c>
      <c r="Q150" s="21">
        <f ca="1">VLOOKUP($L150,OFFSET([2]enemies!$A$1,0,0,COUNTA([2]enemies!$A:$A),MATCH(Q$1,[2]enemies!$1:$1,0)-MATCH($L$1,[2]enemies!$1:$1,0)+1),MATCH(Q$1,[2]enemies!$1:$1,0)-MATCH($L$1,[2]enemies!$1:$1,0)+1,FALSE)</f>
        <v>15</v>
      </c>
      <c r="R150" s="53">
        <v>42</v>
      </c>
      <c r="S150" s="27">
        <v>1</v>
      </c>
      <c r="T150" s="27">
        <v>1</v>
      </c>
      <c r="U150" s="5">
        <v>0</v>
      </c>
      <c r="V150" s="4" t="str">
        <f ca="1">VLOOKUP($W150,OFFSET([4]enemy_skill_sets!$B$1,0,0,COUNTA([4]enemy_skill_sets!$B:$B),MATCH(M$1,[4]enemy_skill_sets!$1:$1,0)-MATCH($W$1,[4]enemy_skill_sets!$1:$1,0)+2),MATCH(M$1,[4]enemy_skill_sets!$1:$1,0)-MATCH($W$1,[4]enemy_skill_sets!$1:$1,0)+2,FALSE)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150" s="64">
        <v>350</v>
      </c>
      <c r="X150" s="6">
        <v>0</v>
      </c>
      <c r="Y150" s="6">
        <v>100</v>
      </c>
      <c r="Z150" s="6">
        <v>0</v>
      </c>
      <c r="AA150" s="4">
        <f ca="1">VLOOKUP($L150,OFFSET([2]enemies!$A$1,0,0,COUNTA([2]enemies!$A:$A),MATCH(AA$1,[2]enemies!$1:$1,0)-MATCH($L$1,[2]enemies!$1:$1,0)+1),MATCH(AA$1,[2]enemies!$1:$1,0)-MATCH($L$1,[2]enemies!$1:$1,0)+1,FALSE)</f>
        <v>3</v>
      </c>
      <c r="AB150" s="52">
        <v>350</v>
      </c>
      <c r="AC150" s="4" t="str">
        <f ca="1">VLOOKUP($AB150,OFFSET([3]characters!$A$1,0,0,COUNTA([3]characters!$A:$A),MATCH(AC$1,[3]characters!$1:$1,0)-MATCH("character_id",[3]characters!$1:$1,0)+1),MATCH(AC$1,[3]characters!$1:$1,0)-MATCH("character_id",[3]characters!$1:$1,0)+1,FALSE)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150" s="4">
        <f ca="1">VLOOKUP($AB150,OFFSET([3]characters!$A$1,0,0,COUNTA([3]characters!$A:$A),MATCH(AD$1,[3]characters!$1:$1,0)-MATCH("character_id",[3]characters!$1:$1,0)+1),MATCH(AD$1,[3]characters!$1:$1,0)-MATCH("character_id",[3]characters!$1:$1,0)+1,FALSE)</f>
        <v>2</v>
      </c>
      <c r="AE150" s="4" t="str">
        <f ca="1">VLOOKUP($AB150,OFFSET([3]characters!$A$1,0,0,COUNTA([3]characters!$A:$A),MATCH(AE$1,[3]characters!$1:$1,0)-MATCH("character_id",[3]characters!$1:$1,0)+1),MATCH(AE$1,[3]characters!$1:$1,0)-MATCH("character_id",[3]characters!$1:$1,0)+1,FALSE)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50" s="7">
        <v>10</v>
      </c>
      <c r="AG150" s="26">
        <f t="shared" ca="1" si="172"/>
        <v>2</v>
      </c>
      <c r="AH150" s="8">
        <v>20</v>
      </c>
      <c r="AI150" s="7">
        <v>0</v>
      </c>
      <c r="AJ150" s="7">
        <v>0</v>
      </c>
      <c r="AK150" s="7">
        <v>0</v>
      </c>
      <c r="AL150" s="7">
        <v>0</v>
      </c>
      <c r="AM150" s="7">
        <v>1</v>
      </c>
    </row>
    <row r="151" spans="1:39" ht="14" x14ac:dyDescent="0.15">
      <c r="A151" s="18" t="str">
        <f t="shared" ca="1" si="157"/>
        <v>23_1-2/9&lt;lv40&gt;s2</v>
      </c>
      <c r="B151" s="50">
        <v>23</v>
      </c>
      <c r="C151" s="49">
        <v>1</v>
      </c>
      <c r="D151" s="2" t="str">
        <f t="shared" si="158"/>
        <v>23_1</v>
      </c>
      <c r="E151" s="2" t="str">
        <f t="shared" si="158"/>
        <v>1_23_1</v>
      </c>
      <c r="F151" s="4" t="str">
        <f ca="1">VLOOKUP($D151,OFFSET([1]stages!$A$1,0,0,COUNTA([1]stages!$A:$A),MATCH(F$1,[1]stages!$2:$2,0)-MATCH($D$1,[1]stages!$2:$2,0)+1),MATCH(F$1,[1]stages!$2:$2,0)-MATCH($D$1,[1]stages!$2:$2,0)+1,FALSE)</f>
        <v>23-1．牙森の子どもたち</v>
      </c>
      <c r="G151" s="55">
        <v>2</v>
      </c>
      <c r="H151" s="17" t="str">
        <f t="shared" si="159"/>
        <v>23_1-2</v>
      </c>
      <c r="I151" s="17"/>
      <c r="J151" s="17"/>
      <c r="K151" s="65" t="s">
        <v>56</v>
      </c>
      <c r="L151" s="52">
        <v>9</v>
      </c>
      <c r="M151" s="21" t="str">
        <f ca="1">VLOOKUP($L151,OFFSET([2]enemies!$A$1,0,0,COUNTA([2]enemies!$A:$A),MATCH(M$1,[2]enemies!$1:$1,0)-MATCH($L$1,[2]enemies!$1:$1,0)+1),MATCH(M$1,[2]enemies!$1:$1,0)-MATCH($L$1,[2]enemies!$1:$1,0)+1,FALSE)</f>
        <v>ブレット</v>
      </c>
      <c r="N151" s="21" t="str">
        <f ca="1">VLOOKUP($L151,OFFSET([2]enemies!$A$1,0,0,COUNTA([2]enemies!$A:$A),MATCH(N$1,[2]enemies!$1:$1,0)-MATCH($L$1,[2]enemies!$1:$1,0)+1),MATCH(N$1,[2]enemies!$1:$1,0)-MATCH($L$1,[2]enemies!$1:$1,0)+1,FALSE)</f>
        <v>red</v>
      </c>
      <c r="O151" s="21" t="str">
        <f ca="1">VLOOKUP($L151,OFFSET([3]characters!$A$1,0,0,COUNTA([3]characters!$A:$A),MATCH(O$1,[3]characters!$1:$1,0)-MATCH($L$1,[3]characters!$1:$1,0)+1),MATCH(O$1,[3]characters!$1:$1,0)-MATCH($L$1,[3]characters!$1:$1,0)+1,FALSE)</f>
        <v>Drop1W</v>
      </c>
      <c r="P151" s="21" t="str">
        <f ca="1">VLOOKUP($L151,OFFSET([2]enemies!$A$1,0,0,COUNTA([2]enemies!$A:$A),MATCH(P$1,[2]enemies!$1:$1,0)-MATCH($L$1,[2]enemies!$1:$1,0)+1),MATCH(P$1,[2]enemies!$1:$1,0)-MATCH($L$1,[2]enemies!$1:$1,0)+1,FALSE)</f>
        <v>animal</v>
      </c>
      <c r="Q151" s="21">
        <f ca="1">VLOOKUP($L151,OFFSET([2]enemies!$A$1,0,0,COUNTA([2]enemies!$A:$A),MATCH(Q$1,[2]enemies!$1:$1,0)-MATCH($L$1,[2]enemies!$1:$1,0)+1),MATCH(Q$1,[2]enemies!$1:$1,0)-MATCH($L$1,[2]enemies!$1:$1,0)+1,FALSE)</f>
        <v>15</v>
      </c>
      <c r="R151" s="53">
        <v>40</v>
      </c>
      <c r="S151" s="27">
        <v>1</v>
      </c>
      <c r="T151" s="27">
        <v>1</v>
      </c>
      <c r="U151" s="5">
        <v>0</v>
      </c>
      <c r="V151" s="4" t="str">
        <f ca="1">VLOOKUP($W151,OFFSET([4]enemy_skill_sets!$B$1,0,0,COUNTA([4]enemy_skill_sets!$B:$B),MATCH(M$1,[4]enemy_skill_sets!$1:$1,0)-MATCH($W$1,[4]enemy_skill_sets!$1:$1,0)+2),MATCH(M$1,[4]enemy_skill_sets!$1:$1,0)-MATCH($W$1,[4]enemy_skill_sets!$1:$1,0)+2,FALSE)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51" s="4">
        <f ca="1">VLOOKUP($L151,OFFSET([2]enemies!$A$1,0,0,COUNTA([2]enemies!$A:$A),MATCH(W$1,[2]enemies!$1:$1,0)-MATCH($L$1,[2]enemies!$1:$1,0)+1),MATCH(W$1,[2]enemies!$1:$1,0)-MATCH($L$1,[2]enemies!$1:$1,0)+1,FALSE)</f>
        <v>0</v>
      </c>
      <c r="X151" s="6">
        <v>0</v>
      </c>
      <c r="Y151" s="6">
        <v>100</v>
      </c>
      <c r="Z151" s="6">
        <v>0</v>
      </c>
      <c r="AA151" s="4">
        <f ca="1">VLOOKUP($L151,OFFSET([2]enemies!$A$1,0,0,COUNTA([2]enemies!$A:$A),MATCH(AA$1,[2]enemies!$1:$1,0)-MATCH($L$1,[2]enemies!$1:$1,0)+1),MATCH(AA$1,[2]enemies!$1:$1,0)-MATCH($L$1,[2]enemies!$1:$1,0)+1,FALSE)</f>
        <v>2</v>
      </c>
      <c r="AB151" s="52">
        <v>9</v>
      </c>
      <c r="AC151" s="4" t="str">
        <f ca="1">VLOOKUP($AB151,OFFSET([3]characters!$A$1,0,0,COUNTA([3]characters!$A:$A),MATCH(AC$1,[3]characters!$1:$1,0)-MATCH("character_id",[3]characters!$1:$1,0)+1),MATCH(AC$1,[3]characters!$1:$1,0)-MATCH("character_id",[3]characters!$1:$1,0)+1,FALSE)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151" s="4">
        <f ca="1">VLOOKUP($AB151,OFFSET([3]characters!$A$1,0,0,COUNTA([3]characters!$A:$A),MATCH(AD$1,[3]characters!$1:$1,0)-MATCH("character_id",[3]characters!$1:$1,0)+1),MATCH(AD$1,[3]characters!$1:$1,0)-MATCH("character_id",[3]characters!$1:$1,0)+1,FALSE)</f>
        <v>1</v>
      </c>
      <c r="AE151" s="4" t="str">
        <f ca="1">VLOOKUP($AB151,OFFSET([3]characters!$A$1,0,0,COUNTA([3]characters!$A:$A),MATCH(AE$1,[3]characters!$1:$1,0)-MATCH("character_id",[3]characters!$1:$1,0)+1),MATCH(AE$1,[3]characters!$1:$1,0)-MATCH("character_id",[3]characters!$1:$1,0)+1,FALSE)</f>
        <v>Drop1W</v>
      </c>
      <c r="AF151" s="7">
        <v>9</v>
      </c>
      <c r="AG151" s="26">
        <f t="shared" ca="1" si="172"/>
        <v>1</v>
      </c>
      <c r="AH151" s="8">
        <v>20</v>
      </c>
      <c r="AI151" s="7">
        <v>0</v>
      </c>
      <c r="AJ151" s="7">
        <v>0</v>
      </c>
      <c r="AK151" s="7">
        <v>0</v>
      </c>
      <c r="AL151" s="7">
        <v>0</v>
      </c>
      <c r="AM151" s="7">
        <v>1</v>
      </c>
    </row>
    <row r="152" spans="1:39" ht="14" x14ac:dyDescent="0.15">
      <c r="A152" s="18" t="str">
        <f t="shared" ca="1" si="157"/>
        <v>23_1-2/33&lt;lv40&gt;s2</v>
      </c>
      <c r="B152" s="50">
        <v>23</v>
      </c>
      <c r="C152" s="49">
        <v>1</v>
      </c>
      <c r="D152" s="2" t="str">
        <f t="shared" si="158"/>
        <v>23_1</v>
      </c>
      <c r="E152" s="2" t="str">
        <f t="shared" si="158"/>
        <v>1_23_1</v>
      </c>
      <c r="F152" s="4" t="str">
        <f ca="1">VLOOKUP($D152,OFFSET([1]stages!$A$1,0,0,COUNTA([1]stages!$A:$A),MATCH(F$1,[1]stages!$2:$2,0)-MATCH($D$1,[1]stages!$2:$2,0)+1),MATCH(F$1,[1]stages!$2:$2,0)-MATCH($D$1,[1]stages!$2:$2,0)+1,FALSE)</f>
        <v>23-1．牙森の子どもたち</v>
      </c>
      <c r="G152" s="55">
        <v>2</v>
      </c>
      <c r="H152" s="17" t="str">
        <f t="shared" si="159"/>
        <v>23_1-2</v>
      </c>
      <c r="I152" s="17"/>
      <c r="J152" s="17"/>
      <c r="K152" s="65" t="s">
        <v>56</v>
      </c>
      <c r="L152" s="52">
        <v>33</v>
      </c>
      <c r="M152" s="21" t="str">
        <f ca="1">VLOOKUP($L152,OFFSET([2]enemies!$A$1,0,0,COUNTA([2]enemies!$A:$A),MATCH(M$1,[2]enemies!$1:$1,0)-MATCH($L$1,[2]enemies!$1:$1,0)+1),MATCH(M$1,[2]enemies!$1:$1,0)-MATCH($L$1,[2]enemies!$1:$1,0)+1,FALSE)</f>
        <v>ゴクウ</v>
      </c>
      <c r="N152" s="21" t="str">
        <f ca="1">VLOOKUP($L152,OFFSET([2]enemies!$A$1,0,0,COUNTA([2]enemies!$A:$A),MATCH(N$1,[2]enemies!$1:$1,0)-MATCH($L$1,[2]enemies!$1:$1,0)+1),MATCH(N$1,[2]enemies!$1:$1,0)-MATCH($L$1,[2]enemies!$1:$1,0)+1,FALSE)</f>
        <v>red</v>
      </c>
      <c r="O152" s="21" t="str">
        <f ca="1">VLOOKUP($L152,OFFSET([3]characters!$A$1,0,0,COUNTA([3]characters!$A:$A),MATCH(O$1,[3]characters!$1:$1,0)-MATCH($L$1,[3]characters!$1:$1,0)+1),MATCH(O$1,[3]characters!$1:$1,0)-MATCH($L$1,[3]characters!$1:$1,0)+1,FALSE)</f>
        <v>Drop1S</v>
      </c>
      <c r="P152" s="21" t="str">
        <f ca="1">VLOOKUP($L152,OFFSET([2]enemies!$A$1,0,0,COUNTA([2]enemies!$A:$A),MATCH(P$1,[2]enemies!$1:$1,0)-MATCH($L$1,[2]enemies!$1:$1,0)+1),MATCH(P$1,[2]enemies!$1:$1,0)-MATCH($L$1,[2]enemies!$1:$1,0)+1,FALSE)</f>
        <v>animal</v>
      </c>
      <c r="Q152" s="21">
        <f ca="1">VLOOKUP($L152,OFFSET([2]enemies!$A$1,0,0,COUNTA([2]enemies!$A:$A),MATCH(Q$1,[2]enemies!$1:$1,0)-MATCH($L$1,[2]enemies!$1:$1,0)+1),MATCH(Q$1,[2]enemies!$1:$1,0)-MATCH($L$1,[2]enemies!$1:$1,0)+1,FALSE)</f>
        <v>15</v>
      </c>
      <c r="R152" s="53">
        <v>40</v>
      </c>
      <c r="S152" s="27">
        <v>1</v>
      </c>
      <c r="T152" s="27">
        <v>1</v>
      </c>
      <c r="U152" s="5">
        <v>0</v>
      </c>
      <c r="V152" s="4" t="str">
        <f ca="1">VLOOKUP($W152,OFFSET([4]enemy_skill_sets!$B$1,0,0,COUNTA([4]enemy_skill_sets!$B:$B),MATCH(M$1,[4]enemy_skill_sets!$1:$1,0)-MATCH($W$1,[4]enemy_skill_sets!$1:$1,0)+2),MATCH(M$1,[4]enemy_skill_sets!$1:$1,0)-MATCH($W$1,[4]enemy_skill_sets!$1:$1,0)+2,FALSE)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52" s="4">
        <f ca="1">VLOOKUP($L152,OFFSET([2]enemies!$A$1,0,0,COUNTA([2]enemies!$A:$A),MATCH(W$1,[2]enemies!$1:$1,0)-MATCH($L$1,[2]enemies!$1:$1,0)+1),MATCH(W$1,[2]enemies!$1:$1,0)-MATCH($L$1,[2]enemies!$1:$1,0)+1,FALSE)</f>
        <v>33</v>
      </c>
      <c r="X152" s="6">
        <v>0</v>
      </c>
      <c r="Y152" s="6">
        <v>100</v>
      </c>
      <c r="Z152" s="6">
        <v>0</v>
      </c>
      <c r="AA152" s="4">
        <f ca="1">VLOOKUP($L152,OFFSET([2]enemies!$A$1,0,0,COUNTA([2]enemies!$A:$A),MATCH(AA$1,[2]enemies!$1:$1,0)-MATCH($L$1,[2]enemies!$1:$1,0)+1),MATCH(AA$1,[2]enemies!$1:$1,0)-MATCH($L$1,[2]enemies!$1:$1,0)+1,FALSE)</f>
        <v>2</v>
      </c>
      <c r="AB152" s="52">
        <v>33</v>
      </c>
      <c r="AC152" s="4" t="str">
        <f ca="1">VLOOKUP($AB152,OFFSET([3]characters!$A$1,0,0,COUNTA([3]characters!$A:$A),MATCH(AC$1,[3]characters!$1:$1,0)-MATCH("character_id",[3]characters!$1:$1,0)+1),MATCH(AC$1,[3]characters!$1:$1,0)-MATCH("character_id",[3]characters!$1:$1,0)+1,FALSE)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52" s="4">
        <f ca="1">VLOOKUP($AB152,OFFSET([3]characters!$A$1,0,0,COUNTA([3]characters!$A:$A),MATCH(AD$1,[3]characters!$1:$1,0)-MATCH("character_id",[3]characters!$1:$1,0)+1),MATCH(AD$1,[3]characters!$1:$1,0)-MATCH("character_id",[3]characters!$1:$1,0)+1,FALSE)</f>
        <v>2</v>
      </c>
      <c r="AE152" s="4" t="str">
        <f ca="1">VLOOKUP($AB152,OFFSET([3]characters!$A$1,0,0,COUNTA([3]characters!$A:$A),MATCH(AE$1,[3]characters!$1:$1,0)-MATCH("character_id",[3]characters!$1:$1,0)+1),MATCH(AE$1,[3]characters!$1:$1,0)-MATCH("character_id",[3]characters!$1:$1,0)+1,FALSE)</f>
        <v>Drop1S</v>
      </c>
      <c r="AF152" s="7">
        <v>5</v>
      </c>
      <c r="AG152" s="26">
        <f t="shared" ca="1" si="172"/>
        <v>2</v>
      </c>
      <c r="AH152" s="8">
        <v>20</v>
      </c>
      <c r="AI152" s="7">
        <v>0</v>
      </c>
      <c r="AJ152" s="7">
        <v>0</v>
      </c>
      <c r="AK152" s="7">
        <v>0</v>
      </c>
      <c r="AL152" s="7">
        <v>0</v>
      </c>
      <c r="AM152" s="7">
        <v>1</v>
      </c>
    </row>
    <row r="153" spans="1:39" ht="14" x14ac:dyDescent="0.15">
      <c r="A153" s="18" t="str">
        <f t="shared" ca="1" si="157"/>
        <v>23_1-2/57&lt;lv40&gt;s2</v>
      </c>
      <c r="B153" s="50">
        <v>23</v>
      </c>
      <c r="C153" s="49">
        <v>1</v>
      </c>
      <c r="D153" s="2" t="str">
        <f t="shared" si="158"/>
        <v>23_1</v>
      </c>
      <c r="E153" s="2" t="str">
        <f t="shared" si="158"/>
        <v>1_23_1</v>
      </c>
      <c r="F153" s="4" t="str">
        <f ca="1">VLOOKUP($D153,OFFSET([1]stages!$A$1,0,0,COUNTA([1]stages!$A:$A),MATCH(F$1,[1]stages!$2:$2,0)-MATCH($D$1,[1]stages!$2:$2,0)+1),MATCH(F$1,[1]stages!$2:$2,0)-MATCH($D$1,[1]stages!$2:$2,0)+1,FALSE)</f>
        <v>23-1．牙森の子どもたち</v>
      </c>
      <c r="G153" s="55">
        <v>2</v>
      </c>
      <c r="H153" s="17" t="str">
        <f t="shared" si="159"/>
        <v>23_1-2</v>
      </c>
      <c r="I153" s="17"/>
      <c r="J153" s="17"/>
      <c r="K153" s="65" t="s">
        <v>56</v>
      </c>
      <c r="L153" s="52">
        <v>57</v>
      </c>
      <c r="M153" s="21" t="str">
        <f ca="1">VLOOKUP($L153,OFFSET([2]enemies!$A$1,0,0,COUNTA([2]enemies!$A:$A),MATCH(M$1,[2]enemies!$1:$1,0)-MATCH($L$1,[2]enemies!$1:$1,0)+1),MATCH(M$1,[2]enemies!$1:$1,0)-MATCH($L$1,[2]enemies!$1:$1,0)+1,FALSE)</f>
        <v>チェン・リー</v>
      </c>
      <c r="N153" s="21" t="str">
        <f ca="1">VLOOKUP($L153,OFFSET([2]enemies!$A$1,0,0,COUNTA([2]enemies!$A:$A),MATCH(N$1,[2]enemies!$1:$1,0)-MATCH($L$1,[2]enemies!$1:$1,0)+1),MATCH(N$1,[2]enemies!$1:$1,0)-MATCH($L$1,[2]enemies!$1:$1,0)+1,FALSE)</f>
        <v>red</v>
      </c>
      <c r="O153" s="21" t="str">
        <f ca="1">VLOOKUP($L153,OFFSET([3]characters!$A$1,0,0,COUNTA([3]characters!$A:$A),MATCH(O$1,[3]characters!$1:$1,0)-MATCH($L$1,[3]characters!$1:$1,0)+1),MATCH(O$1,[3]characters!$1:$1,0)-MATCH($L$1,[3]characters!$1:$1,0)+1,FALSE)</f>
        <v>Drop1N</v>
      </c>
      <c r="P153" s="21" t="str">
        <f ca="1">VLOOKUP($L153,OFFSET([2]enemies!$A$1,0,0,COUNTA([2]enemies!$A:$A),MATCH(P$1,[2]enemies!$1:$1,0)-MATCH($L$1,[2]enemies!$1:$1,0)+1),MATCH(P$1,[2]enemies!$1:$1,0)-MATCH($L$1,[2]enemies!$1:$1,0)+1,FALSE)</f>
        <v>animal</v>
      </c>
      <c r="Q153" s="21">
        <f ca="1">VLOOKUP($L153,OFFSET([2]enemies!$A$1,0,0,COUNTA([2]enemies!$A:$A),MATCH(Q$1,[2]enemies!$1:$1,0)-MATCH($L$1,[2]enemies!$1:$1,0)+1),MATCH(Q$1,[2]enemies!$1:$1,0)-MATCH($L$1,[2]enemies!$1:$1,0)+1,FALSE)</f>
        <v>15</v>
      </c>
      <c r="R153" s="53">
        <v>40</v>
      </c>
      <c r="S153" s="27">
        <v>1</v>
      </c>
      <c r="T153" s="27">
        <v>1</v>
      </c>
      <c r="U153" s="5">
        <v>0</v>
      </c>
      <c r="V153" s="4" t="str">
        <f ca="1">VLOOKUP($W153,OFFSET([4]enemy_skill_sets!$B$1,0,0,COUNTA([4]enemy_skill_sets!$B:$B),MATCH(M$1,[4]enemy_skill_sets!$1:$1,0)-MATCH($W$1,[4]enemy_skill_sets!$1:$1,0)+2),MATCH(M$1,[4]enemy_skill_sets!$1:$1,0)-MATCH($W$1,[4]enemy_skill_sets!$1:$1,0)+2,FALSE)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53" s="4">
        <f ca="1">VLOOKUP($L153,OFFSET([2]enemies!$A$1,0,0,COUNTA([2]enemies!$A:$A),MATCH(W$1,[2]enemies!$1:$1,0)-MATCH($L$1,[2]enemies!$1:$1,0)+1),MATCH(W$1,[2]enemies!$1:$1,0)-MATCH($L$1,[2]enemies!$1:$1,0)+1,FALSE)</f>
        <v>57</v>
      </c>
      <c r="X153" s="6">
        <v>0</v>
      </c>
      <c r="Y153" s="6">
        <v>100</v>
      </c>
      <c r="Z153" s="6">
        <v>0</v>
      </c>
      <c r="AA153" s="4">
        <f ca="1">VLOOKUP($L153,OFFSET([2]enemies!$A$1,0,0,COUNTA([2]enemies!$A:$A),MATCH(AA$1,[2]enemies!$1:$1,0)-MATCH($L$1,[2]enemies!$1:$1,0)+1),MATCH(AA$1,[2]enemies!$1:$1,0)-MATCH($L$1,[2]enemies!$1:$1,0)+1,FALSE)</f>
        <v>2</v>
      </c>
      <c r="AB153" s="52">
        <v>57</v>
      </c>
      <c r="AC153" s="4" t="str">
        <f ca="1">VLOOKUP($AB153,OFFSET([3]characters!$A$1,0,0,COUNTA([3]characters!$A:$A),MATCH(AC$1,[3]characters!$1:$1,0)-MATCH("character_id",[3]characters!$1:$1,0)+1),MATCH(AC$1,[3]characters!$1:$1,0)-MATCH("character_id",[3]characters!$1:$1,0)+1,FALSE)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53" s="4">
        <f ca="1">VLOOKUP($AB153,OFFSET([3]characters!$A$1,0,0,COUNTA([3]characters!$A:$A),MATCH(AD$1,[3]characters!$1:$1,0)-MATCH("character_id",[3]characters!$1:$1,0)+1),MATCH(AD$1,[3]characters!$1:$1,0)-MATCH("character_id",[3]characters!$1:$1,0)+1,FALSE)</f>
        <v>2</v>
      </c>
      <c r="AE153" s="4" t="str">
        <f ca="1">VLOOKUP($AB153,OFFSET([3]characters!$A$1,0,0,COUNTA([3]characters!$A:$A),MATCH(AE$1,[3]characters!$1:$1,0)-MATCH("character_id",[3]characters!$1:$1,0)+1),MATCH(AE$1,[3]characters!$1:$1,0)-MATCH("character_id",[3]characters!$1:$1,0)+1,FALSE)</f>
        <v>Drop1N</v>
      </c>
      <c r="AF153" s="7">
        <v>7</v>
      </c>
      <c r="AG153" s="26">
        <f t="shared" ca="1" si="172"/>
        <v>2</v>
      </c>
      <c r="AH153" s="8">
        <v>20</v>
      </c>
      <c r="AI153" s="7">
        <v>0</v>
      </c>
      <c r="AJ153" s="7">
        <v>0</v>
      </c>
      <c r="AK153" s="7">
        <v>0</v>
      </c>
      <c r="AL153" s="7">
        <v>0</v>
      </c>
      <c r="AM153" s="7">
        <v>1</v>
      </c>
    </row>
    <row r="154" spans="1:39" ht="14" x14ac:dyDescent="0.15">
      <c r="A154" s="18" t="str">
        <f t="shared" ca="1" si="157"/>
        <v>23_1-2/21&lt;lv40&gt;s2</v>
      </c>
      <c r="B154" s="50">
        <v>23</v>
      </c>
      <c r="C154" s="49">
        <v>1</v>
      </c>
      <c r="D154" s="2" t="str">
        <f t="shared" si="158"/>
        <v>23_1</v>
      </c>
      <c r="E154" s="2" t="str">
        <f t="shared" si="158"/>
        <v>1_23_1</v>
      </c>
      <c r="F154" s="4" t="str">
        <f ca="1">VLOOKUP($D154,OFFSET([1]stages!$A$1,0,0,COUNTA([1]stages!$A:$A),MATCH(F$1,[1]stages!$2:$2,0)-MATCH($D$1,[1]stages!$2:$2,0)+1),MATCH(F$1,[1]stages!$2:$2,0)-MATCH($D$1,[1]stages!$2:$2,0)+1,FALSE)</f>
        <v>23-1．牙森の子どもたち</v>
      </c>
      <c r="G154" s="55">
        <v>2</v>
      </c>
      <c r="H154" s="17" t="str">
        <f t="shared" si="159"/>
        <v>23_1-2</v>
      </c>
      <c r="I154" s="17"/>
      <c r="J154" s="17"/>
      <c r="K154" s="65" t="s">
        <v>56</v>
      </c>
      <c r="L154" s="52">
        <v>21</v>
      </c>
      <c r="M154" s="21" t="str">
        <f ca="1">VLOOKUP($L154,OFFSET([2]enemies!$A$1,0,0,COUNTA([2]enemies!$A:$A),MATCH(M$1,[2]enemies!$1:$1,0)-MATCH($L$1,[2]enemies!$1:$1,0)+1),MATCH(M$1,[2]enemies!$1:$1,0)-MATCH($L$1,[2]enemies!$1:$1,0)+1,FALSE)</f>
        <v>ヴェロキー</v>
      </c>
      <c r="N154" s="21" t="str">
        <f ca="1">VLOOKUP($L154,OFFSET([2]enemies!$A$1,0,0,COUNTA([2]enemies!$A:$A),MATCH(N$1,[2]enemies!$1:$1,0)-MATCH($L$1,[2]enemies!$1:$1,0)+1),MATCH(N$1,[2]enemies!$1:$1,0)-MATCH($L$1,[2]enemies!$1:$1,0)+1,FALSE)</f>
        <v>red</v>
      </c>
      <c r="O154" s="21" t="str">
        <f ca="1">VLOOKUP($L154,OFFSET([3]characters!$A$1,0,0,COUNTA([3]characters!$A:$A),MATCH(O$1,[3]characters!$1:$1,0)-MATCH($L$1,[3]characters!$1:$1,0)+1),MATCH(O$1,[3]characters!$1:$1,0)-MATCH($L$1,[3]characters!$1:$1,0)+1,FALSE)</f>
        <v>Drop1N</v>
      </c>
      <c r="P154" s="21" t="str">
        <f ca="1">VLOOKUP($L154,OFFSET([2]enemies!$A$1,0,0,COUNTA([2]enemies!$A:$A),MATCH(P$1,[2]enemies!$1:$1,0)-MATCH($L$1,[2]enemies!$1:$1,0)+1),MATCH(P$1,[2]enemies!$1:$1,0)-MATCH($L$1,[2]enemies!$1:$1,0)+1,FALSE)</f>
        <v>dragon</v>
      </c>
      <c r="Q154" s="21">
        <f ca="1">VLOOKUP($L154,OFFSET([2]enemies!$A$1,0,0,COUNTA([2]enemies!$A:$A),MATCH(Q$1,[2]enemies!$1:$1,0)-MATCH($L$1,[2]enemies!$1:$1,0)+1),MATCH(Q$1,[2]enemies!$1:$1,0)-MATCH($L$1,[2]enemies!$1:$1,0)+1,FALSE)</f>
        <v>15</v>
      </c>
      <c r="R154" s="53">
        <v>40</v>
      </c>
      <c r="S154" s="27">
        <v>1</v>
      </c>
      <c r="T154" s="27">
        <v>1</v>
      </c>
      <c r="U154" s="5">
        <v>0</v>
      </c>
      <c r="V154" s="4" t="str">
        <f ca="1">VLOOKUP($W154,OFFSET([4]enemy_skill_sets!$B$1,0,0,COUNTA([4]enemy_skill_sets!$B:$B),MATCH(M$1,[4]enemy_skill_sets!$1:$1,0)-MATCH($W$1,[4]enemy_skill_sets!$1:$1,0)+2),MATCH(M$1,[4]enemy_skill_sets!$1:$1,0)-MATCH($W$1,[4]enemy_skill_sets!$1:$1,0)+2,FALSE)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54" s="4">
        <f ca="1">VLOOKUP($L154,OFFSET([2]enemies!$A$1,0,0,COUNTA([2]enemies!$A:$A),MATCH(W$1,[2]enemies!$1:$1,0)-MATCH($L$1,[2]enemies!$1:$1,0)+1),MATCH(W$1,[2]enemies!$1:$1,0)-MATCH($L$1,[2]enemies!$1:$1,0)+1,FALSE)</f>
        <v>0</v>
      </c>
      <c r="X154" s="6">
        <v>0</v>
      </c>
      <c r="Y154" s="6">
        <v>100</v>
      </c>
      <c r="Z154" s="6">
        <v>0</v>
      </c>
      <c r="AA154" s="4">
        <f ca="1">VLOOKUP($L154,OFFSET([2]enemies!$A$1,0,0,COUNTA([2]enemies!$A:$A),MATCH(AA$1,[2]enemies!$1:$1,0)-MATCH($L$1,[2]enemies!$1:$1,0)+1),MATCH(AA$1,[2]enemies!$1:$1,0)-MATCH($L$1,[2]enemies!$1:$1,0)+1,FALSE)</f>
        <v>2</v>
      </c>
      <c r="AB154" s="52">
        <v>21</v>
      </c>
      <c r="AC154" s="4" t="str">
        <f ca="1">VLOOKUP($AB154,OFFSET([3]characters!$A$1,0,0,COUNTA([3]characters!$A:$A),MATCH(AC$1,[3]characters!$1:$1,0)-MATCH("character_id",[3]characters!$1:$1,0)+1),MATCH(AC$1,[3]characters!$1:$1,0)-MATCH("character_id",[3]characters!$1:$1,0)+1,FALSE)</f>
        <v>ヴェロキー</v>
      </c>
      <c r="AD154" s="4">
        <f ca="1">VLOOKUP($AB154,OFFSET([3]characters!$A$1,0,0,COUNTA([3]characters!$A:$A),MATCH(AD$1,[3]characters!$1:$1,0)-MATCH("character_id",[3]characters!$1:$1,0)+1),MATCH(AD$1,[3]characters!$1:$1,0)-MATCH("character_id",[3]characters!$1:$1,0)+1,FALSE)</f>
        <v>1</v>
      </c>
      <c r="AE154" s="4" t="str">
        <f ca="1">VLOOKUP($AB154,OFFSET([3]characters!$A$1,0,0,COUNTA([3]characters!$A:$A),MATCH(AE$1,[3]characters!$1:$1,0)-MATCH("character_id",[3]characters!$1:$1,0)+1),MATCH(AE$1,[3]characters!$1:$1,0)-MATCH("character_id",[3]characters!$1:$1,0)+1,FALSE)</f>
        <v>Drop1N</v>
      </c>
      <c r="AF154" s="7">
        <v>7</v>
      </c>
      <c r="AG154" s="26">
        <f t="shared" ca="1" si="172"/>
        <v>1</v>
      </c>
      <c r="AH154" s="8">
        <v>20</v>
      </c>
      <c r="AI154" s="7">
        <v>0</v>
      </c>
      <c r="AJ154" s="7">
        <v>0</v>
      </c>
      <c r="AK154" s="7">
        <v>0</v>
      </c>
      <c r="AL154" s="7">
        <v>0</v>
      </c>
      <c r="AM154" s="7">
        <v>1</v>
      </c>
    </row>
    <row r="155" spans="1:39" ht="14" x14ac:dyDescent="0.15">
      <c r="A155" s="18" t="str">
        <f t="shared" ca="1" si="157"/>
        <v>23_1-2/41&lt;lv40&gt;s1</v>
      </c>
      <c r="B155" s="50">
        <v>23</v>
      </c>
      <c r="C155" s="49">
        <v>1</v>
      </c>
      <c r="D155" s="2" t="str">
        <f t="shared" si="158"/>
        <v>23_1</v>
      </c>
      <c r="E155" s="2" t="str">
        <f t="shared" si="158"/>
        <v>1_23_1</v>
      </c>
      <c r="F155" s="4" t="str">
        <f ca="1">VLOOKUP($D155,OFFSET([1]stages!$A$1,0,0,COUNTA([1]stages!$A:$A),MATCH(F$1,[1]stages!$2:$2,0)-MATCH($D$1,[1]stages!$2:$2,0)+1),MATCH(F$1,[1]stages!$2:$2,0)-MATCH($D$1,[1]stages!$2:$2,0)+1,FALSE)</f>
        <v>23-1．牙森の子どもたち</v>
      </c>
      <c r="G155" s="55">
        <v>2</v>
      </c>
      <c r="H155" s="17" t="str">
        <f t="shared" si="159"/>
        <v>23_1-2</v>
      </c>
      <c r="I155" s="17"/>
      <c r="J155" s="17"/>
      <c r="K155" s="65" t="s">
        <v>56</v>
      </c>
      <c r="L155" s="52">
        <v>41</v>
      </c>
      <c r="M155" s="21" t="str">
        <f ca="1">VLOOKUP($L155,OFFSET([2]enemies!$A$1,0,0,COUNTA([2]enemies!$A:$A),MATCH(M$1,[2]enemies!$1:$1,0)-MATCH($L$1,[2]enemies!$1:$1,0)+1),MATCH(M$1,[2]enemies!$1:$1,0)-MATCH($L$1,[2]enemies!$1:$1,0)+1,FALSE)</f>
        <v>ヒュウガ</v>
      </c>
      <c r="N155" s="21" t="str">
        <f ca="1">VLOOKUP($L155,OFFSET([2]enemies!$A$1,0,0,COUNTA([2]enemies!$A:$A),MATCH(N$1,[2]enemies!$1:$1,0)-MATCH($L$1,[2]enemies!$1:$1,0)+1),MATCH(N$1,[2]enemies!$1:$1,0)-MATCH($L$1,[2]enemies!$1:$1,0)+1,FALSE)</f>
        <v>red</v>
      </c>
      <c r="O155" s="21" t="str">
        <f ca="1">VLOOKUP($L155,OFFSET([3]characters!$A$1,0,0,COUNTA([3]characters!$A:$A),MATCH(O$1,[3]characters!$1:$1,0)-MATCH($L$1,[3]characters!$1:$1,0)+1),MATCH(O$1,[3]characters!$1:$1,0)-MATCH($L$1,[3]characters!$1:$1,0)+1,FALSE)</f>
        <v>Drop1N</v>
      </c>
      <c r="P155" s="21" t="str">
        <f ca="1">VLOOKUP($L155,OFFSET([2]enemies!$A$1,0,0,COUNTA([2]enemies!$A:$A),MATCH(P$1,[2]enemies!$1:$1,0)-MATCH($L$1,[2]enemies!$1:$1,0)+1),MATCH(P$1,[2]enemies!$1:$1,0)-MATCH($L$1,[2]enemies!$1:$1,0)+1,FALSE)</f>
        <v>dragon</v>
      </c>
      <c r="Q155" s="21">
        <f ca="1">VLOOKUP($L155,OFFSET([2]enemies!$A$1,0,0,COUNTA([2]enemies!$A:$A),MATCH(Q$1,[2]enemies!$1:$1,0)-MATCH($L$1,[2]enemies!$1:$1,0)+1),MATCH(Q$1,[2]enemies!$1:$1,0)-MATCH($L$1,[2]enemies!$1:$1,0)+1,FALSE)</f>
        <v>15</v>
      </c>
      <c r="R155" s="53">
        <v>40</v>
      </c>
      <c r="S155" s="27">
        <v>1</v>
      </c>
      <c r="T155" s="27">
        <v>1</v>
      </c>
      <c r="U155" s="5">
        <v>0</v>
      </c>
      <c r="V155" s="4" t="str">
        <f ca="1">VLOOKUP($W155,OFFSET([4]enemy_skill_sets!$B$1,0,0,COUNTA([4]enemy_skill_sets!$B:$B),MATCH(M$1,[4]enemy_skill_sets!$1:$1,0)-MATCH($W$1,[4]enemy_skill_sets!$1:$1,0)+2),MATCH(M$1,[4]enemy_skill_sets!$1:$1,0)-MATCH($W$1,[4]enemy_skill_sets!$1:$1,0)+2,FALSE)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55" s="4">
        <f ca="1">VLOOKUP($L155,OFFSET([2]enemies!$A$1,0,0,COUNTA([2]enemies!$A:$A),MATCH(W$1,[2]enemies!$1:$1,0)-MATCH($L$1,[2]enemies!$1:$1,0)+1),MATCH(W$1,[2]enemies!$1:$1,0)-MATCH($L$1,[2]enemies!$1:$1,0)+1,FALSE)</f>
        <v>0</v>
      </c>
      <c r="X155" s="6">
        <v>0</v>
      </c>
      <c r="Y155" s="6">
        <v>100</v>
      </c>
      <c r="Z155" s="6">
        <v>0</v>
      </c>
      <c r="AA155" s="4">
        <f ca="1">VLOOKUP($L155,OFFSET([2]enemies!$A$1,0,0,COUNTA([2]enemies!$A:$A),MATCH(AA$1,[2]enemies!$1:$1,0)-MATCH($L$1,[2]enemies!$1:$1,0)+1),MATCH(AA$1,[2]enemies!$1:$1,0)-MATCH($L$1,[2]enemies!$1:$1,0)+1,FALSE)</f>
        <v>1</v>
      </c>
      <c r="AB155" s="52">
        <v>41</v>
      </c>
      <c r="AC155" s="4" t="str">
        <f ca="1">VLOOKUP($AB155,OFFSET([3]characters!$A$1,0,0,COUNTA([3]characters!$A:$A),MATCH(AC$1,[3]characters!$1:$1,0)-MATCH("character_id",[3]characters!$1:$1,0)+1),MATCH(AC$1,[3]characters!$1:$1,0)-MATCH("character_id",[3]characters!$1:$1,0)+1,FALSE)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155" s="4">
        <f ca="1">VLOOKUP($AB155,OFFSET([3]characters!$A$1,0,0,COUNTA([3]characters!$A:$A),MATCH(AD$1,[3]characters!$1:$1,0)-MATCH("character_id",[3]characters!$1:$1,0)+1),MATCH(AD$1,[3]characters!$1:$1,0)-MATCH("character_id",[3]characters!$1:$1,0)+1,FALSE)</f>
        <v>2</v>
      </c>
      <c r="AE155" s="4" t="str">
        <f ca="1">VLOOKUP($AB155,OFFSET([3]characters!$A$1,0,0,COUNTA([3]characters!$A:$A),MATCH(AE$1,[3]characters!$1:$1,0)-MATCH("character_id",[3]characters!$1:$1,0)+1),MATCH(AE$1,[3]characters!$1:$1,0)-MATCH("character_id",[3]characters!$1:$1,0)+1,FALSE)</f>
        <v>Drop1N</v>
      </c>
      <c r="AF155" s="7">
        <v>7</v>
      </c>
      <c r="AG155" s="26">
        <f t="shared" ca="1" si="172"/>
        <v>2</v>
      </c>
      <c r="AH155" s="8">
        <v>20</v>
      </c>
      <c r="AI155" s="7">
        <v>0</v>
      </c>
      <c r="AJ155" s="7">
        <v>0</v>
      </c>
      <c r="AK155" s="7">
        <v>0</v>
      </c>
      <c r="AL155" s="7">
        <v>0</v>
      </c>
      <c r="AM155" s="7">
        <v>1</v>
      </c>
    </row>
    <row r="156" spans="1:39" ht="14" x14ac:dyDescent="0.15">
      <c r="A156" s="18" t="str">
        <f t="shared" ref="A156" ca="1" si="193">B156&amp;"_"&amp;C156&amp;"-"&amp;G156&amp;"/"&amp;L156&amp;"&lt;lv"&amp;R156&amp;"&gt;s"&amp;AA156</f>
        <v>23_1-2/360&lt;lv40&gt;s3</v>
      </c>
      <c r="B156" s="53">
        <v>23</v>
      </c>
      <c r="C156" s="51">
        <v>1</v>
      </c>
      <c r="D156" s="2" t="str">
        <f t="shared" ref="D156" si="194">B156&amp;"_"&amp;C156</f>
        <v>23_1</v>
      </c>
      <c r="E156" s="2" t="str">
        <f t="shared" ref="E156" si="195">C156&amp;"_"&amp;D156</f>
        <v>1_23_1</v>
      </c>
      <c r="F156" s="4" t="str">
        <f ca="1">VLOOKUP($D156,OFFSET([1]stages!$A$1,0,0,COUNTA([1]stages!$A:$A),MATCH(F$1,[1]stages!$2:$2,0)-MATCH($D$1,[1]stages!$2:$2,0)+1),MATCH(F$1,[1]stages!$2:$2,0)-MATCH($D$1,[1]stages!$2:$2,0)+1,FALSE)</f>
        <v>23-1．牙森の子どもたち</v>
      </c>
      <c r="G156" s="55">
        <v>2</v>
      </c>
      <c r="H156" s="17" t="str">
        <f t="shared" ref="H156" si="196">B156&amp;"_"&amp;C156&amp;"-"&amp;G156</f>
        <v>23_1-2</v>
      </c>
      <c r="I156" s="17"/>
      <c r="J156" s="17"/>
      <c r="K156" s="65" t="s">
        <v>56</v>
      </c>
      <c r="L156" s="52">
        <v>360</v>
      </c>
      <c r="M156" s="21" t="str">
        <f ca="1">VLOOKUP($L156,OFFSET([2]enemies!$A$1,0,0,COUNTA([2]enemies!$A:$A),MATCH(M$1,[2]enemies!$1:$1,0)-MATCH($L$1,[2]enemies!$1:$1,0)+1),MATCH(M$1,[2]enemies!$1:$1,0)-MATCH($L$1,[2]enemies!$1:$1,0)+1,FALSE)</f>
        <v>ガンテツ</v>
      </c>
      <c r="N156" s="21" t="str">
        <f ca="1">VLOOKUP($L156,OFFSET([2]enemies!$A$1,0,0,COUNTA([2]enemies!$A:$A),MATCH(N$1,[2]enemies!$1:$1,0)-MATCH($L$1,[2]enemies!$1:$1,0)+1),MATCH(N$1,[2]enemies!$1:$1,0)-MATCH($L$1,[2]enemies!$1:$1,0)+1,FALSE)</f>
        <v>red</v>
      </c>
      <c r="O156" s="21" t="str">
        <f ca="1">VLOOKUP($L156,OFFSET([3]characters!$A$1,0,0,COUNTA([3]characters!$A:$A),MATCH(O$1,[3]characters!$1:$1,0)-MATCH($L$1,[3]characters!$1:$1,0)+1),MATCH(O$1,[3]characters!$1:$1,0)-MATCH($L$1,[3]characters!$1:$1,0)+1,FALSE)</f>
        <v>Drop1S</v>
      </c>
      <c r="P156" s="21" t="str">
        <f ca="1">VLOOKUP($L156,OFFSET([2]enemies!$A$1,0,0,COUNTA([2]enemies!$A:$A),MATCH(P$1,[2]enemies!$1:$1,0)-MATCH($L$1,[2]enemies!$1:$1,0)+1),MATCH(P$1,[2]enemies!$1:$1,0)-MATCH($L$1,[2]enemies!$1:$1,0)+1,FALSE)</f>
        <v>animal</v>
      </c>
      <c r="Q156" s="21">
        <f ca="1">VLOOKUP($L156,OFFSET([2]enemies!$A$1,0,0,COUNTA([2]enemies!$A:$A),MATCH(Q$1,[2]enemies!$1:$1,0)-MATCH($L$1,[2]enemies!$1:$1,0)+1),MATCH(Q$1,[2]enemies!$1:$1,0)-MATCH($L$1,[2]enemies!$1:$1,0)+1,FALSE)</f>
        <v>15</v>
      </c>
      <c r="R156" s="53">
        <v>40</v>
      </c>
      <c r="S156" s="27">
        <v>1</v>
      </c>
      <c r="T156" s="27">
        <v>1</v>
      </c>
      <c r="U156" s="5">
        <v>0</v>
      </c>
      <c r="V156" s="4" t="str">
        <f ca="1">VLOOKUP($W156,OFFSET([4]enemy_skill_sets!$B$1,0,0,COUNTA([4]enemy_skill_sets!$B:$B),MATCH(M$1,[4]enemy_skill_sets!$1:$1,0)-MATCH($W$1,[4]enemy_skill_sets!$1:$1,0)+2),MATCH(M$1,[4]enemy_skill_sets!$1:$1,0)-MATCH($W$1,[4]enemy_skill_sets!$1:$1,0)+2,FALSE)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56" s="76">
        <v>360</v>
      </c>
      <c r="X156" s="6">
        <v>0</v>
      </c>
      <c r="Y156" s="6">
        <v>100</v>
      </c>
      <c r="Z156" s="6">
        <v>0</v>
      </c>
      <c r="AA156" s="4">
        <f ca="1">VLOOKUP($L156,OFFSET([2]enemies!$A$1,0,0,COUNTA([2]enemies!$A:$A),MATCH(AA$1,[2]enemies!$1:$1,0)-MATCH($L$1,[2]enemies!$1:$1,0)+1),MATCH(AA$1,[2]enemies!$1:$1,0)-MATCH($L$1,[2]enemies!$1:$1,0)+1,FALSE)</f>
        <v>3</v>
      </c>
      <c r="AB156" s="52">
        <v>360</v>
      </c>
      <c r="AC156" s="4" t="str">
        <f ca="1">VLOOKUP($AB156,OFFSET([3]characters!$A$1,0,0,COUNTA([3]characters!$A:$A),MATCH(AC$1,[3]characters!$1:$1,0)-MATCH("character_id",[3]characters!$1:$1,0)+1),MATCH(AC$1,[3]characters!$1:$1,0)-MATCH("character_id",[3]characters!$1:$1,0)+1,FALSE)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56" s="4">
        <f ca="1">VLOOKUP($AB156,OFFSET([3]characters!$A$1,0,0,COUNTA([3]characters!$A:$A),MATCH(AD$1,[3]characters!$1:$1,0)-MATCH("character_id",[3]characters!$1:$1,0)+1),MATCH(AD$1,[3]characters!$1:$1,0)-MATCH("character_id",[3]characters!$1:$1,0)+1,FALSE)</f>
        <v>2</v>
      </c>
      <c r="AE156" s="4" t="str">
        <f ca="1">VLOOKUP($AB156,OFFSET([3]characters!$A$1,0,0,COUNTA([3]characters!$A:$A),MATCH(AE$1,[3]characters!$1:$1,0)-MATCH("character_id",[3]characters!$1:$1,0)+1),MATCH(AE$1,[3]characters!$1:$1,0)-MATCH("character_id",[3]characters!$1:$1,0)+1,FALSE)</f>
        <v>Drop1S</v>
      </c>
      <c r="AF156" s="7">
        <v>7</v>
      </c>
      <c r="AG156" s="26">
        <f t="shared" ca="1" si="172"/>
        <v>2</v>
      </c>
      <c r="AH156" s="8">
        <v>20</v>
      </c>
      <c r="AI156" s="7">
        <v>0</v>
      </c>
      <c r="AJ156" s="7">
        <v>0</v>
      </c>
      <c r="AK156" s="7">
        <v>0</v>
      </c>
      <c r="AL156" s="7">
        <v>0</v>
      </c>
      <c r="AM156" s="7">
        <v>1</v>
      </c>
    </row>
    <row r="157" spans="1:39" ht="14" x14ac:dyDescent="0.15">
      <c r="A157" s="18" t="str">
        <f t="shared" ref="A157" ca="1" si="197">B157&amp;"_"&amp;C157&amp;"-"&amp;G157&amp;"/"&amp;L157&amp;"&lt;lv"&amp;R157&amp;"&gt;s"&amp;AA157</f>
        <v>23_1-2/350&lt;lv40&gt;s3</v>
      </c>
      <c r="B157" s="53">
        <v>23</v>
      </c>
      <c r="C157" s="51">
        <v>1</v>
      </c>
      <c r="D157" s="2" t="str">
        <f t="shared" ref="D157" si="198">B157&amp;"_"&amp;C157</f>
        <v>23_1</v>
      </c>
      <c r="E157" s="2" t="str">
        <f t="shared" ref="E157" si="199">C157&amp;"_"&amp;D157</f>
        <v>1_23_1</v>
      </c>
      <c r="F157" s="4" t="str">
        <f ca="1">VLOOKUP($D157,OFFSET([1]stages!$A$1,0,0,COUNTA([1]stages!$A:$A),MATCH(F$1,[1]stages!$2:$2,0)-MATCH($D$1,[1]stages!$2:$2,0)+1),MATCH(F$1,[1]stages!$2:$2,0)-MATCH($D$1,[1]stages!$2:$2,0)+1,FALSE)</f>
        <v>23-1．牙森の子どもたち</v>
      </c>
      <c r="G157" s="55">
        <v>2</v>
      </c>
      <c r="H157" s="17" t="str">
        <f t="shared" ref="H157" si="200">B157&amp;"_"&amp;C157&amp;"-"&amp;G157</f>
        <v>23_1-2</v>
      </c>
      <c r="I157" s="17"/>
      <c r="J157" s="17"/>
      <c r="K157" s="65" t="s">
        <v>56</v>
      </c>
      <c r="L157" s="52">
        <v>350</v>
      </c>
      <c r="M157" s="21" t="str">
        <f ca="1">VLOOKUP($L157,OFFSET([2]enemies!$A$1,0,0,COUNTA([2]enemies!$A:$A),MATCH(M$1,[2]enemies!$1:$1,0)-MATCH($L$1,[2]enemies!$1:$1,0)+1),MATCH(M$1,[2]enemies!$1:$1,0)-MATCH($L$1,[2]enemies!$1:$1,0)+1,FALSE)</f>
        <v>森のケロケロ</v>
      </c>
      <c r="N157" s="21" t="str">
        <f ca="1">VLOOKUP($L157,OFFSET([2]enemies!$A$1,0,0,COUNTA([2]enemies!$A:$A),MATCH(N$1,[2]enemies!$1:$1,0)-MATCH($L$1,[2]enemies!$1:$1,0)+1),MATCH(N$1,[2]enemies!$1:$1,0)-MATCH($L$1,[2]enemies!$1:$1,0)+1,FALSE)</f>
        <v>green</v>
      </c>
      <c r="O157" s="21" t="str">
        <f ca="1">VLOOKUP($L157,OFFSET([3]characters!$A$1,0,0,COUNTA([3]characters!$A:$A),MATCH(O$1,[3]characters!$1:$1,0)-MATCH($L$1,[3]characters!$1:$1,0)+1),MATCH(O$1,[3]characters!$1:$1,0)-MATCH($L$1,[3]characters!$1:$1,0)+1,FALSE)</f>
        <v>Material</v>
      </c>
      <c r="P157" s="21" t="str">
        <f ca="1">VLOOKUP($L157,OFFSET([2]enemies!$A$1,0,0,COUNTA([2]enemies!$A:$A),MATCH(P$1,[2]enemies!$1:$1,0)-MATCH($L$1,[2]enemies!$1:$1,0)+1),MATCH(P$1,[2]enemies!$1:$1,0)-MATCH($L$1,[2]enemies!$1:$1,0)+1,FALSE)</f>
        <v>unknown</v>
      </c>
      <c r="Q157" s="21">
        <f ca="1">VLOOKUP($L157,OFFSET([2]enemies!$A$1,0,0,COUNTA([2]enemies!$A:$A),MATCH(Q$1,[2]enemies!$1:$1,0)-MATCH($L$1,[2]enemies!$1:$1,0)+1),MATCH(Q$1,[2]enemies!$1:$1,0)-MATCH($L$1,[2]enemies!$1:$1,0)+1,FALSE)</f>
        <v>15</v>
      </c>
      <c r="R157" s="53">
        <v>40</v>
      </c>
      <c r="S157" s="27">
        <v>1</v>
      </c>
      <c r="T157" s="27">
        <v>1</v>
      </c>
      <c r="U157" s="5">
        <v>0</v>
      </c>
      <c r="V157" s="4" t="str">
        <f ca="1">VLOOKUP($W157,OFFSET([4]enemy_skill_sets!$B$1,0,0,COUNTA([4]enemy_skill_sets!$B:$B),MATCH(M$1,[4]enemy_skill_sets!$1:$1,0)-MATCH($W$1,[4]enemy_skill_sets!$1:$1,0)+2),MATCH(M$1,[4]enemy_skill_sets!$1:$1,0)-MATCH($W$1,[4]enemy_skill_sets!$1:$1,0)+2,FALSE)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157" s="64">
        <v>350</v>
      </c>
      <c r="X157" s="6">
        <v>0</v>
      </c>
      <c r="Y157" s="6">
        <v>100</v>
      </c>
      <c r="Z157" s="6">
        <v>0</v>
      </c>
      <c r="AA157" s="4">
        <f ca="1">VLOOKUP($L157,OFFSET([2]enemies!$A$1,0,0,COUNTA([2]enemies!$A:$A),MATCH(AA$1,[2]enemies!$1:$1,0)-MATCH($L$1,[2]enemies!$1:$1,0)+1),MATCH(AA$1,[2]enemies!$1:$1,0)-MATCH($L$1,[2]enemies!$1:$1,0)+1,FALSE)</f>
        <v>3</v>
      </c>
      <c r="AB157" s="52">
        <v>350</v>
      </c>
      <c r="AC157" s="4" t="str">
        <f ca="1">VLOOKUP($AB157,OFFSET([3]characters!$A$1,0,0,COUNTA([3]characters!$A:$A),MATCH(AC$1,[3]characters!$1:$1,0)-MATCH("character_id",[3]characters!$1:$1,0)+1),MATCH(AC$1,[3]characters!$1:$1,0)-MATCH("character_id",[3]characters!$1:$1,0)+1,FALSE)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157" s="4">
        <f ca="1">VLOOKUP($AB157,OFFSET([3]characters!$A$1,0,0,COUNTA([3]characters!$A:$A),MATCH(AD$1,[3]characters!$1:$1,0)-MATCH("character_id",[3]characters!$1:$1,0)+1),MATCH(AD$1,[3]characters!$1:$1,0)-MATCH("character_id",[3]characters!$1:$1,0)+1,FALSE)</f>
        <v>2</v>
      </c>
      <c r="AE157" s="4" t="str">
        <f ca="1">VLOOKUP($AB157,OFFSET([3]characters!$A$1,0,0,COUNTA([3]characters!$A:$A),MATCH(AE$1,[3]characters!$1:$1,0)-MATCH("character_id",[3]characters!$1:$1,0)+1),MATCH(AE$1,[3]characters!$1:$1,0)-MATCH("character_id",[3]characters!$1:$1,0)+1,FALSE)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57" s="7">
        <v>10</v>
      </c>
      <c r="AG157" s="26">
        <f t="shared" ca="1" si="172"/>
        <v>2</v>
      </c>
      <c r="AH157" s="8">
        <v>20</v>
      </c>
      <c r="AI157" s="7">
        <v>0</v>
      </c>
      <c r="AJ157" s="7">
        <v>0</v>
      </c>
      <c r="AK157" s="7">
        <v>0</v>
      </c>
      <c r="AL157" s="7">
        <v>0</v>
      </c>
      <c r="AM157" s="7">
        <v>1</v>
      </c>
    </row>
    <row r="158" spans="1:39" ht="14" x14ac:dyDescent="0.15">
      <c r="A158" s="18" t="str">
        <f t="shared" ca="1" si="157"/>
        <v>23_1-3/9&lt;lv40&gt;s2</v>
      </c>
      <c r="B158" s="50">
        <v>23</v>
      </c>
      <c r="C158" s="49">
        <v>1</v>
      </c>
      <c r="D158" s="2" t="str">
        <f t="shared" si="158"/>
        <v>23_1</v>
      </c>
      <c r="E158" s="2" t="str">
        <f t="shared" si="158"/>
        <v>1_23_1</v>
      </c>
      <c r="F158" s="4" t="str">
        <f ca="1">VLOOKUP($D158,OFFSET([1]stages!$A$1,0,0,COUNTA([1]stages!$A:$A),MATCH(F$1,[1]stages!$2:$2,0)-MATCH($D$1,[1]stages!$2:$2,0)+1),MATCH(F$1,[1]stages!$2:$2,0)-MATCH($D$1,[1]stages!$2:$2,0)+1,FALSE)</f>
        <v>23-1．牙森の子どもたち</v>
      </c>
      <c r="G158" s="56">
        <v>3</v>
      </c>
      <c r="H158" s="17" t="str">
        <f t="shared" si="159"/>
        <v>23_1-3</v>
      </c>
      <c r="I158" s="17"/>
      <c r="J158" s="17"/>
      <c r="K158" s="65" t="s">
        <v>56</v>
      </c>
      <c r="L158" s="52">
        <v>9</v>
      </c>
      <c r="M158" s="21" t="str">
        <f ca="1">VLOOKUP($L158,OFFSET([2]enemies!$A$1,0,0,COUNTA([2]enemies!$A:$A),MATCH(M$1,[2]enemies!$1:$1,0)-MATCH($L$1,[2]enemies!$1:$1,0)+1),MATCH(M$1,[2]enemies!$1:$1,0)-MATCH($L$1,[2]enemies!$1:$1,0)+1,FALSE)</f>
        <v>ブレット</v>
      </c>
      <c r="N158" s="21" t="str">
        <f ca="1">VLOOKUP($L158,OFFSET([2]enemies!$A$1,0,0,COUNTA([2]enemies!$A:$A),MATCH(N$1,[2]enemies!$1:$1,0)-MATCH($L$1,[2]enemies!$1:$1,0)+1),MATCH(N$1,[2]enemies!$1:$1,0)-MATCH($L$1,[2]enemies!$1:$1,0)+1,FALSE)</f>
        <v>red</v>
      </c>
      <c r="O158" s="21" t="str">
        <f ca="1">VLOOKUP($L158,OFFSET([3]characters!$A$1,0,0,COUNTA([3]characters!$A:$A),MATCH(O$1,[3]characters!$1:$1,0)-MATCH($L$1,[3]characters!$1:$1,0)+1),MATCH(O$1,[3]characters!$1:$1,0)-MATCH($L$1,[3]characters!$1:$1,0)+1,FALSE)</f>
        <v>Drop1W</v>
      </c>
      <c r="P158" s="21" t="str">
        <f ca="1">VLOOKUP($L158,OFFSET([2]enemies!$A$1,0,0,COUNTA([2]enemies!$A:$A),MATCH(P$1,[2]enemies!$1:$1,0)-MATCH($L$1,[2]enemies!$1:$1,0)+1),MATCH(P$1,[2]enemies!$1:$1,0)-MATCH($L$1,[2]enemies!$1:$1,0)+1,FALSE)</f>
        <v>animal</v>
      </c>
      <c r="Q158" s="21">
        <f ca="1">VLOOKUP($L158,OFFSET([2]enemies!$A$1,0,0,COUNTA([2]enemies!$A:$A),MATCH(Q$1,[2]enemies!$1:$1,0)-MATCH($L$1,[2]enemies!$1:$1,0)+1),MATCH(Q$1,[2]enemies!$1:$1,0)-MATCH($L$1,[2]enemies!$1:$1,0)+1,FALSE)</f>
        <v>15</v>
      </c>
      <c r="R158" s="53">
        <v>40</v>
      </c>
      <c r="S158" s="27">
        <v>1</v>
      </c>
      <c r="T158" s="27">
        <v>1</v>
      </c>
      <c r="U158" s="5">
        <v>0</v>
      </c>
      <c r="V158" s="4" t="str">
        <f ca="1">VLOOKUP($W158,OFFSET([4]enemy_skill_sets!$B$1,0,0,COUNTA([4]enemy_skill_sets!$B:$B),MATCH(M$1,[4]enemy_skill_sets!$1:$1,0)-MATCH($W$1,[4]enemy_skill_sets!$1:$1,0)+2),MATCH(M$1,[4]enemy_skill_sets!$1:$1,0)-MATCH($W$1,[4]enemy_skill_sets!$1:$1,0)+2,FALSE)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58" s="4">
        <f ca="1">VLOOKUP($L158,OFFSET([2]enemies!$A$1,0,0,COUNTA([2]enemies!$A:$A),MATCH(W$1,[2]enemies!$1:$1,0)-MATCH($L$1,[2]enemies!$1:$1,0)+1),MATCH(W$1,[2]enemies!$1:$1,0)-MATCH($L$1,[2]enemies!$1:$1,0)+1,FALSE)</f>
        <v>0</v>
      </c>
      <c r="X158" s="6">
        <v>0</v>
      </c>
      <c r="Y158" s="6">
        <v>100</v>
      </c>
      <c r="Z158" s="6">
        <v>0</v>
      </c>
      <c r="AA158" s="4">
        <f ca="1">VLOOKUP($L158,OFFSET([2]enemies!$A$1,0,0,COUNTA([2]enemies!$A:$A),MATCH(AA$1,[2]enemies!$1:$1,0)-MATCH($L$1,[2]enemies!$1:$1,0)+1),MATCH(AA$1,[2]enemies!$1:$1,0)-MATCH($L$1,[2]enemies!$1:$1,0)+1,FALSE)</f>
        <v>2</v>
      </c>
      <c r="AB158" s="52">
        <v>9</v>
      </c>
      <c r="AC158" s="4" t="str">
        <f ca="1">VLOOKUP($AB158,OFFSET([3]characters!$A$1,0,0,COUNTA([3]characters!$A:$A),MATCH(AC$1,[3]characters!$1:$1,0)-MATCH("character_id",[3]characters!$1:$1,0)+1),MATCH(AC$1,[3]characters!$1:$1,0)-MATCH("character_id",[3]characters!$1:$1,0)+1,FALSE)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158" s="4">
        <f ca="1">VLOOKUP($AB158,OFFSET([3]characters!$A$1,0,0,COUNTA([3]characters!$A:$A),MATCH(AD$1,[3]characters!$1:$1,0)-MATCH("character_id",[3]characters!$1:$1,0)+1),MATCH(AD$1,[3]characters!$1:$1,0)-MATCH("character_id",[3]characters!$1:$1,0)+1,FALSE)</f>
        <v>1</v>
      </c>
      <c r="AE158" s="4" t="str">
        <f ca="1">VLOOKUP($AB158,OFFSET([3]characters!$A$1,0,0,COUNTA([3]characters!$A:$A),MATCH(AE$1,[3]characters!$1:$1,0)-MATCH("character_id",[3]characters!$1:$1,0)+1),MATCH(AE$1,[3]characters!$1:$1,0)-MATCH("character_id",[3]characters!$1:$1,0)+1,FALSE)</f>
        <v>Drop1W</v>
      </c>
      <c r="AF158" s="7">
        <v>9</v>
      </c>
      <c r="AG158" s="26">
        <f t="shared" ca="1" si="172"/>
        <v>1</v>
      </c>
      <c r="AH158" s="8">
        <v>20</v>
      </c>
      <c r="AI158" s="7">
        <v>0</v>
      </c>
      <c r="AJ158" s="7">
        <v>0</v>
      </c>
      <c r="AK158" s="7">
        <v>0</v>
      </c>
      <c r="AL158" s="7">
        <v>0</v>
      </c>
      <c r="AM158" s="7">
        <v>1</v>
      </c>
    </row>
    <row r="159" spans="1:39" ht="14" x14ac:dyDescent="0.15">
      <c r="A159" s="18" t="str">
        <f t="shared" ca="1" si="157"/>
        <v>23_1-3/11&lt;lv42&gt;s3</v>
      </c>
      <c r="B159" s="50">
        <v>23</v>
      </c>
      <c r="C159" s="49">
        <v>1</v>
      </c>
      <c r="D159" s="2" t="str">
        <f t="shared" si="158"/>
        <v>23_1</v>
      </c>
      <c r="E159" s="2" t="str">
        <f t="shared" si="158"/>
        <v>1_23_1</v>
      </c>
      <c r="F159" s="4" t="str">
        <f ca="1">VLOOKUP($D159,OFFSET([1]stages!$A$1,0,0,COUNTA([1]stages!$A:$A),MATCH(F$1,[1]stages!$2:$2,0)-MATCH($D$1,[1]stages!$2:$2,0)+1),MATCH(F$1,[1]stages!$2:$2,0)-MATCH($D$1,[1]stages!$2:$2,0)+1,FALSE)</f>
        <v>23-1．牙森の子どもたち</v>
      </c>
      <c r="G159" s="56">
        <v>3</v>
      </c>
      <c r="H159" s="17" t="str">
        <f t="shared" si="159"/>
        <v>23_1-3</v>
      </c>
      <c r="I159" s="17"/>
      <c r="J159" s="17"/>
      <c r="K159" s="65" t="s">
        <v>56</v>
      </c>
      <c r="L159" s="52">
        <v>11</v>
      </c>
      <c r="M159" s="21" t="str">
        <f ca="1">VLOOKUP($L159,OFFSET([2]enemies!$A$1,0,0,COUNTA([2]enemies!$A:$A),MATCH(M$1,[2]enemies!$1:$1,0)-MATCH($L$1,[2]enemies!$1:$1,0)+1),MATCH(M$1,[2]enemies!$1:$1,0)-MATCH($L$1,[2]enemies!$1:$1,0)+1,FALSE)</f>
        <v>マグリット</v>
      </c>
      <c r="N159" s="21" t="str">
        <f ca="1">VLOOKUP($L159,OFFSET([2]enemies!$A$1,0,0,COUNTA([2]enemies!$A:$A),MATCH(N$1,[2]enemies!$1:$1,0)-MATCH($L$1,[2]enemies!$1:$1,0)+1),MATCH(N$1,[2]enemies!$1:$1,0)-MATCH($L$1,[2]enemies!$1:$1,0)+1,FALSE)</f>
        <v>green</v>
      </c>
      <c r="O159" s="21" t="str">
        <f ca="1">VLOOKUP($L159,OFFSET([3]characters!$A$1,0,0,COUNTA([3]characters!$A:$A),MATCH(O$1,[3]characters!$1:$1,0)-MATCH($L$1,[3]characters!$1:$1,0)+1),MATCH(O$1,[3]characters!$1:$1,0)-MATCH($L$1,[3]characters!$1:$1,0)+1,FALSE)</f>
        <v>Drop1W</v>
      </c>
      <c r="P159" s="21" t="str">
        <f ca="1">VLOOKUP($L159,OFFSET([2]enemies!$A$1,0,0,COUNTA([2]enemies!$A:$A),MATCH(P$1,[2]enemies!$1:$1,0)-MATCH($L$1,[2]enemies!$1:$1,0)+1),MATCH(P$1,[2]enemies!$1:$1,0)-MATCH($L$1,[2]enemies!$1:$1,0)+1,FALSE)</f>
        <v>animal</v>
      </c>
      <c r="Q159" s="21">
        <f ca="1">VLOOKUP($L159,OFFSET([2]enemies!$A$1,0,0,COUNTA([2]enemies!$A:$A),MATCH(Q$1,[2]enemies!$1:$1,0)-MATCH($L$1,[2]enemies!$1:$1,0)+1),MATCH(Q$1,[2]enemies!$1:$1,0)-MATCH($L$1,[2]enemies!$1:$1,0)+1,FALSE)</f>
        <v>15</v>
      </c>
      <c r="R159" s="53">
        <v>42</v>
      </c>
      <c r="S159" s="27">
        <v>1</v>
      </c>
      <c r="T159" s="27">
        <v>1</v>
      </c>
      <c r="U159" s="5">
        <v>0</v>
      </c>
      <c r="V159" s="4" t="str">
        <f ca="1">VLOOKUP($W159,OFFSET([4]enemy_skill_sets!$B$1,0,0,COUNTA([4]enemy_skill_sets!$B:$B),MATCH(M$1,[4]enemy_skill_sets!$1:$1,0)-MATCH($W$1,[4]enemy_skill_sets!$1:$1,0)+2),MATCH(M$1,[4]enemy_skill_sets!$1:$1,0)-MATCH($W$1,[4]enemy_skill_sets!$1:$1,0)+2,FALSE)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59" s="4">
        <f ca="1">VLOOKUP($L159,OFFSET([2]enemies!$A$1,0,0,COUNTA([2]enemies!$A:$A),MATCH(W$1,[2]enemies!$1:$1,0)-MATCH($L$1,[2]enemies!$1:$1,0)+1),MATCH(W$1,[2]enemies!$1:$1,0)-MATCH($L$1,[2]enemies!$1:$1,0)+1,FALSE)</f>
        <v>0</v>
      </c>
      <c r="X159" s="6">
        <v>0</v>
      </c>
      <c r="Y159" s="6">
        <v>100</v>
      </c>
      <c r="Z159" s="6">
        <v>0</v>
      </c>
      <c r="AA159" s="4">
        <f ca="1">VLOOKUP($L159,OFFSET([2]enemies!$A$1,0,0,COUNTA([2]enemies!$A:$A),MATCH(AA$1,[2]enemies!$1:$1,0)-MATCH($L$1,[2]enemies!$1:$1,0)+1),MATCH(AA$1,[2]enemies!$1:$1,0)-MATCH($L$1,[2]enemies!$1:$1,0)+1,FALSE)</f>
        <v>3</v>
      </c>
      <c r="AB159" s="52">
        <v>11</v>
      </c>
      <c r="AC159" s="4" t="str">
        <f ca="1">VLOOKUP($AB159,OFFSET([3]characters!$A$1,0,0,COUNTA([3]characters!$A:$A),MATCH(AC$1,[3]characters!$1:$1,0)-MATCH("character_id",[3]characters!$1:$1,0)+1),MATCH(AC$1,[3]characters!$1:$1,0)-MATCH("character_id",[3]characters!$1:$1,0)+1,FALSE)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159" s="4">
        <f ca="1">VLOOKUP($AB159,OFFSET([3]characters!$A$1,0,0,COUNTA([3]characters!$A:$A),MATCH(AD$1,[3]characters!$1:$1,0)-MATCH("character_id",[3]characters!$1:$1,0)+1),MATCH(AD$1,[3]characters!$1:$1,0)-MATCH("character_id",[3]characters!$1:$1,0)+1,FALSE)</f>
        <v>1</v>
      </c>
      <c r="AE159" s="4" t="str">
        <f ca="1">VLOOKUP($AB159,OFFSET([3]characters!$A$1,0,0,COUNTA([3]characters!$A:$A),MATCH(AE$1,[3]characters!$1:$1,0)-MATCH("character_id",[3]characters!$1:$1,0)+1),MATCH(AE$1,[3]characters!$1:$1,0)-MATCH("character_id",[3]characters!$1:$1,0)+1,FALSE)</f>
        <v>Drop1W</v>
      </c>
      <c r="AF159" s="7">
        <v>9</v>
      </c>
      <c r="AG159" s="26">
        <f t="shared" ca="1" si="172"/>
        <v>1</v>
      </c>
      <c r="AH159" s="8">
        <v>20</v>
      </c>
      <c r="AI159" s="7">
        <v>0</v>
      </c>
      <c r="AJ159" s="7">
        <v>0</v>
      </c>
      <c r="AK159" s="7">
        <v>0</v>
      </c>
      <c r="AL159" s="7">
        <v>0</v>
      </c>
      <c r="AM159" s="7">
        <v>1</v>
      </c>
    </row>
    <row r="160" spans="1:39" ht="14" x14ac:dyDescent="0.15">
      <c r="A160" s="18" t="str">
        <f t="shared" ca="1" si="157"/>
        <v>23_1-3/23&lt;lv42&gt;s4</v>
      </c>
      <c r="B160" s="50">
        <v>23</v>
      </c>
      <c r="C160" s="49">
        <v>1</v>
      </c>
      <c r="D160" s="2" t="str">
        <f t="shared" si="158"/>
        <v>23_1</v>
      </c>
      <c r="E160" s="2" t="str">
        <f t="shared" si="158"/>
        <v>1_23_1</v>
      </c>
      <c r="F160" s="4" t="str">
        <f ca="1">VLOOKUP($D160,OFFSET([1]stages!$A$1,0,0,COUNTA([1]stages!$A:$A),MATCH(F$1,[1]stages!$2:$2,0)-MATCH($D$1,[1]stages!$2:$2,0)+1),MATCH(F$1,[1]stages!$2:$2,0)-MATCH($D$1,[1]stages!$2:$2,0)+1,FALSE)</f>
        <v>23-1．牙森の子どもたち</v>
      </c>
      <c r="G160" s="56">
        <v>3</v>
      </c>
      <c r="H160" s="17" t="str">
        <f t="shared" si="159"/>
        <v>23_1-3</v>
      </c>
      <c r="I160" s="17"/>
      <c r="J160" s="17"/>
      <c r="K160" s="65" t="s">
        <v>56</v>
      </c>
      <c r="L160" s="52">
        <v>23</v>
      </c>
      <c r="M160" s="21" t="str">
        <f ca="1">VLOOKUP($L160,OFFSET([2]enemies!$A$1,0,0,COUNTA([2]enemies!$A:$A),MATCH(M$1,[2]enemies!$1:$1,0)-MATCH($L$1,[2]enemies!$1:$1,0)+1),MATCH(M$1,[2]enemies!$1:$1,0)-MATCH($L$1,[2]enemies!$1:$1,0)+1,FALSE)</f>
        <v>ミール</v>
      </c>
      <c r="N160" s="21" t="str">
        <f ca="1">VLOOKUP($L160,OFFSET([2]enemies!$A$1,0,0,COUNTA([2]enemies!$A:$A),MATCH(N$1,[2]enemies!$1:$1,0)-MATCH($L$1,[2]enemies!$1:$1,0)+1),MATCH(N$1,[2]enemies!$1:$1,0)-MATCH($L$1,[2]enemies!$1:$1,0)+1,FALSE)</f>
        <v>green</v>
      </c>
      <c r="O160" s="21" t="str">
        <f ca="1">VLOOKUP($L160,OFFSET([3]characters!$A$1,0,0,COUNTA([3]characters!$A:$A),MATCH(O$1,[3]characters!$1:$1,0)-MATCH($L$1,[3]characters!$1:$1,0)+1),MATCH(O$1,[3]characters!$1:$1,0)-MATCH($L$1,[3]characters!$1:$1,0)+1,FALSE)</f>
        <v>Drop1N</v>
      </c>
      <c r="P160" s="21" t="str">
        <f ca="1">VLOOKUP($L160,OFFSET([2]enemies!$A$1,0,0,COUNTA([2]enemies!$A:$A),MATCH(P$1,[2]enemies!$1:$1,0)-MATCH($L$1,[2]enemies!$1:$1,0)+1),MATCH(P$1,[2]enemies!$1:$1,0)-MATCH($L$1,[2]enemies!$1:$1,0)+1,FALSE)</f>
        <v>animal</v>
      </c>
      <c r="Q160" s="21">
        <f ca="1">VLOOKUP($L160,OFFSET([2]enemies!$A$1,0,0,COUNTA([2]enemies!$A:$A),MATCH(Q$1,[2]enemies!$1:$1,0)-MATCH($L$1,[2]enemies!$1:$1,0)+1),MATCH(Q$1,[2]enemies!$1:$1,0)-MATCH($L$1,[2]enemies!$1:$1,0)+1,FALSE)</f>
        <v>15</v>
      </c>
      <c r="R160" s="53">
        <v>42</v>
      </c>
      <c r="S160" s="27">
        <v>1</v>
      </c>
      <c r="T160" s="27">
        <v>1</v>
      </c>
      <c r="U160" s="5">
        <v>0</v>
      </c>
      <c r="V160" s="4" t="str">
        <f ca="1">VLOOKUP($W160,OFFSET([4]enemy_skill_sets!$B$1,0,0,COUNTA([4]enemy_skill_sets!$B:$B),MATCH(M$1,[4]enemy_skill_sets!$1:$1,0)-MATCH($W$1,[4]enemy_skill_sets!$1:$1,0)+2),MATCH(M$1,[4]enemy_skill_sets!$1:$1,0)-MATCH($W$1,[4]enemy_skill_sets!$1:$1,0)+2,FALSE)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60" s="4">
        <f ca="1">VLOOKUP($L160,OFFSET([2]enemies!$A$1,0,0,COUNTA([2]enemies!$A:$A),MATCH(W$1,[2]enemies!$1:$1,0)-MATCH($L$1,[2]enemies!$1:$1,0)+1),MATCH(W$1,[2]enemies!$1:$1,0)-MATCH($L$1,[2]enemies!$1:$1,0)+1,FALSE)</f>
        <v>0</v>
      </c>
      <c r="X160" s="6">
        <v>0</v>
      </c>
      <c r="Y160" s="6">
        <v>100</v>
      </c>
      <c r="Z160" s="6">
        <v>0</v>
      </c>
      <c r="AA160" s="4">
        <f ca="1">VLOOKUP($L160,OFFSET([2]enemies!$A$1,0,0,COUNTA([2]enemies!$A:$A),MATCH(AA$1,[2]enemies!$1:$1,0)-MATCH($L$1,[2]enemies!$1:$1,0)+1),MATCH(AA$1,[2]enemies!$1:$1,0)-MATCH($L$1,[2]enemies!$1:$1,0)+1,FALSE)</f>
        <v>4</v>
      </c>
      <c r="AB160" s="52">
        <v>23</v>
      </c>
      <c r="AC160" s="4" t="str">
        <f ca="1">VLOOKUP($AB160,OFFSET([3]characters!$A$1,0,0,COUNTA([3]characters!$A:$A),MATCH(AC$1,[3]characters!$1:$1,0)-MATCH("character_id",[3]characters!$1:$1,0)+1),MATCH(AC$1,[3]characters!$1:$1,0)-MATCH("character_id",[3]characters!$1:$1,0)+1,FALSE)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160" s="4">
        <f ca="1">VLOOKUP($AB160,OFFSET([3]characters!$A$1,0,0,COUNTA([3]characters!$A:$A),MATCH(AD$1,[3]characters!$1:$1,0)-MATCH("character_id",[3]characters!$1:$1,0)+1),MATCH(AD$1,[3]characters!$1:$1,0)-MATCH("character_id",[3]characters!$1:$1,0)+1,FALSE)</f>
        <v>1</v>
      </c>
      <c r="AE160" s="4" t="str">
        <f ca="1">VLOOKUP($AB160,OFFSET([3]characters!$A$1,0,0,COUNTA([3]characters!$A:$A),MATCH(AE$1,[3]characters!$1:$1,0)-MATCH("character_id",[3]characters!$1:$1,0)+1),MATCH(AE$1,[3]characters!$1:$1,0)-MATCH("character_id",[3]characters!$1:$1,0)+1,FALSE)</f>
        <v>Drop1N</v>
      </c>
      <c r="AF160" s="7">
        <v>7</v>
      </c>
      <c r="AG160" s="26">
        <f t="shared" ca="1" si="172"/>
        <v>1</v>
      </c>
      <c r="AH160" s="8">
        <v>20</v>
      </c>
      <c r="AI160" s="7">
        <v>0</v>
      </c>
      <c r="AJ160" s="7">
        <v>0</v>
      </c>
      <c r="AK160" s="7">
        <v>0</v>
      </c>
      <c r="AL160" s="7">
        <v>0</v>
      </c>
      <c r="AM160" s="7">
        <v>1</v>
      </c>
    </row>
    <row r="161" spans="1:39" ht="14" x14ac:dyDescent="0.15">
      <c r="A161" s="18" t="str">
        <f t="shared" ca="1" si="157"/>
        <v>23_1-3/33&lt;lv40&gt;s2</v>
      </c>
      <c r="B161" s="50">
        <v>23</v>
      </c>
      <c r="C161" s="49">
        <v>1</v>
      </c>
      <c r="D161" s="2" t="str">
        <f t="shared" si="158"/>
        <v>23_1</v>
      </c>
      <c r="E161" s="2" t="str">
        <f t="shared" si="158"/>
        <v>1_23_1</v>
      </c>
      <c r="F161" s="4" t="str">
        <f ca="1">VLOOKUP($D161,OFFSET([1]stages!$A$1,0,0,COUNTA([1]stages!$A:$A),MATCH(F$1,[1]stages!$2:$2,0)-MATCH($D$1,[1]stages!$2:$2,0)+1),MATCH(F$1,[1]stages!$2:$2,0)-MATCH($D$1,[1]stages!$2:$2,0)+1,FALSE)</f>
        <v>23-1．牙森の子どもたち</v>
      </c>
      <c r="G161" s="56">
        <v>3</v>
      </c>
      <c r="H161" s="17" t="str">
        <f t="shared" si="159"/>
        <v>23_1-3</v>
      </c>
      <c r="I161" s="17"/>
      <c r="J161" s="17"/>
      <c r="K161" s="65" t="s">
        <v>56</v>
      </c>
      <c r="L161" s="52">
        <v>33</v>
      </c>
      <c r="M161" s="21" t="str">
        <f ca="1">VLOOKUP($L161,OFFSET([2]enemies!$A$1,0,0,COUNTA([2]enemies!$A:$A),MATCH(M$1,[2]enemies!$1:$1,0)-MATCH($L$1,[2]enemies!$1:$1,0)+1),MATCH(M$1,[2]enemies!$1:$1,0)-MATCH($L$1,[2]enemies!$1:$1,0)+1,FALSE)</f>
        <v>ゴクウ</v>
      </c>
      <c r="N161" s="21" t="str">
        <f ca="1">VLOOKUP($L161,OFFSET([2]enemies!$A$1,0,0,COUNTA([2]enemies!$A:$A),MATCH(N$1,[2]enemies!$1:$1,0)-MATCH($L$1,[2]enemies!$1:$1,0)+1),MATCH(N$1,[2]enemies!$1:$1,0)-MATCH($L$1,[2]enemies!$1:$1,0)+1,FALSE)</f>
        <v>red</v>
      </c>
      <c r="O161" s="21" t="str">
        <f ca="1">VLOOKUP($L161,OFFSET([3]characters!$A$1,0,0,COUNTA([3]characters!$A:$A),MATCH(O$1,[3]characters!$1:$1,0)-MATCH($L$1,[3]characters!$1:$1,0)+1),MATCH(O$1,[3]characters!$1:$1,0)-MATCH($L$1,[3]characters!$1:$1,0)+1,FALSE)</f>
        <v>Drop1S</v>
      </c>
      <c r="P161" s="21" t="str">
        <f ca="1">VLOOKUP($L161,OFFSET([2]enemies!$A$1,0,0,COUNTA([2]enemies!$A:$A),MATCH(P$1,[2]enemies!$1:$1,0)-MATCH($L$1,[2]enemies!$1:$1,0)+1),MATCH(P$1,[2]enemies!$1:$1,0)-MATCH($L$1,[2]enemies!$1:$1,0)+1,FALSE)</f>
        <v>animal</v>
      </c>
      <c r="Q161" s="21">
        <f ca="1">VLOOKUP($L161,OFFSET([2]enemies!$A$1,0,0,COUNTA([2]enemies!$A:$A),MATCH(Q$1,[2]enemies!$1:$1,0)-MATCH($L$1,[2]enemies!$1:$1,0)+1),MATCH(Q$1,[2]enemies!$1:$1,0)-MATCH($L$1,[2]enemies!$1:$1,0)+1,FALSE)</f>
        <v>15</v>
      </c>
      <c r="R161" s="53">
        <v>40</v>
      </c>
      <c r="S161" s="27">
        <v>1</v>
      </c>
      <c r="T161" s="27">
        <v>1</v>
      </c>
      <c r="U161" s="5">
        <v>0</v>
      </c>
      <c r="V161" s="4" t="str">
        <f ca="1">VLOOKUP($W161,OFFSET([4]enemy_skill_sets!$B$1,0,0,COUNTA([4]enemy_skill_sets!$B:$B),MATCH(M$1,[4]enemy_skill_sets!$1:$1,0)-MATCH($W$1,[4]enemy_skill_sets!$1:$1,0)+2),MATCH(M$1,[4]enemy_skill_sets!$1:$1,0)-MATCH($W$1,[4]enemy_skill_sets!$1:$1,0)+2,FALSE)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61" s="4">
        <f ca="1">VLOOKUP($L161,OFFSET([2]enemies!$A$1,0,0,COUNTA([2]enemies!$A:$A),MATCH(W$1,[2]enemies!$1:$1,0)-MATCH($L$1,[2]enemies!$1:$1,0)+1),MATCH(W$1,[2]enemies!$1:$1,0)-MATCH($L$1,[2]enemies!$1:$1,0)+1,FALSE)</f>
        <v>33</v>
      </c>
      <c r="X161" s="6">
        <v>0</v>
      </c>
      <c r="Y161" s="6">
        <v>100</v>
      </c>
      <c r="Z161" s="6">
        <v>0</v>
      </c>
      <c r="AA161" s="4">
        <f ca="1">VLOOKUP($L161,OFFSET([2]enemies!$A$1,0,0,COUNTA([2]enemies!$A:$A),MATCH(AA$1,[2]enemies!$1:$1,0)-MATCH($L$1,[2]enemies!$1:$1,0)+1),MATCH(AA$1,[2]enemies!$1:$1,0)-MATCH($L$1,[2]enemies!$1:$1,0)+1,FALSE)</f>
        <v>2</v>
      </c>
      <c r="AB161" s="52">
        <v>33</v>
      </c>
      <c r="AC161" s="4" t="str">
        <f ca="1">VLOOKUP($AB161,OFFSET([3]characters!$A$1,0,0,COUNTA([3]characters!$A:$A),MATCH(AC$1,[3]characters!$1:$1,0)-MATCH("character_id",[3]characters!$1:$1,0)+1),MATCH(AC$1,[3]characters!$1:$1,0)-MATCH("character_id",[3]characters!$1:$1,0)+1,FALSE)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61" s="4">
        <f ca="1">VLOOKUP($AB161,OFFSET([3]characters!$A$1,0,0,COUNTA([3]characters!$A:$A),MATCH(AD$1,[3]characters!$1:$1,0)-MATCH("character_id",[3]characters!$1:$1,0)+1),MATCH(AD$1,[3]characters!$1:$1,0)-MATCH("character_id",[3]characters!$1:$1,0)+1,FALSE)</f>
        <v>2</v>
      </c>
      <c r="AE161" s="4" t="str">
        <f ca="1">VLOOKUP($AB161,OFFSET([3]characters!$A$1,0,0,COUNTA([3]characters!$A:$A),MATCH(AE$1,[3]characters!$1:$1,0)-MATCH("character_id",[3]characters!$1:$1,0)+1),MATCH(AE$1,[3]characters!$1:$1,0)-MATCH("character_id",[3]characters!$1:$1,0)+1,FALSE)</f>
        <v>Drop1S</v>
      </c>
      <c r="AF161" s="7">
        <v>5</v>
      </c>
      <c r="AG161" s="26">
        <f t="shared" ca="1" si="172"/>
        <v>2</v>
      </c>
      <c r="AH161" s="8">
        <v>20</v>
      </c>
      <c r="AI161" s="7">
        <v>0</v>
      </c>
      <c r="AJ161" s="7">
        <v>0</v>
      </c>
      <c r="AK161" s="7">
        <v>0</v>
      </c>
      <c r="AL161" s="7">
        <v>0</v>
      </c>
      <c r="AM161" s="7">
        <v>1</v>
      </c>
    </row>
    <row r="162" spans="1:39" ht="14" x14ac:dyDescent="0.15">
      <c r="A162" s="18" t="str">
        <f t="shared" ca="1" si="157"/>
        <v>23_1-3/57&lt;lv40&gt;s2</v>
      </c>
      <c r="B162" s="50">
        <v>23</v>
      </c>
      <c r="C162" s="49">
        <v>1</v>
      </c>
      <c r="D162" s="2" t="str">
        <f t="shared" si="158"/>
        <v>23_1</v>
      </c>
      <c r="E162" s="2" t="str">
        <f t="shared" si="158"/>
        <v>1_23_1</v>
      </c>
      <c r="F162" s="4" t="str">
        <f ca="1">VLOOKUP($D162,OFFSET([1]stages!$A$1,0,0,COUNTA([1]stages!$A:$A),MATCH(F$1,[1]stages!$2:$2,0)-MATCH($D$1,[1]stages!$2:$2,0)+1),MATCH(F$1,[1]stages!$2:$2,0)-MATCH($D$1,[1]stages!$2:$2,0)+1,FALSE)</f>
        <v>23-1．牙森の子どもたち</v>
      </c>
      <c r="G162" s="56">
        <v>3</v>
      </c>
      <c r="H162" s="17" t="str">
        <f t="shared" si="159"/>
        <v>23_1-3</v>
      </c>
      <c r="I162" s="17"/>
      <c r="J162" s="17"/>
      <c r="K162" s="65" t="s">
        <v>56</v>
      </c>
      <c r="L162" s="52">
        <v>57</v>
      </c>
      <c r="M162" s="21" t="str">
        <f ca="1">VLOOKUP($L162,OFFSET([2]enemies!$A$1,0,0,COUNTA([2]enemies!$A:$A),MATCH(M$1,[2]enemies!$1:$1,0)-MATCH($L$1,[2]enemies!$1:$1,0)+1),MATCH(M$1,[2]enemies!$1:$1,0)-MATCH($L$1,[2]enemies!$1:$1,0)+1,FALSE)</f>
        <v>チェン・リー</v>
      </c>
      <c r="N162" s="21" t="str">
        <f ca="1">VLOOKUP($L162,OFFSET([2]enemies!$A$1,0,0,COUNTA([2]enemies!$A:$A),MATCH(N$1,[2]enemies!$1:$1,0)-MATCH($L$1,[2]enemies!$1:$1,0)+1),MATCH(N$1,[2]enemies!$1:$1,0)-MATCH($L$1,[2]enemies!$1:$1,0)+1,FALSE)</f>
        <v>red</v>
      </c>
      <c r="O162" s="21" t="str">
        <f ca="1">VLOOKUP($L162,OFFSET([3]characters!$A$1,0,0,COUNTA([3]characters!$A:$A),MATCH(O$1,[3]characters!$1:$1,0)-MATCH($L$1,[3]characters!$1:$1,0)+1),MATCH(O$1,[3]characters!$1:$1,0)-MATCH($L$1,[3]characters!$1:$1,0)+1,FALSE)</f>
        <v>Drop1N</v>
      </c>
      <c r="P162" s="21" t="str">
        <f ca="1">VLOOKUP($L162,OFFSET([2]enemies!$A$1,0,0,COUNTA([2]enemies!$A:$A),MATCH(P$1,[2]enemies!$1:$1,0)-MATCH($L$1,[2]enemies!$1:$1,0)+1),MATCH(P$1,[2]enemies!$1:$1,0)-MATCH($L$1,[2]enemies!$1:$1,0)+1,FALSE)</f>
        <v>animal</v>
      </c>
      <c r="Q162" s="21">
        <f ca="1">VLOOKUP($L162,OFFSET([2]enemies!$A$1,0,0,COUNTA([2]enemies!$A:$A),MATCH(Q$1,[2]enemies!$1:$1,0)-MATCH($L$1,[2]enemies!$1:$1,0)+1),MATCH(Q$1,[2]enemies!$1:$1,0)-MATCH($L$1,[2]enemies!$1:$1,0)+1,FALSE)</f>
        <v>15</v>
      </c>
      <c r="R162" s="53">
        <v>40</v>
      </c>
      <c r="S162" s="27">
        <v>1</v>
      </c>
      <c r="T162" s="27">
        <v>1</v>
      </c>
      <c r="U162" s="5">
        <v>0</v>
      </c>
      <c r="V162" s="4" t="str">
        <f ca="1">VLOOKUP($W162,OFFSET([4]enemy_skill_sets!$B$1,0,0,COUNTA([4]enemy_skill_sets!$B:$B),MATCH(M$1,[4]enemy_skill_sets!$1:$1,0)-MATCH($W$1,[4]enemy_skill_sets!$1:$1,0)+2),MATCH(M$1,[4]enemy_skill_sets!$1:$1,0)-MATCH($W$1,[4]enemy_skill_sets!$1:$1,0)+2,FALSE)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62" s="4">
        <f ca="1">VLOOKUP($L162,OFFSET([2]enemies!$A$1,0,0,COUNTA([2]enemies!$A:$A),MATCH(W$1,[2]enemies!$1:$1,0)-MATCH($L$1,[2]enemies!$1:$1,0)+1),MATCH(W$1,[2]enemies!$1:$1,0)-MATCH($L$1,[2]enemies!$1:$1,0)+1,FALSE)</f>
        <v>57</v>
      </c>
      <c r="X162" s="6">
        <v>0</v>
      </c>
      <c r="Y162" s="6">
        <v>100</v>
      </c>
      <c r="Z162" s="6">
        <v>0</v>
      </c>
      <c r="AA162" s="4">
        <f ca="1">VLOOKUP($L162,OFFSET([2]enemies!$A$1,0,0,COUNTA([2]enemies!$A:$A),MATCH(AA$1,[2]enemies!$1:$1,0)-MATCH($L$1,[2]enemies!$1:$1,0)+1),MATCH(AA$1,[2]enemies!$1:$1,0)-MATCH($L$1,[2]enemies!$1:$1,0)+1,FALSE)</f>
        <v>2</v>
      </c>
      <c r="AB162" s="52">
        <v>57</v>
      </c>
      <c r="AC162" s="4" t="str">
        <f ca="1">VLOOKUP($AB162,OFFSET([3]characters!$A$1,0,0,COUNTA([3]characters!$A:$A),MATCH(AC$1,[3]characters!$1:$1,0)-MATCH("character_id",[3]characters!$1:$1,0)+1),MATCH(AC$1,[3]characters!$1:$1,0)-MATCH("character_id",[3]characters!$1:$1,0)+1,FALSE)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62" s="4">
        <f ca="1">VLOOKUP($AB162,OFFSET([3]characters!$A$1,0,0,COUNTA([3]characters!$A:$A),MATCH(AD$1,[3]characters!$1:$1,0)-MATCH("character_id",[3]characters!$1:$1,0)+1),MATCH(AD$1,[3]characters!$1:$1,0)-MATCH("character_id",[3]characters!$1:$1,0)+1,FALSE)</f>
        <v>2</v>
      </c>
      <c r="AE162" s="4" t="str">
        <f ca="1">VLOOKUP($AB162,OFFSET([3]characters!$A$1,0,0,COUNTA([3]characters!$A:$A),MATCH(AE$1,[3]characters!$1:$1,0)-MATCH("character_id",[3]characters!$1:$1,0)+1),MATCH(AE$1,[3]characters!$1:$1,0)-MATCH("character_id",[3]characters!$1:$1,0)+1,FALSE)</f>
        <v>Drop1N</v>
      </c>
      <c r="AF162" s="7">
        <v>7</v>
      </c>
      <c r="AG162" s="26">
        <f t="shared" ca="1" si="172"/>
        <v>2</v>
      </c>
      <c r="AH162" s="8">
        <v>20</v>
      </c>
      <c r="AI162" s="7">
        <v>0</v>
      </c>
      <c r="AJ162" s="7">
        <v>0</v>
      </c>
      <c r="AK162" s="7">
        <v>0</v>
      </c>
      <c r="AL162" s="7">
        <v>0</v>
      </c>
      <c r="AM162" s="7">
        <v>1</v>
      </c>
    </row>
    <row r="163" spans="1:39" ht="14" x14ac:dyDescent="0.15">
      <c r="A163" s="18" t="str">
        <f t="shared" ca="1" si="157"/>
        <v>23_1-3/59&lt;lv42&gt;s2</v>
      </c>
      <c r="B163" s="50">
        <v>23</v>
      </c>
      <c r="C163" s="49">
        <v>1</v>
      </c>
      <c r="D163" s="2" t="str">
        <f t="shared" si="158"/>
        <v>23_1</v>
      </c>
      <c r="E163" s="2" t="str">
        <f t="shared" si="158"/>
        <v>1_23_1</v>
      </c>
      <c r="F163" s="4" t="str">
        <f ca="1">VLOOKUP($D163,OFFSET([1]stages!$A$1,0,0,COUNTA([1]stages!$A:$A),MATCH(F$1,[1]stages!$2:$2,0)-MATCH($D$1,[1]stages!$2:$2,0)+1),MATCH(F$1,[1]stages!$2:$2,0)-MATCH($D$1,[1]stages!$2:$2,0)+1,FALSE)</f>
        <v>23-1．牙森の子どもたち</v>
      </c>
      <c r="G163" s="56">
        <v>3</v>
      </c>
      <c r="H163" s="17" t="str">
        <f t="shared" si="159"/>
        <v>23_1-3</v>
      </c>
      <c r="I163" s="17"/>
      <c r="J163" s="17"/>
      <c r="K163" s="65" t="s">
        <v>56</v>
      </c>
      <c r="L163" s="52">
        <v>59</v>
      </c>
      <c r="M163" s="21" t="str">
        <f ca="1">VLOOKUP($L163,OFFSET([2]enemies!$A$1,0,0,COUNTA([2]enemies!$A:$A),MATCH(M$1,[2]enemies!$1:$1,0)-MATCH($L$1,[2]enemies!$1:$1,0)+1),MATCH(M$1,[2]enemies!$1:$1,0)-MATCH($L$1,[2]enemies!$1:$1,0)+1,FALSE)</f>
        <v>マーチ</v>
      </c>
      <c r="N163" s="21" t="str">
        <f ca="1">VLOOKUP($L163,OFFSET([2]enemies!$A$1,0,0,COUNTA([2]enemies!$A:$A),MATCH(N$1,[2]enemies!$1:$1,0)-MATCH($L$1,[2]enemies!$1:$1,0)+1),MATCH(N$1,[2]enemies!$1:$1,0)-MATCH($L$1,[2]enemies!$1:$1,0)+1,FALSE)</f>
        <v>green</v>
      </c>
      <c r="O163" s="21" t="str">
        <f ca="1">VLOOKUP($L163,OFFSET([3]characters!$A$1,0,0,COUNTA([3]characters!$A:$A),MATCH(O$1,[3]characters!$1:$1,0)-MATCH($L$1,[3]characters!$1:$1,0)+1),MATCH(O$1,[3]characters!$1:$1,0)-MATCH($L$1,[3]characters!$1:$1,0)+1,FALSE)</f>
        <v>Drop1N</v>
      </c>
      <c r="P163" s="21" t="str">
        <f ca="1">VLOOKUP($L163,OFFSET([2]enemies!$A$1,0,0,COUNTA([2]enemies!$A:$A),MATCH(P$1,[2]enemies!$1:$1,0)-MATCH($L$1,[2]enemies!$1:$1,0)+1),MATCH(P$1,[2]enemies!$1:$1,0)-MATCH($L$1,[2]enemies!$1:$1,0)+1,FALSE)</f>
        <v>animal</v>
      </c>
      <c r="Q163" s="21">
        <f ca="1">VLOOKUP($L163,OFFSET([2]enemies!$A$1,0,0,COUNTA([2]enemies!$A:$A),MATCH(Q$1,[2]enemies!$1:$1,0)-MATCH($L$1,[2]enemies!$1:$1,0)+1),MATCH(Q$1,[2]enemies!$1:$1,0)-MATCH($L$1,[2]enemies!$1:$1,0)+1,FALSE)</f>
        <v>15</v>
      </c>
      <c r="R163" s="53">
        <v>42</v>
      </c>
      <c r="S163" s="27">
        <v>1</v>
      </c>
      <c r="T163" s="27">
        <v>1</v>
      </c>
      <c r="U163" s="5">
        <v>0</v>
      </c>
      <c r="V163" s="4" t="str">
        <f ca="1">VLOOKUP($W163,OFFSET([4]enemy_skill_sets!$B$1,0,0,COUNTA([4]enemy_skill_sets!$B:$B),MATCH(M$1,[4]enemy_skill_sets!$1:$1,0)-MATCH($W$1,[4]enemy_skill_sets!$1:$1,0)+2),MATCH(M$1,[4]enemy_skill_sets!$1:$1,0)-MATCH($W$1,[4]enemy_skill_sets!$1:$1,0)+2,FALSE)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63" s="4">
        <f ca="1">VLOOKUP($L163,OFFSET([2]enemies!$A$1,0,0,COUNTA([2]enemies!$A:$A),MATCH(W$1,[2]enemies!$1:$1,0)-MATCH($L$1,[2]enemies!$1:$1,0)+1),MATCH(W$1,[2]enemies!$1:$1,0)-MATCH($L$1,[2]enemies!$1:$1,0)+1,FALSE)</f>
        <v>59</v>
      </c>
      <c r="X163" s="6">
        <v>0</v>
      </c>
      <c r="Y163" s="6">
        <v>100</v>
      </c>
      <c r="Z163" s="6">
        <v>0</v>
      </c>
      <c r="AA163" s="4">
        <f ca="1">VLOOKUP($L163,OFFSET([2]enemies!$A$1,0,0,COUNTA([2]enemies!$A:$A),MATCH(AA$1,[2]enemies!$1:$1,0)-MATCH($L$1,[2]enemies!$1:$1,0)+1),MATCH(AA$1,[2]enemies!$1:$1,0)-MATCH($L$1,[2]enemies!$1:$1,0)+1,FALSE)</f>
        <v>2</v>
      </c>
      <c r="AB163" s="52">
        <v>59</v>
      </c>
      <c r="AC163" s="4" t="str">
        <f ca="1">VLOOKUP($AB163,OFFSET([3]characters!$A$1,0,0,COUNTA([3]characters!$A:$A),MATCH(AC$1,[3]characters!$1:$1,0)-MATCH("character_id",[3]characters!$1:$1,0)+1),MATCH(AC$1,[3]characters!$1:$1,0)-MATCH("character_id",[3]characters!$1:$1,0)+1,FALSE)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163" s="4">
        <f ca="1">VLOOKUP($AB163,OFFSET([3]characters!$A$1,0,0,COUNTA([3]characters!$A:$A),MATCH(AD$1,[3]characters!$1:$1,0)-MATCH("character_id",[3]characters!$1:$1,0)+1),MATCH(AD$1,[3]characters!$1:$1,0)-MATCH("character_id",[3]characters!$1:$1,0)+1,FALSE)</f>
        <v>2</v>
      </c>
      <c r="AE163" s="4" t="str">
        <f ca="1">VLOOKUP($AB163,OFFSET([3]characters!$A$1,0,0,COUNTA([3]characters!$A:$A),MATCH(AE$1,[3]characters!$1:$1,0)-MATCH("character_id",[3]characters!$1:$1,0)+1),MATCH(AE$1,[3]characters!$1:$1,0)-MATCH("character_id",[3]characters!$1:$1,0)+1,FALSE)</f>
        <v>Drop1N</v>
      </c>
      <c r="AF163" s="7">
        <v>7</v>
      </c>
      <c r="AG163" s="26">
        <f t="shared" ca="1" si="172"/>
        <v>2</v>
      </c>
      <c r="AH163" s="8">
        <v>20</v>
      </c>
      <c r="AI163" s="7">
        <v>0</v>
      </c>
      <c r="AJ163" s="7">
        <v>0</v>
      </c>
      <c r="AK163" s="7">
        <v>0</v>
      </c>
      <c r="AL163" s="7">
        <v>0</v>
      </c>
      <c r="AM163" s="7">
        <v>1</v>
      </c>
    </row>
    <row r="164" spans="1:39" ht="14" x14ac:dyDescent="0.15">
      <c r="A164" s="18" t="str">
        <f t="shared" ca="1" si="157"/>
        <v>23_1-3/21&lt;lv40&gt;s2</v>
      </c>
      <c r="B164" s="50">
        <v>23</v>
      </c>
      <c r="C164" s="49">
        <v>1</v>
      </c>
      <c r="D164" s="2" t="str">
        <f t="shared" si="158"/>
        <v>23_1</v>
      </c>
      <c r="E164" s="2" t="str">
        <f t="shared" si="158"/>
        <v>1_23_1</v>
      </c>
      <c r="F164" s="4" t="str">
        <f ca="1">VLOOKUP($D164,OFFSET([1]stages!$A$1,0,0,COUNTA([1]stages!$A:$A),MATCH(F$1,[1]stages!$2:$2,0)-MATCH($D$1,[1]stages!$2:$2,0)+1),MATCH(F$1,[1]stages!$2:$2,0)-MATCH($D$1,[1]stages!$2:$2,0)+1,FALSE)</f>
        <v>23-1．牙森の子どもたち</v>
      </c>
      <c r="G164" s="56">
        <v>3</v>
      </c>
      <c r="H164" s="17" t="str">
        <f t="shared" si="159"/>
        <v>23_1-3</v>
      </c>
      <c r="I164" s="17"/>
      <c r="J164" s="17"/>
      <c r="K164" s="65" t="s">
        <v>56</v>
      </c>
      <c r="L164" s="52">
        <v>21</v>
      </c>
      <c r="M164" s="21" t="str">
        <f ca="1">VLOOKUP($L164,OFFSET([2]enemies!$A$1,0,0,COUNTA([2]enemies!$A:$A),MATCH(M$1,[2]enemies!$1:$1,0)-MATCH($L$1,[2]enemies!$1:$1,0)+1),MATCH(M$1,[2]enemies!$1:$1,0)-MATCH($L$1,[2]enemies!$1:$1,0)+1,FALSE)</f>
        <v>ヴェロキー</v>
      </c>
      <c r="N164" s="21" t="str">
        <f ca="1">VLOOKUP($L164,OFFSET([2]enemies!$A$1,0,0,COUNTA([2]enemies!$A:$A),MATCH(N$1,[2]enemies!$1:$1,0)-MATCH($L$1,[2]enemies!$1:$1,0)+1),MATCH(N$1,[2]enemies!$1:$1,0)-MATCH($L$1,[2]enemies!$1:$1,0)+1,FALSE)</f>
        <v>red</v>
      </c>
      <c r="O164" s="21" t="str">
        <f ca="1">VLOOKUP($L164,OFFSET([3]characters!$A$1,0,0,COUNTA([3]characters!$A:$A),MATCH(O$1,[3]characters!$1:$1,0)-MATCH($L$1,[3]characters!$1:$1,0)+1),MATCH(O$1,[3]characters!$1:$1,0)-MATCH($L$1,[3]characters!$1:$1,0)+1,FALSE)</f>
        <v>Drop1N</v>
      </c>
      <c r="P164" s="21" t="str">
        <f ca="1">VLOOKUP($L164,OFFSET([2]enemies!$A$1,0,0,COUNTA([2]enemies!$A:$A),MATCH(P$1,[2]enemies!$1:$1,0)-MATCH($L$1,[2]enemies!$1:$1,0)+1),MATCH(P$1,[2]enemies!$1:$1,0)-MATCH($L$1,[2]enemies!$1:$1,0)+1,FALSE)</f>
        <v>dragon</v>
      </c>
      <c r="Q164" s="21">
        <f ca="1">VLOOKUP($L164,OFFSET([2]enemies!$A$1,0,0,COUNTA([2]enemies!$A:$A),MATCH(Q$1,[2]enemies!$1:$1,0)-MATCH($L$1,[2]enemies!$1:$1,0)+1),MATCH(Q$1,[2]enemies!$1:$1,0)-MATCH($L$1,[2]enemies!$1:$1,0)+1,FALSE)</f>
        <v>15</v>
      </c>
      <c r="R164" s="53">
        <v>40</v>
      </c>
      <c r="S164" s="27">
        <v>1</v>
      </c>
      <c r="T164" s="27">
        <v>1</v>
      </c>
      <c r="U164" s="5">
        <v>0</v>
      </c>
      <c r="V164" s="4" t="str">
        <f ca="1">VLOOKUP($W164,OFFSET([4]enemy_skill_sets!$B$1,0,0,COUNTA([4]enemy_skill_sets!$B:$B),MATCH(M$1,[4]enemy_skill_sets!$1:$1,0)-MATCH($W$1,[4]enemy_skill_sets!$1:$1,0)+2),MATCH(M$1,[4]enemy_skill_sets!$1:$1,0)-MATCH($W$1,[4]enemy_skill_sets!$1:$1,0)+2,FALSE)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64" s="4">
        <f ca="1">VLOOKUP($L164,OFFSET([2]enemies!$A$1,0,0,COUNTA([2]enemies!$A:$A),MATCH(W$1,[2]enemies!$1:$1,0)-MATCH($L$1,[2]enemies!$1:$1,0)+1),MATCH(W$1,[2]enemies!$1:$1,0)-MATCH($L$1,[2]enemies!$1:$1,0)+1,FALSE)</f>
        <v>0</v>
      </c>
      <c r="X164" s="6">
        <v>0</v>
      </c>
      <c r="Y164" s="6">
        <v>100</v>
      </c>
      <c r="Z164" s="6">
        <v>0</v>
      </c>
      <c r="AA164" s="4">
        <f ca="1">VLOOKUP($L164,OFFSET([2]enemies!$A$1,0,0,COUNTA([2]enemies!$A:$A),MATCH(AA$1,[2]enemies!$1:$1,0)-MATCH($L$1,[2]enemies!$1:$1,0)+1),MATCH(AA$1,[2]enemies!$1:$1,0)-MATCH($L$1,[2]enemies!$1:$1,0)+1,FALSE)</f>
        <v>2</v>
      </c>
      <c r="AB164" s="52">
        <v>21</v>
      </c>
      <c r="AC164" s="4" t="str">
        <f ca="1">VLOOKUP($AB164,OFFSET([3]characters!$A$1,0,0,COUNTA([3]characters!$A:$A),MATCH(AC$1,[3]characters!$1:$1,0)-MATCH("character_id",[3]characters!$1:$1,0)+1),MATCH(AC$1,[3]characters!$1:$1,0)-MATCH("character_id",[3]characters!$1:$1,0)+1,FALSE)</f>
        <v>ヴェロキー</v>
      </c>
      <c r="AD164" s="4">
        <f ca="1">VLOOKUP($AB164,OFFSET([3]characters!$A$1,0,0,COUNTA([3]characters!$A:$A),MATCH(AD$1,[3]characters!$1:$1,0)-MATCH("character_id",[3]characters!$1:$1,0)+1),MATCH(AD$1,[3]characters!$1:$1,0)-MATCH("character_id",[3]characters!$1:$1,0)+1,FALSE)</f>
        <v>1</v>
      </c>
      <c r="AE164" s="4" t="str">
        <f ca="1">VLOOKUP($AB164,OFFSET([3]characters!$A$1,0,0,COUNTA([3]characters!$A:$A),MATCH(AE$1,[3]characters!$1:$1,0)-MATCH("character_id",[3]characters!$1:$1,0)+1),MATCH(AE$1,[3]characters!$1:$1,0)-MATCH("character_id",[3]characters!$1:$1,0)+1,FALSE)</f>
        <v>Drop1N</v>
      </c>
      <c r="AF164" s="7">
        <v>7</v>
      </c>
      <c r="AG164" s="26">
        <f t="shared" ca="1" si="172"/>
        <v>1</v>
      </c>
      <c r="AH164" s="8">
        <v>20</v>
      </c>
      <c r="AI164" s="7">
        <v>0</v>
      </c>
      <c r="AJ164" s="7">
        <v>0</v>
      </c>
      <c r="AK164" s="7">
        <v>0</v>
      </c>
      <c r="AL164" s="7">
        <v>0</v>
      </c>
      <c r="AM164" s="7">
        <v>1</v>
      </c>
    </row>
    <row r="165" spans="1:39" ht="14" x14ac:dyDescent="0.15">
      <c r="A165" s="18" t="str">
        <f t="shared" ca="1" si="157"/>
        <v>23_1-3/41&lt;lv40&gt;s1</v>
      </c>
      <c r="B165" s="50">
        <v>23</v>
      </c>
      <c r="C165" s="49">
        <v>1</v>
      </c>
      <c r="D165" s="2" t="str">
        <f t="shared" si="158"/>
        <v>23_1</v>
      </c>
      <c r="E165" s="2" t="str">
        <f t="shared" si="158"/>
        <v>1_23_1</v>
      </c>
      <c r="F165" s="4" t="str">
        <f ca="1">VLOOKUP($D165,OFFSET([1]stages!$A$1,0,0,COUNTA([1]stages!$A:$A),MATCH(F$1,[1]stages!$2:$2,0)-MATCH($D$1,[1]stages!$2:$2,0)+1),MATCH(F$1,[1]stages!$2:$2,0)-MATCH($D$1,[1]stages!$2:$2,0)+1,FALSE)</f>
        <v>23-1．牙森の子どもたち</v>
      </c>
      <c r="G165" s="56">
        <v>3</v>
      </c>
      <c r="H165" s="17" t="str">
        <f t="shared" si="159"/>
        <v>23_1-3</v>
      </c>
      <c r="I165" s="17"/>
      <c r="J165" s="17"/>
      <c r="K165" s="65" t="s">
        <v>56</v>
      </c>
      <c r="L165" s="52">
        <v>41</v>
      </c>
      <c r="M165" s="21" t="str">
        <f ca="1">VLOOKUP($L165,OFFSET([2]enemies!$A$1,0,0,COUNTA([2]enemies!$A:$A),MATCH(M$1,[2]enemies!$1:$1,0)-MATCH($L$1,[2]enemies!$1:$1,0)+1),MATCH(M$1,[2]enemies!$1:$1,0)-MATCH($L$1,[2]enemies!$1:$1,0)+1,FALSE)</f>
        <v>ヒュウガ</v>
      </c>
      <c r="N165" s="21" t="str">
        <f ca="1">VLOOKUP($L165,OFFSET([2]enemies!$A$1,0,0,COUNTA([2]enemies!$A:$A),MATCH(N$1,[2]enemies!$1:$1,0)-MATCH($L$1,[2]enemies!$1:$1,0)+1),MATCH(N$1,[2]enemies!$1:$1,0)-MATCH($L$1,[2]enemies!$1:$1,0)+1,FALSE)</f>
        <v>red</v>
      </c>
      <c r="O165" s="21" t="str">
        <f ca="1">VLOOKUP($L165,OFFSET([3]characters!$A$1,0,0,COUNTA([3]characters!$A:$A),MATCH(O$1,[3]characters!$1:$1,0)-MATCH($L$1,[3]characters!$1:$1,0)+1),MATCH(O$1,[3]characters!$1:$1,0)-MATCH($L$1,[3]characters!$1:$1,0)+1,FALSE)</f>
        <v>Drop1N</v>
      </c>
      <c r="P165" s="21" t="str">
        <f ca="1">VLOOKUP($L165,OFFSET([2]enemies!$A$1,0,0,COUNTA([2]enemies!$A:$A),MATCH(P$1,[2]enemies!$1:$1,0)-MATCH($L$1,[2]enemies!$1:$1,0)+1),MATCH(P$1,[2]enemies!$1:$1,0)-MATCH($L$1,[2]enemies!$1:$1,0)+1,FALSE)</f>
        <v>dragon</v>
      </c>
      <c r="Q165" s="21">
        <f ca="1">VLOOKUP($L165,OFFSET([2]enemies!$A$1,0,0,COUNTA([2]enemies!$A:$A),MATCH(Q$1,[2]enemies!$1:$1,0)-MATCH($L$1,[2]enemies!$1:$1,0)+1),MATCH(Q$1,[2]enemies!$1:$1,0)-MATCH($L$1,[2]enemies!$1:$1,0)+1,FALSE)</f>
        <v>15</v>
      </c>
      <c r="R165" s="53">
        <v>40</v>
      </c>
      <c r="S165" s="27">
        <v>1</v>
      </c>
      <c r="T165" s="27">
        <v>1</v>
      </c>
      <c r="U165" s="5">
        <v>0</v>
      </c>
      <c r="V165" s="4" t="str">
        <f ca="1">VLOOKUP($W165,OFFSET([4]enemy_skill_sets!$B$1,0,0,COUNTA([4]enemy_skill_sets!$B:$B),MATCH(M$1,[4]enemy_skill_sets!$1:$1,0)-MATCH($W$1,[4]enemy_skill_sets!$1:$1,0)+2),MATCH(M$1,[4]enemy_skill_sets!$1:$1,0)-MATCH($W$1,[4]enemy_skill_sets!$1:$1,0)+2,FALSE)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65" s="4">
        <f ca="1">VLOOKUP($L165,OFFSET([2]enemies!$A$1,0,0,COUNTA([2]enemies!$A:$A),MATCH(W$1,[2]enemies!$1:$1,0)-MATCH($L$1,[2]enemies!$1:$1,0)+1),MATCH(W$1,[2]enemies!$1:$1,0)-MATCH($L$1,[2]enemies!$1:$1,0)+1,FALSE)</f>
        <v>0</v>
      </c>
      <c r="X165" s="6">
        <v>0</v>
      </c>
      <c r="Y165" s="6">
        <v>100</v>
      </c>
      <c r="Z165" s="6">
        <v>0</v>
      </c>
      <c r="AA165" s="4">
        <f ca="1">VLOOKUP($L165,OFFSET([2]enemies!$A$1,0,0,COUNTA([2]enemies!$A:$A),MATCH(AA$1,[2]enemies!$1:$1,0)-MATCH($L$1,[2]enemies!$1:$1,0)+1),MATCH(AA$1,[2]enemies!$1:$1,0)-MATCH($L$1,[2]enemies!$1:$1,0)+1,FALSE)</f>
        <v>1</v>
      </c>
      <c r="AB165" s="52">
        <v>41</v>
      </c>
      <c r="AC165" s="4" t="str">
        <f ca="1">VLOOKUP($AB165,OFFSET([3]characters!$A$1,0,0,COUNTA([3]characters!$A:$A),MATCH(AC$1,[3]characters!$1:$1,0)-MATCH("character_id",[3]characters!$1:$1,0)+1),MATCH(AC$1,[3]characters!$1:$1,0)-MATCH("character_id",[3]characters!$1:$1,0)+1,FALSE)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165" s="4">
        <f ca="1">VLOOKUP($AB165,OFFSET([3]characters!$A$1,0,0,COUNTA([3]characters!$A:$A),MATCH(AD$1,[3]characters!$1:$1,0)-MATCH("character_id",[3]characters!$1:$1,0)+1),MATCH(AD$1,[3]characters!$1:$1,0)-MATCH("character_id",[3]characters!$1:$1,0)+1,FALSE)</f>
        <v>2</v>
      </c>
      <c r="AE165" s="4" t="str">
        <f ca="1">VLOOKUP($AB165,OFFSET([3]characters!$A$1,0,0,COUNTA([3]characters!$A:$A),MATCH(AE$1,[3]characters!$1:$1,0)-MATCH("character_id",[3]characters!$1:$1,0)+1),MATCH(AE$1,[3]characters!$1:$1,0)-MATCH("character_id",[3]characters!$1:$1,0)+1,FALSE)</f>
        <v>Drop1N</v>
      </c>
      <c r="AF165" s="7">
        <v>7</v>
      </c>
      <c r="AG165" s="26">
        <f t="shared" ca="1" si="172"/>
        <v>2</v>
      </c>
      <c r="AH165" s="8">
        <v>20</v>
      </c>
      <c r="AI165" s="7">
        <v>0</v>
      </c>
      <c r="AJ165" s="7">
        <v>0</v>
      </c>
      <c r="AK165" s="7">
        <v>0</v>
      </c>
      <c r="AL165" s="7">
        <v>0</v>
      </c>
      <c r="AM165" s="7">
        <v>1</v>
      </c>
    </row>
    <row r="166" spans="1:39" ht="14" x14ac:dyDescent="0.15">
      <c r="A166" s="18" t="str">
        <f t="shared" ref="A166:A207" ca="1" si="201">B166&amp;"_"&amp;C166&amp;"-"&amp;G166&amp;"/"&amp;L166&amp;"&lt;lv"&amp;R166&amp;"&gt;s"&amp;AA166</f>
        <v>23_1-3/43&lt;lv42&gt;s2</v>
      </c>
      <c r="B166" s="50">
        <v>23</v>
      </c>
      <c r="C166" s="49">
        <v>1</v>
      </c>
      <c r="D166" s="2" t="str">
        <f t="shared" ref="D166:E206" si="202">B166&amp;"_"&amp;C166</f>
        <v>23_1</v>
      </c>
      <c r="E166" s="2" t="str">
        <f t="shared" si="202"/>
        <v>1_23_1</v>
      </c>
      <c r="F166" s="4" t="str">
        <f ca="1">VLOOKUP($D166,OFFSET([1]stages!$A$1,0,0,COUNTA([1]stages!$A:$A),MATCH(F$1,[1]stages!$2:$2,0)-MATCH($D$1,[1]stages!$2:$2,0)+1),MATCH(F$1,[1]stages!$2:$2,0)-MATCH($D$1,[1]stages!$2:$2,0)+1,FALSE)</f>
        <v>23-1．牙森の子どもたち</v>
      </c>
      <c r="G166" s="56">
        <v>3</v>
      </c>
      <c r="H166" s="17" t="str">
        <f t="shared" ref="H166:H207" si="203">B166&amp;"_"&amp;C166&amp;"-"&amp;G166</f>
        <v>23_1-3</v>
      </c>
      <c r="I166" s="17"/>
      <c r="J166" s="17"/>
      <c r="K166" s="65" t="s">
        <v>56</v>
      </c>
      <c r="L166" s="52">
        <v>43</v>
      </c>
      <c r="M166" s="21" t="str">
        <f ca="1">VLOOKUP($L166,OFFSET([2]enemies!$A$1,0,0,COUNTA([2]enemies!$A:$A),MATCH(M$1,[2]enemies!$1:$1,0)-MATCH($L$1,[2]enemies!$1:$1,0)+1),MATCH(M$1,[2]enemies!$1:$1,0)-MATCH($L$1,[2]enemies!$1:$1,0)+1,FALSE)</f>
        <v>ムゥ</v>
      </c>
      <c r="N166" s="21" t="str">
        <f ca="1">VLOOKUP($L166,OFFSET([2]enemies!$A$1,0,0,COUNTA([2]enemies!$A:$A),MATCH(N$1,[2]enemies!$1:$1,0)-MATCH($L$1,[2]enemies!$1:$1,0)+1),MATCH(N$1,[2]enemies!$1:$1,0)-MATCH($L$1,[2]enemies!$1:$1,0)+1,FALSE)</f>
        <v>green</v>
      </c>
      <c r="O166" s="21" t="str">
        <f ca="1">VLOOKUP($L166,OFFSET([3]characters!$A$1,0,0,COUNTA([3]characters!$A:$A),MATCH(O$1,[3]characters!$1:$1,0)-MATCH($L$1,[3]characters!$1:$1,0)+1),MATCH(O$1,[3]characters!$1:$1,0)-MATCH($L$1,[3]characters!$1:$1,0)+1,FALSE)</f>
        <v>Drop1N</v>
      </c>
      <c r="P166" s="21" t="str">
        <f ca="1">VLOOKUP($L166,OFFSET([2]enemies!$A$1,0,0,COUNTA([2]enemies!$A:$A),MATCH(P$1,[2]enemies!$1:$1,0)-MATCH($L$1,[2]enemies!$1:$1,0)+1),MATCH(P$1,[2]enemies!$1:$1,0)-MATCH($L$1,[2]enemies!$1:$1,0)+1,FALSE)</f>
        <v>dragon</v>
      </c>
      <c r="Q166" s="21">
        <f ca="1">VLOOKUP($L166,OFFSET([2]enemies!$A$1,0,0,COUNTA([2]enemies!$A:$A),MATCH(Q$1,[2]enemies!$1:$1,0)-MATCH($L$1,[2]enemies!$1:$1,0)+1),MATCH(Q$1,[2]enemies!$1:$1,0)-MATCH($L$1,[2]enemies!$1:$1,0)+1,FALSE)</f>
        <v>15</v>
      </c>
      <c r="R166" s="53">
        <v>42</v>
      </c>
      <c r="S166" s="27">
        <v>1</v>
      </c>
      <c r="T166" s="27">
        <v>1</v>
      </c>
      <c r="U166" s="5">
        <v>0</v>
      </c>
      <c r="V166" s="4" t="str">
        <f ca="1">VLOOKUP($W166,OFFSET([4]enemy_skill_sets!$B$1,0,0,COUNTA([4]enemy_skill_sets!$B:$B),MATCH(M$1,[4]enemy_skill_sets!$1:$1,0)-MATCH($W$1,[4]enemy_skill_sets!$1:$1,0)+2),MATCH(M$1,[4]enemy_skill_sets!$1:$1,0)-MATCH($W$1,[4]enemy_skill_sets!$1:$1,0)+2,FALSE)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66" s="4">
        <f ca="1">VLOOKUP($L166,OFFSET([2]enemies!$A$1,0,0,COUNTA([2]enemies!$A:$A),MATCH(W$1,[2]enemies!$1:$1,0)-MATCH($L$1,[2]enemies!$1:$1,0)+1),MATCH(W$1,[2]enemies!$1:$1,0)-MATCH($L$1,[2]enemies!$1:$1,0)+1,FALSE)</f>
        <v>0</v>
      </c>
      <c r="X166" s="6">
        <v>0</v>
      </c>
      <c r="Y166" s="6">
        <v>100</v>
      </c>
      <c r="Z166" s="6">
        <v>0</v>
      </c>
      <c r="AA166" s="4">
        <f ca="1">VLOOKUP($L166,OFFSET([2]enemies!$A$1,0,0,COUNTA([2]enemies!$A:$A),MATCH(AA$1,[2]enemies!$1:$1,0)-MATCH($L$1,[2]enemies!$1:$1,0)+1),MATCH(AA$1,[2]enemies!$1:$1,0)-MATCH($L$1,[2]enemies!$1:$1,0)+1,FALSE)</f>
        <v>2</v>
      </c>
      <c r="AB166" s="52">
        <v>43</v>
      </c>
      <c r="AC166" s="4" t="str">
        <f ca="1">VLOOKUP($AB166,OFFSET([3]characters!$A$1,0,0,COUNTA([3]characters!$A:$A),MATCH(AC$1,[3]characters!$1:$1,0)-MATCH("character_id",[3]characters!$1:$1,0)+1),MATCH(AC$1,[3]characters!$1:$1,0)-MATCH("character_id",[3]characters!$1:$1,0)+1,FALSE)</f>
        <v>ムゥ</v>
      </c>
      <c r="AD166" s="4">
        <f ca="1">VLOOKUP($AB166,OFFSET([3]characters!$A$1,0,0,COUNTA([3]characters!$A:$A),MATCH(AD$1,[3]characters!$1:$1,0)-MATCH("character_id",[3]characters!$1:$1,0)+1),MATCH(AD$1,[3]characters!$1:$1,0)-MATCH("character_id",[3]characters!$1:$1,0)+1,FALSE)</f>
        <v>2</v>
      </c>
      <c r="AE166" s="4" t="str">
        <f ca="1">VLOOKUP($AB166,OFFSET([3]characters!$A$1,0,0,COUNTA([3]characters!$A:$A),MATCH(AE$1,[3]characters!$1:$1,0)-MATCH("character_id",[3]characters!$1:$1,0)+1),MATCH(AE$1,[3]characters!$1:$1,0)-MATCH("character_id",[3]characters!$1:$1,0)+1,FALSE)</f>
        <v>Drop1N</v>
      </c>
      <c r="AF166" s="7">
        <v>7</v>
      </c>
      <c r="AG166" s="26">
        <f t="shared" ca="1" si="172"/>
        <v>2</v>
      </c>
      <c r="AH166" s="8">
        <v>20</v>
      </c>
      <c r="AI166" s="7">
        <v>0</v>
      </c>
      <c r="AJ166" s="7">
        <v>0</v>
      </c>
      <c r="AK166" s="7">
        <v>0</v>
      </c>
      <c r="AL166" s="7">
        <v>0</v>
      </c>
      <c r="AM166" s="7">
        <v>1</v>
      </c>
    </row>
    <row r="167" spans="1:39" ht="14" x14ac:dyDescent="0.15">
      <c r="A167" s="18" t="str">
        <f t="shared" ca="1" si="201"/>
        <v>23_1-3/360&lt;lv40&gt;s3</v>
      </c>
      <c r="B167" s="53">
        <v>23</v>
      </c>
      <c r="C167" s="51">
        <v>1</v>
      </c>
      <c r="D167" s="2" t="str">
        <f t="shared" si="202"/>
        <v>23_1</v>
      </c>
      <c r="E167" s="2" t="str">
        <f t="shared" si="202"/>
        <v>1_23_1</v>
      </c>
      <c r="F167" s="4" t="str">
        <f ca="1">VLOOKUP($D167,OFFSET([1]stages!$A$1,0,0,COUNTA([1]stages!$A:$A),MATCH(F$1,[1]stages!$2:$2,0)-MATCH($D$1,[1]stages!$2:$2,0)+1),MATCH(F$1,[1]stages!$2:$2,0)-MATCH($D$1,[1]stages!$2:$2,0)+1,FALSE)</f>
        <v>23-1．牙森の子どもたち</v>
      </c>
      <c r="G167" s="56">
        <v>3</v>
      </c>
      <c r="H167" s="17" t="str">
        <f t="shared" si="203"/>
        <v>23_1-3</v>
      </c>
      <c r="I167" s="17"/>
      <c r="J167" s="17"/>
      <c r="K167" s="65" t="s">
        <v>56</v>
      </c>
      <c r="L167" s="52">
        <v>360</v>
      </c>
      <c r="M167" s="21" t="str">
        <f ca="1">VLOOKUP($L167,OFFSET([2]enemies!$A$1,0,0,COUNTA([2]enemies!$A:$A),MATCH(M$1,[2]enemies!$1:$1,0)-MATCH($L$1,[2]enemies!$1:$1,0)+1),MATCH(M$1,[2]enemies!$1:$1,0)-MATCH($L$1,[2]enemies!$1:$1,0)+1,FALSE)</f>
        <v>ガンテツ</v>
      </c>
      <c r="N167" s="21" t="str">
        <f ca="1">VLOOKUP($L167,OFFSET([2]enemies!$A$1,0,0,COUNTA([2]enemies!$A:$A),MATCH(N$1,[2]enemies!$1:$1,0)-MATCH($L$1,[2]enemies!$1:$1,0)+1),MATCH(N$1,[2]enemies!$1:$1,0)-MATCH($L$1,[2]enemies!$1:$1,0)+1,FALSE)</f>
        <v>red</v>
      </c>
      <c r="O167" s="21" t="str">
        <f ca="1">VLOOKUP($L167,OFFSET([3]characters!$A$1,0,0,COUNTA([3]characters!$A:$A),MATCH(O$1,[3]characters!$1:$1,0)-MATCH($L$1,[3]characters!$1:$1,0)+1),MATCH(O$1,[3]characters!$1:$1,0)-MATCH($L$1,[3]characters!$1:$1,0)+1,FALSE)</f>
        <v>Drop1S</v>
      </c>
      <c r="P167" s="21" t="str">
        <f ca="1">VLOOKUP($L167,OFFSET([2]enemies!$A$1,0,0,COUNTA([2]enemies!$A:$A),MATCH(P$1,[2]enemies!$1:$1,0)-MATCH($L$1,[2]enemies!$1:$1,0)+1),MATCH(P$1,[2]enemies!$1:$1,0)-MATCH($L$1,[2]enemies!$1:$1,0)+1,FALSE)</f>
        <v>animal</v>
      </c>
      <c r="Q167" s="21">
        <f ca="1">VLOOKUP($L167,OFFSET([2]enemies!$A$1,0,0,COUNTA([2]enemies!$A:$A),MATCH(Q$1,[2]enemies!$1:$1,0)-MATCH($L$1,[2]enemies!$1:$1,0)+1),MATCH(Q$1,[2]enemies!$1:$1,0)-MATCH($L$1,[2]enemies!$1:$1,0)+1,FALSE)</f>
        <v>15</v>
      </c>
      <c r="R167" s="53">
        <v>40</v>
      </c>
      <c r="S167" s="27">
        <v>1</v>
      </c>
      <c r="T167" s="27">
        <v>1</v>
      </c>
      <c r="U167" s="5">
        <v>0</v>
      </c>
      <c r="V167" s="4" t="str">
        <f ca="1">VLOOKUP($W167,OFFSET([4]enemy_skill_sets!$B$1,0,0,COUNTA([4]enemy_skill_sets!$B:$B),MATCH(M$1,[4]enemy_skill_sets!$1:$1,0)-MATCH($W$1,[4]enemy_skill_sets!$1:$1,0)+2),MATCH(M$1,[4]enemy_skill_sets!$1:$1,0)-MATCH($W$1,[4]enemy_skill_sets!$1:$1,0)+2,FALSE)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67" s="76">
        <v>360</v>
      </c>
      <c r="X167" s="6">
        <v>0</v>
      </c>
      <c r="Y167" s="6">
        <v>100</v>
      </c>
      <c r="Z167" s="6">
        <v>0</v>
      </c>
      <c r="AA167" s="4">
        <f ca="1">VLOOKUP($L167,OFFSET([2]enemies!$A$1,0,0,COUNTA([2]enemies!$A:$A),MATCH(AA$1,[2]enemies!$1:$1,0)-MATCH($L$1,[2]enemies!$1:$1,0)+1),MATCH(AA$1,[2]enemies!$1:$1,0)-MATCH($L$1,[2]enemies!$1:$1,0)+1,FALSE)</f>
        <v>3</v>
      </c>
      <c r="AB167" s="52">
        <v>360</v>
      </c>
      <c r="AC167" s="4" t="str">
        <f ca="1">VLOOKUP($AB167,OFFSET([3]characters!$A$1,0,0,COUNTA([3]characters!$A:$A),MATCH(AC$1,[3]characters!$1:$1,0)-MATCH("character_id",[3]characters!$1:$1,0)+1),MATCH(AC$1,[3]characters!$1:$1,0)-MATCH("character_id",[3]characters!$1:$1,0)+1,FALSE)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67" s="4">
        <f ca="1">VLOOKUP($AB167,OFFSET([3]characters!$A$1,0,0,COUNTA([3]characters!$A:$A),MATCH(AD$1,[3]characters!$1:$1,0)-MATCH("character_id",[3]characters!$1:$1,0)+1),MATCH(AD$1,[3]characters!$1:$1,0)-MATCH("character_id",[3]characters!$1:$1,0)+1,FALSE)</f>
        <v>2</v>
      </c>
      <c r="AE167" s="4" t="str">
        <f ca="1">VLOOKUP($AB167,OFFSET([3]characters!$A$1,0,0,COUNTA([3]characters!$A:$A),MATCH(AE$1,[3]characters!$1:$1,0)-MATCH("character_id",[3]characters!$1:$1,0)+1),MATCH(AE$1,[3]characters!$1:$1,0)-MATCH("character_id",[3]characters!$1:$1,0)+1,FALSE)</f>
        <v>Drop1S</v>
      </c>
      <c r="AF167" s="7">
        <v>7</v>
      </c>
      <c r="AG167" s="26">
        <f t="shared" ca="1" si="172"/>
        <v>2</v>
      </c>
      <c r="AH167" s="8">
        <v>20</v>
      </c>
      <c r="AI167" s="7">
        <v>0</v>
      </c>
      <c r="AJ167" s="7">
        <v>0</v>
      </c>
      <c r="AK167" s="7">
        <v>0</v>
      </c>
      <c r="AL167" s="7">
        <v>0</v>
      </c>
      <c r="AM167" s="7">
        <v>1</v>
      </c>
    </row>
    <row r="168" spans="1:39" ht="14" x14ac:dyDescent="0.15">
      <c r="A168" s="18" t="str">
        <f t="shared" ref="A168" ca="1" si="204">B168&amp;"_"&amp;C168&amp;"-"&amp;G168&amp;"/"&amp;L168&amp;"&lt;lv"&amp;R168&amp;"&gt;s"&amp;AA168</f>
        <v>23_1-3/362&lt;lv42&gt;s3</v>
      </c>
      <c r="B168" s="53">
        <v>23</v>
      </c>
      <c r="C168" s="51">
        <v>1</v>
      </c>
      <c r="D168" s="2" t="str">
        <f t="shared" ref="D168" si="205">B168&amp;"_"&amp;C168</f>
        <v>23_1</v>
      </c>
      <c r="E168" s="2" t="str">
        <f t="shared" ref="E168" si="206">C168&amp;"_"&amp;D168</f>
        <v>1_23_1</v>
      </c>
      <c r="F168" s="4" t="str">
        <f ca="1">VLOOKUP($D168,OFFSET([1]stages!$A$1,0,0,COUNTA([1]stages!$A:$A),MATCH(F$1,[1]stages!$2:$2,0)-MATCH($D$1,[1]stages!$2:$2,0)+1),MATCH(F$1,[1]stages!$2:$2,0)-MATCH($D$1,[1]stages!$2:$2,0)+1,FALSE)</f>
        <v>23-1．牙森の子どもたち</v>
      </c>
      <c r="G168" s="56">
        <v>3</v>
      </c>
      <c r="H168" s="17" t="str">
        <f t="shared" ref="H168" si="207">B168&amp;"_"&amp;C168&amp;"-"&amp;G168</f>
        <v>23_1-3</v>
      </c>
      <c r="I168" s="17"/>
      <c r="J168" s="17"/>
      <c r="K168" s="65" t="s">
        <v>56</v>
      </c>
      <c r="L168" s="52">
        <v>362</v>
      </c>
      <c r="M168" s="21" t="str">
        <f ca="1">VLOOKUP($L168,OFFSET([2]enemies!$A$1,0,0,COUNTA([2]enemies!$A:$A),MATCH(M$1,[2]enemies!$1:$1,0)-MATCH($L$1,[2]enemies!$1:$1,0)+1),MATCH(M$1,[2]enemies!$1:$1,0)-MATCH($L$1,[2]enemies!$1:$1,0)+1,FALSE)</f>
        <v>ゆらら</v>
      </c>
      <c r="N168" s="21" t="str">
        <f ca="1">VLOOKUP($L168,OFFSET([2]enemies!$A$1,0,0,COUNTA([2]enemies!$A:$A),MATCH(N$1,[2]enemies!$1:$1,0)-MATCH($L$1,[2]enemies!$1:$1,0)+1),MATCH(N$1,[2]enemies!$1:$1,0)-MATCH($L$1,[2]enemies!$1:$1,0)+1,FALSE)</f>
        <v>green</v>
      </c>
      <c r="O168" s="21" t="str">
        <f ca="1">VLOOKUP($L168,OFFSET([3]characters!$A$1,0,0,COUNTA([3]characters!$A:$A),MATCH(O$1,[3]characters!$1:$1,0)-MATCH($L$1,[3]characters!$1:$1,0)+1),MATCH(O$1,[3]characters!$1:$1,0)-MATCH($L$1,[3]characters!$1:$1,0)+1,FALSE)</f>
        <v>Drop1S</v>
      </c>
      <c r="P168" s="21" t="str">
        <f ca="1">VLOOKUP($L168,OFFSET([2]enemies!$A$1,0,0,COUNTA([2]enemies!$A:$A),MATCH(P$1,[2]enemies!$1:$1,0)-MATCH($L$1,[2]enemies!$1:$1,0)+1),MATCH(P$1,[2]enemies!$1:$1,0)-MATCH($L$1,[2]enemies!$1:$1,0)+1,FALSE)</f>
        <v>animal</v>
      </c>
      <c r="Q168" s="21">
        <f ca="1">VLOOKUP($L168,OFFSET([2]enemies!$A$1,0,0,COUNTA([2]enemies!$A:$A),MATCH(Q$1,[2]enemies!$1:$1,0)-MATCH($L$1,[2]enemies!$1:$1,0)+1),MATCH(Q$1,[2]enemies!$1:$1,0)-MATCH($L$1,[2]enemies!$1:$1,0)+1,FALSE)</f>
        <v>15</v>
      </c>
      <c r="R168" s="53">
        <v>42</v>
      </c>
      <c r="S168" s="27">
        <v>1</v>
      </c>
      <c r="T168" s="27">
        <v>1</v>
      </c>
      <c r="U168" s="5">
        <v>0</v>
      </c>
      <c r="V168" s="4" t="str">
        <f ca="1">VLOOKUP($W168,OFFSET([4]enemy_skill_sets!$B$1,0,0,COUNTA([4]enemy_skill_sets!$B:$B),MATCH(M$1,[4]enemy_skill_sets!$1:$1,0)-MATCH($W$1,[4]enemy_skill_sets!$1:$1,0)+2),MATCH(M$1,[4]enemy_skill_sets!$1:$1,0)-MATCH($W$1,[4]enemy_skill_sets!$1:$1,0)+2,FALSE)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168" s="64">
        <v>362</v>
      </c>
      <c r="X168" s="6">
        <v>0</v>
      </c>
      <c r="Y168" s="6">
        <v>100</v>
      </c>
      <c r="Z168" s="6">
        <v>0</v>
      </c>
      <c r="AA168" s="4">
        <f ca="1">VLOOKUP($L168,OFFSET([2]enemies!$A$1,0,0,COUNTA([2]enemies!$A:$A),MATCH(AA$1,[2]enemies!$1:$1,0)-MATCH($L$1,[2]enemies!$1:$1,0)+1),MATCH(AA$1,[2]enemies!$1:$1,0)-MATCH($L$1,[2]enemies!$1:$1,0)+1,FALSE)</f>
        <v>3</v>
      </c>
      <c r="AB168" s="52">
        <v>362</v>
      </c>
      <c r="AC168" s="4" t="str">
        <f ca="1">VLOOKUP($AB168,OFFSET([3]characters!$A$1,0,0,COUNTA([3]characters!$A:$A),MATCH(AC$1,[3]characters!$1:$1,0)-MATCH("character_id",[3]characters!$1:$1,0)+1),MATCH(AC$1,[3]characters!$1:$1,0)-MATCH("character_id",[3]characters!$1:$1,0)+1,FALSE)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168" s="4">
        <f ca="1">VLOOKUP($AB168,OFFSET([3]characters!$A$1,0,0,COUNTA([3]characters!$A:$A),MATCH(AD$1,[3]characters!$1:$1,0)-MATCH("character_id",[3]characters!$1:$1,0)+1),MATCH(AD$1,[3]characters!$1:$1,0)-MATCH("character_id",[3]characters!$1:$1,0)+1,FALSE)</f>
        <v>2</v>
      </c>
      <c r="AE168" s="4" t="str">
        <f ca="1">VLOOKUP($AB168,OFFSET([3]characters!$A$1,0,0,COUNTA([3]characters!$A:$A),MATCH(AE$1,[3]characters!$1:$1,0)-MATCH("character_id",[3]characters!$1:$1,0)+1),MATCH(AE$1,[3]characters!$1:$1,0)-MATCH("character_id",[3]characters!$1:$1,0)+1,FALSE)</f>
        <v>Drop1S</v>
      </c>
      <c r="AF168" s="7">
        <v>7</v>
      </c>
      <c r="AG168" s="26">
        <f t="shared" ca="1" si="172"/>
        <v>2</v>
      </c>
      <c r="AH168" s="8">
        <v>20</v>
      </c>
      <c r="AI168" s="7">
        <v>0</v>
      </c>
      <c r="AJ168" s="7">
        <v>0</v>
      </c>
      <c r="AK168" s="7">
        <v>0</v>
      </c>
      <c r="AL168" s="7">
        <v>0</v>
      </c>
      <c r="AM168" s="7">
        <v>1</v>
      </c>
    </row>
    <row r="169" spans="1:39" ht="14" x14ac:dyDescent="0.15">
      <c r="A169" s="18" t="str">
        <f t="shared" ref="A169" ca="1" si="208">B169&amp;"_"&amp;C169&amp;"-"&amp;G169&amp;"/"&amp;L169&amp;"&lt;lv"&amp;R169&amp;"&gt;s"&amp;AA169</f>
        <v>23_1-3/350&lt;lv42&gt;s3</v>
      </c>
      <c r="B169" s="53">
        <v>23</v>
      </c>
      <c r="C169" s="51">
        <v>1</v>
      </c>
      <c r="D169" s="2" t="str">
        <f t="shared" ref="D169" si="209">B169&amp;"_"&amp;C169</f>
        <v>23_1</v>
      </c>
      <c r="E169" s="2" t="str">
        <f t="shared" ref="E169" si="210">C169&amp;"_"&amp;D169</f>
        <v>1_23_1</v>
      </c>
      <c r="F169" s="4" t="str">
        <f ca="1">VLOOKUP($D169,OFFSET([1]stages!$A$1,0,0,COUNTA([1]stages!$A:$A),MATCH(F$1,[1]stages!$2:$2,0)-MATCH($D$1,[1]stages!$2:$2,0)+1),MATCH(F$1,[1]stages!$2:$2,0)-MATCH($D$1,[1]stages!$2:$2,0)+1,FALSE)</f>
        <v>23-1．牙森の子どもたち</v>
      </c>
      <c r="G169" s="56">
        <v>3</v>
      </c>
      <c r="H169" s="17" t="str">
        <f t="shared" ref="H169" si="211">B169&amp;"_"&amp;C169&amp;"-"&amp;G169</f>
        <v>23_1-3</v>
      </c>
      <c r="I169" s="17"/>
      <c r="J169" s="17"/>
      <c r="K169" s="65" t="s">
        <v>56</v>
      </c>
      <c r="L169" s="52">
        <v>350</v>
      </c>
      <c r="M169" s="21" t="str">
        <f ca="1">VLOOKUP($L169,OFFSET([2]enemies!$A$1,0,0,COUNTA([2]enemies!$A:$A),MATCH(M$1,[2]enemies!$1:$1,0)-MATCH($L$1,[2]enemies!$1:$1,0)+1),MATCH(M$1,[2]enemies!$1:$1,0)-MATCH($L$1,[2]enemies!$1:$1,0)+1,FALSE)</f>
        <v>森のケロケロ</v>
      </c>
      <c r="N169" s="21" t="str">
        <f ca="1">VLOOKUP($L169,OFFSET([2]enemies!$A$1,0,0,COUNTA([2]enemies!$A:$A),MATCH(N$1,[2]enemies!$1:$1,0)-MATCH($L$1,[2]enemies!$1:$1,0)+1),MATCH(N$1,[2]enemies!$1:$1,0)-MATCH($L$1,[2]enemies!$1:$1,0)+1,FALSE)</f>
        <v>green</v>
      </c>
      <c r="O169" s="21" t="str">
        <f ca="1">VLOOKUP($L169,OFFSET([3]characters!$A$1,0,0,COUNTA([3]characters!$A:$A),MATCH(O$1,[3]characters!$1:$1,0)-MATCH($L$1,[3]characters!$1:$1,0)+1),MATCH(O$1,[3]characters!$1:$1,0)-MATCH($L$1,[3]characters!$1:$1,0)+1,FALSE)</f>
        <v>Material</v>
      </c>
      <c r="P169" s="21" t="str">
        <f ca="1">VLOOKUP($L169,OFFSET([2]enemies!$A$1,0,0,COUNTA([2]enemies!$A:$A),MATCH(P$1,[2]enemies!$1:$1,0)-MATCH($L$1,[2]enemies!$1:$1,0)+1),MATCH(P$1,[2]enemies!$1:$1,0)-MATCH($L$1,[2]enemies!$1:$1,0)+1,FALSE)</f>
        <v>unknown</v>
      </c>
      <c r="Q169" s="21">
        <f ca="1">VLOOKUP($L169,OFFSET([2]enemies!$A$1,0,0,COUNTA([2]enemies!$A:$A),MATCH(Q$1,[2]enemies!$1:$1,0)-MATCH($L$1,[2]enemies!$1:$1,0)+1),MATCH(Q$1,[2]enemies!$1:$1,0)-MATCH($L$1,[2]enemies!$1:$1,0)+1,FALSE)</f>
        <v>15</v>
      </c>
      <c r="R169" s="53">
        <v>42</v>
      </c>
      <c r="S169" s="27">
        <v>1</v>
      </c>
      <c r="T169" s="27">
        <v>1</v>
      </c>
      <c r="U169" s="5">
        <v>0</v>
      </c>
      <c r="V169" s="4" t="str">
        <f ca="1">VLOOKUP($W169,OFFSET([4]enemy_skill_sets!$B$1,0,0,COUNTA([4]enemy_skill_sets!$B:$B),MATCH(M$1,[4]enemy_skill_sets!$1:$1,0)-MATCH($W$1,[4]enemy_skill_sets!$1:$1,0)+2),MATCH(M$1,[4]enemy_skill_sets!$1:$1,0)-MATCH($W$1,[4]enemy_skill_sets!$1:$1,0)+2,FALSE)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169" s="64">
        <v>350</v>
      </c>
      <c r="X169" s="6">
        <v>1</v>
      </c>
      <c r="Y169" s="6">
        <v>100</v>
      </c>
      <c r="Z169" s="6">
        <v>0</v>
      </c>
      <c r="AA169" s="4">
        <f ca="1">VLOOKUP($L169,OFFSET([2]enemies!$A$1,0,0,COUNTA([2]enemies!$A:$A),MATCH(AA$1,[2]enemies!$1:$1,0)-MATCH($L$1,[2]enemies!$1:$1,0)+1),MATCH(AA$1,[2]enemies!$1:$1,0)-MATCH($L$1,[2]enemies!$1:$1,0)+1,FALSE)</f>
        <v>3</v>
      </c>
      <c r="AB169" s="52">
        <v>350</v>
      </c>
      <c r="AC169" s="4" t="str">
        <f ca="1">VLOOKUP($AB169,OFFSET([3]characters!$A$1,0,0,COUNTA([3]characters!$A:$A),MATCH(AC$1,[3]characters!$1:$1,0)-MATCH("character_id",[3]characters!$1:$1,0)+1),MATCH(AC$1,[3]characters!$1:$1,0)-MATCH("character_id",[3]characters!$1:$1,0)+1,FALSE)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169" s="4">
        <f ca="1">VLOOKUP($AB169,OFFSET([3]characters!$A$1,0,0,COUNTA([3]characters!$A:$A),MATCH(AD$1,[3]characters!$1:$1,0)-MATCH("character_id",[3]characters!$1:$1,0)+1),MATCH(AD$1,[3]characters!$1:$1,0)-MATCH("character_id",[3]characters!$1:$1,0)+1,FALSE)</f>
        <v>2</v>
      </c>
      <c r="AE169" s="4" t="str">
        <f ca="1">VLOOKUP($AB169,OFFSET([3]characters!$A$1,0,0,COUNTA([3]characters!$A:$A),MATCH(AE$1,[3]characters!$1:$1,0)-MATCH("character_id",[3]characters!$1:$1,0)+1),MATCH(AE$1,[3]characters!$1:$1,0)-MATCH("character_id",[3]characters!$1:$1,0)+1,FALSE)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69" s="7">
        <v>10</v>
      </c>
      <c r="AG169" s="26">
        <f t="shared" ca="1" si="172"/>
        <v>2</v>
      </c>
      <c r="AH169" s="8">
        <v>100</v>
      </c>
      <c r="AI169" s="7">
        <v>0</v>
      </c>
      <c r="AJ169" s="7">
        <v>0</v>
      </c>
      <c r="AK169" s="7">
        <v>0</v>
      </c>
      <c r="AL169" s="7">
        <v>0</v>
      </c>
      <c r="AM169" s="7">
        <v>1</v>
      </c>
    </row>
    <row r="170" spans="1:39" ht="14" x14ac:dyDescent="0.15">
      <c r="A170" s="18" t="str">
        <f t="shared" ca="1" si="201"/>
        <v>23_1-4/33&lt;lv40&gt;s2</v>
      </c>
      <c r="B170" s="50">
        <v>23</v>
      </c>
      <c r="C170" s="49">
        <v>1</v>
      </c>
      <c r="D170" s="2" t="str">
        <f t="shared" si="202"/>
        <v>23_1</v>
      </c>
      <c r="E170" s="2" t="str">
        <f t="shared" si="202"/>
        <v>1_23_1</v>
      </c>
      <c r="F170" s="4" t="str">
        <f ca="1">VLOOKUP($D170,OFFSET([1]stages!$A$1,0,0,COUNTA([1]stages!$A:$A),MATCH(F$1,[1]stages!$2:$2,0)-MATCH($D$1,[1]stages!$2:$2,0)+1),MATCH(F$1,[1]stages!$2:$2,0)-MATCH($D$1,[1]stages!$2:$2,0)+1,FALSE)</f>
        <v>23-1．牙森の子どもたち</v>
      </c>
      <c r="G170" s="57">
        <v>4</v>
      </c>
      <c r="H170" s="17" t="str">
        <f t="shared" si="203"/>
        <v>23_1-4</v>
      </c>
      <c r="I170" s="17"/>
      <c r="J170" s="17"/>
      <c r="K170" s="65" t="s">
        <v>56</v>
      </c>
      <c r="L170" s="52">
        <v>33</v>
      </c>
      <c r="M170" s="21" t="str">
        <f ca="1">VLOOKUP($L170,OFFSET([2]enemies!$A$1,0,0,COUNTA([2]enemies!$A:$A),MATCH(M$1,[2]enemies!$1:$1,0)-MATCH($L$1,[2]enemies!$1:$1,0)+1),MATCH(M$1,[2]enemies!$1:$1,0)-MATCH($L$1,[2]enemies!$1:$1,0)+1,FALSE)</f>
        <v>ゴクウ</v>
      </c>
      <c r="N170" s="21" t="str">
        <f ca="1">VLOOKUP($L170,OFFSET([2]enemies!$A$1,0,0,COUNTA([2]enemies!$A:$A),MATCH(N$1,[2]enemies!$1:$1,0)-MATCH($L$1,[2]enemies!$1:$1,0)+1),MATCH(N$1,[2]enemies!$1:$1,0)-MATCH($L$1,[2]enemies!$1:$1,0)+1,FALSE)</f>
        <v>red</v>
      </c>
      <c r="O170" s="21" t="str">
        <f ca="1">VLOOKUP($L170,OFFSET([3]characters!$A$1,0,0,COUNTA([3]characters!$A:$A),MATCH(O$1,[3]characters!$1:$1,0)-MATCH($L$1,[3]characters!$1:$1,0)+1),MATCH(O$1,[3]characters!$1:$1,0)-MATCH($L$1,[3]characters!$1:$1,0)+1,FALSE)</f>
        <v>Drop1S</v>
      </c>
      <c r="P170" s="21" t="str">
        <f ca="1">VLOOKUP($L170,OFFSET([2]enemies!$A$1,0,0,COUNTA([2]enemies!$A:$A),MATCH(P$1,[2]enemies!$1:$1,0)-MATCH($L$1,[2]enemies!$1:$1,0)+1),MATCH(P$1,[2]enemies!$1:$1,0)-MATCH($L$1,[2]enemies!$1:$1,0)+1,FALSE)</f>
        <v>animal</v>
      </c>
      <c r="Q170" s="21">
        <f ca="1">VLOOKUP($L170,OFFSET([2]enemies!$A$1,0,0,COUNTA([2]enemies!$A:$A),MATCH(Q$1,[2]enemies!$1:$1,0)-MATCH($L$1,[2]enemies!$1:$1,0)+1),MATCH(Q$1,[2]enemies!$1:$1,0)-MATCH($L$1,[2]enemies!$1:$1,0)+1,FALSE)</f>
        <v>15</v>
      </c>
      <c r="R170" s="53">
        <v>40</v>
      </c>
      <c r="S170" s="27">
        <v>1</v>
      </c>
      <c r="T170" s="27">
        <v>1</v>
      </c>
      <c r="U170" s="5">
        <v>0</v>
      </c>
      <c r="V170" s="4" t="str">
        <f ca="1">VLOOKUP($W170,OFFSET([4]enemy_skill_sets!$B$1,0,0,COUNTA([4]enemy_skill_sets!$B:$B),MATCH(M$1,[4]enemy_skill_sets!$1:$1,0)-MATCH($W$1,[4]enemy_skill_sets!$1:$1,0)+2),MATCH(M$1,[4]enemy_skill_sets!$1:$1,0)-MATCH($W$1,[4]enemy_skill_sets!$1:$1,0)+2,FALSE)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70" s="4">
        <f ca="1">VLOOKUP($L170,OFFSET([2]enemies!$A$1,0,0,COUNTA([2]enemies!$A:$A),MATCH(W$1,[2]enemies!$1:$1,0)-MATCH($L$1,[2]enemies!$1:$1,0)+1),MATCH(W$1,[2]enemies!$1:$1,0)-MATCH($L$1,[2]enemies!$1:$1,0)+1,FALSE)</f>
        <v>33</v>
      </c>
      <c r="X170" s="6">
        <v>0</v>
      </c>
      <c r="Y170" s="6">
        <v>100</v>
      </c>
      <c r="Z170" s="6">
        <v>0</v>
      </c>
      <c r="AA170" s="4">
        <f ca="1">VLOOKUP($L170,OFFSET([2]enemies!$A$1,0,0,COUNTA([2]enemies!$A:$A),MATCH(AA$1,[2]enemies!$1:$1,0)-MATCH($L$1,[2]enemies!$1:$1,0)+1),MATCH(AA$1,[2]enemies!$1:$1,0)-MATCH($L$1,[2]enemies!$1:$1,0)+1,FALSE)</f>
        <v>2</v>
      </c>
      <c r="AB170" s="52">
        <v>33</v>
      </c>
      <c r="AC170" s="4" t="str">
        <f ca="1">VLOOKUP($AB170,OFFSET([3]characters!$A$1,0,0,COUNTA([3]characters!$A:$A),MATCH(AC$1,[3]characters!$1:$1,0)-MATCH("character_id",[3]characters!$1:$1,0)+1),MATCH(AC$1,[3]characters!$1:$1,0)-MATCH("character_id",[3]characters!$1:$1,0)+1,FALSE)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70" s="4">
        <f ca="1">VLOOKUP($AB170,OFFSET([3]characters!$A$1,0,0,COUNTA([3]characters!$A:$A),MATCH(AD$1,[3]characters!$1:$1,0)-MATCH("character_id",[3]characters!$1:$1,0)+1),MATCH(AD$1,[3]characters!$1:$1,0)-MATCH("character_id",[3]characters!$1:$1,0)+1,FALSE)</f>
        <v>2</v>
      </c>
      <c r="AE170" s="4" t="str">
        <f ca="1">VLOOKUP($AB170,OFFSET([3]characters!$A$1,0,0,COUNTA([3]characters!$A:$A),MATCH(AE$1,[3]characters!$1:$1,0)-MATCH("character_id",[3]characters!$1:$1,0)+1),MATCH(AE$1,[3]characters!$1:$1,0)-MATCH("character_id",[3]characters!$1:$1,0)+1,FALSE)</f>
        <v>Drop1S</v>
      </c>
      <c r="AF170" s="7">
        <v>5</v>
      </c>
      <c r="AG170" s="26">
        <f t="shared" ca="1" si="172"/>
        <v>2</v>
      </c>
      <c r="AH170" s="8">
        <v>20</v>
      </c>
      <c r="AI170" s="7">
        <v>0</v>
      </c>
      <c r="AJ170" s="7">
        <v>0</v>
      </c>
      <c r="AK170" s="7">
        <v>0</v>
      </c>
      <c r="AL170" s="7">
        <v>0</v>
      </c>
      <c r="AM170" s="7">
        <v>1</v>
      </c>
    </row>
    <row r="171" spans="1:39" ht="14" x14ac:dyDescent="0.15">
      <c r="A171" s="18" t="str">
        <f t="shared" ca="1" si="201"/>
        <v>23_1-4/57&lt;lv40&gt;s2</v>
      </c>
      <c r="B171" s="50">
        <v>23</v>
      </c>
      <c r="C171" s="49">
        <v>1</v>
      </c>
      <c r="D171" s="2" t="str">
        <f t="shared" si="202"/>
        <v>23_1</v>
      </c>
      <c r="E171" s="2" t="str">
        <f t="shared" si="202"/>
        <v>1_23_1</v>
      </c>
      <c r="F171" s="4" t="str">
        <f ca="1">VLOOKUP($D171,OFFSET([1]stages!$A$1,0,0,COUNTA([1]stages!$A:$A),MATCH(F$1,[1]stages!$2:$2,0)-MATCH($D$1,[1]stages!$2:$2,0)+1),MATCH(F$1,[1]stages!$2:$2,0)-MATCH($D$1,[1]stages!$2:$2,0)+1,FALSE)</f>
        <v>23-1．牙森の子どもたち</v>
      </c>
      <c r="G171" s="57">
        <v>4</v>
      </c>
      <c r="H171" s="17" t="str">
        <f t="shared" si="203"/>
        <v>23_1-4</v>
      </c>
      <c r="I171" s="17"/>
      <c r="J171" s="17"/>
      <c r="K171" s="65" t="s">
        <v>56</v>
      </c>
      <c r="L171" s="52">
        <v>57</v>
      </c>
      <c r="M171" s="21" t="str">
        <f ca="1">VLOOKUP($L171,OFFSET([2]enemies!$A$1,0,0,COUNTA([2]enemies!$A:$A),MATCH(M$1,[2]enemies!$1:$1,0)-MATCH($L$1,[2]enemies!$1:$1,0)+1),MATCH(M$1,[2]enemies!$1:$1,0)-MATCH($L$1,[2]enemies!$1:$1,0)+1,FALSE)</f>
        <v>チェン・リー</v>
      </c>
      <c r="N171" s="21" t="str">
        <f ca="1">VLOOKUP($L171,OFFSET([2]enemies!$A$1,0,0,COUNTA([2]enemies!$A:$A),MATCH(N$1,[2]enemies!$1:$1,0)-MATCH($L$1,[2]enemies!$1:$1,0)+1),MATCH(N$1,[2]enemies!$1:$1,0)-MATCH($L$1,[2]enemies!$1:$1,0)+1,FALSE)</f>
        <v>red</v>
      </c>
      <c r="O171" s="21" t="str">
        <f ca="1">VLOOKUP($L171,OFFSET([3]characters!$A$1,0,0,COUNTA([3]characters!$A:$A),MATCH(O$1,[3]characters!$1:$1,0)-MATCH($L$1,[3]characters!$1:$1,0)+1),MATCH(O$1,[3]characters!$1:$1,0)-MATCH($L$1,[3]characters!$1:$1,0)+1,FALSE)</f>
        <v>Drop1N</v>
      </c>
      <c r="P171" s="21" t="str">
        <f ca="1">VLOOKUP($L171,OFFSET([2]enemies!$A$1,0,0,COUNTA([2]enemies!$A:$A),MATCH(P$1,[2]enemies!$1:$1,0)-MATCH($L$1,[2]enemies!$1:$1,0)+1),MATCH(P$1,[2]enemies!$1:$1,0)-MATCH($L$1,[2]enemies!$1:$1,0)+1,FALSE)</f>
        <v>animal</v>
      </c>
      <c r="Q171" s="21">
        <f ca="1">VLOOKUP($L171,OFFSET([2]enemies!$A$1,0,0,COUNTA([2]enemies!$A:$A),MATCH(Q$1,[2]enemies!$1:$1,0)-MATCH($L$1,[2]enemies!$1:$1,0)+1),MATCH(Q$1,[2]enemies!$1:$1,0)-MATCH($L$1,[2]enemies!$1:$1,0)+1,FALSE)</f>
        <v>15</v>
      </c>
      <c r="R171" s="53">
        <v>40</v>
      </c>
      <c r="S171" s="27">
        <v>1</v>
      </c>
      <c r="T171" s="27">
        <v>1</v>
      </c>
      <c r="U171" s="5">
        <v>0</v>
      </c>
      <c r="V171" s="4" t="str">
        <f ca="1">VLOOKUP($W171,OFFSET([4]enemy_skill_sets!$B$1,0,0,COUNTA([4]enemy_skill_sets!$B:$B),MATCH(M$1,[4]enemy_skill_sets!$1:$1,0)-MATCH($W$1,[4]enemy_skill_sets!$1:$1,0)+2),MATCH(M$1,[4]enemy_skill_sets!$1:$1,0)-MATCH($W$1,[4]enemy_skill_sets!$1:$1,0)+2,FALSE)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71" s="4">
        <f ca="1">VLOOKUP($L171,OFFSET([2]enemies!$A$1,0,0,COUNTA([2]enemies!$A:$A),MATCH(W$1,[2]enemies!$1:$1,0)-MATCH($L$1,[2]enemies!$1:$1,0)+1),MATCH(W$1,[2]enemies!$1:$1,0)-MATCH($L$1,[2]enemies!$1:$1,0)+1,FALSE)</f>
        <v>57</v>
      </c>
      <c r="X171" s="6">
        <v>0</v>
      </c>
      <c r="Y171" s="6">
        <v>100</v>
      </c>
      <c r="Z171" s="6">
        <v>0</v>
      </c>
      <c r="AA171" s="4">
        <f ca="1">VLOOKUP($L171,OFFSET([2]enemies!$A$1,0,0,COUNTA([2]enemies!$A:$A),MATCH(AA$1,[2]enemies!$1:$1,0)-MATCH($L$1,[2]enemies!$1:$1,0)+1),MATCH(AA$1,[2]enemies!$1:$1,0)-MATCH($L$1,[2]enemies!$1:$1,0)+1,FALSE)</f>
        <v>2</v>
      </c>
      <c r="AB171" s="52">
        <v>57</v>
      </c>
      <c r="AC171" s="4" t="str">
        <f ca="1">VLOOKUP($AB171,OFFSET([3]characters!$A$1,0,0,COUNTA([3]characters!$A:$A),MATCH(AC$1,[3]characters!$1:$1,0)-MATCH("character_id",[3]characters!$1:$1,0)+1),MATCH(AC$1,[3]characters!$1:$1,0)-MATCH("character_id",[3]characters!$1:$1,0)+1,FALSE)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71" s="4">
        <f ca="1">VLOOKUP($AB171,OFFSET([3]characters!$A$1,0,0,COUNTA([3]characters!$A:$A),MATCH(AD$1,[3]characters!$1:$1,0)-MATCH("character_id",[3]characters!$1:$1,0)+1),MATCH(AD$1,[3]characters!$1:$1,0)-MATCH("character_id",[3]characters!$1:$1,0)+1,FALSE)</f>
        <v>2</v>
      </c>
      <c r="AE171" s="4" t="str">
        <f ca="1">VLOOKUP($AB171,OFFSET([3]characters!$A$1,0,0,COUNTA([3]characters!$A:$A),MATCH(AE$1,[3]characters!$1:$1,0)-MATCH("character_id",[3]characters!$1:$1,0)+1),MATCH(AE$1,[3]characters!$1:$1,0)-MATCH("character_id",[3]characters!$1:$1,0)+1,FALSE)</f>
        <v>Drop1N</v>
      </c>
      <c r="AF171" s="7">
        <v>7</v>
      </c>
      <c r="AG171" s="26">
        <f t="shared" ca="1" si="172"/>
        <v>2</v>
      </c>
      <c r="AH171" s="8">
        <v>20</v>
      </c>
      <c r="AI171" s="7">
        <v>0</v>
      </c>
      <c r="AJ171" s="7">
        <v>0</v>
      </c>
      <c r="AK171" s="7">
        <v>0</v>
      </c>
      <c r="AL171" s="7">
        <v>0</v>
      </c>
      <c r="AM171" s="7">
        <v>1</v>
      </c>
    </row>
    <row r="172" spans="1:39" ht="14" x14ac:dyDescent="0.15">
      <c r="A172" s="18" t="str">
        <f t="shared" ca="1" si="201"/>
        <v>23_1-4/59&lt;lv42&gt;s2</v>
      </c>
      <c r="B172" s="50">
        <v>23</v>
      </c>
      <c r="C172" s="49">
        <v>1</v>
      </c>
      <c r="D172" s="2" t="str">
        <f t="shared" si="202"/>
        <v>23_1</v>
      </c>
      <c r="E172" s="2" t="str">
        <f t="shared" si="202"/>
        <v>1_23_1</v>
      </c>
      <c r="F172" s="4" t="str">
        <f ca="1">VLOOKUP($D172,OFFSET([1]stages!$A$1,0,0,COUNTA([1]stages!$A:$A),MATCH(F$1,[1]stages!$2:$2,0)-MATCH($D$1,[1]stages!$2:$2,0)+1),MATCH(F$1,[1]stages!$2:$2,0)-MATCH($D$1,[1]stages!$2:$2,0)+1,FALSE)</f>
        <v>23-1．牙森の子どもたち</v>
      </c>
      <c r="G172" s="57">
        <v>4</v>
      </c>
      <c r="H172" s="17" t="str">
        <f t="shared" si="203"/>
        <v>23_1-4</v>
      </c>
      <c r="I172" s="17"/>
      <c r="J172" s="17"/>
      <c r="K172" s="65" t="s">
        <v>56</v>
      </c>
      <c r="L172" s="52">
        <v>59</v>
      </c>
      <c r="M172" s="21" t="str">
        <f ca="1">VLOOKUP($L172,OFFSET([2]enemies!$A$1,0,0,COUNTA([2]enemies!$A:$A),MATCH(M$1,[2]enemies!$1:$1,0)-MATCH($L$1,[2]enemies!$1:$1,0)+1),MATCH(M$1,[2]enemies!$1:$1,0)-MATCH($L$1,[2]enemies!$1:$1,0)+1,FALSE)</f>
        <v>マーチ</v>
      </c>
      <c r="N172" s="21" t="str">
        <f ca="1">VLOOKUP($L172,OFFSET([2]enemies!$A$1,0,0,COUNTA([2]enemies!$A:$A),MATCH(N$1,[2]enemies!$1:$1,0)-MATCH($L$1,[2]enemies!$1:$1,0)+1),MATCH(N$1,[2]enemies!$1:$1,0)-MATCH($L$1,[2]enemies!$1:$1,0)+1,FALSE)</f>
        <v>green</v>
      </c>
      <c r="O172" s="21" t="str">
        <f ca="1">VLOOKUP($L172,OFFSET([3]characters!$A$1,0,0,COUNTA([3]characters!$A:$A),MATCH(O$1,[3]characters!$1:$1,0)-MATCH($L$1,[3]characters!$1:$1,0)+1),MATCH(O$1,[3]characters!$1:$1,0)-MATCH($L$1,[3]characters!$1:$1,0)+1,FALSE)</f>
        <v>Drop1N</v>
      </c>
      <c r="P172" s="21" t="str">
        <f ca="1">VLOOKUP($L172,OFFSET([2]enemies!$A$1,0,0,COUNTA([2]enemies!$A:$A),MATCH(P$1,[2]enemies!$1:$1,0)-MATCH($L$1,[2]enemies!$1:$1,0)+1),MATCH(P$1,[2]enemies!$1:$1,0)-MATCH($L$1,[2]enemies!$1:$1,0)+1,FALSE)</f>
        <v>animal</v>
      </c>
      <c r="Q172" s="21">
        <f ca="1">VLOOKUP($L172,OFFSET([2]enemies!$A$1,0,0,COUNTA([2]enemies!$A:$A),MATCH(Q$1,[2]enemies!$1:$1,0)-MATCH($L$1,[2]enemies!$1:$1,0)+1),MATCH(Q$1,[2]enemies!$1:$1,0)-MATCH($L$1,[2]enemies!$1:$1,0)+1,FALSE)</f>
        <v>15</v>
      </c>
      <c r="R172" s="53">
        <v>42</v>
      </c>
      <c r="S172" s="27">
        <v>1</v>
      </c>
      <c r="T172" s="27">
        <v>1</v>
      </c>
      <c r="U172" s="5">
        <v>0</v>
      </c>
      <c r="V172" s="4" t="str">
        <f ca="1">VLOOKUP($W172,OFFSET([4]enemy_skill_sets!$B$1,0,0,COUNTA([4]enemy_skill_sets!$B:$B),MATCH(M$1,[4]enemy_skill_sets!$1:$1,0)-MATCH($W$1,[4]enemy_skill_sets!$1:$1,0)+2),MATCH(M$1,[4]enemy_skill_sets!$1:$1,0)-MATCH($W$1,[4]enemy_skill_sets!$1:$1,0)+2,FALSE)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72" s="4">
        <f ca="1">VLOOKUP($L172,OFFSET([2]enemies!$A$1,0,0,COUNTA([2]enemies!$A:$A),MATCH(W$1,[2]enemies!$1:$1,0)-MATCH($L$1,[2]enemies!$1:$1,0)+1),MATCH(W$1,[2]enemies!$1:$1,0)-MATCH($L$1,[2]enemies!$1:$1,0)+1,FALSE)</f>
        <v>59</v>
      </c>
      <c r="X172" s="6">
        <v>0</v>
      </c>
      <c r="Y172" s="6">
        <v>100</v>
      </c>
      <c r="Z172" s="6">
        <v>0</v>
      </c>
      <c r="AA172" s="4">
        <f ca="1">VLOOKUP($L172,OFFSET([2]enemies!$A$1,0,0,COUNTA([2]enemies!$A:$A),MATCH(AA$1,[2]enemies!$1:$1,0)-MATCH($L$1,[2]enemies!$1:$1,0)+1),MATCH(AA$1,[2]enemies!$1:$1,0)-MATCH($L$1,[2]enemies!$1:$1,0)+1,FALSE)</f>
        <v>2</v>
      </c>
      <c r="AB172" s="52">
        <v>59</v>
      </c>
      <c r="AC172" s="4" t="str">
        <f ca="1">VLOOKUP($AB172,OFFSET([3]characters!$A$1,0,0,COUNTA([3]characters!$A:$A),MATCH(AC$1,[3]characters!$1:$1,0)-MATCH("character_id",[3]characters!$1:$1,0)+1),MATCH(AC$1,[3]characters!$1:$1,0)-MATCH("character_id",[3]characters!$1:$1,0)+1,FALSE)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172" s="4">
        <f ca="1">VLOOKUP($AB172,OFFSET([3]characters!$A$1,0,0,COUNTA([3]characters!$A:$A),MATCH(AD$1,[3]characters!$1:$1,0)-MATCH("character_id",[3]characters!$1:$1,0)+1),MATCH(AD$1,[3]characters!$1:$1,0)-MATCH("character_id",[3]characters!$1:$1,0)+1,FALSE)</f>
        <v>2</v>
      </c>
      <c r="AE172" s="4" t="str">
        <f ca="1">VLOOKUP($AB172,OFFSET([3]characters!$A$1,0,0,COUNTA([3]characters!$A:$A),MATCH(AE$1,[3]characters!$1:$1,0)-MATCH("character_id",[3]characters!$1:$1,0)+1),MATCH(AE$1,[3]characters!$1:$1,0)-MATCH("character_id",[3]characters!$1:$1,0)+1,FALSE)</f>
        <v>Drop1N</v>
      </c>
      <c r="AF172" s="7">
        <v>7</v>
      </c>
      <c r="AG172" s="26">
        <f t="shared" ca="1" si="172"/>
        <v>2</v>
      </c>
      <c r="AH172" s="8">
        <v>20</v>
      </c>
      <c r="AI172" s="7">
        <v>0</v>
      </c>
      <c r="AJ172" s="7">
        <v>0</v>
      </c>
      <c r="AK172" s="7">
        <v>0</v>
      </c>
      <c r="AL172" s="7">
        <v>0</v>
      </c>
      <c r="AM172" s="7">
        <v>1</v>
      </c>
    </row>
    <row r="173" spans="1:39" ht="14" x14ac:dyDescent="0.15">
      <c r="A173" s="18" t="str">
        <f t="shared" ca="1" si="201"/>
        <v>23_1-4/41&lt;lv40&gt;s1</v>
      </c>
      <c r="B173" s="50">
        <v>23</v>
      </c>
      <c r="C173" s="49">
        <v>1</v>
      </c>
      <c r="D173" s="2" t="str">
        <f t="shared" si="202"/>
        <v>23_1</v>
      </c>
      <c r="E173" s="2" t="str">
        <f t="shared" si="202"/>
        <v>1_23_1</v>
      </c>
      <c r="F173" s="4" t="str">
        <f ca="1">VLOOKUP($D173,OFFSET([1]stages!$A$1,0,0,COUNTA([1]stages!$A:$A),MATCH(F$1,[1]stages!$2:$2,0)-MATCH($D$1,[1]stages!$2:$2,0)+1),MATCH(F$1,[1]stages!$2:$2,0)-MATCH($D$1,[1]stages!$2:$2,0)+1,FALSE)</f>
        <v>23-1．牙森の子どもたち</v>
      </c>
      <c r="G173" s="57">
        <v>4</v>
      </c>
      <c r="H173" s="17" t="str">
        <f t="shared" si="203"/>
        <v>23_1-4</v>
      </c>
      <c r="I173" s="17"/>
      <c r="J173" s="17"/>
      <c r="K173" s="65" t="s">
        <v>56</v>
      </c>
      <c r="L173" s="52">
        <v>41</v>
      </c>
      <c r="M173" s="21" t="str">
        <f ca="1">VLOOKUP($L173,OFFSET([2]enemies!$A$1,0,0,COUNTA([2]enemies!$A:$A),MATCH(M$1,[2]enemies!$1:$1,0)-MATCH($L$1,[2]enemies!$1:$1,0)+1),MATCH(M$1,[2]enemies!$1:$1,0)-MATCH($L$1,[2]enemies!$1:$1,0)+1,FALSE)</f>
        <v>ヒュウガ</v>
      </c>
      <c r="N173" s="21" t="str">
        <f ca="1">VLOOKUP($L173,OFFSET([2]enemies!$A$1,0,0,COUNTA([2]enemies!$A:$A),MATCH(N$1,[2]enemies!$1:$1,0)-MATCH($L$1,[2]enemies!$1:$1,0)+1),MATCH(N$1,[2]enemies!$1:$1,0)-MATCH($L$1,[2]enemies!$1:$1,0)+1,FALSE)</f>
        <v>red</v>
      </c>
      <c r="O173" s="21" t="str">
        <f ca="1">VLOOKUP($L173,OFFSET([3]characters!$A$1,0,0,COUNTA([3]characters!$A:$A),MATCH(O$1,[3]characters!$1:$1,0)-MATCH($L$1,[3]characters!$1:$1,0)+1),MATCH(O$1,[3]characters!$1:$1,0)-MATCH($L$1,[3]characters!$1:$1,0)+1,FALSE)</f>
        <v>Drop1N</v>
      </c>
      <c r="P173" s="21" t="str">
        <f ca="1">VLOOKUP($L173,OFFSET([2]enemies!$A$1,0,0,COUNTA([2]enemies!$A:$A),MATCH(P$1,[2]enemies!$1:$1,0)-MATCH($L$1,[2]enemies!$1:$1,0)+1),MATCH(P$1,[2]enemies!$1:$1,0)-MATCH($L$1,[2]enemies!$1:$1,0)+1,FALSE)</f>
        <v>dragon</v>
      </c>
      <c r="Q173" s="21">
        <f ca="1">VLOOKUP($L173,OFFSET([2]enemies!$A$1,0,0,COUNTA([2]enemies!$A:$A),MATCH(Q$1,[2]enemies!$1:$1,0)-MATCH($L$1,[2]enemies!$1:$1,0)+1),MATCH(Q$1,[2]enemies!$1:$1,0)-MATCH($L$1,[2]enemies!$1:$1,0)+1,FALSE)</f>
        <v>15</v>
      </c>
      <c r="R173" s="53">
        <v>40</v>
      </c>
      <c r="S173" s="27">
        <v>1</v>
      </c>
      <c r="T173" s="27">
        <v>1</v>
      </c>
      <c r="U173" s="5">
        <v>0</v>
      </c>
      <c r="V173" s="4" t="str">
        <f ca="1">VLOOKUP($W173,OFFSET([4]enemy_skill_sets!$B$1,0,0,COUNTA([4]enemy_skill_sets!$B:$B),MATCH(M$1,[4]enemy_skill_sets!$1:$1,0)-MATCH($W$1,[4]enemy_skill_sets!$1:$1,0)+2),MATCH(M$1,[4]enemy_skill_sets!$1:$1,0)-MATCH($W$1,[4]enemy_skill_sets!$1:$1,0)+2,FALSE)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73" s="4">
        <f ca="1">VLOOKUP($L173,OFFSET([2]enemies!$A$1,0,0,COUNTA([2]enemies!$A:$A),MATCH(W$1,[2]enemies!$1:$1,0)-MATCH($L$1,[2]enemies!$1:$1,0)+1),MATCH(W$1,[2]enemies!$1:$1,0)-MATCH($L$1,[2]enemies!$1:$1,0)+1,FALSE)</f>
        <v>0</v>
      </c>
      <c r="X173" s="6">
        <v>0</v>
      </c>
      <c r="Y173" s="6">
        <v>100</v>
      </c>
      <c r="Z173" s="6">
        <v>0</v>
      </c>
      <c r="AA173" s="4">
        <f ca="1">VLOOKUP($L173,OFFSET([2]enemies!$A$1,0,0,COUNTA([2]enemies!$A:$A),MATCH(AA$1,[2]enemies!$1:$1,0)-MATCH($L$1,[2]enemies!$1:$1,0)+1),MATCH(AA$1,[2]enemies!$1:$1,0)-MATCH($L$1,[2]enemies!$1:$1,0)+1,FALSE)</f>
        <v>1</v>
      </c>
      <c r="AB173" s="52">
        <v>41</v>
      </c>
      <c r="AC173" s="4" t="str">
        <f ca="1">VLOOKUP($AB173,OFFSET([3]characters!$A$1,0,0,COUNTA([3]characters!$A:$A),MATCH(AC$1,[3]characters!$1:$1,0)-MATCH("character_id",[3]characters!$1:$1,0)+1),MATCH(AC$1,[3]characters!$1:$1,0)-MATCH("character_id",[3]characters!$1:$1,0)+1,FALSE)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173" s="4">
        <f ca="1">VLOOKUP($AB173,OFFSET([3]characters!$A$1,0,0,COUNTA([3]characters!$A:$A),MATCH(AD$1,[3]characters!$1:$1,0)-MATCH("character_id",[3]characters!$1:$1,0)+1),MATCH(AD$1,[3]characters!$1:$1,0)-MATCH("character_id",[3]characters!$1:$1,0)+1,FALSE)</f>
        <v>2</v>
      </c>
      <c r="AE173" s="4" t="str">
        <f ca="1">VLOOKUP($AB173,OFFSET([3]characters!$A$1,0,0,COUNTA([3]characters!$A:$A),MATCH(AE$1,[3]characters!$1:$1,0)-MATCH("character_id",[3]characters!$1:$1,0)+1),MATCH(AE$1,[3]characters!$1:$1,0)-MATCH("character_id",[3]characters!$1:$1,0)+1,FALSE)</f>
        <v>Drop1N</v>
      </c>
      <c r="AF173" s="7">
        <v>7</v>
      </c>
      <c r="AG173" s="26">
        <f t="shared" ca="1" si="172"/>
        <v>2</v>
      </c>
      <c r="AH173" s="8">
        <v>20</v>
      </c>
      <c r="AI173" s="7">
        <v>0</v>
      </c>
      <c r="AJ173" s="7">
        <v>0</v>
      </c>
      <c r="AK173" s="7">
        <v>0</v>
      </c>
      <c r="AL173" s="7">
        <v>0</v>
      </c>
      <c r="AM173" s="7">
        <v>1</v>
      </c>
    </row>
    <row r="174" spans="1:39" ht="14" x14ac:dyDescent="0.15">
      <c r="A174" s="18" t="str">
        <f t="shared" ca="1" si="201"/>
        <v>23_1-4/43&lt;lv42&gt;s2</v>
      </c>
      <c r="B174" s="50">
        <v>23</v>
      </c>
      <c r="C174" s="49">
        <v>1</v>
      </c>
      <c r="D174" s="2" t="str">
        <f t="shared" si="202"/>
        <v>23_1</v>
      </c>
      <c r="E174" s="2" t="str">
        <f t="shared" si="202"/>
        <v>1_23_1</v>
      </c>
      <c r="F174" s="4" t="str">
        <f ca="1">VLOOKUP($D174,OFFSET([1]stages!$A$1,0,0,COUNTA([1]stages!$A:$A),MATCH(F$1,[1]stages!$2:$2,0)-MATCH($D$1,[1]stages!$2:$2,0)+1),MATCH(F$1,[1]stages!$2:$2,0)-MATCH($D$1,[1]stages!$2:$2,0)+1,FALSE)</f>
        <v>23-1．牙森の子どもたち</v>
      </c>
      <c r="G174" s="57">
        <v>4</v>
      </c>
      <c r="H174" s="17" t="str">
        <f t="shared" si="203"/>
        <v>23_1-4</v>
      </c>
      <c r="I174" s="17"/>
      <c r="J174" s="17"/>
      <c r="K174" s="65" t="s">
        <v>56</v>
      </c>
      <c r="L174" s="52">
        <v>43</v>
      </c>
      <c r="M174" s="21" t="str">
        <f ca="1">VLOOKUP($L174,OFFSET([2]enemies!$A$1,0,0,COUNTA([2]enemies!$A:$A),MATCH(M$1,[2]enemies!$1:$1,0)-MATCH($L$1,[2]enemies!$1:$1,0)+1),MATCH(M$1,[2]enemies!$1:$1,0)-MATCH($L$1,[2]enemies!$1:$1,0)+1,FALSE)</f>
        <v>ムゥ</v>
      </c>
      <c r="N174" s="21" t="str">
        <f ca="1">VLOOKUP($L174,OFFSET([2]enemies!$A$1,0,0,COUNTA([2]enemies!$A:$A),MATCH(N$1,[2]enemies!$1:$1,0)-MATCH($L$1,[2]enemies!$1:$1,0)+1),MATCH(N$1,[2]enemies!$1:$1,0)-MATCH($L$1,[2]enemies!$1:$1,0)+1,FALSE)</f>
        <v>green</v>
      </c>
      <c r="O174" s="21" t="str">
        <f ca="1">VLOOKUP($L174,OFFSET([3]characters!$A$1,0,0,COUNTA([3]characters!$A:$A),MATCH(O$1,[3]characters!$1:$1,0)-MATCH($L$1,[3]characters!$1:$1,0)+1),MATCH(O$1,[3]characters!$1:$1,0)-MATCH($L$1,[3]characters!$1:$1,0)+1,FALSE)</f>
        <v>Drop1N</v>
      </c>
      <c r="P174" s="21" t="str">
        <f ca="1">VLOOKUP($L174,OFFSET([2]enemies!$A$1,0,0,COUNTA([2]enemies!$A:$A),MATCH(P$1,[2]enemies!$1:$1,0)-MATCH($L$1,[2]enemies!$1:$1,0)+1),MATCH(P$1,[2]enemies!$1:$1,0)-MATCH($L$1,[2]enemies!$1:$1,0)+1,FALSE)</f>
        <v>dragon</v>
      </c>
      <c r="Q174" s="21">
        <f ca="1">VLOOKUP($L174,OFFSET([2]enemies!$A$1,0,0,COUNTA([2]enemies!$A:$A),MATCH(Q$1,[2]enemies!$1:$1,0)-MATCH($L$1,[2]enemies!$1:$1,0)+1),MATCH(Q$1,[2]enemies!$1:$1,0)-MATCH($L$1,[2]enemies!$1:$1,0)+1,FALSE)</f>
        <v>15</v>
      </c>
      <c r="R174" s="53">
        <v>42</v>
      </c>
      <c r="S174" s="27">
        <v>1</v>
      </c>
      <c r="T174" s="27">
        <v>1</v>
      </c>
      <c r="U174" s="5">
        <v>0</v>
      </c>
      <c r="V174" s="4" t="str">
        <f ca="1">VLOOKUP($W174,OFFSET([4]enemy_skill_sets!$B$1,0,0,COUNTA([4]enemy_skill_sets!$B:$B),MATCH(M$1,[4]enemy_skill_sets!$1:$1,0)-MATCH($W$1,[4]enemy_skill_sets!$1:$1,0)+2),MATCH(M$1,[4]enemy_skill_sets!$1:$1,0)-MATCH($W$1,[4]enemy_skill_sets!$1:$1,0)+2,FALSE)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74" s="4">
        <f ca="1">VLOOKUP($L174,OFFSET([2]enemies!$A$1,0,0,COUNTA([2]enemies!$A:$A),MATCH(W$1,[2]enemies!$1:$1,0)-MATCH($L$1,[2]enemies!$1:$1,0)+1),MATCH(W$1,[2]enemies!$1:$1,0)-MATCH($L$1,[2]enemies!$1:$1,0)+1,FALSE)</f>
        <v>0</v>
      </c>
      <c r="X174" s="6">
        <v>0</v>
      </c>
      <c r="Y174" s="6">
        <v>100</v>
      </c>
      <c r="Z174" s="6">
        <v>0</v>
      </c>
      <c r="AA174" s="4">
        <f ca="1">VLOOKUP($L174,OFFSET([2]enemies!$A$1,0,0,COUNTA([2]enemies!$A:$A),MATCH(AA$1,[2]enemies!$1:$1,0)-MATCH($L$1,[2]enemies!$1:$1,0)+1),MATCH(AA$1,[2]enemies!$1:$1,0)-MATCH($L$1,[2]enemies!$1:$1,0)+1,FALSE)</f>
        <v>2</v>
      </c>
      <c r="AB174" s="52">
        <v>43</v>
      </c>
      <c r="AC174" s="4" t="str">
        <f ca="1">VLOOKUP($AB174,OFFSET([3]characters!$A$1,0,0,COUNTA([3]characters!$A:$A),MATCH(AC$1,[3]characters!$1:$1,0)-MATCH("character_id",[3]characters!$1:$1,0)+1),MATCH(AC$1,[3]characters!$1:$1,0)-MATCH("character_id",[3]characters!$1:$1,0)+1,FALSE)</f>
        <v>ムゥ</v>
      </c>
      <c r="AD174" s="4">
        <f ca="1">VLOOKUP($AB174,OFFSET([3]characters!$A$1,0,0,COUNTA([3]characters!$A:$A),MATCH(AD$1,[3]characters!$1:$1,0)-MATCH("character_id",[3]characters!$1:$1,0)+1),MATCH(AD$1,[3]characters!$1:$1,0)-MATCH("character_id",[3]characters!$1:$1,0)+1,FALSE)</f>
        <v>2</v>
      </c>
      <c r="AE174" s="4" t="str">
        <f ca="1">VLOOKUP($AB174,OFFSET([3]characters!$A$1,0,0,COUNTA([3]characters!$A:$A),MATCH(AE$1,[3]characters!$1:$1,0)-MATCH("character_id",[3]characters!$1:$1,0)+1),MATCH(AE$1,[3]characters!$1:$1,0)-MATCH("character_id",[3]characters!$1:$1,0)+1,FALSE)</f>
        <v>Drop1N</v>
      </c>
      <c r="AF174" s="7">
        <v>7</v>
      </c>
      <c r="AG174" s="26">
        <f t="shared" ca="1" si="172"/>
        <v>2</v>
      </c>
      <c r="AH174" s="8">
        <v>20</v>
      </c>
      <c r="AI174" s="7">
        <v>0</v>
      </c>
      <c r="AJ174" s="7">
        <v>0</v>
      </c>
      <c r="AK174" s="7">
        <v>0</v>
      </c>
      <c r="AL174" s="7">
        <v>0</v>
      </c>
      <c r="AM174" s="7">
        <v>1</v>
      </c>
    </row>
    <row r="175" spans="1:39" ht="14" x14ac:dyDescent="0.15">
      <c r="A175" s="18" t="str">
        <f t="shared" ref="A175:A176" ca="1" si="212">B175&amp;"_"&amp;C175&amp;"-"&amp;G175&amp;"/"&amp;L175&amp;"&lt;lv"&amp;R175&amp;"&gt;s"&amp;AA175</f>
        <v>23_1-4/360&lt;lv40&gt;s3</v>
      </c>
      <c r="B175" s="53">
        <v>23</v>
      </c>
      <c r="C175" s="51">
        <v>1</v>
      </c>
      <c r="D175" s="2" t="str">
        <f t="shared" ref="D175:D176" si="213">B175&amp;"_"&amp;C175</f>
        <v>23_1</v>
      </c>
      <c r="E175" s="2" t="str">
        <f t="shared" ref="E175:E176" si="214">C175&amp;"_"&amp;D175</f>
        <v>1_23_1</v>
      </c>
      <c r="F175" s="4" t="str">
        <f ca="1">VLOOKUP($D175,OFFSET([1]stages!$A$1,0,0,COUNTA([1]stages!$A:$A),MATCH(F$1,[1]stages!$2:$2,0)-MATCH($D$1,[1]stages!$2:$2,0)+1),MATCH(F$1,[1]stages!$2:$2,0)-MATCH($D$1,[1]stages!$2:$2,0)+1,FALSE)</f>
        <v>23-1．牙森の子どもたち</v>
      </c>
      <c r="G175" s="57">
        <v>4</v>
      </c>
      <c r="H175" s="17" t="str">
        <f t="shared" ref="H175:H176" si="215">B175&amp;"_"&amp;C175&amp;"-"&amp;G175</f>
        <v>23_1-4</v>
      </c>
      <c r="I175" s="17"/>
      <c r="J175" s="17"/>
      <c r="K175" s="65" t="s">
        <v>56</v>
      </c>
      <c r="L175" s="52">
        <v>360</v>
      </c>
      <c r="M175" s="21" t="str">
        <f ca="1">VLOOKUP($L175,OFFSET([2]enemies!$A$1,0,0,COUNTA([2]enemies!$A:$A),MATCH(M$1,[2]enemies!$1:$1,0)-MATCH($L$1,[2]enemies!$1:$1,0)+1),MATCH(M$1,[2]enemies!$1:$1,0)-MATCH($L$1,[2]enemies!$1:$1,0)+1,FALSE)</f>
        <v>ガンテツ</v>
      </c>
      <c r="N175" s="21" t="str">
        <f ca="1">VLOOKUP($L175,OFFSET([2]enemies!$A$1,0,0,COUNTA([2]enemies!$A:$A),MATCH(N$1,[2]enemies!$1:$1,0)-MATCH($L$1,[2]enemies!$1:$1,0)+1),MATCH(N$1,[2]enemies!$1:$1,0)-MATCH($L$1,[2]enemies!$1:$1,0)+1,FALSE)</f>
        <v>red</v>
      </c>
      <c r="O175" s="21" t="str">
        <f ca="1">VLOOKUP($L175,OFFSET([3]characters!$A$1,0,0,COUNTA([3]characters!$A:$A),MATCH(O$1,[3]characters!$1:$1,0)-MATCH($L$1,[3]characters!$1:$1,0)+1),MATCH(O$1,[3]characters!$1:$1,0)-MATCH($L$1,[3]characters!$1:$1,0)+1,FALSE)</f>
        <v>Drop1S</v>
      </c>
      <c r="P175" s="21" t="str">
        <f ca="1">VLOOKUP($L175,OFFSET([2]enemies!$A$1,0,0,COUNTA([2]enemies!$A:$A),MATCH(P$1,[2]enemies!$1:$1,0)-MATCH($L$1,[2]enemies!$1:$1,0)+1),MATCH(P$1,[2]enemies!$1:$1,0)-MATCH($L$1,[2]enemies!$1:$1,0)+1,FALSE)</f>
        <v>animal</v>
      </c>
      <c r="Q175" s="21">
        <f ca="1">VLOOKUP($L175,OFFSET([2]enemies!$A$1,0,0,COUNTA([2]enemies!$A:$A),MATCH(Q$1,[2]enemies!$1:$1,0)-MATCH($L$1,[2]enemies!$1:$1,0)+1),MATCH(Q$1,[2]enemies!$1:$1,0)-MATCH($L$1,[2]enemies!$1:$1,0)+1,FALSE)</f>
        <v>15</v>
      </c>
      <c r="R175" s="53">
        <v>40</v>
      </c>
      <c r="S175" s="27">
        <v>1</v>
      </c>
      <c r="T175" s="27">
        <v>1</v>
      </c>
      <c r="U175" s="5">
        <v>0</v>
      </c>
      <c r="V175" s="4" t="str">
        <f ca="1">VLOOKUP($W175,OFFSET([4]enemy_skill_sets!$B$1,0,0,COUNTA([4]enemy_skill_sets!$B:$B),MATCH(M$1,[4]enemy_skill_sets!$1:$1,0)-MATCH($W$1,[4]enemy_skill_sets!$1:$1,0)+2),MATCH(M$1,[4]enemy_skill_sets!$1:$1,0)-MATCH($W$1,[4]enemy_skill_sets!$1:$1,0)+2,FALSE)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75" s="76">
        <v>360</v>
      </c>
      <c r="X175" s="6">
        <v>0</v>
      </c>
      <c r="Y175" s="6">
        <v>100</v>
      </c>
      <c r="Z175" s="6">
        <v>0</v>
      </c>
      <c r="AA175" s="4">
        <f ca="1">VLOOKUP($L175,OFFSET([2]enemies!$A$1,0,0,COUNTA([2]enemies!$A:$A),MATCH(AA$1,[2]enemies!$1:$1,0)-MATCH($L$1,[2]enemies!$1:$1,0)+1),MATCH(AA$1,[2]enemies!$1:$1,0)-MATCH($L$1,[2]enemies!$1:$1,0)+1,FALSE)</f>
        <v>3</v>
      </c>
      <c r="AB175" s="52">
        <v>360</v>
      </c>
      <c r="AC175" s="4" t="str">
        <f ca="1">VLOOKUP($AB175,OFFSET([3]characters!$A$1,0,0,COUNTA([3]characters!$A:$A),MATCH(AC$1,[3]characters!$1:$1,0)-MATCH("character_id",[3]characters!$1:$1,0)+1),MATCH(AC$1,[3]characters!$1:$1,0)-MATCH("character_id",[3]characters!$1:$1,0)+1,FALSE)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75" s="4">
        <f ca="1">VLOOKUP($AB175,OFFSET([3]characters!$A$1,0,0,COUNTA([3]characters!$A:$A),MATCH(AD$1,[3]characters!$1:$1,0)-MATCH("character_id",[3]characters!$1:$1,0)+1),MATCH(AD$1,[3]characters!$1:$1,0)-MATCH("character_id",[3]characters!$1:$1,0)+1,FALSE)</f>
        <v>2</v>
      </c>
      <c r="AE175" s="4" t="str">
        <f ca="1">VLOOKUP($AB175,OFFSET([3]characters!$A$1,0,0,COUNTA([3]characters!$A:$A),MATCH(AE$1,[3]characters!$1:$1,0)-MATCH("character_id",[3]characters!$1:$1,0)+1),MATCH(AE$1,[3]characters!$1:$1,0)-MATCH("character_id",[3]characters!$1:$1,0)+1,FALSE)</f>
        <v>Drop1S</v>
      </c>
      <c r="AF175" s="7">
        <v>7</v>
      </c>
      <c r="AG175" s="26">
        <f t="shared" ca="1" si="172"/>
        <v>2</v>
      </c>
      <c r="AH175" s="8">
        <v>20</v>
      </c>
      <c r="AI175" s="7">
        <v>0</v>
      </c>
      <c r="AJ175" s="7">
        <v>0</v>
      </c>
      <c r="AK175" s="7">
        <v>0</v>
      </c>
      <c r="AL175" s="7">
        <v>0</v>
      </c>
      <c r="AM175" s="7">
        <v>1</v>
      </c>
    </row>
    <row r="176" spans="1:39" ht="14" x14ac:dyDescent="0.15">
      <c r="A176" s="18" t="str">
        <f t="shared" ca="1" si="212"/>
        <v>23_1-4/362&lt;lv42&gt;s3</v>
      </c>
      <c r="B176" s="53">
        <v>23</v>
      </c>
      <c r="C176" s="51">
        <v>1</v>
      </c>
      <c r="D176" s="2" t="str">
        <f t="shared" si="213"/>
        <v>23_1</v>
      </c>
      <c r="E176" s="2" t="str">
        <f t="shared" si="214"/>
        <v>1_23_1</v>
      </c>
      <c r="F176" s="4" t="str">
        <f ca="1">VLOOKUP($D176,OFFSET([1]stages!$A$1,0,0,COUNTA([1]stages!$A:$A),MATCH(F$1,[1]stages!$2:$2,0)-MATCH($D$1,[1]stages!$2:$2,0)+1),MATCH(F$1,[1]stages!$2:$2,0)-MATCH($D$1,[1]stages!$2:$2,0)+1,FALSE)</f>
        <v>23-1．牙森の子どもたち</v>
      </c>
      <c r="G176" s="57">
        <v>4</v>
      </c>
      <c r="H176" s="17" t="str">
        <f t="shared" si="215"/>
        <v>23_1-4</v>
      </c>
      <c r="I176" s="17"/>
      <c r="J176" s="17"/>
      <c r="K176" s="65" t="s">
        <v>56</v>
      </c>
      <c r="L176" s="52">
        <v>362</v>
      </c>
      <c r="M176" s="21" t="str">
        <f ca="1">VLOOKUP($L176,OFFSET([2]enemies!$A$1,0,0,COUNTA([2]enemies!$A:$A),MATCH(M$1,[2]enemies!$1:$1,0)-MATCH($L$1,[2]enemies!$1:$1,0)+1),MATCH(M$1,[2]enemies!$1:$1,0)-MATCH($L$1,[2]enemies!$1:$1,0)+1,FALSE)</f>
        <v>ゆらら</v>
      </c>
      <c r="N176" s="21" t="str">
        <f ca="1">VLOOKUP($L176,OFFSET([2]enemies!$A$1,0,0,COUNTA([2]enemies!$A:$A),MATCH(N$1,[2]enemies!$1:$1,0)-MATCH($L$1,[2]enemies!$1:$1,0)+1),MATCH(N$1,[2]enemies!$1:$1,0)-MATCH($L$1,[2]enemies!$1:$1,0)+1,FALSE)</f>
        <v>green</v>
      </c>
      <c r="O176" s="21" t="str">
        <f ca="1">VLOOKUP($L176,OFFSET([3]characters!$A$1,0,0,COUNTA([3]characters!$A:$A),MATCH(O$1,[3]characters!$1:$1,0)-MATCH($L$1,[3]characters!$1:$1,0)+1),MATCH(O$1,[3]characters!$1:$1,0)-MATCH($L$1,[3]characters!$1:$1,0)+1,FALSE)</f>
        <v>Drop1S</v>
      </c>
      <c r="P176" s="21" t="str">
        <f ca="1">VLOOKUP($L176,OFFSET([2]enemies!$A$1,0,0,COUNTA([2]enemies!$A:$A),MATCH(P$1,[2]enemies!$1:$1,0)-MATCH($L$1,[2]enemies!$1:$1,0)+1),MATCH(P$1,[2]enemies!$1:$1,0)-MATCH($L$1,[2]enemies!$1:$1,0)+1,FALSE)</f>
        <v>animal</v>
      </c>
      <c r="Q176" s="21">
        <f ca="1">VLOOKUP($L176,OFFSET([2]enemies!$A$1,0,0,COUNTA([2]enemies!$A:$A),MATCH(Q$1,[2]enemies!$1:$1,0)-MATCH($L$1,[2]enemies!$1:$1,0)+1),MATCH(Q$1,[2]enemies!$1:$1,0)-MATCH($L$1,[2]enemies!$1:$1,0)+1,FALSE)</f>
        <v>15</v>
      </c>
      <c r="R176" s="53">
        <v>42</v>
      </c>
      <c r="S176" s="27">
        <v>1</v>
      </c>
      <c r="T176" s="27">
        <v>1</v>
      </c>
      <c r="U176" s="5">
        <v>0</v>
      </c>
      <c r="V176" s="4" t="str">
        <f ca="1">VLOOKUP($W176,OFFSET([4]enemy_skill_sets!$B$1,0,0,COUNTA([4]enemy_skill_sets!$B:$B),MATCH(M$1,[4]enemy_skill_sets!$1:$1,0)-MATCH($W$1,[4]enemy_skill_sets!$1:$1,0)+2),MATCH(M$1,[4]enemy_skill_sets!$1:$1,0)-MATCH($W$1,[4]enemy_skill_sets!$1:$1,0)+2,FALSE)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176" s="64">
        <v>362</v>
      </c>
      <c r="X176" s="6">
        <v>0</v>
      </c>
      <c r="Y176" s="6">
        <v>100</v>
      </c>
      <c r="Z176" s="6">
        <v>0</v>
      </c>
      <c r="AA176" s="4">
        <f ca="1">VLOOKUP($L176,OFFSET([2]enemies!$A$1,0,0,COUNTA([2]enemies!$A:$A),MATCH(AA$1,[2]enemies!$1:$1,0)-MATCH($L$1,[2]enemies!$1:$1,0)+1),MATCH(AA$1,[2]enemies!$1:$1,0)-MATCH($L$1,[2]enemies!$1:$1,0)+1,FALSE)</f>
        <v>3</v>
      </c>
      <c r="AB176" s="52">
        <v>362</v>
      </c>
      <c r="AC176" s="4" t="str">
        <f ca="1">VLOOKUP($AB176,OFFSET([3]characters!$A$1,0,0,COUNTA([3]characters!$A:$A),MATCH(AC$1,[3]characters!$1:$1,0)-MATCH("character_id",[3]characters!$1:$1,0)+1),MATCH(AC$1,[3]characters!$1:$1,0)-MATCH("character_id",[3]characters!$1:$1,0)+1,FALSE)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176" s="4">
        <f ca="1">VLOOKUP($AB176,OFFSET([3]characters!$A$1,0,0,COUNTA([3]characters!$A:$A),MATCH(AD$1,[3]characters!$1:$1,0)-MATCH("character_id",[3]characters!$1:$1,0)+1),MATCH(AD$1,[3]characters!$1:$1,0)-MATCH("character_id",[3]characters!$1:$1,0)+1,FALSE)</f>
        <v>2</v>
      </c>
      <c r="AE176" s="4" t="str">
        <f ca="1">VLOOKUP($AB176,OFFSET([3]characters!$A$1,0,0,COUNTA([3]characters!$A:$A),MATCH(AE$1,[3]characters!$1:$1,0)-MATCH("character_id",[3]characters!$1:$1,0)+1),MATCH(AE$1,[3]characters!$1:$1,0)-MATCH("character_id",[3]characters!$1:$1,0)+1,FALSE)</f>
        <v>Drop1S</v>
      </c>
      <c r="AF176" s="7">
        <v>7</v>
      </c>
      <c r="AG176" s="26">
        <f t="shared" ca="1" si="172"/>
        <v>2</v>
      </c>
      <c r="AH176" s="8">
        <v>20</v>
      </c>
      <c r="AI176" s="7">
        <v>0</v>
      </c>
      <c r="AJ176" s="7">
        <v>0</v>
      </c>
      <c r="AK176" s="7">
        <v>0</v>
      </c>
      <c r="AL176" s="7">
        <v>0</v>
      </c>
      <c r="AM176" s="7">
        <v>1</v>
      </c>
    </row>
    <row r="177" spans="1:39" ht="14" x14ac:dyDescent="0.15">
      <c r="A177" s="18" t="str">
        <f t="shared" ref="A177" ca="1" si="216">B177&amp;"_"&amp;C177&amp;"-"&amp;G177&amp;"/"&amp;L177&amp;"&lt;lv"&amp;R177&amp;"&gt;s"&amp;AA177</f>
        <v>23_1-4/350&lt;lv40&gt;s3</v>
      </c>
      <c r="B177" s="53">
        <v>23</v>
      </c>
      <c r="C177" s="51">
        <v>1</v>
      </c>
      <c r="D177" s="2" t="str">
        <f t="shared" ref="D177" si="217">B177&amp;"_"&amp;C177</f>
        <v>23_1</v>
      </c>
      <c r="E177" s="2" t="str">
        <f t="shared" ref="E177" si="218">C177&amp;"_"&amp;D177</f>
        <v>1_23_1</v>
      </c>
      <c r="F177" s="4" t="str">
        <f ca="1">VLOOKUP($D177,OFFSET([1]stages!$A$1,0,0,COUNTA([1]stages!$A:$A),MATCH(F$1,[1]stages!$2:$2,0)-MATCH($D$1,[1]stages!$2:$2,0)+1),MATCH(F$1,[1]stages!$2:$2,0)-MATCH($D$1,[1]stages!$2:$2,0)+1,FALSE)</f>
        <v>23-1．牙森の子どもたち</v>
      </c>
      <c r="G177" s="57">
        <v>4</v>
      </c>
      <c r="H177" s="17" t="str">
        <f t="shared" ref="H177" si="219">B177&amp;"_"&amp;C177&amp;"-"&amp;G177</f>
        <v>23_1-4</v>
      </c>
      <c r="I177" s="17"/>
      <c r="J177" s="17"/>
      <c r="K177" s="65" t="s">
        <v>56</v>
      </c>
      <c r="L177" s="52">
        <v>350</v>
      </c>
      <c r="M177" s="21" t="str">
        <f ca="1">VLOOKUP($L177,OFFSET([2]enemies!$A$1,0,0,COUNTA([2]enemies!$A:$A),MATCH(M$1,[2]enemies!$1:$1,0)-MATCH($L$1,[2]enemies!$1:$1,0)+1),MATCH(M$1,[2]enemies!$1:$1,0)-MATCH($L$1,[2]enemies!$1:$1,0)+1,FALSE)</f>
        <v>森のケロケロ</v>
      </c>
      <c r="N177" s="21" t="str">
        <f ca="1">VLOOKUP($L177,OFFSET([2]enemies!$A$1,0,0,COUNTA([2]enemies!$A:$A),MATCH(N$1,[2]enemies!$1:$1,0)-MATCH($L$1,[2]enemies!$1:$1,0)+1),MATCH(N$1,[2]enemies!$1:$1,0)-MATCH($L$1,[2]enemies!$1:$1,0)+1,FALSE)</f>
        <v>green</v>
      </c>
      <c r="O177" s="21" t="str">
        <f ca="1">VLOOKUP($L177,OFFSET([3]characters!$A$1,0,0,COUNTA([3]characters!$A:$A),MATCH(O$1,[3]characters!$1:$1,0)-MATCH($L$1,[3]characters!$1:$1,0)+1),MATCH(O$1,[3]characters!$1:$1,0)-MATCH($L$1,[3]characters!$1:$1,0)+1,FALSE)</f>
        <v>Material</v>
      </c>
      <c r="P177" s="21" t="str">
        <f ca="1">VLOOKUP($L177,OFFSET([2]enemies!$A$1,0,0,COUNTA([2]enemies!$A:$A),MATCH(P$1,[2]enemies!$1:$1,0)-MATCH($L$1,[2]enemies!$1:$1,0)+1),MATCH(P$1,[2]enemies!$1:$1,0)-MATCH($L$1,[2]enemies!$1:$1,0)+1,FALSE)</f>
        <v>unknown</v>
      </c>
      <c r="Q177" s="21">
        <f ca="1">VLOOKUP($L177,OFFSET([2]enemies!$A$1,0,0,COUNTA([2]enemies!$A:$A),MATCH(Q$1,[2]enemies!$1:$1,0)-MATCH($L$1,[2]enemies!$1:$1,0)+1),MATCH(Q$1,[2]enemies!$1:$1,0)-MATCH($L$1,[2]enemies!$1:$1,0)+1,FALSE)</f>
        <v>15</v>
      </c>
      <c r="R177" s="53">
        <v>40</v>
      </c>
      <c r="S177" s="27">
        <v>1</v>
      </c>
      <c r="T177" s="27">
        <v>1</v>
      </c>
      <c r="U177" s="5">
        <v>0</v>
      </c>
      <c r="V177" s="4" t="str">
        <f ca="1">VLOOKUP($W177,OFFSET([4]enemy_skill_sets!$B$1,0,0,COUNTA([4]enemy_skill_sets!$B:$B),MATCH(M$1,[4]enemy_skill_sets!$1:$1,0)-MATCH($W$1,[4]enemy_skill_sets!$1:$1,0)+2),MATCH(M$1,[4]enemy_skill_sets!$1:$1,0)-MATCH($W$1,[4]enemy_skill_sets!$1:$1,0)+2,FALSE)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177" s="64">
        <v>350</v>
      </c>
      <c r="X177" s="6">
        <v>0</v>
      </c>
      <c r="Y177" s="6">
        <v>100</v>
      </c>
      <c r="Z177" s="6">
        <v>0</v>
      </c>
      <c r="AA177" s="4">
        <f ca="1">VLOOKUP($L177,OFFSET([2]enemies!$A$1,0,0,COUNTA([2]enemies!$A:$A),MATCH(AA$1,[2]enemies!$1:$1,0)-MATCH($L$1,[2]enemies!$1:$1,0)+1),MATCH(AA$1,[2]enemies!$1:$1,0)-MATCH($L$1,[2]enemies!$1:$1,0)+1,FALSE)</f>
        <v>3</v>
      </c>
      <c r="AB177" s="52">
        <v>350</v>
      </c>
      <c r="AC177" s="4" t="str">
        <f ca="1">VLOOKUP($AB177,OFFSET([3]characters!$A$1,0,0,COUNTA([3]characters!$A:$A),MATCH(AC$1,[3]characters!$1:$1,0)-MATCH("character_id",[3]characters!$1:$1,0)+1),MATCH(AC$1,[3]characters!$1:$1,0)-MATCH("character_id",[3]characters!$1:$1,0)+1,FALSE)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177" s="4">
        <f ca="1">VLOOKUP($AB177,OFFSET([3]characters!$A$1,0,0,COUNTA([3]characters!$A:$A),MATCH(AD$1,[3]characters!$1:$1,0)-MATCH("character_id",[3]characters!$1:$1,0)+1),MATCH(AD$1,[3]characters!$1:$1,0)-MATCH("character_id",[3]characters!$1:$1,0)+1,FALSE)</f>
        <v>2</v>
      </c>
      <c r="AE177" s="4" t="str">
        <f ca="1">VLOOKUP($AB177,OFFSET([3]characters!$A$1,0,0,COUNTA([3]characters!$A:$A),MATCH(AE$1,[3]characters!$1:$1,0)-MATCH("character_id",[3]characters!$1:$1,0)+1),MATCH(AE$1,[3]characters!$1:$1,0)-MATCH("character_id",[3]characters!$1:$1,0)+1,FALSE)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77" s="7">
        <v>10</v>
      </c>
      <c r="AG177" s="26">
        <f t="shared" ca="1" si="172"/>
        <v>2</v>
      </c>
      <c r="AH177" s="8">
        <v>20</v>
      </c>
      <c r="AI177" s="7">
        <v>0</v>
      </c>
      <c r="AJ177" s="7">
        <v>0</v>
      </c>
      <c r="AK177" s="7">
        <v>0</v>
      </c>
      <c r="AL177" s="7">
        <v>0</v>
      </c>
      <c r="AM177" s="7">
        <v>1</v>
      </c>
    </row>
    <row r="178" spans="1:39" ht="14" x14ac:dyDescent="0.15">
      <c r="A178" s="18" t="str">
        <f t="shared" ca="1" si="201"/>
        <v>23_1-5/217&lt;lv45&gt;s3</v>
      </c>
      <c r="B178" s="50">
        <v>23</v>
      </c>
      <c r="C178" s="49">
        <v>1</v>
      </c>
      <c r="D178" s="2" t="str">
        <f t="shared" si="202"/>
        <v>23_1</v>
      </c>
      <c r="E178" s="2" t="str">
        <f t="shared" si="202"/>
        <v>1_23_1</v>
      </c>
      <c r="F178" s="4" t="str">
        <f ca="1">VLOOKUP($D178,OFFSET([1]stages!$A$1,0,0,COUNTA([1]stages!$A:$A),MATCH(F$1,[1]stages!$2:$2,0)-MATCH($D$1,[1]stages!$2:$2,0)+1),MATCH(F$1,[1]stages!$2:$2,0)-MATCH($D$1,[1]stages!$2:$2,0)+1,FALSE)</f>
        <v>23-1．牙森の子どもたち</v>
      </c>
      <c r="G178" s="54">
        <v>5</v>
      </c>
      <c r="H178" s="17" t="str">
        <f t="shared" si="203"/>
        <v>23_1-5</v>
      </c>
      <c r="I178" s="17"/>
      <c r="J178" s="17"/>
      <c r="K178" s="65" t="s">
        <v>56</v>
      </c>
      <c r="L178" s="52">
        <v>217</v>
      </c>
      <c r="M178" s="21" t="str">
        <f ca="1">VLOOKUP($L178,OFFSET([2]enemies!$A$1,0,0,COUNTA([2]enemies!$A:$A),MATCH(M$1,[2]enemies!$1:$1,0)-MATCH($L$1,[2]enemies!$1:$1,0)+1),MATCH(M$1,[2]enemies!$1:$1,0)-MATCH($L$1,[2]enemies!$1:$1,0)+1,FALSE)</f>
        <v>ケツァクアトル</v>
      </c>
      <c r="N178" s="21" t="str">
        <f ca="1">VLOOKUP($L178,OFFSET([2]enemies!$A$1,0,0,COUNTA([2]enemies!$A:$A),MATCH(N$1,[2]enemies!$1:$1,0)-MATCH($L$1,[2]enemies!$1:$1,0)+1),MATCH(N$1,[2]enemies!$1:$1,0)-MATCH($L$1,[2]enemies!$1:$1,0)+1,FALSE)</f>
        <v>green</v>
      </c>
      <c r="O178" s="21" t="str">
        <f ca="1">VLOOKUP($L178,OFFSET([3]characters!$A$1,0,0,COUNTA([3]characters!$A:$A),MATCH(O$1,[3]characters!$1:$1,0)-MATCH($L$1,[3]characters!$1:$1,0)+1),MATCH(O$1,[3]characters!$1:$1,0)-MATCH($L$1,[3]characters!$1:$1,0)+1,FALSE)</f>
        <v>PremiumN</v>
      </c>
      <c r="P178" s="21" t="str">
        <f ca="1">VLOOKUP($L178,OFFSET([2]enemies!$A$1,0,0,COUNTA([2]enemies!$A:$A),MATCH(P$1,[2]enemies!$1:$1,0)-MATCH($L$1,[2]enemies!$1:$1,0)+1),MATCH(P$1,[2]enemies!$1:$1,0)-MATCH($L$1,[2]enemies!$1:$1,0)+1,FALSE)</f>
        <v>dragon</v>
      </c>
      <c r="Q178" s="21">
        <f ca="1">VLOOKUP($L178,OFFSET([2]enemies!$A$1,0,0,COUNTA([2]enemies!$A:$A),MATCH(Q$1,[2]enemies!$1:$1,0)-MATCH($L$1,[2]enemies!$1:$1,0)+1),MATCH(Q$1,[2]enemies!$1:$1,0)-MATCH($L$1,[2]enemies!$1:$1,0)+1,FALSE)</f>
        <v>20</v>
      </c>
      <c r="R178" s="53">
        <v>45</v>
      </c>
      <c r="S178" s="27">
        <v>1</v>
      </c>
      <c r="T178" s="27">
        <v>1.2</v>
      </c>
      <c r="U178" s="5">
        <v>0</v>
      </c>
      <c r="V178" s="4" t="str">
        <f ca="1">VLOOKUP($W178,OFFSET([4]enemy_skill_sets!$B$1,0,0,COUNTA([4]enemy_skill_sets!$B:$B),MATCH(M$1,[4]enemy_skill_sets!$1:$1,0)-MATCH($W$1,[4]enemy_skill_sets!$1:$1,0)+2),MATCH(M$1,[4]enemy_skill_sets!$1:$1,0)-MATCH($W$1,[4]enemy_skill_sets!$1:$1,0)+2,FALSE)</f>
        <v>2ターンの間スリープ＋ウィルス</v>
      </c>
      <c r="W178" s="64">
        <v>21702</v>
      </c>
      <c r="X178" s="6">
        <v>1</v>
      </c>
      <c r="Y178" s="6">
        <v>100</v>
      </c>
      <c r="Z178" s="6">
        <v>1</v>
      </c>
      <c r="AA178" s="4">
        <f ca="1">VLOOKUP($L178,OFFSET([2]enemies!$A$1,0,0,COUNTA([2]enemies!$A:$A),MATCH(AA$1,[2]enemies!$1:$1,0)-MATCH($L$1,[2]enemies!$1:$1,0)+1),MATCH(AA$1,[2]enemies!$1:$1,0)-MATCH($L$1,[2]enemies!$1:$1,0)+1,FALSE)</f>
        <v>3</v>
      </c>
      <c r="AB178" s="52">
        <v>217</v>
      </c>
      <c r="AC178" s="4" t="str">
        <f ca="1">VLOOKUP($AB178,OFFSET([3]characters!$A$1,0,0,COUNTA([3]characters!$A:$A),MATCH(AC$1,[3]characters!$1:$1,0)-MATCH("character_id",[3]characters!$1:$1,0)+1),MATCH(AC$1,[3]characters!$1:$1,0)-MATCH("character_id",[3]characters!$1:$1,0)+1,FALSE)</f>
        <v>ケツァクアトル</v>
      </c>
      <c r="AD178" s="4">
        <f ca="1">VLOOKUP($AB178,OFFSET([3]characters!$A$1,0,0,COUNTA([3]characters!$A:$A),MATCH(AD$1,[3]characters!$1:$1,0)-MATCH("character_id",[3]characters!$1:$1,0)+1),MATCH(AD$1,[3]characters!$1:$1,0)-MATCH("character_id",[3]characters!$1:$1,0)+1,FALSE)</f>
        <v>3</v>
      </c>
      <c r="AE178" s="4" t="str">
        <f ca="1">VLOOKUP($AB178,OFFSET([3]characters!$A$1,0,0,COUNTA([3]characters!$A:$A),MATCH(AE$1,[3]characters!$1:$1,0)-MATCH("character_id",[3]characters!$1:$1,0)+1),MATCH(AE$1,[3]characters!$1:$1,0)-MATCH("character_id",[3]characters!$1:$1,0)+1,FALSE)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178" s="7">
        <v>1</v>
      </c>
      <c r="AG178" s="26">
        <f t="shared" ca="1" si="172"/>
        <v>3</v>
      </c>
      <c r="AH178" s="8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1</v>
      </c>
    </row>
    <row r="179" spans="1:39" ht="14" x14ac:dyDescent="0.15">
      <c r="A179" s="18" t="str">
        <f t="shared" ref="A179" ca="1" si="220">B179&amp;"_"&amp;C179&amp;"-"&amp;G179&amp;"/"&amp;L179&amp;"&lt;lv"&amp;R179&amp;"&gt;s"&amp;AA179</f>
        <v>23_1-5/43&lt;lv45&gt;s2</v>
      </c>
      <c r="B179" s="53">
        <v>23</v>
      </c>
      <c r="C179" s="51">
        <v>1</v>
      </c>
      <c r="D179" s="2" t="str">
        <f t="shared" ref="D179:E179" si="221">B179&amp;"_"&amp;C179</f>
        <v>23_1</v>
      </c>
      <c r="E179" s="2" t="str">
        <f t="shared" si="221"/>
        <v>1_23_1</v>
      </c>
      <c r="F179" s="4" t="str">
        <f ca="1">VLOOKUP($D179,OFFSET([1]stages!$A$1,0,0,COUNTA([1]stages!$A:$A),MATCH(F$1,[1]stages!$2:$2,0)-MATCH($D$1,[1]stages!$2:$2,0)+1),MATCH(F$1,[1]stages!$2:$2,0)-MATCH($D$1,[1]stages!$2:$2,0)+1,FALSE)</f>
        <v>23-1．牙森の子どもたち</v>
      </c>
      <c r="G179" s="54">
        <v>5</v>
      </c>
      <c r="H179" s="17" t="str">
        <f t="shared" ref="H179" si="222">B179&amp;"_"&amp;C179&amp;"-"&amp;G179</f>
        <v>23_1-5</v>
      </c>
      <c r="I179" s="17"/>
      <c r="J179" s="17"/>
      <c r="K179" s="65" t="s">
        <v>56</v>
      </c>
      <c r="L179" s="52">
        <v>43</v>
      </c>
      <c r="M179" s="21" t="str">
        <f ca="1">VLOOKUP($L179,OFFSET([2]enemies!$A$1,0,0,COUNTA([2]enemies!$A:$A),MATCH(M$1,[2]enemies!$1:$1,0)-MATCH($L$1,[2]enemies!$1:$1,0)+1),MATCH(M$1,[2]enemies!$1:$1,0)-MATCH($L$1,[2]enemies!$1:$1,0)+1,FALSE)</f>
        <v>ムゥ</v>
      </c>
      <c r="N179" s="21" t="str">
        <f ca="1">VLOOKUP($L179,OFFSET([2]enemies!$A$1,0,0,COUNTA([2]enemies!$A:$A),MATCH(N$1,[2]enemies!$1:$1,0)-MATCH($L$1,[2]enemies!$1:$1,0)+1),MATCH(N$1,[2]enemies!$1:$1,0)-MATCH($L$1,[2]enemies!$1:$1,0)+1,FALSE)</f>
        <v>green</v>
      </c>
      <c r="O179" s="21" t="str">
        <f ca="1">VLOOKUP($L179,OFFSET([3]characters!$A$1,0,0,COUNTA([3]characters!$A:$A),MATCH(O$1,[3]characters!$1:$1,0)-MATCH($L$1,[3]characters!$1:$1,0)+1),MATCH(O$1,[3]characters!$1:$1,0)-MATCH($L$1,[3]characters!$1:$1,0)+1,FALSE)</f>
        <v>Drop1N</v>
      </c>
      <c r="P179" s="21" t="str">
        <f ca="1">VLOOKUP($L179,OFFSET([2]enemies!$A$1,0,0,COUNTA([2]enemies!$A:$A),MATCH(P$1,[2]enemies!$1:$1,0)-MATCH($L$1,[2]enemies!$1:$1,0)+1),MATCH(P$1,[2]enemies!$1:$1,0)-MATCH($L$1,[2]enemies!$1:$1,0)+1,FALSE)</f>
        <v>dragon</v>
      </c>
      <c r="Q179" s="21">
        <f ca="1">VLOOKUP($L179,OFFSET([2]enemies!$A$1,0,0,COUNTA([2]enemies!$A:$A),MATCH(Q$1,[2]enemies!$1:$1,0)-MATCH($L$1,[2]enemies!$1:$1,0)+1),MATCH(Q$1,[2]enemies!$1:$1,0)-MATCH($L$1,[2]enemies!$1:$1,0)+1,FALSE)</f>
        <v>15</v>
      </c>
      <c r="R179" s="53">
        <v>45</v>
      </c>
      <c r="S179" s="27">
        <v>2</v>
      </c>
      <c r="T179" s="27">
        <v>1</v>
      </c>
      <c r="U179" s="5">
        <v>0</v>
      </c>
      <c r="V179" s="4" t="str">
        <f ca="1">VLOOKUP($W179,OFFSET([4]enemy_skill_sets!$B$1,0,0,COUNTA([4]enemy_skill_sets!$B:$B),MATCH(M$1,[4]enemy_skill_sets!$1:$1,0)-MATCH($W$1,[4]enemy_skill_sets!$1:$1,0)+2),MATCH(M$1,[4]enemy_skill_sets!$1:$1,0)-MATCH($W$1,[4]enemy_skill_sets!$1:$1,0)+2,FALSE)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79" s="4">
        <f ca="1">VLOOKUP($L179,OFFSET([2]enemies!$A$1,0,0,COUNTA([2]enemies!$A:$A),MATCH(W$1,[2]enemies!$1:$1,0)-MATCH($L$1,[2]enemies!$1:$1,0)+1),MATCH(W$1,[2]enemies!$1:$1,0)-MATCH($L$1,[2]enemies!$1:$1,0)+1,FALSE)</f>
        <v>0</v>
      </c>
      <c r="X179" s="6">
        <v>2</v>
      </c>
      <c r="Y179" s="6">
        <v>100</v>
      </c>
      <c r="Z179" s="6">
        <v>0</v>
      </c>
      <c r="AA179" s="4">
        <f ca="1">VLOOKUP($L179,OFFSET([2]enemies!$A$1,0,0,COUNTA([2]enemies!$A:$A),MATCH(AA$1,[2]enemies!$1:$1,0)-MATCH($L$1,[2]enemies!$1:$1,0)+1),MATCH(AA$1,[2]enemies!$1:$1,0)-MATCH($L$1,[2]enemies!$1:$1,0)+1,FALSE)</f>
        <v>2</v>
      </c>
      <c r="AB179" s="52">
        <v>43</v>
      </c>
      <c r="AC179" s="4" t="str">
        <f ca="1">VLOOKUP($AB179,OFFSET([3]characters!$A$1,0,0,COUNTA([3]characters!$A:$A),MATCH(AC$1,[3]characters!$1:$1,0)-MATCH("character_id",[3]characters!$1:$1,0)+1),MATCH(AC$1,[3]characters!$1:$1,0)-MATCH("character_id",[3]characters!$1:$1,0)+1,FALSE)</f>
        <v>ムゥ</v>
      </c>
      <c r="AD179" s="4">
        <f ca="1">VLOOKUP($AB179,OFFSET([3]characters!$A$1,0,0,COUNTA([3]characters!$A:$A),MATCH(AD$1,[3]characters!$1:$1,0)-MATCH("character_id",[3]characters!$1:$1,0)+1),MATCH(AD$1,[3]characters!$1:$1,0)-MATCH("character_id",[3]characters!$1:$1,0)+1,FALSE)</f>
        <v>2</v>
      </c>
      <c r="AE179" s="4" t="str">
        <f ca="1">VLOOKUP($AB179,OFFSET([3]characters!$A$1,0,0,COUNTA([3]characters!$A:$A),MATCH(AE$1,[3]characters!$1:$1,0)-MATCH("character_id",[3]characters!$1:$1,0)+1),MATCH(AE$1,[3]characters!$1:$1,0)-MATCH("character_id",[3]characters!$1:$1,0)+1,FALSE)</f>
        <v>Drop1N</v>
      </c>
      <c r="AF179" s="7">
        <v>7</v>
      </c>
      <c r="AG179" s="26">
        <f t="shared" ca="1" si="172"/>
        <v>2</v>
      </c>
      <c r="AH179" s="8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1</v>
      </c>
    </row>
    <row r="180" spans="1:39" ht="14" x14ac:dyDescent="0.15">
      <c r="A180" s="18" t="str">
        <f t="shared" ca="1" si="201"/>
        <v>23_2-1/9&lt;lv42&gt;s2</v>
      </c>
      <c r="B180" s="50">
        <v>23</v>
      </c>
      <c r="C180" s="49">
        <v>2</v>
      </c>
      <c r="D180" s="2" t="str">
        <f t="shared" si="202"/>
        <v>23_2</v>
      </c>
      <c r="E180" s="2" t="str">
        <f t="shared" si="202"/>
        <v>2_23_2</v>
      </c>
      <c r="F180" s="4" t="str">
        <f ca="1">VLOOKUP($D180,OFFSET([1]stages!$A$1,0,0,COUNTA([1]stages!$A:$A),MATCH(F$1,[1]stages!$2:$2,0)-MATCH($D$1,[1]stages!$2:$2,0)+1),MATCH(F$1,[1]stages!$2:$2,0)-MATCH($D$1,[1]stages!$2:$2,0)+1,FALSE)</f>
        <v>23-2．微笑みの猛蛇</v>
      </c>
      <c r="G180" s="55">
        <v>1</v>
      </c>
      <c r="H180" s="17" t="str">
        <f t="shared" si="203"/>
        <v>23_2-1</v>
      </c>
      <c r="I180" s="17"/>
      <c r="J180" s="17"/>
      <c r="K180" s="65" t="s">
        <v>56</v>
      </c>
      <c r="L180" s="52">
        <v>9</v>
      </c>
      <c r="M180" s="21" t="str">
        <f ca="1">VLOOKUP($L180,OFFSET([2]enemies!$A$1,0,0,COUNTA([2]enemies!$A:$A),MATCH(M$1,[2]enemies!$1:$1,0)-MATCH($L$1,[2]enemies!$1:$1,0)+1),MATCH(M$1,[2]enemies!$1:$1,0)-MATCH($L$1,[2]enemies!$1:$1,0)+1,FALSE)</f>
        <v>ブレット</v>
      </c>
      <c r="N180" s="21" t="str">
        <f ca="1">VLOOKUP($L180,OFFSET([2]enemies!$A$1,0,0,COUNTA([2]enemies!$A:$A),MATCH(N$1,[2]enemies!$1:$1,0)-MATCH($L$1,[2]enemies!$1:$1,0)+1),MATCH(N$1,[2]enemies!$1:$1,0)-MATCH($L$1,[2]enemies!$1:$1,0)+1,FALSE)</f>
        <v>red</v>
      </c>
      <c r="O180" s="21" t="str">
        <f ca="1">VLOOKUP($L180,OFFSET([3]characters!$A$1,0,0,COUNTA([3]characters!$A:$A),MATCH(O$1,[3]characters!$1:$1,0)-MATCH($L$1,[3]characters!$1:$1,0)+1),MATCH(O$1,[3]characters!$1:$1,0)-MATCH($L$1,[3]characters!$1:$1,0)+1,FALSE)</f>
        <v>Drop1W</v>
      </c>
      <c r="P180" s="21" t="str">
        <f ca="1">VLOOKUP($L180,OFFSET([2]enemies!$A$1,0,0,COUNTA([2]enemies!$A:$A),MATCH(P$1,[2]enemies!$1:$1,0)-MATCH($L$1,[2]enemies!$1:$1,0)+1),MATCH(P$1,[2]enemies!$1:$1,0)-MATCH($L$1,[2]enemies!$1:$1,0)+1,FALSE)</f>
        <v>animal</v>
      </c>
      <c r="Q180" s="21">
        <f ca="1">VLOOKUP($L180,OFFSET([2]enemies!$A$1,0,0,COUNTA([2]enemies!$A:$A),MATCH(Q$1,[2]enemies!$1:$1,0)-MATCH($L$1,[2]enemies!$1:$1,0)+1),MATCH(Q$1,[2]enemies!$1:$1,0)-MATCH($L$1,[2]enemies!$1:$1,0)+1,FALSE)</f>
        <v>15</v>
      </c>
      <c r="R180" s="53">
        <v>42</v>
      </c>
      <c r="S180" s="27">
        <v>1</v>
      </c>
      <c r="T180" s="27">
        <v>1</v>
      </c>
      <c r="U180" s="5">
        <v>0</v>
      </c>
      <c r="V180" s="4" t="str">
        <f ca="1">VLOOKUP($W180,OFFSET([4]enemy_skill_sets!$B$1,0,0,COUNTA([4]enemy_skill_sets!$B:$B),MATCH(M$1,[4]enemy_skill_sets!$1:$1,0)-MATCH($W$1,[4]enemy_skill_sets!$1:$1,0)+2),MATCH(M$1,[4]enemy_skill_sets!$1:$1,0)-MATCH($W$1,[4]enemy_skill_sets!$1:$1,0)+2,FALSE)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80" s="4">
        <f ca="1">VLOOKUP($L180,OFFSET([2]enemies!$A$1,0,0,COUNTA([2]enemies!$A:$A),MATCH(W$1,[2]enemies!$1:$1,0)-MATCH($L$1,[2]enemies!$1:$1,0)+1),MATCH(W$1,[2]enemies!$1:$1,0)-MATCH($L$1,[2]enemies!$1:$1,0)+1,FALSE)</f>
        <v>0</v>
      </c>
      <c r="X180" s="6">
        <v>0</v>
      </c>
      <c r="Y180" s="6">
        <v>100</v>
      </c>
      <c r="Z180" s="6">
        <v>0</v>
      </c>
      <c r="AA180" s="4">
        <f ca="1">VLOOKUP($L180,OFFSET([2]enemies!$A$1,0,0,COUNTA([2]enemies!$A:$A),MATCH(AA$1,[2]enemies!$1:$1,0)-MATCH($L$1,[2]enemies!$1:$1,0)+1),MATCH(AA$1,[2]enemies!$1:$1,0)-MATCH($L$1,[2]enemies!$1:$1,0)+1,FALSE)</f>
        <v>2</v>
      </c>
      <c r="AB180" s="52">
        <v>9</v>
      </c>
      <c r="AC180" s="4" t="str">
        <f ca="1">VLOOKUP($AB180,OFFSET([3]characters!$A$1,0,0,COUNTA([3]characters!$A:$A),MATCH(AC$1,[3]characters!$1:$1,0)-MATCH("character_id",[3]characters!$1:$1,0)+1),MATCH(AC$1,[3]characters!$1:$1,0)-MATCH("character_id",[3]characters!$1:$1,0)+1,FALSE)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180" s="4">
        <f ca="1">VLOOKUP($AB180,OFFSET([3]characters!$A$1,0,0,COUNTA([3]characters!$A:$A),MATCH(AD$1,[3]characters!$1:$1,0)-MATCH("character_id",[3]characters!$1:$1,0)+1),MATCH(AD$1,[3]characters!$1:$1,0)-MATCH("character_id",[3]characters!$1:$1,0)+1,FALSE)</f>
        <v>1</v>
      </c>
      <c r="AE180" s="4" t="str">
        <f ca="1">VLOOKUP($AB180,OFFSET([3]characters!$A$1,0,0,COUNTA([3]characters!$A:$A),MATCH(AE$1,[3]characters!$1:$1,0)-MATCH("character_id",[3]characters!$1:$1,0)+1),MATCH(AE$1,[3]characters!$1:$1,0)-MATCH("character_id",[3]characters!$1:$1,0)+1,FALSE)</f>
        <v>Drop1W</v>
      </c>
      <c r="AF180" s="7">
        <v>9</v>
      </c>
      <c r="AG180" s="26">
        <f t="shared" ca="1" si="172"/>
        <v>1</v>
      </c>
      <c r="AH180" s="8">
        <v>20</v>
      </c>
      <c r="AI180" s="7">
        <v>0</v>
      </c>
      <c r="AJ180" s="7">
        <v>0</v>
      </c>
      <c r="AK180" s="7">
        <v>0</v>
      </c>
      <c r="AL180" s="7">
        <v>0</v>
      </c>
      <c r="AM180" s="7">
        <v>1</v>
      </c>
    </row>
    <row r="181" spans="1:39" ht="14" x14ac:dyDescent="0.15">
      <c r="A181" s="18" t="str">
        <f t="shared" ca="1" si="201"/>
        <v>23_2-1/33&lt;lv42&gt;s2</v>
      </c>
      <c r="B181" s="50">
        <v>23</v>
      </c>
      <c r="C181" s="49">
        <v>2</v>
      </c>
      <c r="D181" s="2" t="str">
        <f t="shared" si="202"/>
        <v>23_2</v>
      </c>
      <c r="E181" s="2" t="str">
        <f t="shared" si="202"/>
        <v>2_23_2</v>
      </c>
      <c r="F181" s="4" t="str">
        <f ca="1">VLOOKUP($D181,OFFSET([1]stages!$A$1,0,0,COUNTA([1]stages!$A:$A),MATCH(F$1,[1]stages!$2:$2,0)-MATCH($D$1,[1]stages!$2:$2,0)+1),MATCH(F$1,[1]stages!$2:$2,0)-MATCH($D$1,[1]stages!$2:$2,0)+1,FALSE)</f>
        <v>23-2．微笑みの猛蛇</v>
      </c>
      <c r="G181" s="55">
        <v>1</v>
      </c>
      <c r="H181" s="17" t="str">
        <f t="shared" si="203"/>
        <v>23_2-1</v>
      </c>
      <c r="I181" s="17"/>
      <c r="J181" s="17"/>
      <c r="K181" s="65" t="s">
        <v>56</v>
      </c>
      <c r="L181" s="52">
        <v>33</v>
      </c>
      <c r="M181" s="21" t="str">
        <f ca="1">VLOOKUP($L181,OFFSET([2]enemies!$A$1,0,0,COUNTA([2]enemies!$A:$A),MATCH(M$1,[2]enemies!$1:$1,0)-MATCH($L$1,[2]enemies!$1:$1,0)+1),MATCH(M$1,[2]enemies!$1:$1,0)-MATCH($L$1,[2]enemies!$1:$1,0)+1,FALSE)</f>
        <v>ゴクウ</v>
      </c>
      <c r="N181" s="21" t="str">
        <f ca="1">VLOOKUP($L181,OFFSET([2]enemies!$A$1,0,0,COUNTA([2]enemies!$A:$A),MATCH(N$1,[2]enemies!$1:$1,0)-MATCH($L$1,[2]enemies!$1:$1,0)+1),MATCH(N$1,[2]enemies!$1:$1,0)-MATCH($L$1,[2]enemies!$1:$1,0)+1,FALSE)</f>
        <v>red</v>
      </c>
      <c r="O181" s="21" t="str">
        <f ca="1">VLOOKUP($L181,OFFSET([3]characters!$A$1,0,0,COUNTA([3]characters!$A:$A),MATCH(O$1,[3]characters!$1:$1,0)-MATCH($L$1,[3]characters!$1:$1,0)+1),MATCH(O$1,[3]characters!$1:$1,0)-MATCH($L$1,[3]characters!$1:$1,0)+1,FALSE)</f>
        <v>Drop1S</v>
      </c>
      <c r="P181" s="21" t="str">
        <f ca="1">VLOOKUP($L181,OFFSET([2]enemies!$A$1,0,0,COUNTA([2]enemies!$A:$A),MATCH(P$1,[2]enemies!$1:$1,0)-MATCH($L$1,[2]enemies!$1:$1,0)+1),MATCH(P$1,[2]enemies!$1:$1,0)-MATCH($L$1,[2]enemies!$1:$1,0)+1,FALSE)</f>
        <v>animal</v>
      </c>
      <c r="Q181" s="21">
        <f ca="1">VLOOKUP($L181,OFFSET([2]enemies!$A$1,0,0,COUNTA([2]enemies!$A:$A),MATCH(Q$1,[2]enemies!$1:$1,0)-MATCH($L$1,[2]enemies!$1:$1,0)+1),MATCH(Q$1,[2]enemies!$1:$1,0)-MATCH($L$1,[2]enemies!$1:$1,0)+1,FALSE)</f>
        <v>15</v>
      </c>
      <c r="R181" s="53">
        <v>42</v>
      </c>
      <c r="S181" s="27">
        <v>1</v>
      </c>
      <c r="T181" s="27">
        <v>1</v>
      </c>
      <c r="U181" s="5">
        <v>0</v>
      </c>
      <c r="V181" s="4" t="str">
        <f ca="1">VLOOKUP($W181,OFFSET([4]enemy_skill_sets!$B$1,0,0,COUNTA([4]enemy_skill_sets!$B:$B),MATCH(M$1,[4]enemy_skill_sets!$1:$1,0)-MATCH($W$1,[4]enemy_skill_sets!$1:$1,0)+2),MATCH(M$1,[4]enemy_skill_sets!$1:$1,0)-MATCH($W$1,[4]enemy_skill_sets!$1:$1,0)+2,FALSE)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81" s="4">
        <f ca="1">VLOOKUP($L181,OFFSET([2]enemies!$A$1,0,0,COUNTA([2]enemies!$A:$A),MATCH(W$1,[2]enemies!$1:$1,0)-MATCH($L$1,[2]enemies!$1:$1,0)+1),MATCH(W$1,[2]enemies!$1:$1,0)-MATCH($L$1,[2]enemies!$1:$1,0)+1,FALSE)</f>
        <v>33</v>
      </c>
      <c r="X181" s="6">
        <v>0</v>
      </c>
      <c r="Y181" s="6">
        <v>100</v>
      </c>
      <c r="Z181" s="6">
        <v>0</v>
      </c>
      <c r="AA181" s="4">
        <f ca="1">VLOOKUP($L181,OFFSET([2]enemies!$A$1,0,0,COUNTA([2]enemies!$A:$A),MATCH(AA$1,[2]enemies!$1:$1,0)-MATCH($L$1,[2]enemies!$1:$1,0)+1),MATCH(AA$1,[2]enemies!$1:$1,0)-MATCH($L$1,[2]enemies!$1:$1,0)+1,FALSE)</f>
        <v>2</v>
      </c>
      <c r="AB181" s="52">
        <v>33</v>
      </c>
      <c r="AC181" s="4" t="str">
        <f ca="1">VLOOKUP($AB181,OFFSET([3]characters!$A$1,0,0,COUNTA([3]characters!$A:$A),MATCH(AC$1,[3]characters!$1:$1,0)-MATCH("character_id",[3]characters!$1:$1,0)+1),MATCH(AC$1,[3]characters!$1:$1,0)-MATCH("character_id",[3]characters!$1:$1,0)+1,FALSE)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81" s="4">
        <f ca="1">VLOOKUP($AB181,OFFSET([3]characters!$A$1,0,0,COUNTA([3]characters!$A:$A),MATCH(AD$1,[3]characters!$1:$1,0)-MATCH("character_id",[3]characters!$1:$1,0)+1),MATCH(AD$1,[3]characters!$1:$1,0)-MATCH("character_id",[3]characters!$1:$1,0)+1,FALSE)</f>
        <v>2</v>
      </c>
      <c r="AE181" s="4" t="str">
        <f ca="1">VLOOKUP($AB181,OFFSET([3]characters!$A$1,0,0,COUNTA([3]characters!$A:$A),MATCH(AE$1,[3]characters!$1:$1,0)-MATCH("character_id",[3]characters!$1:$1,0)+1),MATCH(AE$1,[3]characters!$1:$1,0)-MATCH("character_id",[3]characters!$1:$1,0)+1,FALSE)</f>
        <v>Drop1S</v>
      </c>
      <c r="AF181" s="7">
        <v>5</v>
      </c>
      <c r="AG181" s="26">
        <f t="shared" ca="1" si="172"/>
        <v>2</v>
      </c>
      <c r="AH181" s="8">
        <v>20</v>
      </c>
      <c r="AI181" s="7">
        <v>0</v>
      </c>
      <c r="AJ181" s="7">
        <v>0</v>
      </c>
      <c r="AK181" s="7">
        <v>0</v>
      </c>
      <c r="AL181" s="7">
        <v>0</v>
      </c>
      <c r="AM181" s="7">
        <v>1</v>
      </c>
    </row>
    <row r="182" spans="1:39" ht="14" x14ac:dyDescent="0.15">
      <c r="A182" s="18" t="str">
        <f t="shared" ca="1" si="201"/>
        <v>23_2-1/57&lt;lv42&gt;s2</v>
      </c>
      <c r="B182" s="50">
        <v>23</v>
      </c>
      <c r="C182" s="49">
        <v>2</v>
      </c>
      <c r="D182" s="2" t="str">
        <f t="shared" si="202"/>
        <v>23_2</v>
      </c>
      <c r="E182" s="2" t="str">
        <f t="shared" si="202"/>
        <v>2_23_2</v>
      </c>
      <c r="F182" s="4" t="str">
        <f ca="1">VLOOKUP($D182,OFFSET([1]stages!$A$1,0,0,COUNTA([1]stages!$A:$A),MATCH(F$1,[1]stages!$2:$2,0)-MATCH($D$1,[1]stages!$2:$2,0)+1),MATCH(F$1,[1]stages!$2:$2,0)-MATCH($D$1,[1]stages!$2:$2,0)+1,FALSE)</f>
        <v>23-2．微笑みの猛蛇</v>
      </c>
      <c r="G182" s="55">
        <v>1</v>
      </c>
      <c r="H182" s="17" t="str">
        <f t="shared" si="203"/>
        <v>23_2-1</v>
      </c>
      <c r="I182" s="17"/>
      <c r="J182" s="17"/>
      <c r="K182" s="65" t="s">
        <v>56</v>
      </c>
      <c r="L182" s="52">
        <v>57</v>
      </c>
      <c r="M182" s="21" t="str">
        <f ca="1">VLOOKUP($L182,OFFSET([2]enemies!$A$1,0,0,COUNTA([2]enemies!$A:$A),MATCH(M$1,[2]enemies!$1:$1,0)-MATCH($L$1,[2]enemies!$1:$1,0)+1),MATCH(M$1,[2]enemies!$1:$1,0)-MATCH($L$1,[2]enemies!$1:$1,0)+1,FALSE)</f>
        <v>チェン・リー</v>
      </c>
      <c r="N182" s="21" t="str">
        <f ca="1">VLOOKUP($L182,OFFSET([2]enemies!$A$1,0,0,COUNTA([2]enemies!$A:$A),MATCH(N$1,[2]enemies!$1:$1,0)-MATCH($L$1,[2]enemies!$1:$1,0)+1),MATCH(N$1,[2]enemies!$1:$1,0)-MATCH($L$1,[2]enemies!$1:$1,0)+1,FALSE)</f>
        <v>red</v>
      </c>
      <c r="O182" s="21" t="str">
        <f ca="1">VLOOKUP($L182,OFFSET([3]characters!$A$1,0,0,COUNTA([3]characters!$A:$A),MATCH(O$1,[3]characters!$1:$1,0)-MATCH($L$1,[3]characters!$1:$1,0)+1),MATCH(O$1,[3]characters!$1:$1,0)-MATCH($L$1,[3]characters!$1:$1,0)+1,FALSE)</f>
        <v>Drop1N</v>
      </c>
      <c r="P182" s="21" t="str">
        <f ca="1">VLOOKUP($L182,OFFSET([2]enemies!$A$1,0,0,COUNTA([2]enemies!$A:$A),MATCH(P$1,[2]enemies!$1:$1,0)-MATCH($L$1,[2]enemies!$1:$1,0)+1),MATCH(P$1,[2]enemies!$1:$1,0)-MATCH($L$1,[2]enemies!$1:$1,0)+1,FALSE)</f>
        <v>animal</v>
      </c>
      <c r="Q182" s="21">
        <f ca="1">VLOOKUP($L182,OFFSET([2]enemies!$A$1,0,0,COUNTA([2]enemies!$A:$A),MATCH(Q$1,[2]enemies!$1:$1,0)-MATCH($L$1,[2]enemies!$1:$1,0)+1),MATCH(Q$1,[2]enemies!$1:$1,0)-MATCH($L$1,[2]enemies!$1:$1,0)+1,FALSE)</f>
        <v>15</v>
      </c>
      <c r="R182" s="53">
        <v>42</v>
      </c>
      <c r="S182" s="27">
        <v>1</v>
      </c>
      <c r="T182" s="27">
        <v>1</v>
      </c>
      <c r="U182" s="5">
        <v>0</v>
      </c>
      <c r="V182" s="4" t="str">
        <f ca="1">VLOOKUP($W182,OFFSET([4]enemy_skill_sets!$B$1,0,0,COUNTA([4]enemy_skill_sets!$B:$B),MATCH(M$1,[4]enemy_skill_sets!$1:$1,0)-MATCH($W$1,[4]enemy_skill_sets!$1:$1,0)+2),MATCH(M$1,[4]enemy_skill_sets!$1:$1,0)-MATCH($W$1,[4]enemy_skill_sets!$1:$1,0)+2,FALSE)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82" s="4">
        <f ca="1">VLOOKUP($L182,OFFSET([2]enemies!$A$1,0,0,COUNTA([2]enemies!$A:$A),MATCH(W$1,[2]enemies!$1:$1,0)-MATCH($L$1,[2]enemies!$1:$1,0)+1),MATCH(W$1,[2]enemies!$1:$1,0)-MATCH($L$1,[2]enemies!$1:$1,0)+1,FALSE)</f>
        <v>57</v>
      </c>
      <c r="X182" s="6">
        <v>0</v>
      </c>
      <c r="Y182" s="6">
        <v>100</v>
      </c>
      <c r="Z182" s="6">
        <v>0</v>
      </c>
      <c r="AA182" s="4">
        <f ca="1">VLOOKUP($L182,OFFSET([2]enemies!$A$1,0,0,COUNTA([2]enemies!$A:$A),MATCH(AA$1,[2]enemies!$1:$1,0)-MATCH($L$1,[2]enemies!$1:$1,0)+1),MATCH(AA$1,[2]enemies!$1:$1,0)-MATCH($L$1,[2]enemies!$1:$1,0)+1,FALSE)</f>
        <v>2</v>
      </c>
      <c r="AB182" s="52">
        <v>57</v>
      </c>
      <c r="AC182" s="4" t="str">
        <f ca="1">VLOOKUP($AB182,OFFSET([3]characters!$A$1,0,0,COUNTA([3]characters!$A:$A),MATCH(AC$1,[3]characters!$1:$1,0)-MATCH("character_id",[3]characters!$1:$1,0)+1),MATCH(AC$1,[3]characters!$1:$1,0)-MATCH("character_id",[3]characters!$1:$1,0)+1,FALSE)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82" s="4">
        <f ca="1">VLOOKUP($AB182,OFFSET([3]characters!$A$1,0,0,COUNTA([3]characters!$A:$A),MATCH(AD$1,[3]characters!$1:$1,0)-MATCH("character_id",[3]characters!$1:$1,0)+1),MATCH(AD$1,[3]characters!$1:$1,0)-MATCH("character_id",[3]characters!$1:$1,0)+1,FALSE)</f>
        <v>2</v>
      </c>
      <c r="AE182" s="4" t="str">
        <f ca="1">VLOOKUP($AB182,OFFSET([3]characters!$A$1,0,0,COUNTA([3]characters!$A:$A),MATCH(AE$1,[3]characters!$1:$1,0)-MATCH("character_id",[3]characters!$1:$1,0)+1),MATCH(AE$1,[3]characters!$1:$1,0)-MATCH("character_id",[3]characters!$1:$1,0)+1,FALSE)</f>
        <v>Drop1N</v>
      </c>
      <c r="AF182" s="7">
        <v>7</v>
      </c>
      <c r="AG182" s="26">
        <f t="shared" ca="1" si="172"/>
        <v>2</v>
      </c>
      <c r="AH182" s="8">
        <v>20</v>
      </c>
      <c r="AI182" s="7">
        <v>0</v>
      </c>
      <c r="AJ182" s="7">
        <v>0</v>
      </c>
      <c r="AK182" s="7">
        <v>0</v>
      </c>
      <c r="AL182" s="7">
        <v>0</v>
      </c>
      <c r="AM182" s="7">
        <v>1</v>
      </c>
    </row>
    <row r="183" spans="1:39" ht="14" x14ac:dyDescent="0.15">
      <c r="A183" s="18" t="str">
        <f t="shared" ca="1" si="201"/>
        <v>23_2-1/21&lt;lv42&gt;s2</v>
      </c>
      <c r="B183" s="50">
        <v>23</v>
      </c>
      <c r="C183" s="49">
        <v>2</v>
      </c>
      <c r="D183" s="2" t="str">
        <f t="shared" si="202"/>
        <v>23_2</v>
      </c>
      <c r="E183" s="2" t="str">
        <f t="shared" si="202"/>
        <v>2_23_2</v>
      </c>
      <c r="F183" s="4" t="str">
        <f ca="1">VLOOKUP($D183,OFFSET([1]stages!$A$1,0,0,COUNTA([1]stages!$A:$A),MATCH(F$1,[1]stages!$2:$2,0)-MATCH($D$1,[1]stages!$2:$2,0)+1),MATCH(F$1,[1]stages!$2:$2,0)-MATCH($D$1,[1]stages!$2:$2,0)+1,FALSE)</f>
        <v>23-2．微笑みの猛蛇</v>
      </c>
      <c r="G183" s="55">
        <v>1</v>
      </c>
      <c r="H183" s="17" t="str">
        <f t="shared" si="203"/>
        <v>23_2-1</v>
      </c>
      <c r="I183" s="17"/>
      <c r="J183" s="17"/>
      <c r="K183" s="65" t="s">
        <v>56</v>
      </c>
      <c r="L183" s="52">
        <v>21</v>
      </c>
      <c r="M183" s="21" t="str">
        <f ca="1">VLOOKUP($L183,OFFSET([2]enemies!$A$1,0,0,COUNTA([2]enemies!$A:$A),MATCH(M$1,[2]enemies!$1:$1,0)-MATCH($L$1,[2]enemies!$1:$1,0)+1),MATCH(M$1,[2]enemies!$1:$1,0)-MATCH($L$1,[2]enemies!$1:$1,0)+1,FALSE)</f>
        <v>ヴェロキー</v>
      </c>
      <c r="N183" s="21" t="str">
        <f ca="1">VLOOKUP($L183,OFFSET([2]enemies!$A$1,0,0,COUNTA([2]enemies!$A:$A),MATCH(N$1,[2]enemies!$1:$1,0)-MATCH($L$1,[2]enemies!$1:$1,0)+1),MATCH(N$1,[2]enemies!$1:$1,0)-MATCH($L$1,[2]enemies!$1:$1,0)+1,FALSE)</f>
        <v>red</v>
      </c>
      <c r="O183" s="21" t="str">
        <f ca="1">VLOOKUP($L183,OFFSET([3]characters!$A$1,0,0,COUNTA([3]characters!$A:$A),MATCH(O$1,[3]characters!$1:$1,0)-MATCH($L$1,[3]characters!$1:$1,0)+1),MATCH(O$1,[3]characters!$1:$1,0)-MATCH($L$1,[3]characters!$1:$1,0)+1,FALSE)</f>
        <v>Drop1N</v>
      </c>
      <c r="P183" s="21" t="str">
        <f ca="1">VLOOKUP($L183,OFFSET([2]enemies!$A$1,0,0,COUNTA([2]enemies!$A:$A),MATCH(P$1,[2]enemies!$1:$1,0)-MATCH($L$1,[2]enemies!$1:$1,0)+1),MATCH(P$1,[2]enemies!$1:$1,0)-MATCH($L$1,[2]enemies!$1:$1,0)+1,FALSE)</f>
        <v>dragon</v>
      </c>
      <c r="Q183" s="21">
        <f ca="1">VLOOKUP($L183,OFFSET([2]enemies!$A$1,0,0,COUNTA([2]enemies!$A:$A),MATCH(Q$1,[2]enemies!$1:$1,0)-MATCH($L$1,[2]enemies!$1:$1,0)+1),MATCH(Q$1,[2]enemies!$1:$1,0)-MATCH($L$1,[2]enemies!$1:$1,0)+1,FALSE)</f>
        <v>15</v>
      </c>
      <c r="R183" s="53">
        <v>42</v>
      </c>
      <c r="S183" s="27">
        <v>1</v>
      </c>
      <c r="T183" s="27">
        <v>1</v>
      </c>
      <c r="U183" s="5">
        <v>0</v>
      </c>
      <c r="V183" s="4" t="str">
        <f ca="1">VLOOKUP($W183,OFFSET([4]enemy_skill_sets!$B$1,0,0,COUNTA([4]enemy_skill_sets!$B:$B),MATCH(M$1,[4]enemy_skill_sets!$1:$1,0)-MATCH($W$1,[4]enemy_skill_sets!$1:$1,0)+2),MATCH(M$1,[4]enemy_skill_sets!$1:$1,0)-MATCH($W$1,[4]enemy_skill_sets!$1:$1,0)+2,FALSE)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83" s="4">
        <f ca="1">VLOOKUP($L183,OFFSET([2]enemies!$A$1,0,0,COUNTA([2]enemies!$A:$A),MATCH(W$1,[2]enemies!$1:$1,0)-MATCH($L$1,[2]enemies!$1:$1,0)+1),MATCH(W$1,[2]enemies!$1:$1,0)-MATCH($L$1,[2]enemies!$1:$1,0)+1,FALSE)</f>
        <v>0</v>
      </c>
      <c r="X183" s="6">
        <v>0</v>
      </c>
      <c r="Y183" s="6">
        <v>100</v>
      </c>
      <c r="Z183" s="6">
        <v>0</v>
      </c>
      <c r="AA183" s="4">
        <f ca="1">VLOOKUP($L183,OFFSET([2]enemies!$A$1,0,0,COUNTA([2]enemies!$A:$A),MATCH(AA$1,[2]enemies!$1:$1,0)-MATCH($L$1,[2]enemies!$1:$1,0)+1),MATCH(AA$1,[2]enemies!$1:$1,0)-MATCH($L$1,[2]enemies!$1:$1,0)+1,FALSE)</f>
        <v>2</v>
      </c>
      <c r="AB183" s="52">
        <v>21</v>
      </c>
      <c r="AC183" s="4" t="str">
        <f ca="1">VLOOKUP($AB183,OFFSET([3]characters!$A$1,0,0,COUNTA([3]characters!$A:$A),MATCH(AC$1,[3]characters!$1:$1,0)-MATCH("character_id",[3]characters!$1:$1,0)+1),MATCH(AC$1,[3]characters!$1:$1,0)-MATCH("character_id",[3]characters!$1:$1,0)+1,FALSE)</f>
        <v>ヴェロキー</v>
      </c>
      <c r="AD183" s="4">
        <f ca="1">VLOOKUP($AB183,OFFSET([3]characters!$A$1,0,0,COUNTA([3]characters!$A:$A),MATCH(AD$1,[3]characters!$1:$1,0)-MATCH("character_id",[3]characters!$1:$1,0)+1),MATCH(AD$1,[3]characters!$1:$1,0)-MATCH("character_id",[3]characters!$1:$1,0)+1,FALSE)</f>
        <v>1</v>
      </c>
      <c r="AE183" s="4" t="str">
        <f ca="1">VLOOKUP($AB183,OFFSET([3]characters!$A$1,0,0,COUNTA([3]characters!$A:$A),MATCH(AE$1,[3]characters!$1:$1,0)-MATCH("character_id",[3]characters!$1:$1,0)+1),MATCH(AE$1,[3]characters!$1:$1,0)-MATCH("character_id",[3]characters!$1:$1,0)+1,FALSE)</f>
        <v>Drop1N</v>
      </c>
      <c r="AF183" s="7">
        <v>7</v>
      </c>
      <c r="AG183" s="26">
        <f t="shared" ca="1" si="172"/>
        <v>1</v>
      </c>
      <c r="AH183" s="8">
        <v>20</v>
      </c>
      <c r="AI183" s="7">
        <v>0</v>
      </c>
      <c r="AJ183" s="7">
        <v>0</v>
      </c>
      <c r="AK183" s="7">
        <v>0</v>
      </c>
      <c r="AL183" s="7">
        <v>0</v>
      </c>
      <c r="AM183" s="7">
        <v>1</v>
      </c>
    </row>
    <row r="184" spans="1:39" ht="14" x14ac:dyDescent="0.15">
      <c r="A184" s="18" t="str">
        <f t="shared" ca="1" si="201"/>
        <v>23_2-1/41&lt;lv42&gt;s1</v>
      </c>
      <c r="B184" s="50">
        <v>23</v>
      </c>
      <c r="C184" s="49">
        <v>2</v>
      </c>
      <c r="D184" s="2" t="str">
        <f t="shared" si="202"/>
        <v>23_2</v>
      </c>
      <c r="E184" s="2" t="str">
        <f t="shared" si="202"/>
        <v>2_23_2</v>
      </c>
      <c r="F184" s="4" t="str">
        <f ca="1">VLOOKUP($D184,OFFSET([1]stages!$A$1,0,0,COUNTA([1]stages!$A:$A),MATCH(F$1,[1]stages!$2:$2,0)-MATCH($D$1,[1]stages!$2:$2,0)+1),MATCH(F$1,[1]stages!$2:$2,0)-MATCH($D$1,[1]stages!$2:$2,0)+1,FALSE)</f>
        <v>23-2．微笑みの猛蛇</v>
      </c>
      <c r="G184" s="55">
        <v>1</v>
      </c>
      <c r="H184" s="17" t="str">
        <f t="shared" si="203"/>
        <v>23_2-1</v>
      </c>
      <c r="I184" s="17"/>
      <c r="J184" s="17"/>
      <c r="K184" s="65" t="s">
        <v>56</v>
      </c>
      <c r="L184" s="52">
        <v>41</v>
      </c>
      <c r="M184" s="21" t="str">
        <f ca="1">VLOOKUP($L184,OFFSET([2]enemies!$A$1,0,0,COUNTA([2]enemies!$A:$A),MATCH(M$1,[2]enemies!$1:$1,0)-MATCH($L$1,[2]enemies!$1:$1,0)+1),MATCH(M$1,[2]enemies!$1:$1,0)-MATCH($L$1,[2]enemies!$1:$1,0)+1,FALSE)</f>
        <v>ヒュウガ</v>
      </c>
      <c r="N184" s="21" t="str">
        <f ca="1">VLOOKUP($L184,OFFSET([2]enemies!$A$1,0,0,COUNTA([2]enemies!$A:$A),MATCH(N$1,[2]enemies!$1:$1,0)-MATCH($L$1,[2]enemies!$1:$1,0)+1),MATCH(N$1,[2]enemies!$1:$1,0)-MATCH($L$1,[2]enemies!$1:$1,0)+1,FALSE)</f>
        <v>red</v>
      </c>
      <c r="O184" s="21" t="str">
        <f ca="1">VLOOKUP($L184,OFFSET([3]characters!$A$1,0,0,COUNTA([3]characters!$A:$A),MATCH(O$1,[3]characters!$1:$1,0)-MATCH($L$1,[3]characters!$1:$1,0)+1),MATCH(O$1,[3]characters!$1:$1,0)-MATCH($L$1,[3]characters!$1:$1,0)+1,FALSE)</f>
        <v>Drop1N</v>
      </c>
      <c r="P184" s="21" t="str">
        <f ca="1">VLOOKUP($L184,OFFSET([2]enemies!$A$1,0,0,COUNTA([2]enemies!$A:$A),MATCH(P$1,[2]enemies!$1:$1,0)-MATCH($L$1,[2]enemies!$1:$1,0)+1),MATCH(P$1,[2]enemies!$1:$1,0)-MATCH($L$1,[2]enemies!$1:$1,0)+1,FALSE)</f>
        <v>dragon</v>
      </c>
      <c r="Q184" s="21">
        <f ca="1">VLOOKUP($L184,OFFSET([2]enemies!$A$1,0,0,COUNTA([2]enemies!$A:$A),MATCH(Q$1,[2]enemies!$1:$1,0)-MATCH($L$1,[2]enemies!$1:$1,0)+1),MATCH(Q$1,[2]enemies!$1:$1,0)-MATCH($L$1,[2]enemies!$1:$1,0)+1,FALSE)</f>
        <v>15</v>
      </c>
      <c r="R184" s="53">
        <v>42</v>
      </c>
      <c r="S184" s="27">
        <v>1</v>
      </c>
      <c r="T184" s="27">
        <v>1</v>
      </c>
      <c r="U184" s="5">
        <v>0</v>
      </c>
      <c r="V184" s="4" t="str">
        <f ca="1">VLOOKUP($W184,OFFSET([4]enemy_skill_sets!$B$1,0,0,COUNTA([4]enemy_skill_sets!$B:$B),MATCH(M$1,[4]enemy_skill_sets!$1:$1,0)-MATCH($W$1,[4]enemy_skill_sets!$1:$1,0)+2),MATCH(M$1,[4]enemy_skill_sets!$1:$1,0)-MATCH($W$1,[4]enemy_skill_sets!$1:$1,0)+2,FALSE)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84" s="4">
        <f ca="1">VLOOKUP($L184,OFFSET([2]enemies!$A$1,0,0,COUNTA([2]enemies!$A:$A),MATCH(W$1,[2]enemies!$1:$1,0)-MATCH($L$1,[2]enemies!$1:$1,0)+1),MATCH(W$1,[2]enemies!$1:$1,0)-MATCH($L$1,[2]enemies!$1:$1,0)+1,FALSE)</f>
        <v>0</v>
      </c>
      <c r="X184" s="6">
        <v>0</v>
      </c>
      <c r="Y184" s="6">
        <v>100</v>
      </c>
      <c r="Z184" s="6">
        <v>0</v>
      </c>
      <c r="AA184" s="4">
        <f ca="1">VLOOKUP($L184,OFFSET([2]enemies!$A$1,0,0,COUNTA([2]enemies!$A:$A),MATCH(AA$1,[2]enemies!$1:$1,0)-MATCH($L$1,[2]enemies!$1:$1,0)+1),MATCH(AA$1,[2]enemies!$1:$1,0)-MATCH($L$1,[2]enemies!$1:$1,0)+1,FALSE)</f>
        <v>1</v>
      </c>
      <c r="AB184" s="52">
        <v>41</v>
      </c>
      <c r="AC184" s="4" t="str">
        <f ca="1">VLOOKUP($AB184,OFFSET([3]characters!$A$1,0,0,COUNTA([3]characters!$A:$A),MATCH(AC$1,[3]characters!$1:$1,0)-MATCH("character_id",[3]characters!$1:$1,0)+1),MATCH(AC$1,[3]characters!$1:$1,0)-MATCH("character_id",[3]characters!$1:$1,0)+1,FALSE)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184" s="4">
        <f ca="1">VLOOKUP($AB184,OFFSET([3]characters!$A$1,0,0,COUNTA([3]characters!$A:$A),MATCH(AD$1,[3]characters!$1:$1,0)-MATCH("character_id",[3]characters!$1:$1,0)+1),MATCH(AD$1,[3]characters!$1:$1,0)-MATCH("character_id",[3]characters!$1:$1,0)+1,FALSE)</f>
        <v>2</v>
      </c>
      <c r="AE184" s="4" t="str">
        <f ca="1">VLOOKUP($AB184,OFFSET([3]characters!$A$1,0,0,COUNTA([3]characters!$A:$A),MATCH(AE$1,[3]characters!$1:$1,0)-MATCH("character_id",[3]characters!$1:$1,0)+1),MATCH(AE$1,[3]characters!$1:$1,0)-MATCH("character_id",[3]characters!$1:$1,0)+1,FALSE)</f>
        <v>Drop1N</v>
      </c>
      <c r="AF184" s="7">
        <v>7</v>
      </c>
      <c r="AG184" s="26">
        <f t="shared" ca="1" si="172"/>
        <v>2</v>
      </c>
      <c r="AH184" s="8">
        <v>20</v>
      </c>
      <c r="AI184" s="7">
        <v>0</v>
      </c>
      <c r="AJ184" s="7">
        <v>0</v>
      </c>
      <c r="AK184" s="7">
        <v>0</v>
      </c>
      <c r="AL184" s="7">
        <v>0</v>
      </c>
      <c r="AM184" s="7">
        <v>1</v>
      </c>
    </row>
    <row r="185" spans="1:39" ht="14" x14ac:dyDescent="0.15">
      <c r="A185" s="18" t="str">
        <f t="shared" ref="A185" ca="1" si="223">B185&amp;"_"&amp;C185&amp;"-"&amp;G185&amp;"/"&amp;L185&amp;"&lt;lv"&amp;R185&amp;"&gt;s"&amp;AA185</f>
        <v>23_2-1/360&lt;lv42&gt;s3</v>
      </c>
      <c r="B185" s="53">
        <v>23</v>
      </c>
      <c r="C185" s="51">
        <v>2</v>
      </c>
      <c r="D185" s="2" t="str">
        <f t="shared" ref="D185" si="224">B185&amp;"_"&amp;C185</f>
        <v>23_2</v>
      </c>
      <c r="E185" s="2" t="str">
        <f t="shared" ref="E185" si="225">C185&amp;"_"&amp;D185</f>
        <v>2_23_2</v>
      </c>
      <c r="F185" s="4" t="str">
        <f ca="1">VLOOKUP($D185,OFFSET([1]stages!$A$1,0,0,COUNTA([1]stages!$A:$A),MATCH(F$1,[1]stages!$2:$2,0)-MATCH($D$1,[1]stages!$2:$2,0)+1),MATCH(F$1,[1]stages!$2:$2,0)-MATCH($D$1,[1]stages!$2:$2,0)+1,FALSE)</f>
        <v>23-2．微笑みの猛蛇</v>
      </c>
      <c r="G185" s="55">
        <v>1</v>
      </c>
      <c r="H185" s="17" t="str">
        <f t="shared" ref="H185" si="226">B185&amp;"_"&amp;C185&amp;"-"&amp;G185</f>
        <v>23_2-1</v>
      </c>
      <c r="I185" s="17"/>
      <c r="J185" s="17"/>
      <c r="K185" s="65" t="s">
        <v>56</v>
      </c>
      <c r="L185" s="52">
        <v>360</v>
      </c>
      <c r="M185" s="21" t="str">
        <f ca="1">VLOOKUP($L185,OFFSET([2]enemies!$A$1,0,0,COUNTA([2]enemies!$A:$A),MATCH(M$1,[2]enemies!$1:$1,0)-MATCH($L$1,[2]enemies!$1:$1,0)+1),MATCH(M$1,[2]enemies!$1:$1,0)-MATCH($L$1,[2]enemies!$1:$1,0)+1,FALSE)</f>
        <v>ガンテツ</v>
      </c>
      <c r="N185" s="21" t="str">
        <f ca="1">VLOOKUP($L185,OFFSET([2]enemies!$A$1,0,0,COUNTA([2]enemies!$A:$A),MATCH(N$1,[2]enemies!$1:$1,0)-MATCH($L$1,[2]enemies!$1:$1,0)+1),MATCH(N$1,[2]enemies!$1:$1,0)-MATCH($L$1,[2]enemies!$1:$1,0)+1,FALSE)</f>
        <v>red</v>
      </c>
      <c r="O185" s="21" t="str">
        <f ca="1">VLOOKUP($L185,OFFSET([3]characters!$A$1,0,0,COUNTA([3]characters!$A:$A),MATCH(O$1,[3]characters!$1:$1,0)-MATCH($L$1,[3]characters!$1:$1,0)+1),MATCH(O$1,[3]characters!$1:$1,0)-MATCH($L$1,[3]characters!$1:$1,0)+1,FALSE)</f>
        <v>Drop1S</v>
      </c>
      <c r="P185" s="21" t="str">
        <f ca="1">VLOOKUP($L185,OFFSET([2]enemies!$A$1,0,0,COUNTA([2]enemies!$A:$A),MATCH(P$1,[2]enemies!$1:$1,0)-MATCH($L$1,[2]enemies!$1:$1,0)+1),MATCH(P$1,[2]enemies!$1:$1,0)-MATCH($L$1,[2]enemies!$1:$1,0)+1,FALSE)</f>
        <v>animal</v>
      </c>
      <c r="Q185" s="21">
        <f ca="1">VLOOKUP($L185,OFFSET([2]enemies!$A$1,0,0,COUNTA([2]enemies!$A:$A),MATCH(Q$1,[2]enemies!$1:$1,0)-MATCH($L$1,[2]enemies!$1:$1,0)+1),MATCH(Q$1,[2]enemies!$1:$1,0)-MATCH($L$1,[2]enemies!$1:$1,0)+1,FALSE)</f>
        <v>15</v>
      </c>
      <c r="R185" s="53">
        <v>42</v>
      </c>
      <c r="S185" s="27">
        <v>1</v>
      </c>
      <c r="T185" s="27">
        <v>1</v>
      </c>
      <c r="U185" s="5">
        <v>0</v>
      </c>
      <c r="V185" s="4" t="str">
        <f ca="1">VLOOKUP($W185,OFFSET([4]enemy_skill_sets!$B$1,0,0,COUNTA([4]enemy_skill_sets!$B:$B),MATCH(M$1,[4]enemy_skill_sets!$1:$1,0)-MATCH($W$1,[4]enemy_skill_sets!$1:$1,0)+2),MATCH(M$1,[4]enemy_skill_sets!$1:$1,0)-MATCH($W$1,[4]enemy_skill_sets!$1:$1,0)+2,FALSE)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85" s="76">
        <v>360</v>
      </c>
      <c r="X185" s="6">
        <v>0</v>
      </c>
      <c r="Y185" s="6">
        <v>100</v>
      </c>
      <c r="Z185" s="6">
        <v>0</v>
      </c>
      <c r="AA185" s="4">
        <f ca="1">VLOOKUP($L185,OFFSET([2]enemies!$A$1,0,0,COUNTA([2]enemies!$A:$A),MATCH(AA$1,[2]enemies!$1:$1,0)-MATCH($L$1,[2]enemies!$1:$1,0)+1),MATCH(AA$1,[2]enemies!$1:$1,0)-MATCH($L$1,[2]enemies!$1:$1,0)+1,FALSE)</f>
        <v>3</v>
      </c>
      <c r="AB185" s="52">
        <v>360</v>
      </c>
      <c r="AC185" s="4" t="str">
        <f ca="1">VLOOKUP($AB185,OFFSET([3]characters!$A$1,0,0,COUNTA([3]characters!$A:$A),MATCH(AC$1,[3]characters!$1:$1,0)-MATCH("character_id",[3]characters!$1:$1,0)+1),MATCH(AC$1,[3]characters!$1:$1,0)-MATCH("character_id",[3]characters!$1:$1,0)+1,FALSE)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185" s="4">
        <f ca="1">VLOOKUP($AB185,OFFSET([3]characters!$A$1,0,0,COUNTA([3]characters!$A:$A),MATCH(AD$1,[3]characters!$1:$1,0)-MATCH("character_id",[3]characters!$1:$1,0)+1),MATCH(AD$1,[3]characters!$1:$1,0)-MATCH("character_id",[3]characters!$1:$1,0)+1,FALSE)</f>
        <v>2</v>
      </c>
      <c r="AE185" s="4" t="str">
        <f ca="1">VLOOKUP($AB185,OFFSET([3]characters!$A$1,0,0,COUNTA([3]characters!$A:$A),MATCH(AE$1,[3]characters!$1:$1,0)-MATCH("character_id",[3]characters!$1:$1,0)+1),MATCH(AE$1,[3]characters!$1:$1,0)-MATCH("character_id",[3]characters!$1:$1,0)+1,FALSE)</f>
        <v>Drop1S</v>
      </c>
      <c r="AF185" s="7">
        <v>7</v>
      </c>
      <c r="AG185" s="26">
        <f t="shared" ca="1" si="172"/>
        <v>2</v>
      </c>
      <c r="AH185" s="8">
        <v>20</v>
      </c>
      <c r="AI185" s="7">
        <v>0</v>
      </c>
      <c r="AJ185" s="7">
        <v>0</v>
      </c>
      <c r="AK185" s="7">
        <v>0</v>
      </c>
      <c r="AL185" s="7">
        <v>0</v>
      </c>
      <c r="AM185" s="7">
        <v>1</v>
      </c>
    </row>
    <row r="186" spans="1:39" ht="14" x14ac:dyDescent="0.15">
      <c r="A186" s="18" t="str">
        <f t="shared" ref="A186" ca="1" si="227">B186&amp;"_"&amp;C186&amp;"-"&amp;G186&amp;"/"&amp;L186&amp;"&lt;lv"&amp;R186&amp;"&gt;s"&amp;AA186</f>
        <v>23_2-1/350&lt;lv42&gt;s3</v>
      </c>
      <c r="B186" s="53">
        <v>23</v>
      </c>
      <c r="C186" s="51">
        <v>2</v>
      </c>
      <c r="D186" s="2" t="str">
        <f t="shared" ref="D186" si="228">B186&amp;"_"&amp;C186</f>
        <v>23_2</v>
      </c>
      <c r="E186" s="2" t="str">
        <f t="shared" ref="E186" si="229">C186&amp;"_"&amp;D186</f>
        <v>2_23_2</v>
      </c>
      <c r="F186" s="4" t="str">
        <f ca="1">VLOOKUP($D186,OFFSET([1]stages!$A$1,0,0,COUNTA([1]stages!$A:$A),MATCH(F$1,[1]stages!$2:$2,0)-MATCH($D$1,[1]stages!$2:$2,0)+1),MATCH(F$1,[1]stages!$2:$2,0)-MATCH($D$1,[1]stages!$2:$2,0)+1,FALSE)</f>
        <v>23-2．微笑みの猛蛇</v>
      </c>
      <c r="G186" s="55">
        <v>1</v>
      </c>
      <c r="H186" s="17" t="str">
        <f t="shared" ref="H186" si="230">B186&amp;"_"&amp;C186&amp;"-"&amp;G186</f>
        <v>23_2-1</v>
      </c>
      <c r="I186" s="17"/>
      <c r="J186" s="17"/>
      <c r="K186" s="65" t="s">
        <v>56</v>
      </c>
      <c r="L186" s="52">
        <v>350</v>
      </c>
      <c r="M186" s="21" t="str">
        <f ca="1">VLOOKUP($L186,OFFSET([2]enemies!$A$1,0,0,COUNTA([2]enemies!$A:$A),MATCH(M$1,[2]enemies!$1:$1,0)-MATCH($L$1,[2]enemies!$1:$1,0)+1),MATCH(M$1,[2]enemies!$1:$1,0)-MATCH($L$1,[2]enemies!$1:$1,0)+1,FALSE)</f>
        <v>森のケロケロ</v>
      </c>
      <c r="N186" s="21" t="str">
        <f ca="1">VLOOKUP($L186,OFFSET([2]enemies!$A$1,0,0,COUNTA([2]enemies!$A:$A),MATCH(N$1,[2]enemies!$1:$1,0)-MATCH($L$1,[2]enemies!$1:$1,0)+1),MATCH(N$1,[2]enemies!$1:$1,0)-MATCH($L$1,[2]enemies!$1:$1,0)+1,FALSE)</f>
        <v>green</v>
      </c>
      <c r="O186" s="21" t="str">
        <f ca="1">VLOOKUP($L186,OFFSET([3]characters!$A$1,0,0,COUNTA([3]characters!$A:$A),MATCH(O$1,[3]characters!$1:$1,0)-MATCH($L$1,[3]characters!$1:$1,0)+1),MATCH(O$1,[3]characters!$1:$1,0)-MATCH($L$1,[3]characters!$1:$1,0)+1,FALSE)</f>
        <v>Material</v>
      </c>
      <c r="P186" s="21" t="str">
        <f ca="1">VLOOKUP($L186,OFFSET([2]enemies!$A$1,0,0,COUNTA([2]enemies!$A:$A),MATCH(P$1,[2]enemies!$1:$1,0)-MATCH($L$1,[2]enemies!$1:$1,0)+1),MATCH(P$1,[2]enemies!$1:$1,0)-MATCH($L$1,[2]enemies!$1:$1,0)+1,FALSE)</f>
        <v>unknown</v>
      </c>
      <c r="Q186" s="21">
        <f ca="1">VLOOKUP($L186,OFFSET([2]enemies!$A$1,0,0,COUNTA([2]enemies!$A:$A),MATCH(Q$1,[2]enemies!$1:$1,0)-MATCH($L$1,[2]enemies!$1:$1,0)+1),MATCH(Q$1,[2]enemies!$1:$1,0)-MATCH($L$1,[2]enemies!$1:$1,0)+1,FALSE)</f>
        <v>15</v>
      </c>
      <c r="R186" s="53">
        <v>42</v>
      </c>
      <c r="S186" s="27">
        <v>1</v>
      </c>
      <c r="T186" s="27">
        <v>1</v>
      </c>
      <c r="U186" s="5">
        <v>0</v>
      </c>
      <c r="V186" s="4" t="str">
        <f ca="1">VLOOKUP($W186,OFFSET([4]enemy_skill_sets!$B$1,0,0,COUNTA([4]enemy_skill_sets!$B:$B),MATCH(M$1,[4]enemy_skill_sets!$1:$1,0)-MATCH($W$1,[4]enemy_skill_sets!$1:$1,0)+2),MATCH(M$1,[4]enemy_skill_sets!$1:$1,0)-MATCH($W$1,[4]enemy_skill_sets!$1:$1,0)+2,FALSE)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186" s="64">
        <v>350</v>
      </c>
      <c r="X186" s="6">
        <v>0</v>
      </c>
      <c r="Y186" s="6">
        <v>100</v>
      </c>
      <c r="Z186" s="6">
        <v>0</v>
      </c>
      <c r="AA186" s="4">
        <f ca="1">VLOOKUP($L186,OFFSET([2]enemies!$A$1,0,0,COUNTA([2]enemies!$A:$A),MATCH(AA$1,[2]enemies!$1:$1,0)-MATCH($L$1,[2]enemies!$1:$1,0)+1),MATCH(AA$1,[2]enemies!$1:$1,0)-MATCH($L$1,[2]enemies!$1:$1,0)+1,FALSE)</f>
        <v>3</v>
      </c>
      <c r="AB186" s="52">
        <v>350</v>
      </c>
      <c r="AC186" s="4" t="str">
        <f ca="1">VLOOKUP($AB186,OFFSET([3]characters!$A$1,0,0,COUNTA([3]characters!$A:$A),MATCH(AC$1,[3]characters!$1:$1,0)-MATCH("character_id",[3]characters!$1:$1,0)+1),MATCH(AC$1,[3]characters!$1:$1,0)-MATCH("character_id",[3]characters!$1:$1,0)+1,FALSE)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186" s="4">
        <f ca="1">VLOOKUP($AB186,OFFSET([3]characters!$A$1,0,0,COUNTA([3]characters!$A:$A),MATCH(AD$1,[3]characters!$1:$1,0)-MATCH("character_id",[3]characters!$1:$1,0)+1),MATCH(AD$1,[3]characters!$1:$1,0)-MATCH("character_id",[3]characters!$1:$1,0)+1,FALSE)</f>
        <v>2</v>
      </c>
      <c r="AE186" s="4" t="str">
        <f ca="1">VLOOKUP($AB186,OFFSET([3]characters!$A$1,0,0,COUNTA([3]characters!$A:$A),MATCH(AE$1,[3]characters!$1:$1,0)-MATCH("character_id",[3]characters!$1:$1,0)+1),MATCH(AE$1,[3]characters!$1:$1,0)-MATCH("character_id",[3]characters!$1:$1,0)+1,FALSE)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86" s="7">
        <v>10</v>
      </c>
      <c r="AG186" s="26">
        <f t="shared" ca="1" si="172"/>
        <v>2</v>
      </c>
      <c r="AH186" s="8">
        <v>20</v>
      </c>
      <c r="AI186" s="7">
        <v>0</v>
      </c>
      <c r="AJ186" s="7">
        <v>0</v>
      </c>
      <c r="AK186" s="7">
        <v>0</v>
      </c>
      <c r="AL186" s="7">
        <v>0</v>
      </c>
      <c r="AM186" s="7">
        <v>1</v>
      </c>
    </row>
    <row r="187" spans="1:39" ht="14" x14ac:dyDescent="0.15">
      <c r="A187" s="18" t="str">
        <f t="shared" ca="1" si="201"/>
        <v>23_2-2/11&lt;lv44&gt;s3</v>
      </c>
      <c r="B187" s="50">
        <v>23</v>
      </c>
      <c r="C187" s="49">
        <v>2</v>
      </c>
      <c r="D187" s="2" t="str">
        <f t="shared" si="202"/>
        <v>23_2</v>
      </c>
      <c r="E187" s="2" t="str">
        <f t="shared" si="202"/>
        <v>2_23_2</v>
      </c>
      <c r="F187" s="4" t="str">
        <f ca="1">VLOOKUP($D187,OFFSET([1]stages!$A$1,0,0,COUNTA([1]stages!$A:$A),MATCH(F$1,[1]stages!$2:$2,0)-MATCH($D$1,[1]stages!$2:$2,0)+1),MATCH(F$1,[1]stages!$2:$2,0)-MATCH($D$1,[1]stages!$2:$2,0)+1,FALSE)</f>
        <v>23-2．微笑みの猛蛇</v>
      </c>
      <c r="G187" s="56">
        <v>2</v>
      </c>
      <c r="H187" s="17" t="str">
        <f t="shared" si="203"/>
        <v>23_2-2</v>
      </c>
      <c r="I187" s="17"/>
      <c r="J187" s="17"/>
      <c r="K187" s="65" t="s">
        <v>56</v>
      </c>
      <c r="L187" s="52">
        <v>11</v>
      </c>
      <c r="M187" s="21" t="str">
        <f ca="1">VLOOKUP($L187,OFFSET([2]enemies!$A$1,0,0,COUNTA([2]enemies!$A:$A),MATCH(M$1,[2]enemies!$1:$1,0)-MATCH($L$1,[2]enemies!$1:$1,0)+1),MATCH(M$1,[2]enemies!$1:$1,0)-MATCH($L$1,[2]enemies!$1:$1,0)+1,FALSE)</f>
        <v>マグリット</v>
      </c>
      <c r="N187" s="21" t="str">
        <f ca="1">VLOOKUP($L187,OFFSET([2]enemies!$A$1,0,0,COUNTA([2]enemies!$A:$A),MATCH(N$1,[2]enemies!$1:$1,0)-MATCH($L$1,[2]enemies!$1:$1,0)+1),MATCH(N$1,[2]enemies!$1:$1,0)-MATCH($L$1,[2]enemies!$1:$1,0)+1,FALSE)</f>
        <v>green</v>
      </c>
      <c r="O187" s="21" t="str">
        <f ca="1">VLOOKUP($L187,OFFSET([3]characters!$A$1,0,0,COUNTA([3]characters!$A:$A),MATCH(O$1,[3]characters!$1:$1,0)-MATCH($L$1,[3]characters!$1:$1,0)+1),MATCH(O$1,[3]characters!$1:$1,0)-MATCH($L$1,[3]characters!$1:$1,0)+1,FALSE)</f>
        <v>Drop1W</v>
      </c>
      <c r="P187" s="21" t="str">
        <f ca="1">VLOOKUP($L187,OFFSET([2]enemies!$A$1,0,0,COUNTA([2]enemies!$A:$A),MATCH(P$1,[2]enemies!$1:$1,0)-MATCH($L$1,[2]enemies!$1:$1,0)+1),MATCH(P$1,[2]enemies!$1:$1,0)-MATCH($L$1,[2]enemies!$1:$1,0)+1,FALSE)</f>
        <v>animal</v>
      </c>
      <c r="Q187" s="21">
        <f ca="1">VLOOKUP($L187,OFFSET([2]enemies!$A$1,0,0,COUNTA([2]enemies!$A:$A),MATCH(Q$1,[2]enemies!$1:$1,0)-MATCH($L$1,[2]enemies!$1:$1,0)+1),MATCH(Q$1,[2]enemies!$1:$1,0)-MATCH($L$1,[2]enemies!$1:$1,0)+1,FALSE)</f>
        <v>15</v>
      </c>
      <c r="R187" s="53">
        <v>44</v>
      </c>
      <c r="S187" s="27">
        <v>1</v>
      </c>
      <c r="T187" s="27">
        <v>1</v>
      </c>
      <c r="U187" s="5">
        <v>0</v>
      </c>
      <c r="V187" s="4" t="str">
        <f ca="1">VLOOKUP($W187,OFFSET([4]enemy_skill_sets!$B$1,0,0,COUNTA([4]enemy_skill_sets!$B:$B),MATCH(M$1,[4]enemy_skill_sets!$1:$1,0)-MATCH($W$1,[4]enemy_skill_sets!$1:$1,0)+2),MATCH(M$1,[4]enemy_skill_sets!$1:$1,0)-MATCH($W$1,[4]enemy_skill_sets!$1:$1,0)+2,FALSE)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87" s="4">
        <f ca="1">VLOOKUP($L187,OFFSET([2]enemies!$A$1,0,0,COUNTA([2]enemies!$A:$A),MATCH(W$1,[2]enemies!$1:$1,0)-MATCH($L$1,[2]enemies!$1:$1,0)+1),MATCH(W$1,[2]enemies!$1:$1,0)-MATCH($L$1,[2]enemies!$1:$1,0)+1,FALSE)</f>
        <v>0</v>
      </c>
      <c r="X187" s="6">
        <v>0</v>
      </c>
      <c r="Y187" s="6">
        <v>100</v>
      </c>
      <c r="Z187" s="6">
        <v>0</v>
      </c>
      <c r="AA187" s="4">
        <f ca="1">VLOOKUP($L187,OFFSET([2]enemies!$A$1,0,0,COUNTA([2]enemies!$A:$A),MATCH(AA$1,[2]enemies!$1:$1,0)-MATCH($L$1,[2]enemies!$1:$1,0)+1),MATCH(AA$1,[2]enemies!$1:$1,0)-MATCH($L$1,[2]enemies!$1:$1,0)+1,FALSE)</f>
        <v>3</v>
      </c>
      <c r="AB187" s="52">
        <v>11</v>
      </c>
      <c r="AC187" s="4" t="str">
        <f ca="1">VLOOKUP($AB187,OFFSET([3]characters!$A$1,0,0,COUNTA([3]characters!$A:$A),MATCH(AC$1,[3]characters!$1:$1,0)-MATCH("character_id",[3]characters!$1:$1,0)+1),MATCH(AC$1,[3]characters!$1:$1,0)-MATCH("character_id",[3]characters!$1:$1,0)+1,FALSE)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187" s="4">
        <f ca="1">VLOOKUP($AB187,OFFSET([3]characters!$A$1,0,0,COUNTA([3]characters!$A:$A),MATCH(AD$1,[3]characters!$1:$1,0)-MATCH("character_id",[3]characters!$1:$1,0)+1),MATCH(AD$1,[3]characters!$1:$1,0)-MATCH("character_id",[3]characters!$1:$1,0)+1,FALSE)</f>
        <v>1</v>
      </c>
      <c r="AE187" s="4" t="str">
        <f ca="1">VLOOKUP($AB187,OFFSET([3]characters!$A$1,0,0,COUNTA([3]characters!$A:$A),MATCH(AE$1,[3]characters!$1:$1,0)-MATCH("character_id",[3]characters!$1:$1,0)+1),MATCH(AE$1,[3]characters!$1:$1,0)-MATCH("character_id",[3]characters!$1:$1,0)+1,FALSE)</f>
        <v>Drop1W</v>
      </c>
      <c r="AF187" s="7">
        <v>9</v>
      </c>
      <c r="AG187" s="26">
        <f t="shared" ca="1" si="172"/>
        <v>1</v>
      </c>
      <c r="AH187" s="8">
        <v>20</v>
      </c>
      <c r="AI187" s="7">
        <v>0</v>
      </c>
      <c r="AJ187" s="7">
        <v>0</v>
      </c>
      <c r="AK187" s="7">
        <v>0</v>
      </c>
      <c r="AL187" s="7">
        <v>0</v>
      </c>
      <c r="AM187" s="7">
        <v>1</v>
      </c>
    </row>
    <row r="188" spans="1:39" ht="14" x14ac:dyDescent="0.15">
      <c r="A188" s="18" t="str">
        <f t="shared" ca="1" si="201"/>
        <v>23_2-2/23&lt;lv44&gt;s4</v>
      </c>
      <c r="B188" s="50">
        <v>23</v>
      </c>
      <c r="C188" s="49">
        <v>2</v>
      </c>
      <c r="D188" s="2" t="str">
        <f t="shared" si="202"/>
        <v>23_2</v>
      </c>
      <c r="E188" s="2" t="str">
        <f t="shared" si="202"/>
        <v>2_23_2</v>
      </c>
      <c r="F188" s="4" t="str">
        <f ca="1">VLOOKUP($D188,OFFSET([1]stages!$A$1,0,0,COUNTA([1]stages!$A:$A),MATCH(F$1,[1]stages!$2:$2,0)-MATCH($D$1,[1]stages!$2:$2,0)+1),MATCH(F$1,[1]stages!$2:$2,0)-MATCH($D$1,[1]stages!$2:$2,0)+1,FALSE)</f>
        <v>23-2．微笑みの猛蛇</v>
      </c>
      <c r="G188" s="56">
        <v>2</v>
      </c>
      <c r="H188" s="17" t="str">
        <f t="shared" si="203"/>
        <v>23_2-2</v>
      </c>
      <c r="I188" s="17"/>
      <c r="J188" s="17"/>
      <c r="K188" s="65" t="s">
        <v>56</v>
      </c>
      <c r="L188" s="52">
        <v>23</v>
      </c>
      <c r="M188" s="21" t="str">
        <f ca="1">VLOOKUP($L188,OFFSET([2]enemies!$A$1,0,0,COUNTA([2]enemies!$A:$A),MATCH(M$1,[2]enemies!$1:$1,0)-MATCH($L$1,[2]enemies!$1:$1,0)+1),MATCH(M$1,[2]enemies!$1:$1,0)-MATCH($L$1,[2]enemies!$1:$1,0)+1,FALSE)</f>
        <v>ミール</v>
      </c>
      <c r="N188" s="21" t="str">
        <f ca="1">VLOOKUP($L188,OFFSET([2]enemies!$A$1,0,0,COUNTA([2]enemies!$A:$A),MATCH(N$1,[2]enemies!$1:$1,0)-MATCH($L$1,[2]enemies!$1:$1,0)+1),MATCH(N$1,[2]enemies!$1:$1,0)-MATCH($L$1,[2]enemies!$1:$1,0)+1,FALSE)</f>
        <v>green</v>
      </c>
      <c r="O188" s="21" t="str">
        <f ca="1">VLOOKUP($L188,OFFSET([3]characters!$A$1,0,0,COUNTA([3]characters!$A:$A),MATCH(O$1,[3]characters!$1:$1,0)-MATCH($L$1,[3]characters!$1:$1,0)+1),MATCH(O$1,[3]characters!$1:$1,0)-MATCH($L$1,[3]characters!$1:$1,0)+1,FALSE)</f>
        <v>Drop1N</v>
      </c>
      <c r="P188" s="21" t="str">
        <f ca="1">VLOOKUP($L188,OFFSET([2]enemies!$A$1,0,0,COUNTA([2]enemies!$A:$A),MATCH(P$1,[2]enemies!$1:$1,0)-MATCH($L$1,[2]enemies!$1:$1,0)+1),MATCH(P$1,[2]enemies!$1:$1,0)-MATCH($L$1,[2]enemies!$1:$1,0)+1,FALSE)</f>
        <v>animal</v>
      </c>
      <c r="Q188" s="21">
        <f ca="1">VLOOKUP($L188,OFFSET([2]enemies!$A$1,0,0,COUNTA([2]enemies!$A:$A),MATCH(Q$1,[2]enemies!$1:$1,0)-MATCH($L$1,[2]enemies!$1:$1,0)+1),MATCH(Q$1,[2]enemies!$1:$1,0)-MATCH($L$1,[2]enemies!$1:$1,0)+1,FALSE)</f>
        <v>15</v>
      </c>
      <c r="R188" s="53">
        <v>44</v>
      </c>
      <c r="S188" s="27">
        <v>1</v>
      </c>
      <c r="T188" s="27">
        <v>1</v>
      </c>
      <c r="U188" s="5">
        <v>0</v>
      </c>
      <c r="V188" s="4" t="str">
        <f ca="1">VLOOKUP($W188,OFFSET([4]enemy_skill_sets!$B$1,0,0,COUNTA([4]enemy_skill_sets!$B:$B),MATCH(M$1,[4]enemy_skill_sets!$1:$1,0)-MATCH($W$1,[4]enemy_skill_sets!$1:$1,0)+2),MATCH(M$1,[4]enemy_skill_sets!$1:$1,0)-MATCH($W$1,[4]enemy_skill_sets!$1:$1,0)+2,FALSE)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88" s="4">
        <f ca="1">VLOOKUP($L188,OFFSET([2]enemies!$A$1,0,0,COUNTA([2]enemies!$A:$A),MATCH(W$1,[2]enemies!$1:$1,0)-MATCH($L$1,[2]enemies!$1:$1,0)+1),MATCH(W$1,[2]enemies!$1:$1,0)-MATCH($L$1,[2]enemies!$1:$1,0)+1,FALSE)</f>
        <v>0</v>
      </c>
      <c r="X188" s="6">
        <v>0</v>
      </c>
      <c r="Y188" s="6">
        <v>100</v>
      </c>
      <c r="Z188" s="6">
        <v>0</v>
      </c>
      <c r="AA188" s="4">
        <f ca="1">VLOOKUP($L188,OFFSET([2]enemies!$A$1,0,0,COUNTA([2]enemies!$A:$A),MATCH(AA$1,[2]enemies!$1:$1,0)-MATCH($L$1,[2]enemies!$1:$1,0)+1),MATCH(AA$1,[2]enemies!$1:$1,0)-MATCH($L$1,[2]enemies!$1:$1,0)+1,FALSE)</f>
        <v>4</v>
      </c>
      <c r="AB188" s="52">
        <v>23</v>
      </c>
      <c r="AC188" s="4" t="str">
        <f ca="1">VLOOKUP($AB188,OFFSET([3]characters!$A$1,0,0,COUNTA([3]characters!$A:$A),MATCH(AC$1,[3]characters!$1:$1,0)-MATCH("character_id",[3]characters!$1:$1,0)+1),MATCH(AC$1,[3]characters!$1:$1,0)-MATCH("character_id",[3]characters!$1:$1,0)+1,FALSE)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188" s="4">
        <f ca="1">VLOOKUP($AB188,OFFSET([3]characters!$A$1,0,0,COUNTA([3]characters!$A:$A),MATCH(AD$1,[3]characters!$1:$1,0)-MATCH("character_id",[3]characters!$1:$1,0)+1),MATCH(AD$1,[3]characters!$1:$1,0)-MATCH("character_id",[3]characters!$1:$1,0)+1,FALSE)</f>
        <v>1</v>
      </c>
      <c r="AE188" s="4" t="str">
        <f ca="1">VLOOKUP($AB188,OFFSET([3]characters!$A$1,0,0,COUNTA([3]characters!$A:$A),MATCH(AE$1,[3]characters!$1:$1,0)-MATCH("character_id",[3]characters!$1:$1,0)+1),MATCH(AE$1,[3]characters!$1:$1,0)-MATCH("character_id",[3]characters!$1:$1,0)+1,FALSE)</f>
        <v>Drop1N</v>
      </c>
      <c r="AF188" s="7">
        <v>7</v>
      </c>
      <c r="AG188" s="26">
        <f t="shared" ca="1" si="172"/>
        <v>1</v>
      </c>
      <c r="AH188" s="8">
        <v>20</v>
      </c>
      <c r="AI188" s="7">
        <v>0</v>
      </c>
      <c r="AJ188" s="7">
        <v>0</v>
      </c>
      <c r="AK188" s="7">
        <v>0</v>
      </c>
      <c r="AL188" s="7">
        <v>0</v>
      </c>
      <c r="AM188" s="7">
        <v>1</v>
      </c>
    </row>
    <row r="189" spans="1:39" ht="14" x14ac:dyDescent="0.15">
      <c r="A189" s="18" t="str">
        <f t="shared" ca="1" si="201"/>
        <v>23_2-2/59&lt;lv44&gt;s2</v>
      </c>
      <c r="B189" s="50">
        <v>23</v>
      </c>
      <c r="C189" s="49">
        <v>2</v>
      </c>
      <c r="D189" s="2" t="str">
        <f t="shared" si="202"/>
        <v>23_2</v>
      </c>
      <c r="E189" s="2" t="str">
        <f t="shared" si="202"/>
        <v>2_23_2</v>
      </c>
      <c r="F189" s="4" t="str">
        <f ca="1">VLOOKUP($D189,OFFSET([1]stages!$A$1,0,0,COUNTA([1]stages!$A:$A),MATCH(F$1,[1]stages!$2:$2,0)-MATCH($D$1,[1]stages!$2:$2,0)+1),MATCH(F$1,[1]stages!$2:$2,0)-MATCH($D$1,[1]stages!$2:$2,0)+1,FALSE)</f>
        <v>23-2．微笑みの猛蛇</v>
      </c>
      <c r="G189" s="56">
        <v>2</v>
      </c>
      <c r="H189" s="17" t="str">
        <f t="shared" si="203"/>
        <v>23_2-2</v>
      </c>
      <c r="I189" s="17"/>
      <c r="J189" s="17"/>
      <c r="K189" s="65" t="s">
        <v>56</v>
      </c>
      <c r="L189" s="52">
        <v>59</v>
      </c>
      <c r="M189" s="21" t="str">
        <f ca="1">VLOOKUP($L189,OFFSET([2]enemies!$A$1,0,0,COUNTA([2]enemies!$A:$A),MATCH(M$1,[2]enemies!$1:$1,0)-MATCH($L$1,[2]enemies!$1:$1,0)+1),MATCH(M$1,[2]enemies!$1:$1,0)-MATCH($L$1,[2]enemies!$1:$1,0)+1,FALSE)</f>
        <v>マーチ</v>
      </c>
      <c r="N189" s="21" t="str">
        <f ca="1">VLOOKUP($L189,OFFSET([2]enemies!$A$1,0,0,COUNTA([2]enemies!$A:$A),MATCH(N$1,[2]enemies!$1:$1,0)-MATCH($L$1,[2]enemies!$1:$1,0)+1),MATCH(N$1,[2]enemies!$1:$1,0)-MATCH($L$1,[2]enemies!$1:$1,0)+1,FALSE)</f>
        <v>green</v>
      </c>
      <c r="O189" s="21" t="str">
        <f ca="1">VLOOKUP($L189,OFFSET([3]characters!$A$1,0,0,COUNTA([3]characters!$A:$A),MATCH(O$1,[3]characters!$1:$1,0)-MATCH($L$1,[3]characters!$1:$1,0)+1),MATCH(O$1,[3]characters!$1:$1,0)-MATCH($L$1,[3]characters!$1:$1,0)+1,FALSE)</f>
        <v>Drop1N</v>
      </c>
      <c r="P189" s="21" t="str">
        <f ca="1">VLOOKUP($L189,OFFSET([2]enemies!$A$1,0,0,COUNTA([2]enemies!$A:$A),MATCH(P$1,[2]enemies!$1:$1,0)-MATCH($L$1,[2]enemies!$1:$1,0)+1),MATCH(P$1,[2]enemies!$1:$1,0)-MATCH($L$1,[2]enemies!$1:$1,0)+1,FALSE)</f>
        <v>animal</v>
      </c>
      <c r="Q189" s="21">
        <f ca="1">VLOOKUP($L189,OFFSET([2]enemies!$A$1,0,0,COUNTA([2]enemies!$A:$A),MATCH(Q$1,[2]enemies!$1:$1,0)-MATCH($L$1,[2]enemies!$1:$1,0)+1),MATCH(Q$1,[2]enemies!$1:$1,0)-MATCH($L$1,[2]enemies!$1:$1,0)+1,FALSE)</f>
        <v>15</v>
      </c>
      <c r="R189" s="53">
        <v>44</v>
      </c>
      <c r="S189" s="27">
        <v>1</v>
      </c>
      <c r="T189" s="27">
        <v>1</v>
      </c>
      <c r="U189" s="5">
        <v>0</v>
      </c>
      <c r="V189" s="4" t="str">
        <f ca="1">VLOOKUP($W189,OFFSET([4]enemy_skill_sets!$B$1,0,0,COUNTA([4]enemy_skill_sets!$B:$B),MATCH(M$1,[4]enemy_skill_sets!$1:$1,0)-MATCH($W$1,[4]enemy_skill_sets!$1:$1,0)+2),MATCH(M$1,[4]enemy_skill_sets!$1:$1,0)-MATCH($W$1,[4]enemy_skill_sets!$1:$1,0)+2,FALSE)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89" s="4">
        <f ca="1">VLOOKUP($L189,OFFSET([2]enemies!$A$1,0,0,COUNTA([2]enemies!$A:$A),MATCH(W$1,[2]enemies!$1:$1,0)-MATCH($L$1,[2]enemies!$1:$1,0)+1),MATCH(W$1,[2]enemies!$1:$1,0)-MATCH($L$1,[2]enemies!$1:$1,0)+1,FALSE)</f>
        <v>59</v>
      </c>
      <c r="X189" s="6">
        <v>0</v>
      </c>
      <c r="Y189" s="6">
        <v>100</v>
      </c>
      <c r="Z189" s="6">
        <v>0</v>
      </c>
      <c r="AA189" s="4">
        <f ca="1">VLOOKUP($L189,OFFSET([2]enemies!$A$1,0,0,COUNTA([2]enemies!$A:$A),MATCH(AA$1,[2]enemies!$1:$1,0)-MATCH($L$1,[2]enemies!$1:$1,0)+1),MATCH(AA$1,[2]enemies!$1:$1,0)-MATCH($L$1,[2]enemies!$1:$1,0)+1,FALSE)</f>
        <v>2</v>
      </c>
      <c r="AB189" s="52">
        <v>59</v>
      </c>
      <c r="AC189" s="4" t="str">
        <f ca="1">VLOOKUP($AB189,OFFSET([3]characters!$A$1,0,0,COUNTA([3]characters!$A:$A),MATCH(AC$1,[3]characters!$1:$1,0)-MATCH("character_id",[3]characters!$1:$1,0)+1),MATCH(AC$1,[3]characters!$1:$1,0)-MATCH("character_id",[3]characters!$1:$1,0)+1,FALSE)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189" s="4">
        <f ca="1">VLOOKUP($AB189,OFFSET([3]characters!$A$1,0,0,COUNTA([3]characters!$A:$A),MATCH(AD$1,[3]characters!$1:$1,0)-MATCH("character_id",[3]characters!$1:$1,0)+1),MATCH(AD$1,[3]characters!$1:$1,0)-MATCH("character_id",[3]characters!$1:$1,0)+1,FALSE)</f>
        <v>2</v>
      </c>
      <c r="AE189" s="4" t="str">
        <f ca="1">VLOOKUP($AB189,OFFSET([3]characters!$A$1,0,0,COUNTA([3]characters!$A:$A),MATCH(AE$1,[3]characters!$1:$1,0)-MATCH("character_id",[3]characters!$1:$1,0)+1),MATCH(AE$1,[3]characters!$1:$1,0)-MATCH("character_id",[3]characters!$1:$1,0)+1,FALSE)</f>
        <v>Drop1N</v>
      </c>
      <c r="AF189" s="7">
        <v>7</v>
      </c>
      <c r="AG189" s="26">
        <f t="shared" ca="1" si="172"/>
        <v>2</v>
      </c>
      <c r="AH189" s="8">
        <v>20</v>
      </c>
      <c r="AI189" s="7">
        <v>0</v>
      </c>
      <c r="AJ189" s="7">
        <v>0</v>
      </c>
      <c r="AK189" s="7">
        <v>0</v>
      </c>
      <c r="AL189" s="7">
        <v>0</v>
      </c>
      <c r="AM189" s="7">
        <v>1</v>
      </c>
    </row>
    <row r="190" spans="1:39" ht="14" x14ac:dyDescent="0.15">
      <c r="A190" s="18" t="str">
        <f t="shared" ca="1" si="201"/>
        <v>23_2-2/43&lt;lv44&gt;s2</v>
      </c>
      <c r="B190" s="50">
        <v>23</v>
      </c>
      <c r="C190" s="49">
        <v>2</v>
      </c>
      <c r="D190" s="2" t="str">
        <f t="shared" si="202"/>
        <v>23_2</v>
      </c>
      <c r="E190" s="2" t="str">
        <f t="shared" si="202"/>
        <v>2_23_2</v>
      </c>
      <c r="F190" s="4" t="str">
        <f ca="1">VLOOKUP($D190,OFFSET([1]stages!$A$1,0,0,COUNTA([1]stages!$A:$A),MATCH(F$1,[1]stages!$2:$2,0)-MATCH($D$1,[1]stages!$2:$2,0)+1),MATCH(F$1,[1]stages!$2:$2,0)-MATCH($D$1,[1]stages!$2:$2,0)+1,FALSE)</f>
        <v>23-2．微笑みの猛蛇</v>
      </c>
      <c r="G190" s="56">
        <v>2</v>
      </c>
      <c r="H190" s="17" t="str">
        <f t="shared" si="203"/>
        <v>23_2-2</v>
      </c>
      <c r="I190" s="17"/>
      <c r="J190" s="17"/>
      <c r="K190" s="65" t="s">
        <v>56</v>
      </c>
      <c r="L190" s="52">
        <v>43</v>
      </c>
      <c r="M190" s="21" t="str">
        <f ca="1">VLOOKUP($L190,OFFSET([2]enemies!$A$1,0,0,COUNTA([2]enemies!$A:$A),MATCH(M$1,[2]enemies!$1:$1,0)-MATCH($L$1,[2]enemies!$1:$1,0)+1),MATCH(M$1,[2]enemies!$1:$1,0)-MATCH($L$1,[2]enemies!$1:$1,0)+1,FALSE)</f>
        <v>ムゥ</v>
      </c>
      <c r="N190" s="21" t="str">
        <f ca="1">VLOOKUP($L190,OFFSET([2]enemies!$A$1,0,0,COUNTA([2]enemies!$A:$A),MATCH(N$1,[2]enemies!$1:$1,0)-MATCH($L$1,[2]enemies!$1:$1,0)+1),MATCH(N$1,[2]enemies!$1:$1,0)-MATCH($L$1,[2]enemies!$1:$1,0)+1,FALSE)</f>
        <v>green</v>
      </c>
      <c r="O190" s="21" t="str">
        <f ca="1">VLOOKUP($L190,OFFSET([3]characters!$A$1,0,0,COUNTA([3]characters!$A:$A),MATCH(O$1,[3]characters!$1:$1,0)-MATCH($L$1,[3]characters!$1:$1,0)+1),MATCH(O$1,[3]characters!$1:$1,0)-MATCH($L$1,[3]characters!$1:$1,0)+1,FALSE)</f>
        <v>Drop1N</v>
      </c>
      <c r="P190" s="21" t="str">
        <f ca="1">VLOOKUP($L190,OFFSET([2]enemies!$A$1,0,0,COUNTA([2]enemies!$A:$A),MATCH(P$1,[2]enemies!$1:$1,0)-MATCH($L$1,[2]enemies!$1:$1,0)+1),MATCH(P$1,[2]enemies!$1:$1,0)-MATCH($L$1,[2]enemies!$1:$1,0)+1,FALSE)</f>
        <v>dragon</v>
      </c>
      <c r="Q190" s="21">
        <f ca="1">VLOOKUP($L190,OFFSET([2]enemies!$A$1,0,0,COUNTA([2]enemies!$A:$A),MATCH(Q$1,[2]enemies!$1:$1,0)-MATCH($L$1,[2]enemies!$1:$1,0)+1),MATCH(Q$1,[2]enemies!$1:$1,0)-MATCH($L$1,[2]enemies!$1:$1,0)+1,FALSE)</f>
        <v>15</v>
      </c>
      <c r="R190" s="53">
        <v>44</v>
      </c>
      <c r="S190" s="27">
        <v>1</v>
      </c>
      <c r="T190" s="27">
        <v>1</v>
      </c>
      <c r="U190" s="5">
        <v>0</v>
      </c>
      <c r="V190" s="4" t="str">
        <f ca="1">VLOOKUP($W190,OFFSET([4]enemy_skill_sets!$B$1,0,0,COUNTA([4]enemy_skill_sets!$B:$B),MATCH(M$1,[4]enemy_skill_sets!$1:$1,0)-MATCH($W$1,[4]enemy_skill_sets!$1:$1,0)+2),MATCH(M$1,[4]enemy_skill_sets!$1:$1,0)-MATCH($W$1,[4]enemy_skill_sets!$1:$1,0)+2,FALSE)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90" s="4">
        <f ca="1">VLOOKUP($L190,OFFSET([2]enemies!$A$1,0,0,COUNTA([2]enemies!$A:$A),MATCH(W$1,[2]enemies!$1:$1,0)-MATCH($L$1,[2]enemies!$1:$1,0)+1),MATCH(W$1,[2]enemies!$1:$1,0)-MATCH($L$1,[2]enemies!$1:$1,0)+1,FALSE)</f>
        <v>0</v>
      </c>
      <c r="X190" s="6">
        <v>0</v>
      </c>
      <c r="Y190" s="6">
        <v>100</v>
      </c>
      <c r="Z190" s="6">
        <v>0</v>
      </c>
      <c r="AA190" s="4">
        <f ca="1">VLOOKUP($L190,OFFSET([2]enemies!$A$1,0,0,COUNTA([2]enemies!$A:$A),MATCH(AA$1,[2]enemies!$1:$1,0)-MATCH($L$1,[2]enemies!$1:$1,0)+1),MATCH(AA$1,[2]enemies!$1:$1,0)-MATCH($L$1,[2]enemies!$1:$1,0)+1,FALSE)</f>
        <v>2</v>
      </c>
      <c r="AB190" s="52">
        <v>43</v>
      </c>
      <c r="AC190" s="4" t="str">
        <f ca="1">VLOOKUP($AB190,OFFSET([3]characters!$A$1,0,0,COUNTA([3]characters!$A:$A),MATCH(AC$1,[3]characters!$1:$1,0)-MATCH("character_id",[3]characters!$1:$1,0)+1),MATCH(AC$1,[3]characters!$1:$1,0)-MATCH("character_id",[3]characters!$1:$1,0)+1,FALSE)</f>
        <v>ムゥ</v>
      </c>
      <c r="AD190" s="4">
        <f ca="1">VLOOKUP($AB190,OFFSET([3]characters!$A$1,0,0,COUNTA([3]characters!$A:$A),MATCH(AD$1,[3]characters!$1:$1,0)-MATCH("character_id",[3]characters!$1:$1,0)+1),MATCH(AD$1,[3]characters!$1:$1,0)-MATCH("character_id",[3]characters!$1:$1,0)+1,FALSE)</f>
        <v>2</v>
      </c>
      <c r="AE190" s="4" t="str">
        <f ca="1">VLOOKUP($AB190,OFFSET([3]characters!$A$1,0,0,COUNTA([3]characters!$A:$A),MATCH(AE$1,[3]characters!$1:$1,0)-MATCH("character_id",[3]characters!$1:$1,0)+1),MATCH(AE$1,[3]characters!$1:$1,0)-MATCH("character_id",[3]characters!$1:$1,0)+1,FALSE)</f>
        <v>Drop1N</v>
      </c>
      <c r="AF190" s="7">
        <v>7</v>
      </c>
      <c r="AG190" s="26">
        <f t="shared" ca="1" si="172"/>
        <v>2</v>
      </c>
      <c r="AH190" s="8">
        <v>20</v>
      </c>
      <c r="AI190" s="7">
        <v>0</v>
      </c>
      <c r="AJ190" s="7">
        <v>0</v>
      </c>
      <c r="AK190" s="7">
        <v>0</v>
      </c>
      <c r="AL190" s="7">
        <v>0</v>
      </c>
      <c r="AM190" s="7">
        <v>1</v>
      </c>
    </row>
    <row r="191" spans="1:39" ht="14" x14ac:dyDescent="0.15">
      <c r="A191" s="18" t="str">
        <f t="shared" ref="A191" ca="1" si="231">B191&amp;"_"&amp;C191&amp;"-"&amp;G191&amp;"/"&amp;L191&amp;"&lt;lv"&amp;R191&amp;"&gt;s"&amp;AA191</f>
        <v>23_2-2/362&lt;lv44&gt;s3</v>
      </c>
      <c r="B191" s="53">
        <v>23</v>
      </c>
      <c r="C191" s="51">
        <v>2</v>
      </c>
      <c r="D191" s="2" t="str">
        <f t="shared" ref="D191" si="232">B191&amp;"_"&amp;C191</f>
        <v>23_2</v>
      </c>
      <c r="E191" s="2" t="str">
        <f t="shared" ref="E191" si="233">C191&amp;"_"&amp;D191</f>
        <v>2_23_2</v>
      </c>
      <c r="F191" s="4" t="str">
        <f ca="1">VLOOKUP($D191,OFFSET([1]stages!$A$1,0,0,COUNTA([1]stages!$A:$A),MATCH(F$1,[1]stages!$2:$2,0)-MATCH($D$1,[1]stages!$2:$2,0)+1),MATCH(F$1,[1]stages!$2:$2,0)-MATCH($D$1,[1]stages!$2:$2,0)+1,FALSE)</f>
        <v>23-2．微笑みの猛蛇</v>
      </c>
      <c r="G191" s="56">
        <v>2</v>
      </c>
      <c r="H191" s="17" t="str">
        <f t="shared" ref="H191" si="234">B191&amp;"_"&amp;C191&amp;"-"&amp;G191</f>
        <v>23_2-2</v>
      </c>
      <c r="I191" s="17"/>
      <c r="J191" s="17"/>
      <c r="K191" s="65" t="s">
        <v>56</v>
      </c>
      <c r="L191" s="52">
        <v>362</v>
      </c>
      <c r="M191" s="21" t="str">
        <f ca="1">VLOOKUP($L191,OFFSET([2]enemies!$A$1,0,0,COUNTA([2]enemies!$A:$A),MATCH(M$1,[2]enemies!$1:$1,0)-MATCH($L$1,[2]enemies!$1:$1,0)+1),MATCH(M$1,[2]enemies!$1:$1,0)-MATCH($L$1,[2]enemies!$1:$1,0)+1,FALSE)</f>
        <v>ゆらら</v>
      </c>
      <c r="N191" s="21" t="str">
        <f ca="1">VLOOKUP($L191,OFFSET([2]enemies!$A$1,0,0,COUNTA([2]enemies!$A:$A),MATCH(N$1,[2]enemies!$1:$1,0)-MATCH($L$1,[2]enemies!$1:$1,0)+1),MATCH(N$1,[2]enemies!$1:$1,0)-MATCH($L$1,[2]enemies!$1:$1,0)+1,FALSE)</f>
        <v>green</v>
      </c>
      <c r="O191" s="21" t="str">
        <f ca="1">VLOOKUP($L191,OFFSET([3]characters!$A$1,0,0,COUNTA([3]characters!$A:$A),MATCH(O$1,[3]characters!$1:$1,0)-MATCH($L$1,[3]characters!$1:$1,0)+1),MATCH(O$1,[3]characters!$1:$1,0)-MATCH($L$1,[3]characters!$1:$1,0)+1,FALSE)</f>
        <v>Drop1S</v>
      </c>
      <c r="P191" s="21" t="str">
        <f ca="1">VLOOKUP($L191,OFFSET([2]enemies!$A$1,0,0,COUNTA([2]enemies!$A:$A),MATCH(P$1,[2]enemies!$1:$1,0)-MATCH($L$1,[2]enemies!$1:$1,0)+1),MATCH(P$1,[2]enemies!$1:$1,0)-MATCH($L$1,[2]enemies!$1:$1,0)+1,FALSE)</f>
        <v>animal</v>
      </c>
      <c r="Q191" s="21">
        <f ca="1">VLOOKUP($L191,OFFSET([2]enemies!$A$1,0,0,COUNTA([2]enemies!$A:$A),MATCH(Q$1,[2]enemies!$1:$1,0)-MATCH($L$1,[2]enemies!$1:$1,0)+1),MATCH(Q$1,[2]enemies!$1:$1,0)-MATCH($L$1,[2]enemies!$1:$1,0)+1,FALSE)</f>
        <v>15</v>
      </c>
      <c r="R191" s="53">
        <v>44</v>
      </c>
      <c r="S191" s="27">
        <v>1</v>
      </c>
      <c r="T191" s="27">
        <v>1</v>
      </c>
      <c r="U191" s="5">
        <v>0</v>
      </c>
      <c r="V191" s="4" t="str">
        <f ca="1">VLOOKUP($W191,OFFSET([4]enemy_skill_sets!$B$1,0,0,COUNTA([4]enemy_skill_sets!$B:$B),MATCH(M$1,[4]enemy_skill_sets!$1:$1,0)-MATCH($W$1,[4]enemy_skill_sets!$1:$1,0)+2),MATCH(M$1,[4]enemy_skill_sets!$1:$1,0)-MATCH($W$1,[4]enemy_skill_sets!$1:$1,0)+2,FALSE)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191" s="64">
        <v>362</v>
      </c>
      <c r="X191" s="6">
        <v>0</v>
      </c>
      <c r="Y191" s="6">
        <v>100</v>
      </c>
      <c r="Z191" s="6">
        <v>0</v>
      </c>
      <c r="AA191" s="4">
        <f ca="1">VLOOKUP($L191,OFFSET([2]enemies!$A$1,0,0,COUNTA([2]enemies!$A:$A),MATCH(AA$1,[2]enemies!$1:$1,0)-MATCH($L$1,[2]enemies!$1:$1,0)+1),MATCH(AA$1,[2]enemies!$1:$1,0)-MATCH($L$1,[2]enemies!$1:$1,0)+1,FALSE)</f>
        <v>3</v>
      </c>
      <c r="AB191" s="52">
        <v>362</v>
      </c>
      <c r="AC191" s="4" t="str">
        <f ca="1">VLOOKUP($AB191,OFFSET([3]characters!$A$1,0,0,COUNTA([3]characters!$A:$A),MATCH(AC$1,[3]characters!$1:$1,0)-MATCH("character_id",[3]characters!$1:$1,0)+1),MATCH(AC$1,[3]characters!$1:$1,0)-MATCH("character_id",[3]characters!$1:$1,0)+1,FALSE)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191" s="4">
        <f ca="1">VLOOKUP($AB191,OFFSET([3]characters!$A$1,0,0,COUNTA([3]characters!$A:$A),MATCH(AD$1,[3]characters!$1:$1,0)-MATCH("character_id",[3]characters!$1:$1,0)+1),MATCH(AD$1,[3]characters!$1:$1,0)-MATCH("character_id",[3]characters!$1:$1,0)+1,FALSE)</f>
        <v>2</v>
      </c>
      <c r="AE191" s="4" t="str">
        <f ca="1">VLOOKUP($AB191,OFFSET([3]characters!$A$1,0,0,COUNTA([3]characters!$A:$A),MATCH(AE$1,[3]characters!$1:$1,0)-MATCH("character_id",[3]characters!$1:$1,0)+1),MATCH(AE$1,[3]characters!$1:$1,0)-MATCH("character_id",[3]characters!$1:$1,0)+1,FALSE)</f>
        <v>Drop1S</v>
      </c>
      <c r="AF191" s="7">
        <v>7</v>
      </c>
      <c r="AG191" s="26">
        <f t="shared" ca="1" si="172"/>
        <v>2</v>
      </c>
      <c r="AH191" s="8">
        <v>20</v>
      </c>
      <c r="AI191" s="7">
        <v>0</v>
      </c>
      <c r="AJ191" s="7">
        <v>0</v>
      </c>
      <c r="AK191" s="7">
        <v>0</v>
      </c>
      <c r="AL191" s="7">
        <v>0</v>
      </c>
      <c r="AM191" s="7">
        <v>1</v>
      </c>
    </row>
    <row r="192" spans="1:39" ht="14" x14ac:dyDescent="0.15">
      <c r="A192" s="18" t="str">
        <f t="shared" ref="A192" ca="1" si="235">B192&amp;"_"&amp;C192&amp;"-"&amp;G192&amp;"/"&amp;L192&amp;"&lt;lv"&amp;R192&amp;"&gt;s"&amp;AA192</f>
        <v>23_2-2/350&lt;lv44&gt;s3</v>
      </c>
      <c r="B192" s="53">
        <v>23</v>
      </c>
      <c r="C192" s="51">
        <v>2</v>
      </c>
      <c r="D192" s="2" t="str">
        <f t="shared" ref="D192" si="236">B192&amp;"_"&amp;C192</f>
        <v>23_2</v>
      </c>
      <c r="E192" s="2" t="str">
        <f t="shared" ref="E192" si="237">C192&amp;"_"&amp;D192</f>
        <v>2_23_2</v>
      </c>
      <c r="F192" s="4" t="str">
        <f ca="1">VLOOKUP($D192,OFFSET([1]stages!$A$1,0,0,COUNTA([1]stages!$A:$A),MATCH(F$1,[1]stages!$2:$2,0)-MATCH($D$1,[1]stages!$2:$2,0)+1),MATCH(F$1,[1]stages!$2:$2,0)-MATCH($D$1,[1]stages!$2:$2,0)+1,FALSE)</f>
        <v>23-2．微笑みの猛蛇</v>
      </c>
      <c r="G192" s="56">
        <v>2</v>
      </c>
      <c r="H192" s="17" t="str">
        <f t="shared" ref="H192" si="238">B192&amp;"_"&amp;C192&amp;"-"&amp;G192</f>
        <v>23_2-2</v>
      </c>
      <c r="I192" s="17"/>
      <c r="J192" s="17"/>
      <c r="K192" s="65" t="s">
        <v>56</v>
      </c>
      <c r="L192" s="52">
        <v>350</v>
      </c>
      <c r="M192" s="21" t="str">
        <f ca="1">VLOOKUP($L192,OFFSET([2]enemies!$A$1,0,0,COUNTA([2]enemies!$A:$A),MATCH(M$1,[2]enemies!$1:$1,0)-MATCH($L$1,[2]enemies!$1:$1,0)+1),MATCH(M$1,[2]enemies!$1:$1,0)-MATCH($L$1,[2]enemies!$1:$1,0)+1,FALSE)</f>
        <v>森のケロケロ</v>
      </c>
      <c r="N192" s="21" t="str">
        <f ca="1">VLOOKUP($L192,OFFSET([2]enemies!$A$1,0,0,COUNTA([2]enemies!$A:$A),MATCH(N$1,[2]enemies!$1:$1,0)-MATCH($L$1,[2]enemies!$1:$1,0)+1),MATCH(N$1,[2]enemies!$1:$1,0)-MATCH($L$1,[2]enemies!$1:$1,0)+1,FALSE)</f>
        <v>green</v>
      </c>
      <c r="O192" s="21" t="str">
        <f ca="1">VLOOKUP($L192,OFFSET([3]characters!$A$1,0,0,COUNTA([3]characters!$A:$A),MATCH(O$1,[3]characters!$1:$1,0)-MATCH($L$1,[3]characters!$1:$1,0)+1),MATCH(O$1,[3]characters!$1:$1,0)-MATCH($L$1,[3]characters!$1:$1,0)+1,FALSE)</f>
        <v>Material</v>
      </c>
      <c r="P192" s="21" t="str">
        <f ca="1">VLOOKUP($L192,OFFSET([2]enemies!$A$1,0,0,COUNTA([2]enemies!$A:$A),MATCH(P$1,[2]enemies!$1:$1,0)-MATCH($L$1,[2]enemies!$1:$1,0)+1),MATCH(P$1,[2]enemies!$1:$1,0)-MATCH($L$1,[2]enemies!$1:$1,0)+1,FALSE)</f>
        <v>unknown</v>
      </c>
      <c r="Q192" s="21">
        <f ca="1">VLOOKUP($L192,OFFSET([2]enemies!$A$1,0,0,COUNTA([2]enemies!$A:$A),MATCH(Q$1,[2]enemies!$1:$1,0)-MATCH($L$1,[2]enemies!$1:$1,0)+1),MATCH(Q$1,[2]enemies!$1:$1,0)-MATCH($L$1,[2]enemies!$1:$1,0)+1,FALSE)</f>
        <v>15</v>
      </c>
      <c r="R192" s="53">
        <v>44</v>
      </c>
      <c r="S192" s="27">
        <v>1</v>
      </c>
      <c r="T192" s="27">
        <v>1</v>
      </c>
      <c r="U192" s="5">
        <v>0</v>
      </c>
      <c r="V192" s="4" t="str">
        <f ca="1">VLOOKUP($W192,OFFSET([4]enemy_skill_sets!$B$1,0,0,COUNTA([4]enemy_skill_sets!$B:$B),MATCH(M$1,[4]enemy_skill_sets!$1:$1,0)-MATCH($W$1,[4]enemy_skill_sets!$1:$1,0)+2),MATCH(M$1,[4]enemy_skill_sets!$1:$1,0)-MATCH($W$1,[4]enemy_skill_sets!$1:$1,0)+2,FALSE)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192" s="64">
        <v>350</v>
      </c>
      <c r="X192" s="6">
        <v>0</v>
      </c>
      <c r="Y192" s="6">
        <v>100</v>
      </c>
      <c r="Z192" s="6">
        <v>0</v>
      </c>
      <c r="AA192" s="4">
        <f ca="1">VLOOKUP($L192,OFFSET([2]enemies!$A$1,0,0,COUNTA([2]enemies!$A:$A),MATCH(AA$1,[2]enemies!$1:$1,0)-MATCH($L$1,[2]enemies!$1:$1,0)+1),MATCH(AA$1,[2]enemies!$1:$1,0)-MATCH($L$1,[2]enemies!$1:$1,0)+1,FALSE)</f>
        <v>3</v>
      </c>
      <c r="AB192" s="52">
        <v>350</v>
      </c>
      <c r="AC192" s="4" t="str">
        <f ca="1">VLOOKUP($AB192,OFFSET([3]characters!$A$1,0,0,COUNTA([3]characters!$A:$A),MATCH(AC$1,[3]characters!$1:$1,0)-MATCH("character_id",[3]characters!$1:$1,0)+1),MATCH(AC$1,[3]characters!$1:$1,0)-MATCH("character_id",[3]characters!$1:$1,0)+1,FALSE)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192" s="4">
        <f ca="1">VLOOKUP($AB192,OFFSET([3]characters!$A$1,0,0,COUNTA([3]characters!$A:$A),MATCH(AD$1,[3]characters!$1:$1,0)-MATCH("character_id",[3]characters!$1:$1,0)+1),MATCH(AD$1,[3]characters!$1:$1,0)-MATCH("character_id",[3]characters!$1:$1,0)+1,FALSE)</f>
        <v>2</v>
      </c>
      <c r="AE192" s="4" t="str">
        <f ca="1">VLOOKUP($AB192,OFFSET([3]characters!$A$1,0,0,COUNTA([3]characters!$A:$A),MATCH(AE$1,[3]characters!$1:$1,0)-MATCH("character_id",[3]characters!$1:$1,0)+1),MATCH(AE$1,[3]characters!$1:$1,0)-MATCH("character_id",[3]characters!$1:$1,0)+1,FALSE)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192" s="7">
        <v>10</v>
      </c>
      <c r="AG192" s="26">
        <f t="shared" ca="1" si="172"/>
        <v>2</v>
      </c>
      <c r="AH192" s="8">
        <v>20</v>
      </c>
      <c r="AI192" s="7">
        <v>0</v>
      </c>
      <c r="AJ192" s="7">
        <v>0</v>
      </c>
      <c r="AK192" s="7">
        <v>0</v>
      </c>
      <c r="AL192" s="7">
        <v>0</v>
      </c>
      <c r="AM192" s="7">
        <v>1</v>
      </c>
    </row>
    <row r="193" spans="1:39" ht="14" x14ac:dyDescent="0.15">
      <c r="A193" s="18" t="str">
        <f t="shared" ca="1" si="201"/>
        <v>23_2-3/9&lt;lv42&gt;s2</v>
      </c>
      <c r="B193" s="50">
        <v>23</v>
      </c>
      <c r="C193" s="49">
        <v>2</v>
      </c>
      <c r="D193" s="2" t="str">
        <f t="shared" si="202"/>
        <v>23_2</v>
      </c>
      <c r="E193" s="2" t="str">
        <f t="shared" si="202"/>
        <v>2_23_2</v>
      </c>
      <c r="F193" s="4" t="str">
        <f ca="1">VLOOKUP($D193,OFFSET([1]stages!$A$1,0,0,COUNTA([1]stages!$A:$A),MATCH(F$1,[1]stages!$2:$2,0)-MATCH($D$1,[1]stages!$2:$2,0)+1),MATCH(F$1,[1]stages!$2:$2,0)-MATCH($D$1,[1]stages!$2:$2,0)+1,FALSE)</f>
        <v>23-2．微笑みの猛蛇</v>
      </c>
      <c r="G193" s="57">
        <v>3</v>
      </c>
      <c r="H193" s="17" t="str">
        <f t="shared" si="203"/>
        <v>23_2-3</v>
      </c>
      <c r="I193" s="17"/>
      <c r="J193" s="17"/>
      <c r="K193" s="65" t="s">
        <v>56</v>
      </c>
      <c r="L193" s="52">
        <v>9</v>
      </c>
      <c r="M193" s="21" t="str">
        <f ca="1">VLOOKUP($L193,OFFSET([2]enemies!$A$1,0,0,COUNTA([2]enemies!$A:$A),MATCH(M$1,[2]enemies!$1:$1,0)-MATCH($L$1,[2]enemies!$1:$1,0)+1),MATCH(M$1,[2]enemies!$1:$1,0)-MATCH($L$1,[2]enemies!$1:$1,0)+1,FALSE)</f>
        <v>ブレット</v>
      </c>
      <c r="N193" s="21" t="str">
        <f ca="1">VLOOKUP($L193,OFFSET([2]enemies!$A$1,0,0,COUNTA([2]enemies!$A:$A),MATCH(N$1,[2]enemies!$1:$1,0)-MATCH($L$1,[2]enemies!$1:$1,0)+1),MATCH(N$1,[2]enemies!$1:$1,0)-MATCH($L$1,[2]enemies!$1:$1,0)+1,FALSE)</f>
        <v>red</v>
      </c>
      <c r="O193" s="21" t="str">
        <f ca="1">VLOOKUP($L193,OFFSET([3]characters!$A$1,0,0,COUNTA([3]characters!$A:$A),MATCH(O$1,[3]characters!$1:$1,0)-MATCH($L$1,[3]characters!$1:$1,0)+1),MATCH(O$1,[3]characters!$1:$1,0)-MATCH($L$1,[3]characters!$1:$1,0)+1,FALSE)</f>
        <v>Drop1W</v>
      </c>
      <c r="P193" s="21" t="str">
        <f ca="1">VLOOKUP($L193,OFFSET([2]enemies!$A$1,0,0,COUNTA([2]enemies!$A:$A),MATCH(P$1,[2]enemies!$1:$1,0)-MATCH($L$1,[2]enemies!$1:$1,0)+1),MATCH(P$1,[2]enemies!$1:$1,0)-MATCH($L$1,[2]enemies!$1:$1,0)+1,FALSE)</f>
        <v>animal</v>
      </c>
      <c r="Q193" s="21">
        <f ca="1">VLOOKUP($L193,OFFSET([2]enemies!$A$1,0,0,COUNTA([2]enemies!$A:$A),MATCH(Q$1,[2]enemies!$1:$1,0)-MATCH($L$1,[2]enemies!$1:$1,0)+1),MATCH(Q$1,[2]enemies!$1:$1,0)-MATCH($L$1,[2]enemies!$1:$1,0)+1,FALSE)</f>
        <v>15</v>
      </c>
      <c r="R193" s="53">
        <v>42</v>
      </c>
      <c r="S193" s="27">
        <v>1</v>
      </c>
      <c r="T193" s="27">
        <v>1</v>
      </c>
      <c r="U193" s="5">
        <v>0</v>
      </c>
      <c r="V193" s="4" t="str">
        <f ca="1">VLOOKUP($W193,OFFSET([4]enemy_skill_sets!$B$1,0,0,COUNTA([4]enemy_skill_sets!$B:$B),MATCH(M$1,[4]enemy_skill_sets!$1:$1,0)-MATCH($W$1,[4]enemy_skill_sets!$1:$1,0)+2),MATCH(M$1,[4]enemy_skill_sets!$1:$1,0)-MATCH($W$1,[4]enemy_skill_sets!$1:$1,0)+2,FALSE)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93" s="4">
        <f ca="1">VLOOKUP($L193,OFFSET([2]enemies!$A$1,0,0,COUNTA([2]enemies!$A:$A),MATCH(W$1,[2]enemies!$1:$1,0)-MATCH($L$1,[2]enemies!$1:$1,0)+1),MATCH(W$1,[2]enemies!$1:$1,0)-MATCH($L$1,[2]enemies!$1:$1,0)+1,FALSE)</f>
        <v>0</v>
      </c>
      <c r="X193" s="6">
        <v>0</v>
      </c>
      <c r="Y193" s="6">
        <v>100</v>
      </c>
      <c r="Z193" s="6">
        <v>0</v>
      </c>
      <c r="AA193" s="4">
        <f ca="1">VLOOKUP($L193,OFFSET([2]enemies!$A$1,0,0,COUNTA([2]enemies!$A:$A),MATCH(AA$1,[2]enemies!$1:$1,0)-MATCH($L$1,[2]enemies!$1:$1,0)+1),MATCH(AA$1,[2]enemies!$1:$1,0)-MATCH($L$1,[2]enemies!$1:$1,0)+1,FALSE)</f>
        <v>2</v>
      </c>
      <c r="AB193" s="52">
        <v>9</v>
      </c>
      <c r="AC193" s="4" t="str">
        <f ca="1">VLOOKUP($AB193,OFFSET([3]characters!$A$1,0,0,COUNTA([3]characters!$A:$A),MATCH(AC$1,[3]characters!$1:$1,0)-MATCH("character_id",[3]characters!$1:$1,0)+1),MATCH(AC$1,[3]characters!$1:$1,0)-MATCH("character_id",[3]characters!$1:$1,0)+1,FALSE)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193" s="4">
        <f ca="1">VLOOKUP($AB193,OFFSET([3]characters!$A$1,0,0,COUNTA([3]characters!$A:$A),MATCH(AD$1,[3]characters!$1:$1,0)-MATCH("character_id",[3]characters!$1:$1,0)+1),MATCH(AD$1,[3]characters!$1:$1,0)-MATCH("character_id",[3]characters!$1:$1,0)+1,FALSE)</f>
        <v>1</v>
      </c>
      <c r="AE193" s="4" t="str">
        <f ca="1">VLOOKUP($AB193,OFFSET([3]characters!$A$1,0,0,COUNTA([3]characters!$A:$A),MATCH(AE$1,[3]characters!$1:$1,0)-MATCH("character_id",[3]characters!$1:$1,0)+1),MATCH(AE$1,[3]characters!$1:$1,0)-MATCH("character_id",[3]characters!$1:$1,0)+1,FALSE)</f>
        <v>Drop1W</v>
      </c>
      <c r="AF193" s="7">
        <v>9</v>
      </c>
      <c r="AG193" s="26">
        <f t="shared" ca="1" si="172"/>
        <v>1</v>
      </c>
      <c r="AH193" s="8">
        <v>20</v>
      </c>
      <c r="AI193" s="7">
        <v>0</v>
      </c>
      <c r="AJ193" s="7">
        <v>0</v>
      </c>
      <c r="AK193" s="7">
        <v>0</v>
      </c>
      <c r="AL193" s="7">
        <v>0</v>
      </c>
      <c r="AM193" s="7">
        <v>1</v>
      </c>
    </row>
    <row r="194" spans="1:39" ht="14" x14ac:dyDescent="0.15">
      <c r="A194" s="18" t="str">
        <f t="shared" ca="1" si="201"/>
        <v>23_2-3/11&lt;lv44&gt;s3</v>
      </c>
      <c r="B194" s="50">
        <v>23</v>
      </c>
      <c r="C194" s="49">
        <v>2</v>
      </c>
      <c r="D194" s="2" t="str">
        <f t="shared" si="202"/>
        <v>23_2</v>
      </c>
      <c r="E194" s="2" t="str">
        <f t="shared" si="202"/>
        <v>2_23_2</v>
      </c>
      <c r="F194" s="4" t="str">
        <f ca="1">VLOOKUP($D194,OFFSET([1]stages!$A$1,0,0,COUNTA([1]stages!$A:$A),MATCH(F$1,[1]stages!$2:$2,0)-MATCH($D$1,[1]stages!$2:$2,0)+1),MATCH(F$1,[1]stages!$2:$2,0)-MATCH($D$1,[1]stages!$2:$2,0)+1,FALSE)</f>
        <v>23-2．微笑みの猛蛇</v>
      </c>
      <c r="G194" s="57">
        <v>3</v>
      </c>
      <c r="H194" s="17" t="str">
        <f t="shared" si="203"/>
        <v>23_2-3</v>
      </c>
      <c r="I194" s="17"/>
      <c r="J194" s="17"/>
      <c r="K194" s="65" t="s">
        <v>56</v>
      </c>
      <c r="L194" s="52">
        <v>11</v>
      </c>
      <c r="M194" s="21" t="str">
        <f ca="1">VLOOKUP($L194,OFFSET([2]enemies!$A$1,0,0,COUNTA([2]enemies!$A:$A),MATCH(M$1,[2]enemies!$1:$1,0)-MATCH($L$1,[2]enemies!$1:$1,0)+1),MATCH(M$1,[2]enemies!$1:$1,0)-MATCH($L$1,[2]enemies!$1:$1,0)+1,FALSE)</f>
        <v>マグリット</v>
      </c>
      <c r="N194" s="21" t="str">
        <f ca="1">VLOOKUP($L194,OFFSET([2]enemies!$A$1,0,0,COUNTA([2]enemies!$A:$A),MATCH(N$1,[2]enemies!$1:$1,0)-MATCH($L$1,[2]enemies!$1:$1,0)+1),MATCH(N$1,[2]enemies!$1:$1,0)-MATCH($L$1,[2]enemies!$1:$1,0)+1,FALSE)</f>
        <v>green</v>
      </c>
      <c r="O194" s="21" t="str">
        <f ca="1">VLOOKUP($L194,OFFSET([3]characters!$A$1,0,0,COUNTA([3]characters!$A:$A),MATCH(O$1,[3]characters!$1:$1,0)-MATCH($L$1,[3]characters!$1:$1,0)+1),MATCH(O$1,[3]characters!$1:$1,0)-MATCH($L$1,[3]characters!$1:$1,0)+1,FALSE)</f>
        <v>Drop1W</v>
      </c>
      <c r="P194" s="21" t="str">
        <f ca="1">VLOOKUP($L194,OFFSET([2]enemies!$A$1,0,0,COUNTA([2]enemies!$A:$A),MATCH(P$1,[2]enemies!$1:$1,0)-MATCH($L$1,[2]enemies!$1:$1,0)+1),MATCH(P$1,[2]enemies!$1:$1,0)-MATCH($L$1,[2]enemies!$1:$1,0)+1,FALSE)</f>
        <v>animal</v>
      </c>
      <c r="Q194" s="21">
        <f ca="1">VLOOKUP($L194,OFFSET([2]enemies!$A$1,0,0,COUNTA([2]enemies!$A:$A),MATCH(Q$1,[2]enemies!$1:$1,0)-MATCH($L$1,[2]enemies!$1:$1,0)+1),MATCH(Q$1,[2]enemies!$1:$1,0)-MATCH($L$1,[2]enemies!$1:$1,0)+1,FALSE)</f>
        <v>15</v>
      </c>
      <c r="R194" s="53">
        <v>44</v>
      </c>
      <c r="S194" s="27">
        <v>1</v>
      </c>
      <c r="T194" s="27">
        <v>1</v>
      </c>
      <c r="U194" s="5">
        <v>0</v>
      </c>
      <c r="V194" s="4" t="str">
        <f ca="1">VLOOKUP($W194,OFFSET([4]enemy_skill_sets!$B$1,0,0,COUNTA([4]enemy_skill_sets!$B:$B),MATCH(M$1,[4]enemy_skill_sets!$1:$1,0)-MATCH($W$1,[4]enemy_skill_sets!$1:$1,0)+2),MATCH(M$1,[4]enemy_skill_sets!$1:$1,0)-MATCH($W$1,[4]enemy_skill_sets!$1:$1,0)+2,FALSE)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94" s="4">
        <f ca="1">VLOOKUP($L194,OFFSET([2]enemies!$A$1,0,0,COUNTA([2]enemies!$A:$A),MATCH(W$1,[2]enemies!$1:$1,0)-MATCH($L$1,[2]enemies!$1:$1,0)+1),MATCH(W$1,[2]enemies!$1:$1,0)-MATCH($L$1,[2]enemies!$1:$1,0)+1,FALSE)</f>
        <v>0</v>
      </c>
      <c r="X194" s="6">
        <v>0</v>
      </c>
      <c r="Y194" s="6">
        <v>100</v>
      </c>
      <c r="Z194" s="6">
        <v>0</v>
      </c>
      <c r="AA194" s="4">
        <f ca="1">VLOOKUP($L194,OFFSET([2]enemies!$A$1,0,0,COUNTA([2]enemies!$A:$A),MATCH(AA$1,[2]enemies!$1:$1,0)-MATCH($L$1,[2]enemies!$1:$1,0)+1),MATCH(AA$1,[2]enemies!$1:$1,0)-MATCH($L$1,[2]enemies!$1:$1,0)+1,FALSE)</f>
        <v>3</v>
      </c>
      <c r="AB194" s="52">
        <v>11</v>
      </c>
      <c r="AC194" s="4" t="str">
        <f ca="1">VLOOKUP($AB194,OFFSET([3]characters!$A$1,0,0,COUNTA([3]characters!$A:$A),MATCH(AC$1,[3]characters!$1:$1,0)-MATCH("character_id",[3]characters!$1:$1,0)+1),MATCH(AC$1,[3]characters!$1:$1,0)-MATCH("character_id",[3]characters!$1:$1,0)+1,FALSE)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194" s="4">
        <f ca="1">VLOOKUP($AB194,OFFSET([3]characters!$A$1,0,0,COUNTA([3]characters!$A:$A),MATCH(AD$1,[3]characters!$1:$1,0)-MATCH("character_id",[3]characters!$1:$1,0)+1),MATCH(AD$1,[3]characters!$1:$1,0)-MATCH("character_id",[3]characters!$1:$1,0)+1,FALSE)</f>
        <v>1</v>
      </c>
      <c r="AE194" s="4" t="str">
        <f ca="1">VLOOKUP($AB194,OFFSET([3]characters!$A$1,0,0,COUNTA([3]characters!$A:$A),MATCH(AE$1,[3]characters!$1:$1,0)-MATCH("character_id",[3]characters!$1:$1,0)+1),MATCH(AE$1,[3]characters!$1:$1,0)-MATCH("character_id",[3]characters!$1:$1,0)+1,FALSE)</f>
        <v>Drop1W</v>
      </c>
      <c r="AF194" s="7">
        <v>9</v>
      </c>
      <c r="AG194" s="26">
        <f t="shared" ca="1" si="172"/>
        <v>1</v>
      </c>
      <c r="AH194" s="8">
        <v>20</v>
      </c>
      <c r="AI194" s="7">
        <v>0</v>
      </c>
      <c r="AJ194" s="7">
        <v>0</v>
      </c>
      <c r="AK194" s="7">
        <v>0</v>
      </c>
      <c r="AL194" s="7">
        <v>0</v>
      </c>
      <c r="AM194" s="7">
        <v>1</v>
      </c>
    </row>
    <row r="195" spans="1:39" ht="14" x14ac:dyDescent="0.15">
      <c r="A195" s="18" t="str">
        <f t="shared" ca="1" si="201"/>
        <v>23_2-3/23&lt;lv44&gt;s4</v>
      </c>
      <c r="B195" s="50">
        <v>23</v>
      </c>
      <c r="C195" s="49">
        <v>2</v>
      </c>
      <c r="D195" s="2" t="str">
        <f t="shared" si="202"/>
        <v>23_2</v>
      </c>
      <c r="E195" s="2" t="str">
        <f t="shared" si="202"/>
        <v>2_23_2</v>
      </c>
      <c r="F195" s="4" t="str">
        <f ca="1">VLOOKUP($D195,OFFSET([1]stages!$A$1,0,0,COUNTA([1]stages!$A:$A),MATCH(F$1,[1]stages!$2:$2,0)-MATCH($D$1,[1]stages!$2:$2,0)+1),MATCH(F$1,[1]stages!$2:$2,0)-MATCH($D$1,[1]stages!$2:$2,0)+1,FALSE)</f>
        <v>23-2．微笑みの猛蛇</v>
      </c>
      <c r="G195" s="57">
        <v>3</v>
      </c>
      <c r="H195" s="17" t="str">
        <f t="shared" si="203"/>
        <v>23_2-3</v>
      </c>
      <c r="I195" s="17"/>
      <c r="J195" s="17"/>
      <c r="K195" s="65" t="s">
        <v>56</v>
      </c>
      <c r="L195" s="52">
        <v>23</v>
      </c>
      <c r="M195" s="21" t="str">
        <f ca="1">VLOOKUP($L195,OFFSET([2]enemies!$A$1,0,0,COUNTA([2]enemies!$A:$A),MATCH(M$1,[2]enemies!$1:$1,0)-MATCH($L$1,[2]enemies!$1:$1,0)+1),MATCH(M$1,[2]enemies!$1:$1,0)-MATCH($L$1,[2]enemies!$1:$1,0)+1,FALSE)</f>
        <v>ミール</v>
      </c>
      <c r="N195" s="21" t="str">
        <f ca="1">VLOOKUP($L195,OFFSET([2]enemies!$A$1,0,0,COUNTA([2]enemies!$A:$A),MATCH(N$1,[2]enemies!$1:$1,0)-MATCH($L$1,[2]enemies!$1:$1,0)+1),MATCH(N$1,[2]enemies!$1:$1,0)-MATCH($L$1,[2]enemies!$1:$1,0)+1,FALSE)</f>
        <v>green</v>
      </c>
      <c r="O195" s="21" t="str">
        <f ca="1">VLOOKUP($L195,OFFSET([3]characters!$A$1,0,0,COUNTA([3]characters!$A:$A),MATCH(O$1,[3]characters!$1:$1,0)-MATCH($L$1,[3]characters!$1:$1,0)+1),MATCH(O$1,[3]characters!$1:$1,0)-MATCH($L$1,[3]characters!$1:$1,0)+1,FALSE)</f>
        <v>Drop1N</v>
      </c>
      <c r="P195" s="21" t="str">
        <f ca="1">VLOOKUP($L195,OFFSET([2]enemies!$A$1,0,0,COUNTA([2]enemies!$A:$A),MATCH(P$1,[2]enemies!$1:$1,0)-MATCH($L$1,[2]enemies!$1:$1,0)+1),MATCH(P$1,[2]enemies!$1:$1,0)-MATCH($L$1,[2]enemies!$1:$1,0)+1,FALSE)</f>
        <v>animal</v>
      </c>
      <c r="Q195" s="21">
        <f ca="1">VLOOKUP($L195,OFFSET([2]enemies!$A$1,0,0,COUNTA([2]enemies!$A:$A),MATCH(Q$1,[2]enemies!$1:$1,0)-MATCH($L$1,[2]enemies!$1:$1,0)+1),MATCH(Q$1,[2]enemies!$1:$1,0)-MATCH($L$1,[2]enemies!$1:$1,0)+1,FALSE)</f>
        <v>15</v>
      </c>
      <c r="R195" s="53">
        <v>44</v>
      </c>
      <c r="S195" s="27">
        <v>1</v>
      </c>
      <c r="T195" s="27">
        <v>1</v>
      </c>
      <c r="U195" s="5">
        <v>0</v>
      </c>
      <c r="V195" s="4" t="str">
        <f ca="1">VLOOKUP($W195,OFFSET([4]enemy_skill_sets!$B$1,0,0,COUNTA([4]enemy_skill_sets!$B:$B),MATCH(M$1,[4]enemy_skill_sets!$1:$1,0)-MATCH($W$1,[4]enemy_skill_sets!$1:$1,0)+2),MATCH(M$1,[4]enemy_skill_sets!$1:$1,0)-MATCH($W$1,[4]enemy_skill_sets!$1:$1,0)+2,FALSE)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95" s="4">
        <f ca="1">VLOOKUP($L195,OFFSET([2]enemies!$A$1,0,0,COUNTA([2]enemies!$A:$A),MATCH(W$1,[2]enemies!$1:$1,0)-MATCH($L$1,[2]enemies!$1:$1,0)+1),MATCH(W$1,[2]enemies!$1:$1,0)-MATCH($L$1,[2]enemies!$1:$1,0)+1,FALSE)</f>
        <v>0</v>
      </c>
      <c r="X195" s="6">
        <v>0</v>
      </c>
      <c r="Y195" s="6">
        <v>100</v>
      </c>
      <c r="Z195" s="6">
        <v>0</v>
      </c>
      <c r="AA195" s="4">
        <f ca="1">VLOOKUP($L195,OFFSET([2]enemies!$A$1,0,0,COUNTA([2]enemies!$A:$A),MATCH(AA$1,[2]enemies!$1:$1,0)-MATCH($L$1,[2]enemies!$1:$1,0)+1),MATCH(AA$1,[2]enemies!$1:$1,0)-MATCH($L$1,[2]enemies!$1:$1,0)+1,FALSE)</f>
        <v>4</v>
      </c>
      <c r="AB195" s="52">
        <v>23</v>
      </c>
      <c r="AC195" s="4" t="str">
        <f ca="1">VLOOKUP($AB195,OFFSET([3]characters!$A$1,0,0,COUNTA([3]characters!$A:$A),MATCH(AC$1,[3]characters!$1:$1,0)-MATCH("character_id",[3]characters!$1:$1,0)+1),MATCH(AC$1,[3]characters!$1:$1,0)-MATCH("character_id",[3]characters!$1:$1,0)+1,FALSE)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195" s="4">
        <f ca="1">VLOOKUP($AB195,OFFSET([3]characters!$A$1,0,0,COUNTA([3]characters!$A:$A),MATCH(AD$1,[3]characters!$1:$1,0)-MATCH("character_id",[3]characters!$1:$1,0)+1),MATCH(AD$1,[3]characters!$1:$1,0)-MATCH("character_id",[3]characters!$1:$1,0)+1,FALSE)</f>
        <v>1</v>
      </c>
      <c r="AE195" s="4" t="str">
        <f ca="1">VLOOKUP($AB195,OFFSET([3]characters!$A$1,0,0,COUNTA([3]characters!$A:$A),MATCH(AE$1,[3]characters!$1:$1,0)-MATCH("character_id",[3]characters!$1:$1,0)+1),MATCH(AE$1,[3]characters!$1:$1,0)-MATCH("character_id",[3]characters!$1:$1,0)+1,FALSE)</f>
        <v>Drop1N</v>
      </c>
      <c r="AF195" s="7">
        <v>7</v>
      </c>
      <c r="AG195" s="26">
        <f t="shared" ref="AG195:AG258" ca="1" si="239">AD195</f>
        <v>1</v>
      </c>
      <c r="AH195" s="8">
        <v>20</v>
      </c>
      <c r="AI195" s="7">
        <v>0</v>
      </c>
      <c r="AJ195" s="7">
        <v>0</v>
      </c>
      <c r="AK195" s="7">
        <v>0</v>
      </c>
      <c r="AL195" s="7">
        <v>0</v>
      </c>
      <c r="AM195" s="7">
        <v>1</v>
      </c>
    </row>
    <row r="196" spans="1:39" ht="14" x14ac:dyDescent="0.15">
      <c r="A196" s="18" t="str">
        <f t="shared" ca="1" si="201"/>
        <v>23_2-3/33&lt;lv42&gt;s2</v>
      </c>
      <c r="B196" s="50">
        <v>23</v>
      </c>
      <c r="C196" s="49">
        <v>2</v>
      </c>
      <c r="D196" s="2" t="str">
        <f t="shared" si="202"/>
        <v>23_2</v>
      </c>
      <c r="E196" s="2" t="str">
        <f t="shared" si="202"/>
        <v>2_23_2</v>
      </c>
      <c r="F196" s="4" t="str">
        <f ca="1">VLOOKUP($D196,OFFSET([1]stages!$A$1,0,0,COUNTA([1]stages!$A:$A),MATCH(F$1,[1]stages!$2:$2,0)-MATCH($D$1,[1]stages!$2:$2,0)+1),MATCH(F$1,[1]stages!$2:$2,0)-MATCH($D$1,[1]stages!$2:$2,0)+1,FALSE)</f>
        <v>23-2．微笑みの猛蛇</v>
      </c>
      <c r="G196" s="57">
        <v>3</v>
      </c>
      <c r="H196" s="17" t="str">
        <f t="shared" si="203"/>
        <v>23_2-3</v>
      </c>
      <c r="I196" s="17"/>
      <c r="J196" s="17"/>
      <c r="K196" s="65" t="s">
        <v>56</v>
      </c>
      <c r="L196" s="52">
        <v>33</v>
      </c>
      <c r="M196" s="21" t="str">
        <f ca="1">VLOOKUP($L196,OFFSET([2]enemies!$A$1,0,0,COUNTA([2]enemies!$A:$A),MATCH(M$1,[2]enemies!$1:$1,0)-MATCH($L$1,[2]enemies!$1:$1,0)+1),MATCH(M$1,[2]enemies!$1:$1,0)-MATCH($L$1,[2]enemies!$1:$1,0)+1,FALSE)</f>
        <v>ゴクウ</v>
      </c>
      <c r="N196" s="21" t="str">
        <f ca="1">VLOOKUP($L196,OFFSET([2]enemies!$A$1,0,0,COUNTA([2]enemies!$A:$A),MATCH(N$1,[2]enemies!$1:$1,0)-MATCH($L$1,[2]enemies!$1:$1,0)+1),MATCH(N$1,[2]enemies!$1:$1,0)-MATCH($L$1,[2]enemies!$1:$1,0)+1,FALSE)</f>
        <v>red</v>
      </c>
      <c r="O196" s="21" t="str">
        <f ca="1">VLOOKUP($L196,OFFSET([3]characters!$A$1,0,0,COUNTA([3]characters!$A:$A),MATCH(O$1,[3]characters!$1:$1,0)-MATCH($L$1,[3]characters!$1:$1,0)+1),MATCH(O$1,[3]characters!$1:$1,0)-MATCH($L$1,[3]characters!$1:$1,0)+1,FALSE)</f>
        <v>Drop1S</v>
      </c>
      <c r="P196" s="21" t="str">
        <f ca="1">VLOOKUP($L196,OFFSET([2]enemies!$A$1,0,0,COUNTA([2]enemies!$A:$A),MATCH(P$1,[2]enemies!$1:$1,0)-MATCH($L$1,[2]enemies!$1:$1,0)+1),MATCH(P$1,[2]enemies!$1:$1,0)-MATCH($L$1,[2]enemies!$1:$1,0)+1,FALSE)</f>
        <v>animal</v>
      </c>
      <c r="Q196" s="21">
        <f ca="1">VLOOKUP($L196,OFFSET([2]enemies!$A$1,0,0,COUNTA([2]enemies!$A:$A),MATCH(Q$1,[2]enemies!$1:$1,0)-MATCH($L$1,[2]enemies!$1:$1,0)+1),MATCH(Q$1,[2]enemies!$1:$1,0)-MATCH($L$1,[2]enemies!$1:$1,0)+1,FALSE)</f>
        <v>15</v>
      </c>
      <c r="R196" s="53">
        <v>42</v>
      </c>
      <c r="S196" s="27">
        <v>1</v>
      </c>
      <c r="T196" s="27">
        <v>1</v>
      </c>
      <c r="U196" s="5">
        <v>0</v>
      </c>
      <c r="V196" s="4" t="str">
        <f ca="1">VLOOKUP($W196,OFFSET([4]enemy_skill_sets!$B$1,0,0,COUNTA([4]enemy_skill_sets!$B:$B),MATCH(M$1,[4]enemy_skill_sets!$1:$1,0)-MATCH($W$1,[4]enemy_skill_sets!$1:$1,0)+2),MATCH(M$1,[4]enemy_skill_sets!$1:$1,0)-MATCH($W$1,[4]enemy_skill_sets!$1:$1,0)+2,FALSE)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96" s="4">
        <f ca="1">VLOOKUP($L196,OFFSET([2]enemies!$A$1,0,0,COUNTA([2]enemies!$A:$A),MATCH(W$1,[2]enemies!$1:$1,0)-MATCH($L$1,[2]enemies!$1:$1,0)+1),MATCH(W$1,[2]enemies!$1:$1,0)-MATCH($L$1,[2]enemies!$1:$1,0)+1,FALSE)</f>
        <v>33</v>
      </c>
      <c r="X196" s="6">
        <v>0</v>
      </c>
      <c r="Y196" s="6">
        <v>100</v>
      </c>
      <c r="Z196" s="6">
        <v>0</v>
      </c>
      <c r="AA196" s="4">
        <f ca="1">VLOOKUP($L196,OFFSET([2]enemies!$A$1,0,0,COUNTA([2]enemies!$A:$A),MATCH(AA$1,[2]enemies!$1:$1,0)-MATCH($L$1,[2]enemies!$1:$1,0)+1),MATCH(AA$1,[2]enemies!$1:$1,0)-MATCH($L$1,[2]enemies!$1:$1,0)+1,FALSE)</f>
        <v>2</v>
      </c>
      <c r="AB196" s="52">
        <v>33</v>
      </c>
      <c r="AC196" s="4" t="str">
        <f ca="1">VLOOKUP($AB196,OFFSET([3]characters!$A$1,0,0,COUNTA([3]characters!$A:$A),MATCH(AC$1,[3]characters!$1:$1,0)-MATCH("character_id",[3]characters!$1:$1,0)+1),MATCH(AC$1,[3]characters!$1:$1,0)-MATCH("character_id",[3]characters!$1:$1,0)+1,FALSE)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196" s="4">
        <f ca="1">VLOOKUP($AB196,OFFSET([3]characters!$A$1,0,0,COUNTA([3]characters!$A:$A),MATCH(AD$1,[3]characters!$1:$1,0)-MATCH("character_id",[3]characters!$1:$1,0)+1),MATCH(AD$1,[3]characters!$1:$1,0)-MATCH("character_id",[3]characters!$1:$1,0)+1,FALSE)</f>
        <v>2</v>
      </c>
      <c r="AE196" s="4" t="str">
        <f ca="1">VLOOKUP($AB196,OFFSET([3]characters!$A$1,0,0,COUNTA([3]characters!$A:$A),MATCH(AE$1,[3]characters!$1:$1,0)-MATCH("character_id",[3]characters!$1:$1,0)+1),MATCH(AE$1,[3]characters!$1:$1,0)-MATCH("character_id",[3]characters!$1:$1,0)+1,FALSE)</f>
        <v>Drop1S</v>
      </c>
      <c r="AF196" s="7">
        <v>5</v>
      </c>
      <c r="AG196" s="26">
        <f t="shared" ca="1" si="239"/>
        <v>2</v>
      </c>
      <c r="AH196" s="8">
        <v>20</v>
      </c>
      <c r="AI196" s="7">
        <v>0</v>
      </c>
      <c r="AJ196" s="7">
        <v>0</v>
      </c>
      <c r="AK196" s="7">
        <v>0</v>
      </c>
      <c r="AL196" s="7">
        <v>0</v>
      </c>
      <c r="AM196" s="7">
        <v>1</v>
      </c>
    </row>
    <row r="197" spans="1:39" ht="14" x14ac:dyDescent="0.15">
      <c r="A197" s="18" t="str">
        <f t="shared" ca="1" si="201"/>
        <v>23_2-3/57&lt;lv42&gt;s2</v>
      </c>
      <c r="B197" s="50">
        <v>23</v>
      </c>
      <c r="C197" s="49">
        <v>2</v>
      </c>
      <c r="D197" s="2" t="str">
        <f t="shared" si="202"/>
        <v>23_2</v>
      </c>
      <c r="E197" s="2" t="str">
        <f t="shared" si="202"/>
        <v>2_23_2</v>
      </c>
      <c r="F197" s="4" t="str">
        <f ca="1">VLOOKUP($D197,OFFSET([1]stages!$A$1,0,0,COUNTA([1]stages!$A:$A),MATCH(F$1,[1]stages!$2:$2,0)-MATCH($D$1,[1]stages!$2:$2,0)+1),MATCH(F$1,[1]stages!$2:$2,0)-MATCH($D$1,[1]stages!$2:$2,0)+1,FALSE)</f>
        <v>23-2．微笑みの猛蛇</v>
      </c>
      <c r="G197" s="57">
        <v>3</v>
      </c>
      <c r="H197" s="17" t="str">
        <f t="shared" si="203"/>
        <v>23_2-3</v>
      </c>
      <c r="I197" s="17"/>
      <c r="J197" s="17"/>
      <c r="K197" s="65" t="s">
        <v>56</v>
      </c>
      <c r="L197" s="52">
        <v>57</v>
      </c>
      <c r="M197" s="21" t="str">
        <f ca="1">VLOOKUP($L197,OFFSET([2]enemies!$A$1,0,0,COUNTA([2]enemies!$A:$A),MATCH(M$1,[2]enemies!$1:$1,0)-MATCH($L$1,[2]enemies!$1:$1,0)+1),MATCH(M$1,[2]enemies!$1:$1,0)-MATCH($L$1,[2]enemies!$1:$1,0)+1,FALSE)</f>
        <v>チェン・リー</v>
      </c>
      <c r="N197" s="21" t="str">
        <f ca="1">VLOOKUP($L197,OFFSET([2]enemies!$A$1,0,0,COUNTA([2]enemies!$A:$A),MATCH(N$1,[2]enemies!$1:$1,0)-MATCH($L$1,[2]enemies!$1:$1,0)+1),MATCH(N$1,[2]enemies!$1:$1,0)-MATCH($L$1,[2]enemies!$1:$1,0)+1,FALSE)</f>
        <v>red</v>
      </c>
      <c r="O197" s="21" t="str">
        <f ca="1">VLOOKUP($L197,OFFSET([3]characters!$A$1,0,0,COUNTA([3]characters!$A:$A),MATCH(O$1,[3]characters!$1:$1,0)-MATCH($L$1,[3]characters!$1:$1,0)+1),MATCH(O$1,[3]characters!$1:$1,0)-MATCH($L$1,[3]characters!$1:$1,0)+1,FALSE)</f>
        <v>Drop1N</v>
      </c>
      <c r="P197" s="21" t="str">
        <f ca="1">VLOOKUP($L197,OFFSET([2]enemies!$A$1,0,0,COUNTA([2]enemies!$A:$A),MATCH(P$1,[2]enemies!$1:$1,0)-MATCH($L$1,[2]enemies!$1:$1,0)+1),MATCH(P$1,[2]enemies!$1:$1,0)-MATCH($L$1,[2]enemies!$1:$1,0)+1,FALSE)</f>
        <v>animal</v>
      </c>
      <c r="Q197" s="21">
        <f ca="1">VLOOKUP($L197,OFFSET([2]enemies!$A$1,0,0,COUNTA([2]enemies!$A:$A),MATCH(Q$1,[2]enemies!$1:$1,0)-MATCH($L$1,[2]enemies!$1:$1,0)+1),MATCH(Q$1,[2]enemies!$1:$1,0)-MATCH($L$1,[2]enemies!$1:$1,0)+1,FALSE)</f>
        <v>15</v>
      </c>
      <c r="R197" s="53">
        <v>42</v>
      </c>
      <c r="S197" s="27">
        <v>1</v>
      </c>
      <c r="T197" s="27">
        <v>1</v>
      </c>
      <c r="U197" s="5">
        <v>0</v>
      </c>
      <c r="V197" s="4" t="str">
        <f ca="1">VLOOKUP($W197,OFFSET([4]enemy_skill_sets!$B$1,0,0,COUNTA([4]enemy_skill_sets!$B:$B),MATCH(M$1,[4]enemy_skill_sets!$1:$1,0)-MATCH($W$1,[4]enemy_skill_sets!$1:$1,0)+2),MATCH(M$1,[4]enemy_skill_sets!$1:$1,0)-MATCH($W$1,[4]enemy_skill_sets!$1:$1,0)+2,FALSE)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97" s="4">
        <f ca="1">VLOOKUP($L197,OFFSET([2]enemies!$A$1,0,0,COUNTA([2]enemies!$A:$A),MATCH(W$1,[2]enemies!$1:$1,0)-MATCH($L$1,[2]enemies!$1:$1,0)+1),MATCH(W$1,[2]enemies!$1:$1,0)-MATCH($L$1,[2]enemies!$1:$1,0)+1,FALSE)</f>
        <v>57</v>
      </c>
      <c r="X197" s="6">
        <v>0</v>
      </c>
      <c r="Y197" s="6">
        <v>100</v>
      </c>
      <c r="Z197" s="6">
        <v>0</v>
      </c>
      <c r="AA197" s="4">
        <f ca="1">VLOOKUP($L197,OFFSET([2]enemies!$A$1,0,0,COUNTA([2]enemies!$A:$A),MATCH(AA$1,[2]enemies!$1:$1,0)-MATCH($L$1,[2]enemies!$1:$1,0)+1),MATCH(AA$1,[2]enemies!$1:$1,0)-MATCH($L$1,[2]enemies!$1:$1,0)+1,FALSE)</f>
        <v>2</v>
      </c>
      <c r="AB197" s="52">
        <v>57</v>
      </c>
      <c r="AC197" s="4" t="str">
        <f ca="1">VLOOKUP($AB197,OFFSET([3]characters!$A$1,0,0,COUNTA([3]characters!$A:$A),MATCH(AC$1,[3]characters!$1:$1,0)-MATCH("character_id",[3]characters!$1:$1,0)+1),MATCH(AC$1,[3]characters!$1:$1,0)-MATCH("character_id",[3]characters!$1:$1,0)+1,FALSE)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197" s="4">
        <f ca="1">VLOOKUP($AB197,OFFSET([3]characters!$A$1,0,0,COUNTA([3]characters!$A:$A),MATCH(AD$1,[3]characters!$1:$1,0)-MATCH("character_id",[3]characters!$1:$1,0)+1),MATCH(AD$1,[3]characters!$1:$1,0)-MATCH("character_id",[3]characters!$1:$1,0)+1,FALSE)</f>
        <v>2</v>
      </c>
      <c r="AE197" s="4" t="str">
        <f ca="1">VLOOKUP($AB197,OFFSET([3]characters!$A$1,0,0,COUNTA([3]characters!$A:$A),MATCH(AE$1,[3]characters!$1:$1,0)-MATCH("character_id",[3]characters!$1:$1,0)+1),MATCH(AE$1,[3]characters!$1:$1,0)-MATCH("character_id",[3]characters!$1:$1,0)+1,FALSE)</f>
        <v>Drop1N</v>
      </c>
      <c r="AF197" s="7">
        <v>7</v>
      </c>
      <c r="AG197" s="26">
        <f t="shared" ca="1" si="239"/>
        <v>2</v>
      </c>
      <c r="AH197" s="8">
        <v>20</v>
      </c>
      <c r="AI197" s="7">
        <v>0</v>
      </c>
      <c r="AJ197" s="7">
        <v>0</v>
      </c>
      <c r="AK197" s="7">
        <v>0</v>
      </c>
      <c r="AL197" s="7">
        <v>0</v>
      </c>
      <c r="AM197" s="7">
        <v>1</v>
      </c>
    </row>
    <row r="198" spans="1:39" ht="14" x14ac:dyDescent="0.15">
      <c r="A198" s="18" t="str">
        <f t="shared" ca="1" si="201"/>
        <v>23_2-3/59&lt;lv44&gt;s2</v>
      </c>
      <c r="B198" s="50">
        <v>23</v>
      </c>
      <c r="C198" s="49">
        <v>2</v>
      </c>
      <c r="D198" s="2" t="str">
        <f t="shared" si="202"/>
        <v>23_2</v>
      </c>
      <c r="E198" s="2" t="str">
        <f t="shared" si="202"/>
        <v>2_23_2</v>
      </c>
      <c r="F198" s="4" t="str">
        <f ca="1">VLOOKUP($D198,OFFSET([1]stages!$A$1,0,0,COUNTA([1]stages!$A:$A),MATCH(F$1,[1]stages!$2:$2,0)-MATCH($D$1,[1]stages!$2:$2,0)+1),MATCH(F$1,[1]stages!$2:$2,0)-MATCH($D$1,[1]stages!$2:$2,0)+1,FALSE)</f>
        <v>23-2．微笑みの猛蛇</v>
      </c>
      <c r="G198" s="57">
        <v>3</v>
      </c>
      <c r="H198" s="17" t="str">
        <f t="shared" si="203"/>
        <v>23_2-3</v>
      </c>
      <c r="I198" s="17"/>
      <c r="J198" s="17"/>
      <c r="K198" s="65" t="s">
        <v>56</v>
      </c>
      <c r="L198" s="52">
        <v>59</v>
      </c>
      <c r="M198" s="21" t="str">
        <f ca="1">VLOOKUP($L198,OFFSET([2]enemies!$A$1,0,0,COUNTA([2]enemies!$A:$A),MATCH(M$1,[2]enemies!$1:$1,0)-MATCH($L$1,[2]enemies!$1:$1,0)+1),MATCH(M$1,[2]enemies!$1:$1,0)-MATCH($L$1,[2]enemies!$1:$1,0)+1,FALSE)</f>
        <v>マーチ</v>
      </c>
      <c r="N198" s="21" t="str">
        <f ca="1">VLOOKUP($L198,OFFSET([2]enemies!$A$1,0,0,COUNTA([2]enemies!$A:$A),MATCH(N$1,[2]enemies!$1:$1,0)-MATCH($L$1,[2]enemies!$1:$1,0)+1),MATCH(N$1,[2]enemies!$1:$1,0)-MATCH($L$1,[2]enemies!$1:$1,0)+1,FALSE)</f>
        <v>green</v>
      </c>
      <c r="O198" s="21" t="str">
        <f ca="1">VLOOKUP($L198,OFFSET([3]characters!$A$1,0,0,COUNTA([3]characters!$A:$A),MATCH(O$1,[3]characters!$1:$1,0)-MATCH($L$1,[3]characters!$1:$1,0)+1),MATCH(O$1,[3]characters!$1:$1,0)-MATCH($L$1,[3]characters!$1:$1,0)+1,FALSE)</f>
        <v>Drop1N</v>
      </c>
      <c r="P198" s="21" t="str">
        <f ca="1">VLOOKUP($L198,OFFSET([2]enemies!$A$1,0,0,COUNTA([2]enemies!$A:$A),MATCH(P$1,[2]enemies!$1:$1,0)-MATCH($L$1,[2]enemies!$1:$1,0)+1),MATCH(P$1,[2]enemies!$1:$1,0)-MATCH($L$1,[2]enemies!$1:$1,0)+1,FALSE)</f>
        <v>animal</v>
      </c>
      <c r="Q198" s="21">
        <f ca="1">VLOOKUP($L198,OFFSET([2]enemies!$A$1,0,0,COUNTA([2]enemies!$A:$A),MATCH(Q$1,[2]enemies!$1:$1,0)-MATCH($L$1,[2]enemies!$1:$1,0)+1),MATCH(Q$1,[2]enemies!$1:$1,0)-MATCH($L$1,[2]enemies!$1:$1,0)+1,FALSE)</f>
        <v>15</v>
      </c>
      <c r="R198" s="53">
        <v>44</v>
      </c>
      <c r="S198" s="27">
        <v>1</v>
      </c>
      <c r="T198" s="27">
        <v>1</v>
      </c>
      <c r="U198" s="5">
        <v>0</v>
      </c>
      <c r="V198" s="4" t="str">
        <f ca="1">VLOOKUP($W198,OFFSET([4]enemy_skill_sets!$B$1,0,0,COUNTA([4]enemy_skill_sets!$B:$B),MATCH(M$1,[4]enemy_skill_sets!$1:$1,0)-MATCH($W$1,[4]enemy_skill_sets!$1:$1,0)+2),MATCH(M$1,[4]enemy_skill_sets!$1:$1,0)-MATCH($W$1,[4]enemy_skill_sets!$1:$1,0)+2,FALSE)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198" s="4">
        <f ca="1">VLOOKUP($L198,OFFSET([2]enemies!$A$1,0,0,COUNTA([2]enemies!$A:$A),MATCH(W$1,[2]enemies!$1:$1,0)-MATCH($L$1,[2]enemies!$1:$1,0)+1),MATCH(W$1,[2]enemies!$1:$1,0)-MATCH($L$1,[2]enemies!$1:$1,0)+1,FALSE)</f>
        <v>59</v>
      </c>
      <c r="X198" s="6">
        <v>0</v>
      </c>
      <c r="Y198" s="6">
        <v>100</v>
      </c>
      <c r="Z198" s="6">
        <v>0</v>
      </c>
      <c r="AA198" s="4">
        <f ca="1">VLOOKUP($L198,OFFSET([2]enemies!$A$1,0,0,COUNTA([2]enemies!$A:$A),MATCH(AA$1,[2]enemies!$1:$1,0)-MATCH($L$1,[2]enemies!$1:$1,0)+1),MATCH(AA$1,[2]enemies!$1:$1,0)-MATCH($L$1,[2]enemies!$1:$1,0)+1,FALSE)</f>
        <v>2</v>
      </c>
      <c r="AB198" s="52">
        <v>59</v>
      </c>
      <c r="AC198" s="4" t="str">
        <f ca="1">VLOOKUP($AB198,OFFSET([3]characters!$A$1,0,0,COUNTA([3]characters!$A:$A),MATCH(AC$1,[3]characters!$1:$1,0)-MATCH("character_id",[3]characters!$1:$1,0)+1),MATCH(AC$1,[3]characters!$1:$1,0)-MATCH("character_id",[3]characters!$1:$1,0)+1,FALSE)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198" s="4">
        <f ca="1">VLOOKUP($AB198,OFFSET([3]characters!$A$1,0,0,COUNTA([3]characters!$A:$A),MATCH(AD$1,[3]characters!$1:$1,0)-MATCH("character_id",[3]characters!$1:$1,0)+1),MATCH(AD$1,[3]characters!$1:$1,0)-MATCH("character_id",[3]characters!$1:$1,0)+1,FALSE)</f>
        <v>2</v>
      </c>
      <c r="AE198" s="4" t="str">
        <f ca="1">VLOOKUP($AB198,OFFSET([3]characters!$A$1,0,0,COUNTA([3]characters!$A:$A),MATCH(AE$1,[3]characters!$1:$1,0)-MATCH("character_id",[3]characters!$1:$1,0)+1),MATCH(AE$1,[3]characters!$1:$1,0)-MATCH("character_id",[3]characters!$1:$1,0)+1,FALSE)</f>
        <v>Drop1N</v>
      </c>
      <c r="AF198" s="7">
        <v>7</v>
      </c>
      <c r="AG198" s="26">
        <f t="shared" ca="1" si="239"/>
        <v>2</v>
      </c>
      <c r="AH198" s="8">
        <v>20</v>
      </c>
      <c r="AI198" s="7">
        <v>0</v>
      </c>
      <c r="AJ198" s="7">
        <v>0</v>
      </c>
      <c r="AK198" s="7">
        <v>0</v>
      </c>
      <c r="AL198" s="7">
        <v>0</v>
      </c>
      <c r="AM198" s="7">
        <v>1</v>
      </c>
    </row>
    <row r="199" spans="1:39" ht="14" x14ac:dyDescent="0.15">
      <c r="A199" s="18" t="str">
        <f t="shared" ca="1" si="201"/>
        <v>23_2-3/21&lt;lv42&gt;s2</v>
      </c>
      <c r="B199" s="50">
        <v>23</v>
      </c>
      <c r="C199" s="49">
        <v>2</v>
      </c>
      <c r="D199" s="2" t="str">
        <f t="shared" si="202"/>
        <v>23_2</v>
      </c>
      <c r="E199" s="2" t="str">
        <f t="shared" si="202"/>
        <v>2_23_2</v>
      </c>
      <c r="F199" s="4" t="str">
        <f ca="1">VLOOKUP($D199,OFFSET([1]stages!$A$1,0,0,COUNTA([1]stages!$A:$A),MATCH(F$1,[1]stages!$2:$2,0)-MATCH($D$1,[1]stages!$2:$2,0)+1),MATCH(F$1,[1]stages!$2:$2,0)-MATCH($D$1,[1]stages!$2:$2,0)+1,FALSE)</f>
        <v>23-2．微笑みの猛蛇</v>
      </c>
      <c r="G199" s="57">
        <v>3</v>
      </c>
      <c r="H199" s="17" t="str">
        <f t="shared" si="203"/>
        <v>23_2-3</v>
      </c>
      <c r="I199" s="17"/>
      <c r="J199" s="17"/>
      <c r="K199" s="65" t="s">
        <v>56</v>
      </c>
      <c r="L199" s="52">
        <v>21</v>
      </c>
      <c r="M199" s="21" t="str">
        <f ca="1">VLOOKUP($L199,OFFSET([2]enemies!$A$1,0,0,COUNTA([2]enemies!$A:$A),MATCH(M$1,[2]enemies!$1:$1,0)-MATCH($L$1,[2]enemies!$1:$1,0)+1),MATCH(M$1,[2]enemies!$1:$1,0)-MATCH($L$1,[2]enemies!$1:$1,0)+1,FALSE)</f>
        <v>ヴェロキー</v>
      </c>
      <c r="N199" s="21" t="str">
        <f ca="1">VLOOKUP($L199,OFFSET([2]enemies!$A$1,0,0,COUNTA([2]enemies!$A:$A),MATCH(N$1,[2]enemies!$1:$1,0)-MATCH($L$1,[2]enemies!$1:$1,0)+1),MATCH(N$1,[2]enemies!$1:$1,0)-MATCH($L$1,[2]enemies!$1:$1,0)+1,FALSE)</f>
        <v>red</v>
      </c>
      <c r="O199" s="21" t="str">
        <f ca="1">VLOOKUP($L199,OFFSET([3]characters!$A$1,0,0,COUNTA([3]characters!$A:$A),MATCH(O$1,[3]characters!$1:$1,0)-MATCH($L$1,[3]characters!$1:$1,0)+1),MATCH(O$1,[3]characters!$1:$1,0)-MATCH($L$1,[3]characters!$1:$1,0)+1,FALSE)</f>
        <v>Drop1N</v>
      </c>
      <c r="P199" s="21" t="str">
        <f ca="1">VLOOKUP($L199,OFFSET([2]enemies!$A$1,0,0,COUNTA([2]enemies!$A:$A),MATCH(P$1,[2]enemies!$1:$1,0)-MATCH($L$1,[2]enemies!$1:$1,0)+1),MATCH(P$1,[2]enemies!$1:$1,0)-MATCH($L$1,[2]enemies!$1:$1,0)+1,FALSE)</f>
        <v>dragon</v>
      </c>
      <c r="Q199" s="21">
        <f ca="1">VLOOKUP($L199,OFFSET([2]enemies!$A$1,0,0,COUNTA([2]enemies!$A:$A),MATCH(Q$1,[2]enemies!$1:$1,0)-MATCH($L$1,[2]enemies!$1:$1,0)+1),MATCH(Q$1,[2]enemies!$1:$1,0)-MATCH($L$1,[2]enemies!$1:$1,0)+1,FALSE)</f>
        <v>15</v>
      </c>
      <c r="R199" s="53">
        <v>42</v>
      </c>
      <c r="S199" s="27">
        <v>1</v>
      </c>
      <c r="T199" s="27">
        <v>1</v>
      </c>
      <c r="U199" s="5">
        <v>0</v>
      </c>
      <c r="V199" s="4" t="str">
        <f ca="1">VLOOKUP($W199,OFFSET([4]enemy_skill_sets!$B$1,0,0,COUNTA([4]enemy_skill_sets!$B:$B),MATCH(M$1,[4]enemy_skill_sets!$1:$1,0)-MATCH($W$1,[4]enemy_skill_sets!$1:$1,0)+2),MATCH(M$1,[4]enemy_skill_sets!$1:$1,0)-MATCH($W$1,[4]enemy_skill_sets!$1:$1,0)+2,FALSE)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199" s="4">
        <f ca="1">VLOOKUP($L199,OFFSET([2]enemies!$A$1,0,0,COUNTA([2]enemies!$A:$A),MATCH(W$1,[2]enemies!$1:$1,0)-MATCH($L$1,[2]enemies!$1:$1,0)+1),MATCH(W$1,[2]enemies!$1:$1,0)-MATCH($L$1,[2]enemies!$1:$1,0)+1,FALSE)</f>
        <v>0</v>
      </c>
      <c r="X199" s="6">
        <v>0</v>
      </c>
      <c r="Y199" s="6">
        <v>100</v>
      </c>
      <c r="Z199" s="6">
        <v>0</v>
      </c>
      <c r="AA199" s="4">
        <f ca="1">VLOOKUP($L199,OFFSET([2]enemies!$A$1,0,0,COUNTA([2]enemies!$A:$A),MATCH(AA$1,[2]enemies!$1:$1,0)-MATCH($L$1,[2]enemies!$1:$1,0)+1),MATCH(AA$1,[2]enemies!$1:$1,0)-MATCH($L$1,[2]enemies!$1:$1,0)+1,FALSE)</f>
        <v>2</v>
      </c>
      <c r="AB199" s="52">
        <v>21</v>
      </c>
      <c r="AC199" s="4" t="str">
        <f ca="1">VLOOKUP($AB199,OFFSET([3]characters!$A$1,0,0,COUNTA([3]characters!$A:$A),MATCH(AC$1,[3]characters!$1:$1,0)-MATCH("character_id",[3]characters!$1:$1,0)+1),MATCH(AC$1,[3]characters!$1:$1,0)-MATCH("character_id",[3]characters!$1:$1,0)+1,FALSE)</f>
        <v>ヴェロキー</v>
      </c>
      <c r="AD199" s="4">
        <f ca="1">VLOOKUP($AB199,OFFSET([3]characters!$A$1,0,0,COUNTA([3]characters!$A:$A),MATCH(AD$1,[3]characters!$1:$1,0)-MATCH("character_id",[3]characters!$1:$1,0)+1),MATCH(AD$1,[3]characters!$1:$1,0)-MATCH("character_id",[3]characters!$1:$1,0)+1,FALSE)</f>
        <v>1</v>
      </c>
      <c r="AE199" s="4" t="str">
        <f ca="1">VLOOKUP($AB199,OFFSET([3]characters!$A$1,0,0,COUNTA([3]characters!$A:$A),MATCH(AE$1,[3]characters!$1:$1,0)-MATCH("character_id",[3]characters!$1:$1,0)+1),MATCH(AE$1,[3]characters!$1:$1,0)-MATCH("character_id",[3]characters!$1:$1,0)+1,FALSE)</f>
        <v>Drop1N</v>
      </c>
      <c r="AF199" s="7">
        <v>7</v>
      </c>
      <c r="AG199" s="26">
        <f t="shared" ca="1" si="239"/>
        <v>1</v>
      </c>
      <c r="AH199" s="8">
        <v>20</v>
      </c>
      <c r="AI199" s="7">
        <v>0</v>
      </c>
      <c r="AJ199" s="7">
        <v>0</v>
      </c>
      <c r="AK199" s="7">
        <v>0</v>
      </c>
      <c r="AL199" s="7">
        <v>0</v>
      </c>
      <c r="AM199" s="7">
        <v>1</v>
      </c>
    </row>
    <row r="200" spans="1:39" ht="14" x14ac:dyDescent="0.15">
      <c r="A200" s="18" t="str">
        <f t="shared" ca="1" si="201"/>
        <v>23_2-3/41&lt;lv42&gt;s1</v>
      </c>
      <c r="B200" s="50">
        <v>23</v>
      </c>
      <c r="C200" s="49">
        <v>2</v>
      </c>
      <c r="D200" s="2" t="str">
        <f t="shared" si="202"/>
        <v>23_2</v>
      </c>
      <c r="E200" s="2" t="str">
        <f t="shared" si="202"/>
        <v>2_23_2</v>
      </c>
      <c r="F200" s="4" t="str">
        <f ca="1">VLOOKUP($D200,OFFSET([1]stages!$A$1,0,0,COUNTA([1]stages!$A:$A),MATCH(F$1,[1]stages!$2:$2,0)-MATCH($D$1,[1]stages!$2:$2,0)+1),MATCH(F$1,[1]stages!$2:$2,0)-MATCH($D$1,[1]stages!$2:$2,0)+1,FALSE)</f>
        <v>23-2．微笑みの猛蛇</v>
      </c>
      <c r="G200" s="57">
        <v>3</v>
      </c>
      <c r="H200" s="17" t="str">
        <f t="shared" si="203"/>
        <v>23_2-3</v>
      </c>
      <c r="I200" s="17"/>
      <c r="J200" s="17"/>
      <c r="K200" s="65" t="s">
        <v>56</v>
      </c>
      <c r="L200" s="52">
        <v>41</v>
      </c>
      <c r="M200" s="21" t="str">
        <f ca="1">VLOOKUP($L200,OFFSET([2]enemies!$A$1,0,0,COUNTA([2]enemies!$A:$A),MATCH(M$1,[2]enemies!$1:$1,0)-MATCH($L$1,[2]enemies!$1:$1,0)+1),MATCH(M$1,[2]enemies!$1:$1,0)-MATCH($L$1,[2]enemies!$1:$1,0)+1,FALSE)</f>
        <v>ヒュウガ</v>
      </c>
      <c r="N200" s="21" t="str">
        <f ca="1">VLOOKUP($L200,OFFSET([2]enemies!$A$1,0,0,COUNTA([2]enemies!$A:$A),MATCH(N$1,[2]enemies!$1:$1,0)-MATCH($L$1,[2]enemies!$1:$1,0)+1),MATCH(N$1,[2]enemies!$1:$1,0)-MATCH($L$1,[2]enemies!$1:$1,0)+1,FALSE)</f>
        <v>red</v>
      </c>
      <c r="O200" s="21" t="str">
        <f ca="1">VLOOKUP($L200,OFFSET([3]characters!$A$1,0,0,COUNTA([3]characters!$A:$A),MATCH(O$1,[3]characters!$1:$1,0)-MATCH($L$1,[3]characters!$1:$1,0)+1),MATCH(O$1,[3]characters!$1:$1,0)-MATCH($L$1,[3]characters!$1:$1,0)+1,FALSE)</f>
        <v>Drop1N</v>
      </c>
      <c r="P200" s="21" t="str">
        <f ca="1">VLOOKUP($L200,OFFSET([2]enemies!$A$1,0,0,COUNTA([2]enemies!$A:$A),MATCH(P$1,[2]enemies!$1:$1,0)-MATCH($L$1,[2]enemies!$1:$1,0)+1),MATCH(P$1,[2]enemies!$1:$1,0)-MATCH($L$1,[2]enemies!$1:$1,0)+1,FALSE)</f>
        <v>dragon</v>
      </c>
      <c r="Q200" s="21">
        <f ca="1">VLOOKUP($L200,OFFSET([2]enemies!$A$1,0,0,COUNTA([2]enemies!$A:$A),MATCH(Q$1,[2]enemies!$1:$1,0)-MATCH($L$1,[2]enemies!$1:$1,0)+1),MATCH(Q$1,[2]enemies!$1:$1,0)-MATCH($L$1,[2]enemies!$1:$1,0)+1,FALSE)</f>
        <v>15</v>
      </c>
      <c r="R200" s="53">
        <v>42</v>
      </c>
      <c r="S200" s="27">
        <v>1</v>
      </c>
      <c r="T200" s="27">
        <v>1</v>
      </c>
      <c r="U200" s="5">
        <v>0</v>
      </c>
      <c r="V200" s="4" t="str">
        <f ca="1">VLOOKUP($W200,OFFSET([4]enemy_skill_sets!$B$1,0,0,COUNTA([4]enemy_skill_sets!$B:$B),MATCH(M$1,[4]enemy_skill_sets!$1:$1,0)-MATCH($W$1,[4]enemy_skill_sets!$1:$1,0)+2),MATCH(M$1,[4]enemy_skill_sets!$1:$1,0)-MATCH($W$1,[4]enemy_skill_sets!$1:$1,0)+2,FALSE)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00" s="4">
        <f ca="1">VLOOKUP($L200,OFFSET([2]enemies!$A$1,0,0,COUNTA([2]enemies!$A:$A),MATCH(W$1,[2]enemies!$1:$1,0)-MATCH($L$1,[2]enemies!$1:$1,0)+1),MATCH(W$1,[2]enemies!$1:$1,0)-MATCH($L$1,[2]enemies!$1:$1,0)+1,FALSE)</f>
        <v>0</v>
      </c>
      <c r="X200" s="6">
        <v>0</v>
      </c>
      <c r="Y200" s="6">
        <v>100</v>
      </c>
      <c r="Z200" s="6">
        <v>0</v>
      </c>
      <c r="AA200" s="4">
        <f ca="1">VLOOKUP($L200,OFFSET([2]enemies!$A$1,0,0,COUNTA([2]enemies!$A:$A),MATCH(AA$1,[2]enemies!$1:$1,0)-MATCH($L$1,[2]enemies!$1:$1,0)+1),MATCH(AA$1,[2]enemies!$1:$1,0)-MATCH($L$1,[2]enemies!$1:$1,0)+1,FALSE)</f>
        <v>1</v>
      </c>
      <c r="AB200" s="52">
        <v>41</v>
      </c>
      <c r="AC200" s="4" t="str">
        <f ca="1">VLOOKUP($AB200,OFFSET([3]characters!$A$1,0,0,COUNTA([3]characters!$A:$A),MATCH(AC$1,[3]characters!$1:$1,0)-MATCH("character_id",[3]characters!$1:$1,0)+1),MATCH(AC$1,[3]characters!$1:$1,0)-MATCH("character_id",[3]characters!$1:$1,0)+1,FALSE)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00" s="4">
        <f ca="1">VLOOKUP($AB200,OFFSET([3]characters!$A$1,0,0,COUNTA([3]characters!$A:$A),MATCH(AD$1,[3]characters!$1:$1,0)-MATCH("character_id",[3]characters!$1:$1,0)+1),MATCH(AD$1,[3]characters!$1:$1,0)-MATCH("character_id",[3]characters!$1:$1,0)+1,FALSE)</f>
        <v>2</v>
      </c>
      <c r="AE200" s="4" t="str">
        <f ca="1">VLOOKUP($AB200,OFFSET([3]characters!$A$1,0,0,COUNTA([3]characters!$A:$A),MATCH(AE$1,[3]characters!$1:$1,0)-MATCH("character_id",[3]characters!$1:$1,0)+1),MATCH(AE$1,[3]characters!$1:$1,0)-MATCH("character_id",[3]characters!$1:$1,0)+1,FALSE)</f>
        <v>Drop1N</v>
      </c>
      <c r="AF200" s="7">
        <v>7</v>
      </c>
      <c r="AG200" s="26">
        <f t="shared" ca="1" si="239"/>
        <v>2</v>
      </c>
      <c r="AH200" s="8">
        <v>20</v>
      </c>
      <c r="AI200" s="7">
        <v>0</v>
      </c>
      <c r="AJ200" s="7">
        <v>0</v>
      </c>
      <c r="AK200" s="7">
        <v>0</v>
      </c>
      <c r="AL200" s="7">
        <v>0</v>
      </c>
      <c r="AM200" s="7">
        <v>1</v>
      </c>
    </row>
    <row r="201" spans="1:39" ht="14" x14ac:dyDescent="0.15">
      <c r="A201" s="18" t="str">
        <f t="shared" ca="1" si="201"/>
        <v>23_2-3/43&lt;lv44&gt;s2</v>
      </c>
      <c r="B201" s="50">
        <v>23</v>
      </c>
      <c r="C201" s="49">
        <v>2</v>
      </c>
      <c r="D201" s="2" t="str">
        <f t="shared" si="202"/>
        <v>23_2</v>
      </c>
      <c r="E201" s="2" t="str">
        <f t="shared" si="202"/>
        <v>2_23_2</v>
      </c>
      <c r="F201" s="4" t="str">
        <f ca="1">VLOOKUP($D201,OFFSET([1]stages!$A$1,0,0,COUNTA([1]stages!$A:$A),MATCH(F$1,[1]stages!$2:$2,0)-MATCH($D$1,[1]stages!$2:$2,0)+1),MATCH(F$1,[1]stages!$2:$2,0)-MATCH($D$1,[1]stages!$2:$2,0)+1,FALSE)</f>
        <v>23-2．微笑みの猛蛇</v>
      </c>
      <c r="G201" s="57">
        <v>3</v>
      </c>
      <c r="H201" s="17" t="str">
        <f t="shared" si="203"/>
        <v>23_2-3</v>
      </c>
      <c r="I201" s="17"/>
      <c r="J201" s="17"/>
      <c r="K201" s="65" t="s">
        <v>56</v>
      </c>
      <c r="L201" s="52">
        <v>43</v>
      </c>
      <c r="M201" s="21" t="str">
        <f ca="1">VLOOKUP($L201,OFFSET([2]enemies!$A$1,0,0,COUNTA([2]enemies!$A:$A),MATCH(M$1,[2]enemies!$1:$1,0)-MATCH($L$1,[2]enemies!$1:$1,0)+1),MATCH(M$1,[2]enemies!$1:$1,0)-MATCH($L$1,[2]enemies!$1:$1,0)+1,FALSE)</f>
        <v>ムゥ</v>
      </c>
      <c r="N201" s="21" t="str">
        <f ca="1">VLOOKUP($L201,OFFSET([2]enemies!$A$1,0,0,COUNTA([2]enemies!$A:$A),MATCH(N$1,[2]enemies!$1:$1,0)-MATCH($L$1,[2]enemies!$1:$1,0)+1),MATCH(N$1,[2]enemies!$1:$1,0)-MATCH($L$1,[2]enemies!$1:$1,0)+1,FALSE)</f>
        <v>green</v>
      </c>
      <c r="O201" s="21" t="str">
        <f ca="1">VLOOKUP($L201,OFFSET([3]characters!$A$1,0,0,COUNTA([3]characters!$A:$A),MATCH(O$1,[3]characters!$1:$1,0)-MATCH($L$1,[3]characters!$1:$1,0)+1),MATCH(O$1,[3]characters!$1:$1,0)-MATCH($L$1,[3]characters!$1:$1,0)+1,FALSE)</f>
        <v>Drop1N</v>
      </c>
      <c r="P201" s="21" t="str">
        <f ca="1">VLOOKUP($L201,OFFSET([2]enemies!$A$1,0,0,COUNTA([2]enemies!$A:$A),MATCH(P$1,[2]enemies!$1:$1,0)-MATCH($L$1,[2]enemies!$1:$1,0)+1),MATCH(P$1,[2]enemies!$1:$1,0)-MATCH($L$1,[2]enemies!$1:$1,0)+1,FALSE)</f>
        <v>dragon</v>
      </c>
      <c r="Q201" s="21">
        <f ca="1">VLOOKUP($L201,OFFSET([2]enemies!$A$1,0,0,COUNTA([2]enemies!$A:$A),MATCH(Q$1,[2]enemies!$1:$1,0)-MATCH($L$1,[2]enemies!$1:$1,0)+1),MATCH(Q$1,[2]enemies!$1:$1,0)-MATCH($L$1,[2]enemies!$1:$1,0)+1,FALSE)</f>
        <v>15</v>
      </c>
      <c r="R201" s="53">
        <v>44</v>
      </c>
      <c r="S201" s="27">
        <v>1</v>
      </c>
      <c r="T201" s="27">
        <v>1</v>
      </c>
      <c r="U201" s="5">
        <v>0</v>
      </c>
      <c r="V201" s="4" t="str">
        <f ca="1">VLOOKUP($W201,OFFSET([4]enemy_skill_sets!$B$1,0,0,COUNTA([4]enemy_skill_sets!$B:$B),MATCH(M$1,[4]enemy_skill_sets!$1:$1,0)-MATCH($W$1,[4]enemy_skill_sets!$1:$1,0)+2),MATCH(M$1,[4]enemy_skill_sets!$1:$1,0)-MATCH($W$1,[4]enemy_skill_sets!$1:$1,0)+2,FALSE)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01" s="4">
        <f ca="1">VLOOKUP($L201,OFFSET([2]enemies!$A$1,0,0,COUNTA([2]enemies!$A:$A),MATCH(W$1,[2]enemies!$1:$1,0)-MATCH($L$1,[2]enemies!$1:$1,0)+1),MATCH(W$1,[2]enemies!$1:$1,0)-MATCH($L$1,[2]enemies!$1:$1,0)+1,FALSE)</f>
        <v>0</v>
      </c>
      <c r="X201" s="6">
        <v>0</v>
      </c>
      <c r="Y201" s="6">
        <v>100</v>
      </c>
      <c r="Z201" s="6">
        <v>0</v>
      </c>
      <c r="AA201" s="4">
        <f ca="1">VLOOKUP($L201,OFFSET([2]enemies!$A$1,0,0,COUNTA([2]enemies!$A:$A),MATCH(AA$1,[2]enemies!$1:$1,0)-MATCH($L$1,[2]enemies!$1:$1,0)+1),MATCH(AA$1,[2]enemies!$1:$1,0)-MATCH($L$1,[2]enemies!$1:$1,0)+1,FALSE)</f>
        <v>2</v>
      </c>
      <c r="AB201" s="52">
        <v>43</v>
      </c>
      <c r="AC201" s="4" t="str">
        <f ca="1">VLOOKUP($AB201,OFFSET([3]characters!$A$1,0,0,COUNTA([3]characters!$A:$A),MATCH(AC$1,[3]characters!$1:$1,0)-MATCH("character_id",[3]characters!$1:$1,0)+1),MATCH(AC$1,[3]characters!$1:$1,0)-MATCH("character_id",[3]characters!$1:$1,0)+1,FALSE)</f>
        <v>ムゥ</v>
      </c>
      <c r="AD201" s="4">
        <f ca="1">VLOOKUP($AB201,OFFSET([3]characters!$A$1,0,0,COUNTA([3]characters!$A:$A),MATCH(AD$1,[3]characters!$1:$1,0)-MATCH("character_id",[3]characters!$1:$1,0)+1),MATCH(AD$1,[3]characters!$1:$1,0)-MATCH("character_id",[3]characters!$1:$1,0)+1,FALSE)</f>
        <v>2</v>
      </c>
      <c r="AE201" s="4" t="str">
        <f ca="1">VLOOKUP($AB201,OFFSET([3]characters!$A$1,0,0,COUNTA([3]characters!$A:$A),MATCH(AE$1,[3]characters!$1:$1,0)-MATCH("character_id",[3]characters!$1:$1,0)+1),MATCH(AE$1,[3]characters!$1:$1,0)-MATCH("character_id",[3]characters!$1:$1,0)+1,FALSE)</f>
        <v>Drop1N</v>
      </c>
      <c r="AF201" s="7">
        <v>7</v>
      </c>
      <c r="AG201" s="26">
        <f t="shared" ca="1" si="239"/>
        <v>2</v>
      </c>
      <c r="AH201" s="8">
        <v>20</v>
      </c>
      <c r="AI201" s="7">
        <v>0</v>
      </c>
      <c r="AJ201" s="7">
        <v>0</v>
      </c>
      <c r="AK201" s="7">
        <v>0</v>
      </c>
      <c r="AL201" s="7">
        <v>0</v>
      </c>
      <c r="AM201" s="7">
        <v>1</v>
      </c>
    </row>
    <row r="202" spans="1:39" ht="14" x14ac:dyDescent="0.15">
      <c r="A202" s="18" t="str">
        <f t="shared" ref="A202:A203" ca="1" si="240">B202&amp;"_"&amp;C202&amp;"-"&amp;G202&amp;"/"&amp;L202&amp;"&lt;lv"&amp;R202&amp;"&gt;s"&amp;AA202</f>
        <v>23_2-3/360&lt;lv42&gt;s3</v>
      </c>
      <c r="B202" s="53">
        <v>23</v>
      </c>
      <c r="C202" s="51">
        <v>2</v>
      </c>
      <c r="D202" s="2" t="str">
        <f t="shared" ref="D202:D203" si="241">B202&amp;"_"&amp;C202</f>
        <v>23_2</v>
      </c>
      <c r="E202" s="2" t="str">
        <f t="shared" ref="E202:E203" si="242">C202&amp;"_"&amp;D202</f>
        <v>2_23_2</v>
      </c>
      <c r="F202" s="4" t="str">
        <f ca="1">VLOOKUP($D202,OFFSET([1]stages!$A$1,0,0,COUNTA([1]stages!$A:$A),MATCH(F$1,[1]stages!$2:$2,0)-MATCH($D$1,[1]stages!$2:$2,0)+1),MATCH(F$1,[1]stages!$2:$2,0)-MATCH($D$1,[1]stages!$2:$2,0)+1,FALSE)</f>
        <v>23-2．微笑みの猛蛇</v>
      </c>
      <c r="G202" s="57">
        <v>3</v>
      </c>
      <c r="H202" s="17" t="str">
        <f t="shared" ref="H202:H203" si="243">B202&amp;"_"&amp;C202&amp;"-"&amp;G202</f>
        <v>23_2-3</v>
      </c>
      <c r="I202" s="17"/>
      <c r="J202" s="17"/>
      <c r="K202" s="65" t="s">
        <v>56</v>
      </c>
      <c r="L202" s="52">
        <v>360</v>
      </c>
      <c r="M202" s="21" t="str">
        <f ca="1">VLOOKUP($L202,OFFSET([2]enemies!$A$1,0,0,COUNTA([2]enemies!$A:$A),MATCH(M$1,[2]enemies!$1:$1,0)-MATCH($L$1,[2]enemies!$1:$1,0)+1),MATCH(M$1,[2]enemies!$1:$1,0)-MATCH($L$1,[2]enemies!$1:$1,0)+1,FALSE)</f>
        <v>ガンテツ</v>
      </c>
      <c r="N202" s="21" t="str">
        <f ca="1">VLOOKUP($L202,OFFSET([2]enemies!$A$1,0,0,COUNTA([2]enemies!$A:$A),MATCH(N$1,[2]enemies!$1:$1,0)-MATCH($L$1,[2]enemies!$1:$1,0)+1),MATCH(N$1,[2]enemies!$1:$1,0)-MATCH($L$1,[2]enemies!$1:$1,0)+1,FALSE)</f>
        <v>red</v>
      </c>
      <c r="O202" s="21" t="str">
        <f ca="1">VLOOKUP($L202,OFFSET([3]characters!$A$1,0,0,COUNTA([3]characters!$A:$A),MATCH(O$1,[3]characters!$1:$1,0)-MATCH($L$1,[3]characters!$1:$1,0)+1),MATCH(O$1,[3]characters!$1:$1,0)-MATCH($L$1,[3]characters!$1:$1,0)+1,FALSE)</f>
        <v>Drop1S</v>
      </c>
      <c r="P202" s="21" t="str">
        <f ca="1">VLOOKUP($L202,OFFSET([2]enemies!$A$1,0,0,COUNTA([2]enemies!$A:$A),MATCH(P$1,[2]enemies!$1:$1,0)-MATCH($L$1,[2]enemies!$1:$1,0)+1),MATCH(P$1,[2]enemies!$1:$1,0)-MATCH($L$1,[2]enemies!$1:$1,0)+1,FALSE)</f>
        <v>animal</v>
      </c>
      <c r="Q202" s="21">
        <f ca="1">VLOOKUP($L202,OFFSET([2]enemies!$A$1,0,0,COUNTA([2]enemies!$A:$A),MATCH(Q$1,[2]enemies!$1:$1,0)-MATCH($L$1,[2]enemies!$1:$1,0)+1),MATCH(Q$1,[2]enemies!$1:$1,0)-MATCH($L$1,[2]enemies!$1:$1,0)+1,FALSE)</f>
        <v>15</v>
      </c>
      <c r="R202" s="53">
        <v>42</v>
      </c>
      <c r="S202" s="27">
        <v>1</v>
      </c>
      <c r="T202" s="27">
        <v>1</v>
      </c>
      <c r="U202" s="5">
        <v>0</v>
      </c>
      <c r="V202" s="4" t="str">
        <f ca="1">VLOOKUP($W202,OFFSET([4]enemy_skill_sets!$B$1,0,0,COUNTA([4]enemy_skill_sets!$B:$B),MATCH(M$1,[4]enemy_skill_sets!$1:$1,0)-MATCH($W$1,[4]enemy_skill_sets!$1:$1,0)+2),MATCH(M$1,[4]enemy_skill_sets!$1:$1,0)-MATCH($W$1,[4]enemy_skill_sets!$1:$1,0)+2,FALSE)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02" s="76">
        <v>360</v>
      </c>
      <c r="X202" s="6">
        <v>0</v>
      </c>
      <c r="Y202" s="6">
        <v>100</v>
      </c>
      <c r="Z202" s="6">
        <v>0</v>
      </c>
      <c r="AA202" s="4">
        <f ca="1">VLOOKUP($L202,OFFSET([2]enemies!$A$1,0,0,COUNTA([2]enemies!$A:$A),MATCH(AA$1,[2]enemies!$1:$1,0)-MATCH($L$1,[2]enemies!$1:$1,0)+1),MATCH(AA$1,[2]enemies!$1:$1,0)-MATCH($L$1,[2]enemies!$1:$1,0)+1,FALSE)</f>
        <v>3</v>
      </c>
      <c r="AB202" s="52">
        <v>360</v>
      </c>
      <c r="AC202" s="4" t="str">
        <f ca="1">VLOOKUP($AB202,OFFSET([3]characters!$A$1,0,0,COUNTA([3]characters!$A:$A),MATCH(AC$1,[3]characters!$1:$1,0)-MATCH("character_id",[3]characters!$1:$1,0)+1),MATCH(AC$1,[3]characters!$1:$1,0)-MATCH("character_id",[3]characters!$1:$1,0)+1,FALSE)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02" s="4">
        <f ca="1">VLOOKUP($AB202,OFFSET([3]characters!$A$1,0,0,COUNTA([3]characters!$A:$A),MATCH(AD$1,[3]characters!$1:$1,0)-MATCH("character_id",[3]characters!$1:$1,0)+1),MATCH(AD$1,[3]characters!$1:$1,0)-MATCH("character_id",[3]characters!$1:$1,0)+1,FALSE)</f>
        <v>2</v>
      </c>
      <c r="AE202" s="4" t="str">
        <f ca="1">VLOOKUP($AB202,OFFSET([3]characters!$A$1,0,0,COUNTA([3]characters!$A:$A),MATCH(AE$1,[3]characters!$1:$1,0)-MATCH("character_id",[3]characters!$1:$1,0)+1),MATCH(AE$1,[3]characters!$1:$1,0)-MATCH("character_id",[3]characters!$1:$1,0)+1,FALSE)</f>
        <v>Drop1S</v>
      </c>
      <c r="AF202" s="7">
        <v>7</v>
      </c>
      <c r="AG202" s="26">
        <f t="shared" ca="1" si="239"/>
        <v>2</v>
      </c>
      <c r="AH202" s="8">
        <v>20</v>
      </c>
      <c r="AI202" s="7">
        <v>0</v>
      </c>
      <c r="AJ202" s="7">
        <v>0</v>
      </c>
      <c r="AK202" s="7">
        <v>0</v>
      </c>
      <c r="AL202" s="7">
        <v>0</v>
      </c>
      <c r="AM202" s="7">
        <v>1</v>
      </c>
    </row>
    <row r="203" spans="1:39" ht="14" x14ac:dyDescent="0.15">
      <c r="A203" s="18" t="str">
        <f t="shared" ca="1" si="240"/>
        <v>23_2-3/362&lt;lv44&gt;s3</v>
      </c>
      <c r="B203" s="53">
        <v>23</v>
      </c>
      <c r="C203" s="51">
        <v>2</v>
      </c>
      <c r="D203" s="2" t="str">
        <f t="shared" si="241"/>
        <v>23_2</v>
      </c>
      <c r="E203" s="2" t="str">
        <f t="shared" si="242"/>
        <v>2_23_2</v>
      </c>
      <c r="F203" s="4" t="str">
        <f ca="1">VLOOKUP($D203,OFFSET([1]stages!$A$1,0,0,COUNTA([1]stages!$A:$A),MATCH(F$1,[1]stages!$2:$2,0)-MATCH($D$1,[1]stages!$2:$2,0)+1),MATCH(F$1,[1]stages!$2:$2,0)-MATCH($D$1,[1]stages!$2:$2,0)+1,FALSE)</f>
        <v>23-2．微笑みの猛蛇</v>
      </c>
      <c r="G203" s="57">
        <v>3</v>
      </c>
      <c r="H203" s="17" t="str">
        <f t="shared" si="243"/>
        <v>23_2-3</v>
      </c>
      <c r="I203" s="17"/>
      <c r="J203" s="17"/>
      <c r="K203" s="65" t="s">
        <v>56</v>
      </c>
      <c r="L203" s="52">
        <v>362</v>
      </c>
      <c r="M203" s="21" t="str">
        <f ca="1">VLOOKUP($L203,OFFSET([2]enemies!$A$1,0,0,COUNTA([2]enemies!$A:$A),MATCH(M$1,[2]enemies!$1:$1,0)-MATCH($L$1,[2]enemies!$1:$1,0)+1),MATCH(M$1,[2]enemies!$1:$1,0)-MATCH($L$1,[2]enemies!$1:$1,0)+1,FALSE)</f>
        <v>ゆらら</v>
      </c>
      <c r="N203" s="21" t="str">
        <f ca="1">VLOOKUP($L203,OFFSET([2]enemies!$A$1,0,0,COUNTA([2]enemies!$A:$A),MATCH(N$1,[2]enemies!$1:$1,0)-MATCH($L$1,[2]enemies!$1:$1,0)+1),MATCH(N$1,[2]enemies!$1:$1,0)-MATCH($L$1,[2]enemies!$1:$1,0)+1,FALSE)</f>
        <v>green</v>
      </c>
      <c r="O203" s="21" t="str">
        <f ca="1">VLOOKUP($L203,OFFSET([3]characters!$A$1,0,0,COUNTA([3]characters!$A:$A),MATCH(O$1,[3]characters!$1:$1,0)-MATCH($L$1,[3]characters!$1:$1,0)+1),MATCH(O$1,[3]characters!$1:$1,0)-MATCH($L$1,[3]characters!$1:$1,0)+1,FALSE)</f>
        <v>Drop1S</v>
      </c>
      <c r="P203" s="21" t="str">
        <f ca="1">VLOOKUP($L203,OFFSET([2]enemies!$A$1,0,0,COUNTA([2]enemies!$A:$A),MATCH(P$1,[2]enemies!$1:$1,0)-MATCH($L$1,[2]enemies!$1:$1,0)+1),MATCH(P$1,[2]enemies!$1:$1,0)-MATCH($L$1,[2]enemies!$1:$1,0)+1,FALSE)</f>
        <v>animal</v>
      </c>
      <c r="Q203" s="21">
        <f ca="1">VLOOKUP($L203,OFFSET([2]enemies!$A$1,0,0,COUNTA([2]enemies!$A:$A),MATCH(Q$1,[2]enemies!$1:$1,0)-MATCH($L$1,[2]enemies!$1:$1,0)+1),MATCH(Q$1,[2]enemies!$1:$1,0)-MATCH($L$1,[2]enemies!$1:$1,0)+1,FALSE)</f>
        <v>15</v>
      </c>
      <c r="R203" s="53">
        <v>44</v>
      </c>
      <c r="S203" s="27">
        <v>1</v>
      </c>
      <c r="T203" s="27">
        <v>1</v>
      </c>
      <c r="U203" s="5">
        <v>0</v>
      </c>
      <c r="V203" s="4" t="str">
        <f ca="1">VLOOKUP($W203,OFFSET([4]enemy_skill_sets!$B$1,0,0,COUNTA([4]enemy_skill_sets!$B:$B),MATCH(M$1,[4]enemy_skill_sets!$1:$1,0)-MATCH($W$1,[4]enemy_skill_sets!$1:$1,0)+2),MATCH(M$1,[4]enemy_skill_sets!$1:$1,0)-MATCH($W$1,[4]enemy_skill_sets!$1:$1,0)+2,FALSE)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03" s="64">
        <v>362</v>
      </c>
      <c r="X203" s="6">
        <v>0</v>
      </c>
      <c r="Y203" s="6">
        <v>100</v>
      </c>
      <c r="Z203" s="6">
        <v>0</v>
      </c>
      <c r="AA203" s="4">
        <f ca="1">VLOOKUP($L203,OFFSET([2]enemies!$A$1,0,0,COUNTA([2]enemies!$A:$A),MATCH(AA$1,[2]enemies!$1:$1,0)-MATCH($L$1,[2]enemies!$1:$1,0)+1),MATCH(AA$1,[2]enemies!$1:$1,0)-MATCH($L$1,[2]enemies!$1:$1,0)+1,FALSE)</f>
        <v>3</v>
      </c>
      <c r="AB203" s="52">
        <v>362</v>
      </c>
      <c r="AC203" s="4" t="str">
        <f ca="1">VLOOKUP($AB203,OFFSET([3]characters!$A$1,0,0,COUNTA([3]characters!$A:$A),MATCH(AC$1,[3]characters!$1:$1,0)-MATCH("character_id",[3]characters!$1:$1,0)+1),MATCH(AC$1,[3]characters!$1:$1,0)-MATCH("character_id",[3]characters!$1:$1,0)+1,FALSE)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03" s="4">
        <f ca="1">VLOOKUP($AB203,OFFSET([3]characters!$A$1,0,0,COUNTA([3]characters!$A:$A),MATCH(AD$1,[3]characters!$1:$1,0)-MATCH("character_id",[3]characters!$1:$1,0)+1),MATCH(AD$1,[3]characters!$1:$1,0)-MATCH("character_id",[3]characters!$1:$1,0)+1,FALSE)</f>
        <v>2</v>
      </c>
      <c r="AE203" s="4" t="str">
        <f ca="1">VLOOKUP($AB203,OFFSET([3]characters!$A$1,0,0,COUNTA([3]characters!$A:$A),MATCH(AE$1,[3]characters!$1:$1,0)-MATCH("character_id",[3]characters!$1:$1,0)+1),MATCH(AE$1,[3]characters!$1:$1,0)-MATCH("character_id",[3]characters!$1:$1,0)+1,FALSE)</f>
        <v>Drop1S</v>
      </c>
      <c r="AF203" s="7">
        <v>7</v>
      </c>
      <c r="AG203" s="26">
        <f t="shared" ca="1" si="239"/>
        <v>2</v>
      </c>
      <c r="AH203" s="8">
        <v>20</v>
      </c>
      <c r="AI203" s="7">
        <v>0</v>
      </c>
      <c r="AJ203" s="7">
        <v>0</v>
      </c>
      <c r="AK203" s="7">
        <v>0</v>
      </c>
      <c r="AL203" s="7">
        <v>0</v>
      </c>
      <c r="AM203" s="7">
        <v>1</v>
      </c>
    </row>
    <row r="204" spans="1:39" ht="14" x14ac:dyDescent="0.15">
      <c r="A204" s="18" t="str">
        <f t="shared" ref="A204" ca="1" si="244">B204&amp;"_"&amp;C204&amp;"-"&amp;G204&amp;"/"&amp;L204&amp;"&lt;lv"&amp;R204&amp;"&gt;s"&amp;AA204</f>
        <v>23_2-3/350&lt;lv42&gt;s3</v>
      </c>
      <c r="B204" s="53">
        <v>23</v>
      </c>
      <c r="C204" s="51">
        <v>2</v>
      </c>
      <c r="D204" s="2" t="str">
        <f t="shared" ref="D204" si="245">B204&amp;"_"&amp;C204</f>
        <v>23_2</v>
      </c>
      <c r="E204" s="2" t="str">
        <f t="shared" ref="E204" si="246">C204&amp;"_"&amp;D204</f>
        <v>2_23_2</v>
      </c>
      <c r="F204" s="4" t="str">
        <f ca="1">VLOOKUP($D204,OFFSET([1]stages!$A$1,0,0,COUNTA([1]stages!$A:$A),MATCH(F$1,[1]stages!$2:$2,0)-MATCH($D$1,[1]stages!$2:$2,0)+1),MATCH(F$1,[1]stages!$2:$2,0)-MATCH($D$1,[1]stages!$2:$2,0)+1,FALSE)</f>
        <v>23-2．微笑みの猛蛇</v>
      </c>
      <c r="G204" s="57">
        <v>3</v>
      </c>
      <c r="H204" s="17" t="str">
        <f t="shared" ref="H204" si="247">B204&amp;"_"&amp;C204&amp;"-"&amp;G204</f>
        <v>23_2-3</v>
      </c>
      <c r="I204" s="17"/>
      <c r="J204" s="17"/>
      <c r="K204" s="65" t="s">
        <v>56</v>
      </c>
      <c r="L204" s="52">
        <v>350</v>
      </c>
      <c r="M204" s="21" t="str">
        <f ca="1">VLOOKUP($L204,OFFSET([2]enemies!$A$1,0,0,COUNTA([2]enemies!$A:$A),MATCH(M$1,[2]enemies!$1:$1,0)-MATCH($L$1,[2]enemies!$1:$1,0)+1),MATCH(M$1,[2]enemies!$1:$1,0)-MATCH($L$1,[2]enemies!$1:$1,0)+1,FALSE)</f>
        <v>森のケロケロ</v>
      </c>
      <c r="N204" s="21" t="str">
        <f ca="1">VLOOKUP($L204,OFFSET([2]enemies!$A$1,0,0,COUNTA([2]enemies!$A:$A),MATCH(N$1,[2]enemies!$1:$1,0)-MATCH($L$1,[2]enemies!$1:$1,0)+1),MATCH(N$1,[2]enemies!$1:$1,0)-MATCH($L$1,[2]enemies!$1:$1,0)+1,FALSE)</f>
        <v>green</v>
      </c>
      <c r="O204" s="21" t="str">
        <f ca="1">VLOOKUP($L204,OFFSET([3]characters!$A$1,0,0,COUNTA([3]characters!$A:$A),MATCH(O$1,[3]characters!$1:$1,0)-MATCH($L$1,[3]characters!$1:$1,0)+1),MATCH(O$1,[3]characters!$1:$1,0)-MATCH($L$1,[3]characters!$1:$1,0)+1,FALSE)</f>
        <v>Material</v>
      </c>
      <c r="P204" s="21" t="str">
        <f ca="1">VLOOKUP($L204,OFFSET([2]enemies!$A$1,0,0,COUNTA([2]enemies!$A:$A),MATCH(P$1,[2]enemies!$1:$1,0)-MATCH($L$1,[2]enemies!$1:$1,0)+1),MATCH(P$1,[2]enemies!$1:$1,0)-MATCH($L$1,[2]enemies!$1:$1,0)+1,FALSE)</f>
        <v>unknown</v>
      </c>
      <c r="Q204" s="21">
        <f ca="1">VLOOKUP($L204,OFFSET([2]enemies!$A$1,0,0,COUNTA([2]enemies!$A:$A),MATCH(Q$1,[2]enemies!$1:$1,0)-MATCH($L$1,[2]enemies!$1:$1,0)+1),MATCH(Q$1,[2]enemies!$1:$1,0)-MATCH($L$1,[2]enemies!$1:$1,0)+1,FALSE)</f>
        <v>15</v>
      </c>
      <c r="R204" s="53">
        <v>42</v>
      </c>
      <c r="S204" s="27">
        <v>1</v>
      </c>
      <c r="T204" s="27">
        <v>1</v>
      </c>
      <c r="U204" s="5">
        <v>0</v>
      </c>
      <c r="V204" s="4" t="str">
        <f ca="1">VLOOKUP($W204,OFFSET([4]enemy_skill_sets!$B$1,0,0,COUNTA([4]enemy_skill_sets!$B:$B),MATCH(M$1,[4]enemy_skill_sets!$1:$1,0)-MATCH($W$1,[4]enemy_skill_sets!$1:$1,0)+2),MATCH(M$1,[4]enemy_skill_sets!$1:$1,0)-MATCH($W$1,[4]enemy_skill_sets!$1:$1,0)+2,FALSE)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04" s="64">
        <v>350</v>
      </c>
      <c r="X204" s="6">
        <v>0</v>
      </c>
      <c r="Y204" s="6">
        <v>100</v>
      </c>
      <c r="Z204" s="6">
        <v>0</v>
      </c>
      <c r="AA204" s="4">
        <f ca="1">VLOOKUP($L204,OFFSET([2]enemies!$A$1,0,0,COUNTA([2]enemies!$A:$A),MATCH(AA$1,[2]enemies!$1:$1,0)-MATCH($L$1,[2]enemies!$1:$1,0)+1),MATCH(AA$1,[2]enemies!$1:$1,0)-MATCH($L$1,[2]enemies!$1:$1,0)+1,FALSE)</f>
        <v>3</v>
      </c>
      <c r="AB204" s="52">
        <v>350</v>
      </c>
      <c r="AC204" s="4" t="str">
        <f ca="1">VLOOKUP($AB204,OFFSET([3]characters!$A$1,0,0,COUNTA([3]characters!$A:$A),MATCH(AC$1,[3]characters!$1:$1,0)-MATCH("character_id",[3]characters!$1:$1,0)+1),MATCH(AC$1,[3]characters!$1:$1,0)-MATCH("character_id",[3]characters!$1:$1,0)+1,FALSE)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04" s="4">
        <f ca="1">VLOOKUP($AB204,OFFSET([3]characters!$A$1,0,0,COUNTA([3]characters!$A:$A),MATCH(AD$1,[3]characters!$1:$1,0)-MATCH("character_id",[3]characters!$1:$1,0)+1),MATCH(AD$1,[3]characters!$1:$1,0)-MATCH("character_id",[3]characters!$1:$1,0)+1,FALSE)</f>
        <v>2</v>
      </c>
      <c r="AE204" s="4" t="str">
        <f ca="1">VLOOKUP($AB204,OFFSET([3]characters!$A$1,0,0,COUNTA([3]characters!$A:$A),MATCH(AE$1,[3]characters!$1:$1,0)-MATCH("character_id",[3]characters!$1:$1,0)+1),MATCH(AE$1,[3]characters!$1:$1,0)-MATCH("character_id",[3]characters!$1:$1,0)+1,FALSE)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04" s="7">
        <v>10</v>
      </c>
      <c r="AG204" s="26">
        <f t="shared" ca="1" si="239"/>
        <v>2</v>
      </c>
      <c r="AH204" s="8">
        <v>20</v>
      </c>
      <c r="AI204" s="7">
        <v>0</v>
      </c>
      <c r="AJ204" s="7">
        <v>0</v>
      </c>
      <c r="AK204" s="7">
        <v>0</v>
      </c>
      <c r="AL204" s="7">
        <v>0</v>
      </c>
      <c r="AM204" s="7">
        <v>1</v>
      </c>
    </row>
    <row r="205" spans="1:39" ht="14" x14ac:dyDescent="0.15">
      <c r="A205" s="18" t="str">
        <f t="shared" ca="1" si="201"/>
        <v>23_2-4/33&lt;lv42&gt;s2</v>
      </c>
      <c r="B205" s="50">
        <v>23</v>
      </c>
      <c r="C205" s="49">
        <v>2</v>
      </c>
      <c r="D205" s="2" t="str">
        <f t="shared" si="202"/>
        <v>23_2</v>
      </c>
      <c r="E205" s="2" t="str">
        <f t="shared" si="202"/>
        <v>2_23_2</v>
      </c>
      <c r="F205" s="4" t="str">
        <f ca="1">VLOOKUP($D205,OFFSET([1]stages!$A$1,0,0,COUNTA([1]stages!$A:$A),MATCH(F$1,[1]stages!$2:$2,0)-MATCH($D$1,[1]stages!$2:$2,0)+1),MATCH(F$1,[1]stages!$2:$2,0)-MATCH($D$1,[1]stages!$2:$2,0)+1,FALSE)</f>
        <v>23-2．微笑みの猛蛇</v>
      </c>
      <c r="G205" s="54">
        <v>4</v>
      </c>
      <c r="H205" s="17" t="str">
        <f t="shared" si="203"/>
        <v>23_2-4</v>
      </c>
      <c r="I205" s="17"/>
      <c r="J205" s="17"/>
      <c r="K205" s="65" t="s">
        <v>56</v>
      </c>
      <c r="L205" s="52">
        <v>33</v>
      </c>
      <c r="M205" s="21" t="str">
        <f ca="1">VLOOKUP($L205,OFFSET([2]enemies!$A$1,0,0,COUNTA([2]enemies!$A:$A),MATCH(M$1,[2]enemies!$1:$1,0)-MATCH($L$1,[2]enemies!$1:$1,0)+1),MATCH(M$1,[2]enemies!$1:$1,0)-MATCH($L$1,[2]enemies!$1:$1,0)+1,FALSE)</f>
        <v>ゴクウ</v>
      </c>
      <c r="N205" s="21" t="str">
        <f ca="1">VLOOKUP($L205,OFFSET([2]enemies!$A$1,0,0,COUNTA([2]enemies!$A:$A),MATCH(N$1,[2]enemies!$1:$1,0)-MATCH($L$1,[2]enemies!$1:$1,0)+1),MATCH(N$1,[2]enemies!$1:$1,0)-MATCH($L$1,[2]enemies!$1:$1,0)+1,FALSE)</f>
        <v>red</v>
      </c>
      <c r="O205" s="21" t="str">
        <f ca="1">VLOOKUP($L205,OFFSET([3]characters!$A$1,0,0,COUNTA([3]characters!$A:$A),MATCH(O$1,[3]characters!$1:$1,0)-MATCH($L$1,[3]characters!$1:$1,0)+1),MATCH(O$1,[3]characters!$1:$1,0)-MATCH($L$1,[3]characters!$1:$1,0)+1,FALSE)</f>
        <v>Drop1S</v>
      </c>
      <c r="P205" s="21" t="str">
        <f ca="1">VLOOKUP($L205,OFFSET([2]enemies!$A$1,0,0,COUNTA([2]enemies!$A:$A),MATCH(P$1,[2]enemies!$1:$1,0)-MATCH($L$1,[2]enemies!$1:$1,0)+1),MATCH(P$1,[2]enemies!$1:$1,0)-MATCH($L$1,[2]enemies!$1:$1,0)+1,FALSE)</f>
        <v>animal</v>
      </c>
      <c r="Q205" s="21">
        <f ca="1">VLOOKUP($L205,OFFSET([2]enemies!$A$1,0,0,COUNTA([2]enemies!$A:$A),MATCH(Q$1,[2]enemies!$1:$1,0)-MATCH($L$1,[2]enemies!$1:$1,0)+1),MATCH(Q$1,[2]enemies!$1:$1,0)-MATCH($L$1,[2]enemies!$1:$1,0)+1,FALSE)</f>
        <v>15</v>
      </c>
      <c r="R205" s="53">
        <v>42</v>
      </c>
      <c r="S205" s="27">
        <v>1</v>
      </c>
      <c r="T205" s="27">
        <v>1</v>
      </c>
      <c r="U205" s="5">
        <v>0</v>
      </c>
      <c r="V205" s="4" t="str">
        <f ca="1">VLOOKUP($W205,OFFSET([4]enemy_skill_sets!$B$1,0,0,COUNTA([4]enemy_skill_sets!$B:$B),MATCH(M$1,[4]enemy_skill_sets!$1:$1,0)-MATCH($W$1,[4]enemy_skill_sets!$1:$1,0)+2),MATCH(M$1,[4]enemy_skill_sets!$1:$1,0)-MATCH($W$1,[4]enemy_skill_sets!$1:$1,0)+2,FALSE)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05" s="4">
        <f ca="1">VLOOKUP($L205,OFFSET([2]enemies!$A$1,0,0,COUNTA([2]enemies!$A:$A),MATCH(W$1,[2]enemies!$1:$1,0)-MATCH($L$1,[2]enemies!$1:$1,0)+1),MATCH(W$1,[2]enemies!$1:$1,0)-MATCH($L$1,[2]enemies!$1:$1,0)+1,FALSE)</f>
        <v>33</v>
      </c>
      <c r="X205" s="6">
        <v>0</v>
      </c>
      <c r="Y205" s="6">
        <v>100</v>
      </c>
      <c r="Z205" s="6">
        <v>0</v>
      </c>
      <c r="AA205" s="4">
        <f ca="1">VLOOKUP($L205,OFFSET([2]enemies!$A$1,0,0,COUNTA([2]enemies!$A:$A),MATCH(AA$1,[2]enemies!$1:$1,0)-MATCH($L$1,[2]enemies!$1:$1,0)+1),MATCH(AA$1,[2]enemies!$1:$1,0)-MATCH($L$1,[2]enemies!$1:$1,0)+1,FALSE)</f>
        <v>2</v>
      </c>
      <c r="AB205" s="52">
        <v>33</v>
      </c>
      <c r="AC205" s="4" t="str">
        <f ca="1">VLOOKUP($AB205,OFFSET([3]characters!$A$1,0,0,COUNTA([3]characters!$A:$A),MATCH(AC$1,[3]characters!$1:$1,0)-MATCH("character_id",[3]characters!$1:$1,0)+1),MATCH(AC$1,[3]characters!$1:$1,0)-MATCH("character_id",[3]characters!$1:$1,0)+1,FALSE)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05" s="4">
        <f ca="1">VLOOKUP($AB205,OFFSET([3]characters!$A$1,0,0,COUNTA([3]characters!$A:$A),MATCH(AD$1,[3]characters!$1:$1,0)-MATCH("character_id",[3]characters!$1:$1,0)+1),MATCH(AD$1,[3]characters!$1:$1,0)-MATCH("character_id",[3]characters!$1:$1,0)+1,FALSE)</f>
        <v>2</v>
      </c>
      <c r="AE205" s="4" t="str">
        <f ca="1">VLOOKUP($AB205,OFFSET([3]characters!$A$1,0,0,COUNTA([3]characters!$A:$A),MATCH(AE$1,[3]characters!$1:$1,0)-MATCH("character_id",[3]characters!$1:$1,0)+1),MATCH(AE$1,[3]characters!$1:$1,0)-MATCH("character_id",[3]characters!$1:$1,0)+1,FALSE)</f>
        <v>Drop1S</v>
      </c>
      <c r="AF205" s="7">
        <v>5</v>
      </c>
      <c r="AG205" s="26">
        <f t="shared" ca="1" si="239"/>
        <v>2</v>
      </c>
      <c r="AH205" s="8">
        <v>20</v>
      </c>
      <c r="AI205" s="7">
        <v>0</v>
      </c>
      <c r="AJ205" s="7">
        <v>0</v>
      </c>
      <c r="AK205" s="7">
        <v>0</v>
      </c>
      <c r="AL205" s="7">
        <v>0</v>
      </c>
      <c r="AM205" s="7">
        <v>1</v>
      </c>
    </row>
    <row r="206" spans="1:39" ht="14" x14ac:dyDescent="0.15">
      <c r="A206" s="18" t="str">
        <f t="shared" ca="1" si="201"/>
        <v>23_2-4/57&lt;lv42&gt;s2</v>
      </c>
      <c r="B206" s="50">
        <v>23</v>
      </c>
      <c r="C206" s="49">
        <v>2</v>
      </c>
      <c r="D206" s="2" t="str">
        <f t="shared" si="202"/>
        <v>23_2</v>
      </c>
      <c r="E206" s="2" t="str">
        <f t="shared" si="202"/>
        <v>2_23_2</v>
      </c>
      <c r="F206" s="4" t="str">
        <f ca="1">VLOOKUP($D206,OFFSET([1]stages!$A$1,0,0,COUNTA([1]stages!$A:$A),MATCH(F$1,[1]stages!$2:$2,0)-MATCH($D$1,[1]stages!$2:$2,0)+1),MATCH(F$1,[1]stages!$2:$2,0)-MATCH($D$1,[1]stages!$2:$2,0)+1,FALSE)</f>
        <v>23-2．微笑みの猛蛇</v>
      </c>
      <c r="G206" s="54">
        <v>4</v>
      </c>
      <c r="H206" s="17" t="str">
        <f t="shared" si="203"/>
        <v>23_2-4</v>
      </c>
      <c r="I206" s="17"/>
      <c r="J206" s="17"/>
      <c r="K206" s="65" t="s">
        <v>56</v>
      </c>
      <c r="L206" s="52">
        <v>57</v>
      </c>
      <c r="M206" s="21" t="str">
        <f ca="1">VLOOKUP($L206,OFFSET([2]enemies!$A$1,0,0,COUNTA([2]enemies!$A:$A),MATCH(M$1,[2]enemies!$1:$1,0)-MATCH($L$1,[2]enemies!$1:$1,0)+1),MATCH(M$1,[2]enemies!$1:$1,0)-MATCH($L$1,[2]enemies!$1:$1,0)+1,FALSE)</f>
        <v>チェン・リー</v>
      </c>
      <c r="N206" s="21" t="str">
        <f ca="1">VLOOKUP($L206,OFFSET([2]enemies!$A$1,0,0,COUNTA([2]enemies!$A:$A),MATCH(N$1,[2]enemies!$1:$1,0)-MATCH($L$1,[2]enemies!$1:$1,0)+1),MATCH(N$1,[2]enemies!$1:$1,0)-MATCH($L$1,[2]enemies!$1:$1,0)+1,FALSE)</f>
        <v>red</v>
      </c>
      <c r="O206" s="21" t="str">
        <f ca="1">VLOOKUP($L206,OFFSET([3]characters!$A$1,0,0,COUNTA([3]characters!$A:$A),MATCH(O$1,[3]characters!$1:$1,0)-MATCH($L$1,[3]characters!$1:$1,0)+1),MATCH(O$1,[3]characters!$1:$1,0)-MATCH($L$1,[3]characters!$1:$1,0)+1,FALSE)</f>
        <v>Drop1N</v>
      </c>
      <c r="P206" s="21" t="str">
        <f ca="1">VLOOKUP($L206,OFFSET([2]enemies!$A$1,0,0,COUNTA([2]enemies!$A:$A),MATCH(P$1,[2]enemies!$1:$1,0)-MATCH($L$1,[2]enemies!$1:$1,0)+1),MATCH(P$1,[2]enemies!$1:$1,0)-MATCH($L$1,[2]enemies!$1:$1,0)+1,FALSE)</f>
        <v>animal</v>
      </c>
      <c r="Q206" s="21">
        <f ca="1">VLOOKUP($L206,OFFSET([2]enemies!$A$1,0,0,COUNTA([2]enemies!$A:$A),MATCH(Q$1,[2]enemies!$1:$1,0)-MATCH($L$1,[2]enemies!$1:$1,0)+1),MATCH(Q$1,[2]enemies!$1:$1,0)-MATCH($L$1,[2]enemies!$1:$1,0)+1,FALSE)</f>
        <v>15</v>
      </c>
      <c r="R206" s="53">
        <v>42</v>
      </c>
      <c r="S206" s="27">
        <v>1</v>
      </c>
      <c r="T206" s="27">
        <v>1</v>
      </c>
      <c r="U206" s="5">
        <v>0</v>
      </c>
      <c r="V206" s="4" t="str">
        <f ca="1">VLOOKUP($W206,OFFSET([4]enemy_skill_sets!$B$1,0,0,COUNTA([4]enemy_skill_sets!$B:$B),MATCH(M$1,[4]enemy_skill_sets!$1:$1,0)-MATCH($W$1,[4]enemy_skill_sets!$1:$1,0)+2),MATCH(M$1,[4]enemy_skill_sets!$1:$1,0)-MATCH($W$1,[4]enemy_skill_sets!$1:$1,0)+2,FALSE)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06" s="4">
        <f ca="1">VLOOKUP($L206,OFFSET([2]enemies!$A$1,0,0,COUNTA([2]enemies!$A:$A),MATCH(W$1,[2]enemies!$1:$1,0)-MATCH($L$1,[2]enemies!$1:$1,0)+1),MATCH(W$1,[2]enemies!$1:$1,0)-MATCH($L$1,[2]enemies!$1:$1,0)+1,FALSE)</f>
        <v>57</v>
      </c>
      <c r="X206" s="6">
        <v>0</v>
      </c>
      <c r="Y206" s="6">
        <v>100</v>
      </c>
      <c r="Z206" s="6">
        <v>0</v>
      </c>
      <c r="AA206" s="4">
        <f ca="1">VLOOKUP($L206,OFFSET([2]enemies!$A$1,0,0,COUNTA([2]enemies!$A:$A),MATCH(AA$1,[2]enemies!$1:$1,0)-MATCH($L$1,[2]enemies!$1:$1,0)+1),MATCH(AA$1,[2]enemies!$1:$1,0)-MATCH($L$1,[2]enemies!$1:$1,0)+1,FALSE)</f>
        <v>2</v>
      </c>
      <c r="AB206" s="52">
        <v>57</v>
      </c>
      <c r="AC206" s="4" t="str">
        <f ca="1">VLOOKUP($AB206,OFFSET([3]characters!$A$1,0,0,COUNTA([3]characters!$A:$A),MATCH(AC$1,[3]characters!$1:$1,0)-MATCH("character_id",[3]characters!$1:$1,0)+1),MATCH(AC$1,[3]characters!$1:$1,0)-MATCH("character_id",[3]characters!$1:$1,0)+1,FALSE)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06" s="4">
        <f ca="1">VLOOKUP($AB206,OFFSET([3]characters!$A$1,0,0,COUNTA([3]characters!$A:$A),MATCH(AD$1,[3]characters!$1:$1,0)-MATCH("character_id",[3]characters!$1:$1,0)+1),MATCH(AD$1,[3]characters!$1:$1,0)-MATCH("character_id",[3]characters!$1:$1,0)+1,FALSE)</f>
        <v>2</v>
      </c>
      <c r="AE206" s="4" t="str">
        <f ca="1">VLOOKUP($AB206,OFFSET([3]characters!$A$1,0,0,COUNTA([3]characters!$A:$A),MATCH(AE$1,[3]characters!$1:$1,0)-MATCH("character_id",[3]characters!$1:$1,0)+1),MATCH(AE$1,[3]characters!$1:$1,0)-MATCH("character_id",[3]characters!$1:$1,0)+1,FALSE)</f>
        <v>Drop1N</v>
      </c>
      <c r="AF206" s="7">
        <v>7</v>
      </c>
      <c r="AG206" s="26">
        <f t="shared" ca="1" si="239"/>
        <v>2</v>
      </c>
      <c r="AH206" s="8">
        <v>20</v>
      </c>
      <c r="AI206" s="7">
        <v>0</v>
      </c>
      <c r="AJ206" s="7">
        <v>0</v>
      </c>
      <c r="AK206" s="7">
        <v>0</v>
      </c>
      <c r="AL206" s="7">
        <v>0</v>
      </c>
      <c r="AM206" s="7">
        <v>1</v>
      </c>
    </row>
    <row r="207" spans="1:39" ht="14" x14ac:dyDescent="0.15">
      <c r="A207" s="18" t="str">
        <f t="shared" ca="1" si="201"/>
        <v>23_2-4/59&lt;lv44&gt;s2</v>
      </c>
      <c r="B207" s="50">
        <v>23</v>
      </c>
      <c r="C207" s="49">
        <v>2</v>
      </c>
      <c r="D207" s="2" t="str">
        <f>B207&amp;"_"&amp;C207</f>
        <v>23_2</v>
      </c>
      <c r="E207" s="2" t="str">
        <f>C207&amp;"_"&amp;D207</f>
        <v>2_23_2</v>
      </c>
      <c r="F207" s="4" t="str">
        <f ca="1">VLOOKUP($D207,OFFSET([1]stages!$A$1,0,0,COUNTA([1]stages!$A:$A),MATCH(F$1,[1]stages!$2:$2,0)-MATCH($D$1,[1]stages!$2:$2,0)+1),MATCH(F$1,[1]stages!$2:$2,0)-MATCH($D$1,[1]stages!$2:$2,0)+1,FALSE)</f>
        <v>23-2．微笑みの猛蛇</v>
      </c>
      <c r="G207" s="54">
        <v>4</v>
      </c>
      <c r="H207" s="17" t="str">
        <f t="shared" si="203"/>
        <v>23_2-4</v>
      </c>
      <c r="I207" s="17"/>
      <c r="J207" s="17"/>
      <c r="K207" s="65" t="s">
        <v>56</v>
      </c>
      <c r="L207" s="52">
        <v>59</v>
      </c>
      <c r="M207" s="21" t="str">
        <f ca="1">VLOOKUP($L207,OFFSET([2]enemies!$A$1,0,0,COUNTA([2]enemies!$A:$A),MATCH(M$1,[2]enemies!$1:$1,0)-MATCH($L$1,[2]enemies!$1:$1,0)+1),MATCH(M$1,[2]enemies!$1:$1,0)-MATCH($L$1,[2]enemies!$1:$1,0)+1,FALSE)</f>
        <v>マーチ</v>
      </c>
      <c r="N207" s="21" t="str">
        <f ca="1">VLOOKUP($L207,OFFSET([2]enemies!$A$1,0,0,COUNTA([2]enemies!$A:$A),MATCH(N$1,[2]enemies!$1:$1,0)-MATCH($L$1,[2]enemies!$1:$1,0)+1),MATCH(N$1,[2]enemies!$1:$1,0)-MATCH($L$1,[2]enemies!$1:$1,0)+1,FALSE)</f>
        <v>green</v>
      </c>
      <c r="O207" s="21" t="str">
        <f ca="1">VLOOKUP($L207,OFFSET([3]characters!$A$1,0,0,COUNTA([3]characters!$A:$A),MATCH(O$1,[3]characters!$1:$1,0)-MATCH($L$1,[3]characters!$1:$1,0)+1),MATCH(O$1,[3]characters!$1:$1,0)-MATCH($L$1,[3]characters!$1:$1,0)+1,FALSE)</f>
        <v>Drop1N</v>
      </c>
      <c r="P207" s="21" t="str">
        <f ca="1">VLOOKUP($L207,OFFSET([2]enemies!$A$1,0,0,COUNTA([2]enemies!$A:$A),MATCH(P$1,[2]enemies!$1:$1,0)-MATCH($L$1,[2]enemies!$1:$1,0)+1),MATCH(P$1,[2]enemies!$1:$1,0)-MATCH($L$1,[2]enemies!$1:$1,0)+1,FALSE)</f>
        <v>animal</v>
      </c>
      <c r="Q207" s="21">
        <f ca="1">VLOOKUP($L207,OFFSET([2]enemies!$A$1,0,0,COUNTA([2]enemies!$A:$A),MATCH(Q$1,[2]enemies!$1:$1,0)-MATCH($L$1,[2]enemies!$1:$1,0)+1),MATCH(Q$1,[2]enemies!$1:$1,0)-MATCH($L$1,[2]enemies!$1:$1,0)+1,FALSE)</f>
        <v>15</v>
      </c>
      <c r="R207" s="53">
        <v>44</v>
      </c>
      <c r="S207" s="27">
        <v>1</v>
      </c>
      <c r="T207" s="27">
        <v>1</v>
      </c>
      <c r="U207" s="5">
        <v>0</v>
      </c>
      <c r="V207" s="4" t="str">
        <f ca="1">VLOOKUP($W207,OFFSET([4]enemy_skill_sets!$B$1,0,0,COUNTA([4]enemy_skill_sets!$B:$B),MATCH(M$1,[4]enemy_skill_sets!$1:$1,0)-MATCH($W$1,[4]enemy_skill_sets!$1:$1,0)+2),MATCH(M$1,[4]enemy_skill_sets!$1:$1,0)-MATCH($W$1,[4]enemy_skill_sets!$1:$1,0)+2,FALSE)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07" s="4">
        <f ca="1">VLOOKUP($L207,OFFSET([2]enemies!$A$1,0,0,COUNTA([2]enemies!$A:$A),MATCH(W$1,[2]enemies!$1:$1,0)-MATCH($L$1,[2]enemies!$1:$1,0)+1),MATCH(W$1,[2]enemies!$1:$1,0)-MATCH($L$1,[2]enemies!$1:$1,0)+1,FALSE)</f>
        <v>59</v>
      </c>
      <c r="X207" s="6">
        <v>0</v>
      </c>
      <c r="Y207" s="6">
        <v>100</v>
      </c>
      <c r="Z207" s="6">
        <v>0</v>
      </c>
      <c r="AA207" s="4">
        <f ca="1">VLOOKUP($L207,OFFSET([2]enemies!$A$1,0,0,COUNTA([2]enemies!$A:$A),MATCH(AA$1,[2]enemies!$1:$1,0)-MATCH($L$1,[2]enemies!$1:$1,0)+1),MATCH(AA$1,[2]enemies!$1:$1,0)-MATCH($L$1,[2]enemies!$1:$1,0)+1,FALSE)</f>
        <v>2</v>
      </c>
      <c r="AB207" s="52">
        <v>59</v>
      </c>
      <c r="AC207" s="4" t="str">
        <f ca="1">VLOOKUP($AB207,OFFSET([3]characters!$A$1,0,0,COUNTA([3]characters!$A:$A),MATCH(AC$1,[3]characters!$1:$1,0)-MATCH("character_id",[3]characters!$1:$1,0)+1),MATCH(AC$1,[3]characters!$1:$1,0)-MATCH("character_id",[3]characters!$1:$1,0)+1,FALSE)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207" s="4">
        <f ca="1">VLOOKUP($AB207,OFFSET([3]characters!$A$1,0,0,COUNTA([3]characters!$A:$A),MATCH(AD$1,[3]characters!$1:$1,0)-MATCH("character_id",[3]characters!$1:$1,0)+1),MATCH(AD$1,[3]characters!$1:$1,0)-MATCH("character_id",[3]characters!$1:$1,0)+1,FALSE)</f>
        <v>2</v>
      </c>
      <c r="AE207" s="4" t="str">
        <f ca="1">VLOOKUP($AB207,OFFSET([3]characters!$A$1,0,0,COUNTA([3]characters!$A:$A),MATCH(AE$1,[3]characters!$1:$1,0)-MATCH("character_id",[3]characters!$1:$1,0)+1),MATCH(AE$1,[3]characters!$1:$1,0)-MATCH("character_id",[3]characters!$1:$1,0)+1,FALSE)</f>
        <v>Drop1N</v>
      </c>
      <c r="AF207" s="7">
        <v>7</v>
      </c>
      <c r="AG207" s="26">
        <f t="shared" ca="1" si="239"/>
        <v>2</v>
      </c>
      <c r="AH207" s="8">
        <v>20</v>
      </c>
      <c r="AI207" s="7">
        <v>0</v>
      </c>
      <c r="AJ207" s="7">
        <v>0</v>
      </c>
      <c r="AK207" s="7">
        <v>0</v>
      </c>
      <c r="AL207" s="7">
        <v>0</v>
      </c>
      <c r="AM207" s="7">
        <v>1</v>
      </c>
    </row>
    <row r="208" spans="1:39" ht="14" x14ac:dyDescent="0.15">
      <c r="A208" s="18" t="str">
        <f t="shared" ref="A208:A244" ca="1" si="248">B208&amp;"_"&amp;C208&amp;"-"&amp;G208&amp;"/"&amp;L208&amp;"&lt;lv"&amp;R208&amp;"&gt;s"&amp;AA208</f>
        <v>23_2-4/41&lt;lv42&gt;s1</v>
      </c>
      <c r="B208" s="50">
        <v>23</v>
      </c>
      <c r="C208" s="49">
        <v>2</v>
      </c>
      <c r="D208" s="2" t="str">
        <f t="shared" ref="D208:E244" si="249">B208&amp;"_"&amp;C208</f>
        <v>23_2</v>
      </c>
      <c r="E208" s="2" t="str">
        <f t="shared" si="249"/>
        <v>2_23_2</v>
      </c>
      <c r="F208" s="4" t="str">
        <f ca="1">VLOOKUP($D208,OFFSET([1]stages!$A$1,0,0,COUNTA([1]stages!$A:$A),MATCH(F$1,[1]stages!$2:$2,0)-MATCH($D$1,[1]stages!$2:$2,0)+1),MATCH(F$1,[1]stages!$2:$2,0)-MATCH($D$1,[1]stages!$2:$2,0)+1,FALSE)</f>
        <v>23-2．微笑みの猛蛇</v>
      </c>
      <c r="G208" s="54">
        <v>4</v>
      </c>
      <c r="H208" s="17" t="str">
        <f t="shared" ref="H208:H244" si="250">B208&amp;"_"&amp;C208&amp;"-"&amp;G208</f>
        <v>23_2-4</v>
      </c>
      <c r="I208" s="17"/>
      <c r="J208" s="17"/>
      <c r="K208" s="65" t="s">
        <v>56</v>
      </c>
      <c r="L208" s="52">
        <v>41</v>
      </c>
      <c r="M208" s="21" t="str">
        <f ca="1">VLOOKUP($L208,OFFSET([2]enemies!$A$1,0,0,COUNTA([2]enemies!$A:$A),MATCH(M$1,[2]enemies!$1:$1,0)-MATCH($L$1,[2]enemies!$1:$1,0)+1),MATCH(M$1,[2]enemies!$1:$1,0)-MATCH($L$1,[2]enemies!$1:$1,0)+1,FALSE)</f>
        <v>ヒュウガ</v>
      </c>
      <c r="N208" s="21" t="str">
        <f ca="1">VLOOKUP($L208,OFFSET([2]enemies!$A$1,0,0,COUNTA([2]enemies!$A:$A),MATCH(N$1,[2]enemies!$1:$1,0)-MATCH($L$1,[2]enemies!$1:$1,0)+1),MATCH(N$1,[2]enemies!$1:$1,0)-MATCH($L$1,[2]enemies!$1:$1,0)+1,FALSE)</f>
        <v>red</v>
      </c>
      <c r="O208" s="21" t="str">
        <f ca="1">VLOOKUP($L208,OFFSET([3]characters!$A$1,0,0,COUNTA([3]characters!$A:$A),MATCH(O$1,[3]characters!$1:$1,0)-MATCH($L$1,[3]characters!$1:$1,0)+1),MATCH(O$1,[3]characters!$1:$1,0)-MATCH($L$1,[3]characters!$1:$1,0)+1,FALSE)</f>
        <v>Drop1N</v>
      </c>
      <c r="P208" s="21" t="str">
        <f ca="1">VLOOKUP($L208,OFFSET([2]enemies!$A$1,0,0,COUNTA([2]enemies!$A:$A),MATCH(P$1,[2]enemies!$1:$1,0)-MATCH($L$1,[2]enemies!$1:$1,0)+1),MATCH(P$1,[2]enemies!$1:$1,0)-MATCH($L$1,[2]enemies!$1:$1,0)+1,FALSE)</f>
        <v>dragon</v>
      </c>
      <c r="Q208" s="21">
        <f ca="1">VLOOKUP($L208,OFFSET([2]enemies!$A$1,0,0,COUNTA([2]enemies!$A:$A),MATCH(Q$1,[2]enemies!$1:$1,0)-MATCH($L$1,[2]enemies!$1:$1,0)+1),MATCH(Q$1,[2]enemies!$1:$1,0)-MATCH($L$1,[2]enemies!$1:$1,0)+1,FALSE)</f>
        <v>15</v>
      </c>
      <c r="R208" s="53">
        <v>42</v>
      </c>
      <c r="S208" s="27">
        <v>1</v>
      </c>
      <c r="T208" s="27">
        <v>1</v>
      </c>
      <c r="U208" s="5">
        <v>0</v>
      </c>
      <c r="V208" s="4" t="str">
        <f ca="1">VLOOKUP($W208,OFFSET([4]enemy_skill_sets!$B$1,0,0,COUNTA([4]enemy_skill_sets!$B:$B),MATCH(M$1,[4]enemy_skill_sets!$1:$1,0)-MATCH($W$1,[4]enemy_skill_sets!$1:$1,0)+2),MATCH(M$1,[4]enemy_skill_sets!$1:$1,0)-MATCH($W$1,[4]enemy_skill_sets!$1:$1,0)+2,FALSE)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08" s="4">
        <f ca="1">VLOOKUP($L208,OFFSET([2]enemies!$A$1,0,0,COUNTA([2]enemies!$A:$A),MATCH(W$1,[2]enemies!$1:$1,0)-MATCH($L$1,[2]enemies!$1:$1,0)+1),MATCH(W$1,[2]enemies!$1:$1,0)-MATCH($L$1,[2]enemies!$1:$1,0)+1,FALSE)</f>
        <v>0</v>
      </c>
      <c r="X208" s="6">
        <v>0</v>
      </c>
      <c r="Y208" s="6">
        <v>100</v>
      </c>
      <c r="Z208" s="6">
        <v>0</v>
      </c>
      <c r="AA208" s="4">
        <f ca="1">VLOOKUP($L208,OFFSET([2]enemies!$A$1,0,0,COUNTA([2]enemies!$A:$A),MATCH(AA$1,[2]enemies!$1:$1,0)-MATCH($L$1,[2]enemies!$1:$1,0)+1),MATCH(AA$1,[2]enemies!$1:$1,0)-MATCH($L$1,[2]enemies!$1:$1,0)+1,FALSE)</f>
        <v>1</v>
      </c>
      <c r="AB208" s="52">
        <v>41</v>
      </c>
      <c r="AC208" s="4" t="str">
        <f ca="1">VLOOKUP($AB208,OFFSET([3]characters!$A$1,0,0,COUNTA([3]characters!$A:$A),MATCH(AC$1,[3]characters!$1:$1,0)-MATCH("character_id",[3]characters!$1:$1,0)+1),MATCH(AC$1,[3]characters!$1:$1,0)-MATCH("character_id",[3]characters!$1:$1,0)+1,FALSE)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08" s="4">
        <f ca="1">VLOOKUP($AB208,OFFSET([3]characters!$A$1,0,0,COUNTA([3]characters!$A:$A),MATCH(AD$1,[3]characters!$1:$1,0)-MATCH("character_id",[3]characters!$1:$1,0)+1),MATCH(AD$1,[3]characters!$1:$1,0)-MATCH("character_id",[3]characters!$1:$1,0)+1,FALSE)</f>
        <v>2</v>
      </c>
      <c r="AE208" s="4" t="str">
        <f ca="1">VLOOKUP($AB208,OFFSET([3]characters!$A$1,0,0,COUNTA([3]characters!$A:$A),MATCH(AE$1,[3]characters!$1:$1,0)-MATCH("character_id",[3]characters!$1:$1,0)+1),MATCH(AE$1,[3]characters!$1:$1,0)-MATCH("character_id",[3]characters!$1:$1,0)+1,FALSE)</f>
        <v>Drop1N</v>
      </c>
      <c r="AF208" s="7">
        <v>7</v>
      </c>
      <c r="AG208" s="26">
        <f t="shared" ca="1" si="239"/>
        <v>2</v>
      </c>
      <c r="AH208" s="8">
        <v>20</v>
      </c>
      <c r="AI208" s="7">
        <v>0</v>
      </c>
      <c r="AJ208" s="7">
        <v>0</v>
      </c>
      <c r="AK208" s="7">
        <v>0</v>
      </c>
      <c r="AL208" s="7">
        <v>0</v>
      </c>
      <c r="AM208" s="7">
        <v>1</v>
      </c>
    </row>
    <row r="209" spans="1:39" ht="14" x14ac:dyDescent="0.15">
      <c r="A209" s="18" t="str">
        <f t="shared" ca="1" si="248"/>
        <v>23_2-4/43&lt;lv44&gt;s2</v>
      </c>
      <c r="B209" s="50">
        <v>23</v>
      </c>
      <c r="C209" s="49">
        <v>2</v>
      </c>
      <c r="D209" s="2" t="str">
        <f t="shared" si="249"/>
        <v>23_2</v>
      </c>
      <c r="E209" s="2" t="str">
        <f t="shared" si="249"/>
        <v>2_23_2</v>
      </c>
      <c r="F209" s="4" t="str">
        <f ca="1">VLOOKUP($D209,OFFSET([1]stages!$A$1,0,0,COUNTA([1]stages!$A:$A),MATCH(F$1,[1]stages!$2:$2,0)-MATCH($D$1,[1]stages!$2:$2,0)+1),MATCH(F$1,[1]stages!$2:$2,0)-MATCH($D$1,[1]stages!$2:$2,0)+1,FALSE)</f>
        <v>23-2．微笑みの猛蛇</v>
      </c>
      <c r="G209" s="54">
        <v>4</v>
      </c>
      <c r="H209" s="17" t="str">
        <f t="shared" si="250"/>
        <v>23_2-4</v>
      </c>
      <c r="I209" s="17"/>
      <c r="J209" s="17"/>
      <c r="K209" s="65" t="s">
        <v>56</v>
      </c>
      <c r="L209" s="52">
        <v>43</v>
      </c>
      <c r="M209" s="21" t="str">
        <f ca="1">VLOOKUP($L209,OFFSET([2]enemies!$A$1,0,0,COUNTA([2]enemies!$A:$A),MATCH(M$1,[2]enemies!$1:$1,0)-MATCH($L$1,[2]enemies!$1:$1,0)+1),MATCH(M$1,[2]enemies!$1:$1,0)-MATCH($L$1,[2]enemies!$1:$1,0)+1,FALSE)</f>
        <v>ムゥ</v>
      </c>
      <c r="N209" s="21" t="str">
        <f ca="1">VLOOKUP($L209,OFFSET([2]enemies!$A$1,0,0,COUNTA([2]enemies!$A:$A),MATCH(N$1,[2]enemies!$1:$1,0)-MATCH($L$1,[2]enemies!$1:$1,0)+1),MATCH(N$1,[2]enemies!$1:$1,0)-MATCH($L$1,[2]enemies!$1:$1,0)+1,FALSE)</f>
        <v>green</v>
      </c>
      <c r="O209" s="21" t="str">
        <f ca="1">VLOOKUP($L209,OFFSET([3]characters!$A$1,0,0,COUNTA([3]characters!$A:$A),MATCH(O$1,[3]characters!$1:$1,0)-MATCH($L$1,[3]characters!$1:$1,0)+1),MATCH(O$1,[3]characters!$1:$1,0)-MATCH($L$1,[3]characters!$1:$1,0)+1,FALSE)</f>
        <v>Drop1N</v>
      </c>
      <c r="P209" s="21" t="str">
        <f ca="1">VLOOKUP($L209,OFFSET([2]enemies!$A$1,0,0,COUNTA([2]enemies!$A:$A),MATCH(P$1,[2]enemies!$1:$1,0)-MATCH($L$1,[2]enemies!$1:$1,0)+1),MATCH(P$1,[2]enemies!$1:$1,0)-MATCH($L$1,[2]enemies!$1:$1,0)+1,FALSE)</f>
        <v>dragon</v>
      </c>
      <c r="Q209" s="21">
        <f ca="1">VLOOKUP($L209,OFFSET([2]enemies!$A$1,0,0,COUNTA([2]enemies!$A:$A),MATCH(Q$1,[2]enemies!$1:$1,0)-MATCH($L$1,[2]enemies!$1:$1,0)+1),MATCH(Q$1,[2]enemies!$1:$1,0)-MATCH($L$1,[2]enemies!$1:$1,0)+1,FALSE)</f>
        <v>15</v>
      </c>
      <c r="R209" s="53">
        <v>44</v>
      </c>
      <c r="S209" s="27">
        <v>1</v>
      </c>
      <c r="T209" s="27">
        <v>1</v>
      </c>
      <c r="U209" s="5">
        <v>0</v>
      </c>
      <c r="V209" s="4" t="str">
        <f ca="1">VLOOKUP($W209,OFFSET([4]enemy_skill_sets!$B$1,0,0,COUNTA([4]enemy_skill_sets!$B:$B),MATCH(M$1,[4]enemy_skill_sets!$1:$1,0)-MATCH($W$1,[4]enemy_skill_sets!$1:$1,0)+2),MATCH(M$1,[4]enemy_skill_sets!$1:$1,0)-MATCH($W$1,[4]enemy_skill_sets!$1:$1,0)+2,FALSE)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09" s="4">
        <f ca="1">VLOOKUP($L209,OFFSET([2]enemies!$A$1,0,0,COUNTA([2]enemies!$A:$A),MATCH(W$1,[2]enemies!$1:$1,0)-MATCH($L$1,[2]enemies!$1:$1,0)+1),MATCH(W$1,[2]enemies!$1:$1,0)-MATCH($L$1,[2]enemies!$1:$1,0)+1,FALSE)</f>
        <v>0</v>
      </c>
      <c r="X209" s="6">
        <v>0</v>
      </c>
      <c r="Y209" s="6">
        <v>100</v>
      </c>
      <c r="Z209" s="6">
        <v>0</v>
      </c>
      <c r="AA209" s="4">
        <f ca="1">VLOOKUP($L209,OFFSET([2]enemies!$A$1,0,0,COUNTA([2]enemies!$A:$A),MATCH(AA$1,[2]enemies!$1:$1,0)-MATCH($L$1,[2]enemies!$1:$1,0)+1),MATCH(AA$1,[2]enemies!$1:$1,0)-MATCH($L$1,[2]enemies!$1:$1,0)+1,FALSE)</f>
        <v>2</v>
      </c>
      <c r="AB209" s="52">
        <v>43</v>
      </c>
      <c r="AC209" s="4" t="str">
        <f ca="1">VLOOKUP($AB209,OFFSET([3]characters!$A$1,0,0,COUNTA([3]characters!$A:$A),MATCH(AC$1,[3]characters!$1:$1,0)-MATCH("character_id",[3]characters!$1:$1,0)+1),MATCH(AC$1,[3]characters!$1:$1,0)-MATCH("character_id",[3]characters!$1:$1,0)+1,FALSE)</f>
        <v>ムゥ</v>
      </c>
      <c r="AD209" s="4">
        <f ca="1">VLOOKUP($AB209,OFFSET([3]characters!$A$1,0,0,COUNTA([3]characters!$A:$A),MATCH(AD$1,[3]characters!$1:$1,0)-MATCH("character_id",[3]characters!$1:$1,0)+1),MATCH(AD$1,[3]characters!$1:$1,0)-MATCH("character_id",[3]characters!$1:$1,0)+1,FALSE)</f>
        <v>2</v>
      </c>
      <c r="AE209" s="4" t="str">
        <f ca="1">VLOOKUP($AB209,OFFSET([3]characters!$A$1,0,0,COUNTA([3]characters!$A:$A),MATCH(AE$1,[3]characters!$1:$1,0)-MATCH("character_id",[3]characters!$1:$1,0)+1),MATCH(AE$1,[3]characters!$1:$1,0)-MATCH("character_id",[3]characters!$1:$1,0)+1,FALSE)</f>
        <v>Drop1N</v>
      </c>
      <c r="AF209" s="7">
        <v>7</v>
      </c>
      <c r="AG209" s="26">
        <f t="shared" ca="1" si="239"/>
        <v>2</v>
      </c>
      <c r="AH209" s="8">
        <v>20</v>
      </c>
      <c r="AI209" s="7">
        <v>0</v>
      </c>
      <c r="AJ209" s="7">
        <v>0</v>
      </c>
      <c r="AK209" s="7">
        <v>0</v>
      </c>
      <c r="AL209" s="7">
        <v>0</v>
      </c>
      <c r="AM209" s="7">
        <v>1</v>
      </c>
    </row>
    <row r="210" spans="1:39" ht="14" x14ac:dyDescent="0.15">
      <c r="A210" s="18" t="str">
        <f t="shared" ref="A210:A211" ca="1" si="251">B210&amp;"_"&amp;C210&amp;"-"&amp;G210&amp;"/"&amp;L210&amp;"&lt;lv"&amp;R210&amp;"&gt;s"&amp;AA210</f>
        <v>23_2-4/360&lt;lv42&gt;s3</v>
      </c>
      <c r="B210" s="53">
        <v>23</v>
      </c>
      <c r="C210" s="51">
        <v>2</v>
      </c>
      <c r="D210" s="2" t="str">
        <f t="shared" ref="D210:D211" si="252">B210&amp;"_"&amp;C210</f>
        <v>23_2</v>
      </c>
      <c r="E210" s="2" t="str">
        <f t="shared" ref="E210:E211" si="253">C210&amp;"_"&amp;D210</f>
        <v>2_23_2</v>
      </c>
      <c r="F210" s="4" t="str">
        <f ca="1">VLOOKUP($D210,OFFSET([1]stages!$A$1,0,0,COUNTA([1]stages!$A:$A),MATCH(F$1,[1]stages!$2:$2,0)-MATCH($D$1,[1]stages!$2:$2,0)+1),MATCH(F$1,[1]stages!$2:$2,0)-MATCH($D$1,[1]stages!$2:$2,0)+1,FALSE)</f>
        <v>23-2．微笑みの猛蛇</v>
      </c>
      <c r="G210" s="54">
        <v>4</v>
      </c>
      <c r="H210" s="17" t="str">
        <f t="shared" ref="H210:H211" si="254">B210&amp;"_"&amp;C210&amp;"-"&amp;G210</f>
        <v>23_2-4</v>
      </c>
      <c r="I210" s="17"/>
      <c r="J210" s="17"/>
      <c r="K210" s="65" t="s">
        <v>56</v>
      </c>
      <c r="L210" s="52">
        <v>360</v>
      </c>
      <c r="M210" s="21" t="str">
        <f ca="1">VLOOKUP($L210,OFFSET([2]enemies!$A$1,0,0,COUNTA([2]enemies!$A:$A),MATCH(M$1,[2]enemies!$1:$1,0)-MATCH($L$1,[2]enemies!$1:$1,0)+1),MATCH(M$1,[2]enemies!$1:$1,0)-MATCH($L$1,[2]enemies!$1:$1,0)+1,FALSE)</f>
        <v>ガンテツ</v>
      </c>
      <c r="N210" s="21" t="str">
        <f ca="1">VLOOKUP($L210,OFFSET([2]enemies!$A$1,0,0,COUNTA([2]enemies!$A:$A),MATCH(N$1,[2]enemies!$1:$1,0)-MATCH($L$1,[2]enemies!$1:$1,0)+1),MATCH(N$1,[2]enemies!$1:$1,0)-MATCH($L$1,[2]enemies!$1:$1,0)+1,FALSE)</f>
        <v>red</v>
      </c>
      <c r="O210" s="21" t="str">
        <f ca="1">VLOOKUP($L210,OFFSET([3]characters!$A$1,0,0,COUNTA([3]characters!$A:$A),MATCH(O$1,[3]characters!$1:$1,0)-MATCH($L$1,[3]characters!$1:$1,0)+1),MATCH(O$1,[3]characters!$1:$1,0)-MATCH($L$1,[3]characters!$1:$1,0)+1,FALSE)</f>
        <v>Drop1S</v>
      </c>
      <c r="P210" s="21" t="str">
        <f ca="1">VLOOKUP($L210,OFFSET([2]enemies!$A$1,0,0,COUNTA([2]enemies!$A:$A),MATCH(P$1,[2]enemies!$1:$1,0)-MATCH($L$1,[2]enemies!$1:$1,0)+1),MATCH(P$1,[2]enemies!$1:$1,0)-MATCH($L$1,[2]enemies!$1:$1,0)+1,FALSE)</f>
        <v>animal</v>
      </c>
      <c r="Q210" s="21">
        <f ca="1">VLOOKUP($L210,OFFSET([2]enemies!$A$1,0,0,COUNTA([2]enemies!$A:$A),MATCH(Q$1,[2]enemies!$1:$1,0)-MATCH($L$1,[2]enemies!$1:$1,0)+1),MATCH(Q$1,[2]enemies!$1:$1,0)-MATCH($L$1,[2]enemies!$1:$1,0)+1,FALSE)</f>
        <v>15</v>
      </c>
      <c r="R210" s="53">
        <v>42</v>
      </c>
      <c r="S210" s="27">
        <v>1</v>
      </c>
      <c r="T210" s="27">
        <v>1</v>
      </c>
      <c r="U210" s="5">
        <v>0</v>
      </c>
      <c r="V210" s="4" t="str">
        <f ca="1">VLOOKUP($W210,OFFSET([4]enemy_skill_sets!$B$1,0,0,COUNTA([4]enemy_skill_sets!$B:$B),MATCH(M$1,[4]enemy_skill_sets!$1:$1,0)-MATCH($W$1,[4]enemy_skill_sets!$1:$1,0)+2),MATCH(M$1,[4]enemy_skill_sets!$1:$1,0)-MATCH($W$1,[4]enemy_skill_sets!$1:$1,0)+2,FALSE)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10" s="76">
        <v>360</v>
      </c>
      <c r="X210" s="6">
        <v>0</v>
      </c>
      <c r="Y210" s="6">
        <v>100</v>
      </c>
      <c r="Z210" s="6">
        <v>0</v>
      </c>
      <c r="AA210" s="4">
        <f ca="1">VLOOKUP($L210,OFFSET([2]enemies!$A$1,0,0,COUNTA([2]enemies!$A:$A),MATCH(AA$1,[2]enemies!$1:$1,0)-MATCH($L$1,[2]enemies!$1:$1,0)+1),MATCH(AA$1,[2]enemies!$1:$1,0)-MATCH($L$1,[2]enemies!$1:$1,0)+1,FALSE)</f>
        <v>3</v>
      </c>
      <c r="AB210" s="52">
        <v>360</v>
      </c>
      <c r="AC210" s="4" t="str">
        <f ca="1">VLOOKUP($AB210,OFFSET([3]characters!$A$1,0,0,COUNTA([3]characters!$A:$A),MATCH(AC$1,[3]characters!$1:$1,0)-MATCH("character_id",[3]characters!$1:$1,0)+1),MATCH(AC$1,[3]characters!$1:$1,0)-MATCH("character_id",[3]characters!$1:$1,0)+1,FALSE)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10" s="4">
        <f ca="1">VLOOKUP($AB210,OFFSET([3]characters!$A$1,0,0,COUNTA([3]characters!$A:$A),MATCH(AD$1,[3]characters!$1:$1,0)-MATCH("character_id",[3]characters!$1:$1,0)+1),MATCH(AD$1,[3]characters!$1:$1,0)-MATCH("character_id",[3]characters!$1:$1,0)+1,FALSE)</f>
        <v>2</v>
      </c>
      <c r="AE210" s="4" t="str">
        <f ca="1">VLOOKUP($AB210,OFFSET([3]characters!$A$1,0,0,COUNTA([3]characters!$A:$A),MATCH(AE$1,[3]characters!$1:$1,0)-MATCH("character_id",[3]characters!$1:$1,0)+1),MATCH(AE$1,[3]characters!$1:$1,0)-MATCH("character_id",[3]characters!$1:$1,0)+1,FALSE)</f>
        <v>Drop1S</v>
      </c>
      <c r="AF210" s="7">
        <v>7</v>
      </c>
      <c r="AG210" s="26">
        <f t="shared" ca="1" si="239"/>
        <v>2</v>
      </c>
      <c r="AH210" s="8">
        <v>20</v>
      </c>
      <c r="AI210" s="7">
        <v>0</v>
      </c>
      <c r="AJ210" s="7">
        <v>0</v>
      </c>
      <c r="AK210" s="7">
        <v>0</v>
      </c>
      <c r="AL210" s="7">
        <v>0</v>
      </c>
      <c r="AM210" s="7">
        <v>1</v>
      </c>
    </row>
    <row r="211" spans="1:39" ht="14" x14ac:dyDescent="0.15">
      <c r="A211" s="18" t="str">
        <f t="shared" ca="1" si="251"/>
        <v>23_2-4/362&lt;lv44&gt;s3</v>
      </c>
      <c r="B211" s="53">
        <v>23</v>
      </c>
      <c r="C211" s="51">
        <v>2</v>
      </c>
      <c r="D211" s="2" t="str">
        <f t="shared" si="252"/>
        <v>23_2</v>
      </c>
      <c r="E211" s="2" t="str">
        <f t="shared" si="253"/>
        <v>2_23_2</v>
      </c>
      <c r="F211" s="4" t="str">
        <f ca="1">VLOOKUP($D211,OFFSET([1]stages!$A$1,0,0,COUNTA([1]stages!$A:$A),MATCH(F$1,[1]stages!$2:$2,0)-MATCH($D$1,[1]stages!$2:$2,0)+1),MATCH(F$1,[1]stages!$2:$2,0)-MATCH($D$1,[1]stages!$2:$2,0)+1,FALSE)</f>
        <v>23-2．微笑みの猛蛇</v>
      </c>
      <c r="G211" s="54">
        <v>4</v>
      </c>
      <c r="H211" s="17" t="str">
        <f t="shared" si="254"/>
        <v>23_2-4</v>
      </c>
      <c r="I211" s="17"/>
      <c r="J211" s="17"/>
      <c r="K211" s="65" t="s">
        <v>56</v>
      </c>
      <c r="L211" s="52">
        <v>362</v>
      </c>
      <c r="M211" s="21" t="str">
        <f ca="1">VLOOKUP($L211,OFFSET([2]enemies!$A$1,0,0,COUNTA([2]enemies!$A:$A),MATCH(M$1,[2]enemies!$1:$1,0)-MATCH($L$1,[2]enemies!$1:$1,0)+1),MATCH(M$1,[2]enemies!$1:$1,0)-MATCH($L$1,[2]enemies!$1:$1,0)+1,FALSE)</f>
        <v>ゆらら</v>
      </c>
      <c r="N211" s="21" t="str">
        <f ca="1">VLOOKUP($L211,OFFSET([2]enemies!$A$1,0,0,COUNTA([2]enemies!$A:$A),MATCH(N$1,[2]enemies!$1:$1,0)-MATCH($L$1,[2]enemies!$1:$1,0)+1),MATCH(N$1,[2]enemies!$1:$1,0)-MATCH($L$1,[2]enemies!$1:$1,0)+1,FALSE)</f>
        <v>green</v>
      </c>
      <c r="O211" s="21" t="str">
        <f ca="1">VLOOKUP($L211,OFFSET([3]characters!$A$1,0,0,COUNTA([3]characters!$A:$A),MATCH(O$1,[3]characters!$1:$1,0)-MATCH($L$1,[3]characters!$1:$1,0)+1),MATCH(O$1,[3]characters!$1:$1,0)-MATCH($L$1,[3]characters!$1:$1,0)+1,FALSE)</f>
        <v>Drop1S</v>
      </c>
      <c r="P211" s="21" t="str">
        <f ca="1">VLOOKUP($L211,OFFSET([2]enemies!$A$1,0,0,COUNTA([2]enemies!$A:$A),MATCH(P$1,[2]enemies!$1:$1,0)-MATCH($L$1,[2]enemies!$1:$1,0)+1),MATCH(P$1,[2]enemies!$1:$1,0)-MATCH($L$1,[2]enemies!$1:$1,0)+1,FALSE)</f>
        <v>animal</v>
      </c>
      <c r="Q211" s="21">
        <f ca="1">VLOOKUP($L211,OFFSET([2]enemies!$A$1,0,0,COUNTA([2]enemies!$A:$A),MATCH(Q$1,[2]enemies!$1:$1,0)-MATCH($L$1,[2]enemies!$1:$1,0)+1),MATCH(Q$1,[2]enemies!$1:$1,0)-MATCH($L$1,[2]enemies!$1:$1,0)+1,FALSE)</f>
        <v>15</v>
      </c>
      <c r="R211" s="53">
        <v>44</v>
      </c>
      <c r="S211" s="27">
        <v>1</v>
      </c>
      <c r="T211" s="27">
        <v>1</v>
      </c>
      <c r="U211" s="5">
        <v>0</v>
      </c>
      <c r="V211" s="4" t="str">
        <f ca="1">VLOOKUP($W211,OFFSET([4]enemy_skill_sets!$B$1,0,0,COUNTA([4]enemy_skill_sets!$B:$B),MATCH(M$1,[4]enemy_skill_sets!$1:$1,0)-MATCH($W$1,[4]enemy_skill_sets!$1:$1,0)+2),MATCH(M$1,[4]enemy_skill_sets!$1:$1,0)-MATCH($W$1,[4]enemy_skill_sets!$1:$1,0)+2,FALSE)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11" s="64">
        <v>362</v>
      </c>
      <c r="X211" s="6">
        <v>0</v>
      </c>
      <c r="Y211" s="6">
        <v>100</v>
      </c>
      <c r="Z211" s="6">
        <v>0</v>
      </c>
      <c r="AA211" s="4">
        <f ca="1">VLOOKUP($L211,OFFSET([2]enemies!$A$1,0,0,COUNTA([2]enemies!$A:$A),MATCH(AA$1,[2]enemies!$1:$1,0)-MATCH($L$1,[2]enemies!$1:$1,0)+1),MATCH(AA$1,[2]enemies!$1:$1,0)-MATCH($L$1,[2]enemies!$1:$1,0)+1,FALSE)</f>
        <v>3</v>
      </c>
      <c r="AB211" s="52">
        <v>362</v>
      </c>
      <c r="AC211" s="4" t="str">
        <f ca="1">VLOOKUP($AB211,OFFSET([3]characters!$A$1,0,0,COUNTA([3]characters!$A:$A),MATCH(AC$1,[3]characters!$1:$1,0)-MATCH("character_id",[3]characters!$1:$1,0)+1),MATCH(AC$1,[3]characters!$1:$1,0)-MATCH("character_id",[3]characters!$1:$1,0)+1,FALSE)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11" s="4">
        <f ca="1">VLOOKUP($AB211,OFFSET([3]characters!$A$1,0,0,COUNTA([3]characters!$A:$A),MATCH(AD$1,[3]characters!$1:$1,0)-MATCH("character_id",[3]characters!$1:$1,0)+1),MATCH(AD$1,[3]characters!$1:$1,0)-MATCH("character_id",[3]characters!$1:$1,0)+1,FALSE)</f>
        <v>2</v>
      </c>
      <c r="AE211" s="4" t="str">
        <f ca="1">VLOOKUP($AB211,OFFSET([3]characters!$A$1,0,0,COUNTA([3]characters!$A:$A),MATCH(AE$1,[3]characters!$1:$1,0)-MATCH("character_id",[3]characters!$1:$1,0)+1),MATCH(AE$1,[3]characters!$1:$1,0)-MATCH("character_id",[3]characters!$1:$1,0)+1,FALSE)</f>
        <v>Drop1S</v>
      </c>
      <c r="AF211" s="7">
        <v>7</v>
      </c>
      <c r="AG211" s="26">
        <f t="shared" ca="1" si="239"/>
        <v>2</v>
      </c>
      <c r="AH211" s="8">
        <v>20</v>
      </c>
      <c r="AI211" s="7">
        <v>0</v>
      </c>
      <c r="AJ211" s="7">
        <v>0</v>
      </c>
      <c r="AK211" s="7">
        <v>0</v>
      </c>
      <c r="AL211" s="7">
        <v>0</v>
      </c>
      <c r="AM211" s="7">
        <v>1</v>
      </c>
    </row>
    <row r="212" spans="1:39" ht="14" x14ac:dyDescent="0.15">
      <c r="A212" s="18" t="str">
        <f t="shared" ref="A212" ca="1" si="255">B212&amp;"_"&amp;C212&amp;"-"&amp;G212&amp;"/"&amp;L212&amp;"&lt;lv"&amp;R212&amp;"&gt;s"&amp;AA212</f>
        <v>23_2-4/350&lt;lv44&gt;s3</v>
      </c>
      <c r="B212" s="53">
        <v>23</v>
      </c>
      <c r="C212" s="51">
        <v>2</v>
      </c>
      <c r="D212" s="2" t="str">
        <f t="shared" ref="D212" si="256">B212&amp;"_"&amp;C212</f>
        <v>23_2</v>
      </c>
      <c r="E212" s="2" t="str">
        <f t="shared" ref="E212" si="257">C212&amp;"_"&amp;D212</f>
        <v>2_23_2</v>
      </c>
      <c r="F212" s="4" t="str">
        <f ca="1">VLOOKUP($D212,OFFSET([1]stages!$A$1,0,0,COUNTA([1]stages!$A:$A),MATCH(F$1,[1]stages!$2:$2,0)-MATCH($D$1,[1]stages!$2:$2,0)+1),MATCH(F$1,[1]stages!$2:$2,0)-MATCH($D$1,[1]stages!$2:$2,0)+1,FALSE)</f>
        <v>23-2．微笑みの猛蛇</v>
      </c>
      <c r="G212" s="54">
        <v>4</v>
      </c>
      <c r="H212" s="17" t="str">
        <f t="shared" ref="H212" si="258">B212&amp;"_"&amp;C212&amp;"-"&amp;G212</f>
        <v>23_2-4</v>
      </c>
      <c r="I212" s="17"/>
      <c r="J212" s="17"/>
      <c r="K212" s="65" t="s">
        <v>56</v>
      </c>
      <c r="L212" s="52">
        <v>350</v>
      </c>
      <c r="M212" s="21" t="str">
        <f ca="1">VLOOKUP($L212,OFFSET([2]enemies!$A$1,0,0,COUNTA([2]enemies!$A:$A),MATCH(M$1,[2]enemies!$1:$1,0)-MATCH($L$1,[2]enemies!$1:$1,0)+1),MATCH(M$1,[2]enemies!$1:$1,0)-MATCH($L$1,[2]enemies!$1:$1,0)+1,FALSE)</f>
        <v>森のケロケロ</v>
      </c>
      <c r="N212" s="21" t="str">
        <f ca="1">VLOOKUP($L212,OFFSET([2]enemies!$A$1,0,0,COUNTA([2]enemies!$A:$A),MATCH(N$1,[2]enemies!$1:$1,0)-MATCH($L$1,[2]enemies!$1:$1,0)+1),MATCH(N$1,[2]enemies!$1:$1,0)-MATCH($L$1,[2]enemies!$1:$1,0)+1,FALSE)</f>
        <v>green</v>
      </c>
      <c r="O212" s="21" t="str">
        <f ca="1">VLOOKUP($L212,OFFSET([3]characters!$A$1,0,0,COUNTA([3]characters!$A:$A),MATCH(O$1,[3]characters!$1:$1,0)-MATCH($L$1,[3]characters!$1:$1,0)+1),MATCH(O$1,[3]characters!$1:$1,0)-MATCH($L$1,[3]characters!$1:$1,0)+1,FALSE)</f>
        <v>Material</v>
      </c>
      <c r="P212" s="21" t="str">
        <f ca="1">VLOOKUP($L212,OFFSET([2]enemies!$A$1,0,0,COUNTA([2]enemies!$A:$A),MATCH(P$1,[2]enemies!$1:$1,0)-MATCH($L$1,[2]enemies!$1:$1,0)+1),MATCH(P$1,[2]enemies!$1:$1,0)-MATCH($L$1,[2]enemies!$1:$1,0)+1,FALSE)</f>
        <v>unknown</v>
      </c>
      <c r="Q212" s="21">
        <f ca="1">VLOOKUP($L212,OFFSET([2]enemies!$A$1,0,0,COUNTA([2]enemies!$A:$A),MATCH(Q$1,[2]enemies!$1:$1,0)-MATCH($L$1,[2]enemies!$1:$1,0)+1),MATCH(Q$1,[2]enemies!$1:$1,0)-MATCH($L$1,[2]enemies!$1:$1,0)+1,FALSE)</f>
        <v>15</v>
      </c>
      <c r="R212" s="53">
        <v>44</v>
      </c>
      <c r="S212" s="27">
        <v>1</v>
      </c>
      <c r="T212" s="27">
        <v>1</v>
      </c>
      <c r="U212" s="5">
        <v>0</v>
      </c>
      <c r="V212" s="4" t="str">
        <f ca="1">VLOOKUP($W212,OFFSET([4]enemy_skill_sets!$B$1,0,0,COUNTA([4]enemy_skill_sets!$B:$B),MATCH(M$1,[4]enemy_skill_sets!$1:$1,0)-MATCH($W$1,[4]enemy_skill_sets!$1:$1,0)+2),MATCH(M$1,[4]enemy_skill_sets!$1:$1,0)-MATCH($W$1,[4]enemy_skill_sets!$1:$1,0)+2,FALSE)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12" s="64">
        <v>350</v>
      </c>
      <c r="X212" s="6">
        <v>1</v>
      </c>
      <c r="Y212" s="6">
        <v>100</v>
      </c>
      <c r="Z212" s="6">
        <v>0</v>
      </c>
      <c r="AA212" s="4">
        <f ca="1">VLOOKUP($L212,OFFSET([2]enemies!$A$1,0,0,COUNTA([2]enemies!$A:$A),MATCH(AA$1,[2]enemies!$1:$1,0)-MATCH($L$1,[2]enemies!$1:$1,0)+1),MATCH(AA$1,[2]enemies!$1:$1,0)-MATCH($L$1,[2]enemies!$1:$1,0)+1,FALSE)</f>
        <v>3</v>
      </c>
      <c r="AB212" s="52">
        <v>350</v>
      </c>
      <c r="AC212" s="4" t="str">
        <f ca="1">VLOOKUP($AB212,OFFSET([3]characters!$A$1,0,0,COUNTA([3]characters!$A:$A),MATCH(AC$1,[3]characters!$1:$1,0)-MATCH("character_id",[3]characters!$1:$1,0)+1),MATCH(AC$1,[3]characters!$1:$1,0)-MATCH("character_id",[3]characters!$1:$1,0)+1,FALSE)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12" s="4">
        <f ca="1">VLOOKUP($AB212,OFFSET([3]characters!$A$1,0,0,COUNTA([3]characters!$A:$A),MATCH(AD$1,[3]characters!$1:$1,0)-MATCH("character_id",[3]characters!$1:$1,0)+1),MATCH(AD$1,[3]characters!$1:$1,0)-MATCH("character_id",[3]characters!$1:$1,0)+1,FALSE)</f>
        <v>2</v>
      </c>
      <c r="AE212" s="4" t="str">
        <f ca="1">VLOOKUP($AB212,OFFSET([3]characters!$A$1,0,0,COUNTA([3]characters!$A:$A),MATCH(AE$1,[3]characters!$1:$1,0)-MATCH("character_id",[3]characters!$1:$1,0)+1),MATCH(AE$1,[3]characters!$1:$1,0)-MATCH("character_id",[3]characters!$1:$1,0)+1,FALSE)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12" s="7">
        <v>10</v>
      </c>
      <c r="AG212" s="26">
        <f t="shared" ca="1" si="239"/>
        <v>2</v>
      </c>
      <c r="AH212" s="8">
        <v>100</v>
      </c>
      <c r="AI212" s="7">
        <v>0</v>
      </c>
      <c r="AJ212" s="7">
        <v>0</v>
      </c>
      <c r="AK212" s="7">
        <v>0</v>
      </c>
      <c r="AL212" s="7">
        <v>0</v>
      </c>
      <c r="AM212" s="7">
        <v>1</v>
      </c>
    </row>
    <row r="213" spans="1:39" ht="14" x14ac:dyDescent="0.15">
      <c r="A213" s="18" t="str">
        <f t="shared" ca="1" si="248"/>
        <v>23_2-5/41&lt;lv48&gt;s1</v>
      </c>
      <c r="B213" s="50">
        <v>23</v>
      </c>
      <c r="C213" s="49">
        <v>2</v>
      </c>
      <c r="D213" s="2" t="str">
        <f t="shared" si="249"/>
        <v>23_2</v>
      </c>
      <c r="E213" s="2" t="str">
        <f t="shared" si="249"/>
        <v>2_23_2</v>
      </c>
      <c r="F213" s="4" t="str">
        <f ca="1">VLOOKUP($D213,OFFSET([1]stages!$A$1,0,0,COUNTA([1]stages!$A:$A),MATCH(F$1,[1]stages!$2:$2,0)-MATCH($D$1,[1]stages!$2:$2,0)+1),MATCH(F$1,[1]stages!$2:$2,0)-MATCH($D$1,[1]stages!$2:$2,0)+1,FALSE)</f>
        <v>23-2．微笑みの猛蛇</v>
      </c>
      <c r="G213" s="55">
        <v>5</v>
      </c>
      <c r="H213" s="17" t="str">
        <f t="shared" si="250"/>
        <v>23_2-5</v>
      </c>
      <c r="I213" s="17"/>
      <c r="J213" s="17"/>
      <c r="K213" s="65" t="s">
        <v>56</v>
      </c>
      <c r="L213" s="52">
        <v>41</v>
      </c>
      <c r="M213" s="21" t="str">
        <f ca="1">VLOOKUP($L213,OFFSET([2]enemies!$A$1,0,0,COUNTA([2]enemies!$A:$A),MATCH(M$1,[2]enemies!$1:$1,0)-MATCH($L$1,[2]enemies!$1:$1,0)+1),MATCH(M$1,[2]enemies!$1:$1,0)-MATCH($L$1,[2]enemies!$1:$1,0)+1,FALSE)</f>
        <v>ヒュウガ</v>
      </c>
      <c r="N213" s="21" t="str">
        <f ca="1">VLOOKUP($L213,OFFSET([2]enemies!$A$1,0,0,COUNTA([2]enemies!$A:$A),MATCH(N$1,[2]enemies!$1:$1,0)-MATCH($L$1,[2]enemies!$1:$1,0)+1),MATCH(N$1,[2]enemies!$1:$1,0)-MATCH($L$1,[2]enemies!$1:$1,0)+1,FALSE)</f>
        <v>red</v>
      </c>
      <c r="O213" s="21" t="str">
        <f ca="1">VLOOKUP($L213,OFFSET([3]characters!$A$1,0,0,COUNTA([3]characters!$A:$A),MATCH(O$1,[3]characters!$1:$1,0)-MATCH($L$1,[3]characters!$1:$1,0)+1),MATCH(O$1,[3]characters!$1:$1,0)-MATCH($L$1,[3]characters!$1:$1,0)+1,FALSE)</f>
        <v>Drop1N</v>
      </c>
      <c r="P213" s="21" t="str">
        <f ca="1">VLOOKUP($L213,OFFSET([2]enemies!$A$1,0,0,COUNTA([2]enemies!$A:$A),MATCH(P$1,[2]enemies!$1:$1,0)-MATCH($L$1,[2]enemies!$1:$1,0)+1),MATCH(P$1,[2]enemies!$1:$1,0)-MATCH($L$1,[2]enemies!$1:$1,0)+1,FALSE)</f>
        <v>dragon</v>
      </c>
      <c r="Q213" s="21">
        <f ca="1">VLOOKUP($L213,OFFSET([2]enemies!$A$1,0,0,COUNTA([2]enemies!$A:$A),MATCH(Q$1,[2]enemies!$1:$1,0)-MATCH($L$1,[2]enemies!$1:$1,0)+1),MATCH(Q$1,[2]enemies!$1:$1,0)-MATCH($L$1,[2]enemies!$1:$1,0)+1,FALSE)</f>
        <v>15</v>
      </c>
      <c r="R213" s="53">
        <v>48</v>
      </c>
      <c r="S213" s="27">
        <v>4.0999999999999996</v>
      </c>
      <c r="T213" s="27">
        <v>1.5</v>
      </c>
      <c r="U213" s="5">
        <v>0</v>
      </c>
      <c r="V213" s="4" t="str">
        <f ca="1">VLOOKUP($W213,OFFSET([4]enemy_skill_sets!$B$1,0,0,COUNTA([4]enemy_skill_sets!$B:$B),MATCH(M$1,[4]enemy_skill_sets!$1:$1,0)-MATCH($W$1,[4]enemy_skill_sets!$1:$1,0)+2),MATCH(M$1,[4]enemy_skill_sets!$1:$1,0)-MATCH($W$1,[4]enemy_skill_sets!$1:$1,0)+2,FALSE)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13" s="4">
        <f ca="1">VLOOKUP($L213,OFFSET([2]enemies!$A$1,0,0,COUNTA([2]enemies!$A:$A),MATCH(W$1,[2]enemies!$1:$1,0)-MATCH($L$1,[2]enemies!$1:$1,0)+1),MATCH(W$1,[2]enemies!$1:$1,0)-MATCH($L$1,[2]enemies!$1:$1,0)+1,FALSE)</f>
        <v>0</v>
      </c>
      <c r="X213" s="6">
        <v>2</v>
      </c>
      <c r="Y213" s="6">
        <v>100</v>
      </c>
      <c r="Z213" s="6">
        <v>0</v>
      </c>
      <c r="AA213" s="4">
        <f ca="1">VLOOKUP($L213,OFFSET([2]enemies!$A$1,0,0,COUNTA([2]enemies!$A:$A),MATCH(AA$1,[2]enemies!$1:$1,0)-MATCH($L$1,[2]enemies!$1:$1,0)+1),MATCH(AA$1,[2]enemies!$1:$1,0)-MATCH($L$1,[2]enemies!$1:$1,0)+1,FALSE)</f>
        <v>1</v>
      </c>
      <c r="AB213" s="52">
        <v>41</v>
      </c>
      <c r="AC213" s="4" t="str">
        <f ca="1">VLOOKUP($AB213,OFFSET([3]characters!$A$1,0,0,COUNTA([3]characters!$A:$A),MATCH(AC$1,[3]characters!$1:$1,0)-MATCH("character_id",[3]characters!$1:$1,0)+1),MATCH(AC$1,[3]characters!$1:$1,0)-MATCH("character_id",[3]characters!$1:$1,0)+1,FALSE)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13" s="4">
        <f ca="1">VLOOKUP($AB213,OFFSET([3]characters!$A$1,0,0,COUNTA([3]characters!$A:$A),MATCH(AD$1,[3]characters!$1:$1,0)-MATCH("character_id",[3]characters!$1:$1,0)+1),MATCH(AD$1,[3]characters!$1:$1,0)-MATCH("character_id",[3]characters!$1:$1,0)+1,FALSE)</f>
        <v>2</v>
      </c>
      <c r="AE213" s="4" t="str">
        <f ca="1">VLOOKUP($AB213,OFFSET([3]characters!$A$1,0,0,COUNTA([3]characters!$A:$A),MATCH(AE$1,[3]characters!$1:$1,0)-MATCH("character_id",[3]characters!$1:$1,0)+1),MATCH(AE$1,[3]characters!$1:$1,0)-MATCH("character_id",[3]characters!$1:$1,0)+1,FALSE)</f>
        <v>Drop1N</v>
      </c>
      <c r="AF213" s="7">
        <v>7</v>
      </c>
      <c r="AG213" s="26">
        <f t="shared" ca="1" si="239"/>
        <v>2</v>
      </c>
      <c r="AH213" s="8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1</v>
      </c>
    </row>
    <row r="214" spans="1:39" ht="14" x14ac:dyDescent="0.15">
      <c r="A214" s="18" t="str">
        <f t="shared" ref="A214" ca="1" si="259">B214&amp;"_"&amp;C214&amp;"-"&amp;G214&amp;"/"&amp;L214&amp;"&lt;lv"&amp;R214&amp;"&gt;s"&amp;AA214</f>
        <v>23_2-5/229&lt;lv47&gt;s2</v>
      </c>
      <c r="B214" s="53">
        <v>23</v>
      </c>
      <c r="C214" s="51">
        <v>2</v>
      </c>
      <c r="D214" s="2" t="str">
        <f t="shared" ref="D214:E214" si="260">B214&amp;"_"&amp;C214</f>
        <v>23_2</v>
      </c>
      <c r="E214" s="2" t="str">
        <f t="shared" si="260"/>
        <v>2_23_2</v>
      </c>
      <c r="F214" s="4" t="str">
        <f ca="1">VLOOKUP($D214,OFFSET([1]stages!$A$1,0,0,COUNTA([1]stages!$A:$A),MATCH(F$1,[1]stages!$2:$2,0)-MATCH($D$1,[1]stages!$2:$2,0)+1),MATCH(F$1,[1]stages!$2:$2,0)-MATCH($D$1,[1]stages!$2:$2,0)+1,FALSE)</f>
        <v>23-2．微笑みの猛蛇</v>
      </c>
      <c r="G214" s="55">
        <v>5</v>
      </c>
      <c r="H214" s="17" t="str">
        <f t="shared" ref="H214" si="261">B214&amp;"_"&amp;C214&amp;"-"&amp;G214</f>
        <v>23_2-5</v>
      </c>
      <c r="I214" s="17"/>
      <c r="J214" s="17"/>
      <c r="K214" s="65" t="s">
        <v>56</v>
      </c>
      <c r="L214" s="52">
        <v>229</v>
      </c>
      <c r="M214" s="21" t="str">
        <f ca="1">VLOOKUP($L214,OFFSET([2]enemies!$A$1,0,0,COUNTA([2]enemies!$A:$A),MATCH(M$1,[2]enemies!$1:$1,0)-MATCH($L$1,[2]enemies!$1:$1,0)+1),MATCH(M$1,[2]enemies!$1:$1,0)-MATCH($L$1,[2]enemies!$1:$1,0)+1,FALSE)</f>
        <v>ヨルムンガンド</v>
      </c>
      <c r="N214" s="21" t="str">
        <f ca="1">VLOOKUP($L214,OFFSET([2]enemies!$A$1,0,0,COUNTA([2]enemies!$A:$A),MATCH(N$1,[2]enemies!$1:$1,0)-MATCH($L$1,[2]enemies!$1:$1,0)+1),MATCH(N$1,[2]enemies!$1:$1,0)-MATCH($L$1,[2]enemies!$1:$1,0)+1,FALSE)</f>
        <v>green</v>
      </c>
      <c r="O214" s="21" t="str">
        <f ca="1">VLOOKUP($L214,OFFSET([3]characters!$A$1,0,0,COUNTA([3]characters!$A:$A),MATCH(O$1,[3]characters!$1:$1,0)-MATCH($L$1,[3]characters!$1:$1,0)+1),MATCH(O$1,[3]characters!$1:$1,0)-MATCH($L$1,[3]characters!$1:$1,0)+1,FALSE)</f>
        <v>PremiumS</v>
      </c>
      <c r="P214" s="21" t="str">
        <f ca="1">VLOOKUP($L214,OFFSET([2]enemies!$A$1,0,0,COUNTA([2]enemies!$A:$A),MATCH(P$1,[2]enemies!$1:$1,0)-MATCH($L$1,[2]enemies!$1:$1,0)+1),MATCH(P$1,[2]enemies!$1:$1,0)-MATCH($L$1,[2]enemies!$1:$1,0)+1,FALSE)</f>
        <v>dragon</v>
      </c>
      <c r="Q214" s="21">
        <f ca="1">VLOOKUP($L214,OFFSET([2]enemies!$A$1,0,0,COUNTA([2]enemies!$A:$A),MATCH(Q$1,[2]enemies!$1:$1,0)-MATCH($L$1,[2]enemies!$1:$1,0)+1),MATCH(Q$1,[2]enemies!$1:$1,0)-MATCH($L$1,[2]enemies!$1:$1,0)+1,FALSE)</f>
        <v>20</v>
      </c>
      <c r="R214" s="53">
        <v>47</v>
      </c>
      <c r="S214" s="27">
        <v>2</v>
      </c>
      <c r="T214" s="27">
        <v>1.8</v>
      </c>
      <c r="U214" s="5">
        <v>0</v>
      </c>
      <c r="V214" s="4" t="str">
        <f ca="1">VLOOKUP($W214,OFFSET([4]enemy_skill_sets!$B$1,0,0,COUNTA([4]enemy_skill_sets!$B:$B),MATCH(M$1,[4]enemy_skill_sets!$1:$1,0)-MATCH($W$1,[4]enemy_skill_sets!$1:$1,0)+2),MATCH(M$1,[4]enemy_skill_sets!$1:$1,0)-MATCH($W$1,[4]enemy_skill_sets!$1:$1,0)+2,FALSE)</f>
        <v>攻撃力×1.8倍の攻撃</v>
      </c>
      <c r="W214" s="64">
        <v>22901</v>
      </c>
      <c r="X214" s="6">
        <v>1</v>
      </c>
      <c r="Y214" s="6">
        <v>100</v>
      </c>
      <c r="Z214" s="6">
        <v>1</v>
      </c>
      <c r="AA214" s="4">
        <f ca="1">VLOOKUP($L214,OFFSET([2]enemies!$A$1,0,0,COUNTA([2]enemies!$A:$A),MATCH(AA$1,[2]enemies!$1:$1,0)-MATCH($L$1,[2]enemies!$1:$1,0)+1),MATCH(AA$1,[2]enemies!$1:$1,0)-MATCH($L$1,[2]enemies!$1:$1,0)+1,FALSE)</f>
        <v>2</v>
      </c>
      <c r="AB214" s="52">
        <v>229</v>
      </c>
      <c r="AC214" s="4" t="str">
        <f ca="1">VLOOKUP($AB214,OFFSET([3]characters!$A$1,0,0,COUNTA([3]characters!$A:$A),MATCH(AC$1,[3]characters!$1:$1,0)-MATCH("character_id",[3]characters!$1:$1,0)+1),MATCH(AC$1,[3]characters!$1:$1,0)-MATCH("character_id",[3]characters!$1:$1,0)+1,FALSE)</f>
        <v>ヨルムンガンド</v>
      </c>
      <c r="AD214" s="4">
        <f ca="1">VLOOKUP($AB214,OFFSET([3]characters!$A$1,0,0,COUNTA([3]characters!$A:$A),MATCH(AD$1,[3]characters!$1:$1,0)-MATCH("character_id",[3]characters!$1:$1,0)+1),MATCH(AD$1,[3]characters!$1:$1,0)-MATCH("character_id",[3]characters!$1:$1,0)+1,FALSE)</f>
        <v>3</v>
      </c>
      <c r="AE214" s="4" t="str">
        <f ca="1">VLOOKUP($AB214,OFFSET([3]characters!$A$1,0,0,COUNTA([3]characters!$A:$A),MATCH(AE$1,[3]characters!$1:$1,0)-MATCH("character_id",[3]characters!$1:$1,0)+1),MATCH(AE$1,[3]characters!$1:$1,0)-MATCH("character_id",[3]characters!$1:$1,0)+1,FALSE)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214" s="7">
        <v>1</v>
      </c>
      <c r="AG214" s="26">
        <f t="shared" ca="1" si="239"/>
        <v>3</v>
      </c>
      <c r="AH214" s="8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1</v>
      </c>
    </row>
    <row r="215" spans="1:39" ht="14" x14ac:dyDescent="0.15">
      <c r="A215" s="18" t="str">
        <f t="shared" ca="1" si="248"/>
        <v>23_3-1/11&lt;lv46&gt;s3</v>
      </c>
      <c r="B215" s="50">
        <v>23</v>
      </c>
      <c r="C215" s="49">
        <v>3</v>
      </c>
      <c r="D215" s="2" t="str">
        <f t="shared" si="249"/>
        <v>23_3</v>
      </c>
      <c r="E215" s="2" t="str">
        <f t="shared" si="249"/>
        <v>3_23_3</v>
      </c>
      <c r="F215" s="4" t="str">
        <f ca="1">VLOOKUP($D215,OFFSET([1]stages!$A$1,0,0,COUNTA([1]stages!$A:$A),MATCH(F$1,[1]stages!$2:$2,0)-MATCH($D$1,[1]stages!$2:$2,0)+1),MATCH(F$1,[1]stages!$2:$2,0)-MATCH($D$1,[1]stages!$2:$2,0)+1,FALSE)</f>
        <v>23-3．震える大地</v>
      </c>
      <c r="G215" s="56">
        <v>1</v>
      </c>
      <c r="H215" s="17" t="str">
        <f t="shared" si="250"/>
        <v>23_3-1</v>
      </c>
      <c r="I215" s="17"/>
      <c r="J215" s="17"/>
      <c r="K215" s="65" t="s">
        <v>56</v>
      </c>
      <c r="L215" s="52">
        <v>11</v>
      </c>
      <c r="M215" s="21" t="str">
        <f ca="1">VLOOKUP($L215,OFFSET([2]enemies!$A$1,0,0,COUNTA([2]enemies!$A:$A),MATCH(M$1,[2]enemies!$1:$1,0)-MATCH($L$1,[2]enemies!$1:$1,0)+1),MATCH(M$1,[2]enemies!$1:$1,0)-MATCH($L$1,[2]enemies!$1:$1,0)+1,FALSE)</f>
        <v>マグリット</v>
      </c>
      <c r="N215" s="21" t="str">
        <f ca="1">VLOOKUP($L215,OFFSET([2]enemies!$A$1,0,0,COUNTA([2]enemies!$A:$A),MATCH(N$1,[2]enemies!$1:$1,0)-MATCH($L$1,[2]enemies!$1:$1,0)+1),MATCH(N$1,[2]enemies!$1:$1,0)-MATCH($L$1,[2]enemies!$1:$1,0)+1,FALSE)</f>
        <v>green</v>
      </c>
      <c r="O215" s="21" t="str">
        <f ca="1">VLOOKUP($L215,OFFSET([3]characters!$A$1,0,0,COUNTA([3]characters!$A:$A),MATCH(O$1,[3]characters!$1:$1,0)-MATCH($L$1,[3]characters!$1:$1,0)+1),MATCH(O$1,[3]characters!$1:$1,0)-MATCH($L$1,[3]characters!$1:$1,0)+1,FALSE)</f>
        <v>Drop1W</v>
      </c>
      <c r="P215" s="21" t="str">
        <f ca="1">VLOOKUP($L215,OFFSET([2]enemies!$A$1,0,0,COUNTA([2]enemies!$A:$A),MATCH(P$1,[2]enemies!$1:$1,0)-MATCH($L$1,[2]enemies!$1:$1,0)+1),MATCH(P$1,[2]enemies!$1:$1,0)-MATCH($L$1,[2]enemies!$1:$1,0)+1,FALSE)</f>
        <v>animal</v>
      </c>
      <c r="Q215" s="21">
        <f ca="1">VLOOKUP($L215,OFFSET([2]enemies!$A$1,0,0,COUNTA([2]enemies!$A:$A),MATCH(Q$1,[2]enemies!$1:$1,0)-MATCH($L$1,[2]enemies!$1:$1,0)+1),MATCH(Q$1,[2]enemies!$1:$1,0)-MATCH($L$1,[2]enemies!$1:$1,0)+1,FALSE)</f>
        <v>15</v>
      </c>
      <c r="R215" s="53">
        <v>46</v>
      </c>
      <c r="S215" s="27">
        <v>1</v>
      </c>
      <c r="T215" s="27">
        <v>1</v>
      </c>
      <c r="U215" s="5">
        <v>0</v>
      </c>
      <c r="V215" s="4" t="str">
        <f ca="1">VLOOKUP($W215,OFFSET([4]enemy_skill_sets!$B$1,0,0,COUNTA([4]enemy_skill_sets!$B:$B),MATCH(M$1,[4]enemy_skill_sets!$1:$1,0)-MATCH($W$1,[4]enemy_skill_sets!$1:$1,0)+2),MATCH(M$1,[4]enemy_skill_sets!$1:$1,0)-MATCH($W$1,[4]enemy_skill_sets!$1:$1,0)+2,FALSE)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15" s="4">
        <f ca="1">VLOOKUP($L215,OFFSET([2]enemies!$A$1,0,0,COUNTA([2]enemies!$A:$A),MATCH(W$1,[2]enemies!$1:$1,0)-MATCH($L$1,[2]enemies!$1:$1,0)+1),MATCH(W$1,[2]enemies!$1:$1,0)-MATCH($L$1,[2]enemies!$1:$1,0)+1,FALSE)</f>
        <v>0</v>
      </c>
      <c r="X215" s="6">
        <v>0</v>
      </c>
      <c r="Y215" s="6">
        <v>100</v>
      </c>
      <c r="Z215" s="6">
        <v>0</v>
      </c>
      <c r="AA215" s="4">
        <f ca="1">VLOOKUP($L215,OFFSET([2]enemies!$A$1,0,0,COUNTA([2]enemies!$A:$A),MATCH(AA$1,[2]enemies!$1:$1,0)-MATCH($L$1,[2]enemies!$1:$1,0)+1),MATCH(AA$1,[2]enemies!$1:$1,0)-MATCH($L$1,[2]enemies!$1:$1,0)+1,FALSE)</f>
        <v>3</v>
      </c>
      <c r="AB215" s="52">
        <v>11</v>
      </c>
      <c r="AC215" s="4" t="str">
        <f ca="1">VLOOKUP($AB215,OFFSET([3]characters!$A$1,0,0,COUNTA([3]characters!$A:$A),MATCH(AC$1,[3]characters!$1:$1,0)-MATCH("character_id",[3]characters!$1:$1,0)+1),MATCH(AC$1,[3]characters!$1:$1,0)-MATCH("character_id",[3]characters!$1:$1,0)+1,FALSE)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215" s="4">
        <f ca="1">VLOOKUP($AB215,OFFSET([3]characters!$A$1,0,0,COUNTA([3]characters!$A:$A),MATCH(AD$1,[3]characters!$1:$1,0)-MATCH("character_id",[3]characters!$1:$1,0)+1),MATCH(AD$1,[3]characters!$1:$1,0)-MATCH("character_id",[3]characters!$1:$1,0)+1,FALSE)</f>
        <v>1</v>
      </c>
      <c r="AE215" s="4" t="str">
        <f ca="1">VLOOKUP($AB215,OFFSET([3]characters!$A$1,0,0,COUNTA([3]characters!$A:$A),MATCH(AE$1,[3]characters!$1:$1,0)-MATCH("character_id",[3]characters!$1:$1,0)+1),MATCH(AE$1,[3]characters!$1:$1,0)-MATCH("character_id",[3]characters!$1:$1,0)+1,FALSE)</f>
        <v>Drop1W</v>
      </c>
      <c r="AF215" s="7">
        <v>9</v>
      </c>
      <c r="AG215" s="26">
        <f t="shared" ca="1" si="239"/>
        <v>1</v>
      </c>
      <c r="AH215" s="8">
        <v>20</v>
      </c>
      <c r="AI215" s="7">
        <v>0</v>
      </c>
      <c r="AJ215" s="7">
        <v>0</v>
      </c>
      <c r="AK215" s="7">
        <v>0</v>
      </c>
      <c r="AL215" s="7">
        <v>0</v>
      </c>
      <c r="AM215" s="7">
        <v>1</v>
      </c>
    </row>
    <row r="216" spans="1:39" ht="14" x14ac:dyDescent="0.15">
      <c r="A216" s="18" t="str">
        <f t="shared" ca="1" si="248"/>
        <v>23_3-1/23&lt;lv46&gt;s4</v>
      </c>
      <c r="B216" s="50">
        <v>23</v>
      </c>
      <c r="C216" s="49">
        <v>3</v>
      </c>
      <c r="D216" s="2" t="str">
        <f t="shared" si="249"/>
        <v>23_3</v>
      </c>
      <c r="E216" s="2" t="str">
        <f t="shared" si="249"/>
        <v>3_23_3</v>
      </c>
      <c r="F216" s="4" t="str">
        <f ca="1">VLOOKUP($D216,OFFSET([1]stages!$A$1,0,0,COUNTA([1]stages!$A:$A),MATCH(F$1,[1]stages!$2:$2,0)-MATCH($D$1,[1]stages!$2:$2,0)+1),MATCH(F$1,[1]stages!$2:$2,0)-MATCH($D$1,[1]stages!$2:$2,0)+1,FALSE)</f>
        <v>23-3．震える大地</v>
      </c>
      <c r="G216" s="56">
        <v>1</v>
      </c>
      <c r="H216" s="17" t="str">
        <f t="shared" si="250"/>
        <v>23_3-1</v>
      </c>
      <c r="I216" s="17"/>
      <c r="J216" s="17"/>
      <c r="K216" s="65" t="s">
        <v>56</v>
      </c>
      <c r="L216" s="52">
        <v>23</v>
      </c>
      <c r="M216" s="21" t="str">
        <f ca="1">VLOOKUP($L216,OFFSET([2]enemies!$A$1,0,0,COUNTA([2]enemies!$A:$A),MATCH(M$1,[2]enemies!$1:$1,0)-MATCH($L$1,[2]enemies!$1:$1,0)+1),MATCH(M$1,[2]enemies!$1:$1,0)-MATCH($L$1,[2]enemies!$1:$1,0)+1,FALSE)</f>
        <v>ミール</v>
      </c>
      <c r="N216" s="21" t="str">
        <f ca="1">VLOOKUP($L216,OFFSET([2]enemies!$A$1,0,0,COUNTA([2]enemies!$A:$A),MATCH(N$1,[2]enemies!$1:$1,0)-MATCH($L$1,[2]enemies!$1:$1,0)+1),MATCH(N$1,[2]enemies!$1:$1,0)-MATCH($L$1,[2]enemies!$1:$1,0)+1,FALSE)</f>
        <v>green</v>
      </c>
      <c r="O216" s="21" t="str">
        <f ca="1">VLOOKUP($L216,OFFSET([3]characters!$A$1,0,0,COUNTA([3]characters!$A:$A),MATCH(O$1,[3]characters!$1:$1,0)-MATCH($L$1,[3]characters!$1:$1,0)+1),MATCH(O$1,[3]characters!$1:$1,0)-MATCH($L$1,[3]characters!$1:$1,0)+1,FALSE)</f>
        <v>Drop1N</v>
      </c>
      <c r="P216" s="21" t="str">
        <f ca="1">VLOOKUP($L216,OFFSET([2]enemies!$A$1,0,0,COUNTA([2]enemies!$A:$A),MATCH(P$1,[2]enemies!$1:$1,0)-MATCH($L$1,[2]enemies!$1:$1,0)+1),MATCH(P$1,[2]enemies!$1:$1,0)-MATCH($L$1,[2]enemies!$1:$1,0)+1,FALSE)</f>
        <v>animal</v>
      </c>
      <c r="Q216" s="21">
        <f ca="1">VLOOKUP($L216,OFFSET([2]enemies!$A$1,0,0,COUNTA([2]enemies!$A:$A),MATCH(Q$1,[2]enemies!$1:$1,0)-MATCH($L$1,[2]enemies!$1:$1,0)+1),MATCH(Q$1,[2]enemies!$1:$1,0)-MATCH($L$1,[2]enemies!$1:$1,0)+1,FALSE)</f>
        <v>15</v>
      </c>
      <c r="R216" s="53">
        <v>46</v>
      </c>
      <c r="S216" s="27">
        <v>1</v>
      </c>
      <c r="T216" s="27">
        <v>1</v>
      </c>
      <c r="U216" s="5">
        <v>0</v>
      </c>
      <c r="V216" s="4" t="str">
        <f ca="1">VLOOKUP($W216,OFFSET([4]enemy_skill_sets!$B$1,0,0,COUNTA([4]enemy_skill_sets!$B:$B),MATCH(M$1,[4]enemy_skill_sets!$1:$1,0)-MATCH($W$1,[4]enemy_skill_sets!$1:$1,0)+2),MATCH(M$1,[4]enemy_skill_sets!$1:$1,0)-MATCH($W$1,[4]enemy_skill_sets!$1:$1,0)+2,FALSE)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16" s="4">
        <f ca="1">VLOOKUP($L216,OFFSET([2]enemies!$A$1,0,0,COUNTA([2]enemies!$A:$A),MATCH(W$1,[2]enemies!$1:$1,0)-MATCH($L$1,[2]enemies!$1:$1,0)+1),MATCH(W$1,[2]enemies!$1:$1,0)-MATCH($L$1,[2]enemies!$1:$1,0)+1,FALSE)</f>
        <v>0</v>
      </c>
      <c r="X216" s="6">
        <v>0</v>
      </c>
      <c r="Y216" s="6">
        <v>100</v>
      </c>
      <c r="Z216" s="6">
        <v>0</v>
      </c>
      <c r="AA216" s="4">
        <f ca="1">VLOOKUP($L216,OFFSET([2]enemies!$A$1,0,0,COUNTA([2]enemies!$A:$A),MATCH(AA$1,[2]enemies!$1:$1,0)-MATCH($L$1,[2]enemies!$1:$1,0)+1),MATCH(AA$1,[2]enemies!$1:$1,0)-MATCH($L$1,[2]enemies!$1:$1,0)+1,FALSE)</f>
        <v>4</v>
      </c>
      <c r="AB216" s="52">
        <v>23</v>
      </c>
      <c r="AC216" s="4" t="str">
        <f ca="1">VLOOKUP($AB216,OFFSET([3]characters!$A$1,0,0,COUNTA([3]characters!$A:$A),MATCH(AC$1,[3]characters!$1:$1,0)-MATCH("character_id",[3]characters!$1:$1,0)+1),MATCH(AC$1,[3]characters!$1:$1,0)-MATCH("character_id",[3]characters!$1:$1,0)+1,FALSE)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216" s="4">
        <f ca="1">VLOOKUP($AB216,OFFSET([3]characters!$A$1,0,0,COUNTA([3]characters!$A:$A),MATCH(AD$1,[3]characters!$1:$1,0)-MATCH("character_id",[3]characters!$1:$1,0)+1),MATCH(AD$1,[3]characters!$1:$1,0)-MATCH("character_id",[3]characters!$1:$1,0)+1,FALSE)</f>
        <v>1</v>
      </c>
      <c r="AE216" s="4" t="str">
        <f ca="1">VLOOKUP($AB216,OFFSET([3]characters!$A$1,0,0,COUNTA([3]characters!$A:$A),MATCH(AE$1,[3]characters!$1:$1,0)-MATCH("character_id",[3]characters!$1:$1,0)+1),MATCH(AE$1,[3]characters!$1:$1,0)-MATCH("character_id",[3]characters!$1:$1,0)+1,FALSE)</f>
        <v>Drop1N</v>
      </c>
      <c r="AF216" s="7">
        <v>7</v>
      </c>
      <c r="AG216" s="26">
        <f t="shared" ca="1" si="239"/>
        <v>1</v>
      </c>
      <c r="AH216" s="8">
        <v>20</v>
      </c>
      <c r="AI216" s="7">
        <v>0</v>
      </c>
      <c r="AJ216" s="7">
        <v>0</v>
      </c>
      <c r="AK216" s="7">
        <v>0</v>
      </c>
      <c r="AL216" s="7">
        <v>0</v>
      </c>
      <c r="AM216" s="7">
        <v>1</v>
      </c>
    </row>
    <row r="217" spans="1:39" ht="14" x14ac:dyDescent="0.15">
      <c r="A217" s="18" t="str">
        <f t="shared" ca="1" si="248"/>
        <v>23_3-1/59&lt;lv46&gt;s2</v>
      </c>
      <c r="B217" s="50">
        <v>23</v>
      </c>
      <c r="C217" s="49">
        <v>3</v>
      </c>
      <c r="D217" s="2" t="str">
        <f t="shared" si="249"/>
        <v>23_3</v>
      </c>
      <c r="E217" s="2" t="str">
        <f t="shared" si="249"/>
        <v>3_23_3</v>
      </c>
      <c r="F217" s="4" t="str">
        <f ca="1">VLOOKUP($D217,OFFSET([1]stages!$A$1,0,0,COUNTA([1]stages!$A:$A),MATCH(F$1,[1]stages!$2:$2,0)-MATCH($D$1,[1]stages!$2:$2,0)+1),MATCH(F$1,[1]stages!$2:$2,0)-MATCH($D$1,[1]stages!$2:$2,0)+1,FALSE)</f>
        <v>23-3．震える大地</v>
      </c>
      <c r="G217" s="56">
        <v>1</v>
      </c>
      <c r="H217" s="17" t="str">
        <f t="shared" si="250"/>
        <v>23_3-1</v>
      </c>
      <c r="I217" s="17"/>
      <c r="J217" s="17"/>
      <c r="K217" s="65" t="s">
        <v>56</v>
      </c>
      <c r="L217" s="52">
        <v>59</v>
      </c>
      <c r="M217" s="21" t="str">
        <f ca="1">VLOOKUP($L217,OFFSET([2]enemies!$A$1,0,0,COUNTA([2]enemies!$A:$A),MATCH(M$1,[2]enemies!$1:$1,0)-MATCH($L$1,[2]enemies!$1:$1,0)+1),MATCH(M$1,[2]enemies!$1:$1,0)-MATCH($L$1,[2]enemies!$1:$1,0)+1,FALSE)</f>
        <v>マーチ</v>
      </c>
      <c r="N217" s="21" t="str">
        <f ca="1">VLOOKUP($L217,OFFSET([2]enemies!$A$1,0,0,COUNTA([2]enemies!$A:$A),MATCH(N$1,[2]enemies!$1:$1,0)-MATCH($L$1,[2]enemies!$1:$1,0)+1),MATCH(N$1,[2]enemies!$1:$1,0)-MATCH($L$1,[2]enemies!$1:$1,0)+1,FALSE)</f>
        <v>green</v>
      </c>
      <c r="O217" s="21" t="str">
        <f ca="1">VLOOKUP($L217,OFFSET([3]characters!$A$1,0,0,COUNTA([3]characters!$A:$A),MATCH(O$1,[3]characters!$1:$1,0)-MATCH($L$1,[3]characters!$1:$1,0)+1),MATCH(O$1,[3]characters!$1:$1,0)-MATCH($L$1,[3]characters!$1:$1,0)+1,FALSE)</f>
        <v>Drop1N</v>
      </c>
      <c r="P217" s="21" t="str">
        <f ca="1">VLOOKUP($L217,OFFSET([2]enemies!$A$1,0,0,COUNTA([2]enemies!$A:$A),MATCH(P$1,[2]enemies!$1:$1,0)-MATCH($L$1,[2]enemies!$1:$1,0)+1),MATCH(P$1,[2]enemies!$1:$1,0)-MATCH($L$1,[2]enemies!$1:$1,0)+1,FALSE)</f>
        <v>animal</v>
      </c>
      <c r="Q217" s="21">
        <f ca="1">VLOOKUP($L217,OFFSET([2]enemies!$A$1,0,0,COUNTA([2]enemies!$A:$A),MATCH(Q$1,[2]enemies!$1:$1,0)-MATCH($L$1,[2]enemies!$1:$1,0)+1),MATCH(Q$1,[2]enemies!$1:$1,0)-MATCH($L$1,[2]enemies!$1:$1,0)+1,FALSE)</f>
        <v>15</v>
      </c>
      <c r="R217" s="53">
        <v>46</v>
      </c>
      <c r="S217" s="27">
        <v>1</v>
      </c>
      <c r="T217" s="27">
        <v>1</v>
      </c>
      <c r="U217" s="5">
        <v>0</v>
      </c>
      <c r="V217" s="4" t="str">
        <f ca="1">VLOOKUP($W217,OFFSET([4]enemy_skill_sets!$B$1,0,0,COUNTA([4]enemy_skill_sets!$B:$B),MATCH(M$1,[4]enemy_skill_sets!$1:$1,0)-MATCH($W$1,[4]enemy_skill_sets!$1:$1,0)+2),MATCH(M$1,[4]enemy_skill_sets!$1:$1,0)-MATCH($W$1,[4]enemy_skill_sets!$1:$1,0)+2,FALSE)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17" s="4">
        <f ca="1">VLOOKUP($L217,OFFSET([2]enemies!$A$1,0,0,COUNTA([2]enemies!$A:$A),MATCH(W$1,[2]enemies!$1:$1,0)-MATCH($L$1,[2]enemies!$1:$1,0)+1),MATCH(W$1,[2]enemies!$1:$1,0)-MATCH($L$1,[2]enemies!$1:$1,0)+1,FALSE)</f>
        <v>59</v>
      </c>
      <c r="X217" s="6">
        <v>0</v>
      </c>
      <c r="Y217" s="6">
        <v>100</v>
      </c>
      <c r="Z217" s="6">
        <v>0</v>
      </c>
      <c r="AA217" s="4">
        <f ca="1">VLOOKUP($L217,OFFSET([2]enemies!$A$1,0,0,COUNTA([2]enemies!$A:$A),MATCH(AA$1,[2]enemies!$1:$1,0)-MATCH($L$1,[2]enemies!$1:$1,0)+1),MATCH(AA$1,[2]enemies!$1:$1,0)-MATCH($L$1,[2]enemies!$1:$1,0)+1,FALSE)</f>
        <v>2</v>
      </c>
      <c r="AB217" s="52">
        <v>59</v>
      </c>
      <c r="AC217" s="4" t="str">
        <f ca="1">VLOOKUP($AB217,OFFSET([3]characters!$A$1,0,0,COUNTA([3]characters!$A:$A),MATCH(AC$1,[3]characters!$1:$1,0)-MATCH("character_id",[3]characters!$1:$1,0)+1),MATCH(AC$1,[3]characters!$1:$1,0)-MATCH("character_id",[3]characters!$1:$1,0)+1,FALSE)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217" s="4">
        <f ca="1">VLOOKUP($AB217,OFFSET([3]characters!$A$1,0,0,COUNTA([3]characters!$A:$A),MATCH(AD$1,[3]characters!$1:$1,0)-MATCH("character_id",[3]characters!$1:$1,0)+1),MATCH(AD$1,[3]characters!$1:$1,0)-MATCH("character_id",[3]characters!$1:$1,0)+1,FALSE)</f>
        <v>2</v>
      </c>
      <c r="AE217" s="4" t="str">
        <f ca="1">VLOOKUP($AB217,OFFSET([3]characters!$A$1,0,0,COUNTA([3]characters!$A:$A),MATCH(AE$1,[3]characters!$1:$1,0)-MATCH("character_id",[3]characters!$1:$1,0)+1),MATCH(AE$1,[3]characters!$1:$1,0)-MATCH("character_id",[3]characters!$1:$1,0)+1,FALSE)</f>
        <v>Drop1N</v>
      </c>
      <c r="AF217" s="7">
        <v>7</v>
      </c>
      <c r="AG217" s="26">
        <f t="shared" ca="1" si="239"/>
        <v>2</v>
      </c>
      <c r="AH217" s="8">
        <v>20</v>
      </c>
      <c r="AI217" s="7">
        <v>0</v>
      </c>
      <c r="AJ217" s="7">
        <v>0</v>
      </c>
      <c r="AK217" s="7">
        <v>0</v>
      </c>
      <c r="AL217" s="7">
        <v>0</v>
      </c>
      <c r="AM217" s="7">
        <v>1</v>
      </c>
    </row>
    <row r="218" spans="1:39" ht="14" x14ac:dyDescent="0.15">
      <c r="A218" s="18" t="str">
        <f t="shared" ca="1" si="248"/>
        <v>23_3-1/43&lt;lv46&gt;s2</v>
      </c>
      <c r="B218" s="50">
        <v>23</v>
      </c>
      <c r="C218" s="49">
        <v>3</v>
      </c>
      <c r="D218" s="2" t="str">
        <f t="shared" si="249"/>
        <v>23_3</v>
      </c>
      <c r="E218" s="2" t="str">
        <f t="shared" si="249"/>
        <v>3_23_3</v>
      </c>
      <c r="F218" s="4" t="str">
        <f ca="1">VLOOKUP($D218,OFFSET([1]stages!$A$1,0,0,COUNTA([1]stages!$A:$A),MATCH(F$1,[1]stages!$2:$2,0)-MATCH($D$1,[1]stages!$2:$2,0)+1),MATCH(F$1,[1]stages!$2:$2,0)-MATCH($D$1,[1]stages!$2:$2,0)+1,FALSE)</f>
        <v>23-3．震える大地</v>
      </c>
      <c r="G218" s="56">
        <v>1</v>
      </c>
      <c r="H218" s="17" t="str">
        <f t="shared" si="250"/>
        <v>23_3-1</v>
      </c>
      <c r="I218" s="17"/>
      <c r="J218" s="17"/>
      <c r="K218" s="65" t="s">
        <v>56</v>
      </c>
      <c r="L218" s="52">
        <v>43</v>
      </c>
      <c r="M218" s="21" t="str">
        <f ca="1">VLOOKUP($L218,OFFSET([2]enemies!$A$1,0,0,COUNTA([2]enemies!$A:$A),MATCH(M$1,[2]enemies!$1:$1,0)-MATCH($L$1,[2]enemies!$1:$1,0)+1),MATCH(M$1,[2]enemies!$1:$1,0)-MATCH($L$1,[2]enemies!$1:$1,0)+1,FALSE)</f>
        <v>ムゥ</v>
      </c>
      <c r="N218" s="21" t="str">
        <f ca="1">VLOOKUP($L218,OFFSET([2]enemies!$A$1,0,0,COUNTA([2]enemies!$A:$A),MATCH(N$1,[2]enemies!$1:$1,0)-MATCH($L$1,[2]enemies!$1:$1,0)+1),MATCH(N$1,[2]enemies!$1:$1,0)-MATCH($L$1,[2]enemies!$1:$1,0)+1,FALSE)</f>
        <v>green</v>
      </c>
      <c r="O218" s="21" t="str">
        <f ca="1">VLOOKUP($L218,OFFSET([3]characters!$A$1,0,0,COUNTA([3]characters!$A:$A),MATCH(O$1,[3]characters!$1:$1,0)-MATCH($L$1,[3]characters!$1:$1,0)+1),MATCH(O$1,[3]characters!$1:$1,0)-MATCH($L$1,[3]characters!$1:$1,0)+1,FALSE)</f>
        <v>Drop1N</v>
      </c>
      <c r="P218" s="21" t="str">
        <f ca="1">VLOOKUP($L218,OFFSET([2]enemies!$A$1,0,0,COUNTA([2]enemies!$A:$A),MATCH(P$1,[2]enemies!$1:$1,0)-MATCH($L$1,[2]enemies!$1:$1,0)+1),MATCH(P$1,[2]enemies!$1:$1,0)-MATCH($L$1,[2]enemies!$1:$1,0)+1,FALSE)</f>
        <v>dragon</v>
      </c>
      <c r="Q218" s="21">
        <f ca="1">VLOOKUP($L218,OFFSET([2]enemies!$A$1,0,0,COUNTA([2]enemies!$A:$A),MATCH(Q$1,[2]enemies!$1:$1,0)-MATCH($L$1,[2]enemies!$1:$1,0)+1),MATCH(Q$1,[2]enemies!$1:$1,0)-MATCH($L$1,[2]enemies!$1:$1,0)+1,FALSE)</f>
        <v>15</v>
      </c>
      <c r="R218" s="53">
        <v>46</v>
      </c>
      <c r="S218" s="27">
        <v>1</v>
      </c>
      <c r="T218" s="27">
        <v>1</v>
      </c>
      <c r="U218" s="5">
        <v>0</v>
      </c>
      <c r="V218" s="4" t="str">
        <f ca="1">VLOOKUP($W218,OFFSET([4]enemy_skill_sets!$B$1,0,0,COUNTA([4]enemy_skill_sets!$B:$B),MATCH(M$1,[4]enemy_skill_sets!$1:$1,0)-MATCH($W$1,[4]enemy_skill_sets!$1:$1,0)+2),MATCH(M$1,[4]enemy_skill_sets!$1:$1,0)-MATCH($W$1,[4]enemy_skill_sets!$1:$1,0)+2,FALSE)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18" s="4">
        <f ca="1">VLOOKUP($L218,OFFSET([2]enemies!$A$1,0,0,COUNTA([2]enemies!$A:$A),MATCH(W$1,[2]enemies!$1:$1,0)-MATCH($L$1,[2]enemies!$1:$1,0)+1),MATCH(W$1,[2]enemies!$1:$1,0)-MATCH($L$1,[2]enemies!$1:$1,0)+1,FALSE)</f>
        <v>0</v>
      </c>
      <c r="X218" s="6">
        <v>0</v>
      </c>
      <c r="Y218" s="6">
        <v>100</v>
      </c>
      <c r="Z218" s="6">
        <v>0</v>
      </c>
      <c r="AA218" s="4">
        <f ca="1">VLOOKUP($L218,OFFSET([2]enemies!$A$1,0,0,COUNTA([2]enemies!$A:$A),MATCH(AA$1,[2]enemies!$1:$1,0)-MATCH($L$1,[2]enemies!$1:$1,0)+1),MATCH(AA$1,[2]enemies!$1:$1,0)-MATCH($L$1,[2]enemies!$1:$1,0)+1,FALSE)</f>
        <v>2</v>
      </c>
      <c r="AB218" s="52">
        <v>43</v>
      </c>
      <c r="AC218" s="4" t="str">
        <f ca="1">VLOOKUP($AB218,OFFSET([3]characters!$A$1,0,0,COUNTA([3]characters!$A:$A),MATCH(AC$1,[3]characters!$1:$1,0)-MATCH("character_id",[3]characters!$1:$1,0)+1),MATCH(AC$1,[3]characters!$1:$1,0)-MATCH("character_id",[3]characters!$1:$1,0)+1,FALSE)</f>
        <v>ムゥ</v>
      </c>
      <c r="AD218" s="4">
        <f ca="1">VLOOKUP($AB218,OFFSET([3]characters!$A$1,0,0,COUNTA([3]characters!$A:$A),MATCH(AD$1,[3]characters!$1:$1,0)-MATCH("character_id",[3]characters!$1:$1,0)+1),MATCH(AD$1,[3]characters!$1:$1,0)-MATCH("character_id",[3]characters!$1:$1,0)+1,FALSE)</f>
        <v>2</v>
      </c>
      <c r="AE218" s="4" t="str">
        <f ca="1">VLOOKUP($AB218,OFFSET([3]characters!$A$1,0,0,COUNTA([3]characters!$A:$A),MATCH(AE$1,[3]characters!$1:$1,0)-MATCH("character_id",[3]characters!$1:$1,0)+1),MATCH(AE$1,[3]characters!$1:$1,0)-MATCH("character_id",[3]characters!$1:$1,0)+1,FALSE)</f>
        <v>Drop1N</v>
      </c>
      <c r="AF218" s="7">
        <v>7</v>
      </c>
      <c r="AG218" s="26">
        <f t="shared" ca="1" si="239"/>
        <v>2</v>
      </c>
      <c r="AH218" s="8">
        <v>20</v>
      </c>
      <c r="AI218" s="7">
        <v>0</v>
      </c>
      <c r="AJ218" s="7">
        <v>0</v>
      </c>
      <c r="AK218" s="7">
        <v>0</v>
      </c>
      <c r="AL218" s="7">
        <v>0</v>
      </c>
      <c r="AM218" s="7">
        <v>1</v>
      </c>
    </row>
    <row r="219" spans="1:39" ht="14" x14ac:dyDescent="0.15">
      <c r="A219" s="18" t="str">
        <f t="shared" ref="A219" ca="1" si="262">B219&amp;"_"&amp;C219&amp;"-"&amp;G219&amp;"/"&amp;L219&amp;"&lt;lv"&amp;R219&amp;"&gt;s"&amp;AA219</f>
        <v>23_3-1/362&lt;lv46&gt;s3</v>
      </c>
      <c r="B219" s="53">
        <v>23</v>
      </c>
      <c r="C219" s="51">
        <v>3</v>
      </c>
      <c r="D219" s="2" t="str">
        <f t="shared" ref="D219" si="263">B219&amp;"_"&amp;C219</f>
        <v>23_3</v>
      </c>
      <c r="E219" s="2" t="str">
        <f t="shared" ref="E219" si="264">C219&amp;"_"&amp;D219</f>
        <v>3_23_3</v>
      </c>
      <c r="F219" s="4" t="str">
        <f ca="1">VLOOKUP($D219,OFFSET([1]stages!$A$1,0,0,COUNTA([1]stages!$A:$A),MATCH(F$1,[1]stages!$2:$2,0)-MATCH($D$1,[1]stages!$2:$2,0)+1),MATCH(F$1,[1]stages!$2:$2,0)-MATCH($D$1,[1]stages!$2:$2,0)+1,FALSE)</f>
        <v>23-3．震える大地</v>
      </c>
      <c r="G219" s="56">
        <v>1</v>
      </c>
      <c r="H219" s="17" t="str">
        <f t="shared" ref="H219" si="265">B219&amp;"_"&amp;C219&amp;"-"&amp;G219</f>
        <v>23_3-1</v>
      </c>
      <c r="I219" s="17"/>
      <c r="J219" s="17"/>
      <c r="K219" s="65" t="s">
        <v>56</v>
      </c>
      <c r="L219" s="52">
        <v>362</v>
      </c>
      <c r="M219" s="21" t="str">
        <f ca="1">VLOOKUP($L219,OFFSET([2]enemies!$A$1,0,0,COUNTA([2]enemies!$A:$A),MATCH(M$1,[2]enemies!$1:$1,0)-MATCH($L$1,[2]enemies!$1:$1,0)+1),MATCH(M$1,[2]enemies!$1:$1,0)-MATCH($L$1,[2]enemies!$1:$1,0)+1,FALSE)</f>
        <v>ゆらら</v>
      </c>
      <c r="N219" s="21" t="str">
        <f ca="1">VLOOKUP($L219,OFFSET([2]enemies!$A$1,0,0,COUNTA([2]enemies!$A:$A),MATCH(N$1,[2]enemies!$1:$1,0)-MATCH($L$1,[2]enemies!$1:$1,0)+1),MATCH(N$1,[2]enemies!$1:$1,0)-MATCH($L$1,[2]enemies!$1:$1,0)+1,FALSE)</f>
        <v>green</v>
      </c>
      <c r="O219" s="21" t="str">
        <f ca="1">VLOOKUP($L219,OFFSET([3]characters!$A$1,0,0,COUNTA([3]characters!$A:$A),MATCH(O$1,[3]characters!$1:$1,0)-MATCH($L$1,[3]characters!$1:$1,0)+1),MATCH(O$1,[3]characters!$1:$1,0)-MATCH($L$1,[3]characters!$1:$1,0)+1,FALSE)</f>
        <v>Drop1S</v>
      </c>
      <c r="P219" s="21" t="str">
        <f ca="1">VLOOKUP($L219,OFFSET([2]enemies!$A$1,0,0,COUNTA([2]enemies!$A:$A),MATCH(P$1,[2]enemies!$1:$1,0)-MATCH($L$1,[2]enemies!$1:$1,0)+1),MATCH(P$1,[2]enemies!$1:$1,0)-MATCH($L$1,[2]enemies!$1:$1,0)+1,FALSE)</f>
        <v>animal</v>
      </c>
      <c r="Q219" s="21">
        <f ca="1">VLOOKUP($L219,OFFSET([2]enemies!$A$1,0,0,COUNTA([2]enemies!$A:$A),MATCH(Q$1,[2]enemies!$1:$1,0)-MATCH($L$1,[2]enemies!$1:$1,0)+1),MATCH(Q$1,[2]enemies!$1:$1,0)-MATCH($L$1,[2]enemies!$1:$1,0)+1,FALSE)</f>
        <v>15</v>
      </c>
      <c r="R219" s="53">
        <v>46</v>
      </c>
      <c r="S219" s="27">
        <v>1</v>
      </c>
      <c r="T219" s="27">
        <v>1</v>
      </c>
      <c r="U219" s="5">
        <v>0</v>
      </c>
      <c r="V219" s="4" t="str">
        <f ca="1">VLOOKUP($W219,OFFSET([4]enemy_skill_sets!$B$1,0,0,COUNTA([4]enemy_skill_sets!$B:$B),MATCH(M$1,[4]enemy_skill_sets!$1:$1,0)-MATCH($W$1,[4]enemy_skill_sets!$1:$1,0)+2),MATCH(M$1,[4]enemy_skill_sets!$1:$1,0)-MATCH($W$1,[4]enemy_skill_sets!$1:$1,0)+2,FALSE)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19" s="64">
        <v>362</v>
      </c>
      <c r="X219" s="6">
        <v>0</v>
      </c>
      <c r="Y219" s="6">
        <v>100</v>
      </c>
      <c r="Z219" s="6">
        <v>0</v>
      </c>
      <c r="AA219" s="4">
        <f ca="1">VLOOKUP($L219,OFFSET([2]enemies!$A$1,0,0,COUNTA([2]enemies!$A:$A),MATCH(AA$1,[2]enemies!$1:$1,0)-MATCH($L$1,[2]enemies!$1:$1,0)+1),MATCH(AA$1,[2]enemies!$1:$1,0)-MATCH($L$1,[2]enemies!$1:$1,0)+1,FALSE)</f>
        <v>3</v>
      </c>
      <c r="AB219" s="52">
        <v>362</v>
      </c>
      <c r="AC219" s="4" t="str">
        <f ca="1">VLOOKUP($AB219,OFFSET([3]characters!$A$1,0,0,COUNTA([3]characters!$A:$A),MATCH(AC$1,[3]characters!$1:$1,0)-MATCH("character_id",[3]characters!$1:$1,0)+1),MATCH(AC$1,[3]characters!$1:$1,0)-MATCH("character_id",[3]characters!$1:$1,0)+1,FALSE)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19" s="4">
        <f ca="1">VLOOKUP($AB219,OFFSET([3]characters!$A$1,0,0,COUNTA([3]characters!$A:$A),MATCH(AD$1,[3]characters!$1:$1,0)-MATCH("character_id",[3]characters!$1:$1,0)+1),MATCH(AD$1,[3]characters!$1:$1,0)-MATCH("character_id",[3]characters!$1:$1,0)+1,FALSE)</f>
        <v>2</v>
      </c>
      <c r="AE219" s="4" t="str">
        <f ca="1">VLOOKUP($AB219,OFFSET([3]characters!$A$1,0,0,COUNTA([3]characters!$A:$A),MATCH(AE$1,[3]characters!$1:$1,0)-MATCH("character_id",[3]characters!$1:$1,0)+1),MATCH(AE$1,[3]characters!$1:$1,0)-MATCH("character_id",[3]characters!$1:$1,0)+1,FALSE)</f>
        <v>Drop1S</v>
      </c>
      <c r="AF219" s="7">
        <v>7</v>
      </c>
      <c r="AG219" s="26">
        <f t="shared" ca="1" si="239"/>
        <v>2</v>
      </c>
      <c r="AH219" s="8">
        <v>20</v>
      </c>
      <c r="AI219" s="7">
        <v>0</v>
      </c>
      <c r="AJ219" s="7">
        <v>0</v>
      </c>
      <c r="AK219" s="7">
        <v>0</v>
      </c>
      <c r="AL219" s="7">
        <v>0</v>
      </c>
      <c r="AM219" s="7">
        <v>1</v>
      </c>
    </row>
    <row r="220" spans="1:39" ht="14" x14ac:dyDescent="0.15">
      <c r="A220" s="18" t="str">
        <f t="shared" ref="A220" ca="1" si="266">B220&amp;"_"&amp;C220&amp;"-"&amp;G220&amp;"/"&amp;L220&amp;"&lt;lv"&amp;R220&amp;"&gt;s"&amp;AA220</f>
        <v>23_3-1/350&lt;lv46&gt;s3</v>
      </c>
      <c r="B220" s="53">
        <v>23</v>
      </c>
      <c r="C220" s="51">
        <v>3</v>
      </c>
      <c r="D220" s="2" t="str">
        <f t="shared" ref="D220" si="267">B220&amp;"_"&amp;C220</f>
        <v>23_3</v>
      </c>
      <c r="E220" s="2" t="str">
        <f t="shared" ref="E220" si="268">C220&amp;"_"&amp;D220</f>
        <v>3_23_3</v>
      </c>
      <c r="F220" s="4" t="str">
        <f ca="1">VLOOKUP($D220,OFFSET([1]stages!$A$1,0,0,COUNTA([1]stages!$A:$A),MATCH(F$1,[1]stages!$2:$2,0)-MATCH($D$1,[1]stages!$2:$2,0)+1),MATCH(F$1,[1]stages!$2:$2,0)-MATCH($D$1,[1]stages!$2:$2,0)+1,FALSE)</f>
        <v>23-3．震える大地</v>
      </c>
      <c r="G220" s="56">
        <v>1</v>
      </c>
      <c r="H220" s="17" t="str">
        <f t="shared" ref="H220" si="269">B220&amp;"_"&amp;C220&amp;"-"&amp;G220</f>
        <v>23_3-1</v>
      </c>
      <c r="I220" s="17"/>
      <c r="J220" s="17"/>
      <c r="K220" s="65" t="s">
        <v>56</v>
      </c>
      <c r="L220" s="52">
        <v>350</v>
      </c>
      <c r="M220" s="21" t="str">
        <f ca="1">VLOOKUP($L220,OFFSET([2]enemies!$A$1,0,0,COUNTA([2]enemies!$A:$A),MATCH(M$1,[2]enemies!$1:$1,0)-MATCH($L$1,[2]enemies!$1:$1,0)+1),MATCH(M$1,[2]enemies!$1:$1,0)-MATCH($L$1,[2]enemies!$1:$1,0)+1,FALSE)</f>
        <v>森のケロケロ</v>
      </c>
      <c r="N220" s="21" t="str">
        <f ca="1">VLOOKUP($L220,OFFSET([2]enemies!$A$1,0,0,COUNTA([2]enemies!$A:$A),MATCH(N$1,[2]enemies!$1:$1,0)-MATCH($L$1,[2]enemies!$1:$1,0)+1),MATCH(N$1,[2]enemies!$1:$1,0)-MATCH($L$1,[2]enemies!$1:$1,0)+1,FALSE)</f>
        <v>green</v>
      </c>
      <c r="O220" s="21" t="str">
        <f ca="1">VLOOKUP($L220,OFFSET([3]characters!$A$1,0,0,COUNTA([3]characters!$A:$A),MATCH(O$1,[3]characters!$1:$1,0)-MATCH($L$1,[3]characters!$1:$1,0)+1),MATCH(O$1,[3]characters!$1:$1,0)-MATCH($L$1,[3]characters!$1:$1,0)+1,FALSE)</f>
        <v>Material</v>
      </c>
      <c r="P220" s="21" t="str">
        <f ca="1">VLOOKUP($L220,OFFSET([2]enemies!$A$1,0,0,COUNTA([2]enemies!$A:$A),MATCH(P$1,[2]enemies!$1:$1,0)-MATCH($L$1,[2]enemies!$1:$1,0)+1),MATCH(P$1,[2]enemies!$1:$1,0)-MATCH($L$1,[2]enemies!$1:$1,0)+1,FALSE)</f>
        <v>unknown</v>
      </c>
      <c r="Q220" s="21">
        <f ca="1">VLOOKUP($L220,OFFSET([2]enemies!$A$1,0,0,COUNTA([2]enemies!$A:$A),MATCH(Q$1,[2]enemies!$1:$1,0)-MATCH($L$1,[2]enemies!$1:$1,0)+1),MATCH(Q$1,[2]enemies!$1:$1,0)-MATCH($L$1,[2]enemies!$1:$1,0)+1,FALSE)</f>
        <v>15</v>
      </c>
      <c r="R220" s="53">
        <v>46</v>
      </c>
      <c r="S220" s="27">
        <v>1</v>
      </c>
      <c r="T220" s="27">
        <v>1</v>
      </c>
      <c r="U220" s="5">
        <v>0</v>
      </c>
      <c r="V220" s="4" t="str">
        <f ca="1">VLOOKUP($W220,OFFSET([4]enemy_skill_sets!$B$1,0,0,COUNTA([4]enemy_skill_sets!$B:$B),MATCH(M$1,[4]enemy_skill_sets!$1:$1,0)-MATCH($W$1,[4]enemy_skill_sets!$1:$1,0)+2),MATCH(M$1,[4]enemy_skill_sets!$1:$1,0)-MATCH($W$1,[4]enemy_skill_sets!$1:$1,0)+2,FALSE)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20" s="64">
        <v>350</v>
      </c>
      <c r="X220" s="6">
        <v>1</v>
      </c>
      <c r="Y220" s="6">
        <v>100</v>
      </c>
      <c r="Z220" s="6">
        <v>0</v>
      </c>
      <c r="AA220" s="4">
        <f ca="1">VLOOKUP($L220,OFFSET([2]enemies!$A$1,0,0,COUNTA([2]enemies!$A:$A),MATCH(AA$1,[2]enemies!$1:$1,0)-MATCH($L$1,[2]enemies!$1:$1,0)+1),MATCH(AA$1,[2]enemies!$1:$1,0)-MATCH($L$1,[2]enemies!$1:$1,0)+1,FALSE)</f>
        <v>3</v>
      </c>
      <c r="AB220" s="52">
        <v>350</v>
      </c>
      <c r="AC220" s="4" t="str">
        <f ca="1">VLOOKUP($AB220,OFFSET([3]characters!$A$1,0,0,COUNTA([3]characters!$A:$A),MATCH(AC$1,[3]characters!$1:$1,0)-MATCH("character_id",[3]characters!$1:$1,0)+1),MATCH(AC$1,[3]characters!$1:$1,0)-MATCH("character_id",[3]characters!$1:$1,0)+1,FALSE)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20" s="4">
        <f ca="1">VLOOKUP($AB220,OFFSET([3]characters!$A$1,0,0,COUNTA([3]characters!$A:$A),MATCH(AD$1,[3]characters!$1:$1,0)-MATCH("character_id",[3]characters!$1:$1,0)+1),MATCH(AD$1,[3]characters!$1:$1,0)-MATCH("character_id",[3]characters!$1:$1,0)+1,FALSE)</f>
        <v>2</v>
      </c>
      <c r="AE220" s="4" t="str">
        <f ca="1">VLOOKUP($AB220,OFFSET([3]characters!$A$1,0,0,COUNTA([3]characters!$A:$A),MATCH(AE$1,[3]characters!$1:$1,0)-MATCH("character_id",[3]characters!$1:$1,0)+1),MATCH(AE$1,[3]characters!$1:$1,0)-MATCH("character_id",[3]characters!$1:$1,0)+1,FALSE)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20" s="7">
        <v>10</v>
      </c>
      <c r="AG220" s="26">
        <f t="shared" ca="1" si="239"/>
        <v>2</v>
      </c>
      <c r="AH220" s="8">
        <v>100</v>
      </c>
      <c r="AI220" s="7">
        <v>0</v>
      </c>
      <c r="AJ220" s="7">
        <v>0</v>
      </c>
      <c r="AK220" s="7">
        <v>0</v>
      </c>
      <c r="AL220" s="7">
        <v>0</v>
      </c>
      <c r="AM220" s="7">
        <v>1</v>
      </c>
    </row>
    <row r="221" spans="1:39" ht="14" x14ac:dyDescent="0.15">
      <c r="A221" s="18" t="str">
        <f t="shared" ca="1" si="248"/>
        <v>23_3-2/9&lt;lv44&gt;s2</v>
      </c>
      <c r="B221" s="50">
        <v>23</v>
      </c>
      <c r="C221" s="49">
        <v>3</v>
      </c>
      <c r="D221" s="2" t="str">
        <f t="shared" si="249"/>
        <v>23_3</v>
      </c>
      <c r="E221" s="2" t="str">
        <f t="shared" si="249"/>
        <v>3_23_3</v>
      </c>
      <c r="F221" s="4" t="str">
        <f ca="1">VLOOKUP($D221,OFFSET([1]stages!$A$1,0,0,COUNTA([1]stages!$A:$A),MATCH(F$1,[1]stages!$2:$2,0)-MATCH($D$1,[1]stages!$2:$2,0)+1),MATCH(F$1,[1]stages!$2:$2,0)-MATCH($D$1,[1]stages!$2:$2,0)+1,FALSE)</f>
        <v>23-3．震える大地</v>
      </c>
      <c r="G221" s="57">
        <v>2</v>
      </c>
      <c r="H221" s="17" t="str">
        <f t="shared" si="250"/>
        <v>23_3-2</v>
      </c>
      <c r="I221" s="17"/>
      <c r="J221" s="17"/>
      <c r="K221" s="65" t="s">
        <v>56</v>
      </c>
      <c r="L221" s="52">
        <v>9</v>
      </c>
      <c r="M221" s="21" t="str">
        <f ca="1">VLOOKUP($L221,OFFSET([2]enemies!$A$1,0,0,COUNTA([2]enemies!$A:$A),MATCH(M$1,[2]enemies!$1:$1,0)-MATCH($L$1,[2]enemies!$1:$1,0)+1),MATCH(M$1,[2]enemies!$1:$1,0)-MATCH($L$1,[2]enemies!$1:$1,0)+1,FALSE)</f>
        <v>ブレット</v>
      </c>
      <c r="N221" s="21" t="str">
        <f ca="1">VLOOKUP($L221,OFFSET([2]enemies!$A$1,0,0,COUNTA([2]enemies!$A:$A),MATCH(N$1,[2]enemies!$1:$1,0)-MATCH($L$1,[2]enemies!$1:$1,0)+1),MATCH(N$1,[2]enemies!$1:$1,0)-MATCH($L$1,[2]enemies!$1:$1,0)+1,FALSE)</f>
        <v>red</v>
      </c>
      <c r="O221" s="21" t="str">
        <f ca="1">VLOOKUP($L221,OFFSET([3]characters!$A$1,0,0,COUNTA([3]characters!$A:$A),MATCH(O$1,[3]characters!$1:$1,0)-MATCH($L$1,[3]characters!$1:$1,0)+1),MATCH(O$1,[3]characters!$1:$1,0)-MATCH($L$1,[3]characters!$1:$1,0)+1,FALSE)</f>
        <v>Drop1W</v>
      </c>
      <c r="P221" s="21" t="str">
        <f ca="1">VLOOKUP($L221,OFFSET([2]enemies!$A$1,0,0,COUNTA([2]enemies!$A:$A),MATCH(P$1,[2]enemies!$1:$1,0)-MATCH($L$1,[2]enemies!$1:$1,0)+1),MATCH(P$1,[2]enemies!$1:$1,0)-MATCH($L$1,[2]enemies!$1:$1,0)+1,FALSE)</f>
        <v>animal</v>
      </c>
      <c r="Q221" s="21">
        <f ca="1">VLOOKUP($L221,OFFSET([2]enemies!$A$1,0,0,COUNTA([2]enemies!$A:$A),MATCH(Q$1,[2]enemies!$1:$1,0)-MATCH($L$1,[2]enemies!$1:$1,0)+1),MATCH(Q$1,[2]enemies!$1:$1,0)-MATCH($L$1,[2]enemies!$1:$1,0)+1,FALSE)</f>
        <v>15</v>
      </c>
      <c r="R221" s="53">
        <v>44</v>
      </c>
      <c r="S221" s="27">
        <v>1</v>
      </c>
      <c r="T221" s="27">
        <v>1</v>
      </c>
      <c r="U221" s="5">
        <v>0</v>
      </c>
      <c r="V221" s="4" t="str">
        <f ca="1">VLOOKUP($W221,OFFSET([4]enemy_skill_sets!$B$1,0,0,COUNTA([4]enemy_skill_sets!$B:$B),MATCH(M$1,[4]enemy_skill_sets!$1:$1,0)-MATCH($W$1,[4]enemy_skill_sets!$1:$1,0)+2),MATCH(M$1,[4]enemy_skill_sets!$1:$1,0)-MATCH($W$1,[4]enemy_skill_sets!$1:$1,0)+2,FALSE)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21" s="4">
        <f ca="1">VLOOKUP($L221,OFFSET([2]enemies!$A$1,0,0,COUNTA([2]enemies!$A:$A),MATCH(W$1,[2]enemies!$1:$1,0)-MATCH($L$1,[2]enemies!$1:$1,0)+1),MATCH(W$1,[2]enemies!$1:$1,0)-MATCH($L$1,[2]enemies!$1:$1,0)+1,FALSE)</f>
        <v>0</v>
      </c>
      <c r="X221" s="6">
        <v>0</v>
      </c>
      <c r="Y221" s="6">
        <v>100</v>
      </c>
      <c r="Z221" s="6">
        <v>0</v>
      </c>
      <c r="AA221" s="4">
        <f ca="1">VLOOKUP($L221,OFFSET([2]enemies!$A$1,0,0,COUNTA([2]enemies!$A:$A),MATCH(AA$1,[2]enemies!$1:$1,0)-MATCH($L$1,[2]enemies!$1:$1,0)+1),MATCH(AA$1,[2]enemies!$1:$1,0)-MATCH($L$1,[2]enemies!$1:$1,0)+1,FALSE)</f>
        <v>2</v>
      </c>
      <c r="AB221" s="52">
        <v>9</v>
      </c>
      <c r="AC221" s="4" t="str">
        <f ca="1">VLOOKUP($AB221,OFFSET([3]characters!$A$1,0,0,COUNTA([3]characters!$A:$A),MATCH(AC$1,[3]characters!$1:$1,0)-MATCH("character_id",[3]characters!$1:$1,0)+1),MATCH(AC$1,[3]characters!$1:$1,0)-MATCH("character_id",[3]characters!$1:$1,0)+1,FALSE)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221" s="4">
        <f ca="1">VLOOKUP($AB221,OFFSET([3]characters!$A$1,0,0,COUNTA([3]characters!$A:$A),MATCH(AD$1,[3]characters!$1:$1,0)-MATCH("character_id",[3]characters!$1:$1,0)+1),MATCH(AD$1,[3]characters!$1:$1,0)-MATCH("character_id",[3]characters!$1:$1,0)+1,FALSE)</f>
        <v>1</v>
      </c>
      <c r="AE221" s="4" t="str">
        <f ca="1">VLOOKUP($AB221,OFFSET([3]characters!$A$1,0,0,COUNTA([3]characters!$A:$A),MATCH(AE$1,[3]characters!$1:$1,0)-MATCH("character_id",[3]characters!$1:$1,0)+1),MATCH(AE$1,[3]characters!$1:$1,0)-MATCH("character_id",[3]characters!$1:$1,0)+1,FALSE)</f>
        <v>Drop1W</v>
      </c>
      <c r="AF221" s="7">
        <v>9</v>
      </c>
      <c r="AG221" s="26">
        <f t="shared" ca="1" si="239"/>
        <v>1</v>
      </c>
      <c r="AH221" s="8">
        <v>20</v>
      </c>
      <c r="AI221" s="7">
        <v>0</v>
      </c>
      <c r="AJ221" s="7">
        <v>0</v>
      </c>
      <c r="AK221" s="7">
        <v>0</v>
      </c>
      <c r="AL221" s="7">
        <v>0</v>
      </c>
      <c r="AM221" s="7">
        <v>1</v>
      </c>
    </row>
    <row r="222" spans="1:39" ht="14" x14ac:dyDescent="0.15">
      <c r="A222" s="18" t="str">
        <f t="shared" ca="1" si="248"/>
        <v>23_3-2/33&lt;lv44&gt;s2</v>
      </c>
      <c r="B222" s="50">
        <v>23</v>
      </c>
      <c r="C222" s="49">
        <v>3</v>
      </c>
      <c r="D222" s="2" t="str">
        <f t="shared" si="249"/>
        <v>23_3</v>
      </c>
      <c r="E222" s="2" t="str">
        <f t="shared" si="249"/>
        <v>3_23_3</v>
      </c>
      <c r="F222" s="4" t="str">
        <f ca="1">VLOOKUP($D222,OFFSET([1]stages!$A$1,0,0,COUNTA([1]stages!$A:$A),MATCH(F$1,[1]stages!$2:$2,0)-MATCH($D$1,[1]stages!$2:$2,0)+1),MATCH(F$1,[1]stages!$2:$2,0)-MATCH($D$1,[1]stages!$2:$2,0)+1,FALSE)</f>
        <v>23-3．震える大地</v>
      </c>
      <c r="G222" s="57">
        <v>2</v>
      </c>
      <c r="H222" s="17" t="str">
        <f t="shared" si="250"/>
        <v>23_3-2</v>
      </c>
      <c r="I222" s="17"/>
      <c r="J222" s="17"/>
      <c r="K222" s="65" t="s">
        <v>56</v>
      </c>
      <c r="L222" s="52">
        <v>33</v>
      </c>
      <c r="M222" s="21" t="str">
        <f ca="1">VLOOKUP($L222,OFFSET([2]enemies!$A$1,0,0,COUNTA([2]enemies!$A:$A),MATCH(M$1,[2]enemies!$1:$1,0)-MATCH($L$1,[2]enemies!$1:$1,0)+1),MATCH(M$1,[2]enemies!$1:$1,0)-MATCH($L$1,[2]enemies!$1:$1,0)+1,FALSE)</f>
        <v>ゴクウ</v>
      </c>
      <c r="N222" s="21" t="str">
        <f ca="1">VLOOKUP($L222,OFFSET([2]enemies!$A$1,0,0,COUNTA([2]enemies!$A:$A),MATCH(N$1,[2]enemies!$1:$1,0)-MATCH($L$1,[2]enemies!$1:$1,0)+1),MATCH(N$1,[2]enemies!$1:$1,0)-MATCH($L$1,[2]enemies!$1:$1,0)+1,FALSE)</f>
        <v>red</v>
      </c>
      <c r="O222" s="21" t="str">
        <f ca="1">VLOOKUP($L222,OFFSET([3]characters!$A$1,0,0,COUNTA([3]characters!$A:$A),MATCH(O$1,[3]characters!$1:$1,0)-MATCH($L$1,[3]characters!$1:$1,0)+1),MATCH(O$1,[3]characters!$1:$1,0)-MATCH($L$1,[3]characters!$1:$1,0)+1,FALSE)</f>
        <v>Drop1S</v>
      </c>
      <c r="P222" s="21" t="str">
        <f ca="1">VLOOKUP($L222,OFFSET([2]enemies!$A$1,0,0,COUNTA([2]enemies!$A:$A),MATCH(P$1,[2]enemies!$1:$1,0)-MATCH($L$1,[2]enemies!$1:$1,0)+1),MATCH(P$1,[2]enemies!$1:$1,0)-MATCH($L$1,[2]enemies!$1:$1,0)+1,FALSE)</f>
        <v>animal</v>
      </c>
      <c r="Q222" s="21">
        <f ca="1">VLOOKUP($L222,OFFSET([2]enemies!$A$1,0,0,COUNTA([2]enemies!$A:$A),MATCH(Q$1,[2]enemies!$1:$1,0)-MATCH($L$1,[2]enemies!$1:$1,0)+1),MATCH(Q$1,[2]enemies!$1:$1,0)-MATCH($L$1,[2]enemies!$1:$1,0)+1,FALSE)</f>
        <v>15</v>
      </c>
      <c r="R222" s="53">
        <v>44</v>
      </c>
      <c r="S222" s="27">
        <v>1</v>
      </c>
      <c r="T222" s="27">
        <v>1</v>
      </c>
      <c r="U222" s="5">
        <v>0</v>
      </c>
      <c r="V222" s="4" t="str">
        <f ca="1">VLOOKUP($W222,OFFSET([4]enemy_skill_sets!$B$1,0,0,COUNTA([4]enemy_skill_sets!$B:$B),MATCH(M$1,[4]enemy_skill_sets!$1:$1,0)-MATCH($W$1,[4]enemy_skill_sets!$1:$1,0)+2),MATCH(M$1,[4]enemy_skill_sets!$1:$1,0)-MATCH($W$1,[4]enemy_skill_sets!$1:$1,0)+2,FALSE)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22" s="4">
        <f ca="1">VLOOKUP($L222,OFFSET([2]enemies!$A$1,0,0,COUNTA([2]enemies!$A:$A),MATCH(W$1,[2]enemies!$1:$1,0)-MATCH($L$1,[2]enemies!$1:$1,0)+1),MATCH(W$1,[2]enemies!$1:$1,0)-MATCH($L$1,[2]enemies!$1:$1,0)+1,FALSE)</f>
        <v>33</v>
      </c>
      <c r="X222" s="6">
        <v>0</v>
      </c>
      <c r="Y222" s="6">
        <v>100</v>
      </c>
      <c r="Z222" s="6">
        <v>0</v>
      </c>
      <c r="AA222" s="4">
        <f ca="1">VLOOKUP($L222,OFFSET([2]enemies!$A$1,0,0,COUNTA([2]enemies!$A:$A),MATCH(AA$1,[2]enemies!$1:$1,0)-MATCH($L$1,[2]enemies!$1:$1,0)+1),MATCH(AA$1,[2]enemies!$1:$1,0)-MATCH($L$1,[2]enemies!$1:$1,0)+1,FALSE)</f>
        <v>2</v>
      </c>
      <c r="AB222" s="52">
        <v>33</v>
      </c>
      <c r="AC222" s="4" t="str">
        <f ca="1">VLOOKUP($AB222,OFFSET([3]characters!$A$1,0,0,COUNTA([3]characters!$A:$A),MATCH(AC$1,[3]characters!$1:$1,0)-MATCH("character_id",[3]characters!$1:$1,0)+1),MATCH(AC$1,[3]characters!$1:$1,0)-MATCH("character_id",[3]characters!$1:$1,0)+1,FALSE)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22" s="4">
        <f ca="1">VLOOKUP($AB222,OFFSET([3]characters!$A$1,0,0,COUNTA([3]characters!$A:$A),MATCH(AD$1,[3]characters!$1:$1,0)-MATCH("character_id",[3]characters!$1:$1,0)+1),MATCH(AD$1,[3]characters!$1:$1,0)-MATCH("character_id",[3]characters!$1:$1,0)+1,FALSE)</f>
        <v>2</v>
      </c>
      <c r="AE222" s="4" t="str">
        <f ca="1">VLOOKUP($AB222,OFFSET([3]characters!$A$1,0,0,COUNTA([3]characters!$A:$A),MATCH(AE$1,[3]characters!$1:$1,0)-MATCH("character_id",[3]characters!$1:$1,0)+1),MATCH(AE$1,[3]characters!$1:$1,0)-MATCH("character_id",[3]characters!$1:$1,0)+1,FALSE)</f>
        <v>Drop1S</v>
      </c>
      <c r="AF222" s="7">
        <v>5</v>
      </c>
      <c r="AG222" s="26">
        <f t="shared" ca="1" si="239"/>
        <v>2</v>
      </c>
      <c r="AH222" s="8">
        <v>20</v>
      </c>
      <c r="AI222" s="7">
        <v>0</v>
      </c>
      <c r="AJ222" s="7">
        <v>0</v>
      </c>
      <c r="AK222" s="7">
        <v>0</v>
      </c>
      <c r="AL222" s="7">
        <v>0</v>
      </c>
      <c r="AM222" s="7">
        <v>1</v>
      </c>
    </row>
    <row r="223" spans="1:39" ht="14" x14ac:dyDescent="0.15">
      <c r="A223" s="18" t="str">
        <f t="shared" ca="1" si="248"/>
        <v>23_3-2/57&lt;lv44&gt;s2</v>
      </c>
      <c r="B223" s="50">
        <v>23</v>
      </c>
      <c r="C223" s="49">
        <v>3</v>
      </c>
      <c r="D223" s="2" t="str">
        <f t="shared" si="249"/>
        <v>23_3</v>
      </c>
      <c r="E223" s="2" t="str">
        <f t="shared" si="249"/>
        <v>3_23_3</v>
      </c>
      <c r="F223" s="4" t="str">
        <f ca="1">VLOOKUP($D223,OFFSET([1]stages!$A$1,0,0,COUNTA([1]stages!$A:$A),MATCH(F$1,[1]stages!$2:$2,0)-MATCH($D$1,[1]stages!$2:$2,0)+1),MATCH(F$1,[1]stages!$2:$2,0)-MATCH($D$1,[1]stages!$2:$2,0)+1,FALSE)</f>
        <v>23-3．震える大地</v>
      </c>
      <c r="G223" s="57">
        <v>2</v>
      </c>
      <c r="H223" s="17" t="str">
        <f t="shared" si="250"/>
        <v>23_3-2</v>
      </c>
      <c r="I223" s="17"/>
      <c r="J223" s="17"/>
      <c r="K223" s="65" t="s">
        <v>56</v>
      </c>
      <c r="L223" s="52">
        <v>57</v>
      </c>
      <c r="M223" s="21" t="str">
        <f ca="1">VLOOKUP($L223,OFFSET([2]enemies!$A$1,0,0,COUNTA([2]enemies!$A:$A),MATCH(M$1,[2]enemies!$1:$1,0)-MATCH($L$1,[2]enemies!$1:$1,0)+1),MATCH(M$1,[2]enemies!$1:$1,0)-MATCH($L$1,[2]enemies!$1:$1,0)+1,FALSE)</f>
        <v>チェン・リー</v>
      </c>
      <c r="N223" s="21" t="str">
        <f ca="1">VLOOKUP($L223,OFFSET([2]enemies!$A$1,0,0,COUNTA([2]enemies!$A:$A),MATCH(N$1,[2]enemies!$1:$1,0)-MATCH($L$1,[2]enemies!$1:$1,0)+1),MATCH(N$1,[2]enemies!$1:$1,0)-MATCH($L$1,[2]enemies!$1:$1,0)+1,FALSE)</f>
        <v>red</v>
      </c>
      <c r="O223" s="21" t="str">
        <f ca="1">VLOOKUP($L223,OFFSET([3]characters!$A$1,0,0,COUNTA([3]characters!$A:$A),MATCH(O$1,[3]characters!$1:$1,0)-MATCH($L$1,[3]characters!$1:$1,0)+1),MATCH(O$1,[3]characters!$1:$1,0)-MATCH($L$1,[3]characters!$1:$1,0)+1,FALSE)</f>
        <v>Drop1N</v>
      </c>
      <c r="P223" s="21" t="str">
        <f ca="1">VLOOKUP($L223,OFFSET([2]enemies!$A$1,0,0,COUNTA([2]enemies!$A:$A),MATCH(P$1,[2]enemies!$1:$1,0)-MATCH($L$1,[2]enemies!$1:$1,0)+1),MATCH(P$1,[2]enemies!$1:$1,0)-MATCH($L$1,[2]enemies!$1:$1,0)+1,FALSE)</f>
        <v>animal</v>
      </c>
      <c r="Q223" s="21">
        <f ca="1">VLOOKUP($L223,OFFSET([2]enemies!$A$1,0,0,COUNTA([2]enemies!$A:$A),MATCH(Q$1,[2]enemies!$1:$1,0)-MATCH($L$1,[2]enemies!$1:$1,0)+1),MATCH(Q$1,[2]enemies!$1:$1,0)-MATCH($L$1,[2]enemies!$1:$1,0)+1,FALSE)</f>
        <v>15</v>
      </c>
      <c r="R223" s="53">
        <v>44</v>
      </c>
      <c r="S223" s="27">
        <v>1</v>
      </c>
      <c r="T223" s="27">
        <v>1</v>
      </c>
      <c r="U223" s="5">
        <v>0</v>
      </c>
      <c r="V223" s="4" t="str">
        <f ca="1">VLOOKUP($W223,OFFSET([4]enemy_skill_sets!$B$1,0,0,COUNTA([4]enemy_skill_sets!$B:$B),MATCH(M$1,[4]enemy_skill_sets!$1:$1,0)-MATCH($W$1,[4]enemy_skill_sets!$1:$1,0)+2),MATCH(M$1,[4]enemy_skill_sets!$1:$1,0)-MATCH($W$1,[4]enemy_skill_sets!$1:$1,0)+2,FALSE)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23" s="4">
        <f ca="1">VLOOKUP($L223,OFFSET([2]enemies!$A$1,0,0,COUNTA([2]enemies!$A:$A),MATCH(W$1,[2]enemies!$1:$1,0)-MATCH($L$1,[2]enemies!$1:$1,0)+1),MATCH(W$1,[2]enemies!$1:$1,0)-MATCH($L$1,[2]enemies!$1:$1,0)+1,FALSE)</f>
        <v>57</v>
      </c>
      <c r="X223" s="6">
        <v>0</v>
      </c>
      <c r="Y223" s="6">
        <v>100</v>
      </c>
      <c r="Z223" s="6">
        <v>0</v>
      </c>
      <c r="AA223" s="4">
        <f ca="1">VLOOKUP($L223,OFFSET([2]enemies!$A$1,0,0,COUNTA([2]enemies!$A:$A),MATCH(AA$1,[2]enemies!$1:$1,0)-MATCH($L$1,[2]enemies!$1:$1,0)+1),MATCH(AA$1,[2]enemies!$1:$1,0)-MATCH($L$1,[2]enemies!$1:$1,0)+1,FALSE)</f>
        <v>2</v>
      </c>
      <c r="AB223" s="52">
        <v>57</v>
      </c>
      <c r="AC223" s="4" t="str">
        <f ca="1">VLOOKUP($AB223,OFFSET([3]characters!$A$1,0,0,COUNTA([3]characters!$A:$A),MATCH(AC$1,[3]characters!$1:$1,0)-MATCH("character_id",[3]characters!$1:$1,0)+1),MATCH(AC$1,[3]characters!$1:$1,0)-MATCH("character_id",[3]characters!$1:$1,0)+1,FALSE)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23" s="4">
        <f ca="1">VLOOKUP($AB223,OFFSET([3]characters!$A$1,0,0,COUNTA([3]characters!$A:$A),MATCH(AD$1,[3]characters!$1:$1,0)-MATCH("character_id",[3]characters!$1:$1,0)+1),MATCH(AD$1,[3]characters!$1:$1,0)-MATCH("character_id",[3]characters!$1:$1,0)+1,FALSE)</f>
        <v>2</v>
      </c>
      <c r="AE223" s="4" t="str">
        <f ca="1">VLOOKUP($AB223,OFFSET([3]characters!$A$1,0,0,COUNTA([3]characters!$A:$A),MATCH(AE$1,[3]characters!$1:$1,0)-MATCH("character_id",[3]characters!$1:$1,0)+1),MATCH(AE$1,[3]characters!$1:$1,0)-MATCH("character_id",[3]characters!$1:$1,0)+1,FALSE)</f>
        <v>Drop1N</v>
      </c>
      <c r="AF223" s="7">
        <v>7</v>
      </c>
      <c r="AG223" s="26">
        <f t="shared" ca="1" si="239"/>
        <v>2</v>
      </c>
      <c r="AH223" s="8">
        <v>20</v>
      </c>
      <c r="AI223" s="7">
        <v>0</v>
      </c>
      <c r="AJ223" s="7">
        <v>0</v>
      </c>
      <c r="AK223" s="7">
        <v>0</v>
      </c>
      <c r="AL223" s="7">
        <v>0</v>
      </c>
      <c r="AM223" s="7">
        <v>1</v>
      </c>
    </row>
    <row r="224" spans="1:39" ht="14" x14ac:dyDescent="0.15">
      <c r="A224" s="18" t="str">
        <f t="shared" ca="1" si="248"/>
        <v>23_3-2/21&lt;lv44&gt;s2</v>
      </c>
      <c r="B224" s="50">
        <v>23</v>
      </c>
      <c r="C224" s="49">
        <v>3</v>
      </c>
      <c r="D224" s="2" t="str">
        <f t="shared" si="249"/>
        <v>23_3</v>
      </c>
      <c r="E224" s="2" t="str">
        <f t="shared" si="249"/>
        <v>3_23_3</v>
      </c>
      <c r="F224" s="4" t="str">
        <f ca="1">VLOOKUP($D224,OFFSET([1]stages!$A$1,0,0,COUNTA([1]stages!$A:$A),MATCH(F$1,[1]stages!$2:$2,0)-MATCH($D$1,[1]stages!$2:$2,0)+1),MATCH(F$1,[1]stages!$2:$2,0)-MATCH($D$1,[1]stages!$2:$2,0)+1,FALSE)</f>
        <v>23-3．震える大地</v>
      </c>
      <c r="G224" s="57">
        <v>2</v>
      </c>
      <c r="H224" s="17" t="str">
        <f t="shared" si="250"/>
        <v>23_3-2</v>
      </c>
      <c r="I224" s="17"/>
      <c r="J224" s="17"/>
      <c r="K224" s="65" t="s">
        <v>56</v>
      </c>
      <c r="L224" s="52">
        <v>21</v>
      </c>
      <c r="M224" s="21" t="str">
        <f ca="1">VLOOKUP($L224,OFFSET([2]enemies!$A$1,0,0,COUNTA([2]enemies!$A:$A),MATCH(M$1,[2]enemies!$1:$1,0)-MATCH($L$1,[2]enemies!$1:$1,0)+1),MATCH(M$1,[2]enemies!$1:$1,0)-MATCH($L$1,[2]enemies!$1:$1,0)+1,FALSE)</f>
        <v>ヴェロキー</v>
      </c>
      <c r="N224" s="21" t="str">
        <f ca="1">VLOOKUP($L224,OFFSET([2]enemies!$A$1,0,0,COUNTA([2]enemies!$A:$A),MATCH(N$1,[2]enemies!$1:$1,0)-MATCH($L$1,[2]enemies!$1:$1,0)+1),MATCH(N$1,[2]enemies!$1:$1,0)-MATCH($L$1,[2]enemies!$1:$1,0)+1,FALSE)</f>
        <v>red</v>
      </c>
      <c r="O224" s="21" t="str">
        <f ca="1">VLOOKUP($L224,OFFSET([3]characters!$A$1,0,0,COUNTA([3]characters!$A:$A),MATCH(O$1,[3]characters!$1:$1,0)-MATCH($L$1,[3]characters!$1:$1,0)+1),MATCH(O$1,[3]characters!$1:$1,0)-MATCH($L$1,[3]characters!$1:$1,0)+1,FALSE)</f>
        <v>Drop1N</v>
      </c>
      <c r="P224" s="21" t="str">
        <f ca="1">VLOOKUP($L224,OFFSET([2]enemies!$A$1,0,0,COUNTA([2]enemies!$A:$A),MATCH(P$1,[2]enemies!$1:$1,0)-MATCH($L$1,[2]enemies!$1:$1,0)+1),MATCH(P$1,[2]enemies!$1:$1,0)-MATCH($L$1,[2]enemies!$1:$1,0)+1,FALSE)</f>
        <v>dragon</v>
      </c>
      <c r="Q224" s="21">
        <f ca="1">VLOOKUP($L224,OFFSET([2]enemies!$A$1,0,0,COUNTA([2]enemies!$A:$A),MATCH(Q$1,[2]enemies!$1:$1,0)-MATCH($L$1,[2]enemies!$1:$1,0)+1),MATCH(Q$1,[2]enemies!$1:$1,0)-MATCH($L$1,[2]enemies!$1:$1,0)+1,FALSE)</f>
        <v>15</v>
      </c>
      <c r="R224" s="53">
        <v>44</v>
      </c>
      <c r="S224" s="27">
        <v>1</v>
      </c>
      <c r="T224" s="27">
        <v>1</v>
      </c>
      <c r="U224" s="5">
        <v>0</v>
      </c>
      <c r="V224" s="4" t="str">
        <f ca="1">VLOOKUP($W224,OFFSET([4]enemy_skill_sets!$B$1,0,0,COUNTA([4]enemy_skill_sets!$B:$B),MATCH(M$1,[4]enemy_skill_sets!$1:$1,0)-MATCH($W$1,[4]enemy_skill_sets!$1:$1,0)+2),MATCH(M$1,[4]enemy_skill_sets!$1:$1,0)-MATCH($W$1,[4]enemy_skill_sets!$1:$1,0)+2,FALSE)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24" s="4">
        <f ca="1">VLOOKUP($L224,OFFSET([2]enemies!$A$1,0,0,COUNTA([2]enemies!$A:$A),MATCH(W$1,[2]enemies!$1:$1,0)-MATCH($L$1,[2]enemies!$1:$1,0)+1),MATCH(W$1,[2]enemies!$1:$1,0)-MATCH($L$1,[2]enemies!$1:$1,0)+1,FALSE)</f>
        <v>0</v>
      </c>
      <c r="X224" s="6">
        <v>0</v>
      </c>
      <c r="Y224" s="6">
        <v>100</v>
      </c>
      <c r="Z224" s="6">
        <v>0</v>
      </c>
      <c r="AA224" s="4">
        <f ca="1">VLOOKUP($L224,OFFSET([2]enemies!$A$1,0,0,COUNTA([2]enemies!$A:$A),MATCH(AA$1,[2]enemies!$1:$1,0)-MATCH($L$1,[2]enemies!$1:$1,0)+1),MATCH(AA$1,[2]enemies!$1:$1,0)-MATCH($L$1,[2]enemies!$1:$1,0)+1,FALSE)</f>
        <v>2</v>
      </c>
      <c r="AB224" s="52">
        <v>21</v>
      </c>
      <c r="AC224" s="4" t="str">
        <f ca="1">VLOOKUP($AB224,OFFSET([3]characters!$A$1,0,0,COUNTA([3]characters!$A:$A),MATCH(AC$1,[3]characters!$1:$1,0)-MATCH("character_id",[3]characters!$1:$1,0)+1),MATCH(AC$1,[3]characters!$1:$1,0)-MATCH("character_id",[3]characters!$1:$1,0)+1,FALSE)</f>
        <v>ヴェロキー</v>
      </c>
      <c r="AD224" s="4">
        <f ca="1">VLOOKUP($AB224,OFFSET([3]characters!$A$1,0,0,COUNTA([3]characters!$A:$A),MATCH(AD$1,[3]characters!$1:$1,0)-MATCH("character_id",[3]characters!$1:$1,0)+1),MATCH(AD$1,[3]characters!$1:$1,0)-MATCH("character_id",[3]characters!$1:$1,0)+1,FALSE)</f>
        <v>1</v>
      </c>
      <c r="AE224" s="4" t="str">
        <f ca="1">VLOOKUP($AB224,OFFSET([3]characters!$A$1,0,0,COUNTA([3]characters!$A:$A),MATCH(AE$1,[3]characters!$1:$1,0)-MATCH("character_id",[3]characters!$1:$1,0)+1),MATCH(AE$1,[3]characters!$1:$1,0)-MATCH("character_id",[3]characters!$1:$1,0)+1,FALSE)</f>
        <v>Drop1N</v>
      </c>
      <c r="AF224" s="7">
        <v>7</v>
      </c>
      <c r="AG224" s="26">
        <f t="shared" ca="1" si="239"/>
        <v>1</v>
      </c>
      <c r="AH224" s="8">
        <v>20</v>
      </c>
      <c r="AI224" s="7">
        <v>0</v>
      </c>
      <c r="AJ224" s="7">
        <v>0</v>
      </c>
      <c r="AK224" s="7">
        <v>0</v>
      </c>
      <c r="AL224" s="7">
        <v>0</v>
      </c>
      <c r="AM224" s="7">
        <v>1</v>
      </c>
    </row>
    <row r="225" spans="1:39" ht="14" x14ac:dyDescent="0.15">
      <c r="A225" s="18" t="str">
        <f t="shared" ca="1" si="248"/>
        <v>23_3-2/41&lt;lv44&gt;s1</v>
      </c>
      <c r="B225" s="50">
        <v>23</v>
      </c>
      <c r="C225" s="49">
        <v>3</v>
      </c>
      <c r="D225" s="2" t="str">
        <f t="shared" si="249"/>
        <v>23_3</v>
      </c>
      <c r="E225" s="2" t="str">
        <f t="shared" si="249"/>
        <v>3_23_3</v>
      </c>
      <c r="F225" s="4" t="str">
        <f ca="1">VLOOKUP($D225,OFFSET([1]stages!$A$1,0,0,COUNTA([1]stages!$A:$A),MATCH(F$1,[1]stages!$2:$2,0)-MATCH($D$1,[1]stages!$2:$2,0)+1),MATCH(F$1,[1]stages!$2:$2,0)-MATCH($D$1,[1]stages!$2:$2,0)+1,FALSE)</f>
        <v>23-3．震える大地</v>
      </c>
      <c r="G225" s="57">
        <v>2</v>
      </c>
      <c r="H225" s="17" t="str">
        <f t="shared" si="250"/>
        <v>23_3-2</v>
      </c>
      <c r="I225" s="17"/>
      <c r="J225" s="17"/>
      <c r="K225" s="65" t="s">
        <v>56</v>
      </c>
      <c r="L225" s="52">
        <v>41</v>
      </c>
      <c r="M225" s="21" t="str">
        <f ca="1">VLOOKUP($L225,OFFSET([2]enemies!$A$1,0,0,COUNTA([2]enemies!$A:$A),MATCH(M$1,[2]enemies!$1:$1,0)-MATCH($L$1,[2]enemies!$1:$1,0)+1),MATCH(M$1,[2]enemies!$1:$1,0)-MATCH($L$1,[2]enemies!$1:$1,0)+1,FALSE)</f>
        <v>ヒュウガ</v>
      </c>
      <c r="N225" s="21" t="str">
        <f ca="1">VLOOKUP($L225,OFFSET([2]enemies!$A$1,0,0,COUNTA([2]enemies!$A:$A),MATCH(N$1,[2]enemies!$1:$1,0)-MATCH($L$1,[2]enemies!$1:$1,0)+1),MATCH(N$1,[2]enemies!$1:$1,0)-MATCH($L$1,[2]enemies!$1:$1,0)+1,FALSE)</f>
        <v>red</v>
      </c>
      <c r="O225" s="21" t="str">
        <f ca="1">VLOOKUP($L225,OFFSET([3]characters!$A$1,0,0,COUNTA([3]characters!$A:$A),MATCH(O$1,[3]characters!$1:$1,0)-MATCH($L$1,[3]characters!$1:$1,0)+1),MATCH(O$1,[3]characters!$1:$1,0)-MATCH($L$1,[3]characters!$1:$1,0)+1,FALSE)</f>
        <v>Drop1N</v>
      </c>
      <c r="P225" s="21" t="str">
        <f ca="1">VLOOKUP($L225,OFFSET([2]enemies!$A$1,0,0,COUNTA([2]enemies!$A:$A),MATCH(P$1,[2]enemies!$1:$1,0)-MATCH($L$1,[2]enemies!$1:$1,0)+1),MATCH(P$1,[2]enemies!$1:$1,0)-MATCH($L$1,[2]enemies!$1:$1,0)+1,FALSE)</f>
        <v>dragon</v>
      </c>
      <c r="Q225" s="21">
        <f ca="1">VLOOKUP($L225,OFFSET([2]enemies!$A$1,0,0,COUNTA([2]enemies!$A:$A),MATCH(Q$1,[2]enemies!$1:$1,0)-MATCH($L$1,[2]enemies!$1:$1,0)+1),MATCH(Q$1,[2]enemies!$1:$1,0)-MATCH($L$1,[2]enemies!$1:$1,0)+1,FALSE)</f>
        <v>15</v>
      </c>
      <c r="R225" s="53">
        <v>44</v>
      </c>
      <c r="S225" s="27">
        <v>1</v>
      </c>
      <c r="T225" s="27">
        <v>1</v>
      </c>
      <c r="U225" s="5">
        <v>0</v>
      </c>
      <c r="V225" s="4" t="str">
        <f ca="1">VLOOKUP($W225,OFFSET([4]enemy_skill_sets!$B$1,0,0,COUNTA([4]enemy_skill_sets!$B:$B),MATCH(M$1,[4]enemy_skill_sets!$1:$1,0)-MATCH($W$1,[4]enemy_skill_sets!$1:$1,0)+2),MATCH(M$1,[4]enemy_skill_sets!$1:$1,0)-MATCH($W$1,[4]enemy_skill_sets!$1:$1,0)+2,FALSE)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25" s="4">
        <f ca="1">VLOOKUP($L225,OFFSET([2]enemies!$A$1,0,0,COUNTA([2]enemies!$A:$A),MATCH(W$1,[2]enemies!$1:$1,0)-MATCH($L$1,[2]enemies!$1:$1,0)+1),MATCH(W$1,[2]enemies!$1:$1,0)-MATCH($L$1,[2]enemies!$1:$1,0)+1,FALSE)</f>
        <v>0</v>
      </c>
      <c r="X225" s="6">
        <v>0</v>
      </c>
      <c r="Y225" s="6">
        <v>100</v>
      </c>
      <c r="Z225" s="6">
        <v>0</v>
      </c>
      <c r="AA225" s="4">
        <f ca="1">VLOOKUP($L225,OFFSET([2]enemies!$A$1,0,0,COUNTA([2]enemies!$A:$A),MATCH(AA$1,[2]enemies!$1:$1,0)-MATCH($L$1,[2]enemies!$1:$1,0)+1),MATCH(AA$1,[2]enemies!$1:$1,0)-MATCH($L$1,[2]enemies!$1:$1,0)+1,FALSE)</f>
        <v>1</v>
      </c>
      <c r="AB225" s="52">
        <v>41</v>
      </c>
      <c r="AC225" s="4" t="str">
        <f ca="1">VLOOKUP($AB225,OFFSET([3]characters!$A$1,0,0,COUNTA([3]characters!$A:$A),MATCH(AC$1,[3]characters!$1:$1,0)-MATCH("character_id",[3]characters!$1:$1,0)+1),MATCH(AC$1,[3]characters!$1:$1,0)-MATCH("character_id",[3]characters!$1:$1,0)+1,FALSE)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25" s="4">
        <f ca="1">VLOOKUP($AB225,OFFSET([3]characters!$A$1,0,0,COUNTA([3]characters!$A:$A),MATCH(AD$1,[3]characters!$1:$1,0)-MATCH("character_id",[3]characters!$1:$1,0)+1),MATCH(AD$1,[3]characters!$1:$1,0)-MATCH("character_id",[3]characters!$1:$1,0)+1,FALSE)</f>
        <v>2</v>
      </c>
      <c r="AE225" s="4" t="str">
        <f ca="1">VLOOKUP($AB225,OFFSET([3]characters!$A$1,0,0,COUNTA([3]characters!$A:$A),MATCH(AE$1,[3]characters!$1:$1,0)-MATCH("character_id",[3]characters!$1:$1,0)+1),MATCH(AE$1,[3]characters!$1:$1,0)-MATCH("character_id",[3]characters!$1:$1,0)+1,FALSE)</f>
        <v>Drop1N</v>
      </c>
      <c r="AF225" s="7">
        <v>7</v>
      </c>
      <c r="AG225" s="26">
        <f t="shared" ca="1" si="239"/>
        <v>2</v>
      </c>
      <c r="AH225" s="8">
        <v>20</v>
      </c>
      <c r="AI225" s="7">
        <v>0</v>
      </c>
      <c r="AJ225" s="7">
        <v>0</v>
      </c>
      <c r="AK225" s="7">
        <v>0</v>
      </c>
      <c r="AL225" s="7">
        <v>0</v>
      </c>
      <c r="AM225" s="7">
        <v>1</v>
      </c>
    </row>
    <row r="226" spans="1:39" ht="14" x14ac:dyDescent="0.15">
      <c r="A226" s="18" t="str">
        <f t="shared" ref="A226" ca="1" si="270">B226&amp;"_"&amp;C226&amp;"-"&amp;G226&amp;"/"&amp;L226&amp;"&lt;lv"&amp;R226&amp;"&gt;s"&amp;AA226</f>
        <v>23_3-2/360&lt;lv44&gt;s3</v>
      </c>
      <c r="B226" s="53">
        <v>23</v>
      </c>
      <c r="C226" s="51">
        <v>3</v>
      </c>
      <c r="D226" s="2" t="str">
        <f t="shared" ref="D226" si="271">B226&amp;"_"&amp;C226</f>
        <v>23_3</v>
      </c>
      <c r="E226" s="2" t="str">
        <f t="shared" ref="E226" si="272">C226&amp;"_"&amp;D226</f>
        <v>3_23_3</v>
      </c>
      <c r="F226" s="4" t="str">
        <f ca="1">VLOOKUP($D226,OFFSET([1]stages!$A$1,0,0,COUNTA([1]stages!$A:$A),MATCH(F$1,[1]stages!$2:$2,0)-MATCH($D$1,[1]stages!$2:$2,0)+1),MATCH(F$1,[1]stages!$2:$2,0)-MATCH($D$1,[1]stages!$2:$2,0)+1,FALSE)</f>
        <v>23-3．震える大地</v>
      </c>
      <c r="G226" s="57">
        <v>2</v>
      </c>
      <c r="H226" s="17" t="str">
        <f t="shared" ref="H226" si="273">B226&amp;"_"&amp;C226&amp;"-"&amp;G226</f>
        <v>23_3-2</v>
      </c>
      <c r="I226" s="17"/>
      <c r="J226" s="17"/>
      <c r="K226" s="65" t="s">
        <v>56</v>
      </c>
      <c r="L226" s="52">
        <v>360</v>
      </c>
      <c r="M226" s="21" t="str">
        <f ca="1">VLOOKUP($L226,OFFSET([2]enemies!$A$1,0,0,COUNTA([2]enemies!$A:$A),MATCH(M$1,[2]enemies!$1:$1,0)-MATCH($L$1,[2]enemies!$1:$1,0)+1),MATCH(M$1,[2]enemies!$1:$1,0)-MATCH($L$1,[2]enemies!$1:$1,0)+1,FALSE)</f>
        <v>ガンテツ</v>
      </c>
      <c r="N226" s="21" t="str">
        <f ca="1">VLOOKUP($L226,OFFSET([2]enemies!$A$1,0,0,COUNTA([2]enemies!$A:$A),MATCH(N$1,[2]enemies!$1:$1,0)-MATCH($L$1,[2]enemies!$1:$1,0)+1),MATCH(N$1,[2]enemies!$1:$1,0)-MATCH($L$1,[2]enemies!$1:$1,0)+1,FALSE)</f>
        <v>red</v>
      </c>
      <c r="O226" s="21" t="str">
        <f ca="1">VLOOKUP($L226,OFFSET([3]characters!$A$1,0,0,COUNTA([3]characters!$A:$A),MATCH(O$1,[3]characters!$1:$1,0)-MATCH($L$1,[3]characters!$1:$1,0)+1),MATCH(O$1,[3]characters!$1:$1,0)-MATCH($L$1,[3]characters!$1:$1,0)+1,FALSE)</f>
        <v>Drop1S</v>
      </c>
      <c r="P226" s="21" t="str">
        <f ca="1">VLOOKUP($L226,OFFSET([2]enemies!$A$1,0,0,COUNTA([2]enemies!$A:$A),MATCH(P$1,[2]enemies!$1:$1,0)-MATCH($L$1,[2]enemies!$1:$1,0)+1),MATCH(P$1,[2]enemies!$1:$1,0)-MATCH($L$1,[2]enemies!$1:$1,0)+1,FALSE)</f>
        <v>animal</v>
      </c>
      <c r="Q226" s="21">
        <f ca="1">VLOOKUP($L226,OFFSET([2]enemies!$A$1,0,0,COUNTA([2]enemies!$A:$A),MATCH(Q$1,[2]enemies!$1:$1,0)-MATCH($L$1,[2]enemies!$1:$1,0)+1),MATCH(Q$1,[2]enemies!$1:$1,0)-MATCH($L$1,[2]enemies!$1:$1,0)+1,FALSE)</f>
        <v>15</v>
      </c>
      <c r="R226" s="53">
        <v>44</v>
      </c>
      <c r="S226" s="27">
        <v>1</v>
      </c>
      <c r="T226" s="27">
        <v>1</v>
      </c>
      <c r="U226" s="5">
        <v>0</v>
      </c>
      <c r="V226" s="4" t="str">
        <f ca="1">VLOOKUP($W226,OFFSET([4]enemy_skill_sets!$B$1,0,0,COUNTA([4]enemy_skill_sets!$B:$B),MATCH(M$1,[4]enemy_skill_sets!$1:$1,0)-MATCH($W$1,[4]enemy_skill_sets!$1:$1,0)+2),MATCH(M$1,[4]enemy_skill_sets!$1:$1,0)-MATCH($W$1,[4]enemy_skill_sets!$1:$1,0)+2,FALSE)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26" s="76">
        <v>360</v>
      </c>
      <c r="X226" s="6">
        <v>0</v>
      </c>
      <c r="Y226" s="6">
        <v>100</v>
      </c>
      <c r="Z226" s="6">
        <v>0</v>
      </c>
      <c r="AA226" s="4">
        <f ca="1">VLOOKUP($L226,OFFSET([2]enemies!$A$1,0,0,COUNTA([2]enemies!$A:$A),MATCH(AA$1,[2]enemies!$1:$1,0)-MATCH($L$1,[2]enemies!$1:$1,0)+1),MATCH(AA$1,[2]enemies!$1:$1,0)-MATCH($L$1,[2]enemies!$1:$1,0)+1,FALSE)</f>
        <v>3</v>
      </c>
      <c r="AB226" s="52">
        <v>360</v>
      </c>
      <c r="AC226" s="4" t="str">
        <f ca="1">VLOOKUP($AB226,OFFSET([3]characters!$A$1,0,0,COUNTA([3]characters!$A:$A),MATCH(AC$1,[3]characters!$1:$1,0)-MATCH("character_id",[3]characters!$1:$1,0)+1),MATCH(AC$1,[3]characters!$1:$1,0)-MATCH("character_id",[3]characters!$1:$1,0)+1,FALSE)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26" s="4">
        <f ca="1">VLOOKUP($AB226,OFFSET([3]characters!$A$1,0,0,COUNTA([3]characters!$A:$A),MATCH(AD$1,[3]characters!$1:$1,0)-MATCH("character_id",[3]characters!$1:$1,0)+1),MATCH(AD$1,[3]characters!$1:$1,0)-MATCH("character_id",[3]characters!$1:$1,0)+1,FALSE)</f>
        <v>2</v>
      </c>
      <c r="AE226" s="4" t="str">
        <f ca="1">VLOOKUP($AB226,OFFSET([3]characters!$A$1,0,0,COUNTA([3]characters!$A:$A),MATCH(AE$1,[3]characters!$1:$1,0)-MATCH("character_id",[3]characters!$1:$1,0)+1),MATCH(AE$1,[3]characters!$1:$1,0)-MATCH("character_id",[3]characters!$1:$1,0)+1,FALSE)</f>
        <v>Drop1S</v>
      </c>
      <c r="AF226" s="7">
        <v>7</v>
      </c>
      <c r="AG226" s="26">
        <f t="shared" ca="1" si="239"/>
        <v>2</v>
      </c>
      <c r="AH226" s="8">
        <v>20</v>
      </c>
      <c r="AI226" s="7">
        <v>0</v>
      </c>
      <c r="AJ226" s="7">
        <v>0</v>
      </c>
      <c r="AK226" s="7">
        <v>0</v>
      </c>
      <c r="AL226" s="7">
        <v>0</v>
      </c>
      <c r="AM226" s="7">
        <v>1</v>
      </c>
    </row>
    <row r="227" spans="1:39" ht="14" x14ac:dyDescent="0.15">
      <c r="A227" s="18" t="str">
        <f t="shared" ref="A227" ca="1" si="274">B227&amp;"_"&amp;C227&amp;"-"&amp;G227&amp;"/"&amp;L227&amp;"&lt;lv"&amp;R227&amp;"&gt;s"&amp;AA227</f>
        <v>23_3-2/350&lt;lv44&gt;s3</v>
      </c>
      <c r="B227" s="53">
        <v>23</v>
      </c>
      <c r="C227" s="51">
        <v>3</v>
      </c>
      <c r="D227" s="2" t="str">
        <f t="shared" ref="D227" si="275">B227&amp;"_"&amp;C227</f>
        <v>23_3</v>
      </c>
      <c r="E227" s="2" t="str">
        <f t="shared" ref="E227" si="276">C227&amp;"_"&amp;D227</f>
        <v>3_23_3</v>
      </c>
      <c r="F227" s="4" t="str">
        <f ca="1">VLOOKUP($D227,OFFSET([1]stages!$A$1,0,0,COUNTA([1]stages!$A:$A),MATCH(F$1,[1]stages!$2:$2,0)-MATCH($D$1,[1]stages!$2:$2,0)+1),MATCH(F$1,[1]stages!$2:$2,0)-MATCH($D$1,[1]stages!$2:$2,0)+1,FALSE)</f>
        <v>23-3．震える大地</v>
      </c>
      <c r="G227" s="57">
        <v>2</v>
      </c>
      <c r="H227" s="17" t="str">
        <f t="shared" ref="H227" si="277">B227&amp;"_"&amp;C227&amp;"-"&amp;G227</f>
        <v>23_3-2</v>
      </c>
      <c r="I227" s="17"/>
      <c r="J227" s="17"/>
      <c r="K227" s="65" t="s">
        <v>56</v>
      </c>
      <c r="L227" s="52">
        <v>350</v>
      </c>
      <c r="M227" s="21" t="str">
        <f ca="1">VLOOKUP($L227,OFFSET([2]enemies!$A$1,0,0,COUNTA([2]enemies!$A:$A),MATCH(M$1,[2]enemies!$1:$1,0)-MATCH($L$1,[2]enemies!$1:$1,0)+1),MATCH(M$1,[2]enemies!$1:$1,0)-MATCH($L$1,[2]enemies!$1:$1,0)+1,FALSE)</f>
        <v>森のケロケロ</v>
      </c>
      <c r="N227" s="21" t="str">
        <f ca="1">VLOOKUP($L227,OFFSET([2]enemies!$A$1,0,0,COUNTA([2]enemies!$A:$A),MATCH(N$1,[2]enemies!$1:$1,0)-MATCH($L$1,[2]enemies!$1:$1,0)+1),MATCH(N$1,[2]enemies!$1:$1,0)-MATCH($L$1,[2]enemies!$1:$1,0)+1,FALSE)</f>
        <v>green</v>
      </c>
      <c r="O227" s="21" t="str">
        <f ca="1">VLOOKUP($L227,OFFSET([3]characters!$A$1,0,0,COUNTA([3]characters!$A:$A),MATCH(O$1,[3]characters!$1:$1,0)-MATCH($L$1,[3]characters!$1:$1,0)+1),MATCH(O$1,[3]characters!$1:$1,0)-MATCH($L$1,[3]characters!$1:$1,0)+1,FALSE)</f>
        <v>Material</v>
      </c>
      <c r="P227" s="21" t="str">
        <f ca="1">VLOOKUP($L227,OFFSET([2]enemies!$A$1,0,0,COUNTA([2]enemies!$A:$A),MATCH(P$1,[2]enemies!$1:$1,0)-MATCH($L$1,[2]enemies!$1:$1,0)+1),MATCH(P$1,[2]enemies!$1:$1,0)-MATCH($L$1,[2]enemies!$1:$1,0)+1,FALSE)</f>
        <v>unknown</v>
      </c>
      <c r="Q227" s="21">
        <f ca="1">VLOOKUP($L227,OFFSET([2]enemies!$A$1,0,0,COUNTA([2]enemies!$A:$A),MATCH(Q$1,[2]enemies!$1:$1,0)-MATCH($L$1,[2]enemies!$1:$1,0)+1),MATCH(Q$1,[2]enemies!$1:$1,0)-MATCH($L$1,[2]enemies!$1:$1,0)+1,FALSE)</f>
        <v>15</v>
      </c>
      <c r="R227" s="53">
        <v>44</v>
      </c>
      <c r="S227" s="27">
        <v>1</v>
      </c>
      <c r="T227" s="27">
        <v>1</v>
      </c>
      <c r="U227" s="5">
        <v>0</v>
      </c>
      <c r="V227" s="4" t="str">
        <f ca="1">VLOOKUP($W227,OFFSET([4]enemy_skill_sets!$B$1,0,0,COUNTA([4]enemy_skill_sets!$B:$B),MATCH(M$1,[4]enemy_skill_sets!$1:$1,0)-MATCH($W$1,[4]enemy_skill_sets!$1:$1,0)+2),MATCH(M$1,[4]enemy_skill_sets!$1:$1,0)-MATCH($W$1,[4]enemy_skill_sets!$1:$1,0)+2,FALSE)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27" s="64">
        <v>350</v>
      </c>
      <c r="X227" s="6">
        <v>0</v>
      </c>
      <c r="Y227" s="6">
        <v>100</v>
      </c>
      <c r="Z227" s="6">
        <v>0</v>
      </c>
      <c r="AA227" s="4">
        <f ca="1">VLOOKUP($L227,OFFSET([2]enemies!$A$1,0,0,COUNTA([2]enemies!$A:$A),MATCH(AA$1,[2]enemies!$1:$1,0)-MATCH($L$1,[2]enemies!$1:$1,0)+1),MATCH(AA$1,[2]enemies!$1:$1,0)-MATCH($L$1,[2]enemies!$1:$1,0)+1,FALSE)</f>
        <v>3</v>
      </c>
      <c r="AB227" s="52">
        <v>350</v>
      </c>
      <c r="AC227" s="4" t="str">
        <f ca="1">VLOOKUP($AB227,OFFSET([3]characters!$A$1,0,0,COUNTA([3]characters!$A:$A),MATCH(AC$1,[3]characters!$1:$1,0)-MATCH("character_id",[3]characters!$1:$1,0)+1),MATCH(AC$1,[3]characters!$1:$1,0)-MATCH("character_id",[3]characters!$1:$1,0)+1,FALSE)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27" s="4">
        <f ca="1">VLOOKUP($AB227,OFFSET([3]characters!$A$1,0,0,COUNTA([3]characters!$A:$A),MATCH(AD$1,[3]characters!$1:$1,0)-MATCH("character_id",[3]characters!$1:$1,0)+1),MATCH(AD$1,[3]characters!$1:$1,0)-MATCH("character_id",[3]characters!$1:$1,0)+1,FALSE)</f>
        <v>2</v>
      </c>
      <c r="AE227" s="4" t="str">
        <f ca="1">VLOOKUP($AB227,OFFSET([3]characters!$A$1,0,0,COUNTA([3]characters!$A:$A),MATCH(AE$1,[3]characters!$1:$1,0)-MATCH("character_id",[3]characters!$1:$1,0)+1),MATCH(AE$1,[3]characters!$1:$1,0)-MATCH("character_id",[3]characters!$1:$1,0)+1,FALSE)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27" s="7">
        <v>10</v>
      </c>
      <c r="AG227" s="26">
        <f t="shared" ca="1" si="239"/>
        <v>2</v>
      </c>
      <c r="AH227" s="8">
        <v>20</v>
      </c>
      <c r="AI227" s="7">
        <v>0</v>
      </c>
      <c r="AJ227" s="7">
        <v>0</v>
      </c>
      <c r="AK227" s="7">
        <v>0</v>
      </c>
      <c r="AL227" s="7">
        <v>0</v>
      </c>
      <c r="AM227" s="7">
        <v>1</v>
      </c>
    </row>
    <row r="228" spans="1:39" ht="14" x14ac:dyDescent="0.15">
      <c r="A228" s="18" t="str">
        <f t="shared" ca="1" si="248"/>
        <v>23_3-3/9&lt;lv44&gt;s2</v>
      </c>
      <c r="B228" s="50">
        <v>23</v>
      </c>
      <c r="C228" s="49">
        <v>3</v>
      </c>
      <c r="D228" s="2" t="str">
        <f t="shared" si="249"/>
        <v>23_3</v>
      </c>
      <c r="E228" s="2" t="str">
        <f t="shared" si="249"/>
        <v>3_23_3</v>
      </c>
      <c r="F228" s="4" t="str">
        <f ca="1">VLOOKUP($D228,OFFSET([1]stages!$A$1,0,0,COUNTA([1]stages!$A:$A),MATCH(F$1,[1]stages!$2:$2,0)-MATCH($D$1,[1]stages!$2:$2,0)+1),MATCH(F$1,[1]stages!$2:$2,0)-MATCH($D$1,[1]stages!$2:$2,0)+1,FALSE)</f>
        <v>23-3．震える大地</v>
      </c>
      <c r="G228" s="54">
        <v>3</v>
      </c>
      <c r="H228" s="17" t="str">
        <f t="shared" si="250"/>
        <v>23_3-3</v>
      </c>
      <c r="I228" s="17"/>
      <c r="J228" s="17"/>
      <c r="K228" s="65" t="s">
        <v>56</v>
      </c>
      <c r="L228" s="52">
        <v>9</v>
      </c>
      <c r="M228" s="21" t="str">
        <f ca="1">VLOOKUP($L228,OFFSET([2]enemies!$A$1,0,0,COUNTA([2]enemies!$A:$A),MATCH(M$1,[2]enemies!$1:$1,0)-MATCH($L$1,[2]enemies!$1:$1,0)+1),MATCH(M$1,[2]enemies!$1:$1,0)-MATCH($L$1,[2]enemies!$1:$1,0)+1,FALSE)</f>
        <v>ブレット</v>
      </c>
      <c r="N228" s="21" t="str">
        <f ca="1">VLOOKUP($L228,OFFSET([2]enemies!$A$1,0,0,COUNTA([2]enemies!$A:$A),MATCH(N$1,[2]enemies!$1:$1,0)-MATCH($L$1,[2]enemies!$1:$1,0)+1),MATCH(N$1,[2]enemies!$1:$1,0)-MATCH($L$1,[2]enemies!$1:$1,0)+1,FALSE)</f>
        <v>red</v>
      </c>
      <c r="O228" s="21" t="str">
        <f ca="1">VLOOKUP($L228,OFFSET([3]characters!$A$1,0,0,COUNTA([3]characters!$A:$A),MATCH(O$1,[3]characters!$1:$1,0)-MATCH($L$1,[3]characters!$1:$1,0)+1),MATCH(O$1,[3]characters!$1:$1,0)-MATCH($L$1,[3]characters!$1:$1,0)+1,FALSE)</f>
        <v>Drop1W</v>
      </c>
      <c r="P228" s="21" t="str">
        <f ca="1">VLOOKUP($L228,OFFSET([2]enemies!$A$1,0,0,COUNTA([2]enemies!$A:$A),MATCH(P$1,[2]enemies!$1:$1,0)-MATCH($L$1,[2]enemies!$1:$1,0)+1),MATCH(P$1,[2]enemies!$1:$1,0)-MATCH($L$1,[2]enemies!$1:$1,0)+1,FALSE)</f>
        <v>animal</v>
      </c>
      <c r="Q228" s="21">
        <f ca="1">VLOOKUP($L228,OFFSET([2]enemies!$A$1,0,0,COUNTA([2]enemies!$A:$A),MATCH(Q$1,[2]enemies!$1:$1,0)-MATCH($L$1,[2]enemies!$1:$1,0)+1),MATCH(Q$1,[2]enemies!$1:$1,0)-MATCH($L$1,[2]enemies!$1:$1,0)+1,FALSE)</f>
        <v>15</v>
      </c>
      <c r="R228" s="53">
        <v>44</v>
      </c>
      <c r="S228" s="27">
        <v>1</v>
      </c>
      <c r="T228" s="27">
        <v>1</v>
      </c>
      <c r="U228" s="5">
        <v>0</v>
      </c>
      <c r="V228" s="4" t="str">
        <f ca="1">VLOOKUP($W228,OFFSET([4]enemy_skill_sets!$B$1,0,0,COUNTA([4]enemy_skill_sets!$B:$B),MATCH(M$1,[4]enemy_skill_sets!$1:$1,0)-MATCH($W$1,[4]enemy_skill_sets!$1:$1,0)+2),MATCH(M$1,[4]enemy_skill_sets!$1:$1,0)-MATCH($W$1,[4]enemy_skill_sets!$1:$1,0)+2,FALSE)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28" s="4">
        <f ca="1">VLOOKUP($L228,OFFSET([2]enemies!$A$1,0,0,COUNTA([2]enemies!$A:$A),MATCH(W$1,[2]enemies!$1:$1,0)-MATCH($L$1,[2]enemies!$1:$1,0)+1),MATCH(W$1,[2]enemies!$1:$1,0)-MATCH($L$1,[2]enemies!$1:$1,0)+1,FALSE)</f>
        <v>0</v>
      </c>
      <c r="X228" s="6">
        <v>0</v>
      </c>
      <c r="Y228" s="6">
        <v>100</v>
      </c>
      <c r="Z228" s="6">
        <v>0</v>
      </c>
      <c r="AA228" s="4">
        <f ca="1">VLOOKUP($L228,OFFSET([2]enemies!$A$1,0,0,COUNTA([2]enemies!$A:$A),MATCH(AA$1,[2]enemies!$1:$1,0)-MATCH($L$1,[2]enemies!$1:$1,0)+1),MATCH(AA$1,[2]enemies!$1:$1,0)-MATCH($L$1,[2]enemies!$1:$1,0)+1,FALSE)</f>
        <v>2</v>
      </c>
      <c r="AB228" s="52">
        <v>9</v>
      </c>
      <c r="AC228" s="4" t="str">
        <f ca="1">VLOOKUP($AB228,OFFSET([3]characters!$A$1,0,0,COUNTA([3]characters!$A:$A),MATCH(AC$1,[3]characters!$1:$1,0)-MATCH("character_id",[3]characters!$1:$1,0)+1),MATCH(AC$1,[3]characters!$1:$1,0)-MATCH("character_id",[3]characters!$1:$1,0)+1,FALSE)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228" s="4">
        <f ca="1">VLOOKUP($AB228,OFFSET([3]characters!$A$1,0,0,COUNTA([3]characters!$A:$A),MATCH(AD$1,[3]characters!$1:$1,0)-MATCH("character_id",[3]characters!$1:$1,0)+1),MATCH(AD$1,[3]characters!$1:$1,0)-MATCH("character_id",[3]characters!$1:$1,0)+1,FALSE)</f>
        <v>1</v>
      </c>
      <c r="AE228" s="4" t="str">
        <f ca="1">VLOOKUP($AB228,OFFSET([3]characters!$A$1,0,0,COUNTA([3]characters!$A:$A),MATCH(AE$1,[3]characters!$1:$1,0)-MATCH("character_id",[3]characters!$1:$1,0)+1),MATCH(AE$1,[3]characters!$1:$1,0)-MATCH("character_id",[3]characters!$1:$1,0)+1,FALSE)</f>
        <v>Drop1W</v>
      </c>
      <c r="AF228" s="7">
        <v>9</v>
      </c>
      <c r="AG228" s="26">
        <f t="shared" ca="1" si="239"/>
        <v>1</v>
      </c>
      <c r="AH228" s="8">
        <v>20</v>
      </c>
      <c r="AI228" s="7">
        <v>0</v>
      </c>
      <c r="AJ228" s="7">
        <v>0</v>
      </c>
      <c r="AK228" s="7">
        <v>0</v>
      </c>
      <c r="AL228" s="7">
        <v>0</v>
      </c>
      <c r="AM228" s="7">
        <v>1</v>
      </c>
    </row>
    <row r="229" spans="1:39" ht="14" x14ac:dyDescent="0.15">
      <c r="A229" s="18" t="str">
        <f t="shared" ca="1" si="248"/>
        <v>23_3-3/11&lt;lv46&gt;s3</v>
      </c>
      <c r="B229" s="50">
        <v>23</v>
      </c>
      <c r="C229" s="49">
        <v>3</v>
      </c>
      <c r="D229" s="2" t="str">
        <f t="shared" si="249"/>
        <v>23_3</v>
      </c>
      <c r="E229" s="2" t="str">
        <f t="shared" si="249"/>
        <v>3_23_3</v>
      </c>
      <c r="F229" s="4" t="str">
        <f ca="1">VLOOKUP($D229,OFFSET([1]stages!$A$1,0,0,COUNTA([1]stages!$A:$A),MATCH(F$1,[1]stages!$2:$2,0)-MATCH($D$1,[1]stages!$2:$2,0)+1),MATCH(F$1,[1]stages!$2:$2,0)-MATCH($D$1,[1]stages!$2:$2,0)+1,FALSE)</f>
        <v>23-3．震える大地</v>
      </c>
      <c r="G229" s="54">
        <v>3</v>
      </c>
      <c r="H229" s="17" t="str">
        <f t="shared" si="250"/>
        <v>23_3-3</v>
      </c>
      <c r="I229" s="17"/>
      <c r="J229" s="17"/>
      <c r="K229" s="65" t="s">
        <v>56</v>
      </c>
      <c r="L229" s="52">
        <v>11</v>
      </c>
      <c r="M229" s="21" t="str">
        <f ca="1">VLOOKUP($L229,OFFSET([2]enemies!$A$1,0,0,COUNTA([2]enemies!$A:$A),MATCH(M$1,[2]enemies!$1:$1,0)-MATCH($L$1,[2]enemies!$1:$1,0)+1),MATCH(M$1,[2]enemies!$1:$1,0)-MATCH($L$1,[2]enemies!$1:$1,0)+1,FALSE)</f>
        <v>マグリット</v>
      </c>
      <c r="N229" s="21" t="str">
        <f ca="1">VLOOKUP($L229,OFFSET([2]enemies!$A$1,0,0,COUNTA([2]enemies!$A:$A),MATCH(N$1,[2]enemies!$1:$1,0)-MATCH($L$1,[2]enemies!$1:$1,0)+1),MATCH(N$1,[2]enemies!$1:$1,0)-MATCH($L$1,[2]enemies!$1:$1,0)+1,FALSE)</f>
        <v>green</v>
      </c>
      <c r="O229" s="21" t="str">
        <f ca="1">VLOOKUP($L229,OFFSET([3]characters!$A$1,0,0,COUNTA([3]characters!$A:$A),MATCH(O$1,[3]characters!$1:$1,0)-MATCH($L$1,[3]characters!$1:$1,0)+1),MATCH(O$1,[3]characters!$1:$1,0)-MATCH($L$1,[3]characters!$1:$1,0)+1,FALSE)</f>
        <v>Drop1W</v>
      </c>
      <c r="P229" s="21" t="str">
        <f ca="1">VLOOKUP($L229,OFFSET([2]enemies!$A$1,0,0,COUNTA([2]enemies!$A:$A),MATCH(P$1,[2]enemies!$1:$1,0)-MATCH($L$1,[2]enemies!$1:$1,0)+1),MATCH(P$1,[2]enemies!$1:$1,0)-MATCH($L$1,[2]enemies!$1:$1,0)+1,FALSE)</f>
        <v>animal</v>
      </c>
      <c r="Q229" s="21">
        <f ca="1">VLOOKUP($L229,OFFSET([2]enemies!$A$1,0,0,COUNTA([2]enemies!$A:$A),MATCH(Q$1,[2]enemies!$1:$1,0)-MATCH($L$1,[2]enemies!$1:$1,0)+1),MATCH(Q$1,[2]enemies!$1:$1,0)-MATCH($L$1,[2]enemies!$1:$1,0)+1,FALSE)</f>
        <v>15</v>
      </c>
      <c r="R229" s="53">
        <v>46</v>
      </c>
      <c r="S229" s="27">
        <v>1</v>
      </c>
      <c r="T229" s="27">
        <v>1</v>
      </c>
      <c r="U229" s="5">
        <v>0</v>
      </c>
      <c r="V229" s="4" t="str">
        <f ca="1">VLOOKUP($W229,OFFSET([4]enemy_skill_sets!$B$1,0,0,COUNTA([4]enemy_skill_sets!$B:$B),MATCH(M$1,[4]enemy_skill_sets!$1:$1,0)-MATCH($W$1,[4]enemy_skill_sets!$1:$1,0)+2),MATCH(M$1,[4]enemy_skill_sets!$1:$1,0)-MATCH($W$1,[4]enemy_skill_sets!$1:$1,0)+2,FALSE)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29" s="4">
        <f ca="1">VLOOKUP($L229,OFFSET([2]enemies!$A$1,0,0,COUNTA([2]enemies!$A:$A),MATCH(W$1,[2]enemies!$1:$1,0)-MATCH($L$1,[2]enemies!$1:$1,0)+1),MATCH(W$1,[2]enemies!$1:$1,0)-MATCH($L$1,[2]enemies!$1:$1,0)+1,FALSE)</f>
        <v>0</v>
      </c>
      <c r="X229" s="6">
        <v>0</v>
      </c>
      <c r="Y229" s="6">
        <v>100</v>
      </c>
      <c r="Z229" s="6">
        <v>0</v>
      </c>
      <c r="AA229" s="4">
        <f ca="1">VLOOKUP($L229,OFFSET([2]enemies!$A$1,0,0,COUNTA([2]enemies!$A:$A),MATCH(AA$1,[2]enemies!$1:$1,0)-MATCH($L$1,[2]enemies!$1:$1,0)+1),MATCH(AA$1,[2]enemies!$1:$1,0)-MATCH($L$1,[2]enemies!$1:$1,0)+1,FALSE)</f>
        <v>3</v>
      </c>
      <c r="AB229" s="52">
        <v>11</v>
      </c>
      <c r="AC229" s="4" t="str">
        <f ca="1">VLOOKUP($AB229,OFFSET([3]characters!$A$1,0,0,COUNTA([3]characters!$A:$A),MATCH(AC$1,[3]characters!$1:$1,0)-MATCH("character_id",[3]characters!$1:$1,0)+1),MATCH(AC$1,[3]characters!$1:$1,0)-MATCH("character_id",[3]characters!$1:$1,0)+1,FALSE)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229" s="4">
        <f ca="1">VLOOKUP($AB229,OFFSET([3]characters!$A$1,0,0,COUNTA([3]characters!$A:$A),MATCH(AD$1,[3]characters!$1:$1,0)-MATCH("character_id",[3]characters!$1:$1,0)+1),MATCH(AD$1,[3]characters!$1:$1,0)-MATCH("character_id",[3]characters!$1:$1,0)+1,FALSE)</f>
        <v>1</v>
      </c>
      <c r="AE229" s="4" t="str">
        <f ca="1">VLOOKUP($AB229,OFFSET([3]characters!$A$1,0,0,COUNTA([3]characters!$A:$A),MATCH(AE$1,[3]characters!$1:$1,0)-MATCH("character_id",[3]characters!$1:$1,0)+1),MATCH(AE$1,[3]characters!$1:$1,0)-MATCH("character_id",[3]characters!$1:$1,0)+1,FALSE)</f>
        <v>Drop1W</v>
      </c>
      <c r="AF229" s="7">
        <v>9</v>
      </c>
      <c r="AG229" s="26">
        <f t="shared" ca="1" si="239"/>
        <v>1</v>
      </c>
      <c r="AH229" s="8">
        <v>20</v>
      </c>
      <c r="AI229" s="7">
        <v>0</v>
      </c>
      <c r="AJ229" s="7">
        <v>0</v>
      </c>
      <c r="AK229" s="7">
        <v>0</v>
      </c>
      <c r="AL229" s="7">
        <v>0</v>
      </c>
      <c r="AM229" s="7">
        <v>1</v>
      </c>
    </row>
    <row r="230" spans="1:39" ht="14" x14ac:dyDescent="0.15">
      <c r="A230" s="18" t="str">
        <f t="shared" ca="1" si="248"/>
        <v>23_3-3/23&lt;lv46&gt;s4</v>
      </c>
      <c r="B230" s="50">
        <v>23</v>
      </c>
      <c r="C230" s="49">
        <v>3</v>
      </c>
      <c r="D230" s="2" t="str">
        <f t="shared" si="249"/>
        <v>23_3</v>
      </c>
      <c r="E230" s="2" t="str">
        <f t="shared" si="249"/>
        <v>3_23_3</v>
      </c>
      <c r="F230" s="4" t="str">
        <f ca="1">VLOOKUP($D230,OFFSET([1]stages!$A$1,0,0,COUNTA([1]stages!$A:$A),MATCH(F$1,[1]stages!$2:$2,0)-MATCH($D$1,[1]stages!$2:$2,0)+1),MATCH(F$1,[1]stages!$2:$2,0)-MATCH($D$1,[1]stages!$2:$2,0)+1,FALSE)</f>
        <v>23-3．震える大地</v>
      </c>
      <c r="G230" s="54">
        <v>3</v>
      </c>
      <c r="H230" s="17" t="str">
        <f t="shared" si="250"/>
        <v>23_3-3</v>
      </c>
      <c r="I230" s="17"/>
      <c r="J230" s="17"/>
      <c r="K230" s="65" t="s">
        <v>56</v>
      </c>
      <c r="L230" s="52">
        <v>23</v>
      </c>
      <c r="M230" s="21" t="str">
        <f ca="1">VLOOKUP($L230,OFFSET([2]enemies!$A$1,0,0,COUNTA([2]enemies!$A:$A),MATCH(M$1,[2]enemies!$1:$1,0)-MATCH($L$1,[2]enemies!$1:$1,0)+1),MATCH(M$1,[2]enemies!$1:$1,0)-MATCH($L$1,[2]enemies!$1:$1,0)+1,FALSE)</f>
        <v>ミール</v>
      </c>
      <c r="N230" s="21" t="str">
        <f ca="1">VLOOKUP($L230,OFFSET([2]enemies!$A$1,0,0,COUNTA([2]enemies!$A:$A),MATCH(N$1,[2]enemies!$1:$1,0)-MATCH($L$1,[2]enemies!$1:$1,0)+1),MATCH(N$1,[2]enemies!$1:$1,0)-MATCH($L$1,[2]enemies!$1:$1,0)+1,FALSE)</f>
        <v>green</v>
      </c>
      <c r="O230" s="21" t="str">
        <f ca="1">VLOOKUP($L230,OFFSET([3]characters!$A$1,0,0,COUNTA([3]characters!$A:$A),MATCH(O$1,[3]characters!$1:$1,0)-MATCH($L$1,[3]characters!$1:$1,0)+1),MATCH(O$1,[3]characters!$1:$1,0)-MATCH($L$1,[3]characters!$1:$1,0)+1,FALSE)</f>
        <v>Drop1N</v>
      </c>
      <c r="P230" s="21" t="str">
        <f ca="1">VLOOKUP($L230,OFFSET([2]enemies!$A$1,0,0,COUNTA([2]enemies!$A:$A),MATCH(P$1,[2]enemies!$1:$1,0)-MATCH($L$1,[2]enemies!$1:$1,0)+1),MATCH(P$1,[2]enemies!$1:$1,0)-MATCH($L$1,[2]enemies!$1:$1,0)+1,FALSE)</f>
        <v>animal</v>
      </c>
      <c r="Q230" s="21">
        <f ca="1">VLOOKUP($L230,OFFSET([2]enemies!$A$1,0,0,COUNTA([2]enemies!$A:$A),MATCH(Q$1,[2]enemies!$1:$1,0)-MATCH($L$1,[2]enemies!$1:$1,0)+1),MATCH(Q$1,[2]enemies!$1:$1,0)-MATCH($L$1,[2]enemies!$1:$1,0)+1,FALSE)</f>
        <v>15</v>
      </c>
      <c r="R230" s="53">
        <v>46</v>
      </c>
      <c r="S230" s="27">
        <v>1</v>
      </c>
      <c r="T230" s="27">
        <v>1</v>
      </c>
      <c r="U230" s="5">
        <v>0</v>
      </c>
      <c r="V230" s="4" t="str">
        <f ca="1">VLOOKUP($W230,OFFSET([4]enemy_skill_sets!$B$1,0,0,COUNTA([4]enemy_skill_sets!$B:$B),MATCH(M$1,[4]enemy_skill_sets!$1:$1,0)-MATCH($W$1,[4]enemy_skill_sets!$1:$1,0)+2),MATCH(M$1,[4]enemy_skill_sets!$1:$1,0)-MATCH($W$1,[4]enemy_skill_sets!$1:$1,0)+2,FALSE)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30" s="4">
        <f ca="1">VLOOKUP($L230,OFFSET([2]enemies!$A$1,0,0,COUNTA([2]enemies!$A:$A),MATCH(W$1,[2]enemies!$1:$1,0)-MATCH($L$1,[2]enemies!$1:$1,0)+1),MATCH(W$1,[2]enemies!$1:$1,0)-MATCH($L$1,[2]enemies!$1:$1,0)+1,FALSE)</f>
        <v>0</v>
      </c>
      <c r="X230" s="6">
        <v>0</v>
      </c>
      <c r="Y230" s="6">
        <v>100</v>
      </c>
      <c r="Z230" s="6">
        <v>0</v>
      </c>
      <c r="AA230" s="4">
        <f ca="1">VLOOKUP($L230,OFFSET([2]enemies!$A$1,0,0,COUNTA([2]enemies!$A:$A),MATCH(AA$1,[2]enemies!$1:$1,0)-MATCH($L$1,[2]enemies!$1:$1,0)+1),MATCH(AA$1,[2]enemies!$1:$1,0)-MATCH($L$1,[2]enemies!$1:$1,0)+1,FALSE)</f>
        <v>4</v>
      </c>
      <c r="AB230" s="52">
        <v>23</v>
      </c>
      <c r="AC230" s="4" t="str">
        <f ca="1">VLOOKUP($AB230,OFFSET([3]characters!$A$1,0,0,COUNTA([3]characters!$A:$A),MATCH(AC$1,[3]characters!$1:$1,0)-MATCH("character_id",[3]characters!$1:$1,0)+1),MATCH(AC$1,[3]characters!$1:$1,0)-MATCH("character_id",[3]characters!$1:$1,0)+1,FALSE)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230" s="4">
        <f ca="1">VLOOKUP($AB230,OFFSET([3]characters!$A$1,0,0,COUNTA([3]characters!$A:$A),MATCH(AD$1,[3]characters!$1:$1,0)-MATCH("character_id",[3]characters!$1:$1,0)+1),MATCH(AD$1,[3]characters!$1:$1,0)-MATCH("character_id",[3]characters!$1:$1,0)+1,FALSE)</f>
        <v>1</v>
      </c>
      <c r="AE230" s="4" t="str">
        <f ca="1">VLOOKUP($AB230,OFFSET([3]characters!$A$1,0,0,COUNTA([3]characters!$A:$A),MATCH(AE$1,[3]characters!$1:$1,0)-MATCH("character_id",[3]characters!$1:$1,0)+1),MATCH(AE$1,[3]characters!$1:$1,0)-MATCH("character_id",[3]characters!$1:$1,0)+1,FALSE)</f>
        <v>Drop1N</v>
      </c>
      <c r="AF230" s="7">
        <v>7</v>
      </c>
      <c r="AG230" s="26">
        <f t="shared" ca="1" si="239"/>
        <v>1</v>
      </c>
      <c r="AH230" s="8">
        <v>20</v>
      </c>
      <c r="AI230" s="7">
        <v>0</v>
      </c>
      <c r="AJ230" s="7">
        <v>0</v>
      </c>
      <c r="AK230" s="7">
        <v>0</v>
      </c>
      <c r="AL230" s="7">
        <v>0</v>
      </c>
      <c r="AM230" s="7">
        <v>1</v>
      </c>
    </row>
    <row r="231" spans="1:39" ht="14" x14ac:dyDescent="0.15">
      <c r="A231" s="18" t="str">
        <f t="shared" ca="1" si="248"/>
        <v>23_3-3/33&lt;lv44&gt;s2</v>
      </c>
      <c r="B231" s="50">
        <v>23</v>
      </c>
      <c r="C231" s="49">
        <v>3</v>
      </c>
      <c r="D231" s="2" t="str">
        <f t="shared" si="249"/>
        <v>23_3</v>
      </c>
      <c r="E231" s="2" t="str">
        <f t="shared" si="249"/>
        <v>3_23_3</v>
      </c>
      <c r="F231" s="4" t="str">
        <f ca="1">VLOOKUP($D231,OFFSET([1]stages!$A$1,0,0,COUNTA([1]stages!$A:$A),MATCH(F$1,[1]stages!$2:$2,0)-MATCH($D$1,[1]stages!$2:$2,0)+1),MATCH(F$1,[1]stages!$2:$2,0)-MATCH($D$1,[1]stages!$2:$2,0)+1,FALSE)</f>
        <v>23-3．震える大地</v>
      </c>
      <c r="G231" s="54">
        <v>3</v>
      </c>
      <c r="H231" s="17" t="str">
        <f t="shared" si="250"/>
        <v>23_3-3</v>
      </c>
      <c r="I231" s="17"/>
      <c r="J231" s="17"/>
      <c r="K231" s="65" t="s">
        <v>56</v>
      </c>
      <c r="L231" s="52">
        <v>33</v>
      </c>
      <c r="M231" s="21" t="str">
        <f ca="1">VLOOKUP($L231,OFFSET([2]enemies!$A$1,0,0,COUNTA([2]enemies!$A:$A),MATCH(M$1,[2]enemies!$1:$1,0)-MATCH($L$1,[2]enemies!$1:$1,0)+1),MATCH(M$1,[2]enemies!$1:$1,0)-MATCH($L$1,[2]enemies!$1:$1,0)+1,FALSE)</f>
        <v>ゴクウ</v>
      </c>
      <c r="N231" s="21" t="str">
        <f ca="1">VLOOKUP($L231,OFFSET([2]enemies!$A$1,0,0,COUNTA([2]enemies!$A:$A),MATCH(N$1,[2]enemies!$1:$1,0)-MATCH($L$1,[2]enemies!$1:$1,0)+1),MATCH(N$1,[2]enemies!$1:$1,0)-MATCH($L$1,[2]enemies!$1:$1,0)+1,FALSE)</f>
        <v>red</v>
      </c>
      <c r="O231" s="21" t="str">
        <f ca="1">VLOOKUP($L231,OFFSET([3]characters!$A$1,0,0,COUNTA([3]characters!$A:$A),MATCH(O$1,[3]characters!$1:$1,0)-MATCH($L$1,[3]characters!$1:$1,0)+1),MATCH(O$1,[3]characters!$1:$1,0)-MATCH($L$1,[3]characters!$1:$1,0)+1,FALSE)</f>
        <v>Drop1S</v>
      </c>
      <c r="P231" s="21" t="str">
        <f ca="1">VLOOKUP($L231,OFFSET([2]enemies!$A$1,0,0,COUNTA([2]enemies!$A:$A),MATCH(P$1,[2]enemies!$1:$1,0)-MATCH($L$1,[2]enemies!$1:$1,0)+1),MATCH(P$1,[2]enemies!$1:$1,0)-MATCH($L$1,[2]enemies!$1:$1,0)+1,FALSE)</f>
        <v>animal</v>
      </c>
      <c r="Q231" s="21">
        <f ca="1">VLOOKUP($L231,OFFSET([2]enemies!$A$1,0,0,COUNTA([2]enemies!$A:$A),MATCH(Q$1,[2]enemies!$1:$1,0)-MATCH($L$1,[2]enemies!$1:$1,0)+1),MATCH(Q$1,[2]enemies!$1:$1,0)-MATCH($L$1,[2]enemies!$1:$1,0)+1,FALSE)</f>
        <v>15</v>
      </c>
      <c r="R231" s="53">
        <v>44</v>
      </c>
      <c r="S231" s="27">
        <v>1</v>
      </c>
      <c r="T231" s="27">
        <v>1</v>
      </c>
      <c r="U231" s="5">
        <v>0</v>
      </c>
      <c r="V231" s="4" t="str">
        <f ca="1">VLOOKUP($W231,OFFSET([4]enemy_skill_sets!$B$1,0,0,COUNTA([4]enemy_skill_sets!$B:$B),MATCH(M$1,[4]enemy_skill_sets!$1:$1,0)-MATCH($W$1,[4]enemy_skill_sets!$1:$1,0)+2),MATCH(M$1,[4]enemy_skill_sets!$1:$1,0)-MATCH($W$1,[4]enemy_skill_sets!$1:$1,0)+2,FALSE)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31" s="4">
        <f ca="1">VLOOKUP($L231,OFFSET([2]enemies!$A$1,0,0,COUNTA([2]enemies!$A:$A),MATCH(W$1,[2]enemies!$1:$1,0)-MATCH($L$1,[2]enemies!$1:$1,0)+1),MATCH(W$1,[2]enemies!$1:$1,0)-MATCH($L$1,[2]enemies!$1:$1,0)+1,FALSE)</f>
        <v>33</v>
      </c>
      <c r="X231" s="6">
        <v>0</v>
      </c>
      <c r="Y231" s="6">
        <v>100</v>
      </c>
      <c r="Z231" s="6">
        <v>0</v>
      </c>
      <c r="AA231" s="4">
        <f ca="1">VLOOKUP($L231,OFFSET([2]enemies!$A$1,0,0,COUNTA([2]enemies!$A:$A),MATCH(AA$1,[2]enemies!$1:$1,0)-MATCH($L$1,[2]enemies!$1:$1,0)+1),MATCH(AA$1,[2]enemies!$1:$1,0)-MATCH($L$1,[2]enemies!$1:$1,0)+1,FALSE)</f>
        <v>2</v>
      </c>
      <c r="AB231" s="52">
        <v>33</v>
      </c>
      <c r="AC231" s="4" t="str">
        <f ca="1">VLOOKUP($AB231,OFFSET([3]characters!$A$1,0,0,COUNTA([3]characters!$A:$A),MATCH(AC$1,[3]characters!$1:$1,0)-MATCH("character_id",[3]characters!$1:$1,0)+1),MATCH(AC$1,[3]characters!$1:$1,0)-MATCH("character_id",[3]characters!$1:$1,0)+1,FALSE)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31" s="4">
        <f ca="1">VLOOKUP($AB231,OFFSET([3]characters!$A$1,0,0,COUNTA([3]characters!$A:$A),MATCH(AD$1,[3]characters!$1:$1,0)-MATCH("character_id",[3]characters!$1:$1,0)+1),MATCH(AD$1,[3]characters!$1:$1,0)-MATCH("character_id",[3]characters!$1:$1,0)+1,FALSE)</f>
        <v>2</v>
      </c>
      <c r="AE231" s="4" t="str">
        <f ca="1">VLOOKUP($AB231,OFFSET([3]characters!$A$1,0,0,COUNTA([3]characters!$A:$A),MATCH(AE$1,[3]characters!$1:$1,0)-MATCH("character_id",[3]characters!$1:$1,0)+1),MATCH(AE$1,[3]characters!$1:$1,0)-MATCH("character_id",[3]characters!$1:$1,0)+1,FALSE)</f>
        <v>Drop1S</v>
      </c>
      <c r="AF231" s="7">
        <v>5</v>
      </c>
      <c r="AG231" s="26">
        <f t="shared" ca="1" si="239"/>
        <v>2</v>
      </c>
      <c r="AH231" s="8">
        <v>20</v>
      </c>
      <c r="AI231" s="7">
        <v>0</v>
      </c>
      <c r="AJ231" s="7">
        <v>0</v>
      </c>
      <c r="AK231" s="7">
        <v>0</v>
      </c>
      <c r="AL231" s="7">
        <v>0</v>
      </c>
      <c r="AM231" s="7">
        <v>1</v>
      </c>
    </row>
    <row r="232" spans="1:39" ht="14" x14ac:dyDescent="0.15">
      <c r="A232" s="18" t="str">
        <f t="shared" ca="1" si="248"/>
        <v>23_3-3/57&lt;lv44&gt;s2</v>
      </c>
      <c r="B232" s="50">
        <v>23</v>
      </c>
      <c r="C232" s="49">
        <v>3</v>
      </c>
      <c r="D232" s="2" t="str">
        <f t="shared" si="249"/>
        <v>23_3</v>
      </c>
      <c r="E232" s="2" t="str">
        <f t="shared" si="249"/>
        <v>3_23_3</v>
      </c>
      <c r="F232" s="4" t="str">
        <f ca="1">VLOOKUP($D232,OFFSET([1]stages!$A$1,0,0,COUNTA([1]stages!$A:$A),MATCH(F$1,[1]stages!$2:$2,0)-MATCH($D$1,[1]stages!$2:$2,0)+1),MATCH(F$1,[1]stages!$2:$2,0)-MATCH($D$1,[1]stages!$2:$2,0)+1,FALSE)</f>
        <v>23-3．震える大地</v>
      </c>
      <c r="G232" s="54">
        <v>3</v>
      </c>
      <c r="H232" s="17" t="str">
        <f t="shared" si="250"/>
        <v>23_3-3</v>
      </c>
      <c r="I232" s="17"/>
      <c r="J232" s="17"/>
      <c r="K232" s="65" t="s">
        <v>56</v>
      </c>
      <c r="L232" s="52">
        <v>57</v>
      </c>
      <c r="M232" s="21" t="str">
        <f ca="1">VLOOKUP($L232,OFFSET([2]enemies!$A$1,0,0,COUNTA([2]enemies!$A:$A),MATCH(M$1,[2]enemies!$1:$1,0)-MATCH($L$1,[2]enemies!$1:$1,0)+1),MATCH(M$1,[2]enemies!$1:$1,0)-MATCH($L$1,[2]enemies!$1:$1,0)+1,FALSE)</f>
        <v>チェン・リー</v>
      </c>
      <c r="N232" s="21" t="str">
        <f ca="1">VLOOKUP($L232,OFFSET([2]enemies!$A$1,0,0,COUNTA([2]enemies!$A:$A),MATCH(N$1,[2]enemies!$1:$1,0)-MATCH($L$1,[2]enemies!$1:$1,0)+1),MATCH(N$1,[2]enemies!$1:$1,0)-MATCH($L$1,[2]enemies!$1:$1,0)+1,FALSE)</f>
        <v>red</v>
      </c>
      <c r="O232" s="21" t="str">
        <f ca="1">VLOOKUP($L232,OFFSET([3]characters!$A$1,0,0,COUNTA([3]characters!$A:$A),MATCH(O$1,[3]characters!$1:$1,0)-MATCH($L$1,[3]characters!$1:$1,0)+1),MATCH(O$1,[3]characters!$1:$1,0)-MATCH($L$1,[3]characters!$1:$1,0)+1,FALSE)</f>
        <v>Drop1N</v>
      </c>
      <c r="P232" s="21" t="str">
        <f ca="1">VLOOKUP($L232,OFFSET([2]enemies!$A$1,0,0,COUNTA([2]enemies!$A:$A),MATCH(P$1,[2]enemies!$1:$1,0)-MATCH($L$1,[2]enemies!$1:$1,0)+1),MATCH(P$1,[2]enemies!$1:$1,0)-MATCH($L$1,[2]enemies!$1:$1,0)+1,FALSE)</f>
        <v>animal</v>
      </c>
      <c r="Q232" s="21">
        <f ca="1">VLOOKUP($L232,OFFSET([2]enemies!$A$1,0,0,COUNTA([2]enemies!$A:$A),MATCH(Q$1,[2]enemies!$1:$1,0)-MATCH($L$1,[2]enemies!$1:$1,0)+1),MATCH(Q$1,[2]enemies!$1:$1,0)-MATCH($L$1,[2]enemies!$1:$1,0)+1,FALSE)</f>
        <v>15</v>
      </c>
      <c r="R232" s="53">
        <v>44</v>
      </c>
      <c r="S232" s="27">
        <v>1</v>
      </c>
      <c r="T232" s="27">
        <v>1</v>
      </c>
      <c r="U232" s="5">
        <v>0</v>
      </c>
      <c r="V232" s="4" t="str">
        <f ca="1">VLOOKUP($W232,OFFSET([4]enemy_skill_sets!$B$1,0,0,COUNTA([4]enemy_skill_sets!$B:$B),MATCH(M$1,[4]enemy_skill_sets!$1:$1,0)-MATCH($W$1,[4]enemy_skill_sets!$1:$1,0)+2),MATCH(M$1,[4]enemy_skill_sets!$1:$1,0)-MATCH($W$1,[4]enemy_skill_sets!$1:$1,0)+2,FALSE)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32" s="4">
        <f ca="1">VLOOKUP($L232,OFFSET([2]enemies!$A$1,0,0,COUNTA([2]enemies!$A:$A),MATCH(W$1,[2]enemies!$1:$1,0)-MATCH($L$1,[2]enemies!$1:$1,0)+1),MATCH(W$1,[2]enemies!$1:$1,0)-MATCH($L$1,[2]enemies!$1:$1,0)+1,FALSE)</f>
        <v>57</v>
      </c>
      <c r="X232" s="6">
        <v>0</v>
      </c>
      <c r="Y232" s="6">
        <v>100</v>
      </c>
      <c r="Z232" s="6">
        <v>0</v>
      </c>
      <c r="AA232" s="4">
        <f ca="1">VLOOKUP($L232,OFFSET([2]enemies!$A$1,0,0,COUNTA([2]enemies!$A:$A),MATCH(AA$1,[2]enemies!$1:$1,0)-MATCH($L$1,[2]enemies!$1:$1,0)+1),MATCH(AA$1,[2]enemies!$1:$1,0)-MATCH($L$1,[2]enemies!$1:$1,0)+1,FALSE)</f>
        <v>2</v>
      </c>
      <c r="AB232" s="52">
        <v>57</v>
      </c>
      <c r="AC232" s="4" t="str">
        <f ca="1">VLOOKUP($AB232,OFFSET([3]characters!$A$1,0,0,COUNTA([3]characters!$A:$A),MATCH(AC$1,[3]characters!$1:$1,0)-MATCH("character_id",[3]characters!$1:$1,0)+1),MATCH(AC$1,[3]characters!$1:$1,0)-MATCH("character_id",[3]characters!$1:$1,0)+1,FALSE)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32" s="4">
        <f ca="1">VLOOKUP($AB232,OFFSET([3]characters!$A$1,0,0,COUNTA([3]characters!$A:$A),MATCH(AD$1,[3]characters!$1:$1,0)-MATCH("character_id",[3]characters!$1:$1,0)+1),MATCH(AD$1,[3]characters!$1:$1,0)-MATCH("character_id",[3]characters!$1:$1,0)+1,FALSE)</f>
        <v>2</v>
      </c>
      <c r="AE232" s="4" t="str">
        <f ca="1">VLOOKUP($AB232,OFFSET([3]characters!$A$1,0,0,COUNTA([3]characters!$A:$A),MATCH(AE$1,[3]characters!$1:$1,0)-MATCH("character_id",[3]characters!$1:$1,0)+1),MATCH(AE$1,[3]characters!$1:$1,0)-MATCH("character_id",[3]characters!$1:$1,0)+1,FALSE)</f>
        <v>Drop1N</v>
      </c>
      <c r="AF232" s="7">
        <v>7</v>
      </c>
      <c r="AG232" s="26">
        <f t="shared" ca="1" si="239"/>
        <v>2</v>
      </c>
      <c r="AH232" s="8">
        <v>20</v>
      </c>
      <c r="AI232" s="7">
        <v>0</v>
      </c>
      <c r="AJ232" s="7">
        <v>0</v>
      </c>
      <c r="AK232" s="7">
        <v>0</v>
      </c>
      <c r="AL232" s="7">
        <v>0</v>
      </c>
      <c r="AM232" s="7">
        <v>1</v>
      </c>
    </row>
    <row r="233" spans="1:39" ht="14" x14ac:dyDescent="0.15">
      <c r="A233" s="18" t="str">
        <f t="shared" ca="1" si="248"/>
        <v>23_3-3/59&lt;lv46&gt;s2</v>
      </c>
      <c r="B233" s="50">
        <v>23</v>
      </c>
      <c r="C233" s="49">
        <v>3</v>
      </c>
      <c r="D233" s="2" t="str">
        <f t="shared" si="249"/>
        <v>23_3</v>
      </c>
      <c r="E233" s="2" t="str">
        <f t="shared" si="249"/>
        <v>3_23_3</v>
      </c>
      <c r="F233" s="4" t="str">
        <f ca="1">VLOOKUP($D233,OFFSET([1]stages!$A$1,0,0,COUNTA([1]stages!$A:$A),MATCH(F$1,[1]stages!$2:$2,0)-MATCH($D$1,[1]stages!$2:$2,0)+1),MATCH(F$1,[1]stages!$2:$2,0)-MATCH($D$1,[1]stages!$2:$2,0)+1,FALSE)</f>
        <v>23-3．震える大地</v>
      </c>
      <c r="G233" s="54">
        <v>3</v>
      </c>
      <c r="H233" s="17" t="str">
        <f t="shared" si="250"/>
        <v>23_3-3</v>
      </c>
      <c r="I233" s="17"/>
      <c r="J233" s="17"/>
      <c r="K233" s="65" t="s">
        <v>56</v>
      </c>
      <c r="L233" s="52">
        <v>59</v>
      </c>
      <c r="M233" s="21" t="str">
        <f ca="1">VLOOKUP($L233,OFFSET([2]enemies!$A$1,0,0,COUNTA([2]enemies!$A:$A),MATCH(M$1,[2]enemies!$1:$1,0)-MATCH($L$1,[2]enemies!$1:$1,0)+1),MATCH(M$1,[2]enemies!$1:$1,0)-MATCH($L$1,[2]enemies!$1:$1,0)+1,FALSE)</f>
        <v>マーチ</v>
      </c>
      <c r="N233" s="21" t="str">
        <f ca="1">VLOOKUP($L233,OFFSET([2]enemies!$A$1,0,0,COUNTA([2]enemies!$A:$A),MATCH(N$1,[2]enemies!$1:$1,0)-MATCH($L$1,[2]enemies!$1:$1,0)+1),MATCH(N$1,[2]enemies!$1:$1,0)-MATCH($L$1,[2]enemies!$1:$1,0)+1,FALSE)</f>
        <v>green</v>
      </c>
      <c r="O233" s="21" t="str">
        <f ca="1">VLOOKUP($L233,OFFSET([3]characters!$A$1,0,0,COUNTA([3]characters!$A:$A),MATCH(O$1,[3]characters!$1:$1,0)-MATCH($L$1,[3]characters!$1:$1,0)+1),MATCH(O$1,[3]characters!$1:$1,0)-MATCH($L$1,[3]characters!$1:$1,0)+1,FALSE)</f>
        <v>Drop1N</v>
      </c>
      <c r="P233" s="21" t="str">
        <f ca="1">VLOOKUP($L233,OFFSET([2]enemies!$A$1,0,0,COUNTA([2]enemies!$A:$A),MATCH(P$1,[2]enemies!$1:$1,0)-MATCH($L$1,[2]enemies!$1:$1,0)+1),MATCH(P$1,[2]enemies!$1:$1,0)-MATCH($L$1,[2]enemies!$1:$1,0)+1,FALSE)</f>
        <v>animal</v>
      </c>
      <c r="Q233" s="21">
        <f ca="1">VLOOKUP($L233,OFFSET([2]enemies!$A$1,0,0,COUNTA([2]enemies!$A:$A),MATCH(Q$1,[2]enemies!$1:$1,0)-MATCH($L$1,[2]enemies!$1:$1,0)+1),MATCH(Q$1,[2]enemies!$1:$1,0)-MATCH($L$1,[2]enemies!$1:$1,0)+1,FALSE)</f>
        <v>15</v>
      </c>
      <c r="R233" s="53">
        <v>46</v>
      </c>
      <c r="S233" s="27">
        <v>1</v>
      </c>
      <c r="T233" s="27">
        <v>1</v>
      </c>
      <c r="U233" s="5">
        <v>0</v>
      </c>
      <c r="V233" s="4" t="str">
        <f ca="1">VLOOKUP($W233,OFFSET([4]enemy_skill_sets!$B$1,0,0,COUNTA([4]enemy_skill_sets!$B:$B),MATCH(M$1,[4]enemy_skill_sets!$1:$1,0)-MATCH($W$1,[4]enemy_skill_sets!$1:$1,0)+2),MATCH(M$1,[4]enemy_skill_sets!$1:$1,0)-MATCH($W$1,[4]enemy_skill_sets!$1:$1,0)+2,FALSE)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33" s="4">
        <f ca="1">VLOOKUP($L233,OFFSET([2]enemies!$A$1,0,0,COUNTA([2]enemies!$A:$A),MATCH(W$1,[2]enemies!$1:$1,0)-MATCH($L$1,[2]enemies!$1:$1,0)+1),MATCH(W$1,[2]enemies!$1:$1,0)-MATCH($L$1,[2]enemies!$1:$1,0)+1,FALSE)</f>
        <v>59</v>
      </c>
      <c r="X233" s="6">
        <v>0</v>
      </c>
      <c r="Y233" s="6">
        <v>100</v>
      </c>
      <c r="Z233" s="6">
        <v>0</v>
      </c>
      <c r="AA233" s="4">
        <f ca="1">VLOOKUP($L233,OFFSET([2]enemies!$A$1,0,0,COUNTA([2]enemies!$A:$A),MATCH(AA$1,[2]enemies!$1:$1,0)-MATCH($L$1,[2]enemies!$1:$1,0)+1),MATCH(AA$1,[2]enemies!$1:$1,0)-MATCH($L$1,[2]enemies!$1:$1,0)+1,FALSE)</f>
        <v>2</v>
      </c>
      <c r="AB233" s="52">
        <v>59</v>
      </c>
      <c r="AC233" s="4" t="str">
        <f ca="1">VLOOKUP($AB233,OFFSET([3]characters!$A$1,0,0,COUNTA([3]characters!$A:$A),MATCH(AC$1,[3]characters!$1:$1,0)-MATCH("character_id",[3]characters!$1:$1,0)+1),MATCH(AC$1,[3]characters!$1:$1,0)-MATCH("character_id",[3]characters!$1:$1,0)+1,FALSE)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233" s="4">
        <f ca="1">VLOOKUP($AB233,OFFSET([3]characters!$A$1,0,0,COUNTA([3]characters!$A:$A),MATCH(AD$1,[3]characters!$1:$1,0)-MATCH("character_id",[3]characters!$1:$1,0)+1),MATCH(AD$1,[3]characters!$1:$1,0)-MATCH("character_id",[3]characters!$1:$1,0)+1,FALSE)</f>
        <v>2</v>
      </c>
      <c r="AE233" s="4" t="str">
        <f ca="1">VLOOKUP($AB233,OFFSET([3]characters!$A$1,0,0,COUNTA([3]characters!$A:$A),MATCH(AE$1,[3]characters!$1:$1,0)-MATCH("character_id",[3]characters!$1:$1,0)+1),MATCH(AE$1,[3]characters!$1:$1,0)-MATCH("character_id",[3]characters!$1:$1,0)+1,FALSE)</f>
        <v>Drop1N</v>
      </c>
      <c r="AF233" s="7">
        <v>7</v>
      </c>
      <c r="AG233" s="26">
        <f t="shared" ca="1" si="239"/>
        <v>2</v>
      </c>
      <c r="AH233" s="8">
        <v>20</v>
      </c>
      <c r="AI233" s="7">
        <v>0</v>
      </c>
      <c r="AJ233" s="7">
        <v>0</v>
      </c>
      <c r="AK233" s="7">
        <v>0</v>
      </c>
      <c r="AL233" s="7">
        <v>0</v>
      </c>
      <c r="AM233" s="7">
        <v>1</v>
      </c>
    </row>
    <row r="234" spans="1:39" ht="14" x14ac:dyDescent="0.15">
      <c r="A234" s="18" t="str">
        <f t="shared" ca="1" si="248"/>
        <v>23_3-3/21&lt;lv44&gt;s2</v>
      </c>
      <c r="B234" s="50">
        <v>23</v>
      </c>
      <c r="C234" s="49">
        <v>3</v>
      </c>
      <c r="D234" s="2" t="str">
        <f t="shared" si="249"/>
        <v>23_3</v>
      </c>
      <c r="E234" s="2" t="str">
        <f t="shared" si="249"/>
        <v>3_23_3</v>
      </c>
      <c r="F234" s="4" t="str">
        <f ca="1">VLOOKUP($D234,OFFSET([1]stages!$A$1,0,0,COUNTA([1]stages!$A:$A),MATCH(F$1,[1]stages!$2:$2,0)-MATCH($D$1,[1]stages!$2:$2,0)+1),MATCH(F$1,[1]stages!$2:$2,0)-MATCH($D$1,[1]stages!$2:$2,0)+1,FALSE)</f>
        <v>23-3．震える大地</v>
      </c>
      <c r="G234" s="54">
        <v>3</v>
      </c>
      <c r="H234" s="17" t="str">
        <f t="shared" si="250"/>
        <v>23_3-3</v>
      </c>
      <c r="I234" s="17"/>
      <c r="J234" s="17"/>
      <c r="K234" s="65" t="s">
        <v>56</v>
      </c>
      <c r="L234" s="52">
        <v>21</v>
      </c>
      <c r="M234" s="21" t="str">
        <f ca="1">VLOOKUP($L234,OFFSET([2]enemies!$A$1,0,0,COUNTA([2]enemies!$A:$A),MATCH(M$1,[2]enemies!$1:$1,0)-MATCH($L$1,[2]enemies!$1:$1,0)+1),MATCH(M$1,[2]enemies!$1:$1,0)-MATCH($L$1,[2]enemies!$1:$1,0)+1,FALSE)</f>
        <v>ヴェロキー</v>
      </c>
      <c r="N234" s="21" t="str">
        <f ca="1">VLOOKUP($L234,OFFSET([2]enemies!$A$1,0,0,COUNTA([2]enemies!$A:$A),MATCH(N$1,[2]enemies!$1:$1,0)-MATCH($L$1,[2]enemies!$1:$1,0)+1),MATCH(N$1,[2]enemies!$1:$1,0)-MATCH($L$1,[2]enemies!$1:$1,0)+1,FALSE)</f>
        <v>red</v>
      </c>
      <c r="O234" s="21" t="str">
        <f ca="1">VLOOKUP($L234,OFFSET([3]characters!$A$1,0,0,COUNTA([3]characters!$A:$A),MATCH(O$1,[3]characters!$1:$1,0)-MATCH($L$1,[3]characters!$1:$1,0)+1),MATCH(O$1,[3]characters!$1:$1,0)-MATCH($L$1,[3]characters!$1:$1,0)+1,FALSE)</f>
        <v>Drop1N</v>
      </c>
      <c r="P234" s="21" t="str">
        <f ca="1">VLOOKUP($L234,OFFSET([2]enemies!$A$1,0,0,COUNTA([2]enemies!$A:$A),MATCH(P$1,[2]enemies!$1:$1,0)-MATCH($L$1,[2]enemies!$1:$1,0)+1),MATCH(P$1,[2]enemies!$1:$1,0)-MATCH($L$1,[2]enemies!$1:$1,0)+1,FALSE)</f>
        <v>dragon</v>
      </c>
      <c r="Q234" s="21">
        <f ca="1">VLOOKUP($L234,OFFSET([2]enemies!$A$1,0,0,COUNTA([2]enemies!$A:$A),MATCH(Q$1,[2]enemies!$1:$1,0)-MATCH($L$1,[2]enemies!$1:$1,0)+1),MATCH(Q$1,[2]enemies!$1:$1,0)-MATCH($L$1,[2]enemies!$1:$1,0)+1,FALSE)</f>
        <v>15</v>
      </c>
      <c r="R234" s="53">
        <v>44</v>
      </c>
      <c r="S234" s="27">
        <v>1</v>
      </c>
      <c r="T234" s="27">
        <v>1</v>
      </c>
      <c r="U234" s="5">
        <v>0</v>
      </c>
      <c r="V234" s="4" t="str">
        <f ca="1">VLOOKUP($W234,OFFSET([4]enemy_skill_sets!$B$1,0,0,COUNTA([4]enemy_skill_sets!$B:$B),MATCH(M$1,[4]enemy_skill_sets!$1:$1,0)-MATCH($W$1,[4]enemy_skill_sets!$1:$1,0)+2),MATCH(M$1,[4]enemy_skill_sets!$1:$1,0)-MATCH($W$1,[4]enemy_skill_sets!$1:$1,0)+2,FALSE)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34" s="4">
        <f ca="1">VLOOKUP($L234,OFFSET([2]enemies!$A$1,0,0,COUNTA([2]enemies!$A:$A),MATCH(W$1,[2]enemies!$1:$1,0)-MATCH($L$1,[2]enemies!$1:$1,0)+1),MATCH(W$1,[2]enemies!$1:$1,0)-MATCH($L$1,[2]enemies!$1:$1,0)+1,FALSE)</f>
        <v>0</v>
      </c>
      <c r="X234" s="6">
        <v>0</v>
      </c>
      <c r="Y234" s="6">
        <v>100</v>
      </c>
      <c r="Z234" s="6">
        <v>0</v>
      </c>
      <c r="AA234" s="4">
        <f ca="1">VLOOKUP($L234,OFFSET([2]enemies!$A$1,0,0,COUNTA([2]enemies!$A:$A),MATCH(AA$1,[2]enemies!$1:$1,0)-MATCH($L$1,[2]enemies!$1:$1,0)+1),MATCH(AA$1,[2]enemies!$1:$1,0)-MATCH($L$1,[2]enemies!$1:$1,0)+1,FALSE)</f>
        <v>2</v>
      </c>
      <c r="AB234" s="52">
        <v>21</v>
      </c>
      <c r="AC234" s="4" t="str">
        <f ca="1">VLOOKUP($AB234,OFFSET([3]characters!$A$1,0,0,COUNTA([3]characters!$A:$A),MATCH(AC$1,[3]characters!$1:$1,0)-MATCH("character_id",[3]characters!$1:$1,0)+1),MATCH(AC$1,[3]characters!$1:$1,0)-MATCH("character_id",[3]characters!$1:$1,0)+1,FALSE)</f>
        <v>ヴェロキー</v>
      </c>
      <c r="AD234" s="4">
        <f ca="1">VLOOKUP($AB234,OFFSET([3]characters!$A$1,0,0,COUNTA([3]characters!$A:$A),MATCH(AD$1,[3]characters!$1:$1,0)-MATCH("character_id",[3]characters!$1:$1,0)+1),MATCH(AD$1,[3]characters!$1:$1,0)-MATCH("character_id",[3]characters!$1:$1,0)+1,FALSE)</f>
        <v>1</v>
      </c>
      <c r="AE234" s="4" t="str">
        <f ca="1">VLOOKUP($AB234,OFFSET([3]characters!$A$1,0,0,COUNTA([3]characters!$A:$A),MATCH(AE$1,[3]characters!$1:$1,0)-MATCH("character_id",[3]characters!$1:$1,0)+1),MATCH(AE$1,[3]characters!$1:$1,0)-MATCH("character_id",[3]characters!$1:$1,0)+1,FALSE)</f>
        <v>Drop1N</v>
      </c>
      <c r="AF234" s="7">
        <v>7</v>
      </c>
      <c r="AG234" s="26">
        <f t="shared" ca="1" si="239"/>
        <v>1</v>
      </c>
      <c r="AH234" s="8">
        <v>20</v>
      </c>
      <c r="AI234" s="7">
        <v>0</v>
      </c>
      <c r="AJ234" s="7">
        <v>0</v>
      </c>
      <c r="AK234" s="7">
        <v>0</v>
      </c>
      <c r="AL234" s="7">
        <v>0</v>
      </c>
      <c r="AM234" s="7">
        <v>1</v>
      </c>
    </row>
    <row r="235" spans="1:39" ht="14" x14ac:dyDescent="0.15">
      <c r="A235" s="18" t="str">
        <f t="shared" ca="1" si="248"/>
        <v>23_3-3/41&lt;lv44&gt;s1</v>
      </c>
      <c r="B235" s="50">
        <v>23</v>
      </c>
      <c r="C235" s="49">
        <v>3</v>
      </c>
      <c r="D235" s="2" t="str">
        <f t="shared" si="249"/>
        <v>23_3</v>
      </c>
      <c r="E235" s="2" t="str">
        <f t="shared" si="249"/>
        <v>3_23_3</v>
      </c>
      <c r="F235" s="4" t="str">
        <f ca="1">VLOOKUP($D235,OFFSET([1]stages!$A$1,0,0,COUNTA([1]stages!$A:$A),MATCH(F$1,[1]stages!$2:$2,0)-MATCH($D$1,[1]stages!$2:$2,0)+1),MATCH(F$1,[1]stages!$2:$2,0)-MATCH($D$1,[1]stages!$2:$2,0)+1,FALSE)</f>
        <v>23-3．震える大地</v>
      </c>
      <c r="G235" s="54">
        <v>3</v>
      </c>
      <c r="H235" s="17" t="str">
        <f t="shared" si="250"/>
        <v>23_3-3</v>
      </c>
      <c r="I235" s="17"/>
      <c r="J235" s="17"/>
      <c r="K235" s="65" t="s">
        <v>56</v>
      </c>
      <c r="L235" s="52">
        <v>41</v>
      </c>
      <c r="M235" s="21" t="str">
        <f ca="1">VLOOKUP($L235,OFFSET([2]enemies!$A$1,0,0,COUNTA([2]enemies!$A:$A),MATCH(M$1,[2]enemies!$1:$1,0)-MATCH($L$1,[2]enemies!$1:$1,0)+1),MATCH(M$1,[2]enemies!$1:$1,0)-MATCH($L$1,[2]enemies!$1:$1,0)+1,FALSE)</f>
        <v>ヒュウガ</v>
      </c>
      <c r="N235" s="21" t="str">
        <f ca="1">VLOOKUP($L235,OFFSET([2]enemies!$A$1,0,0,COUNTA([2]enemies!$A:$A),MATCH(N$1,[2]enemies!$1:$1,0)-MATCH($L$1,[2]enemies!$1:$1,0)+1),MATCH(N$1,[2]enemies!$1:$1,0)-MATCH($L$1,[2]enemies!$1:$1,0)+1,FALSE)</f>
        <v>red</v>
      </c>
      <c r="O235" s="21" t="str">
        <f ca="1">VLOOKUP($L235,OFFSET([3]characters!$A$1,0,0,COUNTA([3]characters!$A:$A),MATCH(O$1,[3]characters!$1:$1,0)-MATCH($L$1,[3]characters!$1:$1,0)+1),MATCH(O$1,[3]characters!$1:$1,0)-MATCH($L$1,[3]characters!$1:$1,0)+1,FALSE)</f>
        <v>Drop1N</v>
      </c>
      <c r="P235" s="21" t="str">
        <f ca="1">VLOOKUP($L235,OFFSET([2]enemies!$A$1,0,0,COUNTA([2]enemies!$A:$A),MATCH(P$1,[2]enemies!$1:$1,0)-MATCH($L$1,[2]enemies!$1:$1,0)+1),MATCH(P$1,[2]enemies!$1:$1,0)-MATCH($L$1,[2]enemies!$1:$1,0)+1,FALSE)</f>
        <v>dragon</v>
      </c>
      <c r="Q235" s="21">
        <f ca="1">VLOOKUP($L235,OFFSET([2]enemies!$A$1,0,0,COUNTA([2]enemies!$A:$A),MATCH(Q$1,[2]enemies!$1:$1,0)-MATCH($L$1,[2]enemies!$1:$1,0)+1),MATCH(Q$1,[2]enemies!$1:$1,0)-MATCH($L$1,[2]enemies!$1:$1,0)+1,FALSE)</f>
        <v>15</v>
      </c>
      <c r="R235" s="53">
        <v>44</v>
      </c>
      <c r="S235" s="27">
        <v>1</v>
      </c>
      <c r="T235" s="27">
        <v>1</v>
      </c>
      <c r="U235" s="5">
        <v>0</v>
      </c>
      <c r="V235" s="4" t="str">
        <f ca="1">VLOOKUP($W235,OFFSET([4]enemy_skill_sets!$B$1,0,0,COUNTA([4]enemy_skill_sets!$B:$B),MATCH(M$1,[4]enemy_skill_sets!$1:$1,0)-MATCH($W$1,[4]enemy_skill_sets!$1:$1,0)+2),MATCH(M$1,[4]enemy_skill_sets!$1:$1,0)-MATCH($W$1,[4]enemy_skill_sets!$1:$1,0)+2,FALSE)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35" s="4">
        <f ca="1">VLOOKUP($L235,OFFSET([2]enemies!$A$1,0,0,COUNTA([2]enemies!$A:$A),MATCH(W$1,[2]enemies!$1:$1,0)-MATCH($L$1,[2]enemies!$1:$1,0)+1),MATCH(W$1,[2]enemies!$1:$1,0)-MATCH($L$1,[2]enemies!$1:$1,0)+1,FALSE)</f>
        <v>0</v>
      </c>
      <c r="X235" s="6">
        <v>0</v>
      </c>
      <c r="Y235" s="6">
        <v>100</v>
      </c>
      <c r="Z235" s="6">
        <v>0</v>
      </c>
      <c r="AA235" s="4">
        <f ca="1">VLOOKUP($L235,OFFSET([2]enemies!$A$1,0,0,COUNTA([2]enemies!$A:$A),MATCH(AA$1,[2]enemies!$1:$1,0)-MATCH($L$1,[2]enemies!$1:$1,0)+1),MATCH(AA$1,[2]enemies!$1:$1,0)-MATCH($L$1,[2]enemies!$1:$1,0)+1,FALSE)</f>
        <v>1</v>
      </c>
      <c r="AB235" s="52">
        <v>41</v>
      </c>
      <c r="AC235" s="4" t="str">
        <f ca="1">VLOOKUP($AB235,OFFSET([3]characters!$A$1,0,0,COUNTA([3]characters!$A:$A),MATCH(AC$1,[3]characters!$1:$1,0)-MATCH("character_id",[3]characters!$1:$1,0)+1),MATCH(AC$1,[3]characters!$1:$1,0)-MATCH("character_id",[3]characters!$1:$1,0)+1,FALSE)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35" s="4">
        <f ca="1">VLOOKUP($AB235,OFFSET([3]characters!$A$1,0,0,COUNTA([3]characters!$A:$A),MATCH(AD$1,[3]characters!$1:$1,0)-MATCH("character_id",[3]characters!$1:$1,0)+1),MATCH(AD$1,[3]characters!$1:$1,0)-MATCH("character_id",[3]characters!$1:$1,0)+1,FALSE)</f>
        <v>2</v>
      </c>
      <c r="AE235" s="4" t="str">
        <f ca="1">VLOOKUP($AB235,OFFSET([3]characters!$A$1,0,0,COUNTA([3]characters!$A:$A),MATCH(AE$1,[3]characters!$1:$1,0)-MATCH("character_id",[3]characters!$1:$1,0)+1),MATCH(AE$1,[3]characters!$1:$1,0)-MATCH("character_id",[3]characters!$1:$1,0)+1,FALSE)</f>
        <v>Drop1N</v>
      </c>
      <c r="AF235" s="7">
        <v>7</v>
      </c>
      <c r="AG235" s="26">
        <f t="shared" ca="1" si="239"/>
        <v>2</v>
      </c>
      <c r="AH235" s="8">
        <v>20</v>
      </c>
      <c r="AI235" s="7">
        <v>0</v>
      </c>
      <c r="AJ235" s="7">
        <v>0</v>
      </c>
      <c r="AK235" s="7">
        <v>0</v>
      </c>
      <c r="AL235" s="7">
        <v>0</v>
      </c>
      <c r="AM235" s="7">
        <v>1</v>
      </c>
    </row>
    <row r="236" spans="1:39" ht="14" x14ac:dyDescent="0.15">
      <c r="A236" s="18" t="str">
        <f t="shared" ca="1" si="248"/>
        <v>23_3-3/43&lt;lv46&gt;s2</v>
      </c>
      <c r="B236" s="50">
        <v>23</v>
      </c>
      <c r="C236" s="49">
        <v>3</v>
      </c>
      <c r="D236" s="2" t="str">
        <f t="shared" si="249"/>
        <v>23_3</v>
      </c>
      <c r="E236" s="2" t="str">
        <f t="shared" si="249"/>
        <v>3_23_3</v>
      </c>
      <c r="F236" s="4" t="str">
        <f ca="1">VLOOKUP($D236,OFFSET([1]stages!$A$1,0,0,COUNTA([1]stages!$A:$A),MATCH(F$1,[1]stages!$2:$2,0)-MATCH($D$1,[1]stages!$2:$2,0)+1),MATCH(F$1,[1]stages!$2:$2,0)-MATCH($D$1,[1]stages!$2:$2,0)+1,FALSE)</f>
        <v>23-3．震える大地</v>
      </c>
      <c r="G236" s="54">
        <v>3</v>
      </c>
      <c r="H236" s="17" t="str">
        <f t="shared" si="250"/>
        <v>23_3-3</v>
      </c>
      <c r="I236" s="17"/>
      <c r="J236" s="17"/>
      <c r="K236" s="65" t="s">
        <v>56</v>
      </c>
      <c r="L236" s="52">
        <v>43</v>
      </c>
      <c r="M236" s="21" t="str">
        <f ca="1">VLOOKUP($L236,OFFSET([2]enemies!$A$1,0,0,COUNTA([2]enemies!$A:$A),MATCH(M$1,[2]enemies!$1:$1,0)-MATCH($L$1,[2]enemies!$1:$1,0)+1),MATCH(M$1,[2]enemies!$1:$1,0)-MATCH($L$1,[2]enemies!$1:$1,0)+1,FALSE)</f>
        <v>ムゥ</v>
      </c>
      <c r="N236" s="21" t="str">
        <f ca="1">VLOOKUP($L236,OFFSET([2]enemies!$A$1,0,0,COUNTA([2]enemies!$A:$A),MATCH(N$1,[2]enemies!$1:$1,0)-MATCH($L$1,[2]enemies!$1:$1,0)+1),MATCH(N$1,[2]enemies!$1:$1,0)-MATCH($L$1,[2]enemies!$1:$1,0)+1,FALSE)</f>
        <v>green</v>
      </c>
      <c r="O236" s="21" t="str">
        <f ca="1">VLOOKUP($L236,OFFSET([3]characters!$A$1,0,0,COUNTA([3]characters!$A:$A),MATCH(O$1,[3]characters!$1:$1,0)-MATCH($L$1,[3]characters!$1:$1,0)+1),MATCH(O$1,[3]characters!$1:$1,0)-MATCH($L$1,[3]characters!$1:$1,0)+1,FALSE)</f>
        <v>Drop1N</v>
      </c>
      <c r="P236" s="21" t="str">
        <f ca="1">VLOOKUP($L236,OFFSET([2]enemies!$A$1,0,0,COUNTA([2]enemies!$A:$A),MATCH(P$1,[2]enemies!$1:$1,0)-MATCH($L$1,[2]enemies!$1:$1,0)+1),MATCH(P$1,[2]enemies!$1:$1,0)-MATCH($L$1,[2]enemies!$1:$1,0)+1,FALSE)</f>
        <v>dragon</v>
      </c>
      <c r="Q236" s="21">
        <f ca="1">VLOOKUP($L236,OFFSET([2]enemies!$A$1,0,0,COUNTA([2]enemies!$A:$A),MATCH(Q$1,[2]enemies!$1:$1,0)-MATCH($L$1,[2]enemies!$1:$1,0)+1),MATCH(Q$1,[2]enemies!$1:$1,0)-MATCH($L$1,[2]enemies!$1:$1,0)+1,FALSE)</f>
        <v>15</v>
      </c>
      <c r="R236" s="53">
        <v>46</v>
      </c>
      <c r="S236" s="27">
        <v>1</v>
      </c>
      <c r="T236" s="27">
        <v>1</v>
      </c>
      <c r="U236" s="5">
        <v>0</v>
      </c>
      <c r="V236" s="4" t="str">
        <f ca="1">VLOOKUP($W236,OFFSET([4]enemy_skill_sets!$B$1,0,0,COUNTA([4]enemy_skill_sets!$B:$B),MATCH(M$1,[4]enemy_skill_sets!$1:$1,0)-MATCH($W$1,[4]enemy_skill_sets!$1:$1,0)+2),MATCH(M$1,[4]enemy_skill_sets!$1:$1,0)-MATCH($W$1,[4]enemy_skill_sets!$1:$1,0)+2,FALSE)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36" s="4">
        <f ca="1">VLOOKUP($L236,OFFSET([2]enemies!$A$1,0,0,COUNTA([2]enemies!$A:$A),MATCH(W$1,[2]enemies!$1:$1,0)-MATCH($L$1,[2]enemies!$1:$1,0)+1),MATCH(W$1,[2]enemies!$1:$1,0)-MATCH($L$1,[2]enemies!$1:$1,0)+1,FALSE)</f>
        <v>0</v>
      </c>
      <c r="X236" s="6">
        <v>0</v>
      </c>
      <c r="Y236" s="6">
        <v>100</v>
      </c>
      <c r="Z236" s="6">
        <v>0</v>
      </c>
      <c r="AA236" s="4">
        <f ca="1">VLOOKUP($L236,OFFSET([2]enemies!$A$1,0,0,COUNTA([2]enemies!$A:$A),MATCH(AA$1,[2]enemies!$1:$1,0)-MATCH($L$1,[2]enemies!$1:$1,0)+1),MATCH(AA$1,[2]enemies!$1:$1,0)-MATCH($L$1,[2]enemies!$1:$1,0)+1,FALSE)</f>
        <v>2</v>
      </c>
      <c r="AB236" s="52">
        <v>43</v>
      </c>
      <c r="AC236" s="4" t="str">
        <f ca="1">VLOOKUP($AB236,OFFSET([3]characters!$A$1,0,0,COUNTA([3]characters!$A:$A),MATCH(AC$1,[3]characters!$1:$1,0)-MATCH("character_id",[3]characters!$1:$1,0)+1),MATCH(AC$1,[3]characters!$1:$1,0)-MATCH("character_id",[3]characters!$1:$1,0)+1,FALSE)</f>
        <v>ムゥ</v>
      </c>
      <c r="AD236" s="4">
        <f ca="1">VLOOKUP($AB236,OFFSET([3]characters!$A$1,0,0,COUNTA([3]characters!$A:$A),MATCH(AD$1,[3]characters!$1:$1,0)-MATCH("character_id",[3]characters!$1:$1,0)+1),MATCH(AD$1,[3]characters!$1:$1,0)-MATCH("character_id",[3]characters!$1:$1,0)+1,FALSE)</f>
        <v>2</v>
      </c>
      <c r="AE236" s="4" t="str">
        <f ca="1">VLOOKUP($AB236,OFFSET([3]characters!$A$1,0,0,COUNTA([3]characters!$A:$A),MATCH(AE$1,[3]characters!$1:$1,0)-MATCH("character_id",[3]characters!$1:$1,0)+1),MATCH(AE$1,[3]characters!$1:$1,0)-MATCH("character_id",[3]characters!$1:$1,0)+1,FALSE)</f>
        <v>Drop1N</v>
      </c>
      <c r="AF236" s="7">
        <v>7</v>
      </c>
      <c r="AG236" s="26">
        <f t="shared" ca="1" si="239"/>
        <v>2</v>
      </c>
      <c r="AH236" s="8">
        <v>20</v>
      </c>
      <c r="AI236" s="7">
        <v>0</v>
      </c>
      <c r="AJ236" s="7">
        <v>0</v>
      </c>
      <c r="AK236" s="7">
        <v>0</v>
      </c>
      <c r="AL236" s="7">
        <v>0</v>
      </c>
      <c r="AM236" s="7">
        <v>1</v>
      </c>
    </row>
    <row r="237" spans="1:39" ht="14" x14ac:dyDescent="0.15">
      <c r="A237" s="18" t="str">
        <f t="shared" ref="A237:A238" ca="1" si="278">B237&amp;"_"&amp;C237&amp;"-"&amp;G237&amp;"/"&amp;L237&amp;"&lt;lv"&amp;R237&amp;"&gt;s"&amp;AA237</f>
        <v>23_3-3/360&lt;lv44&gt;s3</v>
      </c>
      <c r="B237" s="53">
        <v>23</v>
      </c>
      <c r="C237" s="51">
        <v>3</v>
      </c>
      <c r="D237" s="2" t="str">
        <f t="shared" ref="D237:D238" si="279">B237&amp;"_"&amp;C237</f>
        <v>23_3</v>
      </c>
      <c r="E237" s="2" t="str">
        <f t="shared" ref="E237:E238" si="280">C237&amp;"_"&amp;D237</f>
        <v>3_23_3</v>
      </c>
      <c r="F237" s="4" t="str">
        <f ca="1">VLOOKUP($D237,OFFSET([1]stages!$A$1,0,0,COUNTA([1]stages!$A:$A),MATCH(F$1,[1]stages!$2:$2,0)-MATCH($D$1,[1]stages!$2:$2,0)+1),MATCH(F$1,[1]stages!$2:$2,0)-MATCH($D$1,[1]stages!$2:$2,0)+1,FALSE)</f>
        <v>23-3．震える大地</v>
      </c>
      <c r="G237" s="54">
        <v>3</v>
      </c>
      <c r="H237" s="17" t="str">
        <f t="shared" ref="H237:H238" si="281">B237&amp;"_"&amp;C237&amp;"-"&amp;G237</f>
        <v>23_3-3</v>
      </c>
      <c r="I237" s="17"/>
      <c r="J237" s="17"/>
      <c r="K237" s="65" t="s">
        <v>56</v>
      </c>
      <c r="L237" s="52">
        <v>360</v>
      </c>
      <c r="M237" s="21" t="str">
        <f ca="1">VLOOKUP($L237,OFFSET([2]enemies!$A$1,0,0,COUNTA([2]enemies!$A:$A),MATCH(M$1,[2]enemies!$1:$1,0)-MATCH($L$1,[2]enemies!$1:$1,0)+1),MATCH(M$1,[2]enemies!$1:$1,0)-MATCH($L$1,[2]enemies!$1:$1,0)+1,FALSE)</f>
        <v>ガンテツ</v>
      </c>
      <c r="N237" s="21" t="str">
        <f ca="1">VLOOKUP($L237,OFFSET([2]enemies!$A$1,0,0,COUNTA([2]enemies!$A:$A),MATCH(N$1,[2]enemies!$1:$1,0)-MATCH($L$1,[2]enemies!$1:$1,0)+1),MATCH(N$1,[2]enemies!$1:$1,0)-MATCH($L$1,[2]enemies!$1:$1,0)+1,FALSE)</f>
        <v>red</v>
      </c>
      <c r="O237" s="21" t="str">
        <f ca="1">VLOOKUP($L237,OFFSET([3]characters!$A$1,0,0,COUNTA([3]characters!$A:$A),MATCH(O$1,[3]characters!$1:$1,0)-MATCH($L$1,[3]characters!$1:$1,0)+1),MATCH(O$1,[3]characters!$1:$1,0)-MATCH($L$1,[3]characters!$1:$1,0)+1,FALSE)</f>
        <v>Drop1S</v>
      </c>
      <c r="P237" s="21" t="str">
        <f ca="1">VLOOKUP($L237,OFFSET([2]enemies!$A$1,0,0,COUNTA([2]enemies!$A:$A),MATCH(P$1,[2]enemies!$1:$1,0)-MATCH($L$1,[2]enemies!$1:$1,0)+1),MATCH(P$1,[2]enemies!$1:$1,0)-MATCH($L$1,[2]enemies!$1:$1,0)+1,FALSE)</f>
        <v>animal</v>
      </c>
      <c r="Q237" s="21">
        <f ca="1">VLOOKUP($L237,OFFSET([2]enemies!$A$1,0,0,COUNTA([2]enemies!$A:$A),MATCH(Q$1,[2]enemies!$1:$1,0)-MATCH($L$1,[2]enemies!$1:$1,0)+1),MATCH(Q$1,[2]enemies!$1:$1,0)-MATCH($L$1,[2]enemies!$1:$1,0)+1,FALSE)</f>
        <v>15</v>
      </c>
      <c r="R237" s="53">
        <v>44</v>
      </c>
      <c r="S237" s="27">
        <v>1</v>
      </c>
      <c r="T237" s="27">
        <v>1</v>
      </c>
      <c r="U237" s="5">
        <v>0</v>
      </c>
      <c r="V237" s="4" t="str">
        <f ca="1">VLOOKUP($W237,OFFSET([4]enemy_skill_sets!$B$1,0,0,COUNTA([4]enemy_skill_sets!$B:$B),MATCH(M$1,[4]enemy_skill_sets!$1:$1,0)-MATCH($W$1,[4]enemy_skill_sets!$1:$1,0)+2),MATCH(M$1,[4]enemy_skill_sets!$1:$1,0)-MATCH($W$1,[4]enemy_skill_sets!$1:$1,0)+2,FALSE)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37" s="76">
        <v>360</v>
      </c>
      <c r="X237" s="6">
        <v>0</v>
      </c>
      <c r="Y237" s="6">
        <v>100</v>
      </c>
      <c r="Z237" s="6">
        <v>0</v>
      </c>
      <c r="AA237" s="4">
        <f ca="1">VLOOKUP($L237,OFFSET([2]enemies!$A$1,0,0,COUNTA([2]enemies!$A:$A),MATCH(AA$1,[2]enemies!$1:$1,0)-MATCH($L$1,[2]enemies!$1:$1,0)+1),MATCH(AA$1,[2]enemies!$1:$1,0)-MATCH($L$1,[2]enemies!$1:$1,0)+1,FALSE)</f>
        <v>3</v>
      </c>
      <c r="AB237" s="52">
        <v>360</v>
      </c>
      <c r="AC237" s="4" t="str">
        <f ca="1">VLOOKUP($AB237,OFFSET([3]characters!$A$1,0,0,COUNTA([3]characters!$A:$A),MATCH(AC$1,[3]characters!$1:$1,0)-MATCH("character_id",[3]characters!$1:$1,0)+1),MATCH(AC$1,[3]characters!$1:$1,0)-MATCH("character_id",[3]characters!$1:$1,0)+1,FALSE)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37" s="4">
        <f ca="1">VLOOKUP($AB237,OFFSET([3]characters!$A$1,0,0,COUNTA([3]characters!$A:$A),MATCH(AD$1,[3]characters!$1:$1,0)-MATCH("character_id",[3]characters!$1:$1,0)+1),MATCH(AD$1,[3]characters!$1:$1,0)-MATCH("character_id",[3]characters!$1:$1,0)+1,FALSE)</f>
        <v>2</v>
      </c>
      <c r="AE237" s="4" t="str">
        <f ca="1">VLOOKUP($AB237,OFFSET([3]characters!$A$1,0,0,COUNTA([3]characters!$A:$A),MATCH(AE$1,[3]characters!$1:$1,0)-MATCH("character_id",[3]characters!$1:$1,0)+1),MATCH(AE$1,[3]characters!$1:$1,0)-MATCH("character_id",[3]characters!$1:$1,0)+1,FALSE)</f>
        <v>Drop1S</v>
      </c>
      <c r="AF237" s="7">
        <v>7</v>
      </c>
      <c r="AG237" s="26">
        <f t="shared" ca="1" si="239"/>
        <v>2</v>
      </c>
      <c r="AH237" s="8">
        <v>20</v>
      </c>
      <c r="AI237" s="7">
        <v>0</v>
      </c>
      <c r="AJ237" s="7">
        <v>0</v>
      </c>
      <c r="AK237" s="7">
        <v>0</v>
      </c>
      <c r="AL237" s="7">
        <v>0</v>
      </c>
      <c r="AM237" s="7">
        <v>1</v>
      </c>
    </row>
    <row r="238" spans="1:39" ht="14" x14ac:dyDescent="0.15">
      <c r="A238" s="18" t="str">
        <f t="shared" ca="1" si="278"/>
        <v>23_3-3/362&lt;lv46&gt;s3</v>
      </c>
      <c r="B238" s="53">
        <v>23</v>
      </c>
      <c r="C238" s="51">
        <v>3</v>
      </c>
      <c r="D238" s="2" t="str">
        <f t="shared" si="279"/>
        <v>23_3</v>
      </c>
      <c r="E238" s="2" t="str">
        <f t="shared" si="280"/>
        <v>3_23_3</v>
      </c>
      <c r="F238" s="4" t="str">
        <f ca="1">VLOOKUP($D238,OFFSET([1]stages!$A$1,0,0,COUNTA([1]stages!$A:$A),MATCH(F$1,[1]stages!$2:$2,0)-MATCH($D$1,[1]stages!$2:$2,0)+1),MATCH(F$1,[1]stages!$2:$2,0)-MATCH($D$1,[1]stages!$2:$2,0)+1,FALSE)</f>
        <v>23-3．震える大地</v>
      </c>
      <c r="G238" s="54">
        <v>3</v>
      </c>
      <c r="H238" s="17" t="str">
        <f t="shared" si="281"/>
        <v>23_3-3</v>
      </c>
      <c r="I238" s="17"/>
      <c r="J238" s="17"/>
      <c r="K238" s="65" t="s">
        <v>56</v>
      </c>
      <c r="L238" s="52">
        <v>362</v>
      </c>
      <c r="M238" s="21" t="str">
        <f ca="1">VLOOKUP($L238,OFFSET([2]enemies!$A$1,0,0,COUNTA([2]enemies!$A:$A),MATCH(M$1,[2]enemies!$1:$1,0)-MATCH($L$1,[2]enemies!$1:$1,0)+1),MATCH(M$1,[2]enemies!$1:$1,0)-MATCH($L$1,[2]enemies!$1:$1,0)+1,FALSE)</f>
        <v>ゆらら</v>
      </c>
      <c r="N238" s="21" t="str">
        <f ca="1">VLOOKUP($L238,OFFSET([2]enemies!$A$1,0,0,COUNTA([2]enemies!$A:$A),MATCH(N$1,[2]enemies!$1:$1,0)-MATCH($L$1,[2]enemies!$1:$1,0)+1),MATCH(N$1,[2]enemies!$1:$1,0)-MATCH($L$1,[2]enemies!$1:$1,0)+1,FALSE)</f>
        <v>green</v>
      </c>
      <c r="O238" s="21" t="str">
        <f ca="1">VLOOKUP($L238,OFFSET([3]characters!$A$1,0,0,COUNTA([3]characters!$A:$A),MATCH(O$1,[3]characters!$1:$1,0)-MATCH($L$1,[3]characters!$1:$1,0)+1),MATCH(O$1,[3]characters!$1:$1,0)-MATCH($L$1,[3]characters!$1:$1,0)+1,FALSE)</f>
        <v>Drop1S</v>
      </c>
      <c r="P238" s="21" t="str">
        <f ca="1">VLOOKUP($L238,OFFSET([2]enemies!$A$1,0,0,COUNTA([2]enemies!$A:$A),MATCH(P$1,[2]enemies!$1:$1,0)-MATCH($L$1,[2]enemies!$1:$1,0)+1),MATCH(P$1,[2]enemies!$1:$1,0)-MATCH($L$1,[2]enemies!$1:$1,0)+1,FALSE)</f>
        <v>animal</v>
      </c>
      <c r="Q238" s="21">
        <f ca="1">VLOOKUP($L238,OFFSET([2]enemies!$A$1,0,0,COUNTA([2]enemies!$A:$A),MATCH(Q$1,[2]enemies!$1:$1,0)-MATCH($L$1,[2]enemies!$1:$1,0)+1),MATCH(Q$1,[2]enemies!$1:$1,0)-MATCH($L$1,[2]enemies!$1:$1,0)+1,FALSE)</f>
        <v>15</v>
      </c>
      <c r="R238" s="53">
        <v>46</v>
      </c>
      <c r="S238" s="27">
        <v>1</v>
      </c>
      <c r="T238" s="27">
        <v>1</v>
      </c>
      <c r="U238" s="5">
        <v>0</v>
      </c>
      <c r="V238" s="4" t="str">
        <f ca="1">VLOOKUP($W238,OFFSET([4]enemy_skill_sets!$B$1,0,0,COUNTA([4]enemy_skill_sets!$B:$B),MATCH(M$1,[4]enemy_skill_sets!$1:$1,0)-MATCH($W$1,[4]enemy_skill_sets!$1:$1,0)+2),MATCH(M$1,[4]enemy_skill_sets!$1:$1,0)-MATCH($W$1,[4]enemy_skill_sets!$1:$1,0)+2,FALSE)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38" s="64">
        <v>362</v>
      </c>
      <c r="X238" s="6">
        <v>0</v>
      </c>
      <c r="Y238" s="6">
        <v>100</v>
      </c>
      <c r="Z238" s="6">
        <v>0</v>
      </c>
      <c r="AA238" s="4">
        <f ca="1">VLOOKUP($L238,OFFSET([2]enemies!$A$1,0,0,COUNTA([2]enemies!$A:$A),MATCH(AA$1,[2]enemies!$1:$1,0)-MATCH($L$1,[2]enemies!$1:$1,0)+1),MATCH(AA$1,[2]enemies!$1:$1,0)-MATCH($L$1,[2]enemies!$1:$1,0)+1,FALSE)</f>
        <v>3</v>
      </c>
      <c r="AB238" s="52">
        <v>362</v>
      </c>
      <c r="AC238" s="4" t="str">
        <f ca="1">VLOOKUP($AB238,OFFSET([3]characters!$A$1,0,0,COUNTA([3]characters!$A:$A),MATCH(AC$1,[3]characters!$1:$1,0)-MATCH("character_id",[3]characters!$1:$1,0)+1),MATCH(AC$1,[3]characters!$1:$1,0)-MATCH("character_id",[3]characters!$1:$1,0)+1,FALSE)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38" s="4">
        <f ca="1">VLOOKUP($AB238,OFFSET([3]characters!$A$1,0,0,COUNTA([3]characters!$A:$A),MATCH(AD$1,[3]characters!$1:$1,0)-MATCH("character_id",[3]characters!$1:$1,0)+1),MATCH(AD$1,[3]characters!$1:$1,0)-MATCH("character_id",[3]characters!$1:$1,0)+1,FALSE)</f>
        <v>2</v>
      </c>
      <c r="AE238" s="4" t="str">
        <f ca="1">VLOOKUP($AB238,OFFSET([3]characters!$A$1,0,0,COUNTA([3]characters!$A:$A),MATCH(AE$1,[3]characters!$1:$1,0)-MATCH("character_id",[3]characters!$1:$1,0)+1),MATCH(AE$1,[3]characters!$1:$1,0)-MATCH("character_id",[3]characters!$1:$1,0)+1,FALSE)</f>
        <v>Drop1S</v>
      </c>
      <c r="AF238" s="7">
        <v>7</v>
      </c>
      <c r="AG238" s="26">
        <f t="shared" ca="1" si="239"/>
        <v>2</v>
      </c>
      <c r="AH238" s="8">
        <v>20</v>
      </c>
      <c r="AI238" s="7">
        <v>0</v>
      </c>
      <c r="AJ238" s="7">
        <v>0</v>
      </c>
      <c r="AK238" s="7">
        <v>0</v>
      </c>
      <c r="AL238" s="7">
        <v>0</v>
      </c>
      <c r="AM238" s="7">
        <v>1</v>
      </c>
    </row>
    <row r="239" spans="1:39" ht="14" x14ac:dyDescent="0.15">
      <c r="A239" s="18" t="str">
        <f t="shared" ref="A239" ca="1" si="282">B239&amp;"_"&amp;C239&amp;"-"&amp;G239&amp;"/"&amp;L239&amp;"&lt;lv"&amp;R239&amp;"&gt;s"&amp;AA239</f>
        <v>23_3-3/350&lt;lv47&gt;s3</v>
      </c>
      <c r="B239" s="53">
        <v>23</v>
      </c>
      <c r="C239" s="51">
        <v>3</v>
      </c>
      <c r="D239" s="2" t="str">
        <f t="shared" ref="D239" si="283">B239&amp;"_"&amp;C239</f>
        <v>23_3</v>
      </c>
      <c r="E239" s="2" t="str">
        <f t="shared" ref="E239" si="284">C239&amp;"_"&amp;D239</f>
        <v>3_23_3</v>
      </c>
      <c r="F239" s="4" t="str">
        <f ca="1">VLOOKUP($D239,OFFSET([1]stages!$A$1,0,0,COUNTA([1]stages!$A:$A),MATCH(F$1,[1]stages!$2:$2,0)-MATCH($D$1,[1]stages!$2:$2,0)+1),MATCH(F$1,[1]stages!$2:$2,0)-MATCH($D$1,[1]stages!$2:$2,0)+1,FALSE)</f>
        <v>23-3．震える大地</v>
      </c>
      <c r="G239" s="54">
        <v>3</v>
      </c>
      <c r="H239" s="17" t="str">
        <f t="shared" ref="H239" si="285">B239&amp;"_"&amp;C239&amp;"-"&amp;G239</f>
        <v>23_3-3</v>
      </c>
      <c r="I239" s="17"/>
      <c r="J239" s="17"/>
      <c r="K239" s="65" t="s">
        <v>56</v>
      </c>
      <c r="L239" s="52">
        <v>350</v>
      </c>
      <c r="M239" s="21" t="str">
        <f ca="1">VLOOKUP($L239,OFFSET([2]enemies!$A$1,0,0,COUNTA([2]enemies!$A:$A),MATCH(M$1,[2]enemies!$1:$1,0)-MATCH($L$1,[2]enemies!$1:$1,0)+1),MATCH(M$1,[2]enemies!$1:$1,0)-MATCH($L$1,[2]enemies!$1:$1,0)+1,FALSE)</f>
        <v>森のケロケロ</v>
      </c>
      <c r="N239" s="21" t="str">
        <f ca="1">VLOOKUP($L239,OFFSET([2]enemies!$A$1,0,0,COUNTA([2]enemies!$A:$A),MATCH(N$1,[2]enemies!$1:$1,0)-MATCH($L$1,[2]enemies!$1:$1,0)+1),MATCH(N$1,[2]enemies!$1:$1,0)-MATCH($L$1,[2]enemies!$1:$1,0)+1,FALSE)</f>
        <v>green</v>
      </c>
      <c r="O239" s="21" t="str">
        <f ca="1">VLOOKUP($L239,OFFSET([3]characters!$A$1,0,0,COUNTA([3]characters!$A:$A),MATCH(O$1,[3]characters!$1:$1,0)-MATCH($L$1,[3]characters!$1:$1,0)+1),MATCH(O$1,[3]characters!$1:$1,0)-MATCH($L$1,[3]characters!$1:$1,0)+1,FALSE)</f>
        <v>Material</v>
      </c>
      <c r="P239" s="21" t="str">
        <f ca="1">VLOOKUP($L239,OFFSET([2]enemies!$A$1,0,0,COUNTA([2]enemies!$A:$A),MATCH(P$1,[2]enemies!$1:$1,0)-MATCH($L$1,[2]enemies!$1:$1,0)+1),MATCH(P$1,[2]enemies!$1:$1,0)-MATCH($L$1,[2]enemies!$1:$1,0)+1,FALSE)</f>
        <v>unknown</v>
      </c>
      <c r="Q239" s="21">
        <f ca="1">VLOOKUP($L239,OFFSET([2]enemies!$A$1,0,0,COUNTA([2]enemies!$A:$A),MATCH(Q$1,[2]enemies!$1:$1,0)-MATCH($L$1,[2]enemies!$1:$1,0)+1),MATCH(Q$1,[2]enemies!$1:$1,0)-MATCH($L$1,[2]enemies!$1:$1,0)+1,FALSE)</f>
        <v>15</v>
      </c>
      <c r="R239" s="53">
        <v>47</v>
      </c>
      <c r="S239" s="27">
        <v>1</v>
      </c>
      <c r="T239" s="27">
        <v>1</v>
      </c>
      <c r="U239" s="5">
        <v>0</v>
      </c>
      <c r="V239" s="4" t="str">
        <f ca="1">VLOOKUP($W239,OFFSET([4]enemy_skill_sets!$B$1,0,0,COUNTA([4]enemy_skill_sets!$B:$B),MATCH(M$1,[4]enemy_skill_sets!$1:$1,0)-MATCH($W$1,[4]enemy_skill_sets!$1:$1,0)+2),MATCH(M$1,[4]enemy_skill_sets!$1:$1,0)-MATCH($W$1,[4]enemy_skill_sets!$1:$1,0)+2,FALSE)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39" s="64">
        <v>350</v>
      </c>
      <c r="X239" s="6">
        <v>0</v>
      </c>
      <c r="Y239" s="6">
        <v>100</v>
      </c>
      <c r="Z239" s="6">
        <v>0</v>
      </c>
      <c r="AA239" s="4">
        <f ca="1">VLOOKUP($L239,OFFSET([2]enemies!$A$1,0,0,COUNTA([2]enemies!$A:$A),MATCH(AA$1,[2]enemies!$1:$1,0)-MATCH($L$1,[2]enemies!$1:$1,0)+1),MATCH(AA$1,[2]enemies!$1:$1,0)-MATCH($L$1,[2]enemies!$1:$1,0)+1,FALSE)</f>
        <v>3</v>
      </c>
      <c r="AB239" s="52">
        <v>350</v>
      </c>
      <c r="AC239" s="4" t="str">
        <f ca="1">VLOOKUP($AB239,OFFSET([3]characters!$A$1,0,0,COUNTA([3]characters!$A:$A),MATCH(AC$1,[3]characters!$1:$1,0)-MATCH("character_id",[3]characters!$1:$1,0)+1),MATCH(AC$1,[3]characters!$1:$1,0)-MATCH("character_id",[3]characters!$1:$1,0)+1,FALSE)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39" s="4">
        <f ca="1">VLOOKUP($AB239,OFFSET([3]characters!$A$1,0,0,COUNTA([3]characters!$A:$A),MATCH(AD$1,[3]characters!$1:$1,0)-MATCH("character_id",[3]characters!$1:$1,0)+1),MATCH(AD$1,[3]characters!$1:$1,0)-MATCH("character_id",[3]characters!$1:$1,0)+1,FALSE)</f>
        <v>2</v>
      </c>
      <c r="AE239" s="4" t="str">
        <f ca="1">VLOOKUP($AB239,OFFSET([3]characters!$A$1,0,0,COUNTA([3]characters!$A:$A),MATCH(AE$1,[3]characters!$1:$1,0)-MATCH("character_id",[3]characters!$1:$1,0)+1),MATCH(AE$1,[3]characters!$1:$1,0)-MATCH("character_id",[3]characters!$1:$1,0)+1,FALSE)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39" s="7">
        <v>10</v>
      </c>
      <c r="AG239" s="26">
        <f t="shared" ca="1" si="239"/>
        <v>2</v>
      </c>
      <c r="AH239" s="8">
        <v>20</v>
      </c>
      <c r="AI239" s="7">
        <v>0</v>
      </c>
      <c r="AJ239" s="7">
        <v>0</v>
      </c>
      <c r="AK239" s="7">
        <v>0</v>
      </c>
      <c r="AL239" s="7">
        <v>0</v>
      </c>
      <c r="AM239" s="7">
        <v>1</v>
      </c>
    </row>
    <row r="240" spans="1:39" ht="14" x14ac:dyDescent="0.15">
      <c r="A240" s="18" t="str">
        <f t="shared" ca="1" si="248"/>
        <v>23_3-4/33&lt;lv44&gt;s2</v>
      </c>
      <c r="B240" s="50">
        <v>23</v>
      </c>
      <c r="C240" s="49">
        <v>3</v>
      </c>
      <c r="D240" s="2" t="str">
        <f t="shared" si="249"/>
        <v>23_3</v>
      </c>
      <c r="E240" s="2" t="str">
        <f t="shared" si="249"/>
        <v>3_23_3</v>
      </c>
      <c r="F240" s="4" t="str">
        <f ca="1">VLOOKUP($D240,OFFSET([1]stages!$A$1,0,0,COUNTA([1]stages!$A:$A),MATCH(F$1,[1]stages!$2:$2,0)-MATCH($D$1,[1]stages!$2:$2,0)+1),MATCH(F$1,[1]stages!$2:$2,0)-MATCH($D$1,[1]stages!$2:$2,0)+1,FALSE)</f>
        <v>23-3．震える大地</v>
      </c>
      <c r="G240" s="59">
        <v>4</v>
      </c>
      <c r="H240" s="17" t="str">
        <f t="shared" si="250"/>
        <v>23_3-4</v>
      </c>
      <c r="I240" s="17"/>
      <c r="J240" s="17"/>
      <c r="K240" s="65" t="s">
        <v>56</v>
      </c>
      <c r="L240" s="52">
        <v>33</v>
      </c>
      <c r="M240" s="21" t="str">
        <f ca="1">VLOOKUP($L240,OFFSET([2]enemies!$A$1,0,0,COUNTA([2]enemies!$A:$A),MATCH(M$1,[2]enemies!$1:$1,0)-MATCH($L$1,[2]enemies!$1:$1,0)+1),MATCH(M$1,[2]enemies!$1:$1,0)-MATCH($L$1,[2]enemies!$1:$1,0)+1,FALSE)</f>
        <v>ゴクウ</v>
      </c>
      <c r="N240" s="21" t="str">
        <f ca="1">VLOOKUP($L240,OFFSET([2]enemies!$A$1,0,0,COUNTA([2]enemies!$A:$A),MATCH(N$1,[2]enemies!$1:$1,0)-MATCH($L$1,[2]enemies!$1:$1,0)+1),MATCH(N$1,[2]enemies!$1:$1,0)-MATCH($L$1,[2]enemies!$1:$1,0)+1,FALSE)</f>
        <v>red</v>
      </c>
      <c r="O240" s="21" t="str">
        <f ca="1">VLOOKUP($L240,OFFSET([3]characters!$A$1,0,0,COUNTA([3]characters!$A:$A),MATCH(O$1,[3]characters!$1:$1,0)-MATCH($L$1,[3]characters!$1:$1,0)+1),MATCH(O$1,[3]characters!$1:$1,0)-MATCH($L$1,[3]characters!$1:$1,0)+1,FALSE)</f>
        <v>Drop1S</v>
      </c>
      <c r="P240" s="21" t="str">
        <f ca="1">VLOOKUP($L240,OFFSET([2]enemies!$A$1,0,0,COUNTA([2]enemies!$A:$A),MATCH(P$1,[2]enemies!$1:$1,0)-MATCH($L$1,[2]enemies!$1:$1,0)+1),MATCH(P$1,[2]enemies!$1:$1,0)-MATCH($L$1,[2]enemies!$1:$1,0)+1,FALSE)</f>
        <v>animal</v>
      </c>
      <c r="Q240" s="21">
        <f ca="1">VLOOKUP($L240,OFFSET([2]enemies!$A$1,0,0,COUNTA([2]enemies!$A:$A),MATCH(Q$1,[2]enemies!$1:$1,0)-MATCH($L$1,[2]enemies!$1:$1,0)+1),MATCH(Q$1,[2]enemies!$1:$1,0)-MATCH($L$1,[2]enemies!$1:$1,0)+1,FALSE)</f>
        <v>15</v>
      </c>
      <c r="R240" s="53">
        <v>44</v>
      </c>
      <c r="S240" s="27">
        <v>1</v>
      </c>
      <c r="T240" s="27">
        <v>1</v>
      </c>
      <c r="U240" s="5">
        <v>0</v>
      </c>
      <c r="V240" s="4" t="str">
        <f ca="1">VLOOKUP($W240,OFFSET([4]enemy_skill_sets!$B$1,0,0,COUNTA([4]enemy_skill_sets!$B:$B),MATCH(M$1,[4]enemy_skill_sets!$1:$1,0)-MATCH($W$1,[4]enemy_skill_sets!$1:$1,0)+2),MATCH(M$1,[4]enemy_skill_sets!$1:$1,0)-MATCH($W$1,[4]enemy_skill_sets!$1:$1,0)+2,FALSE)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40" s="4">
        <f ca="1">VLOOKUP($L240,OFFSET([2]enemies!$A$1,0,0,COUNTA([2]enemies!$A:$A),MATCH(W$1,[2]enemies!$1:$1,0)-MATCH($L$1,[2]enemies!$1:$1,0)+1),MATCH(W$1,[2]enemies!$1:$1,0)-MATCH($L$1,[2]enemies!$1:$1,0)+1,FALSE)</f>
        <v>33</v>
      </c>
      <c r="X240" s="6">
        <v>0</v>
      </c>
      <c r="Y240" s="6">
        <v>100</v>
      </c>
      <c r="Z240" s="6">
        <v>0</v>
      </c>
      <c r="AA240" s="4">
        <f ca="1">VLOOKUP($L240,OFFSET([2]enemies!$A$1,0,0,COUNTA([2]enemies!$A:$A),MATCH(AA$1,[2]enemies!$1:$1,0)-MATCH($L$1,[2]enemies!$1:$1,0)+1),MATCH(AA$1,[2]enemies!$1:$1,0)-MATCH($L$1,[2]enemies!$1:$1,0)+1,FALSE)</f>
        <v>2</v>
      </c>
      <c r="AB240" s="52">
        <v>33</v>
      </c>
      <c r="AC240" s="4" t="str">
        <f ca="1">VLOOKUP($AB240,OFFSET([3]characters!$A$1,0,0,COUNTA([3]characters!$A:$A),MATCH(AC$1,[3]characters!$1:$1,0)-MATCH("character_id",[3]characters!$1:$1,0)+1),MATCH(AC$1,[3]characters!$1:$1,0)-MATCH("character_id",[3]characters!$1:$1,0)+1,FALSE)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40" s="4">
        <f ca="1">VLOOKUP($AB240,OFFSET([3]characters!$A$1,0,0,COUNTA([3]characters!$A:$A),MATCH(AD$1,[3]characters!$1:$1,0)-MATCH("character_id",[3]characters!$1:$1,0)+1),MATCH(AD$1,[3]characters!$1:$1,0)-MATCH("character_id",[3]characters!$1:$1,0)+1,FALSE)</f>
        <v>2</v>
      </c>
      <c r="AE240" s="4" t="str">
        <f ca="1">VLOOKUP($AB240,OFFSET([3]characters!$A$1,0,0,COUNTA([3]characters!$A:$A),MATCH(AE$1,[3]characters!$1:$1,0)-MATCH("character_id",[3]characters!$1:$1,0)+1),MATCH(AE$1,[3]characters!$1:$1,0)-MATCH("character_id",[3]characters!$1:$1,0)+1,FALSE)</f>
        <v>Drop1S</v>
      </c>
      <c r="AF240" s="7">
        <v>5</v>
      </c>
      <c r="AG240" s="26">
        <f t="shared" ca="1" si="239"/>
        <v>2</v>
      </c>
      <c r="AH240" s="8">
        <v>20</v>
      </c>
      <c r="AI240" s="7">
        <v>0</v>
      </c>
      <c r="AJ240" s="7">
        <v>0</v>
      </c>
      <c r="AK240" s="7">
        <v>0</v>
      </c>
      <c r="AL240" s="7">
        <v>0</v>
      </c>
      <c r="AM240" s="7">
        <v>1</v>
      </c>
    </row>
    <row r="241" spans="1:39" ht="14" x14ac:dyDescent="0.15">
      <c r="A241" s="18" t="str">
        <f t="shared" ca="1" si="248"/>
        <v>23_3-4/57&lt;lv44&gt;s2</v>
      </c>
      <c r="B241" s="50">
        <v>23</v>
      </c>
      <c r="C241" s="49">
        <v>3</v>
      </c>
      <c r="D241" s="2" t="str">
        <f t="shared" si="249"/>
        <v>23_3</v>
      </c>
      <c r="E241" s="2" t="str">
        <f t="shared" si="249"/>
        <v>3_23_3</v>
      </c>
      <c r="F241" s="4" t="str">
        <f ca="1">VLOOKUP($D241,OFFSET([1]stages!$A$1,0,0,COUNTA([1]stages!$A:$A),MATCH(F$1,[1]stages!$2:$2,0)-MATCH($D$1,[1]stages!$2:$2,0)+1),MATCH(F$1,[1]stages!$2:$2,0)-MATCH($D$1,[1]stages!$2:$2,0)+1,FALSE)</f>
        <v>23-3．震える大地</v>
      </c>
      <c r="G241" s="59">
        <v>4</v>
      </c>
      <c r="H241" s="17" t="str">
        <f t="shared" si="250"/>
        <v>23_3-4</v>
      </c>
      <c r="I241" s="17"/>
      <c r="J241" s="17"/>
      <c r="K241" s="65" t="s">
        <v>56</v>
      </c>
      <c r="L241" s="52">
        <v>57</v>
      </c>
      <c r="M241" s="21" t="str">
        <f ca="1">VLOOKUP($L241,OFFSET([2]enemies!$A$1,0,0,COUNTA([2]enemies!$A:$A),MATCH(M$1,[2]enemies!$1:$1,0)-MATCH($L$1,[2]enemies!$1:$1,0)+1),MATCH(M$1,[2]enemies!$1:$1,0)-MATCH($L$1,[2]enemies!$1:$1,0)+1,FALSE)</f>
        <v>チェン・リー</v>
      </c>
      <c r="N241" s="21" t="str">
        <f ca="1">VLOOKUP($L241,OFFSET([2]enemies!$A$1,0,0,COUNTA([2]enemies!$A:$A),MATCH(N$1,[2]enemies!$1:$1,0)-MATCH($L$1,[2]enemies!$1:$1,0)+1),MATCH(N$1,[2]enemies!$1:$1,0)-MATCH($L$1,[2]enemies!$1:$1,0)+1,FALSE)</f>
        <v>red</v>
      </c>
      <c r="O241" s="21" t="str">
        <f ca="1">VLOOKUP($L241,OFFSET([3]characters!$A$1,0,0,COUNTA([3]characters!$A:$A),MATCH(O$1,[3]characters!$1:$1,0)-MATCH($L$1,[3]characters!$1:$1,0)+1),MATCH(O$1,[3]characters!$1:$1,0)-MATCH($L$1,[3]characters!$1:$1,0)+1,FALSE)</f>
        <v>Drop1N</v>
      </c>
      <c r="P241" s="21" t="str">
        <f ca="1">VLOOKUP($L241,OFFSET([2]enemies!$A$1,0,0,COUNTA([2]enemies!$A:$A),MATCH(P$1,[2]enemies!$1:$1,0)-MATCH($L$1,[2]enemies!$1:$1,0)+1),MATCH(P$1,[2]enemies!$1:$1,0)-MATCH($L$1,[2]enemies!$1:$1,0)+1,FALSE)</f>
        <v>animal</v>
      </c>
      <c r="Q241" s="21">
        <f ca="1">VLOOKUP($L241,OFFSET([2]enemies!$A$1,0,0,COUNTA([2]enemies!$A:$A),MATCH(Q$1,[2]enemies!$1:$1,0)-MATCH($L$1,[2]enemies!$1:$1,0)+1),MATCH(Q$1,[2]enemies!$1:$1,0)-MATCH($L$1,[2]enemies!$1:$1,0)+1,FALSE)</f>
        <v>15</v>
      </c>
      <c r="R241" s="53">
        <v>44</v>
      </c>
      <c r="S241" s="27">
        <v>1</v>
      </c>
      <c r="T241" s="27">
        <v>1</v>
      </c>
      <c r="U241" s="5">
        <v>0</v>
      </c>
      <c r="V241" s="4" t="str">
        <f ca="1">VLOOKUP($W241,OFFSET([4]enemy_skill_sets!$B$1,0,0,COUNTA([4]enemy_skill_sets!$B:$B),MATCH(M$1,[4]enemy_skill_sets!$1:$1,0)-MATCH($W$1,[4]enemy_skill_sets!$1:$1,0)+2),MATCH(M$1,[4]enemy_skill_sets!$1:$1,0)-MATCH($W$1,[4]enemy_skill_sets!$1:$1,0)+2,FALSE)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41" s="4">
        <f ca="1">VLOOKUP($L241,OFFSET([2]enemies!$A$1,0,0,COUNTA([2]enemies!$A:$A),MATCH(W$1,[2]enemies!$1:$1,0)-MATCH($L$1,[2]enemies!$1:$1,0)+1),MATCH(W$1,[2]enemies!$1:$1,0)-MATCH($L$1,[2]enemies!$1:$1,0)+1,FALSE)</f>
        <v>57</v>
      </c>
      <c r="X241" s="6">
        <v>0</v>
      </c>
      <c r="Y241" s="6">
        <v>100</v>
      </c>
      <c r="Z241" s="6">
        <v>0</v>
      </c>
      <c r="AA241" s="4">
        <f ca="1">VLOOKUP($L241,OFFSET([2]enemies!$A$1,0,0,COUNTA([2]enemies!$A:$A),MATCH(AA$1,[2]enemies!$1:$1,0)-MATCH($L$1,[2]enemies!$1:$1,0)+1),MATCH(AA$1,[2]enemies!$1:$1,0)-MATCH($L$1,[2]enemies!$1:$1,0)+1,FALSE)</f>
        <v>2</v>
      </c>
      <c r="AB241" s="52">
        <v>57</v>
      </c>
      <c r="AC241" s="4" t="str">
        <f ca="1">VLOOKUP($AB241,OFFSET([3]characters!$A$1,0,0,COUNTA([3]characters!$A:$A),MATCH(AC$1,[3]characters!$1:$1,0)-MATCH("character_id",[3]characters!$1:$1,0)+1),MATCH(AC$1,[3]characters!$1:$1,0)-MATCH("character_id",[3]characters!$1:$1,0)+1,FALSE)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41" s="4">
        <f ca="1">VLOOKUP($AB241,OFFSET([3]characters!$A$1,0,0,COUNTA([3]characters!$A:$A),MATCH(AD$1,[3]characters!$1:$1,0)-MATCH("character_id",[3]characters!$1:$1,0)+1),MATCH(AD$1,[3]characters!$1:$1,0)-MATCH("character_id",[3]characters!$1:$1,0)+1,FALSE)</f>
        <v>2</v>
      </c>
      <c r="AE241" s="4" t="str">
        <f ca="1">VLOOKUP($AB241,OFFSET([3]characters!$A$1,0,0,COUNTA([3]characters!$A:$A),MATCH(AE$1,[3]characters!$1:$1,0)-MATCH("character_id",[3]characters!$1:$1,0)+1),MATCH(AE$1,[3]characters!$1:$1,0)-MATCH("character_id",[3]characters!$1:$1,0)+1,FALSE)</f>
        <v>Drop1N</v>
      </c>
      <c r="AF241" s="7">
        <v>7</v>
      </c>
      <c r="AG241" s="26">
        <f t="shared" ca="1" si="239"/>
        <v>2</v>
      </c>
      <c r="AH241" s="8">
        <v>20</v>
      </c>
      <c r="AI241" s="7">
        <v>0</v>
      </c>
      <c r="AJ241" s="7">
        <v>0</v>
      </c>
      <c r="AK241" s="7">
        <v>0</v>
      </c>
      <c r="AL241" s="7">
        <v>0</v>
      </c>
      <c r="AM241" s="7">
        <v>1</v>
      </c>
    </row>
    <row r="242" spans="1:39" ht="14" x14ac:dyDescent="0.15">
      <c r="A242" s="18" t="str">
        <f t="shared" ca="1" si="248"/>
        <v>23_3-4/59&lt;lv46&gt;s2</v>
      </c>
      <c r="B242" s="50">
        <v>23</v>
      </c>
      <c r="C242" s="49">
        <v>3</v>
      </c>
      <c r="D242" s="2" t="str">
        <f t="shared" si="249"/>
        <v>23_3</v>
      </c>
      <c r="E242" s="2" t="str">
        <f t="shared" si="249"/>
        <v>3_23_3</v>
      </c>
      <c r="F242" s="4" t="str">
        <f ca="1">VLOOKUP($D242,OFFSET([1]stages!$A$1,0,0,COUNTA([1]stages!$A:$A),MATCH(F$1,[1]stages!$2:$2,0)-MATCH($D$1,[1]stages!$2:$2,0)+1),MATCH(F$1,[1]stages!$2:$2,0)-MATCH($D$1,[1]stages!$2:$2,0)+1,FALSE)</f>
        <v>23-3．震える大地</v>
      </c>
      <c r="G242" s="59">
        <v>4</v>
      </c>
      <c r="H242" s="17" t="str">
        <f t="shared" si="250"/>
        <v>23_3-4</v>
      </c>
      <c r="I242" s="17"/>
      <c r="J242" s="17"/>
      <c r="K242" s="65" t="s">
        <v>56</v>
      </c>
      <c r="L242" s="52">
        <v>59</v>
      </c>
      <c r="M242" s="21" t="str">
        <f ca="1">VLOOKUP($L242,OFFSET([2]enemies!$A$1,0,0,COUNTA([2]enemies!$A:$A),MATCH(M$1,[2]enemies!$1:$1,0)-MATCH($L$1,[2]enemies!$1:$1,0)+1),MATCH(M$1,[2]enemies!$1:$1,0)-MATCH($L$1,[2]enemies!$1:$1,0)+1,FALSE)</f>
        <v>マーチ</v>
      </c>
      <c r="N242" s="21" t="str">
        <f ca="1">VLOOKUP($L242,OFFSET([2]enemies!$A$1,0,0,COUNTA([2]enemies!$A:$A),MATCH(N$1,[2]enemies!$1:$1,0)-MATCH($L$1,[2]enemies!$1:$1,0)+1),MATCH(N$1,[2]enemies!$1:$1,0)-MATCH($L$1,[2]enemies!$1:$1,0)+1,FALSE)</f>
        <v>green</v>
      </c>
      <c r="O242" s="21" t="str">
        <f ca="1">VLOOKUP($L242,OFFSET([3]characters!$A$1,0,0,COUNTA([3]characters!$A:$A),MATCH(O$1,[3]characters!$1:$1,0)-MATCH($L$1,[3]characters!$1:$1,0)+1),MATCH(O$1,[3]characters!$1:$1,0)-MATCH($L$1,[3]characters!$1:$1,0)+1,FALSE)</f>
        <v>Drop1N</v>
      </c>
      <c r="P242" s="21" t="str">
        <f ca="1">VLOOKUP($L242,OFFSET([2]enemies!$A$1,0,0,COUNTA([2]enemies!$A:$A),MATCH(P$1,[2]enemies!$1:$1,0)-MATCH($L$1,[2]enemies!$1:$1,0)+1),MATCH(P$1,[2]enemies!$1:$1,0)-MATCH($L$1,[2]enemies!$1:$1,0)+1,FALSE)</f>
        <v>animal</v>
      </c>
      <c r="Q242" s="21">
        <f ca="1">VLOOKUP($L242,OFFSET([2]enemies!$A$1,0,0,COUNTA([2]enemies!$A:$A),MATCH(Q$1,[2]enemies!$1:$1,0)-MATCH($L$1,[2]enemies!$1:$1,0)+1),MATCH(Q$1,[2]enemies!$1:$1,0)-MATCH($L$1,[2]enemies!$1:$1,0)+1,FALSE)</f>
        <v>15</v>
      </c>
      <c r="R242" s="53">
        <v>46</v>
      </c>
      <c r="S242" s="27">
        <v>1</v>
      </c>
      <c r="T242" s="27">
        <v>1</v>
      </c>
      <c r="U242" s="5">
        <v>0</v>
      </c>
      <c r="V242" s="4" t="str">
        <f ca="1">VLOOKUP($W242,OFFSET([4]enemy_skill_sets!$B$1,0,0,COUNTA([4]enemy_skill_sets!$B:$B),MATCH(M$1,[4]enemy_skill_sets!$1:$1,0)-MATCH($W$1,[4]enemy_skill_sets!$1:$1,0)+2),MATCH(M$1,[4]enemy_skill_sets!$1:$1,0)-MATCH($W$1,[4]enemy_skill_sets!$1:$1,0)+2,FALSE)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42" s="4">
        <f ca="1">VLOOKUP($L242,OFFSET([2]enemies!$A$1,0,0,COUNTA([2]enemies!$A:$A),MATCH(W$1,[2]enemies!$1:$1,0)-MATCH($L$1,[2]enemies!$1:$1,0)+1),MATCH(W$1,[2]enemies!$1:$1,0)-MATCH($L$1,[2]enemies!$1:$1,0)+1,FALSE)</f>
        <v>59</v>
      </c>
      <c r="X242" s="6">
        <v>0</v>
      </c>
      <c r="Y242" s="6">
        <v>100</v>
      </c>
      <c r="Z242" s="6">
        <v>0</v>
      </c>
      <c r="AA242" s="4">
        <f ca="1">VLOOKUP($L242,OFFSET([2]enemies!$A$1,0,0,COUNTA([2]enemies!$A:$A),MATCH(AA$1,[2]enemies!$1:$1,0)-MATCH($L$1,[2]enemies!$1:$1,0)+1),MATCH(AA$1,[2]enemies!$1:$1,0)-MATCH($L$1,[2]enemies!$1:$1,0)+1,FALSE)</f>
        <v>2</v>
      </c>
      <c r="AB242" s="52">
        <v>59</v>
      </c>
      <c r="AC242" s="4" t="str">
        <f ca="1">VLOOKUP($AB242,OFFSET([3]characters!$A$1,0,0,COUNTA([3]characters!$A:$A),MATCH(AC$1,[3]characters!$1:$1,0)-MATCH("character_id",[3]characters!$1:$1,0)+1),MATCH(AC$1,[3]characters!$1:$1,0)-MATCH("character_id",[3]characters!$1:$1,0)+1,FALSE)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242" s="4">
        <f ca="1">VLOOKUP($AB242,OFFSET([3]characters!$A$1,0,0,COUNTA([3]characters!$A:$A),MATCH(AD$1,[3]characters!$1:$1,0)-MATCH("character_id",[3]characters!$1:$1,0)+1),MATCH(AD$1,[3]characters!$1:$1,0)-MATCH("character_id",[3]characters!$1:$1,0)+1,FALSE)</f>
        <v>2</v>
      </c>
      <c r="AE242" s="4" t="str">
        <f ca="1">VLOOKUP($AB242,OFFSET([3]characters!$A$1,0,0,COUNTA([3]characters!$A:$A),MATCH(AE$1,[3]characters!$1:$1,0)-MATCH("character_id",[3]characters!$1:$1,0)+1),MATCH(AE$1,[3]characters!$1:$1,0)-MATCH("character_id",[3]characters!$1:$1,0)+1,FALSE)</f>
        <v>Drop1N</v>
      </c>
      <c r="AF242" s="7">
        <v>7</v>
      </c>
      <c r="AG242" s="26">
        <f t="shared" ca="1" si="239"/>
        <v>2</v>
      </c>
      <c r="AH242" s="8">
        <v>20</v>
      </c>
      <c r="AI242" s="7">
        <v>0</v>
      </c>
      <c r="AJ242" s="7">
        <v>0</v>
      </c>
      <c r="AK242" s="7">
        <v>0</v>
      </c>
      <c r="AL242" s="7">
        <v>0</v>
      </c>
      <c r="AM242" s="7">
        <v>1</v>
      </c>
    </row>
    <row r="243" spans="1:39" ht="14" x14ac:dyDescent="0.15">
      <c r="A243" s="18" t="str">
        <f t="shared" ca="1" si="248"/>
        <v>23_3-4/41&lt;lv44&gt;s1</v>
      </c>
      <c r="B243" s="50">
        <v>23</v>
      </c>
      <c r="C243" s="49">
        <v>3</v>
      </c>
      <c r="D243" s="2" t="str">
        <f t="shared" si="249"/>
        <v>23_3</v>
      </c>
      <c r="E243" s="2" t="str">
        <f t="shared" si="249"/>
        <v>3_23_3</v>
      </c>
      <c r="F243" s="4" t="str">
        <f ca="1">VLOOKUP($D243,OFFSET([1]stages!$A$1,0,0,COUNTA([1]stages!$A:$A),MATCH(F$1,[1]stages!$2:$2,0)-MATCH($D$1,[1]stages!$2:$2,0)+1),MATCH(F$1,[1]stages!$2:$2,0)-MATCH($D$1,[1]stages!$2:$2,0)+1,FALSE)</f>
        <v>23-3．震える大地</v>
      </c>
      <c r="G243" s="59">
        <v>4</v>
      </c>
      <c r="H243" s="17" t="str">
        <f t="shared" si="250"/>
        <v>23_3-4</v>
      </c>
      <c r="I243" s="17"/>
      <c r="J243" s="17"/>
      <c r="K243" s="65" t="s">
        <v>56</v>
      </c>
      <c r="L243" s="52">
        <v>41</v>
      </c>
      <c r="M243" s="21" t="str">
        <f ca="1">VLOOKUP($L243,OFFSET([2]enemies!$A$1,0,0,COUNTA([2]enemies!$A:$A),MATCH(M$1,[2]enemies!$1:$1,0)-MATCH($L$1,[2]enemies!$1:$1,0)+1),MATCH(M$1,[2]enemies!$1:$1,0)-MATCH($L$1,[2]enemies!$1:$1,0)+1,FALSE)</f>
        <v>ヒュウガ</v>
      </c>
      <c r="N243" s="21" t="str">
        <f ca="1">VLOOKUP($L243,OFFSET([2]enemies!$A$1,0,0,COUNTA([2]enemies!$A:$A),MATCH(N$1,[2]enemies!$1:$1,0)-MATCH($L$1,[2]enemies!$1:$1,0)+1),MATCH(N$1,[2]enemies!$1:$1,0)-MATCH($L$1,[2]enemies!$1:$1,0)+1,FALSE)</f>
        <v>red</v>
      </c>
      <c r="O243" s="21" t="str">
        <f ca="1">VLOOKUP($L243,OFFSET([3]characters!$A$1,0,0,COUNTA([3]characters!$A:$A),MATCH(O$1,[3]characters!$1:$1,0)-MATCH($L$1,[3]characters!$1:$1,0)+1),MATCH(O$1,[3]characters!$1:$1,0)-MATCH($L$1,[3]characters!$1:$1,0)+1,FALSE)</f>
        <v>Drop1N</v>
      </c>
      <c r="P243" s="21" t="str">
        <f ca="1">VLOOKUP($L243,OFFSET([2]enemies!$A$1,0,0,COUNTA([2]enemies!$A:$A),MATCH(P$1,[2]enemies!$1:$1,0)-MATCH($L$1,[2]enemies!$1:$1,0)+1),MATCH(P$1,[2]enemies!$1:$1,0)-MATCH($L$1,[2]enemies!$1:$1,0)+1,FALSE)</f>
        <v>dragon</v>
      </c>
      <c r="Q243" s="21">
        <f ca="1">VLOOKUP($L243,OFFSET([2]enemies!$A$1,0,0,COUNTA([2]enemies!$A:$A),MATCH(Q$1,[2]enemies!$1:$1,0)-MATCH($L$1,[2]enemies!$1:$1,0)+1),MATCH(Q$1,[2]enemies!$1:$1,0)-MATCH($L$1,[2]enemies!$1:$1,0)+1,FALSE)</f>
        <v>15</v>
      </c>
      <c r="R243" s="53">
        <v>44</v>
      </c>
      <c r="S243" s="27">
        <v>1</v>
      </c>
      <c r="T243" s="27">
        <v>1</v>
      </c>
      <c r="U243" s="5">
        <v>0</v>
      </c>
      <c r="V243" s="4" t="str">
        <f ca="1">VLOOKUP($W243,OFFSET([4]enemy_skill_sets!$B$1,0,0,COUNTA([4]enemy_skill_sets!$B:$B),MATCH(M$1,[4]enemy_skill_sets!$1:$1,0)-MATCH($W$1,[4]enemy_skill_sets!$1:$1,0)+2),MATCH(M$1,[4]enemy_skill_sets!$1:$1,0)-MATCH($W$1,[4]enemy_skill_sets!$1:$1,0)+2,FALSE)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43" s="4">
        <f ca="1">VLOOKUP($L243,OFFSET([2]enemies!$A$1,0,0,COUNTA([2]enemies!$A:$A),MATCH(W$1,[2]enemies!$1:$1,0)-MATCH($L$1,[2]enemies!$1:$1,0)+1),MATCH(W$1,[2]enemies!$1:$1,0)-MATCH($L$1,[2]enemies!$1:$1,0)+1,FALSE)</f>
        <v>0</v>
      </c>
      <c r="X243" s="6">
        <v>0</v>
      </c>
      <c r="Y243" s="6">
        <v>100</v>
      </c>
      <c r="Z243" s="6">
        <v>0</v>
      </c>
      <c r="AA243" s="4">
        <f ca="1">VLOOKUP($L243,OFFSET([2]enemies!$A$1,0,0,COUNTA([2]enemies!$A:$A),MATCH(AA$1,[2]enemies!$1:$1,0)-MATCH($L$1,[2]enemies!$1:$1,0)+1),MATCH(AA$1,[2]enemies!$1:$1,0)-MATCH($L$1,[2]enemies!$1:$1,0)+1,FALSE)</f>
        <v>1</v>
      </c>
      <c r="AB243" s="52">
        <v>41</v>
      </c>
      <c r="AC243" s="4" t="str">
        <f ca="1">VLOOKUP($AB243,OFFSET([3]characters!$A$1,0,0,COUNTA([3]characters!$A:$A),MATCH(AC$1,[3]characters!$1:$1,0)-MATCH("character_id",[3]characters!$1:$1,0)+1),MATCH(AC$1,[3]characters!$1:$1,0)-MATCH("character_id",[3]characters!$1:$1,0)+1,FALSE)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43" s="4">
        <f ca="1">VLOOKUP($AB243,OFFSET([3]characters!$A$1,0,0,COUNTA([3]characters!$A:$A),MATCH(AD$1,[3]characters!$1:$1,0)-MATCH("character_id",[3]characters!$1:$1,0)+1),MATCH(AD$1,[3]characters!$1:$1,0)-MATCH("character_id",[3]characters!$1:$1,0)+1,FALSE)</f>
        <v>2</v>
      </c>
      <c r="AE243" s="4" t="str">
        <f ca="1">VLOOKUP($AB243,OFFSET([3]characters!$A$1,0,0,COUNTA([3]characters!$A:$A),MATCH(AE$1,[3]characters!$1:$1,0)-MATCH("character_id",[3]characters!$1:$1,0)+1),MATCH(AE$1,[3]characters!$1:$1,0)-MATCH("character_id",[3]characters!$1:$1,0)+1,FALSE)</f>
        <v>Drop1N</v>
      </c>
      <c r="AF243" s="7">
        <v>7</v>
      </c>
      <c r="AG243" s="26">
        <f t="shared" ca="1" si="239"/>
        <v>2</v>
      </c>
      <c r="AH243" s="8">
        <v>20</v>
      </c>
      <c r="AI243" s="7">
        <v>0</v>
      </c>
      <c r="AJ243" s="7">
        <v>0</v>
      </c>
      <c r="AK243" s="7">
        <v>0</v>
      </c>
      <c r="AL243" s="7">
        <v>0</v>
      </c>
      <c r="AM243" s="7">
        <v>1</v>
      </c>
    </row>
    <row r="244" spans="1:39" ht="14" x14ac:dyDescent="0.15">
      <c r="A244" s="18" t="str">
        <f t="shared" ca="1" si="248"/>
        <v>23_3-4/43&lt;lv46&gt;s2</v>
      </c>
      <c r="B244" s="50">
        <v>23</v>
      </c>
      <c r="C244" s="49">
        <v>3</v>
      </c>
      <c r="D244" s="2" t="str">
        <f t="shared" si="249"/>
        <v>23_3</v>
      </c>
      <c r="E244" s="2" t="str">
        <f t="shared" si="249"/>
        <v>3_23_3</v>
      </c>
      <c r="F244" s="4" t="str">
        <f ca="1">VLOOKUP($D244,OFFSET([1]stages!$A$1,0,0,COUNTA([1]stages!$A:$A),MATCH(F$1,[1]stages!$2:$2,0)-MATCH($D$1,[1]stages!$2:$2,0)+1),MATCH(F$1,[1]stages!$2:$2,0)-MATCH($D$1,[1]stages!$2:$2,0)+1,FALSE)</f>
        <v>23-3．震える大地</v>
      </c>
      <c r="G244" s="59">
        <v>4</v>
      </c>
      <c r="H244" s="17" t="str">
        <f t="shared" si="250"/>
        <v>23_3-4</v>
      </c>
      <c r="I244" s="17"/>
      <c r="J244" s="17"/>
      <c r="K244" s="65" t="s">
        <v>56</v>
      </c>
      <c r="L244" s="52">
        <v>43</v>
      </c>
      <c r="M244" s="21" t="str">
        <f ca="1">VLOOKUP($L244,OFFSET([2]enemies!$A$1,0,0,COUNTA([2]enemies!$A:$A),MATCH(M$1,[2]enemies!$1:$1,0)-MATCH($L$1,[2]enemies!$1:$1,0)+1),MATCH(M$1,[2]enemies!$1:$1,0)-MATCH($L$1,[2]enemies!$1:$1,0)+1,FALSE)</f>
        <v>ムゥ</v>
      </c>
      <c r="N244" s="21" t="str">
        <f ca="1">VLOOKUP($L244,OFFSET([2]enemies!$A$1,0,0,COUNTA([2]enemies!$A:$A),MATCH(N$1,[2]enemies!$1:$1,0)-MATCH($L$1,[2]enemies!$1:$1,0)+1),MATCH(N$1,[2]enemies!$1:$1,0)-MATCH($L$1,[2]enemies!$1:$1,0)+1,FALSE)</f>
        <v>green</v>
      </c>
      <c r="O244" s="21" t="str">
        <f ca="1">VLOOKUP($L244,OFFSET([3]characters!$A$1,0,0,COUNTA([3]characters!$A:$A),MATCH(O$1,[3]characters!$1:$1,0)-MATCH($L$1,[3]characters!$1:$1,0)+1),MATCH(O$1,[3]characters!$1:$1,0)-MATCH($L$1,[3]characters!$1:$1,0)+1,FALSE)</f>
        <v>Drop1N</v>
      </c>
      <c r="P244" s="21" t="str">
        <f ca="1">VLOOKUP($L244,OFFSET([2]enemies!$A$1,0,0,COUNTA([2]enemies!$A:$A),MATCH(P$1,[2]enemies!$1:$1,0)-MATCH($L$1,[2]enemies!$1:$1,0)+1),MATCH(P$1,[2]enemies!$1:$1,0)-MATCH($L$1,[2]enemies!$1:$1,0)+1,FALSE)</f>
        <v>dragon</v>
      </c>
      <c r="Q244" s="21">
        <f ca="1">VLOOKUP($L244,OFFSET([2]enemies!$A$1,0,0,COUNTA([2]enemies!$A:$A),MATCH(Q$1,[2]enemies!$1:$1,0)-MATCH($L$1,[2]enemies!$1:$1,0)+1),MATCH(Q$1,[2]enemies!$1:$1,0)-MATCH($L$1,[2]enemies!$1:$1,0)+1,FALSE)</f>
        <v>15</v>
      </c>
      <c r="R244" s="53">
        <v>46</v>
      </c>
      <c r="S244" s="27">
        <v>1</v>
      </c>
      <c r="T244" s="27">
        <v>1</v>
      </c>
      <c r="U244" s="5">
        <v>0</v>
      </c>
      <c r="V244" s="4" t="str">
        <f ca="1">VLOOKUP($W244,OFFSET([4]enemy_skill_sets!$B$1,0,0,COUNTA([4]enemy_skill_sets!$B:$B),MATCH(M$1,[4]enemy_skill_sets!$1:$1,0)-MATCH($W$1,[4]enemy_skill_sets!$1:$1,0)+2),MATCH(M$1,[4]enemy_skill_sets!$1:$1,0)-MATCH($W$1,[4]enemy_skill_sets!$1:$1,0)+2,FALSE)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44" s="4">
        <f ca="1">VLOOKUP($L244,OFFSET([2]enemies!$A$1,0,0,COUNTA([2]enemies!$A:$A),MATCH(W$1,[2]enemies!$1:$1,0)-MATCH($L$1,[2]enemies!$1:$1,0)+1),MATCH(W$1,[2]enemies!$1:$1,0)-MATCH($L$1,[2]enemies!$1:$1,0)+1,FALSE)</f>
        <v>0</v>
      </c>
      <c r="X244" s="6">
        <v>0</v>
      </c>
      <c r="Y244" s="6">
        <v>100</v>
      </c>
      <c r="Z244" s="6">
        <v>0</v>
      </c>
      <c r="AA244" s="4">
        <f ca="1">VLOOKUP($L244,OFFSET([2]enemies!$A$1,0,0,COUNTA([2]enemies!$A:$A),MATCH(AA$1,[2]enemies!$1:$1,0)-MATCH($L$1,[2]enemies!$1:$1,0)+1),MATCH(AA$1,[2]enemies!$1:$1,0)-MATCH($L$1,[2]enemies!$1:$1,0)+1,FALSE)</f>
        <v>2</v>
      </c>
      <c r="AB244" s="52">
        <v>43</v>
      </c>
      <c r="AC244" s="4" t="str">
        <f ca="1">VLOOKUP($AB244,OFFSET([3]characters!$A$1,0,0,COUNTA([3]characters!$A:$A),MATCH(AC$1,[3]characters!$1:$1,0)-MATCH("character_id",[3]characters!$1:$1,0)+1),MATCH(AC$1,[3]characters!$1:$1,0)-MATCH("character_id",[3]characters!$1:$1,0)+1,FALSE)</f>
        <v>ムゥ</v>
      </c>
      <c r="AD244" s="4">
        <f ca="1">VLOOKUP($AB244,OFFSET([3]characters!$A$1,0,0,COUNTA([3]characters!$A:$A),MATCH(AD$1,[3]characters!$1:$1,0)-MATCH("character_id",[3]characters!$1:$1,0)+1),MATCH(AD$1,[3]characters!$1:$1,0)-MATCH("character_id",[3]characters!$1:$1,0)+1,FALSE)</f>
        <v>2</v>
      </c>
      <c r="AE244" s="4" t="str">
        <f ca="1">VLOOKUP($AB244,OFFSET([3]characters!$A$1,0,0,COUNTA([3]characters!$A:$A),MATCH(AE$1,[3]characters!$1:$1,0)-MATCH("character_id",[3]characters!$1:$1,0)+1),MATCH(AE$1,[3]characters!$1:$1,0)-MATCH("character_id",[3]characters!$1:$1,0)+1,FALSE)</f>
        <v>Drop1N</v>
      </c>
      <c r="AF244" s="7">
        <v>7</v>
      </c>
      <c r="AG244" s="26">
        <f t="shared" ca="1" si="239"/>
        <v>2</v>
      </c>
      <c r="AH244" s="8">
        <v>20</v>
      </c>
      <c r="AI244" s="7">
        <v>0</v>
      </c>
      <c r="AJ244" s="7">
        <v>0</v>
      </c>
      <c r="AK244" s="7">
        <v>0</v>
      </c>
      <c r="AL244" s="7">
        <v>0</v>
      </c>
      <c r="AM244" s="7">
        <v>1</v>
      </c>
    </row>
    <row r="245" spans="1:39" ht="14" x14ac:dyDescent="0.15">
      <c r="A245" s="18" t="str">
        <f t="shared" ref="A245:A246" ca="1" si="286">B245&amp;"_"&amp;C245&amp;"-"&amp;G245&amp;"/"&amp;L245&amp;"&lt;lv"&amp;R245&amp;"&gt;s"&amp;AA245</f>
        <v>23_3-4/360&lt;lv44&gt;s3</v>
      </c>
      <c r="B245" s="53">
        <v>23</v>
      </c>
      <c r="C245" s="51">
        <v>3</v>
      </c>
      <c r="D245" s="2" t="str">
        <f t="shared" ref="D245:D246" si="287">B245&amp;"_"&amp;C245</f>
        <v>23_3</v>
      </c>
      <c r="E245" s="2" t="str">
        <f t="shared" ref="E245:E246" si="288">C245&amp;"_"&amp;D245</f>
        <v>3_23_3</v>
      </c>
      <c r="F245" s="4" t="str">
        <f ca="1">VLOOKUP($D245,OFFSET([1]stages!$A$1,0,0,COUNTA([1]stages!$A:$A),MATCH(F$1,[1]stages!$2:$2,0)-MATCH($D$1,[1]stages!$2:$2,0)+1),MATCH(F$1,[1]stages!$2:$2,0)-MATCH($D$1,[1]stages!$2:$2,0)+1,FALSE)</f>
        <v>23-3．震える大地</v>
      </c>
      <c r="G245" s="59">
        <v>4</v>
      </c>
      <c r="H245" s="17" t="str">
        <f t="shared" ref="H245:H246" si="289">B245&amp;"_"&amp;C245&amp;"-"&amp;G245</f>
        <v>23_3-4</v>
      </c>
      <c r="I245" s="17"/>
      <c r="J245" s="17"/>
      <c r="K245" s="65" t="s">
        <v>56</v>
      </c>
      <c r="L245" s="52">
        <v>360</v>
      </c>
      <c r="M245" s="21" t="str">
        <f ca="1">VLOOKUP($L245,OFFSET([2]enemies!$A$1,0,0,COUNTA([2]enemies!$A:$A),MATCH(M$1,[2]enemies!$1:$1,0)-MATCH($L$1,[2]enemies!$1:$1,0)+1),MATCH(M$1,[2]enemies!$1:$1,0)-MATCH($L$1,[2]enemies!$1:$1,0)+1,FALSE)</f>
        <v>ガンテツ</v>
      </c>
      <c r="N245" s="21" t="str">
        <f ca="1">VLOOKUP($L245,OFFSET([2]enemies!$A$1,0,0,COUNTA([2]enemies!$A:$A),MATCH(N$1,[2]enemies!$1:$1,0)-MATCH($L$1,[2]enemies!$1:$1,0)+1),MATCH(N$1,[2]enemies!$1:$1,0)-MATCH($L$1,[2]enemies!$1:$1,0)+1,FALSE)</f>
        <v>red</v>
      </c>
      <c r="O245" s="21" t="str">
        <f ca="1">VLOOKUP($L245,OFFSET([3]characters!$A$1,0,0,COUNTA([3]characters!$A:$A),MATCH(O$1,[3]characters!$1:$1,0)-MATCH($L$1,[3]characters!$1:$1,0)+1),MATCH(O$1,[3]characters!$1:$1,0)-MATCH($L$1,[3]characters!$1:$1,0)+1,FALSE)</f>
        <v>Drop1S</v>
      </c>
      <c r="P245" s="21" t="str">
        <f ca="1">VLOOKUP($L245,OFFSET([2]enemies!$A$1,0,0,COUNTA([2]enemies!$A:$A),MATCH(P$1,[2]enemies!$1:$1,0)-MATCH($L$1,[2]enemies!$1:$1,0)+1),MATCH(P$1,[2]enemies!$1:$1,0)-MATCH($L$1,[2]enemies!$1:$1,0)+1,FALSE)</f>
        <v>animal</v>
      </c>
      <c r="Q245" s="21">
        <f ca="1">VLOOKUP($L245,OFFSET([2]enemies!$A$1,0,0,COUNTA([2]enemies!$A:$A),MATCH(Q$1,[2]enemies!$1:$1,0)-MATCH($L$1,[2]enemies!$1:$1,0)+1),MATCH(Q$1,[2]enemies!$1:$1,0)-MATCH($L$1,[2]enemies!$1:$1,0)+1,FALSE)</f>
        <v>15</v>
      </c>
      <c r="R245" s="53">
        <v>44</v>
      </c>
      <c r="S245" s="27">
        <v>1</v>
      </c>
      <c r="T245" s="27">
        <v>1</v>
      </c>
      <c r="U245" s="5">
        <v>0</v>
      </c>
      <c r="V245" s="4" t="str">
        <f ca="1">VLOOKUP($W245,OFFSET([4]enemy_skill_sets!$B$1,0,0,COUNTA([4]enemy_skill_sets!$B:$B),MATCH(M$1,[4]enemy_skill_sets!$1:$1,0)-MATCH($W$1,[4]enemy_skill_sets!$1:$1,0)+2),MATCH(M$1,[4]enemy_skill_sets!$1:$1,0)-MATCH($W$1,[4]enemy_skill_sets!$1:$1,0)+2,FALSE)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45" s="76">
        <v>360</v>
      </c>
      <c r="X245" s="6">
        <v>0</v>
      </c>
      <c r="Y245" s="6">
        <v>100</v>
      </c>
      <c r="Z245" s="6">
        <v>0</v>
      </c>
      <c r="AA245" s="4">
        <f ca="1">VLOOKUP($L245,OFFSET([2]enemies!$A$1,0,0,COUNTA([2]enemies!$A:$A),MATCH(AA$1,[2]enemies!$1:$1,0)-MATCH($L$1,[2]enemies!$1:$1,0)+1),MATCH(AA$1,[2]enemies!$1:$1,0)-MATCH($L$1,[2]enemies!$1:$1,0)+1,FALSE)</f>
        <v>3</v>
      </c>
      <c r="AB245" s="52">
        <v>360</v>
      </c>
      <c r="AC245" s="4" t="str">
        <f ca="1">VLOOKUP($AB245,OFFSET([3]characters!$A$1,0,0,COUNTA([3]characters!$A:$A),MATCH(AC$1,[3]characters!$1:$1,0)-MATCH("character_id",[3]characters!$1:$1,0)+1),MATCH(AC$1,[3]characters!$1:$1,0)-MATCH("character_id",[3]characters!$1:$1,0)+1,FALSE)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45" s="4">
        <f ca="1">VLOOKUP($AB245,OFFSET([3]characters!$A$1,0,0,COUNTA([3]characters!$A:$A),MATCH(AD$1,[3]characters!$1:$1,0)-MATCH("character_id",[3]characters!$1:$1,0)+1),MATCH(AD$1,[3]characters!$1:$1,0)-MATCH("character_id",[3]characters!$1:$1,0)+1,FALSE)</f>
        <v>2</v>
      </c>
      <c r="AE245" s="4" t="str">
        <f ca="1">VLOOKUP($AB245,OFFSET([3]characters!$A$1,0,0,COUNTA([3]characters!$A:$A),MATCH(AE$1,[3]characters!$1:$1,0)-MATCH("character_id",[3]characters!$1:$1,0)+1),MATCH(AE$1,[3]characters!$1:$1,0)-MATCH("character_id",[3]characters!$1:$1,0)+1,FALSE)</f>
        <v>Drop1S</v>
      </c>
      <c r="AF245" s="7">
        <v>7</v>
      </c>
      <c r="AG245" s="26">
        <f t="shared" ca="1" si="239"/>
        <v>2</v>
      </c>
      <c r="AH245" s="8">
        <v>20</v>
      </c>
      <c r="AI245" s="7">
        <v>0</v>
      </c>
      <c r="AJ245" s="7">
        <v>0</v>
      </c>
      <c r="AK245" s="7">
        <v>0</v>
      </c>
      <c r="AL245" s="7">
        <v>0</v>
      </c>
      <c r="AM245" s="7">
        <v>1</v>
      </c>
    </row>
    <row r="246" spans="1:39" ht="14" x14ac:dyDescent="0.15">
      <c r="A246" s="18" t="str">
        <f t="shared" ca="1" si="286"/>
        <v>23_3-4/362&lt;lv46&gt;s3</v>
      </c>
      <c r="B246" s="53">
        <v>23</v>
      </c>
      <c r="C246" s="51">
        <v>3</v>
      </c>
      <c r="D246" s="2" t="str">
        <f t="shared" si="287"/>
        <v>23_3</v>
      </c>
      <c r="E246" s="2" t="str">
        <f t="shared" si="288"/>
        <v>3_23_3</v>
      </c>
      <c r="F246" s="4" t="str">
        <f ca="1">VLOOKUP($D246,OFFSET([1]stages!$A$1,0,0,COUNTA([1]stages!$A:$A),MATCH(F$1,[1]stages!$2:$2,0)-MATCH($D$1,[1]stages!$2:$2,0)+1),MATCH(F$1,[1]stages!$2:$2,0)-MATCH($D$1,[1]stages!$2:$2,0)+1,FALSE)</f>
        <v>23-3．震える大地</v>
      </c>
      <c r="G246" s="59">
        <v>4</v>
      </c>
      <c r="H246" s="17" t="str">
        <f t="shared" si="289"/>
        <v>23_3-4</v>
      </c>
      <c r="I246" s="17"/>
      <c r="J246" s="17"/>
      <c r="K246" s="65" t="s">
        <v>56</v>
      </c>
      <c r="L246" s="52">
        <v>362</v>
      </c>
      <c r="M246" s="21" t="str">
        <f ca="1">VLOOKUP($L246,OFFSET([2]enemies!$A$1,0,0,COUNTA([2]enemies!$A:$A),MATCH(M$1,[2]enemies!$1:$1,0)-MATCH($L$1,[2]enemies!$1:$1,0)+1),MATCH(M$1,[2]enemies!$1:$1,0)-MATCH($L$1,[2]enemies!$1:$1,0)+1,FALSE)</f>
        <v>ゆらら</v>
      </c>
      <c r="N246" s="21" t="str">
        <f ca="1">VLOOKUP($L246,OFFSET([2]enemies!$A$1,0,0,COUNTA([2]enemies!$A:$A),MATCH(N$1,[2]enemies!$1:$1,0)-MATCH($L$1,[2]enemies!$1:$1,0)+1),MATCH(N$1,[2]enemies!$1:$1,0)-MATCH($L$1,[2]enemies!$1:$1,0)+1,FALSE)</f>
        <v>green</v>
      </c>
      <c r="O246" s="21" t="str">
        <f ca="1">VLOOKUP($L246,OFFSET([3]characters!$A$1,0,0,COUNTA([3]characters!$A:$A),MATCH(O$1,[3]characters!$1:$1,0)-MATCH($L$1,[3]characters!$1:$1,0)+1),MATCH(O$1,[3]characters!$1:$1,0)-MATCH($L$1,[3]characters!$1:$1,0)+1,FALSE)</f>
        <v>Drop1S</v>
      </c>
      <c r="P246" s="21" t="str">
        <f ca="1">VLOOKUP($L246,OFFSET([2]enemies!$A$1,0,0,COUNTA([2]enemies!$A:$A),MATCH(P$1,[2]enemies!$1:$1,0)-MATCH($L$1,[2]enemies!$1:$1,0)+1),MATCH(P$1,[2]enemies!$1:$1,0)-MATCH($L$1,[2]enemies!$1:$1,0)+1,FALSE)</f>
        <v>animal</v>
      </c>
      <c r="Q246" s="21">
        <f ca="1">VLOOKUP($L246,OFFSET([2]enemies!$A$1,0,0,COUNTA([2]enemies!$A:$A),MATCH(Q$1,[2]enemies!$1:$1,0)-MATCH($L$1,[2]enemies!$1:$1,0)+1),MATCH(Q$1,[2]enemies!$1:$1,0)-MATCH($L$1,[2]enemies!$1:$1,0)+1,FALSE)</f>
        <v>15</v>
      </c>
      <c r="R246" s="53">
        <v>46</v>
      </c>
      <c r="S246" s="27">
        <v>1</v>
      </c>
      <c r="T246" s="27">
        <v>1</v>
      </c>
      <c r="U246" s="5">
        <v>0</v>
      </c>
      <c r="V246" s="4" t="str">
        <f ca="1">VLOOKUP($W246,OFFSET([4]enemy_skill_sets!$B$1,0,0,COUNTA([4]enemy_skill_sets!$B:$B),MATCH(M$1,[4]enemy_skill_sets!$1:$1,0)-MATCH($W$1,[4]enemy_skill_sets!$1:$1,0)+2),MATCH(M$1,[4]enemy_skill_sets!$1:$1,0)-MATCH($W$1,[4]enemy_skill_sets!$1:$1,0)+2,FALSE)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46" s="64">
        <v>362</v>
      </c>
      <c r="X246" s="6">
        <v>0</v>
      </c>
      <c r="Y246" s="6">
        <v>100</v>
      </c>
      <c r="Z246" s="6">
        <v>0</v>
      </c>
      <c r="AA246" s="4">
        <f ca="1">VLOOKUP($L246,OFFSET([2]enemies!$A$1,0,0,COUNTA([2]enemies!$A:$A),MATCH(AA$1,[2]enemies!$1:$1,0)-MATCH($L$1,[2]enemies!$1:$1,0)+1),MATCH(AA$1,[2]enemies!$1:$1,0)-MATCH($L$1,[2]enemies!$1:$1,0)+1,FALSE)</f>
        <v>3</v>
      </c>
      <c r="AB246" s="52">
        <v>362</v>
      </c>
      <c r="AC246" s="4" t="str">
        <f ca="1">VLOOKUP($AB246,OFFSET([3]characters!$A$1,0,0,COUNTA([3]characters!$A:$A),MATCH(AC$1,[3]characters!$1:$1,0)-MATCH("character_id",[3]characters!$1:$1,0)+1),MATCH(AC$1,[3]characters!$1:$1,0)-MATCH("character_id",[3]characters!$1:$1,0)+1,FALSE)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46" s="4">
        <f ca="1">VLOOKUP($AB246,OFFSET([3]characters!$A$1,0,0,COUNTA([3]characters!$A:$A),MATCH(AD$1,[3]characters!$1:$1,0)-MATCH("character_id",[3]characters!$1:$1,0)+1),MATCH(AD$1,[3]characters!$1:$1,0)-MATCH("character_id",[3]characters!$1:$1,0)+1,FALSE)</f>
        <v>2</v>
      </c>
      <c r="AE246" s="4" t="str">
        <f ca="1">VLOOKUP($AB246,OFFSET([3]characters!$A$1,0,0,COUNTA([3]characters!$A:$A),MATCH(AE$1,[3]characters!$1:$1,0)-MATCH("character_id",[3]characters!$1:$1,0)+1),MATCH(AE$1,[3]characters!$1:$1,0)-MATCH("character_id",[3]characters!$1:$1,0)+1,FALSE)</f>
        <v>Drop1S</v>
      </c>
      <c r="AF246" s="7">
        <v>7</v>
      </c>
      <c r="AG246" s="26">
        <f t="shared" ca="1" si="239"/>
        <v>2</v>
      </c>
      <c r="AH246" s="8">
        <v>20</v>
      </c>
      <c r="AI246" s="7">
        <v>0</v>
      </c>
      <c r="AJ246" s="7">
        <v>0</v>
      </c>
      <c r="AK246" s="7">
        <v>0</v>
      </c>
      <c r="AL246" s="7">
        <v>0</v>
      </c>
      <c r="AM246" s="7">
        <v>1</v>
      </c>
    </row>
    <row r="247" spans="1:39" ht="14" x14ac:dyDescent="0.15">
      <c r="A247" s="18" t="str">
        <f t="shared" ref="A247" ca="1" si="290">B247&amp;"_"&amp;C247&amp;"-"&amp;G247&amp;"/"&amp;L247&amp;"&lt;lv"&amp;R247&amp;"&gt;s"&amp;AA247</f>
        <v>23_3-4/350&lt;lv44&gt;s3</v>
      </c>
      <c r="B247" s="53">
        <v>23</v>
      </c>
      <c r="C247" s="51">
        <v>3</v>
      </c>
      <c r="D247" s="2" t="str">
        <f t="shared" ref="D247" si="291">B247&amp;"_"&amp;C247</f>
        <v>23_3</v>
      </c>
      <c r="E247" s="2" t="str">
        <f t="shared" ref="E247" si="292">C247&amp;"_"&amp;D247</f>
        <v>3_23_3</v>
      </c>
      <c r="F247" s="4" t="str">
        <f ca="1">VLOOKUP($D247,OFFSET([1]stages!$A$1,0,0,COUNTA([1]stages!$A:$A),MATCH(F$1,[1]stages!$2:$2,0)-MATCH($D$1,[1]stages!$2:$2,0)+1),MATCH(F$1,[1]stages!$2:$2,0)-MATCH($D$1,[1]stages!$2:$2,0)+1,FALSE)</f>
        <v>23-3．震える大地</v>
      </c>
      <c r="G247" s="59">
        <v>4</v>
      </c>
      <c r="H247" s="17" t="str">
        <f t="shared" ref="H247" si="293">B247&amp;"_"&amp;C247&amp;"-"&amp;G247</f>
        <v>23_3-4</v>
      </c>
      <c r="I247" s="17"/>
      <c r="J247" s="17"/>
      <c r="K247" s="65" t="s">
        <v>56</v>
      </c>
      <c r="L247" s="52">
        <v>350</v>
      </c>
      <c r="M247" s="21" t="str">
        <f ca="1">VLOOKUP($L247,OFFSET([2]enemies!$A$1,0,0,COUNTA([2]enemies!$A:$A),MATCH(M$1,[2]enemies!$1:$1,0)-MATCH($L$1,[2]enemies!$1:$1,0)+1),MATCH(M$1,[2]enemies!$1:$1,0)-MATCH($L$1,[2]enemies!$1:$1,0)+1,FALSE)</f>
        <v>森のケロケロ</v>
      </c>
      <c r="N247" s="21" t="str">
        <f ca="1">VLOOKUP($L247,OFFSET([2]enemies!$A$1,0,0,COUNTA([2]enemies!$A:$A),MATCH(N$1,[2]enemies!$1:$1,0)-MATCH($L$1,[2]enemies!$1:$1,0)+1),MATCH(N$1,[2]enemies!$1:$1,0)-MATCH($L$1,[2]enemies!$1:$1,0)+1,FALSE)</f>
        <v>green</v>
      </c>
      <c r="O247" s="21" t="str">
        <f ca="1">VLOOKUP($L247,OFFSET([3]characters!$A$1,0,0,COUNTA([3]characters!$A:$A),MATCH(O$1,[3]characters!$1:$1,0)-MATCH($L$1,[3]characters!$1:$1,0)+1),MATCH(O$1,[3]characters!$1:$1,0)-MATCH($L$1,[3]characters!$1:$1,0)+1,FALSE)</f>
        <v>Material</v>
      </c>
      <c r="P247" s="21" t="str">
        <f ca="1">VLOOKUP($L247,OFFSET([2]enemies!$A$1,0,0,COUNTA([2]enemies!$A:$A),MATCH(P$1,[2]enemies!$1:$1,0)-MATCH($L$1,[2]enemies!$1:$1,0)+1),MATCH(P$1,[2]enemies!$1:$1,0)-MATCH($L$1,[2]enemies!$1:$1,0)+1,FALSE)</f>
        <v>unknown</v>
      </c>
      <c r="Q247" s="21">
        <f ca="1">VLOOKUP($L247,OFFSET([2]enemies!$A$1,0,0,COUNTA([2]enemies!$A:$A),MATCH(Q$1,[2]enemies!$1:$1,0)-MATCH($L$1,[2]enemies!$1:$1,0)+1),MATCH(Q$1,[2]enemies!$1:$1,0)-MATCH($L$1,[2]enemies!$1:$1,0)+1,FALSE)</f>
        <v>15</v>
      </c>
      <c r="R247" s="53">
        <v>44</v>
      </c>
      <c r="S247" s="27">
        <v>1</v>
      </c>
      <c r="T247" s="27">
        <v>1</v>
      </c>
      <c r="U247" s="5">
        <v>0</v>
      </c>
      <c r="V247" s="4" t="str">
        <f ca="1">VLOOKUP($W247,OFFSET([4]enemy_skill_sets!$B$1,0,0,COUNTA([4]enemy_skill_sets!$B:$B),MATCH(M$1,[4]enemy_skill_sets!$1:$1,0)-MATCH($W$1,[4]enemy_skill_sets!$1:$1,0)+2),MATCH(M$1,[4]enemy_skill_sets!$1:$1,0)-MATCH($W$1,[4]enemy_skill_sets!$1:$1,0)+2,FALSE)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47" s="64">
        <v>350</v>
      </c>
      <c r="X247" s="6">
        <v>0</v>
      </c>
      <c r="Y247" s="6">
        <v>100</v>
      </c>
      <c r="Z247" s="6">
        <v>0</v>
      </c>
      <c r="AA247" s="4">
        <f ca="1">VLOOKUP($L247,OFFSET([2]enemies!$A$1,0,0,COUNTA([2]enemies!$A:$A),MATCH(AA$1,[2]enemies!$1:$1,0)-MATCH($L$1,[2]enemies!$1:$1,0)+1),MATCH(AA$1,[2]enemies!$1:$1,0)-MATCH($L$1,[2]enemies!$1:$1,0)+1,FALSE)</f>
        <v>3</v>
      </c>
      <c r="AB247" s="52">
        <v>350</v>
      </c>
      <c r="AC247" s="4" t="str">
        <f ca="1">VLOOKUP($AB247,OFFSET([3]characters!$A$1,0,0,COUNTA([3]characters!$A:$A),MATCH(AC$1,[3]characters!$1:$1,0)-MATCH("character_id",[3]characters!$1:$1,0)+1),MATCH(AC$1,[3]characters!$1:$1,0)-MATCH("character_id",[3]characters!$1:$1,0)+1,FALSE)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47" s="4">
        <f ca="1">VLOOKUP($AB247,OFFSET([3]characters!$A$1,0,0,COUNTA([3]characters!$A:$A),MATCH(AD$1,[3]characters!$1:$1,0)-MATCH("character_id",[3]characters!$1:$1,0)+1),MATCH(AD$1,[3]characters!$1:$1,0)-MATCH("character_id",[3]characters!$1:$1,0)+1,FALSE)</f>
        <v>2</v>
      </c>
      <c r="AE247" s="4" t="str">
        <f ca="1">VLOOKUP($AB247,OFFSET([3]characters!$A$1,0,0,COUNTA([3]characters!$A:$A),MATCH(AE$1,[3]characters!$1:$1,0)-MATCH("character_id",[3]characters!$1:$1,0)+1),MATCH(AE$1,[3]characters!$1:$1,0)-MATCH("character_id",[3]characters!$1:$1,0)+1,FALSE)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47" s="7">
        <v>10</v>
      </c>
      <c r="AG247" s="26">
        <f t="shared" ca="1" si="239"/>
        <v>2</v>
      </c>
      <c r="AH247" s="8">
        <v>20</v>
      </c>
      <c r="AI247" s="7">
        <v>0</v>
      </c>
      <c r="AJ247" s="7">
        <v>0</v>
      </c>
      <c r="AK247" s="7">
        <v>0</v>
      </c>
      <c r="AL247" s="7">
        <v>0</v>
      </c>
      <c r="AM247" s="7">
        <v>1</v>
      </c>
    </row>
    <row r="248" spans="1:39" ht="14" x14ac:dyDescent="0.15">
      <c r="A248" s="18" t="str">
        <f t="shared" ref="A248:A274" ca="1" si="294">B248&amp;"_"&amp;C248&amp;"-"&amp;G248&amp;"/"&amp;L248&amp;"&lt;lv"&amp;R248&amp;"&gt;s"&amp;AA248</f>
        <v>23_3-5/89&lt;lv49&gt;s2</v>
      </c>
      <c r="B248" s="50">
        <v>23</v>
      </c>
      <c r="C248" s="49">
        <v>3</v>
      </c>
      <c r="D248" s="2" t="str">
        <f t="shared" ref="D248:E274" si="295">B248&amp;"_"&amp;C248</f>
        <v>23_3</v>
      </c>
      <c r="E248" s="2" t="str">
        <f t="shared" si="295"/>
        <v>3_23_3</v>
      </c>
      <c r="F248" s="4" t="str">
        <f ca="1">VLOOKUP($D248,OFFSET([1]stages!$A$1,0,0,COUNTA([1]stages!$A:$A),MATCH(F$1,[1]stages!$2:$2,0)-MATCH($D$1,[1]stages!$2:$2,0)+1),MATCH(F$1,[1]stages!$2:$2,0)-MATCH($D$1,[1]stages!$2:$2,0)+1,FALSE)</f>
        <v>23-3．震える大地</v>
      </c>
      <c r="G248" s="56">
        <v>5</v>
      </c>
      <c r="H248" s="17" t="str">
        <f t="shared" ref="H248:H274" si="296">B248&amp;"_"&amp;C248&amp;"-"&amp;G248</f>
        <v>23_3-5</v>
      </c>
      <c r="I248" s="17"/>
      <c r="J248" s="17"/>
      <c r="K248" s="65">
        <v>89</v>
      </c>
      <c r="L248" s="52">
        <v>89</v>
      </c>
      <c r="M248" s="21" t="str">
        <f ca="1">VLOOKUP($L248,OFFSET([2]enemies!$A$1,0,0,COUNTA([2]enemies!$A:$A),MATCH(M$1,[2]enemies!$1:$1,0)-MATCH($L$1,[2]enemies!$1:$1,0)+1),MATCH(M$1,[2]enemies!$1:$1,0)-MATCH($L$1,[2]enemies!$1:$1,0)+1,FALSE)</f>
        <v>守護者 玄武</v>
      </c>
      <c r="N248" s="21" t="str">
        <f ca="1">VLOOKUP($L248,OFFSET([2]enemies!$A$1,0,0,COUNTA([2]enemies!$A:$A),MATCH(N$1,[2]enemies!$1:$1,0)-MATCH($L$1,[2]enemies!$1:$1,0)+1),MATCH(N$1,[2]enemies!$1:$1,0)-MATCH($L$1,[2]enemies!$1:$1,0)+1,FALSE)</f>
        <v>green</v>
      </c>
      <c r="O248" s="21" t="str">
        <f ca="1">VLOOKUP($L248,OFFSET([3]characters!$A$1,0,0,COUNTA([3]characters!$A:$A),MATCH(O$1,[3]characters!$1:$1,0)-MATCH($L$1,[3]characters!$1:$1,0)+1),MATCH(O$1,[3]characters!$1:$1,0)-MATCH($L$1,[3]characters!$1:$1,0)+1,FALSE)</f>
        <v>Drop2N</v>
      </c>
      <c r="P248" s="21" t="str">
        <f ca="1">VLOOKUP($L248,OFFSET([2]enemies!$A$1,0,0,COUNTA([2]enemies!$A:$A),MATCH(P$1,[2]enemies!$1:$1,0)-MATCH($L$1,[2]enemies!$1:$1,0)+1),MATCH(P$1,[2]enemies!$1:$1,0)-MATCH($L$1,[2]enemies!$1:$1,0)+1,FALSE)</f>
        <v>dragon</v>
      </c>
      <c r="Q248" s="21">
        <f ca="1">VLOOKUP($L248,OFFSET([2]enemies!$A$1,0,0,COUNTA([2]enemies!$A:$A),MATCH(Q$1,[2]enemies!$1:$1,0)-MATCH($L$1,[2]enemies!$1:$1,0)+1),MATCH(Q$1,[2]enemies!$1:$1,0)-MATCH($L$1,[2]enemies!$1:$1,0)+1,FALSE)</f>
        <v>30</v>
      </c>
      <c r="R248" s="53">
        <v>49</v>
      </c>
      <c r="S248" s="27">
        <v>1.1000000000000001</v>
      </c>
      <c r="T248" s="27">
        <v>1.5</v>
      </c>
      <c r="U248" s="5">
        <v>0</v>
      </c>
      <c r="V248" s="4" t="str">
        <f ca="1">VLOOKUP($W248,OFFSET([4]enemy_skill_sets!$B$1,0,0,COUNTA([4]enemy_skill_sets!$B:$B),MATCH(M$1,[4]enemy_skill_sets!$1:$1,0)-MATCH($W$1,[4]enemy_skill_sets!$1:$1,0)+2),MATCH(M$1,[4]enemy_skill_sets!$1:$1,0)-MATCH($W$1,[4]enemy_skill_sets!$1:$1,0)+2,FALSE)</f>
        <v>全体攻撃</v>
      </c>
      <c r="W248" s="4">
        <v>8901</v>
      </c>
      <c r="X248" s="6">
        <v>1</v>
      </c>
      <c r="Y248" s="6">
        <v>100</v>
      </c>
      <c r="Z248" s="6">
        <v>1</v>
      </c>
      <c r="AA248" s="4">
        <f ca="1">VLOOKUP($L248,OFFSET([2]enemies!$A$1,0,0,COUNTA([2]enemies!$A:$A),MATCH(AA$1,[2]enemies!$1:$1,0)-MATCH($L$1,[2]enemies!$1:$1,0)+1),MATCH(AA$1,[2]enemies!$1:$1,0)-MATCH($L$1,[2]enemies!$1:$1,0)+1,FALSE)</f>
        <v>2</v>
      </c>
      <c r="AB248" s="52">
        <v>88</v>
      </c>
      <c r="AC248" s="4" t="str">
        <f ca="1">VLOOKUP($AB248,OFFSET([3]characters!$A$1,0,0,COUNTA([3]characters!$A:$A),MATCH(AC$1,[3]characters!$1:$1,0)-MATCH("character_id",[3]characters!$1:$1,0)+1),MATCH(AC$1,[3]characters!$1:$1,0)-MATCH("character_id",[3]characters!$1:$1,0)+1,FALSE)</f>
        <v>玄武</v>
      </c>
      <c r="AD248" s="4">
        <f ca="1">VLOOKUP($AB248,OFFSET([3]characters!$A$1,0,0,COUNTA([3]characters!$A:$A),MATCH(AD$1,[3]characters!$1:$1,0)-MATCH("character_id",[3]characters!$1:$1,0)+1),MATCH(AD$1,[3]characters!$1:$1,0)-MATCH("character_id",[3]characters!$1:$1,0)+1,FALSE)</f>
        <v>3</v>
      </c>
      <c r="AE248" s="4" t="str">
        <f ca="1">VLOOKUP($AB248,OFFSET([3]characters!$A$1,0,0,COUNTA([3]characters!$A:$A),MATCH(AE$1,[3]characters!$1:$1,0)-MATCH("character_id",[3]characters!$1:$1,0)+1),MATCH(AE$1,[3]characters!$1:$1,0)-MATCH("character_id",[3]characters!$1:$1,0)+1,FALSE)</f>
        <v>Drop2N</v>
      </c>
      <c r="AF248" s="7">
        <v>1</v>
      </c>
      <c r="AG248" s="26">
        <f t="shared" ca="1" si="239"/>
        <v>3</v>
      </c>
      <c r="AH248" s="8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1</v>
      </c>
    </row>
    <row r="249" spans="1:39" ht="14" x14ac:dyDescent="0.15">
      <c r="A249" s="18" t="str">
        <f t="shared" ca="1" si="294"/>
        <v>23_4-1/9&lt;lv46&gt;s2</v>
      </c>
      <c r="B249" s="50">
        <v>23</v>
      </c>
      <c r="C249" s="49">
        <v>4</v>
      </c>
      <c r="D249" s="2" t="str">
        <f t="shared" si="295"/>
        <v>23_4</v>
      </c>
      <c r="E249" s="2" t="str">
        <f t="shared" si="295"/>
        <v>4_23_4</v>
      </c>
      <c r="F249" s="4" t="str">
        <f ca="1">VLOOKUP($D249,OFFSET([1]stages!$A$1,0,0,COUNTA([1]stages!$A:$A),MATCH(F$1,[1]stages!$2:$2,0)-MATCH($D$1,[1]stages!$2:$2,0)+1),MATCH(F$1,[1]stages!$2:$2,0)-MATCH($D$1,[1]stages!$2:$2,0)+1,FALSE)</f>
        <v>23-4．森は咬み千切る</v>
      </c>
      <c r="G249" s="57">
        <v>1</v>
      </c>
      <c r="H249" s="17" t="str">
        <f t="shared" si="296"/>
        <v>23_4-1</v>
      </c>
      <c r="I249" s="17"/>
      <c r="J249" s="17"/>
      <c r="K249" s="65" t="s">
        <v>56</v>
      </c>
      <c r="L249" s="52">
        <v>9</v>
      </c>
      <c r="M249" s="21" t="str">
        <f ca="1">VLOOKUP($L249,OFFSET([2]enemies!$A$1,0,0,COUNTA([2]enemies!$A:$A),MATCH(M$1,[2]enemies!$1:$1,0)-MATCH($L$1,[2]enemies!$1:$1,0)+1),MATCH(M$1,[2]enemies!$1:$1,0)-MATCH($L$1,[2]enemies!$1:$1,0)+1,FALSE)</f>
        <v>ブレット</v>
      </c>
      <c r="N249" s="21" t="str">
        <f ca="1">VLOOKUP($L249,OFFSET([2]enemies!$A$1,0,0,COUNTA([2]enemies!$A:$A),MATCH(N$1,[2]enemies!$1:$1,0)-MATCH($L$1,[2]enemies!$1:$1,0)+1),MATCH(N$1,[2]enemies!$1:$1,0)-MATCH($L$1,[2]enemies!$1:$1,0)+1,FALSE)</f>
        <v>red</v>
      </c>
      <c r="O249" s="21" t="str">
        <f ca="1">VLOOKUP($L249,OFFSET([3]characters!$A$1,0,0,COUNTA([3]characters!$A:$A),MATCH(O$1,[3]characters!$1:$1,0)-MATCH($L$1,[3]characters!$1:$1,0)+1),MATCH(O$1,[3]characters!$1:$1,0)-MATCH($L$1,[3]characters!$1:$1,0)+1,FALSE)</f>
        <v>Drop1W</v>
      </c>
      <c r="P249" s="21" t="str">
        <f ca="1">VLOOKUP($L249,OFFSET([2]enemies!$A$1,0,0,COUNTA([2]enemies!$A:$A),MATCH(P$1,[2]enemies!$1:$1,0)-MATCH($L$1,[2]enemies!$1:$1,0)+1),MATCH(P$1,[2]enemies!$1:$1,0)-MATCH($L$1,[2]enemies!$1:$1,0)+1,FALSE)</f>
        <v>animal</v>
      </c>
      <c r="Q249" s="21">
        <f ca="1">VLOOKUP($L249,OFFSET([2]enemies!$A$1,0,0,COUNTA([2]enemies!$A:$A),MATCH(Q$1,[2]enemies!$1:$1,0)-MATCH($L$1,[2]enemies!$1:$1,0)+1),MATCH(Q$1,[2]enemies!$1:$1,0)-MATCH($L$1,[2]enemies!$1:$1,0)+1,FALSE)</f>
        <v>15</v>
      </c>
      <c r="R249" s="53">
        <v>46</v>
      </c>
      <c r="S249" s="27">
        <v>1</v>
      </c>
      <c r="T249" s="27">
        <v>1</v>
      </c>
      <c r="U249" s="5">
        <v>0</v>
      </c>
      <c r="V249" s="4" t="str">
        <f ca="1">VLOOKUP($W249,OFFSET([4]enemy_skill_sets!$B$1,0,0,COUNTA([4]enemy_skill_sets!$B:$B),MATCH(M$1,[4]enemy_skill_sets!$1:$1,0)-MATCH($W$1,[4]enemy_skill_sets!$1:$1,0)+2),MATCH(M$1,[4]enemy_skill_sets!$1:$1,0)-MATCH($W$1,[4]enemy_skill_sets!$1:$1,0)+2,FALSE)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49" s="4">
        <f ca="1">VLOOKUP($L249,OFFSET([2]enemies!$A$1,0,0,COUNTA([2]enemies!$A:$A),MATCH(W$1,[2]enemies!$1:$1,0)-MATCH($L$1,[2]enemies!$1:$1,0)+1),MATCH(W$1,[2]enemies!$1:$1,0)-MATCH($L$1,[2]enemies!$1:$1,0)+1,FALSE)</f>
        <v>0</v>
      </c>
      <c r="X249" s="6">
        <v>0</v>
      </c>
      <c r="Y249" s="6">
        <v>100</v>
      </c>
      <c r="Z249" s="6">
        <v>0</v>
      </c>
      <c r="AA249" s="4">
        <f ca="1">VLOOKUP($L249,OFFSET([2]enemies!$A$1,0,0,COUNTA([2]enemies!$A:$A),MATCH(AA$1,[2]enemies!$1:$1,0)-MATCH($L$1,[2]enemies!$1:$1,0)+1),MATCH(AA$1,[2]enemies!$1:$1,0)-MATCH($L$1,[2]enemies!$1:$1,0)+1,FALSE)</f>
        <v>2</v>
      </c>
      <c r="AB249" s="52">
        <v>9</v>
      </c>
      <c r="AC249" s="4" t="str">
        <f ca="1">VLOOKUP($AB249,OFFSET([3]characters!$A$1,0,0,COUNTA([3]characters!$A:$A),MATCH(AC$1,[3]characters!$1:$1,0)-MATCH("character_id",[3]characters!$1:$1,0)+1),MATCH(AC$1,[3]characters!$1:$1,0)-MATCH("character_id",[3]characters!$1:$1,0)+1,FALSE)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249" s="4">
        <f ca="1">VLOOKUP($AB249,OFFSET([3]characters!$A$1,0,0,COUNTA([3]characters!$A:$A),MATCH(AD$1,[3]characters!$1:$1,0)-MATCH("character_id",[3]characters!$1:$1,0)+1),MATCH(AD$1,[3]characters!$1:$1,0)-MATCH("character_id",[3]characters!$1:$1,0)+1,FALSE)</f>
        <v>1</v>
      </c>
      <c r="AE249" s="4" t="str">
        <f ca="1">VLOOKUP($AB249,OFFSET([3]characters!$A$1,0,0,COUNTA([3]characters!$A:$A),MATCH(AE$1,[3]characters!$1:$1,0)-MATCH("character_id",[3]characters!$1:$1,0)+1),MATCH(AE$1,[3]characters!$1:$1,0)-MATCH("character_id",[3]characters!$1:$1,0)+1,FALSE)</f>
        <v>Drop1W</v>
      </c>
      <c r="AF249" s="7">
        <v>9</v>
      </c>
      <c r="AG249" s="26">
        <f t="shared" ca="1" si="239"/>
        <v>1</v>
      </c>
      <c r="AH249" s="8">
        <v>20</v>
      </c>
      <c r="AI249" s="7">
        <v>0</v>
      </c>
      <c r="AJ249" s="7">
        <v>0</v>
      </c>
      <c r="AK249" s="7">
        <v>0</v>
      </c>
      <c r="AL249" s="7">
        <v>0</v>
      </c>
      <c r="AM249" s="7">
        <v>1</v>
      </c>
    </row>
    <row r="250" spans="1:39" ht="14" x14ac:dyDescent="0.15">
      <c r="A250" s="18" t="str">
        <f t="shared" ca="1" si="294"/>
        <v>23_4-1/33&lt;lv46&gt;s2</v>
      </c>
      <c r="B250" s="50">
        <v>23</v>
      </c>
      <c r="C250" s="49">
        <v>4</v>
      </c>
      <c r="D250" s="2" t="str">
        <f t="shared" si="295"/>
        <v>23_4</v>
      </c>
      <c r="E250" s="2" t="str">
        <f t="shared" si="295"/>
        <v>4_23_4</v>
      </c>
      <c r="F250" s="4" t="str">
        <f ca="1">VLOOKUP($D250,OFFSET([1]stages!$A$1,0,0,COUNTA([1]stages!$A:$A),MATCH(F$1,[1]stages!$2:$2,0)-MATCH($D$1,[1]stages!$2:$2,0)+1),MATCH(F$1,[1]stages!$2:$2,0)-MATCH($D$1,[1]stages!$2:$2,0)+1,FALSE)</f>
        <v>23-4．森は咬み千切る</v>
      </c>
      <c r="G250" s="57">
        <v>1</v>
      </c>
      <c r="H250" s="17" t="str">
        <f t="shared" si="296"/>
        <v>23_4-1</v>
      </c>
      <c r="I250" s="17"/>
      <c r="J250" s="17"/>
      <c r="K250" s="65" t="s">
        <v>56</v>
      </c>
      <c r="L250" s="52">
        <v>33</v>
      </c>
      <c r="M250" s="21" t="str">
        <f ca="1">VLOOKUP($L250,OFFSET([2]enemies!$A$1,0,0,COUNTA([2]enemies!$A:$A),MATCH(M$1,[2]enemies!$1:$1,0)-MATCH($L$1,[2]enemies!$1:$1,0)+1),MATCH(M$1,[2]enemies!$1:$1,0)-MATCH($L$1,[2]enemies!$1:$1,0)+1,FALSE)</f>
        <v>ゴクウ</v>
      </c>
      <c r="N250" s="21" t="str">
        <f ca="1">VLOOKUP($L250,OFFSET([2]enemies!$A$1,0,0,COUNTA([2]enemies!$A:$A),MATCH(N$1,[2]enemies!$1:$1,0)-MATCH($L$1,[2]enemies!$1:$1,0)+1),MATCH(N$1,[2]enemies!$1:$1,0)-MATCH($L$1,[2]enemies!$1:$1,0)+1,FALSE)</f>
        <v>red</v>
      </c>
      <c r="O250" s="21" t="str">
        <f ca="1">VLOOKUP($L250,OFFSET([3]characters!$A$1,0,0,COUNTA([3]characters!$A:$A),MATCH(O$1,[3]characters!$1:$1,0)-MATCH($L$1,[3]characters!$1:$1,0)+1),MATCH(O$1,[3]characters!$1:$1,0)-MATCH($L$1,[3]characters!$1:$1,0)+1,FALSE)</f>
        <v>Drop1S</v>
      </c>
      <c r="P250" s="21" t="str">
        <f ca="1">VLOOKUP($L250,OFFSET([2]enemies!$A$1,0,0,COUNTA([2]enemies!$A:$A),MATCH(P$1,[2]enemies!$1:$1,0)-MATCH($L$1,[2]enemies!$1:$1,0)+1),MATCH(P$1,[2]enemies!$1:$1,0)-MATCH($L$1,[2]enemies!$1:$1,0)+1,FALSE)</f>
        <v>animal</v>
      </c>
      <c r="Q250" s="21">
        <f ca="1">VLOOKUP($L250,OFFSET([2]enemies!$A$1,0,0,COUNTA([2]enemies!$A:$A),MATCH(Q$1,[2]enemies!$1:$1,0)-MATCH($L$1,[2]enemies!$1:$1,0)+1),MATCH(Q$1,[2]enemies!$1:$1,0)-MATCH($L$1,[2]enemies!$1:$1,0)+1,FALSE)</f>
        <v>15</v>
      </c>
      <c r="R250" s="53">
        <v>46</v>
      </c>
      <c r="S250" s="27">
        <v>1</v>
      </c>
      <c r="T250" s="27">
        <v>1</v>
      </c>
      <c r="U250" s="5">
        <v>0</v>
      </c>
      <c r="V250" s="4" t="str">
        <f ca="1">VLOOKUP($W250,OFFSET([4]enemy_skill_sets!$B$1,0,0,COUNTA([4]enemy_skill_sets!$B:$B),MATCH(M$1,[4]enemy_skill_sets!$1:$1,0)-MATCH($W$1,[4]enemy_skill_sets!$1:$1,0)+2),MATCH(M$1,[4]enemy_skill_sets!$1:$1,0)-MATCH($W$1,[4]enemy_skill_sets!$1:$1,0)+2,FALSE)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50" s="4">
        <f ca="1">VLOOKUP($L250,OFFSET([2]enemies!$A$1,0,0,COUNTA([2]enemies!$A:$A),MATCH(W$1,[2]enemies!$1:$1,0)-MATCH($L$1,[2]enemies!$1:$1,0)+1),MATCH(W$1,[2]enemies!$1:$1,0)-MATCH($L$1,[2]enemies!$1:$1,0)+1,FALSE)</f>
        <v>33</v>
      </c>
      <c r="X250" s="6">
        <v>0</v>
      </c>
      <c r="Y250" s="6">
        <v>100</v>
      </c>
      <c r="Z250" s="6">
        <v>0</v>
      </c>
      <c r="AA250" s="4">
        <f ca="1">VLOOKUP($L250,OFFSET([2]enemies!$A$1,0,0,COUNTA([2]enemies!$A:$A),MATCH(AA$1,[2]enemies!$1:$1,0)-MATCH($L$1,[2]enemies!$1:$1,0)+1),MATCH(AA$1,[2]enemies!$1:$1,0)-MATCH($L$1,[2]enemies!$1:$1,0)+1,FALSE)</f>
        <v>2</v>
      </c>
      <c r="AB250" s="52">
        <v>33</v>
      </c>
      <c r="AC250" s="4" t="str">
        <f ca="1">VLOOKUP($AB250,OFFSET([3]characters!$A$1,0,0,COUNTA([3]characters!$A:$A),MATCH(AC$1,[3]characters!$1:$1,0)-MATCH("character_id",[3]characters!$1:$1,0)+1),MATCH(AC$1,[3]characters!$1:$1,0)-MATCH("character_id",[3]characters!$1:$1,0)+1,FALSE)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50" s="4">
        <f ca="1">VLOOKUP($AB250,OFFSET([3]characters!$A$1,0,0,COUNTA([3]characters!$A:$A),MATCH(AD$1,[3]characters!$1:$1,0)-MATCH("character_id",[3]characters!$1:$1,0)+1),MATCH(AD$1,[3]characters!$1:$1,0)-MATCH("character_id",[3]characters!$1:$1,0)+1,FALSE)</f>
        <v>2</v>
      </c>
      <c r="AE250" s="4" t="str">
        <f ca="1">VLOOKUP($AB250,OFFSET([3]characters!$A$1,0,0,COUNTA([3]characters!$A:$A),MATCH(AE$1,[3]characters!$1:$1,0)-MATCH("character_id",[3]characters!$1:$1,0)+1),MATCH(AE$1,[3]characters!$1:$1,0)-MATCH("character_id",[3]characters!$1:$1,0)+1,FALSE)</f>
        <v>Drop1S</v>
      </c>
      <c r="AF250" s="7">
        <v>5</v>
      </c>
      <c r="AG250" s="26">
        <f t="shared" ca="1" si="239"/>
        <v>2</v>
      </c>
      <c r="AH250" s="8">
        <v>20</v>
      </c>
      <c r="AI250" s="7">
        <v>0</v>
      </c>
      <c r="AJ250" s="7">
        <v>0</v>
      </c>
      <c r="AK250" s="7">
        <v>0</v>
      </c>
      <c r="AL250" s="7">
        <v>0</v>
      </c>
      <c r="AM250" s="7">
        <v>1</v>
      </c>
    </row>
    <row r="251" spans="1:39" ht="14" x14ac:dyDescent="0.15">
      <c r="A251" s="18" t="str">
        <f t="shared" ca="1" si="294"/>
        <v>23_4-1/57&lt;lv46&gt;s2</v>
      </c>
      <c r="B251" s="50">
        <v>23</v>
      </c>
      <c r="C251" s="49">
        <v>4</v>
      </c>
      <c r="D251" s="2" t="str">
        <f t="shared" si="295"/>
        <v>23_4</v>
      </c>
      <c r="E251" s="2" t="str">
        <f t="shared" si="295"/>
        <v>4_23_4</v>
      </c>
      <c r="F251" s="4" t="str">
        <f ca="1">VLOOKUP($D251,OFFSET([1]stages!$A$1,0,0,COUNTA([1]stages!$A:$A),MATCH(F$1,[1]stages!$2:$2,0)-MATCH($D$1,[1]stages!$2:$2,0)+1),MATCH(F$1,[1]stages!$2:$2,0)-MATCH($D$1,[1]stages!$2:$2,0)+1,FALSE)</f>
        <v>23-4．森は咬み千切る</v>
      </c>
      <c r="G251" s="57">
        <v>1</v>
      </c>
      <c r="H251" s="17" t="str">
        <f t="shared" si="296"/>
        <v>23_4-1</v>
      </c>
      <c r="I251" s="17"/>
      <c r="J251" s="17"/>
      <c r="K251" s="65" t="s">
        <v>56</v>
      </c>
      <c r="L251" s="52">
        <v>57</v>
      </c>
      <c r="M251" s="21" t="str">
        <f ca="1">VLOOKUP($L251,OFFSET([2]enemies!$A$1,0,0,COUNTA([2]enemies!$A:$A),MATCH(M$1,[2]enemies!$1:$1,0)-MATCH($L$1,[2]enemies!$1:$1,0)+1),MATCH(M$1,[2]enemies!$1:$1,0)-MATCH($L$1,[2]enemies!$1:$1,0)+1,FALSE)</f>
        <v>チェン・リー</v>
      </c>
      <c r="N251" s="21" t="str">
        <f ca="1">VLOOKUP($L251,OFFSET([2]enemies!$A$1,0,0,COUNTA([2]enemies!$A:$A),MATCH(N$1,[2]enemies!$1:$1,0)-MATCH($L$1,[2]enemies!$1:$1,0)+1),MATCH(N$1,[2]enemies!$1:$1,0)-MATCH($L$1,[2]enemies!$1:$1,0)+1,FALSE)</f>
        <v>red</v>
      </c>
      <c r="O251" s="21" t="str">
        <f ca="1">VLOOKUP($L251,OFFSET([3]characters!$A$1,0,0,COUNTA([3]characters!$A:$A),MATCH(O$1,[3]characters!$1:$1,0)-MATCH($L$1,[3]characters!$1:$1,0)+1),MATCH(O$1,[3]characters!$1:$1,0)-MATCH($L$1,[3]characters!$1:$1,0)+1,FALSE)</f>
        <v>Drop1N</v>
      </c>
      <c r="P251" s="21" t="str">
        <f ca="1">VLOOKUP($L251,OFFSET([2]enemies!$A$1,0,0,COUNTA([2]enemies!$A:$A),MATCH(P$1,[2]enemies!$1:$1,0)-MATCH($L$1,[2]enemies!$1:$1,0)+1),MATCH(P$1,[2]enemies!$1:$1,0)-MATCH($L$1,[2]enemies!$1:$1,0)+1,FALSE)</f>
        <v>animal</v>
      </c>
      <c r="Q251" s="21">
        <f ca="1">VLOOKUP($L251,OFFSET([2]enemies!$A$1,0,0,COUNTA([2]enemies!$A:$A),MATCH(Q$1,[2]enemies!$1:$1,0)-MATCH($L$1,[2]enemies!$1:$1,0)+1),MATCH(Q$1,[2]enemies!$1:$1,0)-MATCH($L$1,[2]enemies!$1:$1,0)+1,FALSE)</f>
        <v>15</v>
      </c>
      <c r="R251" s="53">
        <v>46</v>
      </c>
      <c r="S251" s="27">
        <v>1</v>
      </c>
      <c r="T251" s="27">
        <v>1</v>
      </c>
      <c r="U251" s="5">
        <v>0</v>
      </c>
      <c r="V251" s="4" t="str">
        <f ca="1">VLOOKUP($W251,OFFSET([4]enemy_skill_sets!$B$1,0,0,COUNTA([4]enemy_skill_sets!$B:$B),MATCH(M$1,[4]enemy_skill_sets!$1:$1,0)-MATCH($W$1,[4]enemy_skill_sets!$1:$1,0)+2),MATCH(M$1,[4]enemy_skill_sets!$1:$1,0)-MATCH($W$1,[4]enemy_skill_sets!$1:$1,0)+2,FALSE)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51" s="4">
        <f ca="1">VLOOKUP($L251,OFFSET([2]enemies!$A$1,0,0,COUNTA([2]enemies!$A:$A),MATCH(W$1,[2]enemies!$1:$1,0)-MATCH($L$1,[2]enemies!$1:$1,0)+1),MATCH(W$1,[2]enemies!$1:$1,0)-MATCH($L$1,[2]enemies!$1:$1,0)+1,FALSE)</f>
        <v>57</v>
      </c>
      <c r="X251" s="6">
        <v>0</v>
      </c>
      <c r="Y251" s="6">
        <v>100</v>
      </c>
      <c r="Z251" s="6">
        <v>0</v>
      </c>
      <c r="AA251" s="4">
        <f ca="1">VLOOKUP($L251,OFFSET([2]enemies!$A$1,0,0,COUNTA([2]enemies!$A:$A),MATCH(AA$1,[2]enemies!$1:$1,0)-MATCH($L$1,[2]enemies!$1:$1,0)+1),MATCH(AA$1,[2]enemies!$1:$1,0)-MATCH($L$1,[2]enemies!$1:$1,0)+1,FALSE)</f>
        <v>2</v>
      </c>
      <c r="AB251" s="52">
        <v>57</v>
      </c>
      <c r="AC251" s="4" t="str">
        <f ca="1">VLOOKUP($AB251,OFFSET([3]characters!$A$1,0,0,COUNTA([3]characters!$A:$A),MATCH(AC$1,[3]characters!$1:$1,0)-MATCH("character_id",[3]characters!$1:$1,0)+1),MATCH(AC$1,[3]characters!$1:$1,0)-MATCH("character_id",[3]characters!$1:$1,0)+1,FALSE)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51" s="4">
        <f ca="1">VLOOKUP($AB251,OFFSET([3]characters!$A$1,0,0,COUNTA([3]characters!$A:$A),MATCH(AD$1,[3]characters!$1:$1,0)-MATCH("character_id",[3]characters!$1:$1,0)+1),MATCH(AD$1,[3]characters!$1:$1,0)-MATCH("character_id",[3]characters!$1:$1,0)+1,FALSE)</f>
        <v>2</v>
      </c>
      <c r="AE251" s="4" t="str">
        <f ca="1">VLOOKUP($AB251,OFFSET([3]characters!$A$1,0,0,COUNTA([3]characters!$A:$A),MATCH(AE$1,[3]characters!$1:$1,0)-MATCH("character_id",[3]characters!$1:$1,0)+1),MATCH(AE$1,[3]characters!$1:$1,0)-MATCH("character_id",[3]characters!$1:$1,0)+1,FALSE)</f>
        <v>Drop1N</v>
      </c>
      <c r="AF251" s="7">
        <v>7</v>
      </c>
      <c r="AG251" s="26">
        <f t="shared" ca="1" si="239"/>
        <v>2</v>
      </c>
      <c r="AH251" s="8">
        <v>20</v>
      </c>
      <c r="AI251" s="7">
        <v>0</v>
      </c>
      <c r="AJ251" s="7">
        <v>0</v>
      </c>
      <c r="AK251" s="7">
        <v>0</v>
      </c>
      <c r="AL251" s="7">
        <v>0</v>
      </c>
      <c r="AM251" s="7">
        <v>1</v>
      </c>
    </row>
    <row r="252" spans="1:39" ht="14" x14ac:dyDescent="0.15">
      <c r="A252" s="18" t="str">
        <f t="shared" ca="1" si="294"/>
        <v>23_4-1/21&lt;lv46&gt;s2</v>
      </c>
      <c r="B252" s="50">
        <v>23</v>
      </c>
      <c r="C252" s="49">
        <v>4</v>
      </c>
      <c r="D252" s="2" t="str">
        <f t="shared" si="295"/>
        <v>23_4</v>
      </c>
      <c r="E252" s="2" t="str">
        <f t="shared" si="295"/>
        <v>4_23_4</v>
      </c>
      <c r="F252" s="4" t="str">
        <f ca="1">VLOOKUP($D252,OFFSET([1]stages!$A$1,0,0,COUNTA([1]stages!$A:$A),MATCH(F$1,[1]stages!$2:$2,0)-MATCH($D$1,[1]stages!$2:$2,0)+1),MATCH(F$1,[1]stages!$2:$2,0)-MATCH($D$1,[1]stages!$2:$2,0)+1,FALSE)</f>
        <v>23-4．森は咬み千切る</v>
      </c>
      <c r="G252" s="57">
        <v>1</v>
      </c>
      <c r="H252" s="17" t="str">
        <f t="shared" si="296"/>
        <v>23_4-1</v>
      </c>
      <c r="I252" s="17"/>
      <c r="J252" s="17"/>
      <c r="K252" s="65" t="s">
        <v>56</v>
      </c>
      <c r="L252" s="52">
        <v>21</v>
      </c>
      <c r="M252" s="21" t="str">
        <f ca="1">VLOOKUP($L252,OFFSET([2]enemies!$A$1,0,0,COUNTA([2]enemies!$A:$A),MATCH(M$1,[2]enemies!$1:$1,0)-MATCH($L$1,[2]enemies!$1:$1,0)+1),MATCH(M$1,[2]enemies!$1:$1,0)-MATCH($L$1,[2]enemies!$1:$1,0)+1,FALSE)</f>
        <v>ヴェロキー</v>
      </c>
      <c r="N252" s="21" t="str">
        <f ca="1">VLOOKUP($L252,OFFSET([2]enemies!$A$1,0,0,COUNTA([2]enemies!$A:$A),MATCH(N$1,[2]enemies!$1:$1,0)-MATCH($L$1,[2]enemies!$1:$1,0)+1),MATCH(N$1,[2]enemies!$1:$1,0)-MATCH($L$1,[2]enemies!$1:$1,0)+1,FALSE)</f>
        <v>red</v>
      </c>
      <c r="O252" s="21" t="str">
        <f ca="1">VLOOKUP($L252,OFFSET([3]characters!$A$1,0,0,COUNTA([3]characters!$A:$A),MATCH(O$1,[3]characters!$1:$1,0)-MATCH($L$1,[3]characters!$1:$1,0)+1),MATCH(O$1,[3]characters!$1:$1,0)-MATCH($L$1,[3]characters!$1:$1,0)+1,FALSE)</f>
        <v>Drop1N</v>
      </c>
      <c r="P252" s="21" t="str">
        <f ca="1">VLOOKUP($L252,OFFSET([2]enemies!$A$1,0,0,COUNTA([2]enemies!$A:$A),MATCH(P$1,[2]enemies!$1:$1,0)-MATCH($L$1,[2]enemies!$1:$1,0)+1),MATCH(P$1,[2]enemies!$1:$1,0)-MATCH($L$1,[2]enemies!$1:$1,0)+1,FALSE)</f>
        <v>dragon</v>
      </c>
      <c r="Q252" s="21">
        <f ca="1">VLOOKUP($L252,OFFSET([2]enemies!$A$1,0,0,COUNTA([2]enemies!$A:$A),MATCH(Q$1,[2]enemies!$1:$1,0)-MATCH($L$1,[2]enemies!$1:$1,0)+1),MATCH(Q$1,[2]enemies!$1:$1,0)-MATCH($L$1,[2]enemies!$1:$1,0)+1,FALSE)</f>
        <v>15</v>
      </c>
      <c r="R252" s="53">
        <v>46</v>
      </c>
      <c r="S252" s="27">
        <v>1</v>
      </c>
      <c r="T252" s="27">
        <v>1</v>
      </c>
      <c r="U252" s="5">
        <v>0</v>
      </c>
      <c r="V252" s="4" t="str">
        <f ca="1">VLOOKUP($W252,OFFSET([4]enemy_skill_sets!$B$1,0,0,COUNTA([4]enemy_skill_sets!$B:$B),MATCH(M$1,[4]enemy_skill_sets!$1:$1,0)-MATCH($W$1,[4]enemy_skill_sets!$1:$1,0)+2),MATCH(M$1,[4]enemy_skill_sets!$1:$1,0)-MATCH($W$1,[4]enemy_skill_sets!$1:$1,0)+2,FALSE)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52" s="4">
        <f ca="1">VLOOKUP($L252,OFFSET([2]enemies!$A$1,0,0,COUNTA([2]enemies!$A:$A),MATCH(W$1,[2]enemies!$1:$1,0)-MATCH($L$1,[2]enemies!$1:$1,0)+1),MATCH(W$1,[2]enemies!$1:$1,0)-MATCH($L$1,[2]enemies!$1:$1,0)+1,FALSE)</f>
        <v>0</v>
      </c>
      <c r="X252" s="6">
        <v>0</v>
      </c>
      <c r="Y252" s="6">
        <v>100</v>
      </c>
      <c r="Z252" s="6">
        <v>0</v>
      </c>
      <c r="AA252" s="4">
        <f ca="1">VLOOKUP($L252,OFFSET([2]enemies!$A$1,0,0,COUNTA([2]enemies!$A:$A),MATCH(AA$1,[2]enemies!$1:$1,0)-MATCH($L$1,[2]enemies!$1:$1,0)+1),MATCH(AA$1,[2]enemies!$1:$1,0)-MATCH($L$1,[2]enemies!$1:$1,0)+1,FALSE)</f>
        <v>2</v>
      </c>
      <c r="AB252" s="52">
        <v>21</v>
      </c>
      <c r="AC252" s="4" t="str">
        <f ca="1">VLOOKUP($AB252,OFFSET([3]characters!$A$1,0,0,COUNTA([3]characters!$A:$A),MATCH(AC$1,[3]characters!$1:$1,0)-MATCH("character_id",[3]characters!$1:$1,0)+1),MATCH(AC$1,[3]characters!$1:$1,0)-MATCH("character_id",[3]characters!$1:$1,0)+1,FALSE)</f>
        <v>ヴェロキー</v>
      </c>
      <c r="AD252" s="4">
        <f ca="1">VLOOKUP($AB252,OFFSET([3]characters!$A$1,0,0,COUNTA([3]characters!$A:$A),MATCH(AD$1,[3]characters!$1:$1,0)-MATCH("character_id",[3]characters!$1:$1,0)+1),MATCH(AD$1,[3]characters!$1:$1,0)-MATCH("character_id",[3]characters!$1:$1,0)+1,FALSE)</f>
        <v>1</v>
      </c>
      <c r="AE252" s="4" t="str">
        <f ca="1">VLOOKUP($AB252,OFFSET([3]characters!$A$1,0,0,COUNTA([3]characters!$A:$A),MATCH(AE$1,[3]characters!$1:$1,0)-MATCH("character_id",[3]characters!$1:$1,0)+1),MATCH(AE$1,[3]characters!$1:$1,0)-MATCH("character_id",[3]characters!$1:$1,0)+1,FALSE)</f>
        <v>Drop1N</v>
      </c>
      <c r="AF252" s="7">
        <v>7</v>
      </c>
      <c r="AG252" s="26">
        <f t="shared" ca="1" si="239"/>
        <v>1</v>
      </c>
      <c r="AH252" s="8">
        <v>20</v>
      </c>
      <c r="AI252" s="7">
        <v>0</v>
      </c>
      <c r="AJ252" s="7">
        <v>0</v>
      </c>
      <c r="AK252" s="7">
        <v>0</v>
      </c>
      <c r="AL252" s="7">
        <v>0</v>
      </c>
      <c r="AM252" s="7">
        <v>1</v>
      </c>
    </row>
    <row r="253" spans="1:39" ht="14" x14ac:dyDescent="0.15">
      <c r="A253" s="18" t="str">
        <f t="shared" ca="1" si="294"/>
        <v>23_4-1/41&lt;lv46&gt;s1</v>
      </c>
      <c r="B253" s="50">
        <v>23</v>
      </c>
      <c r="C253" s="49">
        <v>4</v>
      </c>
      <c r="D253" s="2" t="str">
        <f t="shared" si="295"/>
        <v>23_4</v>
      </c>
      <c r="E253" s="2" t="str">
        <f t="shared" si="295"/>
        <v>4_23_4</v>
      </c>
      <c r="F253" s="4" t="str">
        <f ca="1">VLOOKUP($D253,OFFSET([1]stages!$A$1,0,0,COUNTA([1]stages!$A:$A),MATCH(F$1,[1]stages!$2:$2,0)-MATCH($D$1,[1]stages!$2:$2,0)+1),MATCH(F$1,[1]stages!$2:$2,0)-MATCH($D$1,[1]stages!$2:$2,0)+1,FALSE)</f>
        <v>23-4．森は咬み千切る</v>
      </c>
      <c r="G253" s="57">
        <v>1</v>
      </c>
      <c r="H253" s="17" t="str">
        <f t="shared" si="296"/>
        <v>23_4-1</v>
      </c>
      <c r="I253" s="17"/>
      <c r="J253" s="17"/>
      <c r="K253" s="65" t="s">
        <v>56</v>
      </c>
      <c r="L253" s="52">
        <v>41</v>
      </c>
      <c r="M253" s="21" t="str">
        <f ca="1">VLOOKUP($L253,OFFSET([2]enemies!$A$1,0,0,COUNTA([2]enemies!$A:$A),MATCH(M$1,[2]enemies!$1:$1,0)-MATCH($L$1,[2]enemies!$1:$1,0)+1),MATCH(M$1,[2]enemies!$1:$1,0)-MATCH($L$1,[2]enemies!$1:$1,0)+1,FALSE)</f>
        <v>ヒュウガ</v>
      </c>
      <c r="N253" s="21" t="str">
        <f ca="1">VLOOKUP($L253,OFFSET([2]enemies!$A$1,0,0,COUNTA([2]enemies!$A:$A),MATCH(N$1,[2]enemies!$1:$1,0)-MATCH($L$1,[2]enemies!$1:$1,0)+1),MATCH(N$1,[2]enemies!$1:$1,0)-MATCH($L$1,[2]enemies!$1:$1,0)+1,FALSE)</f>
        <v>red</v>
      </c>
      <c r="O253" s="21" t="str">
        <f ca="1">VLOOKUP($L253,OFFSET([3]characters!$A$1,0,0,COUNTA([3]characters!$A:$A),MATCH(O$1,[3]characters!$1:$1,0)-MATCH($L$1,[3]characters!$1:$1,0)+1),MATCH(O$1,[3]characters!$1:$1,0)-MATCH($L$1,[3]characters!$1:$1,0)+1,FALSE)</f>
        <v>Drop1N</v>
      </c>
      <c r="P253" s="21" t="str">
        <f ca="1">VLOOKUP($L253,OFFSET([2]enemies!$A$1,0,0,COUNTA([2]enemies!$A:$A),MATCH(P$1,[2]enemies!$1:$1,0)-MATCH($L$1,[2]enemies!$1:$1,0)+1),MATCH(P$1,[2]enemies!$1:$1,0)-MATCH($L$1,[2]enemies!$1:$1,0)+1,FALSE)</f>
        <v>dragon</v>
      </c>
      <c r="Q253" s="21">
        <f ca="1">VLOOKUP($L253,OFFSET([2]enemies!$A$1,0,0,COUNTA([2]enemies!$A:$A),MATCH(Q$1,[2]enemies!$1:$1,0)-MATCH($L$1,[2]enemies!$1:$1,0)+1),MATCH(Q$1,[2]enemies!$1:$1,0)-MATCH($L$1,[2]enemies!$1:$1,0)+1,FALSE)</f>
        <v>15</v>
      </c>
      <c r="R253" s="53">
        <v>46</v>
      </c>
      <c r="S253" s="27">
        <v>1</v>
      </c>
      <c r="T253" s="27">
        <v>1</v>
      </c>
      <c r="U253" s="5">
        <v>0</v>
      </c>
      <c r="V253" s="4" t="str">
        <f ca="1">VLOOKUP($W253,OFFSET([4]enemy_skill_sets!$B$1,0,0,COUNTA([4]enemy_skill_sets!$B:$B),MATCH(M$1,[4]enemy_skill_sets!$1:$1,0)-MATCH($W$1,[4]enemy_skill_sets!$1:$1,0)+2),MATCH(M$1,[4]enemy_skill_sets!$1:$1,0)-MATCH($W$1,[4]enemy_skill_sets!$1:$1,0)+2,FALSE)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53" s="4">
        <f ca="1">VLOOKUP($L253,OFFSET([2]enemies!$A$1,0,0,COUNTA([2]enemies!$A:$A),MATCH(W$1,[2]enemies!$1:$1,0)-MATCH($L$1,[2]enemies!$1:$1,0)+1),MATCH(W$1,[2]enemies!$1:$1,0)-MATCH($L$1,[2]enemies!$1:$1,0)+1,FALSE)</f>
        <v>0</v>
      </c>
      <c r="X253" s="6">
        <v>0</v>
      </c>
      <c r="Y253" s="6">
        <v>100</v>
      </c>
      <c r="Z253" s="6">
        <v>0</v>
      </c>
      <c r="AA253" s="4">
        <f ca="1">VLOOKUP($L253,OFFSET([2]enemies!$A$1,0,0,COUNTA([2]enemies!$A:$A),MATCH(AA$1,[2]enemies!$1:$1,0)-MATCH($L$1,[2]enemies!$1:$1,0)+1),MATCH(AA$1,[2]enemies!$1:$1,0)-MATCH($L$1,[2]enemies!$1:$1,0)+1,FALSE)</f>
        <v>1</v>
      </c>
      <c r="AB253" s="52">
        <v>41</v>
      </c>
      <c r="AC253" s="4" t="str">
        <f ca="1">VLOOKUP($AB253,OFFSET([3]characters!$A$1,0,0,COUNTA([3]characters!$A:$A),MATCH(AC$1,[3]characters!$1:$1,0)-MATCH("character_id",[3]characters!$1:$1,0)+1),MATCH(AC$1,[3]characters!$1:$1,0)-MATCH("character_id",[3]characters!$1:$1,0)+1,FALSE)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53" s="4">
        <f ca="1">VLOOKUP($AB253,OFFSET([3]characters!$A$1,0,0,COUNTA([3]characters!$A:$A),MATCH(AD$1,[3]characters!$1:$1,0)-MATCH("character_id",[3]characters!$1:$1,0)+1),MATCH(AD$1,[3]characters!$1:$1,0)-MATCH("character_id",[3]characters!$1:$1,0)+1,FALSE)</f>
        <v>2</v>
      </c>
      <c r="AE253" s="4" t="str">
        <f ca="1">VLOOKUP($AB253,OFFSET([3]characters!$A$1,0,0,COUNTA([3]characters!$A:$A),MATCH(AE$1,[3]characters!$1:$1,0)-MATCH("character_id",[3]characters!$1:$1,0)+1),MATCH(AE$1,[3]characters!$1:$1,0)-MATCH("character_id",[3]characters!$1:$1,0)+1,FALSE)</f>
        <v>Drop1N</v>
      </c>
      <c r="AF253" s="7">
        <v>7</v>
      </c>
      <c r="AG253" s="26">
        <f t="shared" ca="1" si="239"/>
        <v>2</v>
      </c>
      <c r="AH253" s="8">
        <v>20</v>
      </c>
      <c r="AI253" s="7">
        <v>0</v>
      </c>
      <c r="AJ253" s="7">
        <v>0</v>
      </c>
      <c r="AK253" s="7">
        <v>0</v>
      </c>
      <c r="AL253" s="7">
        <v>0</v>
      </c>
      <c r="AM253" s="7">
        <v>1</v>
      </c>
    </row>
    <row r="254" spans="1:39" ht="14" x14ac:dyDescent="0.15">
      <c r="A254" s="18" t="str">
        <f t="shared" ref="A254" ca="1" si="297">B254&amp;"_"&amp;C254&amp;"-"&amp;G254&amp;"/"&amp;L254&amp;"&lt;lv"&amp;R254&amp;"&gt;s"&amp;AA254</f>
        <v>23_4-1/360&lt;lv46&gt;s3</v>
      </c>
      <c r="B254" s="53">
        <v>23</v>
      </c>
      <c r="C254" s="51">
        <v>4</v>
      </c>
      <c r="D254" s="2" t="str">
        <f t="shared" ref="D254" si="298">B254&amp;"_"&amp;C254</f>
        <v>23_4</v>
      </c>
      <c r="E254" s="2" t="str">
        <f t="shared" ref="E254" si="299">C254&amp;"_"&amp;D254</f>
        <v>4_23_4</v>
      </c>
      <c r="F254" s="4" t="str">
        <f ca="1">VLOOKUP($D254,OFFSET([1]stages!$A$1,0,0,COUNTA([1]stages!$A:$A),MATCH(F$1,[1]stages!$2:$2,0)-MATCH($D$1,[1]stages!$2:$2,0)+1),MATCH(F$1,[1]stages!$2:$2,0)-MATCH($D$1,[1]stages!$2:$2,0)+1,FALSE)</f>
        <v>23-4．森は咬み千切る</v>
      </c>
      <c r="G254" s="57">
        <v>1</v>
      </c>
      <c r="H254" s="17" t="str">
        <f t="shared" ref="H254" si="300">B254&amp;"_"&amp;C254&amp;"-"&amp;G254</f>
        <v>23_4-1</v>
      </c>
      <c r="I254" s="17"/>
      <c r="J254" s="17"/>
      <c r="K254" s="65" t="s">
        <v>56</v>
      </c>
      <c r="L254" s="52">
        <v>360</v>
      </c>
      <c r="M254" s="21" t="str">
        <f ca="1">VLOOKUP($L254,OFFSET([2]enemies!$A$1,0,0,COUNTA([2]enemies!$A:$A),MATCH(M$1,[2]enemies!$1:$1,0)-MATCH($L$1,[2]enemies!$1:$1,0)+1),MATCH(M$1,[2]enemies!$1:$1,0)-MATCH($L$1,[2]enemies!$1:$1,0)+1,FALSE)</f>
        <v>ガンテツ</v>
      </c>
      <c r="N254" s="21" t="str">
        <f ca="1">VLOOKUP($L254,OFFSET([2]enemies!$A$1,0,0,COUNTA([2]enemies!$A:$A),MATCH(N$1,[2]enemies!$1:$1,0)-MATCH($L$1,[2]enemies!$1:$1,0)+1),MATCH(N$1,[2]enemies!$1:$1,0)-MATCH($L$1,[2]enemies!$1:$1,0)+1,FALSE)</f>
        <v>red</v>
      </c>
      <c r="O254" s="21" t="str">
        <f ca="1">VLOOKUP($L254,OFFSET([3]characters!$A$1,0,0,COUNTA([3]characters!$A:$A),MATCH(O$1,[3]characters!$1:$1,0)-MATCH($L$1,[3]characters!$1:$1,0)+1),MATCH(O$1,[3]characters!$1:$1,0)-MATCH($L$1,[3]characters!$1:$1,0)+1,FALSE)</f>
        <v>Drop1S</v>
      </c>
      <c r="P254" s="21" t="str">
        <f ca="1">VLOOKUP($L254,OFFSET([2]enemies!$A$1,0,0,COUNTA([2]enemies!$A:$A),MATCH(P$1,[2]enemies!$1:$1,0)-MATCH($L$1,[2]enemies!$1:$1,0)+1),MATCH(P$1,[2]enemies!$1:$1,0)-MATCH($L$1,[2]enemies!$1:$1,0)+1,FALSE)</f>
        <v>animal</v>
      </c>
      <c r="Q254" s="21">
        <f ca="1">VLOOKUP($L254,OFFSET([2]enemies!$A$1,0,0,COUNTA([2]enemies!$A:$A),MATCH(Q$1,[2]enemies!$1:$1,0)-MATCH($L$1,[2]enemies!$1:$1,0)+1),MATCH(Q$1,[2]enemies!$1:$1,0)-MATCH($L$1,[2]enemies!$1:$1,0)+1,FALSE)</f>
        <v>15</v>
      </c>
      <c r="R254" s="53">
        <v>46</v>
      </c>
      <c r="S254" s="27">
        <v>1</v>
      </c>
      <c r="T254" s="27">
        <v>1</v>
      </c>
      <c r="U254" s="5">
        <v>0</v>
      </c>
      <c r="V254" s="4" t="str">
        <f ca="1">VLOOKUP($W254,OFFSET([4]enemy_skill_sets!$B$1,0,0,COUNTA([4]enemy_skill_sets!$B:$B),MATCH(M$1,[4]enemy_skill_sets!$1:$1,0)-MATCH($W$1,[4]enemy_skill_sets!$1:$1,0)+2),MATCH(M$1,[4]enemy_skill_sets!$1:$1,0)-MATCH($W$1,[4]enemy_skill_sets!$1:$1,0)+2,FALSE)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54" s="76">
        <v>360</v>
      </c>
      <c r="X254" s="6">
        <v>0</v>
      </c>
      <c r="Y254" s="6">
        <v>100</v>
      </c>
      <c r="Z254" s="6">
        <v>0</v>
      </c>
      <c r="AA254" s="4">
        <f ca="1">VLOOKUP($L254,OFFSET([2]enemies!$A$1,0,0,COUNTA([2]enemies!$A:$A),MATCH(AA$1,[2]enemies!$1:$1,0)-MATCH($L$1,[2]enemies!$1:$1,0)+1),MATCH(AA$1,[2]enemies!$1:$1,0)-MATCH($L$1,[2]enemies!$1:$1,0)+1,FALSE)</f>
        <v>3</v>
      </c>
      <c r="AB254" s="52">
        <v>360</v>
      </c>
      <c r="AC254" s="4" t="str">
        <f ca="1">VLOOKUP($AB254,OFFSET([3]characters!$A$1,0,0,COUNTA([3]characters!$A:$A),MATCH(AC$1,[3]characters!$1:$1,0)-MATCH("character_id",[3]characters!$1:$1,0)+1),MATCH(AC$1,[3]characters!$1:$1,0)-MATCH("character_id",[3]characters!$1:$1,0)+1,FALSE)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54" s="4">
        <f ca="1">VLOOKUP($AB254,OFFSET([3]characters!$A$1,0,0,COUNTA([3]characters!$A:$A),MATCH(AD$1,[3]characters!$1:$1,0)-MATCH("character_id",[3]characters!$1:$1,0)+1),MATCH(AD$1,[3]characters!$1:$1,0)-MATCH("character_id",[3]characters!$1:$1,0)+1,FALSE)</f>
        <v>2</v>
      </c>
      <c r="AE254" s="4" t="str">
        <f ca="1">VLOOKUP($AB254,OFFSET([3]characters!$A$1,0,0,COUNTA([3]characters!$A:$A),MATCH(AE$1,[3]characters!$1:$1,0)-MATCH("character_id",[3]characters!$1:$1,0)+1),MATCH(AE$1,[3]characters!$1:$1,0)-MATCH("character_id",[3]characters!$1:$1,0)+1,FALSE)</f>
        <v>Drop1S</v>
      </c>
      <c r="AF254" s="7">
        <v>7</v>
      </c>
      <c r="AG254" s="26">
        <f t="shared" ca="1" si="239"/>
        <v>2</v>
      </c>
      <c r="AH254" s="8">
        <v>20</v>
      </c>
      <c r="AI254" s="7">
        <v>0</v>
      </c>
      <c r="AJ254" s="7">
        <v>0</v>
      </c>
      <c r="AK254" s="7">
        <v>0</v>
      </c>
      <c r="AL254" s="7">
        <v>0</v>
      </c>
      <c r="AM254" s="7">
        <v>1</v>
      </c>
    </row>
    <row r="255" spans="1:39" ht="14" x14ac:dyDescent="0.15">
      <c r="A255" s="18" t="str">
        <f t="shared" ref="A255" ca="1" si="301">B255&amp;"_"&amp;C255&amp;"-"&amp;G255&amp;"/"&amp;L255&amp;"&lt;lv"&amp;R255&amp;"&gt;s"&amp;AA255</f>
        <v>23_4-1/350&lt;lv46&gt;s3</v>
      </c>
      <c r="B255" s="53">
        <v>23</v>
      </c>
      <c r="C255" s="51">
        <v>4</v>
      </c>
      <c r="D255" s="2" t="str">
        <f t="shared" ref="D255" si="302">B255&amp;"_"&amp;C255</f>
        <v>23_4</v>
      </c>
      <c r="E255" s="2" t="str">
        <f t="shared" ref="E255" si="303">C255&amp;"_"&amp;D255</f>
        <v>4_23_4</v>
      </c>
      <c r="F255" s="4" t="str">
        <f ca="1">VLOOKUP($D255,OFFSET([1]stages!$A$1,0,0,COUNTA([1]stages!$A:$A),MATCH(F$1,[1]stages!$2:$2,0)-MATCH($D$1,[1]stages!$2:$2,0)+1),MATCH(F$1,[1]stages!$2:$2,0)-MATCH($D$1,[1]stages!$2:$2,0)+1,FALSE)</f>
        <v>23-4．森は咬み千切る</v>
      </c>
      <c r="G255" s="57">
        <v>1</v>
      </c>
      <c r="H255" s="17" t="str">
        <f t="shared" ref="H255" si="304">B255&amp;"_"&amp;C255&amp;"-"&amp;G255</f>
        <v>23_4-1</v>
      </c>
      <c r="I255" s="17"/>
      <c r="J255" s="17"/>
      <c r="K255" s="65" t="s">
        <v>56</v>
      </c>
      <c r="L255" s="52">
        <v>350</v>
      </c>
      <c r="M255" s="21" t="str">
        <f ca="1">VLOOKUP($L255,OFFSET([2]enemies!$A$1,0,0,COUNTA([2]enemies!$A:$A),MATCH(M$1,[2]enemies!$1:$1,0)-MATCH($L$1,[2]enemies!$1:$1,0)+1),MATCH(M$1,[2]enemies!$1:$1,0)-MATCH($L$1,[2]enemies!$1:$1,0)+1,FALSE)</f>
        <v>森のケロケロ</v>
      </c>
      <c r="N255" s="21" t="str">
        <f ca="1">VLOOKUP($L255,OFFSET([2]enemies!$A$1,0,0,COUNTA([2]enemies!$A:$A),MATCH(N$1,[2]enemies!$1:$1,0)-MATCH($L$1,[2]enemies!$1:$1,0)+1),MATCH(N$1,[2]enemies!$1:$1,0)-MATCH($L$1,[2]enemies!$1:$1,0)+1,FALSE)</f>
        <v>green</v>
      </c>
      <c r="O255" s="21" t="str">
        <f ca="1">VLOOKUP($L255,OFFSET([3]characters!$A$1,0,0,COUNTA([3]characters!$A:$A),MATCH(O$1,[3]characters!$1:$1,0)-MATCH($L$1,[3]characters!$1:$1,0)+1),MATCH(O$1,[3]characters!$1:$1,0)-MATCH($L$1,[3]characters!$1:$1,0)+1,FALSE)</f>
        <v>Material</v>
      </c>
      <c r="P255" s="21" t="str">
        <f ca="1">VLOOKUP($L255,OFFSET([2]enemies!$A$1,0,0,COUNTA([2]enemies!$A:$A),MATCH(P$1,[2]enemies!$1:$1,0)-MATCH($L$1,[2]enemies!$1:$1,0)+1),MATCH(P$1,[2]enemies!$1:$1,0)-MATCH($L$1,[2]enemies!$1:$1,0)+1,FALSE)</f>
        <v>unknown</v>
      </c>
      <c r="Q255" s="21">
        <f ca="1">VLOOKUP($L255,OFFSET([2]enemies!$A$1,0,0,COUNTA([2]enemies!$A:$A),MATCH(Q$1,[2]enemies!$1:$1,0)-MATCH($L$1,[2]enemies!$1:$1,0)+1),MATCH(Q$1,[2]enemies!$1:$1,0)-MATCH($L$1,[2]enemies!$1:$1,0)+1,FALSE)</f>
        <v>15</v>
      </c>
      <c r="R255" s="53">
        <v>46</v>
      </c>
      <c r="S255" s="27">
        <v>1</v>
      </c>
      <c r="T255" s="27">
        <v>1</v>
      </c>
      <c r="U255" s="5">
        <v>0</v>
      </c>
      <c r="V255" s="4" t="str">
        <f ca="1">VLOOKUP($W255,OFFSET([4]enemy_skill_sets!$B$1,0,0,COUNTA([4]enemy_skill_sets!$B:$B),MATCH(M$1,[4]enemy_skill_sets!$1:$1,0)-MATCH($W$1,[4]enemy_skill_sets!$1:$1,0)+2),MATCH(M$1,[4]enemy_skill_sets!$1:$1,0)-MATCH($W$1,[4]enemy_skill_sets!$1:$1,0)+2,FALSE)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55" s="64">
        <v>350</v>
      </c>
      <c r="X255" s="6">
        <v>0</v>
      </c>
      <c r="Y255" s="6">
        <v>100</v>
      </c>
      <c r="Z255" s="6">
        <v>0</v>
      </c>
      <c r="AA255" s="4">
        <f ca="1">VLOOKUP($L255,OFFSET([2]enemies!$A$1,0,0,COUNTA([2]enemies!$A:$A),MATCH(AA$1,[2]enemies!$1:$1,0)-MATCH($L$1,[2]enemies!$1:$1,0)+1),MATCH(AA$1,[2]enemies!$1:$1,0)-MATCH($L$1,[2]enemies!$1:$1,0)+1,FALSE)</f>
        <v>3</v>
      </c>
      <c r="AB255" s="52">
        <v>350</v>
      </c>
      <c r="AC255" s="4" t="str">
        <f ca="1">VLOOKUP($AB255,OFFSET([3]characters!$A$1,0,0,COUNTA([3]characters!$A:$A),MATCH(AC$1,[3]characters!$1:$1,0)-MATCH("character_id",[3]characters!$1:$1,0)+1),MATCH(AC$1,[3]characters!$1:$1,0)-MATCH("character_id",[3]characters!$1:$1,0)+1,FALSE)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55" s="4">
        <f ca="1">VLOOKUP($AB255,OFFSET([3]characters!$A$1,0,0,COUNTA([3]characters!$A:$A),MATCH(AD$1,[3]characters!$1:$1,0)-MATCH("character_id",[3]characters!$1:$1,0)+1),MATCH(AD$1,[3]characters!$1:$1,0)-MATCH("character_id",[3]characters!$1:$1,0)+1,FALSE)</f>
        <v>2</v>
      </c>
      <c r="AE255" s="4" t="str">
        <f ca="1">VLOOKUP($AB255,OFFSET([3]characters!$A$1,0,0,COUNTA([3]characters!$A:$A),MATCH(AE$1,[3]characters!$1:$1,0)-MATCH("character_id",[3]characters!$1:$1,0)+1),MATCH(AE$1,[3]characters!$1:$1,0)-MATCH("character_id",[3]characters!$1:$1,0)+1,FALSE)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55" s="7">
        <v>10</v>
      </c>
      <c r="AG255" s="26">
        <f t="shared" ca="1" si="239"/>
        <v>2</v>
      </c>
      <c r="AH255" s="8">
        <v>20</v>
      </c>
      <c r="AI255" s="7">
        <v>0</v>
      </c>
      <c r="AJ255" s="7">
        <v>0</v>
      </c>
      <c r="AK255" s="7">
        <v>0</v>
      </c>
      <c r="AL255" s="7">
        <v>0</v>
      </c>
      <c r="AM255" s="7">
        <v>1</v>
      </c>
    </row>
    <row r="256" spans="1:39" ht="14" x14ac:dyDescent="0.15">
      <c r="A256" s="18" t="str">
        <f t="shared" ca="1" si="294"/>
        <v>23_4-2/11&lt;lv48&gt;s3</v>
      </c>
      <c r="B256" s="50">
        <v>23</v>
      </c>
      <c r="C256" s="49">
        <v>4</v>
      </c>
      <c r="D256" s="2" t="str">
        <f t="shared" si="295"/>
        <v>23_4</v>
      </c>
      <c r="E256" s="2" t="str">
        <f t="shared" si="295"/>
        <v>4_23_4</v>
      </c>
      <c r="F256" s="4" t="str">
        <f ca="1">VLOOKUP($D256,OFFSET([1]stages!$A$1,0,0,COUNTA([1]stages!$A:$A),MATCH(F$1,[1]stages!$2:$2,0)-MATCH($D$1,[1]stages!$2:$2,0)+1),MATCH(F$1,[1]stages!$2:$2,0)-MATCH($D$1,[1]stages!$2:$2,0)+1,FALSE)</f>
        <v>23-4．森は咬み千切る</v>
      </c>
      <c r="G256" s="54">
        <v>2</v>
      </c>
      <c r="H256" s="17" t="str">
        <f t="shared" si="296"/>
        <v>23_4-2</v>
      </c>
      <c r="I256" s="17"/>
      <c r="J256" s="17"/>
      <c r="K256" s="65" t="s">
        <v>56</v>
      </c>
      <c r="L256" s="52">
        <v>11</v>
      </c>
      <c r="M256" s="21" t="str">
        <f ca="1">VLOOKUP($L256,OFFSET([2]enemies!$A$1,0,0,COUNTA([2]enemies!$A:$A),MATCH(M$1,[2]enemies!$1:$1,0)-MATCH($L$1,[2]enemies!$1:$1,0)+1),MATCH(M$1,[2]enemies!$1:$1,0)-MATCH($L$1,[2]enemies!$1:$1,0)+1,FALSE)</f>
        <v>マグリット</v>
      </c>
      <c r="N256" s="21" t="str">
        <f ca="1">VLOOKUP($L256,OFFSET([2]enemies!$A$1,0,0,COUNTA([2]enemies!$A:$A),MATCH(N$1,[2]enemies!$1:$1,0)-MATCH($L$1,[2]enemies!$1:$1,0)+1),MATCH(N$1,[2]enemies!$1:$1,0)-MATCH($L$1,[2]enemies!$1:$1,0)+1,FALSE)</f>
        <v>green</v>
      </c>
      <c r="O256" s="21" t="str">
        <f ca="1">VLOOKUP($L256,OFFSET([3]characters!$A$1,0,0,COUNTA([3]characters!$A:$A),MATCH(O$1,[3]characters!$1:$1,0)-MATCH($L$1,[3]characters!$1:$1,0)+1),MATCH(O$1,[3]characters!$1:$1,0)-MATCH($L$1,[3]characters!$1:$1,0)+1,FALSE)</f>
        <v>Drop1W</v>
      </c>
      <c r="P256" s="21" t="str">
        <f ca="1">VLOOKUP($L256,OFFSET([2]enemies!$A$1,0,0,COUNTA([2]enemies!$A:$A),MATCH(P$1,[2]enemies!$1:$1,0)-MATCH($L$1,[2]enemies!$1:$1,0)+1),MATCH(P$1,[2]enemies!$1:$1,0)-MATCH($L$1,[2]enemies!$1:$1,0)+1,FALSE)</f>
        <v>animal</v>
      </c>
      <c r="Q256" s="21">
        <f ca="1">VLOOKUP($L256,OFFSET([2]enemies!$A$1,0,0,COUNTA([2]enemies!$A:$A),MATCH(Q$1,[2]enemies!$1:$1,0)-MATCH($L$1,[2]enemies!$1:$1,0)+1),MATCH(Q$1,[2]enemies!$1:$1,0)-MATCH($L$1,[2]enemies!$1:$1,0)+1,FALSE)</f>
        <v>15</v>
      </c>
      <c r="R256" s="53">
        <v>48</v>
      </c>
      <c r="S256" s="27">
        <v>1.1000000000000001</v>
      </c>
      <c r="T256" s="27">
        <v>1</v>
      </c>
      <c r="U256" s="5">
        <v>0</v>
      </c>
      <c r="V256" s="4" t="str">
        <f ca="1">VLOOKUP($W256,OFFSET([4]enemy_skill_sets!$B$1,0,0,COUNTA([4]enemy_skill_sets!$B:$B),MATCH(M$1,[4]enemy_skill_sets!$1:$1,0)-MATCH($W$1,[4]enemy_skill_sets!$1:$1,0)+2),MATCH(M$1,[4]enemy_skill_sets!$1:$1,0)-MATCH($W$1,[4]enemy_skill_sets!$1:$1,0)+2,FALSE)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56" s="4">
        <f ca="1">VLOOKUP($L256,OFFSET([2]enemies!$A$1,0,0,COUNTA([2]enemies!$A:$A),MATCH(W$1,[2]enemies!$1:$1,0)-MATCH($L$1,[2]enemies!$1:$1,0)+1),MATCH(W$1,[2]enemies!$1:$1,0)-MATCH($L$1,[2]enemies!$1:$1,0)+1,FALSE)</f>
        <v>0</v>
      </c>
      <c r="X256" s="6">
        <v>0</v>
      </c>
      <c r="Y256" s="6">
        <v>100</v>
      </c>
      <c r="Z256" s="6">
        <v>0</v>
      </c>
      <c r="AA256" s="4">
        <f ca="1">VLOOKUP($L256,OFFSET([2]enemies!$A$1,0,0,COUNTA([2]enemies!$A:$A),MATCH(AA$1,[2]enemies!$1:$1,0)-MATCH($L$1,[2]enemies!$1:$1,0)+1),MATCH(AA$1,[2]enemies!$1:$1,0)-MATCH($L$1,[2]enemies!$1:$1,0)+1,FALSE)</f>
        <v>3</v>
      </c>
      <c r="AB256" s="52">
        <v>11</v>
      </c>
      <c r="AC256" s="4" t="str">
        <f ca="1">VLOOKUP($AB256,OFFSET([3]characters!$A$1,0,0,COUNTA([3]characters!$A:$A),MATCH(AC$1,[3]characters!$1:$1,0)-MATCH("character_id",[3]characters!$1:$1,0)+1),MATCH(AC$1,[3]characters!$1:$1,0)-MATCH("character_id",[3]characters!$1:$1,0)+1,FALSE)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256" s="4">
        <f ca="1">VLOOKUP($AB256,OFFSET([3]characters!$A$1,0,0,COUNTA([3]characters!$A:$A),MATCH(AD$1,[3]characters!$1:$1,0)-MATCH("character_id",[3]characters!$1:$1,0)+1),MATCH(AD$1,[3]characters!$1:$1,0)-MATCH("character_id",[3]characters!$1:$1,0)+1,FALSE)</f>
        <v>1</v>
      </c>
      <c r="AE256" s="4" t="str">
        <f ca="1">VLOOKUP($AB256,OFFSET([3]characters!$A$1,0,0,COUNTA([3]characters!$A:$A),MATCH(AE$1,[3]characters!$1:$1,0)-MATCH("character_id",[3]characters!$1:$1,0)+1),MATCH(AE$1,[3]characters!$1:$1,0)-MATCH("character_id",[3]characters!$1:$1,0)+1,FALSE)</f>
        <v>Drop1W</v>
      </c>
      <c r="AF256" s="7">
        <v>9</v>
      </c>
      <c r="AG256" s="26">
        <f t="shared" ca="1" si="239"/>
        <v>1</v>
      </c>
      <c r="AH256" s="8">
        <v>20</v>
      </c>
      <c r="AI256" s="7">
        <v>0</v>
      </c>
      <c r="AJ256" s="7">
        <v>0</v>
      </c>
      <c r="AK256" s="7">
        <v>0</v>
      </c>
      <c r="AL256" s="7">
        <v>0</v>
      </c>
      <c r="AM256" s="7">
        <v>1</v>
      </c>
    </row>
    <row r="257" spans="1:39" ht="14" x14ac:dyDescent="0.15">
      <c r="A257" s="18" t="str">
        <f t="shared" ca="1" si="294"/>
        <v>23_4-2/23&lt;lv48&gt;s4</v>
      </c>
      <c r="B257" s="50">
        <v>23</v>
      </c>
      <c r="C257" s="49">
        <v>4</v>
      </c>
      <c r="D257" s="2" t="str">
        <f t="shared" si="295"/>
        <v>23_4</v>
      </c>
      <c r="E257" s="2" t="str">
        <f t="shared" si="295"/>
        <v>4_23_4</v>
      </c>
      <c r="F257" s="4" t="str">
        <f ca="1">VLOOKUP($D257,OFFSET([1]stages!$A$1,0,0,COUNTA([1]stages!$A:$A),MATCH(F$1,[1]stages!$2:$2,0)-MATCH($D$1,[1]stages!$2:$2,0)+1),MATCH(F$1,[1]stages!$2:$2,0)-MATCH($D$1,[1]stages!$2:$2,0)+1,FALSE)</f>
        <v>23-4．森は咬み千切る</v>
      </c>
      <c r="G257" s="54">
        <v>2</v>
      </c>
      <c r="H257" s="17" t="str">
        <f t="shared" si="296"/>
        <v>23_4-2</v>
      </c>
      <c r="I257" s="17"/>
      <c r="J257" s="17"/>
      <c r="K257" s="65" t="s">
        <v>56</v>
      </c>
      <c r="L257" s="52">
        <v>23</v>
      </c>
      <c r="M257" s="21" t="str">
        <f ca="1">VLOOKUP($L257,OFFSET([2]enemies!$A$1,0,0,COUNTA([2]enemies!$A:$A),MATCH(M$1,[2]enemies!$1:$1,0)-MATCH($L$1,[2]enemies!$1:$1,0)+1),MATCH(M$1,[2]enemies!$1:$1,0)-MATCH($L$1,[2]enemies!$1:$1,0)+1,FALSE)</f>
        <v>ミール</v>
      </c>
      <c r="N257" s="21" t="str">
        <f ca="1">VLOOKUP($L257,OFFSET([2]enemies!$A$1,0,0,COUNTA([2]enemies!$A:$A),MATCH(N$1,[2]enemies!$1:$1,0)-MATCH($L$1,[2]enemies!$1:$1,0)+1),MATCH(N$1,[2]enemies!$1:$1,0)-MATCH($L$1,[2]enemies!$1:$1,0)+1,FALSE)</f>
        <v>green</v>
      </c>
      <c r="O257" s="21" t="str">
        <f ca="1">VLOOKUP($L257,OFFSET([3]characters!$A$1,0,0,COUNTA([3]characters!$A:$A),MATCH(O$1,[3]characters!$1:$1,0)-MATCH($L$1,[3]characters!$1:$1,0)+1),MATCH(O$1,[3]characters!$1:$1,0)-MATCH($L$1,[3]characters!$1:$1,0)+1,FALSE)</f>
        <v>Drop1N</v>
      </c>
      <c r="P257" s="21" t="str">
        <f ca="1">VLOOKUP($L257,OFFSET([2]enemies!$A$1,0,0,COUNTA([2]enemies!$A:$A),MATCH(P$1,[2]enemies!$1:$1,0)-MATCH($L$1,[2]enemies!$1:$1,0)+1),MATCH(P$1,[2]enemies!$1:$1,0)-MATCH($L$1,[2]enemies!$1:$1,0)+1,FALSE)</f>
        <v>animal</v>
      </c>
      <c r="Q257" s="21">
        <f ca="1">VLOOKUP($L257,OFFSET([2]enemies!$A$1,0,0,COUNTA([2]enemies!$A:$A),MATCH(Q$1,[2]enemies!$1:$1,0)-MATCH($L$1,[2]enemies!$1:$1,0)+1),MATCH(Q$1,[2]enemies!$1:$1,0)-MATCH($L$1,[2]enemies!$1:$1,0)+1,FALSE)</f>
        <v>15</v>
      </c>
      <c r="R257" s="53">
        <v>48</v>
      </c>
      <c r="S257" s="27">
        <v>1.1000000000000001</v>
      </c>
      <c r="T257" s="27">
        <v>1</v>
      </c>
      <c r="U257" s="5">
        <v>0</v>
      </c>
      <c r="V257" s="4" t="str">
        <f ca="1">VLOOKUP($W257,OFFSET([4]enemy_skill_sets!$B$1,0,0,COUNTA([4]enemy_skill_sets!$B:$B),MATCH(M$1,[4]enemy_skill_sets!$1:$1,0)-MATCH($W$1,[4]enemy_skill_sets!$1:$1,0)+2),MATCH(M$1,[4]enemy_skill_sets!$1:$1,0)-MATCH($W$1,[4]enemy_skill_sets!$1:$1,0)+2,FALSE)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57" s="4">
        <f ca="1">VLOOKUP($L257,OFFSET([2]enemies!$A$1,0,0,COUNTA([2]enemies!$A:$A),MATCH(W$1,[2]enemies!$1:$1,0)-MATCH($L$1,[2]enemies!$1:$1,0)+1),MATCH(W$1,[2]enemies!$1:$1,0)-MATCH($L$1,[2]enemies!$1:$1,0)+1,FALSE)</f>
        <v>0</v>
      </c>
      <c r="X257" s="6">
        <v>0</v>
      </c>
      <c r="Y257" s="6">
        <v>100</v>
      </c>
      <c r="Z257" s="6">
        <v>0</v>
      </c>
      <c r="AA257" s="4">
        <f ca="1">VLOOKUP($L257,OFFSET([2]enemies!$A$1,0,0,COUNTA([2]enemies!$A:$A),MATCH(AA$1,[2]enemies!$1:$1,0)-MATCH($L$1,[2]enemies!$1:$1,0)+1),MATCH(AA$1,[2]enemies!$1:$1,0)-MATCH($L$1,[2]enemies!$1:$1,0)+1,FALSE)</f>
        <v>4</v>
      </c>
      <c r="AB257" s="52">
        <v>23</v>
      </c>
      <c r="AC257" s="4" t="str">
        <f ca="1">VLOOKUP($AB257,OFFSET([3]characters!$A$1,0,0,COUNTA([3]characters!$A:$A),MATCH(AC$1,[3]characters!$1:$1,0)-MATCH("character_id",[3]characters!$1:$1,0)+1),MATCH(AC$1,[3]characters!$1:$1,0)-MATCH("character_id",[3]characters!$1:$1,0)+1,FALSE)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257" s="4">
        <f ca="1">VLOOKUP($AB257,OFFSET([3]characters!$A$1,0,0,COUNTA([3]characters!$A:$A),MATCH(AD$1,[3]characters!$1:$1,0)-MATCH("character_id",[3]characters!$1:$1,0)+1),MATCH(AD$1,[3]characters!$1:$1,0)-MATCH("character_id",[3]characters!$1:$1,0)+1,FALSE)</f>
        <v>1</v>
      </c>
      <c r="AE257" s="4" t="str">
        <f ca="1">VLOOKUP($AB257,OFFSET([3]characters!$A$1,0,0,COUNTA([3]characters!$A:$A),MATCH(AE$1,[3]characters!$1:$1,0)-MATCH("character_id",[3]characters!$1:$1,0)+1),MATCH(AE$1,[3]characters!$1:$1,0)-MATCH("character_id",[3]characters!$1:$1,0)+1,FALSE)</f>
        <v>Drop1N</v>
      </c>
      <c r="AF257" s="7">
        <v>7</v>
      </c>
      <c r="AG257" s="26">
        <f t="shared" ca="1" si="239"/>
        <v>1</v>
      </c>
      <c r="AH257" s="8">
        <v>20</v>
      </c>
      <c r="AI257" s="7">
        <v>0</v>
      </c>
      <c r="AJ257" s="7">
        <v>0</v>
      </c>
      <c r="AK257" s="7">
        <v>0</v>
      </c>
      <c r="AL257" s="7">
        <v>0</v>
      </c>
      <c r="AM257" s="7">
        <v>1</v>
      </c>
    </row>
    <row r="258" spans="1:39" ht="14" x14ac:dyDescent="0.15">
      <c r="A258" s="18" t="str">
        <f t="shared" ca="1" si="294"/>
        <v>23_4-2/59&lt;lv48&gt;s2</v>
      </c>
      <c r="B258" s="50">
        <v>23</v>
      </c>
      <c r="C258" s="49">
        <v>4</v>
      </c>
      <c r="D258" s="2" t="str">
        <f t="shared" si="295"/>
        <v>23_4</v>
      </c>
      <c r="E258" s="2" t="str">
        <f t="shared" si="295"/>
        <v>4_23_4</v>
      </c>
      <c r="F258" s="4" t="str">
        <f ca="1">VLOOKUP($D258,OFFSET([1]stages!$A$1,0,0,COUNTA([1]stages!$A:$A),MATCH(F$1,[1]stages!$2:$2,0)-MATCH($D$1,[1]stages!$2:$2,0)+1),MATCH(F$1,[1]stages!$2:$2,0)-MATCH($D$1,[1]stages!$2:$2,0)+1,FALSE)</f>
        <v>23-4．森は咬み千切る</v>
      </c>
      <c r="G258" s="54">
        <v>2</v>
      </c>
      <c r="H258" s="17" t="str">
        <f t="shared" si="296"/>
        <v>23_4-2</v>
      </c>
      <c r="I258" s="17"/>
      <c r="J258" s="17"/>
      <c r="K258" s="65" t="s">
        <v>56</v>
      </c>
      <c r="L258" s="52">
        <v>59</v>
      </c>
      <c r="M258" s="21" t="str">
        <f ca="1">VLOOKUP($L258,OFFSET([2]enemies!$A$1,0,0,COUNTA([2]enemies!$A:$A),MATCH(M$1,[2]enemies!$1:$1,0)-MATCH($L$1,[2]enemies!$1:$1,0)+1),MATCH(M$1,[2]enemies!$1:$1,0)-MATCH($L$1,[2]enemies!$1:$1,0)+1,FALSE)</f>
        <v>マーチ</v>
      </c>
      <c r="N258" s="21" t="str">
        <f ca="1">VLOOKUP($L258,OFFSET([2]enemies!$A$1,0,0,COUNTA([2]enemies!$A:$A),MATCH(N$1,[2]enemies!$1:$1,0)-MATCH($L$1,[2]enemies!$1:$1,0)+1),MATCH(N$1,[2]enemies!$1:$1,0)-MATCH($L$1,[2]enemies!$1:$1,0)+1,FALSE)</f>
        <v>green</v>
      </c>
      <c r="O258" s="21" t="str">
        <f ca="1">VLOOKUP($L258,OFFSET([3]characters!$A$1,0,0,COUNTA([3]characters!$A:$A),MATCH(O$1,[3]characters!$1:$1,0)-MATCH($L$1,[3]characters!$1:$1,0)+1),MATCH(O$1,[3]characters!$1:$1,0)-MATCH($L$1,[3]characters!$1:$1,0)+1,FALSE)</f>
        <v>Drop1N</v>
      </c>
      <c r="P258" s="21" t="str">
        <f ca="1">VLOOKUP($L258,OFFSET([2]enemies!$A$1,0,0,COUNTA([2]enemies!$A:$A),MATCH(P$1,[2]enemies!$1:$1,0)-MATCH($L$1,[2]enemies!$1:$1,0)+1),MATCH(P$1,[2]enemies!$1:$1,0)-MATCH($L$1,[2]enemies!$1:$1,0)+1,FALSE)</f>
        <v>animal</v>
      </c>
      <c r="Q258" s="21">
        <f ca="1">VLOOKUP($L258,OFFSET([2]enemies!$A$1,0,0,COUNTA([2]enemies!$A:$A),MATCH(Q$1,[2]enemies!$1:$1,0)-MATCH($L$1,[2]enemies!$1:$1,0)+1),MATCH(Q$1,[2]enemies!$1:$1,0)-MATCH($L$1,[2]enemies!$1:$1,0)+1,FALSE)</f>
        <v>15</v>
      </c>
      <c r="R258" s="53">
        <v>48</v>
      </c>
      <c r="S258" s="27">
        <v>1.1000000000000001</v>
      </c>
      <c r="T258" s="27">
        <v>1</v>
      </c>
      <c r="U258" s="5">
        <v>0</v>
      </c>
      <c r="V258" s="4" t="str">
        <f ca="1">VLOOKUP($W258,OFFSET([4]enemy_skill_sets!$B$1,0,0,COUNTA([4]enemy_skill_sets!$B:$B),MATCH(M$1,[4]enemy_skill_sets!$1:$1,0)-MATCH($W$1,[4]enemy_skill_sets!$1:$1,0)+2),MATCH(M$1,[4]enemy_skill_sets!$1:$1,0)-MATCH($W$1,[4]enemy_skill_sets!$1:$1,0)+2,FALSE)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58" s="4">
        <f ca="1">VLOOKUP($L258,OFFSET([2]enemies!$A$1,0,0,COUNTA([2]enemies!$A:$A),MATCH(W$1,[2]enemies!$1:$1,0)-MATCH($L$1,[2]enemies!$1:$1,0)+1),MATCH(W$1,[2]enemies!$1:$1,0)-MATCH($L$1,[2]enemies!$1:$1,0)+1,FALSE)</f>
        <v>59</v>
      </c>
      <c r="X258" s="6">
        <v>0</v>
      </c>
      <c r="Y258" s="6">
        <v>100</v>
      </c>
      <c r="Z258" s="6">
        <v>0</v>
      </c>
      <c r="AA258" s="4">
        <f ca="1">VLOOKUP($L258,OFFSET([2]enemies!$A$1,0,0,COUNTA([2]enemies!$A:$A),MATCH(AA$1,[2]enemies!$1:$1,0)-MATCH($L$1,[2]enemies!$1:$1,0)+1),MATCH(AA$1,[2]enemies!$1:$1,0)-MATCH($L$1,[2]enemies!$1:$1,0)+1,FALSE)</f>
        <v>2</v>
      </c>
      <c r="AB258" s="52">
        <v>59</v>
      </c>
      <c r="AC258" s="4" t="str">
        <f ca="1">VLOOKUP($AB258,OFFSET([3]characters!$A$1,0,0,COUNTA([3]characters!$A:$A),MATCH(AC$1,[3]characters!$1:$1,0)-MATCH("character_id",[3]characters!$1:$1,0)+1),MATCH(AC$1,[3]characters!$1:$1,0)-MATCH("character_id",[3]characters!$1:$1,0)+1,FALSE)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258" s="4">
        <f ca="1">VLOOKUP($AB258,OFFSET([3]characters!$A$1,0,0,COUNTA([3]characters!$A:$A),MATCH(AD$1,[3]characters!$1:$1,0)-MATCH("character_id",[3]characters!$1:$1,0)+1),MATCH(AD$1,[3]characters!$1:$1,0)-MATCH("character_id",[3]characters!$1:$1,0)+1,FALSE)</f>
        <v>2</v>
      </c>
      <c r="AE258" s="4" t="str">
        <f ca="1">VLOOKUP($AB258,OFFSET([3]characters!$A$1,0,0,COUNTA([3]characters!$A:$A),MATCH(AE$1,[3]characters!$1:$1,0)-MATCH("character_id",[3]characters!$1:$1,0)+1),MATCH(AE$1,[3]characters!$1:$1,0)-MATCH("character_id",[3]characters!$1:$1,0)+1,FALSE)</f>
        <v>Drop1N</v>
      </c>
      <c r="AF258" s="7">
        <v>7</v>
      </c>
      <c r="AG258" s="26">
        <f t="shared" ca="1" si="239"/>
        <v>2</v>
      </c>
      <c r="AH258" s="8">
        <v>20</v>
      </c>
      <c r="AI258" s="7">
        <v>0</v>
      </c>
      <c r="AJ258" s="7">
        <v>0</v>
      </c>
      <c r="AK258" s="7">
        <v>0</v>
      </c>
      <c r="AL258" s="7">
        <v>0</v>
      </c>
      <c r="AM258" s="7">
        <v>1</v>
      </c>
    </row>
    <row r="259" spans="1:39" ht="14" x14ac:dyDescent="0.15">
      <c r="A259" s="18" t="str">
        <f t="shared" ca="1" si="294"/>
        <v>23_4-2/43&lt;lv48&gt;s2</v>
      </c>
      <c r="B259" s="50">
        <v>23</v>
      </c>
      <c r="C259" s="49">
        <v>4</v>
      </c>
      <c r="D259" s="2" t="str">
        <f t="shared" si="295"/>
        <v>23_4</v>
      </c>
      <c r="E259" s="2" t="str">
        <f t="shared" si="295"/>
        <v>4_23_4</v>
      </c>
      <c r="F259" s="4" t="str">
        <f ca="1">VLOOKUP($D259,OFFSET([1]stages!$A$1,0,0,COUNTA([1]stages!$A:$A),MATCH(F$1,[1]stages!$2:$2,0)-MATCH($D$1,[1]stages!$2:$2,0)+1),MATCH(F$1,[1]stages!$2:$2,0)-MATCH($D$1,[1]stages!$2:$2,0)+1,FALSE)</f>
        <v>23-4．森は咬み千切る</v>
      </c>
      <c r="G259" s="54">
        <v>2</v>
      </c>
      <c r="H259" s="17" t="str">
        <f t="shared" si="296"/>
        <v>23_4-2</v>
      </c>
      <c r="I259" s="17"/>
      <c r="J259" s="17"/>
      <c r="K259" s="65" t="s">
        <v>56</v>
      </c>
      <c r="L259" s="52">
        <v>43</v>
      </c>
      <c r="M259" s="21" t="str">
        <f ca="1">VLOOKUP($L259,OFFSET([2]enemies!$A$1,0,0,COUNTA([2]enemies!$A:$A),MATCH(M$1,[2]enemies!$1:$1,0)-MATCH($L$1,[2]enemies!$1:$1,0)+1),MATCH(M$1,[2]enemies!$1:$1,0)-MATCH($L$1,[2]enemies!$1:$1,0)+1,FALSE)</f>
        <v>ムゥ</v>
      </c>
      <c r="N259" s="21" t="str">
        <f ca="1">VLOOKUP($L259,OFFSET([2]enemies!$A$1,0,0,COUNTA([2]enemies!$A:$A),MATCH(N$1,[2]enemies!$1:$1,0)-MATCH($L$1,[2]enemies!$1:$1,0)+1),MATCH(N$1,[2]enemies!$1:$1,0)-MATCH($L$1,[2]enemies!$1:$1,0)+1,FALSE)</f>
        <v>green</v>
      </c>
      <c r="O259" s="21" t="str">
        <f ca="1">VLOOKUP($L259,OFFSET([3]characters!$A$1,0,0,COUNTA([3]characters!$A:$A),MATCH(O$1,[3]characters!$1:$1,0)-MATCH($L$1,[3]characters!$1:$1,0)+1),MATCH(O$1,[3]characters!$1:$1,0)-MATCH($L$1,[3]characters!$1:$1,0)+1,FALSE)</f>
        <v>Drop1N</v>
      </c>
      <c r="P259" s="21" t="str">
        <f ca="1">VLOOKUP($L259,OFFSET([2]enemies!$A$1,0,0,COUNTA([2]enemies!$A:$A),MATCH(P$1,[2]enemies!$1:$1,0)-MATCH($L$1,[2]enemies!$1:$1,0)+1),MATCH(P$1,[2]enemies!$1:$1,0)-MATCH($L$1,[2]enemies!$1:$1,0)+1,FALSE)</f>
        <v>dragon</v>
      </c>
      <c r="Q259" s="21">
        <f ca="1">VLOOKUP($L259,OFFSET([2]enemies!$A$1,0,0,COUNTA([2]enemies!$A:$A),MATCH(Q$1,[2]enemies!$1:$1,0)-MATCH($L$1,[2]enemies!$1:$1,0)+1),MATCH(Q$1,[2]enemies!$1:$1,0)-MATCH($L$1,[2]enemies!$1:$1,0)+1,FALSE)</f>
        <v>15</v>
      </c>
      <c r="R259" s="53">
        <v>48</v>
      </c>
      <c r="S259" s="27">
        <v>1.1000000000000001</v>
      </c>
      <c r="T259" s="27">
        <v>1</v>
      </c>
      <c r="U259" s="5">
        <v>0</v>
      </c>
      <c r="V259" s="4" t="str">
        <f ca="1">VLOOKUP($W259,OFFSET([4]enemy_skill_sets!$B$1,0,0,COUNTA([4]enemy_skill_sets!$B:$B),MATCH(M$1,[4]enemy_skill_sets!$1:$1,0)-MATCH($W$1,[4]enemy_skill_sets!$1:$1,0)+2),MATCH(M$1,[4]enemy_skill_sets!$1:$1,0)-MATCH($W$1,[4]enemy_skill_sets!$1:$1,0)+2,FALSE)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59" s="4">
        <f ca="1">VLOOKUP($L259,OFFSET([2]enemies!$A$1,0,0,COUNTA([2]enemies!$A:$A),MATCH(W$1,[2]enemies!$1:$1,0)-MATCH($L$1,[2]enemies!$1:$1,0)+1),MATCH(W$1,[2]enemies!$1:$1,0)-MATCH($L$1,[2]enemies!$1:$1,0)+1,FALSE)</f>
        <v>0</v>
      </c>
      <c r="X259" s="6">
        <v>0</v>
      </c>
      <c r="Y259" s="6">
        <v>100</v>
      </c>
      <c r="Z259" s="6">
        <v>0</v>
      </c>
      <c r="AA259" s="4">
        <f ca="1">VLOOKUP($L259,OFFSET([2]enemies!$A$1,0,0,COUNTA([2]enemies!$A:$A),MATCH(AA$1,[2]enemies!$1:$1,0)-MATCH($L$1,[2]enemies!$1:$1,0)+1),MATCH(AA$1,[2]enemies!$1:$1,0)-MATCH($L$1,[2]enemies!$1:$1,0)+1,FALSE)</f>
        <v>2</v>
      </c>
      <c r="AB259" s="52">
        <v>43</v>
      </c>
      <c r="AC259" s="4" t="str">
        <f ca="1">VLOOKUP($AB259,OFFSET([3]characters!$A$1,0,0,COUNTA([3]characters!$A:$A),MATCH(AC$1,[3]characters!$1:$1,0)-MATCH("character_id",[3]characters!$1:$1,0)+1),MATCH(AC$1,[3]characters!$1:$1,0)-MATCH("character_id",[3]characters!$1:$1,0)+1,FALSE)</f>
        <v>ムゥ</v>
      </c>
      <c r="AD259" s="4">
        <f ca="1">VLOOKUP($AB259,OFFSET([3]characters!$A$1,0,0,COUNTA([3]characters!$A:$A),MATCH(AD$1,[3]characters!$1:$1,0)-MATCH("character_id",[3]characters!$1:$1,0)+1),MATCH(AD$1,[3]characters!$1:$1,0)-MATCH("character_id",[3]characters!$1:$1,0)+1,FALSE)</f>
        <v>2</v>
      </c>
      <c r="AE259" s="4" t="str">
        <f ca="1">VLOOKUP($AB259,OFFSET([3]characters!$A$1,0,0,COUNTA([3]characters!$A:$A),MATCH(AE$1,[3]characters!$1:$1,0)-MATCH("character_id",[3]characters!$1:$1,0)+1),MATCH(AE$1,[3]characters!$1:$1,0)-MATCH("character_id",[3]characters!$1:$1,0)+1,FALSE)</f>
        <v>Drop1N</v>
      </c>
      <c r="AF259" s="7">
        <v>7</v>
      </c>
      <c r="AG259" s="26">
        <f t="shared" ref="AG259:AG322" ca="1" si="305">AD259</f>
        <v>2</v>
      </c>
      <c r="AH259" s="8">
        <v>20</v>
      </c>
      <c r="AI259" s="7">
        <v>0</v>
      </c>
      <c r="AJ259" s="7">
        <v>0</v>
      </c>
      <c r="AK259" s="7">
        <v>0</v>
      </c>
      <c r="AL259" s="7">
        <v>0</v>
      </c>
      <c r="AM259" s="7">
        <v>1</v>
      </c>
    </row>
    <row r="260" spans="1:39" ht="14" x14ac:dyDescent="0.15">
      <c r="A260" s="18" t="str">
        <f t="shared" ref="A260" ca="1" si="306">B260&amp;"_"&amp;C260&amp;"-"&amp;G260&amp;"/"&amp;L260&amp;"&lt;lv"&amp;R260&amp;"&gt;s"&amp;AA260</f>
        <v>23_4-2/362&lt;lv48&gt;s3</v>
      </c>
      <c r="B260" s="53">
        <v>23</v>
      </c>
      <c r="C260" s="51">
        <v>4</v>
      </c>
      <c r="D260" s="2" t="str">
        <f t="shared" ref="D260" si="307">B260&amp;"_"&amp;C260</f>
        <v>23_4</v>
      </c>
      <c r="E260" s="2" t="str">
        <f t="shared" ref="E260" si="308">C260&amp;"_"&amp;D260</f>
        <v>4_23_4</v>
      </c>
      <c r="F260" s="4" t="str">
        <f ca="1">VLOOKUP($D260,OFFSET([1]stages!$A$1,0,0,COUNTA([1]stages!$A:$A),MATCH(F$1,[1]stages!$2:$2,0)-MATCH($D$1,[1]stages!$2:$2,0)+1),MATCH(F$1,[1]stages!$2:$2,0)-MATCH($D$1,[1]stages!$2:$2,0)+1,FALSE)</f>
        <v>23-4．森は咬み千切る</v>
      </c>
      <c r="G260" s="54">
        <v>2</v>
      </c>
      <c r="H260" s="17" t="str">
        <f t="shared" ref="H260" si="309">B260&amp;"_"&amp;C260&amp;"-"&amp;G260</f>
        <v>23_4-2</v>
      </c>
      <c r="I260" s="17"/>
      <c r="J260" s="17"/>
      <c r="K260" s="65" t="s">
        <v>56</v>
      </c>
      <c r="L260" s="52">
        <v>362</v>
      </c>
      <c r="M260" s="21" t="str">
        <f ca="1">VLOOKUP($L260,OFFSET([2]enemies!$A$1,0,0,COUNTA([2]enemies!$A:$A),MATCH(M$1,[2]enemies!$1:$1,0)-MATCH($L$1,[2]enemies!$1:$1,0)+1),MATCH(M$1,[2]enemies!$1:$1,0)-MATCH($L$1,[2]enemies!$1:$1,0)+1,FALSE)</f>
        <v>ゆらら</v>
      </c>
      <c r="N260" s="21" t="str">
        <f ca="1">VLOOKUP($L260,OFFSET([2]enemies!$A$1,0,0,COUNTA([2]enemies!$A:$A),MATCH(N$1,[2]enemies!$1:$1,0)-MATCH($L$1,[2]enemies!$1:$1,0)+1),MATCH(N$1,[2]enemies!$1:$1,0)-MATCH($L$1,[2]enemies!$1:$1,0)+1,FALSE)</f>
        <v>green</v>
      </c>
      <c r="O260" s="21" t="str">
        <f ca="1">VLOOKUP($L260,OFFSET([3]characters!$A$1,0,0,COUNTA([3]characters!$A:$A),MATCH(O$1,[3]characters!$1:$1,0)-MATCH($L$1,[3]characters!$1:$1,0)+1),MATCH(O$1,[3]characters!$1:$1,0)-MATCH($L$1,[3]characters!$1:$1,0)+1,FALSE)</f>
        <v>Drop1S</v>
      </c>
      <c r="P260" s="21" t="str">
        <f ca="1">VLOOKUP($L260,OFFSET([2]enemies!$A$1,0,0,COUNTA([2]enemies!$A:$A),MATCH(P$1,[2]enemies!$1:$1,0)-MATCH($L$1,[2]enemies!$1:$1,0)+1),MATCH(P$1,[2]enemies!$1:$1,0)-MATCH($L$1,[2]enemies!$1:$1,0)+1,FALSE)</f>
        <v>animal</v>
      </c>
      <c r="Q260" s="21">
        <f ca="1">VLOOKUP($L260,OFFSET([2]enemies!$A$1,0,0,COUNTA([2]enemies!$A:$A),MATCH(Q$1,[2]enemies!$1:$1,0)-MATCH($L$1,[2]enemies!$1:$1,0)+1),MATCH(Q$1,[2]enemies!$1:$1,0)-MATCH($L$1,[2]enemies!$1:$1,0)+1,FALSE)</f>
        <v>15</v>
      </c>
      <c r="R260" s="53">
        <v>48</v>
      </c>
      <c r="S260" s="27">
        <v>1.1000000000000001</v>
      </c>
      <c r="T260" s="27">
        <v>1</v>
      </c>
      <c r="U260" s="5">
        <v>0</v>
      </c>
      <c r="V260" s="4" t="str">
        <f ca="1">VLOOKUP($W260,OFFSET([4]enemy_skill_sets!$B$1,0,0,COUNTA([4]enemy_skill_sets!$B:$B),MATCH(M$1,[4]enemy_skill_sets!$1:$1,0)-MATCH($W$1,[4]enemy_skill_sets!$1:$1,0)+2),MATCH(M$1,[4]enemy_skill_sets!$1:$1,0)-MATCH($W$1,[4]enemy_skill_sets!$1:$1,0)+2,FALSE)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60" s="64">
        <v>362</v>
      </c>
      <c r="X260" s="6">
        <v>0</v>
      </c>
      <c r="Y260" s="6">
        <v>100</v>
      </c>
      <c r="Z260" s="6">
        <v>0</v>
      </c>
      <c r="AA260" s="4">
        <f ca="1">VLOOKUP($L260,OFFSET([2]enemies!$A$1,0,0,COUNTA([2]enemies!$A:$A),MATCH(AA$1,[2]enemies!$1:$1,0)-MATCH($L$1,[2]enemies!$1:$1,0)+1),MATCH(AA$1,[2]enemies!$1:$1,0)-MATCH($L$1,[2]enemies!$1:$1,0)+1,FALSE)</f>
        <v>3</v>
      </c>
      <c r="AB260" s="52">
        <v>362</v>
      </c>
      <c r="AC260" s="4" t="str">
        <f ca="1">VLOOKUP($AB260,OFFSET([3]characters!$A$1,0,0,COUNTA([3]characters!$A:$A),MATCH(AC$1,[3]characters!$1:$1,0)-MATCH("character_id",[3]characters!$1:$1,0)+1),MATCH(AC$1,[3]characters!$1:$1,0)-MATCH("character_id",[3]characters!$1:$1,0)+1,FALSE)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60" s="4">
        <f ca="1">VLOOKUP($AB260,OFFSET([3]characters!$A$1,0,0,COUNTA([3]characters!$A:$A),MATCH(AD$1,[3]characters!$1:$1,0)-MATCH("character_id",[3]characters!$1:$1,0)+1),MATCH(AD$1,[3]characters!$1:$1,0)-MATCH("character_id",[3]characters!$1:$1,0)+1,FALSE)</f>
        <v>2</v>
      </c>
      <c r="AE260" s="4" t="str">
        <f ca="1">VLOOKUP($AB260,OFFSET([3]characters!$A$1,0,0,COUNTA([3]characters!$A:$A),MATCH(AE$1,[3]characters!$1:$1,0)-MATCH("character_id",[3]characters!$1:$1,0)+1),MATCH(AE$1,[3]characters!$1:$1,0)-MATCH("character_id",[3]characters!$1:$1,0)+1,FALSE)</f>
        <v>Drop1S</v>
      </c>
      <c r="AF260" s="7">
        <v>7</v>
      </c>
      <c r="AG260" s="26">
        <f t="shared" ca="1" si="305"/>
        <v>2</v>
      </c>
      <c r="AH260" s="8">
        <v>20</v>
      </c>
      <c r="AI260" s="7">
        <v>0</v>
      </c>
      <c r="AJ260" s="7">
        <v>0</v>
      </c>
      <c r="AK260" s="7">
        <v>0</v>
      </c>
      <c r="AL260" s="7">
        <v>0</v>
      </c>
      <c r="AM260" s="7">
        <v>1</v>
      </c>
    </row>
    <row r="261" spans="1:39" ht="14" x14ac:dyDescent="0.15">
      <c r="A261" s="18" t="str">
        <f t="shared" ref="A261" ca="1" si="310">B261&amp;"_"&amp;C261&amp;"-"&amp;G261&amp;"/"&amp;L261&amp;"&lt;lv"&amp;R261&amp;"&gt;s"&amp;AA261</f>
        <v>23_4-2/350&lt;lv48&gt;s3</v>
      </c>
      <c r="B261" s="53">
        <v>23</v>
      </c>
      <c r="C261" s="51">
        <v>4</v>
      </c>
      <c r="D261" s="2" t="str">
        <f t="shared" ref="D261" si="311">B261&amp;"_"&amp;C261</f>
        <v>23_4</v>
      </c>
      <c r="E261" s="2" t="str">
        <f t="shared" ref="E261" si="312">C261&amp;"_"&amp;D261</f>
        <v>4_23_4</v>
      </c>
      <c r="F261" s="4" t="str">
        <f ca="1">VLOOKUP($D261,OFFSET([1]stages!$A$1,0,0,COUNTA([1]stages!$A:$A),MATCH(F$1,[1]stages!$2:$2,0)-MATCH($D$1,[1]stages!$2:$2,0)+1),MATCH(F$1,[1]stages!$2:$2,0)-MATCH($D$1,[1]stages!$2:$2,0)+1,FALSE)</f>
        <v>23-4．森は咬み千切る</v>
      </c>
      <c r="G261" s="54">
        <v>2</v>
      </c>
      <c r="H261" s="17" t="str">
        <f t="shared" ref="H261" si="313">B261&amp;"_"&amp;C261&amp;"-"&amp;G261</f>
        <v>23_4-2</v>
      </c>
      <c r="I261" s="17"/>
      <c r="J261" s="17"/>
      <c r="K261" s="65" t="s">
        <v>56</v>
      </c>
      <c r="L261" s="52">
        <v>350</v>
      </c>
      <c r="M261" s="21" t="str">
        <f ca="1">VLOOKUP($L261,OFFSET([2]enemies!$A$1,0,0,COUNTA([2]enemies!$A:$A),MATCH(M$1,[2]enemies!$1:$1,0)-MATCH($L$1,[2]enemies!$1:$1,0)+1),MATCH(M$1,[2]enemies!$1:$1,0)-MATCH($L$1,[2]enemies!$1:$1,0)+1,FALSE)</f>
        <v>森のケロケロ</v>
      </c>
      <c r="N261" s="21" t="str">
        <f ca="1">VLOOKUP($L261,OFFSET([2]enemies!$A$1,0,0,COUNTA([2]enemies!$A:$A),MATCH(N$1,[2]enemies!$1:$1,0)-MATCH($L$1,[2]enemies!$1:$1,0)+1),MATCH(N$1,[2]enemies!$1:$1,0)-MATCH($L$1,[2]enemies!$1:$1,0)+1,FALSE)</f>
        <v>green</v>
      </c>
      <c r="O261" s="21" t="str">
        <f ca="1">VLOOKUP($L261,OFFSET([3]characters!$A$1,0,0,COUNTA([3]characters!$A:$A),MATCH(O$1,[3]characters!$1:$1,0)-MATCH($L$1,[3]characters!$1:$1,0)+1),MATCH(O$1,[3]characters!$1:$1,0)-MATCH($L$1,[3]characters!$1:$1,0)+1,FALSE)</f>
        <v>Material</v>
      </c>
      <c r="P261" s="21" t="str">
        <f ca="1">VLOOKUP($L261,OFFSET([2]enemies!$A$1,0,0,COUNTA([2]enemies!$A:$A),MATCH(P$1,[2]enemies!$1:$1,0)-MATCH($L$1,[2]enemies!$1:$1,0)+1),MATCH(P$1,[2]enemies!$1:$1,0)-MATCH($L$1,[2]enemies!$1:$1,0)+1,FALSE)</f>
        <v>unknown</v>
      </c>
      <c r="Q261" s="21">
        <f ca="1">VLOOKUP($L261,OFFSET([2]enemies!$A$1,0,0,COUNTA([2]enemies!$A:$A),MATCH(Q$1,[2]enemies!$1:$1,0)-MATCH($L$1,[2]enemies!$1:$1,0)+1),MATCH(Q$1,[2]enemies!$1:$1,0)-MATCH($L$1,[2]enemies!$1:$1,0)+1,FALSE)</f>
        <v>15</v>
      </c>
      <c r="R261" s="53">
        <v>48</v>
      </c>
      <c r="S261" s="27">
        <v>1</v>
      </c>
      <c r="T261" s="27">
        <v>1</v>
      </c>
      <c r="U261" s="5">
        <v>0</v>
      </c>
      <c r="V261" s="4" t="str">
        <f ca="1">VLOOKUP($W261,OFFSET([4]enemy_skill_sets!$B$1,0,0,COUNTA([4]enemy_skill_sets!$B:$B),MATCH(M$1,[4]enemy_skill_sets!$1:$1,0)-MATCH($W$1,[4]enemy_skill_sets!$1:$1,0)+2),MATCH(M$1,[4]enemy_skill_sets!$1:$1,0)-MATCH($W$1,[4]enemy_skill_sets!$1:$1,0)+2,FALSE)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61" s="64">
        <v>350</v>
      </c>
      <c r="X261" s="6">
        <v>1</v>
      </c>
      <c r="Y261" s="6">
        <v>100</v>
      </c>
      <c r="Z261" s="6">
        <v>0</v>
      </c>
      <c r="AA261" s="4">
        <f ca="1">VLOOKUP($L261,OFFSET([2]enemies!$A$1,0,0,COUNTA([2]enemies!$A:$A),MATCH(AA$1,[2]enemies!$1:$1,0)-MATCH($L$1,[2]enemies!$1:$1,0)+1),MATCH(AA$1,[2]enemies!$1:$1,0)-MATCH($L$1,[2]enemies!$1:$1,0)+1,FALSE)</f>
        <v>3</v>
      </c>
      <c r="AB261" s="52">
        <v>350</v>
      </c>
      <c r="AC261" s="4" t="str">
        <f ca="1">VLOOKUP($AB261,OFFSET([3]characters!$A$1,0,0,COUNTA([3]characters!$A:$A),MATCH(AC$1,[3]characters!$1:$1,0)-MATCH("character_id",[3]characters!$1:$1,0)+1),MATCH(AC$1,[3]characters!$1:$1,0)-MATCH("character_id",[3]characters!$1:$1,0)+1,FALSE)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61" s="4">
        <f ca="1">VLOOKUP($AB261,OFFSET([3]characters!$A$1,0,0,COUNTA([3]characters!$A:$A),MATCH(AD$1,[3]characters!$1:$1,0)-MATCH("character_id",[3]characters!$1:$1,0)+1),MATCH(AD$1,[3]characters!$1:$1,0)-MATCH("character_id",[3]characters!$1:$1,0)+1,FALSE)</f>
        <v>2</v>
      </c>
      <c r="AE261" s="4" t="str">
        <f ca="1">VLOOKUP($AB261,OFFSET([3]characters!$A$1,0,0,COUNTA([3]characters!$A:$A),MATCH(AE$1,[3]characters!$1:$1,0)-MATCH("character_id",[3]characters!$1:$1,0)+1),MATCH(AE$1,[3]characters!$1:$1,0)-MATCH("character_id",[3]characters!$1:$1,0)+1,FALSE)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61" s="7">
        <v>10</v>
      </c>
      <c r="AG261" s="26">
        <f t="shared" ca="1" si="305"/>
        <v>2</v>
      </c>
      <c r="AH261" s="8">
        <v>100</v>
      </c>
      <c r="AI261" s="7">
        <v>0</v>
      </c>
      <c r="AJ261" s="7">
        <v>0</v>
      </c>
      <c r="AK261" s="7">
        <v>0</v>
      </c>
      <c r="AL261" s="7">
        <v>0</v>
      </c>
      <c r="AM261" s="7">
        <v>1</v>
      </c>
    </row>
    <row r="262" spans="1:39" ht="14" x14ac:dyDescent="0.15">
      <c r="A262" s="18" t="str">
        <f t="shared" ca="1" si="294"/>
        <v>23_4-3/128&lt;lv46&gt;s2</v>
      </c>
      <c r="B262" s="50">
        <v>23</v>
      </c>
      <c r="C262" s="49">
        <v>4</v>
      </c>
      <c r="D262" s="2" t="str">
        <f t="shared" si="295"/>
        <v>23_4</v>
      </c>
      <c r="E262" s="2" t="str">
        <f t="shared" si="295"/>
        <v>4_23_4</v>
      </c>
      <c r="F262" s="4" t="str">
        <f ca="1">VLOOKUP($D262,OFFSET([1]stages!$A$1,0,0,COUNTA([1]stages!$A:$A),MATCH(F$1,[1]stages!$2:$2,0)-MATCH($D$1,[1]stages!$2:$2,0)+1),MATCH(F$1,[1]stages!$2:$2,0)-MATCH($D$1,[1]stages!$2:$2,0)+1,FALSE)</f>
        <v>23-4．森は咬み千切る</v>
      </c>
      <c r="G262" s="55">
        <v>3</v>
      </c>
      <c r="H262" s="17" t="str">
        <f t="shared" si="296"/>
        <v>23_4-3</v>
      </c>
      <c r="I262" s="17"/>
      <c r="J262" s="17"/>
      <c r="K262" s="65" t="s">
        <v>56</v>
      </c>
      <c r="L262" s="52">
        <v>128</v>
      </c>
      <c r="M262" s="21" t="str">
        <f ca="1">VLOOKUP($L262,OFFSET([2]enemies!$A$1,0,0,COUNTA([2]enemies!$A:$A),MATCH(M$1,[2]enemies!$1:$1,0)-MATCH($L$1,[2]enemies!$1:$1,0)+1),MATCH(M$1,[2]enemies!$1:$1,0)-MATCH($L$1,[2]enemies!$1:$1,0)+1,FALSE)</f>
        <v>野生児 アマラ</v>
      </c>
      <c r="N262" s="21" t="str">
        <f ca="1">VLOOKUP($L262,OFFSET([2]enemies!$A$1,0,0,COUNTA([2]enemies!$A:$A),MATCH(N$1,[2]enemies!$1:$1,0)-MATCH($L$1,[2]enemies!$1:$1,0)+1),MATCH(N$1,[2]enemies!$1:$1,0)-MATCH($L$1,[2]enemies!$1:$1,0)+1,FALSE)</f>
        <v>green</v>
      </c>
      <c r="O262" s="21" t="str">
        <f ca="1">VLOOKUP($L262,OFFSET([3]characters!$A$1,0,0,COUNTA([3]characters!$A:$A),MATCH(O$1,[3]characters!$1:$1,0)-MATCH($L$1,[3]characters!$1:$1,0)+1),MATCH(O$1,[3]characters!$1:$1,0)-MATCH($L$1,[3]characters!$1:$1,0)+1,FALSE)</f>
        <v>PremiumW</v>
      </c>
      <c r="P262" s="21" t="str">
        <f ca="1">VLOOKUP($L262,OFFSET([2]enemies!$A$1,0,0,COUNTA([2]enemies!$A:$A),MATCH(P$1,[2]enemies!$1:$1,0)-MATCH($L$1,[2]enemies!$1:$1,0)+1),MATCH(P$1,[2]enemies!$1:$1,0)-MATCH($L$1,[2]enemies!$1:$1,0)+1,FALSE)</f>
        <v>human</v>
      </c>
      <c r="Q262" s="21">
        <f ca="1">VLOOKUP($L262,OFFSET([2]enemies!$A$1,0,0,COUNTA([2]enemies!$A:$A),MATCH(Q$1,[2]enemies!$1:$1,0)-MATCH($L$1,[2]enemies!$1:$1,0)+1),MATCH(Q$1,[2]enemies!$1:$1,0)-MATCH($L$1,[2]enemies!$1:$1,0)+1,FALSE)</f>
        <v>20</v>
      </c>
      <c r="R262" s="53">
        <v>46</v>
      </c>
      <c r="S262" s="27">
        <v>1.5</v>
      </c>
      <c r="T262" s="27">
        <v>1.2</v>
      </c>
      <c r="U262" s="5">
        <v>0</v>
      </c>
      <c r="V262" s="4" t="str">
        <f ca="1">VLOOKUP($W262,OFFSET([4]enemy_skill_sets!$B$1,0,0,COUNTA([4]enemy_skill_sets!$B:$B),MATCH(M$1,[4]enemy_skill_sets!$1:$1,0)-MATCH($W$1,[4]enemy_skill_sets!$1:$1,0)+2),MATCH(M$1,[4]enemy_skill_sets!$1:$1,0)-MATCH($W$1,[4]enemy_skill_sets!$1:$1,0)+2,FALSE)</f>
        <v>5ターン攻撃力小UP</v>
      </c>
      <c r="W262" s="4">
        <f ca="1">VLOOKUP($L262,OFFSET([2]enemies!$A$1,0,0,COUNTA([2]enemies!$A:$A),MATCH(W$1,[2]enemies!$1:$1,0)-MATCH($L$1,[2]enemies!$1:$1,0)+1),MATCH(W$1,[2]enemies!$1:$1,0)-MATCH($L$1,[2]enemies!$1:$1,0)+1,FALSE)</f>
        <v>128</v>
      </c>
      <c r="X262" s="6">
        <v>1</v>
      </c>
      <c r="Y262" s="6">
        <v>100</v>
      </c>
      <c r="Z262" s="6">
        <v>1</v>
      </c>
      <c r="AA262" s="4">
        <f ca="1">VLOOKUP($L262,OFFSET([2]enemies!$A$1,0,0,COUNTA([2]enemies!$A:$A),MATCH(AA$1,[2]enemies!$1:$1,0)-MATCH($L$1,[2]enemies!$1:$1,0)+1),MATCH(AA$1,[2]enemies!$1:$1,0)-MATCH($L$1,[2]enemies!$1:$1,0)+1,FALSE)</f>
        <v>2</v>
      </c>
      <c r="AB262" s="52">
        <v>128</v>
      </c>
      <c r="AC262" s="4" t="str">
        <f ca="1">VLOOKUP($AB262,OFFSET([3]characters!$A$1,0,0,COUNTA([3]characters!$A:$A),MATCH(AC$1,[3]characters!$1:$1,0)-MATCH("character_id",[3]characters!$1:$1,0)+1),MATCH(AC$1,[3]characters!$1:$1,0)-MATCH("character_id",[3]characters!$1:$1,0)+1,FALSE)</f>
        <v>野生児 アマラ</v>
      </c>
      <c r="AD262" s="4">
        <f ca="1">VLOOKUP($AB262,OFFSET([3]characters!$A$1,0,0,COUNTA([3]characters!$A:$A),MATCH(AD$1,[3]characters!$1:$1,0)-MATCH("character_id",[3]characters!$1:$1,0)+1),MATCH(AD$1,[3]characters!$1:$1,0)-MATCH("character_id",[3]characters!$1:$1,0)+1,FALSE)</f>
        <v>3</v>
      </c>
      <c r="AE262" s="4" t="str">
        <f ca="1">VLOOKUP($AB262,OFFSET([3]characters!$A$1,0,0,COUNTA([3]characters!$A:$A),MATCH(AE$1,[3]characters!$1:$1,0)-MATCH("character_id",[3]characters!$1:$1,0)+1),MATCH(AE$1,[3]characters!$1:$1,0)-MATCH("character_id",[3]characters!$1:$1,0)+1,FALSE)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262" s="7">
        <v>1</v>
      </c>
      <c r="AG262" s="26">
        <f t="shared" ca="1" si="305"/>
        <v>3</v>
      </c>
      <c r="AH262" s="8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1</v>
      </c>
    </row>
    <row r="263" spans="1:39" ht="14" x14ac:dyDescent="0.15">
      <c r="A263" s="18" t="str">
        <f t="shared" ca="1" si="294"/>
        <v>23_4-4/33&lt;lv46&gt;s2</v>
      </c>
      <c r="B263" s="50">
        <v>23</v>
      </c>
      <c r="C263" s="49">
        <v>4</v>
      </c>
      <c r="D263" s="2" t="str">
        <f t="shared" si="295"/>
        <v>23_4</v>
      </c>
      <c r="E263" s="2" t="str">
        <f t="shared" si="295"/>
        <v>4_23_4</v>
      </c>
      <c r="F263" s="4" t="str">
        <f ca="1">VLOOKUP($D263,OFFSET([1]stages!$A$1,0,0,COUNTA([1]stages!$A:$A),MATCH(F$1,[1]stages!$2:$2,0)-MATCH($D$1,[1]stages!$2:$2,0)+1),MATCH(F$1,[1]stages!$2:$2,0)-MATCH($D$1,[1]stages!$2:$2,0)+1,FALSE)</f>
        <v>23-4．森は咬み千切る</v>
      </c>
      <c r="G263" s="56">
        <v>4</v>
      </c>
      <c r="H263" s="17" t="str">
        <f t="shared" si="296"/>
        <v>23_4-4</v>
      </c>
      <c r="I263" s="17"/>
      <c r="J263" s="17"/>
      <c r="K263" s="65" t="s">
        <v>56</v>
      </c>
      <c r="L263" s="52">
        <v>33</v>
      </c>
      <c r="M263" s="21" t="str">
        <f ca="1">VLOOKUP($L263,OFFSET([2]enemies!$A$1,0,0,COUNTA([2]enemies!$A:$A),MATCH(M$1,[2]enemies!$1:$1,0)-MATCH($L$1,[2]enemies!$1:$1,0)+1),MATCH(M$1,[2]enemies!$1:$1,0)-MATCH($L$1,[2]enemies!$1:$1,0)+1,FALSE)</f>
        <v>ゴクウ</v>
      </c>
      <c r="N263" s="21" t="str">
        <f ca="1">VLOOKUP($L263,OFFSET([2]enemies!$A$1,0,0,COUNTA([2]enemies!$A:$A),MATCH(N$1,[2]enemies!$1:$1,0)-MATCH($L$1,[2]enemies!$1:$1,0)+1),MATCH(N$1,[2]enemies!$1:$1,0)-MATCH($L$1,[2]enemies!$1:$1,0)+1,FALSE)</f>
        <v>red</v>
      </c>
      <c r="O263" s="21" t="str">
        <f ca="1">VLOOKUP($L263,OFFSET([3]characters!$A$1,0,0,COUNTA([3]characters!$A:$A),MATCH(O$1,[3]characters!$1:$1,0)-MATCH($L$1,[3]characters!$1:$1,0)+1),MATCH(O$1,[3]characters!$1:$1,0)-MATCH($L$1,[3]characters!$1:$1,0)+1,FALSE)</f>
        <v>Drop1S</v>
      </c>
      <c r="P263" s="21" t="str">
        <f ca="1">VLOOKUP($L263,OFFSET([2]enemies!$A$1,0,0,COUNTA([2]enemies!$A:$A),MATCH(P$1,[2]enemies!$1:$1,0)-MATCH($L$1,[2]enemies!$1:$1,0)+1),MATCH(P$1,[2]enemies!$1:$1,0)-MATCH($L$1,[2]enemies!$1:$1,0)+1,FALSE)</f>
        <v>animal</v>
      </c>
      <c r="Q263" s="21">
        <f ca="1">VLOOKUP($L263,OFFSET([2]enemies!$A$1,0,0,COUNTA([2]enemies!$A:$A),MATCH(Q$1,[2]enemies!$1:$1,0)-MATCH($L$1,[2]enemies!$1:$1,0)+1),MATCH(Q$1,[2]enemies!$1:$1,0)-MATCH($L$1,[2]enemies!$1:$1,0)+1,FALSE)</f>
        <v>15</v>
      </c>
      <c r="R263" s="53">
        <v>46</v>
      </c>
      <c r="S263" s="27">
        <v>1</v>
      </c>
      <c r="T263" s="27">
        <v>1</v>
      </c>
      <c r="U263" s="5">
        <v>0</v>
      </c>
      <c r="V263" s="4" t="str">
        <f ca="1">VLOOKUP($W263,OFFSET([4]enemy_skill_sets!$B$1,0,0,COUNTA([4]enemy_skill_sets!$B:$B),MATCH(M$1,[4]enemy_skill_sets!$1:$1,0)-MATCH($W$1,[4]enemy_skill_sets!$1:$1,0)+2),MATCH(M$1,[4]enemy_skill_sets!$1:$1,0)-MATCH($W$1,[4]enemy_skill_sets!$1:$1,0)+2,FALSE)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63" s="4">
        <f ca="1">VLOOKUP($L263,OFFSET([2]enemies!$A$1,0,0,COUNTA([2]enemies!$A:$A),MATCH(W$1,[2]enemies!$1:$1,0)-MATCH($L$1,[2]enemies!$1:$1,0)+1),MATCH(W$1,[2]enemies!$1:$1,0)-MATCH($L$1,[2]enemies!$1:$1,0)+1,FALSE)</f>
        <v>33</v>
      </c>
      <c r="X263" s="6">
        <v>0</v>
      </c>
      <c r="Y263" s="6">
        <v>100</v>
      </c>
      <c r="Z263" s="6">
        <v>0</v>
      </c>
      <c r="AA263" s="4">
        <f ca="1">VLOOKUP($L263,OFFSET([2]enemies!$A$1,0,0,COUNTA([2]enemies!$A:$A),MATCH(AA$1,[2]enemies!$1:$1,0)-MATCH($L$1,[2]enemies!$1:$1,0)+1),MATCH(AA$1,[2]enemies!$1:$1,0)-MATCH($L$1,[2]enemies!$1:$1,0)+1,FALSE)</f>
        <v>2</v>
      </c>
      <c r="AB263" s="52">
        <v>33</v>
      </c>
      <c r="AC263" s="4" t="str">
        <f ca="1">VLOOKUP($AB263,OFFSET([3]characters!$A$1,0,0,COUNTA([3]characters!$A:$A),MATCH(AC$1,[3]characters!$1:$1,0)-MATCH("character_id",[3]characters!$1:$1,0)+1),MATCH(AC$1,[3]characters!$1:$1,0)-MATCH("character_id",[3]characters!$1:$1,0)+1,FALSE)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63" s="4">
        <f ca="1">VLOOKUP($AB263,OFFSET([3]characters!$A$1,0,0,COUNTA([3]characters!$A:$A),MATCH(AD$1,[3]characters!$1:$1,0)-MATCH("character_id",[3]characters!$1:$1,0)+1),MATCH(AD$1,[3]characters!$1:$1,0)-MATCH("character_id",[3]characters!$1:$1,0)+1,FALSE)</f>
        <v>2</v>
      </c>
      <c r="AE263" s="4" t="str">
        <f ca="1">VLOOKUP($AB263,OFFSET([3]characters!$A$1,0,0,COUNTA([3]characters!$A:$A),MATCH(AE$1,[3]characters!$1:$1,0)-MATCH("character_id",[3]characters!$1:$1,0)+1),MATCH(AE$1,[3]characters!$1:$1,0)-MATCH("character_id",[3]characters!$1:$1,0)+1,FALSE)</f>
        <v>Drop1S</v>
      </c>
      <c r="AF263" s="7">
        <v>5</v>
      </c>
      <c r="AG263" s="26">
        <f t="shared" ca="1" si="305"/>
        <v>2</v>
      </c>
      <c r="AH263" s="8">
        <v>20</v>
      </c>
      <c r="AI263" s="7">
        <v>0</v>
      </c>
      <c r="AJ263" s="7">
        <v>0</v>
      </c>
      <c r="AK263" s="7">
        <v>0</v>
      </c>
      <c r="AL263" s="7">
        <v>0</v>
      </c>
      <c r="AM263" s="7">
        <v>1</v>
      </c>
    </row>
    <row r="264" spans="1:39" ht="14" x14ac:dyDescent="0.15">
      <c r="A264" s="18" t="str">
        <f t="shared" ca="1" si="294"/>
        <v>23_4-4/57&lt;lv46&gt;s2</v>
      </c>
      <c r="B264" s="50">
        <v>23</v>
      </c>
      <c r="C264" s="49">
        <v>4</v>
      </c>
      <c r="D264" s="2" t="str">
        <f t="shared" si="295"/>
        <v>23_4</v>
      </c>
      <c r="E264" s="2" t="str">
        <f t="shared" si="295"/>
        <v>4_23_4</v>
      </c>
      <c r="F264" s="4" t="str">
        <f ca="1">VLOOKUP($D264,OFFSET([1]stages!$A$1,0,0,COUNTA([1]stages!$A:$A),MATCH(F$1,[1]stages!$2:$2,0)-MATCH($D$1,[1]stages!$2:$2,0)+1),MATCH(F$1,[1]stages!$2:$2,0)-MATCH($D$1,[1]stages!$2:$2,0)+1,FALSE)</f>
        <v>23-4．森は咬み千切る</v>
      </c>
      <c r="G264" s="56">
        <v>4</v>
      </c>
      <c r="H264" s="17" t="str">
        <f t="shared" si="296"/>
        <v>23_4-4</v>
      </c>
      <c r="I264" s="17"/>
      <c r="J264" s="17"/>
      <c r="K264" s="65" t="s">
        <v>56</v>
      </c>
      <c r="L264" s="52">
        <v>57</v>
      </c>
      <c r="M264" s="21" t="str">
        <f ca="1">VLOOKUP($L264,OFFSET([2]enemies!$A$1,0,0,COUNTA([2]enemies!$A:$A),MATCH(M$1,[2]enemies!$1:$1,0)-MATCH($L$1,[2]enemies!$1:$1,0)+1),MATCH(M$1,[2]enemies!$1:$1,0)-MATCH($L$1,[2]enemies!$1:$1,0)+1,FALSE)</f>
        <v>チェン・リー</v>
      </c>
      <c r="N264" s="21" t="str">
        <f ca="1">VLOOKUP($L264,OFFSET([2]enemies!$A$1,0,0,COUNTA([2]enemies!$A:$A),MATCH(N$1,[2]enemies!$1:$1,0)-MATCH($L$1,[2]enemies!$1:$1,0)+1),MATCH(N$1,[2]enemies!$1:$1,0)-MATCH($L$1,[2]enemies!$1:$1,0)+1,FALSE)</f>
        <v>red</v>
      </c>
      <c r="O264" s="21" t="str">
        <f ca="1">VLOOKUP($L264,OFFSET([3]characters!$A$1,0,0,COUNTA([3]characters!$A:$A),MATCH(O$1,[3]characters!$1:$1,0)-MATCH($L$1,[3]characters!$1:$1,0)+1),MATCH(O$1,[3]characters!$1:$1,0)-MATCH($L$1,[3]characters!$1:$1,0)+1,FALSE)</f>
        <v>Drop1N</v>
      </c>
      <c r="P264" s="21" t="str">
        <f ca="1">VLOOKUP($L264,OFFSET([2]enemies!$A$1,0,0,COUNTA([2]enemies!$A:$A),MATCH(P$1,[2]enemies!$1:$1,0)-MATCH($L$1,[2]enemies!$1:$1,0)+1),MATCH(P$1,[2]enemies!$1:$1,0)-MATCH($L$1,[2]enemies!$1:$1,0)+1,FALSE)</f>
        <v>animal</v>
      </c>
      <c r="Q264" s="21">
        <f ca="1">VLOOKUP($L264,OFFSET([2]enemies!$A$1,0,0,COUNTA([2]enemies!$A:$A),MATCH(Q$1,[2]enemies!$1:$1,0)-MATCH($L$1,[2]enemies!$1:$1,0)+1),MATCH(Q$1,[2]enemies!$1:$1,0)-MATCH($L$1,[2]enemies!$1:$1,0)+1,FALSE)</f>
        <v>15</v>
      </c>
      <c r="R264" s="53">
        <v>46</v>
      </c>
      <c r="S264" s="27">
        <v>1</v>
      </c>
      <c r="T264" s="27">
        <v>1</v>
      </c>
      <c r="U264" s="5">
        <v>0</v>
      </c>
      <c r="V264" s="4" t="str">
        <f ca="1">VLOOKUP($W264,OFFSET([4]enemy_skill_sets!$B$1,0,0,COUNTA([4]enemy_skill_sets!$B:$B),MATCH(M$1,[4]enemy_skill_sets!$1:$1,0)-MATCH($W$1,[4]enemy_skill_sets!$1:$1,0)+2),MATCH(M$1,[4]enemy_skill_sets!$1:$1,0)-MATCH($W$1,[4]enemy_skill_sets!$1:$1,0)+2,FALSE)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64" s="4">
        <f ca="1">VLOOKUP($L264,OFFSET([2]enemies!$A$1,0,0,COUNTA([2]enemies!$A:$A),MATCH(W$1,[2]enemies!$1:$1,0)-MATCH($L$1,[2]enemies!$1:$1,0)+1),MATCH(W$1,[2]enemies!$1:$1,0)-MATCH($L$1,[2]enemies!$1:$1,0)+1,FALSE)</f>
        <v>57</v>
      </c>
      <c r="X264" s="6">
        <v>0</v>
      </c>
      <c r="Y264" s="6">
        <v>100</v>
      </c>
      <c r="Z264" s="6">
        <v>0</v>
      </c>
      <c r="AA264" s="4">
        <f ca="1">VLOOKUP($L264,OFFSET([2]enemies!$A$1,0,0,COUNTA([2]enemies!$A:$A),MATCH(AA$1,[2]enemies!$1:$1,0)-MATCH($L$1,[2]enemies!$1:$1,0)+1),MATCH(AA$1,[2]enemies!$1:$1,0)-MATCH($L$1,[2]enemies!$1:$1,0)+1,FALSE)</f>
        <v>2</v>
      </c>
      <c r="AB264" s="52">
        <v>57</v>
      </c>
      <c r="AC264" s="4" t="str">
        <f ca="1">VLOOKUP($AB264,OFFSET([3]characters!$A$1,0,0,COUNTA([3]characters!$A:$A),MATCH(AC$1,[3]characters!$1:$1,0)-MATCH("character_id",[3]characters!$1:$1,0)+1),MATCH(AC$1,[3]characters!$1:$1,0)-MATCH("character_id",[3]characters!$1:$1,0)+1,FALSE)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64" s="4">
        <f ca="1">VLOOKUP($AB264,OFFSET([3]characters!$A$1,0,0,COUNTA([3]characters!$A:$A),MATCH(AD$1,[3]characters!$1:$1,0)-MATCH("character_id",[3]characters!$1:$1,0)+1),MATCH(AD$1,[3]characters!$1:$1,0)-MATCH("character_id",[3]characters!$1:$1,0)+1,FALSE)</f>
        <v>2</v>
      </c>
      <c r="AE264" s="4" t="str">
        <f ca="1">VLOOKUP($AB264,OFFSET([3]characters!$A$1,0,0,COUNTA([3]characters!$A:$A),MATCH(AE$1,[3]characters!$1:$1,0)-MATCH("character_id",[3]characters!$1:$1,0)+1),MATCH(AE$1,[3]characters!$1:$1,0)-MATCH("character_id",[3]characters!$1:$1,0)+1,FALSE)</f>
        <v>Drop1N</v>
      </c>
      <c r="AF264" s="7">
        <v>7</v>
      </c>
      <c r="AG264" s="26">
        <f t="shared" ca="1" si="305"/>
        <v>2</v>
      </c>
      <c r="AH264" s="8">
        <v>20</v>
      </c>
      <c r="AI264" s="7">
        <v>0</v>
      </c>
      <c r="AJ264" s="7">
        <v>0</v>
      </c>
      <c r="AK264" s="7">
        <v>0</v>
      </c>
      <c r="AL264" s="7">
        <v>0</v>
      </c>
      <c r="AM264" s="7">
        <v>1</v>
      </c>
    </row>
    <row r="265" spans="1:39" ht="14" x14ac:dyDescent="0.15">
      <c r="A265" s="18" t="str">
        <f t="shared" ca="1" si="294"/>
        <v>23_4-4/59&lt;lv48&gt;s2</v>
      </c>
      <c r="B265" s="50">
        <v>23</v>
      </c>
      <c r="C265" s="49">
        <v>4</v>
      </c>
      <c r="D265" s="2" t="str">
        <f t="shared" si="295"/>
        <v>23_4</v>
      </c>
      <c r="E265" s="2" t="str">
        <f t="shared" si="295"/>
        <v>4_23_4</v>
      </c>
      <c r="F265" s="4" t="str">
        <f ca="1">VLOOKUP($D265,OFFSET([1]stages!$A$1,0,0,COUNTA([1]stages!$A:$A),MATCH(F$1,[1]stages!$2:$2,0)-MATCH($D$1,[1]stages!$2:$2,0)+1),MATCH(F$1,[1]stages!$2:$2,0)-MATCH($D$1,[1]stages!$2:$2,0)+1,FALSE)</f>
        <v>23-4．森は咬み千切る</v>
      </c>
      <c r="G265" s="56">
        <v>4</v>
      </c>
      <c r="H265" s="17" t="str">
        <f t="shared" si="296"/>
        <v>23_4-4</v>
      </c>
      <c r="I265" s="17"/>
      <c r="J265" s="17"/>
      <c r="K265" s="65" t="s">
        <v>56</v>
      </c>
      <c r="L265" s="52">
        <v>59</v>
      </c>
      <c r="M265" s="21" t="str">
        <f ca="1">VLOOKUP($L265,OFFSET([2]enemies!$A$1,0,0,COUNTA([2]enemies!$A:$A),MATCH(M$1,[2]enemies!$1:$1,0)-MATCH($L$1,[2]enemies!$1:$1,0)+1),MATCH(M$1,[2]enemies!$1:$1,0)-MATCH($L$1,[2]enemies!$1:$1,0)+1,FALSE)</f>
        <v>マーチ</v>
      </c>
      <c r="N265" s="21" t="str">
        <f ca="1">VLOOKUP($L265,OFFSET([2]enemies!$A$1,0,0,COUNTA([2]enemies!$A:$A),MATCH(N$1,[2]enemies!$1:$1,0)-MATCH($L$1,[2]enemies!$1:$1,0)+1),MATCH(N$1,[2]enemies!$1:$1,0)-MATCH($L$1,[2]enemies!$1:$1,0)+1,FALSE)</f>
        <v>green</v>
      </c>
      <c r="O265" s="21" t="str">
        <f ca="1">VLOOKUP($L265,OFFSET([3]characters!$A$1,0,0,COUNTA([3]characters!$A:$A),MATCH(O$1,[3]characters!$1:$1,0)-MATCH($L$1,[3]characters!$1:$1,0)+1),MATCH(O$1,[3]characters!$1:$1,0)-MATCH($L$1,[3]characters!$1:$1,0)+1,FALSE)</f>
        <v>Drop1N</v>
      </c>
      <c r="P265" s="21" t="str">
        <f ca="1">VLOOKUP($L265,OFFSET([2]enemies!$A$1,0,0,COUNTA([2]enemies!$A:$A),MATCH(P$1,[2]enemies!$1:$1,0)-MATCH($L$1,[2]enemies!$1:$1,0)+1),MATCH(P$1,[2]enemies!$1:$1,0)-MATCH($L$1,[2]enemies!$1:$1,0)+1,FALSE)</f>
        <v>animal</v>
      </c>
      <c r="Q265" s="21">
        <f ca="1">VLOOKUP($L265,OFFSET([2]enemies!$A$1,0,0,COUNTA([2]enemies!$A:$A),MATCH(Q$1,[2]enemies!$1:$1,0)-MATCH($L$1,[2]enemies!$1:$1,0)+1),MATCH(Q$1,[2]enemies!$1:$1,0)-MATCH($L$1,[2]enemies!$1:$1,0)+1,FALSE)</f>
        <v>15</v>
      </c>
      <c r="R265" s="53">
        <v>48</v>
      </c>
      <c r="S265" s="27">
        <v>1.1000000000000001</v>
      </c>
      <c r="T265" s="27">
        <v>1</v>
      </c>
      <c r="U265" s="5">
        <v>0</v>
      </c>
      <c r="V265" s="4" t="str">
        <f ca="1">VLOOKUP($W265,OFFSET([4]enemy_skill_sets!$B$1,0,0,COUNTA([4]enemy_skill_sets!$B:$B),MATCH(M$1,[4]enemy_skill_sets!$1:$1,0)-MATCH($W$1,[4]enemy_skill_sets!$1:$1,0)+2),MATCH(M$1,[4]enemy_skill_sets!$1:$1,0)-MATCH($W$1,[4]enemy_skill_sets!$1:$1,0)+2,FALSE)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65" s="4">
        <f ca="1">VLOOKUP($L265,OFFSET([2]enemies!$A$1,0,0,COUNTA([2]enemies!$A:$A),MATCH(W$1,[2]enemies!$1:$1,0)-MATCH($L$1,[2]enemies!$1:$1,0)+1),MATCH(W$1,[2]enemies!$1:$1,0)-MATCH($L$1,[2]enemies!$1:$1,0)+1,FALSE)</f>
        <v>59</v>
      </c>
      <c r="X265" s="6">
        <v>0</v>
      </c>
      <c r="Y265" s="6">
        <v>100</v>
      </c>
      <c r="Z265" s="6">
        <v>0</v>
      </c>
      <c r="AA265" s="4">
        <f ca="1">VLOOKUP($L265,OFFSET([2]enemies!$A$1,0,0,COUNTA([2]enemies!$A:$A),MATCH(AA$1,[2]enemies!$1:$1,0)-MATCH($L$1,[2]enemies!$1:$1,0)+1),MATCH(AA$1,[2]enemies!$1:$1,0)-MATCH($L$1,[2]enemies!$1:$1,0)+1,FALSE)</f>
        <v>2</v>
      </c>
      <c r="AB265" s="52">
        <v>59</v>
      </c>
      <c r="AC265" s="4" t="str">
        <f ca="1">VLOOKUP($AB265,OFFSET([3]characters!$A$1,0,0,COUNTA([3]characters!$A:$A),MATCH(AC$1,[3]characters!$1:$1,0)-MATCH("character_id",[3]characters!$1:$1,0)+1),MATCH(AC$1,[3]characters!$1:$1,0)-MATCH("character_id",[3]characters!$1:$1,0)+1,FALSE)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265" s="4">
        <f ca="1">VLOOKUP($AB265,OFFSET([3]characters!$A$1,0,0,COUNTA([3]characters!$A:$A),MATCH(AD$1,[3]characters!$1:$1,0)-MATCH("character_id",[3]characters!$1:$1,0)+1),MATCH(AD$1,[3]characters!$1:$1,0)-MATCH("character_id",[3]characters!$1:$1,0)+1,FALSE)</f>
        <v>2</v>
      </c>
      <c r="AE265" s="4" t="str">
        <f ca="1">VLOOKUP($AB265,OFFSET([3]characters!$A$1,0,0,COUNTA([3]characters!$A:$A),MATCH(AE$1,[3]characters!$1:$1,0)-MATCH("character_id",[3]characters!$1:$1,0)+1),MATCH(AE$1,[3]characters!$1:$1,0)-MATCH("character_id",[3]characters!$1:$1,0)+1,FALSE)</f>
        <v>Drop1N</v>
      </c>
      <c r="AF265" s="7">
        <v>7</v>
      </c>
      <c r="AG265" s="26">
        <f t="shared" ca="1" si="305"/>
        <v>2</v>
      </c>
      <c r="AH265" s="8">
        <v>20</v>
      </c>
      <c r="AI265" s="7">
        <v>0</v>
      </c>
      <c r="AJ265" s="7">
        <v>0</v>
      </c>
      <c r="AK265" s="7">
        <v>0</v>
      </c>
      <c r="AL265" s="7">
        <v>0</v>
      </c>
      <c r="AM265" s="7">
        <v>1</v>
      </c>
    </row>
    <row r="266" spans="1:39" ht="14" x14ac:dyDescent="0.15">
      <c r="A266" s="18" t="str">
        <f t="shared" ca="1" si="294"/>
        <v>23_4-4/41&lt;lv46&gt;s1</v>
      </c>
      <c r="B266" s="50">
        <v>23</v>
      </c>
      <c r="C266" s="49">
        <v>4</v>
      </c>
      <c r="D266" s="2" t="str">
        <f t="shared" si="295"/>
        <v>23_4</v>
      </c>
      <c r="E266" s="2" t="str">
        <f t="shared" si="295"/>
        <v>4_23_4</v>
      </c>
      <c r="F266" s="4" t="str">
        <f ca="1">VLOOKUP($D266,OFFSET([1]stages!$A$1,0,0,COUNTA([1]stages!$A:$A),MATCH(F$1,[1]stages!$2:$2,0)-MATCH($D$1,[1]stages!$2:$2,0)+1),MATCH(F$1,[1]stages!$2:$2,0)-MATCH($D$1,[1]stages!$2:$2,0)+1,FALSE)</f>
        <v>23-4．森は咬み千切る</v>
      </c>
      <c r="G266" s="56">
        <v>4</v>
      </c>
      <c r="H266" s="17" t="str">
        <f t="shared" si="296"/>
        <v>23_4-4</v>
      </c>
      <c r="I266" s="17"/>
      <c r="J266" s="17"/>
      <c r="K266" s="65" t="s">
        <v>56</v>
      </c>
      <c r="L266" s="52">
        <v>41</v>
      </c>
      <c r="M266" s="21" t="str">
        <f ca="1">VLOOKUP($L266,OFFSET([2]enemies!$A$1,0,0,COUNTA([2]enemies!$A:$A),MATCH(M$1,[2]enemies!$1:$1,0)-MATCH($L$1,[2]enemies!$1:$1,0)+1),MATCH(M$1,[2]enemies!$1:$1,0)-MATCH($L$1,[2]enemies!$1:$1,0)+1,FALSE)</f>
        <v>ヒュウガ</v>
      </c>
      <c r="N266" s="21" t="str">
        <f ca="1">VLOOKUP($L266,OFFSET([2]enemies!$A$1,0,0,COUNTA([2]enemies!$A:$A),MATCH(N$1,[2]enemies!$1:$1,0)-MATCH($L$1,[2]enemies!$1:$1,0)+1),MATCH(N$1,[2]enemies!$1:$1,0)-MATCH($L$1,[2]enemies!$1:$1,0)+1,FALSE)</f>
        <v>red</v>
      </c>
      <c r="O266" s="21" t="str">
        <f ca="1">VLOOKUP($L266,OFFSET([3]characters!$A$1,0,0,COUNTA([3]characters!$A:$A),MATCH(O$1,[3]characters!$1:$1,0)-MATCH($L$1,[3]characters!$1:$1,0)+1),MATCH(O$1,[3]characters!$1:$1,0)-MATCH($L$1,[3]characters!$1:$1,0)+1,FALSE)</f>
        <v>Drop1N</v>
      </c>
      <c r="P266" s="21" t="str">
        <f ca="1">VLOOKUP($L266,OFFSET([2]enemies!$A$1,0,0,COUNTA([2]enemies!$A:$A),MATCH(P$1,[2]enemies!$1:$1,0)-MATCH($L$1,[2]enemies!$1:$1,0)+1),MATCH(P$1,[2]enemies!$1:$1,0)-MATCH($L$1,[2]enemies!$1:$1,0)+1,FALSE)</f>
        <v>dragon</v>
      </c>
      <c r="Q266" s="21">
        <f ca="1">VLOOKUP($L266,OFFSET([2]enemies!$A$1,0,0,COUNTA([2]enemies!$A:$A),MATCH(Q$1,[2]enemies!$1:$1,0)-MATCH($L$1,[2]enemies!$1:$1,0)+1),MATCH(Q$1,[2]enemies!$1:$1,0)-MATCH($L$1,[2]enemies!$1:$1,0)+1,FALSE)</f>
        <v>15</v>
      </c>
      <c r="R266" s="53">
        <v>46</v>
      </c>
      <c r="S266" s="27">
        <v>1</v>
      </c>
      <c r="T266" s="27">
        <v>1</v>
      </c>
      <c r="U266" s="5">
        <v>0</v>
      </c>
      <c r="V266" s="4" t="str">
        <f ca="1">VLOOKUP($W266,OFFSET([4]enemy_skill_sets!$B$1,0,0,COUNTA([4]enemy_skill_sets!$B:$B),MATCH(M$1,[4]enemy_skill_sets!$1:$1,0)-MATCH($W$1,[4]enemy_skill_sets!$1:$1,0)+2),MATCH(M$1,[4]enemy_skill_sets!$1:$1,0)-MATCH($W$1,[4]enemy_skill_sets!$1:$1,0)+2,FALSE)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66" s="4">
        <f ca="1">VLOOKUP($L266,OFFSET([2]enemies!$A$1,0,0,COUNTA([2]enemies!$A:$A),MATCH(W$1,[2]enemies!$1:$1,0)-MATCH($L$1,[2]enemies!$1:$1,0)+1),MATCH(W$1,[2]enemies!$1:$1,0)-MATCH($L$1,[2]enemies!$1:$1,0)+1,FALSE)</f>
        <v>0</v>
      </c>
      <c r="X266" s="6">
        <v>0</v>
      </c>
      <c r="Y266" s="6">
        <v>100</v>
      </c>
      <c r="Z266" s="6">
        <v>0</v>
      </c>
      <c r="AA266" s="4">
        <f ca="1">VLOOKUP($L266,OFFSET([2]enemies!$A$1,0,0,COUNTA([2]enemies!$A:$A),MATCH(AA$1,[2]enemies!$1:$1,0)-MATCH($L$1,[2]enemies!$1:$1,0)+1),MATCH(AA$1,[2]enemies!$1:$1,0)-MATCH($L$1,[2]enemies!$1:$1,0)+1,FALSE)</f>
        <v>1</v>
      </c>
      <c r="AB266" s="52">
        <v>41</v>
      </c>
      <c r="AC266" s="4" t="str">
        <f ca="1">VLOOKUP($AB266,OFFSET([3]characters!$A$1,0,0,COUNTA([3]characters!$A:$A),MATCH(AC$1,[3]characters!$1:$1,0)-MATCH("character_id",[3]characters!$1:$1,0)+1),MATCH(AC$1,[3]characters!$1:$1,0)-MATCH("character_id",[3]characters!$1:$1,0)+1,FALSE)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66" s="4">
        <f ca="1">VLOOKUP($AB266,OFFSET([3]characters!$A$1,0,0,COUNTA([3]characters!$A:$A),MATCH(AD$1,[3]characters!$1:$1,0)-MATCH("character_id",[3]characters!$1:$1,0)+1),MATCH(AD$1,[3]characters!$1:$1,0)-MATCH("character_id",[3]characters!$1:$1,0)+1,FALSE)</f>
        <v>2</v>
      </c>
      <c r="AE266" s="4" t="str">
        <f ca="1">VLOOKUP($AB266,OFFSET([3]characters!$A$1,0,0,COUNTA([3]characters!$A:$A),MATCH(AE$1,[3]characters!$1:$1,0)-MATCH("character_id",[3]characters!$1:$1,0)+1),MATCH(AE$1,[3]characters!$1:$1,0)-MATCH("character_id",[3]characters!$1:$1,0)+1,FALSE)</f>
        <v>Drop1N</v>
      </c>
      <c r="AF266" s="7">
        <v>7</v>
      </c>
      <c r="AG266" s="26">
        <f t="shared" ca="1" si="305"/>
        <v>2</v>
      </c>
      <c r="AH266" s="8">
        <v>20</v>
      </c>
      <c r="AI266" s="7">
        <v>0</v>
      </c>
      <c r="AJ266" s="7">
        <v>0</v>
      </c>
      <c r="AK266" s="7">
        <v>0</v>
      </c>
      <c r="AL266" s="7">
        <v>0</v>
      </c>
      <c r="AM266" s="7">
        <v>1</v>
      </c>
    </row>
    <row r="267" spans="1:39" ht="14" x14ac:dyDescent="0.15">
      <c r="A267" s="18" t="str">
        <f t="shared" ca="1" si="294"/>
        <v>23_4-4/43&lt;lv48&gt;s2</v>
      </c>
      <c r="B267" s="50">
        <v>23</v>
      </c>
      <c r="C267" s="49">
        <v>4</v>
      </c>
      <c r="D267" s="2" t="str">
        <f t="shared" si="295"/>
        <v>23_4</v>
      </c>
      <c r="E267" s="2" t="str">
        <f t="shared" si="295"/>
        <v>4_23_4</v>
      </c>
      <c r="F267" s="4" t="str">
        <f ca="1">VLOOKUP($D267,OFFSET([1]stages!$A$1,0,0,COUNTA([1]stages!$A:$A),MATCH(F$1,[1]stages!$2:$2,0)-MATCH($D$1,[1]stages!$2:$2,0)+1),MATCH(F$1,[1]stages!$2:$2,0)-MATCH($D$1,[1]stages!$2:$2,0)+1,FALSE)</f>
        <v>23-4．森は咬み千切る</v>
      </c>
      <c r="G267" s="56">
        <v>4</v>
      </c>
      <c r="H267" s="17" t="str">
        <f t="shared" si="296"/>
        <v>23_4-4</v>
      </c>
      <c r="I267" s="17"/>
      <c r="J267" s="17"/>
      <c r="K267" s="65" t="s">
        <v>56</v>
      </c>
      <c r="L267" s="52">
        <v>43</v>
      </c>
      <c r="M267" s="21" t="str">
        <f ca="1">VLOOKUP($L267,OFFSET([2]enemies!$A$1,0,0,COUNTA([2]enemies!$A:$A),MATCH(M$1,[2]enemies!$1:$1,0)-MATCH($L$1,[2]enemies!$1:$1,0)+1),MATCH(M$1,[2]enemies!$1:$1,0)-MATCH($L$1,[2]enemies!$1:$1,0)+1,FALSE)</f>
        <v>ムゥ</v>
      </c>
      <c r="N267" s="21" t="str">
        <f ca="1">VLOOKUP($L267,OFFSET([2]enemies!$A$1,0,0,COUNTA([2]enemies!$A:$A),MATCH(N$1,[2]enemies!$1:$1,0)-MATCH($L$1,[2]enemies!$1:$1,0)+1),MATCH(N$1,[2]enemies!$1:$1,0)-MATCH($L$1,[2]enemies!$1:$1,0)+1,FALSE)</f>
        <v>green</v>
      </c>
      <c r="O267" s="21" t="str">
        <f ca="1">VLOOKUP($L267,OFFSET([3]characters!$A$1,0,0,COUNTA([3]characters!$A:$A),MATCH(O$1,[3]characters!$1:$1,0)-MATCH($L$1,[3]characters!$1:$1,0)+1),MATCH(O$1,[3]characters!$1:$1,0)-MATCH($L$1,[3]characters!$1:$1,0)+1,FALSE)</f>
        <v>Drop1N</v>
      </c>
      <c r="P267" s="21" t="str">
        <f ca="1">VLOOKUP($L267,OFFSET([2]enemies!$A$1,0,0,COUNTA([2]enemies!$A:$A),MATCH(P$1,[2]enemies!$1:$1,0)-MATCH($L$1,[2]enemies!$1:$1,0)+1),MATCH(P$1,[2]enemies!$1:$1,0)-MATCH($L$1,[2]enemies!$1:$1,0)+1,FALSE)</f>
        <v>dragon</v>
      </c>
      <c r="Q267" s="21">
        <f ca="1">VLOOKUP($L267,OFFSET([2]enemies!$A$1,0,0,COUNTA([2]enemies!$A:$A),MATCH(Q$1,[2]enemies!$1:$1,0)-MATCH($L$1,[2]enemies!$1:$1,0)+1),MATCH(Q$1,[2]enemies!$1:$1,0)-MATCH($L$1,[2]enemies!$1:$1,0)+1,FALSE)</f>
        <v>15</v>
      </c>
      <c r="R267" s="53">
        <v>48</v>
      </c>
      <c r="S267" s="27">
        <v>1.1000000000000001</v>
      </c>
      <c r="T267" s="27">
        <v>1</v>
      </c>
      <c r="U267" s="5">
        <v>0</v>
      </c>
      <c r="V267" s="4" t="str">
        <f ca="1">VLOOKUP($W267,OFFSET([4]enemy_skill_sets!$B$1,0,0,COUNTA([4]enemy_skill_sets!$B:$B),MATCH(M$1,[4]enemy_skill_sets!$1:$1,0)-MATCH($W$1,[4]enemy_skill_sets!$1:$1,0)+2),MATCH(M$1,[4]enemy_skill_sets!$1:$1,0)-MATCH($W$1,[4]enemy_skill_sets!$1:$1,0)+2,FALSE)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67" s="4">
        <f ca="1">VLOOKUP($L267,OFFSET([2]enemies!$A$1,0,0,COUNTA([2]enemies!$A:$A),MATCH(W$1,[2]enemies!$1:$1,0)-MATCH($L$1,[2]enemies!$1:$1,0)+1),MATCH(W$1,[2]enemies!$1:$1,0)-MATCH($L$1,[2]enemies!$1:$1,0)+1,FALSE)</f>
        <v>0</v>
      </c>
      <c r="X267" s="6">
        <v>0</v>
      </c>
      <c r="Y267" s="6">
        <v>100</v>
      </c>
      <c r="Z267" s="6">
        <v>0</v>
      </c>
      <c r="AA267" s="4">
        <f ca="1">VLOOKUP($L267,OFFSET([2]enemies!$A$1,0,0,COUNTA([2]enemies!$A:$A),MATCH(AA$1,[2]enemies!$1:$1,0)-MATCH($L$1,[2]enemies!$1:$1,0)+1),MATCH(AA$1,[2]enemies!$1:$1,0)-MATCH($L$1,[2]enemies!$1:$1,0)+1,FALSE)</f>
        <v>2</v>
      </c>
      <c r="AB267" s="52">
        <v>43</v>
      </c>
      <c r="AC267" s="4" t="str">
        <f ca="1">VLOOKUP($AB267,OFFSET([3]characters!$A$1,0,0,COUNTA([3]characters!$A:$A),MATCH(AC$1,[3]characters!$1:$1,0)-MATCH("character_id",[3]characters!$1:$1,0)+1),MATCH(AC$1,[3]characters!$1:$1,0)-MATCH("character_id",[3]characters!$1:$1,0)+1,FALSE)</f>
        <v>ムゥ</v>
      </c>
      <c r="AD267" s="4">
        <f ca="1">VLOOKUP($AB267,OFFSET([3]characters!$A$1,0,0,COUNTA([3]characters!$A:$A),MATCH(AD$1,[3]characters!$1:$1,0)-MATCH("character_id",[3]characters!$1:$1,0)+1),MATCH(AD$1,[3]characters!$1:$1,0)-MATCH("character_id",[3]characters!$1:$1,0)+1,FALSE)</f>
        <v>2</v>
      </c>
      <c r="AE267" s="4" t="str">
        <f ca="1">VLOOKUP($AB267,OFFSET([3]characters!$A$1,0,0,COUNTA([3]characters!$A:$A),MATCH(AE$1,[3]characters!$1:$1,0)-MATCH("character_id",[3]characters!$1:$1,0)+1),MATCH(AE$1,[3]characters!$1:$1,0)-MATCH("character_id",[3]characters!$1:$1,0)+1,FALSE)</f>
        <v>Drop1N</v>
      </c>
      <c r="AF267" s="7">
        <v>7</v>
      </c>
      <c r="AG267" s="26">
        <f t="shared" ca="1" si="305"/>
        <v>2</v>
      </c>
      <c r="AH267" s="8">
        <v>20</v>
      </c>
      <c r="AI267" s="7">
        <v>0</v>
      </c>
      <c r="AJ267" s="7">
        <v>0</v>
      </c>
      <c r="AK267" s="7">
        <v>0</v>
      </c>
      <c r="AL267" s="7">
        <v>0</v>
      </c>
      <c r="AM267" s="7">
        <v>1</v>
      </c>
    </row>
    <row r="268" spans="1:39" ht="14" x14ac:dyDescent="0.15">
      <c r="A268" s="18" t="str">
        <f t="shared" ref="A268:A269" ca="1" si="314">B268&amp;"_"&amp;C268&amp;"-"&amp;G268&amp;"/"&amp;L268&amp;"&lt;lv"&amp;R268&amp;"&gt;s"&amp;AA268</f>
        <v>23_4-4/360&lt;lv46&gt;s3</v>
      </c>
      <c r="B268" s="53">
        <v>23</v>
      </c>
      <c r="C268" s="51">
        <v>4</v>
      </c>
      <c r="D268" s="2" t="str">
        <f t="shared" ref="D268:D269" si="315">B268&amp;"_"&amp;C268</f>
        <v>23_4</v>
      </c>
      <c r="E268" s="2" t="str">
        <f t="shared" ref="E268:E269" si="316">C268&amp;"_"&amp;D268</f>
        <v>4_23_4</v>
      </c>
      <c r="F268" s="4" t="str">
        <f ca="1">VLOOKUP($D268,OFFSET([1]stages!$A$1,0,0,COUNTA([1]stages!$A:$A),MATCH(F$1,[1]stages!$2:$2,0)-MATCH($D$1,[1]stages!$2:$2,0)+1),MATCH(F$1,[1]stages!$2:$2,0)-MATCH($D$1,[1]stages!$2:$2,0)+1,FALSE)</f>
        <v>23-4．森は咬み千切る</v>
      </c>
      <c r="G268" s="56">
        <v>4</v>
      </c>
      <c r="H268" s="17" t="str">
        <f t="shared" ref="H268:H269" si="317">B268&amp;"_"&amp;C268&amp;"-"&amp;G268</f>
        <v>23_4-4</v>
      </c>
      <c r="I268" s="17"/>
      <c r="J268" s="17"/>
      <c r="K268" s="65" t="s">
        <v>56</v>
      </c>
      <c r="L268" s="52">
        <v>360</v>
      </c>
      <c r="M268" s="21" t="str">
        <f ca="1">VLOOKUP($L268,OFFSET([2]enemies!$A$1,0,0,COUNTA([2]enemies!$A:$A),MATCH(M$1,[2]enemies!$1:$1,0)-MATCH($L$1,[2]enemies!$1:$1,0)+1),MATCH(M$1,[2]enemies!$1:$1,0)-MATCH($L$1,[2]enemies!$1:$1,0)+1,FALSE)</f>
        <v>ガンテツ</v>
      </c>
      <c r="N268" s="21" t="str">
        <f ca="1">VLOOKUP($L268,OFFSET([2]enemies!$A$1,0,0,COUNTA([2]enemies!$A:$A),MATCH(N$1,[2]enemies!$1:$1,0)-MATCH($L$1,[2]enemies!$1:$1,0)+1),MATCH(N$1,[2]enemies!$1:$1,0)-MATCH($L$1,[2]enemies!$1:$1,0)+1,FALSE)</f>
        <v>red</v>
      </c>
      <c r="O268" s="21" t="str">
        <f ca="1">VLOOKUP($L268,OFFSET([3]characters!$A$1,0,0,COUNTA([3]characters!$A:$A),MATCH(O$1,[3]characters!$1:$1,0)-MATCH($L$1,[3]characters!$1:$1,0)+1),MATCH(O$1,[3]characters!$1:$1,0)-MATCH($L$1,[3]characters!$1:$1,0)+1,FALSE)</f>
        <v>Drop1S</v>
      </c>
      <c r="P268" s="21" t="str">
        <f ca="1">VLOOKUP($L268,OFFSET([2]enemies!$A$1,0,0,COUNTA([2]enemies!$A:$A),MATCH(P$1,[2]enemies!$1:$1,0)-MATCH($L$1,[2]enemies!$1:$1,0)+1),MATCH(P$1,[2]enemies!$1:$1,0)-MATCH($L$1,[2]enemies!$1:$1,0)+1,FALSE)</f>
        <v>animal</v>
      </c>
      <c r="Q268" s="21">
        <f ca="1">VLOOKUP($L268,OFFSET([2]enemies!$A$1,0,0,COUNTA([2]enemies!$A:$A),MATCH(Q$1,[2]enemies!$1:$1,0)-MATCH($L$1,[2]enemies!$1:$1,0)+1),MATCH(Q$1,[2]enemies!$1:$1,0)-MATCH($L$1,[2]enemies!$1:$1,0)+1,FALSE)</f>
        <v>15</v>
      </c>
      <c r="R268" s="53">
        <v>46</v>
      </c>
      <c r="S268" s="27">
        <v>1</v>
      </c>
      <c r="T268" s="27">
        <v>1</v>
      </c>
      <c r="U268" s="5">
        <v>0</v>
      </c>
      <c r="V268" s="4" t="str">
        <f ca="1">VLOOKUP($W268,OFFSET([4]enemy_skill_sets!$B$1,0,0,COUNTA([4]enemy_skill_sets!$B:$B),MATCH(M$1,[4]enemy_skill_sets!$1:$1,0)-MATCH($W$1,[4]enemy_skill_sets!$1:$1,0)+2),MATCH(M$1,[4]enemy_skill_sets!$1:$1,0)-MATCH($W$1,[4]enemy_skill_sets!$1:$1,0)+2,FALSE)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68" s="76">
        <v>360</v>
      </c>
      <c r="X268" s="6">
        <v>0</v>
      </c>
      <c r="Y268" s="6">
        <v>100</v>
      </c>
      <c r="Z268" s="6">
        <v>0</v>
      </c>
      <c r="AA268" s="4">
        <f ca="1">VLOOKUP($L268,OFFSET([2]enemies!$A$1,0,0,COUNTA([2]enemies!$A:$A),MATCH(AA$1,[2]enemies!$1:$1,0)-MATCH($L$1,[2]enemies!$1:$1,0)+1),MATCH(AA$1,[2]enemies!$1:$1,0)-MATCH($L$1,[2]enemies!$1:$1,0)+1,FALSE)</f>
        <v>3</v>
      </c>
      <c r="AB268" s="52">
        <v>360</v>
      </c>
      <c r="AC268" s="4" t="str">
        <f ca="1">VLOOKUP($AB268,OFFSET([3]characters!$A$1,0,0,COUNTA([3]characters!$A:$A),MATCH(AC$1,[3]characters!$1:$1,0)-MATCH("character_id",[3]characters!$1:$1,0)+1),MATCH(AC$1,[3]characters!$1:$1,0)-MATCH("character_id",[3]characters!$1:$1,0)+1,FALSE)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68" s="4">
        <f ca="1">VLOOKUP($AB268,OFFSET([3]characters!$A$1,0,0,COUNTA([3]characters!$A:$A),MATCH(AD$1,[3]characters!$1:$1,0)-MATCH("character_id",[3]characters!$1:$1,0)+1),MATCH(AD$1,[3]characters!$1:$1,0)-MATCH("character_id",[3]characters!$1:$1,0)+1,FALSE)</f>
        <v>2</v>
      </c>
      <c r="AE268" s="4" t="str">
        <f ca="1">VLOOKUP($AB268,OFFSET([3]characters!$A$1,0,0,COUNTA([3]characters!$A:$A),MATCH(AE$1,[3]characters!$1:$1,0)-MATCH("character_id",[3]characters!$1:$1,0)+1),MATCH(AE$1,[3]characters!$1:$1,0)-MATCH("character_id",[3]characters!$1:$1,0)+1,FALSE)</f>
        <v>Drop1S</v>
      </c>
      <c r="AF268" s="7">
        <v>7</v>
      </c>
      <c r="AG268" s="26">
        <f t="shared" ca="1" si="305"/>
        <v>2</v>
      </c>
      <c r="AH268" s="8">
        <v>20</v>
      </c>
      <c r="AI268" s="7">
        <v>0</v>
      </c>
      <c r="AJ268" s="7">
        <v>0</v>
      </c>
      <c r="AK268" s="7">
        <v>0</v>
      </c>
      <c r="AL268" s="7">
        <v>0</v>
      </c>
      <c r="AM268" s="7">
        <v>1</v>
      </c>
    </row>
    <row r="269" spans="1:39" ht="14" x14ac:dyDescent="0.15">
      <c r="A269" s="18" t="str">
        <f t="shared" ca="1" si="314"/>
        <v>23_4-4/362&lt;lv48&gt;s3</v>
      </c>
      <c r="B269" s="53">
        <v>23</v>
      </c>
      <c r="C269" s="51">
        <v>4</v>
      </c>
      <c r="D269" s="2" t="str">
        <f t="shared" si="315"/>
        <v>23_4</v>
      </c>
      <c r="E269" s="2" t="str">
        <f t="shared" si="316"/>
        <v>4_23_4</v>
      </c>
      <c r="F269" s="4" t="str">
        <f ca="1">VLOOKUP($D269,OFFSET([1]stages!$A$1,0,0,COUNTA([1]stages!$A:$A),MATCH(F$1,[1]stages!$2:$2,0)-MATCH($D$1,[1]stages!$2:$2,0)+1),MATCH(F$1,[1]stages!$2:$2,0)-MATCH($D$1,[1]stages!$2:$2,0)+1,FALSE)</f>
        <v>23-4．森は咬み千切る</v>
      </c>
      <c r="G269" s="56">
        <v>4</v>
      </c>
      <c r="H269" s="17" t="str">
        <f t="shared" si="317"/>
        <v>23_4-4</v>
      </c>
      <c r="I269" s="17"/>
      <c r="J269" s="17"/>
      <c r="K269" s="65" t="s">
        <v>56</v>
      </c>
      <c r="L269" s="52">
        <v>362</v>
      </c>
      <c r="M269" s="21" t="str">
        <f ca="1">VLOOKUP($L269,OFFSET([2]enemies!$A$1,0,0,COUNTA([2]enemies!$A:$A),MATCH(M$1,[2]enemies!$1:$1,0)-MATCH($L$1,[2]enemies!$1:$1,0)+1),MATCH(M$1,[2]enemies!$1:$1,0)-MATCH($L$1,[2]enemies!$1:$1,0)+1,FALSE)</f>
        <v>ゆらら</v>
      </c>
      <c r="N269" s="21" t="str">
        <f ca="1">VLOOKUP($L269,OFFSET([2]enemies!$A$1,0,0,COUNTA([2]enemies!$A:$A),MATCH(N$1,[2]enemies!$1:$1,0)-MATCH($L$1,[2]enemies!$1:$1,0)+1),MATCH(N$1,[2]enemies!$1:$1,0)-MATCH($L$1,[2]enemies!$1:$1,0)+1,FALSE)</f>
        <v>green</v>
      </c>
      <c r="O269" s="21" t="str">
        <f ca="1">VLOOKUP($L269,OFFSET([3]characters!$A$1,0,0,COUNTA([3]characters!$A:$A),MATCH(O$1,[3]characters!$1:$1,0)-MATCH($L$1,[3]characters!$1:$1,0)+1),MATCH(O$1,[3]characters!$1:$1,0)-MATCH($L$1,[3]characters!$1:$1,0)+1,FALSE)</f>
        <v>Drop1S</v>
      </c>
      <c r="P269" s="21" t="str">
        <f ca="1">VLOOKUP($L269,OFFSET([2]enemies!$A$1,0,0,COUNTA([2]enemies!$A:$A),MATCH(P$1,[2]enemies!$1:$1,0)-MATCH($L$1,[2]enemies!$1:$1,0)+1),MATCH(P$1,[2]enemies!$1:$1,0)-MATCH($L$1,[2]enemies!$1:$1,0)+1,FALSE)</f>
        <v>animal</v>
      </c>
      <c r="Q269" s="21">
        <f ca="1">VLOOKUP($L269,OFFSET([2]enemies!$A$1,0,0,COUNTA([2]enemies!$A:$A),MATCH(Q$1,[2]enemies!$1:$1,0)-MATCH($L$1,[2]enemies!$1:$1,0)+1),MATCH(Q$1,[2]enemies!$1:$1,0)-MATCH($L$1,[2]enemies!$1:$1,0)+1,FALSE)</f>
        <v>15</v>
      </c>
      <c r="R269" s="53">
        <v>48</v>
      </c>
      <c r="S269" s="27">
        <v>1.1000000000000001</v>
      </c>
      <c r="T269" s="27">
        <v>1</v>
      </c>
      <c r="U269" s="5">
        <v>0</v>
      </c>
      <c r="V269" s="4" t="str">
        <f ca="1">VLOOKUP($W269,OFFSET([4]enemy_skill_sets!$B$1,0,0,COUNTA([4]enemy_skill_sets!$B:$B),MATCH(M$1,[4]enemy_skill_sets!$1:$1,0)-MATCH($W$1,[4]enemy_skill_sets!$1:$1,0)+2),MATCH(M$1,[4]enemy_skill_sets!$1:$1,0)-MATCH($W$1,[4]enemy_skill_sets!$1:$1,0)+2,FALSE)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69" s="64">
        <v>362</v>
      </c>
      <c r="X269" s="6">
        <v>0</v>
      </c>
      <c r="Y269" s="6">
        <v>100</v>
      </c>
      <c r="Z269" s="6">
        <v>0</v>
      </c>
      <c r="AA269" s="4">
        <f ca="1">VLOOKUP($L269,OFFSET([2]enemies!$A$1,0,0,COUNTA([2]enemies!$A:$A),MATCH(AA$1,[2]enemies!$1:$1,0)-MATCH($L$1,[2]enemies!$1:$1,0)+1),MATCH(AA$1,[2]enemies!$1:$1,0)-MATCH($L$1,[2]enemies!$1:$1,0)+1,FALSE)</f>
        <v>3</v>
      </c>
      <c r="AB269" s="52">
        <v>362</v>
      </c>
      <c r="AC269" s="4" t="str">
        <f ca="1">VLOOKUP($AB269,OFFSET([3]characters!$A$1,0,0,COUNTA([3]characters!$A:$A),MATCH(AC$1,[3]characters!$1:$1,0)-MATCH("character_id",[3]characters!$1:$1,0)+1),MATCH(AC$1,[3]characters!$1:$1,0)-MATCH("character_id",[3]characters!$1:$1,0)+1,FALSE)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69" s="4">
        <f ca="1">VLOOKUP($AB269,OFFSET([3]characters!$A$1,0,0,COUNTA([3]characters!$A:$A),MATCH(AD$1,[3]characters!$1:$1,0)-MATCH("character_id",[3]characters!$1:$1,0)+1),MATCH(AD$1,[3]characters!$1:$1,0)-MATCH("character_id",[3]characters!$1:$1,0)+1,FALSE)</f>
        <v>2</v>
      </c>
      <c r="AE269" s="4" t="str">
        <f ca="1">VLOOKUP($AB269,OFFSET([3]characters!$A$1,0,0,COUNTA([3]characters!$A:$A),MATCH(AE$1,[3]characters!$1:$1,0)-MATCH("character_id",[3]characters!$1:$1,0)+1),MATCH(AE$1,[3]characters!$1:$1,0)-MATCH("character_id",[3]characters!$1:$1,0)+1,FALSE)</f>
        <v>Drop1S</v>
      </c>
      <c r="AF269" s="7">
        <v>7</v>
      </c>
      <c r="AG269" s="26">
        <f t="shared" ca="1" si="305"/>
        <v>2</v>
      </c>
      <c r="AH269" s="8">
        <v>20</v>
      </c>
      <c r="AI269" s="7">
        <v>0</v>
      </c>
      <c r="AJ269" s="7">
        <v>0</v>
      </c>
      <c r="AK269" s="7">
        <v>0</v>
      </c>
      <c r="AL269" s="7">
        <v>0</v>
      </c>
      <c r="AM269" s="7">
        <v>1</v>
      </c>
    </row>
    <row r="270" spans="1:39" ht="14" x14ac:dyDescent="0.15">
      <c r="A270" s="18" t="str">
        <f t="shared" ref="A270" ca="1" si="318">B270&amp;"_"&amp;C270&amp;"-"&amp;G270&amp;"/"&amp;L270&amp;"&lt;lv"&amp;R270&amp;"&gt;s"&amp;AA270</f>
        <v>23_4-4/350&lt;lv46&gt;s3</v>
      </c>
      <c r="B270" s="53">
        <v>23</v>
      </c>
      <c r="C270" s="51">
        <v>4</v>
      </c>
      <c r="D270" s="2" t="str">
        <f t="shared" ref="D270" si="319">B270&amp;"_"&amp;C270</f>
        <v>23_4</v>
      </c>
      <c r="E270" s="2" t="str">
        <f t="shared" ref="E270" si="320">C270&amp;"_"&amp;D270</f>
        <v>4_23_4</v>
      </c>
      <c r="F270" s="4" t="str">
        <f ca="1">VLOOKUP($D270,OFFSET([1]stages!$A$1,0,0,COUNTA([1]stages!$A:$A),MATCH(F$1,[1]stages!$2:$2,0)-MATCH($D$1,[1]stages!$2:$2,0)+1),MATCH(F$1,[1]stages!$2:$2,0)-MATCH($D$1,[1]stages!$2:$2,0)+1,FALSE)</f>
        <v>23-4．森は咬み千切る</v>
      </c>
      <c r="G270" s="56">
        <v>4</v>
      </c>
      <c r="H270" s="17" t="str">
        <f t="shared" ref="H270" si="321">B270&amp;"_"&amp;C270&amp;"-"&amp;G270</f>
        <v>23_4-4</v>
      </c>
      <c r="I270" s="17"/>
      <c r="J270" s="17"/>
      <c r="K270" s="65" t="s">
        <v>56</v>
      </c>
      <c r="L270" s="52">
        <v>350</v>
      </c>
      <c r="M270" s="21" t="str">
        <f ca="1">VLOOKUP($L270,OFFSET([2]enemies!$A$1,0,0,COUNTA([2]enemies!$A:$A),MATCH(M$1,[2]enemies!$1:$1,0)-MATCH($L$1,[2]enemies!$1:$1,0)+1),MATCH(M$1,[2]enemies!$1:$1,0)-MATCH($L$1,[2]enemies!$1:$1,0)+1,FALSE)</f>
        <v>森のケロケロ</v>
      </c>
      <c r="N270" s="21" t="str">
        <f ca="1">VLOOKUP($L270,OFFSET([2]enemies!$A$1,0,0,COUNTA([2]enemies!$A:$A),MATCH(N$1,[2]enemies!$1:$1,0)-MATCH($L$1,[2]enemies!$1:$1,0)+1),MATCH(N$1,[2]enemies!$1:$1,0)-MATCH($L$1,[2]enemies!$1:$1,0)+1,FALSE)</f>
        <v>green</v>
      </c>
      <c r="O270" s="21" t="str">
        <f ca="1">VLOOKUP($L270,OFFSET([3]characters!$A$1,0,0,COUNTA([3]characters!$A:$A),MATCH(O$1,[3]characters!$1:$1,0)-MATCH($L$1,[3]characters!$1:$1,0)+1),MATCH(O$1,[3]characters!$1:$1,0)-MATCH($L$1,[3]characters!$1:$1,0)+1,FALSE)</f>
        <v>Material</v>
      </c>
      <c r="P270" s="21" t="str">
        <f ca="1">VLOOKUP($L270,OFFSET([2]enemies!$A$1,0,0,COUNTA([2]enemies!$A:$A),MATCH(P$1,[2]enemies!$1:$1,0)-MATCH($L$1,[2]enemies!$1:$1,0)+1),MATCH(P$1,[2]enemies!$1:$1,0)-MATCH($L$1,[2]enemies!$1:$1,0)+1,FALSE)</f>
        <v>unknown</v>
      </c>
      <c r="Q270" s="21">
        <f ca="1">VLOOKUP($L270,OFFSET([2]enemies!$A$1,0,0,COUNTA([2]enemies!$A:$A),MATCH(Q$1,[2]enemies!$1:$1,0)-MATCH($L$1,[2]enemies!$1:$1,0)+1),MATCH(Q$1,[2]enemies!$1:$1,0)-MATCH($L$1,[2]enemies!$1:$1,0)+1,FALSE)</f>
        <v>15</v>
      </c>
      <c r="R270" s="53">
        <v>46</v>
      </c>
      <c r="S270" s="27">
        <v>1</v>
      </c>
      <c r="T270" s="27">
        <v>1</v>
      </c>
      <c r="U270" s="5">
        <v>0</v>
      </c>
      <c r="V270" s="4" t="str">
        <f ca="1">VLOOKUP($W270,OFFSET([4]enemy_skill_sets!$B$1,0,0,COUNTA([4]enemy_skill_sets!$B:$B),MATCH(M$1,[4]enemy_skill_sets!$1:$1,0)-MATCH($W$1,[4]enemy_skill_sets!$1:$1,0)+2),MATCH(M$1,[4]enemy_skill_sets!$1:$1,0)-MATCH($W$1,[4]enemy_skill_sets!$1:$1,0)+2,FALSE)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70" s="64">
        <v>350</v>
      </c>
      <c r="X270" s="6">
        <v>0</v>
      </c>
      <c r="Y270" s="6">
        <v>100</v>
      </c>
      <c r="Z270" s="6">
        <v>0</v>
      </c>
      <c r="AA270" s="4">
        <f ca="1">VLOOKUP($L270,OFFSET([2]enemies!$A$1,0,0,COUNTA([2]enemies!$A:$A),MATCH(AA$1,[2]enemies!$1:$1,0)-MATCH($L$1,[2]enemies!$1:$1,0)+1),MATCH(AA$1,[2]enemies!$1:$1,0)-MATCH($L$1,[2]enemies!$1:$1,0)+1,FALSE)</f>
        <v>3</v>
      </c>
      <c r="AB270" s="52">
        <v>350</v>
      </c>
      <c r="AC270" s="4" t="str">
        <f ca="1">VLOOKUP($AB270,OFFSET([3]characters!$A$1,0,0,COUNTA([3]characters!$A:$A),MATCH(AC$1,[3]characters!$1:$1,0)-MATCH("character_id",[3]characters!$1:$1,0)+1),MATCH(AC$1,[3]characters!$1:$1,0)-MATCH("character_id",[3]characters!$1:$1,0)+1,FALSE)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70" s="4">
        <f ca="1">VLOOKUP($AB270,OFFSET([3]characters!$A$1,0,0,COUNTA([3]characters!$A:$A),MATCH(AD$1,[3]characters!$1:$1,0)-MATCH("character_id",[3]characters!$1:$1,0)+1),MATCH(AD$1,[3]characters!$1:$1,0)-MATCH("character_id",[3]characters!$1:$1,0)+1,FALSE)</f>
        <v>2</v>
      </c>
      <c r="AE270" s="4" t="str">
        <f ca="1">VLOOKUP($AB270,OFFSET([3]characters!$A$1,0,0,COUNTA([3]characters!$A:$A),MATCH(AE$1,[3]characters!$1:$1,0)-MATCH("character_id",[3]characters!$1:$1,0)+1),MATCH(AE$1,[3]characters!$1:$1,0)-MATCH("character_id",[3]characters!$1:$1,0)+1,FALSE)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70" s="7">
        <v>10</v>
      </c>
      <c r="AG270" s="26">
        <f t="shared" ca="1" si="305"/>
        <v>2</v>
      </c>
      <c r="AH270" s="8">
        <v>20</v>
      </c>
      <c r="AI270" s="7">
        <v>0</v>
      </c>
      <c r="AJ270" s="7">
        <v>0</v>
      </c>
      <c r="AK270" s="7">
        <v>0</v>
      </c>
      <c r="AL270" s="7">
        <v>0</v>
      </c>
      <c r="AM270" s="7">
        <v>1</v>
      </c>
    </row>
    <row r="271" spans="1:39" ht="14" x14ac:dyDescent="0.15">
      <c r="A271" s="18" t="str">
        <f t="shared" ca="1" si="294"/>
        <v>23_4-5/182&lt;lv48&gt;s2</v>
      </c>
      <c r="B271" s="50">
        <v>23</v>
      </c>
      <c r="C271" s="49">
        <v>4</v>
      </c>
      <c r="D271" s="2" t="str">
        <f t="shared" si="295"/>
        <v>23_4</v>
      </c>
      <c r="E271" s="2" t="str">
        <f t="shared" si="295"/>
        <v>4_23_4</v>
      </c>
      <c r="F271" s="4" t="str">
        <f ca="1">VLOOKUP($D271,OFFSET([1]stages!$A$1,0,0,COUNTA([1]stages!$A:$A),MATCH(F$1,[1]stages!$2:$2,0)-MATCH($D$1,[1]stages!$2:$2,0)+1),MATCH(F$1,[1]stages!$2:$2,0)-MATCH($D$1,[1]stages!$2:$2,0)+1,FALSE)</f>
        <v>23-4．森は咬み千切る</v>
      </c>
      <c r="G271" s="57">
        <v>5</v>
      </c>
      <c r="H271" s="17" t="str">
        <f t="shared" si="296"/>
        <v>23_4-5</v>
      </c>
      <c r="I271" s="17"/>
      <c r="J271" s="17"/>
      <c r="K271" s="65" t="s">
        <v>56</v>
      </c>
      <c r="L271" s="52">
        <v>182</v>
      </c>
      <c r="M271" s="21" t="str">
        <f ca="1">VLOOKUP($L271,OFFSET([2]enemies!$A$1,0,0,COUNTA([2]enemies!$A:$A),MATCH(M$1,[2]enemies!$1:$1,0)-MATCH($L$1,[2]enemies!$1:$1,0)+1),MATCH(M$1,[2]enemies!$1:$1,0)-MATCH($L$1,[2]enemies!$1:$1,0)+1,FALSE)</f>
        <v>放蕩者 ベヒモス</v>
      </c>
      <c r="N271" s="21" t="str">
        <f ca="1">VLOOKUP($L271,OFFSET([2]enemies!$A$1,0,0,COUNTA([2]enemies!$A:$A),MATCH(N$1,[2]enemies!$1:$1,0)-MATCH($L$1,[2]enemies!$1:$1,0)+1),MATCH(N$1,[2]enemies!$1:$1,0)-MATCH($L$1,[2]enemies!$1:$1,0)+1,FALSE)</f>
        <v>green</v>
      </c>
      <c r="O271" s="21" t="str">
        <f ca="1">VLOOKUP($L271,OFFSET([3]characters!$A$1,0,0,COUNTA([3]characters!$A:$A),MATCH(O$1,[3]characters!$1:$1,0)-MATCH($L$1,[3]characters!$1:$1,0)+1),MATCH(O$1,[3]characters!$1:$1,0)-MATCH($L$1,[3]characters!$1:$1,0)+1,FALSE)</f>
        <v>PremiumN</v>
      </c>
      <c r="P271" s="21" t="str">
        <f ca="1">VLOOKUP($L271,OFFSET([2]enemies!$A$1,0,0,COUNTA([2]enemies!$A:$A),MATCH(P$1,[2]enemies!$1:$1,0)-MATCH($L$1,[2]enemies!$1:$1,0)+1),MATCH(P$1,[2]enemies!$1:$1,0)-MATCH($L$1,[2]enemies!$1:$1,0)+1,FALSE)</f>
        <v>animal</v>
      </c>
      <c r="Q271" s="21">
        <f ca="1">VLOOKUP($L271,OFFSET([2]enemies!$A$1,0,0,COUNTA([2]enemies!$A:$A),MATCH(Q$1,[2]enemies!$1:$1,0)-MATCH($L$1,[2]enemies!$1:$1,0)+1),MATCH(Q$1,[2]enemies!$1:$1,0)-MATCH($L$1,[2]enemies!$1:$1,0)+1,FALSE)</f>
        <v>30</v>
      </c>
      <c r="R271" s="53">
        <v>48</v>
      </c>
      <c r="S271" s="27">
        <v>0.9</v>
      </c>
      <c r="T271" s="27">
        <v>1.1000000000000001</v>
      </c>
      <c r="U271" s="5">
        <v>0</v>
      </c>
      <c r="V271" s="4" t="str">
        <f ca="1">VLOOKUP($W271,OFFSET([4]enemy_skill_sets!$B$1,0,0,COUNTA([4]enemy_skill_sets!$B:$B),MATCH(M$1,[4]enemy_skill_sets!$1:$1,0)-MATCH($W$1,[4]enemy_skill_sets!$1:$1,0)+2),MATCH(M$1,[4]enemy_skill_sets!$1:$1,0)-MATCH($W$1,[4]enemy_skill_sets!$1:$1,0)+2,FALSE)</f>
        <v>全体攻撃</v>
      </c>
      <c r="W271" s="64">
        <v>18201</v>
      </c>
      <c r="X271" s="6">
        <v>1</v>
      </c>
      <c r="Y271" s="6">
        <v>100</v>
      </c>
      <c r="Z271" s="6">
        <v>1</v>
      </c>
      <c r="AA271" s="4">
        <f ca="1">VLOOKUP($L271,OFFSET([2]enemies!$A$1,0,0,COUNTA([2]enemies!$A:$A),MATCH(AA$1,[2]enemies!$1:$1,0)-MATCH($L$1,[2]enemies!$1:$1,0)+1),MATCH(AA$1,[2]enemies!$1:$1,0)-MATCH($L$1,[2]enemies!$1:$1,0)+1,FALSE)</f>
        <v>2</v>
      </c>
      <c r="AB271" s="52">
        <v>181</v>
      </c>
      <c r="AC271" s="4" t="str">
        <f ca="1">VLOOKUP($AB271,OFFSET([3]characters!$A$1,0,0,COUNTA([3]characters!$A:$A),MATCH(AC$1,[3]characters!$1:$1,0)-MATCH("character_id",[3]characters!$1:$1,0)+1),MATCH(AC$1,[3]characters!$1:$1,0)-MATCH("character_id",[3]characters!$1:$1,0)+1,FALSE)</f>
        <v>ベヒモス</v>
      </c>
      <c r="AD271" s="4">
        <f ca="1">VLOOKUP($AB271,OFFSET([3]characters!$A$1,0,0,COUNTA([3]characters!$A:$A),MATCH(AD$1,[3]characters!$1:$1,0)-MATCH("character_id",[3]characters!$1:$1,0)+1),MATCH(AD$1,[3]characters!$1:$1,0)-MATCH("character_id",[3]characters!$1:$1,0)+1,FALSE)</f>
        <v>3</v>
      </c>
      <c r="AE271" s="4" t="str">
        <f ca="1">VLOOKUP($AB271,OFFSET([3]characters!$A$1,0,0,COUNTA([3]characters!$A:$A),MATCH(AE$1,[3]characters!$1:$1,0)-MATCH("character_id",[3]characters!$1:$1,0)+1),MATCH(AE$1,[3]characters!$1:$1,0)-MATCH("character_id",[3]characters!$1:$1,0)+1,FALSE)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271" s="7">
        <v>1</v>
      </c>
      <c r="AG271" s="26">
        <f t="shared" ca="1" si="305"/>
        <v>3</v>
      </c>
      <c r="AH271" s="8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1</v>
      </c>
    </row>
    <row r="272" spans="1:39" ht="14" x14ac:dyDescent="0.15">
      <c r="A272" s="18" t="str">
        <f t="shared" ref="A272" ca="1" si="322">B272&amp;"_"&amp;C272&amp;"-"&amp;G272&amp;"/"&amp;L272&amp;"&lt;lv"&amp;R272&amp;"&gt;s"&amp;AA272</f>
        <v>23_4-5/230&lt;lv48&gt;s5</v>
      </c>
      <c r="B272" s="53">
        <v>23</v>
      </c>
      <c r="C272" s="51">
        <v>4</v>
      </c>
      <c r="D272" s="2" t="str">
        <f t="shared" ref="D272" si="323">B272&amp;"_"&amp;C272</f>
        <v>23_4</v>
      </c>
      <c r="E272" s="2" t="str">
        <f t="shared" ref="E272" si="324">C272&amp;"_"&amp;D272</f>
        <v>4_23_4</v>
      </c>
      <c r="F272" s="4" t="str">
        <f ca="1">VLOOKUP($D272,OFFSET([1]stages!$A$1,0,0,COUNTA([1]stages!$A:$A),MATCH(F$1,[1]stages!$2:$2,0)-MATCH($D$1,[1]stages!$2:$2,0)+1),MATCH(F$1,[1]stages!$2:$2,0)-MATCH($D$1,[1]stages!$2:$2,0)+1,FALSE)</f>
        <v>23-4．森は咬み千切る</v>
      </c>
      <c r="G272" s="57">
        <v>5</v>
      </c>
      <c r="H272" s="17" t="str">
        <f t="shared" ref="H272" si="325">B272&amp;"_"&amp;C272&amp;"-"&amp;G272</f>
        <v>23_4-5</v>
      </c>
      <c r="I272" s="17"/>
      <c r="J272" s="17"/>
      <c r="K272" s="65" t="s">
        <v>56</v>
      </c>
      <c r="L272" s="52">
        <v>230</v>
      </c>
      <c r="M272" s="21" t="str">
        <f ca="1">VLOOKUP($L272,OFFSET([2]enemies!$A$1,0,0,COUNTA([2]enemies!$A:$A),MATCH(M$1,[2]enemies!$1:$1,0)-MATCH($L$1,[2]enemies!$1:$1,0)+1),MATCH(M$1,[2]enemies!$1:$1,0)-MATCH($L$1,[2]enemies!$1:$1,0)+1,FALSE)</f>
        <v>毒銃 ヨルムンガンド</v>
      </c>
      <c r="N272" s="21" t="str">
        <f ca="1">VLOOKUP($L272,OFFSET([2]enemies!$A$1,0,0,COUNTA([2]enemies!$A:$A),MATCH(N$1,[2]enemies!$1:$1,0)-MATCH($L$1,[2]enemies!$1:$1,0)+1),MATCH(N$1,[2]enemies!$1:$1,0)-MATCH($L$1,[2]enemies!$1:$1,0)+1,FALSE)</f>
        <v>green</v>
      </c>
      <c r="O272" s="21" t="str">
        <f ca="1">VLOOKUP($L272,OFFSET([3]characters!$A$1,0,0,COUNTA([3]characters!$A:$A),MATCH(O$1,[3]characters!$1:$1,0)-MATCH($L$1,[3]characters!$1:$1,0)+1),MATCH(O$1,[3]characters!$1:$1,0)-MATCH($L$1,[3]characters!$1:$1,0)+1,FALSE)</f>
        <v>PremiumS</v>
      </c>
      <c r="P272" s="21" t="str">
        <f ca="1">VLOOKUP($L272,OFFSET([2]enemies!$A$1,0,0,COUNTA([2]enemies!$A:$A),MATCH(P$1,[2]enemies!$1:$1,0)-MATCH($L$1,[2]enemies!$1:$1,0)+1),MATCH(P$1,[2]enemies!$1:$1,0)-MATCH($L$1,[2]enemies!$1:$1,0)+1,FALSE)</f>
        <v>dragon</v>
      </c>
      <c r="Q272" s="21">
        <f ca="1">VLOOKUP($L272,OFFSET([2]enemies!$A$1,0,0,COUNTA([2]enemies!$A:$A),MATCH(Q$1,[2]enemies!$1:$1,0)-MATCH($L$1,[2]enemies!$1:$1,0)+1),MATCH(Q$1,[2]enemies!$1:$1,0)-MATCH($L$1,[2]enemies!$1:$1,0)+1,FALSE)</f>
        <v>30</v>
      </c>
      <c r="R272" s="53">
        <v>48</v>
      </c>
      <c r="S272" s="27">
        <v>0.9</v>
      </c>
      <c r="T272" s="27">
        <v>0.9</v>
      </c>
      <c r="U272" s="5">
        <v>0</v>
      </c>
      <c r="V272" s="4" t="str">
        <f ca="1">VLOOKUP($W272,OFFSET([4]enemy_skill_sets!$B$1,0,0,COUNTA([4]enemy_skill_sets!$B:$B),MATCH(M$1,[4]enemy_skill_sets!$1:$1,0)-MATCH($W$1,[4]enemy_skill_sets!$1:$1,0)+2),MATCH(M$1,[4]enemy_skill_sets!$1:$1,0)-MATCH($W$1,[4]enemy_skill_sets!$1:$1,0)+2,FALSE)</f>
        <v>5回連続攻撃</v>
      </c>
      <c r="W272" s="4">
        <f ca="1">VLOOKUP($L272,OFFSET([2]enemies!$A$1,0,0,COUNTA([2]enemies!$A:$A),MATCH(W$1,[2]enemies!$1:$1,0)-MATCH($L$1,[2]enemies!$1:$1,0)+1),MATCH(W$1,[2]enemies!$1:$1,0)-MATCH($L$1,[2]enemies!$1:$1,0)+1,FALSE)</f>
        <v>230</v>
      </c>
      <c r="X272" s="6">
        <v>1</v>
      </c>
      <c r="Y272" s="6">
        <v>100</v>
      </c>
      <c r="Z272" s="6">
        <v>1</v>
      </c>
      <c r="AA272" s="4">
        <f ca="1">VLOOKUP($L272,OFFSET([2]enemies!$A$1,0,0,COUNTA([2]enemies!$A:$A),MATCH(AA$1,[2]enemies!$1:$1,0)-MATCH($L$1,[2]enemies!$1:$1,0)+1),MATCH(AA$1,[2]enemies!$1:$1,0)-MATCH($L$1,[2]enemies!$1:$1,0)+1,FALSE)</f>
        <v>5</v>
      </c>
      <c r="AB272" s="52">
        <v>229</v>
      </c>
      <c r="AC272" s="4" t="str">
        <f ca="1">VLOOKUP($AB272,OFFSET([3]characters!$A$1,0,0,COUNTA([3]characters!$A:$A),MATCH(AC$1,[3]characters!$1:$1,0)-MATCH("character_id",[3]characters!$1:$1,0)+1),MATCH(AC$1,[3]characters!$1:$1,0)-MATCH("character_id",[3]characters!$1:$1,0)+1,FALSE)</f>
        <v>ヨルムンガンド</v>
      </c>
      <c r="AD272" s="4">
        <f ca="1">VLOOKUP($AB272,OFFSET([3]characters!$A$1,0,0,COUNTA([3]characters!$A:$A),MATCH(AD$1,[3]characters!$1:$1,0)-MATCH("character_id",[3]characters!$1:$1,0)+1),MATCH(AD$1,[3]characters!$1:$1,0)-MATCH("character_id",[3]characters!$1:$1,0)+1,FALSE)</f>
        <v>3</v>
      </c>
      <c r="AE272" s="4" t="str">
        <f ca="1">VLOOKUP($AB272,OFFSET([3]characters!$A$1,0,0,COUNTA([3]characters!$A:$A),MATCH(AE$1,[3]characters!$1:$1,0)-MATCH("character_id",[3]characters!$1:$1,0)+1),MATCH(AE$1,[3]characters!$1:$1,0)-MATCH("character_id",[3]characters!$1:$1,0)+1,FALSE)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272" s="7">
        <v>1</v>
      </c>
      <c r="AG272" s="26">
        <f t="shared" ca="1" si="305"/>
        <v>3</v>
      </c>
      <c r="AH272" s="8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1</v>
      </c>
    </row>
    <row r="273" spans="1:39" ht="14" x14ac:dyDescent="0.15">
      <c r="A273" s="18" t="str">
        <f t="shared" ca="1" si="294"/>
        <v>23_5-1/9&lt;lv48&gt;s2</v>
      </c>
      <c r="B273" s="50">
        <v>23</v>
      </c>
      <c r="C273" s="49">
        <v>5</v>
      </c>
      <c r="D273" s="2" t="str">
        <f t="shared" si="295"/>
        <v>23_5</v>
      </c>
      <c r="E273" s="2" t="str">
        <f t="shared" si="295"/>
        <v>5_23_5</v>
      </c>
      <c r="F273" s="4" t="str">
        <f ca="1">VLOOKUP($D273,OFFSET([1]stages!$A$1,0,0,COUNTA([1]stages!$A:$A),MATCH(F$1,[1]stages!$2:$2,0)-MATCH($D$1,[1]stages!$2:$2,0)+1),MATCH(F$1,[1]stages!$2:$2,0)-MATCH($D$1,[1]stages!$2:$2,0)+1,FALSE)</f>
        <v>23-5．目醒めの子どもたち</v>
      </c>
      <c r="G273" s="54">
        <v>1</v>
      </c>
      <c r="H273" s="17" t="str">
        <f t="shared" si="296"/>
        <v>23_5-1</v>
      </c>
      <c r="I273" s="17"/>
      <c r="J273" s="17"/>
      <c r="K273" s="65" t="s">
        <v>56</v>
      </c>
      <c r="L273" s="52">
        <v>9</v>
      </c>
      <c r="M273" s="21" t="str">
        <f ca="1">VLOOKUP($L273,OFFSET([2]enemies!$A$1,0,0,COUNTA([2]enemies!$A:$A),MATCH(M$1,[2]enemies!$1:$1,0)-MATCH($L$1,[2]enemies!$1:$1,0)+1),MATCH(M$1,[2]enemies!$1:$1,0)-MATCH($L$1,[2]enemies!$1:$1,0)+1,FALSE)</f>
        <v>ブレット</v>
      </c>
      <c r="N273" s="21" t="str">
        <f ca="1">VLOOKUP($L273,OFFSET([2]enemies!$A$1,0,0,COUNTA([2]enemies!$A:$A),MATCH(N$1,[2]enemies!$1:$1,0)-MATCH($L$1,[2]enemies!$1:$1,0)+1),MATCH(N$1,[2]enemies!$1:$1,0)-MATCH($L$1,[2]enemies!$1:$1,0)+1,FALSE)</f>
        <v>red</v>
      </c>
      <c r="O273" s="21" t="str">
        <f ca="1">VLOOKUP($L273,OFFSET([3]characters!$A$1,0,0,COUNTA([3]characters!$A:$A),MATCH(O$1,[3]characters!$1:$1,0)-MATCH($L$1,[3]characters!$1:$1,0)+1),MATCH(O$1,[3]characters!$1:$1,0)-MATCH($L$1,[3]characters!$1:$1,0)+1,FALSE)</f>
        <v>Drop1W</v>
      </c>
      <c r="P273" s="21" t="str">
        <f ca="1">VLOOKUP($L273,OFFSET([2]enemies!$A$1,0,0,COUNTA([2]enemies!$A:$A),MATCH(P$1,[2]enemies!$1:$1,0)-MATCH($L$1,[2]enemies!$1:$1,0)+1),MATCH(P$1,[2]enemies!$1:$1,0)-MATCH($L$1,[2]enemies!$1:$1,0)+1,FALSE)</f>
        <v>animal</v>
      </c>
      <c r="Q273" s="21">
        <f ca="1">VLOOKUP($L273,OFFSET([2]enemies!$A$1,0,0,COUNTA([2]enemies!$A:$A),MATCH(Q$1,[2]enemies!$1:$1,0)-MATCH($L$1,[2]enemies!$1:$1,0)+1),MATCH(Q$1,[2]enemies!$1:$1,0)-MATCH($L$1,[2]enemies!$1:$1,0)+1,FALSE)</f>
        <v>15</v>
      </c>
      <c r="R273" s="53">
        <v>48</v>
      </c>
      <c r="S273" s="27">
        <v>1</v>
      </c>
      <c r="T273" s="27">
        <v>1</v>
      </c>
      <c r="U273" s="5">
        <v>0</v>
      </c>
      <c r="V273" s="4" t="str">
        <f ca="1">VLOOKUP($W273,OFFSET([4]enemy_skill_sets!$B$1,0,0,COUNTA([4]enemy_skill_sets!$B:$B),MATCH(M$1,[4]enemy_skill_sets!$1:$1,0)-MATCH($W$1,[4]enemy_skill_sets!$1:$1,0)+2),MATCH(M$1,[4]enemy_skill_sets!$1:$1,0)-MATCH($W$1,[4]enemy_skill_sets!$1:$1,0)+2,FALSE)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73" s="4">
        <f ca="1">VLOOKUP($L273,OFFSET([2]enemies!$A$1,0,0,COUNTA([2]enemies!$A:$A),MATCH(W$1,[2]enemies!$1:$1,0)-MATCH($L$1,[2]enemies!$1:$1,0)+1),MATCH(W$1,[2]enemies!$1:$1,0)-MATCH($L$1,[2]enemies!$1:$1,0)+1,FALSE)</f>
        <v>0</v>
      </c>
      <c r="X273" s="6">
        <v>0</v>
      </c>
      <c r="Y273" s="6">
        <v>100</v>
      </c>
      <c r="Z273" s="6">
        <v>0</v>
      </c>
      <c r="AA273" s="4">
        <f ca="1">VLOOKUP($L273,OFFSET([2]enemies!$A$1,0,0,COUNTA([2]enemies!$A:$A),MATCH(AA$1,[2]enemies!$1:$1,0)-MATCH($L$1,[2]enemies!$1:$1,0)+1),MATCH(AA$1,[2]enemies!$1:$1,0)-MATCH($L$1,[2]enemies!$1:$1,0)+1,FALSE)</f>
        <v>2</v>
      </c>
      <c r="AB273" s="52">
        <v>9</v>
      </c>
      <c r="AC273" s="4" t="str">
        <f ca="1">VLOOKUP($AB273,OFFSET([3]characters!$A$1,0,0,COUNTA([3]characters!$A:$A),MATCH(AC$1,[3]characters!$1:$1,0)-MATCH("character_id",[3]characters!$1:$1,0)+1),MATCH(AC$1,[3]characters!$1:$1,0)-MATCH("character_id",[3]characters!$1:$1,0)+1,FALSE)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273" s="4">
        <f ca="1">VLOOKUP($AB273,OFFSET([3]characters!$A$1,0,0,COUNTA([3]characters!$A:$A),MATCH(AD$1,[3]characters!$1:$1,0)-MATCH("character_id",[3]characters!$1:$1,0)+1),MATCH(AD$1,[3]characters!$1:$1,0)-MATCH("character_id",[3]characters!$1:$1,0)+1,FALSE)</f>
        <v>1</v>
      </c>
      <c r="AE273" s="4" t="str">
        <f ca="1">VLOOKUP($AB273,OFFSET([3]characters!$A$1,0,0,COUNTA([3]characters!$A:$A),MATCH(AE$1,[3]characters!$1:$1,0)-MATCH("character_id",[3]characters!$1:$1,0)+1),MATCH(AE$1,[3]characters!$1:$1,0)-MATCH("character_id",[3]characters!$1:$1,0)+1,FALSE)</f>
        <v>Drop1W</v>
      </c>
      <c r="AF273" s="7">
        <v>9</v>
      </c>
      <c r="AG273" s="26">
        <f t="shared" ca="1" si="305"/>
        <v>1</v>
      </c>
      <c r="AH273" s="8">
        <v>20</v>
      </c>
      <c r="AI273" s="7">
        <v>0</v>
      </c>
      <c r="AJ273" s="7">
        <v>0</v>
      </c>
      <c r="AK273" s="7">
        <v>0</v>
      </c>
      <c r="AL273" s="7">
        <v>0</v>
      </c>
      <c r="AM273" s="7">
        <v>1</v>
      </c>
    </row>
    <row r="274" spans="1:39" ht="14" x14ac:dyDescent="0.15">
      <c r="A274" s="18" t="str">
        <f t="shared" ca="1" si="294"/>
        <v>23_5-1/33&lt;lv48&gt;s2</v>
      </c>
      <c r="B274" s="50">
        <v>23</v>
      </c>
      <c r="C274" s="49">
        <v>5</v>
      </c>
      <c r="D274" s="2" t="str">
        <f t="shared" si="295"/>
        <v>23_5</v>
      </c>
      <c r="E274" s="2" t="str">
        <f t="shared" si="295"/>
        <v>5_23_5</v>
      </c>
      <c r="F274" s="4" t="str">
        <f ca="1">VLOOKUP($D274,OFFSET([1]stages!$A$1,0,0,COUNTA([1]stages!$A:$A),MATCH(F$1,[1]stages!$2:$2,0)-MATCH($D$1,[1]stages!$2:$2,0)+1),MATCH(F$1,[1]stages!$2:$2,0)-MATCH($D$1,[1]stages!$2:$2,0)+1,FALSE)</f>
        <v>23-5．目醒めの子どもたち</v>
      </c>
      <c r="G274" s="54">
        <v>1</v>
      </c>
      <c r="H274" s="17" t="str">
        <f t="shared" si="296"/>
        <v>23_5-1</v>
      </c>
      <c r="I274" s="17"/>
      <c r="J274" s="17"/>
      <c r="K274" s="65" t="s">
        <v>56</v>
      </c>
      <c r="L274" s="52">
        <v>33</v>
      </c>
      <c r="M274" s="21" t="str">
        <f ca="1">VLOOKUP($L274,OFFSET([2]enemies!$A$1,0,0,COUNTA([2]enemies!$A:$A),MATCH(M$1,[2]enemies!$1:$1,0)-MATCH($L$1,[2]enemies!$1:$1,0)+1),MATCH(M$1,[2]enemies!$1:$1,0)-MATCH($L$1,[2]enemies!$1:$1,0)+1,FALSE)</f>
        <v>ゴクウ</v>
      </c>
      <c r="N274" s="21" t="str">
        <f ca="1">VLOOKUP($L274,OFFSET([2]enemies!$A$1,0,0,COUNTA([2]enemies!$A:$A),MATCH(N$1,[2]enemies!$1:$1,0)-MATCH($L$1,[2]enemies!$1:$1,0)+1),MATCH(N$1,[2]enemies!$1:$1,0)-MATCH($L$1,[2]enemies!$1:$1,0)+1,FALSE)</f>
        <v>red</v>
      </c>
      <c r="O274" s="21" t="str">
        <f ca="1">VLOOKUP($L274,OFFSET([3]characters!$A$1,0,0,COUNTA([3]characters!$A:$A),MATCH(O$1,[3]characters!$1:$1,0)-MATCH($L$1,[3]characters!$1:$1,0)+1),MATCH(O$1,[3]characters!$1:$1,0)-MATCH($L$1,[3]characters!$1:$1,0)+1,FALSE)</f>
        <v>Drop1S</v>
      </c>
      <c r="P274" s="21" t="str">
        <f ca="1">VLOOKUP($L274,OFFSET([2]enemies!$A$1,0,0,COUNTA([2]enemies!$A:$A),MATCH(P$1,[2]enemies!$1:$1,0)-MATCH($L$1,[2]enemies!$1:$1,0)+1),MATCH(P$1,[2]enemies!$1:$1,0)-MATCH($L$1,[2]enemies!$1:$1,0)+1,FALSE)</f>
        <v>animal</v>
      </c>
      <c r="Q274" s="21">
        <f ca="1">VLOOKUP($L274,OFFSET([2]enemies!$A$1,0,0,COUNTA([2]enemies!$A:$A),MATCH(Q$1,[2]enemies!$1:$1,0)-MATCH($L$1,[2]enemies!$1:$1,0)+1),MATCH(Q$1,[2]enemies!$1:$1,0)-MATCH($L$1,[2]enemies!$1:$1,0)+1,FALSE)</f>
        <v>15</v>
      </c>
      <c r="R274" s="53">
        <v>48</v>
      </c>
      <c r="S274" s="27">
        <v>1</v>
      </c>
      <c r="T274" s="27">
        <v>1</v>
      </c>
      <c r="U274" s="5">
        <v>0</v>
      </c>
      <c r="V274" s="4" t="str">
        <f ca="1">VLOOKUP($W274,OFFSET([4]enemy_skill_sets!$B$1,0,0,COUNTA([4]enemy_skill_sets!$B:$B),MATCH(M$1,[4]enemy_skill_sets!$1:$1,0)-MATCH($W$1,[4]enemy_skill_sets!$1:$1,0)+2),MATCH(M$1,[4]enemy_skill_sets!$1:$1,0)-MATCH($W$1,[4]enemy_skill_sets!$1:$1,0)+2,FALSE)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74" s="4">
        <f ca="1">VLOOKUP($L274,OFFSET([2]enemies!$A$1,0,0,COUNTA([2]enemies!$A:$A),MATCH(W$1,[2]enemies!$1:$1,0)-MATCH($L$1,[2]enemies!$1:$1,0)+1),MATCH(W$1,[2]enemies!$1:$1,0)-MATCH($L$1,[2]enemies!$1:$1,0)+1,FALSE)</f>
        <v>33</v>
      </c>
      <c r="X274" s="6">
        <v>0</v>
      </c>
      <c r="Y274" s="6">
        <v>100</v>
      </c>
      <c r="Z274" s="6">
        <v>0</v>
      </c>
      <c r="AA274" s="4">
        <f ca="1">VLOOKUP($L274,OFFSET([2]enemies!$A$1,0,0,COUNTA([2]enemies!$A:$A),MATCH(AA$1,[2]enemies!$1:$1,0)-MATCH($L$1,[2]enemies!$1:$1,0)+1),MATCH(AA$1,[2]enemies!$1:$1,0)-MATCH($L$1,[2]enemies!$1:$1,0)+1,FALSE)</f>
        <v>2</v>
      </c>
      <c r="AB274" s="52">
        <v>33</v>
      </c>
      <c r="AC274" s="4" t="str">
        <f ca="1">VLOOKUP($AB274,OFFSET([3]characters!$A$1,0,0,COUNTA([3]characters!$A:$A),MATCH(AC$1,[3]characters!$1:$1,0)-MATCH("character_id",[3]characters!$1:$1,0)+1),MATCH(AC$1,[3]characters!$1:$1,0)-MATCH("character_id",[3]characters!$1:$1,0)+1,FALSE)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74" s="4">
        <f ca="1">VLOOKUP($AB274,OFFSET([3]characters!$A$1,0,0,COUNTA([3]characters!$A:$A),MATCH(AD$1,[3]characters!$1:$1,0)-MATCH("character_id",[3]characters!$1:$1,0)+1),MATCH(AD$1,[3]characters!$1:$1,0)-MATCH("character_id",[3]characters!$1:$1,0)+1,FALSE)</f>
        <v>2</v>
      </c>
      <c r="AE274" s="4" t="str">
        <f ca="1">VLOOKUP($AB274,OFFSET([3]characters!$A$1,0,0,COUNTA([3]characters!$A:$A),MATCH(AE$1,[3]characters!$1:$1,0)-MATCH("character_id",[3]characters!$1:$1,0)+1),MATCH(AE$1,[3]characters!$1:$1,0)-MATCH("character_id",[3]characters!$1:$1,0)+1,FALSE)</f>
        <v>Drop1S</v>
      </c>
      <c r="AF274" s="7">
        <v>5</v>
      </c>
      <c r="AG274" s="26">
        <f t="shared" ca="1" si="305"/>
        <v>2</v>
      </c>
      <c r="AH274" s="8">
        <v>20</v>
      </c>
      <c r="AI274" s="7">
        <v>0</v>
      </c>
      <c r="AJ274" s="7">
        <v>0</v>
      </c>
      <c r="AK274" s="7">
        <v>0</v>
      </c>
      <c r="AL274" s="7">
        <v>0</v>
      </c>
      <c r="AM274" s="7">
        <v>1</v>
      </c>
    </row>
    <row r="275" spans="1:39" ht="14" x14ac:dyDescent="0.15">
      <c r="A275" s="18" t="str">
        <f t="shared" ref="A275:A313" ca="1" si="326">B275&amp;"_"&amp;C275&amp;"-"&amp;G275&amp;"/"&amp;L275&amp;"&lt;lv"&amp;R275&amp;"&gt;s"&amp;AA275</f>
        <v>23_5-1/57&lt;lv48&gt;s2</v>
      </c>
      <c r="B275" s="50">
        <v>23</v>
      </c>
      <c r="C275" s="49">
        <v>5</v>
      </c>
      <c r="D275" s="2" t="str">
        <f t="shared" ref="D275:E313" si="327">B275&amp;"_"&amp;C275</f>
        <v>23_5</v>
      </c>
      <c r="E275" s="2" t="str">
        <f t="shared" si="327"/>
        <v>5_23_5</v>
      </c>
      <c r="F275" s="4" t="str">
        <f ca="1">VLOOKUP($D275,OFFSET([1]stages!$A$1,0,0,COUNTA([1]stages!$A:$A),MATCH(F$1,[1]stages!$2:$2,0)-MATCH($D$1,[1]stages!$2:$2,0)+1),MATCH(F$1,[1]stages!$2:$2,0)-MATCH($D$1,[1]stages!$2:$2,0)+1,FALSE)</f>
        <v>23-5．目醒めの子どもたち</v>
      </c>
      <c r="G275" s="54">
        <v>1</v>
      </c>
      <c r="H275" s="17" t="str">
        <f t="shared" ref="H275:H313" si="328">B275&amp;"_"&amp;C275&amp;"-"&amp;G275</f>
        <v>23_5-1</v>
      </c>
      <c r="I275" s="17"/>
      <c r="J275" s="17"/>
      <c r="K275" s="65" t="s">
        <v>56</v>
      </c>
      <c r="L275" s="52">
        <v>57</v>
      </c>
      <c r="M275" s="21" t="str">
        <f ca="1">VLOOKUP($L275,OFFSET([2]enemies!$A$1,0,0,COUNTA([2]enemies!$A:$A),MATCH(M$1,[2]enemies!$1:$1,0)-MATCH($L$1,[2]enemies!$1:$1,0)+1),MATCH(M$1,[2]enemies!$1:$1,0)-MATCH($L$1,[2]enemies!$1:$1,0)+1,FALSE)</f>
        <v>チェン・リー</v>
      </c>
      <c r="N275" s="21" t="str">
        <f ca="1">VLOOKUP($L275,OFFSET([2]enemies!$A$1,0,0,COUNTA([2]enemies!$A:$A),MATCH(N$1,[2]enemies!$1:$1,0)-MATCH($L$1,[2]enemies!$1:$1,0)+1),MATCH(N$1,[2]enemies!$1:$1,0)-MATCH($L$1,[2]enemies!$1:$1,0)+1,FALSE)</f>
        <v>red</v>
      </c>
      <c r="O275" s="21" t="str">
        <f ca="1">VLOOKUP($L275,OFFSET([3]characters!$A$1,0,0,COUNTA([3]characters!$A:$A),MATCH(O$1,[3]characters!$1:$1,0)-MATCH($L$1,[3]characters!$1:$1,0)+1),MATCH(O$1,[3]characters!$1:$1,0)-MATCH($L$1,[3]characters!$1:$1,0)+1,FALSE)</f>
        <v>Drop1N</v>
      </c>
      <c r="P275" s="21" t="str">
        <f ca="1">VLOOKUP($L275,OFFSET([2]enemies!$A$1,0,0,COUNTA([2]enemies!$A:$A),MATCH(P$1,[2]enemies!$1:$1,0)-MATCH($L$1,[2]enemies!$1:$1,0)+1),MATCH(P$1,[2]enemies!$1:$1,0)-MATCH($L$1,[2]enemies!$1:$1,0)+1,FALSE)</f>
        <v>animal</v>
      </c>
      <c r="Q275" s="21">
        <f ca="1">VLOOKUP($L275,OFFSET([2]enemies!$A$1,0,0,COUNTA([2]enemies!$A:$A),MATCH(Q$1,[2]enemies!$1:$1,0)-MATCH($L$1,[2]enemies!$1:$1,0)+1),MATCH(Q$1,[2]enemies!$1:$1,0)-MATCH($L$1,[2]enemies!$1:$1,0)+1,FALSE)</f>
        <v>15</v>
      </c>
      <c r="R275" s="53">
        <v>48</v>
      </c>
      <c r="S275" s="27">
        <v>1</v>
      </c>
      <c r="T275" s="27">
        <v>1</v>
      </c>
      <c r="U275" s="5">
        <v>0</v>
      </c>
      <c r="V275" s="4" t="str">
        <f ca="1">VLOOKUP($W275,OFFSET([4]enemy_skill_sets!$B$1,0,0,COUNTA([4]enemy_skill_sets!$B:$B),MATCH(M$1,[4]enemy_skill_sets!$1:$1,0)-MATCH($W$1,[4]enemy_skill_sets!$1:$1,0)+2),MATCH(M$1,[4]enemy_skill_sets!$1:$1,0)-MATCH($W$1,[4]enemy_skill_sets!$1:$1,0)+2,FALSE)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75" s="4">
        <f ca="1">VLOOKUP($L275,OFFSET([2]enemies!$A$1,0,0,COUNTA([2]enemies!$A:$A),MATCH(W$1,[2]enemies!$1:$1,0)-MATCH($L$1,[2]enemies!$1:$1,0)+1),MATCH(W$1,[2]enemies!$1:$1,0)-MATCH($L$1,[2]enemies!$1:$1,0)+1,FALSE)</f>
        <v>57</v>
      </c>
      <c r="X275" s="6">
        <v>0</v>
      </c>
      <c r="Y275" s="6">
        <v>100</v>
      </c>
      <c r="Z275" s="6">
        <v>0</v>
      </c>
      <c r="AA275" s="4">
        <f ca="1">VLOOKUP($L275,OFFSET([2]enemies!$A$1,0,0,COUNTA([2]enemies!$A:$A),MATCH(AA$1,[2]enemies!$1:$1,0)-MATCH($L$1,[2]enemies!$1:$1,0)+1),MATCH(AA$1,[2]enemies!$1:$1,0)-MATCH($L$1,[2]enemies!$1:$1,0)+1,FALSE)</f>
        <v>2</v>
      </c>
      <c r="AB275" s="52">
        <v>57</v>
      </c>
      <c r="AC275" s="4" t="str">
        <f ca="1">VLOOKUP($AB275,OFFSET([3]characters!$A$1,0,0,COUNTA([3]characters!$A:$A),MATCH(AC$1,[3]characters!$1:$1,0)-MATCH("character_id",[3]characters!$1:$1,0)+1),MATCH(AC$1,[3]characters!$1:$1,0)-MATCH("character_id",[3]characters!$1:$1,0)+1,FALSE)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75" s="4">
        <f ca="1">VLOOKUP($AB275,OFFSET([3]characters!$A$1,0,0,COUNTA([3]characters!$A:$A),MATCH(AD$1,[3]characters!$1:$1,0)-MATCH("character_id",[3]characters!$1:$1,0)+1),MATCH(AD$1,[3]characters!$1:$1,0)-MATCH("character_id",[3]characters!$1:$1,0)+1,FALSE)</f>
        <v>2</v>
      </c>
      <c r="AE275" s="4" t="str">
        <f ca="1">VLOOKUP($AB275,OFFSET([3]characters!$A$1,0,0,COUNTA([3]characters!$A:$A),MATCH(AE$1,[3]characters!$1:$1,0)-MATCH("character_id",[3]characters!$1:$1,0)+1),MATCH(AE$1,[3]characters!$1:$1,0)-MATCH("character_id",[3]characters!$1:$1,0)+1,FALSE)</f>
        <v>Drop1N</v>
      </c>
      <c r="AF275" s="7">
        <v>7</v>
      </c>
      <c r="AG275" s="26">
        <f t="shared" ca="1" si="305"/>
        <v>2</v>
      </c>
      <c r="AH275" s="8">
        <v>20</v>
      </c>
      <c r="AI275" s="7">
        <v>0</v>
      </c>
      <c r="AJ275" s="7">
        <v>0</v>
      </c>
      <c r="AK275" s="7">
        <v>0</v>
      </c>
      <c r="AL275" s="7">
        <v>0</v>
      </c>
      <c r="AM275" s="7">
        <v>1</v>
      </c>
    </row>
    <row r="276" spans="1:39" ht="14" x14ac:dyDescent="0.15">
      <c r="A276" s="18" t="str">
        <f t="shared" ca="1" si="326"/>
        <v>23_5-1/21&lt;lv48&gt;s2</v>
      </c>
      <c r="B276" s="50">
        <v>23</v>
      </c>
      <c r="C276" s="49">
        <v>5</v>
      </c>
      <c r="D276" s="2" t="str">
        <f t="shared" si="327"/>
        <v>23_5</v>
      </c>
      <c r="E276" s="2" t="str">
        <f t="shared" si="327"/>
        <v>5_23_5</v>
      </c>
      <c r="F276" s="4" t="str">
        <f ca="1">VLOOKUP($D276,OFFSET([1]stages!$A$1,0,0,COUNTA([1]stages!$A:$A),MATCH(F$1,[1]stages!$2:$2,0)-MATCH($D$1,[1]stages!$2:$2,0)+1),MATCH(F$1,[1]stages!$2:$2,0)-MATCH($D$1,[1]stages!$2:$2,0)+1,FALSE)</f>
        <v>23-5．目醒めの子どもたち</v>
      </c>
      <c r="G276" s="54">
        <v>1</v>
      </c>
      <c r="H276" s="17" t="str">
        <f t="shared" si="328"/>
        <v>23_5-1</v>
      </c>
      <c r="I276" s="17"/>
      <c r="J276" s="17"/>
      <c r="K276" s="65" t="s">
        <v>56</v>
      </c>
      <c r="L276" s="52">
        <v>21</v>
      </c>
      <c r="M276" s="21" t="str">
        <f ca="1">VLOOKUP($L276,OFFSET([2]enemies!$A$1,0,0,COUNTA([2]enemies!$A:$A),MATCH(M$1,[2]enemies!$1:$1,0)-MATCH($L$1,[2]enemies!$1:$1,0)+1),MATCH(M$1,[2]enemies!$1:$1,0)-MATCH($L$1,[2]enemies!$1:$1,0)+1,FALSE)</f>
        <v>ヴェロキー</v>
      </c>
      <c r="N276" s="21" t="str">
        <f ca="1">VLOOKUP($L276,OFFSET([2]enemies!$A$1,0,0,COUNTA([2]enemies!$A:$A),MATCH(N$1,[2]enemies!$1:$1,0)-MATCH($L$1,[2]enemies!$1:$1,0)+1),MATCH(N$1,[2]enemies!$1:$1,0)-MATCH($L$1,[2]enemies!$1:$1,0)+1,FALSE)</f>
        <v>red</v>
      </c>
      <c r="O276" s="21" t="str">
        <f ca="1">VLOOKUP($L276,OFFSET([3]characters!$A$1,0,0,COUNTA([3]characters!$A:$A),MATCH(O$1,[3]characters!$1:$1,0)-MATCH($L$1,[3]characters!$1:$1,0)+1),MATCH(O$1,[3]characters!$1:$1,0)-MATCH($L$1,[3]characters!$1:$1,0)+1,FALSE)</f>
        <v>Drop1N</v>
      </c>
      <c r="P276" s="21" t="str">
        <f ca="1">VLOOKUP($L276,OFFSET([2]enemies!$A$1,0,0,COUNTA([2]enemies!$A:$A),MATCH(P$1,[2]enemies!$1:$1,0)-MATCH($L$1,[2]enemies!$1:$1,0)+1),MATCH(P$1,[2]enemies!$1:$1,0)-MATCH($L$1,[2]enemies!$1:$1,0)+1,FALSE)</f>
        <v>dragon</v>
      </c>
      <c r="Q276" s="21">
        <f ca="1">VLOOKUP($L276,OFFSET([2]enemies!$A$1,0,0,COUNTA([2]enemies!$A:$A),MATCH(Q$1,[2]enemies!$1:$1,0)-MATCH($L$1,[2]enemies!$1:$1,0)+1),MATCH(Q$1,[2]enemies!$1:$1,0)-MATCH($L$1,[2]enemies!$1:$1,0)+1,FALSE)</f>
        <v>15</v>
      </c>
      <c r="R276" s="53">
        <v>48</v>
      </c>
      <c r="S276" s="27">
        <v>1</v>
      </c>
      <c r="T276" s="27">
        <v>1</v>
      </c>
      <c r="U276" s="5">
        <v>0</v>
      </c>
      <c r="V276" s="4" t="str">
        <f ca="1">VLOOKUP($W276,OFFSET([4]enemy_skill_sets!$B$1,0,0,COUNTA([4]enemy_skill_sets!$B:$B),MATCH(M$1,[4]enemy_skill_sets!$1:$1,0)-MATCH($W$1,[4]enemy_skill_sets!$1:$1,0)+2),MATCH(M$1,[4]enemy_skill_sets!$1:$1,0)-MATCH($W$1,[4]enemy_skill_sets!$1:$1,0)+2,FALSE)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76" s="4">
        <f ca="1">VLOOKUP($L276,OFFSET([2]enemies!$A$1,0,0,COUNTA([2]enemies!$A:$A),MATCH(W$1,[2]enemies!$1:$1,0)-MATCH($L$1,[2]enemies!$1:$1,0)+1),MATCH(W$1,[2]enemies!$1:$1,0)-MATCH($L$1,[2]enemies!$1:$1,0)+1,FALSE)</f>
        <v>0</v>
      </c>
      <c r="X276" s="6">
        <v>0</v>
      </c>
      <c r="Y276" s="6">
        <v>100</v>
      </c>
      <c r="Z276" s="6">
        <v>0</v>
      </c>
      <c r="AA276" s="4">
        <f ca="1">VLOOKUP($L276,OFFSET([2]enemies!$A$1,0,0,COUNTA([2]enemies!$A:$A),MATCH(AA$1,[2]enemies!$1:$1,0)-MATCH($L$1,[2]enemies!$1:$1,0)+1),MATCH(AA$1,[2]enemies!$1:$1,0)-MATCH($L$1,[2]enemies!$1:$1,0)+1,FALSE)</f>
        <v>2</v>
      </c>
      <c r="AB276" s="52">
        <v>21</v>
      </c>
      <c r="AC276" s="4" t="str">
        <f ca="1">VLOOKUP($AB276,OFFSET([3]characters!$A$1,0,0,COUNTA([3]characters!$A:$A),MATCH(AC$1,[3]characters!$1:$1,0)-MATCH("character_id",[3]characters!$1:$1,0)+1),MATCH(AC$1,[3]characters!$1:$1,0)-MATCH("character_id",[3]characters!$1:$1,0)+1,FALSE)</f>
        <v>ヴェロキー</v>
      </c>
      <c r="AD276" s="4">
        <f ca="1">VLOOKUP($AB276,OFFSET([3]characters!$A$1,0,0,COUNTA([3]characters!$A:$A),MATCH(AD$1,[3]characters!$1:$1,0)-MATCH("character_id",[3]characters!$1:$1,0)+1),MATCH(AD$1,[3]characters!$1:$1,0)-MATCH("character_id",[3]characters!$1:$1,0)+1,FALSE)</f>
        <v>1</v>
      </c>
      <c r="AE276" s="4" t="str">
        <f ca="1">VLOOKUP($AB276,OFFSET([3]characters!$A$1,0,0,COUNTA([3]characters!$A:$A),MATCH(AE$1,[3]characters!$1:$1,0)-MATCH("character_id",[3]characters!$1:$1,0)+1),MATCH(AE$1,[3]characters!$1:$1,0)-MATCH("character_id",[3]characters!$1:$1,0)+1,FALSE)</f>
        <v>Drop1N</v>
      </c>
      <c r="AF276" s="7">
        <v>7</v>
      </c>
      <c r="AG276" s="26">
        <f t="shared" ca="1" si="305"/>
        <v>1</v>
      </c>
      <c r="AH276" s="8">
        <v>20</v>
      </c>
      <c r="AI276" s="7">
        <v>0</v>
      </c>
      <c r="AJ276" s="7">
        <v>0</v>
      </c>
      <c r="AK276" s="7">
        <v>0</v>
      </c>
      <c r="AL276" s="7">
        <v>0</v>
      </c>
      <c r="AM276" s="7">
        <v>1</v>
      </c>
    </row>
    <row r="277" spans="1:39" ht="14" x14ac:dyDescent="0.15">
      <c r="A277" s="18" t="str">
        <f t="shared" ca="1" si="326"/>
        <v>23_5-1/41&lt;lv48&gt;s1</v>
      </c>
      <c r="B277" s="50">
        <v>23</v>
      </c>
      <c r="C277" s="49">
        <v>5</v>
      </c>
      <c r="D277" s="2" t="str">
        <f t="shared" si="327"/>
        <v>23_5</v>
      </c>
      <c r="E277" s="2" t="str">
        <f t="shared" si="327"/>
        <v>5_23_5</v>
      </c>
      <c r="F277" s="4" t="str">
        <f ca="1">VLOOKUP($D277,OFFSET([1]stages!$A$1,0,0,COUNTA([1]stages!$A:$A),MATCH(F$1,[1]stages!$2:$2,0)-MATCH($D$1,[1]stages!$2:$2,0)+1),MATCH(F$1,[1]stages!$2:$2,0)-MATCH($D$1,[1]stages!$2:$2,0)+1,FALSE)</f>
        <v>23-5．目醒めの子どもたち</v>
      </c>
      <c r="G277" s="54">
        <v>1</v>
      </c>
      <c r="H277" s="17" t="str">
        <f t="shared" si="328"/>
        <v>23_5-1</v>
      </c>
      <c r="I277" s="17"/>
      <c r="J277" s="17"/>
      <c r="K277" s="65" t="s">
        <v>56</v>
      </c>
      <c r="L277" s="52">
        <v>41</v>
      </c>
      <c r="M277" s="21" t="str">
        <f ca="1">VLOOKUP($L277,OFFSET([2]enemies!$A$1,0,0,COUNTA([2]enemies!$A:$A),MATCH(M$1,[2]enemies!$1:$1,0)-MATCH($L$1,[2]enemies!$1:$1,0)+1),MATCH(M$1,[2]enemies!$1:$1,0)-MATCH($L$1,[2]enemies!$1:$1,0)+1,FALSE)</f>
        <v>ヒュウガ</v>
      </c>
      <c r="N277" s="21" t="str">
        <f ca="1">VLOOKUP($L277,OFFSET([2]enemies!$A$1,0,0,COUNTA([2]enemies!$A:$A),MATCH(N$1,[2]enemies!$1:$1,0)-MATCH($L$1,[2]enemies!$1:$1,0)+1),MATCH(N$1,[2]enemies!$1:$1,0)-MATCH($L$1,[2]enemies!$1:$1,0)+1,FALSE)</f>
        <v>red</v>
      </c>
      <c r="O277" s="21" t="str">
        <f ca="1">VLOOKUP($L277,OFFSET([3]characters!$A$1,0,0,COUNTA([3]characters!$A:$A),MATCH(O$1,[3]characters!$1:$1,0)-MATCH($L$1,[3]characters!$1:$1,0)+1),MATCH(O$1,[3]characters!$1:$1,0)-MATCH($L$1,[3]characters!$1:$1,0)+1,FALSE)</f>
        <v>Drop1N</v>
      </c>
      <c r="P277" s="21" t="str">
        <f ca="1">VLOOKUP($L277,OFFSET([2]enemies!$A$1,0,0,COUNTA([2]enemies!$A:$A),MATCH(P$1,[2]enemies!$1:$1,0)-MATCH($L$1,[2]enemies!$1:$1,0)+1),MATCH(P$1,[2]enemies!$1:$1,0)-MATCH($L$1,[2]enemies!$1:$1,0)+1,FALSE)</f>
        <v>dragon</v>
      </c>
      <c r="Q277" s="21">
        <f ca="1">VLOOKUP($L277,OFFSET([2]enemies!$A$1,0,0,COUNTA([2]enemies!$A:$A),MATCH(Q$1,[2]enemies!$1:$1,0)-MATCH($L$1,[2]enemies!$1:$1,0)+1),MATCH(Q$1,[2]enemies!$1:$1,0)-MATCH($L$1,[2]enemies!$1:$1,0)+1,FALSE)</f>
        <v>15</v>
      </c>
      <c r="R277" s="53">
        <v>48</v>
      </c>
      <c r="S277" s="27">
        <v>1</v>
      </c>
      <c r="T277" s="27">
        <v>1</v>
      </c>
      <c r="U277" s="5">
        <v>0</v>
      </c>
      <c r="V277" s="4" t="str">
        <f ca="1">VLOOKUP($W277,OFFSET([4]enemy_skill_sets!$B$1,0,0,COUNTA([4]enemy_skill_sets!$B:$B),MATCH(M$1,[4]enemy_skill_sets!$1:$1,0)-MATCH($W$1,[4]enemy_skill_sets!$1:$1,0)+2),MATCH(M$1,[4]enemy_skill_sets!$1:$1,0)-MATCH($W$1,[4]enemy_skill_sets!$1:$1,0)+2,FALSE)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77" s="4">
        <f ca="1">VLOOKUP($L277,OFFSET([2]enemies!$A$1,0,0,COUNTA([2]enemies!$A:$A),MATCH(W$1,[2]enemies!$1:$1,0)-MATCH($L$1,[2]enemies!$1:$1,0)+1),MATCH(W$1,[2]enemies!$1:$1,0)-MATCH($L$1,[2]enemies!$1:$1,0)+1,FALSE)</f>
        <v>0</v>
      </c>
      <c r="X277" s="6">
        <v>0</v>
      </c>
      <c r="Y277" s="6">
        <v>100</v>
      </c>
      <c r="Z277" s="6">
        <v>0</v>
      </c>
      <c r="AA277" s="4">
        <f ca="1">VLOOKUP($L277,OFFSET([2]enemies!$A$1,0,0,COUNTA([2]enemies!$A:$A),MATCH(AA$1,[2]enemies!$1:$1,0)-MATCH($L$1,[2]enemies!$1:$1,0)+1),MATCH(AA$1,[2]enemies!$1:$1,0)-MATCH($L$1,[2]enemies!$1:$1,0)+1,FALSE)</f>
        <v>1</v>
      </c>
      <c r="AB277" s="52">
        <v>41</v>
      </c>
      <c r="AC277" s="4" t="str">
        <f ca="1">VLOOKUP($AB277,OFFSET([3]characters!$A$1,0,0,COUNTA([3]characters!$A:$A),MATCH(AC$1,[3]characters!$1:$1,0)-MATCH("character_id",[3]characters!$1:$1,0)+1),MATCH(AC$1,[3]characters!$1:$1,0)-MATCH("character_id",[3]characters!$1:$1,0)+1,FALSE)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77" s="4">
        <f ca="1">VLOOKUP($AB277,OFFSET([3]characters!$A$1,0,0,COUNTA([3]characters!$A:$A),MATCH(AD$1,[3]characters!$1:$1,0)-MATCH("character_id",[3]characters!$1:$1,0)+1),MATCH(AD$1,[3]characters!$1:$1,0)-MATCH("character_id",[3]characters!$1:$1,0)+1,FALSE)</f>
        <v>2</v>
      </c>
      <c r="AE277" s="4" t="str">
        <f ca="1">VLOOKUP($AB277,OFFSET([3]characters!$A$1,0,0,COUNTA([3]characters!$A:$A),MATCH(AE$1,[3]characters!$1:$1,0)-MATCH("character_id",[3]characters!$1:$1,0)+1),MATCH(AE$1,[3]characters!$1:$1,0)-MATCH("character_id",[3]characters!$1:$1,0)+1,FALSE)</f>
        <v>Drop1N</v>
      </c>
      <c r="AF277" s="7">
        <v>7</v>
      </c>
      <c r="AG277" s="26">
        <f t="shared" ca="1" si="305"/>
        <v>2</v>
      </c>
      <c r="AH277" s="8">
        <v>20</v>
      </c>
      <c r="AI277" s="7">
        <v>0</v>
      </c>
      <c r="AJ277" s="7">
        <v>0</v>
      </c>
      <c r="AK277" s="7">
        <v>0</v>
      </c>
      <c r="AL277" s="7">
        <v>0</v>
      </c>
      <c r="AM277" s="7">
        <v>1</v>
      </c>
    </row>
    <row r="278" spans="1:39" ht="14" x14ac:dyDescent="0.15">
      <c r="A278" s="18" t="str">
        <f t="shared" ref="A278" ca="1" si="329">B278&amp;"_"&amp;C278&amp;"-"&amp;G278&amp;"/"&amp;L278&amp;"&lt;lv"&amp;R278&amp;"&gt;s"&amp;AA278</f>
        <v>23_5-1/360&lt;lv48&gt;s3</v>
      </c>
      <c r="B278" s="53">
        <v>23</v>
      </c>
      <c r="C278" s="51">
        <v>5</v>
      </c>
      <c r="D278" s="2" t="str">
        <f t="shared" ref="D278" si="330">B278&amp;"_"&amp;C278</f>
        <v>23_5</v>
      </c>
      <c r="E278" s="2" t="str">
        <f t="shared" ref="E278" si="331">C278&amp;"_"&amp;D278</f>
        <v>5_23_5</v>
      </c>
      <c r="F278" s="4" t="str">
        <f ca="1">VLOOKUP($D278,OFFSET([1]stages!$A$1,0,0,COUNTA([1]stages!$A:$A),MATCH(F$1,[1]stages!$2:$2,0)-MATCH($D$1,[1]stages!$2:$2,0)+1),MATCH(F$1,[1]stages!$2:$2,0)-MATCH($D$1,[1]stages!$2:$2,0)+1,FALSE)</f>
        <v>23-5．目醒めの子どもたち</v>
      </c>
      <c r="G278" s="54">
        <v>1</v>
      </c>
      <c r="H278" s="17" t="str">
        <f t="shared" ref="H278" si="332">B278&amp;"_"&amp;C278&amp;"-"&amp;G278</f>
        <v>23_5-1</v>
      </c>
      <c r="I278" s="17"/>
      <c r="J278" s="17"/>
      <c r="K278" s="65" t="s">
        <v>56</v>
      </c>
      <c r="L278" s="52">
        <v>360</v>
      </c>
      <c r="M278" s="21" t="str">
        <f ca="1">VLOOKUP($L278,OFFSET([2]enemies!$A$1,0,0,COUNTA([2]enemies!$A:$A),MATCH(M$1,[2]enemies!$1:$1,0)-MATCH($L$1,[2]enemies!$1:$1,0)+1),MATCH(M$1,[2]enemies!$1:$1,0)-MATCH($L$1,[2]enemies!$1:$1,0)+1,FALSE)</f>
        <v>ガンテツ</v>
      </c>
      <c r="N278" s="21" t="str">
        <f ca="1">VLOOKUP($L278,OFFSET([2]enemies!$A$1,0,0,COUNTA([2]enemies!$A:$A),MATCH(N$1,[2]enemies!$1:$1,0)-MATCH($L$1,[2]enemies!$1:$1,0)+1),MATCH(N$1,[2]enemies!$1:$1,0)-MATCH($L$1,[2]enemies!$1:$1,0)+1,FALSE)</f>
        <v>red</v>
      </c>
      <c r="O278" s="21" t="str">
        <f ca="1">VLOOKUP($L278,OFFSET([3]characters!$A$1,0,0,COUNTA([3]characters!$A:$A),MATCH(O$1,[3]characters!$1:$1,0)-MATCH($L$1,[3]characters!$1:$1,0)+1),MATCH(O$1,[3]characters!$1:$1,0)-MATCH($L$1,[3]characters!$1:$1,0)+1,FALSE)</f>
        <v>Drop1S</v>
      </c>
      <c r="P278" s="21" t="str">
        <f ca="1">VLOOKUP($L278,OFFSET([2]enemies!$A$1,0,0,COUNTA([2]enemies!$A:$A),MATCH(P$1,[2]enemies!$1:$1,0)-MATCH($L$1,[2]enemies!$1:$1,0)+1),MATCH(P$1,[2]enemies!$1:$1,0)-MATCH($L$1,[2]enemies!$1:$1,0)+1,FALSE)</f>
        <v>animal</v>
      </c>
      <c r="Q278" s="21">
        <f ca="1">VLOOKUP($L278,OFFSET([2]enemies!$A$1,0,0,COUNTA([2]enemies!$A:$A),MATCH(Q$1,[2]enemies!$1:$1,0)-MATCH($L$1,[2]enemies!$1:$1,0)+1),MATCH(Q$1,[2]enemies!$1:$1,0)-MATCH($L$1,[2]enemies!$1:$1,0)+1,FALSE)</f>
        <v>15</v>
      </c>
      <c r="R278" s="53">
        <v>48</v>
      </c>
      <c r="S278" s="27">
        <v>1</v>
      </c>
      <c r="T278" s="27">
        <v>1</v>
      </c>
      <c r="U278" s="5">
        <v>0</v>
      </c>
      <c r="V278" s="4" t="str">
        <f ca="1">VLOOKUP($W278,OFFSET([4]enemy_skill_sets!$B$1,0,0,COUNTA([4]enemy_skill_sets!$B:$B),MATCH(M$1,[4]enemy_skill_sets!$1:$1,0)-MATCH($W$1,[4]enemy_skill_sets!$1:$1,0)+2),MATCH(M$1,[4]enemy_skill_sets!$1:$1,0)-MATCH($W$1,[4]enemy_skill_sets!$1:$1,0)+2,FALSE)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78" s="76">
        <v>360</v>
      </c>
      <c r="X278" s="6">
        <v>0</v>
      </c>
      <c r="Y278" s="6">
        <v>100</v>
      </c>
      <c r="Z278" s="6">
        <v>0</v>
      </c>
      <c r="AA278" s="4">
        <f ca="1">VLOOKUP($L278,OFFSET([2]enemies!$A$1,0,0,COUNTA([2]enemies!$A:$A),MATCH(AA$1,[2]enemies!$1:$1,0)-MATCH($L$1,[2]enemies!$1:$1,0)+1),MATCH(AA$1,[2]enemies!$1:$1,0)-MATCH($L$1,[2]enemies!$1:$1,0)+1,FALSE)</f>
        <v>3</v>
      </c>
      <c r="AB278" s="52">
        <v>360</v>
      </c>
      <c r="AC278" s="4" t="str">
        <f ca="1">VLOOKUP($AB278,OFFSET([3]characters!$A$1,0,0,COUNTA([3]characters!$A:$A),MATCH(AC$1,[3]characters!$1:$1,0)-MATCH("character_id",[3]characters!$1:$1,0)+1),MATCH(AC$1,[3]characters!$1:$1,0)-MATCH("character_id",[3]characters!$1:$1,0)+1,FALSE)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78" s="4">
        <f ca="1">VLOOKUP($AB278,OFFSET([3]characters!$A$1,0,0,COUNTA([3]characters!$A:$A),MATCH(AD$1,[3]characters!$1:$1,0)-MATCH("character_id",[3]characters!$1:$1,0)+1),MATCH(AD$1,[3]characters!$1:$1,0)-MATCH("character_id",[3]characters!$1:$1,0)+1,FALSE)</f>
        <v>2</v>
      </c>
      <c r="AE278" s="4" t="str">
        <f ca="1">VLOOKUP($AB278,OFFSET([3]characters!$A$1,0,0,COUNTA([3]characters!$A:$A),MATCH(AE$1,[3]characters!$1:$1,0)-MATCH("character_id",[3]characters!$1:$1,0)+1),MATCH(AE$1,[3]characters!$1:$1,0)-MATCH("character_id",[3]characters!$1:$1,0)+1,FALSE)</f>
        <v>Drop1S</v>
      </c>
      <c r="AF278" s="7">
        <v>7</v>
      </c>
      <c r="AG278" s="26">
        <f t="shared" ca="1" si="305"/>
        <v>2</v>
      </c>
      <c r="AH278" s="8">
        <v>20</v>
      </c>
      <c r="AI278" s="7">
        <v>0</v>
      </c>
      <c r="AJ278" s="7">
        <v>0</v>
      </c>
      <c r="AK278" s="7">
        <v>0</v>
      </c>
      <c r="AL278" s="7">
        <v>0</v>
      </c>
      <c r="AM278" s="7">
        <v>1</v>
      </c>
    </row>
    <row r="279" spans="1:39" ht="14" x14ac:dyDescent="0.15">
      <c r="A279" s="18" t="str">
        <f t="shared" ref="A279" ca="1" si="333">B279&amp;"_"&amp;C279&amp;"-"&amp;G279&amp;"/"&amp;L279&amp;"&lt;lv"&amp;R279&amp;"&gt;s"&amp;AA279</f>
        <v>23_5-1/350&lt;lv48&gt;s3</v>
      </c>
      <c r="B279" s="53">
        <v>23</v>
      </c>
      <c r="C279" s="51">
        <v>5</v>
      </c>
      <c r="D279" s="2" t="str">
        <f t="shared" ref="D279" si="334">B279&amp;"_"&amp;C279</f>
        <v>23_5</v>
      </c>
      <c r="E279" s="2" t="str">
        <f t="shared" ref="E279" si="335">C279&amp;"_"&amp;D279</f>
        <v>5_23_5</v>
      </c>
      <c r="F279" s="4" t="str">
        <f ca="1">VLOOKUP($D279,OFFSET([1]stages!$A$1,0,0,COUNTA([1]stages!$A:$A),MATCH(F$1,[1]stages!$2:$2,0)-MATCH($D$1,[1]stages!$2:$2,0)+1),MATCH(F$1,[1]stages!$2:$2,0)-MATCH($D$1,[1]stages!$2:$2,0)+1,FALSE)</f>
        <v>23-5．目醒めの子どもたち</v>
      </c>
      <c r="G279" s="54">
        <v>1</v>
      </c>
      <c r="H279" s="17" t="str">
        <f t="shared" ref="H279" si="336">B279&amp;"_"&amp;C279&amp;"-"&amp;G279</f>
        <v>23_5-1</v>
      </c>
      <c r="I279" s="17"/>
      <c r="J279" s="17"/>
      <c r="K279" s="65" t="s">
        <v>56</v>
      </c>
      <c r="L279" s="52">
        <v>350</v>
      </c>
      <c r="M279" s="21" t="str">
        <f ca="1">VLOOKUP($L279,OFFSET([2]enemies!$A$1,0,0,COUNTA([2]enemies!$A:$A),MATCH(M$1,[2]enemies!$1:$1,0)-MATCH($L$1,[2]enemies!$1:$1,0)+1),MATCH(M$1,[2]enemies!$1:$1,0)-MATCH($L$1,[2]enemies!$1:$1,0)+1,FALSE)</f>
        <v>森のケロケロ</v>
      </c>
      <c r="N279" s="21" t="str">
        <f ca="1">VLOOKUP($L279,OFFSET([2]enemies!$A$1,0,0,COUNTA([2]enemies!$A:$A),MATCH(N$1,[2]enemies!$1:$1,0)-MATCH($L$1,[2]enemies!$1:$1,0)+1),MATCH(N$1,[2]enemies!$1:$1,0)-MATCH($L$1,[2]enemies!$1:$1,0)+1,FALSE)</f>
        <v>green</v>
      </c>
      <c r="O279" s="21" t="str">
        <f ca="1">VLOOKUP($L279,OFFSET([3]characters!$A$1,0,0,COUNTA([3]characters!$A:$A),MATCH(O$1,[3]characters!$1:$1,0)-MATCH($L$1,[3]characters!$1:$1,0)+1),MATCH(O$1,[3]characters!$1:$1,0)-MATCH($L$1,[3]characters!$1:$1,0)+1,FALSE)</f>
        <v>Material</v>
      </c>
      <c r="P279" s="21" t="str">
        <f ca="1">VLOOKUP($L279,OFFSET([2]enemies!$A$1,0,0,COUNTA([2]enemies!$A:$A),MATCH(P$1,[2]enemies!$1:$1,0)-MATCH($L$1,[2]enemies!$1:$1,0)+1),MATCH(P$1,[2]enemies!$1:$1,0)-MATCH($L$1,[2]enemies!$1:$1,0)+1,FALSE)</f>
        <v>unknown</v>
      </c>
      <c r="Q279" s="21">
        <f ca="1">VLOOKUP($L279,OFFSET([2]enemies!$A$1,0,0,COUNTA([2]enemies!$A:$A),MATCH(Q$1,[2]enemies!$1:$1,0)-MATCH($L$1,[2]enemies!$1:$1,0)+1),MATCH(Q$1,[2]enemies!$1:$1,0)-MATCH($L$1,[2]enemies!$1:$1,0)+1,FALSE)</f>
        <v>15</v>
      </c>
      <c r="R279" s="53">
        <v>48</v>
      </c>
      <c r="S279" s="27">
        <v>1</v>
      </c>
      <c r="T279" s="27">
        <v>1</v>
      </c>
      <c r="U279" s="5">
        <v>0</v>
      </c>
      <c r="V279" s="4" t="str">
        <f ca="1">VLOOKUP($W279,OFFSET([4]enemy_skill_sets!$B$1,0,0,COUNTA([4]enemy_skill_sets!$B:$B),MATCH(M$1,[4]enemy_skill_sets!$1:$1,0)-MATCH($W$1,[4]enemy_skill_sets!$1:$1,0)+2),MATCH(M$1,[4]enemy_skill_sets!$1:$1,0)-MATCH($W$1,[4]enemy_skill_sets!$1:$1,0)+2,FALSE)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79" s="64">
        <v>350</v>
      </c>
      <c r="X279" s="6">
        <v>0</v>
      </c>
      <c r="Y279" s="6">
        <v>100</v>
      </c>
      <c r="Z279" s="6">
        <v>0</v>
      </c>
      <c r="AA279" s="4">
        <f ca="1">VLOOKUP($L279,OFFSET([2]enemies!$A$1,0,0,COUNTA([2]enemies!$A:$A),MATCH(AA$1,[2]enemies!$1:$1,0)-MATCH($L$1,[2]enemies!$1:$1,0)+1),MATCH(AA$1,[2]enemies!$1:$1,0)-MATCH($L$1,[2]enemies!$1:$1,0)+1,FALSE)</f>
        <v>3</v>
      </c>
      <c r="AB279" s="52">
        <v>350</v>
      </c>
      <c r="AC279" s="4" t="str">
        <f ca="1">VLOOKUP($AB279,OFFSET([3]characters!$A$1,0,0,COUNTA([3]characters!$A:$A),MATCH(AC$1,[3]characters!$1:$1,0)-MATCH("character_id",[3]characters!$1:$1,0)+1),MATCH(AC$1,[3]characters!$1:$1,0)-MATCH("character_id",[3]characters!$1:$1,0)+1,FALSE)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79" s="4">
        <f ca="1">VLOOKUP($AB279,OFFSET([3]characters!$A$1,0,0,COUNTA([3]characters!$A:$A),MATCH(AD$1,[3]characters!$1:$1,0)-MATCH("character_id",[3]characters!$1:$1,0)+1),MATCH(AD$1,[3]characters!$1:$1,0)-MATCH("character_id",[3]characters!$1:$1,0)+1,FALSE)</f>
        <v>2</v>
      </c>
      <c r="AE279" s="4" t="str">
        <f ca="1">VLOOKUP($AB279,OFFSET([3]characters!$A$1,0,0,COUNTA([3]characters!$A:$A),MATCH(AE$1,[3]characters!$1:$1,0)-MATCH("character_id",[3]characters!$1:$1,0)+1),MATCH(AE$1,[3]characters!$1:$1,0)-MATCH("character_id",[3]characters!$1:$1,0)+1,FALSE)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79" s="7">
        <v>10</v>
      </c>
      <c r="AG279" s="26">
        <f t="shared" ca="1" si="305"/>
        <v>2</v>
      </c>
      <c r="AH279" s="8">
        <v>20</v>
      </c>
      <c r="AI279" s="7">
        <v>0</v>
      </c>
      <c r="AJ279" s="7">
        <v>0</v>
      </c>
      <c r="AK279" s="7">
        <v>0</v>
      </c>
      <c r="AL279" s="7">
        <v>0</v>
      </c>
      <c r="AM279" s="7">
        <v>1</v>
      </c>
    </row>
    <row r="280" spans="1:39" ht="14" x14ac:dyDescent="0.15">
      <c r="A280" s="18" t="str">
        <f t="shared" ca="1" si="326"/>
        <v>23_5-2/11&lt;lv50&gt;s3</v>
      </c>
      <c r="B280" s="50">
        <v>23</v>
      </c>
      <c r="C280" s="49">
        <v>5</v>
      </c>
      <c r="D280" s="2" t="str">
        <f t="shared" si="327"/>
        <v>23_5</v>
      </c>
      <c r="E280" s="2" t="str">
        <f t="shared" si="327"/>
        <v>5_23_5</v>
      </c>
      <c r="F280" s="4" t="str">
        <f ca="1">VLOOKUP($D280,OFFSET([1]stages!$A$1,0,0,COUNTA([1]stages!$A:$A),MATCH(F$1,[1]stages!$2:$2,0)-MATCH($D$1,[1]stages!$2:$2,0)+1),MATCH(F$1,[1]stages!$2:$2,0)-MATCH($D$1,[1]stages!$2:$2,0)+1,FALSE)</f>
        <v>23-5．目醒めの子どもたち</v>
      </c>
      <c r="G280" s="55">
        <v>2</v>
      </c>
      <c r="H280" s="17" t="str">
        <f t="shared" si="328"/>
        <v>23_5-2</v>
      </c>
      <c r="I280" s="17"/>
      <c r="J280" s="17"/>
      <c r="K280" s="65" t="s">
        <v>56</v>
      </c>
      <c r="L280" s="52">
        <v>11</v>
      </c>
      <c r="M280" s="21" t="str">
        <f ca="1">VLOOKUP($L280,OFFSET([2]enemies!$A$1,0,0,COUNTA([2]enemies!$A:$A),MATCH(M$1,[2]enemies!$1:$1,0)-MATCH($L$1,[2]enemies!$1:$1,0)+1),MATCH(M$1,[2]enemies!$1:$1,0)-MATCH($L$1,[2]enemies!$1:$1,0)+1,FALSE)</f>
        <v>マグリット</v>
      </c>
      <c r="N280" s="21" t="str">
        <f ca="1">VLOOKUP($L280,OFFSET([2]enemies!$A$1,0,0,COUNTA([2]enemies!$A:$A),MATCH(N$1,[2]enemies!$1:$1,0)-MATCH($L$1,[2]enemies!$1:$1,0)+1),MATCH(N$1,[2]enemies!$1:$1,0)-MATCH($L$1,[2]enemies!$1:$1,0)+1,FALSE)</f>
        <v>green</v>
      </c>
      <c r="O280" s="21" t="str">
        <f ca="1">VLOOKUP($L280,OFFSET([3]characters!$A$1,0,0,COUNTA([3]characters!$A:$A),MATCH(O$1,[3]characters!$1:$1,0)-MATCH($L$1,[3]characters!$1:$1,0)+1),MATCH(O$1,[3]characters!$1:$1,0)-MATCH($L$1,[3]characters!$1:$1,0)+1,FALSE)</f>
        <v>Drop1W</v>
      </c>
      <c r="P280" s="21" t="str">
        <f ca="1">VLOOKUP($L280,OFFSET([2]enemies!$A$1,0,0,COUNTA([2]enemies!$A:$A),MATCH(P$1,[2]enemies!$1:$1,0)-MATCH($L$1,[2]enemies!$1:$1,0)+1),MATCH(P$1,[2]enemies!$1:$1,0)-MATCH($L$1,[2]enemies!$1:$1,0)+1,FALSE)</f>
        <v>animal</v>
      </c>
      <c r="Q280" s="21">
        <f ca="1">VLOOKUP($L280,OFFSET([2]enemies!$A$1,0,0,COUNTA([2]enemies!$A:$A),MATCH(Q$1,[2]enemies!$1:$1,0)-MATCH($L$1,[2]enemies!$1:$1,0)+1),MATCH(Q$1,[2]enemies!$1:$1,0)-MATCH($L$1,[2]enemies!$1:$1,0)+1,FALSE)</f>
        <v>15</v>
      </c>
      <c r="R280" s="53">
        <v>50</v>
      </c>
      <c r="S280" s="27">
        <v>1.1000000000000001</v>
      </c>
      <c r="T280" s="27">
        <v>1</v>
      </c>
      <c r="U280" s="5">
        <v>0</v>
      </c>
      <c r="V280" s="4" t="str">
        <f ca="1">VLOOKUP($W280,OFFSET([4]enemy_skill_sets!$B$1,0,0,COUNTA([4]enemy_skill_sets!$B:$B),MATCH(M$1,[4]enemy_skill_sets!$1:$1,0)-MATCH($W$1,[4]enemy_skill_sets!$1:$1,0)+2),MATCH(M$1,[4]enemy_skill_sets!$1:$1,0)-MATCH($W$1,[4]enemy_skill_sets!$1:$1,0)+2,FALSE)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80" s="4">
        <f ca="1">VLOOKUP($L280,OFFSET([2]enemies!$A$1,0,0,COUNTA([2]enemies!$A:$A),MATCH(W$1,[2]enemies!$1:$1,0)-MATCH($L$1,[2]enemies!$1:$1,0)+1),MATCH(W$1,[2]enemies!$1:$1,0)-MATCH($L$1,[2]enemies!$1:$1,0)+1,FALSE)</f>
        <v>0</v>
      </c>
      <c r="X280" s="6">
        <v>0</v>
      </c>
      <c r="Y280" s="6">
        <v>100</v>
      </c>
      <c r="Z280" s="6">
        <v>0</v>
      </c>
      <c r="AA280" s="4">
        <f ca="1">VLOOKUP($L280,OFFSET([2]enemies!$A$1,0,0,COUNTA([2]enemies!$A:$A),MATCH(AA$1,[2]enemies!$1:$1,0)-MATCH($L$1,[2]enemies!$1:$1,0)+1),MATCH(AA$1,[2]enemies!$1:$1,0)-MATCH($L$1,[2]enemies!$1:$1,0)+1,FALSE)</f>
        <v>3</v>
      </c>
      <c r="AB280" s="52">
        <v>11</v>
      </c>
      <c r="AC280" s="4" t="str">
        <f ca="1">VLOOKUP($AB280,OFFSET([3]characters!$A$1,0,0,COUNTA([3]characters!$A:$A),MATCH(AC$1,[3]characters!$1:$1,0)-MATCH("character_id",[3]characters!$1:$1,0)+1),MATCH(AC$1,[3]characters!$1:$1,0)-MATCH("character_id",[3]characters!$1:$1,0)+1,FALSE)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280" s="4">
        <f ca="1">VLOOKUP($AB280,OFFSET([3]characters!$A$1,0,0,COUNTA([3]characters!$A:$A),MATCH(AD$1,[3]characters!$1:$1,0)-MATCH("character_id",[3]characters!$1:$1,0)+1),MATCH(AD$1,[3]characters!$1:$1,0)-MATCH("character_id",[3]characters!$1:$1,0)+1,FALSE)</f>
        <v>1</v>
      </c>
      <c r="AE280" s="4" t="str">
        <f ca="1">VLOOKUP($AB280,OFFSET([3]characters!$A$1,0,0,COUNTA([3]characters!$A:$A),MATCH(AE$1,[3]characters!$1:$1,0)-MATCH("character_id",[3]characters!$1:$1,0)+1),MATCH(AE$1,[3]characters!$1:$1,0)-MATCH("character_id",[3]characters!$1:$1,0)+1,FALSE)</f>
        <v>Drop1W</v>
      </c>
      <c r="AF280" s="7">
        <v>9</v>
      </c>
      <c r="AG280" s="26">
        <f t="shared" ca="1" si="305"/>
        <v>1</v>
      </c>
      <c r="AH280" s="8">
        <v>20</v>
      </c>
      <c r="AI280" s="7">
        <v>0</v>
      </c>
      <c r="AJ280" s="7">
        <v>0</v>
      </c>
      <c r="AK280" s="7">
        <v>0</v>
      </c>
      <c r="AL280" s="7">
        <v>0</v>
      </c>
      <c r="AM280" s="7">
        <v>1</v>
      </c>
    </row>
    <row r="281" spans="1:39" ht="14" x14ac:dyDescent="0.15">
      <c r="A281" s="18" t="str">
        <f t="shared" ca="1" si="326"/>
        <v>23_5-2/23&lt;lv50&gt;s4</v>
      </c>
      <c r="B281" s="50">
        <v>23</v>
      </c>
      <c r="C281" s="49">
        <v>5</v>
      </c>
      <c r="D281" s="2" t="str">
        <f t="shared" si="327"/>
        <v>23_5</v>
      </c>
      <c r="E281" s="2" t="str">
        <f t="shared" si="327"/>
        <v>5_23_5</v>
      </c>
      <c r="F281" s="4" t="str">
        <f ca="1">VLOOKUP($D281,OFFSET([1]stages!$A$1,0,0,COUNTA([1]stages!$A:$A),MATCH(F$1,[1]stages!$2:$2,0)-MATCH($D$1,[1]stages!$2:$2,0)+1),MATCH(F$1,[1]stages!$2:$2,0)-MATCH($D$1,[1]stages!$2:$2,0)+1,FALSE)</f>
        <v>23-5．目醒めの子どもたち</v>
      </c>
      <c r="G281" s="55">
        <v>2</v>
      </c>
      <c r="H281" s="17" t="str">
        <f t="shared" si="328"/>
        <v>23_5-2</v>
      </c>
      <c r="I281" s="17"/>
      <c r="J281" s="17"/>
      <c r="K281" s="65" t="s">
        <v>56</v>
      </c>
      <c r="L281" s="52">
        <v>23</v>
      </c>
      <c r="M281" s="21" t="str">
        <f ca="1">VLOOKUP($L281,OFFSET([2]enemies!$A$1,0,0,COUNTA([2]enemies!$A:$A),MATCH(M$1,[2]enemies!$1:$1,0)-MATCH($L$1,[2]enemies!$1:$1,0)+1),MATCH(M$1,[2]enemies!$1:$1,0)-MATCH($L$1,[2]enemies!$1:$1,0)+1,FALSE)</f>
        <v>ミール</v>
      </c>
      <c r="N281" s="21" t="str">
        <f ca="1">VLOOKUP($L281,OFFSET([2]enemies!$A$1,0,0,COUNTA([2]enemies!$A:$A),MATCH(N$1,[2]enemies!$1:$1,0)-MATCH($L$1,[2]enemies!$1:$1,0)+1),MATCH(N$1,[2]enemies!$1:$1,0)-MATCH($L$1,[2]enemies!$1:$1,0)+1,FALSE)</f>
        <v>green</v>
      </c>
      <c r="O281" s="21" t="str">
        <f ca="1">VLOOKUP($L281,OFFSET([3]characters!$A$1,0,0,COUNTA([3]characters!$A:$A),MATCH(O$1,[3]characters!$1:$1,0)-MATCH($L$1,[3]characters!$1:$1,0)+1),MATCH(O$1,[3]characters!$1:$1,0)-MATCH($L$1,[3]characters!$1:$1,0)+1,FALSE)</f>
        <v>Drop1N</v>
      </c>
      <c r="P281" s="21" t="str">
        <f ca="1">VLOOKUP($L281,OFFSET([2]enemies!$A$1,0,0,COUNTA([2]enemies!$A:$A),MATCH(P$1,[2]enemies!$1:$1,0)-MATCH($L$1,[2]enemies!$1:$1,0)+1),MATCH(P$1,[2]enemies!$1:$1,0)-MATCH($L$1,[2]enemies!$1:$1,0)+1,FALSE)</f>
        <v>animal</v>
      </c>
      <c r="Q281" s="21">
        <f ca="1">VLOOKUP($L281,OFFSET([2]enemies!$A$1,0,0,COUNTA([2]enemies!$A:$A),MATCH(Q$1,[2]enemies!$1:$1,0)-MATCH($L$1,[2]enemies!$1:$1,0)+1),MATCH(Q$1,[2]enemies!$1:$1,0)-MATCH($L$1,[2]enemies!$1:$1,0)+1,FALSE)</f>
        <v>15</v>
      </c>
      <c r="R281" s="53">
        <v>50</v>
      </c>
      <c r="S281" s="27">
        <v>1.1000000000000001</v>
      </c>
      <c r="T281" s="27">
        <v>1</v>
      </c>
      <c r="U281" s="5">
        <v>0</v>
      </c>
      <c r="V281" s="4" t="str">
        <f ca="1">VLOOKUP($W281,OFFSET([4]enemy_skill_sets!$B$1,0,0,COUNTA([4]enemy_skill_sets!$B:$B),MATCH(M$1,[4]enemy_skill_sets!$1:$1,0)-MATCH($W$1,[4]enemy_skill_sets!$1:$1,0)+2),MATCH(M$1,[4]enemy_skill_sets!$1:$1,0)-MATCH($W$1,[4]enemy_skill_sets!$1:$1,0)+2,FALSE)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81" s="4">
        <f ca="1">VLOOKUP($L281,OFFSET([2]enemies!$A$1,0,0,COUNTA([2]enemies!$A:$A),MATCH(W$1,[2]enemies!$1:$1,0)-MATCH($L$1,[2]enemies!$1:$1,0)+1),MATCH(W$1,[2]enemies!$1:$1,0)-MATCH($L$1,[2]enemies!$1:$1,0)+1,FALSE)</f>
        <v>0</v>
      </c>
      <c r="X281" s="6">
        <v>0</v>
      </c>
      <c r="Y281" s="6">
        <v>100</v>
      </c>
      <c r="Z281" s="6">
        <v>0</v>
      </c>
      <c r="AA281" s="4">
        <f ca="1">VLOOKUP($L281,OFFSET([2]enemies!$A$1,0,0,COUNTA([2]enemies!$A:$A),MATCH(AA$1,[2]enemies!$1:$1,0)-MATCH($L$1,[2]enemies!$1:$1,0)+1),MATCH(AA$1,[2]enemies!$1:$1,0)-MATCH($L$1,[2]enemies!$1:$1,0)+1,FALSE)</f>
        <v>4</v>
      </c>
      <c r="AB281" s="52">
        <v>23</v>
      </c>
      <c r="AC281" s="4" t="str">
        <f ca="1">VLOOKUP($AB281,OFFSET([3]characters!$A$1,0,0,COUNTA([3]characters!$A:$A),MATCH(AC$1,[3]characters!$1:$1,0)-MATCH("character_id",[3]characters!$1:$1,0)+1),MATCH(AC$1,[3]characters!$1:$1,0)-MATCH("character_id",[3]characters!$1:$1,0)+1,FALSE)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281" s="4">
        <f ca="1">VLOOKUP($AB281,OFFSET([3]characters!$A$1,0,0,COUNTA([3]characters!$A:$A),MATCH(AD$1,[3]characters!$1:$1,0)-MATCH("character_id",[3]characters!$1:$1,0)+1),MATCH(AD$1,[3]characters!$1:$1,0)-MATCH("character_id",[3]characters!$1:$1,0)+1,FALSE)</f>
        <v>1</v>
      </c>
      <c r="AE281" s="4" t="str">
        <f ca="1">VLOOKUP($AB281,OFFSET([3]characters!$A$1,0,0,COUNTA([3]characters!$A:$A),MATCH(AE$1,[3]characters!$1:$1,0)-MATCH("character_id",[3]characters!$1:$1,0)+1),MATCH(AE$1,[3]characters!$1:$1,0)-MATCH("character_id",[3]characters!$1:$1,0)+1,FALSE)</f>
        <v>Drop1N</v>
      </c>
      <c r="AF281" s="7">
        <v>7</v>
      </c>
      <c r="AG281" s="26">
        <f t="shared" ca="1" si="305"/>
        <v>1</v>
      </c>
      <c r="AH281" s="8">
        <v>20</v>
      </c>
      <c r="AI281" s="7">
        <v>0</v>
      </c>
      <c r="AJ281" s="7">
        <v>0</v>
      </c>
      <c r="AK281" s="7">
        <v>0</v>
      </c>
      <c r="AL281" s="7">
        <v>0</v>
      </c>
      <c r="AM281" s="7">
        <v>1</v>
      </c>
    </row>
    <row r="282" spans="1:39" ht="14" x14ac:dyDescent="0.15">
      <c r="A282" s="18" t="str">
        <f t="shared" ca="1" si="326"/>
        <v>23_5-2/59&lt;lv50&gt;s2</v>
      </c>
      <c r="B282" s="50">
        <v>23</v>
      </c>
      <c r="C282" s="49">
        <v>5</v>
      </c>
      <c r="D282" s="2" t="str">
        <f t="shared" si="327"/>
        <v>23_5</v>
      </c>
      <c r="E282" s="2" t="str">
        <f t="shared" si="327"/>
        <v>5_23_5</v>
      </c>
      <c r="F282" s="4" t="str">
        <f ca="1">VLOOKUP($D282,OFFSET([1]stages!$A$1,0,0,COUNTA([1]stages!$A:$A),MATCH(F$1,[1]stages!$2:$2,0)-MATCH($D$1,[1]stages!$2:$2,0)+1),MATCH(F$1,[1]stages!$2:$2,0)-MATCH($D$1,[1]stages!$2:$2,0)+1,FALSE)</f>
        <v>23-5．目醒めの子どもたち</v>
      </c>
      <c r="G282" s="55">
        <v>2</v>
      </c>
      <c r="H282" s="17" t="str">
        <f t="shared" si="328"/>
        <v>23_5-2</v>
      </c>
      <c r="I282" s="17"/>
      <c r="J282" s="17"/>
      <c r="K282" s="65" t="s">
        <v>56</v>
      </c>
      <c r="L282" s="52">
        <v>59</v>
      </c>
      <c r="M282" s="21" t="str">
        <f ca="1">VLOOKUP($L282,OFFSET([2]enemies!$A$1,0,0,COUNTA([2]enemies!$A:$A),MATCH(M$1,[2]enemies!$1:$1,0)-MATCH($L$1,[2]enemies!$1:$1,0)+1),MATCH(M$1,[2]enemies!$1:$1,0)-MATCH($L$1,[2]enemies!$1:$1,0)+1,FALSE)</f>
        <v>マーチ</v>
      </c>
      <c r="N282" s="21" t="str">
        <f ca="1">VLOOKUP($L282,OFFSET([2]enemies!$A$1,0,0,COUNTA([2]enemies!$A:$A),MATCH(N$1,[2]enemies!$1:$1,0)-MATCH($L$1,[2]enemies!$1:$1,0)+1),MATCH(N$1,[2]enemies!$1:$1,0)-MATCH($L$1,[2]enemies!$1:$1,0)+1,FALSE)</f>
        <v>green</v>
      </c>
      <c r="O282" s="21" t="str">
        <f ca="1">VLOOKUP($L282,OFFSET([3]characters!$A$1,0,0,COUNTA([3]characters!$A:$A),MATCH(O$1,[3]characters!$1:$1,0)-MATCH($L$1,[3]characters!$1:$1,0)+1),MATCH(O$1,[3]characters!$1:$1,0)-MATCH($L$1,[3]characters!$1:$1,0)+1,FALSE)</f>
        <v>Drop1N</v>
      </c>
      <c r="P282" s="21" t="str">
        <f ca="1">VLOOKUP($L282,OFFSET([2]enemies!$A$1,0,0,COUNTA([2]enemies!$A:$A),MATCH(P$1,[2]enemies!$1:$1,0)-MATCH($L$1,[2]enemies!$1:$1,0)+1),MATCH(P$1,[2]enemies!$1:$1,0)-MATCH($L$1,[2]enemies!$1:$1,0)+1,FALSE)</f>
        <v>animal</v>
      </c>
      <c r="Q282" s="21">
        <f ca="1">VLOOKUP($L282,OFFSET([2]enemies!$A$1,0,0,COUNTA([2]enemies!$A:$A),MATCH(Q$1,[2]enemies!$1:$1,0)-MATCH($L$1,[2]enemies!$1:$1,0)+1),MATCH(Q$1,[2]enemies!$1:$1,0)-MATCH($L$1,[2]enemies!$1:$1,0)+1,FALSE)</f>
        <v>15</v>
      </c>
      <c r="R282" s="53">
        <v>50</v>
      </c>
      <c r="S282" s="27">
        <v>1.1000000000000001</v>
      </c>
      <c r="T282" s="27">
        <v>1</v>
      </c>
      <c r="U282" s="5">
        <v>0</v>
      </c>
      <c r="V282" s="4" t="str">
        <f ca="1">VLOOKUP($W282,OFFSET([4]enemy_skill_sets!$B$1,0,0,COUNTA([4]enemy_skill_sets!$B:$B),MATCH(M$1,[4]enemy_skill_sets!$1:$1,0)-MATCH($W$1,[4]enemy_skill_sets!$1:$1,0)+2),MATCH(M$1,[4]enemy_skill_sets!$1:$1,0)-MATCH($W$1,[4]enemy_skill_sets!$1:$1,0)+2,FALSE)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82" s="4">
        <f ca="1">VLOOKUP($L282,OFFSET([2]enemies!$A$1,0,0,COUNTA([2]enemies!$A:$A),MATCH(W$1,[2]enemies!$1:$1,0)-MATCH($L$1,[2]enemies!$1:$1,0)+1),MATCH(W$1,[2]enemies!$1:$1,0)-MATCH($L$1,[2]enemies!$1:$1,0)+1,FALSE)</f>
        <v>59</v>
      </c>
      <c r="X282" s="6">
        <v>0</v>
      </c>
      <c r="Y282" s="6">
        <v>100</v>
      </c>
      <c r="Z282" s="6">
        <v>0</v>
      </c>
      <c r="AA282" s="4">
        <f ca="1">VLOOKUP($L282,OFFSET([2]enemies!$A$1,0,0,COUNTA([2]enemies!$A:$A),MATCH(AA$1,[2]enemies!$1:$1,0)-MATCH($L$1,[2]enemies!$1:$1,0)+1),MATCH(AA$1,[2]enemies!$1:$1,0)-MATCH($L$1,[2]enemies!$1:$1,0)+1,FALSE)</f>
        <v>2</v>
      </c>
      <c r="AB282" s="52">
        <v>59</v>
      </c>
      <c r="AC282" s="4" t="str">
        <f ca="1">VLOOKUP($AB282,OFFSET([3]characters!$A$1,0,0,COUNTA([3]characters!$A:$A),MATCH(AC$1,[3]characters!$1:$1,0)-MATCH("character_id",[3]characters!$1:$1,0)+1),MATCH(AC$1,[3]characters!$1:$1,0)-MATCH("character_id",[3]characters!$1:$1,0)+1,FALSE)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282" s="4">
        <f ca="1">VLOOKUP($AB282,OFFSET([3]characters!$A$1,0,0,COUNTA([3]characters!$A:$A),MATCH(AD$1,[3]characters!$1:$1,0)-MATCH("character_id",[3]characters!$1:$1,0)+1),MATCH(AD$1,[3]characters!$1:$1,0)-MATCH("character_id",[3]characters!$1:$1,0)+1,FALSE)</f>
        <v>2</v>
      </c>
      <c r="AE282" s="4" t="str">
        <f ca="1">VLOOKUP($AB282,OFFSET([3]characters!$A$1,0,0,COUNTA([3]characters!$A:$A),MATCH(AE$1,[3]characters!$1:$1,0)-MATCH("character_id",[3]characters!$1:$1,0)+1),MATCH(AE$1,[3]characters!$1:$1,0)-MATCH("character_id",[3]characters!$1:$1,0)+1,FALSE)</f>
        <v>Drop1N</v>
      </c>
      <c r="AF282" s="7">
        <v>7</v>
      </c>
      <c r="AG282" s="26">
        <f t="shared" ca="1" si="305"/>
        <v>2</v>
      </c>
      <c r="AH282" s="8">
        <v>20</v>
      </c>
      <c r="AI282" s="7">
        <v>0</v>
      </c>
      <c r="AJ282" s="7">
        <v>0</v>
      </c>
      <c r="AK282" s="7">
        <v>0</v>
      </c>
      <c r="AL282" s="7">
        <v>0</v>
      </c>
      <c r="AM282" s="7">
        <v>1</v>
      </c>
    </row>
    <row r="283" spans="1:39" ht="14" x14ac:dyDescent="0.15">
      <c r="A283" s="18" t="str">
        <f t="shared" ca="1" si="326"/>
        <v>23_5-2/43&lt;lv50&gt;s2</v>
      </c>
      <c r="B283" s="50">
        <v>23</v>
      </c>
      <c r="C283" s="49">
        <v>5</v>
      </c>
      <c r="D283" s="2" t="str">
        <f t="shared" si="327"/>
        <v>23_5</v>
      </c>
      <c r="E283" s="2" t="str">
        <f t="shared" si="327"/>
        <v>5_23_5</v>
      </c>
      <c r="F283" s="4" t="str">
        <f ca="1">VLOOKUP($D283,OFFSET([1]stages!$A$1,0,0,COUNTA([1]stages!$A:$A),MATCH(F$1,[1]stages!$2:$2,0)-MATCH($D$1,[1]stages!$2:$2,0)+1),MATCH(F$1,[1]stages!$2:$2,0)-MATCH($D$1,[1]stages!$2:$2,0)+1,FALSE)</f>
        <v>23-5．目醒めの子どもたち</v>
      </c>
      <c r="G283" s="55">
        <v>2</v>
      </c>
      <c r="H283" s="17" t="str">
        <f t="shared" si="328"/>
        <v>23_5-2</v>
      </c>
      <c r="I283" s="17"/>
      <c r="J283" s="17"/>
      <c r="K283" s="65" t="s">
        <v>56</v>
      </c>
      <c r="L283" s="52">
        <v>43</v>
      </c>
      <c r="M283" s="21" t="str">
        <f ca="1">VLOOKUP($L283,OFFSET([2]enemies!$A$1,0,0,COUNTA([2]enemies!$A:$A),MATCH(M$1,[2]enemies!$1:$1,0)-MATCH($L$1,[2]enemies!$1:$1,0)+1),MATCH(M$1,[2]enemies!$1:$1,0)-MATCH($L$1,[2]enemies!$1:$1,0)+1,FALSE)</f>
        <v>ムゥ</v>
      </c>
      <c r="N283" s="21" t="str">
        <f ca="1">VLOOKUP($L283,OFFSET([2]enemies!$A$1,0,0,COUNTA([2]enemies!$A:$A),MATCH(N$1,[2]enemies!$1:$1,0)-MATCH($L$1,[2]enemies!$1:$1,0)+1),MATCH(N$1,[2]enemies!$1:$1,0)-MATCH($L$1,[2]enemies!$1:$1,0)+1,FALSE)</f>
        <v>green</v>
      </c>
      <c r="O283" s="21" t="str">
        <f ca="1">VLOOKUP($L283,OFFSET([3]characters!$A$1,0,0,COUNTA([3]characters!$A:$A),MATCH(O$1,[3]characters!$1:$1,0)-MATCH($L$1,[3]characters!$1:$1,0)+1),MATCH(O$1,[3]characters!$1:$1,0)-MATCH($L$1,[3]characters!$1:$1,0)+1,FALSE)</f>
        <v>Drop1N</v>
      </c>
      <c r="P283" s="21" t="str">
        <f ca="1">VLOOKUP($L283,OFFSET([2]enemies!$A$1,0,0,COUNTA([2]enemies!$A:$A),MATCH(P$1,[2]enemies!$1:$1,0)-MATCH($L$1,[2]enemies!$1:$1,0)+1),MATCH(P$1,[2]enemies!$1:$1,0)-MATCH($L$1,[2]enemies!$1:$1,0)+1,FALSE)</f>
        <v>dragon</v>
      </c>
      <c r="Q283" s="21">
        <f ca="1">VLOOKUP($L283,OFFSET([2]enemies!$A$1,0,0,COUNTA([2]enemies!$A:$A),MATCH(Q$1,[2]enemies!$1:$1,0)-MATCH($L$1,[2]enemies!$1:$1,0)+1),MATCH(Q$1,[2]enemies!$1:$1,0)-MATCH($L$1,[2]enemies!$1:$1,0)+1,FALSE)</f>
        <v>15</v>
      </c>
      <c r="R283" s="53">
        <v>50</v>
      </c>
      <c r="S283" s="27">
        <v>1.1000000000000001</v>
      </c>
      <c r="T283" s="27">
        <v>1</v>
      </c>
      <c r="U283" s="5">
        <v>0</v>
      </c>
      <c r="V283" s="4" t="str">
        <f ca="1">VLOOKUP($W283,OFFSET([4]enemy_skill_sets!$B$1,0,0,COUNTA([4]enemy_skill_sets!$B:$B),MATCH(M$1,[4]enemy_skill_sets!$1:$1,0)-MATCH($W$1,[4]enemy_skill_sets!$1:$1,0)+2),MATCH(M$1,[4]enemy_skill_sets!$1:$1,0)-MATCH($W$1,[4]enemy_skill_sets!$1:$1,0)+2,FALSE)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83" s="4">
        <f ca="1">VLOOKUP($L283,OFFSET([2]enemies!$A$1,0,0,COUNTA([2]enemies!$A:$A),MATCH(W$1,[2]enemies!$1:$1,0)-MATCH($L$1,[2]enemies!$1:$1,0)+1),MATCH(W$1,[2]enemies!$1:$1,0)-MATCH($L$1,[2]enemies!$1:$1,0)+1,FALSE)</f>
        <v>0</v>
      </c>
      <c r="X283" s="6">
        <v>0</v>
      </c>
      <c r="Y283" s="6">
        <v>100</v>
      </c>
      <c r="Z283" s="6">
        <v>0</v>
      </c>
      <c r="AA283" s="4">
        <f ca="1">VLOOKUP($L283,OFFSET([2]enemies!$A$1,0,0,COUNTA([2]enemies!$A:$A),MATCH(AA$1,[2]enemies!$1:$1,0)-MATCH($L$1,[2]enemies!$1:$1,0)+1),MATCH(AA$1,[2]enemies!$1:$1,0)-MATCH($L$1,[2]enemies!$1:$1,0)+1,FALSE)</f>
        <v>2</v>
      </c>
      <c r="AB283" s="52">
        <v>43</v>
      </c>
      <c r="AC283" s="4" t="str">
        <f ca="1">VLOOKUP($AB283,OFFSET([3]characters!$A$1,0,0,COUNTA([3]characters!$A:$A),MATCH(AC$1,[3]characters!$1:$1,0)-MATCH("character_id",[3]characters!$1:$1,0)+1),MATCH(AC$1,[3]characters!$1:$1,0)-MATCH("character_id",[3]characters!$1:$1,0)+1,FALSE)</f>
        <v>ムゥ</v>
      </c>
      <c r="AD283" s="4">
        <f ca="1">VLOOKUP($AB283,OFFSET([3]characters!$A$1,0,0,COUNTA([3]characters!$A:$A),MATCH(AD$1,[3]characters!$1:$1,0)-MATCH("character_id",[3]characters!$1:$1,0)+1),MATCH(AD$1,[3]characters!$1:$1,0)-MATCH("character_id",[3]characters!$1:$1,0)+1,FALSE)</f>
        <v>2</v>
      </c>
      <c r="AE283" s="4" t="str">
        <f ca="1">VLOOKUP($AB283,OFFSET([3]characters!$A$1,0,0,COUNTA([3]characters!$A:$A),MATCH(AE$1,[3]characters!$1:$1,0)-MATCH("character_id",[3]characters!$1:$1,0)+1),MATCH(AE$1,[3]characters!$1:$1,0)-MATCH("character_id",[3]characters!$1:$1,0)+1,FALSE)</f>
        <v>Drop1N</v>
      </c>
      <c r="AF283" s="7">
        <v>7</v>
      </c>
      <c r="AG283" s="26">
        <f t="shared" ca="1" si="305"/>
        <v>2</v>
      </c>
      <c r="AH283" s="8">
        <v>20</v>
      </c>
      <c r="AI283" s="7">
        <v>0</v>
      </c>
      <c r="AJ283" s="7">
        <v>0</v>
      </c>
      <c r="AK283" s="7">
        <v>0</v>
      </c>
      <c r="AL283" s="7">
        <v>0</v>
      </c>
      <c r="AM283" s="7">
        <v>1</v>
      </c>
    </row>
    <row r="284" spans="1:39" ht="14" x14ac:dyDescent="0.15">
      <c r="A284" s="18" t="str">
        <f t="shared" ref="A284" ca="1" si="337">B284&amp;"_"&amp;C284&amp;"-"&amp;G284&amp;"/"&amp;L284&amp;"&lt;lv"&amp;R284&amp;"&gt;s"&amp;AA284</f>
        <v>23_5-2/362&lt;lv50&gt;s3</v>
      </c>
      <c r="B284" s="53">
        <v>23</v>
      </c>
      <c r="C284" s="51">
        <v>5</v>
      </c>
      <c r="D284" s="2" t="str">
        <f t="shared" ref="D284" si="338">B284&amp;"_"&amp;C284</f>
        <v>23_5</v>
      </c>
      <c r="E284" s="2" t="str">
        <f t="shared" ref="E284" si="339">C284&amp;"_"&amp;D284</f>
        <v>5_23_5</v>
      </c>
      <c r="F284" s="4" t="str">
        <f ca="1">VLOOKUP($D284,OFFSET([1]stages!$A$1,0,0,COUNTA([1]stages!$A:$A),MATCH(F$1,[1]stages!$2:$2,0)-MATCH($D$1,[1]stages!$2:$2,0)+1),MATCH(F$1,[1]stages!$2:$2,0)-MATCH($D$1,[1]stages!$2:$2,0)+1,FALSE)</f>
        <v>23-5．目醒めの子どもたち</v>
      </c>
      <c r="G284" s="55">
        <v>2</v>
      </c>
      <c r="H284" s="17" t="str">
        <f t="shared" ref="H284" si="340">B284&amp;"_"&amp;C284&amp;"-"&amp;G284</f>
        <v>23_5-2</v>
      </c>
      <c r="I284" s="17"/>
      <c r="J284" s="17"/>
      <c r="K284" s="65" t="s">
        <v>56</v>
      </c>
      <c r="L284" s="52">
        <v>362</v>
      </c>
      <c r="M284" s="21" t="str">
        <f ca="1">VLOOKUP($L284,OFFSET([2]enemies!$A$1,0,0,COUNTA([2]enemies!$A:$A),MATCH(M$1,[2]enemies!$1:$1,0)-MATCH($L$1,[2]enemies!$1:$1,0)+1),MATCH(M$1,[2]enemies!$1:$1,0)-MATCH($L$1,[2]enemies!$1:$1,0)+1,FALSE)</f>
        <v>ゆらら</v>
      </c>
      <c r="N284" s="21" t="str">
        <f ca="1">VLOOKUP($L284,OFFSET([2]enemies!$A$1,0,0,COUNTA([2]enemies!$A:$A),MATCH(N$1,[2]enemies!$1:$1,0)-MATCH($L$1,[2]enemies!$1:$1,0)+1),MATCH(N$1,[2]enemies!$1:$1,0)-MATCH($L$1,[2]enemies!$1:$1,0)+1,FALSE)</f>
        <v>green</v>
      </c>
      <c r="O284" s="21" t="str">
        <f ca="1">VLOOKUP($L284,OFFSET([3]characters!$A$1,0,0,COUNTA([3]characters!$A:$A),MATCH(O$1,[3]characters!$1:$1,0)-MATCH($L$1,[3]characters!$1:$1,0)+1),MATCH(O$1,[3]characters!$1:$1,0)-MATCH($L$1,[3]characters!$1:$1,0)+1,FALSE)</f>
        <v>Drop1S</v>
      </c>
      <c r="P284" s="21" t="str">
        <f ca="1">VLOOKUP($L284,OFFSET([2]enemies!$A$1,0,0,COUNTA([2]enemies!$A:$A),MATCH(P$1,[2]enemies!$1:$1,0)-MATCH($L$1,[2]enemies!$1:$1,0)+1),MATCH(P$1,[2]enemies!$1:$1,0)-MATCH($L$1,[2]enemies!$1:$1,0)+1,FALSE)</f>
        <v>animal</v>
      </c>
      <c r="Q284" s="21">
        <f ca="1">VLOOKUP($L284,OFFSET([2]enemies!$A$1,0,0,COUNTA([2]enemies!$A:$A),MATCH(Q$1,[2]enemies!$1:$1,0)-MATCH($L$1,[2]enemies!$1:$1,0)+1),MATCH(Q$1,[2]enemies!$1:$1,0)-MATCH($L$1,[2]enemies!$1:$1,0)+1,FALSE)</f>
        <v>15</v>
      </c>
      <c r="R284" s="53">
        <v>50</v>
      </c>
      <c r="S284" s="27">
        <v>1.1000000000000001</v>
      </c>
      <c r="T284" s="27">
        <v>1</v>
      </c>
      <c r="U284" s="5">
        <v>0</v>
      </c>
      <c r="V284" s="4" t="str">
        <f ca="1">VLOOKUP($W284,OFFSET([4]enemy_skill_sets!$B$1,0,0,COUNTA([4]enemy_skill_sets!$B:$B),MATCH(M$1,[4]enemy_skill_sets!$1:$1,0)-MATCH($W$1,[4]enemy_skill_sets!$1:$1,0)+2),MATCH(M$1,[4]enemy_skill_sets!$1:$1,0)-MATCH($W$1,[4]enemy_skill_sets!$1:$1,0)+2,FALSE)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84" s="64">
        <v>362</v>
      </c>
      <c r="X284" s="6">
        <v>0</v>
      </c>
      <c r="Y284" s="6">
        <v>100</v>
      </c>
      <c r="Z284" s="6">
        <v>0</v>
      </c>
      <c r="AA284" s="4">
        <f ca="1">VLOOKUP($L284,OFFSET([2]enemies!$A$1,0,0,COUNTA([2]enemies!$A:$A),MATCH(AA$1,[2]enemies!$1:$1,0)-MATCH($L$1,[2]enemies!$1:$1,0)+1),MATCH(AA$1,[2]enemies!$1:$1,0)-MATCH($L$1,[2]enemies!$1:$1,0)+1,FALSE)</f>
        <v>3</v>
      </c>
      <c r="AB284" s="52">
        <v>362</v>
      </c>
      <c r="AC284" s="4" t="str">
        <f ca="1">VLOOKUP($AB284,OFFSET([3]characters!$A$1,0,0,COUNTA([3]characters!$A:$A),MATCH(AC$1,[3]characters!$1:$1,0)-MATCH("character_id",[3]characters!$1:$1,0)+1),MATCH(AC$1,[3]characters!$1:$1,0)-MATCH("character_id",[3]characters!$1:$1,0)+1,FALSE)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84" s="4">
        <f ca="1">VLOOKUP($AB284,OFFSET([3]characters!$A$1,0,0,COUNTA([3]characters!$A:$A),MATCH(AD$1,[3]characters!$1:$1,0)-MATCH("character_id",[3]characters!$1:$1,0)+1),MATCH(AD$1,[3]characters!$1:$1,0)-MATCH("character_id",[3]characters!$1:$1,0)+1,FALSE)</f>
        <v>2</v>
      </c>
      <c r="AE284" s="4" t="str">
        <f ca="1">VLOOKUP($AB284,OFFSET([3]characters!$A$1,0,0,COUNTA([3]characters!$A:$A),MATCH(AE$1,[3]characters!$1:$1,0)-MATCH("character_id",[3]characters!$1:$1,0)+1),MATCH(AE$1,[3]characters!$1:$1,0)-MATCH("character_id",[3]characters!$1:$1,0)+1,FALSE)</f>
        <v>Drop1S</v>
      </c>
      <c r="AF284" s="7">
        <v>7</v>
      </c>
      <c r="AG284" s="26">
        <f t="shared" ca="1" si="305"/>
        <v>2</v>
      </c>
      <c r="AH284" s="8">
        <v>20</v>
      </c>
      <c r="AI284" s="7">
        <v>0</v>
      </c>
      <c r="AJ284" s="7">
        <v>0</v>
      </c>
      <c r="AK284" s="7">
        <v>0</v>
      </c>
      <c r="AL284" s="7">
        <v>0</v>
      </c>
      <c r="AM284" s="7">
        <v>1</v>
      </c>
    </row>
    <row r="285" spans="1:39" ht="14" x14ac:dyDescent="0.15">
      <c r="A285" s="18" t="str">
        <f t="shared" ref="A285" ca="1" si="341">B285&amp;"_"&amp;C285&amp;"-"&amp;G285&amp;"/"&amp;L285&amp;"&lt;lv"&amp;R285&amp;"&gt;s"&amp;AA285</f>
        <v>23_5-2/350&lt;lv50&gt;s3</v>
      </c>
      <c r="B285" s="53">
        <v>23</v>
      </c>
      <c r="C285" s="51">
        <v>5</v>
      </c>
      <c r="D285" s="2" t="str">
        <f t="shared" ref="D285" si="342">B285&amp;"_"&amp;C285</f>
        <v>23_5</v>
      </c>
      <c r="E285" s="2" t="str">
        <f t="shared" ref="E285" si="343">C285&amp;"_"&amp;D285</f>
        <v>5_23_5</v>
      </c>
      <c r="F285" s="4" t="str">
        <f ca="1">VLOOKUP($D285,OFFSET([1]stages!$A$1,0,0,COUNTA([1]stages!$A:$A),MATCH(F$1,[1]stages!$2:$2,0)-MATCH($D$1,[1]stages!$2:$2,0)+1),MATCH(F$1,[1]stages!$2:$2,0)-MATCH($D$1,[1]stages!$2:$2,0)+1,FALSE)</f>
        <v>23-5．目醒めの子どもたち</v>
      </c>
      <c r="G285" s="55">
        <v>2</v>
      </c>
      <c r="H285" s="17" t="str">
        <f t="shared" ref="H285" si="344">B285&amp;"_"&amp;C285&amp;"-"&amp;G285</f>
        <v>23_5-2</v>
      </c>
      <c r="I285" s="17"/>
      <c r="J285" s="17"/>
      <c r="K285" s="65" t="s">
        <v>56</v>
      </c>
      <c r="L285" s="52">
        <v>350</v>
      </c>
      <c r="M285" s="21" t="str">
        <f ca="1">VLOOKUP($L285,OFFSET([2]enemies!$A$1,0,0,COUNTA([2]enemies!$A:$A),MATCH(M$1,[2]enemies!$1:$1,0)-MATCH($L$1,[2]enemies!$1:$1,0)+1),MATCH(M$1,[2]enemies!$1:$1,0)-MATCH($L$1,[2]enemies!$1:$1,0)+1,FALSE)</f>
        <v>森のケロケロ</v>
      </c>
      <c r="N285" s="21" t="str">
        <f ca="1">VLOOKUP($L285,OFFSET([2]enemies!$A$1,0,0,COUNTA([2]enemies!$A:$A),MATCH(N$1,[2]enemies!$1:$1,0)-MATCH($L$1,[2]enemies!$1:$1,0)+1),MATCH(N$1,[2]enemies!$1:$1,0)-MATCH($L$1,[2]enemies!$1:$1,0)+1,FALSE)</f>
        <v>green</v>
      </c>
      <c r="O285" s="21" t="str">
        <f ca="1">VLOOKUP($L285,OFFSET([3]characters!$A$1,0,0,COUNTA([3]characters!$A:$A),MATCH(O$1,[3]characters!$1:$1,0)-MATCH($L$1,[3]characters!$1:$1,0)+1),MATCH(O$1,[3]characters!$1:$1,0)-MATCH($L$1,[3]characters!$1:$1,0)+1,FALSE)</f>
        <v>Material</v>
      </c>
      <c r="P285" s="21" t="str">
        <f ca="1">VLOOKUP($L285,OFFSET([2]enemies!$A$1,0,0,COUNTA([2]enemies!$A:$A),MATCH(P$1,[2]enemies!$1:$1,0)-MATCH($L$1,[2]enemies!$1:$1,0)+1),MATCH(P$1,[2]enemies!$1:$1,0)-MATCH($L$1,[2]enemies!$1:$1,0)+1,FALSE)</f>
        <v>unknown</v>
      </c>
      <c r="Q285" s="21">
        <f ca="1">VLOOKUP($L285,OFFSET([2]enemies!$A$1,0,0,COUNTA([2]enemies!$A:$A),MATCH(Q$1,[2]enemies!$1:$1,0)-MATCH($L$1,[2]enemies!$1:$1,0)+1),MATCH(Q$1,[2]enemies!$1:$1,0)-MATCH($L$1,[2]enemies!$1:$1,0)+1,FALSE)</f>
        <v>15</v>
      </c>
      <c r="R285" s="53">
        <v>50</v>
      </c>
      <c r="S285" s="27">
        <v>1</v>
      </c>
      <c r="T285" s="27">
        <v>1</v>
      </c>
      <c r="U285" s="5">
        <v>0</v>
      </c>
      <c r="V285" s="4" t="str">
        <f ca="1">VLOOKUP($W285,OFFSET([4]enemy_skill_sets!$B$1,0,0,COUNTA([4]enemy_skill_sets!$B:$B),MATCH(M$1,[4]enemy_skill_sets!$1:$1,0)-MATCH($W$1,[4]enemy_skill_sets!$1:$1,0)+2),MATCH(M$1,[4]enemy_skill_sets!$1:$1,0)-MATCH($W$1,[4]enemy_skill_sets!$1:$1,0)+2,FALSE)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85" s="64">
        <v>350</v>
      </c>
      <c r="X285" s="6">
        <v>0</v>
      </c>
      <c r="Y285" s="6">
        <v>100</v>
      </c>
      <c r="Z285" s="6">
        <v>0</v>
      </c>
      <c r="AA285" s="4">
        <f ca="1">VLOOKUP($L285,OFFSET([2]enemies!$A$1,0,0,COUNTA([2]enemies!$A:$A),MATCH(AA$1,[2]enemies!$1:$1,0)-MATCH($L$1,[2]enemies!$1:$1,0)+1),MATCH(AA$1,[2]enemies!$1:$1,0)-MATCH($L$1,[2]enemies!$1:$1,0)+1,FALSE)</f>
        <v>3</v>
      </c>
      <c r="AB285" s="52">
        <v>350</v>
      </c>
      <c r="AC285" s="4" t="str">
        <f ca="1">VLOOKUP($AB285,OFFSET([3]characters!$A$1,0,0,COUNTA([3]characters!$A:$A),MATCH(AC$1,[3]characters!$1:$1,0)-MATCH("character_id",[3]characters!$1:$1,0)+1),MATCH(AC$1,[3]characters!$1:$1,0)-MATCH("character_id",[3]characters!$1:$1,0)+1,FALSE)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85" s="4">
        <f ca="1">VLOOKUP($AB285,OFFSET([3]characters!$A$1,0,0,COUNTA([3]characters!$A:$A),MATCH(AD$1,[3]characters!$1:$1,0)-MATCH("character_id",[3]characters!$1:$1,0)+1),MATCH(AD$1,[3]characters!$1:$1,0)-MATCH("character_id",[3]characters!$1:$1,0)+1,FALSE)</f>
        <v>2</v>
      </c>
      <c r="AE285" s="4" t="str">
        <f ca="1">VLOOKUP($AB285,OFFSET([3]characters!$A$1,0,0,COUNTA([3]characters!$A:$A),MATCH(AE$1,[3]characters!$1:$1,0)-MATCH("character_id",[3]characters!$1:$1,0)+1),MATCH(AE$1,[3]characters!$1:$1,0)-MATCH("character_id",[3]characters!$1:$1,0)+1,FALSE)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85" s="7">
        <v>10</v>
      </c>
      <c r="AG285" s="26">
        <f t="shared" ca="1" si="305"/>
        <v>2</v>
      </c>
      <c r="AH285" s="8">
        <v>20</v>
      </c>
      <c r="AI285" s="7">
        <v>0</v>
      </c>
      <c r="AJ285" s="7">
        <v>0</v>
      </c>
      <c r="AK285" s="7">
        <v>0</v>
      </c>
      <c r="AL285" s="7">
        <v>0</v>
      </c>
      <c r="AM285" s="7">
        <v>1</v>
      </c>
    </row>
    <row r="286" spans="1:39" ht="14" x14ac:dyDescent="0.15">
      <c r="A286" s="18" t="str">
        <f t="shared" ca="1" si="326"/>
        <v>23_5-3/134&lt;lv48&gt;s3</v>
      </c>
      <c r="B286" s="50">
        <v>23</v>
      </c>
      <c r="C286" s="49">
        <v>5</v>
      </c>
      <c r="D286" s="2" t="str">
        <f t="shared" si="327"/>
        <v>23_5</v>
      </c>
      <c r="E286" s="2" t="str">
        <f t="shared" si="327"/>
        <v>5_23_5</v>
      </c>
      <c r="F286" s="4" t="str">
        <f ca="1">VLOOKUP($D286,OFFSET([1]stages!$A$1,0,0,COUNTA([1]stages!$A:$A),MATCH(F$1,[1]stages!$2:$2,0)-MATCH($D$1,[1]stages!$2:$2,0)+1),MATCH(F$1,[1]stages!$2:$2,0)-MATCH($D$1,[1]stages!$2:$2,0)+1,FALSE)</f>
        <v>23-5．目醒めの子どもたち</v>
      </c>
      <c r="G286" s="56">
        <v>3</v>
      </c>
      <c r="H286" s="17" t="str">
        <f t="shared" si="328"/>
        <v>23_5-3</v>
      </c>
      <c r="I286" s="17"/>
      <c r="J286" s="17"/>
      <c r="K286" s="65" t="s">
        <v>56</v>
      </c>
      <c r="L286" s="52">
        <v>134</v>
      </c>
      <c r="M286" s="21" t="str">
        <f ca="1">VLOOKUP($L286,OFFSET([2]enemies!$A$1,0,0,COUNTA([2]enemies!$A:$A),MATCH(M$1,[2]enemies!$1:$1,0)-MATCH($L$1,[2]enemies!$1:$1,0)+1),MATCH(M$1,[2]enemies!$1:$1,0)-MATCH($L$1,[2]enemies!$1:$1,0)+1,FALSE)</f>
        <v>妖炎の夕霧</v>
      </c>
      <c r="N286" s="21" t="str">
        <f ca="1">VLOOKUP($L286,OFFSET([2]enemies!$A$1,0,0,COUNTA([2]enemies!$A:$A),MATCH(N$1,[2]enemies!$1:$1,0)-MATCH($L$1,[2]enemies!$1:$1,0)+1),MATCH(N$1,[2]enemies!$1:$1,0)-MATCH($L$1,[2]enemies!$1:$1,0)+1,FALSE)</f>
        <v>red</v>
      </c>
      <c r="O286" s="21" t="str">
        <f ca="1">VLOOKUP($L286,OFFSET([3]characters!$A$1,0,0,COUNTA([3]characters!$A:$A),MATCH(O$1,[3]characters!$1:$1,0)-MATCH($L$1,[3]characters!$1:$1,0)+1),MATCH(O$1,[3]characters!$1:$1,0)-MATCH($L$1,[3]characters!$1:$1,0)+1,FALSE)</f>
        <v>PremiumW</v>
      </c>
      <c r="P286" s="21" t="str">
        <f ca="1">VLOOKUP($L286,OFFSET([2]enemies!$A$1,0,0,COUNTA([2]enemies!$A:$A),MATCH(P$1,[2]enemies!$1:$1,0)-MATCH($L$1,[2]enemies!$1:$1,0)+1),MATCH(P$1,[2]enemies!$1:$1,0)-MATCH($L$1,[2]enemies!$1:$1,0)+1,FALSE)</f>
        <v>human</v>
      </c>
      <c r="Q286" s="21">
        <f ca="1">VLOOKUP($L286,OFFSET([2]enemies!$A$1,0,0,COUNTA([2]enemies!$A:$A),MATCH(Q$1,[2]enemies!$1:$1,0)-MATCH($L$1,[2]enemies!$1:$1,0)+1),MATCH(Q$1,[2]enemies!$1:$1,0)-MATCH($L$1,[2]enemies!$1:$1,0)+1,FALSE)</f>
        <v>20</v>
      </c>
      <c r="R286" s="53">
        <v>48</v>
      </c>
      <c r="S286" s="27">
        <v>1.8</v>
      </c>
      <c r="T286" s="27">
        <v>1.3</v>
      </c>
      <c r="U286" s="5">
        <v>0</v>
      </c>
      <c r="V286" s="4" t="str">
        <f ca="1">VLOOKUP($W286,OFFSET([4]enemy_skill_sets!$B$1,0,0,COUNTA([4]enemy_skill_sets!$B:$B),MATCH(M$1,[4]enemy_skill_sets!$1:$1,0)-MATCH($W$1,[4]enemy_skill_sets!$1:$1,0)+2),MATCH(M$1,[4]enemy_skill_sets!$1:$1,0)-MATCH($W$1,[4]enemy_skill_sets!$1:$1,0)+2,FALSE)</f>
        <v>3ターンの間ダメージを受ける</v>
      </c>
      <c r="W286" s="4">
        <f ca="1">VLOOKUP($L286,OFFSET([2]enemies!$A$1,0,0,COUNTA([2]enemies!$A:$A),MATCH(W$1,[2]enemies!$1:$1,0)-MATCH($L$1,[2]enemies!$1:$1,0)+1),MATCH(W$1,[2]enemies!$1:$1,0)-MATCH($L$1,[2]enemies!$1:$1,0)+1,FALSE)</f>
        <v>134</v>
      </c>
      <c r="X286" s="6">
        <v>1</v>
      </c>
      <c r="Y286" s="6">
        <v>100</v>
      </c>
      <c r="Z286" s="6">
        <v>1</v>
      </c>
      <c r="AA286" s="4">
        <f ca="1">VLOOKUP($L286,OFFSET([2]enemies!$A$1,0,0,COUNTA([2]enemies!$A:$A),MATCH(AA$1,[2]enemies!$1:$1,0)-MATCH($L$1,[2]enemies!$1:$1,0)+1),MATCH(AA$1,[2]enemies!$1:$1,0)-MATCH($L$1,[2]enemies!$1:$1,0)+1,FALSE)</f>
        <v>3</v>
      </c>
      <c r="AB286" s="52">
        <v>134</v>
      </c>
      <c r="AC286" s="4" t="str">
        <f ca="1">VLOOKUP($AB286,OFFSET([3]characters!$A$1,0,0,COUNTA([3]characters!$A:$A),MATCH(AC$1,[3]characters!$1:$1,0)-MATCH("character_id",[3]characters!$1:$1,0)+1),MATCH(AC$1,[3]characters!$1:$1,0)-MATCH("character_id",[3]characters!$1:$1,0)+1,FALSE)</f>
        <v>妖炎の夕霧</v>
      </c>
      <c r="AD286" s="4">
        <f ca="1">VLOOKUP($AB286,OFFSET([3]characters!$A$1,0,0,COUNTA([3]characters!$A:$A),MATCH(AD$1,[3]characters!$1:$1,0)-MATCH("character_id",[3]characters!$1:$1,0)+1),MATCH(AD$1,[3]characters!$1:$1,0)-MATCH("character_id",[3]characters!$1:$1,0)+1,FALSE)</f>
        <v>3</v>
      </c>
      <c r="AE286" s="4" t="str">
        <f ca="1">VLOOKUP($AB286,OFFSET([3]characters!$A$1,0,0,COUNTA([3]characters!$A:$A),MATCH(AE$1,[3]characters!$1:$1,0)-MATCH("character_id",[3]characters!$1:$1,0)+1),MATCH(AE$1,[3]characters!$1:$1,0)-MATCH("character_id",[3]characters!$1:$1,0)+1,FALSE)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286" s="7">
        <v>1</v>
      </c>
      <c r="AG286" s="26">
        <f t="shared" ca="1" si="305"/>
        <v>3</v>
      </c>
      <c r="AH286" s="8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1</v>
      </c>
    </row>
    <row r="287" spans="1:39" ht="14" x14ac:dyDescent="0.15">
      <c r="A287" s="18" t="str">
        <f t="shared" ref="A287" ca="1" si="345">B287&amp;"_"&amp;C287&amp;"-"&amp;G287&amp;"/"&amp;L287&amp;"&lt;lv"&amp;R287&amp;"&gt;s"&amp;AA287</f>
        <v>23_5-3/23&lt;lv50&gt;s4</v>
      </c>
      <c r="B287" s="53">
        <v>23</v>
      </c>
      <c r="C287" s="51">
        <v>5</v>
      </c>
      <c r="D287" s="2" t="str">
        <f t="shared" ref="D287" si="346">B287&amp;"_"&amp;C287</f>
        <v>23_5</v>
      </c>
      <c r="E287" s="2" t="str">
        <f t="shared" ref="E287" si="347">C287&amp;"_"&amp;D287</f>
        <v>5_23_5</v>
      </c>
      <c r="F287" s="4" t="str">
        <f ca="1">VLOOKUP($D287,OFFSET([1]stages!$A$1,0,0,COUNTA([1]stages!$A:$A),MATCH(F$1,[1]stages!$2:$2,0)-MATCH($D$1,[1]stages!$2:$2,0)+1),MATCH(F$1,[1]stages!$2:$2,0)-MATCH($D$1,[1]stages!$2:$2,0)+1,FALSE)</f>
        <v>23-5．目醒めの子どもたち</v>
      </c>
      <c r="G287" s="56">
        <v>3</v>
      </c>
      <c r="H287" s="17" t="str">
        <f t="shared" ref="H287" si="348">B287&amp;"_"&amp;C287&amp;"-"&amp;G287</f>
        <v>23_5-3</v>
      </c>
      <c r="I287" s="17"/>
      <c r="J287" s="17"/>
      <c r="K287" s="65" t="s">
        <v>56</v>
      </c>
      <c r="L287" s="52">
        <v>23</v>
      </c>
      <c r="M287" s="21" t="str">
        <f ca="1">VLOOKUP($L287,OFFSET([2]enemies!$A$1,0,0,COUNTA([2]enemies!$A:$A),MATCH(M$1,[2]enemies!$1:$1,0)-MATCH($L$1,[2]enemies!$1:$1,0)+1),MATCH(M$1,[2]enemies!$1:$1,0)-MATCH($L$1,[2]enemies!$1:$1,0)+1,FALSE)</f>
        <v>ミール</v>
      </c>
      <c r="N287" s="21" t="str">
        <f ca="1">VLOOKUP($L287,OFFSET([2]enemies!$A$1,0,0,COUNTA([2]enemies!$A:$A),MATCH(N$1,[2]enemies!$1:$1,0)-MATCH($L$1,[2]enemies!$1:$1,0)+1),MATCH(N$1,[2]enemies!$1:$1,0)-MATCH($L$1,[2]enemies!$1:$1,0)+1,FALSE)</f>
        <v>green</v>
      </c>
      <c r="O287" s="21" t="str">
        <f ca="1">VLOOKUP($L287,OFFSET([3]characters!$A$1,0,0,COUNTA([3]characters!$A:$A),MATCH(O$1,[3]characters!$1:$1,0)-MATCH($L$1,[3]characters!$1:$1,0)+1),MATCH(O$1,[3]characters!$1:$1,0)-MATCH($L$1,[3]characters!$1:$1,0)+1,FALSE)</f>
        <v>Drop1N</v>
      </c>
      <c r="P287" s="21" t="str">
        <f ca="1">VLOOKUP($L287,OFFSET([2]enemies!$A$1,0,0,COUNTA([2]enemies!$A:$A),MATCH(P$1,[2]enemies!$1:$1,0)-MATCH($L$1,[2]enemies!$1:$1,0)+1),MATCH(P$1,[2]enemies!$1:$1,0)-MATCH($L$1,[2]enemies!$1:$1,0)+1,FALSE)</f>
        <v>animal</v>
      </c>
      <c r="Q287" s="21">
        <f ca="1">VLOOKUP($L287,OFFSET([2]enemies!$A$1,0,0,COUNTA([2]enemies!$A:$A),MATCH(Q$1,[2]enemies!$1:$1,0)-MATCH($L$1,[2]enemies!$1:$1,0)+1),MATCH(Q$1,[2]enemies!$1:$1,0)-MATCH($L$1,[2]enemies!$1:$1,0)+1,FALSE)</f>
        <v>15</v>
      </c>
      <c r="R287" s="53">
        <v>50</v>
      </c>
      <c r="S287" s="27">
        <v>2</v>
      </c>
      <c r="T287" s="27">
        <v>1</v>
      </c>
      <c r="U287" s="5">
        <v>0</v>
      </c>
      <c r="V287" s="4" t="str">
        <f ca="1">VLOOKUP($W287,OFFSET([4]enemy_skill_sets!$B$1,0,0,COUNTA([4]enemy_skill_sets!$B:$B),MATCH(M$1,[4]enemy_skill_sets!$1:$1,0)-MATCH($W$1,[4]enemy_skill_sets!$1:$1,0)+2),MATCH(M$1,[4]enemy_skill_sets!$1:$1,0)-MATCH($W$1,[4]enemy_skill_sets!$1:$1,0)+2,FALSE)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87" s="4">
        <f ca="1">VLOOKUP($L287,OFFSET([2]enemies!$A$1,0,0,COUNTA([2]enemies!$A:$A),MATCH(W$1,[2]enemies!$1:$1,0)-MATCH($L$1,[2]enemies!$1:$1,0)+1),MATCH(W$1,[2]enemies!$1:$1,0)-MATCH($L$1,[2]enemies!$1:$1,0)+1,FALSE)</f>
        <v>0</v>
      </c>
      <c r="X287" s="6">
        <v>2</v>
      </c>
      <c r="Y287" s="6">
        <v>100</v>
      </c>
      <c r="Z287" s="6">
        <v>0</v>
      </c>
      <c r="AA287" s="4">
        <f ca="1">VLOOKUP($L287,OFFSET([2]enemies!$A$1,0,0,COUNTA([2]enemies!$A:$A),MATCH(AA$1,[2]enemies!$1:$1,0)-MATCH($L$1,[2]enemies!$1:$1,0)+1),MATCH(AA$1,[2]enemies!$1:$1,0)-MATCH($L$1,[2]enemies!$1:$1,0)+1,FALSE)</f>
        <v>4</v>
      </c>
      <c r="AB287" s="52">
        <v>23</v>
      </c>
      <c r="AC287" s="4" t="str">
        <f ca="1">VLOOKUP($AB287,OFFSET([3]characters!$A$1,0,0,COUNTA([3]characters!$A:$A),MATCH(AC$1,[3]characters!$1:$1,0)-MATCH("character_id",[3]characters!$1:$1,0)+1),MATCH(AC$1,[3]characters!$1:$1,0)-MATCH("character_id",[3]characters!$1:$1,0)+1,FALSE)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287" s="4">
        <f ca="1">VLOOKUP($AB287,OFFSET([3]characters!$A$1,0,0,COUNTA([3]characters!$A:$A),MATCH(AD$1,[3]characters!$1:$1,0)-MATCH("character_id",[3]characters!$1:$1,0)+1),MATCH(AD$1,[3]characters!$1:$1,0)-MATCH("character_id",[3]characters!$1:$1,0)+1,FALSE)</f>
        <v>1</v>
      </c>
      <c r="AE287" s="4" t="str">
        <f ca="1">VLOOKUP($AB287,OFFSET([3]characters!$A$1,0,0,COUNTA([3]characters!$A:$A),MATCH(AE$1,[3]characters!$1:$1,0)-MATCH("character_id",[3]characters!$1:$1,0)+1),MATCH(AE$1,[3]characters!$1:$1,0)-MATCH("character_id",[3]characters!$1:$1,0)+1,FALSE)</f>
        <v>Drop1N</v>
      </c>
      <c r="AF287" s="7">
        <v>7</v>
      </c>
      <c r="AG287" s="26">
        <f t="shared" ca="1" si="305"/>
        <v>1</v>
      </c>
      <c r="AH287" s="8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1</v>
      </c>
    </row>
    <row r="288" spans="1:39" ht="14" x14ac:dyDescent="0.15">
      <c r="A288" s="18" t="str">
        <f t="shared" ca="1" si="326"/>
        <v>23_5-4/33&lt;lv48&gt;s2</v>
      </c>
      <c r="B288" s="50">
        <v>23</v>
      </c>
      <c r="C288" s="49">
        <v>5</v>
      </c>
      <c r="D288" s="2" t="str">
        <f t="shared" si="327"/>
        <v>23_5</v>
      </c>
      <c r="E288" s="2" t="str">
        <f t="shared" si="327"/>
        <v>5_23_5</v>
      </c>
      <c r="F288" s="4" t="str">
        <f ca="1">VLOOKUP($D288,OFFSET([1]stages!$A$1,0,0,COUNTA([1]stages!$A:$A),MATCH(F$1,[1]stages!$2:$2,0)-MATCH($D$1,[1]stages!$2:$2,0)+1),MATCH(F$1,[1]stages!$2:$2,0)-MATCH($D$1,[1]stages!$2:$2,0)+1,FALSE)</f>
        <v>23-5．目醒めの子どもたち</v>
      </c>
      <c r="G288" s="57">
        <v>4</v>
      </c>
      <c r="H288" s="17" t="str">
        <f t="shared" si="328"/>
        <v>23_5-4</v>
      </c>
      <c r="I288" s="17"/>
      <c r="J288" s="17"/>
      <c r="K288" s="65" t="s">
        <v>56</v>
      </c>
      <c r="L288" s="52">
        <v>33</v>
      </c>
      <c r="M288" s="21" t="str">
        <f ca="1">VLOOKUP($L288,OFFSET([2]enemies!$A$1,0,0,COUNTA([2]enemies!$A:$A),MATCH(M$1,[2]enemies!$1:$1,0)-MATCH($L$1,[2]enemies!$1:$1,0)+1),MATCH(M$1,[2]enemies!$1:$1,0)-MATCH($L$1,[2]enemies!$1:$1,0)+1,FALSE)</f>
        <v>ゴクウ</v>
      </c>
      <c r="N288" s="21" t="str">
        <f ca="1">VLOOKUP($L288,OFFSET([2]enemies!$A$1,0,0,COUNTA([2]enemies!$A:$A),MATCH(N$1,[2]enemies!$1:$1,0)-MATCH($L$1,[2]enemies!$1:$1,0)+1),MATCH(N$1,[2]enemies!$1:$1,0)-MATCH($L$1,[2]enemies!$1:$1,0)+1,FALSE)</f>
        <v>red</v>
      </c>
      <c r="O288" s="21" t="str">
        <f ca="1">VLOOKUP($L288,OFFSET([3]characters!$A$1,0,0,COUNTA([3]characters!$A:$A),MATCH(O$1,[3]characters!$1:$1,0)-MATCH($L$1,[3]characters!$1:$1,0)+1),MATCH(O$1,[3]characters!$1:$1,0)-MATCH($L$1,[3]characters!$1:$1,0)+1,FALSE)</f>
        <v>Drop1S</v>
      </c>
      <c r="P288" s="21" t="str">
        <f ca="1">VLOOKUP($L288,OFFSET([2]enemies!$A$1,0,0,COUNTA([2]enemies!$A:$A),MATCH(P$1,[2]enemies!$1:$1,0)-MATCH($L$1,[2]enemies!$1:$1,0)+1),MATCH(P$1,[2]enemies!$1:$1,0)-MATCH($L$1,[2]enemies!$1:$1,0)+1,FALSE)</f>
        <v>animal</v>
      </c>
      <c r="Q288" s="21">
        <f ca="1">VLOOKUP($L288,OFFSET([2]enemies!$A$1,0,0,COUNTA([2]enemies!$A:$A),MATCH(Q$1,[2]enemies!$1:$1,0)-MATCH($L$1,[2]enemies!$1:$1,0)+1),MATCH(Q$1,[2]enemies!$1:$1,0)-MATCH($L$1,[2]enemies!$1:$1,0)+1,FALSE)</f>
        <v>15</v>
      </c>
      <c r="R288" s="53">
        <v>48</v>
      </c>
      <c r="S288" s="27">
        <v>1</v>
      </c>
      <c r="T288" s="27">
        <v>1</v>
      </c>
      <c r="U288" s="5">
        <v>0</v>
      </c>
      <c r="V288" s="4" t="str">
        <f ca="1">VLOOKUP($W288,OFFSET([4]enemy_skill_sets!$B$1,0,0,COUNTA([4]enemy_skill_sets!$B:$B),MATCH(M$1,[4]enemy_skill_sets!$1:$1,0)-MATCH($W$1,[4]enemy_skill_sets!$1:$1,0)+2),MATCH(M$1,[4]enemy_skill_sets!$1:$1,0)-MATCH($W$1,[4]enemy_skill_sets!$1:$1,0)+2,FALSE)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88" s="4">
        <f ca="1">VLOOKUP($L288,OFFSET([2]enemies!$A$1,0,0,COUNTA([2]enemies!$A:$A),MATCH(W$1,[2]enemies!$1:$1,0)-MATCH($L$1,[2]enemies!$1:$1,0)+1),MATCH(W$1,[2]enemies!$1:$1,0)-MATCH($L$1,[2]enemies!$1:$1,0)+1,FALSE)</f>
        <v>33</v>
      </c>
      <c r="X288" s="6">
        <v>0</v>
      </c>
      <c r="Y288" s="6">
        <v>100</v>
      </c>
      <c r="Z288" s="6">
        <v>0</v>
      </c>
      <c r="AA288" s="4">
        <f ca="1">VLOOKUP($L288,OFFSET([2]enemies!$A$1,0,0,COUNTA([2]enemies!$A:$A),MATCH(AA$1,[2]enemies!$1:$1,0)-MATCH($L$1,[2]enemies!$1:$1,0)+1),MATCH(AA$1,[2]enemies!$1:$1,0)-MATCH($L$1,[2]enemies!$1:$1,0)+1,FALSE)</f>
        <v>2</v>
      </c>
      <c r="AB288" s="52">
        <v>33</v>
      </c>
      <c r="AC288" s="4" t="str">
        <f ca="1">VLOOKUP($AB288,OFFSET([3]characters!$A$1,0,0,COUNTA([3]characters!$A:$A),MATCH(AC$1,[3]characters!$1:$1,0)-MATCH("character_id",[3]characters!$1:$1,0)+1),MATCH(AC$1,[3]characters!$1:$1,0)-MATCH("character_id",[3]characters!$1:$1,0)+1,FALSE)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288" s="4">
        <f ca="1">VLOOKUP($AB288,OFFSET([3]characters!$A$1,0,0,COUNTA([3]characters!$A:$A),MATCH(AD$1,[3]characters!$1:$1,0)-MATCH("character_id",[3]characters!$1:$1,0)+1),MATCH(AD$1,[3]characters!$1:$1,0)-MATCH("character_id",[3]characters!$1:$1,0)+1,FALSE)</f>
        <v>2</v>
      </c>
      <c r="AE288" s="4" t="str">
        <f ca="1">VLOOKUP($AB288,OFFSET([3]characters!$A$1,0,0,COUNTA([3]characters!$A:$A),MATCH(AE$1,[3]characters!$1:$1,0)-MATCH("character_id",[3]characters!$1:$1,0)+1),MATCH(AE$1,[3]characters!$1:$1,0)-MATCH("character_id",[3]characters!$1:$1,0)+1,FALSE)</f>
        <v>Drop1S</v>
      </c>
      <c r="AF288" s="7">
        <v>5</v>
      </c>
      <c r="AG288" s="26">
        <f t="shared" ca="1" si="305"/>
        <v>2</v>
      </c>
      <c r="AH288" s="8">
        <v>20</v>
      </c>
      <c r="AI288" s="7">
        <v>0</v>
      </c>
      <c r="AJ288" s="7">
        <v>0</v>
      </c>
      <c r="AK288" s="7">
        <v>0</v>
      </c>
      <c r="AL288" s="7">
        <v>0</v>
      </c>
      <c r="AM288" s="7">
        <v>1</v>
      </c>
    </row>
    <row r="289" spans="1:39" ht="14" x14ac:dyDescent="0.15">
      <c r="A289" s="18" t="str">
        <f t="shared" ca="1" si="326"/>
        <v>23_5-4/57&lt;lv48&gt;s2</v>
      </c>
      <c r="B289" s="50">
        <v>23</v>
      </c>
      <c r="C289" s="49">
        <v>5</v>
      </c>
      <c r="D289" s="2" t="str">
        <f t="shared" si="327"/>
        <v>23_5</v>
      </c>
      <c r="E289" s="2" t="str">
        <f t="shared" si="327"/>
        <v>5_23_5</v>
      </c>
      <c r="F289" s="4" t="str">
        <f ca="1">VLOOKUP($D289,OFFSET([1]stages!$A$1,0,0,COUNTA([1]stages!$A:$A),MATCH(F$1,[1]stages!$2:$2,0)-MATCH($D$1,[1]stages!$2:$2,0)+1),MATCH(F$1,[1]stages!$2:$2,0)-MATCH($D$1,[1]stages!$2:$2,0)+1,FALSE)</f>
        <v>23-5．目醒めの子どもたち</v>
      </c>
      <c r="G289" s="57">
        <v>4</v>
      </c>
      <c r="H289" s="17" t="str">
        <f t="shared" si="328"/>
        <v>23_5-4</v>
      </c>
      <c r="I289" s="17"/>
      <c r="J289" s="17"/>
      <c r="K289" s="65" t="s">
        <v>56</v>
      </c>
      <c r="L289" s="52">
        <v>57</v>
      </c>
      <c r="M289" s="21" t="str">
        <f ca="1">VLOOKUP($L289,OFFSET([2]enemies!$A$1,0,0,COUNTA([2]enemies!$A:$A),MATCH(M$1,[2]enemies!$1:$1,0)-MATCH($L$1,[2]enemies!$1:$1,0)+1),MATCH(M$1,[2]enemies!$1:$1,0)-MATCH($L$1,[2]enemies!$1:$1,0)+1,FALSE)</f>
        <v>チェン・リー</v>
      </c>
      <c r="N289" s="21" t="str">
        <f ca="1">VLOOKUP($L289,OFFSET([2]enemies!$A$1,0,0,COUNTA([2]enemies!$A:$A),MATCH(N$1,[2]enemies!$1:$1,0)-MATCH($L$1,[2]enemies!$1:$1,0)+1),MATCH(N$1,[2]enemies!$1:$1,0)-MATCH($L$1,[2]enemies!$1:$1,0)+1,FALSE)</f>
        <v>red</v>
      </c>
      <c r="O289" s="21" t="str">
        <f ca="1">VLOOKUP($L289,OFFSET([3]characters!$A$1,0,0,COUNTA([3]characters!$A:$A),MATCH(O$1,[3]characters!$1:$1,0)-MATCH($L$1,[3]characters!$1:$1,0)+1),MATCH(O$1,[3]characters!$1:$1,0)-MATCH($L$1,[3]characters!$1:$1,0)+1,FALSE)</f>
        <v>Drop1N</v>
      </c>
      <c r="P289" s="21" t="str">
        <f ca="1">VLOOKUP($L289,OFFSET([2]enemies!$A$1,0,0,COUNTA([2]enemies!$A:$A),MATCH(P$1,[2]enemies!$1:$1,0)-MATCH($L$1,[2]enemies!$1:$1,0)+1),MATCH(P$1,[2]enemies!$1:$1,0)-MATCH($L$1,[2]enemies!$1:$1,0)+1,FALSE)</f>
        <v>animal</v>
      </c>
      <c r="Q289" s="21">
        <f ca="1">VLOOKUP($L289,OFFSET([2]enemies!$A$1,0,0,COUNTA([2]enemies!$A:$A),MATCH(Q$1,[2]enemies!$1:$1,0)-MATCH($L$1,[2]enemies!$1:$1,0)+1),MATCH(Q$1,[2]enemies!$1:$1,0)-MATCH($L$1,[2]enemies!$1:$1,0)+1,FALSE)</f>
        <v>15</v>
      </c>
      <c r="R289" s="53">
        <v>48</v>
      </c>
      <c r="S289" s="27">
        <v>1</v>
      </c>
      <c r="T289" s="27">
        <v>1</v>
      </c>
      <c r="U289" s="5">
        <v>0</v>
      </c>
      <c r="V289" s="4" t="str">
        <f ca="1">VLOOKUP($W289,OFFSET([4]enemy_skill_sets!$B$1,0,0,COUNTA([4]enemy_skill_sets!$B:$B),MATCH(M$1,[4]enemy_skill_sets!$1:$1,0)-MATCH($W$1,[4]enemy_skill_sets!$1:$1,0)+2),MATCH(M$1,[4]enemy_skill_sets!$1:$1,0)-MATCH($W$1,[4]enemy_skill_sets!$1:$1,0)+2,FALSE)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289" s="4">
        <f ca="1">VLOOKUP($L289,OFFSET([2]enemies!$A$1,0,0,COUNTA([2]enemies!$A:$A),MATCH(W$1,[2]enemies!$1:$1,0)-MATCH($L$1,[2]enemies!$1:$1,0)+1),MATCH(W$1,[2]enemies!$1:$1,0)-MATCH($L$1,[2]enemies!$1:$1,0)+1,FALSE)</f>
        <v>57</v>
      </c>
      <c r="X289" s="6">
        <v>0</v>
      </c>
      <c r="Y289" s="6">
        <v>100</v>
      </c>
      <c r="Z289" s="6">
        <v>0</v>
      </c>
      <c r="AA289" s="4">
        <f ca="1">VLOOKUP($L289,OFFSET([2]enemies!$A$1,0,0,COUNTA([2]enemies!$A:$A),MATCH(AA$1,[2]enemies!$1:$1,0)-MATCH($L$1,[2]enemies!$1:$1,0)+1),MATCH(AA$1,[2]enemies!$1:$1,0)-MATCH($L$1,[2]enemies!$1:$1,0)+1,FALSE)</f>
        <v>2</v>
      </c>
      <c r="AB289" s="52">
        <v>57</v>
      </c>
      <c r="AC289" s="4" t="str">
        <f ca="1">VLOOKUP($AB289,OFFSET([3]characters!$A$1,0,0,COUNTA([3]characters!$A:$A),MATCH(AC$1,[3]characters!$1:$1,0)-MATCH("character_id",[3]characters!$1:$1,0)+1),MATCH(AC$1,[3]characters!$1:$1,0)-MATCH("character_id",[3]characters!$1:$1,0)+1,FALSE)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289" s="4">
        <f ca="1">VLOOKUP($AB289,OFFSET([3]characters!$A$1,0,0,COUNTA([3]characters!$A:$A),MATCH(AD$1,[3]characters!$1:$1,0)-MATCH("character_id",[3]characters!$1:$1,0)+1),MATCH(AD$1,[3]characters!$1:$1,0)-MATCH("character_id",[3]characters!$1:$1,0)+1,FALSE)</f>
        <v>2</v>
      </c>
      <c r="AE289" s="4" t="str">
        <f ca="1">VLOOKUP($AB289,OFFSET([3]characters!$A$1,0,0,COUNTA([3]characters!$A:$A),MATCH(AE$1,[3]characters!$1:$1,0)-MATCH("character_id",[3]characters!$1:$1,0)+1),MATCH(AE$1,[3]characters!$1:$1,0)-MATCH("character_id",[3]characters!$1:$1,0)+1,FALSE)</f>
        <v>Drop1N</v>
      </c>
      <c r="AF289" s="7">
        <v>7</v>
      </c>
      <c r="AG289" s="26">
        <f t="shared" ca="1" si="305"/>
        <v>2</v>
      </c>
      <c r="AH289" s="8">
        <v>20</v>
      </c>
      <c r="AI289" s="7">
        <v>0</v>
      </c>
      <c r="AJ289" s="7">
        <v>0</v>
      </c>
      <c r="AK289" s="7">
        <v>0</v>
      </c>
      <c r="AL289" s="7">
        <v>0</v>
      </c>
      <c r="AM289" s="7">
        <v>1</v>
      </c>
    </row>
    <row r="290" spans="1:39" ht="14" x14ac:dyDescent="0.15">
      <c r="A290" s="18" t="str">
        <f t="shared" ca="1" si="326"/>
        <v>23_5-4/59&lt;lv50&gt;s2</v>
      </c>
      <c r="B290" s="50">
        <v>23</v>
      </c>
      <c r="C290" s="49">
        <v>5</v>
      </c>
      <c r="D290" s="2" t="str">
        <f t="shared" si="327"/>
        <v>23_5</v>
      </c>
      <c r="E290" s="2" t="str">
        <f t="shared" si="327"/>
        <v>5_23_5</v>
      </c>
      <c r="F290" s="4" t="str">
        <f ca="1">VLOOKUP($D290,OFFSET([1]stages!$A$1,0,0,COUNTA([1]stages!$A:$A),MATCH(F$1,[1]stages!$2:$2,0)-MATCH($D$1,[1]stages!$2:$2,0)+1),MATCH(F$1,[1]stages!$2:$2,0)-MATCH($D$1,[1]stages!$2:$2,0)+1,FALSE)</f>
        <v>23-5．目醒めの子どもたち</v>
      </c>
      <c r="G290" s="57">
        <v>4</v>
      </c>
      <c r="H290" s="17" t="str">
        <f t="shared" si="328"/>
        <v>23_5-4</v>
      </c>
      <c r="I290" s="17"/>
      <c r="J290" s="17"/>
      <c r="K290" s="65" t="s">
        <v>56</v>
      </c>
      <c r="L290" s="52">
        <v>59</v>
      </c>
      <c r="M290" s="21" t="str">
        <f ca="1">VLOOKUP($L290,OFFSET([2]enemies!$A$1,0,0,COUNTA([2]enemies!$A:$A),MATCH(M$1,[2]enemies!$1:$1,0)-MATCH($L$1,[2]enemies!$1:$1,0)+1),MATCH(M$1,[2]enemies!$1:$1,0)-MATCH($L$1,[2]enemies!$1:$1,0)+1,FALSE)</f>
        <v>マーチ</v>
      </c>
      <c r="N290" s="21" t="str">
        <f ca="1">VLOOKUP($L290,OFFSET([2]enemies!$A$1,0,0,COUNTA([2]enemies!$A:$A),MATCH(N$1,[2]enemies!$1:$1,0)-MATCH($L$1,[2]enemies!$1:$1,0)+1),MATCH(N$1,[2]enemies!$1:$1,0)-MATCH($L$1,[2]enemies!$1:$1,0)+1,FALSE)</f>
        <v>green</v>
      </c>
      <c r="O290" s="21" t="str">
        <f ca="1">VLOOKUP($L290,OFFSET([3]characters!$A$1,0,0,COUNTA([3]characters!$A:$A),MATCH(O$1,[3]characters!$1:$1,0)-MATCH($L$1,[3]characters!$1:$1,0)+1),MATCH(O$1,[3]characters!$1:$1,0)-MATCH($L$1,[3]characters!$1:$1,0)+1,FALSE)</f>
        <v>Drop1N</v>
      </c>
      <c r="P290" s="21" t="str">
        <f ca="1">VLOOKUP($L290,OFFSET([2]enemies!$A$1,0,0,COUNTA([2]enemies!$A:$A),MATCH(P$1,[2]enemies!$1:$1,0)-MATCH($L$1,[2]enemies!$1:$1,0)+1),MATCH(P$1,[2]enemies!$1:$1,0)-MATCH($L$1,[2]enemies!$1:$1,0)+1,FALSE)</f>
        <v>animal</v>
      </c>
      <c r="Q290" s="21">
        <f ca="1">VLOOKUP($L290,OFFSET([2]enemies!$A$1,0,0,COUNTA([2]enemies!$A:$A),MATCH(Q$1,[2]enemies!$1:$1,0)-MATCH($L$1,[2]enemies!$1:$1,0)+1),MATCH(Q$1,[2]enemies!$1:$1,0)-MATCH($L$1,[2]enemies!$1:$1,0)+1,FALSE)</f>
        <v>15</v>
      </c>
      <c r="R290" s="53">
        <v>50</v>
      </c>
      <c r="S290" s="27">
        <v>1.1000000000000001</v>
      </c>
      <c r="T290" s="27">
        <v>1</v>
      </c>
      <c r="U290" s="5">
        <v>0</v>
      </c>
      <c r="V290" s="4" t="str">
        <f ca="1">VLOOKUP($W290,OFFSET([4]enemy_skill_sets!$B$1,0,0,COUNTA([4]enemy_skill_sets!$B:$B),MATCH(M$1,[4]enemy_skill_sets!$1:$1,0)-MATCH($W$1,[4]enemy_skill_sets!$1:$1,0)+2),MATCH(M$1,[4]enemy_skill_sets!$1:$1,0)-MATCH($W$1,[4]enemy_skill_sets!$1:$1,0)+2,FALSE)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290" s="4">
        <f ca="1">VLOOKUP($L290,OFFSET([2]enemies!$A$1,0,0,COUNTA([2]enemies!$A:$A),MATCH(W$1,[2]enemies!$1:$1,0)-MATCH($L$1,[2]enemies!$1:$1,0)+1),MATCH(W$1,[2]enemies!$1:$1,0)-MATCH($L$1,[2]enemies!$1:$1,0)+1,FALSE)</f>
        <v>59</v>
      </c>
      <c r="X290" s="6">
        <v>0</v>
      </c>
      <c r="Y290" s="6">
        <v>100</v>
      </c>
      <c r="Z290" s="6">
        <v>0</v>
      </c>
      <c r="AA290" s="4">
        <f ca="1">VLOOKUP($L290,OFFSET([2]enemies!$A$1,0,0,COUNTA([2]enemies!$A:$A),MATCH(AA$1,[2]enemies!$1:$1,0)-MATCH($L$1,[2]enemies!$1:$1,0)+1),MATCH(AA$1,[2]enemies!$1:$1,0)-MATCH($L$1,[2]enemies!$1:$1,0)+1,FALSE)</f>
        <v>2</v>
      </c>
      <c r="AB290" s="52">
        <v>59</v>
      </c>
      <c r="AC290" s="4" t="str">
        <f ca="1">VLOOKUP($AB290,OFFSET([3]characters!$A$1,0,0,COUNTA([3]characters!$A:$A),MATCH(AC$1,[3]characters!$1:$1,0)-MATCH("character_id",[3]characters!$1:$1,0)+1),MATCH(AC$1,[3]characters!$1:$1,0)-MATCH("character_id",[3]characters!$1:$1,0)+1,FALSE)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290" s="4">
        <f ca="1">VLOOKUP($AB290,OFFSET([3]characters!$A$1,0,0,COUNTA([3]characters!$A:$A),MATCH(AD$1,[3]characters!$1:$1,0)-MATCH("character_id",[3]characters!$1:$1,0)+1),MATCH(AD$1,[3]characters!$1:$1,0)-MATCH("character_id",[3]characters!$1:$1,0)+1,FALSE)</f>
        <v>2</v>
      </c>
      <c r="AE290" s="4" t="str">
        <f ca="1">VLOOKUP($AB290,OFFSET([3]characters!$A$1,0,0,COUNTA([3]characters!$A:$A),MATCH(AE$1,[3]characters!$1:$1,0)-MATCH("character_id",[3]characters!$1:$1,0)+1),MATCH(AE$1,[3]characters!$1:$1,0)-MATCH("character_id",[3]characters!$1:$1,0)+1,FALSE)</f>
        <v>Drop1N</v>
      </c>
      <c r="AF290" s="7">
        <v>7</v>
      </c>
      <c r="AG290" s="26">
        <f t="shared" ca="1" si="305"/>
        <v>2</v>
      </c>
      <c r="AH290" s="8">
        <v>20</v>
      </c>
      <c r="AI290" s="7">
        <v>0</v>
      </c>
      <c r="AJ290" s="7">
        <v>0</v>
      </c>
      <c r="AK290" s="7">
        <v>0</v>
      </c>
      <c r="AL290" s="7">
        <v>0</v>
      </c>
      <c r="AM290" s="7">
        <v>1</v>
      </c>
    </row>
    <row r="291" spans="1:39" ht="14" x14ac:dyDescent="0.15">
      <c r="A291" s="18" t="str">
        <f t="shared" ca="1" si="326"/>
        <v>23_5-4/41&lt;lv48&gt;s1</v>
      </c>
      <c r="B291" s="50">
        <v>23</v>
      </c>
      <c r="C291" s="49">
        <v>5</v>
      </c>
      <c r="D291" s="2" t="str">
        <f t="shared" si="327"/>
        <v>23_5</v>
      </c>
      <c r="E291" s="2" t="str">
        <f t="shared" si="327"/>
        <v>5_23_5</v>
      </c>
      <c r="F291" s="4" t="str">
        <f ca="1">VLOOKUP($D291,OFFSET([1]stages!$A$1,0,0,COUNTA([1]stages!$A:$A),MATCH(F$1,[1]stages!$2:$2,0)-MATCH($D$1,[1]stages!$2:$2,0)+1),MATCH(F$1,[1]stages!$2:$2,0)-MATCH($D$1,[1]stages!$2:$2,0)+1,FALSE)</f>
        <v>23-5．目醒めの子どもたち</v>
      </c>
      <c r="G291" s="57">
        <v>4</v>
      </c>
      <c r="H291" s="17" t="str">
        <f t="shared" si="328"/>
        <v>23_5-4</v>
      </c>
      <c r="I291" s="17"/>
      <c r="J291" s="17"/>
      <c r="K291" s="65" t="s">
        <v>56</v>
      </c>
      <c r="L291" s="52">
        <v>41</v>
      </c>
      <c r="M291" s="21" t="str">
        <f ca="1">VLOOKUP($L291,OFFSET([2]enemies!$A$1,0,0,COUNTA([2]enemies!$A:$A),MATCH(M$1,[2]enemies!$1:$1,0)-MATCH($L$1,[2]enemies!$1:$1,0)+1),MATCH(M$1,[2]enemies!$1:$1,0)-MATCH($L$1,[2]enemies!$1:$1,0)+1,FALSE)</f>
        <v>ヒュウガ</v>
      </c>
      <c r="N291" s="21" t="str">
        <f ca="1">VLOOKUP($L291,OFFSET([2]enemies!$A$1,0,0,COUNTA([2]enemies!$A:$A),MATCH(N$1,[2]enemies!$1:$1,0)-MATCH($L$1,[2]enemies!$1:$1,0)+1),MATCH(N$1,[2]enemies!$1:$1,0)-MATCH($L$1,[2]enemies!$1:$1,0)+1,FALSE)</f>
        <v>red</v>
      </c>
      <c r="O291" s="21" t="str">
        <f ca="1">VLOOKUP($L291,OFFSET([3]characters!$A$1,0,0,COUNTA([3]characters!$A:$A),MATCH(O$1,[3]characters!$1:$1,0)-MATCH($L$1,[3]characters!$1:$1,0)+1),MATCH(O$1,[3]characters!$1:$1,0)-MATCH($L$1,[3]characters!$1:$1,0)+1,FALSE)</f>
        <v>Drop1N</v>
      </c>
      <c r="P291" s="21" t="str">
        <f ca="1">VLOOKUP($L291,OFFSET([2]enemies!$A$1,0,0,COUNTA([2]enemies!$A:$A),MATCH(P$1,[2]enemies!$1:$1,0)-MATCH($L$1,[2]enemies!$1:$1,0)+1),MATCH(P$1,[2]enemies!$1:$1,0)-MATCH($L$1,[2]enemies!$1:$1,0)+1,FALSE)</f>
        <v>dragon</v>
      </c>
      <c r="Q291" s="21">
        <f ca="1">VLOOKUP($L291,OFFSET([2]enemies!$A$1,0,0,COUNTA([2]enemies!$A:$A),MATCH(Q$1,[2]enemies!$1:$1,0)-MATCH($L$1,[2]enemies!$1:$1,0)+1),MATCH(Q$1,[2]enemies!$1:$1,0)-MATCH($L$1,[2]enemies!$1:$1,0)+1,FALSE)</f>
        <v>15</v>
      </c>
      <c r="R291" s="53">
        <v>48</v>
      </c>
      <c r="S291" s="27">
        <v>1</v>
      </c>
      <c r="T291" s="27">
        <v>1</v>
      </c>
      <c r="U291" s="5">
        <v>0</v>
      </c>
      <c r="V291" s="4" t="str">
        <f ca="1">VLOOKUP($W291,OFFSET([4]enemy_skill_sets!$B$1,0,0,COUNTA([4]enemy_skill_sets!$B:$B),MATCH(M$1,[4]enemy_skill_sets!$1:$1,0)-MATCH($W$1,[4]enemy_skill_sets!$1:$1,0)+2),MATCH(M$1,[4]enemy_skill_sets!$1:$1,0)-MATCH($W$1,[4]enemy_skill_sets!$1:$1,0)+2,FALSE)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91" s="4">
        <f ca="1">VLOOKUP($L291,OFFSET([2]enemies!$A$1,0,0,COUNTA([2]enemies!$A:$A),MATCH(W$1,[2]enemies!$1:$1,0)-MATCH($L$1,[2]enemies!$1:$1,0)+1),MATCH(W$1,[2]enemies!$1:$1,0)-MATCH($L$1,[2]enemies!$1:$1,0)+1,FALSE)</f>
        <v>0</v>
      </c>
      <c r="X291" s="6">
        <v>0</v>
      </c>
      <c r="Y291" s="6">
        <v>100</v>
      </c>
      <c r="Z291" s="6">
        <v>0</v>
      </c>
      <c r="AA291" s="4">
        <f ca="1">VLOOKUP($L291,OFFSET([2]enemies!$A$1,0,0,COUNTA([2]enemies!$A:$A),MATCH(AA$1,[2]enemies!$1:$1,0)-MATCH($L$1,[2]enemies!$1:$1,0)+1),MATCH(AA$1,[2]enemies!$1:$1,0)-MATCH($L$1,[2]enemies!$1:$1,0)+1,FALSE)</f>
        <v>1</v>
      </c>
      <c r="AB291" s="52">
        <v>41</v>
      </c>
      <c r="AC291" s="4" t="str">
        <f ca="1">VLOOKUP($AB291,OFFSET([3]characters!$A$1,0,0,COUNTA([3]characters!$A:$A),MATCH(AC$1,[3]characters!$1:$1,0)-MATCH("character_id",[3]characters!$1:$1,0)+1),MATCH(AC$1,[3]characters!$1:$1,0)-MATCH("character_id",[3]characters!$1:$1,0)+1,FALSE)</f>
        <v>ヒュウガ</v>
      </c>
      <c r="AD291" s="4">
        <f ca="1">VLOOKUP($AB291,OFFSET([3]characters!$A$1,0,0,COUNTA([3]characters!$A:$A),MATCH(AD$1,[3]characters!$1:$1,0)-MATCH("character_id",[3]characters!$1:$1,0)+1),MATCH(AD$1,[3]characters!$1:$1,0)-MATCH("character_id",[3]characters!$1:$1,0)+1,FALSE)</f>
        <v>2</v>
      </c>
      <c r="AE291" s="4" t="str">
        <f ca="1">VLOOKUP($AB291,OFFSET([3]characters!$A$1,0,0,COUNTA([3]characters!$A:$A),MATCH(AE$1,[3]characters!$1:$1,0)-MATCH("character_id",[3]characters!$1:$1,0)+1),MATCH(AE$1,[3]characters!$1:$1,0)-MATCH("character_id",[3]characters!$1:$1,0)+1,FALSE)</f>
        <v>Drop1N</v>
      </c>
      <c r="AF291" s="7">
        <v>7</v>
      </c>
      <c r="AG291" s="26">
        <f t="shared" ca="1" si="305"/>
        <v>2</v>
      </c>
      <c r="AH291" s="8">
        <v>20</v>
      </c>
      <c r="AI291" s="7">
        <v>0</v>
      </c>
      <c r="AJ291" s="7">
        <v>0</v>
      </c>
      <c r="AK291" s="7">
        <v>0</v>
      </c>
      <c r="AL291" s="7">
        <v>0</v>
      </c>
      <c r="AM291" s="7">
        <v>1</v>
      </c>
    </row>
    <row r="292" spans="1:39" ht="14" x14ac:dyDescent="0.15">
      <c r="A292" s="18" t="str">
        <f t="shared" ca="1" si="326"/>
        <v>23_5-4/43&lt;lv50&gt;s2</v>
      </c>
      <c r="B292" s="50">
        <v>23</v>
      </c>
      <c r="C292" s="49">
        <v>5</v>
      </c>
      <c r="D292" s="2" t="str">
        <f t="shared" si="327"/>
        <v>23_5</v>
      </c>
      <c r="E292" s="2" t="str">
        <f t="shared" si="327"/>
        <v>5_23_5</v>
      </c>
      <c r="F292" s="4" t="str">
        <f ca="1">VLOOKUP($D292,OFFSET([1]stages!$A$1,0,0,COUNTA([1]stages!$A:$A),MATCH(F$1,[1]stages!$2:$2,0)-MATCH($D$1,[1]stages!$2:$2,0)+1),MATCH(F$1,[1]stages!$2:$2,0)-MATCH($D$1,[1]stages!$2:$2,0)+1,FALSE)</f>
        <v>23-5．目醒めの子どもたち</v>
      </c>
      <c r="G292" s="57">
        <v>4</v>
      </c>
      <c r="H292" s="17" t="str">
        <f t="shared" si="328"/>
        <v>23_5-4</v>
      </c>
      <c r="I292" s="17"/>
      <c r="J292" s="17"/>
      <c r="K292" s="65" t="s">
        <v>56</v>
      </c>
      <c r="L292" s="52">
        <v>43</v>
      </c>
      <c r="M292" s="21" t="str">
        <f ca="1">VLOOKUP($L292,OFFSET([2]enemies!$A$1,0,0,COUNTA([2]enemies!$A:$A),MATCH(M$1,[2]enemies!$1:$1,0)-MATCH($L$1,[2]enemies!$1:$1,0)+1),MATCH(M$1,[2]enemies!$1:$1,0)-MATCH($L$1,[2]enemies!$1:$1,0)+1,FALSE)</f>
        <v>ムゥ</v>
      </c>
      <c r="N292" s="21" t="str">
        <f ca="1">VLOOKUP($L292,OFFSET([2]enemies!$A$1,0,0,COUNTA([2]enemies!$A:$A),MATCH(N$1,[2]enemies!$1:$1,0)-MATCH($L$1,[2]enemies!$1:$1,0)+1),MATCH(N$1,[2]enemies!$1:$1,0)-MATCH($L$1,[2]enemies!$1:$1,0)+1,FALSE)</f>
        <v>green</v>
      </c>
      <c r="O292" s="21" t="str">
        <f ca="1">VLOOKUP($L292,OFFSET([3]characters!$A$1,0,0,COUNTA([3]characters!$A:$A),MATCH(O$1,[3]characters!$1:$1,0)-MATCH($L$1,[3]characters!$1:$1,0)+1),MATCH(O$1,[3]characters!$1:$1,0)-MATCH($L$1,[3]characters!$1:$1,0)+1,FALSE)</f>
        <v>Drop1N</v>
      </c>
      <c r="P292" s="21" t="str">
        <f ca="1">VLOOKUP($L292,OFFSET([2]enemies!$A$1,0,0,COUNTA([2]enemies!$A:$A),MATCH(P$1,[2]enemies!$1:$1,0)-MATCH($L$1,[2]enemies!$1:$1,0)+1),MATCH(P$1,[2]enemies!$1:$1,0)-MATCH($L$1,[2]enemies!$1:$1,0)+1,FALSE)</f>
        <v>dragon</v>
      </c>
      <c r="Q292" s="21">
        <f ca="1">VLOOKUP($L292,OFFSET([2]enemies!$A$1,0,0,COUNTA([2]enemies!$A:$A),MATCH(Q$1,[2]enemies!$1:$1,0)-MATCH($L$1,[2]enemies!$1:$1,0)+1),MATCH(Q$1,[2]enemies!$1:$1,0)-MATCH($L$1,[2]enemies!$1:$1,0)+1,FALSE)</f>
        <v>15</v>
      </c>
      <c r="R292" s="53">
        <v>50</v>
      </c>
      <c r="S292" s="27">
        <v>1.1000000000000001</v>
      </c>
      <c r="T292" s="27">
        <v>1</v>
      </c>
      <c r="U292" s="5">
        <v>0</v>
      </c>
      <c r="V292" s="4" t="str">
        <f ca="1">VLOOKUP($W292,OFFSET([4]enemy_skill_sets!$B$1,0,0,COUNTA([4]enemy_skill_sets!$B:$B),MATCH(M$1,[4]enemy_skill_sets!$1:$1,0)-MATCH($W$1,[4]enemy_skill_sets!$1:$1,0)+2),MATCH(M$1,[4]enemy_skill_sets!$1:$1,0)-MATCH($W$1,[4]enemy_skill_sets!$1:$1,0)+2,FALSE)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92" s="4">
        <f ca="1">VLOOKUP($L292,OFFSET([2]enemies!$A$1,0,0,COUNTA([2]enemies!$A:$A),MATCH(W$1,[2]enemies!$1:$1,0)-MATCH($L$1,[2]enemies!$1:$1,0)+1),MATCH(W$1,[2]enemies!$1:$1,0)-MATCH($L$1,[2]enemies!$1:$1,0)+1,FALSE)</f>
        <v>0</v>
      </c>
      <c r="X292" s="6">
        <v>0</v>
      </c>
      <c r="Y292" s="6">
        <v>100</v>
      </c>
      <c r="Z292" s="6">
        <v>0</v>
      </c>
      <c r="AA292" s="4">
        <f ca="1">VLOOKUP($L292,OFFSET([2]enemies!$A$1,0,0,COUNTA([2]enemies!$A:$A),MATCH(AA$1,[2]enemies!$1:$1,0)-MATCH($L$1,[2]enemies!$1:$1,0)+1),MATCH(AA$1,[2]enemies!$1:$1,0)-MATCH($L$1,[2]enemies!$1:$1,0)+1,FALSE)</f>
        <v>2</v>
      </c>
      <c r="AB292" s="52">
        <v>43</v>
      </c>
      <c r="AC292" s="4" t="str">
        <f ca="1">VLOOKUP($AB292,OFFSET([3]characters!$A$1,0,0,COUNTA([3]characters!$A:$A),MATCH(AC$1,[3]characters!$1:$1,0)-MATCH("character_id",[3]characters!$1:$1,0)+1),MATCH(AC$1,[3]characters!$1:$1,0)-MATCH("character_id",[3]characters!$1:$1,0)+1,FALSE)</f>
        <v>ムゥ</v>
      </c>
      <c r="AD292" s="4">
        <f ca="1">VLOOKUP($AB292,OFFSET([3]characters!$A$1,0,0,COUNTA([3]characters!$A:$A),MATCH(AD$1,[3]characters!$1:$1,0)-MATCH("character_id",[3]characters!$1:$1,0)+1),MATCH(AD$1,[3]characters!$1:$1,0)-MATCH("character_id",[3]characters!$1:$1,0)+1,FALSE)</f>
        <v>2</v>
      </c>
      <c r="AE292" s="4" t="str">
        <f ca="1">VLOOKUP($AB292,OFFSET([3]characters!$A$1,0,0,COUNTA([3]characters!$A:$A),MATCH(AE$1,[3]characters!$1:$1,0)-MATCH("character_id",[3]characters!$1:$1,0)+1),MATCH(AE$1,[3]characters!$1:$1,0)-MATCH("character_id",[3]characters!$1:$1,0)+1,FALSE)</f>
        <v>Drop1N</v>
      </c>
      <c r="AF292" s="7">
        <v>7</v>
      </c>
      <c r="AG292" s="26">
        <f t="shared" ca="1" si="305"/>
        <v>2</v>
      </c>
      <c r="AH292" s="8">
        <v>20</v>
      </c>
      <c r="AI292" s="7">
        <v>0</v>
      </c>
      <c r="AJ292" s="7">
        <v>0</v>
      </c>
      <c r="AK292" s="7">
        <v>0</v>
      </c>
      <c r="AL292" s="7">
        <v>0</v>
      </c>
      <c r="AM292" s="7">
        <v>1</v>
      </c>
    </row>
    <row r="293" spans="1:39" ht="14" x14ac:dyDescent="0.15">
      <c r="A293" s="18" t="str">
        <f t="shared" ref="A293:A294" ca="1" si="349">B293&amp;"_"&amp;C293&amp;"-"&amp;G293&amp;"/"&amp;L293&amp;"&lt;lv"&amp;R293&amp;"&gt;s"&amp;AA293</f>
        <v>23_5-4/360&lt;lv48&gt;s3</v>
      </c>
      <c r="B293" s="53">
        <v>23</v>
      </c>
      <c r="C293" s="51">
        <v>5</v>
      </c>
      <c r="D293" s="2" t="str">
        <f t="shared" ref="D293:D294" si="350">B293&amp;"_"&amp;C293</f>
        <v>23_5</v>
      </c>
      <c r="E293" s="2" t="str">
        <f t="shared" ref="E293:E294" si="351">C293&amp;"_"&amp;D293</f>
        <v>5_23_5</v>
      </c>
      <c r="F293" s="4" t="str">
        <f ca="1">VLOOKUP($D293,OFFSET([1]stages!$A$1,0,0,COUNTA([1]stages!$A:$A),MATCH(F$1,[1]stages!$2:$2,0)-MATCH($D$1,[1]stages!$2:$2,0)+1),MATCH(F$1,[1]stages!$2:$2,0)-MATCH($D$1,[1]stages!$2:$2,0)+1,FALSE)</f>
        <v>23-5．目醒めの子どもたち</v>
      </c>
      <c r="G293" s="57">
        <v>4</v>
      </c>
      <c r="H293" s="17" t="str">
        <f t="shared" ref="H293:H294" si="352">B293&amp;"_"&amp;C293&amp;"-"&amp;G293</f>
        <v>23_5-4</v>
      </c>
      <c r="I293" s="17"/>
      <c r="J293" s="17"/>
      <c r="K293" s="65" t="s">
        <v>56</v>
      </c>
      <c r="L293" s="52">
        <v>360</v>
      </c>
      <c r="M293" s="21" t="str">
        <f ca="1">VLOOKUP($L293,OFFSET([2]enemies!$A$1,0,0,COUNTA([2]enemies!$A:$A),MATCH(M$1,[2]enemies!$1:$1,0)-MATCH($L$1,[2]enemies!$1:$1,0)+1),MATCH(M$1,[2]enemies!$1:$1,0)-MATCH($L$1,[2]enemies!$1:$1,0)+1,FALSE)</f>
        <v>ガンテツ</v>
      </c>
      <c r="N293" s="21" t="str">
        <f ca="1">VLOOKUP($L293,OFFSET([2]enemies!$A$1,0,0,COUNTA([2]enemies!$A:$A),MATCH(N$1,[2]enemies!$1:$1,0)-MATCH($L$1,[2]enemies!$1:$1,0)+1),MATCH(N$1,[2]enemies!$1:$1,0)-MATCH($L$1,[2]enemies!$1:$1,0)+1,FALSE)</f>
        <v>red</v>
      </c>
      <c r="O293" s="21" t="str">
        <f ca="1">VLOOKUP($L293,OFFSET([3]characters!$A$1,0,0,COUNTA([3]characters!$A:$A),MATCH(O$1,[3]characters!$1:$1,0)-MATCH($L$1,[3]characters!$1:$1,0)+1),MATCH(O$1,[3]characters!$1:$1,0)-MATCH($L$1,[3]characters!$1:$1,0)+1,FALSE)</f>
        <v>Drop1S</v>
      </c>
      <c r="P293" s="21" t="str">
        <f ca="1">VLOOKUP($L293,OFFSET([2]enemies!$A$1,0,0,COUNTA([2]enemies!$A:$A),MATCH(P$1,[2]enemies!$1:$1,0)-MATCH($L$1,[2]enemies!$1:$1,0)+1),MATCH(P$1,[2]enemies!$1:$1,0)-MATCH($L$1,[2]enemies!$1:$1,0)+1,FALSE)</f>
        <v>animal</v>
      </c>
      <c r="Q293" s="21">
        <f ca="1">VLOOKUP($L293,OFFSET([2]enemies!$A$1,0,0,COUNTA([2]enemies!$A:$A),MATCH(Q$1,[2]enemies!$1:$1,0)-MATCH($L$1,[2]enemies!$1:$1,0)+1),MATCH(Q$1,[2]enemies!$1:$1,0)-MATCH($L$1,[2]enemies!$1:$1,0)+1,FALSE)</f>
        <v>15</v>
      </c>
      <c r="R293" s="53">
        <v>48</v>
      </c>
      <c r="S293" s="27">
        <v>1</v>
      </c>
      <c r="T293" s="27">
        <v>1</v>
      </c>
      <c r="U293" s="5">
        <v>0</v>
      </c>
      <c r="V293" s="4" t="str">
        <f ca="1">VLOOKUP($W293,OFFSET([4]enemy_skill_sets!$B$1,0,0,COUNTA([4]enemy_skill_sets!$B:$B),MATCH(M$1,[4]enemy_skill_sets!$1:$1,0)-MATCH($W$1,[4]enemy_skill_sets!$1:$1,0)+2),MATCH(M$1,[4]enemy_skill_sets!$1:$1,0)-MATCH($W$1,[4]enemy_skill_sets!$1:$1,0)+2,FALSE)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293" s="76">
        <v>360</v>
      </c>
      <c r="X293" s="6">
        <v>0</v>
      </c>
      <c r="Y293" s="6">
        <v>100</v>
      </c>
      <c r="Z293" s="6">
        <v>0</v>
      </c>
      <c r="AA293" s="4">
        <f ca="1">VLOOKUP($L293,OFFSET([2]enemies!$A$1,0,0,COUNTA([2]enemies!$A:$A),MATCH(AA$1,[2]enemies!$1:$1,0)-MATCH($L$1,[2]enemies!$1:$1,0)+1),MATCH(AA$1,[2]enemies!$1:$1,0)-MATCH($L$1,[2]enemies!$1:$1,0)+1,FALSE)</f>
        <v>3</v>
      </c>
      <c r="AB293" s="52">
        <v>360</v>
      </c>
      <c r="AC293" s="4" t="str">
        <f ca="1">VLOOKUP($AB293,OFFSET([3]characters!$A$1,0,0,COUNTA([3]characters!$A:$A),MATCH(AC$1,[3]characters!$1:$1,0)-MATCH("character_id",[3]characters!$1:$1,0)+1),MATCH(AC$1,[3]characters!$1:$1,0)-MATCH("character_id",[3]characters!$1:$1,0)+1,FALSE)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293" s="4">
        <f ca="1">VLOOKUP($AB293,OFFSET([3]characters!$A$1,0,0,COUNTA([3]characters!$A:$A),MATCH(AD$1,[3]characters!$1:$1,0)-MATCH("character_id",[3]characters!$1:$1,0)+1),MATCH(AD$1,[3]characters!$1:$1,0)-MATCH("character_id",[3]characters!$1:$1,0)+1,FALSE)</f>
        <v>2</v>
      </c>
      <c r="AE293" s="4" t="str">
        <f ca="1">VLOOKUP($AB293,OFFSET([3]characters!$A$1,0,0,COUNTA([3]characters!$A:$A),MATCH(AE$1,[3]characters!$1:$1,0)-MATCH("character_id",[3]characters!$1:$1,0)+1),MATCH(AE$1,[3]characters!$1:$1,0)-MATCH("character_id",[3]characters!$1:$1,0)+1,FALSE)</f>
        <v>Drop1S</v>
      </c>
      <c r="AF293" s="7">
        <v>7</v>
      </c>
      <c r="AG293" s="26">
        <f t="shared" ca="1" si="305"/>
        <v>2</v>
      </c>
      <c r="AH293" s="8">
        <v>20</v>
      </c>
      <c r="AI293" s="7">
        <v>0</v>
      </c>
      <c r="AJ293" s="7">
        <v>0</v>
      </c>
      <c r="AK293" s="7">
        <v>0</v>
      </c>
      <c r="AL293" s="7">
        <v>0</v>
      </c>
      <c r="AM293" s="7">
        <v>1</v>
      </c>
    </row>
    <row r="294" spans="1:39" ht="14" x14ac:dyDescent="0.15">
      <c r="A294" s="18" t="str">
        <f t="shared" ca="1" si="349"/>
        <v>23_5-4/362&lt;lv50&gt;s3</v>
      </c>
      <c r="B294" s="53">
        <v>23</v>
      </c>
      <c r="C294" s="51">
        <v>5</v>
      </c>
      <c r="D294" s="2" t="str">
        <f t="shared" si="350"/>
        <v>23_5</v>
      </c>
      <c r="E294" s="2" t="str">
        <f t="shared" si="351"/>
        <v>5_23_5</v>
      </c>
      <c r="F294" s="4" t="str">
        <f ca="1">VLOOKUP($D294,OFFSET([1]stages!$A$1,0,0,COUNTA([1]stages!$A:$A),MATCH(F$1,[1]stages!$2:$2,0)-MATCH($D$1,[1]stages!$2:$2,0)+1),MATCH(F$1,[1]stages!$2:$2,0)-MATCH($D$1,[1]stages!$2:$2,0)+1,FALSE)</f>
        <v>23-5．目醒めの子どもたち</v>
      </c>
      <c r="G294" s="57">
        <v>4</v>
      </c>
      <c r="H294" s="17" t="str">
        <f t="shared" si="352"/>
        <v>23_5-4</v>
      </c>
      <c r="I294" s="17"/>
      <c r="J294" s="17"/>
      <c r="K294" s="65" t="s">
        <v>56</v>
      </c>
      <c r="L294" s="52">
        <v>362</v>
      </c>
      <c r="M294" s="21" t="str">
        <f ca="1">VLOOKUP($L294,OFFSET([2]enemies!$A$1,0,0,COUNTA([2]enemies!$A:$A),MATCH(M$1,[2]enemies!$1:$1,0)-MATCH($L$1,[2]enemies!$1:$1,0)+1),MATCH(M$1,[2]enemies!$1:$1,0)-MATCH($L$1,[2]enemies!$1:$1,0)+1,FALSE)</f>
        <v>ゆらら</v>
      </c>
      <c r="N294" s="21" t="str">
        <f ca="1">VLOOKUP($L294,OFFSET([2]enemies!$A$1,0,0,COUNTA([2]enemies!$A:$A),MATCH(N$1,[2]enemies!$1:$1,0)-MATCH($L$1,[2]enemies!$1:$1,0)+1),MATCH(N$1,[2]enemies!$1:$1,0)-MATCH($L$1,[2]enemies!$1:$1,0)+1,FALSE)</f>
        <v>green</v>
      </c>
      <c r="O294" s="21" t="str">
        <f ca="1">VLOOKUP($L294,OFFSET([3]characters!$A$1,0,0,COUNTA([3]characters!$A:$A),MATCH(O$1,[3]characters!$1:$1,0)-MATCH($L$1,[3]characters!$1:$1,0)+1),MATCH(O$1,[3]characters!$1:$1,0)-MATCH($L$1,[3]characters!$1:$1,0)+1,FALSE)</f>
        <v>Drop1S</v>
      </c>
      <c r="P294" s="21" t="str">
        <f ca="1">VLOOKUP($L294,OFFSET([2]enemies!$A$1,0,0,COUNTA([2]enemies!$A:$A),MATCH(P$1,[2]enemies!$1:$1,0)-MATCH($L$1,[2]enemies!$1:$1,0)+1),MATCH(P$1,[2]enemies!$1:$1,0)-MATCH($L$1,[2]enemies!$1:$1,0)+1,FALSE)</f>
        <v>animal</v>
      </c>
      <c r="Q294" s="21">
        <f ca="1">VLOOKUP($L294,OFFSET([2]enemies!$A$1,0,0,COUNTA([2]enemies!$A:$A),MATCH(Q$1,[2]enemies!$1:$1,0)-MATCH($L$1,[2]enemies!$1:$1,0)+1),MATCH(Q$1,[2]enemies!$1:$1,0)-MATCH($L$1,[2]enemies!$1:$1,0)+1,FALSE)</f>
        <v>15</v>
      </c>
      <c r="R294" s="53">
        <v>50</v>
      </c>
      <c r="S294" s="27">
        <v>1.1000000000000001</v>
      </c>
      <c r="T294" s="27">
        <v>1</v>
      </c>
      <c r="U294" s="5">
        <v>0</v>
      </c>
      <c r="V294" s="4" t="str">
        <f ca="1">VLOOKUP($W294,OFFSET([4]enemy_skill_sets!$B$1,0,0,COUNTA([4]enemy_skill_sets!$B:$B),MATCH(M$1,[4]enemy_skill_sets!$1:$1,0)-MATCH($W$1,[4]enemy_skill_sets!$1:$1,0)+2),MATCH(M$1,[4]enemy_skill_sets!$1:$1,0)-MATCH($W$1,[4]enemy_skill_sets!$1:$1,0)+2,FALSE)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294" s="64">
        <v>362</v>
      </c>
      <c r="X294" s="6">
        <v>0</v>
      </c>
      <c r="Y294" s="6">
        <v>100</v>
      </c>
      <c r="Z294" s="6">
        <v>0</v>
      </c>
      <c r="AA294" s="4">
        <f ca="1">VLOOKUP($L294,OFFSET([2]enemies!$A$1,0,0,COUNTA([2]enemies!$A:$A),MATCH(AA$1,[2]enemies!$1:$1,0)-MATCH($L$1,[2]enemies!$1:$1,0)+1),MATCH(AA$1,[2]enemies!$1:$1,0)-MATCH($L$1,[2]enemies!$1:$1,0)+1,FALSE)</f>
        <v>3</v>
      </c>
      <c r="AB294" s="52">
        <v>362</v>
      </c>
      <c r="AC294" s="4" t="str">
        <f ca="1">VLOOKUP($AB294,OFFSET([3]characters!$A$1,0,0,COUNTA([3]characters!$A:$A),MATCH(AC$1,[3]characters!$1:$1,0)-MATCH("character_id",[3]characters!$1:$1,0)+1),MATCH(AC$1,[3]characters!$1:$1,0)-MATCH("character_id",[3]characters!$1:$1,0)+1,FALSE)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294" s="4">
        <f ca="1">VLOOKUP($AB294,OFFSET([3]characters!$A$1,0,0,COUNTA([3]characters!$A:$A),MATCH(AD$1,[3]characters!$1:$1,0)-MATCH("character_id",[3]characters!$1:$1,0)+1),MATCH(AD$1,[3]characters!$1:$1,0)-MATCH("character_id",[3]characters!$1:$1,0)+1,FALSE)</f>
        <v>2</v>
      </c>
      <c r="AE294" s="4" t="str">
        <f ca="1">VLOOKUP($AB294,OFFSET([3]characters!$A$1,0,0,COUNTA([3]characters!$A:$A),MATCH(AE$1,[3]characters!$1:$1,0)-MATCH("character_id",[3]characters!$1:$1,0)+1),MATCH(AE$1,[3]characters!$1:$1,0)-MATCH("character_id",[3]characters!$1:$1,0)+1,FALSE)</f>
        <v>Drop1S</v>
      </c>
      <c r="AF294" s="7">
        <v>7</v>
      </c>
      <c r="AG294" s="26">
        <f t="shared" ca="1" si="305"/>
        <v>2</v>
      </c>
      <c r="AH294" s="8">
        <v>20</v>
      </c>
      <c r="AI294" s="7">
        <v>0</v>
      </c>
      <c r="AJ294" s="7">
        <v>0</v>
      </c>
      <c r="AK294" s="7">
        <v>0</v>
      </c>
      <c r="AL294" s="7">
        <v>0</v>
      </c>
      <c r="AM294" s="7">
        <v>1</v>
      </c>
    </row>
    <row r="295" spans="1:39" ht="14" x14ac:dyDescent="0.15">
      <c r="A295" s="18" t="str">
        <f t="shared" ref="A295" ca="1" si="353">B295&amp;"_"&amp;C295&amp;"-"&amp;G295&amp;"/"&amp;L295&amp;"&lt;lv"&amp;R295&amp;"&gt;s"&amp;AA295</f>
        <v>23_5-4/350&lt;lv48&gt;s3</v>
      </c>
      <c r="B295" s="53">
        <v>23</v>
      </c>
      <c r="C295" s="51">
        <v>5</v>
      </c>
      <c r="D295" s="2" t="str">
        <f t="shared" ref="D295" si="354">B295&amp;"_"&amp;C295</f>
        <v>23_5</v>
      </c>
      <c r="E295" s="2" t="str">
        <f t="shared" ref="E295" si="355">C295&amp;"_"&amp;D295</f>
        <v>5_23_5</v>
      </c>
      <c r="F295" s="4" t="str">
        <f ca="1">VLOOKUP($D295,OFFSET([1]stages!$A$1,0,0,COUNTA([1]stages!$A:$A),MATCH(F$1,[1]stages!$2:$2,0)-MATCH($D$1,[1]stages!$2:$2,0)+1),MATCH(F$1,[1]stages!$2:$2,0)-MATCH($D$1,[1]stages!$2:$2,0)+1,FALSE)</f>
        <v>23-5．目醒めの子どもたち</v>
      </c>
      <c r="G295" s="57">
        <v>4</v>
      </c>
      <c r="H295" s="17" t="str">
        <f t="shared" ref="H295" si="356">B295&amp;"_"&amp;C295&amp;"-"&amp;G295</f>
        <v>23_5-4</v>
      </c>
      <c r="I295" s="17"/>
      <c r="J295" s="17"/>
      <c r="K295" s="65" t="s">
        <v>56</v>
      </c>
      <c r="L295" s="52">
        <v>350</v>
      </c>
      <c r="M295" s="21" t="str">
        <f ca="1">VLOOKUP($L295,OFFSET([2]enemies!$A$1,0,0,COUNTA([2]enemies!$A:$A),MATCH(M$1,[2]enemies!$1:$1,0)-MATCH($L$1,[2]enemies!$1:$1,0)+1),MATCH(M$1,[2]enemies!$1:$1,0)-MATCH($L$1,[2]enemies!$1:$1,0)+1,FALSE)</f>
        <v>森のケロケロ</v>
      </c>
      <c r="N295" s="21" t="str">
        <f ca="1">VLOOKUP($L295,OFFSET([2]enemies!$A$1,0,0,COUNTA([2]enemies!$A:$A),MATCH(N$1,[2]enemies!$1:$1,0)-MATCH($L$1,[2]enemies!$1:$1,0)+1),MATCH(N$1,[2]enemies!$1:$1,0)-MATCH($L$1,[2]enemies!$1:$1,0)+1,FALSE)</f>
        <v>green</v>
      </c>
      <c r="O295" s="21" t="str">
        <f ca="1">VLOOKUP($L295,OFFSET([3]characters!$A$1,0,0,COUNTA([3]characters!$A:$A),MATCH(O$1,[3]characters!$1:$1,0)-MATCH($L$1,[3]characters!$1:$1,0)+1),MATCH(O$1,[3]characters!$1:$1,0)-MATCH($L$1,[3]characters!$1:$1,0)+1,FALSE)</f>
        <v>Material</v>
      </c>
      <c r="P295" s="21" t="str">
        <f ca="1">VLOOKUP($L295,OFFSET([2]enemies!$A$1,0,0,COUNTA([2]enemies!$A:$A),MATCH(P$1,[2]enemies!$1:$1,0)-MATCH($L$1,[2]enemies!$1:$1,0)+1),MATCH(P$1,[2]enemies!$1:$1,0)-MATCH($L$1,[2]enemies!$1:$1,0)+1,FALSE)</f>
        <v>unknown</v>
      </c>
      <c r="Q295" s="21">
        <f ca="1">VLOOKUP($L295,OFFSET([2]enemies!$A$1,0,0,COUNTA([2]enemies!$A:$A),MATCH(Q$1,[2]enemies!$1:$1,0)-MATCH($L$1,[2]enemies!$1:$1,0)+1),MATCH(Q$1,[2]enemies!$1:$1,0)-MATCH($L$1,[2]enemies!$1:$1,0)+1,FALSE)</f>
        <v>15</v>
      </c>
      <c r="R295" s="53">
        <v>48</v>
      </c>
      <c r="S295" s="27">
        <v>1</v>
      </c>
      <c r="T295" s="27">
        <v>1</v>
      </c>
      <c r="U295" s="5">
        <v>0</v>
      </c>
      <c r="V295" s="4" t="str">
        <f ca="1">VLOOKUP($W295,OFFSET([4]enemy_skill_sets!$B$1,0,0,COUNTA([4]enemy_skill_sets!$B:$B),MATCH(M$1,[4]enemy_skill_sets!$1:$1,0)-MATCH($W$1,[4]enemy_skill_sets!$1:$1,0)+2),MATCH(M$1,[4]enemy_skill_sets!$1:$1,0)-MATCH($W$1,[4]enemy_skill_sets!$1:$1,0)+2,FALSE)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295" s="64">
        <v>350</v>
      </c>
      <c r="X295" s="6">
        <v>1</v>
      </c>
      <c r="Y295" s="6">
        <v>100</v>
      </c>
      <c r="Z295" s="6">
        <v>0</v>
      </c>
      <c r="AA295" s="4">
        <f ca="1">VLOOKUP($L295,OFFSET([2]enemies!$A$1,0,0,COUNTA([2]enemies!$A:$A),MATCH(AA$1,[2]enemies!$1:$1,0)-MATCH($L$1,[2]enemies!$1:$1,0)+1),MATCH(AA$1,[2]enemies!$1:$1,0)-MATCH($L$1,[2]enemies!$1:$1,0)+1,FALSE)</f>
        <v>3</v>
      </c>
      <c r="AB295" s="52">
        <v>350</v>
      </c>
      <c r="AC295" s="4" t="str">
        <f ca="1">VLOOKUP($AB295,OFFSET([3]characters!$A$1,0,0,COUNTA([3]characters!$A:$A),MATCH(AC$1,[3]characters!$1:$1,0)-MATCH("character_id",[3]characters!$1:$1,0)+1),MATCH(AC$1,[3]characters!$1:$1,0)-MATCH("character_id",[3]characters!$1:$1,0)+1,FALSE)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295" s="4">
        <f ca="1">VLOOKUP($AB295,OFFSET([3]characters!$A$1,0,0,COUNTA([3]characters!$A:$A),MATCH(AD$1,[3]characters!$1:$1,0)-MATCH("character_id",[3]characters!$1:$1,0)+1),MATCH(AD$1,[3]characters!$1:$1,0)-MATCH("character_id",[3]characters!$1:$1,0)+1,FALSE)</f>
        <v>2</v>
      </c>
      <c r="AE295" s="4" t="str">
        <f ca="1">VLOOKUP($AB295,OFFSET([3]characters!$A$1,0,0,COUNTA([3]characters!$A:$A),MATCH(AE$1,[3]characters!$1:$1,0)-MATCH("character_id",[3]characters!$1:$1,0)+1),MATCH(AE$1,[3]characters!$1:$1,0)-MATCH("character_id",[3]characters!$1:$1,0)+1,FALSE)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95" s="7">
        <v>10</v>
      </c>
      <c r="AG295" s="26">
        <f t="shared" ca="1" si="305"/>
        <v>2</v>
      </c>
      <c r="AH295" s="8">
        <v>100</v>
      </c>
      <c r="AI295" s="7">
        <v>0</v>
      </c>
      <c r="AJ295" s="7">
        <v>0</v>
      </c>
      <c r="AK295" s="7">
        <v>0</v>
      </c>
      <c r="AL295" s="7">
        <v>0</v>
      </c>
      <c r="AM295" s="7">
        <v>1</v>
      </c>
    </row>
    <row r="296" spans="1:39" ht="14" x14ac:dyDescent="0.15">
      <c r="A296" s="18" t="str">
        <f t="shared" ca="1" si="326"/>
        <v>23_5-5/218&lt;lv45&gt;s3</v>
      </c>
      <c r="B296" s="50">
        <v>23</v>
      </c>
      <c r="C296" s="49">
        <v>5</v>
      </c>
      <c r="D296" s="2" t="str">
        <f t="shared" si="327"/>
        <v>23_5</v>
      </c>
      <c r="E296" s="2" t="str">
        <f t="shared" si="327"/>
        <v>5_23_5</v>
      </c>
      <c r="F296" s="4" t="str">
        <f ca="1">VLOOKUP($D296,OFFSET([1]stages!$A$1,0,0,COUNTA([1]stages!$A:$A),MATCH(F$1,[1]stages!$2:$2,0)-MATCH($D$1,[1]stages!$2:$2,0)+1),MATCH(F$1,[1]stages!$2:$2,0)-MATCH($D$1,[1]stages!$2:$2,0)+1,FALSE)</f>
        <v>23-5．目醒めの子どもたち</v>
      </c>
      <c r="G296" s="54">
        <v>5</v>
      </c>
      <c r="H296" s="17" t="str">
        <f t="shared" si="328"/>
        <v>23_5-5</v>
      </c>
      <c r="I296" s="17"/>
      <c r="J296" s="17"/>
      <c r="K296" s="65" t="s">
        <v>56</v>
      </c>
      <c r="L296" s="52">
        <v>218</v>
      </c>
      <c r="M296" s="21" t="str">
        <f ca="1">VLOOKUP($L296,OFFSET([2]enemies!$A$1,0,0,COUNTA([2]enemies!$A:$A),MATCH(M$1,[2]enemies!$1:$1,0)-MATCH($L$1,[2]enemies!$1:$1,0)+1),MATCH(M$1,[2]enemies!$1:$1,0)-MATCH($L$1,[2]enemies!$1:$1,0)+1,FALSE)</f>
        <v>聖蛇 ケツァクアトル</v>
      </c>
      <c r="N296" s="21" t="str">
        <f ca="1">VLOOKUP($L296,OFFSET([2]enemies!$A$1,0,0,COUNTA([2]enemies!$A:$A),MATCH(N$1,[2]enemies!$1:$1,0)-MATCH($L$1,[2]enemies!$1:$1,0)+1),MATCH(N$1,[2]enemies!$1:$1,0)-MATCH($L$1,[2]enemies!$1:$1,0)+1,FALSE)</f>
        <v>green</v>
      </c>
      <c r="O296" s="21" t="str">
        <f ca="1">VLOOKUP($L296,OFFSET([3]characters!$A$1,0,0,COUNTA([3]characters!$A:$A),MATCH(O$1,[3]characters!$1:$1,0)-MATCH($L$1,[3]characters!$1:$1,0)+1),MATCH(O$1,[3]characters!$1:$1,0)-MATCH($L$1,[3]characters!$1:$1,0)+1,FALSE)</f>
        <v>PremiumN</v>
      </c>
      <c r="P296" s="21" t="str">
        <f ca="1">VLOOKUP($L296,OFFSET([2]enemies!$A$1,0,0,COUNTA([2]enemies!$A:$A),MATCH(P$1,[2]enemies!$1:$1,0)-MATCH($L$1,[2]enemies!$1:$1,0)+1),MATCH(P$1,[2]enemies!$1:$1,0)-MATCH($L$1,[2]enemies!$1:$1,0)+1,FALSE)</f>
        <v>dragon</v>
      </c>
      <c r="Q296" s="21">
        <f ca="1">VLOOKUP($L296,OFFSET([2]enemies!$A$1,0,0,COUNTA([2]enemies!$A:$A),MATCH(Q$1,[2]enemies!$1:$1,0)-MATCH($L$1,[2]enemies!$1:$1,0)+1),MATCH(Q$1,[2]enemies!$1:$1,0)-MATCH($L$1,[2]enemies!$1:$1,0)+1,FALSE)</f>
        <v>30</v>
      </c>
      <c r="R296" s="53">
        <v>45</v>
      </c>
      <c r="S296" s="27">
        <v>0.9</v>
      </c>
      <c r="T296" s="27">
        <v>1</v>
      </c>
      <c r="U296" s="5">
        <v>0</v>
      </c>
      <c r="V296" s="64" t="str">
        <f ca="1">VLOOKUP($W296,OFFSET([4]enemy_skill_sets!$B$1,0,0,COUNTA([4]enemy_skill_sets!$B:$B),MATCH(M$1,[4]enemy_skill_sets!$1:$1,0)-MATCH($W$1,[4]enemy_skill_sets!$1:$1,0)+2),MATCH(M$1,[4]enemy_skill_sets!$1:$1,0)-MATCH($W$1,[4]enemy_skill_sets!$1:$1,0)+2,FALSE)</f>
        <v>一度だけ全回復！</v>
      </c>
      <c r="W296" s="4">
        <v>21801</v>
      </c>
      <c r="X296" s="6">
        <v>1</v>
      </c>
      <c r="Y296" s="6">
        <v>100</v>
      </c>
      <c r="Z296" s="6">
        <v>1</v>
      </c>
      <c r="AA296" s="4">
        <f ca="1">VLOOKUP($L296,OFFSET([2]enemies!$A$1,0,0,COUNTA([2]enemies!$A:$A),MATCH(AA$1,[2]enemies!$1:$1,0)-MATCH($L$1,[2]enemies!$1:$1,0)+1),MATCH(AA$1,[2]enemies!$1:$1,0)-MATCH($L$1,[2]enemies!$1:$1,0)+1,FALSE)</f>
        <v>3</v>
      </c>
      <c r="AB296" s="52">
        <v>217</v>
      </c>
      <c r="AC296" s="4" t="str">
        <f ca="1">VLOOKUP($AB296,OFFSET([3]characters!$A$1,0,0,COUNTA([3]characters!$A:$A),MATCH(AC$1,[3]characters!$1:$1,0)-MATCH("character_id",[3]characters!$1:$1,0)+1),MATCH(AC$1,[3]characters!$1:$1,0)-MATCH("character_id",[3]characters!$1:$1,0)+1,FALSE)</f>
        <v>ケツァクアトル</v>
      </c>
      <c r="AD296" s="4">
        <f ca="1">VLOOKUP($AB296,OFFSET([3]characters!$A$1,0,0,COUNTA([3]characters!$A:$A),MATCH(AD$1,[3]characters!$1:$1,0)-MATCH("character_id",[3]characters!$1:$1,0)+1),MATCH(AD$1,[3]characters!$1:$1,0)-MATCH("character_id",[3]characters!$1:$1,0)+1,FALSE)</f>
        <v>3</v>
      </c>
      <c r="AE296" s="4" t="str">
        <f ca="1">VLOOKUP($AB296,OFFSET([3]characters!$A$1,0,0,COUNTA([3]characters!$A:$A),MATCH(AE$1,[3]characters!$1:$1,0)-MATCH("character_id",[3]characters!$1:$1,0)+1),MATCH(AE$1,[3]characters!$1:$1,0)-MATCH("character_id",[3]characters!$1:$1,0)+1,FALSE)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296" s="7">
        <v>1</v>
      </c>
      <c r="AG296" s="26">
        <f t="shared" ca="1" si="305"/>
        <v>3</v>
      </c>
      <c r="AH296" s="8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1</v>
      </c>
    </row>
    <row r="297" spans="1:39" ht="14" x14ac:dyDescent="0.15">
      <c r="A297" s="18" t="str">
        <f t="shared" ref="A297:A305" ca="1" si="357">B297&amp;"_"&amp;C297&amp;"-"&amp;G297&amp;"/"&amp;L297&amp;"&lt;lv"&amp;R297&amp;"&gt;s"&amp;AA297</f>
        <v>23_5-5/43&lt;lv53&gt;s2</v>
      </c>
      <c r="B297" s="53">
        <v>23</v>
      </c>
      <c r="C297" s="51">
        <v>5</v>
      </c>
      <c r="D297" s="2" t="str">
        <f t="shared" ref="D297:E305" si="358">B297&amp;"_"&amp;C297</f>
        <v>23_5</v>
      </c>
      <c r="E297" s="2" t="str">
        <f t="shared" si="358"/>
        <v>5_23_5</v>
      </c>
      <c r="F297" s="4" t="str">
        <f ca="1">VLOOKUP($D297,OFFSET([1]stages!$A$1,0,0,COUNTA([1]stages!$A:$A),MATCH(F$1,[1]stages!$2:$2,0)-MATCH($D$1,[1]stages!$2:$2,0)+1),MATCH(F$1,[1]stages!$2:$2,0)-MATCH($D$1,[1]stages!$2:$2,0)+1,FALSE)</f>
        <v>23-5．目醒めの子どもたち</v>
      </c>
      <c r="G297" s="54">
        <v>5</v>
      </c>
      <c r="H297" s="17" t="str">
        <f t="shared" ref="H297" si="359">B297&amp;"_"&amp;C297&amp;"-"&amp;G297</f>
        <v>23_5-5</v>
      </c>
      <c r="I297" s="17"/>
      <c r="J297" s="17"/>
      <c r="K297" s="65">
        <v>4301</v>
      </c>
      <c r="L297" s="52">
        <v>43</v>
      </c>
      <c r="M297" s="21" t="str">
        <f ca="1">VLOOKUP($L297,OFFSET([2]enemies!$A$1,0,0,COUNTA([2]enemies!$A:$A),MATCH(M$1,[2]enemies!$1:$1,0)-MATCH($L$1,[2]enemies!$1:$1,0)+1),MATCH(M$1,[2]enemies!$1:$1,0)-MATCH($L$1,[2]enemies!$1:$1,0)+1,FALSE)</f>
        <v>ムゥ</v>
      </c>
      <c r="N297" s="21" t="str">
        <f ca="1">VLOOKUP($L297,OFFSET([2]enemies!$A$1,0,0,COUNTA([2]enemies!$A:$A),MATCH(N$1,[2]enemies!$1:$1,0)-MATCH($L$1,[2]enemies!$1:$1,0)+1),MATCH(N$1,[2]enemies!$1:$1,0)-MATCH($L$1,[2]enemies!$1:$1,0)+1,FALSE)</f>
        <v>green</v>
      </c>
      <c r="O297" s="21" t="str">
        <f ca="1">VLOOKUP($L297,OFFSET([3]characters!$A$1,0,0,COUNTA([3]characters!$A:$A),MATCH(O$1,[3]characters!$1:$1,0)-MATCH($L$1,[3]characters!$1:$1,0)+1),MATCH(O$1,[3]characters!$1:$1,0)-MATCH($L$1,[3]characters!$1:$1,0)+1,FALSE)</f>
        <v>Drop1N</v>
      </c>
      <c r="P297" s="21" t="str">
        <f ca="1">VLOOKUP($L297,OFFSET([2]enemies!$A$1,0,0,COUNTA([2]enemies!$A:$A),MATCH(P$1,[2]enemies!$1:$1,0)-MATCH($L$1,[2]enemies!$1:$1,0)+1),MATCH(P$1,[2]enemies!$1:$1,0)-MATCH($L$1,[2]enemies!$1:$1,0)+1,FALSE)</f>
        <v>dragon</v>
      </c>
      <c r="Q297" s="21">
        <f ca="1">VLOOKUP($L297,OFFSET([2]enemies!$A$1,0,0,COUNTA([2]enemies!$A:$A),MATCH(Q$1,[2]enemies!$1:$1,0)-MATCH($L$1,[2]enemies!$1:$1,0)+1),MATCH(Q$1,[2]enemies!$1:$1,0)-MATCH($L$1,[2]enemies!$1:$1,0)+1,FALSE)</f>
        <v>15</v>
      </c>
      <c r="R297" s="53">
        <v>53</v>
      </c>
      <c r="S297" s="27">
        <v>2</v>
      </c>
      <c r="T297" s="27">
        <v>0.9</v>
      </c>
      <c r="U297" s="5">
        <v>0</v>
      </c>
      <c r="V297" s="4" t="str">
        <f ca="1">VLOOKUP($W297,OFFSET([4]enemy_skill_sets!$B$1,0,0,COUNTA([4]enemy_skill_sets!$B:$B),MATCH(M$1,[4]enemy_skill_sets!$1:$1,0)-MATCH($W$1,[4]enemy_skill_sets!$1:$1,0)+2),MATCH(M$1,[4]enemy_skill_sets!$1:$1,0)-MATCH($W$1,[4]enemy_skill_sets!$1:$1,0)+2,FALSE)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97" s="4">
        <f ca="1">VLOOKUP($L297,OFFSET([2]enemies!$A$1,0,0,COUNTA([2]enemies!$A:$A),MATCH(W$1,[2]enemies!$1:$1,0)-MATCH($L$1,[2]enemies!$1:$1,0)+1),MATCH(W$1,[2]enemies!$1:$1,0)-MATCH($L$1,[2]enemies!$1:$1,0)+1,FALSE)</f>
        <v>0</v>
      </c>
      <c r="X297" s="6">
        <v>1</v>
      </c>
      <c r="Y297" s="6">
        <v>100</v>
      </c>
      <c r="Z297" s="6">
        <v>0</v>
      </c>
      <c r="AA297" s="4">
        <f ca="1">VLOOKUP($L297,OFFSET([2]enemies!$A$1,0,0,COUNTA([2]enemies!$A:$A),MATCH(AA$1,[2]enemies!$1:$1,0)-MATCH($L$1,[2]enemies!$1:$1,0)+1),MATCH(AA$1,[2]enemies!$1:$1,0)-MATCH($L$1,[2]enemies!$1:$1,0)+1,FALSE)</f>
        <v>2</v>
      </c>
      <c r="AB297" s="52">
        <v>43</v>
      </c>
      <c r="AC297" s="4" t="str">
        <f ca="1">VLOOKUP($AB297,OFFSET([3]characters!$A$1,0,0,COUNTA([3]characters!$A:$A),MATCH(AC$1,[3]characters!$1:$1,0)-MATCH("character_id",[3]characters!$1:$1,0)+1),MATCH(AC$1,[3]characters!$1:$1,0)-MATCH("character_id",[3]characters!$1:$1,0)+1,FALSE)</f>
        <v>ムゥ</v>
      </c>
      <c r="AD297" s="4">
        <f ca="1">VLOOKUP($AB297,OFFSET([3]characters!$A$1,0,0,COUNTA([3]characters!$A:$A),MATCH(AD$1,[3]characters!$1:$1,0)-MATCH("character_id",[3]characters!$1:$1,0)+1),MATCH(AD$1,[3]characters!$1:$1,0)-MATCH("character_id",[3]characters!$1:$1,0)+1,FALSE)</f>
        <v>2</v>
      </c>
      <c r="AE297" s="4" t="str">
        <f ca="1">VLOOKUP($AB297,OFFSET([3]characters!$A$1,0,0,COUNTA([3]characters!$A:$A),MATCH(AE$1,[3]characters!$1:$1,0)-MATCH("character_id",[3]characters!$1:$1,0)+1),MATCH(AE$1,[3]characters!$1:$1,0)-MATCH("character_id",[3]characters!$1:$1,0)+1,FALSE)</f>
        <v>Drop1N</v>
      </c>
      <c r="AF297" s="7">
        <v>7</v>
      </c>
      <c r="AG297" s="26">
        <f t="shared" ca="1" si="305"/>
        <v>2</v>
      </c>
      <c r="AH297" s="8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1</v>
      </c>
    </row>
    <row r="298" spans="1:39" ht="14" x14ac:dyDescent="0.15">
      <c r="A298" s="18" t="str">
        <f t="shared" ref="A298" ca="1" si="360">B298&amp;"_"&amp;C298&amp;"-"&amp;G298&amp;"/"&amp;L298&amp;"&lt;lv"&amp;R298&amp;"&gt;s"&amp;AA298</f>
        <v>23_5-5/43&lt;lv52&gt;s2</v>
      </c>
      <c r="B298" s="53">
        <v>23</v>
      </c>
      <c r="C298" s="51">
        <v>5</v>
      </c>
      <c r="D298" s="2" t="str">
        <f t="shared" ref="D298" si="361">B298&amp;"_"&amp;C298</f>
        <v>23_5</v>
      </c>
      <c r="E298" s="2" t="str">
        <f t="shared" ref="E298" si="362">C298&amp;"_"&amp;D298</f>
        <v>5_23_5</v>
      </c>
      <c r="F298" s="4" t="str">
        <f ca="1">VLOOKUP($D298,OFFSET([1]stages!$A$1,0,0,COUNTA([1]stages!$A:$A),MATCH(F$1,[1]stages!$2:$2,0)-MATCH($D$1,[1]stages!$2:$2,0)+1),MATCH(F$1,[1]stages!$2:$2,0)-MATCH($D$1,[1]stages!$2:$2,0)+1,FALSE)</f>
        <v>23-5．目醒めの子どもたち</v>
      </c>
      <c r="G298" s="54">
        <v>5</v>
      </c>
      <c r="H298" s="17" t="str">
        <f t="shared" ref="H298:H306" si="363">B298&amp;"_"&amp;C298&amp;"-"&amp;G298</f>
        <v>23_5-5</v>
      </c>
      <c r="I298" s="17"/>
      <c r="J298" s="17"/>
      <c r="K298" s="65">
        <v>4302</v>
      </c>
      <c r="L298" s="52">
        <v>43</v>
      </c>
      <c r="M298" s="21" t="str">
        <f ca="1">VLOOKUP($L298,OFFSET([2]enemies!$A$1,0,0,COUNTA([2]enemies!$A:$A),MATCH(M$1,[2]enemies!$1:$1,0)-MATCH($L$1,[2]enemies!$1:$1,0)+1),MATCH(M$1,[2]enemies!$1:$1,0)-MATCH($L$1,[2]enemies!$1:$1,0)+1,FALSE)</f>
        <v>ムゥ</v>
      </c>
      <c r="N298" s="21" t="str">
        <f ca="1">VLOOKUP($L298,OFFSET([2]enemies!$A$1,0,0,COUNTA([2]enemies!$A:$A),MATCH(N$1,[2]enemies!$1:$1,0)-MATCH($L$1,[2]enemies!$1:$1,0)+1),MATCH(N$1,[2]enemies!$1:$1,0)-MATCH($L$1,[2]enemies!$1:$1,0)+1,FALSE)</f>
        <v>green</v>
      </c>
      <c r="O298" s="21" t="str">
        <f ca="1">VLOOKUP($L298,OFFSET([3]characters!$A$1,0,0,COUNTA([3]characters!$A:$A),MATCH(O$1,[3]characters!$1:$1,0)-MATCH($L$1,[3]characters!$1:$1,0)+1),MATCH(O$1,[3]characters!$1:$1,0)-MATCH($L$1,[3]characters!$1:$1,0)+1,FALSE)</f>
        <v>Drop1N</v>
      </c>
      <c r="P298" s="21" t="str">
        <f ca="1">VLOOKUP($L298,OFFSET([2]enemies!$A$1,0,0,COUNTA([2]enemies!$A:$A),MATCH(P$1,[2]enemies!$1:$1,0)-MATCH($L$1,[2]enemies!$1:$1,0)+1),MATCH(P$1,[2]enemies!$1:$1,0)-MATCH($L$1,[2]enemies!$1:$1,0)+1,FALSE)</f>
        <v>dragon</v>
      </c>
      <c r="Q298" s="21">
        <f ca="1">VLOOKUP($L298,OFFSET([2]enemies!$A$1,0,0,COUNTA([2]enemies!$A:$A),MATCH(Q$1,[2]enemies!$1:$1,0)-MATCH($L$1,[2]enemies!$1:$1,0)+1),MATCH(Q$1,[2]enemies!$1:$1,0)-MATCH($L$1,[2]enemies!$1:$1,0)+1,FALSE)</f>
        <v>15</v>
      </c>
      <c r="R298" s="53">
        <v>52</v>
      </c>
      <c r="S298" s="27">
        <v>2</v>
      </c>
      <c r="T298" s="27">
        <v>0.9</v>
      </c>
      <c r="U298" s="5">
        <v>0</v>
      </c>
      <c r="V298" s="4" t="str">
        <f ca="1">VLOOKUP($W298,OFFSET([4]enemy_skill_sets!$B$1,0,0,COUNTA([4]enemy_skill_sets!$B:$B),MATCH(M$1,[4]enemy_skill_sets!$1:$1,0)-MATCH($W$1,[4]enemy_skill_sets!$1:$1,0)+2),MATCH(M$1,[4]enemy_skill_sets!$1:$1,0)-MATCH($W$1,[4]enemy_skill_sets!$1:$1,0)+2,FALSE)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98" s="4">
        <f ca="1">VLOOKUP($L298,OFFSET([2]enemies!$A$1,0,0,COUNTA([2]enemies!$A:$A),MATCH(W$1,[2]enemies!$1:$1,0)-MATCH($L$1,[2]enemies!$1:$1,0)+1),MATCH(W$1,[2]enemies!$1:$1,0)-MATCH($L$1,[2]enemies!$1:$1,0)+1,FALSE)</f>
        <v>0</v>
      </c>
      <c r="X298" s="6">
        <v>1</v>
      </c>
      <c r="Y298" s="6">
        <v>100</v>
      </c>
      <c r="Z298" s="6">
        <v>0</v>
      </c>
      <c r="AA298" s="4">
        <f ca="1">VLOOKUP($L298,OFFSET([2]enemies!$A$1,0,0,COUNTA([2]enemies!$A:$A),MATCH(AA$1,[2]enemies!$1:$1,0)-MATCH($L$1,[2]enemies!$1:$1,0)+1),MATCH(AA$1,[2]enemies!$1:$1,0)-MATCH($L$1,[2]enemies!$1:$1,0)+1,FALSE)</f>
        <v>2</v>
      </c>
      <c r="AB298" s="52">
        <v>43</v>
      </c>
      <c r="AC298" s="4" t="str">
        <f ca="1">VLOOKUP($AB298,OFFSET([3]characters!$A$1,0,0,COUNTA([3]characters!$A:$A),MATCH(AC$1,[3]characters!$1:$1,0)-MATCH("character_id",[3]characters!$1:$1,0)+1),MATCH(AC$1,[3]characters!$1:$1,0)-MATCH("character_id",[3]characters!$1:$1,0)+1,FALSE)</f>
        <v>ムゥ</v>
      </c>
      <c r="AD298" s="4">
        <f ca="1">VLOOKUP($AB298,OFFSET([3]characters!$A$1,0,0,COUNTA([3]characters!$A:$A),MATCH(AD$1,[3]characters!$1:$1,0)-MATCH("character_id",[3]characters!$1:$1,0)+1),MATCH(AD$1,[3]characters!$1:$1,0)-MATCH("character_id",[3]characters!$1:$1,0)+1,FALSE)</f>
        <v>2</v>
      </c>
      <c r="AE298" s="4" t="str">
        <f ca="1">VLOOKUP($AB298,OFFSET([3]characters!$A$1,0,0,COUNTA([3]characters!$A:$A),MATCH(AE$1,[3]characters!$1:$1,0)-MATCH("character_id",[3]characters!$1:$1,0)+1),MATCH(AE$1,[3]characters!$1:$1,0)-MATCH("character_id",[3]characters!$1:$1,0)+1,FALSE)</f>
        <v>Drop1N</v>
      </c>
      <c r="AF298" s="7">
        <v>7</v>
      </c>
      <c r="AG298" s="26">
        <f t="shared" ca="1" si="305"/>
        <v>2</v>
      </c>
      <c r="AH298" s="8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1</v>
      </c>
    </row>
    <row r="299" spans="1:39" ht="14" x14ac:dyDescent="0.15">
      <c r="A299" s="18" t="str">
        <f t="shared" ca="1" si="357"/>
        <v>23_6-1/338&lt;lv1&gt;s3</v>
      </c>
      <c r="B299" s="53">
        <v>23</v>
      </c>
      <c r="C299" s="51">
        <v>6</v>
      </c>
      <c r="D299" s="2" t="str">
        <f t="shared" si="358"/>
        <v>23_6</v>
      </c>
      <c r="E299" s="2" t="str">
        <f t="shared" si="358"/>
        <v>6_23_6</v>
      </c>
      <c r="F299" s="4" t="str">
        <f ca="1">VLOOKUP($D299,OFFSET([1]stages!$A$1,0,0,COUNTA([1]stages!$A:$A),MATCH(F$1,[1]stages!$2:$2,0)-MATCH($D$1,[1]stages!$2:$2,0)+1),MATCH(F$1,[1]stages!$2:$2,0)-MATCH($D$1,[1]stages!$2:$2,0)+1,FALSE)</f>
        <v>23-6．【1回のみ】ボーナスステージ</v>
      </c>
      <c r="G299" s="51">
        <v>1</v>
      </c>
      <c r="H299" s="17" t="str">
        <f t="shared" si="363"/>
        <v>23_6-1</v>
      </c>
      <c r="I299" s="17"/>
      <c r="J299" s="17"/>
      <c r="K299" s="65" t="s">
        <v>56</v>
      </c>
      <c r="L299" s="52">
        <v>338</v>
      </c>
      <c r="M299" s="21" t="str">
        <f ca="1">VLOOKUP($L299,OFFSET([2]enemies!$A$1,0,0,COUNTA([2]enemies!$A:$A),MATCH(M$1,[2]enemies!$1:$1,0)-MATCH($L$1,[2]enemies!$1:$1,0)+1),MATCH(M$1,[2]enemies!$1:$1,0)-MATCH($L$1,[2]enemies!$1:$1,0)+1,FALSE)</f>
        <v>森のメタルダック</v>
      </c>
      <c r="N299" s="21" t="str">
        <f ca="1">VLOOKUP($L299,OFFSET([2]enemies!$A$1,0,0,COUNTA([2]enemies!$A:$A),MATCH(N$1,[2]enemies!$1:$1,0)-MATCH($L$1,[2]enemies!$1:$1,0)+1),MATCH(N$1,[2]enemies!$1:$1,0)-MATCH($L$1,[2]enemies!$1:$1,0)+1,FALSE)</f>
        <v>green</v>
      </c>
      <c r="O299" s="21" t="str">
        <f ca="1">VLOOKUP($L299,OFFSET([3]characters!$A$1,0,0,COUNTA([3]characters!$A:$A),MATCH(O$1,[3]characters!$1:$1,0)-MATCH($L$1,[3]characters!$1:$1,0)+1),MATCH(O$1,[3]characters!$1:$1,0)-MATCH($L$1,[3]characters!$1:$1,0)+1,FALSE)</f>
        <v>Material</v>
      </c>
      <c r="P299" s="21" t="str">
        <f ca="1">VLOOKUP($L299,OFFSET([2]enemies!$A$1,0,0,COUNTA([2]enemies!$A:$A),MATCH(P$1,[2]enemies!$1:$1,0)-MATCH($L$1,[2]enemies!$1:$1,0)+1),MATCH(P$1,[2]enemies!$1:$1,0)-MATCH($L$1,[2]enemies!$1:$1,0)+1,FALSE)</f>
        <v>unknown</v>
      </c>
      <c r="Q299" s="21">
        <f ca="1">VLOOKUP($L299,OFFSET([2]enemies!$A$1,0,0,COUNTA([2]enemies!$A:$A),MATCH(Q$1,[2]enemies!$1:$1,0)-MATCH($L$1,[2]enemies!$1:$1,0)+1),MATCH(Q$1,[2]enemies!$1:$1,0)-MATCH($L$1,[2]enemies!$1:$1,0)+1,FALSE)</f>
        <v>20</v>
      </c>
      <c r="R299" s="53">
        <v>1</v>
      </c>
      <c r="S299" s="27">
        <v>1</v>
      </c>
      <c r="T299" s="27">
        <v>1</v>
      </c>
      <c r="U299" s="5">
        <v>0</v>
      </c>
      <c r="V299" s="4" t="str">
        <f ca="1">VLOOKUP($W299,OFFSET([4]enemy_skill_sets!$B$1,0,0,COUNTA([4]enemy_skill_sets!$B:$B),MATCH(M$1,[4]enemy_skill_sets!$1:$1,0)-MATCH($W$1,[4]enemy_skill_sets!$1:$1,0)+2),MATCH(M$1,[4]enemy_skill_sets!$1:$1,0)-MATCH($W$1,[4]enemy_skill_sets!$1:$1,0)+2,FALSE)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299" s="4">
        <f ca="1">VLOOKUP($L299,OFFSET([2]enemies!$A$1,0,0,COUNTA([2]enemies!$A:$A),MATCH(W$1,[2]enemies!$1:$1,0)-MATCH($L$1,[2]enemies!$1:$1,0)+1),MATCH(W$1,[2]enemies!$1:$1,0)-MATCH($L$1,[2]enemies!$1:$1,0)+1,FALSE)</f>
        <v>0</v>
      </c>
      <c r="X299" s="6">
        <v>0</v>
      </c>
      <c r="Y299" s="6">
        <v>100</v>
      </c>
      <c r="Z299" s="6">
        <v>0</v>
      </c>
      <c r="AA299" s="4">
        <f ca="1">VLOOKUP($L299,OFFSET([2]enemies!$A$1,0,0,COUNTA([2]enemies!$A:$A),MATCH(AA$1,[2]enemies!$1:$1,0)-MATCH($L$1,[2]enemies!$1:$1,0)+1),MATCH(AA$1,[2]enemies!$1:$1,0)-MATCH($L$1,[2]enemies!$1:$1,0)+1,FALSE)</f>
        <v>3</v>
      </c>
      <c r="AB299" s="52">
        <v>338</v>
      </c>
      <c r="AC299" s="4" t="str">
        <f ca="1">VLOOKUP($AB299,OFFSET([3]characters!$A$1,0,0,COUNTA([3]characters!$A:$A),MATCH(AC$1,[3]characters!$1:$1,0)-MATCH("character_id",[3]characters!$1:$1,0)+1),MATCH(AC$1,[3]characters!$1:$1,0)-MATCH("character_id",[3]characters!$1:$1,0)+1,FALSE)</f>
        <v>森のメタルダック</v>
      </c>
      <c r="AD299" s="4">
        <f ca="1">VLOOKUP($AB299,OFFSET([3]characters!$A$1,0,0,COUNTA([3]characters!$A:$A),MATCH(AD$1,[3]characters!$1:$1,0)-MATCH("character_id",[3]characters!$1:$1,0)+1),MATCH(AD$1,[3]characters!$1:$1,0)-MATCH("character_id",[3]characters!$1:$1,0)+1,FALSE)</f>
        <v>5</v>
      </c>
      <c r="AE299" s="4" t="str">
        <f ca="1">VLOOKUP($AB299,OFFSET([3]characters!$A$1,0,0,COUNTA([3]characters!$A:$A),MATCH(AE$1,[3]characters!$1:$1,0)-MATCH("character_id",[3]characters!$1:$1,0)+1),MATCH(AE$1,[3]characters!$1:$1,0)-MATCH("character_id",[3]characters!$1:$1,0)+1,FALSE)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299" s="7">
        <v>1</v>
      </c>
      <c r="AG299" s="26">
        <f t="shared" ca="1" si="305"/>
        <v>5</v>
      </c>
      <c r="AH299" s="8">
        <v>100</v>
      </c>
      <c r="AI299" s="7">
        <v>0</v>
      </c>
      <c r="AJ299" s="7">
        <v>0</v>
      </c>
      <c r="AK299" s="7">
        <v>0</v>
      </c>
      <c r="AL299" s="7">
        <v>0</v>
      </c>
      <c r="AM299" s="7">
        <v>1</v>
      </c>
    </row>
    <row r="300" spans="1:39" ht="14" x14ac:dyDescent="0.15">
      <c r="A300" s="18" t="str">
        <f t="shared" ca="1" si="357"/>
        <v>23_6-2/334&lt;lv1&gt;s3</v>
      </c>
      <c r="B300" s="53">
        <v>23</v>
      </c>
      <c r="C300" s="51">
        <v>6</v>
      </c>
      <c r="D300" s="2" t="str">
        <f t="shared" si="358"/>
        <v>23_6</v>
      </c>
      <c r="E300" s="2" t="str">
        <f t="shared" si="358"/>
        <v>6_23_6</v>
      </c>
      <c r="F300" s="4" t="str">
        <f ca="1">VLOOKUP($D300,OFFSET([1]stages!$A$1,0,0,COUNTA([1]stages!$A:$A),MATCH(F$1,[1]stages!$2:$2,0)-MATCH($D$1,[1]stages!$2:$2,0)+1),MATCH(F$1,[1]stages!$2:$2,0)-MATCH($D$1,[1]stages!$2:$2,0)+1,FALSE)</f>
        <v>23-6．【1回のみ】ボーナスステージ</v>
      </c>
      <c r="G300" s="51">
        <v>2</v>
      </c>
      <c r="H300" s="17" t="str">
        <f t="shared" si="363"/>
        <v>23_6-2</v>
      </c>
      <c r="I300" s="17"/>
      <c r="J300" s="17"/>
      <c r="K300" s="65" t="s">
        <v>56</v>
      </c>
      <c r="L300" s="63">
        <v>334</v>
      </c>
      <c r="M300" s="21" t="str">
        <f ca="1">VLOOKUP($L300,OFFSET([2]enemies!$A$1,0,0,COUNTA([2]enemies!$A:$A),MATCH(M$1,[2]enemies!$1:$1,0)-MATCH($L$1,[2]enemies!$1:$1,0)+1),MATCH(M$1,[2]enemies!$1:$1,0)-MATCH($L$1,[2]enemies!$1:$1,0)+1,FALSE)</f>
        <v>炎のメタルダック</v>
      </c>
      <c r="N300" s="21" t="str">
        <f ca="1">VLOOKUP($L300,OFFSET([2]enemies!$A$1,0,0,COUNTA([2]enemies!$A:$A),MATCH(N$1,[2]enemies!$1:$1,0)-MATCH($L$1,[2]enemies!$1:$1,0)+1),MATCH(N$1,[2]enemies!$1:$1,0)-MATCH($L$1,[2]enemies!$1:$1,0)+1,FALSE)</f>
        <v>red</v>
      </c>
      <c r="O300" s="21" t="str">
        <f ca="1">VLOOKUP($L300,OFFSET([3]characters!$A$1,0,0,COUNTA([3]characters!$A:$A),MATCH(O$1,[3]characters!$1:$1,0)-MATCH($L$1,[3]characters!$1:$1,0)+1),MATCH(O$1,[3]characters!$1:$1,0)-MATCH($L$1,[3]characters!$1:$1,0)+1,FALSE)</f>
        <v>Material</v>
      </c>
      <c r="P300" s="21" t="str">
        <f ca="1">VLOOKUP($L300,OFFSET([2]enemies!$A$1,0,0,COUNTA([2]enemies!$A:$A),MATCH(P$1,[2]enemies!$1:$1,0)-MATCH($L$1,[2]enemies!$1:$1,0)+1),MATCH(P$1,[2]enemies!$1:$1,0)-MATCH($L$1,[2]enemies!$1:$1,0)+1,FALSE)</f>
        <v>unknown</v>
      </c>
      <c r="Q300" s="21">
        <f ca="1">VLOOKUP($L300,OFFSET([2]enemies!$A$1,0,0,COUNTA([2]enemies!$A:$A),MATCH(Q$1,[2]enemies!$1:$1,0)-MATCH($L$1,[2]enemies!$1:$1,0)+1),MATCH(Q$1,[2]enemies!$1:$1,0)-MATCH($L$1,[2]enemies!$1:$1,0)+1,FALSE)</f>
        <v>20</v>
      </c>
      <c r="R300" s="53">
        <v>1</v>
      </c>
      <c r="S300" s="27">
        <v>1</v>
      </c>
      <c r="T300" s="27">
        <v>1</v>
      </c>
      <c r="U300" s="5">
        <v>0</v>
      </c>
      <c r="V300" s="4" t="str">
        <f ca="1">VLOOKUP($W300,OFFSET([4]enemy_skill_sets!$B$1,0,0,COUNTA([4]enemy_skill_sets!$B:$B),MATCH(M$1,[4]enemy_skill_sets!$1:$1,0)-MATCH($W$1,[4]enemy_skill_sets!$1:$1,0)+2),MATCH(M$1,[4]enemy_skill_sets!$1:$1,0)-MATCH($W$1,[4]enemy_skill_sets!$1:$1,0)+2,FALSE)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0" s="4">
        <f ca="1">VLOOKUP($L300,OFFSET([2]enemies!$A$1,0,0,COUNTA([2]enemies!$A:$A),MATCH(W$1,[2]enemies!$1:$1,0)-MATCH($L$1,[2]enemies!$1:$1,0)+1),MATCH(W$1,[2]enemies!$1:$1,0)-MATCH($L$1,[2]enemies!$1:$1,0)+1,FALSE)</f>
        <v>0</v>
      </c>
      <c r="X300" s="6">
        <v>0</v>
      </c>
      <c r="Y300" s="6">
        <v>100</v>
      </c>
      <c r="Z300" s="6">
        <v>0</v>
      </c>
      <c r="AA300" s="4">
        <f ca="1">VLOOKUP($L300,OFFSET([2]enemies!$A$1,0,0,COUNTA([2]enemies!$A:$A),MATCH(AA$1,[2]enemies!$1:$1,0)-MATCH($L$1,[2]enemies!$1:$1,0)+1),MATCH(AA$1,[2]enemies!$1:$1,0)-MATCH($L$1,[2]enemies!$1:$1,0)+1,FALSE)</f>
        <v>3</v>
      </c>
      <c r="AB300" s="63">
        <v>334</v>
      </c>
      <c r="AC300" s="4" t="str">
        <f ca="1">VLOOKUP($AB300,OFFSET([3]characters!$A$1,0,0,COUNTA([3]characters!$A:$A),MATCH(AC$1,[3]characters!$1:$1,0)-MATCH("character_id",[3]characters!$1:$1,0)+1),MATCH(AC$1,[3]characters!$1:$1,0)-MATCH("character_id",[3]characters!$1:$1,0)+1,FALSE)</f>
        <v>炎のメタルダック</v>
      </c>
      <c r="AD300" s="4">
        <f ca="1">VLOOKUP($AB300,OFFSET([3]characters!$A$1,0,0,COUNTA([3]characters!$A:$A),MATCH(AD$1,[3]characters!$1:$1,0)-MATCH("character_id",[3]characters!$1:$1,0)+1),MATCH(AD$1,[3]characters!$1:$1,0)-MATCH("character_id",[3]characters!$1:$1,0)+1,FALSE)</f>
        <v>5</v>
      </c>
      <c r="AE300" s="4" t="str">
        <f ca="1">VLOOKUP($AB300,OFFSET([3]characters!$A$1,0,0,COUNTA([3]characters!$A:$A),MATCH(AE$1,[3]characters!$1:$1,0)-MATCH("character_id",[3]characters!$1:$1,0)+1),MATCH(AE$1,[3]characters!$1:$1,0)-MATCH("character_id",[3]characters!$1:$1,0)+1,FALSE)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00" s="7">
        <v>1</v>
      </c>
      <c r="AG300" s="26">
        <f t="shared" ca="1" si="305"/>
        <v>5</v>
      </c>
      <c r="AH300" s="8">
        <v>100</v>
      </c>
      <c r="AI300" s="7">
        <v>0</v>
      </c>
      <c r="AJ300" s="7">
        <v>0</v>
      </c>
      <c r="AK300" s="7">
        <v>0</v>
      </c>
      <c r="AL300" s="7">
        <v>0</v>
      </c>
      <c r="AM300" s="7">
        <v>1</v>
      </c>
    </row>
    <row r="301" spans="1:39" ht="14" x14ac:dyDescent="0.15">
      <c r="A301" s="18" t="str">
        <f t="shared" ca="1" si="357"/>
        <v>23_6-3/119&lt;lv1&gt;s3</v>
      </c>
      <c r="B301" s="53">
        <v>23</v>
      </c>
      <c r="C301" s="51">
        <v>6</v>
      </c>
      <c r="D301" s="2" t="str">
        <f t="shared" si="358"/>
        <v>23_6</v>
      </c>
      <c r="E301" s="2" t="str">
        <f t="shared" si="358"/>
        <v>6_23_6</v>
      </c>
      <c r="F301" s="4" t="str">
        <f ca="1">VLOOKUP($D301,OFFSET([1]stages!$A$1,0,0,COUNTA([1]stages!$A:$A),MATCH(F$1,[1]stages!$2:$2,0)-MATCH($D$1,[1]stages!$2:$2,0)+1),MATCH(F$1,[1]stages!$2:$2,0)-MATCH($D$1,[1]stages!$2:$2,0)+1,FALSE)</f>
        <v>23-6．【1回のみ】ボーナスステージ</v>
      </c>
      <c r="G301" s="51">
        <v>3</v>
      </c>
      <c r="H301" s="17" t="str">
        <f t="shared" si="363"/>
        <v>23_6-3</v>
      </c>
      <c r="I301" s="17"/>
      <c r="J301" s="17"/>
      <c r="K301" s="65" t="s">
        <v>56</v>
      </c>
      <c r="L301" s="52">
        <v>119</v>
      </c>
      <c r="M301" s="21" t="str">
        <f ca="1">VLOOKUP($L301,OFFSET([2]enemies!$A$1,0,0,COUNTA([2]enemies!$A:$A),MATCH(M$1,[2]enemies!$1:$1,0)-MATCH($L$1,[2]enemies!$1:$1,0)+1),MATCH(M$1,[2]enemies!$1:$1,0)-MATCH($L$1,[2]enemies!$1:$1,0)+1,FALSE)</f>
        <v>ゴールドダック</v>
      </c>
      <c r="N301" s="21" t="str">
        <f ca="1">VLOOKUP($L301,OFFSET([2]enemies!$A$1,0,0,COUNTA([2]enemies!$A:$A),MATCH(N$1,[2]enemies!$1:$1,0)-MATCH($L$1,[2]enemies!$1:$1,0)+1),MATCH(N$1,[2]enemies!$1:$1,0)-MATCH($L$1,[2]enemies!$1:$1,0)+1,FALSE)</f>
        <v>yellow</v>
      </c>
      <c r="O301" s="21" t="str">
        <f ca="1">VLOOKUP($L301,OFFSET([3]characters!$A$1,0,0,COUNTA([3]characters!$A:$A),MATCH(O$1,[3]characters!$1:$1,0)-MATCH($L$1,[3]characters!$1:$1,0)+1),MATCH(O$1,[3]characters!$1:$1,0)-MATCH($L$1,[3]characters!$1:$1,0)+1,FALSE)</f>
        <v>Material</v>
      </c>
      <c r="P301" s="21" t="str">
        <f ca="1">VLOOKUP($L301,OFFSET([2]enemies!$A$1,0,0,COUNTA([2]enemies!$A:$A),MATCH(P$1,[2]enemies!$1:$1,0)-MATCH($L$1,[2]enemies!$1:$1,0)+1),MATCH(P$1,[2]enemies!$1:$1,0)-MATCH($L$1,[2]enemies!$1:$1,0)+1,FALSE)</f>
        <v>unknown</v>
      </c>
      <c r="Q301" s="21">
        <f ca="1">VLOOKUP($L301,OFFSET([2]enemies!$A$1,0,0,COUNTA([2]enemies!$A:$A),MATCH(Q$1,[2]enemies!$1:$1,0)-MATCH($L$1,[2]enemies!$1:$1,0)+1),MATCH(Q$1,[2]enemies!$1:$1,0)-MATCH($L$1,[2]enemies!$1:$1,0)+1,FALSE)</f>
        <v>20</v>
      </c>
      <c r="R301" s="53">
        <v>1</v>
      </c>
      <c r="S301" s="27">
        <v>1</v>
      </c>
      <c r="T301" s="27">
        <v>1</v>
      </c>
      <c r="U301" s="5">
        <v>0</v>
      </c>
      <c r="V301" s="4" t="str">
        <f ca="1">VLOOKUP($W301,OFFSET([4]enemy_skill_sets!$B$1,0,0,COUNTA([4]enemy_skill_sets!$B:$B),MATCH(M$1,[4]enemy_skill_sets!$1:$1,0)-MATCH($W$1,[4]enemy_skill_sets!$1:$1,0)+2),MATCH(M$1,[4]enemy_skill_sets!$1:$1,0)-MATCH($W$1,[4]enemy_skill_sets!$1:$1,0)+2,FALSE)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1" s="4">
        <f ca="1">VLOOKUP($L301,OFFSET([2]enemies!$A$1,0,0,COUNTA([2]enemies!$A:$A),MATCH(W$1,[2]enemies!$1:$1,0)-MATCH($L$1,[2]enemies!$1:$1,0)+1),MATCH(W$1,[2]enemies!$1:$1,0)-MATCH($L$1,[2]enemies!$1:$1,0)+1,FALSE)</f>
        <v>0</v>
      </c>
      <c r="X301" s="6">
        <v>0</v>
      </c>
      <c r="Y301" s="6">
        <v>100</v>
      </c>
      <c r="Z301" s="6">
        <v>0</v>
      </c>
      <c r="AA301" s="4">
        <f ca="1">VLOOKUP($L301,OFFSET([2]enemies!$A$1,0,0,COUNTA([2]enemies!$A:$A),MATCH(AA$1,[2]enemies!$1:$1,0)-MATCH($L$1,[2]enemies!$1:$1,0)+1),MATCH(AA$1,[2]enemies!$1:$1,0)-MATCH($L$1,[2]enemies!$1:$1,0)+1,FALSE)</f>
        <v>3</v>
      </c>
      <c r="AB301" s="52">
        <v>119</v>
      </c>
      <c r="AC301" s="4" t="str">
        <f ca="1">VLOOKUP($AB301,OFFSET([3]characters!$A$1,0,0,COUNTA([3]characters!$A:$A),MATCH(AC$1,[3]characters!$1:$1,0)-MATCH("character_id",[3]characters!$1:$1,0)+1),MATCH(AC$1,[3]characters!$1:$1,0)-MATCH("character_id",[3]characters!$1:$1,0)+1,FALSE)</f>
        <v>ゴールドダック</v>
      </c>
      <c r="AD301" s="4">
        <f ca="1">VLOOKUP($AB301,OFFSET([3]characters!$A$1,0,0,COUNTA([3]characters!$A:$A),MATCH(AD$1,[3]characters!$1:$1,0)-MATCH("character_id",[3]characters!$1:$1,0)+1),MATCH(AD$1,[3]characters!$1:$1,0)-MATCH("character_id",[3]characters!$1:$1,0)+1,FALSE)</f>
        <v>5</v>
      </c>
      <c r="AE301" s="4" t="str">
        <f ca="1">VLOOKUP($AB301,OFFSET([3]characters!$A$1,0,0,COUNTA([3]characters!$A:$A),MATCH(AE$1,[3]characters!$1:$1,0)-MATCH("character_id",[3]characters!$1:$1,0)+1),MATCH(AE$1,[3]characters!$1:$1,0)-MATCH("character_id",[3]characters!$1:$1,0)+1,FALSE)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01" s="7">
        <v>1</v>
      </c>
      <c r="AG301" s="26">
        <f t="shared" ca="1" si="305"/>
        <v>5</v>
      </c>
      <c r="AH301" s="8">
        <v>100</v>
      </c>
      <c r="AI301" s="7">
        <v>0</v>
      </c>
      <c r="AJ301" s="7">
        <v>0</v>
      </c>
      <c r="AK301" s="7">
        <v>0</v>
      </c>
      <c r="AL301" s="7">
        <v>0</v>
      </c>
      <c r="AM301" s="7">
        <v>1</v>
      </c>
    </row>
    <row r="302" spans="1:39" ht="14" x14ac:dyDescent="0.15">
      <c r="A302" s="18" t="str">
        <f t="shared" ca="1" si="357"/>
        <v>23_6-4/338&lt;lv1&gt;s3</v>
      </c>
      <c r="B302" s="53">
        <v>23</v>
      </c>
      <c r="C302" s="51">
        <v>6</v>
      </c>
      <c r="D302" s="2" t="str">
        <f t="shared" si="358"/>
        <v>23_6</v>
      </c>
      <c r="E302" s="2" t="str">
        <f t="shared" si="358"/>
        <v>6_23_6</v>
      </c>
      <c r="F302" s="4" t="str">
        <f ca="1">VLOOKUP($D302,OFFSET([1]stages!$A$1,0,0,COUNTA([1]stages!$A:$A),MATCH(F$1,[1]stages!$2:$2,0)-MATCH($D$1,[1]stages!$2:$2,0)+1),MATCH(F$1,[1]stages!$2:$2,0)-MATCH($D$1,[1]stages!$2:$2,0)+1,FALSE)</f>
        <v>23-6．【1回のみ】ボーナスステージ</v>
      </c>
      <c r="G302" s="51">
        <v>4</v>
      </c>
      <c r="H302" s="17" t="str">
        <f t="shared" si="363"/>
        <v>23_6-4</v>
      </c>
      <c r="I302" s="17"/>
      <c r="J302" s="17"/>
      <c r="K302" s="65" t="s">
        <v>56</v>
      </c>
      <c r="L302" s="63">
        <v>338</v>
      </c>
      <c r="M302" s="21" t="str">
        <f ca="1">VLOOKUP($L302,OFFSET([2]enemies!$A$1,0,0,COUNTA([2]enemies!$A:$A),MATCH(M$1,[2]enemies!$1:$1,0)-MATCH($L$1,[2]enemies!$1:$1,0)+1),MATCH(M$1,[2]enemies!$1:$1,0)-MATCH($L$1,[2]enemies!$1:$1,0)+1,FALSE)</f>
        <v>森のメタルダック</v>
      </c>
      <c r="N302" s="21" t="str">
        <f ca="1">VLOOKUP($L302,OFFSET([2]enemies!$A$1,0,0,COUNTA([2]enemies!$A:$A),MATCH(N$1,[2]enemies!$1:$1,0)-MATCH($L$1,[2]enemies!$1:$1,0)+1),MATCH(N$1,[2]enemies!$1:$1,0)-MATCH($L$1,[2]enemies!$1:$1,0)+1,FALSE)</f>
        <v>green</v>
      </c>
      <c r="O302" s="21" t="str">
        <f ca="1">VLOOKUP($L302,OFFSET([3]characters!$A$1,0,0,COUNTA([3]characters!$A:$A),MATCH(O$1,[3]characters!$1:$1,0)-MATCH($L$1,[3]characters!$1:$1,0)+1),MATCH(O$1,[3]characters!$1:$1,0)-MATCH($L$1,[3]characters!$1:$1,0)+1,FALSE)</f>
        <v>Material</v>
      </c>
      <c r="P302" s="21" t="str">
        <f ca="1">VLOOKUP($L302,OFFSET([2]enemies!$A$1,0,0,COUNTA([2]enemies!$A:$A),MATCH(P$1,[2]enemies!$1:$1,0)-MATCH($L$1,[2]enemies!$1:$1,0)+1),MATCH(P$1,[2]enemies!$1:$1,0)-MATCH($L$1,[2]enemies!$1:$1,0)+1,FALSE)</f>
        <v>unknown</v>
      </c>
      <c r="Q302" s="21">
        <f ca="1">VLOOKUP($L302,OFFSET([2]enemies!$A$1,0,0,COUNTA([2]enemies!$A:$A),MATCH(Q$1,[2]enemies!$1:$1,0)-MATCH($L$1,[2]enemies!$1:$1,0)+1),MATCH(Q$1,[2]enemies!$1:$1,0)-MATCH($L$1,[2]enemies!$1:$1,0)+1,FALSE)</f>
        <v>20</v>
      </c>
      <c r="R302" s="53">
        <v>1</v>
      </c>
      <c r="S302" s="27">
        <v>1</v>
      </c>
      <c r="T302" s="27">
        <v>1</v>
      </c>
      <c r="U302" s="5">
        <v>0</v>
      </c>
      <c r="V302" s="4" t="str">
        <f ca="1">VLOOKUP($W302,OFFSET([4]enemy_skill_sets!$B$1,0,0,COUNTA([4]enemy_skill_sets!$B:$B),MATCH(M$1,[4]enemy_skill_sets!$1:$1,0)-MATCH($W$1,[4]enemy_skill_sets!$1:$1,0)+2),MATCH(M$1,[4]enemy_skill_sets!$1:$1,0)-MATCH($W$1,[4]enemy_skill_sets!$1:$1,0)+2,FALSE)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2" s="4">
        <f ca="1">VLOOKUP($L302,OFFSET([2]enemies!$A$1,0,0,COUNTA([2]enemies!$A:$A),MATCH(W$1,[2]enemies!$1:$1,0)-MATCH($L$1,[2]enemies!$1:$1,0)+1),MATCH(W$1,[2]enemies!$1:$1,0)-MATCH($L$1,[2]enemies!$1:$1,0)+1,FALSE)</f>
        <v>0</v>
      </c>
      <c r="X302" s="6">
        <v>1</v>
      </c>
      <c r="Y302" s="6">
        <v>100</v>
      </c>
      <c r="Z302" s="6">
        <v>0</v>
      </c>
      <c r="AA302" s="4">
        <f ca="1">VLOOKUP($L302,OFFSET([2]enemies!$A$1,0,0,COUNTA([2]enemies!$A:$A),MATCH(AA$1,[2]enemies!$1:$1,0)-MATCH($L$1,[2]enemies!$1:$1,0)+1),MATCH(AA$1,[2]enemies!$1:$1,0)-MATCH($L$1,[2]enemies!$1:$1,0)+1,FALSE)</f>
        <v>3</v>
      </c>
      <c r="AB302" s="63">
        <v>338</v>
      </c>
      <c r="AC302" s="4" t="str">
        <f ca="1">VLOOKUP($AB302,OFFSET([3]characters!$A$1,0,0,COUNTA([3]characters!$A:$A),MATCH(AC$1,[3]characters!$1:$1,0)-MATCH("character_id",[3]characters!$1:$1,0)+1),MATCH(AC$1,[3]characters!$1:$1,0)-MATCH("character_id",[3]characters!$1:$1,0)+1,FALSE)</f>
        <v>森のメタルダック</v>
      </c>
      <c r="AD302" s="4">
        <f ca="1">VLOOKUP($AB302,OFFSET([3]characters!$A$1,0,0,COUNTA([3]characters!$A:$A),MATCH(AD$1,[3]characters!$1:$1,0)-MATCH("character_id",[3]characters!$1:$1,0)+1),MATCH(AD$1,[3]characters!$1:$1,0)-MATCH("character_id",[3]characters!$1:$1,0)+1,FALSE)</f>
        <v>5</v>
      </c>
      <c r="AE302" s="4" t="str">
        <f ca="1">VLOOKUP($AB302,OFFSET([3]characters!$A$1,0,0,COUNTA([3]characters!$A:$A),MATCH(AE$1,[3]characters!$1:$1,0)-MATCH("character_id",[3]characters!$1:$1,0)+1),MATCH(AE$1,[3]characters!$1:$1,0)-MATCH("character_id",[3]characters!$1:$1,0)+1,FALSE)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02" s="7">
        <v>1</v>
      </c>
      <c r="AG302" s="26">
        <f t="shared" ca="1" si="305"/>
        <v>5</v>
      </c>
      <c r="AH302" s="8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1</v>
      </c>
    </row>
    <row r="303" spans="1:39" ht="14" x14ac:dyDescent="0.15">
      <c r="A303" s="18" t="str">
        <f t="shared" ca="1" si="357"/>
        <v>23_6-4/334&lt;lv1&gt;s3</v>
      </c>
      <c r="B303" s="53">
        <v>23</v>
      </c>
      <c r="C303" s="51">
        <v>6</v>
      </c>
      <c r="D303" s="2" t="str">
        <f t="shared" si="358"/>
        <v>23_6</v>
      </c>
      <c r="E303" s="2" t="str">
        <f t="shared" si="358"/>
        <v>6_23_6</v>
      </c>
      <c r="F303" s="4" t="str">
        <f ca="1">VLOOKUP($D303,OFFSET([1]stages!$A$1,0,0,COUNTA([1]stages!$A:$A),MATCH(F$1,[1]stages!$2:$2,0)-MATCH($D$1,[1]stages!$2:$2,0)+1),MATCH(F$1,[1]stages!$2:$2,0)-MATCH($D$1,[1]stages!$2:$2,0)+1,FALSE)</f>
        <v>23-6．【1回のみ】ボーナスステージ</v>
      </c>
      <c r="G303" s="51">
        <v>4</v>
      </c>
      <c r="H303" s="17" t="str">
        <f t="shared" si="363"/>
        <v>23_6-4</v>
      </c>
      <c r="I303" s="17"/>
      <c r="J303" s="17"/>
      <c r="K303" s="65" t="s">
        <v>56</v>
      </c>
      <c r="L303" s="63">
        <v>334</v>
      </c>
      <c r="M303" s="21" t="str">
        <f ca="1">VLOOKUP($L303,OFFSET([2]enemies!$A$1,0,0,COUNTA([2]enemies!$A:$A),MATCH(M$1,[2]enemies!$1:$1,0)-MATCH($L$1,[2]enemies!$1:$1,0)+1),MATCH(M$1,[2]enemies!$1:$1,0)-MATCH($L$1,[2]enemies!$1:$1,0)+1,FALSE)</f>
        <v>炎のメタルダック</v>
      </c>
      <c r="N303" s="21" t="str">
        <f ca="1">VLOOKUP($L303,OFFSET([2]enemies!$A$1,0,0,COUNTA([2]enemies!$A:$A),MATCH(N$1,[2]enemies!$1:$1,0)-MATCH($L$1,[2]enemies!$1:$1,0)+1),MATCH(N$1,[2]enemies!$1:$1,0)-MATCH($L$1,[2]enemies!$1:$1,0)+1,FALSE)</f>
        <v>red</v>
      </c>
      <c r="O303" s="21" t="str">
        <f ca="1">VLOOKUP($L303,OFFSET([3]characters!$A$1,0,0,COUNTA([3]characters!$A:$A),MATCH(O$1,[3]characters!$1:$1,0)-MATCH($L$1,[3]characters!$1:$1,0)+1),MATCH(O$1,[3]characters!$1:$1,0)-MATCH($L$1,[3]characters!$1:$1,0)+1,FALSE)</f>
        <v>Material</v>
      </c>
      <c r="P303" s="21" t="str">
        <f ca="1">VLOOKUP($L303,OFFSET([2]enemies!$A$1,0,0,COUNTA([2]enemies!$A:$A),MATCH(P$1,[2]enemies!$1:$1,0)-MATCH($L$1,[2]enemies!$1:$1,0)+1),MATCH(P$1,[2]enemies!$1:$1,0)-MATCH($L$1,[2]enemies!$1:$1,0)+1,FALSE)</f>
        <v>unknown</v>
      </c>
      <c r="Q303" s="21">
        <f ca="1">VLOOKUP($L303,OFFSET([2]enemies!$A$1,0,0,COUNTA([2]enemies!$A:$A),MATCH(Q$1,[2]enemies!$1:$1,0)-MATCH($L$1,[2]enemies!$1:$1,0)+1),MATCH(Q$1,[2]enemies!$1:$1,0)-MATCH($L$1,[2]enemies!$1:$1,0)+1,FALSE)</f>
        <v>20</v>
      </c>
      <c r="R303" s="53">
        <v>1</v>
      </c>
      <c r="S303" s="27">
        <v>1</v>
      </c>
      <c r="T303" s="27">
        <v>1</v>
      </c>
      <c r="U303" s="5">
        <v>0</v>
      </c>
      <c r="V303" s="4" t="str">
        <f ca="1">VLOOKUP($W303,OFFSET([4]enemy_skill_sets!$B$1,0,0,COUNTA([4]enemy_skill_sets!$B:$B),MATCH(M$1,[4]enemy_skill_sets!$1:$1,0)-MATCH($W$1,[4]enemy_skill_sets!$1:$1,0)+2),MATCH(M$1,[4]enemy_skill_sets!$1:$1,0)-MATCH($W$1,[4]enemy_skill_sets!$1:$1,0)+2,FALSE)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3" s="4">
        <f ca="1">VLOOKUP($L303,OFFSET([2]enemies!$A$1,0,0,COUNTA([2]enemies!$A:$A),MATCH(W$1,[2]enemies!$1:$1,0)-MATCH($L$1,[2]enemies!$1:$1,0)+1),MATCH(W$1,[2]enemies!$1:$1,0)-MATCH($L$1,[2]enemies!$1:$1,0)+1,FALSE)</f>
        <v>0</v>
      </c>
      <c r="X303" s="6">
        <v>1</v>
      </c>
      <c r="Y303" s="6">
        <v>100</v>
      </c>
      <c r="Z303" s="6">
        <v>0</v>
      </c>
      <c r="AA303" s="4">
        <f ca="1">VLOOKUP($L303,OFFSET([2]enemies!$A$1,0,0,COUNTA([2]enemies!$A:$A),MATCH(AA$1,[2]enemies!$1:$1,0)-MATCH($L$1,[2]enemies!$1:$1,0)+1),MATCH(AA$1,[2]enemies!$1:$1,0)-MATCH($L$1,[2]enemies!$1:$1,0)+1,FALSE)</f>
        <v>3</v>
      </c>
      <c r="AB303" s="63">
        <v>334</v>
      </c>
      <c r="AC303" s="4" t="str">
        <f ca="1">VLOOKUP($AB303,OFFSET([3]characters!$A$1,0,0,COUNTA([3]characters!$A:$A),MATCH(AC$1,[3]characters!$1:$1,0)-MATCH("character_id",[3]characters!$1:$1,0)+1),MATCH(AC$1,[3]characters!$1:$1,0)-MATCH("character_id",[3]characters!$1:$1,0)+1,FALSE)</f>
        <v>炎のメタルダック</v>
      </c>
      <c r="AD303" s="4">
        <f ca="1">VLOOKUP($AB303,OFFSET([3]characters!$A$1,0,0,COUNTA([3]characters!$A:$A),MATCH(AD$1,[3]characters!$1:$1,0)-MATCH("character_id",[3]characters!$1:$1,0)+1),MATCH(AD$1,[3]characters!$1:$1,0)-MATCH("character_id",[3]characters!$1:$1,0)+1,FALSE)</f>
        <v>5</v>
      </c>
      <c r="AE303" s="4" t="str">
        <f ca="1">VLOOKUP($AB303,OFFSET([3]characters!$A$1,0,0,COUNTA([3]characters!$A:$A),MATCH(AE$1,[3]characters!$1:$1,0)-MATCH("character_id",[3]characters!$1:$1,0)+1),MATCH(AE$1,[3]characters!$1:$1,0)-MATCH("character_id",[3]characters!$1:$1,0)+1,FALSE)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03" s="7">
        <v>1</v>
      </c>
      <c r="AG303" s="26">
        <f t="shared" ca="1" si="305"/>
        <v>5</v>
      </c>
      <c r="AH303" s="8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1</v>
      </c>
    </row>
    <row r="304" spans="1:39" ht="14" x14ac:dyDescent="0.15">
      <c r="A304" s="18" t="str">
        <f t="shared" ca="1" si="357"/>
        <v>23_6-4/120&lt;lv1&gt;s4</v>
      </c>
      <c r="B304" s="53">
        <v>23</v>
      </c>
      <c r="C304" s="51">
        <v>6</v>
      </c>
      <c r="D304" s="2" t="str">
        <f t="shared" si="358"/>
        <v>23_6</v>
      </c>
      <c r="E304" s="2" t="str">
        <f t="shared" si="358"/>
        <v>6_23_6</v>
      </c>
      <c r="F304" s="4" t="str">
        <f ca="1">VLOOKUP($D304,OFFSET([1]stages!$A$1,0,0,COUNTA([1]stages!$A:$A),MATCH(F$1,[1]stages!$2:$2,0)-MATCH($D$1,[1]stages!$2:$2,0)+1),MATCH(F$1,[1]stages!$2:$2,0)-MATCH($D$1,[1]stages!$2:$2,0)+1,FALSE)</f>
        <v>23-6．【1回のみ】ボーナスステージ</v>
      </c>
      <c r="G304" s="51">
        <v>4</v>
      </c>
      <c r="H304" s="17" t="str">
        <f t="shared" si="363"/>
        <v>23_6-4</v>
      </c>
      <c r="I304" s="17"/>
      <c r="J304" s="17"/>
      <c r="K304" s="65" t="s">
        <v>56</v>
      </c>
      <c r="L304" s="63">
        <v>120</v>
      </c>
      <c r="M304" s="21" t="str">
        <f ca="1">VLOOKUP($L304,OFFSET([2]enemies!$A$1,0,0,COUNTA([2]enemies!$A:$A),MATCH(M$1,[2]enemies!$1:$1,0)-MATCH($L$1,[2]enemies!$1:$1,0)+1),MATCH(M$1,[2]enemies!$1:$1,0)-MATCH($L$1,[2]enemies!$1:$1,0)+1,FALSE)</f>
        <v>ゴールドキング</v>
      </c>
      <c r="N304" s="21" t="str">
        <f ca="1">VLOOKUP($L304,OFFSET([2]enemies!$A$1,0,0,COUNTA([2]enemies!$A:$A),MATCH(N$1,[2]enemies!$1:$1,0)-MATCH($L$1,[2]enemies!$1:$1,0)+1),MATCH(N$1,[2]enemies!$1:$1,0)-MATCH($L$1,[2]enemies!$1:$1,0)+1,FALSE)</f>
        <v>yellow</v>
      </c>
      <c r="O304" s="21" t="str">
        <f ca="1">VLOOKUP($L304,OFFSET([3]characters!$A$1,0,0,COUNTA([3]characters!$A:$A),MATCH(O$1,[3]characters!$1:$1,0)-MATCH($L$1,[3]characters!$1:$1,0)+1),MATCH(O$1,[3]characters!$1:$1,0)-MATCH($L$1,[3]characters!$1:$1,0)+1,FALSE)</f>
        <v>Material</v>
      </c>
      <c r="P304" s="21" t="str">
        <f ca="1">VLOOKUP($L304,OFFSET([2]enemies!$A$1,0,0,COUNTA([2]enemies!$A:$A),MATCH(P$1,[2]enemies!$1:$1,0)-MATCH($L$1,[2]enemies!$1:$1,0)+1),MATCH(P$1,[2]enemies!$1:$1,0)-MATCH($L$1,[2]enemies!$1:$1,0)+1,FALSE)</f>
        <v>unknown</v>
      </c>
      <c r="Q304" s="21">
        <f ca="1">VLOOKUP($L304,OFFSET([2]enemies!$A$1,0,0,COUNTA([2]enemies!$A:$A),MATCH(Q$1,[2]enemies!$1:$1,0)-MATCH($L$1,[2]enemies!$1:$1,0)+1),MATCH(Q$1,[2]enemies!$1:$1,0)-MATCH($L$1,[2]enemies!$1:$1,0)+1,FALSE)</f>
        <v>20</v>
      </c>
      <c r="R304" s="53">
        <v>1</v>
      </c>
      <c r="S304" s="27">
        <v>1</v>
      </c>
      <c r="T304" s="27">
        <v>1</v>
      </c>
      <c r="U304" s="5">
        <v>0</v>
      </c>
      <c r="V304" s="4" t="str">
        <f ca="1">VLOOKUP($W304,OFFSET([4]enemy_skill_sets!$B$1,0,0,COUNTA([4]enemy_skill_sets!$B:$B),MATCH(M$1,[4]enemy_skill_sets!$1:$1,0)-MATCH($W$1,[4]enemy_skill_sets!$1:$1,0)+2),MATCH(M$1,[4]enemy_skill_sets!$1:$1,0)-MATCH($W$1,[4]enemy_skill_sets!$1:$1,0)+2,FALSE)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4" s="4">
        <f ca="1">VLOOKUP($L304,OFFSET([2]enemies!$A$1,0,0,COUNTA([2]enemies!$A:$A),MATCH(W$1,[2]enemies!$1:$1,0)-MATCH($L$1,[2]enemies!$1:$1,0)+1),MATCH(W$1,[2]enemies!$1:$1,0)-MATCH($L$1,[2]enemies!$1:$1,0)+1,FALSE)</f>
        <v>0</v>
      </c>
      <c r="X304" s="6">
        <v>1</v>
      </c>
      <c r="Y304" s="6">
        <v>100</v>
      </c>
      <c r="Z304" s="6">
        <v>1</v>
      </c>
      <c r="AA304" s="4">
        <f ca="1">VLOOKUP($L304,OFFSET([2]enemies!$A$1,0,0,COUNTA([2]enemies!$A:$A),MATCH(AA$1,[2]enemies!$1:$1,0)-MATCH($L$1,[2]enemies!$1:$1,0)+1),MATCH(AA$1,[2]enemies!$1:$1,0)-MATCH($L$1,[2]enemies!$1:$1,0)+1,FALSE)</f>
        <v>4</v>
      </c>
      <c r="AB304" s="63">
        <v>120</v>
      </c>
      <c r="AC304" s="4" t="str">
        <f ca="1">VLOOKUP($AB304,OFFSET([3]characters!$A$1,0,0,COUNTA([3]characters!$A:$A),MATCH(AC$1,[3]characters!$1:$1,0)-MATCH("character_id",[3]characters!$1:$1,0)+1),MATCH(AC$1,[3]characters!$1:$1,0)-MATCH("character_id",[3]characters!$1:$1,0)+1,FALSE)</f>
        <v>ゴールドキング</v>
      </c>
      <c r="AD304" s="4">
        <f ca="1">VLOOKUP($AB304,OFFSET([3]characters!$A$1,0,0,COUNTA([3]characters!$A:$A),MATCH(AD$1,[3]characters!$1:$1,0)-MATCH("character_id",[3]characters!$1:$1,0)+1),MATCH(AD$1,[3]characters!$1:$1,0)-MATCH("character_id",[3]characters!$1:$1,0)+1,FALSE)</f>
        <v>6</v>
      </c>
      <c r="AE304" s="4" t="str">
        <f ca="1">VLOOKUP($AB304,OFFSET([3]characters!$A$1,0,0,COUNTA([3]characters!$A:$A),MATCH(AE$1,[3]characters!$1:$1,0)-MATCH("character_id",[3]characters!$1:$1,0)+1),MATCH(AE$1,[3]characters!$1:$1,0)-MATCH("character_id",[3]characters!$1:$1,0)+1,FALSE)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04" s="7">
        <v>1</v>
      </c>
      <c r="AG304" s="26">
        <f t="shared" ca="1" si="305"/>
        <v>6</v>
      </c>
      <c r="AH304" s="8">
        <v>100</v>
      </c>
      <c r="AI304" s="7">
        <v>0</v>
      </c>
      <c r="AJ304" s="7">
        <v>0</v>
      </c>
      <c r="AK304" s="7">
        <v>0</v>
      </c>
      <c r="AL304" s="7">
        <v>0</v>
      </c>
      <c r="AM304" s="7">
        <v>1</v>
      </c>
    </row>
    <row r="305" spans="1:39" ht="14" x14ac:dyDescent="0.15">
      <c r="A305" s="18" t="str">
        <f t="shared" ca="1" si="357"/>
        <v>23_6-5/335&lt;lv1&gt;s4</v>
      </c>
      <c r="B305" s="53">
        <v>23</v>
      </c>
      <c r="C305" s="51">
        <v>6</v>
      </c>
      <c r="D305" s="2" t="str">
        <f t="shared" si="358"/>
        <v>23_6</v>
      </c>
      <c r="E305" s="2" t="str">
        <f t="shared" si="358"/>
        <v>6_23_6</v>
      </c>
      <c r="F305" s="4" t="str">
        <f ca="1">VLOOKUP($D305,OFFSET([1]stages!$A$1,0,0,COUNTA([1]stages!$A:$A),MATCH(F$1,[1]stages!$2:$2,0)-MATCH($D$1,[1]stages!$2:$2,0)+1),MATCH(F$1,[1]stages!$2:$2,0)-MATCH($D$1,[1]stages!$2:$2,0)+1,FALSE)</f>
        <v>23-6．【1回のみ】ボーナスステージ</v>
      </c>
      <c r="G305" s="51">
        <v>5</v>
      </c>
      <c r="H305" s="17" t="str">
        <f t="shared" si="363"/>
        <v>23_6-5</v>
      </c>
      <c r="I305" s="17"/>
      <c r="J305" s="17"/>
      <c r="K305" s="65" t="s">
        <v>56</v>
      </c>
      <c r="L305" s="52">
        <v>335</v>
      </c>
      <c r="M305" s="21" t="str">
        <f ca="1">VLOOKUP($L305,OFFSET([2]enemies!$A$1,0,0,COUNTA([2]enemies!$A:$A),MATCH(M$1,[2]enemies!$1:$1,0)-MATCH($L$1,[2]enemies!$1:$1,0)+1),MATCH(M$1,[2]enemies!$1:$1,0)-MATCH($L$1,[2]enemies!$1:$1,0)+1,FALSE)</f>
        <v>炎のメタルジェントル</v>
      </c>
      <c r="N305" s="21" t="str">
        <f ca="1">VLOOKUP($L305,OFFSET([2]enemies!$A$1,0,0,COUNTA([2]enemies!$A:$A),MATCH(N$1,[2]enemies!$1:$1,0)-MATCH($L$1,[2]enemies!$1:$1,0)+1),MATCH(N$1,[2]enemies!$1:$1,0)-MATCH($L$1,[2]enemies!$1:$1,0)+1,FALSE)</f>
        <v>red</v>
      </c>
      <c r="O305" s="21" t="str">
        <f ca="1">VLOOKUP($L305,OFFSET([3]characters!$A$1,0,0,COUNTA([3]characters!$A:$A),MATCH(O$1,[3]characters!$1:$1,0)-MATCH($L$1,[3]characters!$1:$1,0)+1),MATCH(O$1,[3]characters!$1:$1,0)-MATCH($L$1,[3]characters!$1:$1,0)+1,FALSE)</f>
        <v>Material</v>
      </c>
      <c r="P305" s="21" t="str">
        <f ca="1">VLOOKUP($L305,OFFSET([2]enemies!$A$1,0,0,COUNTA([2]enemies!$A:$A),MATCH(P$1,[2]enemies!$1:$1,0)-MATCH($L$1,[2]enemies!$1:$1,0)+1),MATCH(P$1,[2]enemies!$1:$1,0)-MATCH($L$1,[2]enemies!$1:$1,0)+1,FALSE)</f>
        <v>unknown</v>
      </c>
      <c r="Q305" s="21">
        <f ca="1">VLOOKUP($L305,OFFSET([2]enemies!$A$1,0,0,COUNTA([2]enemies!$A:$A),MATCH(Q$1,[2]enemies!$1:$1,0)-MATCH($L$1,[2]enemies!$1:$1,0)+1),MATCH(Q$1,[2]enemies!$1:$1,0)-MATCH($L$1,[2]enemies!$1:$1,0)+1,FALSE)</f>
        <v>20</v>
      </c>
      <c r="R305" s="53">
        <v>1</v>
      </c>
      <c r="S305" s="27">
        <v>1</v>
      </c>
      <c r="T305" s="27">
        <v>1</v>
      </c>
      <c r="U305" s="5">
        <v>0</v>
      </c>
      <c r="V305" s="4" t="str">
        <f ca="1">VLOOKUP($W305,OFFSET([4]enemy_skill_sets!$B$1,0,0,COUNTA([4]enemy_skill_sets!$B:$B),MATCH(M$1,[4]enemy_skill_sets!$1:$1,0)-MATCH($W$1,[4]enemy_skill_sets!$1:$1,0)+2),MATCH(M$1,[4]enemy_skill_sets!$1:$1,0)-MATCH($W$1,[4]enemy_skill_sets!$1:$1,0)+2,FALSE)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5" s="4">
        <f ca="1">VLOOKUP($L305,OFFSET([2]enemies!$A$1,0,0,COUNTA([2]enemies!$A:$A),MATCH(W$1,[2]enemies!$1:$1,0)-MATCH($L$1,[2]enemies!$1:$1,0)+1),MATCH(W$1,[2]enemies!$1:$1,0)-MATCH($L$1,[2]enemies!$1:$1,0)+1,FALSE)</f>
        <v>0</v>
      </c>
      <c r="X305" s="6">
        <v>1</v>
      </c>
      <c r="Y305" s="6">
        <v>100</v>
      </c>
      <c r="Z305" s="6">
        <v>0</v>
      </c>
      <c r="AA305" s="4">
        <f ca="1">VLOOKUP($L305,OFFSET([2]enemies!$A$1,0,0,COUNTA([2]enemies!$A:$A),MATCH(AA$1,[2]enemies!$1:$1,0)-MATCH($L$1,[2]enemies!$1:$1,0)+1),MATCH(AA$1,[2]enemies!$1:$1,0)-MATCH($L$1,[2]enemies!$1:$1,0)+1,FALSE)</f>
        <v>4</v>
      </c>
      <c r="AB305" s="52">
        <v>335</v>
      </c>
      <c r="AC305" s="4" t="str">
        <f ca="1">VLOOKUP($AB305,OFFSET([3]characters!$A$1,0,0,COUNTA([3]characters!$A:$A),MATCH(AC$1,[3]characters!$1:$1,0)-MATCH("character_id",[3]characters!$1:$1,0)+1),MATCH(AC$1,[3]characters!$1:$1,0)-MATCH("character_id",[3]characters!$1:$1,0)+1,FALSE)</f>
        <v>炎のメタルジェントル</v>
      </c>
      <c r="AD305" s="4">
        <f ca="1">VLOOKUP($AB305,OFFSET([3]characters!$A$1,0,0,COUNTA([3]characters!$A:$A),MATCH(AD$1,[3]characters!$1:$1,0)-MATCH("character_id",[3]characters!$1:$1,0)+1),MATCH(AD$1,[3]characters!$1:$1,0)-MATCH("character_id",[3]characters!$1:$1,0)+1,FALSE)</f>
        <v>6</v>
      </c>
      <c r="AE305" s="4" t="str">
        <f ca="1">VLOOKUP($AB305,OFFSET([3]characters!$A$1,0,0,COUNTA([3]characters!$A:$A),MATCH(AE$1,[3]characters!$1:$1,0)-MATCH("character_id",[3]characters!$1:$1,0)+1),MATCH(AE$1,[3]characters!$1:$1,0)-MATCH("character_id",[3]characters!$1:$1,0)+1,FALSE)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05" s="7">
        <v>1</v>
      </c>
      <c r="AG305" s="26">
        <f t="shared" ca="1" si="305"/>
        <v>6</v>
      </c>
      <c r="AH305" s="8">
        <v>100</v>
      </c>
      <c r="AI305" s="7">
        <v>0</v>
      </c>
      <c r="AJ305" s="7">
        <v>0</v>
      </c>
      <c r="AK305" s="7">
        <v>0</v>
      </c>
      <c r="AL305" s="7">
        <v>0</v>
      </c>
      <c r="AM305" s="7">
        <v>1</v>
      </c>
    </row>
    <row r="306" spans="1:39" ht="14" x14ac:dyDescent="0.15">
      <c r="A306" s="18" t="str">
        <f t="shared" ref="A306" ca="1" si="364">B306&amp;"_"&amp;C306&amp;"-"&amp;G306&amp;"/"&amp;L306&amp;"&lt;lv"&amp;R306&amp;"&gt;s"&amp;AA306</f>
        <v>23_6-5/339&lt;lv1&gt;s4</v>
      </c>
      <c r="B306" s="53">
        <v>23</v>
      </c>
      <c r="C306" s="51">
        <v>6</v>
      </c>
      <c r="D306" s="2" t="str">
        <f t="shared" ref="D306" si="365">B306&amp;"_"&amp;C306</f>
        <v>23_6</v>
      </c>
      <c r="E306" s="2" t="str">
        <f t="shared" ref="E306" si="366">C306&amp;"_"&amp;D306</f>
        <v>6_23_6</v>
      </c>
      <c r="F306" s="4" t="str">
        <f ca="1">VLOOKUP($D306,OFFSET([1]stages!$A$1,0,0,COUNTA([1]stages!$A:$A),MATCH(F$1,[1]stages!$2:$2,0)-MATCH($D$1,[1]stages!$2:$2,0)+1),MATCH(F$1,[1]stages!$2:$2,0)-MATCH($D$1,[1]stages!$2:$2,0)+1,FALSE)</f>
        <v>23-6．【1回のみ】ボーナスステージ</v>
      </c>
      <c r="G306" s="51">
        <v>5</v>
      </c>
      <c r="H306" s="17" t="str">
        <f t="shared" si="363"/>
        <v>23_6-5</v>
      </c>
      <c r="I306" s="17"/>
      <c r="J306" s="17"/>
      <c r="K306" s="65" t="s">
        <v>56</v>
      </c>
      <c r="L306" s="52">
        <v>339</v>
      </c>
      <c r="M306" s="21" t="str">
        <f ca="1">VLOOKUP($L306,OFFSET([2]enemies!$A$1,0,0,COUNTA([2]enemies!$A:$A),MATCH(M$1,[2]enemies!$1:$1,0)-MATCH($L$1,[2]enemies!$1:$1,0)+1),MATCH(M$1,[2]enemies!$1:$1,0)-MATCH($L$1,[2]enemies!$1:$1,0)+1,FALSE)</f>
        <v>森のメタルジェントル</v>
      </c>
      <c r="N306" s="21" t="str">
        <f ca="1">VLOOKUP($L306,OFFSET([2]enemies!$A$1,0,0,COUNTA([2]enemies!$A:$A),MATCH(N$1,[2]enemies!$1:$1,0)-MATCH($L$1,[2]enemies!$1:$1,0)+1),MATCH(N$1,[2]enemies!$1:$1,0)-MATCH($L$1,[2]enemies!$1:$1,0)+1,FALSE)</f>
        <v>green</v>
      </c>
      <c r="O306" s="21" t="str">
        <f ca="1">VLOOKUP($L306,OFFSET([3]characters!$A$1,0,0,COUNTA([3]characters!$A:$A),MATCH(O$1,[3]characters!$1:$1,0)-MATCH($L$1,[3]characters!$1:$1,0)+1),MATCH(O$1,[3]characters!$1:$1,0)-MATCH($L$1,[3]characters!$1:$1,0)+1,FALSE)</f>
        <v>Material</v>
      </c>
      <c r="P306" s="21" t="str">
        <f ca="1">VLOOKUP($L306,OFFSET([2]enemies!$A$1,0,0,COUNTA([2]enemies!$A:$A),MATCH(P$1,[2]enemies!$1:$1,0)-MATCH($L$1,[2]enemies!$1:$1,0)+1),MATCH(P$1,[2]enemies!$1:$1,0)-MATCH($L$1,[2]enemies!$1:$1,0)+1,FALSE)</f>
        <v>unknown</v>
      </c>
      <c r="Q306" s="21">
        <f ca="1">VLOOKUP($L306,OFFSET([2]enemies!$A$1,0,0,COUNTA([2]enemies!$A:$A),MATCH(Q$1,[2]enemies!$1:$1,0)-MATCH($L$1,[2]enemies!$1:$1,0)+1),MATCH(Q$1,[2]enemies!$1:$1,0)-MATCH($L$1,[2]enemies!$1:$1,0)+1,FALSE)</f>
        <v>20</v>
      </c>
      <c r="R306" s="53">
        <v>1</v>
      </c>
      <c r="S306" s="27">
        <v>1</v>
      </c>
      <c r="T306" s="27">
        <v>1</v>
      </c>
      <c r="U306" s="5">
        <v>0</v>
      </c>
      <c r="V306" s="4" t="str">
        <f ca="1">VLOOKUP($W306,OFFSET([4]enemy_skill_sets!$B$1,0,0,COUNTA([4]enemy_skill_sets!$B:$B),MATCH(M$1,[4]enemy_skill_sets!$1:$1,0)-MATCH($W$1,[4]enemy_skill_sets!$1:$1,0)+2),MATCH(M$1,[4]enemy_skill_sets!$1:$1,0)-MATCH($W$1,[4]enemy_skill_sets!$1:$1,0)+2,FALSE)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6" s="4">
        <f ca="1">VLOOKUP($L306,OFFSET([2]enemies!$A$1,0,0,COUNTA([2]enemies!$A:$A),MATCH(W$1,[2]enemies!$1:$1,0)-MATCH($L$1,[2]enemies!$1:$1,0)+1),MATCH(W$1,[2]enemies!$1:$1,0)-MATCH($L$1,[2]enemies!$1:$1,0)+1,FALSE)</f>
        <v>0</v>
      </c>
      <c r="X306" s="6">
        <v>1</v>
      </c>
      <c r="Y306" s="6">
        <v>100</v>
      </c>
      <c r="Z306" s="6">
        <v>0</v>
      </c>
      <c r="AA306" s="4">
        <f ca="1">VLOOKUP($L306,OFFSET([2]enemies!$A$1,0,0,COUNTA([2]enemies!$A:$A),MATCH(AA$1,[2]enemies!$1:$1,0)-MATCH($L$1,[2]enemies!$1:$1,0)+1),MATCH(AA$1,[2]enemies!$1:$1,0)-MATCH($L$1,[2]enemies!$1:$1,0)+1,FALSE)</f>
        <v>4</v>
      </c>
      <c r="AB306" s="52">
        <v>339</v>
      </c>
      <c r="AC306" s="4" t="str">
        <f ca="1">VLOOKUP($AB306,OFFSET([3]characters!$A$1,0,0,COUNTA([3]characters!$A:$A),MATCH(AC$1,[3]characters!$1:$1,0)-MATCH("character_id",[3]characters!$1:$1,0)+1),MATCH(AC$1,[3]characters!$1:$1,0)-MATCH("character_id",[3]characters!$1:$1,0)+1,FALSE)</f>
        <v>森のメタルジェントル</v>
      </c>
      <c r="AD306" s="4">
        <f ca="1">VLOOKUP($AB306,OFFSET([3]characters!$A$1,0,0,COUNTA([3]characters!$A:$A),MATCH(AD$1,[3]characters!$1:$1,0)-MATCH("character_id",[3]characters!$1:$1,0)+1),MATCH(AD$1,[3]characters!$1:$1,0)-MATCH("character_id",[3]characters!$1:$1,0)+1,FALSE)</f>
        <v>6</v>
      </c>
      <c r="AE306" s="4" t="str">
        <f ca="1">VLOOKUP($AB306,OFFSET([3]characters!$A$1,0,0,COUNTA([3]characters!$A:$A),MATCH(AE$1,[3]characters!$1:$1,0)-MATCH("character_id",[3]characters!$1:$1,0)+1),MATCH(AE$1,[3]characters!$1:$1,0)-MATCH("character_id",[3]characters!$1:$1,0)+1,FALSE)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06" s="7">
        <v>1</v>
      </c>
      <c r="AG306" s="26">
        <f t="shared" ca="1" si="305"/>
        <v>6</v>
      </c>
      <c r="AH306" s="8">
        <v>100</v>
      </c>
      <c r="AI306" s="7">
        <v>0</v>
      </c>
      <c r="AJ306" s="7">
        <v>0</v>
      </c>
      <c r="AK306" s="7">
        <v>0</v>
      </c>
      <c r="AL306" s="7">
        <v>0</v>
      </c>
      <c r="AM306" s="7">
        <v>1</v>
      </c>
    </row>
    <row r="307" spans="1:39" ht="14" x14ac:dyDescent="0.15">
      <c r="A307" s="18" t="str">
        <f t="shared" ca="1" si="326"/>
        <v>24_1-1/13&lt;lv44&gt;s2</v>
      </c>
      <c r="B307" s="50">
        <v>24</v>
      </c>
      <c r="C307" s="49">
        <v>1</v>
      </c>
      <c r="D307" s="2" t="str">
        <f t="shared" si="327"/>
        <v>24_1</v>
      </c>
      <c r="E307" s="2" t="str">
        <f t="shared" si="327"/>
        <v>1_24_1</v>
      </c>
      <c r="F307" s="4" t="str">
        <f ca="1">VLOOKUP($D307,OFFSET([1]stages!$A$1,0,0,COUNTA([1]stages!$A:$A),MATCH(F$1,[1]stages!$2:$2,0)-MATCH($D$1,[1]stages!$2:$2,0)+1),MATCH(F$1,[1]stages!$2:$2,0)-MATCH($D$1,[1]stages!$2:$2,0)+1,FALSE)</f>
        <v>24-1．開戦の電磁</v>
      </c>
      <c r="G307" s="55">
        <v>1</v>
      </c>
      <c r="H307" s="17" t="str">
        <f t="shared" si="328"/>
        <v>24_1-1</v>
      </c>
      <c r="I307" s="17"/>
      <c r="J307" s="17"/>
      <c r="K307" s="65" t="s">
        <v>56</v>
      </c>
      <c r="L307" s="52">
        <v>13</v>
      </c>
      <c r="M307" s="21" t="str">
        <f ca="1">VLOOKUP($L307,OFFSET([2]enemies!$A$1,0,0,COUNTA([2]enemies!$A:$A),MATCH(M$1,[2]enemies!$1:$1,0)-MATCH($L$1,[2]enemies!$1:$1,0)+1),MATCH(M$1,[2]enemies!$1:$1,0)-MATCH($L$1,[2]enemies!$1:$1,0)+1,FALSE)</f>
        <v>ミミ</v>
      </c>
      <c r="N307" s="21" t="str">
        <f ca="1">VLOOKUP($L307,OFFSET([2]enemies!$A$1,0,0,COUNTA([2]enemies!$A:$A),MATCH(N$1,[2]enemies!$1:$1,0)-MATCH($L$1,[2]enemies!$1:$1,0)+1),MATCH(N$1,[2]enemies!$1:$1,0)-MATCH($L$1,[2]enemies!$1:$1,0)+1,FALSE)</f>
        <v>yellow</v>
      </c>
      <c r="O307" s="21" t="str">
        <f ca="1">VLOOKUP($L307,OFFSET([3]characters!$A$1,0,0,COUNTA([3]characters!$A:$A),MATCH(O$1,[3]characters!$1:$1,0)-MATCH($L$1,[3]characters!$1:$1,0)+1),MATCH(O$1,[3]characters!$1:$1,0)-MATCH($L$1,[3]characters!$1:$1,0)+1,FALSE)</f>
        <v>Drop1W</v>
      </c>
      <c r="P307" s="21" t="str">
        <f ca="1">VLOOKUP($L307,OFFSET([2]enemies!$A$1,0,0,COUNTA([2]enemies!$A:$A),MATCH(P$1,[2]enemies!$1:$1,0)-MATCH($L$1,[2]enemies!$1:$1,0)+1),MATCH(P$1,[2]enemies!$1:$1,0)-MATCH($L$1,[2]enemies!$1:$1,0)+1,FALSE)</f>
        <v>animal</v>
      </c>
      <c r="Q307" s="21">
        <f ca="1">VLOOKUP($L307,OFFSET([2]enemies!$A$1,0,0,COUNTA([2]enemies!$A:$A),MATCH(Q$1,[2]enemies!$1:$1,0)-MATCH($L$1,[2]enemies!$1:$1,0)+1),MATCH(Q$1,[2]enemies!$1:$1,0)-MATCH($L$1,[2]enemies!$1:$1,0)+1,FALSE)</f>
        <v>15</v>
      </c>
      <c r="R307" s="53">
        <v>44</v>
      </c>
      <c r="S307" s="27">
        <v>1</v>
      </c>
      <c r="T307" s="27">
        <v>1</v>
      </c>
      <c r="U307" s="5">
        <v>0</v>
      </c>
      <c r="V307" s="4" t="str">
        <f ca="1">VLOOKUP($W307,OFFSET([4]enemy_skill_sets!$B$1,0,0,COUNTA([4]enemy_skill_sets!$B:$B),MATCH(M$1,[4]enemy_skill_sets!$1:$1,0)-MATCH($W$1,[4]enemy_skill_sets!$1:$1,0)+2),MATCH(M$1,[4]enemy_skill_sets!$1:$1,0)-MATCH($W$1,[4]enemy_skill_sets!$1:$1,0)+2,FALSE)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7" s="4">
        <f ca="1">VLOOKUP($L307,OFFSET([2]enemies!$A$1,0,0,COUNTA([2]enemies!$A:$A),MATCH(W$1,[2]enemies!$1:$1,0)-MATCH($L$1,[2]enemies!$1:$1,0)+1),MATCH(W$1,[2]enemies!$1:$1,0)-MATCH($L$1,[2]enemies!$1:$1,0)+1,FALSE)</f>
        <v>0</v>
      </c>
      <c r="X307" s="6">
        <v>0</v>
      </c>
      <c r="Y307" s="6">
        <v>100</v>
      </c>
      <c r="Z307" s="6">
        <v>0</v>
      </c>
      <c r="AA307" s="4">
        <f ca="1">VLOOKUP($L307,OFFSET([2]enemies!$A$1,0,0,COUNTA([2]enemies!$A:$A),MATCH(AA$1,[2]enemies!$1:$1,0)-MATCH($L$1,[2]enemies!$1:$1,0)+1),MATCH(AA$1,[2]enemies!$1:$1,0)-MATCH($L$1,[2]enemies!$1:$1,0)+1,FALSE)</f>
        <v>2</v>
      </c>
      <c r="AB307" s="52">
        <v>13</v>
      </c>
      <c r="AC307" s="4" t="str">
        <f ca="1">VLOOKUP($AB307,OFFSET([3]characters!$A$1,0,0,COUNTA([3]characters!$A:$A),MATCH(AC$1,[3]characters!$1:$1,0)-MATCH("character_id",[3]characters!$1:$1,0)+1),MATCH(AC$1,[3]characters!$1:$1,0)-MATCH("character_id",[3]characters!$1:$1,0)+1,FALSE)</f>
        <v>ミミ</v>
      </c>
      <c r="AD307" s="4">
        <f ca="1">VLOOKUP($AB307,OFFSET([3]characters!$A$1,0,0,COUNTA([3]characters!$A:$A),MATCH(AD$1,[3]characters!$1:$1,0)-MATCH("character_id",[3]characters!$1:$1,0)+1),MATCH(AD$1,[3]characters!$1:$1,0)-MATCH("character_id",[3]characters!$1:$1,0)+1,FALSE)</f>
        <v>1</v>
      </c>
      <c r="AE307" s="4" t="str">
        <f ca="1">VLOOKUP($AB307,OFFSET([3]characters!$A$1,0,0,COUNTA([3]characters!$A:$A),MATCH(AE$1,[3]characters!$1:$1,0)-MATCH("character_id",[3]characters!$1:$1,0)+1),MATCH(AE$1,[3]characters!$1:$1,0)-MATCH("character_id",[3]characters!$1:$1,0)+1,FALSE)</f>
        <v>Drop1W</v>
      </c>
      <c r="AF307" s="7">
        <v>9</v>
      </c>
      <c r="AG307" s="26">
        <f t="shared" ca="1" si="305"/>
        <v>1</v>
      </c>
      <c r="AH307" s="8">
        <v>20</v>
      </c>
      <c r="AI307" s="7">
        <v>0</v>
      </c>
      <c r="AJ307" s="7">
        <v>0</v>
      </c>
      <c r="AK307" s="7">
        <v>0</v>
      </c>
      <c r="AL307" s="7">
        <v>0</v>
      </c>
      <c r="AM307" s="7">
        <v>1</v>
      </c>
    </row>
    <row r="308" spans="1:39" ht="14" x14ac:dyDescent="0.15">
      <c r="A308" s="18" t="str">
        <f t="shared" ca="1" si="326"/>
        <v>24_1-1/47&lt;lv44&gt;s1</v>
      </c>
      <c r="B308" s="50">
        <v>24</v>
      </c>
      <c r="C308" s="49">
        <v>1</v>
      </c>
      <c r="D308" s="2" t="str">
        <f t="shared" si="327"/>
        <v>24_1</v>
      </c>
      <c r="E308" s="2" t="str">
        <f t="shared" si="327"/>
        <v>1_24_1</v>
      </c>
      <c r="F308" s="4" t="str">
        <f ca="1">VLOOKUP($D308,OFFSET([1]stages!$A$1,0,0,COUNTA([1]stages!$A:$A),MATCH(F$1,[1]stages!$2:$2,0)-MATCH($D$1,[1]stages!$2:$2,0)+1),MATCH(F$1,[1]stages!$2:$2,0)-MATCH($D$1,[1]stages!$2:$2,0)+1,FALSE)</f>
        <v>24-1．開戦の電磁</v>
      </c>
      <c r="G308" s="55">
        <v>1</v>
      </c>
      <c r="H308" s="17" t="str">
        <f t="shared" si="328"/>
        <v>24_1-1</v>
      </c>
      <c r="I308" s="17"/>
      <c r="J308" s="17"/>
      <c r="K308" s="65" t="s">
        <v>56</v>
      </c>
      <c r="L308" s="52">
        <v>47</v>
      </c>
      <c r="M308" s="21" t="str">
        <f ca="1">VLOOKUP($L308,OFFSET([2]enemies!$A$1,0,0,COUNTA([2]enemies!$A:$A),MATCH(M$1,[2]enemies!$1:$1,0)-MATCH($L$1,[2]enemies!$1:$1,0)+1),MATCH(M$1,[2]enemies!$1:$1,0)-MATCH($L$1,[2]enemies!$1:$1,0)+1,FALSE)</f>
        <v>ヒロ</v>
      </c>
      <c r="N308" s="21" t="str">
        <f ca="1">VLOOKUP($L308,OFFSET([2]enemies!$A$1,0,0,COUNTA([2]enemies!$A:$A),MATCH(N$1,[2]enemies!$1:$1,0)-MATCH($L$1,[2]enemies!$1:$1,0)+1),MATCH(N$1,[2]enemies!$1:$1,0)-MATCH($L$1,[2]enemies!$1:$1,0)+1,FALSE)</f>
        <v>yellow</v>
      </c>
      <c r="O308" s="21" t="str">
        <f ca="1">VLOOKUP($L308,OFFSET([3]characters!$A$1,0,0,COUNTA([3]characters!$A:$A),MATCH(O$1,[3]characters!$1:$1,0)-MATCH($L$1,[3]characters!$1:$1,0)+1),MATCH(O$1,[3]characters!$1:$1,0)-MATCH($L$1,[3]characters!$1:$1,0)+1,FALSE)</f>
        <v>Drop1N</v>
      </c>
      <c r="P308" s="21" t="str">
        <f ca="1">VLOOKUP($L308,OFFSET([2]enemies!$A$1,0,0,COUNTA([2]enemies!$A:$A),MATCH(P$1,[2]enemies!$1:$1,0)-MATCH($L$1,[2]enemies!$1:$1,0)+1),MATCH(P$1,[2]enemies!$1:$1,0)-MATCH($L$1,[2]enemies!$1:$1,0)+1,FALSE)</f>
        <v>animal</v>
      </c>
      <c r="Q308" s="21">
        <f ca="1">VLOOKUP($L308,OFFSET([2]enemies!$A$1,0,0,COUNTA([2]enemies!$A:$A),MATCH(Q$1,[2]enemies!$1:$1,0)-MATCH($L$1,[2]enemies!$1:$1,0)+1),MATCH(Q$1,[2]enemies!$1:$1,0)-MATCH($L$1,[2]enemies!$1:$1,0)+1,FALSE)</f>
        <v>15</v>
      </c>
      <c r="R308" s="53">
        <v>44</v>
      </c>
      <c r="S308" s="27">
        <v>1</v>
      </c>
      <c r="T308" s="27">
        <v>1</v>
      </c>
      <c r="U308" s="5">
        <v>0</v>
      </c>
      <c r="V308" s="4" t="str">
        <f ca="1">VLOOKUP($W308,OFFSET([4]enemy_skill_sets!$B$1,0,0,COUNTA([4]enemy_skill_sets!$B:$B),MATCH(M$1,[4]enemy_skill_sets!$1:$1,0)-MATCH($W$1,[4]enemy_skill_sets!$1:$1,0)+2),MATCH(M$1,[4]enemy_skill_sets!$1:$1,0)-MATCH($W$1,[4]enemy_skill_sets!$1:$1,0)+2,FALSE)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08" s="4">
        <f ca="1">VLOOKUP($L308,OFFSET([2]enemies!$A$1,0,0,COUNTA([2]enemies!$A:$A),MATCH(W$1,[2]enemies!$1:$1,0)-MATCH($L$1,[2]enemies!$1:$1,0)+1),MATCH(W$1,[2]enemies!$1:$1,0)-MATCH($L$1,[2]enemies!$1:$1,0)+1,FALSE)</f>
        <v>0</v>
      </c>
      <c r="X308" s="6">
        <v>0</v>
      </c>
      <c r="Y308" s="6">
        <v>100</v>
      </c>
      <c r="Z308" s="6">
        <v>0</v>
      </c>
      <c r="AA308" s="4">
        <f ca="1">VLOOKUP($L308,OFFSET([2]enemies!$A$1,0,0,COUNTA([2]enemies!$A:$A),MATCH(AA$1,[2]enemies!$1:$1,0)-MATCH($L$1,[2]enemies!$1:$1,0)+1),MATCH(AA$1,[2]enemies!$1:$1,0)-MATCH($L$1,[2]enemies!$1:$1,0)+1,FALSE)</f>
        <v>1</v>
      </c>
      <c r="AB308" s="52">
        <v>47</v>
      </c>
      <c r="AC308" s="4" t="str">
        <f ca="1">VLOOKUP($AB308,OFFSET([3]characters!$A$1,0,0,COUNTA([3]characters!$A:$A),MATCH(AC$1,[3]characters!$1:$1,0)-MATCH("character_id",[3]characters!$1:$1,0)+1),MATCH(AC$1,[3]characters!$1:$1,0)-MATCH("character_id",[3]characters!$1:$1,0)+1,FALSE)</f>
        <v>ヒロ</v>
      </c>
      <c r="AD308" s="4">
        <f ca="1">VLOOKUP($AB308,OFFSET([3]characters!$A$1,0,0,COUNTA([3]characters!$A:$A),MATCH(AD$1,[3]characters!$1:$1,0)-MATCH("character_id",[3]characters!$1:$1,0)+1),MATCH(AD$1,[3]characters!$1:$1,0)-MATCH("character_id",[3]characters!$1:$1,0)+1,FALSE)</f>
        <v>2</v>
      </c>
      <c r="AE308" s="4" t="str">
        <f ca="1">VLOOKUP($AB308,OFFSET([3]characters!$A$1,0,0,COUNTA([3]characters!$A:$A),MATCH(AE$1,[3]characters!$1:$1,0)-MATCH("character_id",[3]characters!$1:$1,0)+1),MATCH(AE$1,[3]characters!$1:$1,0)-MATCH("character_id",[3]characters!$1:$1,0)+1,FALSE)</f>
        <v>Drop1N</v>
      </c>
      <c r="AF308" s="7">
        <v>7</v>
      </c>
      <c r="AG308" s="26">
        <f t="shared" ca="1" si="305"/>
        <v>2</v>
      </c>
      <c r="AH308" s="8">
        <v>20</v>
      </c>
      <c r="AI308" s="7">
        <v>0</v>
      </c>
      <c r="AJ308" s="7">
        <v>0</v>
      </c>
      <c r="AK308" s="7">
        <v>0</v>
      </c>
      <c r="AL308" s="7">
        <v>0</v>
      </c>
      <c r="AM308" s="7">
        <v>1</v>
      </c>
    </row>
    <row r="309" spans="1:39" ht="14" x14ac:dyDescent="0.15">
      <c r="A309" s="18" t="str">
        <f t="shared" ca="1" si="326"/>
        <v>24_1-1/63&lt;lv44&gt;s2</v>
      </c>
      <c r="B309" s="50">
        <v>24</v>
      </c>
      <c r="C309" s="49">
        <v>1</v>
      </c>
      <c r="D309" s="2" t="str">
        <f t="shared" si="327"/>
        <v>24_1</v>
      </c>
      <c r="E309" s="2" t="str">
        <f t="shared" si="327"/>
        <v>1_24_1</v>
      </c>
      <c r="F309" s="4" t="str">
        <f ca="1">VLOOKUP($D309,OFFSET([1]stages!$A$1,0,0,COUNTA([1]stages!$A:$A),MATCH(F$1,[1]stages!$2:$2,0)-MATCH($D$1,[1]stages!$2:$2,0)+1),MATCH(F$1,[1]stages!$2:$2,0)-MATCH($D$1,[1]stages!$2:$2,0)+1,FALSE)</f>
        <v>24-1．開戦の電磁</v>
      </c>
      <c r="G309" s="55">
        <v>1</v>
      </c>
      <c r="H309" s="17" t="str">
        <f t="shared" si="328"/>
        <v>24_1-1</v>
      </c>
      <c r="I309" s="17"/>
      <c r="J309" s="17"/>
      <c r="K309" s="65" t="s">
        <v>56</v>
      </c>
      <c r="L309" s="52">
        <v>63</v>
      </c>
      <c r="M309" s="21" t="str">
        <f ca="1">VLOOKUP($L309,OFFSET([2]enemies!$A$1,0,0,COUNTA([2]enemies!$A:$A),MATCH(M$1,[2]enemies!$1:$1,0)-MATCH($L$1,[2]enemies!$1:$1,0)+1),MATCH(M$1,[2]enemies!$1:$1,0)-MATCH($L$1,[2]enemies!$1:$1,0)+1,FALSE)</f>
        <v>トニー</v>
      </c>
      <c r="N309" s="21" t="str">
        <f ca="1">VLOOKUP($L309,OFFSET([2]enemies!$A$1,0,0,COUNTA([2]enemies!$A:$A),MATCH(N$1,[2]enemies!$1:$1,0)-MATCH($L$1,[2]enemies!$1:$1,0)+1),MATCH(N$1,[2]enemies!$1:$1,0)-MATCH($L$1,[2]enemies!$1:$1,0)+1,FALSE)</f>
        <v>yellow</v>
      </c>
      <c r="O309" s="21" t="str">
        <f ca="1">VLOOKUP($L309,OFFSET([3]characters!$A$1,0,0,COUNTA([3]characters!$A:$A),MATCH(O$1,[3]characters!$1:$1,0)-MATCH($L$1,[3]characters!$1:$1,0)+1),MATCH(O$1,[3]characters!$1:$1,0)-MATCH($L$1,[3]characters!$1:$1,0)+1,FALSE)</f>
        <v>Drop1N</v>
      </c>
      <c r="P309" s="21" t="str">
        <f ca="1">VLOOKUP($L309,OFFSET([2]enemies!$A$1,0,0,COUNTA([2]enemies!$A:$A),MATCH(P$1,[2]enemies!$1:$1,0)-MATCH($L$1,[2]enemies!$1:$1,0)+1),MATCH(P$1,[2]enemies!$1:$1,0)-MATCH($L$1,[2]enemies!$1:$1,0)+1,FALSE)</f>
        <v>animal</v>
      </c>
      <c r="Q309" s="21">
        <f ca="1">VLOOKUP($L309,OFFSET([2]enemies!$A$1,0,0,COUNTA([2]enemies!$A:$A),MATCH(Q$1,[2]enemies!$1:$1,0)-MATCH($L$1,[2]enemies!$1:$1,0)+1),MATCH(Q$1,[2]enemies!$1:$1,0)-MATCH($L$1,[2]enemies!$1:$1,0)+1,FALSE)</f>
        <v>15</v>
      </c>
      <c r="R309" s="53">
        <v>44</v>
      </c>
      <c r="S309" s="27">
        <v>1</v>
      </c>
      <c r="T309" s="27">
        <v>1</v>
      </c>
      <c r="U309" s="5">
        <v>0</v>
      </c>
      <c r="V309" s="4" t="str">
        <f ca="1">VLOOKUP($W309,OFFSET([4]enemy_skill_sets!$B$1,0,0,COUNTA([4]enemy_skill_sets!$B:$B),MATCH(M$1,[4]enemy_skill_sets!$1:$1,0)-MATCH($W$1,[4]enemy_skill_sets!$1:$1,0)+2),MATCH(M$1,[4]enemy_skill_sets!$1:$1,0)-MATCH($W$1,[4]enemy_skill_sets!$1:$1,0)+2,FALSE)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309" s="4">
        <f ca="1">VLOOKUP($L309,OFFSET([2]enemies!$A$1,0,0,COUNTA([2]enemies!$A:$A),MATCH(W$1,[2]enemies!$1:$1,0)-MATCH($L$1,[2]enemies!$1:$1,0)+1),MATCH(W$1,[2]enemies!$1:$1,0)-MATCH($L$1,[2]enemies!$1:$1,0)+1,FALSE)</f>
        <v>63</v>
      </c>
      <c r="X309" s="6">
        <v>0</v>
      </c>
      <c r="Y309" s="6">
        <v>100</v>
      </c>
      <c r="Z309" s="6">
        <v>0</v>
      </c>
      <c r="AA309" s="4">
        <f ca="1">VLOOKUP($L309,OFFSET([2]enemies!$A$1,0,0,COUNTA([2]enemies!$A:$A),MATCH(AA$1,[2]enemies!$1:$1,0)-MATCH($L$1,[2]enemies!$1:$1,0)+1),MATCH(AA$1,[2]enemies!$1:$1,0)-MATCH($L$1,[2]enemies!$1:$1,0)+1,FALSE)</f>
        <v>2</v>
      </c>
      <c r="AB309" s="52">
        <v>63</v>
      </c>
      <c r="AC309" s="4" t="str">
        <f ca="1">VLOOKUP($AB309,OFFSET([3]characters!$A$1,0,0,COUNTA([3]characters!$A:$A),MATCH(AC$1,[3]characters!$1:$1,0)-MATCH("character_id",[3]characters!$1:$1,0)+1),MATCH(AC$1,[3]characters!$1:$1,0)-MATCH("character_id",[3]characters!$1:$1,0)+1,FALSE)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309" s="4">
        <f ca="1">VLOOKUP($AB309,OFFSET([3]characters!$A$1,0,0,COUNTA([3]characters!$A:$A),MATCH(AD$1,[3]characters!$1:$1,0)-MATCH("character_id",[3]characters!$1:$1,0)+1),MATCH(AD$1,[3]characters!$1:$1,0)-MATCH("character_id",[3]characters!$1:$1,0)+1,FALSE)</f>
        <v>2</v>
      </c>
      <c r="AE309" s="4" t="str">
        <f ca="1">VLOOKUP($AB309,OFFSET([3]characters!$A$1,0,0,COUNTA([3]characters!$A:$A),MATCH(AE$1,[3]characters!$1:$1,0)-MATCH("character_id",[3]characters!$1:$1,0)+1),MATCH(AE$1,[3]characters!$1:$1,0)-MATCH("character_id",[3]characters!$1:$1,0)+1,FALSE)</f>
        <v>Drop1N</v>
      </c>
      <c r="AF309" s="7">
        <v>7</v>
      </c>
      <c r="AG309" s="26">
        <f t="shared" ca="1" si="305"/>
        <v>2</v>
      </c>
      <c r="AH309" s="8">
        <v>20</v>
      </c>
      <c r="AI309" s="7">
        <v>0</v>
      </c>
      <c r="AJ309" s="7">
        <v>0</v>
      </c>
      <c r="AK309" s="7">
        <v>0</v>
      </c>
      <c r="AL309" s="7">
        <v>0</v>
      </c>
      <c r="AM309" s="7">
        <v>1</v>
      </c>
    </row>
    <row r="310" spans="1:39" ht="14" x14ac:dyDescent="0.15">
      <c r="A310" s="18" t="str">
        <f t="shared" ca="1" si="326"/>
        <v>24_1-1/31&lt;lv44&gt;s2</v>
      </c>
      <c r="B310" s="50">
        <v>24</v>
      </c>
      <c r="C310" s="49">
        <v>1</v>
      </c>
      <c r="D310" s="2" t="str">
        <f t="shared" si="327"/>
        <v>24_1</v>
      </c>
      <c r="E310" s="2" t="str">
        <f t="shared" si="327"/>
        <v>1_24_1</v>
      </c>
      <c r="F310" s="4" t="str">
        <f ca="1">VLOOKUP($D310,OFFSET([1]stages!$A$1,0,0,COUNTA([1]stages!$A:$A),MATCH(F$1,[1]stages!$2:$2,0)-MATCH($D$1,[1]stages!$2:$2,0)+1),MATCH(F$1,[1]stages!$2:$2,0)-MATCH($D$1,[1]stages!$2:$2,0)+1,FALSE)</f>
        <v>24-1．開戦の電磁</v>
      </c>
      <c r="G310" s="55">
        <v>1</v>
      </c>
      <c r="H310" s="17" t="str">
        <f t="shared" si="328"/>
        <v>24_1-1</v>
      </c>
      <c r="I310" s="17"/>
      <c r="J310" s="17"/>
      <c r="K310" s="65" t="s">
        <v>56</v>
      </c>
      <c r="L310" s="52">
        <v>31</v>
      </c>
      <c r="M310" s="21" t="str">
        <f ca="1">VLOOKUP($L310,OFFSET([2]enemies!$A$1,0,0,COUNTA([2]enemies!$A:$A),MATCH(M$1,[2]enemies!$1:$1,0)-MATCH($L$1,[2]enemies!$1:$1,0)+1),MATCH(M$1,[2]enemies!$1:$1,0)-MATCH($L$1,[2]enemies!$1:$1,0)+1,FALSE)</f>
        <v>マービー</v>
      </c>
      <c r="N310" s="21" t="str">
        <f ca="1">VLOOKUP($L310,OFFSET([2]enemies!$A$1,0,0,COUNTA([2]enemies!$A:$A),MATCH(N$1,[2]enemies!$1:$1,0)-MATCH($L$1,[2]enemies!$1:$1,0)+1),MATCH(N$1,[2]enemies!$1:$1,0)-MATCH($L$1,[2]enemies!$1:$1,0)+1,FALSE)</f>
        <v>yellow</v>
      </c>
      <c r="O310" s="21" t="str">
        <f ca="1">VLOOKUP($L310,OFFSET([3]characters!$A$1,0,0,COUNTA([3]characters!$A:$A),MATCH(O$1,[3]characters!$1:$1,0)-MATCH($L$1,[3]characters!$1:$1,0)+1),MATCH(O$1,[3]characters!$1:$1,0)-MATCH($L$1,[3]characters!$1:$1,0)+1,FALSE)</f>
        <v>Drop1N</v>
      </c>
      <c r="P310" s="21" t="str">
        <f ca="1">VLOOKUP($L310,OFFSET([2]enemies!$A$1,0,0,COUNTA([2]enemies!$A:$A),MATCH(P$1,[2]enemies!$1:$1,0)-MATCH($L$1,[2]enemies!$1:$1,0)+1),MATCH(P$1,[2]enemies!$1:$1,0)-MATCH($L$1,[2]enemies!$1:$1,0)+1,FALSE)</f>
        <v>machine</v>
      </c>
      <c r="Q310" s="21">
        <f ca="1">VLOOKUP($L310,OFFSET([2]enemies!$A$1,0,0,COUNTA([2]enemies!$A:$A),MATCH(Q$1,[2]enemies!$1:$1,0)-MATCH($L$1,[2]enemies!$1:$1,0)+1),MATCH(Q$1,[2]enemies!$1:$1,0)-MATCH($L$1,[2]enemies!$1:$1,0)+1,FALSE)</f>
        <v>15</v>
      </c>
      <c r="R310" s="53">
        <v>44</v>
      </c>
      <c r="S310" s="27">
        <v>1</v>
      </c>
      <c r="T310" s="27">
        <v>1</v>
      </c>
      <c r="U310" s="5">
        <v>0</v>
      </c>
      <c r="V310" s="4" t="str">
        <f ca="1">VLOOKUP($W310,OFFSET([4]enemy_skill_sets!$B$1,0,0,COUNTA([4]enemy_skill_sets!$B:$B),MATCH(M$1,[4]enemy_skill_sets!$1:$1,0)-MATCH($W$1,[4]enemy_skill_sets!$1:$1,0)+2),MATCH(M$1,[4]enemy_skill_sets!$1:$1,0)-MATCH($W$1,[4]enemy_skill_sets!$1:$1,0)+2,FALSE)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10" s="4">
        <f ca="1">VLOOKUP($L310,OFFSET([2]enemies!$A$1,0,0,COUNTA([2]enemies!$A:$A),MATCH(W$1,[2]enemies!$1:$1,0)-MATCH($L$1,[2]enemies!$1:$1,0)+1),MATCH(W$1,[2]enemies!$1:$1,0)-MATCH($L$1,[2]enemies!$1:$1,0)+1,FALSE)</f>
        <v>0</v>
      </c>
      <c r="X310" s="6">
        <v>0</v>
      </c>
      <c r="Y310" s="6">
        <v>100</v>
      </c>
      <c r="Z310" s="6">
        <v>0</v>
      </c>
      <c r="AA310" s="4">
        <f ca="1">VLOOKUP($L310,OFFSET([2]enemies!$A$1,0,0,COUNTA([2]enemies!$A:$A),MATCH(AA$1,[2]enemies!$1:$1,0)-MATCH($L$1,[2]enemies!$1:$1,0)+1),MATCH(AA$1,[2]enemies!$1:$1,0)-MATCH($L$1,[2]enemies!$1:$1,0)+1,FALSE)</f>
        <v>2</v>
      </c>
      <c r="AB310" s="52">
        <v>31</v>
      </c>
      <c r="AC310" s="4" t="str">
        <f ca="1">VLOOKUP($AB310,OFFSET([3]characters!$A$1,0,0,COUNTA([3]characters!$A:$A),MATCH(AC$1,[3]characters!$1:$1,0)-MATCH("character_id",[3]characters!$1:$1,0)+1),MATCH(AC$1,[3]characters!$1:$1,0)-MATCH("character_id",[3]characters!$1:$1,0)+1,FALSE)</f>
        <v>マービー</v>
      </c>
      <c r="AD310" s="4">
        <f ca="1">VLOOKUP($AB310,OFFSET([3]characters!$A$1,0,0,COUNTA([3]characters!$A:$A),MATCH(AD$1,[3]characters!$1:$1,0)-MATCH("character_id",[3]characters!$1:$1,0)+1),MATCH(AD$1,[3]characters!$1:$1,0)-MATCH("character_id",[3]characters!$1:$1,0)+1,FALSE)</f>
        <v>1</v>
      </c>
      <c r="AE310" s="4" t="str">
        <f ca="1">VLOOKUP($AB310,OFFSET([3]characters!$A$1,0,0,COUNTA([3]characters!$A:$A),MATCH(AE$1,[3]characters!$1:$1,0)-MATCH("character_id",[3]characters!$1:$1,0)+1),MATCH(AE$1,[3]characters!$1:$1,0)-MATCH("character_id",[3]characters!$1:$1,0)+1,FALSE)</f>
        <v>Drop1N</v>
      </c>
      <c r="AF310" s="7">
        <v>7</v>
      </c>
      <c r="AG310" s="26">
        <f t="shared" ca="1" si="305"/>
        <v>1</v>
      </c>
      <c r="AH310" s="8">
        <v>20</v>
      </c>
      <c r="AI310" s="7">
        <v>0</v>
      </c>
      <c r="AJ310" s="7">
        <v>0</v>
      </c>
      <c r="AK310" s="7">
        <v>0</v>
      </c>
      <c r="AL310" s="7">
        <v>0</v>
      </c>
      <c r="AM310" s="7">
        <v>1</v>
      </c>
    </row>
    <row r="311" spans="1:39" ht="14" x14ac:dyDescent="0.15">
      <c r="A311" s="18" t="str">
        <f t="shared" ref="A311" ca="1" si="367">B311&amp;"_"&amp;C311&amp;"-"&amp;G311&amp;"/"&amp;L311&amp;"&lt;lv"&amp;R311&amp;"&gt;s"&amp;AA311</f>
        <v>24_1-1/366&lt;lv44&gt;s3</v>
      </c>
      <c r="B311" s="53">
        <v>24</v>
      </c>
      <c r="C311" s="51">
        <v>1</v>
      </c>
      <c r="D311" s="2" t="str">
        <f t="shared" ref="D311" si="368">B311&amp;"_"&amp;C311</f>
        <v>24_1</v>
      </c>
      <c r="E311" s="2" t="str">
        <f t="shared" ref="E311" si="369">C311&amp;"_"&amp;D311</f>
        <v>1_24_1</v>
      </c>
      <c r="F311" s="4" t="str">
        <f ca="1">VLOOKUP($D311,OFFSET([1]stages!$A$1,0,0,COUNTA([1]stages!$A:$A),MATCH(F$1,[1]stages!$2:$2,0)-MATCH($D$1,[1]stages!$2:$2,0)+1),MATCH(F$1,[1]stages!$2:$2,0)-MATCH($D$1,[1]stages!$2:$2,0)+1,FALSE)</f>
        <v>24-1．開戦の電磁</v>
      </c>
      <c r="G311" s="55">
        <v>1</v>
      </c>
      <c r="H311" s="17" t="str">
        <f t="shared" ref="H311" si="370">B311&amp;"_"&amp;C311&amp;"-"&amp;G311</f>
        <v>24_1-1</v>
      </c>
      <c r="I311" s="17"/>
      <c r="J311" s="17"/>
      <c r="K311" s="65" t="s">
        <v>56</v>
      </c>
      <c r="L311" s="52">
        <v>366</v>
      </c>
      <c r="M311" s="21" t="str">
        <f ca="1">VLOOKUP($L311,OFFSET([2]enemies!$A$1,0,0,COUNTA([2]enemies!$A:$A),MATCH(M$1,[2]enemies!$1:$1,0)-MATCH($L$1,[2]enemies!$1:$1,0)+1),MATCH(M$1,[2]enemies!$1:$1,0)-MATCH($L$1,[2]enemies!$1:$1,0)+1,FALSE)</f>
        <v>トト</v>
      </c>
      <c r="N311" s="21" t="str">
        <f ca="1">VLOOKUP($L311,OFFSET([2]enemies!$A$1,0,0,COUNTA([2]enemies!$A:$A),MATCH(N$1,[2]enemies!$1:$1,0)-MATCH($L$1,[2]enemies!$1:$1,0)+1),MATCH(N$1,[2]enemies!$1:$1,0)-MATCH($L$1,[2]enemies!$1:$1,0)+1,FALSE)</f>
        <v>yellow</v>
      </c>
      <c r="O311" s="21" t="str">
        <f ca="1">VLOOKUP($L311,OFFSET([3]characters!$A$1,0,0,COUNTA([3]characters!$A:$A),MATCH(O$1,[3]characters!$1:$1,0)-MATCH($L$1,[3]characters!$1:$1,0)+1),MATCH(O$1,[3]characters!$1:$1,0)-MATCH($L$1,[3]characters!$1:$1,0)+1,FALSE)</f>
        <v>Drop1S</v>
      </c>
      <c r="P311" s="21" t="str">
        <f ca="1">VLOOKUP($L311,OFFSET([2]enemies!$A$1,0,0,COUNTA([2]enemies!$A:$A),MATCH(P$1,[2]enemies!$1:$1,0)-MATCH($L$1,[2]enemies!$1:$1,0)+1),MATCH(P$1,[2]enemies!$1:$1,0)-MATCH($L$1,[2]enemies!$1:$1,0)+1,FALSE)</f>
        <v>animal</v>
      </c>
      <c r="Q311" s="21">
        <f ca="1">VLOOKUP($L311,OFFSET([2]enemies!$A$1,0,0,COUNTA([2]enemies!$A:$A),MATCH(Q$1,[2]enemies!$1:$1,0)-MATCH($L$1,[2]enemies!$1:$1,0)+1),MATCH(Q$1,[2]enemies!$1:$1,0)-MATCH($L$1,[2]enemies!$1:$1,0)+1,FALSE)</f>
        <v>15</v>
      </c>
      <c r="R311" s="53">
        <v>44</v>
      </c>
      <c r="S311" s="27">
        <v>1</v>
      </c>
      <c r="T311" s="27">
        <v>1</v>
      </c>
      <c r="U311" s="5">
        <v>0</v>
      </c>
      <c r="V311" s="4" t="str">
        <f ca="1">VLOOKUP($W311,OFFSET([4]enemy_skill_sets!$B$1,0,0,COUNTA([4]enemy_skill_sets!$B:$B),MATCH(M$1,[4]enemy_skill_sets!$1:$1,0)-MATCH($W$1,[4]enemy_skill_sets!$1:$1,0)+2),MATCH(M$1,[4]enemy_skill_sets!$1:$1,0)-MATCH($W$1,[4]enemy_skill_sets!$1:$1,0)+2,FALSE)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311" s="64">
        <v>366</v>
      </c>
      <c r="X311" s="6">
        <v>0</v>
      </c>
      <c r="Y311" s="6">
        <v>100</v>
      </c>
      <c r="Z311" s="6">
        <v>0</v>
      </c>
      <c r="AA311" s="4">
        <f ca="1">VLOOKUP($L311,OFFSET([2]enemies!$A$1,0,0,COUNTA([2]enemies!$A:$A),MATCH(AA$1,[2]enemies!$1:$1,0)-MATCH($L$1,[2]enemies!$1:$1,0)+1),MATCH(AA$1,[2]enemies!$1:$1,0)-MATCH($L$1,[2]enemies!$1:$1,0)+1,FALSE)</f>
        <v>3</v>
      </c>
      <c r="AB311" s="52">
        <v>366</v>
      </c>
      <c r="AC311" s="4" t="str">
        <f ca="1">VLOOKUP($AB311,OFFSET([3]characters!$A$1,0,0,COUNTA([3]characters!$A:$A),MATCH(AC$1,[3]characters!$1:$1,0)-MATCH("character_id",[3]characters!$1:$1,0)+1),MATCH(AC$1,[3]characters!$1:$1,0)-MATCH("character_id",[3]characters!$1:$1,0)+1,FALSE)</f>
        <v>トト</v>
      </c>
      <c r="AD311" s="4">
        <f ca="1">VLOOKUP($AB311,OFFSET([3]characters!$A$1,0,0,COUNTA([3]characters!$A:$A),MATCH(AD$1,[3]characters!$1:$1,0)-MATCH("character_id",[3]characters!$1:$1,0)+1),MATCH(AD$1,[3]characters!$1:$1,0)-MATCH("character_id",[3]characters!$1:$1,0)+1,FALSE)</f>
        <v>2</v>
      </c>
      <c r="AE311" s="4" t="str">
        <f ca="1">VLOOKUP($AB311,OFFSET([3]characters!$A$1,0,0,COUNTA([3]characters!$A:$A),MATCH(AE$1,[3]characters!$1:$1,0)-MATCH("character_id",[3]characters!$1:$1,0)+1),MATCH(AE$1,[3]characters!$1:$1,0)-MATCH("character_id",[3]characters!$1:$1,0)+1,FALSE)</f>
        <v>Drop1S</v>
      </c>
      <c r="AF311" s="7">
        <v>7</v>
      </c>
      <c r="AG311" s="26">
        <f t="shared" ca="1" si="305"/>
        <v>2</v>
      </c>
      <c r="AH311" s="8">
        <v>20</v>
      </c>
      <c r="AI311" s="7">
        <v>0</v>
      </c>
      <c r="AJ311" s="7">
        <v>0</v>
      </c>
      <c r="AK311" s="7">
        <v>0</v>
      </c>
      <c r="AL311" s="7">
        <v>0</v>
      </c>
      <c r="AM311" s="7">
        <v>1</v>
      </c>
    </row>
    <row r="312" spans="1:39" ht="14" x14ac:dyDescent="0.15">
      <c r="A312" s="18" t="str">
        <f t="shared" ref="A312" ca="1" si="371">B312&amp;"_"&amp;C312&amp;"-"&amp;G312&amp;"/"&amp;L312&amp;"&lt;lv"&amp;R312&amp;"&gt;s"&amp;AA312</f>
        <v>24_1-1/354&lt;lv44&gt;s3</v>
      </c>
      <c r="B312" s="53">
        <v>24</v>
      </c>
      <c r="C312" s="51">
        <v>1</v>
      </c>
      <c r="D312" s="2" t="str">
        <f t="shared" ref="D312" si="372">B312&amp;"_"&amp;C312</f>
        <v>24_1</v>
      </c>
      <c r="E312" s="2" t="str">
        <f t="shared" ref="E312" si="373">C312&amp;"_"&amp;D312</f>
        <v>1_24_1</v>
      </c>
      <c r="F312" s="4" t="str">
        <f ca="1">VLOOKUP($D312,OFFSET([1]stages!$A$1,0,0,COUNTA([1]stages!$A:$A),MATCH(F$1,[1]stages!$2:$2,0)-MATCH($D$1,[1]stages!$2:$2,0)+1),MATCH(F$1,[1]stages!$2:$2,0)-MATCH($D$1,[1]stages!$2:$2,0)+1,FALSE)</f>
        <v>24-1．開戦の電磁</v>
      </c>
      <c r="G312" s="55">
        <v>1</v>
      </c>
      <c r="H312" s="17" t="str">
        <f t="shared" ref="H312" si="374">B312&amp;"_"&amp;C312&amp;"-"&amp;G312</f>
        <v>24_1-1</v>
      </c>
      <c r="I312" s="17"/>
      <c r="J312" s="17"/>
      <c r="K312" s="65" t="s">
        <v>56</v>
      </c>
      <c r="L312" s="52">
        <v>354</v>
      </c>
      <c r="M312" s="21" t="str">
        <f ca="1">VLOOKUP($L312,OFFSET([2]enemies!$A$1,0,0,COUNTA([2]enemies!$A:$A),MATCH(M$1,[2]enemies!$1:$1,0)-MATCH($L$1,[2]enemies!$1:$1,0)+1),MATCH(M$1,[2]enemies!$1:$1,0)-MATCH($L$1,[2]enemies!$1:$1,0)+1,FALSE)</f>
        <v>雷のケロケロ</v>
      </c>
      <c r="N312" s="21" t="str">
        <f ca="1">VLOOKUP($L312,OFFSET([2]enemies!$A$1,0,0,COUNTA([2]enemies!$A:$A),MATCH(N$1,[2]enemies!$1:$1,0)-MATCH($L$1,[2]enemies!$1:$1,0)+1),MATCH(N$1,[2]enemies!$1:$1,0)-MATCH($L$1,[2]enemies!$1:$1,0)+1,FALSE)</f>
        <v>yellow</v>
      </c>
      <c r="O312" s="21" t="str">
        <f ca="1">VLOOKUP($L312,OFFSET([3]characters!$A$1,0,0,COUNTA([3]characters!$A:$A),MATCH(O$1,[3]characters!$1:$1,0)-MATCH($L$1,[3]characters!$1:$1,0)+1),MATCH(O$1,[3]characters!$1:$1,0)-MATCH($L$1,[3]characters!$1:$1,0)+1,FALSE)</f>
        <v>Material</v>
      </c>
      <c r="P312" s="21" t="str">
        <f ca="1">VLOOKUP($L312,OFFSET([2]enemies!$A$1,0,0,COUNTA([2]enemies!$A:$A),MATCH(P$1,[2]enemies!$1:$1,0)-MATCH($L$1,[2]enemies!$1:$1,0)+1),MATCH(P$1,[2]enemies!$1:$1,0)-MATCH($L$1,[2]enemies!$1:$1,0)+1,FALSE)</f>
        <v>unknown</v>
      </c>
      <c r="Q312" s="21">
        <f ca="1">VLOOKUP($L312,OFFSET([2]enemies!$A$1,0,0,COUNTA([2]enemies!$A:$A),MATCH(Q$1,[2]enemies!$1:$1,0)-MATCH($L$1,[2]enemies!$1:$1,0)+1),MATCH(Q$1,[2]enemies!$1:$1,0)-MATCH($L$1,[2]enemies!$1:$1,0)+1,FALSE)</f>
        <v>15</v>
      </c>
      <c r="R312" s="53">
        <v>44</v>
      </c>
      <c r="S312" s="27">
        <v>1</v>
      </c>
      <c r="T312" s="27">
        <v>1</v>
      </c>
      <c r="U312" s="5">
        <v>0</v>
      </c>
      <c r="V312" s="4" t="str">
        <f ca="1">VLOOKUP($W312,OFFSET([4]enemy_skill_sets!$B$1,0,0,COUNTA([4]enemy_skill_sets!$B:$B),MATCH(M$1,[4]enemy_skill_sets!$1:$1,0)-MATCH($W$1,[4]enemy_skill_sets!$1:$1,0)+2),MATCH(M$1,[4]enemy_skill_sets!$1:$1,0)-MATCH($W$1,[4]enemy_skill_sets!$1:$1,0)+2,FALSE)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12" s="64">
        <v>354</v>
      </c>
      <c r="X312" s="6">
        <v>0</v>
      </c>
      <c r="Y312" s="6">
        <v>100</v>
      </c>
      <c r="Z312" s="6">
        <v>0</v>
      </c>
      <c r="AA312" s="4">
        <f ca="1">VLOOKUP($L312,OFFSET([2]enemies!$A$1,0,0,COUNTA([2]enemies!$A:$A),MATCH(AA$1,[2]enemies!$1:$1,0)-MATCH($L$1,[2]enemies!$1:$1,0)+1),MATCH(AA$1,[2]enemies!$1:$1,0)-MATCH($L$1,[2]enemies!$1:$1,0)+1,FALSE)</f>
        <v>3</v>
      </c>
      <c r="AB312" s="52">
        <v>354</v>
      </c>
      <c r="AC312" s="4" t="str">
        <f ca="1">VLOOKUP($AB312,OFFSET([3]characters!$A$1,0,0,COUNTA([3]characters!$A:$A),MATCH(AC$1,[3]characters!$1:$1,0)-MATCH("character_id",[3]characters!$1:$1,0)+1),MATCH(AC$1,[3]characters!$1:$1,0)-MATCH("character_id",[3]characters!$1:$1,0)+1,FALSE)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12" s="4">
        <f ca="1">VLOOKUP($AB312,OFFSET([3]characters!$A$1,0,0,COUNTA([3]characters!$A:$A),MATCH(AD$1,[3]characters!$1:$1,0)-MATCH("character_id",[3]characters!$1:$1,0)+1),MATCH(AD$1,[3]characters!$1:$1,0)-MATCH("character_id",[3]characters!$1:$1,0)+1,FALSE)</f>
        <v>2</v>
      </c>
      <c r="AE312" s="4" t="str">
        <f ca="1">VLOOKUP($AB312,OFFSET([3]characters!$A$1,0,0,COUNTA([3]characters!$A:$A),MATCH(AE$1,[3]characters!$1:$1,0)-MATCH("character_id",[3]characters!$1:$1,0)+1),MATCH(AE$1,[3]characters!$1:$1,0)-MATCH("character_id",[3]characters!$1:$1,0)+1,FALSE)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12" s="7">
        <v>10</v>
      </c>
      <c r="AG312" s="26">
        <f t="shared" ca="1" si="305"/>
        <v>2</v>
      </c>
      <c r="AH312" s="8">
        <v>20</v>
      </c>
      <c r="AI312" s="7">
        <v>0</v>
      </c>
      <c r="AJ312" s="7">
        <v>0</v>
      </c>
      <c r="AK312" s="7">
        <v>0</v>
      </c>
      <c r="AL312" s="7">
        <v>0</v>
      </c>
      <c r="AM312" s="7">
        <v>1</v>
      </c>
    </row>
    <row r="313" spans="1:39" ht="14" x14ac:dyDescent="0.15">
      <c r="A313" s="18" t="str">
        <f t="shared" ca="1" si="326"/>
        <v>24_1-2/11&lt;lv46&gt;s3</v>
      </c>
      <c r="B313" s="50">
        <v>24</v>
      </c>
      <c r="C313" s="49">
        <v>1</v>
      </c>
      <c r="D313" s="2" t="str">
        <f t="shared" si="327"/>
        <v>24_1</v>
      </c>
      <c r="E313" s="2" t="str">
        <f t="shared" si="327"/>
        <v>1_24_1</v>
      </c>
      <c r="F313" s="4" t="str">
        <f ca="1">VLOOKUP($D313,OFFSET([1]stages!$A$1,0,0,COUNTA([1]stages!$A:$A),MATCH(F$1,[1]stages!$2:$2,0)-MATCH($D$1,[1]stages!$2:$2,0)+1),MATCH(F$1,[1]stages!$2:$2,0)-MATCH($D$1,[1]stages!$2:$2,0)+1,FALSE)</f>
        <v>24-1．開戦の電磁</v>
      </c>
      <c r="G313" s="56">
        <v>2</v>
      </c>
      <c r="H313" s="17" t="str">
        <f t="shared" si="328"/>
        <v>24_1-2</v>
      </c>
      <c r="I313" s="17"/>
      <c r="J313" s="17"/>
      <c r="K313" s="65" t="s">
        <v>56</v>
      </c>
      <c r="L313" s="52">
        <v>11</v>
      </c>
      <c r="M313" s="21" t="str">
        <f ca="1">VLOOKUP($L313,OFFSET([2]enemies!$A$1,0,0,COUNTA([2]enemies!$A:$A),MATCH(M$1,[2]enemies!$1:$1,0)-MATCH($L$1,[2]enemies!$1:$1,0)+1),MATCH(M$1,[2]enemies!$1:$1,0)-MATCH($L$1,[2]enemies!$1:$1,0)+1,FALSE)</f>
        <v>マグリット</v>
      </c>
      <c r="N313" s="21" t="str">
        <f ca="1">VLOOKUP($L313,OFFSET([2]enemies!$A$1,0,0,COUNTA([2]enemies!$A:$A),MATCH(N$1,[2]enemies!$1:$1,0)-MATCH($L$1,[2]enemies!$1:$1,0)+1),MATCH(N$1,[2]enemies!$1:$1,0)-MATCH($L$1,[2]enemies!$1:$1,0)+1,FALSE)</f>
        <v>green</v>
      </c>
      <c r="O313" s="21" t="str">
        <f ca="1">VLOOKUP($L313,OFFSET([3]characters!$A$1,0,0,COUNTA([3]characters!$A:$A),MATCH(O$1,[3]characters!$1:$1,0)-MATCH($L$1,[3]characters!$1:$1,0)+1),MATCH(O$1,[3]characters!$1:$1,0)-MATCH($L$1,[3]characters!$1:$1,0)+1,FALSE)</f>
        <v>Drop1W</v>
      </c>
      <c r="P313" s="21" t="str">
        <f ca="1">VLOOKUP($L313,OFFSET([2]enemies!$A$1,0,0,COUNTA([2]enemies!$A:$A),MATCH(P$1,[2]enemies!$1:$1,0)-MATCH($L$1,[2]enemies!$1:$1,0)+1),MATCH(P$1,[2]enemies!$1:$1,0)-MATCH($L$1,[2]enemies!$1:$1,0)+1,FALSE)</f>
        <v>animal</v>
      </c>
      <c r="Q313" s="21">
        <f ca="1">VLOOKUP($L313,OFFSET([2]enemies!$A$1,0,0,COUNTA([2]enemies!$A:$A),MATCH(Q$1,[2]enemies!$1:$1,0)-MATCH($L$1,[2]enemies!$1:$1,0)+1),MATCH(Q$1,[2]enemies!$1:$1,0)-MATCH($L$1,[2]enemies!$1:$1,0)+1,FALSE)</f>
        <v>15</v>
      </c>
      <c r="R313" s="53">
        <v>46</v>
      </c>
      <c r="S313" s="27">
        <v>1</v>
      </c>
      <c r="T313" s="27">
        <v>1</v>
      </c>
      <c r="U313" s="5">
        <v>0</v>
      </c>
      <c r="V313" s="4" t="str">
        <f ca="1">VLOOKUP($W313,OFFSET([4]enemy_skill_sets!$B$1,0,0,COUNTA([4]enemy_skill_sets!$B:$B),MATCH(M$1,[4]enemy_skill_sets!$1:$1,0)-MATCH($W$1,[4]enemy_skill_sets!$1:$1,0)+2),MATCH(M$1,[4]enemy_skill_sets!$1:$1,0)-MATCH($W$1,[4]enemy_skill_sets!$1:$1,0)+2,FALSE)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13" s="4">
        <f ca="1">VLOOKUP($L313,OFFSET([2]enemies!$A$1,0,0,COUNTA([2]enemies!$A:$A),MATCH(W$1,[2]enemies!$1:$1,0)-MATCH($L$1,[2]enemies!$1:$1,0)+1),MATCH(W$1,[2]enemies!$1:$1,0)-MATCH($L$1,[2]enemies!$1:$1,0)+1,FALSE)</f>
        <v>0</v>
      </c>
      <c r="X313" s="6">
        <v>0</v>
      </c>
      <c r="Y313" s="6">
        <v>100</v>
      </c>
      <c r="Z313" s="6">
        <v>0</v>
      </c>
      <c r="AA313" s="4">
        <f ca="1">VLOOKUP($L313,OFFSET([2]enemies!$A$1,0,0,COUNTA([2]enemies!$A:$A),MATCH(AA$1,[2]enemies!$1:$1,0)-MATCH($L$1,[2]enemies!$1:$1,0)+1),MATCH(AA$1,[2]enemies!$1:$1,0)-MATCH($L$1,[2]enemies!$1:$1,0)+1,FALSE)</f>
        <v>3</v>
      </c>
      <c r="AB313" s="52">
        <v>11</v>
      </c>
      <c r="AC313" s="4" t="str">
        <f ca="1">VLOOKUP($AB313,OFFSET([3]characters!$A$1,0,0,COUNTA([3]characters!$A:$A),MATCH(AC$1,[3]characters!$1:$1,0)-MATCH("character_id",[3]characters!$1:$1,0)+1),MATCH(AC$1,[3]characters!$1:$1,0)-MATCH("character_id",[3]characters!$1:$1,0)+1,FALSE)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313" s="4">
        <f ca="1">VLOOKUP($AB313,OFFSET([3]characters!$A$1,0,0,COUNTA([3]characters!$A:$A),MATCH(AD$1,[3]characters!$1:$1,0)-MATCH("character_id",[3]characters!$1:$1,0)+1),MATCH(AD$1,[3]characters!$1:$1,0)-MATCH("character_id",[3]characters!$1:$1,0)+1,FALSE)</f>
        <v>1</v>
      </c>
      <c r="AE313" s="4" t="str">
        <f ca="1">VLOOKUP($AB313,OFFSET([3]characters!$A$1,0,0,COUNTA([3]characters!$A:$A),MATCH(AE$1,[3]characters!$1:$1,0)-MATCH("character_id",[3]characters!$1:$1,0)+1),MATCH(AE$1,[3]characters!$1:$1,0)-MATCH("character_id",[3]characters!$1:$1,0)+1,FALSE)</f>
        <v>Drop1W</v>
      </c>
      <c r="AF313" s="7">
        <v>9</v>
      </c>
      <c r="AG313" s="26">
        <f t="shared" ca="1" si="305"/>
        <v>1</v>
      </c>
      <c r="AH313" s="8">
        <v>20</v>
      </c>
      <c r="AI313" s="7">
        <v>0</v>
      </c>
      <c r="AJ313" s="7">
        <v>0</v>
      </c>
      <c r="AK313" s="7">
        <v>0</v>
      </c>
      <c r="AL313" s="7">
        <v>0</v>
      </c>
      <c r="AM313" s="7">
        <v>1</v>
      </c>
    </row>
    <row r="314" spans="1:39" ht="14" x14ac:dyDescent="0.15">
      <c r="A314" s="18" t="str">
        <f t="shared" ref="A314:A350" ca="1" si="375">B314&amp;"_"&amp;C314&amp;"-"&amp;G314&amp;"/"&amp;L314&amp;"&lt;lv"&amp;R314&amp;"&gt;s"&amp;AA314</f>
        <v>24_1-2/23&lt;lv46&gt;s4</v>
      </c>
      <c r="B314" s="50">
        <v>24</v>
      </c>
      <c r="C314" s="49">
        <v>1</v>
      </c>
      <c r="D314" s="2" t="str">
        <f t="shared" ref="D314:E350" si="376">B314&amp;"_"&amp;C314</f>
        <v>24_1</v>
      </c>
      <c r="E314" s="2" t="str">
        <f t="shared" si="376"/>
        <v>1_24_1</v>
      </c>
      <c r="F314" s="4" t="str">
        <f ca="1">VLOOKUP($D314,OFFSET([1]stages!$A$1,0,0,COUNTA([1]stages!$A:$A),MATCH(F$1,[1]stages!$2:$2,0)-MATCH($D$1,[1]stages!$2:$2,0)+1),MATCH(F$1,[1]stages!$2:$2,0)-MATCH($D$1,[1]stages!$2:$2,0)+1,FALSE)</f>
        <v>24-1．開戦の電磁</v>
      </c>
      <c r="G314" s="56">
        <v>2</v>
      </c>
      <c r="H314" s="17" t="str">
        <f t="shared" ref="H314:H350" si="377">B314&amp;"_"&amp;C314&amp;"-"&amp;G314</f>
        <v>24_1-2</v>
      </c>
      <c r="I314" s="17"/>
      <c r="J314" s="17"/>
      <c r="K314" s="65" t="s">
        <v>56</v>
      </c>
      <c r="L314" s="52">
        <v>23</v>
      </c>
      <c r="M314" s="21" t="str">
        <f ca="1">VLOOKUP($L314,OFFSET([2]enemies!$A$1,0,0,COUNTA([2]enemies!$A:$A),MATCH(M$1,[2]enemies!$1:$1,0)-MATCH($L$1,[2]enemies!$1:$1,0)+1),MATCH(M$1,[2]enemies!$1:$1,0)-MATCH($L$1,[2]enemies!$1:$1,0)+1,FALSE)</f>
        <v>ミール</v>
      </c>
      <c r="N314" s="21" t="str">
        <f ca="1">VLOOKUP($L314,OFFSET([2]enemies!$A$1,0,0,COUNTA([2]enemies!$A:$A),MATCH(N$1,[2]enemies!$1:$1,0)-MATCH($L$1,[2]enemies!$1:$1,0)+1),MATCH(N$1,[2]enemies!$1:$1,0)-MATCH($L$1,[2]enemies!$1:$1,0)+1,FALSE)</f>
        <v>green</v>
      </c>
      <c r="O314" s="21" t="str">
        <f ca="1">VLOOKUP($L314,OFFSET([3]characters!$A$1,0,0,COUNTA([3]characters!$A:$A),MATCH(O$1,[3]characters!$1:$1,0)-MATCH($L$1,[3]characters!$1:$1,0)+1),MATCH(O$1,[3]characters!$1:$1,0)-MATCH($L$1,[3]characters!$1:$1,0)+1,FALSE)</f>
        <v>Drop1N</v>
      </c>
      <c r="P314" s="21" t="str">
        <f ca="1">VLOOKUP($L314,OFFSET([2]enemies!$A$1,0,0,COUNTA([2]enemies!$A:$A),MATCH(P$1,[2]enemies!$1:$1,0)-MATCH($L$1,[2]enemies!$1:$1,0)+1),MATCH(P$1,[2]enemies!$1:$1,0)-MATCH($L$1,[2]enemies!$1:$1,0)+1,FALSE)</f>
        <v>animal</v>
      </c>
      <c r="Q314" s="21">
        <f ca="1">VLOOKUP($L314,OFFSET([2]enemies!$A$1,0,0,COUNTA([2]enemies!$A:$A),MATCH(Q$1,[2]enemies!$1:$1,0)-MATCH($L$1,[2]enemies!$1:$1,0)+1),MATCH(Q$1,[2]enemies!$1:$1,0)-MATCH($L$1,[2]enemies!$1:$1,0)+1,FALSE)</f>
        <v>15</v>
      </c>
      <c r="R314" s="53">
        <v>46</v>
      </c>
      <c r="S314" s="27">
        <v>1</v>
      </c>
      <c r="T314" s="27">
        <v>1</v>
      </c>
      <c r="U314" s="5">
        <v>0</v>
      </c>
      <c r="V314" s="4" t="str">
        <f ca="1">VLOOKUP($W314,OFFSET([4]enemy_skill_sets!$B$1,0,0,COUNTA([4]enemy_skill_sets!$B:$B),MATCH(M$1,[4]enemy_skill_sets!$1:$1,0)-MATCH($W$1,[4]enemy_skill_sets!$1:$1,0)+2),MATCH(M$1,[4]enemy_skill_sets!$1:$1,0)-MATCH($W$1,[4]enemy_skill_sets!$1:$1,0)+2,FALSE)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14" s="4">
        <f ca="1">VLOOKUP($L314,OFFSET([2]enemies!$A$1,0,0,COUNTA([2]enemies!$A:$A),MATCH(W$1,[2]enemies!$1:$1,0)-MATCH($L$1,[2]enemies!$1:$1,0)+1),MATCH(W$1,[2]enemies!$1:$1,0)-MATCH($L$1,[2]enemies!$1:$1,0)+1,FALSE)</f>
        <v>0</v>
      </c>
      <c r="X314" s="6">
        <v>0</v>
      </c>
      <c r="Y314" s="6">
        <v>100</v>
      </c>
      <c r="Z314" s="6">
        <v>0</v>
      </c>
      <c r="AA314" s="4">
        <f ca="1">VLOOKUP($L314,OFFSET([2]enemies!$A$1,0,0,COUNTA([2]enemies!$A:$A),MATCH(AA$1,[2]enemies!$1:$1,0)-MATCH($L$1,[2]enemies!$1:$1,0)+1),MATCH(AA$1,[2]enemies!$1:$1,0)-MATCH($L$1,[2]enemies!$1:$1,0)+1,FALSE)</f>
        <v>4</v>
      </c>
      <c r="AB314" s="52">
        <v>23</v>
      </c>
      <c r="AC314" s="4" t="str">
        <f ca="1">VLOOKUP($AB314,OFFSET([3]characters!$A$1,0,0,COUNTA([3]characters!$A:$A),MATCH(AC$1,[3]characters!$1:$1,0)-MATCH("character_id",[3]characters!$1:$1,0)+1),MATCH(AC$1,[3]characters!$1:$1,0)-MATCH("character_id",[3]characters!$1:$1,0)+1,FALSE)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314" s="4">
        <f ca="1">VLOOKUP($AB314,OFFSET([3]characters!$A$1,0,0,COUNTA([3]characters!$A:$A),MATCH(AD$1,[3]characters!$1:$1,0)-MATCH("character_id",[3]characters!$1:$1,0)+1),MATCH(AD$1,[3]characters!$1:$1,0)-MATCH("character_id",[3]characters!$1:$1,0)+1,FALSE)</f>
        <v>1</v>
      </c>
      <c r="AE314" s="4" t="str">
        <f ca="1">VLOOKUP($AB314,OFFSET([3]characters!$A$1,0,0,COUNTA([3]characters!$A:$A),MATCH(AE$1,[3]characters!$1:$1,0)-MATCH("character_id",[3]characters!$1:$1,0)+1),MATCH(AE$1,[3]characters!$1:$1,0)-MATCH("character_id",[3]characters!$1:$1,0)+1,FALSE)</f>
        <v>Drop1N</v>
      </c>
      <c r="AF314" s="7">
        <v>7</v>
      </c>
      <c r="AG314" s="26">
        <f t="shared" ca="1" si="305"/>
        <v>1</v>
      </c>
      <c r="AH314" s="8">
        <v>20</v>
      </c>
      <c r="AI314" s="7">
        <v>0</v>
      </c>
      <c r="AJ314" s="7">
        <v>0</v>
      </c>
      <c r="AK314" s="7">
        <v>0</v>
      </c>
      <c r="AL314" s="7">
        <v>0</v>
      </c>
      <c r="AM314" s="7">
        <v>1</v>
      </c>
    </row>
    <row r="315" spans="1:39" ht="14" x14ac:dyDescent="0.15">
      <c r="A315" s="18" t="str">
        <f t="shared" ca="1" si="375"/>
        <v>24_1-2/59&lt;lv46&gt;s2</v>
      </c>
      <c r="B315" s="50">
        <v>24</v>
      </c>
      <c r="C315" s="49">
        <v>1</v>
      </c>
      <c r="D315" s="2" t="str">
        <f t="shared" si="376"/>
        <v>24_1</v>
      </c>
      <c r="E315" s="2" t="str">
        <f t="shared" si="376"/>
        <v>1_24_1</v>
      </c>
      <c r="F315" s="4" t="str">
        <f ca="1">VLOOKUP($D315,OFFSET([1]stages!$A$1,0,0,COUNTA([1]stages!$A:$A),MATCH(F$1,[1]stages!$2:$2,0)-MATCH($D$1,[1]stages!$2:$2,0)+1),MATCH(F$1,[1]stages!$2:$2,0)-MATCH($D$1,[1]stages!$2:$2,0)+1,FALSE)</f>
        <v>24-1．開戦の電磁</v>
      </c>
      <c r="G315" s="56">
        <v>2</v>
      </c>
      <c r="H315" s="17" t="str">
        <f t="shared" si="377"/>
        <v>24_1-2</v>
      </c>
      <c r="I315" s="17"/>
      <c r="J315" s="17"/>
      <c r="K315" s="65" t="s">
        <v>56</v>
      </c>
      <c r="L315" s="52">
        <v>59</v>
      </c>
      <c r="M315" s="21" t="str">
        <f ca="1">VLOOKUP($L315,OFFSET([2]enemies!$A$1,0,0,COUNTA([2]enemies!$A:$A),MATCH(M$1,[2]enemies!$1:$1,0)-MATCH($L$1,[2]enemies!$1:$1,0)+1),MATCH(M$1,[2]enemies!$1:$1,0)-MATCH($L$1,[2]enemies!$1:$1,0)+1,FALSE)</f>
        <v>マーチ</v>
      </c>
      <c r="N315" s="21" t="str">
        <f ca="1">VLOOKUP($L315,OFFSET([2]enemies!$A$1,0,0,COUNTA([2]enemies!$A:$A),MATCH(N$1,[2]enemies!$1:$1,0)-MATCH($L$1,[2]enemies!$1:$1,0)+1),MATCH(N$1,[2]enemies!$1:$1,0)-MATCH($L$1,[2]enemies!$1:$1,0)+1,FALSE)</f>
        <v>green</v>
      </c>
      <c r="O315" s="21" t="str">
        <f ca="1">VLOOKUP($L315,OFFSET([3]characters!$A$1,0,0,COUNTA([3]characters!$A:$A),MATCH(O$1,[3]characters!$1:$1,0)-MATCH($L$1,[3]characters!$1:$1,0)+1),MATCH(O$1,[3]characters!$1:$1,0)-MATCH($L$1,[3]characters!$1:$1,0)+1,FALSE)</f>
        <v>Drop1N</v>
      </c>
      <c r="P315" s="21" t="str">
        <f ca="1">VLOOKUP($L315,OFFSET([2]enemies!$A$1,0,0,COUNTA([2]enemies!$A:$A),MATCH(P$1,[2]enemies!$1:$1,0)-MATCH($L$1,[2]enemies!$1:$1,0)+1),MATCH(P$1,[2]enemies!$1:$1,0)-MATCH($L$1,[2]enemies!$1:$1,0)+1,FALSE)</f>
        <v>animal</v>
      </c>
      <c r="Q315" s="21">
        <f ca="1">VLOOKUP($L315,OFFSET([2]enemies!$A$1,0,0,COUNTA([2]enemies!$A:$A),MATCH(Q$1,[2]enemies!$1:$1,0)-MATCH($L$1,[2]enemies!$1:$1,0)+1),MATCH(Q$1,[2]enemies!$1:$1,0)-MATCH($L$1,[2]enemies!$1:$1,0)+1,FALSE)</f>
        <v>15</v>
      </c>
      <c r="R315" s="53">
        <v>46</v>
      </c>
      <c r="S315" s="27">
        <v>1</v>
      </c>
      <c r="T315" s="27">
        <v>1</v>
      </c>
      <c r="U315" s="5">
        <v>0</v>
      </c>
      <c r="V315" s="4" t="str">
        <f ca="1">VLOOKUP($W315,OFFSET([4]enemy_skill_sets!$B$1,0,0,COUNTA([4]enemy_skill_sets!$B:$B),MATCH(M$1,[4]enemy_skill_sets!$1:$1,0)-MATCH($W$1,[4]enemy_skill_sets!$1:$1,0)+2),MATCH(M$1,[4]enemy_skill_sets!$1:$1,0)-MATCH($W$1,[4]enemy_skill_sets!$1:$1,0)+2,FALSE)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315" s="4">
        <f ca="1">VLOOKUP($L315,OFFSET([2]enemies!$A$1,0,0,COUNTA([2]enemies!$A:$A),MATCH(W$1,[2]enemies!$1:$1,0)-MATCH($L$1,[2]enemies!$1:$1,0)+1),MATCH(W$1,[2]enemies!$1:$1,0)-MATCH($L$1,[2]enemies!$1:$1,0)+1,FALSE)</f>
        <v>59</v>
      </c>
      <c r="X315" s="6">
        <v>0</v>
      </c>
      <c r="Y315" s="6">
        <v>100</v>
      </c>
      <c r="Z315" s="6">
        <v>0</v>
      </c>
      <c r="AA315" s="4">
        <f ca="1">VLOOKUP($L315,OFFSET([2]enemies!$A$1,0,0,COUNTA([2]enemies!$A:$A),MATCH(AA$1,[2]enemies!$1:$1,0)-MATCH($L$1,[2]enemies!$1:$1,0)+1),MATCH(AA$1,[2]enemies!$1:$1,0)-MATCH($L$1,[2]enemies!$1:$1,0)+1,FALSE)</f>
        <v>2</v>
      </c>
      <c r="AB315" s="52">
        <v>59</v>
      </c>
      <c r="AC315" s="4" t="str">
        <f ca="1">VLOOKUP($AB315,OFFSET([3]characters!$A$1,0,0,COUNTA([3]characters!$A:$A),MATCH(AC$1,[3]characters!$1:$1,0)-MATCH("character_id",[3]characters!$1:$1,0)+1),MATCH(AC$1,[3]characters!$1:$1,0)-MATCH("character_id",[3]characters!$1:$1,0)+1,FALSE)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315" s="4">
        <f ca="1">VLOOKUP($AB315,OFFSET([3]characters!$A$1,0,0,COUNTA([3]characters!$A:$A),MATCH(AD$1,[3]characters!$1:$1,0)-MATCH("character_id",[3]characters!$1:$1,0)+1),MATCH(AD$1,[3]characters!$1:$1,0)-MATCH("character_id",[3]characters!$1:$1,0)+1,FALSE)</f>
        <v>2</v>
      </c>
      <c r="AE315" s="4" t="str">
        <f ca="1">VLOOKUP($AB315,OFFSET([3]characters!$A$1,0,0,COUNTA([3]characters!$A:$A),MATCH(AE$1,[3]characters!$1:$1,0)-MATCH("character_id",[3]characters!$1:$1,0)+1),MATCH(AE$1,[3]characters!$1:$1,0)-MATCH("character_id",[3]characters!$1:$1,0)+1,FALSE)</f>
        <v>Drop1N</v>
      </c>
      <c r="AF315" s="7">
        <v>7</v>
      </c>
      <c r="AG315" s="26">
        <f t="shared" ca="1" si="305"/>
        <v>2</v>
      </c>
      <c r="AH315" s="8">
        <v>20</v>
      </c>
      <c r="AI315" s="7">
        <v>0</v>
      </c>
      <c r="AJ315" s="7">
        <v>0</v>
      </c>
      <c r="AK315" s="7">
        <v>0</v>
      </c>
      <c r="AL315" s="7">
        <v>0</v>
      </c>
      <c r="AM315" s="7">
        <v>1</v>
      </c>
    </row>
    <row r="316" spans="1:39" ht="14" x14ac:dyDescent="0.15">
      <c r="A316" s="18" t="str">
        <f t="shared" ca="1" si="375"/>
        <v>24_1-2/27&lt;lv46&gt;s1</v>
      </c>
      <c r="B316" s="50">
        <v>24</v>
      </c>
      <c r="C316" s="49">
        <v>1</v>
      </c>
      <c r="D316" s="2" t="str">
        <f t="shared" si="376"/>
        <v>24_1</v>
      </c>
      <c r="E316" s="2" t="str">
        <f t="shared" si="376"/>
        <v>1_24_1</v>
      </c>
      <c r="F316" s="4" t="str">
        <f ca="1">VLOOKUP($D316,OFFSET([1]stages!$A$1,0,0,COUNTA([1]stages!$A:$A),MATCH(F$1,[1]stages!$2:$2,0)-MATCH($D$1,[1]stages!$2:$2,0)+1),MATCH(F$1,[1]stages!$2:$2,0)-MATCH($D$1,[1]stages!$2:$2,0)+1,FALSE)</f>
        <v>24-1．開戦の電磁</v>
      </c>
      <c r="G316" s="56">
        <v>2</v>
      </c>
      <c r="H316" s="17" t="str">
        <f t="shared" si="377"/>
        <v>24_1-2</v>
      </c>
      <c r="I316" s="17"/>
      <c r="J316" s="17"/>
      <c r="K316" s="65" t="s">
        <v>56</v>
      </c>
      <c r="L316" s="52">
        <v>27</v>
      </c>
      <c r="M316" s="21" t="str">
        <f ca="1">VLOOKUP($L316,OFFSET([2]enemies!$A$1,0,0,COUNTA([2]enemies!$A:$A),MATCH(M$1,[2]enemies!$1:$1,0)-MATCH($L$1,[2]enemies!$1:$1,0)+1),MATCH(M$1,[2]enemies!$1:$1,0)-MATCH($L$1,[2]enemies!$1:$1,0)+1,FALSE)</f>
        <v>パトライン</v>
      </c>
      <c r="N316" s="21" t="str">
        <f ca="1">VLOOKUP($L316,OFFSET([2]enemies!$A$1,0,0,COUNTA([2]enemies!$A:$A),MATCH(N$1,[2]enemies!$1:$1,0)-MATCH($L$1,[2]enemies!$1:$1,0)+1),MATCH(N$1,[2]enemies!$1:$1,0)-MATCH($L$1,[2]enemies!$1:$1,0)+1,FALSE)</f>
        <v>green</v>
      </c>
      <c r="O316" s="21" t="str">
        <f ca="1">VLOOKUP($L316,OFFSET([3]characters!$A$1,0,0,COUNTA([3]characters!$A:$A),MATCH(O$1,[3]characters!$1:$1,0)-MATCH($L$1,[3]characters!$1:$1,0)+1),MATCH(O$1,[3]characters!$1:$1,0)-MATCH($L$1,[3]characters!$1:$1,0)+1,FALSE)</f>
        <v>Drop1N</v>
      </c>
      <c r="P316" s="21" t="str">
        <f ca="1">VLOOKUP($L316,OFFSET([2]enemies!$A$1,0,0,COUNTA([2]enemies!$A:$A),MATCH(P$1,[2]enemies!$1:$1,0)-MATCH($L$1,[2]enemies!$1:$1,0)+1),MATCH(P$1,[2]enemies!$1:$1,0)-MATCH($L$1,[2]enemies!$1:$1,0)+1,FALSE)</f>
        <v>machine</v>
      </c>
      <c r="Q316" s="21">
        <f ca="1">VLOOKUP($L316,OFFSET([2]enemies!$A$1,0,0,COUNTA([2]enemies!$A:$A),MATCH(Q$1,[2]enemies!$1:$1,0)-MATCH($L$1,[2]enemies!$1:$1,0)+1),MATCH(Q$1,[2]enemies!$1:$1,0)-MATCH($L$1,[2]enemies!$1:$1,0)+1,FALSE)</f>
        <v>15</v>
      </c>
      <c r="R316" s="53">
        <v>46</v>
      </c>
      <c r="S316" s="27">
        <v>1</v>
      </c>
      <c r="T316" s="27">
        <v>1</v>
      </c>
      <c r="U316" s="5">
        <v>0</v>
      </c>
      <c r="V316" s="4" t="str">
        <f ca="1">VLOOKUP($W316,OFFSET([4]enemy_skill_sets!$B$1,0,0,COUNTA([4]enemy_skill_sets!$B:$B),MATCH(M$1,[4]enemy_skill_sets!$1:$1,0)-MATCH($W$1,[4]enemy_skill_sets!$1:$1,0)+2),MATCH(M$1,[4]enemy_skill_sets!$1:$1,0)-MATCH($W$1,[4]enemy_skill_sets!$1:$1,0)+2,FALSE)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16" s="4">
        <f ca="1">VLOOKUP($L316,OFFSET([2]enemies!$A$1,0,0,COUNTA([2]enemies!$A:$A),MATCH(W$1,[2]enemies!$1:$1,0)-MATCH($L$1,[2]enemies!$1:$1,0)+1),MATCH(W$1,[2]enemies!$1:$1,0)-MATCH($L$1,[2]enemies!$1:$1,0)+1,FALSE)</f>
        <v>0</v>
      </c>
      <c r="X316" s="6">
        <v>0</v>
      </c>
      <c r="Y316" s="6">
        <v>100</v>
      </c>
      <c r="Z316" s="6">
        <v>0</v>
      </c>
      <c r="AA316" s="4">
        <f ca="1">VLOOKUP($L316,OFFSET([2]enemies!$A$1,0,0,COUNTA([2]enemies!$A:$A),MATCH(AA$1,[2]enemies!$1:$1,0)-MATCH($L$1,[2]enemies!$1:$1,0)+1),MATCH(AA$1,[2]enemies!$1:$1,0)-MATCH($L$1,[2]enemies!$1:$1,0)+1,FALSE)</f>
        <v>1</v>
      </c>
      <c r="AB316" s="52">
        <v>27</v>
      </c>
      <c r="AC316" s="4" t="str">
        <f ca="1">VLOOKUP($AB316,OFFSET([3]characters!$A$1,0,0,COUNTA([3]characters!$A:$A),MATCH(AC$1,[3]characters!$1:$1,0)-MATCH("character_id",[3]characters!$1:$1,0)+1),MATCH(AC$1,[3]characters!$1:$1,0)-MATCH("character_id",[3]characters!$1:$1,0)+1,FALSE)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316" s="4">
        <f ca="1">VLOOKUP($AB316,OFFSET([3]characters!$A$1,0,0,COUNTA([3]characters!$A:$A),MATCH(AD$1,[3]characters!$1:$1,0)-MATCH("character_id",[3]characters!$1:$1,0)+1),MATCH(AD$1,[3]characters!$1:$1,0)-MATCH("character_id",[3]characters!$1:$1,0)+1,FALSE)</f>
        <v>1</v>
      </c>
      <c r="AE316" s="4" t="str">
        <f ca="1">VLOOKUP($AB316,OFFSET([3]characters!$A$1,0,0,COUNTA([3]characters!$A:$A),MATCH(AE$1,[3]characters!$1:$1,0)-MATCH("character_id",[3]characters!$1:$1,0)+1),MATCH(AE$1,[3]characters!$1:$1,0)-MATCH("character_id",[3]characters!$1:$1,0)+1,FALSE)</f>
        <v>Drop1N</v>
      </c>
      <c r="AF316" s="7">
        <v>7</v>
      </c>
      <c r="AG316" s="26">
        <f t="shared" ca="1" si="305"/>
        <v>1</v>
      </c>
      <c r="AH316" s="8">
        <v>20</v>
      </c>
      <c r="AI316" s="7">
        <v>0</v>
      </c>
      <c r="AJ316" s="7">
        <v>0</v>
      </c>
      <c r="AK316" s="7">
        <v>0</v>
      </c>
      <c r="AL316" s="7">
        <v>0</v>
      </c>
      <c r="AM316" s="7">
        <v>1</v>
      </c>
    </row>
    <row r="317" spans="1:39" ht="14" x14ac:dyDescent="0.15">
      <c r="A317" s="18" t="str">
        <f t="shared" ca="1" si="375"/>
        <v>24_1-2/35&lt;lv46&gt;s4</v>
      </c>
      <c r="B317" s="50">
        <v>24</v>
      </c>
      <c r="C317" s="49">
        <v>1</v>
      </c>
      <c r="D317" s="2" t="str">
        <f t="shared" si="376"/>
        <v>24_1</v>
      </c>
      <c r="E317" s="2" t="str">
        <f t="shared" si="376"/>
        <v>1_24_1</v>
      </c>
      <c r="F317" s="4" t="str">
        <f ca="1">VLOOKUP($D317,OFFSET([1]stages!$A$1,0,0,COUNTA([1]stages!$A:$A),MATCH(F$1,[1]stages!$2:$2,0)-MATCH($D$1,[1]stages!$2:$2,0)+1),MATCH(F$1,[1]stages!$2:$2,0)-MATCH($D$1,[1]stages!$2:$2,0)+1,FALSE)</f>
        <v>24-1．開戦の電磁</v>
      </c>
      <c r="G317" s="56">
        <v>2</v>
      </c>
      <c r="H317" s="17" t="str">
        <f t="shared" si="377"/>
        <v>24_1-2</v>
      </c>
      <c r="I317" s="17"/>
      <c r="J317" s="17"/>
      <c r="K317" s="65" t="s">
        <v>56</v>
      </c>
      <c r="L317" s="52">
        <v>35</v>
      </c>
      <c r="M317" s="21" t="str">
        <f ca="1">VLOOKUP($L317,OFFSET([2]enemies!$A$1,0,0,COUNTA([2]enemies!$A:$A),MATCH(M$1,[2]enemies!$1:$1,0)-MATCH($L$1,[2]enemies!$1:$1,0)+1),MATCH(M$1,[2]enemies!$1:$1,0)-MATCH($L$1,[2]enemies!$1:$1,0)+1,FALSE)</f>
        <v>F2</v>
      </c>
      <c r="N317" s="21" t="str">
        <f ca="1">VLOOKUP($L317,OFFSET([2]enemies!$A$1,0,0,COUNTA([2]enemies!$A:$A),MATCH(N$1,[2]enemies!$1:$1,0)-MATCH($L$1,[2]enemies!$1:$1,0)+1),MATCH(N$1,[2]enemies!$1:$1,0)-MATCH($L$1,[2]enemies!$1:$1,0)+1,FALSE)</f>
        <v>green</v>
      </c>
      <c r="O317" s="21" t="str">
        <f ca="1">VLOOKUP($L317,OFFSET([3]characters!$A$1,0,0,COUNTA([3]characters!$A:$A),MATCH(O$1,[3]characters!$1:$1,0)-MATCH($L$1,[3]characters!$1:$1,0)+1),MATCH(O$1,[3]characters!$1:$1,0)-MATCH($L$1,[3]characters!$1:$1,0)+1,FALSE)</f>
        <v>Drop1S</v>
      </c>
      <c r="P317" s="21" t="str">
        <f ca="1">VLOOKUP($L317,OFFSET([2]enemies!$A$1,0,0,COUNTA([2]enemies!$A:$A),MATCH(P$1,[2]enemies!$1:$1,0)-MATCH($L$1,[2]enemies!$1:$1,0)+1),MATCH(P$1,[2]enemies!$1:$1,0)-MATCH($L$1,[2]enemies!$1:$1,0)+1,FALSE)</f>
        <v>machine</v>
      </c>
      <c r="Q317" s="21">
        <f ca="1">VLOOKUP($L317,OFFSET([2]enemies!$A$1,0,0,COUNTA([2]enemies!$A:$A),MATCH(Q$1,[2]enemies!$1:$1,0)-MATCH($L$1,[2]enemies!$1:$1,0)+1),MATCH(Q$1,[2]enemies!$1:$1,0)-MATCH($L$1,[2]enemies!$1:$1,0)+1,FALSE)</f>
        <v>15</v>
      </c>
      <c r="R317" s="53">
        <v>46</v>
      </c>
      <c r="S317" s="27">
        <v>1</v>
      </c>
      <c r="T317" s="27">
        <v>1</v>
      </c>
      <c r="U317" s="5">
        <v>0</v>
      </c>
      <c r="V317" s="4" t="str">
        <f ca="1">VLOOKUP($W317,OFFSET([4]enemy_skill_sets!$B$1,0,0,COUNTA([4]enemy_skill_sets!$B:$B),MATCH(M$1,[4]enemy_skill_sets!$1:$1,0)-MATCH($W$1,[4]enemy_skill_sets!$1:$1,0)+2),MATCH(M$1,[4]enemy_skill_sets!$1:$1,0)-MATCH($W$1,[4]enemy_skill_sets!$1:$1,0)+2,FALSE)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17" s="4">
        <f ca="1">VLOOKUP($L317,OFFSET([2]enemies!$A$1,0,0,COUNTA([2]enemies!$A:$A),MATCH(W$1,[2]enemies!$1:$1,0)-MATCH($L$1,[2]enemies!$1:$1,0)+1),MATCH(W$1,[2]enemies!$1:$1,0)-MATCH($L$1,[2]enemies!$1:$1,0)+1,FALSE)</f>
        <v>35</v>
      </c>
      <c r="X317" s="6">
        <v>0</v>
      </c>
      <c r="Y317" s="6">
        <v>100</v>
      </c>
      <c r="Z317" s="6">
        <v>0</v>
      </c>
      <c r="AA317" s="4">
        <f ca="1">VLOOKUP($L317,OFFSET([2]enemies!$A$1,0,0,COUNTA([2]enemies!$A:$A),MATCH(AA$1,[2]enemies!$1:$1,0)-MATCH($L$1,[2]enemies!$1:$1,0)+1),MATCH(AA$1,[2]enemies!$1:$1,0)-MATCH($L$1,[2]enemies!$1:$1,0)+1,FALSE)</f>
        <v>4</v>
      </c>
      <c r="AB317" s="52">
        <v>35</v>
      </c>
      <c r="AC317" s="4" t="str">
        <f ca="1">VLOOKUP($AB317,OFFSET([3]characters!$A$1,0,0,COUNTA([3]characters!$A:$A),MATCH(AC$1,[3]characters!$1:$1,0)-MATCH("character_id",[3]characters!$1:$1,0)+1),MATCH(AC$1,[3]characters!$1:$1,0)-MATCH("character_id",[3]characters!$1:$1,0)+1,FALSE)</f>
        <v>F2</v>
      </c>
      <c r="AD317" s="4">
        <f ca="1">VLOOKUP($AB317,OFFSET([3]characters!$A$1,0,0,COUNTA([3]characters!$A:$A),MATCH(AD$1,[3]characters!$1:$1,0)-MATCH("character_id",[3]characters!$1:$1,0)+1),MATCH(AD$1,[3]characters!$1:$1,0)-MATCH("character_id",[3]characters!$1:$1,0)+1,FALSE)</f>
        <v>2</v>
      </c>
      <c r="AE317" s="4" t="str">
        <f ca="1">VLOOKUP($AB317,OFFSET([3]characters!$A$1,0,0,COUNTA([3]characters!$A:$A),MATCH(AE$1,[3]characters!$1:$1,0)-MATCH("character_id",[3]characters!$1:$1,0)+1),MATCH(AE$1,[3]characters!$1:$1,0)-MATCH("character_id",[3]characters!$1:$1,0)+1,FALSE)</f>
        <v>Drop1S</v>
      </c>
      <c r="AF317" s="7">
        <v>5</v>
      </c>
      <c r="AG317" s="26">
        <f t="shared" ca="1" si="305"/>
        <v>2</v>
      </c>
      <c r="AH317" s="8">
        <v>20</v>
      </c>
      <c r="AI317" s="7">
        <v>0</v>
      </c>
      <c r="AJ317" s="7">
        <v>0</v>
      </c>
      <c r="AK317" s="7">
        <v>0</v>
      </c>
      <c r="AL317" s="7">
        <v>0</v>
      </c>
      <c r="AM317" s="7">
        <v>1</v>
      </c>
    </row>
    <row r="318" spans="1:39" ht="14" x14ac:dyDescent="0.15">
      <c r="A318" s="18" t="str">
        <f t="shared" ref="A318" ca="1" si="378">B318&amp;"_"&amp;C318&amp;"-"&amp;G318&amp;"/"&amp;L318&amp;"&lt;lv"&amp;R318&amp;"&gt;s"&amp;AA318</f>
        <v>24_1-2/362&lt;lv46&gt;s3</v>
      </c>
      <c r="B318" s="53">
        <v>24</v>
      </c>
      <c r="C318" s="51">
        <v>1</v>
      </c>
      <c r="D318" s="2" t="str">
        <f t="shared" ref="D318" si="379">B318&amp;"_"&amp;C318</f>
        <v>24_1</v>
      </c>
      <c r="E318" s="2" t="str">
        <f t="shared" ref="E318" si="380">C318&amp;"_"&amp;D318</f>
        <v>1_24_1</v>
      </c>
      <c r="F318" s="4" t="str">
        <f ca="1">VLOOKUP($D318,OFFSET([1]stages!$A$1,0,0,COUNTA([1]stages!$A:$A),MATCH(F$1,[1]stages!$2:$2,0)-MATCH($D$1,[1]stages!$2:$2,0)+1),MATCH(F$1,[1]stages!$2:$2,0)-MATCH($D$1,[1]stages!$2:$2,0)+1,FALSE)</f>
        <v>24-1．開戦の電磁</v>
      </c>
      <c r="G318" s="56">
        <v>2</v>
      </c>
      <c r="H318" s="17" t="str">
        <f t="shared" ref="H318" si="381">B318&amp;"_"&amp;C318&amp;"-"&amp;G318</f>
        <v>24_1-2</v>
      </c>
      <c r="I318" s="17"/>
      <c r="J318" s="17"/>
      <c r="K318" s="65" t="s">
        <v>56</v>
      </c>
      <c r="L318" s="52">
        <v>362</v>
      </c>
      <c r="M318" s="21" t="str">
        <f ca="1">VLOOKUP($L318,OFFSET([2]enemies!$A$1,0,0,COUNTA([2]enemies!$A:$A),MATCH(M$1,[2]enemies!$1:$1,0)-MATCH($L$1,[2]enemies!$1:$1,0)+1),MATCH(M$1,[2]enemies!$1:$1,0)-MATCH($L$1,[2]enemies!$1:$1,0)+1,FALSE)</f>
        <v>ゆらら</v>
      </c>
      <c r="N318" s="21" t="str">
        <f ca="1">VLOOKUP($L318,OFFSET([2]enemies!$A$1,0,0,COUNTA([2]enemies!$A:$A),MATCH(N$1,[2]enemies!$1:$1,0)-MATCH($L$1,[2]enemies!$1:$1,0)+1),MATCH(N$1,[2]enemies!$1:$1,0)-MATCH($L$1,[2]enemies!$1:$1,0)+1,FALSE)</f>
        <v>green</v>
      </c>
      <c r="O318" s="21" t="str">
        <f ca="1">VLOOKUP($L318,OFFSET([3]characters!$A$1,0,0,COUNTA([3]characters!$A:$A),MATCH(O$1,[3]characters!$1:$1,0)-MATCH($L$1,[3]characters!$1:$1,0)+1),MATCH(O$1,[3]characters!$1:$1,0)-MATCH($L$1,[3]characters!$1:$1,0)+1,FALSE)</f>
        <v>Drop1S</v>
      </c>
      <c r="P318" s="21" t="str">
        <f ca="1">VLOOKUP($L318,OFFSET([2]enemies!$A$1,0,0,COUNTA([2]enemies!$A:$A),MATCH(P$1,[2]enemies!$1:$1,0)-MATCH($L$1,[2]enemies!$1:$1,0)+1),MATCH(P$1,[2]enemies!$1:$1,0)-MATCH($L$1,[2]enemies!$1:$1,0)+1,FALSE)</f>
        <v>animal</v>
      </c>
      <c r="Q318" s="21">
        <f ca="1">VLOOKUP($L318,OFFSET([2]enemies!$A$1,0,0,COUNTA([2]enemies!$A:$A),MATCH(Q$1,[2]enemies!$1:$1,0)-MATCH($L$1,[2]enemies!$1:$1,0)+1),MATCH(Q$1,[2]enemies!$1:$1,0)-MATCH($L$1,[2]enemies!$1:$1,0)+1,FALSE)</f>
        <v>15</v>
      </c>
      <c r="R318" s="53">
        <v>46</v>
      </c>
      <c r="S318" s="27">
        <v>1</v>
      </c>
      <c r="T318" s="27">
        <v>1</v>
      </c>
      <c r="U318" s="5">
        <v>0</v>
      </c>
      <c r="V318" s="4" t="str">
        <f ca="1">VLOOKUP($W318,OFFSET([4]enemy_skill_sets!$B$1,0,0,COUNTA([4]enemy_skill_sets!$B:$B),MATCH(M$1,[4]enemy_skill_sets!$1:$1,0)-MATCH($W$1,[4]enemy_skill_sets!$1:$1,0)+2),MATCH(M$1,[4]enemy_skill_sets!$1:$1,0)-MATCH($W$1,[4]enemy_skill_sets!$1:$1,0)+2,FALSE)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318" s="64">
        <v>362</v>
      </c>
      <c r="X318" s="6">
        <v>0</v>
      </c>
      <c r="Y318" s="6">
        <v>100</v>
      </c>
      <c r="Z318" s="6">
        <v>0</v>
      </c>
      <c r="AA318" s="4">
        <f ca="1">VLOOKUP($L318,OFFSET([2]enemies!$A$1,0,0,COUNTA([2]enemies!$A:$A),MATCH(AA$1,[2]enemies!$1:$1,0)-MATCH($L$1,[2]enemies!$1:$1,0)+1),MATCH(AA$1,[2]enemies!$1:$1,0)-MATCH($L$1,[2]enemies!$1:$1,0)+1,FALSE)</f>
        <v>3</v>
      </c>
      <c r="AB318" s="52">
        <v>362</v>
      </c>
      <c r="AC318" s="4" t="str">
        <f ca="1">VLOOKUP($AB318,OFFSET([3]characters!$A$1,0,0,COUNTA([3]characters!$A:$A),MATCH(AC$1,[3]characters!$1:$1,0)-MATCH("character_id",[3]characters!$1:$1,0)+1),MATCH(AC$1,[3]characters!$1:$1,0)-MATCH("character_id",[3]characters!$1:$1,0)+1,FALSE)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318" s="4">
        <f ca="1">VLOOKUP($AB318,OFFSET([3]characters!$A$1,0,0,COUNTA([3]characters!$A:$A),MATCH(AD$1,[3]characters!$1:$1,0)-MATCH("character_id",[3]characters!$1:$1,0)+1),MATCH(AD$1,[3]characters!$1:$1,0)-MATCH("character_id",[3]characters!$1:$1,0)+1,FALSE)</f>
        <v>2</v>
      </c>
      <c r="AE318" s="4" t="str">
        <f ca="1">VLOOKUP($AB318,OFFSET([3]characters!$A$1,0,0,COUNTA([3]characters!$A:$A),MATCH(AE$1,[3]characters!$1:$1,0)-MATCH("character_id",[3]characters!$1:$1,0)+1),MATCH(AE$1,[3]characters!$1:$1,0)-MATCH("character_id",[3]characters!$1:$1,0)+1,FALSE)</f>
        <v>Drop1S</v>
      </c>
      <c r="AF318" s="7">
        <v>5</v>
      </c>
      <c r="AG318" s="26">
        <f t="shared" ca="1" si="305"/>
        <v>2</v>
      </c>
      <c r="AH318" s="8">
        <v>20</v>
      </c>
      <c r="AI318" s="7">
        <v>0</v>
      </c>
      <c r="AJ318" s="7">
        <v>0</v>
      </c>
      <c r="AK318" s="7">
        <v>0</v>
      </c>
      <c r="AL318" s="7">
        <v>0</v>
      </c>
      <c r="AM318" s="7">
        <v>1</v>
      </c>
    </row>
    <row r="319" spans="1:39" ht="14" x14ac:dyDescent="0.15">
      <c r="A319" s="18" t="str">
        <f t="shared" ref="A319" ca="1" si="382">B319&amp;"_"&amp;C319&amp;"-"&amp;G319&amp;"/"&amp;L319&amp;"&lt;lv"&amp;R319&amp;"&gt;s"&amp;AA319</f>
        <v>24_1-2/354&lt;lv46&gt;s3</v>
      </c>
      <c r="B319" s="53">
        <v>24</v>
      </c>
      <c r="C319" s="51">
        <v>1</v>
      </c>
      <c r="D319" s="2" t="str">
        <f t="shared" ref="D319" si="383">B319&amp;"_"&amp;C319</f>
        <v>24_1</v>
      </c>
      <c r="E319" s="2" t="str">
        <f t="shared" ref="E319" si="384">C319&amp;"_"&amp;D319</f>
        <v>1_24_1</v>
      </c>
      <c r="F319" s="4" t="str">
        <f ca="1">VLOOKUP($D319,OFFSET([1]stages!$A$1,0,0,COUNTA([1]stages!$A:$A),MATCH(F$1,[1]stages!$2:$2,0)-MATCH($D$1,[1]stages!$2:$2,0)+1),MATCH(F$1,[1]stages!$2:$2,0)-MATCH($D$1,[1]stages!$2:$2,0)+1,FALSE)</f>
        <v>24-1．開戦の電磁</v>
      </c>
      <c r="G319" s="56">
        <v>2</v>
      </c>
      <c r="H319" s="17" t="str">
        <f t="shared" ref="H319" si="385">B319&amp;"_"&amp;C319&amp;"-"&amp;G319</f>
        <v>24_1-2</v>
      </c>
      <c r="I319" s="17"/>
      <c r="J319" s="17"/>
      <c r="K319" s="65" t="s">
        <v>56</v>
      </c>
      <c r="L319" s="52">
        <v>354</v>
      </c>
      <c r="M319" s="21" t="str">
        <f ca="1">VLOOKUP($L319,OFFSET([2]enemies!$A$1,0,0,COUNTA([2]enemies!$A:$A),MATCH(M$1,[2]enemies!$1:$1,0)-MATCH($L$1,[2]enemies!$1:$1,0)+1),MATCH(M$1,[2]enemies!$1:$1,0)-MATCH($L$1,[2]enemies!$1:$1,0)+1,FALSE)</f>
        <v>雷のケロケロ</v>
      </c>
      <c r="N319" s="21" t="str">
        <f ca="1">VLOOKUP($L319,OFFSET([2]enemies!$A$1,0,0,COUNTA([2]enemies!$A:$A),MATCH(N$1,[2]enemies!$1:$1,0)-MATCH($L$1,[2]enemies!$1:$1,0)+1),MATCH(N$1,[2]enemies!$1:$1,0)-MATCH($L$1,[2]enemies!$1:$1,0)+1,FALSE)</f>
        <v>yellow</v>
      </c>
      <c r="O319" s="21" t="str">
        <f ca="1">VLOOKUP($L319,OFFSET([3]characters!$A$1,0,0,COUNTA([3]characters!$A:$A),MATCH(O$1,[3]characters!$1:$1,0)-MATCH($L$1,[3]characters!$1:$1,0)+1),MATCH(O$1,[3]characters!$1:$1,0)-MATCH($L$1,[3]characters!$1:$1,0)+1,FALSE)</f>
        <v>Material</v>
      </c>
      <c r="P319" s="21" t="str">
        <f ca="1">VLOOKUP($L319,OFFSET([2]enemies!$A$1,0,0,COUNTA([2]enemies!$A:$A),MATCH(P$1,[2]enemies!$1:$1,0)-MATCH($L$1,[2]enemies!$1:$1,0)+1),MATCH(P$1,[2]enemies!$1:$1,0)-MATCH($L$1,[2]enemies!$1:$1,0)+1,FALSE)</f>
        <v>unknown</v>
      </c>
      <c r="Q319" s="21">
        <f ca="1">VLOOKUP($L319,OFFSET([2]enemies!$A$1,0,0,COUNTA([2]enemies!$A:$A),MATCH(Q$1,[2]enemies!$1:$1,0)-MATCH($L$1,[2]enemies!$1:$1,0)+1),MATCH(Q$1,[2]enemies!$1:$1,0)-MATCH($L$1,[2]enemies!$1:$1,0)+1,FALSE)</f>
        <v>15</v>
      </c>
      <c r="R319" s="53">
        <v>46</v>
      </c>
      <c r="S319" s="27">
        <v>1</v>
      </c>
      <c r="T319" s="27">
        <v>1</v>
      </c>
      <c r="U319" s="5">
        <v>0</v>
      </c>
      <c r="V319" s="4" t="str">
        <f ca="1">VLOOKUP($W319,OFFSET([4]enemy_skill_sets!$B$1,0,0,COUNTA([4]enemy_skill_sets!$B:$B),MATCH(M$1,[4]enemy_skill_sets!$1:$1,0)-MATCH($W$1,[4]enemy_skill_sets!$1:$1,0)+2),MATCH(M$1,[4]enemy_skill_sets!$1:$1,0)-MATCH($W$1,[4]enemy_skill_sets!$1:$1,0)+2,FALSE)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19" s="64">
        <v>354</v>
      </c>
      <c r="X319" s="6">
        <v>0</v>
      </c>
      <c r="Y319" s="6">
        <v>100</v>
      </c>
      <c r="Z319" s="6">
        <v>0</v>
      </c>
      <c r="AA319" s="4">
        <f ca="1">VLOOKUP($L319,OFFSET([2]enemies!$A$1,0,0,COUNTA([2]enemies!$A:$A),MATCH(AA$1,[2]enemies!$1:$1,0)-MATCH($L$1,[2]enemies!$1:$1,0)+1),MATCH(AA$1,[2]enemies!$1:$1,0)-MATCH($L$1,[2]enemies!$1:$1,0)+1,FALSE)</f>
        <v>3</v>
      </c>
      <c r="AB319" s="52">
        <v>354</v>
      </c>
      <c r="AC319" s="4" t="str">
        <f ca="1">VLOOKUP($AB319,OFFSET([3]characters!$A$1,0,0,COUNTA([3]characters!$A:$A),MATCH(AC$1,[3]characters!$1:$1,0)-MATCH("character_id",[3]characters!$1:$1,0)+1),MATCH(AC$1,[3]characters!$1:$1,0)-MATCH("character_id",[3]characters!$1:$1,0)+1,FALSE)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19" s="4">
        <f ca="1">VLOOKUP($AB319,OFFSET([3]characters!$A$1,0,0,COUNTA([3]characters!$A:$A),MATCH(AD$1,[3]characters!$1:$1,0)-MATCH("character_id",[3]characters!$1:$1,0)+1),MATCH(AD$1,[3]characters!$1:$1,0)-MATCH("character_id",[3]characters!$1:$1,0)+1,FALSE)</f>
        <v>2</v>
      </c>
      <c r="AE319" s="4" t="str">
        <f ca="1">VLOOKUP($AB319,OFFSET([3]characters!$A$1,0,0,COUNTA([3]characters!$A:$A),MATCH(AE$1,[3]characters!$1:$1,0)-MATCH("character_id",[3]characters!$1:$1,0)+1),MATCH(AE$1,[3]characters!$1:$1,0)-MATCH("character_id",[3]characters!$1:$1,0)+1,FALSE)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19" s="7">
        <v>10</v>
      </c>
      <c r="AG319" s="26">
        <f t="shared" ca="1" si="305"/>
        <v>2</v>
      </c>
      <c r="AH319" s="8">
        <v>20</v>
      </c>
      <c r="AI319" s="7">
        <v>0</v>
      </c>
      <c r="AJ319" s="7">
        <v>0</v>
      </c>
      <c r="AK319" s="7">
        <v>0</v>
      </c>
      <c r="AL319" s="7">
        <v>0</v>
      </c>
      <c r="AM319" s="7">
        <v>1</v>
      </c>
    </row>
    <row r="320" spans="1:39" ht="14" x14ac:dyDescent="0.15">
      <c r="A320" s="18" t="str">
        <f t="shared" ca="1" si="375"/>
        <v>24_1-3/11&lt;lv46&gt;s3</v>
      </c>
      <c r="B320" s="50">
        <v>24</v>
      </c>
      <c r="C320" s="49">
        <v>1</v>
      </c>
      <c r="D320" s="2" t="str">
        <f t="shared" si="376"/>
        <v>24_1</v>
      </c>
      <c r="E320" s="2" t="str">
        <f t="shared" si="376"/>
        <v>1_24_1</v>
      </c>
      <c r="F320" s="4" t="str">
        <f ca="1">VLOOKUP($D320,OFFSET([1]stages!$A$1,0,0,COUNTA([1]stages!$A:$A),MATCH(F$1,[1]stages!$2:$2,0)-MATCH($D$1,[1]stages!$2:$2,0)+1),MATCH(F$1,[1]stages!$2:$2,0)-MATCH($D$1,[1]stages!$2:$2,0)+1,FALSE)</f>
        <v>24-1．開戦の電磁</v>
      </c>
      <c r="G320" s="57">
        <v>3</v>
      </c>
      <c r="H320" s="17" t="str">
        <f t="shared" si="377"/>
        <v>24_1-3</v>
      </c>
      <c r="I320" s="17"/>
      <c r="J320" s="17"/>
      <c r="K320" s="65" t="s">
        <v>56</v>
      </c>
      <c r="L320" s="52">
        <v>11</v>
      </c>
      <c r="M320" s="21" t="str">
        <f ca="1">VLOOKUP($L320,OFFSET([2]enemies!$A$1,0,0,COUNTA([2]enemies!$A:$A),MATCH(M$1,[2]enemies!$1:$1,0)-MATCH($L$1,[2]enemies!$1:$1,0)+1),MATCH(M$1,[2]enemies!$1:$1,0)-MATCH($L$1,[2]enemies!$1:$1,0)+1,FALSE)</f>
        <v>マグリット</v>
      </c>
      <c r="N320" s="21" t="str">
        <f ca="1">VLOOKUP($L320,OFFSET([2]enemies!$A$1,0,0,COUNTA([2]enemies!$A:$A),MATCH(N$1,[2]enemies!$1:$1,0)-MATCH($L$1,[2]enemies!$1:$1,0)+1),MATCH(N$1,[2]enemies!$1:$1,0)-MATCH($L$1,[2]enemies!$1:$1,0)+1,FALSE)</f>
        <v>green</v>
      </c>
      <c r="O320" s="21" t="str">
        <f ca="1">VLOOKUP($L320,OFFSET([3]characters!$A$1,0,0,COUNTA([3]characters!$A:$A),MATCH(O$1,[3]characters!$1:$1,0)-MATCH($L$1,[3]characters!$1:$1,0)+1),MATCH(O$1,[3]characters!$1:$1,0)-MATCH($L$1,[3]characters!$1:$1,0)+1,FALSE)</f>
        <v>Drop1W</v>
      </c>
      <c r="P320" s="21" t="str">
        <f ca="1">VLOOKUP($L320,OFFSET([2]enemies!$A$1,0,0,COUNTA([2]enemies!$A:$A),MATCH(P$1,[2]enemies!$1:$1,0)-MATCH($L$1,[2]enemies!$1:$1,0)+1),MATCH(P$1,[2]enemies!$1:$1,0)-MATCH($L$1,[2]enemies!$1:$1,0)+1,FALSE)</f>
        <v>animal</v>
      </c>
      <c r="Q320" s="21">
        <f ca="1">VLOOKUP($L320,OFFSET([2]enemies!$A$1,0,0,COUNTA([2]enemies!$A:$A),MATCH(Q$1,[2]enemies!$1:$1,0)-MATCH($L$1,[2]enemies!$1:$1,0)+1),MATCH(Q$1,[2]enemies!$1:$1,0)-MATCH($L$1,[2]enemies!$1:$1,0)+1,FALSE)</f>
        <v>15</v>
      </c>
      <c r="R320" s="53">
        <v>46</v>
      </c>
      <c r="S320" s="27">
        <v>1</v>
      </c>
      <c r="T320" s="27">
        <v>1</v>
      </c>
      <c r="U320" s="5">
        <v>0</v>
      </c>
      <c r="V320" s="4" t="str">
        <f ca="1">VLOOKUP($W320,OFFSET([4]enemy_skill_sets!$B$1,0,0,COUNTA([4]enemy_skill_sets!$B:$B),MATCH(M$1,[4]enemy_skill_sets!$1:$1,0)-MATCH($W$1,[4]enemy_skill_sets!$1:$1,0)+2),MATCH(M$1,[4]enemy_skill_sets!$1:$1,0)-MATCH($W$1,[4]enemy_skill_sets!$1:$1,0)+2,FALSE)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20" s="4">
        <f ca="1">VLOOKUP($L320,OFFSET([2]enemies!$A$1,0,0,COUNTA([2]enemies!$A:$A),MATCH(W$1,[2]enemies!$1:$1,0)-MATCH($L$1,[2]enemies!$1:$1,0)+1),MATCH(W$1,[2]enemies!$1:$1,0)-MATCH($L$1,[2]enemies!$1:$1,0)+1,FALSE)</f>
        <v>0</v>
      </c>
      <c r="X320" s="6">
        <v>0</v>
      </c>
      <c r="Y320" s="6">
        <v>100</v>
      </c>
      <c r="Z320" s="6">
        <v>0</v>
      </c>
      <c r="AA320" s="4">
        <f ca="1">VLOOKUP($L320,OFFSET([2]enemies!$A$1,0,0,COUNTA([2]enemies!$A:$A),MATCH(AA$1,[2]enemies!$1:$1,0)-MATCH($L$1,[2]enemies!$1:$1,0)+1),MATCH(AA$1,[2]enemies!$1:$1,0)-MATCH($L$1,[2]enemies!$1:$1,0)+1,FALSE)</f>
        <v>3</v>
      </c>
      <c r="AB320" s="52">
        <v>11</v>
      </c>
      <c r="AC320" s="4" t="str">
        <f ca="1">VLOOKUP($AB320,OFFSET([3]characters!$A$1,0,0,COUNTA([3]characters!$A:$A),MATCH(AC$1,[3]characters!$1:$1,0)-MATCH("character_id",[3]characters!$1:$1,0)+1),MATCH(AC$1,[3]characters!$1:$1,0)-MATCH("character_id",[3]characters!$1:$1,0)+1,FALSE)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320" s="4">
        <f ca="1">VLOOKUP($AB320,OFFSET([3]characters!$A$1,0,0,COUNTA([3]characters!$A:$A),MATCH(AD$1,[3]characters!$1:$1,0)-MATCH("character_id",[3]characters!$1:$1,0)+1),MATCH(AD$1,[3]characters!$1:$1,0)-MATCH("character_id",[3]characters!$1:$1,0)+1,FALSE)</f>
        <v>1</v>
      </c>
      <c r="AE320" s="4" t="str">
        <f ca="1">VLOOKUP($AB320,OFFSET([3]characters!$A$1,0,0,COUNTA([3]characters!$A:$A),MATCH(AE$1,[3]characters!$1:$1,0)-MATCH("character_id",[3]characters!$1:$1,0)+1),MATCH(AE$1,[3]characters!$1:$1,0)-MATCH("character_id",[3]characters!$1:$1,0)+1,FALSE)</f>
        <v>Drop1W</v>
      </c>
      <c r="AF320" s="7">
        <v>9</v>
      </c>
      <c r="AG320" s="26">
        <f t="shared" ca="1" si="305"/>
        <v>1</v>
      </c>
      <c r="AH320" s="8">
        <v>20</v>
      </c>
      <c r="AI320" s="7">
        <v>0</v>
      </c>
      <c r="AJ320" s="7">
        <v>0</v>
      </c>
      <c r="AK320" s="7">
        <v>0</v>
      </c>
      <c r="AL320" s="7">
        <v>0</v>
      </c>
      <c r="AM320" s="7">
        <v>1</v>
      </c>
    </row>
    <row r="321" spans="1:39" ht="14" x14ac:dyDescent="0.15">
      <c r="A321" s="18" t="str">
        <f t="shared" ca="1" si="375"/>
        <v>24_1-3/13&lt;lv44&gt;s2</v>
      </c>
      <c r="B321" s="50">
        <v>24</v>
      </c>
      <c r="C321" s="49">
        <v>1</v>
      </c>
      <c r="D321" s="2" t="str">
        <f t="shared" si="376"/>
        <v>24_1</v>
      </c>
      <c r="E321" s="2" t="str">
        <f t="shared" si="376"/>
        <v>1_24_1</v>
      </c>
      <c r="F321" s="4" t="str">
        <f ca="1">VLOOKUP($D321,OFFSET([1]stages!$A$1,0,0,COUNTA([1]stages!$A:$A),MATCH(F$1,[1]stages!$2:$2,0)-MATCH($D$1,[1]stages!$2:$2,0)+1),MATCH(F$1,[1]stages!$2:$2,0)-MATCH($D$1,[1]stages!$2:$2,0)+1,FALSE)</f>
        <v>24-1．開戦の電磁</v>
      </c>
      <c r="G321" s="57">
        <v>3</v>
      </c>
      <c r="H321" s="17" t="str">
        <f t="shared" si="377"/>
        <v>24_1-3</v>
      </c>
      <c r="I321" s="17"/>
      <c r="J321" s="17"/>
      <c r="K321" s="65" t="s">
        <v>56</v>
      </c>
      <c r="L321" s="52">
        <v>13</v>
      </c>
      <c r="M321" s="21" t="str">
        <f ca="1">VLOOKUP($L321,OFFSET([2]enemies!$A$1,0,0,COUNTA([2]enemies!$A:$A),MATCH(M$1,[2]enemies!$1:$1,0)-MATCH($L$1,[2]enemies!$1:$1,0)+1),MATCH(M$1,[2]enemies!$1:$1,0)-MATCH($L$1,[2]enemies!$1:$1,0)+1,FALSE)</f>
        <v>ミミ</v>
      </c>
      <c r="N321" s="21" t="str">
        <f ca="1">VLOOKUP($L321,OFFSET([2]enemies!$A$1,0,0,COUNTA([2]enemies!$A:$A),MATCH(N$1,[2]enemies!$1:$1,0)-MATCH($L$1,[2]enemies!$1:$1,0)+1),MATCH(N$1,[2]enemies!$1:$1,0)-MATCH($L$1,[2]enemies!$1:$1,0)+1,FALSE)</f>
        <v>yellow</v>
      </c>
      <c r="O321" s="21" t="str">
        <f ca="1">VLOOKUP($L321,OFFSET([3]characters!$A$1,0,0,COUNTA([3]characters!$A:$A),MATCH(O$1,[3]characters!$1:$1,0)-MATCH($L$1,[3]characters!$1:$1,0)+1),MATCH(O$1,[3]characters!$1:$1,0)-MATCH($L$1,[3]characters!$1:$1,0)+1,FALSE)</f>
        <v>Drop1W</v>
      </c>
      <c r="P321" s="21" t="str">
        <f ca="1">VLOOKUP($L321,OFFSET([2]enemies!$A$1,0,0,COUNTA([2]enemies!$A:$A),MATCH(P$1,[2]enemies!$1:$1,0)-MATCH($L$1,[2]enemies!$1:$1,0)+1),MATCH(P$1,[2]enemies!$1:$1,0)-MATCH($L$1,[2]enemies!$1:$1,0)+1,FALSE)</f>
        <v>animal</v>
      </c>
      <c r="Q321" s="21">
        <f ca="1">VLOOKUP($L321,OFFSET([2]enemies!$A$1,0,0,COUNTA([2]enemies!$A:$A),MATCH(Q$1,[2]enemies!$1:$1,0)-MATCH($L$1,[2]enemies!$1:$1,0)+1),MATCH(Q$1,[2]enemies!$1:$1,0)-MATCH($L$1,[2]enemies!$1:$1,0)+1,FALSE)</f>
        <v>15</v>
      </c>
      <c r="R321" s="53">
        <v>44</v>
      </c>
      <c r="S321" s="27">
        <v>1.1000000000000001</v>
      </c>
      <c r="T321" s="27">
        <v>1</v>
      </c>
      <c r="U321" s="5">
        <v>0</v>
      </c>
      <c r="V321" s="4" t="str">
        <f ca="1">VLOOKUP($W321,OFFSET([4]enemy_skill_sets!$B$1,0,0,COUNTA([4]enemy_skill_sets!$B:$B),MATCH(M$1,[4]enemy_skill_sets!$1:$1,0)-MATCH($W$1,[4]enemy_skill_sets!$1:$1,0)+2),MATCH(M$1,[4]enemy_skill_sets!$1:$1,0)-MATCH($W$1,[4]enemy_skill_sets!$1:$1,0)+2,FALSE)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21" s="4">
        <f ca="1">VLOOKUP($L321,OFFSET([2]enemies!$A$1,0,0,COUNTA([2]enemies!$A:$A),MATCH(W$1,[2]enemies!$1:$1,0)-MATCH($L$1,[2]enemies!$1:$1,0)+1),MATCH(W$1,[2]enemies!$1:$1,0)-MATCH($L$1,[2]enemies!$1:$1,0)+1,FALSE)</f>
        <v>0</v>
      </c>
      <c r="X321" s="6">
        <v>0</v>
      </c>
      <c r="Y321" s="6">
        <v>100</v>
      </c>
      <c r="Z321" s="6">
        <v>0</v>
      </c>
      <c r="AA321" s="4">
        <f ca="1">VLOOKUP($L321,OFFSET([2]enemies!$A$1,0,0,COUNTA([2]enemies!$A:$A),MATCH(AA$1,[2]enemies!$1:$1,0)-MATCH($L$1,[2]enemies!$1:$1,0)+1),MATCH(AA$1,[2]enemies!$1:$1,0)-MATCH($L$1,[2]enemies!$1:$1,0)+1,FALSE)</f>
        <v>2</v>
      </c>
      <c r="AB321" s="52">
        <v>13</v>
      </c>
      <c r="AC321" s="4" t="str">
        <f ca="1">VLOOKUP($AB321,OFFSET([3]characters!$A$1,0,0,COUNTA([3]characters!$A:$A),MATCH(AC$1,[3]characters!$1:$1,0)-MATCH("character_id",[3]characters!$1:$1,0)+1),MATCH(AC$1,[3]characters!$1:$1,0)-MATCH("character_id",[3]characters!$1:$1,0)+1,FALSE)</f>
        <v>ミミ</v>
      </c>
      <c r="AD321" s="4">
        <f ca="1">VLOOKUP($AB321,OFFSET([3]characters!$A$1,0,0,COUNTA([3]characters!$A:$A),MATCH(AD$1,[3]characters!$1:$1,0)-MATCH("character_id",[3]characters!$1:$1,0)+1),MATCH(AD$1,[3]characters!$1:$1,0)-MATCH("character_id",[3]characters!$1:$1,0)+1,FALSE)</f>
        <v>1</v>
      </c>
      <c r="AE321" s="4" t="str">
        <f ca="1">VLOOKUP($AB321,OFFSET([3]characters!$A$1,0,0,COUNTA([3]characters!$A:$A),MATCH(AE$1,[3]characters!$1:$1,0)-MATCH("character_id",[3]characters!$1:$1,0)+1),MATCH(AE$1,[3]characters!$1:$1,0)-MATCH("character_id",[3]characters!$1:$1,0)+1,FALSE)</f>
        <v>Drop1W</v>
      </c>
      <c r="AF321" s="7">
        <v>9</v>
      </c>
      <c r="AG321" s="26">
        <f t="shared" ca="1" si="305"/>
        <v>1</v>
      </c>
      <c r="AH321" s="8">
        <v>20</v>
      </c>
      <c r="AI321" s="7">
        <v>0</v>
      </c>
      <c r="AJ321" s="7">
        <v>0</v>
      </c>
      <c r="AK321" s="7">
        <v>0</v>
      </c>
      <c r="AL321" s="7">
        <v>0</v>
      </c>
      <c r="AM321" s="7">
        <v>1</v>
      </c>
    </row>
    <row r="322" spans="1:39" ht="14" x14ac:dyDescent="0.15">
      <c r="A322" s="18" t="str">
        <f t="shared" ca="1" si="375"/>
        <v>24_1-3/23&lt;lv46&gt;s4</v>
      </c>
      <c r="B322" s="50">
        <v>24</v>
      </c>
      <c r="C322" s="49">
        <v>1</v>
      </c>
      <c r="D322" s="2" t="str">
        <f t="shared" si="376"/>
        <v>24_1</v>
      </c>
      <c r="E322" s="2" t="str">
        <f t="shared" si="376"/>
        <v>1_24_1</v>
      </c>
      <c r="F322" s="4" t="str">
        <f ca="1">VLOOKUP($D322,OFFSET([1]stages!$A$1,0,0,COUNTA([1]stages!$A:$A),MATCH(F$1,[1]stages!$2:$2,0)-MATCH($D$1,[1]stages!$2:$2,0)+1),MATCH(F$1,[1]stages!$2:$2,0)-MATCH($D$1,[1]stages!$2:$2,0)+1,FALSE)</f>
        <v>24-1．開戦の電磁</v>
      </c>
      <c r="G322" s="57">
        <v>3</v>
      </c>
      <c r="H322" s="17" t="str">
        <f t="shared" si="377"/>
        <v>24_1-3</v>
      </c>
      <c r="I322" s="17"/>
      <c r="J322" s="17"/>
      <c r="K322" s="65" t="s">
        <v>56</v>
      </c>
      <c r="L322" s="52">
        <v>23</v>
      </c>
      <c r="M322" s="21" t="str">
        <f ca="1">VLOOKUP($L322,OFFSET([2]enemies!$A$1,0,0,COUNTA([2]enemies!$A:$A),MATCH(M$1,[2]enemies!$1:$1,0)-MATCH($L$1,[2]enemies!$1:$1,0)+1),MATCH(M$1,[2]enemies!$1:$1,0)-MATCH($L$1,[2]enemies!$1:$1,0)+1,FALSE)</f>
        <v>ミール</v>
      </c>
      <c r="N322" s="21" t="str">
        <f ca="1">VLOOKUP($L322,OFFSET([2]enemies!$A$1,0,0,COUNTA([2]enemies!$A:$A),MATCH(N$1,[2]enemies!$1:$1,0)-MATCH($L$1,[2]enemies!$1:$1,0)+1),MATCH(N$1,[2]enemies!$1:$1,0)-MATCH($L$1,[2]enemies!$1:$1,0)+1,FALSE)</f>
        <v>green</v>
      </c>
      <c r="O322" s="21" t="str">
        <f ca="1">VLOOKUP($L322,OFFSET([3]characters!$A$1,0,0,COUNTA([3]characters!$A:$A),MATCH(O$1,[3]characters!$1:$1,0)-MATCH($L$1,[3]characters!$1:$1,0)+1),MATCH(O$1,[3]characters!$1:$1,0)-MATCH($L$1,[3]characters!$1:$1,0)+1,FALSE)</f>
        <v>Drop1N</v>
      </c>
      <c r="P322" s="21" t="str">
        <f ca="1">VLOOKUP($L322,OFFSET([2]enemies!$A$1,0,0,COUNTA([2]enemies!$A:$A),MATCH(P$1,[2]enemies!$1:$1,0)-MATCH($L$1,[2]enemies!$1:$1,0)+1),MATCH(P$1,[2]enemies!$1:$1,0)-MATCH($L$1,[2]enemies!$1:$1,0)+1,FALSE)</f>
        <v>animal</v>
      </c>
      <c r="Q322" s="21">
        <f ca="1">VLOOKUP($L322,OFFSET([2]enemies!$A$1,0,0,COUNTA([2]enemies!$A:$A),MATCH(Q$1,[2]enemies!$1:$1,0)-MATCH($L$1,[2]enemies!$1:$1,0)+1),MATCH(Q$1,[2]enemies!$1:$1,0)-MATCH($L$1,[2]enemies!$1:$1,0)+1,FALSE)</f>
        <v>15</v>
      </c>
      <c r="R322" s="53">
        <v>46</v>
      </c>
      <c r="S322" s="27">
        <v>1</v>
      </c>
      <c r="T322" s="27">
        <v>1</v>
      </c>
      <c r="U322" s="5">
        <v>0</v>
      </c>
      <c r="V322" s="4" t="str">
        <f ca="1">VLOOKUP($W322,OFFSET([4]enemy_skill_sets!$B$1,0,0,COUNTA([4]enemy_skill_sets!$B:$B),MATCH(M$1,[4]enemy_skill_sets!$1:$1,0)-MATCH($W$1,[4]enemy_skill_sets!$1:$1,0)+2),MATCH(M$1,[4]enemy_skill_sets!$1:$1,0)-MATCH($W$1,[4]enemy_skill_sets!$1:$1,0)+2,FALSE)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22" s="4">
        <f ca="1">VLOOKUP($L322,OFFSET([2]enemies!$A$1,0,0,COUNTA([2]enemies!$A:$A),MATCH(W$1,[2]enemies!$1:$1,0)-MATCH($L$1,[2]enemies!$1:$1,0)+1),MATCH(W$1,[2]enemies!$1:$1,0)-MATCH($L$1,[2]enemies!$1:$1,0)+1,FALSE)</f>
        <v>0</v>
      </c>
      <c r="X322" s="6">
        <v>0</v>
      </c>
      <c r="Y322" s="6">
        <v>100</v>
      </c>
      <c r="Z322" s="6">
        <v>0</v>
      </c>
      <c r="AA322" s="4">
        <f ca="1">VLOOKUP($L322,OFFSET([2]enemies!$A$1,0,0,COUNTA([2]enemies!$A:$A),MATCH(AA$1,[2]enemies!$1:$1,0)-MATCH($L$1,[2]enemies!$1:$1,0)+1),MATCH(AA$1,[2]enemies!$1:$1,0)-MATCH($L$1,[2]enemies!$1:$1,0)+1,FALSE)</f>
        <v>4</v>
      </c>
      <c r="AB322" s="52">
        <v>23</v>
      </c>
      <c r="AC322" s="4" t="str">
        <f ca="1">VLOOKUP($AB322,OFFSET([3]characters!$A$1,0,0,COUNTA([3]characters!$A:$A),MATCH(AC$1,[3]characters!$1:$1,0)-MATCH("character_id",[3]characters!$1:$1,0)+1),MATCH(AC$1,[3]characters!$1:$1,0)-MATCH("character_id",[3]characters!$1:$1,0)+1,FALSE)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322" s="4">
        <f ca="1">VLOOKUP($AB322,OFFSET([3]characters!$A$1,0,0,COUNTA([3]characters!$A:$A),MATCH(AD$1,[3]characters!$1:$1,0)-MATCH("character_id",[3]characters!$1:$1,0)+1),MATCH(AD$1,[3]characters!$1:$1,0)-MATCH("character_id",[3]characters!$1:$1,0)+1,FALSE)</f>
        <v>1</v>
      </c>
      <c r="AE322" s="4" t="str">
        <f ca="1">VLOOKUP($AB322,OFFSET([3]characters!$A$1,0,0,COUNTA([3]characters!$A:$A),MATCH(AE$1,[3]characters!$1:$1,0)-MATCH("character_id",[3]characters!$1:$1,0)+1),MATCH(AE$1,[3]characters!$1:$1,0)-MATCH("character_id",[3]characters!$1:$1,0)+1,FALSE)</f>
        <v>Drop1N</v>
      </c>
      <c r="AF322" s="7">
        <v>7</v>
      </c>
      <c r="AG322" s="26">
        <f t="shared" ca="1" si="305"/>
        <v>1</v>
      </c>
      <c r="AH322" s="8">
        <v>20</v>
      </c>
      <c r="AI322" s="7">
        <v>0</v>
      </c>
      <c r="AJ322" s="7">
        <v>0</v>
      </c>
      <c r="AK322" s="7">
        <v>0</v>
      </c>
      <c r="AL322" s="7">
        <v>0</v>
      </c>
      <c r="AM322" s="7">
        <v>1</v>
      </c>
    </row>
    <row r="323" spans="1:39" ht="14" x14ac:dyDescent="0.15">
      <c r="A323" s="18" t="str">
        <f t="shared" ca="1" si="375"/>
        <v>24_1-3/47&lt;lv44&gt;s1</v>
      </c>
      <c r="B323" s="50">
        <v>24</v>
      </c>
      <c r="C323" s="49">
        <v>1</v>
      </c>
      <c r="D323" s="2" t="str">
        <f t="shared" si="376"/>
        <v>24_1</v>
      </c>
      <c r="E323" s="2" t="str">
        <f t="shared" si="376"/>
        <v>1_24_1</v>
      </c>
      <c r="F323" s="4" t="str">
        <f ca="1">VLOOKUP($D323,OFFSET([1]stages!$A$1,0,0,COUNTA([1]stages!$A:$A),MATCH(F$1,[1]stages!$2:$2,0)-MATCH($D$1,[1]stages!$2:$2,0)+1),MATCH(F$1,[1]stages!$2:$2,0)-MATCH($D$1,[1]stages!$2:$2,0)+1,FALSE)</f>
        <v>24-1．開戦の電磁</v>
      </c>
      <c r="G323" s="57">
        <v>3</v>
      </c>
      <c r="H323" s="17" t="str">
        <f t="shared" si="377"/>
        <v>24_1-3</v>
      </c>
      <c r="I323" s="17"/>
      <c r="J323" s="17"/>
      <c r="K323" s="65" t="s">
        <v>56</v>
      </c>
      <c r="L323" s="52">
        <v>47</v>
      </c>
      <c r="M323" s="21" t="str">
        <f ca="1">VLOOKUP($L323,OFFSET([2]enemies!$A$1,0,0,COUNTA([2]enemies!$A:$A),MATCH(M$1,[2]enemies!$1:$1,0)-MATCH($L$1,[2]enemies!$1:$1,0)+1),MATCH(M$1,[2]enemies!$1:$1,0)-MATCH($L$1,[2]enemies!$1:$1,0)+1,FALSE)</f>
        <v>ヒロ</v>
      </c>
      <c r="N323" s="21" t="str">
        <f ca="1">VLOOKUP($L323,OFFSET([2]enemies!$A$1,0,0,COUNTA([2]enemies!$A:$A),MATCH(N$1,[2]enemies!$1:$1,0)-MATCH($L$1,[2]enemies!$1:$1,0)+1),MATCH(N$1,[2]enemies!$1:$1,0)-MATCH($L$1,[2]enemies!$1:$1,0)+1,FALSE)</f>
        <v>yellow</v>
      </c>
      <c r="O323" s="21" t="str">
        <f ca="1">VLOOKUP($L323,OFFSET([3]characters!$A$1,0,0,COUNTA([3]characters!$A:$A),MATCH(O$1,[3]characters!$1:$1,0)-MATCH($L$1,[3]characters!$1:$1,0)+1),MATCH(O$1,[3]characters!$1:$1,0)-MATCH($L$1,[3]characters!$1:$1,0)+1,FALSE)</f>
        <v>Drop1N</v>
      </c>
      <c r="P323" s="21" t="str">
        <f ca="1">VLOOKUP($L323,OFFSET([2]enemies!$A$1,0,0,COUNTA([2]enemies!$A:$A),MATCH(P$1,[2]enemies!$1:$1,0)-MATCH($L$1,[2]enemies!$1:$1,0)+1),MATCH(P$1,[2]enemies!$1:$1,0)-MATCH($L$1,[2]enemies!$1:$1,0)+1,FALSE)</f>
        <v>animal</v>
      </c>
      <c r="Q323" s="21">
        <f ca="1">VLOOKUP($L323,OFFSET([2]enemies!$A$1,0,0,COUNTA([2]enemies!$A:$A),MATCH(Q$1,[2]enemies!$1:$1,0)-MATCH($L$1,[2]enemies!$1:$1,0)+1),MATCH(Q$1,[2]enemies!$1:$1,0)-MATCH($L$1,[2]enemies!$1:$1,0)+1,FALSE)</f>
        <v>15</v>
      </c>
      <c r="R323" s="53">
        <v>44</v>
      </c>
      <c r="S323" s="27">
        <v>1.1000000000000001</v>
      </c>
      <c r="T323" s="27">
        <v>1</v>
      </c>
      <c r="U323" s="5">
        <v>0</v>
      </c>
      <c r="V323" s="4" t="str">
        <f ca="1">VLOOKUP($W323,OFFSET([4]enemy_skill_sets!$B$1,0,0,COUNTA([4]enemy_skill_sets!$B:$B),MATCH(M$1,[4]enemy_skill_sets!$1:$1,0)-MATCH($W$1,[4]enemy_skill_sets!$1:$1,0)+2),MATCH(M$1,[4]enemy_skill_sets!$1:$1,0)-MATCH($W$1,[4]enemy_skill_sets!$1:$1,0)+2,FALSE)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23" s="4">
        <f ca="1">VLOOKUP($L323,OFFSET([2]enemies!$A$1,0,0,COUNTA([2]enemies!$A:$A),MATCH(W$1,[2]enemies!$1:$1,0)-MATCH($L$1,[2]enemies!$1:$1,0)+1),MATCH(W$1,[2]enemies!$1:$1,0)-MATCH($L$1,[2]enemies!$1:$1,0)+1,FALSE)</f>
        <v>0</v>
      </c>
      <c r="X323" s="6">
        <v>0</v>
      </c>
      <c r="Y323" s="6">
        <v>100</v>
      </c>
      <c r="Z323" s="6">
        <v>0</v>
      </c>
      <c r="AA323" s="4">
        <f ca="1">VLOOKUP($L323,OFFSET([2]enemies!$A$1,0,0,COUNTA([2]enemies!$A:$A),MATCH(AA$1,[2]enemies!$1:$1,0)-MATCH($L$1,[2]enemies!$1:$1,0)+1),MATCH(AA$1,[2]enemies!$1:$1,0)-MATCH($L$1,[2]enemies!$1:$1,0)+1,FALSE)</f>
        <v>1</v>
      </c>
      <c r="AB323" s="52">
        <v>47</v>
      </c>
      <c r="AC323" s="4" t="str">
        <f ca="1">VLOOKUP($AB323,OFFSET([3]characters!$A$1,0,0,COUNTA([3]characters!$A:$A),MATCH(AC$1,[3]characters!$1:$1,0)-MATCH("character_id",[3]characters!$1:$1,0)+1),MATCH(AC$1,[3]characters!$1:$1,0)-MATCH("character_id",[3]characters!$1:$1,0)+1,FALSE)</f>
        <v>ヒロ</v>
      </c>
      <c r="AD323" s="4">
        <f ca="1">VLOOKUP($AB323,OFFSET([3]characters!$A$1,0,0,COUNTA([3]characters!$A:$A),MATCH(AD$1,[3]characters!$1:$1,0)-MATCH("character_id",[3]characters!$1:$1,0)+1),MATCH(AD$1,[3]characters!$1:$1,0)-MATCH("character_id",[3]characters!$1:$1,0)+1,FALSE)</f>
        <v>2</v>
      </c>
      <c r="AE323" s="4" t="str">
        <f ca="1">VLOOKUP($AB323,OFFSET([3]characters!$A$1,0,0,COUNTA([3]characters!$A:$A),MATCH(AE$1,[3]characters!$1:$1,0)-MATCH("character_id",[3]characters!$1:$1,0)+1),MATCH(AE$1,[3]characters!$1:$1,0)-MATCH("character_id",[3]characters!$1:$1,0)+1,FALSE)</f>
        <v>Drop1N</v>
      </c>
      <c r="AF323" s="7">
        <v>7</v>
      </c>
      <c r="AG323" s="26">
        <f t="shared" ref="AG323:AG386" ca="1" si="386">AD323</f>
        <v>2</v>
      </c>
      <c r="AH323" s="8">
        <v>20</v>
      </c>
      <c r="AI323" s="7">
        <v>0</v>
      </c>
      <c r="AJ323" s="7">
        <v>0</v>
      </c>
      <c r="AK323" s="7">
        <v>0</v>
      </c>
      <c r="AL323" s="7">
        <v>0</v>
      </c>
      <c r="AM323" s="7">
        <v>1</v>
      </c>
    </row>
    <row r="324" spans="1:39" ht="14" x14ac:dyDescent="0.15">
      <c r="A324" s="18" t="str">
        <f t="shared" ca="1" si="375"/>
        <v>24_1-3/59&lt;lv46&gt;s2</v>
      </c>
      <c r="B324" s="50">
        <v>24</v>
      </c>
      <c r="C324" s="49">
        <v>1</v>
      </c>
      <c r="D324" s="2" t="str">
        <f t="shared" si="376"/>
        <v>24_1</v>
      </c>
      <c r="E324" s="2" t="str">
        <f t="shared" si="376"/>
        <v>1_24_1</v>
      </c>
      <c r="F324" s="4" t="str">
        <f ca="1">VLOOKUP($D324,OFFSET([1]stages!$A$1,0,0,COUNTA([1]stages!$A:$A),MATCH(F$1,[1]stages!$2:$2,0)-MATCH($D$1,[1]stages!$2:$2,0)+1),MATCH(F$1,[1]stages!$2:$2,0)-MATCH($D$1,[1]stages!$2:$2,0)+1,FALSE)</f>
        <v>24-1．開戦の電磁</v>
      </c>
      <c r="G324" s="57">
        <v>3</v>
      </c>
      <c r="H324" s="17" t="str">
        <f t="shared" si="377"/>
        <v>24_1-3</v>
      </c>
      <c r="I324" s="17"/>
      <c r="J324" s="17"/>
      <c r="K324" s="65" t="s">
        <v>56</v>
      </c>
      <c r="L324" s="52">
        <v>59</v>
      </c>
      <c r="M324" s="21" t="str">
        <f ca="1">VLOOKUP($L324,OFFSET([2]enemies!$A$1,0,0,COUNTA([2]enemies!$A:$A),MATCH(M$1,[2]enemies!$1:$1,0)-MATCH($L$1,[2]enemies!$1:$1,0)+1),MATCH(M$1,[2]enemies!$1:$1,0)-MATCH($L$1,[2]enemies!$1:$1,0)+1,FALSE)</f>
        <v>マーチ</v>
      </c>
      <c r="N324" s="21" t="str">
        <f ca="1">VLOOKUP($L324,OFFSET([2]enemies!$A$1,0,0,COUNTA([2]enemies!$A:$A),MATCH(N$1,[2]enemies!$1:$1,0)-MATCH($L$1,[2]enemies!$1:$1,0)+1),MATCH(N$1,[2]enemies!$1:$1,0)-MATCH($L$1,[2]enemies!$1:$1,0)+1,FALSE)</f>
        <v>green</v>
      </c>
      <c r="O324" s="21" t="str">
        <f ca="1">VLOOKUP($L324,OFFSET([3]characters!$A$1,0,0,COUNTA([3]characters!$A:$A),MATCH(O$1,[3]characters!$1:$1,0)-MATCH($L$1,[3]characters!$1:$1,0)+1),MATCH(O$1,[3]characters!$1:$1,0)-MATCH($L$1,[3]characters!$1:$1,0)+1,FALSE)</f>
        <v>Drop1N</v>
      </c>
      <c r="P324" s="21" t="str">
        <f ca="1">VLOOKUP($L324,OFFSET([2]enemies!$A$1,0,0,COUNTA([2]enemies!$A:$A),MATCH(P$1,[2]enemies!$1:$1,0)-MATCH($L$1,[2]enemies!$1:$1,0)+1),MATCH(P$1,[2]enemies!$1:$1,0)-MATCH($L$1,[2]enemies!$1:$1,0)+1,FALSE)</f>
        <v>animal</v>
      </c>
      <c r="Q324" s="21">
        <f ca="1">VLOOKUP($L324,OFFSET([2]enemies!$A$1,0,0,COUNTA([2]enemies!$A:$A),MATCH(Q$1,[2]enemies!$1:$1,0)-MATCH($L$1,[2]enemies!$1:$1,0)+1),MATCH(Q$1,[2]enemies!$1:$1,0)-MATCH($L$1,[2]enemies!$1:$1,0)+1,FALSE)</f>
        <v>15</v>
      </c>
      <c r="R324" s="53">
        <v>46</v>
      </c>
      <c r="S324" s="27">
        <v>1</v>
      </c>
      <c r="T324" s="27">
        <v>1</v>
      </c>
      <c r="U324" s="5">
        <v>0</v>
      </c>
      <c r="V324" s="4" t="str">
        <f ca="1">VLOOKUP($W324,OFFSET([4]enemy_skill_sets!$B$1,0,0,COUNTA([4]enemy_skill_sets!$B:$B),MATCH(M$1,[4]enemy_skill_sets!$1:$1,0)-MATCH($W$1,[4]enemy_skill_sets!$1:$1,0)+2),MATCH(M$1,[4]enemy_skill_sets!$1:$1,0)-MATCH($W$1,[4]enemy_skill_sets!$1:$1,0)+2,FALSE)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324" s="4">
        <f ca="1">VLOOKUP($L324,OFFSET([2]enemies!$A$1,0,0,COUNTA([2]enemies!$A:$A),MATCH(W$1,[2]enemies!$1:$1,0)-MATCH($L$1,[2]enemies!$1:$1,0)+1),MATCH(W$1,[2]enemies!$1:$1,0)-MATCH($L$1,[2]enemies!$1:$1,0)+1,FALSE)</f>
        <v>59</v>
      </c>
      <c r="X324" s="6">
        <v>0</v>
      </c>
      <c r="Y324" s="6">
        <v>100</v>
      </c>
      <c r="Z324" s="6">
        <v>0</v>
      </c>
      <c r="AA324" s="4">
        <f ca="1">VLOOKUP($L324,OFFSET([2]enemies!$A$1,0,0,COUNTA([2]enemies!$A:$A),MATCH(AA$1,[2]enemies!$1:$1,0)-MATCH($L$1,[2]enemies!$1:$1,0)+1),MATCH(AA$1,[2]enemies!$1:$1,0)-MATCH($L$1,[2]enemies!$1:$1,0)+1,FALSE)</f>
        <v>2</v>
      </c>
      <c r="AB324" s="52">
        <v>59</v>
      </c>
      <c r="AC324" s="4" t="str">
        <f ca="1">VLOOKUP($AB324,OFFSET([3]characters!$A$1,0,0,COUNTA([3]characters!$A:$A),MATCH(AC$1,[3]characters!$1:$1,0)-MATCH("character_id",[3]characters!$1:$1,0)+1),MATCH(AC$1,[3]characters!$1:$1,0)-MATCH("character_id",[3]characters!$1:$1,0)+1,FALSE)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324" s="4">
        <f ca="1">VLOOKUP($AB324,OFFSET([3]characters!$A$1,0,0,COUNTA([3]characters!$A:$A),MATCH(AD$1,[3]characters!$1:$1,0)-MATCH("character_id",[3]characters!$1:$1,0)+1),MATCH(AD$1,[3]characters!$1:$1,0)-MATCH("character_id",[3]characters!$1:$1,0)+1,FALSE)</f>
        <v>2</v>
      </c>
      <c r="AE324" s="4" t="str">
        <f ca="1">VLOOKUP($AB324,OFFSET([3]characters!$A$1,0,0,COUNTA([3]characters!$A:$A),MATCH(AE$1,[3]characters!$1:$1,0)-MATCH("character_id",[3]characters!$1:$1,0)+1),MATCH(AE$1,[3]characters!$1:$1,0)-MATCH("character_id",[3]characters!$1:$1,0)+1,FALSE)</f>
        <v>Drop1N</v>
      </c>
      <c r="AF324" s="7">
        <v>7</v>
      </c>
      <c r="AG324" s="26">
        <f t="shared" ca="1" si="386"/>
        <v>2</v>
      </c>
      <c r="AH324" s="8">
        <v>20</v>
      </c>
      <c r="AI324" s="7">
        <v>0</v>
      </c>
      <c r="AJ324" s="7">
        <v>0</v>
      </c>
      <c r="AK324" s="7">
        <v>0</v>
      </c>
      <c r="AL324" s="7">
        <v>0</v>
      </c>
      <c r="AM324" s="7">
        <v>1</v>
      </c>
    </row>
    <row r="325" spans="1:39" ht="14" x14ac:dyDescent="0.15">
      <c r="A325" s="18" t="str">
        <f t="shared" ca="1" si="375"/>
        <v>24_1-3/63&lt;lv44&gt;s2</v>
      </c>
      <c r="B325" s="50">
        <v>24</v>
      </c>
      <c r="C325" s="49">
        <v>1</v>
      </c>
      <c r="D325" s="2" t="str">
        <f t="shared" si="376"/>
        <v>24_1</v>
      </c>
      <c r="E325" s="2" t="str">
        <f t="shared" si="376"/>
        <v>1_24_1</v>
      </c>
      <c r="F325" s="4" t="str">
        <f ca="1">VLOOKUP($D325,OFFSET([1]stages!$A$1,0,0,COUNTA([1]stages!$A:$A),MATCH(F$1,[1]stages!$2:$2,0)-MATCH($D$1,[1]stages!$2:$2,0)+1),MATCH(F$1,[1]stages!$2:$2,0)-MATCH($D$1,[1]stages!$2:$2,0)+1,FALSE)</f>
        <v>24-1．開戦の電磁</v>
      </c>
      <c r="G325" s="57">
        <v>3</v>
      </c>
      <c r="H325" s="17" t="str">
        <f t="shared" si="377"/>
        <v>24_1-3</v>
      </c>
      <c r="I325" s="17"/>
      <c r="J325" s="17"/>
      <c r="K325" s="65" t="s">
        <v>56</v>
      </c>
      <c r="L325" s="52">
        <v>63</v>
      </c>
      <c r="M325" s="21" t="str">
        <f ca="1">VLOOKUP($L325,OFFSET([2]enemies!$A$1,0,0,COUNTA([2]enemies!$A:$A),MATCH(M$1,[2]enemies!$1:$1,0)-MATCH($L$1,[2]enemies!$1:$1,0)+1),MATCH(M$1,[2]enemies!$1:$1,0)-MATCH($L$1,[2]enemies!$1:$1,0)+1,FALSE)</f>
        <v>トニー</v>
      </c>
      <c r="N325" s="21" t="str">
        <f ca="1">VLOOKUP($L325,OFFSET([2]enemies!$A$1,0,0,COUNTA([2]enemies!$A:$A),MATCH(N$1,[2]enemies!$1:$1,0)-MATCH($L$1,[2]enemies!$1:$1,0)+1),MATCH(N$1,[2]enemies!$1:$1,0)-MATCH($L$1,[2]enemies!$1:$1,0)+1,FALSE)</f>
        <v>yellow</v>
      </c>
      <c r="O325" s="21" t="str">
        <f ca="1">VLOOKUP($L325,OFFSET([3]characters!$A$1,0,0,COUNTA([3]characters!$A:$A),MATCH(O$1,[3]characters!$1:$1,0)-MATCH($L$1,[3]characters!$1:$1,0)+1),MATCH(O$1,[3]characters!$1:$1,0)-MATCH($L$1,[3]characters!$1:$1,0)+1,FALSE)</f>
        <v>Drop1N</v>
      </c>
      <c r="P325" s="21" t="str">
        <f ca="1">VLOOKUP($L325,OFFSET([2]enemies!$A$1,0,0,COUNTA([2]enemies!$A:$A),MATCH(P$1,[2]enemies!$1:$1,0)-MATCH($L$1,[2]enemies!$1:$1,0)+1),MATCH(P$1,[2]enemies!$1:$1,0)-MATCH($L$1,[2]enemies!$1:$1,0)+1,FALSE)</f>
        <v>animal</v>
      </c>
      <c r="Q325" s="21">
        <f ca="1">VLOOKUP($L325,OFFSET([2]enemies!$A$1,0,0,COUNTA([2]enemies!$A:$A),MATCH(Q$1,[2]enemies!$1:$1,0)-MATCH($L$1,[2]enemies!$1:$1,0)+1),MATCH(Q$1,[2]enemies!$1:$1,0)-MATCH($L$1,[2]enemies!$1:$1,0)+1,FALSE)</f>
        <v>15</v>
      </c>
      <c r="R325" s="53">
        <v>44</v>
      </c>
      <c r="S325" s="27">
        <v>1.1000000000000001</v>
      </c>
      <c r="T325" s="27">
        <v>1</v>
      </c>
      <c r="U325" s="5">
        <v>0</v>
      </c>
      <c r="V325" s="4" t="str">
        <f ca="1">VLOOKUP($W325,OFFSET([4]enemy_skill_sets!$B$1,0,0,COUNTA([4]enemy_skill_sets!$B:$B),MATCH(M$1,[4]enemy_skill_sets!$1:$1,0)-MATCH($W$1,[4]enemy_skill_sets!$1:$1,0)+2),MATCH(M$1,[4]enemy_skill_sets!$1:$1,0)-MATCH($W$1,[4]enemy_skill_sets!$1:$1,0)+2,FALSE)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325" s="4">
        <f ca="1">VLOOKUP($L325,OFFSET([2]enemies!$A$1,0,0,COUNTA([2]enemies!$A:$A),MATCH(W$1,[2]enemies!$1:$1,0)-MATCH($L$1,[2]enemies!$1:$1,0)+1),MATCH(W$1,[2]enemies!$1:$1,0)-MATCH($L$1,[2]enemies!$1:$1,0)+1,FALSE)</f>
        <v>63</v>
      </c>
      <c r="X325" s="6">
        <v>0</v>
      </c>
      <c r="Y325" s="6">
        <v>100</v>
      </c>
      <c r="Z325" s="6">
        <v>0</v>
      </c>
      <c r="AA325" s="4">
        <f ca="1">VLOOKUP($L325,OFFSET([2]enemies!$A$1,0,0,COUNTA([2]enemies!$A:$A),MATCH(AA$1,[2]enemies!$1:$1,0)-MATCH($L$1,[2]enemies!$1:$1,0)+1),MATCH(AA$1,[2]enemies!$1:$1,0)-MATCH($L$1,[2]enemies!$1:$1,0)+1,FALSE)</f>
        <v>2</v>
      </c>
      <c r="AB325" s="52">
        <v>63</v>
      </c>
      <c r="AC325" s="4" t="str">
        <f ca="1">VLOOKUP($AB325,OFFSET([3]characters!$A$1,0,0,COUNTA([3]characters!$A:$A),MATCH(AC$1,[3]characters!$1:$1,0)-MATCH("character_id",[3]characters!$1:$1,0)+1),MATCH(AC$1,[3]characters!$1:$1,0)-MATCH("character_id",[3]characters!$1:$1,0)+1,FALSE)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325" s="4">
        <f ca="1">VLOOKUP($AB325,OFFSET([3]characters!$A$1,0,0,COUNTA([3]characters!$A:$A),MATCH(AD$1,[3]characters!$1:$1,0)-MATCH("character_id",[3]characters!$1:$1,0)+1),MATCH(AD$1,[3]characters!$1:$1,0)-MATCH("character_id",[3]characters!$1:$1,0)+1,FALSE)</f>
        <v>2</v>
      </c>
      <c r="AE325" s="4" t="str">
        <f ca="1">VLOOKUP($AB325,OFFSET([3]characters!$A$1,0,0,COUNTA([3]characters!$A:$A),MATCH(AE$1,[3]characters!$1:$1,0)-MATCH("character_id",[3]characters!$1:$1,0)+1),MATCH(AE$1,[3]characters!$1:$1,0)-MATCH("character_id",[3]characters!$1:$1,0)+1,FALSE)</f>
        <v>Drop1N</v>
      </c>
      <c r="AF325" s="7">
        <v>7</v>
      </c>
      <c r="AG325" s="26">
        <f t="shared" ca="1" si="386"/>
        <v>2</v>
      </c>
      <c r="AH325" s="8">
        <v>20</v>
      </c>
      <c r="AI325" s="7">
        <v>0</v>
      </c>
      <c r="AJ325" s="7">
        <v>0</v>
      </c>
      <c r="AK325" s="7">
        <v>0</v>
      </c>
      <c r="AL325" s="7">
        <v>0</v>
      </c>
      <c r="AM325" s="7">
        <v>1</v>
      </c>
    </row>
    <row r="326" spans="1:39" ht="14" x14ac:dyDescent="0.15">
      <c r="A326" s="18" t="str">
        <f t="shared" ca="1" si="375"/>
        <v>24_1-3/27&lt;lv46&gt;s1</v>
      </c>
      <c r="B326" s="50">
        <v>24</v>
      </c>
      <c r="C326" s="49">
        <v>1</v>
      </c>
      <c r="D326" s="2" t="str">
        <f t="shared" si="376"/>
        <v>24_1</v>
      </c>
      <c r="E326" s="2" t="str">
        <f t="shared" si="376"/>
        <v>1_24_1</v>
      </c>
      <c r="F326" s="4" t="str">
        <f ca="1">VLOOKUP($D326,OFFSET([1]stages!$A$1,0,0,COUNTA([1]stages!$A:$A),MATCH(F$1,[1]stages!$2:$2,0)-MATCH($D$1,[1]stages!$2:$2,0)+1),MATCH(F$1,[1]stages!$2:$2,0)-MATCH($D$1,[1]stages!$2:$2,0)+1,FALSE)</f>
        <v>24-1．開戦の電磁</v>
      </c>
      <c r="G326" s="57">
        <v>3</v>
      </c>
      <c r="H326" s="17" t="str">
        <f t="shared" si="377"/>
        <v>24_1-3</v>
      </c>
      <c r="I326" s="17"/>
      <c r="J326" s="17"/>
      <c r="K326" s="65" t="s">
        <v>56</v>
      </c>
      <c r="L326" s="52">
        <v>27</v>
      </c>
      <c r="M326" s="21" t="str">
        <f ca="1">VLOOKUP($L326,OFFSET([2]enemies!$A$1,0,0,COUNTA([2]enemies!$A:$A),MATCH(M$1,[2]enemies!$1:$1,0)-MATCH($L$1,[2]enemies!$1:$1,0)+1),MATCH(M$1,[2]enemies!$1:$1,0)-MATCH($L$1,[2]enemies!$1:$1,0)+1,FALSE)</f>
        <v>パトライン</v>
      </c>
      <c r="N326" s="21" t="str">
        <f ca="1">VLOOKUP($L326,OFFSET([2]enemies!$A$1,0,0,COUNTA([2]enemies!$A:$A),MATCH(N$1,[2]enemies!$1:$1,0)-MATCH($L$1,[2]enemies!$1:$1,0)+1),MATCH(N$1,[2]enemies!$1:$1,0)-MATCH($L$1,[2]enemies!$1:$1,0)+1,FALSE)</f>
        <v>green</v>
      </c>
      <c r="O326" s="21" t="str">
        <f ca="1">VLOOKUP($L326,OFFSET([3]characters!$A$1,0,0,COUNTA([3]characters!$A:$A),MATCH(O$1,[3]characters!$1:$1,0)-MATCH($L$1,[3]characters!$1:$1,0)+1),MATCH(O$1,[3]characters!$1:$1,0)-MATCH($L$1,[3]characters!$1:$1,0)+1,FALSE)</f>
        <v>Drop1N</v>
      </c>
      <c r="P326" s="21" t="str">
        <f ca="1">VLOOKUP($L326,OFFSET([2]enemies!$A$1,0,0,COUNTA([2]enemies!$A:$A),MATCH(P$1,[2]enemies!$1:$1,0)-MATCH($L$1,[2]enemies!$1:$1,0)+1),MATCH(P$1,[2]enemies!$1:$1,0)-MATCH($L$1,[2]enemies!$1:$1,0)+1,FALSE)</f>
        <v>machine</v>
      </c>
      <c r="Q326" s="21">
        <f ca="1">VLOOKUP($L326,OFFSET([2]enemies!$A$1,0,0,COUNTA([2]enemies!$A:$A),MATCH(Q$1,[2]enemies!$1:$1,0)-MATCH($L$1,[2]enemies!$1:$1,0)+1),MATCH(Q$1,[2]enemies!$1:$1,0)-MATCH($L$1,[2]enemies!$1:$1,0)+1,FALSE)</f>
        <v>15</v>
      </c>
      <c r="R326" s="53">
        <v>46</v>
      </c>
      <c r="S326" s="27">
        <v>1</v>
      </c>
      <c r="T326" s="27">
        <v>1</v>
      </c>
      <c r="U326" s="5">
        <v>0</v>
      </c>
      <c r="V326" s="4" t="str">
        <f ca="1">VLOOKUP($W326,OFFSET([4]enemy_skill_sets!$B$1,0,0,COUNTA([4]enemy_skill_sets!$B:$B),MATCH(M$1,[4]enemy_skill_sets!$1:$1,0)-MATCH($W$1,[4]enemy_skill_sets!$1:$1,0)+2),MATCH(M$1,[4]enemy_skill_sets!$1:$1,0)-MATCH($W$1,[4]enemy_skill_sets!$1:$1,0)+2,FALSE)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26" s="4">
        <f ca="1">VLOOKUP($L326,OFFSET([2]enemies!$A$1,0,0,COUNTA([2]enemies!$A:$A),MATCH(W$1,[2]enemies!$1:$1,0)-MATCH($L$1,[2]enemies!$1:$1,0)+1),MATCH(W$1,[2]enemies!$1:$1,0)-MATCH($L$1,[2]enemies!$1:$1,0)+1,FALSE)</f>
        <v>0</v>
      </c>
      <c r="X326" s="6">
        <v>0</v>
      </c>
      <c r="Y326" s="6">
        <v>100</v>
      </c>
      <c r="Z326" s="6">
        <v>0</v>
      </c>
      <c r="AA326" s="4">
        <f ca="1">VLOOKUP($L326,OFFSET([2]enemies!$A$1,0,0,COUNTA([2]enemies!$A:$A),MATCH(AA$1,[2]enemies!$1:$1,0)-MATCH($L$1,[2]enemies!$1:$1,0)+1),MATCH(AA$1,[2]enemies!$1:$1,0)-MATCH($L$1,[2]enemies!$1:$1,0)+1,FALSE)</f>
        <v>1</v>
      </c>
      <c r="AB326" s="52">
        <v>27</v>
      </c>
      <c r="AC326" s="4" t="str">
        <f ca="1">VLOOKUP($AB326,OFFSET([3]characters!$A$1,0,0,COUNTA([3]characters!$A:$A),MATCH(AC$1,[3]characters!$1:$1,0)-MATCH("character_id",[3]characters!$1:$1,0)+1),MATCH(AC$1,[3]characters!$1:$1,0)-MATCH("character_id",[3]characters!$1:$1,0)+1,FALSE)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326" s="4">
        <f ca="1">VLOOKUP($AB326,OFFSET([3]characters!$A$1,0,0,COUNTA([3]characters!$A:$A),MATCH(AD$1,[3]characters!$1:$1,0)-MATCH("character_id",[3]characters!$1:$1,0)+1),MATCH(AD$1,[3]characters!$1:$1,0)-MATCH("character_id",[3]characters!$1:$1,0)+1,FALSE)</f>
        <v>1</v>
      </c>
      <c r="AE326" s="4" t="str">
        <f ca="1">VLOOKUP($AB326,OFFSET([3]characters!$A$1,0,0,COUNTA([3]characters!$A:$A),MATCH(AE$1,[3]characters!$1:$1,0)-MATCH("character_id",[3]characters!$1:$1,0)+1),MATCH(AE$1,[3]characters!$1:$1,0)-MATCH("character_id",[3]characters!$1:$1,0)+1,FALSE)</f>
        <v>Drop1N</v>
      </c>
      <c r="AF326" s="7">
        <v>7</v>
      </c>
      <c r="AG326" s="26">
        <f t="shared" ca="1" si="386"/>
        <v>1</v>
      </c>
      <c r="AH326" s="8">
        <v>20</v>
      </c>
      <c r="AI326" s="7">
        <v>0</v>
      </c>
      <c r="AJ326" s="7">
        <v>0</v>
      </c>
      <c r="AK326" s="7">
        <v>0</v>
      </c>
      <c r="AL326" s="7">
        <v>0</v>
      </c>
      <c r="AM326" s="7">
        <v>1</v>
      </c>
    </row>
    <row r="327" spans="1:39" ht="14" x14ac:dyDescent="0.15">
      <c r="A327" s="18" t="str">
        <f t="shared" ca="1" si="375"/>
        <v>24_1-3/31&lt;lv44&gt;s2</v>
      </c>
      <c r="B327" s="50">
        <v>24</v>
      </c>
      <c r="C327" s="49">
        <v>1</v>
      </c>
      <c r="D327" s="2" t="str">
        <f t="shared" si="376"/>
        <v>24_1</v>
      </c>
      <c r="E327" s="2" t="str">
        <f t="shared" si="376"/>
        <v>1_24_1</v>
      </c>
      <c r="F327" s="4" t="str">
        <f ca="1">VLOOKUP($D327,OFFSET([1]stages!$A$1,0,0,COUNTA([1]stages!$A:$A),MATCH(F$1,[1]stages!$2:$2,0)-MATCH($D$1,[1]stages!$2:$2,0)+1),MATCH(F$1,[1]stages!$2:$2,0)-MATCH($D$1,[1]stages!$2:$2,0)+1,FALSE)</f>
        <v>24-1．開戦の電磁</v>
      </c>
      <c r="G327" s="57">
        <v>3</v>
      </c>
      <c r="H327" s="17" t="str">
        <f t="shared" si="377"/>
        <v>24_1-3</v>
      </c>
      <c r="I327" s="17"/>
      <c r="J327" s="17"/>
      <c r="K327" s="65" t="s">
        <v>56</v>
      </c>
      <c r="L327" s="52">
        <v>31</v>
      </c>
      <c r="M327" s="21" t="str">
        <f ca="1">VLOOKUP($L327,OFFSET([2]enemies!$A$1,0,0,COUNTA([2]enemies!$A:$A),MATCH(M$1,[2]enemies!$1:$1,0)-MATCH($L$1,[2]enemies!$1:$1,0)+1),MATCH(M$1,[2]enemies!$1:$1,0)-MATCH($L$1,[2]enemies!$1:$1,0)+1,FALSE)</f>
        <v>マービー</v>
      </c>
      <c r="N327" s="21" t="str">
        <f ca="1">VLOOKUP($L327,OFFSET([2]enemies!$A$1,0,0,COUNTA([2]enemies!$A:$A),MATCH(N$1,[2]enemies!$1:$1,0)-MATCH($L$1,[2]enemies!$1:$1,0)+1),MATCH(N$1,[2]enemies!$1:$1,0)-MATCH($L$1,[2]enemies!$1:$1,0)+1,FALSE)</f>
        <v>yellow</v>
      </c>
      <c r="O327" s="21" t="str">
        <f ca="1">VLOOKUP($L327,OFFSET([3]characters!$A$1,0,0,COUNTA([3]characters!$A:$A),MATCH(O$1,[3]characters!$1:$1,0)-MATCH($L$1,[3]characters!$1:$1,0)+1),MATCH(O$1,[3]characters!$1:$1,0)-MATCH($L$1,[3]characters!$1:$1,0)+1,FALSE)</f>
        <v>Drop1N</v>
      </c>
      <c r="P327" s="21" t="str">
        <f ca="1">VLOOKUP($L327,OFFSET([2]enemies!$A$1,0,0,COUNTA([2]enemies!$A:$A),MATCH(P$1,[2]enemies!$1:$1,0)-MATCH($L$1,[2]enemies!$1:$1,0)+1),MATCH(P$1,[2]enemies!$1:$1,0)-MATCH($L$1,[2]enemies!$1:$1,0)+1,FALSE)</f>
        <v>machine</v>
      </c>
      <c r="Q327" s="21">
        <f ca="1">VLOOKUP($L327,OFFSET([2]enemies!$A$1,0,0,COUNTA([2]enemies!$A:$A),MATCH(Q$1,[2]enemies!$1:$1,0)-MATCH($L$1,[2]enemies!$1:$1,0)+1),MATCH(Q$1,[2]enemies!$1:$1,0)-MATCH($L$1,[2]enemies!$1:$1,0)+1,FALSE)</f>
        <v>15</v>
      </c>
      <c r="R327" s="53">
        <v>44</v>
      </c>
      <c r="S327" s="27">
        <v>1.1000000000000001</v>
      </c>
      <c r="T327" s="27">
        <v>1</v>
      </c>
      <c r="U327" s="5">
        <v>0</v>
      </c>
      <c r="V327" s="4" t="str">
        <f ca="1">VLOOKUP($W327,OFFSET([4]enemy_skill_sets!$B$1,0,0,COUNTA([4]enemy_skill_sets!$B:$B),MATCH(M$1,[4]enemy_skill_sets!$1:$1,0)-MATCH($W$1,[4]enemy_skill_sets!$1:$1,0)+2),MATCH(M$1,[4]enemy_skill_sets!$1:$1,0)-MATCH($W$1,[4]enemy_skill_sets!$1:$1,0)+2,FALSE)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27" s="4">
        <f ca="1">VLOOKUP($L327,OFFSET([2]enemies!$A$1,0,0,COUNTA([2]enemies!$A:$A),MATCH(W$1,[2]enemies!$1:$1,0)-MATCH($L$1,[2]enemies!$1:$1,0)+1),MATCH(W$1,[2]enemies!$1:$1,0)-MATCH($L$1,[2]enemies!$1:$1,0)+1,FALSE)</f>
        <v>0</v>
      </c>
      <c r="X327" s="6">
        <v>0</v>
      </c>
      <c r="Y327" s="6">
        <v>100</v>
      </c>
      <c r="Z327" s="6">
        <v>0</v>
      </c>
      <c r="AA327" s="4">
        <f ca="1">VLOOKUP($L327,OFFSET([2]enemies!$A$1,0,0,COUNTA([2]enemies!$A:$A),MATCH(AA$1,[2]enemies!$1:$1,0)-MATCH($L$1,[2]enemies!$1:$1,0)+1),MATCH(AA$1,[2]enemies!$1:$1,0)-MATCH($L$1,[2]enemies!$1:$1,0)+1,FALSE)</f>
        <v>2</v>
      </c>
      <c r="AB327" s="52">
        <v>31</v>
      </c>
      <c r="AC327" s="4" t="str">
        <f ca="1">VLOOKUP($AB327,OFFSET([3]characters!$A$1,0,0,COUNTA([3]characters!$A:$A),MATCH(AC$1,[3]characters!$1:$1,0)-MATCH("character_id",[3]characters!$1:$1,0)+1),MATCH(AC$1,[3]characters!$1:$1,0)-MATCH("character_id",[3]characters!$1:$1,0)+1,FALSE)</f>
        <v>マービー</v>
      </c>
      <c r="AD327" s="4">
        <f ca="1">VLOOKUP($AB327,OFFSET([3]characters!$A$1,0,0,COUNTA([3]characters!$A:$A),MATCH(AD$1,[3]characters!$1:$1,0)-MATCH("character_id",[3]characters!$1:$1,0)+1),MATCH(AD$1,[3]characters!$1:$1,0)-MATCH("character_id",[3]characters!$1:$1,0)+1,FALSE)</f>
        <v>1</v>
      </c>
      <c r="AE327" s="4" t="str">
        <f ca="1">VLOOKUP($AB327,OFFSET([3]characters!$A$1,0,0,COUNTA([3]characters!$A:$A),MATCH(AE$1,[3]characters!$1:$1,0)-MATCH("character_id",[3]characters!$1:$1,0)+1),MATCH(AE$1,[3]characters!$1:$1,0)-MATCH("character_id",[3]characters!$1:$1,0)+1,FALSE)</f>
        <v>Drop1N</v>
      </c>
      <c r="AF327" s="7">
        <v>7</v>
      </c>
      <c r="AG327" s="26">
        <f t="shared" ca="1" si="386"/>
        <v>1</v>
      </c>
      <c r="AH327" s="8">
        <v>20</v>
      </c>
      <c r="AI327" s="7">
        <v>0</v>
      </c>
      <c r="AJ327" s="7">
        <v>0</v>
      </c>
      <c r="AK327" s="7">
        <v>0</v>
      </c>
      <c r="AL327" s="7">
        <v>0</v>
      </c>
      <c r="AM327" s="7">
        <v>1</v>
      </c>
    </row>
    <row r="328" spans="1:39" ht="14" x14ac:dyDescent="0.15">
      <c r="A328" s="18" t="str">
        <f t="shared" ca="1" si="375"/>
        <v>24_1-3/35&lt;lv46&gt;s4</v>
      </c>
      <c r="B328" s="50">
        <v>24</v>
      </c>
      <c r="C328" s="49">
        <v>1</v>
      </c>
      <c r="D328" s="2" t="str">
        <f t="shared" si="376"/>
        <v>24_1</v>
      </c>
      <c r="E328" s="2" t="str">
        <f t="shared" si="376"/>
        <v>1_24_1</v>
      </c>
      <c r="F328" s="4" t="str">
        <f ca="1">VLOOKUP($D328,OFFSET([1]stages!$A$1,0,0,COUNTA([1]stages!$A:$A),MATCH(F$1,[1]stages!$2:$2,0)-MATCH($D$1,[1]stages!$2:$2,0)+1),MATCH(F$1,[1]stages!$2:$2,0)-MATCH($D$1,[1]stages!$2:$2,0)+1,FALSE)</f>
        <v>24-1．開戦の電磁</v>
      </c>
      <c r="G328" s="57">
        <v>3</v>
      </c>
      <c r="H328" s="17" t="str">
        <f t="shared" si="377"/>
        <v>24_1-3</v>
      </c>
      <c r="I328" s="17"/>
      <c r="J328" s="17"/>
      <c r="K328" s="65" t="s">
        <v>56</v>
      </c>
      <c r="L328" s="52">
        <v>35</v>
      </c>
      <c r="M328" s="21" t="str">
        <f ca="1">VLOOKUP($L328,OFFSET([2]enemies!$A$1,0,0,COUNTA([2]enemies!$A:$A),MATCH(M$1,[2]enemies!$1:$1,0)-MATCH($L$1,[2]enemies!$1:$1,0)+1),MATCH(M$1,[2]enemies!$1:$1,0)-MATCH($L$1,[2]enemies!$1:$1,0)+1,FALSE)</f>
        <v>F2</v>
      </c>
      <c r="N328" s="21" t="str">
        <f ca="1">VLOOKUP($L328,OFFSET([2]enemies!$A$1,0,0,COUNTA([2]enemies!$A:$A),MATCH(N$1,[2]enemies!$1:$1,0)-MATCH($L$1,[2]enemies!$1:$1,0)+1),MATCH(N$1,[2]enemies!$1:$1,0)-MATCH($L$1,[2]enemies!$1:$1,0)+1,FALSE)</f>
        <v>green</v>
      </c>
      <c r="O328" s="21" t="str">
        <f ca="1">VLOOKUP($L328,OFFSET([3]characters!$A$1,0,0,COUNTA([3]characters!$A:$A),MATCH(O$1,[3]characters!$1:$1,0)-MATCH($L$1,[3]characters!$1:$1,0)+1),MATCH(O$1,[3]characters!$1:$1,0)-MATCH($L$1,[3]characters!$1:$1,0)+1,FALSE)</f>
        <v>Drop1S</v>
      </c>
      <c r="P328" s="21" t="str">
        <f ca="1">VLOOKUP($L328,OFFSET([2]enemies!$A$1,0,0,COUNTA([2]enemies!$A:$A),MATCH(P$1,[2]enemies!$1:$1,0)-MATCH($L$1,[2]enemies!$1:$1,0)+1),MATCH(P$1,[2]enemies!$1:$1,0)-MATCH($L$1,[2]enemies!$1:$1,0)+1,FALSE)</f>
        <v>machine</v>
      </c>
      <c r="Q328" s="21">
        <f ca="1">VLOOKUP($L328,OFFSET([2]enemies!$A$1,0,0,COUNTA([2]enemies!$A:$A),MATCH(Q$1,[2]enemies!$1:$1,0)-MATCH($L$1,[2]enemies!$1:$1,0)+1),MATCH(Q$1,[2]enemies!$1:$1,0)-MATCH($L$1,[2]enemies!$1:$1,0)+1,FALSE)</f>
        <v>15</v>
      </c>
      <c r="R328" s="53">
        <v>46</v>
      </c>
      <c r="S328" s="27">
        <v>1</v>
      </c>
      <c r="T328" s="27">
        <v>1</v>
      </c>
      <c r="U328" s="5">
        <v>0</v>
      </c>
      <c r="V328" s="4" t="str">
        <f ca="1">VLOOKUP($W328,OFFSET([4]enemy_skill_sets!$B$1,0,0,COUNTA([4]enemy_skill_sets!$B:$B),MATCH(M$1,[4]enemy_skill_sets!$1:$1,0)-MATCH($W$1,[4]enemy_skill_sets!$1:$1,0)+2),MATCH(M$1,[4]enemy_skill_sets!$1:$1,0)-MATCH($W$1,[4]enemy_skill_sets!$1:$1,0)+2,FALSE)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28" s="4">
        <f ca="1">VLOOKUP($L328,OFFSET([2]enemies!$A$1,0,0,COUNTA([2]enemies!$A:$A),MATCH(W$1,[2]enemies!$1:$1,0)-MATCH($L$1,[2]enemies!$1:$1,0)+1),MATCH(W$1,[2]enemies!$1:$1,0)-MATCH($L$1,[2]enemies!$1:$1,0)+1,FALSE)</f>
        <v>35</v>
      </c>
      <c r="X328" s="6">
        <v>0</v>
      </c>
      <c r="Y328" s="6">
        <v>100</v>
      </c>
      <c r="Z328" s="6">
        <v>0</v>
      </c>
      <c r="AA328" s="4">
        <f ca="1">VLOOKUP($L328,OFFSET([2]enemies!$A$1,0,0,COUNTA([2]enemies!$A:$A),MATCH(AA$1,[2]enemies!$1:$1,0)-MATCH($L$1,[2]enemies!$1:$1,0)+1),MATCH(AA$1,[2]enemies!$1:$1,0)-MATCH($L$1,[2]enemies!$1:$1,0)+1,FALSE)</f>
        <v>4</v>
      </c>
      <c r="AB328" s="52">
        <v>35</v>
      </c>
      <c r="AC328" s="4" t="str">
        <f ca="1">VLOOKUP($AB328,OFFSET([3]characters!$A$1,0,0,COUNTA([3]characters!$A:$A),MATCH(AC$1,[3]characters!$1:$1,0)-MATCH("character_id",[3]characters!$1:$1,0)+1),MATCH(AC$1,[3]characters!$1:$1,0)-MATCH("character_id",[3]characters!$1:$1,0)+1,FALSE)</f>
        <v>F2</v>
      </c>
      <c r="AD328" s="4">
        <f ca="1">VLOOKUP($AB328,OFFSET([3]characters!$A$1,0,0,COUNTA([3]characters!$A:$A),MATCH(AD$1,[3]characters!$1:$1,0)-MATCH("character_id",[3]characters!$1:$1,0)+1),MATCH(AD$1,[3]characters!$1:$1,0)-MATCH("character_id",[3]characters!$1:$1,0)+1,FALSE)</f>
        <v>2</v>
      </c>
      <c r="AE328" s="4" t="str">
        <f ca="1">VLOOKUP($AB328,OFFSET([3]characters!$A$1,0,0,COUNTA([3]characters!$A:$A),MATCH(AE$1,[3]characters!$1:$1,0)-MATCH("character_id",[3]characters!$1:$1,0)+1),MATCH(AE$1,[3]characters!$1:$1,0)-MATCH("character_id",[3]characters!$1:$1,0)+1,FALSE)</f>
        <v>Drop1S</v>
      </c>
      <c r="AF328" s="7">
        <v>5</v>
      </c>
      <c r="AG328" s="26">
        <f t="shared" ca="1" si="386"/>
        <v>2</v>
      </c>
      <c r="AH328" s="8">
        <v>20</v>
      </c>
      <c r="AI328" s="7">
        <v>0</v>
      </c>
      <c r="AJ328" s="7">
        <v>0</v>
      </c>
      <c r="AK328" s="7">
        <v>0</v>
      </c>
      <c r="AL328" s="7">
        <v>0</v>
      </c>
      <c r="AM328" s="7">
        <v>1</v>
      </c>
    </row>
    <row r="329" spans="1:39" ht="14" x14ac:dyDescent="0.15">
      <c r="A329" s="18" t="str">
        <f t="shared" ref="A329:A330" ca="1" si="387">B329&amp;"_"&amp;C329&amp;"-"&amp;G329&amp;"/"&amp;L329&amp;"&lt;lv"&amp;R329&amp;"&gt;s"&amp;AA329</f>
        <v>24_1-3/362&lt;lv46&gt;s3</v>
      </c>
      <c r="B329" s="53">
        <v>24</v>
      </c>
      <c r="C329" s="51">
        <v>1</v>
      </c>
      <c r="D329" s="2" t="str">
        <f t="shared" ref="D329:D330" si="388">B329&amp;"_"&amp;C329</f>
        <v>24_1</v>
      </c>
      <c r="E329" s="2" t="str">
        <f t="shared" ref="E329:E330" si="389">C329&amp;"_"&amp;D329</f>
        <v>1_24_1</v>
      </c>
      <c r="F329" s="4" t="str">
        <f ca="1">VLOOKUP($D329,OFFSET([1]stages!$A$1,0,0,COUNTA([1]stages!$A:$A),MATCH(F$1,[1]stages!$2:$2,0)-MATCH($D$1,[1]stages!$2:$2,0)+1),MATCH(F$1,[1]stages!$2:$2,0)-MATCH($D$1,[1]stages!$2:$2,0)+1,FALSE)</f>
        <v>24-1．開戦の電磁</v>
      </c>
      <c r="G329" s="57">
        <v>3</v>
      </c>
      <c r="H329" s="17" t="str">
        <f t="shared" ref="H329:H330" si="390">B329&amp;"_"&amp;C329&amp;"-"&amp;G329</f>
        <v>24_1-3</v>
      </c>
      <c r="I329" s="17"/>
      <c r="J329" s="17"/>
      <c r="K329" s="65" t="s">
        <v>56</v>
      </c>
      <c r="L329" s="52">
        <v>362</v>
      </c>
      <c r="M329" s="21" t="str">
        <f ca="1">VLOOKUP($L329,OFFSET([2]enemies!$A$1,0,0,COUNTA([2]enemies!$A:$A),MATCH(M$1,[2]enemies!$1:$1,0)-MATCH($L$1,[2]enemies!$1:$1,0)+1),MATCH(M$1,[2]enemies!$1:$1,0)-MATCH($L$1,[2]enemies!$1:$1,0)+1,FALSE)</f>
        <v>ゆらら</v>
      </c>
      <c r="N329" s="21" t="str">
        <f ca="1">VLOOKUP($L329,OFFSET([2]enemies!$A$1,0,0,COUNTA([2]enemies!$A:$A),MATCH(N$1,[2]enemies!$1:$1,0)-MATCH($L$1,[2]enemies!$1:$1,0)+1),MATCH(N$1,[2]enemies!$1:$1,0)-MATCH($L$1,[2]enemies!$1:$1,0)+1,FALSE)</f>
        <v>green</v>
      </c>
      <c r="O329" s="21" t="str">
        <f ca="1">VLOOKUP($L329,OFFSET([3]characters!$A$1,0,0,COUNTA([3]characters!$A:$A),MATCH(O$1,[3]characters!$1:$1,0)-MATCH($L$1,[3]characters!$1:$1,0)+1),MATCH(O$1,[3]characters!$1:$1,0)-MATCH($L$1,[3]characters!$1:$1,0)+1,FALSE)</f>
        <v>Drop1S</v>
      </c>
      <c r="P329" s="21" t="str">
        <f ca="1">VLOOKUP($L329,OFFSET([2]enemies!$A$1,0,0,COUNTA([2]enemies!$A:$A),MATCH(P$1,[2]enemies!$1:$1,0)-MATCH($L$1,[2]enemies!$1:$1,0)+1),MATCH(P$1,[2]enemies!$1:$1,0)-MATCH($L$1,[2]enemies!$1:$1,0)+1,FALSE)</f>
        <v>animal</v>
      </c>
      <c r="Q329" s="21">
        <f ca="1">VLOOKUP($L329,OFFSET([2]enemies!$A$1,0,0,COUNTA([2]enemies!$A:$A),MATCH(Q$1,[2]enemies!$1:$1,0)-MATCH($L$1,[2]enemies!$1:$1,0)+1),MATCH(Q$1,[2]enemies!$1:$1,0)-MATCH($L$1,[2]enemies!$1:$1,0)+1,FALSE)</f>
        <v>15</v>
      </c>
      <c r="R329" s="53">
        <v>46</v>
      </c>
      <c r="S329" s="27">
        <v>1</v>
      </c>
      <c r="T329" s="27">
        <v>1</v>
      </c>
      <c r="U329" s="5">
        <v>0</v>
      </c>
      <c r="V329" s="4" t="str">
        <f ca="1">VLOOKUP($W329,OFFSET([4]enemy_skill_sets!$B$1,0,0,COUNTA([4]enemy_skill_sets!$B:$B),MATCH(M$1,[4]enemy_skill_sets!$1:$1,0)-MATCH($W$1,[4]enemy_skill_sets!$1:$1,0)+2),MATCH(M$1,[4]enemy_skill_sets!$1:$1,0)-MATCH($W$1,[4]enemy_skill_sets!$1:$1,0)+2,FALSE)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329" s="64">
        <v>362</v>
      </c>
      <c r="X329" s="6">
        <v>0</v>
      </c>
      <c r="Y329" s="6">
        <v>100</v>
      </c>
      <c r="Z329" s="6">
        <v>0</v>
      </c>
      <c r="AA329" s="4">
        <f ca="1">VLOOKUP($L329,OFFSET([2]enemies!$A$1,0,0,COUNTA([2]enemies!$A:$A),MATCH(AA$1,[2]enemies!$1:$1,0)-MATCH($L$1,[2]enemies!$1:$1,0)+1),MATCH(AA$1,[2]enemies!$1:$1,0)-MATCH($L$1,[2]enemies!$1:$1,0)+1,FALSE)</f>
        <v>3</v>
      </c>
      <c r="AB329" s="52">
        <v>362</v>
      </c>
      <c r="AC329" s="4" t="str">
        <f ca="1">VLOOKUP($AB329,OFFSET([3]characters!$A$1,0,0,COUNTA([3]characters!$A:$A),MATCH(AC$1,[3]characters!$1:$1,0)-MATCH("character_id",[3]characters!$1:$1,0)+1),MATCH(AC$1,[3]characters!$1:$1,0)-MATCH("character_id",[3]characters!$1:$1,0)+1,FALSE)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329" s="4">
        <f ca="1">VLOOKUP($AB329,OFFSET([3]characters!$A$1,0,0,COUNTA([3]characters!$A:$A),MATCH(AD$1,[3]characters!$1:$1,0)-MATCH("character_id",[3]characters!$1:$1,0)+1),MATCH(AD$1,[3]characters!$1:$1,0)-MATCH("character_id",[3]characters!$1:$1,0)+1,FALSE)</f>
        <v>2</v>
      </c>
      <c r="AE329" s="4" t="str">
        <f ca="1">VLOOKUP($AB329,OFFSET([3]characters!$A$1,0,0,COUNTA([3]characters!$A:$A),MATCH(AE$1,[3]characters!$1:$1,0)-MATCH("character_id",[3]characters!$1:$1,0)+1),MATCH(AE$1,[3]characters!$1:$1,0)-MATCH("character_id",[3]characters!$1:$1,0)+1,FALSE)</f>
        <v>Drop1S</v>
      </c>
      <c r="AF329" s="7">
        <v>7</v>
      </c>
      <c r="AG329" s="26">
        <f t="shared" ca="1" si="386"/>
        <v>2</v>
      </c>
      <c r="AH329" s="8">
        <v>20</v>
      </c>
      <c r="AI329" s="7">
        <v>0</v>
      </c>
      <c r="AJ329" s="7">
        <v>0</v>
      </c>
      <c r="AK329" s="7">
        <v>0</v>
      </c>
      <c r="AL329" s="7">
        <v>0</v>
      </c>
      <c r="AM329" s="7">
        <v>1</v>
      </c>
    </row>
    <row r="330" spans="1:39" ht="14" x14ac:dyDescent="0.15">
      <c r="A330" s="18" t="str">
        <f t="shared" ca="1" si="387"/>
        <v>24_1-3/366&lt;lv44&gt;s3</v>
      </c>
      <c r="B330" s="53">
        <v>24</v>
      </c>
      <c r="C330" s="51">
        <v>1</v>
      </c>
      <c r="D330" s="2" t="str">
        <f t="shared" si="388"/>
        <v>24_1</v>
      </c>
      <c r="E330" s="2" t="str">
        <f t="shared" si="389"/>
        <v>1_24_1</v>
      </c>
      <c r="F330" s="4" t="str">
        <f ca="1">VLOOKUP($D330,OFFSET([1]stages!$A$1,0,0,COUNTA([1]stages!$A:$A),MATCH(F$1,[1]stages!$2:$2,0)-MATCH($D$1,[1]stages!$2:$2,0)+1),MATCH(F$1,[1]stages!$2:$2,0)-MATCH($D$1,[1]stages!$2:$2,0)+1,FALSE)</f>
        <v>24-1．開戦の電磁</v>
      </c>
      <c r="G330" s="57">
        <v>3</v>
      </c>
      <c r="H330" s="17" t="str">
        <f t="shared" si="390"/>
        <v>24_1-3</v>
      </c>
      <c r="I330" s="17"/>
      <c r="J330" s="17"/>
      <c r="K330" s="65" t="s">
        <v>56</v>
      </c>
      <c r="L330" s="52">
        <v>366</v>
      </c>
      <c r="M330" s="21" t="str">
        <f ca="1">VLOOKUP($L330,OFFSET([2]enemies!$A$1,0,0,COUNTA([2]enemies!$A:$A),MATCH(M$1,[2]enemies!$1:$1,0)-MATCH($L$1,[2]enemies!$1:$1,0)+1),MATCH(M$1,[2]enemies!$1:$1,0)-MATCH($L$1,[2]enemies!$1:$1,0)+1,FALSE)</f>
        <v>トト</v>
      </c>
      <c r="N330" s="21" t="str">
        <f ca="1">VLOOKUP($L330,OFFSET([2]enemies!$A$1,0,0,COUNTA([2]enemies!$A:$A),MATCH(N$1,[2]enemies!$1:$1,0)-MATCH($L$1,[2]enemies!$1:$1,0)+1),MATCH(N$1,[2]enemies!$1:$1,0)-MATCH($L$1,[2]enemies!$1:$1,0)+1,FALSE)</f>
        <v>yellow</v>
      </c>
      <c r="O330" s="21" t="str">
        <f ca="1">VLOOKUP($L330,OFFSET([3]characters!$A$1,0,0,COUNTA([3]characters!$A:$A),MATCH(O$1,[3]characters!$1:$1,0)-MATCH($L$1,[3]characters!$1:$1,0)+1),MATCH(O$1,[3]characters!$1:$1,0)-MATCH($L$1,[3]characters!$1:$1,0)+1,FALSE)</f>
        <v>Drop1S</v>
      </c>
      <c r="P330" s="21" t="str">
        <f ca="1">VLOOKUP($L330,OFFSET([2]enemies!$A$1,0,0,COUNTA([2]enemies!$A:$A),MATCH(P$1,[2]enemies!$1:$1,0)-MATCH($L$1,[2]enemies!$1:$1,0)+1),MATCH(P$1,[2]enemies!$1:$1,0)-MATCH($L$1,[2]enemies!$1:$1,0)+1,FALSE)</f>
        <v>animal</v>
      </c>
      <c r="Q330" s="21">
        <f ca="1">VLOOKUP($L330,OFFSET([2]enemies!$A$1,0,0,COUNTA([2]enemies!$A:$A),MATCH(Q$1,[2]enemies!$1:$1,0)-MATCH($L$1,[2]enemies!$1:$1,0)+1),MATCH(Q$1,[2]enemies!$1:$1,0)-MATCH($L$1,[2]enemies!$1:$1,0)+1,FALSE)</f>
        <v>15</v>
      </c>
      <c r="R330" s="53">
        <v>44</v>
      </c>
      <c r="S330" s="27">
        <v>1.1000000000000001</v>
      </c>
      <c r="T330" s="27">
        <v>1</v>
      </c>
      <c r="U330" s="5">
        <v>0</v>
      </c>
      <c r="V330" s="4" t="str">
        <f ca="1">VLOOKUP($W330,OFFSET([4]enemy_skill_sets!$B$1,0,0,COUNTA([4]enemy_skill_sets!$B:$B),MATCH(M$1,[4]enemy_skill_sets!$1:$1,0)-MATCH($W$1,[4]enemy_skill_sets!$1:$1,0)+2),MATCH(M$1,[4]enemy_skill_sets!$1:$1,0)-MATCH($W$1,[4]enemy_skill_sets!$1:$1,0)+2,FALSE)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330" s="64">
        <v>366</v>
      </c>
      <c r="X330" s="6">
        <v>0</v>
      </c>
      <c r="Y330" s="6">
        <v>100</v>
      </c>
      <c r="Z330" s="6">
        <v>0</v>
      </c>
      <c r="AA330" s="4">
        <f ca="1">VLOOKUP($L330,OFFSET([2]enemies!$A$1,0,0,COUNTA([2]enemies!$A:$A),MATCH(AA$1,[2]enemies!$1:$1,0)-MATCH($L$1,[2]enemies!$1:$1,0)+1),MATCH(AA$1,[2]enemies!$1:$1,0)-MATCH($L$1,[2]enemies!$1:$1,0)+1,FALSE)</f>
        <v>3</v>
      </c>
      <c r="AB330" s="52">
        <v>366</v>
      </c>
      <c r="AC330" s="4" t="str">
        <f ca="1">VLOOKUP($AB330,OFFSET([3]characters!$A$1,0,0,COUNTA([3]characters!$A:$A),MATCH(AC$1,[3]characters!$1:$1,0)-MATCH("character_id",[3]characters!$1:$1,0)+1),MATCH(AC$1,[3]characters!$1:$1,0)-MATCH("character_id",[3]characters!$1:$1,0)+1,FALSE)</f>
        <v>トト</v>
      </c>
      <c r="AD330" s="4">
        <f ca="1">VLOOKUP($AB330,OFFSET([3]characters!$A$1,0,0,COUNTA([3]characters!$A:$A),MATCH(AD$1,[3]characters!$1:$1,0)-MATCH("character_id",[3]characters!$1:$1,0)+1),MATCH(AD$1,[3]characters!$1:$1,0)-MATCH("character_id",[3]characters!$1:$1,0)+1,FALSE)</f>
        <v>2</v>
      </c>
      <c r="AE330" s="4" t="str">
        <f ca="1">VLOOKUP($AB330,OFFSET([3]characters!$A$1,0,0,COUNTA([3]characters!$A:$A),MATCH(AE$1,[3]characters!$1:$1,0)-MATCH("character_id",[3]characters!$1:$1,0)+1),MATCH(AE$1,[3]characters!$1:$1,0)-MATCH("character_id",[3]characters!$1:$1,0)+1,FALSE)</f>
        <v>Drop1S</v>
      </c>
      <c r="AF330" s="7">
        <v>5</v>
      </c>
      <c r="AG330" s="26">
        <f t="shared" ca="1" si="386"/>
        <v>2</v>
      </c>
      <c r="AH330" s="8">
        <v>20</v>
      </c>
      <c r="AI330" s="7">
        <v>0</v>
      </c>
      <c r="AJ330" s="7">
        <v>0</v>
      </c>
      <c r="AK330" s="7">
        <v>0</v>
      </c>
      <c r="AL330" s="7">
        <v>0</v>
      </c>
      <c r="AM330" s="7">
        <v>1</v>
      </c>
    </row>
    <row r="331" spans="1:39" ht="14" x14ac:dyDescent="0.15">
      <c r="A331" s="18" t="str">
        <f t="shared" ref="A331" ca="1" si="391">B331&amp;"_"&amp;C331&amp;"-"&amp;G331&amp;"/"&amp;L331&amp;"&lt;lv"&amp;R331&amp;"&gt;s"&amp;AA331</f>
        <v>24_1-3/354&lt;lv44&gt;s3</v>
      </c>
      <c r="B331" s="53">
        <v>24</v>
      </c>
      <c r="C331" s="51">
        <v>1</v>
      </c>
      <c r="D331" s="2" t="str">
        <f t="shared" ref="D331" si="392">B331&amp;"_"&amp;C331</f>
        <v>24_1</v>
      </c>
      <c r="E331" s="2" t="str">
        <f t="shared" ref="E331" si="393">C331&amp;"_"&amp;D331</f>
        <v>1_24_1</v>
      </c>
      <c r="F331" s="4" t="str">
        <f ca="1">VLOOKUP($D331,OFFSET([1]stages!$A$1,0,0,COUNTA([1]stages!$A:$A),MATCH(F$1,[1]stages!$2:$2,0)-MATCH($D$1,[1]stages!$2:$2,0)+1),MATCH(F$1,[1]stages!$2:$2,0)-MATCH($D$1,[1]stages!$2:$2,0)+1,FALSE)</f>
        <v>24-1．開戦の電磁</v>
      </c>
      <c r="G331" s="57">
        <v>3</v>
      </c>
      <c r="H331" s="17" t="str">
        <f t="shared" ref="H331" si="394">B331&amp;"_"&amp;C331&amp;"-"&amp;G331</f>
        <v>24_1-3</v>
      </c>
      <c r="I331" s="17"/>
      <c r="J331" s="17"/>
      <c r="K331" s="65" t="s">
        <v>56</v>
      </c>
      <c r="L331" s="52">
        <v>354</v>
      </c>
      <c r="M331" s="21" t="str">
        <f ca="1">VLOOKUP($L331,OFFSET([2]enemies!$A$1,0,0,COUNTA([2]enemies!$A:$A),MATCH(M$1,[2]enemies!$1:$1,0)-MATCH($L$1,[2]enemies!$1:$1,0)+1),MATCH(M$1,[2]enemies!$1:$1,0)-MATCH($L$1,[2]enemies!$1:$1,0)+1,FALSE)</f>
        <v>雷のケロケロ</v>
      </c>
      <c r="N331" s="21" t="str">
        <f ca="1">VLOOKUP($L331,OFFSET([2]enemies!$A$1,0,0,COUNTA([2]enemies!$A:$A),MATCH(N$1,[2]enemies!$1:$1,0)-MATCH($L$1,[2]enemies!$1:$1,0)+1),MATCH(N$1,[2]enemies!$1:$1,0)-MATCH($L$1,[2]enemies!$1:$1,0)+1,FALSE)</f>
        <v>yellow</v>
      </c>
      <c r="O331" s="21" t="str">
        <f ca="1">VLOOKUP($L331,OFFSET([3]characters!$A$1,0,0,COUNTA([3]characters!$A:$A),MATCH(O$1,[3]characters!$1:$1,0)-MATCH($L$1,[3]characters!$1:$1,0)+1),MATCH(O$1,[3]characters!$1:$1,0)-MATCH($L$1,[3]characters!$1:$1,0)+1,FALSE)</f>
        <v>Material</v>
      </c>
      <c r="P331" s="21" t="str">
        <f ca="1">VLOOKUP($L331,OFFSET([2]enemies!$A$1,0,0,COUNTA([2]enemies!$A:$A),MATCH(P$1,[2]enemies!$1:$1,0)-MATCH($L$1,[2]enemies!$1:$1,0)+1),MATCH(P$1,[2]enemies!$1:$1,0)-MATCH($L$1,[2]enemies!$1:$1,0)+1,FALSE)</f>
        <v>unknown</v>
      </c>
      <c r="Q331" s="21">
        <f ca="1">VLOOKUP($L331,OFFSET([2]enemies!$A$1,0,0,COUNTA([2]enemies!$A:$A),MATCH(Q$1,[2]enemies!$1:$1,0)-MATCH($L$1,[2]enemies!$1:$1,0)+1),MATCH(Q$1,[2]enemies!$1:$1,0)-MATCH($L$1,[2]enemies!$1:$1,0)+1,FALSE)</f>
        <v>15</v>
      </c>
      <c r="R331" s="53">
        <v>44</v>
      </c>
      <c r="S331" s="27">
        <v>1</v>
      </c>
      <c r="T331" s="27">
        <v>1</v>
      </c>
      <c r="U331" s="5">
        <v>0</v>
      </c>
      <c r="V331" s="4" t="str">
        <f ca="1">VLOOKUP($W331,OFFSET([4]enemy_skill_sets!$B$1,0,0,COUNTA([4]enemy_skill_sets!$B:$B),MATCH(M$1,[4]enemy_skill_sets!$1:$1,0)-MATCH($W$1,[4]enemy_skill_sets!$1:$1,0)+2),MATCH(M$1,[4]enemy_skill_sets!$1:$1,0)-MATCH($W$1,[4]enemy_skill_sets!$1:$1,0)+2,FALSE)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31" s="64">
        <v>354</v>
      </c>
      <c r="X331" s="6">
        <v>1</v>
      </c>
      <c r="Y331" s="6">
        <v>100</v>
      </c>
      <c r="Z331" s="6">
        <v>0</v>
      </c>
      <c r="AA331" s="4">
        <f ca="1">VLOOKUP($L331,OFFSET([2]enemies!$A$1,0,0,COUNTA([2]enemies!$A:$A),MATCH(AA$1,[2]enemies!$1:$1,0)-MATCH($L$1,[2]enemies!$1:$1,0)+1),MATCH(AA$1,[2]enemies!$1:$1,0)-MATCH($L$1,[2]enemies!$1:$1,0)+1,FALSE)</f>
        <v>3</v>
      </c>
      <c r="AB331" s="52">
        <v>354</v>
      </c>
      <c r="AC331" s="4" t="str">
        <f ca="1">VLOOKUP($AB331,OFFSET([3]characters!$A$1,0,0,COUNTA([3]characters!$A:$A),MATCH(AC$1,[3]characters!$1:$1,0)-MATCH("character_id",[3]characters!$1:$1,0)+1),MATCH(AC$1,[3]characters!$1:$1,0)-MATCH("character_id",[3]characters!$1:$1,0)+1,FALSE)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31" s="4">
        <f ca="1">VLOOKUP($AB331,OFFSET([3]characters!$A$1,0,0,COUNTA([3]characters!$A:$A),MATCH(AD$1,[3]characters!$1:$1,0)-MATCH("character_id",[3]characters!$1:$1,0)+1),MATCH(AD$1,[3]characters!$1:$1,0)-MATCH("character_id",[3]characters!$1:$1,0)+1,FALSE)</f>
        <v>2</v>
      </c>
      <c r="AE331" s="4" t="str">
        <f ca="1">VLOOKUP($AB331,OFFSET([3]characters!$A$1,0,0,COUNTA([3]characters!$A:$A),MATCH(AE$1,[3]characters!$1:$1,0)-MATCH("character_id",[3]characters!$1:$1,0)+1),MATCH(AE$1,[3]characters!$1:$1,0)-MATCH("character_id",[3]characters!$1:$1,0)+1,FALSE)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31" s="7">
        <v>10</v>
      </c>
      <c r="AG331" s="26">
        <f t="shared" ca="1" si="386"/>
        <v>2</v>
      </c>
      <c r="AH331" s="8">
        <v>100</v>
      </c>
      <c r="AI331" s="7">
        <v>0</v>
      </c>
      <c r="AJ331" s="7">
        <v>0</v>
      </c>
      <c r="AK331" s="7">
        <v>0</v>
      </c>
      <c r="AL331" s="7">
        <v>0</v>
      </c>
      <c r="AM331" s="7">
        <v>1</v>
      </c>
    </row>
    <row r="332" spans="1:39" ht="14" x14ac:dyDescent="0.15">
      <c r="A332" s="18" t="str">
        <f t="shared" ca="1" si="375"/>
        <v>24_1-4/47&lt;lv44&gt;s1</v>
      </c>
      <c r="B332" s="50">
        <v>24</v>
      </c>
      <c r="C332" s="49">
        <v>1</v>
      </c>
      <c r="D332" s="2" t="str">
        <f t="shared" si="376"/>
        <v>24_1</v>
      </c>
      <c r="E332" s="2" t="str">
        <f t="shared" si="376"/>
        <v>1_24_1</v>
      </c>
      <c r="F332" s="4" t="str">
        <f ca="1">VLOOKUP($D332,OFFSET([1]stages!$A$1,0,0,COUNTA([1]stages!$A:$A),MATCH(F$1,[1]stages!$2:$2,0)-MATCH($D$1,[1]stages!$2:$2,0)+1),MATCH(F$1,[1]stages!$2:$2,0)-MATCH($D$1,[1]stages!$2:$2,0)+1,FALSE)</f>
        <v>24-1．開戦の電磁</v>
      </c>
      <c r="G332" s="54">
        <v>4</v>
      </c>
      <c r="H332" s="17" t="str">
        <f t="shared" si="377"/>
        <v>24_1-4</v>
      </c>
      <c r="I332" s="17"/>
      <c r="J332" s="17"/>
      <c r="K332" s="65" t="s">
        <v>56</v>
      </c>
      <c r="L332" s="52">
        <v>47</v>
      </c>
      <c r="M332" s="21" t="str">
        <f ca="1">VLOOKUP($L332,OFFSET([2]enemies!$A$1,0,0,COUNTA([2]enemies!$A:$A),MATCH(M$1,[2]enemies!$1:$1,0)-MATCH($L$1,[2]enemies!$1:$1,0)+1),MATCH(M$1,[2]enemies!$1:$1,0)-MATCH($L$1,[2]enemies!$1:$1,0)+1,FALSE)</f>
        <v>ヒロ</v>
      </c>
      <c r="N332" s="21" t="str">
        <f ca="1">VLOOKUP($L332,OFFSET([2]enemies!$A$1,0,0,COUNTA([2]enemies!$A:$A),MATCH(N$1,[2]enemies!$1:$1,0)-MATCH($L$1,[2]enemies!$1:$1,0)+1),MATCH(N$1,[2]enemies!$1:$1,0)-MATCH($L$1,[2]enemies!$1:$1,0)+1,FALSE)</f>
        <v>yellow</v>
      </c>
      <c r="O332" s="21" t="str">
        <f ca="1">VLOOKUP($L332,OFFSET([3]characters!$A$1,0,0,COUNTA([3]characters!$A:$A),MATCH(O$1,[3]characters!$1:$1,0)-MATCH($L$1,[3]characters!$1:$1,0)+1),MATCH(O$1,[3]characters!$1:$1,0)-MATCH($L$1,[3]characters!$1:$1,0)+1,FALSE)</f>
        <v>Drop1N</v>
      </c>
      <c r="P332" s="21" t="str">
        <f ca="1">VLOOKUP($L332,OFFSET([2]enemies!$A$1,0,0,COUNTA([2]enemies!$A:$A),MATCH(P$1,[2]enemies!$1:$1,0)-MATCH($L$1,[2]enemies!$1:$1,0)+1),MATCH(P$1,[2]enemies!$1:$1,0)-MATCH($L$1,[2]enemies!$1:$1,0)+1,FALSE)</f>
        <v>animal</v>
      </c>
      <c r="Q332" s="21">
        <f ca="1">VLOOKUP($L332,OFFSET([2]enemies!$A$1,0,0,COUNTA([2]enemies!$A:$A),MATCH(Q$1,[2]enemies!$1:$1,0)-MATCH($L$1,[2]enemies!$1:$1,0)+1),MATCH(Q$1,[2]enemies!$1:$1,0)-MATCH($L$1,[2]enemies!$1:$1,0)+1,FALSE)</f>
        <v>15</v>
      </c>
      <c r="R332" s="53">
        <v>44</v>
      </c>
      <c r="S332" s="27">
        <v>1.1000000000000001</v>
      </c>
      <c r="T332" s="27">
        <v>1</v>
      </c>
      <c r="U332" s="5">
        <v>0</v>
      </c>
      <c r="V332" s="4" t="str">
        <f ca="1">VLOOKUP($W332,OFFSET([4]enemy_skill_sets!$B$1,0,0,COUNTA([4]enemy_skill_sets!$B:$B),MATCH(M$1,[4]enemy_skill_sets!$1:$1,0)-MATCH($W$1,[4]enemy_skill_sets!$1:$1,0)+2),MATCH(M$1,[4]enemy_skill_sets!$1:$1,0)-MATCH($W$1,[4]enemy_skill_sets!$1:$1,0)+2,FALSE)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32" s="4">
        <f ca="1">VLOOKUP($L332,OFFSET([2]enemies!$A$1,0,0,COUNTA([2]enemies!$A:$A),MATCH(W$1,[2]enemies!$1:$1,0)-MATCH($L$1,[2]enemies!$1:$1,0)+1),MATCH(W$1,[2]enemies!$1:$1,0)-MATCH($L$1,[2]enemies!$1:$1,0)+1,FALSE)</f>
        <v>0</v>
      </c>
      <c r="X332" s="6">
        <v>0</v>
      </c>
      <c r="Y332" s="6">
        <v>100</v>
      </c>
      <c r="Z332" s="6">
        <v>0</v>
      </c>
      <c r="AA332" s="4">
        <f ca="1">VLOOKUP($L332,OFFSET([2]enemies!$A$1,0,0,COUNTA([2]enemies!$A:$A),MATCH(AA$1,[2]enemies!$1:$1,0)-MATCH($L$1,[2]enemies!$1:$1,0)+1),MATCH(AA$1,[2]enemies!$1:$1,0)-MATCH($L$1,[2]enemies!$1:$1,0)+1,FALSE)</f>
        <v>1</v>
      </c>
      <c r="AB332" s="52">
        <v>47</v>
      </c>
      <c r="AC332" s="4" t="str">
        <f ca="1">VLOOKUP($AB332,OFFSET([3]characters!$A$1,0,0,COUNTA([3]characters!$A:$A),MATCH(AC$1,[3]characters!$1:$1,0)-MATCH("character_id",[3]characters!$1:$1,0)+1),MATCH(AC$1,[3]characters!$1:$1,0)-MATCH("character_id",[3]characters!$1:$1,0)+1,FALSE)</f>
        <v>ヒロ</v>
      </c>
      <c r="AD332" s="4">
        <f ca="1">VLOOKUP($AB332,OFFSET([3]characters!$A$1,0,0,COUNTA([3]characters!$A:$A),MATCH(AD$1,[3]characters!$1:$1,0)-MATCH("character_id",[3]characters!$1:$1,0)+1),MATCH(AD$1,[3]characters!$1:$1,0)-MATCH("character_id",[3]characters!$1:$1,0)+1,FALSE)</f>
        <v>2</v>
      </c>
      <c r="AE332" s="4" t="str">
        <f ca="1">VLOOKUP($AB332,OFFSET([3]characters!$A$1,0,0,COUNTA([3]characters!$A:$A),MATCH(AE$1,[3]characters!$1:$1,0)-MATCH("character_id",[3]characters!$1:$1,0)+1),MATCH(AE$1,[3]characters!$1:$1,0)-MATCH("character_id",[3]characters!$1:$1,0)+1,FALSE)</f>
        <v>Drop1N</v>
      </c>
      <c r="AF332" s="7">
        <v>7</v>
      </c>
      <c r="AG332" s="26">
        <f t="shared" ca="1" si="386"/>
        <v>2</v>
      </c>
      <c r="AH332" s="8">
        <v>20</v>
      </c>
      <c r="AI332" s="7">
        <v>0</v>
      </c>
      <c r="AJ332" s="7">
        <v>0</v>
      </c>
      <c r="AK332" s="7">
        <v>0</v>
      </c>
      <c r="AL332" s="7">
        <v>0</v>
      </c>
      <c r="AM332" s="7">
        <v>1</v>
      </c>
    </row>
    <row r="333" spans="1:39" ht="14" x14ac:dyDescent="0.15">
      <c r="A333" s="18" t="str">
        <f t="shared" ca="1" si="375"/>
        <v>24_1-4/59&lt;lv46&gt;s2</v>
      </c>
      <c r="B333" s="50">
        <v>24</v>
      </c>
      <c r="C333" s="49">
        <v>1</v>
      </c>
      <c r="D333" s="2" t="str">
        <f t="shared" si="376"/>
        <v>24_1</v>
      </c>
      <c r="E333" s="2" t="str">
        <f t="shared" si="376"/>
        <v>1_24_1</v>
      </c>
      <c r="F333" s="4" t="str">
        <f ca="1">VLOOKUP($D333,OFFSET([1]stages!$A$1,0,0,COUNTA([1]stages!$A:$A),MATCH(F$1,[1]stages!$2:$2,0)-MATCH($D$1,[1]stages!$2:$2,0)+1),MATCH(F$1,[1]stages!$2:$2,0)-MATCH($D$1,[1]stages!$2:$2,0)+1,FALSE)</f>
        <v>24-1．開戦の電磁</v>
      </c>
      <c r="G333" s="54">
        <v>4</v>
      </c>
      <c r="H333" s="17" t="str">
        <f t="shared" si="377"/>
        <v>24_1-4</v>
      </c>
      <c r="I333" s="17"/>
      <c r="J333" s="17"/>
      <c r="K333" s="65" t="s">
        <v>56</v>
      </c>
      <c r="L333" s="52">
        <v>59</v>
      </c>
      <c r="M333" s="21" t="str">
        <f ca="1">VLOOKUP($L333,OFFSET([2]enemies!$A$1,0,0,COUNTA([2]enemies!$A:$A),MATCH(M$1,[2]enemies!$1:$1,0)-MATCH($L$1,[2]enemies!$1:$1,0)+1),MATCH(M$1,[2]enemies!$1:$1,0)-MATCH($L$1,[2]enemies!$1:$1,0)+1,FALSE)</f>
        <v>マーチ</v>
      </c>
      <c r="N333" s="21" t="str">
        <f ca="1">VLOOKUP($L333,OFFSET([2]enemies!$A$1,0,0,COUNTA([2]enemies!$A:$A),MATCH(N$1,[2]enemies!$1:$1,0)-MATCH($L$1,[2]enemies!$1:$1,0)+1),MATCH(N$1,[2]enemies!$1:$1,0)-MATCH($L$1,[2]enemies!$1:$1,0)+1,FALSE)</f>
        <v>green</v>
      </c>
      <c r="O333" s="21" t="str">
        <f ca="1">VLOOKUP($L333,OFFSET([3]characters!$A$1,0,0,COUNTA([3]characters!$A:$A),MATCH(O$1,[3]characters!$1:$1,0)-MATCH($L$1,[3]characters!$1:$1,0)+1),MATCH(O$1,[3]characters!$1:$1,0)-MATCH($L$1,[3]characters!$1:$1,0)+1,FALSE)</f>
        <v>Drop1N</v>
      </c>
      <c r="P333" s="21" t="str">
        <f ca="1">VLOOKUP($L333,OFFSET([2]enemies!$A$1,0,0,COUNTA([2]enemies!$A:$A),MATCH(P$1,[2]enemies!$1:$1,0)-MATCH($L$1,[2]enemies!$1:$1,0)+1),MATCH(P$1,[2]enemies!$1:$1,0)-MATCH($L$1,[2]enemies!$1:$1,0)+1,FALSE)</f>
        <v>animal</v>
      </c>
      <c r="Q333" s="21">
        <f ca="1">VLOOKUP($L333,OFFSET([2]enemies!$A$1,0,0,COUNTA([2]enemies!$A:$A),MATCH(Q$1,[2]enemies!$1:$1,0)-MATCH($L$1,[2]enemies!$1:$1,0)+1),MATCH(Q$1,[2]enemies!$1:$1,0)-MATCH($L$1,[2]enemies!$1:$1,0)+1,FALSE)</f>
        <v>15</v>
      </c>
      <c r="R333" s="53">
        <v>46</v>
      </c>
      <c r="S333" s="27">
        <v>1</v>
      </c>
      <c r="T333" s="27">
        <v>1</v>
      </c>
      <c r="U333" s="5">
        <v>0</v>
      </c>
      <c r="V333" s="4" t="str">
        <f ca="1">VLOOKUP($W333,OFFSET([4]enemy_skill_sets!$B$1,0,0,COUNTA([4]enemy_skill_sets!$B:$B),MATCH(M$1,[4]enemy_skill_sets!$1:$1,0)-MATCH($W$1,[4]enemy_skill_sets!$1:$1,0)+2),MATCH(M$1,[4]enemy_skill_sets!$1:$1,0)-MATCH($W$1,[4]enemy_skill_sets!$1:$1,0)+2,FALSE)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333" s="4">
        <f ca="1">VLOOKUP($L333,OFFSET([2]enemies!$A$1,0,0,COUNTA([2]enemies!$A:$A),MATCH(W$1,[2]enemies!$1:$1,0)-MATCH($L$1,[2]enemies!$1:$1,0)+1),MATCH(W$1,[2]enemies!$1:$1,0)-MATCH($L$1,[2]enemies!$1:$1,0)+1,FALSE)</f>
        <v>59</v>
      </c>
      <c r="X333" s="6">
        <v>0</v>
      </c>
      <c r="Y333" s="6">
        <v>100</v>
      </c>
      <c r="Z333" s="6">
        <v>0</v>
      </c>
      <c r="AA333" s="4">
        <f ca="1">VLOOKUP($L333,OFFSET([2]enemies!$A$1,0,0,COUNTA([2]enemies!$A:$A),MATCH(AA$1,[2]enemies!$1:$1,0)-MATCH($L$1,[2]enemies!$1:$1,0)+1),MATCH(AA$1,[2]enemies!$1:$1,0)-MATCH($L$1,[2]enemies!$1:$1,0)+1,FALSE)</f>
        <v>2</v>
      </c>
      <c r="AB333" s="52">
        <v>59</v>
      </c>
      <c r="AC333" s="4" t="str">
        <f ca="1">VLOOKUP($AB333,OFFSET([3]characters!$A$1,0,0,COUNTA([3]characters!$A:$A),MATCH(AC$1,[3]characters!$1:$1,0)-MATCH("character_id",[3]characters!$1:$1,0)+1),MATCH(AC$1,[3]characters!$1:$1,0)-MATCH("character_id",[3]characters!$1:$1,0)+1,FALSE)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333" s="4">
        <f ca="1">VLOOKUP($AB333,OFFSET([3]characters!$A$1,0,0,COUNTA([3]characters!$A:$A),MATCH(AD$1,[3]characters!$1:$1,0)-MATCH("character_id",[3]characters!$1:$1,0)+1),MATCH(AD$1,[3]characters!$1:$1,0)-MATCH("character_id",[3]characters!$1:$1,0)+1,FALSE)</f>
        <v>2</v>
      </c>
      <c r="AE333" s="4" t="str">
        <f ca="1">VLOOKUP($AB333,OFFSET([3]characters!$A$1,0,0,COUNTA([3]characters!$A:$A),MATCH(AE$1,[3]characters!$1:$1,0)-MATCH("character_id",[3]characters!$1:$1,0)+1),MATCH(AE$1,[3]characters!$1:$1,0)-MATCH("character_id",[3]characters!$1:$1,0)+1,FALSE)</f>
        <v>Drop1N</v>
      </c>
      <c r="AF333" s="7">
        <v>7</v>
      </c>
      <c r="AG333" s="26">
        <f t="shared" ca="1" si="386"/>
        <v>2</v>
      </c>
      <c r="AH333" s="8">
        <v>20</v>
      </c>
      <c r="AI333" s="7">
        <v>0</v>
      </c>
      <c r="AJ333" s="7">
        <v>0</v>
      </c>
      <c r="AK333" s="7">
        <v>0</v>
      </c>
      <c r="AL333" s="7">
        <v>0</v>
      </c>
      <c r="AM333" s="7">
        <v>1</v>
      </c>
    </row>
    <row r="334" spans="1:39" ht="14" x14ac:dyDescent="0.15">
      <c r="A334" s="18" t="str">
        <f t="shared" ca="1" si="375"/>
        <v>24_1-4/63&lt;lv44&gt;s2</v>
      </c>
      <c r="B334" s="50">
        <v>24</v>
      </c>
      <c r="C334" s="49">
        <v>1</v>
      </c>
      <c r="D334" s="2" t="str">
        <f t="shared" si="376"/>
        <v>24_1</v>
      </c>
      <c r="E334" s="2" t="str">
        <f t="shared" si="376"/>
        <v>1_24_1</v>
      </c>
      <c r="F334" s="4" t="str">
        <f ca="1">VLOOKUP($D334,OFFSET([1]stages!$A$1,0,0,COUNTA([1]stages!$A:$A),MATCH(F$1,[1]stages!$2:$2,0)-MATCH($D$1,[1]stages!$2:$2,0)+1),MATCH(F$1,[1]stages!$2:$2,0)-MATCH($D$1,[1]stages!$2:$2,0)+1,FALSE)</f>
        <v>24-1．開戦の電磁</v>
      </c>
      <c r="G334" s="54">
        <v>4</v>
      </c>
      <c r="H334" s="17" t="str">
        <f t="shared" si="377"/>
        <v>24_1-4</v>
      </c>
      <c r="I334" s="17"/>
      <c r="J334" s="17"/>
      <c r="K334" s="65" t="s">
        <v>56</v>
      </c>
      <c r="L334" s="52">
        <v>63</v>
      </c>
      <c r="M334" s="21" t="str">
        <f ca="1">VLOOKUP($L334,OFFSET([2]enemies!$A$1,0,0,COUNTA([2]enemies!$A:$A),MATCH(M$1,[2]enemies!$1:$1,0)-MATCH($L$1,[2]enemies!$1:$1,0)+1),MATCH(M$1,[2]enemies!$1:$1,0)-MATCH($L$1,[2]enemies!$1:$1,0)+1,FALSE)</f>
        <v>トニー</v>
      </c>
      <c r="N334" s="21" t="str">
        <f ca="1">VLOOKUP($L334,OFFSET([2]enemies!$A$1,0,0,COUNTA([2]enemies!$A:$A),MATCH(N$1,[2]enemies!$1:$1,0)-MATCH($L$1,[2]enemies!$1:$1,0)+1),MATCH(N$1,[2]enemies!$1:$1,0)-MATCH($L$1,[2]enemies!$1:$1,0)+1,FALSE)</f>
        <v>yellow</v>
      </c>
      <c r="O334" s="21" t="str">
        <f ca="1">VLOOKUP($L334,OFFSET([3]characters!$A$1,0,0,COUNTA([3]characters!$A:$A),MATCH(O$1,[3]characters!$1:$1,0)-MATCH($L$1,[3]characters!$1:$1,0)+1),MATCH(O$1,[3]characters!$1:$1,0)-MATCH($L$1,[3]characters!$1:$1,0)+1,FALSE)</f>
        <v>Drop1N</v>
      </c>
      <c r="P334" s="21" t="str">
        <f ca="1">VLOOKUP($L334,OFFSET([2]enemies!$A$1,0,0,COUNTA([2]enemies!$A:$A),MATCH(P$1,[2]enemies!$1:$1,0)-MATCH($L$1,[2]enemies!$1:$1,0)+1),MATCH(P$1,[2]enemies!$1:$1,0)-MATCH($L$1,[2]enemies!$1:$1,0)+1,FALSE)</f>
        <v>animal</v>
      </c>
      <c r="Q334" s="21">
        <f ca="1">VLOOKUP($L334,OFFSET([2]enemies!$A$1,0,0,COUNTA([2]enemies!$A:$A),MATCH(Q$1,[2]enemies!$1:$1,0)-MATCH($L$1,[2]enemies!$1:$1,0)+1),MATCH(Q$1,[2]enemies!$1:$1,0)-MATCH($L$1,[2]enemies!$1:$1,0)+1,FALSE)</f>
        <v>15</v>
      </c>
      <c r="R334" s="53">
        <v>44</v>
      </c>
      <c r="S334" s="27">
        <v>1.1000000000000001</v>
      </c>
      <c r="T334" s="27">
        <v>1</v>
      </c>
      <c r="U334" s="5">
        <v>0</v>
      </c>
      <c r="V334" s="4" t="str">
        <f ca="1">VLOOKUP($W334,OFFSET([4]enemy_skill_sets!$B$1,0,0,COUNTA([4]enemy_skill_sets!$B:$B),MATCH(M$1,[4]enemy_skill_sets!$1:$1,0)-MATCH($W$1,[4]enemy_skill_sets!$1:$1,0)+2),MATCH(M$1,[4]enemy_skill_sets!$1:$1,0)-MATCH($W$1,[4]enemy_skill_sets!$1:$1,0)+2,FALSE)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334" s="4">
        <f ca="1">VLOOKUP($L334,OFFSET([2]enemies!$A$1,0,0,COUNTA([2]enemies!$A:$A),MATCH(W$1,[2]enemies!$1:$1,0)-MATCH($L$1,[2]enemies!$1:$1,0)+1),MATCH(W$1,[2]enemies!$1:$1,0)-MATCH($L$1,[2]enemies!$1:$1,0)+1,FALSE)</f>
        <v>63</v>
      </c>
      <c r="X334" s="6">
        <v>0</v>
      </c>
      <c r="Y334" s="6">
        <v>100</v>
      </c>
      <c r="Z334" s="6">
        <v>0</v>
      </c>
      <c r="AA334" s="4">
        <f ca="1">VLOOKUP($L334,OFFSET([2]enemies!$A$1,0,0,COUNTA([2]enemies!$A:$A),MATCH(AA$1,[2]enemies!$1:$1,0)-MATCH($L$1,[2]enemies!$1:$1,0)+1),MATCH(AA$1,[2]enemies!$1:$1,0)-MATCH($L$1,[2]enemies!$1:$1,0)+1,FALSE)</f>
        <v>2</v>
      </c>
      <c r="AB334" s="52">
        <v>63</v>
      </c>
      <c r="AC334" s="4" t="str">
        <f ca="1">VLOOKUP($AB334,OFFSET([3]characters!$A$1,0,0,COUNTA([3]characters!$A:$A),MATCH(AC$1,[3]characters!$1:$1,0)-MATCH("character_id",[3]characters!$1:$1,0)+1),MATCH(AC$1,[3]characters!$1:$1,0)-MATCH("character_id",[3]characters!$1:$1,0)+1,FALSE)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334" s="4">
        <f ca="1">VLOOKUP($AB334,OFFSET([3]characters!$A$1,0,0,COUNTA([3]characters!$A:$A),MATCH(AD$1,[3]characters!$1:$1,0)-MATCH("character_id",[3]characters!$1:$1,0)+1),MATCH(AD$1,[3]characters!$1:$1,0)-MATCH("character_id",[3]characters!$1:$1,0)+1,FALSE)</f>
        <v>2</v>
      </c>
      <c r="AE334" s="4" t="str">
        <f ca="1">VLOOKUP($AB334,OFFSET([3]characters!$A$1,0,0,COUNTA([3]characters!$A:$A),MATCH(AE$1,[3]characters!$1:$1,0)-MATCH("character_id",[3]characters!$1:$1,0)+1),MATCH(AE$1,[3]characters!$1:$1,0)-MATCH("character_id",[3]characters!$1:$1,0)+1,FALSE)</f>
        <v>Drop1N</v>
      </c>
      <c r="AF334" s="7">
        <v>7</v>
      </c>
      <c r="AG334" s="26">
        <f t="shared" ca="1" si="386"/>
        <v>2</v>
      </c>
      <c r="AH334" s="8">
        <v>20</v>
      </c>
      <c r="AI334" s="7">
        <v>0</v>
      </c>
      <c r="AJ334" s="7">
        <v>0</v>
      </c>
      <c r="AK334" s="7">
        <v>0</v>
      </c>
      <c r="AL334" s="7">
        <v>0</v>
      </c>
      <c r="AM334" s="7">
        <v>1</v>
      </c>
    </row>
    <row r="335" spans="1:39" ht="14" x14ac:dyDescent="0.15">
      <c r="A335" s="18" t="str">
        <f t="shared" ca="1" si="375"/>
        <v>24_1-4/35&lt;lv46&gt;s4</v>
      </c>
      <c r="B335" s="50">
        <v>24</v>
      </c>
      <c r="C335" s="49">
        <v>1</v>
      </c>
      <c r="D335" s="2" t="str">
        <f t="shared" si="376"/>
        <v>24_1</v>
      </c>
      <c r="E335" s="2" t="str">
        <f t="shared" si="376"/>
        <v>1_24_1</v>
      </c>
      <c r="F335" s="4" t="str">
        <f ca="1">VLOOKUP($D335,OFFSET([1]stages!$A$1,0,0,COUNTA([1]stages!$A:$A),MATCH(F$1,[1]stages!$2:$2,0)-MATCH($D$1,[1]stages!$2:$2,0)+1),MATCH(F$1,[1]stages!$2:$2,0)-MATCH($D$1,[1]stages!$2:$2,0)+1,FALSE)</f>
        <v>24-1．開戦の電磁</v>
      </c>
      <c r="G335" s="54">
        <v>4</v>
      </c>
      <c r="H335" s="17" t="str">
        <f t="shared" si="377"/>
        <v>24_1-4</v>
      </c>
      <c r="I335" s="17"/>
      <c r="J335" s="17"/>
      <c r="K335" s="65" t="s">
        <v>56</v>
      </c>
      <c r="L335" s="52">
        <v>35</v>
      </c>
      <c r="M335" s="21" t="str">
        <f ca="1">VLOOKUP($L335,OFFSET([2]enemies!$A$1,0,0,COUNTA([2]enemies!$A:$A),MATCH(M$1,[2]enemies!$1:$1,0)-MATCH($L$1,[2]enemies!$1:$1,0)+1),MATCH(M$1,[2]enemies!$1:$1,0)-MATCH($L$1,[2]enemies!$1:$1,0)+1,FALSE)</f>
        <v>F2</v>
      </c>
      <c r="N335" s="21" t="str">
        <f ca="1">VLOOKUP($L335,OFFSET([2]enemies!$A$1,0,0,COUNTA([2]enemies!$A:$A),MATCH(N$1,[2]enemies!$1:$1,0)-MATCH($L$1,[2]enemies!$1:$1,0)+1),MATCH(N$1,[2]enemies!$1:$1,0)-MATCH($L$1,[2]enemies!$1:$1,0)+1,FALSE)</f>
        <v>green</v>
      </c>
      <c r="O335" s="21" t="str">
        <f ca="1">VLOOKUP($L335,OFFSET([3]characters!$A$1,0,0,COUNTA([3]characters!$A:$A),MATCH(O$1,[3]characters!$1:$1,0)-MATCH($L$1,[3]characters!$1:$1,0)+1),MATCH(O$1,[3]characters!$1:$1,0)-MATCH($L$1,[3]characters!$1:$1,0)+1,FALSE)</f>
        <v>Drop1S</v>
      </c>
      <c r="P335" s="21" t="str">
        <f ca="1">VLOOKUP($L335,OFFSET([2]enemies!$A$1,0,0,COUNTA([2]enemies!$A:$A),MATCH(P$1,[2]enemies!$1:$1,0)-MATCH($L$1,[2]enemies!$1:$1,0)+1),MATCH(P$1,[2]enemies!$1:$1,0)-MATCH($L$1,[2]enemies!$1:$1,0)+1,FALSE)</f>
        <v>machine</v>
      </c>
      <c r="Q335" s="21">
        <f ca="1">VLOOKUP($L335,OFFSET([2]enemies!$A$1,0,0,COUNTA([2]enemies!$A:$A),MATCH(Q$1,[2]enemies!$1:$1,0)-MATCH($L$1,[2]enemies!$1:$1,0)+1),MATCH(Q$1,[2]enemies!$1:$1,0)-MATCH($L$1,[2]enemies!$1:$1,0)+1,FALSE)</f>
        <v>15</v>
      </c>
      <c r="R335" s="53">
        <v>46</v>
      </c>
      <c r="S335" s="27">
        <v>1</v>
      </c>
      <c r="T335" s="27">
        <v>1</v>
      </c>
      <c r="U335" s="5">
        <v>0</v>
      </c>
      <c r="V335" s="4" t="str">
        <f ca="1">VLOOKUP($W335,OFFSET([4]enemy_skill_sets!$B$1,0,0,COUNTA([4]enemy_skill_sets!$B:$B),MATCH(M$1,[4]enemy_skill_sets!$1:$1,0)-MATCH($W$1,[4]enemy_skill_sets!$1:$1,0)+2),MATCH(M$1,[4]enemy_skill_sets!$1:$1,0)-MATCH($W$1,[4]enemy_skill_sets!$1:$1,0)+2,FALSE)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35" s="4">
        <f ca="1">VLOOKUP($L335,OFFSET([2]enemies!$A$1,0,0,COUNTA([2]enemies!$A:$A),MATCH(W$1,[2]enemies!$1:$1,0)-MATCH($L$1,[2]enemies!$1:$1,0)+1),MATCH(W$1,[2]enemies!$1:$1,0)-MATCH($L$1,[2]enemies!$1:$1,0)+1,FALSE)</f>
        <v>35</v>
      </c>
      <c r="X335" s="6">
        <v>0</v>
      </c>
      <c r="Y335" s="6">
        <v>100</v>
      </c>
      <c r="Z335" s="6">
        <v>0</v>
      </c>
      <c r="AA335" s="4">
        <f ca="1">VLOOKUP($L335,OFFSET([2]enemies!$A$1,0,0,COUNTA([2]enemies!$A:$A),MATCH(AA$1,[2]enemies!$1:$1,0)-MATCH($L$1,[2]enemies!$1:$1,0)+1),MATCH(AA$1,[2]enemies!$1:$1,0)-MATCH($L$1,[2]enemies!$1:$1,0)+1,FALSE)</f>
        <v>4</v>
      </c>
      <c r="AB335" s="52">
        <v>35</v>
      </c>
      <c r="AC335" s="4" t="str">
        <f ca="1">VLOOKUP($AB335,OFFSET([3]characters!$A$1,0,0,COUNTA([3]characters!$A:$A),MATCH(AC$1,[3]characters!$1:$1,0)-MATCH("character_id",[3]characters!$1:$1,0)+1),MATCH(AC$1,[3]characters!$1:$1,0)-MATCH("character_id",[3]characters!$1:$1,0)+1,FALSE)</f>
        <v>F2</v>
      </c>
      <c r="AD335" s="4">
        <f ca="1">VLOOKUP($AB335,OFFSET([3]characters!$A$1,0,0,COUNTA([3]characters!$A:$A),MATCH(AD$1,[3]characters!$1:$1,0)-MATCH("character_id",[3]characters!$1:$1,0)+1),MATCH(AD$1,[3]characters!$1:$1,0)-MATCH("character_id",[3]characters!$1:$1,0)+1,FALSE)</f>
        <v>2</v>
      </c>
      <c r="AE335" s="4" t="str">
        <f ca="1">VLOOKUP($AB335,OFFSET([3]characters!$A$1,0,0,COUNTA([3]characters!$A:$A),MATCH(AE$1,[3]characters!$1:$1,0)-MATCH("character_id",[3]characters!$1:$1,0)+1),MATCH(AE$1,[3]characters!$1:$1,0)-MATCH("character_id",[3]characters!$1:$1,0)+1,FALSE)</f>
        <v>Drop1S</v>
      </c>
      <c r="AF335" s="7">
        <v>5</v>
      </c>
      <c r="AG335" s="26">
        <f t="shared" ca="1" si="386"/>
        <v>2</v>
      </c>
      <c r="AH335" s="8">
        <v>20</v>
      </c>
      <c r="AI335" s="7">
        <v>0</v>
      </c>
      <c r="AJ335" s="7">
        <v>0</v>
      </c>
      <c r="AK335" s="7">
        <v>0</v>
      </c>
      <c r="AL335" s="7">
        <v>0</v>
      </c>
      <c r="AM335" s="7">
        <v>1</v>
      </c>
    </row>
    <row r="336" spans="1:39" ht="14" x14ac:dyDescent="0.15">
      <c r="A336" s="18" t="str">
        <f t="shared" ref="A336:A337" ca="1" si="395">B336&amp;"_"&amp;C336&amp;"-"&amp;G336&amp;"/"&amp;L336&amp;"&lt;lv"&amp;R336&amp;"&gt;s"&amp;AA336</f>
        <v>24_1-4/362&lt;lv46&gt;s3</v>
      </c>
      <c r="B336" s="53">
        <v>24</v>
      </c>
      <c r="C336" s="51">
        <v>1</v>
      </c>
      <c r="D336" s="2" t="str">
        <f t="shared" ref="D336:D337" si="396">B336&amp;"_"&amp;C336</f>
        <v>24_1</v>
      </c>
      <c r="E336" s="2" t="str">
        <f t="shared" ref="E336:E337" si="397">C336&amp;"_"&amp;D336</f>
        <v>1_24_1</v>
      </c>
      <c r="F336" s="4" t="str">
        <f ca="1">VLOOKUP($D336,OFFSET([1]stages!$A$1,0,0,COUNTA([1]stages!$A:$A),MATCH(F$1,[1]stages!$2:$2,0)-MATCH($D$1,[1]stages!$2:$2,0)+1),MATCH(F$1,[1]stages!$2:$2,0)-MATCH($D$1,[1]stages!$2:$2,0)+1,FALSE)</f>
        <v>24-1．開戦の電磁</v>
      </c>
      <c r="G336" s="54">
        <v>4</v>
      </c>
      <c r="H336" s="17" t="str">
        <f t="shared" ref="H336:H337" si="398">B336&amp;"_"&amp;C336&amp;"-"&amp;G336</f>
        <v>24_1-4</v>
      </c>
      <c r="I336" s="17"/>
      <c r="J336" s="17"/>
      <c r="K336" s="65" t="s">
        <v>56</v>
      </c>
      <c r="L336" s="52">
        <v>362</v>
      </c>
      <c r="M336" s="21" t="str">
        <f ca="1">VLOOKUP($L336,OFFSET([2]enemies!$A$1,0,0,COUNTA([2]enemies!$A:$A),MATCH(M$1,[2]enemies!$1:$1,0)-MATCH($L$1,[2]enemies!$1:$1,0)+1),MATCH(M$1,[2]enemies!$1:$1,0)-MATCH($L$1,[2]enemies!$1:$1,0)+1,FALSE)</f>
        <v>ゆらら</v>
      </c>
      <c r="N336" s="21" t="str">
        <f ca="1">VLOOKUP($L336,OFFSET([2]enemies!$A$1,0,0,COUNTA([2]enemies!$A:$A),MATCH(N$1,[2]enemies!$1:$1,0)-MATCH($L$1,[2]enemies!$1:$1,0)+1),MATCH(N$1,[2]enemies!$1:$1,0)-MATCH($L$1,[2]enemies!$1:$1,0)+1,FALSE)</f>
        <v>green</v>
      </c>
      <c r="O336" s="21" t="str">
        <f ca="1">VLOOKUP($L336,OFFSET([3]characters!$A$1,0,0,COUNTA([3]characters!$A:$A),MATCH(O$1,[3]characters!$1:$1,0)-MATCH($L$1,[3]characters!$1:$1,0)+1),MATCH(O$1,[3]characters!$1:$1,0)-MATCH($L$1,[3]characters!$1:$1,0)+1,FALSE)</f>
        <v>Drop1S</v>
      </c>
      <c r="P336" s="21" t="str">
        <f ca="1">VLOOKUP($L336,OFFSET([2]enemies!$A$1,0,0,COUNTA([2]enemies!$A:$A),MATCH(P$1,[2]enemies!$1:$1,0)-MATCH($L$1,[2]enemies!$1:$1,0)+1),MATCH(P$1,[2]enemies!$1:$1,0)-MATCH($L$1,[2]enemies!$1:$1,0)+1,FALSE)</f>
        <v>animal</v>
      </c>
      <c r="Q336" s="21">
        <f ca="1">VLOOKUP($L336,OFFSET([2]enemies!$A$1,0,0,COUNTA([2]enemies!$A:$A),MATCH(Q$1,[2]enemies!$1:$1,0)-MATCH($L$1,[2]enemies!$1:$1,0)+1),MATCH(Q$1,[2]enemies!$1:$1,0)-MATCH($L$1,[2]enemies!$1:$1,0)+1,FALSE)</f>
        <v>15</v>
      </c>
      <c r="R336" s="53">
        <v>46</v>
      </c>
      <c r="S336" s="27">
        <v>1</v>
      </c>
      <c r="T336" s="27">
        <v>1</v>
      </c>
      <c r="U336" s="5">
        <v>0</v>
      </c>
      <c r="V336" s="4" t="str">
        <f ca="1">VLOOKUP($W336,OFFSET([4]enemy_skill_sets!$B$1,0,0,COUNTA([4]enemy_skill_sets!$B:$B),MATCH(M$1,[4]enemy_skill_sets!$1:$1,0)-MATCH($W$1,[4]enemy_skill_sets!$1:$1,0)+2),MATCH(M$1,[4]enemy_skill_sets!$1:$1,0)-MATCH($W$1,[4]enemy_skill_sets!$1:$1,0)+2,FALSE)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336" s="64">
        <v>362</v>
      </c>
      <c r="X336" s="6">
        <v>0</v>
      </c>
      <c r="Y336" s="6">
        <v>100</v>
      </c>
      <c r="Z336" s="6">
        <v>0</v>
      </c>
      <c r="AA336" s="4">
        <f ca="1">VLOOKUP($L336,OFFSET([2]enemies!$A$1,0,0,COUNTA([2]enemies!$A:$A),MATCH(AA$1,[2]enemies!$1:$1,0)-MATCH($L$1,[2]enemies!$1:$1,0)+1),MATCH(AA$1,[2]enemies!$1:$1,0)-MATCH($L$1,[2]enemies!$1:$1,0)+1,FALSE)</f>
        <v>3</v>
      </c>
      <c r="AB336" s="52">
        <v>362</v>
      </c>
      <c r="AC336" s="4" t="str">
        <f ca="1">VLOOKUP($AB336,OFFSET([3]characters!$A$1,0,0,COUNTA([3]characters!$A:$A),MATCH(AC$1,[3]characters!$1:$1,0)-MATCH("character_id",[3]characters!$1:$1,0)+1),MATCH(AC$1,[3]characters!$1:$1,0)-MATCH("character_id",[3]characters!$1:$1,0)+1,FALSE)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336" s="4">
        <f ca="1">VLOOKUP($AB336,OFFSET([3]characters!$A$1,0,0,COUNTA([3]characters!$A:$A),MATCH(AD$1,[3]characters!$1:$1,0)-MATCH("character_id",[3]characters!$1:$1,0)+1),MATCH(AD$1,[3]characters!$1:$1,0)-MATCH("character_id",[3]characters!$1:$1,0)+1,FALSE)</f>
        <v>2</v>
      </c>
      <c r="AE336" s="4" t="str">
        <f ca="1">VLOOKUP($AB336,OFFSET([3]characters!$A$1,0,0,COUNTA([3]characters!$A:$A),MATCH(AE$1,[3]characters!$1:$1,0)-MATCH("character_id",[3]characters!$1:$1,0)+1),MATCH(AE$1,[3]characters!$1:$1,0)-MATCH("character_id",[3]characters!$1:$1,0)+1,FALSE)</f>
        <v>Drop1S</v>
      </c>
      <c r="AF336" s="7">
        <v>7</v>
      </c>
      <c r="AG336" s="26">
        <f t="shared" ca="1" si="386"/>
        <v>2</v>
      </c>
      <c r="AH336" s="8">
        <v>20</v>
      </c>
      <c r="AI336" s="7">
        <v>0</v>
      </c>
      <c r="AJ336" s="7">
        <v>0</v>
      </c>
      <c r="AK336" s="7">
        <v>0</v>
      </c>
      <c r="AL336" s="7">
        <v>0</v>
      </c>
      <c r="AM336" s="7">
        <v>1</v>
      </c>
    </row>
    <row r="337" spans="1:39" ht="14" x14ac:dyDescent="0.15">
      <c r="A337" s="18" t="str">
        <f t="shared" ca="1" si="395"/>
        <v>24_1-4/366&lt;lv44&gt;s3</v>
      </c>
      <c r="B337" s="53">
        <v>24</v>
      </c>
      <c r="C337" s="51">
        <v>1</v>
      </c>
      <c r="D337" s="2" t="str">
        <f t="shared" si="396"/>
        <v>24_1</v>
      </c>
      <c r="E337" s="2" t="str">
        <f t="shared" si="397"/>
        <v>1_24_1</v>
      </c>
      <c r="F337" s="4" t="str">
        <f ca="1">VLOOKUP($D337,OFFSET([1]stages!$A$1,0,0,COUNTA([1]stages!$A:$A),MATCH(F$1,[1]stages!$2:$2,0)-MATCH($D$1,[1]stages!$2:$2,0)+1),MATCH(F$1,[1]stages!$2:$2,0)-MATCH($D$1,[1]stages!$2:$2,0)+1,FALSE)</f>
        <v>24-1．開戦の電磁</v>
      </c>
      <c r="G337" s="54">
        <v>4</v>
      </c>
      <c r="H337" s="17" t="str">
        <f t="shared" si="398"/>
        <v>24_1-4</v>
      </c>
      <c r="I337" s="17"/>
      <c r="J337" s="17"/>
      <c r="K337" s="65" t="s">
        <v>56</v>
      </c>
      <c r="L337" s="52">
        <v>366</v>
      </c>
      <c r="M337" s="21" t="str">
        <f ca="1">VLOOKUP($L337,OFFSET([2]enemies!$A$1,0,0,COUNTA([2]enemies!$A:$A),MATCH(M$1,[2]enemies!$1:$1,0)-MATCH($L$1,[2]enemies!$1:$1,0)+1),MATCH(M$1,[2]enemies!$1:$1,0)-MATCH($L$1,[2]enemies!$1:$1,0)+1,FALSE)</f>
        <v>トト</v>
      </c>
      <c r="N337" s="21" t="str">
        <f ca="1">VLOOKUP($L337,OFFSET([2]enemies!$A$1,0,0,COUNTA([2]enemies!$A:$A),MATCH(N$1,[2]enemies!$1:$1,0)-MATCH($L$1,[2]enemies!$1:$1,0)+1),MATCH(N$1,[2]enemies!$1:$1,0)-MATCH($L$1,[2]enemies!$1:$1,0)+1,FALSE)</f>
        <v>yellow</v>
      </c>
      <c r="O337" s="21" t="str">
        <f ca="1">VLOOKUP($L337,OFFSET([3]characters!$A$1,0,0,COUNTA([3]characters!$A:$A),MATCH(O$1,[3]characters!$1:$1,0)-MATCH($L$1,[3]characters!$1:$1,0)+1),MATCH(O$1,[3]characters!$1:$1,0)-MATCH($L$1,[3]characters!$1:$1,0)+1,FALSE)</f>
        <v>Drop1S</v>
      </c>
      <c r="P337" s="21" t="str">
        <f ca="1">VLOOKUP($L337,OFFSET([2]enemies!$A$1,0,0,COUNTA([2]enemies!$A:$A),MATCH(P$1,[2]enemies!$1:$1,0)-MATCH($L$1,[2]enemies!$1:$1,0)+1),MATCH(P$1,[2]enemies!$1:$1,0)-MATCH($L$1,[2]enemies!$1:$1,0)+1,FALSE)</f>
        <v>animal</v>
      </c>
      <c r="Q337" s="21">
        <f ca="1">VLOOKUP($L337,OFFSET([2]enemies!$A$1,0,0,COUNTA([2]enemies!$A:$A),MATCH(Q$1,[2]enemies!$1:$1,0)-MATCH($L$1,[2]enemies!$1:$1,0)+1),MATCH(Q$1,[2]enemies!$1:$1,0)-MATCH($L$1,[2]enemies!$1:$1,0)+1,FALSE)</f>
        <v>15</v>
      </c>
      <c r="R337" s="53">
        <v>44</v>
      </c>
      <c r="S337" s="27">
        <v>1.1000000000000001</v>
      </c>
      <c r="T337" s="27">
        <v>1</v>
      </c>
      <c r="U337" s="5">
        <v>0</v>
      </c>
      <c r="V337" s="4" t="str">
        <f ca="1">VLOOKUP($W337,OFFSET([4]enemy_skill_sets!$B$1,0,0,COUNTA([4]enemy_skill_sets!$B:$B),MATCH(M$1,[4]enemy_skill_sets!$1:$1,0)-MATCH($W$1,[4]enemy_skill_sets!$1:$1,0)+2),MATCH(M$1,[4]enemy_skill_sets!$1:$1,0)-MATCH($W$1,[4]enemy_skill_sets!$1:$1,0)+2,FALSE)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337" s="64">
        <v>366</v>
      </c>
      <c r="X337" s="6">
        <v>0</v>
      </c>
      <c r="Y337" s="6">
        <v>100</v>
      </c>
      <c r="Z337" s="6">
        <v>0</v>
      </c>
      <c r="AA337" s="4">
        <f ca="1">VLOOKUP($L337,OFFSET([2]enemies!$A$1,0,0,COUNTA([2]enemies!$A:$A),MATCH(AA$1,[2]enemies!$1:$1,0)-MATCH($L$1,[2]enemies!$1:$1,0)+1),MATCH(AA$1,[2]enemies!$1:$1,0)-MATCH($L$1,[2]enemies!$1:$1,0)+1,FALSE)</f>
        <v>3</v>
      </c>
      <c r="AB337" s="52">
        <v>366</v>
      </c>
      <c r="AC337" s="4" t="str">
        <f ca="1">VLOOKUP($AB337,OFFSET([3]characters!$A$1,0,0,COUNTA([3]characters!$A:$A),MATCH(AC$1,[3]characters!$1:$1,0)-MATCH("character_id",[3]characters!$1:$1,0)+1),MATCH(AC$1,[3]characters!$1:$1,0)-MATCH("character_id",[3]characters!$1:$1,0)+1,FALSE)</f>
        <v>トト</v>
      </c>
      <c r="AD337" s="4">
        <f ca="1">VLOOKUP($AB337,OFFSET([3]characters!$A$1,0,0,COUNTA([3]characters!$A:$A),MATCH(AD$1,[3]characters!$1:$1,0)-MATCH("character_id",[3]characters!$1:$1,0)+1),MATCH(AD$1,[3]characters!$1:$1,0)-MATCH("character_id",[3]characters!$1:$1,0)+1,FALSE)</f>
        <v>2</v>
      </c>
      <c r="AE337" s="4" t="str">
        <f ca="1">VLOOKUP($AB337,OFFSET([3]characters!$A$1,0,0,COUNTA([3]characters!$A:$A),MATCH(AE$1,[3]characters!$1:$1,0)-MATCH("character_id",[3]characters!$1:$1,0)+1),MATCH(AE$1,[3]characters!$1:$1,0)-MATCH("character_id",[3]characters!$1:$1,0)+1,FALSE)</f>
        <v>Drop1S</v>
      </c>
      <c r="AF337" s="7">
        <v>5</v>
      </c>
      <c r="AG337" s="26">
        <f t="shared" ca="1" si="386"/>
        <v>2</v>
      </c>
      <c r="AH337" s="8">
        <v>20</v>
      </c>
      <c r="AI337" s="7">
        <v>0</v>
      </c>
      <c r="AJ337" s="7">
        <v>0</v>
      </c>
      <c r="AK337" s="7">
        <v>0</v>
      </c>
      <c r="AL337" s="7">
        <v>0</v>
      </c>
      <c r="AM337" s="7">
        <v>1</v>
      </c>
    </row>
    <row r="338" spans="1:39" ht="14" x14ac:dyDescent="0.15">
      <c r="A338" s="18" t="str">
        <f t="shared" ref="A338" ca="1" si="399">B338&amp;"_"&amp;C338&amp;"-"&amp;G338&amp;"/"&amp;L338&amp;"&lt;lv"&amp;R338&amp;"&gt;s"&amp;AA338</f>
        <v>24_1-4/354&lt;lv46&gt;s3</v>
      </c>
      <c r="B338" s="53">
        <v>24</v>
      </c>
      <c r="C338" s="51">
        <v>1</v>
      </c>
      <c r="D338" s="2" t="str">
        <f t="shared" ref="D338" si="400">B338&amp;"_"&amp;C338</f>
        <v>24_1</v>
      </c>
      <c r="E338" s="2" t="str">
        <f t="shared" ref="E338" si="401">C338&amp;"_"&amp;D338</f>
        <v>1_24_1</v>
      </c>
      <c r="F338" s="4" t="str">
        <f ca="1">VLOOKUP($D338,OFFSET([1]stages!$A$1,0,0,COUNTA([1]stages!$A:$A),MATCH(F$1,[1]stages!$2:$2,0)-MATCH($D$1,[1]stages!$2:$2,0)+1),MATCH(F$1,[1]stages!$2:$2,0)-MATCH($D$1,[1]stages!$2:$2,0)+1,FALSE)</f>
        <v>24-1．開戦の電磁</v>
      </c>
      <c r="G338" s="54">
        <v>4</v>
      </c>
      <c r="H338" s="17" t="str">
        <f t="shared" ref="H338" si="402">B338&amp;"_"&amp;C338&amp;"-"&amp;G338</f>
        <v>24_1-4</v>
      </c>
      <c r="I338" s="17"/>
      <c r="J338" s="17"/>
      <c r="K338" s="65" t="s">
        <v>56</v>
      </c>
      <c r="L338" s="52">
        <v>354</v>
      </c>
      <c r="M338" s="21" t="str">
        <f ca="1">VLOOKUP($L338,OFFSET([2]enemies!$A$1,0,0,COUNTA([2]enemies!$A:$A),MATCH(M$1,[2]enemies!$1:$1,0)-MATCH($L$1,[2]enemies!$1:$1,0)+1),MATCH(M$1,[2]enemies!$1:$1,0)-MATCH($L$1,[2]enemies!$1:$1,0)+1,FALSE)</f>
        <v>雷のケロケロ</v>
      </c>
      <c r="N338" s="21" t="str">
        <f ca="1">VLOOKUP($L338,OFFSET([2]enemies!$A$1,0,0,COUNTA([2]enemies!$A:$A),MATCH(N$1,[2]enemies!$1:$1,0)-MATCH($L$1,[2]enemies!$1:$1,0)+1),MATCH(N$1,[2]enemies!$1:$1,0)-MATCH($L$1,[2]enemies!$1:$1,0)+1,FALSE)</f>
        <v>yellow</v>
      </c>
      <c r="O338" s="21" t="str">
        <f ca="1">VLOOKUP($L338,OFFSET([3]characters!$A$1,0,0,COUNTA([3]characters!$A:$A),MATCH(O$1,[3]characters!$1:$1,0)-MATCH($L$1,[3]characters!$1:$1,0)+1),MATCH(O$1,[3]characters!$1:$1,0)-MATCH($L$1,[3]characters!$1:$1,0)+1,FALSE)</f>
        <v>Material</v>
      </c>
      <c r="P338" s="21" t="str">
        <f ca="1">VLOOKUP($L338,OFFSET([2]enemies!$A$1,0,0,COUNTA([2]enemies!$A:$A),MATCH(P$1,[2]enemies!$1:$1,0)-MATCH($L$1,[2]enemies!$1:$1,0)+1),MATCH(P$1,[2]enemies!$1:$1,0)-MATCH($L$1,[2]enemies!$1:$1,0)+1,FALSE)</f>
        <v>unknown</v>
      </c>
      <c r="Q338" s="21">
        <f ca="1">VLOOKUP($L338,OFFSET([2]enemies!$A$1,0,0,COUNTA([2]enemies!$A:$A),MATCH(Q$1,[2]enemies!$1:$1,0)-MATCH($L$1,[2]enemies!$1:$1,0)+1),MATCH(Q$1,[2]enemies!$1:$1,0)-MATCH($L$1,[2]enemies!$1:$1,0)+1,FALSE)</f>
        <v>15</v>
      </c>
      <c r="R338" s="53">
        <v>46</v>
      </c>
      <c r="S338" s="27">
        <v>1</v>
      </c>
      <c r="T338" s="27">
        <v>1</v>
      </c>
      <c r="U338" s="5">
        <v>0</v>
      </c>
      <c r="V338" s="4" t="str">
        <f ca="1">VLOOKUP($W338,OFFSET([4]enemy_skill_sets!$B$1,0,0,COUNTA([4]enemy_skill_sets!$B:$B),MATCH(M$1,[4]enemy_skill_sets!$1:$1,0)-MATCH($W$1,[4]enemy_skill_sets!$1:$1,0)+2),MATCH(M$1,[4]enemy_skill_sets!$1:$1,0)-MATCH($W$1,[4]enemy_skill_sets!$1:$1,0)+2,FALSE)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38" s="64">
        <v>354</v>
      </c>
      <c r="X338" s="6">
        <v>0</v>
      </c>
      <c r="Y338" s="6">
        <v>100</v>
      </c>
      <c r="Z338" s="6">
        <v>0</v>
      </c>
      <c r="AA338" s="4">
        <f ca="1">VLOOKUP($L338,OFFSET([2]enemies!$A$1,0,0,COUNTA([2]enemies!$A:$A),MATCH(AA$1,[2]enemies!$1:$1,0)-MATCH($L$1,[2]enemies!$1:$1,0)+1),MATCH(AA$1,[2]enemies!$1:$1,0)-MATCH($L$1,[2]enemies!$1:$1,0)+1,FALSE)</f>
        <v>3</v>
      </c>
      <c r="AB338" s="52">
        <v>354</v>
      </c>
      <c r="AC338" s="4" t="str">
        <f ca="1">VLOOKUP($AB338,OFFSET([3]characters!$A$1,0,0,COUNTA([3]characters!$A:$A),MATCH(AC$1,[3]characters!$1:$1,0)-MATCH("character_id",[3]characters!$1:$1,0)+1),MATCH(AC$1,[3]characters!$1:$1,0)-MATCH("character_id",[3]characters!$1:$1,0)+1,FALSE)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38" s="4">
        <f ca="1">VLOOKUP($AB338,OFFSET([3]characters!$A$1,0,0,COUNTA([3]characters!$A:$A),MATCH(AD$1,[3]characters!$1:$1,0)-MATCH("character_id",[3]characters!$1:$1,0)+1),MATCH(AD$1,[3]characters!$1:$1,0)-MATCH("character_id",[3]characters!$1:$1,0)+1,FALSE)</f>
        <v>2</v>
      </c>
      <c r="AE338" s="4" t="str">
        <f ca="1">VLOOKUP($AB338,OFFSET([3]characters!$A$1,0,0,COUNTA([3]characters!$A:$A),MATCH(AE$1,[3]characters!$1:$1,0)-MATCH("character_id",[3]characters!$1:$1,0)+1),MATCH(AE$1,[3]characters!$1:$1,0)-MATCH("character_id",[3]characters!$1:$1,0)+1,FALSE)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38" s="7">
        <v>10</v>
      </c>
      <c r="AG338" s="26">
        <f t="shared" ca="1" si="386"/>
        <v>2</v>
      </c>
      <c r="AH338" s="8">
        <v>20</v>
      </c>
      <c r="AI338" s="7">
        <v>0</v>
      </c>
      <c r="AJ338" s="7">
        <v>0</v>
      </c>
      <c r="AK338" s="7">
        <v>0</v>
      </c>
      <c r="AL338" s="7">
        <v>0</v>
      </c>
      <c r="AM338" s="7">
        <v>1</v>
      </c>
    </row>
    <row r="339" spans="1:39" ht="14" x14ac:dyDescent="0.15">
      <c r="A339" s="18" t="str">
        <f t="shared" ca="1" si="375"/>
        <v>24_1-5/247&lt;lv49&gt;s2</v>
      </c>
      <c r="B339" s="50">
        <v>24</v>
      </c>
      <c r="C339" s="49">
        <v>1</v>
      </c>
      <c r="D339" s="2" t="str">
        <f t="shared" si="376"/>
        <v>24_1</v>
      </c>
      <c r="E339" s="2" t="str">
        <f t="shared" si="376"/>
        <v>1_24_1</v>
      </c>
      <c r="F339" s="4" t="str">
        <f ca="1">VLOOKUP($D339,OFFSET([1]stages!$A$1,0,0,COUNTA([1]stages!$A:$A),MATCH(F$1,[1]stages!$2:$2,0)-MATCH($D$1,[1]stages!$2:$2,0)+1),MATCH(F$1,[1]stages!$2:$2,0)-MATCH($D$1,[1]stages!$2:$2,0)+1,FALSE)</f>
        <v>24-1．開戦の電磁</v>
      </c>
      <c r="G339" s="55">
        <v>5</v>
      </c>
      <c r="H339" s="17" t="str">
        <f t="shared" si="377"/>
        <v>24_1-5</v>
      </c>
      <c r="I339" s="17"/>
      <c r="J339" s="17"/>
      <c r="K339" s="65" t="s">
        <v>56</v>
      </c>
      <c r="L339" s="52">
        <v>247</v>
      </c>
      <c r="M339" s="21" t="str">
        <f ca="1">VLOOKUP($L339,OFFSET([2]enemies!$A$1,0,0,COUNTA([2]enemies!$A:$A),MATCH(M$1,[2]enemies!$1:$1,0)-MATCH($L$1,[2]enemies!$1:$1,0)+1),MATCH(M$1,[2]enemies!$1:$1,0)-MATCH($L$1,[2]enemies!$1:$1,0)+1,FALSE)</f>
        <v>ミカエル</v>
      </c>
      <c r="N339" s="21" t="str">
        <f ca="1">VLOOKUP($L339,OFFSET([2]enemies!$A$1,0,0,COUNTA([2]enemies!$A:$A),MATCH(N$1,[2]enemies!$1:$1,0)-MATCH($L$1,[2]enemies!$1:$1,0)+1),MATCH(N$1,[2]enemies!$1:$1,0)-MATCH($L$1,[2]enemies!$1:$1,0)+1,FALSE)</f>
        <v>yellow</v>
      </c>
      <c r="O339" s="21" t="str">
        <f ca="1">VLOOKUP($L339,OFFSET([3]characters!$A$1,0,0,COUNTA([3]characters!$A:$A),MATCH(O$1,[3]characters!$1:$1,0)-MATCH($L$1,[3]characters!$1:$1,0)+1),MATCH(O$1,[3]characters!$1:$1,0)-MATCH($L$1,[3]characters!$1:$1,0)+1,FALSE)</f>
        <v>PremiumS</v>
      </c>
      <c r="P339" s="21" t="str">
        <f ca="1">VLOOKUP($L339,OFFSET([2]enemies!$A$1,0,0,COUNTA([2]enemies!$A:$A),MATCH(P$1,[2]enemies!$1:$1,0)-MATCH($L$1,[2]enemies!$1:$1,0)+1),MATCH(P$1,[2]enemies!$1:$1,0)-MATCH($L$1,[2]enemies!$1:$1,0)+1,FALSE)</f>
        <v>machine</v>
      </c>
      <c r="Q339" s="21">
        <f ca="1">VLOOKUP($L339,OFFSET([2]enemies!$A$1,0,0,COUNTA([2]enemies!$A:$A),MATCH(Q$1,[2]enemies!$1:$1,0)-MATCH($L$1,[2]enemies!$1:$1,0)+1),MATCH(Q$1,[2]enemies!$1:$1,0)-MATCH($L$1,[2]enemies!$1:$1,0)+1,FALSE)</f>
        <v>20</v>
      </c>
      <c r="R339" s="53">
        <v>49</v>
      </c>
      <c r="S339" s="27">
        <v>2.2999999999999998</v>
      </c>
      <c r="T339" s="27">
        <v>1.1000000000000001</v>
      </c>
      <c r="U339" s="5">
        <v>0</v>
      </c>
      <c r="V339" s="4" t="str">
        <f ca="1">VLOOKUP($W339,OFFSET([4]enemy_skill_sets!$B$1,0,0,COUNTA([4]enemy_skill_sets!$B:$B),MATCH(M$1,[4]enemy_skill_sets!$1:$1,0)-MATCH($W$1,[4]enemy_skill_sets!$1:$1,0)+2),MATCH(M$1,[4]enemy_skill_sets!$1:$1,0)-MATCH($W$1,[4]enemy_skill_sets!$1:$1,0)+2,FALSE)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</v>
      </c>
      <c r="W339" s="64">
        <v>24701</v>
      </c>
      <c r="X339" s="6">
        <v>0</v>
      </c>
      <c r="Y339" s="6">
        <v>100</v>
      </c>
      <c r="Z339" s="6">
        <v>1</v>
      </c>
      <c r="AA339" s="4">
        <f ca="1">VLOOKUP($L339,OFFSET([2]enemies!$A$1,0,0,COUNTA([2]enemies!$A:$A),MATCH(AA$1,[2]enemies!$1:$1,0)-MATCH($L$1,[2]enemies!$1:$1,0)+1),MATCH(AA$1,[2]enemies!$1:$1,0)-MATCH($L$1,[2]enemies!$1:$1,0)+1,FALSE)</f>
        <v>2</v>
      </c>
      <c r="AB339" s="52">
        <v>247</v>
      </c>
      <c r="AC339" s="4" t="str">
        <f ca="1">VLOOKUP($AB339,OFFSET([3]characters!$A$1,0,0,COUNTA([3]characters!$A:$A),MATCH(AC$1,[3]characters!$1:$1,0)-MATCH("character_id",[3]characters!$1:$1,0)+1),MATCH(AC$1,[3]characters!$1:$1,0)-MATCH("character_id",[3]characters!$1:$1,0)+1,FALSE)</f>
        <v>ミカエル</v>
      </c>
      <c r="AD339" s="4">
        <f ca="1">VLOOKUP($AB339,OFFSET([3]characters!$A$1,0,0,COUNTA([3]characters!$A:$A),MATCH(AD$1,[3]characters!$1:$1,0)-MATCH("character_id",[3]characters!$1:$1,0)+1),MATCH(AD$1,[3]characters!$1:$1,0)-MATCH("character_id",[3]characters!$1:$1,0)+1,FALSE)</f>
        <v>3</v>
      </c>
      <c r="AE339" s="4" t="str">
        <f ca="1">VLOOKUP($AB339,OFFSET([3]characters!$A$1,0,0,COUNTA([3]characters!$A:$A),MATCH(AE$1,[3]characters!$1:$1,0)-MATCH("character_id",[3]characters!$1:$1,0)+1),MATCH(AE$1,[3]characters!$1:$1,0)-MATCH("character_id",[3]characters!$1:$1,0)+1,FALSE)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339" s="7">
        <v>1</v>
      </c>
      <c r="AG339" s="26">
        <f t="shared" ca="1" si="386"/>
        <v>3</v>
      </c>
      <c r="AH339" s="8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1</v>
      </c>
    </row>
    <row r="340" spans="1:39" ht="14" x14ac:dyDescent="0.15">
      <c r="A340" s="18" t="str">
        <f t="shared" ca="1" si="375"/>
        <v>24_2-1/11&lt;lv48&gt;s3</v>
      </c>
      <c r="B340" s="50">
        <v>24</v>
      </c>
      <c r="C340" s="49">
        <v>2</v>
      </c>
      <c r="D340" s="2" t="str">
        <f t="shared" si="376"/>
        <v>24_2</v>
      </c>
      <c r="E340" s="2" t="str">
        <f t="shared" si="376"/>
        <v>2_24_2</v>
      </c>
      <c r="F340" s="4" t="str">
        <f ca="1">VLOOKUP($D340,OFFSET([1]stages!$A$1,0,0,COUNTA([1]stages!$A:$A),MATCH(F$1,[1]stages!$2:$2,0)-MATCH($D$1,[1]stages!$2:$2,0)+1),MATCH(F$1,[1]stages!$2:$2,0)-MATCH($D$1,[1]stages!$2:$2,0)+1,FALSE)</f>
        <v>24-2．奇襲と増援</v>
      </c>
      <c r="G340" s="56">
        <v>1</v>
      </c>
      <c r="H340" s="17" t="str">
        <f t="shared" si="377"/>
        <v>24_2-1</v>
      </c>
      <c r="I340" s="17"/>
      <c r="J340" s="17"/>
      <c r="K340" s="65" t="s">
        <v>56</v>
      </c>
      <c r="L340" s="52">
        <v>11</v>
      </c>
      <c r="M340" s="21" t="str">
        <f ca="1">VLOOKUP($L340,OFFSET([2]enemies!$A$1,0,0,COUNTA([2]enemies!$A:$A),MATCH(M$1,[2]enemies!$1:$1,0)-MATCH($L$1,[2]enemies!$1:$1,0)+1),MATCH(M$1,[2]enemies!$1:$1,0)-MATCH($L$1,[2]enemies!$1:$1,0)+1,FALSE)</f>
        <v>マグリット</v>
      </c>
      <c r="N340" s="21" t="str">
        <f ca="1">VLOOKUP($L340,OFFSET([2]enemies!$A$1,0,0,COUNTA([2]enemies!$A:$A),MATCH(N$1,[2]enemies!$1:$1,0)-MATCH($L$1,[2]enemies!$1:$1,0)+1),MATCH(N$1,[2]enemies!$1:$1,0)-MATCH($L$1,[2]enemies!$1:$1,0)+1,FALSE)</f>
        <v>green</v>
      </c>
      <c r="O340" s="21" t="str">
        <f ca="1">VLOOKUP($L340,OFFSET([3]characters!$A$1,0,0,COUNTA([3]characters!$A:$A),MATCH(O$1,[3]characters!$1:$1,0)-MATCH($L$1,[3]characters!$1:$1,0)+1),MATCH(O$1,[3]characters!$1:$1,0)-MATCH($L$1,[3]characters!$1:$1,0)+1,FALSE)</f>
        <v>Drop1W</v>
      </c>
      <c r="P340" s="21" t="str">
        <f ca="1">VLOOKUP($L340,OFFSET([2]enemies!$A$1,0,0,COUNTA([2]enemies!$A:$A),MATCH(P$1,[2]enemies!$1:$1,0)-MATCH($L$1,[2]enemies!$1:$1,0)+1),MATCH(P$1,[2]enemies!$1:$1,0)-MATCH($L$1,[2]enemies!$1:$1,0)+1,FALSE)</f>
        <v>animal</v>
      </c>
      <c r="Q340" s="21">
        <f ca="1">VLOOKUP($L340,OFFSET([2]enemies!$A$1,0,0,COUNTA([2]enemies!$A:$A),MATCH(Q$1,[2]enemies!$1:$1,0)-MATCH($L$1,[2]enemies!$1:$1,0)+1),MATCH(Q$1,[2]enemies!$1:$1,0)-MATCH($L$1,[2]enemies!$1:$1,0)+1,FALSE)</f>
        <v>15</v>
      </c>
      <c r="R340" s="53">
        <v>48</v>
      </c>
      <c r="S340" s="27">
        <v>1</v>
      </c>
      <c r="T340" s="27">
        <v>1</v>
      </c>
      <c r="U340" s="5">
        <v>0</v>
      </c>
      <c r="V340" s="4" t="str">
        <f ca="1">VLOOKUP($W340,OFFSET([4]enemy_skill_sets!$B$1,0,0,COUNTA([4]enemy_skill_sets!$B:$B),MATCH(M$1,[4]enemy_skill_sets!$1:$1,0)-MATCH($W$1,[4]enemy_skill_sets!$1:$1,0)+2),MATCH(M$1,[4]enemy_skill_sets!$1:$1,0)-MATCH($W$1,[4]enemy_skill_sets!$1:$1,0)+2,FALSE)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40" s="4">
        <f ca="1">VLOOKUP($L340,OFFSET([2]enemies!$A$1,0,0,COUNTA([2]enemies!$A:$A),MATCH(W$1,[2]enemies!$1:$1,0)-MATCH($L$1,[2]enemies!$1:$1,0)+1),MATCH(W$1,[2]enemies!$1:$1,0)-MATCH($L$1,[2]enemies!$1:$1,0)+1,FALSE)</f>
        <v>0</v>
      </c>
      <c r="X340" s="6">
        <v>0</v>
      </c>
      <c r="Y340" s="6">
        <v>100</v>
      </c>
      <c r="Z340" s="6">
        <v>0</v>
      </c>
      <c r="AA340" s="4">
        <f ca="1">VLOOKUP($L340,OFFSET([2]enemies!$A$1,0,0,COUNTA([2]enemies!$A:$A),MATCH(AA$1,[2]enemies!$1:$1,0)-MATCH($L$1,[2]enemies!$1:$1,0)+1),MATCH(AA$1,[2]enemies!$1:$1,0)-MATCH($L$1,[2]enemies!$1:$1,0)+1,FALSE)</f>
        <v>3</v>
      </c>
      <c r="AB340" s="52">
        <v>11</v>
      </c>
      <c r="AC340" s="4" t="str">
        <f ca="1">VLOOKUP($AB340,OFFSET([3]characters!$A$1,0,0,COUNTA([3]characters!$A:$A),MATCH(AC$1,[3]characters!$1:$1,0)-MATCH("character_id",[3]characters!$1:$1,0)+1),MATCH(AC$1,[3]characters!$1:$1,0)-MATCH("character_id",[3]characters!$1:$1,0)+1,FALSE)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340" s="4">
        <f ca="1">VLOOKUP($AB340,OFFSET([3]characters!$A$1,0,0,COUNTA([3]characters!$A:$A),MATCH(AD$1,[3]characters!$1:$1,0)-MATCH("character_id",[3]characters!$1:$1,0)+1),MATCH(AD$1,[3]characters!$1:$1,0)-MATCH("character_id",[3]characters!$1:$1,0)+1,FALSE)</f>
        <v>1</v>
      </c>
      <c r="AE340" s="4" t="str">
        <f ca="1">VLOOKUP($AB340,OFFSET([3]characters!$A$1,0,0,COUNTA([3]characters!$A:$A),MATCH(AE$1,[3]characters!$1:$1,0)-MATCH("character_id",[3]characters!$1:$1,0)+1),MATCH(AE$1,[3]characters!$1:$1,0)-MATCH("character_id",[3]characters!$1:$1,0)+1,FALSE)</f>
        <v>Drop1W</v>
      </c>
      <c r="AF340" s="7">
        <v>9</v>
      </c>
      <c r="AG340" s="26">
        <f t="shared" ca="1" si="386"/>
        <v>1</v>
      </c>
      <c r="AH340" s="8">
        <v>20</v>
      </c>
      <c r="AI340" s="7">
        <v>0</v>
      </c>
      <c r="AJ340" s="7">
        <v>0</v>
      </c>
      <c r="AK340" s="7">
        <v>0</v>
      </c>
      <c r="AL340" s="7">
        <v>0</v>
      </c>
      <c r="AM340" s="7">
        <v>1</v>
      </c>
    </row>
    <row r="341" spans="1:39" ht="14" x14ac:dyDescent="0.15">
      <c r="A341" s="18" t="str">
        <f t="shared" ca="1" si="375"/>
        <v>24_2-1/23&lt;lv48&gt;s4</v>
      </c>
      <c r="B341" s="50">
        <v>24</v>
      </c>
      <c r="C341" s="49">
        <v>2</v>
      </c>
      <c r="D341" s="2" t="str">
        <f t="shared" si="376"/>
        <v>24_2</v>
      </c>
      <c r="E341" s="2" t="str">
        <f t="shared" si="376"/>
        <v>2_24_2</v>
      </c>
      <c r="F341" s="4" t="str">
        <f ca="1">VLOOKUP($D341,OFFSET([1]stages!$A$1,0,0,COUNTA([1]stages!$A:$A),MATCH(F$1,[1]stages!$2:$2,0)-MATCH($D$1,[1]stages!$2:$2,0)+1),MATCH(F$1,[1]stages!$2:$2,0)-MATCH($D$1,[1]stages!$2:$2,0)+1,FALSE)</f>
        <v>24-2．奇襲と増援</v>
      </c>
      <c r="G341" s="56">
        <v>1</v>
      </c>
      <c r="H341" s="17" t="str">
        <f t="shared" si="377"/>
        <v>24_2-1</v>
      </c>
      <c r="I341" s="17"/>
      <c r="J341" s="17"/>
      <c r="K341" s="65" t="s">
        <v>56</v>
      </c>
      <c r="L341" s="52">
        <v>23</v>
      </c>
      <c r="M341" s="21" t="str">
        <f ca="1">VLOOKUP($L341,OFFSET([2]enemies!$A$1,0,0,COUNTA([2]enemies!$A:$A),MATCH(M$1,[2]enemies!$1:$1,0)-MATCH($L$1,[2]enemies!$1:$1,0)+1),MATCH(M$1,[2]enemies!$1:$1,0)-MATCH($L$1,[2]enemies!$1:$1,0)+1,FALSE)</f>
        <v>ミール</v>
      </c>
      <c r="N341" s="21" t="str">
        <f ca="1">VLOOKUP($L341,OFFSET([2]enemies!$A$1,0,0,COUNTA([2]enemies!$A:$A),MATCH(N$1,[2]enemies!$1:$1,0)-MATCH($L$1,[2]enemies!$1:$1,0)+1),MATCH(N$1,[2]enemies!$1:$1,0)-MATCH($L$1,[2]enemies!$1:$1,0)+1,FALSE)</f>
        <v>green</v>
      </c>
      <c r="O341" s="21" t="str">
        <f ca="1">VLOOKUP($L341,OFFSET([3]characters!$A$1,0,0,COUNTA([3]characters!$A:$A),MATCH(O$1,[3]characters!$1:$1,0)-MATCH($L$1,[3]characters!$1:$1,0)+1),MATCH(O$1,[3]characters!$1:$1,0)-MATCH($L$1,[3]characters!$1:$1,0)+1,FALSE)</f>
        <v>Drop1N</v>
      </c>
      <c r="P341" s="21" t="str">
        <f ca="1">VLOOKUP($L341,OFFSET([2]enemies!$A$1,0,0,COUNTA([2]enemies!$A:$A),MATCH(P$1,[2]enemies!$1:$1,0)-MATCH($L$1,[2]enemies!$1:$1,0)+1),MATCH(P$1,[2]enemies!$1:$1,0)-MATCH($L$1,[2]enemies!$1:$1,0)+1,FALSE)</f>
        <v>animal</v>
      </c>
      <c r="Q341" s="21">
        <f ca="1">VLOOKUP($L341,OFFSET([2]enemies!$A$1,0,0,COUNTA([2]enemies!$A:$A),MATCH(Q$1,[2]enemies!$1:$1,0)-MATCH($L$1,[2]enemies!$1:$1,0)+1),MATCH(Q$1,[2]enemies!$1:$1,0)-MATCH($L$1,[2]enemies!$1:$1,0)+1,FALSE)</f>
        <v>15</v>
      </c>
      <c r="R341" s="53">
        <v>48</v>
      </c>
      <c r="S341" s="27">
        <v>1</v>
      </c>
      <c r="T341" s="27">
        <v>1</v>
      </c>
      <c r="U341" s="5">
        <v>0</v>
      </c>
      <c r="V341" s="4" t="str">
        <f ca="1">VLOOKUP($W341,OFFSET([4]enemy_skill_sets!$B$1,0,0,COUNTA([4]enemy_skill_sets!$B:$B),MATCH(M$1,[4]enemy_skill_sets!$1:$1,0)-MATCH($W$1,[4]enemy_skill_sets!$1:$1,0)+2),MATCH(M$1,[4]enemy_skill_sets!$1:$1,0)-MATCH($W$1,[4]enemy_skill_sets!$1:$1,0)+2,FALSE)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41" s="4">
        <f ca="1">VLOOKUP($L341,OFFSET([2]enemies!$A$1,0,0,COUNTA([2]enemies!$A:$A),MATCH(W$1,[2]enemies!$1:$1,0)-MATCH($L$1,[2]enemies!$1:$1,0)+1),MATCH(W$1,[2]enemies!$1:$1,0)-MATCH($L$1,[2]enemies!$1:$1,0)+1,FALSE)</f>
        <v>0</v>
      </c>
      <c r="X341" s="6">
        <v>0</v>
      </c>
      <c r="Y341" s="6">
        <v>100</v>
      </c>
      <c r="Z341" s="6">
        <v>0</v>
      </c>
      <c r="AA341" s="4">
        <f ca="1">VLOOKUP($L341,OFFSET([2]enemies!$A$1,0,0,COUNTA([2]enemies!$A:$A),MATCH(AA$1,[2]enemies!$1:$1,0)-MATCH($L$1,[2]enemies!$1:$1,0)+1),MATCH(AA$1,[2]enemies!$1:$1,0)-MATCH($L$1,[2]enemies!$1:$1,0)+1,FALSE)</f>
        <v>4</v>
      </c>
      <c r="AB341" s="52">
        <v>23</v>
      </c>
      <c r="AC341" s="4" t="str">
        <f ca="1">VLOOKUP($AB341,OFFSET([3]characters!$A$1,0,0,COUNTA([3]characters!$A:$A),MATCH(AC$1,[3]characters!$1:$1,0)-MATCH("character_id",[3]characters!$1:$1,0)+1),MATCH(AC$1,[3]characters!$1:$1,0)-MATCH("character_id",[3]characters!$1:$1,0)+1,FALSE)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341" s="4">
        <f ca="1">VLOOKUP($AB341,OFFSET([3]characters!$A$1,0,0,COUNTA([3]characters!$A:$A),MATCH(AD$1,[3]characters!$1:$1,0)-MATCH("character_id",[3]characters!$1:$1,0)+1),MATCH(AD$1,[3]characters!$1:$1,0)-MATCH("character_id",[3]characters!$1:$1,0)+1,FALSE)</f>
        <v>1</v>
      </c>
      <c r="AE341" s="4" t="str">
        <f ca="1">VLOOKUP($AB341,OFFSET([3]characters!$A$1,0,0,COUNTA([3]characters!$A:$A),MATCH(AE$1,[3]characters!$1:$1,0)-MATCH("character_id",[3]characters!$1:$1,0)+1),MATCH(AE$1,[3]characters!$1:$1,0)-MATCH("character_id",[3]characters!$1:$1,0)+1,FALSE)</f>
        <v>Drop1N</v>
      </c>
      <c r="AF341" s="7">
        <v>7</v>
      </c>
      <c r="AG341" s="26">
        <f t="shared" ca="1" si="386"/>
        <v>1</v>
      </c>
      <c r="AH341" s="8">
        <v>20</v>
      </c>
      <c r="AI341" s="7">
        <v>0</v>
      </c>
      <c r="AJ341" s="7">
        <v>0</v>
      </c>
      <c r="AK341" s="7">
        <v>0</v>
      </c>
      <c r="AL341" s="7">
        <v>0</v>
      </c>
      <c r="AM341" s="7">
        <v>1</v>
      </c>
    </row>
    <row r="342" spans="1:39" ht="14" x14ac:dyDescent="0.15">
      <c r="A342" s="18" t="str">
        <f t="shared" ca="1" si="375"/>
        <v>24_2-1/59&lt;lv48&gt;s2</v>
      </c>
      <c r="B342" s="50">
        <v>24</v>
      </c>
      <c r="C342" s="49">
        <v>2</v>
      </c>
      <c r="D342" s="2" t="str">
        <f t="shared" si="376"/>
        <v>24_2</v>
      </c>
      <c r="E342" s="2" t="str">
        <f t="shared" si="376"/>
        <v>2_24_2</v>
      </c>
      <c r="F342" s="4" t="str">
        <f ca="1">VLOOKUP($D342,OFFSET([1]stages!$A$1,0,0,COUNTA([1]stages!$A:$A),MATCH(F$1,[1]stages!$2:$2,0)-MATCH($D$1,[1]stages!$2:$2,0)+1),MATCH(F$1,[1]stages!$2:$2,0)-MATCH($D$1,[1]stages!$2:$2,0)+1,FALSE)</f>
        <v>24-2．奇襲と増援</v>
      </c>
      <c r="G342" s="56">
        <v>1</v>
      </c>
      <c r="H342" s="17" t="str">
        <f t="shared" si="377"/>
        <v>24_2-1</v>
      </c>
      <c r="I342" s="17"/>
      <c r="J342" s="17"/>
      <c r="K342" s="65" t="s">
        <v>56</v>
      </c>
      <c r="L342" s="52">
        <v>59</v>
      </c>
      <c r="M342" s="21" t="str">
        <f ca="1">VLOOKUP($L342,OFFSET([2]enemies!$A$1,0,0,COUNTA([2]enemies!$A:$A),MATCH(M$1,[2]enemies!$1:$1,0)-MATCH($L$1,[2]enemies!$1:$1,0)+1),MATCH(M$1,[2]enemies!$1:$1,0)-MATCH($L$1,[2]enemies!$1:$1,0)+1,FALSE)</f>
        <v>マーチ</v>
      </c>
      <c r="N342" s="21" t="str">
        <f ca="1">VLOOKUP($L342,OFFSET([2]enemies!$A$1,0,0,COUNTA([2]enemies!$A:$A),MATCH(N$1,[2]enemies!$1:$1,0)-MATCH($L$1,[2]enemies!$1:$1,0)+1),MATCH(N$1,[2]enemies!$1:$1,0)-MATCH($L$1,[2]enemies!$1:$1,0)+1,FALSE)</f>
        <v>green</v>
      </c>
      <c r="O342" s="21" t="str">
        <f ca="1">VLOOKUP($L342,OFFSET([3]characters!$A$1,0,0,COUNTA([3]characters!$A:$A),MATCH(O$1,[3]characters!$1:$1,0)-MATCH($L$1,[3]characters!$1:$1,0)+1),MATCH(O$1,[3]characters!$1:$1,0)-MATCH($L$1,[3]characters!$1:$1,0)+1,FALSE)</f>
        <v>Drop1N</v>
      </c>
      <c r="P342" s="21" t="str">
        <f ca="1">VLOOKUP($L342,OFFSET([2]enemies!$A$1,0,0,COUNTA([2]enemies!$A:$A),MATCH(P$1,[2]enemies!$1:$1,0)-MATCH($L$1,[2]enemies!$1:$1,0)+1),MATCH(P$1,[2]enemies!$1:$1,0)-MATCH($L$1,[2]enemies!$1:$1,0)+1,FALSE)</f>
        <v>animal</v>
      </c>
      <c r="Q342" s="21">
        <f ca="1">VLOOKUP($L342,OFFSET([2]enemies!$A$1,0,0,COUNTA([2]enemies!$A:$A),MATCH(Q$1,[2]enemies!$1:$1,0)-MATCH($L$1,[2]enemies!$1:$1,0)+1),MATCH(Q$1,[2]enemies!$1:$1,0)-MATCH($L$1,[2]enemies!$1:$1,0)+1,FALSE)</f>
        <v>15</v>
      </c>
      <c r="R342" s="53">
        <v>48</v>
      </c>
      <c r="S342" s="27">
        <v>1</v>
      </c>
      <c r="T342" s="27">
        <v>1</v>
      </c>
      <c r="U342" s="5">
        <v>0</v>
      </c>
      <c r="V342" s="4" t="str">
        <f ca="1">VLOOKUP($W342,OFFSET([4]enemy_skill_sets!$B$1,0,0,COUNTA([4]enemy_skill_sets!$B:$B),MATCH(M$1,[4]enemy_skill_sets!$1:$1,0)-MATCH($W$1,[4]enemy_skill_sets!$1:$1,0)+2),MATCH(M$1,[4]enemy_skill_sets!$1:$1,0)-MATCH($W$1,[4]enemy_skill_sets!$1:$1,0)+2,FALSE)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342" s="4">
        <f ca="1">VLOOKUP($L342,OFFSET([2]enemies!$A$1,0,0,COUNTA([2]enemies!$A:$A),MATCH(W$1,[2]enemies!$1:$1,0)-MATCH($L$1,[2]enemies!$1:$1,0)+1),MATCH(W$1,[2]enemies!$1:$1,0)-MATCH($L$1,[2]enemies!$1:$1,0)+1,FALSE)</f>
        <v>59</v>
      </c>
      <c r="X342" s="6">
        <v>0</v>
      </c>
      <c r="Y342" s="6">
        <v>100</v>
      </c>
      <c r="Z342" s="6">
        <v>0</v>
      </c>
      <c r="AA342" s="4">
        <f ca="1">VLOOKUP($L342,OFFSET([2]enemies!$A$1,0,0,COUNTA([2]enemies!$A:$A),MATCH(AA$1,[2]enemies!$1:$1,0)-MATCH($L$1,[2]enemies!$1:$1,0)+1),MATCH(AA$1,[2]enemies!$1:$1,0)-MATCH($L$1,[2]enemies!$1:$1,0)+1,FALSE)</f>
        <v>2</v>
      </c>
      <c r="AB342" s="52">
        <v>59</v>
      </c>
      <c r="AC342" s="4" t="str">
        <f ca="1">VLOOKUP($AB342,OFFSET([3]characters!$A$1,0,0,COUNTA([3]characters!$A:$A),MATCH(AC$1,[3]characters!$1:$1,0)-MATCH("character_id",[3]characters!$1:$1,0)+1),MATCH(AC$1,[3]characters!$1:$1,0)-MATCH("character_id",[3]characters!$1:$1,0)+1,FALSE)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342" s="4">
        <f ca="1">VLOOKUP($AB342,OFFSET([3]characters!$A$1,0,0,COUNTA([3]characters!$A:$A),MATCH(AD$1,[3]characters!$1:$1,0)-MATCH("character_id",[3]characters!$1:$1,0)+1),MATCH(AD$1,[3]characters!$1:$1,0)-MATCH("character_id",[3]characters!$1:$1,0)+1,FALSE)</f>
        <v>2</v>
      </c>
      <c r="AE342" s="4" t="str">
        <f ca="1">VLOOKUP($AB342,OFFSET([3]characters!$A$1,0,0,COUNTA([3]characters!$A:$A),MATCH(AE$1,[3]characters!$1:$1,0)-MATCH("character_id",[3]characters!$1:$1,0)+1),MATCH(AE$1,[3]characters!$1:$1,0)-MATCH("character_id",[3]characters!$1:$1,0)+1,FALSE)</f>
        <v>Drop1N</v>
      </c>
      <c r="AF342" s="7">
        <v>7</v>
      </c>
      <c r="AG342" s="26">
        <f t="shared" ca="1" si="386"/>
        <v>2</v>
      </c>
      <c r="AH342" s="8">
        <v>20</v>
      </c>
      <c r="AI342" s="7">
        <v>0</v>
      </c>
      <c r="AJ342" s="7">
        <v>0</v>
      </c>
      <c r="AK342" s="7">
        <v>0</v>
      </c>
      <c r="AL342" s="7">
        <v>0</v>
      </c>
      <c r="AM342" s="7">
        <v>1</v>
      </c>
    </row>
    <row r="343" spans="1:39" ht="14" x14ac:dyDescent="0.15">
      <c r="A343" s="18" t="str">
        <f t="shared" ca="1" si="375"/>
        <v>24_2-1/27&lt;lv48&gt;s1</v>
      </c>
      <c r="B343" s="50">
        <v>24</v>
      </c>
      <c r="C343" s="49">
        <v>2</v>
      </c>
      <c r="D343" s="2" t="str">
        <f t="shared" si="376"/>
        <v>24_2</v>
      </c>
      <c r="E343" s="2" t="str">
        <f t="shared" si="376"/>
        <v>2_24_2</v>
      </c>
      <c r="F343" s="4" t="str">
        <f ca="1">VLOOKUP($D343,OFFSET([1]stages!$A$1,0,0,COUNTA([1]stages!$A:$A),MATCH(F$1,[1]stages!$2:$2,0)-MATCH($D$1,[1]stages!$2:$2,0)+1),MATCH(F$1,[1]stages!$2:$2,0)-MATCH($D$1,[1]stages!$2:$2,0)+1,FALSE)</f>
        <v>24-2．奇襲と増援</v>
      </c>
      <c r="G343" s="56">
        <v>1</v>
      </c>
      <c r="H343" s="17" t="str">
        <f t="shared" si="377"/>
        <v>24_2-1</v>
      </c>
      <c r="I343" s="17"/>
      <c r="J343" s="17"/>
      <c r="K343" s="65" t="s">
        <v>56</v>
      </c>
      <c r="L343" s="52">
        <v>27</v>
      </c>
      <c r="M343" s="21" t="str">
        <f ca="1">VLOOKUP($L343,OFFSET([2]enemies!$A$1,0,0,COUNTA([2]enemies!$A:$A),MATCH(M$1,[2]enemies!$1:$1,0)-MATCH($L$1,[2]enemies!$1:$1,0)+1),MATCH(M$1,[2]enemies!$1:$1,0)-MATCH($L$1,[2]enemies!$1:$1,0)+1,FALSE)</f>
        <v>パトライン</v>
      </c>
      <c r="N343" s="21" t="str">
        <f ca="1">VLOOKUP($L343,OFFSET([2]enemies!$A$1,0,0,COUNTA([2]enemies!$A:$A),MATCH(N$1,[2]enemies!$1:$1,0)-MATCH($L$1,[2]enemies!$1:$1,0)+1),MATCH(N$1,[2]enemies!$1:$1,0)-MATCH($L$1,[2]enemies!$1:$1,0)+1,FALSE)</f>
        <v>green</v>
      </c>
      <c r="O343" s="21" t="str">
        <f ca="1">VLOOKUP($L343,OFFSET([3]characters!$A$1,0,0,COUNTA([3]characters!$A:$A),MATCH(O$1,[3]characters!$1:$1,0)-MATCH($L$1,[3]characters!$1:$1,0)+1),MATCH(O$1,[3]characters!$1:$1,0)-MATCH($L$1,[3]characters!$1:$1,0)+1,FALSE)</f>
        <v>Drop1N</v>
      </c>
      <c r="P343" s="21" t="str">
        <f ca="1">VLOOKUP($L343,OFFSET([2]enemies!$A$1,0,0,COUNTA([2]enemies!$A:$A),MATCH(P$1,[2]enemies!$1:$1,0)-MATCH($L$1,[2]enemies!$1:$1,0)+1),MATCH(P$1,[2]enemies!$1:$1,0)-MATCH($L$1,[2]enemies!$1:$1,0)+1,FALSE)</f>
        <v>machine</v>
      </c>
      <c r="Q343" s="21">
        <f ca="1">VLOOKUP($L343,OFFSET([2]enemies!$A$1,0,0,COUNTA([2]enemies!$A:$A),MATCH(Q$1,[2]enemies!$1:$1,0)-MATCH($L$1,[2]enemies!$1:$1,0)+1),MATCH(Q$1,[2]enemies!$1:$1,0)-MATCH($L$1,[2]enemies!$1:$1,0)+1,FALSE)</f>
        <v>15</v>
      </c>
      <c r="R343" s="53">
        <v>48</v>
      </c>
      <c r="S343" s="27">
        <v>1</v>
      </c>
      <c r="T343" s="27">
        <v>1</v>
      </c>
      <c r="U343" s="5">
        <v>0</v>
      </c>
      <c r="V343" s="4" t="str">
        <f ca="1">VLOOKUP($W343,OFFSET([4]enemy_skill_sets!$B$1,0,0,COUNTA([4]enemy_skill_sets!$B:$B),MATCH(M$1,[4]enemy_skill_sets!$1:$1,0)-MATCH($W$1,[4]enemy_skill_sets!$1:$1,0)+2),MATCH(M$1,[4]enemy_skill_sets!$1:$1,0)-MATCH($W$1,[4]enemy_skill_sets!$1:$1,0)+2,FALSE)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43" s="4">
        <f ca="1">VLOOKUP($L343,OFFSET([2]enemies!$A$1,0,0,COUNTA([2]enemies!$A:$A),MATCH(W$1,[2]enemies!$1:$1,0)-MATCH($L$1,[2]enemies!$1:$1,0)+1),MATCH(W$1,[2]enemies!$1:$1,0)-MATCH($L$1,[2]enemies!$1:$1,0)+1,FALSE)</f>
        <v>0</v>
      </c>
      <c r="X343" s="6">
        <v>0</v>
      </c>
      <c r="Y343" s="6">
        <v>100</v>
      </c>
      <c r="Z343" s="6">
        <v>0</v>
      </c>
      <c r="AA343" s="4">
        <f ca="1">VLOOKUP($L343,OFFSET([2]enemies!$A$1,0,0,COUNTA([2]enemies!$A:$A),MATCH(AA$1,[2]enemies!$1:$1,0)-MATCH($L$1,[2]enemies!$1:$1,0)+1),MATCH(AA$1,[2]enemies!$1:$1,0)-MATCH($L$1,[2]enemies!$1:$1,0)+1,FALSE)</f>
        <v>1</v>
      </c>
      <c r="AB343" s="52">
        <v>27</v>
      </c>
      <c r="AC343" s="4" t="str">
        <f ca="1">VLOOKUP($AB343,OFFSET([3]characters!$A$1,0,0,COUNTA([3]characters!$A:$A),MATCH(AC$1,[3]characters!$1:$1,0)-MATCH("character_id",[3]characters!$1:$1,0)+1),MATCH(AC$1,[3]characters!$1:$1,0)-MATCH("character_id",[3]characters!$1:$1,0)+1,FALSE)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343" s="4">
        <f ca="1">VLOOKUP($AB343,OFFSET([3]characters!$A$1,0,0,COUNTA([3]characters!$A:$A),MATCH(AD$1,[3]characters!$1:$1,0)-MATCH("character_id",[3]characters!$1:$1,0)+1),MATCH(AD$1,[3]characters!$1:$1,0)-MATCH("character_id",[3]characters!$1:$1,0)+1,FALSE)</f>
        <v>1</v>
      </c>
      <c r="AE343" s="4" t="str">
        <f ca="1">VLOOKUP($AB343,OFFSET([3]characters!$A$1,0,0,COUNTA([3]characters!$A:$A),MATCH(AE$1,[3]characters!$1:$1,0)-MATCH("character_id",[3]characters!$1:$1,0)+1),MATCH(AE$1,[3]characters!$1:$1,0)-MATCH("character_id",[3]characters!$1:$1,0)+1,FALSE)</f>
        <v>Drop1N</v>
      </c>
      <c r="AF343" s="7">
        <v>7</v>
      </c>
      <c r="AG343" s="26">
        <f t="shared" ca="1" si="386"/>
        <v>1</v>
      </c>
      <c r="AH343" s="8">
        <v>20</v>
      </c>
      <c r="AI343" s="7">
        <v>0</v>
      </c>
      <c r="AJ343" s="7">
        <v>0</v>
      </c>
      <c r="AK343" s="7">
        <v>0</v>
      </c>
      <c r="AL343" s="7">
        <v>0</v>
      </c>
      <c r="AM343" s="7">
        <v>1</v>
      </c>
    </row>
    <row r="344" spans="1:39" ht="14" x14ac:dyDescent="0.15">
      <c r="A344" s="18" t="str">
        <f t="shared" ca="1" si="375"/>
        <v>24_2-1/35&lt;lv48&gt;s4</v>
      </c>
      <c r="B344" s="50">
        <v>24</v>
      </c>
      <c r="C344" s="49">
        <v>2</v>
      </c>
      <c r="D344" s="2" t="str">
        <f t="shared" si="376"/>
        <v>24_2</v>
      </c>
      <c r="E344" s="2" t="str">
        <f t="shared" si="376"/>
        <v>2_24_2</v>
      </c>
      <c r="F344" s="4" t="str">
        <f ca="1">VLOOKUP($D344,OFFSET([1]stages!$A$1,0,0,COUNTA([1]stages!$A:$A),MATCH(F$1,[1]stages!$2:$2,0)-MATCH($D$1,[1]stages!$2:$2,0)+1),MATCH(F$1,[1]stages!$2:$2,0)-MATCH($D$1,[1]stages!$2:$2,0)+1,FALSE)</f>
        <v>24-2．奇襲と増援</v>
      </c>
      <c r="G344" s="56">
        <v>1</v>
      </c>
      <c r="H344" s="17" t="str">
        <f t="shared" si="377"/>
        <v>24_2-1</v>
      </c>
      <c r="I344" s="17"/>
      <c r="J344" s="17"/>
      <c r="K344" s="65" t="s">
        <v>56</v>
      </c>
      <c r="L344" s="52">
        <v>35</v>
      </c>
      <c r="M344" s="21" t="str">
        <f ca="1">VLOOKUP($L344,OFFSET([2]enemies!$A$1,0,0,COUNTA([2]enemies!$A:$A),MATCH(M$1,[2]enemies!$1:$1,0)-MATCH($L$1,[2]enemies!$1:$1,0)+1),MATCH(M$1,[2]enemies!$1:$1,0)-MATCH($L$1,[2]enemies!$1:$1,0)+1,FALSE)</f>
        <v>F2</v>
      </c>
      <c r="N344" s="21" t="str">
        <f ca="1">VLOOKUP($L344,OFFSET([2]enemies!$A$1,0,0,COUNTA([2]enemies!$A:$A),MATCH(N$1,[2]enemies!$1:$1,0)-MATCH($L$1,[2]enemies!$1:$1,0)+1),MATCH(N$1,[2]enemies!$1:$1,0)-MATCH($L$1,[2]enemies!$1:$1,0)+1,FALSE)</f>
        <v>green</v>
      </c>
      <c r="O344" s="21" t="str">
        <f ca="1">VLOOKUP($L344,OFFSET([3]characters!$A$1,0,0,COUNTA([3]characters!$A:$A),MATCH(O$1,[3]characters!$1:$1,0)-MATCH($L$1,[3]characters!$1:$1,0)+1),MATCH(O$1,[3]characters!$1:$1,0)-MATCH($L$1,[3]characters!$1:$1,0)+1,FALSE)</f>
        <v>Drop1S</v>
      </c>
      <c r="P344" s="21" t="str">
        <f ca="1">VLOOKUP($L344,OFFSET([2]enemies!$A$1,0,0,COUNTA([2]enemies!$A:$A),MATCH(P$1,[2]enemies!$1:$1,0)-MATCH($L$1,[2]enemies!$1:$1,0)+1),MATCH(P$1,[2]enemies!$1:$1,0)-MATCH($L$1,[2]enemies!$1:$1,0)+1,FALSE)</f>
        <v>machine</v>
      </c>
      <c r="Q344" s="21">
        <f ca="1">VLOOKUP($L344,OFFSET([2]enemies!$A$1,0,0,COUNTA([2]enemies!$A:$A),MATCH(Q$1,[2]enemies!$1:$1,0)-MATCH($L$1,[2]enemies!$1:$1,0)+1),MATCH(Q$1,[2]enemies!$1:$1,0)-MATCH($L$1,[2]enemies!$1:$1,0)+1,FALSE)</f>
        <v>15</v>
      </c>
      <c r="R344" s="53">
        <v>48</v>
      </c>
      <c r="S344" s="27">
        <v>1</v>
      </c>
      <c r="T344" s="27">
        <v>1</v>
      </c>
      <c r="U344" s="5">
        <v>0</v>
      </c>
      <c r="V344" s="4" t="str">
        <f ca="1">VLOOKUP($W344,OFFSET([4]enemy_skill_sets!$B$1,0,0,COUNTA([4]enemy_skill_sets!$B:$B),MATCH(M$1,[4]enemy_skill_sets!$1:$1,0)-MATCH($W$1,[4]enemy_skill_sets!$1:$1,0)+2),MATCH(M$1,[4]enemy_skill_sets!$1:$1,0)-MATCH($W$1,[4]enemy_skill_sets!$1:$1,0)+2,FALSE)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44" s="4">
        <f ca="1">VLOOKUP($L344,OFFSET([2]enemies!$A$1,0,0,COUNTA([2]enemies!$A:$A),MATCH(W$1,[2]enemies!$1:$1,0)-MATCH($L$1,[2]enemies!$1:$1,0)+1),MATCH(W$1,[2]enemies!$1:$1,0)-MATCH($L$1,[2]enemies!$1:$1,0)+1,FALSE)</f>
        <v>35</v>
      </c>
      <c r="X344" s="6">
        <v>0</v>
      </c>
      <c r="Y344" s="6">
        <v>100</v>
      </c>
      <c r="Z344" s="6">
        <v>0</v>
      </c>
      <c r="AA344" s="4">
        <f ca="1">VLOOKUP($L344,OFFSET([2]enemies!$A$1,0,0,COUNTA([2]enemies!$A:$A),MATCH(AA$1,[2]enemies!$1:$1,0)-MATCH($L$1,[2]enemies!$1:$1,0)+1),MATCH(AA$1,[2]enemies!$1:$1,0)-MATCH($L$1,[2]enemies!$1:$1,0)+1,FALSE)</f>
        <v>4</v>
      </c>
      <c r="AB344" s="52">
        <v>35</v>
      </c>
      <c r="AC344" s="4" t="str">
        <f ca="1">VLOOKUP($AB344,OFFSET([3]characters!$A$1,0,0,COUNTA([3]characters!$A:$A),MATCH(AC$1,[3]characters!$1:$1,0)-MATCH("character_id",[3]characters!$1:$1,0)+1),MATCH(AC$1,[3]characters!$1:$1,0)-MATCH("character_id",[3]characters!$1:$1,0)+1,FALSE)</f>
        <v>F2</v>
      </c>
      <c r="AD344" s="4">
        <f ca="1">VLOOKUP($AB344,OFFSET([3]characters!$A$1,0,0,COUNTA([3]characters!$A:$A),MATCH(AD$1,[3]characters!$1:$1,0)-MATCH("character_id",[3]characters!$1:$1,0)+1),MATCH(AD$1,[3]characters!$1:$1,0)-MATCH("character_id",[3]characters!$1:$1,0)+1,FALSE)</f>
        <v>2</v>
      </c>
      <c r="AE344" s="4" t="str">
        <f ca="1">VLOOKUP($AB344,OFFSET([3]characters!$A$1,0,0,COUNTA([3]characters!$A:$A),MATCH(AE$1,[3]characters!$1:$1,0)-MATCH("character_id",[3]characters!$1:$1,0)+1),MATCH(AE$1,[3]characters!$1:$1,0)-MATCH("character_id",[3]characters!$1:$1,0)+1,FALSE)</f>
        <v>Drop1S</v>
      </c>
      <c r="AF344" s="7">
        <v>5</v>
      </c>
      <c r="AG344" s="26">
        <f t="shared" ca="1" si="386"/>
        <v>2</v>
      </c>
      <c r="AH344" s="8">
        <v>20</v>
      </c>
      <c r="AI344" s="7">
        <v>0</v>
      </c>
      <c r="AJ344" s="7">
        <v>0</v>
      </c>
      <c r="AK344" s="7">
        <v>0</v>
      </c>
      <c r="AL344" s="7">
        <v>0</v>
      </c>
      <c r="AM344" s="7">
        <v>1</v>
      </c>
    </row>
    <row r="345" spans="1:39" ht="14" x14ac:dyDescent="0.15">
      <c r="A345" s="18" t="str">
        <f t="shared" ref="A345" ca="1" si="403">B345&amp;"_"&amp;C345&amp;"-"&amp;G345&amp;"/"&amp;L345&amp;"&lt;lv"&amp;R345&amp;"&gt;s"&amp;AA345</f>
        <v>24_2-1/362&lt;lv48&gt;s3</v>
      </c>
      <c r="B345" s="53">
        <v>24</v>
      </c>
      <c r="C345" s="51">
        <v>2</v>
      </c>
      <c r="D345" s="2" t="str">
        <f t="shared" ref="D345" si="404">B345&amp;"_"&amp;C345</f>
        <v>24_2</v>
      </c>
      <c r="E345" s="2" t="str">
        <f t="shared" ref="E345" si="405">C345&amp;"_"&amp;D345</f>
        <v>2_24_2</v>
      </c>
      <c r="F345" s="4" t="str">
        <f ca="1">VLOOKUP($D345,OFFSET([1]stages!$A$1,0,0,COUNTA([1]stages!$A:$A),MATCH(F$1,[1]stages!$2:$2,0)-MATCH($D$1,[1]stages!$2:$2,0)+1),MATCH(F$1,[1]stages!$2:$2,0)-MATCH($D$1,[1]stages!$2:$2,0)+1,FALSE)</f>
        <v>24-2．奇襲と増援</v>
      </c>
      <c r="G345" s="56">
        <v>1</v>
      </c>
      <c r="H345" s="17" t="str">
        <f t="shared" ref="H345" si="406">B345&amp;"_"&amp;C345&amp;"-"&amp;G345</f>
        <v>24_2-1</v>
      </c>
      <c r="I345" s="17"/>
      <c r="J345" s="17"/>
      <c r="K345" s="65" t="s">
        <v>56</v>
      </c>
      <c r="L345" s="52">
        <v>362</v>
      </c>
      <c r="M345" s="21" t="str">
        <f ca="1">VLOOKUP($L345,OFFSET([2]enemies!$A$1,0,0,COUNTA([2]enemies!$A:$A),MATCH(M$1,[2]enemies!$1:$1,0)-MATCH($L$1,[2]enemies!$1:$1,0)+1),MATCH(M$1,[2]enemies!$1:$1,0)-MATCH($L$1,[2]enemies!$1:$1,0)+1,FALSE)</f>
        <v>ゆらら</v>
      </c>
      <c r="N345" s="21" t="str">
        <f ca="1">VLOOKUP($L345,OFFSET([2]enemies!$A$1,0,0,COUNTA([2]enemies!$A:$A),MATCH(N$1,[2]enemies!$1:$1,0)-MATCH($L$1,[2]enemies!$1:$1,0)+1),MATCH(N$1,[2]enemies!$1:$1,0)-MATCH($L$1,[2]enemies!$1:$1,0)+1,FALSE)</f>
        <v>green</v>
      </c>
      <c r="O345" s="21" t="str">
        <f ca="1">VLOOKUP($L345,OFFSET([3]characters!$A$1,0,0,COUNTA([3]characters!$A:$A),MATCH(O$1,[3]characters!$1:$1,0)-MATCH($L$1,[3]characters!$1:$1,0)+1),MATCH(O$1,[3]characters!$1:$1,0)-MATCH($L$1,[3]characters!$1:$1,0)+1,FALSE)</f>
        <v>Drop1S</v>
      </c>
      <c r="P345" s="21" t="str">
        <f ca="1">VLOOKUP($L345,OFFSET([2]enemies!$A$1,0,0,COUNTA([2]enemies!$A:$A),MATCH(P$1,[2]enemies!$1:$1,0)-MATCH($L$1,[2]enemies!$1:$1,0)+1),MATCH(P$1,[2]enemies!$1:$1,0)-MATCH($L$1,[2]enemies!$1:$1,0)+1,FALSE)</f>
        <v>animal</v>
      </c>
      <c r="Q345" s="21">
        <f ca="1">VLOOKUP($L345,OFFSET([2]enemies!$A$1,0,0,COUNTA([2]enemies!$A:$A),MATCH(Q$1,[2]enemies!$1:$1,0)-MATCH($L$1,[2]enemies!$1:$1,0)+1),MATCH(Q$1,[2]enemies!$1:$1,0)-MATCH($L$1,[2]enemies!$1:$1,0)+1,FALSE)</f>
        <v>15</v>
      </c>
      <c r="R345" s="53">
        <v>48</v>
      </c>
      <c r="S345" s="27">
        <v>1</v>
      </c>
      <c r="T345" s="27">
        <v>1</v>
      </c>
      <c r="U345" s="5">
        <v>0</v>
      </c>
      <c r="V345" s="4" t="str">
        <f ca="1">VLOOKUP($W345,OFFSET([4]enemy_skill_sets!$B$1,0,0,COUNTA([4]enemy_skill_sets!$B:$B),MATCH(M$1,[4]enemy_skill_sets!$1:$1,0)-MATCH($W$1,[4]enemy_skill_sets!$1:$1,0)+2),MATCH(M$1,[4]enemy_skill_sets!$1:$1,0)-MATCH($W$1,[4]enemy_skill_sets!$1:$1,0)+2,FALSE)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345" s="64">
        <v>362</v>
      </c>
      <c r="X345" s="6">
        <v>0</v>
      </c>
      <c r="Y345" s="6">
        <v>100</v>
      </c>
      <c r="Z345" s="6">
        <v>0</v>
      </c>
      <c r="AA345" s="4">
        <f ca="1">VLOOKUP($L345,OFFSET([2]enemies!$A$1,0,0,COUNTA([2]enemies!$A:$A),MATCH(AA$1,[2]enemies!$1:$1,0)-MATCH($L$1,[2]enemies!$1:$1,0)+1),MATCH(AA$1,[2]enemies!$1:$1,0)-MATCH($L$1,[2]enemies!$1:$1,0)+1,FALSE)</f>
        <v>3</v>
      </c>
      <c r="AB345" s="52">
        <v>362</v>
      </c>
      <c r="AC345" s="4" t="str">
        <f ca="1">VLOOKUP($AB345,OFFSET([3]characters!$A$1,0,0,COUNTA([3]characters!$A:$A),MATCH(AC$1,[3]characters!$1:$1,0)-MATCH("character_id",[3]characters!$1:$1,0)+1),MATCH(AC$1,[3]characters!$1:$1,0)-MATCH("character_id",[3]characters!$1:$1,0)+1,FALSE)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345" s="4">
        <f ca="1">VLOOKUP($AB345,OFFSET([3]characters!$A$1,0,0,COUNTA([3]characters!$A:$A),MATCH(AD$1,[3]characters!$1:$1,0)-MATCH("character_id",[3]characters!$1:$1,0)+1),MATCH(AD$1,[3]characters!$1:$1,0)-MATCH("character_id",[3]characters!$1:$1,0)+1,FALSE)</f>
        <v>2</v>
      </c>
      <c r="AE345" s="4" t="str">
        <f ca="1">VLOOKUP($AB345,OFFSET([3]characters!$A$1,0,0,COUNTA([3]characters!$A:$A),MATCH(AE$1,[3]characters!$1:$1,0)-MATCH("character_id",[3]characters!$1:$1,0)+1),MATCH(AE$1,[3]characters!$1:$1,0)-MATCH("character_id",[3]characters!$1:$1,0)+1,FALSE)</f>
        <v>Drop1S</v>
      </c>
      <c r="AF345" s="7">
        <v>5</v>
      </c>
      <c r="AG345" s="26">
        <f t="shared" ca="1" si="386"/>
        <v>2</v>
      </c>
      <c r="AH345" s="8">
        <v>20</v>
      </c>
      <c r="AI345" s="7">
        <v>0</v>
      </c>
      <c r="AJ345" s="7">
        <v>0</v>
      </c>
      <c r="AK345" s="7">
        <v>0</v>
      </c>
      <c r="AL345" s="7">
        <v>0</v>
      </c>
      <c r="AM345" s="7">
        <v>1</v>
      </c>
    </row>
    <row r="346" spans="1:39" ht="14" x14ac:dyDescent="0.15">
      <c r="A346" s="18" t="str">
        <f t="shared" ref="A346" ca="1" si="407">B346&amp;"_"&amp;C346&amp;"-"&amp;G346&amp;"/"&amp;L346&amp;"&lt;lv"&amp;R346&amp;"&gt;s"&amp;AA346</f>
        <v>24_2-1/354&lt;lv48&gt;s3</v>
      </c>
      <c r="B346" s="53">
        <v>24</v>
      </c>
      <c r="C346" s="51">
        <v>2</v>
      </c>
      <c r="D346" s="2" t="str">
        <f t="shared" ref="D346" si="408">B346&amp;"_"&amp;C346</f>
        <v>24_2</v>
      </c>
      <c r="E346" s="2" t="str">
        <f t="shared" ref="E346" si="409">C346&amp;"_"&amp;D346</f>
        <v>2_24_2</v>
      </c>
      <c r="F346" s="4" t="str">
        <f ca="1">VLOOKUP($D346,OFFSET([1]stages!$A$1,0,0,COUNTA([1]stages!$A:$A),MATCH(F$1,[1]stages!$2:$2,0)-MATCH($D$1,[1]stages!$2:$2,0)+1),MATCH(F$1,[1]stages!$2:$2,0)-MATCH($D$1,[1]stages!$2:$2,0)+1,FALSE)</f>
        <v>24-2．奇襲と増援</v>
      </c>
      <c r="G346" s="56">
        <v>1</v>
      </c>
      <c r="H346" s="17" t="str">
        <f t="shared" ref="H346" si="410">B346&amp;"_"&amp;C346&amp;"-"&amp;G346</f>
        <v>24_2-1</v>
      </c>
      <c r="I346" s="17"/>
      <c r="J346" s="17"/>
      <c r="K346" s="65" t="s">
        <v>56</v>
      </c>
      <c r="L346" s="52">
        <v>354</v>
      </c>
      <c r="M346" s="21" t="str">
        <f ca="1">VLOOKUP($L346,OFFSET([2]enemies!$A$1,0,0,COUNTA([2]enemies!$A:$A),MATCH(M$1,[2]enemies!$1:$1,0)-MATCH($L$1,[2]enemies!$1:$1,0)+1),MATCH(M$1,[2]enemies!$1:$1,0)-MATCH($L$1,[2]enemies!$1:$1,0)+1,FALSE)</f>
        <v>雷のケロケロ</v>
      </c>
      <c r="N346" s="21" t="str">
        <f ca="1">VLOOKUP($L346,OFFSET([2]enemies!$A$1,0,0,COUNTA([2]enemies!$A:$A),MATCH(N$1,[2]enemies!$1:$1,0)-MATCH($L$1,[2]enemies!$1:$1,0)+1),MATCH(N$1,[2]enemies!$1:$1,0)-MATCH($L$1,[2]enemies!$1:$1,0)+1,FALSE)</f>
        <v>yellow</v>
      </c>
      <c r="O346" s="21" t="str">
        <f ca="1">VLOOKUP($L346,OFFSET([3]characters!$A$1,0,0,COUNTA([3]characters!$A:$A),MATCH(O$1,[3]characters!$1:$1,0)-MATCH($L$1,[3]characters!$1:$1,0)+1),MATCH(O$1,[3]characters!$1:$1,0)-MATCH($L$1,[3]characters!$1:$1,0)+1,FALSE)</f>
        <v>Material</v>
      </c>
      <c r="P346" s="21" t="str">
        <f ca="1">VLOOKUP($L346,OFFSET([2]enemies!$A$1,0,0,COUNTA([2]enemies!$A:$A),MATCH(P$1,[2]enemies!$1:$1,0)-MATCH($L$1,[2]enemies!$1:$1,0)+1),MATCH(P$1,[2]enemies!$1:$1,0)-MATCH($L$1,[2]enemies!$1:$1,0)+1,FALSE)</f>
        <v>unknown</v>
      </c>
      <c r="Q346" s="21">
        <f ca="1">VLOOKUP($L346,OFFSET([2]enemies!$A$1,0,0,COUNTA([2]enemies!$A:$A),MATCH(Q$1,[2]enemies!$1:$1,0)-MATCH($L$1,[2]enemies!$1:$1,0)+1),MATCH(Q$1,[2]enemies!$1:$1,0)-MATCH($L$1,[2]enemies!$1:$1,0)+1,FALSE)</f>
        <v>15</v>
      </c>
      <c r="R346" s="53">
        <v>48</v>
      </c>
      <c r="S346" s="27">
        <v>1</v>
      </c>
      <c r="T346" s="27">
        <v>1</v>
      </c>
      <c r="U346" s="5">
        <v>0</v>
      </c>
      <c r="V346" s="4" t="str">
        <f ca="1">VLOOKUP($W346,OFFSET([4]enemy_skill_sets!$B$1,0,0,COUNTA([4]enemy_skill_sets!$B:$B),MATCH(M$1,[4]enemy_skill_sets!$1:$1,0)-MATCH($W$1,[4]enemy_skill_sets!$1:$1,0)+2),MATCH(M$1,[4]enemy_skill_sets!$1:$1,0)-MATCH($W$1,[4]enemy_skill_sets!$1:$1,0)+2,FALSE)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46" s="64">
        <v>354</v>
      </c>
      <c r="X346" s="6">
        <v>0</v>
      </c>
      <c r="Y346" s="6">
        <v>100</v>
      </c>
      <c r="Z346" s="6">
        <v>0</v>
      </c>
      <c r="AA346" s="4">
        <f ca="1">VLOOKUP($L346,OFFSET([2]enemies!$A$1,0,0,COUNTA([2]enemies!$A:$A),MATCH(AA$1,[2]enemies!$1:$1,0)-MATCH($L$1,[2]enemies!$1:$1,0)+1),MATCH(AA$1,[2]enemies!$1:$1,0)-MATCH($L$1,[2]enemies!$1:$1,0)+1,FALSE)</f>
        <v>3</v>
      </c>
      <c r="AB346" s="52">
        <v>354</v>
      </c>
      <c r="AC346" s="4" t="str">
        <f ca="1">VLOOKUP($AB346,OFFSET([3]characters!$A$1,0,0,COUNTA([3]characters!$A:$A),MATCH(AC$1,[3]characters!$1:$1,0)-MATCH("character_id",[3]characters!$1:$1,0)+1),MATCH(AC$1,[3]characters!$1:$1,0)-MATCH("character_id",[3]characters!$1:$1,0)+1,FALSE)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46" s="4">
        <f ca="1">VLOOKUP($AB346,OFFSET([3]characters!$A$1,0,0,COUNTA([3]characters!$A:$A),MATCH(AD$1,[3]characters!$1:$1,0)-MATCH("character_id",[3]characters!$1:$1,0)+1),MATCH(AD$1,[3]characters!$1:$1,0)-MATCH("character_id",[3]characters!$1:$1,0)+1,FALSE)</f>
        <v>2</v>
      </c>
      <c r="AE346" s="4" t="str">
        <f ca="1">VLOOKUP($AB346,OFFSET([3]characters!$A$1,0,0,COUNTA([3]characters!$A:$A),MATCH(AE$1,[3]characters!$1:$1,0)-MATCH("character_id",[3]characters!$1:$1,0)+1),MATCH(AE$1,[3]characters!$1:$1,0)-MATCH("character_id",[3]characters!$1:$1,0)+1,FALSE)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46" s="7">
        <v>10</v>
      </c>
      <c r="AG346" s="26">
        <f t="shared" ca="1" si="386"/>
        <v>2</v>
      </c>
      <c r="AH346" s="8">
        <v>20</v>
      </c>
      <c r="AI346" s="7">
        <v>0</v>
      </c>
      <c r="AJ346" s="7">
        <v>0</v>
      </c>
      <c r="AK346" s="7">
        <v>0</v>
      </c>
      <c r="AL346" s="7">
        <v>0</v>
      </c>
      <c r="AM346" s="7">
        <v>1</v>
      </c>
    </row>
    <row r="347" spans="1:39" ht="14" x14ac:dyDescent="0.15">
      <c r="A347" s="18" t="str">
        <f t="shared" ca="1" si="375"/>
        <v>24_2-2/13&lt;lv46&gt;s2</v>
      </c>
      <c r="B347" s="50">
        <v>24</v>
      </c>
      <c r="C347" s="49">
        <v>2</v>
      </c>
      <c r="D347" s="2" t="str">
        <f t="shared" si="376"/>
        <v>24_2</v>
      </c>
      <c r="E347" s="2" t="str">
        <f t="shared" si="376"/>
        <v>2_24_2</v>
      </c>
      <c r="F347" s="4" t="str">
        <f ca="1">VLOOKUP($D347,OFFSET([1]stages!$A$1,0,0,COUNTA([1]stages!$A:$A),MATCH(F$1,[1]stages!$2:$2,0)-MATCH($D$1,[1]stages!$2:$2,0)+1),MATCH(F$1,[1]stages!$2:$2,0)-MATCH($D$1,[1]stages!$2:$2,0)+1,FALSE)</f>
        <v>24-2．奇襲と増援</v>
      </c>
      <c r="G347" s="57">
        <v>2</v>
      </c>
      <c r="H347" s="17" t="str">
        <f t="shared" si="377"/>
        <v>24_2-2</v>
      </c>
      <c r="I347" s="17"/>
      <c r="J347" s="17"/>
      <c r="K347" s="65" t="s">
        <v>56</v>
      </c>
      <c r="L347" s="52">
        <v>13</v>
      </c>
      <c r="M347" s="21" t="str">
        <f ca="1">VLOOKUP($L347,OFFSET([2]enemies!$A$1,0,0,COUNTA([2]enemies!$A:$A),MATCH(M$1,[2]enemies!$1:$1,0)-MATCH($L$1,[2]enemies!$1:$1,0)+1),MATCH(M$1,[2]enemies!$1:$1,0)-MATCH($L$1,[2]enemies!$1:$1,0)+1,FALSE)</f>
        <v>ミミ</v>
      </c>
      <c r="N347" s="21" t="str">
        <f ca="1">VLOOKUP($L347,OFFSET([2]enemies!$A$1,0,0,COUNTA([2]enemies!$A:$A),MATCH(N$1,[2]enemies!$1:$1,0)-MATCH($L$1,[2]enemies!$1:$1,0)+1),MATCH(N$1,[2]enemies!$1:$1,0)-MATCH($L$1,[2]enemies!$1:$1,0)+1,FALSE)</f>
        <v>yellow</v>
      </c>
      <c r="O347" s="21" t="str">
        <f ca="1">VLOOKUP($L347,OFFSET([3]characters!$A$1,0,0,COUNTA([3]characters!$A:$A),MATCH(O$1,[3]characters!$1:$1,0)-MATCH($L$1,[3]characters!$1:$1,0)+1),MATCH(O$1,[3]characters!$1:$1,0)-MATCH($L$1,[3]characters!$1:$1,0)+1,FALSE)</f>
        <v>Drop1W</v>
      </c>
      <c r="P347" s="21" t="str">
        <f ca="1">VLOOKUP($L347,OFFSET([2]enemies!$A$1,0,0,COUNTA([2]enemies!$A:$A),MATCH(P$1,[2]enemies!$1:$1,0)-MATCH($L$1,[2]enemies!$1:$1,0)+1),MATCH(P$1,[2]enemies!$1:$1,0)-MATCH($L$1,[2]enemies!$1:$1,0)+1,FALSE)</f>
        <v>animal</v>
      </c>
      <c r="Q347" s="21">
        <f ca="1">VLOOKUP($L347,OFFSET([2]enemies!$A$1,0,0,COUNTA([2]enemies!$A:$A),MATCH(Q$1,[2]enemies!$1:$1,0)-MATCH($L$1,[2]enemies!$1:$1,0)+1),MATCH(Q$1,[2]enemies!$1:$1,0)-MATCH($L$1,[2]enemies!$1:$1,0)+1,FALSE)</f>
        <v>15</v>
      </c>
      <c r="R347" s="53">
        <v>46</v>
      </c>
      <c r="S347" s="27">
        <v>1</v>
      </c>
      <c r="T347" s="27">
        <v>1</v>
      </c>
      <c r="U347" s="5">
        <v>0</v>
      </c>
      <c r="V347" s="4" t="str">
        <f ca="1">VLOOKUP($W347,OFFSET([4]enemy_skill_sets!$B$1,0,0,COUNTA([4]enemy_skill_sets!$B:$B),MATCH(M$1,[4]enemy_skill_sets!$1:$1,0)-MATCH($W$1,[4]enemy_skill_sets!$1:$1,0)+2),MATCH(M$1,[4]enemy_skill_sets!$1:$1,0)-MATCH($W$1,[4]enemy_skill_sets!$1:$1,0)+2,FALSE)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47" s="4">
        <f ca="1">VLOOKUP($L347,OFFSET([2]enemies!$A$1,0,0,COUNTA([2]enemies!$A:$A),MATCH(W$1,[2]enemies!$1:$1,0)-MATCH($L$1,[2]enemies!$1:$1,0)+1),MATCH(W$1,[2]enemies!$1:$1,0)-MATCH($L$1,[2]enemies!$1:$1,0)+1,FALSE)</f>
        <v>0</v>
      </c>
      <c r="X347" s="6">
        <v>0</v>
      </c>
      <c r="Y347" s="6">
        <v>100</v>
      </c>
      <c r="Z347" s="6">
        <v>0</v>
      </c>
      <c r="AA347" s="4">
        <f ca="1">VLOOKUP($L347,OFFSET([2]enemies!$A$1,0,0,COUNTA([2]enemies!$A:$A),MATCH(AA$1,[2]enemies!$1:$1,0)-MATCH($L$1,[2]enemies!$1:$1,0)+1),MATCH(AA$1,[2]enemies!$1:$1,0)-MATCH($L$1,[2]enemies!$1:$1,0)+1,FALSE)</f>
        <v>2</v>
      </c>
      <c r="AB347" s="52">
        <v>13</v>
      </c>
      <c r="AC347" s="4" t="str">
        <f ca="1">VLOOKUP($AB347,OFFSET([3]characters!$A$1,0,0,COUNTA([3]characters!$A:$A),MATCH(AC$1,[3]characters!$1:$1,0)-MATCH("character_id",[3]characters!$1:$1,0)+1),MATCH(AC$1,[3]characters!$1:$1,0)-MATCH("character_id",[3]characters!$1:$1,0)+1,FALSE)</f>
        <v>ミミ</v>
      </c>
      <c r="AD347" s="4">
        <f ca="1">VLOOKUP($AB347,OFFSET([3]characters!$A$1,0,0,COUNTA([3]characters!$A:$A),MATCH(AD$1,[3]characters!$1:$1,0)-MATCH("character_id",[3]characters!$1:$1,0)+1),MATCH(AD$1,[3]characters!$1:$1,0)-MATCH("character_id",[3]characters!$1:$1,0)+1,FALSE)</f>
        <v>1</v>
      </c>
      <c r="AE347" s="4" t="str">
        <f ca="1">VLOOKUP($AB347,OFFSET([3]characters!$A$1,0,0,COUNTA([3]characters!$A:$A),MATCH(AE$1,[3]characters!$1:$1,0)-MATCH("character_id",[3]characters!$1:$1,0)+1),MATCH(AE$1,[3]characters!$1:$1,0)-MATCH("character_id",[3]characters!$1:$1,0)+1,FALSE)</f>
        <v>Drop1W</v>
      </c>
      <c r="AF347" s="7">
        <v>9</v>
      </c>
      <c r="AG347" s="26">
        <f t="shared" ca="1" si="386"/>
        <v>1</v>
      </c>
      <c r="AH347" s="8">
        <v>20</v>
      </c>
      <c r="AI347" s="7">
        <v>0</v>
      </c>
      <c r="AJ347" s="7">
        <v>0</v>
      </c>
      <c r="AK347" s="7">
        <v>0</v>
      </c>
      <c r="AL347" s="7">
        <v>0</v>
      </c>
      <c r="AM347" s="7">
        <v>1</v>
      </c>
    </row>
    <row r="348" spans="1:39" ht="14" x14ac:dyDescent="0.15">
      <c r="A348" s="18" t="str">
        <f t="shared" ca="1" si="375"/>
        <v>24_2-2/47&lt;lv46&gt;s1</v>
      </c>
      <c r="B348" s="50">
        <v>24</v>
      </c>
      <c r="C348" s="49">
        <v>2</v>
      </c>
      <c r="D348" s="2" t="str">
        <f t="shared" si="376"/>
        <v>24_2</v>
      </c>
      <c r="E348" s="2" t="str">
        <f t="shared" si="376"/>
        <v>2_24_2</v>
      </c>
      <c r="F348" s="4" t="str">
        <f ca="1">VLOOKUP($D348,OFFSET([1]stages!$A$1,0,0,COUNTA([1]stages!$A:$A),MATCH(F$1,[1]stages!$2:$2,0)-MATCH($D$1,[1]stages!$2:$2,0)+1),MATCH(F$1,[1]stages!$2:$2,0)-MATCH($D$1,[1]stages!$2:$2,0)+1,FALSE)</f>
        <v>24-2．奇襲と増援</v>
      </c>
      <c r="G348" s="57">
        <v>2</v>
      </c>
      <c r="H348" s="17" t="str">
        <f t="shared" si="377"/>
        <v>24_2-2</v>
      </c>
      <c r="I348" s="17"/>
      <c r="J348" s="17"/>
      <c r="K348" s="65" t="s">
        <v>56</v>
      </c>
      <c r="L348" s="52">
        <v>47</v>
      </c>
      <c r="M348" s="21" t="str">
        <f ca="1">VLOOKUP($L348,OFFSET([2]enemies!$A$1,0,0,COUNTA([2]enemies!$A:$A),MATCH(M$1,[2]enemies!$1:$1,0)-MATCH($L$1,[2]enemies!$1:$1,0)+1),MATCH(M$1,[2]enemies!$1:$1,0)-MATCH($L$1,[2]enemies!$1:$1,0)+1,FALSE)</f>
        <v>ヒロ</v>
      </c>
      <c r="N348" s="21" t="str">
        <f ca="1">VLOOKUP($L348,OFFSET([2]enemies!$A$1,0,0,COUNTA([2]enemies!$A:$A),MATCH(N$1,[2]enemies!$1:$1,0)-MATCH($L$1,[2]enemies!$1:$1,0)+1),MATCH(N$1,[2]enemies!$1:$1,0)-MATCH($L$1,[2]enemies!$1:$1,0)+1,FALSE)</f>
        <v>yellow</v>
      </c>
      <c r="O348" s="21" t="str">
        <f ca="1">VLOOKUP($L348,OFFSET([3]characters!$A$1,0,0,COUNTA([3]characters!$A:$A),MATCH(O$1,[3]characters!$1:$1,0)-MATCH($L$1,[3]characters!$1:$1,0)+1),MATCH(O$1,[3]characters!$1:$1,0)-MATCH($L$1,[3]characters!$1:$1,0)+1,FALSE)</f>
        <v>Drop1N</v>
      </c>
      <c r="P348" s="21" t="str">
        <f ca="1">VLOOKUP($L348,OFFSET([2]enemies!$A$1,0,0,COUNTA([2]enemies!$A:$A),MATCH(P$1,[2]enemies!$1:$1,0)-MATCH($L$1,[2]enemies!$1:$1,0)+1),MATCH(P$1,[2]enemies!$1:$1,0)-MATCH($L$1,[2]enemies!$1:$1,0)+1,FALSE)</f>
        <v>animal</v>
      </c>
      <c r="Q348" s="21">
        <f ca="1">VLOOKUP($L348,OFFSET([2]enemies!$A$1,0,0,COUNTA([2]enemies!$A:$A),MATCH(Q$1,[2]enemies!$1:$1,0)-MATCH($L$1,[2]enemies!$1:$1,0)+1),MATCH(Q$1,[2]enemies!$1:$1,0)-MATCH($L$1,[2]enemies!$1:$1,0)+1,FALSE)</f>
        <v>15</v>
      </c>
      <c r="R348" s="53">
        <v>46</v>
      </c>
      <c r="S348" s="27">
        <v>1</v>
      </c>
      <c r="T348" s="27">
        <v>1</v>
      </c>
      <c r="U348" s="5">
        <v>0</v>
      </c>
      <c r="V348" s="4" t="str">
        <f ca="1">VLOOKUP($W348,OFFSET([4]enemy_skill_sets!$B$1,0,0,COUNTA([4]enemy_skill_sets!$B:$B),MATCH(M$1,[4]enemy_skill_sets!$1:$1,0)-MATCH($W$1,[4]enemy_skill_sets!$1:$1,0)+2),MATCH(M$1,[4]enemy_skill_sets!$1:$1,0)-MATCH($W$1,[4]enemy_skill_sets!$1:$1,0)+2,FALSE)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48" s="4">
        <f ca="1">VLOOKUP($L348,OFFSET([2]enemies!$A$1,0,0,COUNTA([2]enemies!$A:$A),MATCH(W$1,[2]enemies!$1:$1,0)-MATCH($L$1,[2]enemies!$1:$1,0)+1),MATCH(W$1,[2]enemies!$1:$1,0)-MATCH($L$1,[2]enemies!$1:$1,0)+1,FALSE)</f>
        <v>0</v>
      </c>
      <c r="X348" s="6">
        <v>0</v>
      </c>
      <c r="Y348" s="6">
        <v>100</v>
      </c>
      <c r="Z348" s="6">
        <v>0</v>
      </c>
      <c r="AA348" s="4">
        <f ca="1">VLOOKUP($L348,OFFSET([2]enemies!$A$1,0,0,COUNTA([2]enemies!$A:$A),MATCH(AA$1,[2]enemies!$1:$1,0)-MATCH($L$1,[2]enemies!$1:$1,0)+1),MATCH(AA$1,[2]enemies!$1:$1,0)-MATCH($L$1,[2]enemies!$1:$1,0)+1,FALSE)</f>
        <v>1</v>
      </c>
      <c r="AB348" s="52">
        <v>47</v>
      </c>
      <c r="AC348" s="4" t="str">
        <f ca="1">VLOOKUP($AB348,OFFSET([3]characters!$A$1,0,0,COUNTA([3]characters!$A:$A),MATCH(AC$1,[3]characters!$1:$1,0)-MATCH("character_id",[3]characters!$1:$1,0)+1),MATCH(AC$1,[3]characters!$1:$1,0)-MATCH("character_id",[3]characters!$1:$1,0)+1,FALSE)</f>
        <v>ヒロ</v>
      </c>
      <c r="AD348" s="4">
        <f ca="1">VLOOKUP($AB348,OFFSET([3]characters!$A$1,0,0,COUNTA([3]characters!$A:$A),MATCH(AD$1,[3]characters!$1:$1,0)-MATCH("character_id",[3]characters!$1:$1,0)+1),MATCH(AD$1,[3]characters!$1:$1,0)-MATCH("character_id",[3]characters!$1:$1,0)+1,FALSE)</f>
        <v>2</v>
      </c>
      <c r="AE348" s="4" t="str">
        <f ca="1">VLOOKUP($AB348,OFFSET([3]characters!$A$1,0,0,COUNTA([3]characters!$A:$A),MATCH(AE$1,[3]characters!$1:$1,0)-MATCH("character_id",[3]characters!$1:$1,0)+1),MATCH(AE$1,[3]characters!$1:$1,0)-MATCH("character_id",[3]characters!$1:$1,0)+1,FALSE)</f>
        <v>Drop1N</v>
      </c>
      <c r="AF348" s="7">
        <v>7</v>
      </c>
      <c r="AG348" s="26">
        <f t="shared" ca="1" si="386"/>
        <v>2</v>
      </c>
      <c r="AH348" s="8">
        <v>20</v>
      </c>
      <c r="AI348" s="7">
        <v>0</v>
      </c>
      <c r="AJ348" s="7">
        <v>0</v>
      </c>
      <c r="AK348" s="7">
        <v>0</v>
      </c>
      <c r="AL348" s="7">
        <v>0</v>
      </c>
      <c r="AM348" s="7">
        <v>1</v>
      </c>
    </row>
    <row r="349" spans="1:39" ht="14" x14ac:dyDescent="0.15">
      <c r="A349" s="18" t="str">
        <f t="shared" ca="1" si="375"/>
        <v>24_2-2/63&lt;lv46&gt;s2</v>
      </c>
      <c r="B349" s="50">
        <v>24</v>
      </c>
      <c r="C349" s="49">
        <v>2</v>
      </c>
      <c r="D349" s="2" t="str">
        <f t="shared" si="376"/>
        <v>24_2</v>
      </c>
      <c r="E349" s="2" t="str">
        <f t="shared" si="376"/>
        <v>2_24_2</v>
      </c>
      <c r="F349" s="4" t="str">
        <f ca="1">VLOOKUP($D349,OFFSET([1]stages!$A$1,0,0,COUNTA([1]stages!$A:$A),MATCH(F$1,[1]stages!$2:$2,0)-MATCH($D$1,[1]stages!$2:$2,0)+1),MATCH(F$1,[1]stages!$2:$2,0)-MATCH($D$1,[1]stages!$2:$2,0)+1,FALSE)</f>
        <v>24-2．奇襲と増援</v>
      </c>
      <c r="G349" s="57">
        <v>2</v>
      </c>
      <c r="H349" s="17" t="str">
        <f t="shared" si="377"/>
        <v>24_2-2</v>
      </c>
      <c r="I349" s="17"/>
      <c r="J349" s="17"/>
      <c r="K349" s="65" t="s">
        <v>56</v>
      </c>
      <c r="L349" s="52">
        <v>63</v>
      </c>
      <c r="M349" s="21" t="str">
        <f ca="1">VLOOKUP($L349,OFFSET([2]enemies!$A$1,0,0,COUNTA([2]enemies!$A:$A),MATCH(M$1,[2]enemies!$1:$1,0)-MATCH($L$1,[2]enemies!$1:$1,0)+1),MATCH(M$1,[2]enemies!$1:$1,0)-MATCH($L$1,[2]enemies!$1:$1,0)+1,FALSE)</f>
        <v>トニー</v>
      </c>
      <c r="N349" s="21" t="str">
        <f ca="1">VLOOKUP($L349,OFFSET([2]enemies!$A$1,0,0,COUNTA([2]enemies!$A:$A),MATCH(N$1,[2]enemies!$1:$1,0)-MATCH($L$1,[2]enemies!$1:$1,0)+1),MATCH(N$1,[2]enemies!$1:$1,0)-MATCH($L$1,[2]enemies!$1:$1,0)+1,FALSE)</f>
        <v>yellow</v>
      </c>
      <c r="O349" s="21" t="str">
        <f ca="1">VLOOKUP($L349,OFFSET([3]characters!$A$1,0,0,COUNTA([3]characters!$A:$A),MATCH(O$1,[3]characters!$1:$1,0)-MATCH($L$1,[3]characters!$1:$1,0)+1),MATCH(O$1,[3]characters!$1:$1,0)-MATCH($L$1,[3]characters!$1:$1,0)+1,FALSE)</f>
        <v>Drop1N</v>
      </c>
      <c r="P349" s="21" t="str">
        <f ca="1">VLOOKUP($L349,OFFSET([2]enemies!$A$1,0,0,COUNTA([2]enemies!$A:$A),MATCH(P$1,[2]enemies!$1:$1,0)-MATCH($L$1,[2]enemies!$1:$1,0)+1),MATCH(P$1,[2]enemies!$1:$1,0)-MATCH($L$1,[2]enemies!$1:$1,0)+1,FALSE)</f>
        <v>animal</v>
      </c>
      <c r="Q349" s="21">
        <f ca="1">VLOOKUP($L349,OFFSET([2]enemies!$A$1,0,0,COUNTA([2]enemies!$A:$A),MATCH(Q$1,[2]enemies!$1:$1,0)-MATCH($L$1,[2]enemies!$1:$1,0)+1),MATCH(Q$1,[2]enemies!$1:$1,0)-MATCH($L$1,[2]enemies!$1:$1,0)+1,FALSE)</f>
        <v>15</v>
      </c>
      <c r="R349" s="53">
        <v>46</v>
      </c>
      <c r="S349" s="27">
        <v>1</v>
      </c>
      <c r="T349" s="27">
        <v>1</v>
      </c>
      <c r="U349" s="5">
        <v>0</v>
      </c>
      <c r="V349" s="4" t="str">
        <f ca="1">VLOOKUP($W349,OFFSET([4]enemy_skill_sets!$B$1,0,0,COUNTA([4]enemy_skill_sets!$B:$B),MATCH(M$1,[4]enemy_skill_sets!$1:$1,0)-MATCH($W$1,[4]enemy_skill_sets!$1:$1,0)+2),MATCH(M$1,[4]enemy_skill_sets!$1:$1,0)-MATCH($W$1,[4]enemy_skill_sets!$1:$1,0)+2,FALSE)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349" s="4">
        <f ca="1">VLOOKUP($L349,OFFSET([2]enemies!$A$1,0,0,COUNTA([2]enemies!$A:$A),MATCH(W$1,[2]enemies!$1:$1,0)-MATCH($L$1,[2]enemies!$1:$1,0)+1),MATCH(W$1,[2]enemies!$1:$1,0)-MATCH($L$1,[2]enemies!$1:$1,0)+1,FALSE)</f>
        <v>63</v>
      </c>
      <c r="X349" s="6">
        <v>0</v>
      </c>
      <c r="Y349" s="6">
        <v>100</v>
      </c>
      <c r="Z349" s="6">
        <v>0</v>
      </c>
      <c r="AA349" s="4">
        <f ca="1">VLOOKUP($L349,OFFSET([2]enemies!$A$1,0,0,COUNTA([2]enemies!$A:$A),MATCH(AA$1,[2]enemies!$1:$1,0)-MATCH($L$1,[2]enemies!$1:$1,0)+1),MATCH(AA$1,[2]enemies!$1:$1,0)-MATCH($L$1,[2]enemies!$1:$1,0)+1,FALSE)</f>
        <v>2</v>
      </c>
      <c r="AB349" s="52">
        <v>63</v>
      </c>
      <c r="AC349" s="4" t="str">
        <f ca="1">VLOOKUP($AB349,OFFSET([3]characters!$A$1,0,0,COUNTA([3]characters!$A:$A),MATCH(AC$1,[3]characters!$1:$1,0)-MATCH("character_id",[3]characters!$1:$1,0)+1),MATCH(AC$1,[3]characters!$1:$1,0)-MATCH("character_id",[3]characters!$1:$1,0)+1,FALSE)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349" s="4">
        <f ca="1">VLOOKUP($AB349,OFFSET([3]characters!$A$1,0,0,COUNTA([3]characters!$A:$A),MATCH(AD$1,[3]characters!$1:$1,0)-MATCH("character_id",[3]characters!$1:$1,0)+1),MATCH(AD$1,[3]characters!$1:$1,0)-MATCH("character_id",[3]characters!$1:$1,0)+1,FALSE)</f>
        <v>2</v>
      </c>
      <c r="AE349" s="4" t="str">
        <f ca="1">VLOOKUP($AB349,OFFSET([3]characters!$A$1,0,0,COUNTA([3]characters!$A:$A),MATCH(AE$1,[3]characters!$1:$1,0)-MATCH("character_id",[3]characters!$1:$1,0)+1),MATCH(AE$1,[3]characters!$1:$1,0)-MATCH("character_id",[3]characters!$1:$1,0)+1,FALSE)</f>
        <v>Drop1N</v>
      </c>
      <c r="AF349" s="7">
        <v>7</v>
      </c>
      <c r="AG349" s="26">
        <f t="shared" ca="1" si="386"/>
        <v>2</v>
      </c>
      <c r="AH349" s="8">
        <v>20</v>
      </c>
      <c r="AI349" s="7">
        <v>0</v>
      </c>
      <c r="AJ349" s="7">
        <v>0</v>
      </c>
      <c r="AK349" s="7">
        <v>0</v>
      </c>
      <c r="AL349" s="7">
        <v>0</v>
      </c>
      <c r="AM349" s="7">
        <v>1</v>
      </c>
    </row>
    <row r="350" spans="1:39" ht="14" x14ac:dyDescent="0.15">
      <c r="A350" s="18" t="str">
        <f t="shared" ca="1" si="375"/>
        <v>24_2-2/31&lt;lv46&gt;s2</v>
      </c>
      <c r="B350" s="50">
        <v>24</v>
      </c>
      <c r="C350" s="49">
        <v>2</v>
      </c>
      <c r="D350" s="2" t="str">
        <f t="shared" si="376"/>
        <v>24_2</v>
      </c>
      <c r="E350" s="2" t="str">
        <f t="shared" si="376"/>
        <v>2_24_2</v>
      </c>
      <c r="F350" s="4" t="str">
        <f ca="1">VLOOKUP($D350,OFFSET([1]stages!$A$1,0,0,COUNTA([1]stages!$A:$A),MATCH(F$1,[1]stages!$2:$2,0)-MATCH($D$1,[1]stages!$2:$2,0)+1),MATCH(F$1,[1]stages!$2:$2,0)-MATCH($D$1,[1]stages!$2:$2,0)+1,FALSE)</f>
        <v>24-2．奇襲と増援</v>
      </c>
      <c r="G350" s="57">
        <v>2</v>
      </c>
      <c r="H350" s="17" t="str">
        <f t="shared" si="377"/>
        <v>24_2-2</v>
      </c>
      <c r="I350" s="17"/>
      <c r="J350" s="17"/>
      <c r="K350" s="65" t="s">
        <v>56</v>
      </c>
      <c r="L350" s="52">
        <v>31</v>
      </c>
      <c r="M350" s="21" t="str">
        <f ca="1">VLOOKUP($L350,OFFSET([2]enemies!$A$1,0,0,COUNTA([2]enemies!$A:$A),MATCH(M$1,[2]enemies!$1:$1,0)-MATCH($L$1,[2]enemies!$1:$1,0)+1),MATCH(M$1,[2]enemies!$1:$1,0)-MATCH($L$1,[2]enemies!$1:$1,0)+1,FALSE)</f>
        <v>マービー</v>
      </c>
      <c r="N350" s="21" t="str">
        <f ca="1">VLOOKUP($L350,OFFSET([2]enemies!$A$1,0,0,COUNTA([2]enemies!$A:$A),MATCH(N$1,[2]enemies!$1:$1,0)-MATCH($L$1,[2]enemies!$1:$1,0)+1),MATCH(N$1,[2]enemies!$1:$1,0)-MATCH($L$1,[2]enemies!$1:$1,0)+1,FALSE)</f>
        <v>yellow</v>
      </c>
      <c r="O350" s="21" t="str">
        <f ca="1">VLOOKUP($L350,OFFSET([3]characters!$A$1,0,0,COUNTA([3]characters!$A:$A),MATCH(O$1,[3]characters!$1:$1,0)-MATCH($L$1,[3]characters!$1:$1,0)+1),MATCH(O$1,[3]characters!$1:$1,0)-MATCH($L$1,[3]characters!$1:$1,0)+1,FALSE)</f>
        <v>Drop1N</v>
      </c>
      <c r="P350" s="21" t="str">
        <f ca="1">VLOOKUP($L350,OFFSET([2]enemies!$A$1,0,0,COUNTA([2]enemies!$A:$A),MATCH(P$1,[2]enemies!$1:$1,0)-MATCH($L$1,[2]enemies!$1:$1,0)+1),MATCH(P$1,[2]enemies!$1:$1,0)-MATCH($L$1,[2]enemies!$1:$1,0)+1,FALSE)</f>
        <v>machine</v>
      </c>
      <c r="Q350" s="21">
        <f ca="1">VLOOKUP($L350,OFFSET([2]enemies!$A$1,0,0,COUNTA([2]enemies!$A:$A),MATCH(Q$1,[2]enemies!$1:$1,0)-MATCH($L$1,[2]enemies!$1:$1,0)+1),MATCH(Q$1,[2]enemies!$1:$1,0)-MATCH($L$1,[2]enemies!$1:$1,0)+1,FALSE)</f>
        <v>15</v>
      </c>
      <c r="R350" s="53">
        <v>46</v>
      </c>
      <c r="S350" s="27">
        <v>1</v>
      </c>
      <c r="T350" s="27">
        <v>1</v>
      </c>
      <c r="U350" s="5">
        <v>0</v>
      </c>
      <c r="V350" s="4" t="str">
        <f ca="1">VLOOKUP($W350,OFFSET([4]enemy_skill_sets!$B$1,0,0,COUNTA([4]enemy_skill_sets!$B:$B),MATCH(M$1,[4]enemy_skill_sets!$1:$1,0)-MATCH($W$1,[4]enemy_skill_sets!$1:$1,0)+2),MATCH(M$1,[4]enemy_skill_sets!$1:$1,0)-MATCH($W$1,[4]enemy_skill_sets!$1:$1,0)+2,FALSE)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50" s="4">
        <f ca="1">VLOOKUP($L350,OFFSET([2]enemies!$A$1,0,0,COUNTA([2]enemies!$A:$A),MATCH(W$1,[2]enemies!$1:$1,0)-MATCH($L$1,[2]enemies!$1:$1,0)+1),MATCH(W$1,[2]enemies!$1:$1,0)-MATCH($L$1,[2]enemies!$1:$1,0)+1,FALSE)</f>
        <v>0</v>
      </c>
      <c r="X350" s="6">
        <v>0</v>
      </c>
      <c r="Y350" s="6">
        <v>100</v>
      </c>
      <c r="Z350" s="6">
        <v>0</v>
      </c>
      <c r="AA350" s="4">
        <f ca="1">VLOOKUP($L350,OFFSET([2]enemies!$A$1,0,0,COUNTA([2]enemies!$A:$A),MATCH(AA$1,[2]enemies!$1:$1,0)-MATCH($L$1,[2]enemies!$1:$1,0)+1),MATCH(AA$1,[2]enemies!$1:$1,0)-MATCH($L$1,[2]enemies!$1:$1,0)+1,FALSE)</f>
        <v>2</v>
      </c>
      <c r="AB350" s="52">
        <v>31</v>
      </c>
      <c r="AC350" s="4" t="str">
        <f ca="1">VLOOKUP($AB350,OFFSET([3]characters!$A$1,0,0,COUNTA([3]characters!$A:$A),MATCH(AC$1,[3]characters!$1:$1,0)-MATCH("character_id",[3]characters!$1:$1,0)+1),MATCH(AC$1,[3]characters!$1:$1,0)-MATCH("character_id",[3]characters!$1:$1,0)+1,FALSE)</f>
        <v>マービー</v>
      </c>
      <c r="AD350" s="4">
        <f ca="1">VLOOKUP($AB350,OFFSET([3]characters!$A$1,0,0,COUNTA([3]characters!$A:$A),MATCH(AD$1,[3]characters!$1:$1,0)-MATCH("character_id",[3]characters!$1:$1,0)+1),MATCH(AD$1,[3]characters!$1:$1,0)-MATCH("character_id",[3]characters!$1:$1,0)+1,FALSE)</f>
        <v>1</v>
      </c>
      <c r="AE350" s="4" t="str">
        <f ca="1">VLOOKUP($AB350,OFFSET([3]characters!$A$1,0,0,COUNTA([3]characters!$A:$A),MATCH(AE$1,[3]characters!$1:$1,0)-MATCH("character_id",[3]characters!$1:$1,0)+1),MATCH(AE$1,[3]characters!$1:$1,0)-MATCH("character_id",[3]characters!$1:$1,0)+1,FALSE)</f>
        <v>Drop1N</v>
      </c>
      <c r="AF350" s="7">
        <v>7</v>
      </c>
      <c r="AG350" s="26">
        <f t="shared" ca="1" si="386"/>
        <v>1</v>
      </c>
      <c r="AH350" s="8">
        <v>20</v>
      </c>
      <c r="AI350" s="7">
        <v>0</v>
      </c>
      <c r="AJ350" s="7">
        <v>0</v>
      </c>
      <c r="AK350" s="7">
        <v>0</v>
      </c>
      <c r="AL350" s="7">
        <v>0</v>
      </c>
      <c r="AM350" s="7">
        <v>1</v>
      </c>
    </row>
    <row r="351" spans="1:39" ht="14" x14ac:dyDescent="0.15">
      <c r="A351" s="18" t="str">
        <f t="shared" ref="A351" ca="1" si="411">B351&amp;"_"&amp;C351&amp;"-"&amp;G351&amp;"/"&amp;L351&amp;"&lt;lv"&amp;R351&amp;"&gt;s"&amp;AA351</f>
        <v>24_2-2/366&lt;lv46&gt;s3</v>
      </c>
      <c r="B351" s="53">
        <v>24</v>
      </c>
      <c r="C351" s="51">
        <v>2</v>
      </c>
      <c r="D351" s="2" t="str">
        <f t="shared" ref="D351" si="412">B351&amp;"_"&amp;C351</f>
        <v>24_2</v>
      </c>
      <c r="E351" s="2" t="str">
        <f t="shared" ref="E351" si="413">C351&amp;"_"&amp;D351</f>
        <v>2_24_2</v>
      </c>
      <c r="F351" s="4" t="str">
        <f ca="1">VLOOKUP($D351,OFFSET([1]stages!$A$1,0,0,COUNTA([1]stages!$A:$A),MATCH(F$1,[1]stages!$2:$2,0)-MATCH($D$1,[1]stages!$2:$2,0)+1),MATCH(F$1,[1]stages!$2:$2,0)-MATCH($D$1,[1]stages!$2:$2,0)+1,FALSE)</f>
        <v>24-2．奇襲と増援</v>
      </c>
      <c r="G351" s="57">
        <v>2</v>
      </c>
      <c r="H351" s="17" t="str">
        <f t="shared" ref="H351" si="414">B351&amp;"_"&amp;C351&amp;"-"&amp;G351</f>
        <v>24_2-2</v>
      </c>
      <c r="I351" s="17"/>
      <c r="J351" s="17"/>
      <c r="K351" s="65" t="s">
        <v>56</v>
      </c>
      <c r="L351" s="52">
        <v>366</v>
      </c>
      <c r="M351" s="21" t="str">
        <f ca="1">VLOOKUP($L351,OFFSET([2]enemies!$A$1,0,0,COUNTA([2]enemies!$A:$A),MATCH(M$1,[2]enemies!$1:$1,0)-MATCH($L$1,[2]enemies!$1:$1,0)+1),MATCH(M$1,[2]enemies!$1:$1,0)-MATCH($L$1,[2]enemies!$1:$1,0)+1,FALSE)</f>
        <v>トト</v>
      </c>
      <c r="N351" s="21" t="str">
        <f ca="1">VLOOKUP($L351,OFFSET([2]enemies!$A$1,0,0,COUNTA([2]enemies!$A:$A),MATCH(N$1,[2]enemies!$1:$1,0)-MATCH($L$1,[2]enemies!$1:$1,0)+1),MATCH(N$1,[2]enemies!$1:$1,0)-MATCH($L$1,[2]enemies!$1:$1,0)+1,FALSE)</f>
        <v>yellow</v>
      </c>
      <c r="O351" s="21" t="str">
        <f ca="1">VLOOKUP($L351,OFFSET([3]characters!$A$1,0,0,COUNTA([3]characters!$A:$A),MATCH(O$1,[3]characters!$1:$1,0)-MATCH($L$1,[3]characters!$1:$1,0)+1),MATCH(O$1,[3]characters!$1:$1,0)-MATCH($L$1,[3]characters!$1:$1,0)+1,FALSE)</f>
        <v>Drop1S</v>
      </c>
      <c r="P351" s="21" t="str">
        <f ca="1">VLOOKUP($L351,OFFSET([2]enemies!$A$1,0,0,COUNTA([2]enemies!$A:$A),MATCH(P$1,[2]enemies!$1:$1,0)-MATCH($L$1,[2]enemies!$1:$1,0)+1),MATCH(P$1,[2]enemies!$1:$1,0)-MATCH($L$1,[2]enemies!$1:$1,0)+1,FALSE)</f>
        <v>animal</v>
      </c>
      <c r="Q351" s="21">
        <f ca="1">VLOOKUP($L351,OFFSET([2]enemies!$A$1,0,0,COUNTA([2]enemies!$A:$A),MATCH(Q$1,[2]enemies!$1:$1,0)-MATCH($L$1,[2]enemies!$1:$1,0)+1),MATCH(Q$1,[2]enemies!$1:$1,0)-MATCH($L$1,[2]enemies!$1:$1,0)+1,FALSE)</f>
        <v>15</v>
      </c>
      <c r="R351" s="53">
        <v>46</v>
      </c>
      <c r="S351" s="27">
        <v>1</v>
      </c>
      <c r="T351" s="27">
        <v>1</v>
      </c>
      <c r="U351" s="5">
        <v>0</v>
      </c>
      <c r="V351" s="4" t="str">
        <f ca="1">VLOOKUP($W351,OFFSET([4]enemy_skill_sets!$B$1,0,0,COUNTA([4]enemy_skill_sets!$B:$B),MATCH(M$1,[4]enemy_skill_sets!$1:$1,0)-MATCH($W$1,[4]enemy_skill_sets!$1:$1,0)+2),MATCH(M$1,[4]enemy_skill_sets!$1:$1,0)-MATCH($W$1,[4]enemy_skill_sets!$1:$1,0)+2,FALSE)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351" s="64">
        <v>366</v>
      </c>
      <c r="X351" s="6">
        <v>0</v>
      </c>
      <c r="Y351" s="6">
        <v>100</v>
      </c>
      <c r="Z351" s="6">
        <v>0</v>
      </c>
      <c r="AA351" s="4">
        <f ca="1">VLOOKUP($L351,OFFSET([2]enemies!$A$1,0,0,COUNTA([2]enemies!$A:$A),MATCH(AA$1,[2]enemies!$1:$1,0)-MATCH($L$1,[2]enemies!$1:$1,0)+1),MATCH(AA$1,[2]enemies!$1:$1,0)-MATCH($L$1,[2]enemies!$1:$1,0)+1,FALSE)</f>
        <v>3</v>
      </c>
      <c r="AB351" s="52">
        <v>366</v>
      </c>
      <c r="AC351" s="4" t="str">
        <f ca="1">VLOOKUP($AB351,OFFSET([3]characters!$A$1,0,0,COUNTA([3]characters!$A:$A),MATCH(AC$1,[3]characters!$1:$1,0)-MATCH("character_id",[3]characters!$1:$1,0)+1),MATCH(AC$1,[3]characters!$1:$1,0)-MATCH("character_id",[3]characters!$1:$1,0)+1,FALSE)</f>
        <v>トト</v>
      </c>
      <c r="AD351" s="4">
        <f ca="1">VLOOKUP($AB351,OFFSET([3]characters!$A$1,0,0,COUNTA([3]characters!$A:$A),MATCH(AD$1,[3]characters!$1:$1,0)-MATCH("character_id",[3]characters!$1:$1,0)+1),MATCH(AD$1,[3]characters!$1:$1,0)-MATCH("character_id",[3]characters!$1:$1,0)+1,FALSE)</f>
        <v>2</v>
      </c>
      <c r="AE351" s="4" t="str">
        <f ca="1">VLOOKUP($AB351,OFFSET([3]characters!$A$1,0,0,COUNTA([3]characters!$A:$A),MATCH(AE$1,[3]characters!$1:$1,0)-MATCH("character_id",[3]characters!$1:$1,0)+1),MATCH(AE$1,[3]characters!$1:$1,0)-MATCH("character_id",[3]characters!$1:$1,0)+1,FALSE)</f>
        <v>Drop1S</v>
      </c>
      <c r="AF351" s="7">
        <v>7</v>
      </c>
      <c r="AG351" s="26">
        <f t="shared" ca="1" si="386"/>
        <v>2</v>
      </c>
      <c r="AH351" s="8">
        <v>20</v>
      </c>
      <c r="AI351" s="7">
        <v>0</v>
      </c>
      <c r="AJ351" s="7">
        <v>0</v>
      </c>
      <c r="AK351" s="7">
        <v>0</v>
      </c>
      <c r="AL351" s="7">
        <v>0</v>
      </c>
      <c r="AM351" s="7">
        <v>1</v>
      </c>
    </row>
    <row r="352" spans="1:39" ht="14" x14ac:dyDescent="0.15">
      <c r="A352" s="18" t="str">
        <f t="shared" ref="A352" ca="1" si="415">B352&amp;"_"&amp;C352&amp;"-"&amp;G352&amp;"/"&amp;L352&amp;"&lt;lv"&amp;R352&amp;"&gt;s"&amp;AA352</f>
        <v>24_2-2/354&lt;lv46&gt;s3</v>
      </c>
      <c r="B352" s="53">
        <v>24</v>
      </c>
      <c r="C352" s="51">
        <v>2</v>
      </c>
      <c r="D352" s="2" t="str">
        <f t="shared" ref="D352" si="416">B352&amp;"_"&amp;C352</f>
        <v>24_2</v>
      </c>
      <c r="E352" s="2" t="str">
        <f t="shared" ref="E352" si="417">C352&amp;"_"&amp;D352</f>
        <v>2_24_2</v>
      </c>
      <c r="F352" s="4" t="str">
        <f ca="1">VLOOKUP($D352,OFFSET([1]stages!$A$1,0,0,COUNTA([1]stages!$A:$A),MATCH(F$1,[1]stages!$2:$2,0)-MATCH($D$1,[1]stages!$2:$2,0)+1),MATCH(F$1,[1]stages!$2:$2,0)-MATCH($D$1,[1]stages!$2:$2,0)+1,FALSE)</f>
        <v>24-2．奇襲と増援</v>
      </c>
      <c r="G352" s="57">
        <v>2</v>
      </c>
      <c r="H352" s="17" t="str">
        <f t="shared" ref="H352" si="418">B352&amp;"_"&amp;C352&amp;"-"&amp;G352</f>
        <v>24_2-2</v>
      </c>
      <c r="I352" s="17"/>
      <c r="J352" s="17"/>
      <c r="K352" s="65" t="s">
        <v>56</v>
      </c>
      <c r="L352" s="52">
        <v>354</v>
      </c>
      <c r="M352" s="21" t="str">
        <f ca="1">VLOOKUP($L352,OFFSET([2]enemies!$A$1,0,0,COUNTA([2]enemies!$A:$A),MATCH(M$1,[2]enemies!$1:$1,0)-MATCH($L$1,[2]enemies!$1:$1,0)+1),MATCH(M$1,[2]enemies!$1:$1,0)-MATCH($L$1,[2]enemies!$1:$1,0)+1,FALSE)</f>
        <v>雷のケロケロ</v>
      </c>
      <c r="N352" s="21" t="str">
        <f ca="1">VLOOKUP($L352,OFFSET([2]enemies!$A$1,0,0,COUNTA([2]enemies!$A:$A),MATCH(N$1,[2]enemies!$1:$1,0)-MATCH($L$1,[2]enemies!$1:$1,0)+1),MATCH(N$1,[2]enemies!$1:$1,0)-MATCH($L$1,[2]enemies!$1:$1,0)+1,FALSE)</f>
        <v>yellow</v>
      </c>
      <c r="O352" s="21" t="str">
        <f ca="1">VLOOKUP($L352,OFFSET([3]characters!$A$1,0,0,COUNTA([3]characters!$A:$A),MATCH(O$1,[3]characters!$1:$1,0)-MATCH($L$1,[3]characters!$1:$1,0)+1),MATCH(O$1,[3]characters!$1:$1,0)-MATCH($L$1,[3]characters!$1:$1,0)+1,FALSE)</f>
        <v>Material</v>
      </c>
      <c r="P352" s="21" t="str">
        <f ca="1">VLOOKUP($L352,OFFSET([2]enemies!$A$1,0,0,COUNTA([2]enemies!$A:$A),MATCH(P$1,[2]enemies!$1:$1,0)-MATCH($L$1,[2]enemies!$1:$1,0)+1),MATCH(P$1,[2]enemies!$1:$1,0)-MATCH($L$1,[2]enemies!$1:$1,0)+1,FALSE)</f>
        <v>unknown</v>
      </c>
      <c r="Q352" s="21">
        <f ca="1">VLOOKUP($L352,OFFSET([2]enemies!$A$1,0,0,COUNTA([2]enemies!$A:$A),MATCH(Q$1,[2]enemies!$1:$1,0)-MATCH($L$1,[2]enemies!$1:$1,0)+1),MATCH(Q$1,[2]enemies!$1:$1,0)-MATCH($L$1,[2]enemies!$1:$1,0)+1,FALSE)</f>
        <v>15</v>
      </c>
      <c r="R352" s="53">
        <v>46</v>
      </c>
      <c r="S352" s="27">
        <v>1</v>
      </c>
      <c r="T352" s="27">
        <v>1</v>
      </c>
      <c r="U352" s="5">
        <v>0</v>
      </c>
      <c r="V352" s="4" t="str">
        <f ca="1">VLOOKUP($W352,OFFSET([4]enemy_skill_sets!$B$1,0,0,COUNTA([4]enemy_skill_sets!$B:$B),MATCH(M$1,[4]enemy_skill_sets!$1:$1,0)-MATCH($W$1,[4]enemy_skill_sets!$1:$1,0)+2),MATCH(M$1,[4]enemy_skill_sets!$1:$1,0)-MATCH($W$1,[4]enemy_skill_sets!$1:$1,0)+2,FALSE)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52" s="64">
        <v>354</v>
      </c>
      <c r="X352" s="6">
        <v>0</v>
      </c>
      <c r="Y352" s="6">
        <v>100</v>
      </c>
      <c r="Z352" s="6">
        <v>0</v>
      </c>
      <c r="AA352" s="4">
        <f ca="1">VLOOKUP($L352,OFFSET([2]enemies!$A$1,0,0,COUNTA([2]enemies!$A:$A),MATCH(AA$1,[2]enemies!$1:$1,0)-MATCH($L$1,[2]enemies!$1:$1,0)+1),MATCH(AA$1,[2]enemies!$1:$1,0)-MATCH($L$1,[2]enemies!$1:$1,0)+1,FALSE)</f>
        <v>3</v>
      </c>
      <c r="AB352" s="52">
        <v>354</v>
      </c>
      <c r="AC352" s="4" t="str">
        <f ca="1">VLOOKUP($AB352,OFFSET([3]characters!$A$1,0,0,COUNTA([3]characters!$A:$A),MATCH(AC$1,[3]characters!$1:$1,0)-MATCH("character_id",[3]characters!$1:$1,0)+1),MATCH(AC$1,[3]characters!$1:$1,0)-MATCH("character_id",[3]characters!$1:$1,0)+1,FALSE)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52" s="4">
        <f ca="1">VLOOKUP($AB352,OFFSET([3]characters!$A$1,0,0,COUNTA([3]characters!$A:$A),MATCH(AD$1,[3]characters!$1:$1,0)-MATCH("character_id",[3]characters!$1:$1,0)+1),MATCH(AD$1,[3]characters!$1:$1,0)-MATCH("character_id",[3]characters!$1:$1,0)+1,FALSE)</f>
        <v>2</v>
      </c>
      <c r="AE352" s="4" t="str">
        <f ca="1">VLOOKUP($AB352,OFFSET([3]characters!$A$1,0,0,COUNTA([3]characters!$A:$A),MATCH(AE$1,[3]characters!$1:$1,0)-MATCH("character_id",[3]characters!$1:$1,0)+1),MATCH(AE$1,[3]characters!$1:$1,0)-MATCH("character_id",[3]characters!$1:$1,0)+1,FALSE)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52" s="7">
        <v>10</v>
      </c>
      <c r="AG352" s="26">
        <f t="shared" ca="1" si="386"/>
        <v>2</v>
      </c>
      <c r="AH352" s="8">
        <v>20</v>
      </c>
      <c r="AI352" s="7">
        <v>0</v>
      </c>
      <c r="AJ352" s="7">
        <v>0</v>
      </c>
      <c r="AK352" s="7">
        <v>0</v>
      </c>
      <c r="AL352" s="7">
        <v>0</v>
      </c>
      <c r="AM352" s="7">
        <v>1</v>
      </c>
    </row>
    <row r="353" spans="1:39" ht="14" x14ac:dyDescent="0.15">
      <c r="A353" s="18" t="str">
        <f t="shared" ref="A353:A394" ca="1" si="419">B353&amp;"_"&amp;C353&amp;"-"&amp;G353&amp;"/"&amp;L353&amp;"&lt;lv"&amp;R353&amp;"&gt;s"&amp;AA353</f>
        <v>24_2-3/11&lt;lv48&gt;s3</v>
      </c>
      <c r="B353" s="50">
        <v>24</v>
      </c>
      <c r="C353" s="49">
        <v>2</v>
      </c>
      <c r="D353" s="2" t="str">
        <f t="shared" ref="D353:E394" si="420">B353&amp;"_"&amp;C353</f>
        <v>24_2</v>
      </c>
      <c r="E353" s="2" t="str">
        <f t="shared" si="420"/>
        <v>2_24_2</v>
      </c>
      <c r="F353" s="4" t="str">
        <f ca="1">VLOOKUP($D353,OFFSET([1]stages!$A$1,0,0,COUNTA([1]stages!$A:$A),MATCH(F$1,[1]stages!$2:$2,0)-MATCH($D$1,[1]stages!$2:$2,0)+1),MATCH(F$1,[1]stages!$2:$2,0)-MATCH($D$1,[1]stages!$2:$2,0)+1,FALSE)</f>
        <v>24-2．奇襲と増援</v>
      </c>
      <c r="G353" s="54">
        <v>3</v>
      </c>
      <c r="H353" s="17" t="str">
        <f t="shared" ref="H353:H394" si="421">B353&amp;"_"&amp;C353&amp;"-"&amp;G353</f>
        <v>24_2-3</v>
      </c>
      <c r="I353" s="17"/>
      <c r="J353" s="17"/>
      <c r="K353" s="65" t="s">
        <v>56</v>
      </c>
      <c r="L353" s="52">
        <v>11</v>
      </c>
      <c r="M353" s="21" t="str">
        <f ca="1">VLOOKUP($L353,OFFSET([2]enemies!$A$1,0,0,COUNTA([2]enemies!$A:$A),MATCH(M$1,[2]enemies!$1:$1,0)-MATCH($L$1,[2]enemies!$1:$1,0)+1),MATCH(M$1,[2]enemies!$1:$1,0)-MATCH($L$1,[2]enemies!$1:$1,0)+1,FALSE)</f>
        <v>マグリット</v>
      </c>
      <c r="N353" s="21" t="str">
        <f ca="1">VLOOKUP($L353,OFFSET([2]enemies!$A$1,0,0,COUNTA([2]enemies!$A:$A),MATCH(N$1,[2]enemies!$1:$1,0)-MATCH($L$1,[2]enemies!$1:$1,0)+1),MATCH(N$1,[2]enemies!$1:$1,0)-MATCH($L$1,[2]enemies!$1:$1,0)+1,FALSE)</f>
        <v>green</v>
      </c>
      <c r="O353" s="21" t="str">
        <f ca="1">VLOOKUP($L353,OFFSET([3]characters!$A$1,0,0,COUNTA([3]characters!$A:$A),MATCH(O$1,[3]characters!$1:$1,0)-MATCH($L$1,[3]characters!$1:$1,0)+1),MATCH(O$1,[3]characters!$1:$1,0)-MATCH($L$1,[3]characters!$1:$1,0)+1,FALSE)</f>
        <v>Drop1W</v>
      </c>
      <c r="P353" s="21" t="str">
        <f ca="1">VLOOKUP($L353,OFFSET([2]enemies!$A$1,0,0,COUNTA([2]enemies!$A:$A),MATCH(P$1,[2]enemies!$1:$1,0)-MATCH($L$1,[2]enemies!$1:$1,0)+1),MATCH(P$1,[2]enemies!$1:$1,0)-MATCH($L$1,[2]enemies!$1:$1,0)+1,FALSE)</f>
        <v>animal</v>
      </c>
      <c r="Q353" s="21">
        <f ca="1">VLOOKUP($L353,OFFSET([2]enemies!$A$1,0,0,COUNTA([2]enemies!$A:$A),MATCH(Q$1,[2]enemies!$1:$1,0)-MATCH($L$1,[2]enemies!$1:$1,0)+1),MATCH(Q$1,[2]enemies!$1:$1,0)-MATCH($L$1,[2]enemies!$1:$1,0)+1,FALSE)</f>
        <v>15</v>
      </c>
      <c r="R353" s="53">
        <v>48</v>
      </c>
      <c r="S353" s="27">
        <v>1</v>
      </c>
      <c r="T353" s="27">
        <v>1</v>
      </c>
      <c r="U353" s="5">
        <v>0</v>
      </c>
      <c r="V353" s="4" t="str">
        <f ca="1">VLOOKUP($W353,OFFSET([4]enemy_skill_sets!$B$1,0,0,COUNTA([4]enemy_skill_sets!$B:$B),MATCH(M$1,[4]enemy_skill_sets!$1:$1,0)-MATCH($W$1,[4]enemy_skill_sets!$1:$1,0)+2),MATCH(M$1,[4]enemy_skill_sets!$1:$1,0)-MATCH($W$1,[4]enemy_skill_sets!$1:$1,0)+2,FALSE)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53" s="4">
        <f ca="1">VLOOKUP($L353,OFFSET([2]enemies!$A$1,0,0,COUNTA([2]enemies!$A:$A),MATCH(W$1,[2]enemies!$1:$1,0)-MATCH($L$1,[2]enemies!$1:$1,0)+1),MATCH(W$1,[2]enemies!$1:$1,0)-MATCH($L$1,[2]enemies!$1:$1,0)+1,FALSE)</f>
        <v>0</v>
      </c>
      <c r="X353" s="6">
        <v>0</v>
      </c>
      <c r="Y353" s="6">
        <v>100</v>
      </c>
      <c r="Z353" s="6">
        <v>0</v>
      </c>
      <c r="AA353" s="4">
        <f ca="1">VLOOKUP($L353,OFFSET([2]enemies!$A$1,0,0,COUNTA([2]enemies!$A:$A),MATCH(AA$1,[2]enemies!$1:$1,0)-MATCH($L$1,[2]enemies!$1:$1,0)+1),MATCH(AA$1,[2]enemies!$1:$1,0)-MATCH($L$1,[2]enemies!$1:$1,0)+1,FALSE)</f>
        <v>3</v>
      </c>
      <c r="AB353" s="52">
        <v>11</v>
      </c>
      <c r="AC353" s="4" t="str">
        <f ca="1">VLOOKUP($AB353,OFFSET([3]characters!$A$1,0,0,COUNTA([3]characters!$A:$A),MATCH(AC$1,[3]characters!$1:$1,0)-MATCH("character_id",[3]characters!$1:$1,0)+1),MATCH(AC$1,[3]characters!$1:$1,0)-MATCH("character_id",[3]characters!$1:$1,0)+1,FALSE)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353" s="4">
        <f ca="1">VLOOKUP($AB353,OFFSET([3]characters!$A$1,0,0,COUNTA([3]characters!$A:$A),MATCH(AD$1,[3]characters!$1:$1,0)-MATCH("character_id",[3]characters!$1:$1,0)+1),MATCH(AD$1,[3]characters!$1:$1,0)-MATCH("character_id",[3]characters!$1:$1,0)+1,FALSE)</f>
        <v>1</v>
      </c>
      <c r="AE353" s="4" t="str">
        <f ca="1">VLOOKUP($AB353,OFFSET([3]characters!$A$1,0,0,COUNTA([3]characters!$A:$A),MATCH(AE$1,[3]characters!$1:$1,0)-MATCH("character_id",[3]characters!$1:$1,0)+1),MATCH(AE$1,[3]characters!$1:$1,0)-MATCH("character_id",[3]characters!$1:$1,0)+1,FALSE)</f>
        <v>Drop1W</v>
      </c>
      <c r="AF353" s="7">
        <v>9</v>
      </c>
      <c r="AG353" s="26">
        <f t="shared" ca="1" si="386"/>
        <v>1</v>
      </c>
      <c r="AH353" s="8">
        <v>20</v>
      </c>
      <c r="AI353" s="7">
        <v>0</v>
      </c>
      <c r="AJ353" s="7">
        <v>0</v>
      </c>
      <c r="AK353" s="7">
        <v>0</v>
      </c>
      <c r="AL353" s="7">
        <v>0</v>
      </c>
      <c r="AM353" s="7">
        <v>1</v>
      </c>
    </row>
    <row r="354" spans="1:39" ht="14" x14ac:dyDescent="0.15">
      <c r="A354" s="18" t="str">
        <f t="shared" ca="1" si="419"/>
        <v>24_2-3/13&lt;lv46&gt;s2</v>
      </c>
      <c r="B354" s="50">
        <v>24</v>
      </c>
      <c r="C354" s="49">
        <v>2</v>
      </c>
      <c r="D354" s="2" t="str">
        <f t="shared" si="420"/>
        <v>24_2</v>
      </c>
      <c r="E354" s="2" t="str">
        <f t="shared" si="420"/>
        <v>2_24_2</v>
      </c>
      <c r="F354" s="4" t="str">
        <f ca="1">VLOOKUP($D354,OFFSET([1]stages!$A$1,0,0,COUNTA([1]stages!$A:$A),MATCH(F$1,[1]stages!$2:$2,0)-MATCH($D$1,[1]stages!$2:$2,0)+1),MATCH(F$1,[1]stages!$2:$2,0)-MATCH($D$1,[1]stages!$2:$2,0)+1,FALSE)</f>
        <v>24-2．奇襲と増援</v>
      </c>
      <c r="G354" s="54">
        <v>3</v>
      </c>
      <c r="H354" s="17" t="str">
        <f t="shared" si="421"/>
        <v>24_2-3</v>
      </c>
      <c r="I354" s="17"/>
      <c r="J354" s="17"/>
      <c r="K354" s="65" t="s">
        <v>56</v>
      </c>
      <c r="L354" s="52">
        <v>13</v>
      </c>
      <c r="M354" s="21" t="str">
        <f ca="1">VLOOKUP($L354,OFFSET([2]enemies!$A$1,0,0,COUNTA([2]enemies!$A:$A),MATCH(M$1,[2]enemies!$1:$1,0)-MATCH($L$1,[2]enemies!$1:$1,0)+1),MATCH(M$1,[2]enemies!$1:$1,0)-MATCH($L$1,[2]enemies!$1:$1,0)+1,FALSE)</f>
        <v>ミミ</v>
      </c>
      <c r="N354" s="21" t="str">
        <f ca="1">VLOOKUP($L354,OFFSET([2]enemies!$A$1,0,0,COUNTA([2]enemies!$A:$A),MATCH(N$1,[2]enemies!$1:$1,0)-MATCH($L$1,[2]enemies!$1:$1,0)+1),MATCH(N$1,[2]enemies!$1:$1,0)-MATCH($L$1,[2]enemies!$1:$1,0)+1,FALSE)</f>
        <v>yellow</v>
      </c>
      <c r="O354" s="21" t="str">
        <f ca="1">VLOOKUP($L354,OFFSET([3]characters!$A$1,0,0,COUNTA([3]characters!$A:$A),MATCH(O$1,[3]characters!$1:$1,0)-MATCH($L$1,[3]characters!$1:$1,0)+1),MATCH(O$1,[3]characters!$1:$1,0)-MATCH($L$1,[3]characters!$1:$1,0)+1,FALSE)</f>
        <v>Drop1W</v>
      </c>
      <c r="P354" s="21" t="str">
        <f ca="1">VLOOKUP($L354,OFFSET([2]enemies!$A$1,0,0,COUNTA([2]enemies!$A:$A),MATCH(P$1,[2]enemies!$1:$1,0)-MATCH($L$1,[2]enemies!$1:$1,0)+1),MATCH(P$1,[2]enemies!$1:$1,0)-MATCH($L$1,[2]enemies!$1:$1,0)+1,FALSE)</f>
        <v>animal</v>
      </c>
      <c r="Q354" s="21">
        <f ca="1">VLOOKUP($L354,OFFSET([2]enemies!$A$1,0,0,COUNTA([2]enemies!$A:$A),MATCH(Q$1,[2]enemies!$1:$1,0)-MATCH($L$1,[2]enemies!$1:$1,0)+1),MATCH(Q$1,[2]enemies!$1:$1,0)-MATCH($L$1,[2]enemies!$1:$1,0)+1,FALSE)</f>
        <v>15</v>
      </c>
      <c r="R354" s="53">
        <v>46</v>
      </c>
      <c r="S354" s="27">
        <v>1.1000000000000001</v>
      </c>
      <c r="T354" s="27">
        <v>1</v>
      </c>
      <c r="U354" s="5">
        <v>0</v>
      </c>
      <c r="V354" s="4" t="str">
        <f ca="1">VLOOKUP($W354,OFFSET([4]enemy_skill_sets!$B$1,0,0,COUNTA([4]enemy_skill_sets!$B:$B),MATCH(M$1,[4]enemy_skill_sets!$1:$1,0)-MATCH($W$1,[4]enemy_skill_sets!$1:$1,0)+2),MATCH(M$1,[4]enemy_skill_sets!$1:$1,0)-MATCH($W$1,[4]enemy_skill_sets!$1:$1,0)+2,FALSE)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54" s="4">
        <f ca="1">VLOOKUP($L354,OFFSET([2]enemies!$A$1,0,0,COUNTA([2]enemies!$A:$A),MATCH(W$1,[2]enemies!$1:$1,0)-MATCH($L$1,[2]enemies!$1:$1,0)+1),MATCH(W$1,[2]enemies!$1:$1,0)-MATCH($L$1,[2]enemies!$1:$1,0)+1,FALSE)</f>
        <v>0</v>
      </c>
      <c r="X354" s="6">
        <v>0</v>
      </c>
      <c r="Y354" s="6">
        <v>100</v>
      </c>
      <c r="Z354" s="6">
        <v>0</v>
      </c>
      <c r="AA354" s="4">
        <f ca="1">VLOOKUP($L354,OFFSET([2]enemies!$A$1,0,0,COUNTA([2]enemies!$A:$A),MATCH(AA$1,[2]enemies!$1:$1,0)-MATCH($L$1,[2]enemies!$1:$1,0)+1),MATCH(AA$1,[2]enemies!$1:$1,0)-MATCH($L$1,[2]enemies!$1:$1,0)+1,FALSE)</f>
        <v>2</v>
      </c>
      <c r="AB354" s="52">
        <v>13</v>
      </c>
      <c r="AC354" s="4" t="str">
        <f ca="1">VLOOKUP($AB354,OFFSET([3]characters!$A$1,0,0,COUNTA([3]characters!$A:$A),MATCH(AC$1,[3]characters!$1:$1,0)-MATCH("character_id",[3]characters!$1:$1,0)+1),MATCH(AC$1,[3]characters!$1:$1,0)-MATCH("character_id",[3]characters!$1:$1,0)+1,FALSE)</f>
        <v>ミミ</v>
      </c>
      <c r="AD354" s="4">
        <f ca="1">VLOOKUP($AB354,OFFSET([3]characters!$A$1,0,0,COUNTA([3]characters!$A:$A),MATCH(AD$1,[3]characters!$1:$1,0)-MATCH("character_id",[3]characters!$1:$1,0)+1),MATCH(AD$1,[3]characters!$1:$1,0)-MATCH("character_id",[3]characters!$1:$1,0)+1,FALSE)</f>
        <v>1</v>
      </c>
      <c r="AE354" s="4" t="str">
        <f ca="1">VLOOKUP($AB354,OFFSET([3]characters!$A$1,0,0,COUNTA([3]characters!$A:$A),MATCH(AE$1,[3]characters!$1:$1,0)-MATCH("character_id",[3]characters!$1:$1,0)+1),MATCH(AE$1,[3]characters!$1:$1,0)-MATCH("character_id",[3]characters!$1:$1,0)+1,FALSE)</f>
        <v>Drop1W</v>
      </c>
      <c r="AF354" s="7">
        <v>9</v>
      </c>
      <c r="AG354" s="26">
        <f t="shared" ca="1" si="386"/>
        <v>1</v>
      </c>
      <c r="AH354" s="8">
        <v>20</v>
      </c>
      <c r="AI354" s="7">
        <v>0</v>
      </c>
      <c r="AJ354" s="7">
        <v>0</v>
      </c>
      <c r="AK354" s="7">
        <v>0</v>
      </c>
      <c r="AL354" s="7">
        <v>0</v>
      </c>
      <c r="AM354" s="7">
        <v>1</v>
      </c>
    </row>
    <row r="355" spans="1:39" ht="14" x14ac:dyDescent="0.15">
      <c r="A355" s="18" t="str">
        <f t="shared" ca="1" si="419"/>
        <v>24_2-3/23&lt;lv48&gt;s4</v>
      </c>
      <c r="B355" s="50">
        <v>24</v>
      </c>
      <c r="C355" s="49">
        <v>2</v>
      </c>
      <c r="D355" s="2" t="str">
        <f t="shared" si="420"/>
        <v>24_2</v>
      </c>
      <c r="E355" s="2" t="str">
        <f t="shared" si="420"/>
        <v>2_24_2</v>
      </c>
      <c r="F355" s="4" t="str">
        <f ca="1">VLOOKUP($D355,OFFSET([1]stages!$A$1,0,0,COUNTA([1]stages!$A:$A),MATCH(F$1,[1]stages!$2:$2,0)-MATCH($D$1,[1]stages!$2:$2,0)+1),MATCH(F$1,[1]stages!$2:$2,0)-MATCH($D$1,[1]stages!$2:$2,0)+1,FALSE)</f>
        <v>24-2．奇襲と増援</v>
      </c>
      <c r="G355" s="54">
        <v>3</v>
      </c>
      <c r="H355" s="17" t="str">
        <f t="shared" si="421"/>
        <v>24_2-3</v>
      </c>
      <c r="I355" s="17"/>
      <c r="J355" s="17"/>
      <c r="K355" s="65" t="s">
        <v>56</v>
      </c>
      <c r="L355" s="52">
        <v>23</v>
      </c>
      <c r="M355" s="21" t="str">
        <f ca="1">VLOOKUP($L355,OFFSET([2]enemies!$A$1,0,0,COUNTA([2]enemies!$A:$A),MATCH(M$1,[2]enemies!$1:$1,0)-MATCH($L$1,[2]enemies!$1:$1,0)+1),MATCH(M$1,[2]enemies!$1:$1,0)-MATCH($L$1,[2]enemies!$1:$1,0)+1,FALSE)</f>
        <v>ミール</v>
      </c>
      <c r="N355" s="21" t="str">
        <f ca="1">VLOOKUP($L355,OFFSET([2]enemies!$A$1,0,0,COUNTA([2]enemies!$A:$A),MATCH(N$1,[2]enemies!$1:$1,0)-MATCH($L$1,[2]enemies!$1:$1,0)+1),MATCH(N$1,[2]enemies!$1:$1,0)-MATCH($L$1,[2]enemies!$1:$1,0)+1,FALSE)</f>
        <v>green</v>
      </c>
      <c r="O355" s="21" t="str">
        <f ca="1">VLOOKUP($L355,OFFSET([3]characters!$A$1,0,0,COUNTA([3]characters!$A:$A),MATCH(O$1,[3]characters!$1:$1,0)-MATCH($L$1,[3]characters!$1:$1,0)+1),MATCH(O$1,[3]characters!$1:$1,0)-MATCH($L$1,[3]characters!$1:$1,0)+1,FALSE)</f>
        <v>Drop1N</v>
      </c>
      <c r="P355" s="21" t="str">
        <f ca="1">VLOOKUP($L355,OFFSET([2]enemies!$A$1,0,0,COUNTA([2]enemies!$A:$A),MATCH(P$1,[2]enemies!$1:$1,0)-MATCH($L$1,[2]enemies!$1:$1,0)+1),MATCH(P$1,[2]enemies!$1:$1,0)-MATCH($L$1,[2]enemies!$1:$1,0)+1,FALSE)</f>
        <v>animal</v>
      </c>
      <c r="Q355" s="21">
        <f ca="1">VLOOKUP($L355,OFFSET([2]enemies!$A$1,0,0,COUNTA([2]enemies!$A:$A),MATCH(Q$1,[2]enemies!$1:$1,0)-MATCH($L$1,[2]enemies!$1:$1,0)+1),MATCH(Q$1,[2]enemies!$1:$1,0)-MATCH($L$1,[2]enemies!$1:$1,0)+1,FALSE)</f>
        <v>15</v>
      </c>
      <c r="R355" s="53">
        <v>48</v>
      </c>
      <c r="S355" s="27">
        <v>1</v>
      </c>
      <c r="T355" s="27">
        <v>1</v>
      </c>
      <c r="U355" s="5">
        <v>0</v>
      </c>
      <c r="V355" s="4" t="str">
        <f ca="1">VLOOKUP($W355,OFFSET([4]enemy_skill_sets!$B$1,0,0,COUNTA([4]enemy_skill_sets!$B:$B),MATCH(M$1,[4]enemy_skill_sets!$1:$1,0)-MATCH($W$1,[4]enemy_skill_sets!$1:$1,0)+2),MATCH(M$1,[4]enemy_skill_sets!$1:$1,0)-MATCH($W$1,[4]enemy_skill_sets!$1:$1,0)+2,FALSE)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55" s="4">
        <f ca="1">VLOOKUP($L355,OFFSET([2]enemies!$A$1,0,0,COUNTA([2]enemies!$A:$A),MATCH(W$1,[2]enemies!$1:$1,0)-MATCH($L$1,[2]enemies!$1:$1,0)+1),MATCH(W$1,[2]enemies!$1:$1,0)-MATCH($L$1,[2]enemies!$1:$1,0)+1,FALSE)</f>
        <v>0</v>
      </c>
      <c r="X355" s="6">
        <v>0</v>
      </c>
      <c r="Y355" s="6">
        <v>100</v>
      </c>
      <c r="Z355" s="6">
        <v>0</v>
      </c>
      <c r="AA355" s="4">
        <f ca="1">VLOOKUP($L355,OFFSET([2]enemies!$A$1,0,0,COUNTA([2]enemies!$A:$A),MATCH(AA$1,[2]enemies!$1:$1,0)-MATCH($L$1,[2]enemies!$1:$1,0)+1),MATCH(AA$1,[2]enemies!$1:$1,0)-MATCH($L$1,[2]enemies!$1:$1,0)+1,FALSE)</f>
        <v>4</v>
      </c>
      <c r="AB355" s="52">
        <v>23</v>
      </c>
      <c r="AC355" s="4" t="str">
        <f ca="1">VLOOKUP($AB355,OFFSET([3]characters!$A$1,0,0,COUNTA([3]characters!$A:$A),MATCH(AC$1,[3]characters!$1:$1,0)-MATCH("character_id",[3]characters!$1:$1,0)+1),MATCH(AC$1,[3]characters!$1:$1,0)-MATCH("character_id",[3]characters!$1:$1,0)+1,FALSE)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355" s="4">
        <f ca="1">VLOOKUP($AB355,OFFSET([3]characters!$A$1,0,0,COUNTA([3]characters!$A:$A),MATCH(AD$1,[3]characters!$1:$1,0)-MATCH("character_id",[3]characters!$1:$1,0)+1),MATCH(AD$1,[3]characters!$1:$1,0)-MATCH("character_id",[3]characters!$1:$1,0)+1,FALSE)</f>
        <v>1</v>
      </c>
      <c r="AE355" s="4" t="str">
        <f ca="1">VLOOKUP($AB355,OFFSET([3]characters!$A$1,0,0,COUNTA([3]characters!$A:$A),MATCH(AE$1,[3]characters!$1:$1,0)-MATCH("character_id",[3]characters!$1:$1,0)+1),MATCH(AE$1,[3]characters!$1:$1,0)-MATCH("character_id",[3]characters!$1:$1,0)+1,FALSE)</f>
        <v>Drop1N</v>
      </c>
      <c r="AF355" s="7">
        <v>7</v>
      </c>
      <c r="AG355" s="26">
        <f t="shared" ca="1" si="386"/>
        <v>1</v>
      </c>
      <c r="AH355" s="8">
        <v>20</v>
      </c>
      <c r="AI355" s="7">
        <v>0</v>
      </c>
      <c r="AJ355" s="7">
        <v>0</v>
      </c>
      <c r="AK355" s="7">
        <v>0</v>
      </c>
      <c r="AL355" s="7">
        <v>0</v>
      </c>
      <c r="AM355" s="7">
        <v>1</v>
      </c>
    </row>
    <row r="356" spans="1:39" ht="14" x14ac:dyDescent="0.15">
      <c r="A356" s="18" t="str">
        <f t="shared" ca="1" si="419"/>
        <v>24_2-3/47&lt;lv46&gt;s1</v>
      </c>
      <c r="B356" s="50">
        <v>24</v>
      </c>
      <c r="C356" s="49">
        <v>2</v>
      </c>
      <c r="D356" s="2" t="str">
        <f t="shared" si="420"/>
        <v>24_2</v>
      </c>
      <c r="E356" s="2" t="str">
        <f t="shared" si="420"/>
        <v>2_24_2</v>
      </c>
      <c r="F356" s="4" t="str">
        <f ca="1">VLOOKUP($D356,OFFSET([1]stages!$A$1,0,0,COUNTA([1]stages!$A:$A),MATCH(F$1,[1]stages!$2:$2,0)-MATCH($D$1,[1]stages!$2:$2,0)+1),MATCH(F$1,[1]stages!$2:$2,0)-MATCH($D$1,[1]stages!$2:$2,0)+1,FALSE)</f>
        <v>24-2．奇襲と増援</v>
      </c>
      <c r="G356" s="54">
        <v>3</v>
      </c>
      <c r="H356" s="17" t="str">
        <f t="shared" si="421"/>
        <v>24_2-3</v>
      </c>
      <c r="I356" s="17"/>
      <c r="J356" s="17"/>
      <c r="K356" s="65" t="s">
        <v>56</v>
      </c>
      <c r="L356" s="52">
        <v>47</v>
      </c>
      <c r="M356" s="21" t="str">
        <f ca="1">VLOOKUP($L356,OFFSET([2]enemies!$A$1,0,0,COUNTA([2]enemies!$A:$A),MATCH(M$1,[2]enemies!$1:$1,0)-MATCH($L$1,[2]enemies!$1:$1,0)+1),MATCH(M$1,[2]enemies!$1:$1,0)-MATCH($L$1,[2]enemies!$1:$1,0)+1,FALSE)</f>
        <v>ヒロ</v>
      </c>
      <c r="N356" s="21" t="str">
        <f ca="1">VLOOKUP($L356,OFFSET([2]enemies!$A$1,0,0,COUNTA([2]enemies!$A:$A),MATCH(N$1,[2]enemies!$1:$1,0)-MATCH($L$1,[2]enemies!$1:$1,0)+1),MATCH(N$1,[2]enemies!$1:$1,0)-MATCH($L$1,[2]enemies!$1:$1,0)+1,FALSE)</f>
        <v>yellow</v>
      </c>
      <c r="O356" s="21" t="str">
        <f ca="1">VLOOKUP($L356,OFFSET([3]characters!$A$1,0,0,COUNTA([3]characters!$A:$A),MATCH(O$1,[3]characters!$1:$1,0)-MATCH($L$1,[3]characters!$1:$1,0)+1),MATCH(O$1,[3]characters!$1:$1,0)-MATCH($L$1,[3]characters!$1:$1,0)+1,FALSE)</f>
        <v>Drop1N</v>
      </c>
      <c r="P356" s="21" t="str">
        <f ca="1">VLOOKUP($L356,OFFSET([2]enemies!$A$1,0,0,COUNTA([2]enemies!$A:$A),MATCH(P$1,[2]enemies!$1:$1,0)-MATCH($L$1,[2]enemies!$1:$1,0)+1),MATCH(P$1,[2]enemies!$1:$1,0)-MATCH($L$1,[2]enemies!$1:$1,0)+1,FALSE)</f>
        <v>animal</v>
      </c>
      <c r="Q356" s="21">
        <f ca="1">VLOOKUP($L356,OFFSET([2]enemies!$A$1,0,0,COUNTA([2]enemies!$A:$A),MATCH(Q$1,[2]enemies!$1:$1,0)-MATCH($L$1,[2]enemies!$1:$1,0)+1),MATCH(Q$1,[2]enemies!$1:$1,0)-MATCH($L$1,[2]enemies!$1:$1,0)+1,FALSE)</f>
        <v>15</v>
      </c>
      <c r="R356" s="53">
        <v>46</v>
      </c>
      <c r="S356" s="27">
        <v>1.1000000000000001</v>
      </c>
      <c r="T356" s="27">
        <v>1</v>
      </c>
      <c r="U356" s="5">
        <v>0</v>
      </c>
      <c r="V356" s="4" t="str">
        <f ca="1">VLOOKUP($W356,OFFSET([4]enemy_skill_sets!$B$1,0,0,COUNTA([4]enemy_skill_sets!$B:$B),MATCH(M$1,[4]enemy_skill_sets!$1:$1,0)-MATCH($W$1,[4]enemy_skill_sets!$1:$1,0)+2),MATCH(M$1,[4]enemy_skill_sets!$1:$1,0)-MATCH($W$1,[4]enemy_skill_sets!$1:$1,0)+2,FALSE)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56" s="4">
        <f ca="1">VLOOKUP($L356,OFFSET([2]enemies!$A$1,0,0,COUNTA([2]enemies!$A:$A),MATCH(W$1,[2]enemies!$1:$1,0)-MATCH($L$1,[2]enemies!$1:$1,0)+1),MATCH(W$1,[2]enemies!$1:$1,0)-MATCH($L$1,[2]enemies!$1:$1,0)+1,FALSE)</f>
        <v>0</v>
      </c>
      <c r="X356" s="6">
        <v>0</v>
      </c>
      <c r="Y356" s="6">
        <v>100</v>
      </c>
      <c r="Z356" s="6">
        <v>0</v>
      </c>
      <c r="AA356" s="4">
        <f ca="1">VLOOKUP($L356,OFFSET([2]enemies!$A$1,0,0,COUNTA([2]enemies!$A:$A),MATCH(AA$1,[2]enemies!$1:$1,0)-MATCH($L$1,[2]enemies!$1:$1,0)+1),MATCH(AA$1,[2]enemies!$1:$1,0)-MATCH($L$1,[2]enemies!$1:$1,0)+1,FALSE)</f>
        <v>1</v>
      </c>
      <c r="AB356" s="52">
        <v>47</v>
      </c>
      <c r="AC356" s="4" t="str">
        <f ca="1">VLOOKUP($AB356,OFFSET([3]characters!$A$1,0,0,COUNTA([3]characters!$A:$A),MATCH(AC$1,[3]characters!$1:$1,0)-MATCH("character_id",[3]characters!$1:$1,0)+1),MATCH(AC$1,[3]characters!$1:$1,0)-MATCH("character_id",[3]characters!$1:$1,0)+1,FALSE)</f>
        <v>ヒロ</v>
      </c>
      <c r="AD356" s="4">
        <f ca="1">VLOOKUP($AB356,OFFSET([3]characters!$A$1,0,0,COUNTA([3]characters!$A:$A),MATCH(AD$1,[3]characters!$1:$1,0)-MATCH("character_id",[3]characters!$1:$1,0)+1),MATCH(AD$1,[3]characters!$1:$1,0)-MATCH("character_id",[3]characters!$1:$1,0)+1,FALSE)</f>
        <v>2</v>
      </c>
      <c r="AE356" s="4" t="str">
        <f ca="1">VLOOKUP($AB356,OFFSET([3]characters!$A$1,0,0,COUNTA([3]characters!$A:$A),MATCH(AE$1,[3]characters!$1:$1,0)-MATCH("character_id",[3]characters!$1:$1,0)+1),MATCH(AE$1,[3]characters!$1:$1,0)-MATCH("character_id",[3]characters!$1:$1,0)+1,FALSE)</f>
        <v>Drop1N</v>
      </c>
      <c r="AF356" s="7">
        <v>7</v>
      </c>
      <c r="AG356" s="26">
        <f t="shared" ca="1" si="386"/>
        <v>2</v>
      </c>
      <c r="AH356" s="8">
        <v>20</v>
      </c>
      <c r="AI356" s="7">
        <v>0</v>
      </c>
      <c r="AJ356" s="7">
        <v>0</v>
      </c>
      <c r="AK356" s="7">
        <v>0</v>
      </c>
      <c r="AL356" s="7">
        <v>0</v>
      </c>
      <c r="AM356" s="7">
        <v>1</v>
      </c>
    </row>
    <row r="357" spans="1:39" ht="14" x14ac:dyDescent="0.15">
      <c r="A357" s="18" t="str">
        <f t="shared" ca="1" si="419"/>
        <v>24_2-3/59&lt;lv48&gt;s2</v>
      </c>
      <c r="B357" s="50">
        <v>24</v>
      </c>
      <c r="C357" s="49">
        <v>2</v>
      </c>
      <c r="D357" s="2" t="str">
        <f t="shared" si="420"/>
        <v>24_2</v>
      </c>
      <c r="E357" s="2" t="str">
        <f t="shared" si="420"/>
        <v>2_24_2</v>
      </c>
      <c r="F357" s="4" t="str">
        <f ca="1">VLOOKUP($D357,OFFSET([1]stages!$A$1,0,0,COUNTA([1]stages!$A:$A),MATCH(F$1,[1]stages!$2:$2,0)-MATCH($D$1,[1]stages!$2:$2,0)+1),MATCH(F$1,[1]stages!$2:$2,0)-MATCH($D$1,[1]stages!$2:$2,0)+1,FALSE)</f>
        <v>24-2．奇襲と増援</v>
      </c>
      <c r="G357" s="54">
        <v>3</v>
      </c>
      <c r="H357" s="17" t="str">
        <f t="shared" si="421"/>
        <v>24_2-3</v>
      </c>
      <c r="I357" s="17"/>
      <c r="J357" s="17"/>
      <c r="K357" s="65" t="s">
        <v>56</v>
      </c>
      <c r="L357" s="52">
        <v>59</v>
      </c>
      <c r="M357" s="21" t="str">
        <f ca="1">VLOOKUP($L357,OFFSET([2]enemies!$A$1,0,0,COUNTA([2]enemies!$A:$A),MATCH(M$1,[2]enemies!$1:$1,0)-MATCH($L$1,[2]enemies!$1:$1,0)+1),MATCH(M$1,[2]enemies!$1:$1,0)-MATCH($L$1,[2]enemies!$1:$1,0)+1,FALSE)</f>
        <v>マーチ</v>
      </c>
      <c r="N357" s="21" t="str">
        <f ca="1">VLOOKUP($L357,OFFSET([2]enemies!$A$1,0,0,COUNTA([2]enemies!$A:$A),MATCH(N$1,[2]enemies!$1:$1,0)-MATCH($L$1,[2]enemies!$1:$1,0)+1),MATCH(N$1,[2]enemies!$1:$1,0)-MATCH($L$1,[2]enemies!$1:$1,0)+1,FALSE)</f>
        <v>green</v>
      </c>
      <c r="O357" s="21" t="str">
        <f ca="1">VLOOKUP($L357,OFFSET([3]characters!$A$1,0,0,COUNTA([3]characters!$A:$A),MATCH(O$1,[3]characters!$1:$1,0)-MATCH($L$1,[3]characters!$1:$1,0)+1),MATCH(O$1,[3]characters!$1:$1,0)-MATCH($L$1,[3]characters!$1:$1,0)+1,FALSE)</f>
        <v>Drop1N</v>
      </c>
      <c r="P357" s="21" t="str">
        <f ca="1">VLOOKUP($L357,OFFSET([2]enemies!$A$1,0,0,COUNTA([2]enemies!$A:$A),MATCH(P$1,[2]enemies!$1:$1,0)-MATCH($L$1,[2]enemies!$1:$1,0)+1),MATCH(P$1,[2]enemies!$1:$1,0)-MATCH($L$1,[2]enemies!$1:$1,0)+1,FALSE)</f>
        <v>animal</v>
      </c>
      <c r="Q357" s="21">
        <f ca="1">VLOOKUP($L357,OFFSET([2]enemies!$A$1,0,0,COUNTA([2]enemies!$A:$A),MATCH(Q$1,[2]enemies!$1:$1,0)-MATCH($L$1,[2]enemies!$1:$1,0)+1),MATCH(Q$1,[2]enemies!$1:$1,0)-MATCH($L$1,[2]enemies!$1:$1,0)+1,FALSE)</f>
        <v>15</v>
      </c>
      <c r="R357" s="53">
        <v>48</v>
      </c>
      <c r="S357" s="27">
        <v>1</v>
      </c>
      <c r="T357" s="27">
        <v>1</v>
      </c>
      <c r="U357" s="5">
        <v>0</v>
      </c>
      <c r="V357" s="4" t="str">
        <f ca="1">VLOOKUP($W357,OFFSET([4]enemy_skill_sets!$B$1,0,0,COUNTA([4]enemy_skill_sets!$B:$B),MATCH(M$1,[4]enemy_skill_sets!$1:$1,0)-MATCH($W$1,[4]enemy_skill_sets!$1:$1,0)+2),MATCH(M$1,[4]enemy_skill_sets!$1:$1,0)-MATCH($W$1,[4]enemy_skill_sets!$1:$1,0)+2,FALSE)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357" s="4">
        <f ca="1">VLOOKUP($L357,OFFSET([2]enemies!$A$1,0,0,COUNTA([2]enemies!$A:$A),MATCH(W$1,[2]enemies!$1:$1,0)-MATCH($L$1,[2]enemies!$1:$1,0)+1),MATCH(W$1,[2]enemies!$1:$1,0)-MATCH($L$1,[2]enemies!$1:$1,0)+1,FALSE)</f>
        <v>59</v>
      </c>
      <c r="X357" s="6">
        <v>0</v>
      </c>
      <c r="Y357" s="6">
        <v>100</v>
      </c>
      <c r="Z357" s="6">
        <v>0</v>
      </c>
      <c r="AA357" s="4">
        <f ca="1">VLOOKUP($L357,OFFSET([2]enemies!$A$1,0,0,COUNTA([2]enemies!$A:$A),MATCH(AA$1,[2]enemies!$1:$1,0)-MATCH($L$1,[2]enemies!$1:$1,0)+1),MATCH(AA$1,[2]enemies!$1:$1,0)-MATCH($L$1,[2]enemies!$1:$1,0)+1,FALSE)</f>
        <v>2</v>
      </c>
      <c r="AB357" s="52">
        <v>59</v>
      </c>
      <c r="AC357" s="4" t="str">
        <f ca="1">VLOOKUP($AB357,OFFSET([3]characters!$A$1,0,0,COUNTA([3]characters!$A:$A),MATCH(AC$1,[3]characters!$1:$1,0)-MATCH("character_id",[3]characters!$1:$1,0)+1),MATCH(AC$1,[3]characters!$1:$1,0)-MATCH("character_id",[3]characters!$1:$1,0)+1,FALSE)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357" s="4">
        <f ca="1">VLOOKUP($AB357,OFFSET([3]characters!$A$1,0,0,COUNTA([3]characters!$A:$A),MATCH(AD$1,[3]characters!$1:$1,0)-MATCH("character_id",[3]characters!$1:$1,0)+1),MATCH(AD$1,[3]characters!$1:$1,0)-MATCH("character_id",[3]characters!$1:$1,0)+1,FALSE)</f>
        <v>2</v>
      </c>
      <c r="AE357" s="4" t="str">
        <f ca="1">VLOOKUP($AB357,OFFSET([3]characters!$A$1,0,0,COUNTA([3]characters!$A:$A),MATCH(AE$1,[3]characters!$1:$1,0)-MATCH("character_id",[3]characters!$1:$1,0)+1),MATCH(AE$1,[3]characters!$1:$1,0)-MATCH("character_id",[3]characters!$1:$1,0)+1,FALSE)</f>
        <v>Drop1N</v>
      </c>
      <c r="AF357" s="7">
        <v>7</v>
      </c>
      <c r="AG357" s="26">
        <f t="shared" ca="1" si="386"/>
        <v>2</v>
      </c>
      <c r="AH357" s="8">
        <v>20</v>
      </c>
      <c r="AI357" s="7">
        <v>0</v>
      </c>
      <c r="AJ357" s="7">
        <v>0</v>
      </c>
      <c r="AK357" s="7">
        <v>0</v>
      </c>
      <c r="AL357" s="7">
        <v>0</v>
      </c>
      <c r="AM357" s="7">
        <v>1</v>
      </c>
    </row>
    <row r="358" spans="1:39" ht="14" x14ac:dyDescent="0.15">
      <c r="A358" s="18" t="str">
        <f t="shared" ca="1" si="419"/>
        <v>24_2-3/63&lt;lv46&gt;s2</v>
      </c>
      <c r="B358" s="50">
        <v>24</v>
      </c>
      <c r="C358" s="49">
        <v>2</v>
      </c>
      <c r="D358" s="2" t="str">
        <f t="shared" si="420"/>
        <v>24_2</v>
      </c>
      <c r="E358" s="2" t="str">
        <f t="shared" si="420"/>
        <v>2_24_2</v>
      </c>
      <c r="F358" s="4" t="str">
        <f ca="1">VLOOKUP($D358,OFFSET([1]stages!$A$1,0,0,COUNTA([1]stages!$A:$A),MATCH(F$1,[1]stages!$2:$2,0)-MATCH($D$1,[1]stages!$2:$2,0)+1),MATCH(F$1,[1]stages!$2:$2,0)-MATCH($D$1,[1]stages!$2:$2,0)+1,FALSE)</f>
        <v>24-2．奇襲と増援</v>
      </c>
      <c r="G358" s="54">
        <v>3</v>
      </c>
      <c r="H358" s="17" t="str">
        <f t="shared" si="421"/>
        <v>24_2-3</v>
      </c>
      <c r="I358" s="17"/>
      <c r="J358" s="17"/>
      <c r="K358" s="65" t="s">
        <v>56</v>
      </c>
      <c r="L358" s="52">
        <v>63</v>
      </c>
      <c r="M358" s="21" t="str">
        <f ca="1">VLOOKUP($L358,OFFSET([2]enemies!$A$1,0,0,COUNTA([2]enemies!$A:$A),MATCH(M$1,[2]enemies!$1:$1,0)-MATCH($L$1,[2]enemies!$1:$1,0)+1),MATCH(M$1,[2]enemies!$1:$1,0)-MATCH($L$1,[2]enemies!$1:$1,0)+1,FALSE)</f>
        <v>トニー</v>
      </c>
      <c r="N358" s="21" t="str">
        <f ca="1">VLOOKUP($L358,OFFSET([2]enemies!$A$1,0,0,COUNTA([2]enemies!$A:$A),MATCH(N$1,[2]enemies!$1:$1,0)-MATCH($L$1,[2]enemies!$1:$1,0)+1),MATCH(N$1,[2]enemies!$1:$1,0)-MATCH($L$1,[2]enemies!$1:$1,0)+1,FALSE)</f>
        <v>yellow</v>
      </c>
      <c r="O358" s="21" t="str">
        <f ca="1">VLOOKUP($L358,OFFSET([3]characters!$A$1,0,0,COUNTA([3]characters!$A:$A),MATCH(O$1,[3]characters!$1:$1,0)-MATCH($L$1,[3]characters!$1:$1,0)+1),MATCH(O$1,[3]characters!$1:$1,0)-MATCH($L$1,[3]characters!$1:$1,0)+1,FALSE)</f>
        <v>Drop1N</v>
      </c>
      <c r="P358" s="21" t="str">
        <f ca="1">VLOOKUP($L358,OFFSET([2]enemies!$A$1,0,0,COUNTA([2]enemies!$A:$A),MATCH(P$1,[2]enemies!$1:$1,0)-MATCH($L$1,[2]enemies!$1:$1,0)+1),MATCH(P$1,[2]enemies!$1:$1,0)-MATCH($L$1,[2]enemies!$1:$1,0)+1,FALSE)</f>
        <v>animal</v>
      </c>
      <c r="Q358" s="21">
        <f ca="1">VLOOKUP($L358,OFFSET([2]enemies!$A$1,0,0,COUNTA([2]enemies!$A:$A),MATCH(Q$1,[2]enemies!$1:$1,0)-MATCH($L$1,[2]enemies!$1:$1,0)+1),MATCH(Q$1,[2]enemies!$1:$1,0)-MATCH($L$1,[2]enemies!$1:$1,0)+1,FALSE)</f>
        <v>15</v>
      </c>
      <c r="R358" s="53">
        <v>46</v>
      </c>
      <c r="S358" s="27">
        <v>1.1000000000000001</v>
      </c>
      <c r="T358" s="27">
        <v>1</v>
      </c>
      <c r="U358" s="5">
        <v>0</v>
      </c>
      <c r="V358" s="4" t="str">
        <f ca="1">VLOOKUP($W358,OFFSET([4]enemy_skill_sets!$B$1,0,0,COUNTA([4]enemy_skill_sets!$B:$B),MATCH(M$1,[4]enemy_skill_sets!$1:$1,0)-MATCH($W$1,[4]enemy_skill_sets!$1:$1,0)+2),MATCH(M$1,[4]enemy_skill_sets!$1:$1,0)-MATCH($W$1,[4]enemy_skill_sets!$1:$1,0)+2,FALSE)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358" s="4">
        <f ca="1">VLOOKUP($L358,OFFSET([2]enemies!$A$1,0,0,COUNTA([2]enemies!$A:$A),MATCH(W$1,[2]enemies!$1:$1,0)-MATCH($L$1,[2]enemies!$1:$1,0)+1),MATCH(W$1,[2]enemies!$1:$1,0)-MATCH($L$1,[2]enemies!$1:$1,0)+1,FALSE)</f>
        <v>63</v>
      </c>
      <c r="X358" s="6">
        <v>0</v>
      </c>
      <c r="Y358" s="6">
        <v>100</v>
      </c>
      <c r="Z358" s="6">
        <v>0</v>
      </c>
      <c r="AA358" s="4">
        <f ca="1">VLOOKUP($L358,OFFSET([2]enemies!$A$1,0,0,COUNTA([2]enemies!$A:$A),MATCH(AA$1,[2]enemies!$1:$1,0)-MATCH($L$1,[2]enemies!$1:$1,0)+1),MATCH(AA$1,[2]enemies!$1:$1,0)-MATCH($L$1,[2]enemies!$1:$1,0)+1,FALSE)</f>
        <v>2</v>
      </c>
      <c r="AB358" s="52">
        <v>63</v>
      </c>
      <c r="AC358" s="4" t="str">
        <f ca="1">VLOOKUP($AB358,OFFSET([3]characters!$A$1,0,0,COUNTA([3]characters!$A:$A),MATCH(AC$1,[3]characters!$1:$1,0)-MATCH("character_id",[3]characters!$1:$1,0)+1),MATCH(AC$1,[3]characters!$1:$1,0)-MATCH("character_id",[3]characters!$1:$1,0)+1,FALSE)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358" s="4">
        <f ca="1">VLOOKUP($AB358,OFFSET([3]characters!$A$1,0,0,COUNTA([3]characters!$A:$A),MATCH(AD$1,[3]characters!$1:$1,0)-MATCH("character_id",[3]characters!$1:$1,0)+1),MATCH(AD$1,[3]characters!$1:$1,0)-MATCH("character_id",[3]characters!$1:$1,0)+1,FALSE)</f>
        <v>2</v>
      </c>
      <c r="AE358" s="4" t="str">
        <f ca="1">VLOOKUP($AB358,OFFSET([3]characters!$A$1,0,0,COUNTA([3]characters!$A:$A),MATCH(AE$1,[3]characters!$1:$1,0)-MATCH("character_id",[3]characters!$1:$1,0)+1),MATCH(AE$1,[3]characters!$1:$1,0)-MATCH("character_id",[3]characters!$1:$1,0)+1,FALSE)</f>
        <v>Drop1N</v>
      </c>
      <c r="AF358" s="7">
        <v>7</v>
      </c>
      <c r="AG358" s="26">
        <f t="shared" ca="1" si="386"/>
        <v>2</v>
      </c>
      <c r="AH358" s="8">
        <v>20</v>
      </c>
      <c r="AI358" s="7">
        <v>0</v>
      </c>
      <c r="AJ358" s="7">
        <v>0</v>
      </c>
      <c r="AK358" s="7">
        <v>0</v>
      </c>
      <c r="AL358" s="7">
        <v>0</v>
      </c>
      <c r="AM358" s="7">
        <v>1</v>
      </c>
    </row>
    <row r="359" spans="1:39" ht="14" x14ac:dyDescent="0.15">
      <c r="A359" s="18" t="str">
        <f t="shared" ca="1" si="419"/>
        <v>24_2-3/27&lt;lv48&gt;s1</v>
      </c>
      <c r="B359" s="50">
        <v>24</v>
      </c>
      <c r="C359" s="49">
        <v>2</v>
      </c>
      <c r="D359" s="2" t="str">
        <f t="shared" si="420"/>
        <v>24_2</v>
      </c>
      <c r="E359" s="2" t="str">
        <f t="shared" si="420"/>
        <v>2_24_2</v>
      </c>
      <c r="F359" s="4" t="str">
        <f ca="1">VLOOKUP($D359,OFFSET([1]stages!$A$1,0,0,COUNTA([1]stages!$A:$A),MATCH(F$1,[1]stages!$2:$2,0)-MATCH($D$1,[1]stages!$2:$2,0)+1),MATCH(F$1,[1]stages!$2:$2,0)-MATCH($D$1,[1]stages!$2:$2,0)+1,FALSE)</f>
        <v>24-2．奇襲と増援</v>
      </c>
      <c r="G359" s="54">
        <v>3</v>
      </c>
      <c r="H359" s="17" t="str">
        <f t="shared" si="421"/>
        <v>24_2-3</v>
      </c>
      <c r="I359" s="17"/>
      <c r="J359" s="17"/>
      <c r="K359" s="65" t="s">
        <v>56</v>
      </c>
      <c r="L359" s="52">
        <v>27</v>
      </c>
      <c r="M359" s="21" t="str">
        <f ca="1">VLOOKUP($L359,OFFSET([2]enemies!$A$1,0,0,COUNTA([2]enemies!$A:$A),MATCH(M$1,[2]enemies!$1:$1,0)-MATCH($L$1,[2]enemies!$1:$1,0)+1),MATCH(M$1,[2]enemies!$1:$1,0)-MATCH($L$1,[2]enemies!$1:$1,0)+1,FALSE)</f>
        <v>パトライン</v>
      </c>
      <c r="N359" s="21" t="str">
        <f ca="1">VLOOKUP($L359,OFFSET([2]enemies!$A$1,0,0,COUNTA([2]enemies!$A:$A),MATCH(N$1,[2]enemies!$1:$1,0)-MATCH($L$1,[2]enemies!$1:$1,0)+1),MATCH(N$1,[2]enemies!$1:$1,0)-MATCH($L$1,[2]enemies!$1:$1,0)+1,FALSE)</f>
        <v>green</v>
      </c>
      <c r="O359" s="21" t="str">
        <f ca="1">VLOOKUP($L359,OFFSET([3]characters!$A$1,0,0,COUNTA([3]characters!$A:$A),MATCH(O$1,[3]characters!$1:$1,0)-MATCH($L$1,[3]characters!$1:$1,0)+1),MATCH(O$1,[3]characters!$1:$1,0)-MATCH($L$1,[3]characters!$1:$1,0)+1,FALSE)</f>
        <v>Drop1N</v>
      </c>
      <c r="P359" s="21" t="str">
        <f ca="1">VLOOKUP($L359,OFFSET([2]enemies!$A$1,0,0,COUNTA([2]enemies!$A:$A),MATCH(P$1,[2]enemies!$1:$1,0)-MATCH($L$1,[2]enemies!$1:$1,0)+1),MATCH(P$1,[2]enemies!$1:$1,0)-MATCH($L$1,[2]enemies!$1:$1,0)+1,FALSE)</f>
        <v>machine</v>
      </c>
      <c r="Q359" s="21">
        <f ca="1">VLOOKUP($L359,OFFSET([2]enemies!$A$1,0,0,COUNTA([2]enemies!$A:$A),MATCH(Q$1,[2]enemies!$1:$1,0)-MATCH($L$1,[2]enemies!$1:$1,0)+1),MATCH(Q$1,[2]enemies!$1:$1,0)-MATCH($L$1,[2]enemies!$1:$1,0)+1,FALSE)</f>
        <v>15</v>
      </c>
      <c r="R359" s="53">
        <v>48</v>
      </c>
      <c r="S359" s="27">
        <v>1</v>
      </c>
      <c r="T359" s="27">
        <v>1</v>
      </c>
      <c r="U359" s="5">
        <v>0</v>
      </c>
      <c r="V359" s="4" t="str">
        <f ca="1">VLOOKUP($W359,OFFSET([4]enemy_skill_sets!$B$1,0,0,COUNTA([4]enemy_skill_sets!$B:$B),MATCH(M$1,[4]enemy_skill_sets!$1:$1,0)-MATCH($W$1,[4]enemy_skill_sets!$1:$1,0)+2),MATCH(M$1,[4]enemy_skill_sets!$1:$1,0)-MATCH($W$1,[4]enemy_skill_sets!$1:$1,0)+2,FALSE)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59" s="4">
        <f ca="1">VLOOKUP($L359,OFFSET([2]enemies!$A$1,0,0,COUNTA([2]enemies!$A:$A),MATCH(W$1,[2]enemies!$1:$1,0)-MATCH($L$1,[2]enemies!$1:$1,0)+1),MATCH(W$1,[2]enemies!$1:$1,0)-MATCH($L$1,[2]enemies!$1:$1,0)+1,FALSE)</f>
        <v>0</v>
      </c>
      <c r="X359" s="6">
        <v>0</v>
      </c>
      <c r="Y359" s="6">
        <v>100</v>
      </c>
      <c r="Z359" s="6">
        <v>0</v>
      </c>
      <c r="AA359" s="4">
        <f ca="1">VLOOKUP($L359,OFFSET([2]enemies!$A$1,0,0,COUNTA([2]enemies!$A:$A),MATCH(AA$1,[2]enemies!$1:$1,0)-MATCH($L$1,[2]enemies!$1:$1,0)+1),MATCH(AA$1,[2]enemies!$1:$1,0)-MATCH($L$1,[2]enemies!$1:$1,0)+1,FALSE)</f>
        <v>1</v>
      </c>
      <c r="AB359" s="52">
        <v>27</v>
      </c>
      <c r="AC359" s="4" t="str">
        <f ca="1">VLOOKUP($AB359,OFFSET([3]characters!$A$1,0,0,COUNTA([3]characters!$A:$A),MATCH(AC$1,[3]characters!$1:$1,0)-MATCH("character_id",[3]characters!$1:$1,0)+1),MATCH(AC$1,[3]characters!$1:$1,0)-MATCH("character_id",[3]characters!$1:$1,0)+1,FALSE)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359" s="4">
        <f ca="1">VLOOKUP($AB359,OFFSET([3]characters!$A$1,0,0,COUNTA([3]characters!$A:$A),MATCH(AD$1,[3]characters!$1:$1,0)-MATCH("character_id",[3]characters!$1:$1,0)+1),MATCH(AD$1,[3]characters!$1:$1,0)-MATCH("character_id",[3]characters!$1:$1,0)+1,FALSE)</f>
        <v>1</v>
      </c>
      <c r="AE359" s="4" t="str">
        <f ca="1">VLOOKUP($AB359,OFFSET([3]characters!$A$1,0,0,COUNTA([3]characters!$A:$A),MATCH(AE$1,[3]characters!$1:$1,0)-MATCH("character_id",[3]characters!$1:$1,0)+1),MATCH(AE$1,[3]characters!$1:$1,0)-MATCH("character_id",[3]characters!$1:$1,0)+1,FALSE)</f>
        <v>Drop1N</v>
      </c>
      <c r="AF359" s="7">
        <v>7</v>
      </c>
      <c r="AG359" s="26">
        <f t="shared" ca="1" si="386"/>
        <v>1</v>
      </c>
      <c r="AH359" s="8">
        <v>20</v>
      </c>
      <c r="AI359" s="7">
        <v>0</v>
      </c>
      <c r="AJ359" s="7">
        <v>0</v>
      </c>
      <c r="AK359" s="7">
        <v>0</v>
      </c>
      <c r="AL359" s="7">
        <v>0</v>
      </c>
      <c r="AM359" s="7">
        <v>1</v>
      </c>
    </row>
    <row r="360" spans="1:39" ht="14" x14ac:dyDescent="0.15">
      <c r="A360" s="18" t="str">
        <f t="shared" ca="1" si="419"/>
        <v>24_2-3/31&lt;lv46&gt;s2</v>
      </c>
      <c r="B360" s="50">
        <v>24</v>
      </c>
      <c r="C360" s="49">
        <v>2</v>
      </c>
      <c r="D360" s="2" t="str">
        <f t="shared" si="420"/>
        <v>24_2</v>
      </c>
      <c r="E360" s="2" t="str">
        <f t="shared" si="420"/>
        <v>2_24_2</v>
      </c>
      <c r="F360" s="4" t="str">
        <f ca="1">VLOOKUP($D360,OFFSET([1]stages!$A$1,0,0,COUNTA([1]stages!$A:$A),MATCH(F$1,[1]stages!$2:$2,0)-MATCH($D$1,[1]stages!$2:$2,0)+1),MATCH(F$1,[1]stages!$2:$2,0)-MATCH($D$1,[1]stages!$2:$2,0)+1,FALSE)</f>
        <v>24-2．奇襲と増援</v>
      </c>
      <c r="G360" s="54">
        <v>3</v>
      </c>
      <c r="H360" s="17" t="str">
        <f t="shared" si="421"/>
        <v>24_2-3</v>
      </c>
      <c r="I360" s="17"/>
      <c r="J360" s="17"/>
      <c r="K360" s="65" t="s">
        <v>56</v>
      </c>
      <c r="L360" s="52">
        <v>31</v>
      </c>
      <c r="M360" s="21" t="str">
        <f ca="1">VLOOKUP($L360,OFFSET([2]enemies!$A$1,0,0,COUNTA([2]enemies!$A:$A),MATCH(M$1,[2]enemies!$1:$1,0)-MATCH($L$1,[2]enemies!$1:$1,0)+1),MATCH(M$1,[2]enemies!$1:$1,0)-MATCH($L$1,[2]enemies!$1:$1,0)+1,FALSE)</f>
        <v>マービー</v>
      </c>
      <c r="N360" s="21" t="str">
        <f ca="1">VLOOKUP($L360,OFFSET([2]enemies!$A$1,0,0,COUNTA([2]enemies!$A:$A),MATCH(N$1,[2]enemies!$1:$1,0)-MATCH($L$1,[2]enemies!$1:$1,0)+1),MATCH(N$1,[2]enemies!$1:$1,0)-MATCH($L$1,[2]enemies!$1:$1,0)+1,FALSE)</f>
        <v>yellow</v>
      </c>
      <c r="O360" s="21" t="str">
        <f ca="1">VLOOKUP($L360,OFFSET([3]characters!$A$1,0,0,COUNTA([3]characters!$A:$A),MATCH(O$1,[3]characters!$1:$1,0)-MATCH($L$1,[3]characters!$1:$1,0)+1),MATCH(O$1,[3]characters!$1:$1,0)-MATCH($L$1,[3]characters!$1:$1,0)+1,FALSE)</f>
        <v>Drop1N</v>
      </c>
      <c r="P360" s="21" t="str">
        <f ca="1">VLOOKUP($L360,OFFSET([2]enemies!$A$1,0,0,COUNTA([2]enemies!$A:$A),MATCH(P$1,[2]enemies!$1:$1,0)-MATCH($L$1,[2]enemies!$1:$1,0)+1),MATCH(P$1,[2]enemies!$1:$1,0)-MATCH($L$1,[2]enemies!$1:$1,0)+1,FALSE)</f>
        <v>machine</v>
      </c>
      <c r="Q360" s="21">
        <f ca="1">VLOOKUP($L360,OFFSET([2]enemies!$A$1,0,0,COUNTA([2]enemies!$A:$A),MATCH(Q$1,[2]enemies!$1:$1,0)-MATCH($L$1,[2]enemies!$1:$1,0)+1),MATCH(Q$1,[2]enemies!$1:$1,0)-MATCH($L$1,[2]enemies!$1:$1,0)+1,FALSE)</f>
        <v>15</v>
      </c>
      <c r="R360" s="53">
        <v>46</v>
      </c>
      <c r="S360" s="27">
        <v>1.1000000000000001</v>
      </c>
      <c r="T360" s="27">
        <v>1</v>
      </c>
      <c r="U360" s="5">
        <v>0</v>
      </c>
      <c r="V360" s="4" t="str">
        <f ca="1">VLOOKUP($W360,OFFSET([4]enemy_skill_sets!$B$1,0,0,COUNTA([4]enemy_skill_sets!$B:$B),MATCH(M$1,[4]enemy_skill_sets!$1:$1,0)-MATCH($W$1,[4]enemy_skill_sets!$1:$1,0)+2),MATCH(M$1,[4]enemy_skill_sets!$1:$1,0)-MATCH($W$1,[4]enemy_skill_sets!$1:$1,0)+2,FALSE)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60" s="4">
        <f ca="1">VLOOKUP($L360,OFFSET([2]enemies!$A$1,0,0,COUNTA([2]enemies!$A:$A),MATCH(W$1,[2]enemies!$1:$1,0)-MATCH($L$1,[2]enemies!$1:$1,0)+1),MATCH(W$1,[2]enemies!$1:$1,0)-MATCH($L$1,[2]enemies!$1:$1,0)+1,FALSE)</f>
        <v>0</v>
      </c>
      <c r="X360" s="6">
        <v>0</v>
      </c>
      <c r="Y360" s="6">
        <v>100</v>
      </c>
      <c r="Z360" s="6">
        <v>0</v>
      </c>
      <c r="AA360" s="4">
        <f ca="1">VLOOKUP($L360,OFFSET([2]enemies!$A$1,0,0,COUNTA([2]enemies!$A:$A),MATCH(AA$1,[2]enemies!$1:$1,0)-MATCH($L$1,[2]enemies!$1:$1,0)+1),MATCH(AA$1,[2]enemies!$1:$1,0)-MATCH($L$1,[2]enemies!$1:$1,0)+1,FALSE)</f>
        <v>2</v>
      </c>
      <c r="AB360" s="52">
        <v>31</v>
      </c>
      <c r="AC360" s="4" t="str">
        <f ca="1">VLOOKUP($AB360,OFFSET([3]characters!$A$1,0,0,COUNTA([3]characters!$A:$A),MATCH(AC$1,[3]characters!$1:$1,0)-MATCH("character_id",[3]characters!$1:$1,0)+1),MATCH(AC$1,[3]characters!$1:$1,0)-MATCH("character_id",[3]characters!$1:$1,0)+1,FALSE)</f>
        <v>マービー</v>
      </c>
      <c r="AD360" s="4">
        <f ca="1">VLOOKUP($AB360,OFFSET([3]characters!$A$1,0,0,COUNTA([3]characters!$A:$A),MATCH(AD$1,[3]characters!$1:$1,0)-MATCH("character_id",[3]characters!$1:$1,0)+1),MATCH(AD$1,[3]characters!$1:$1,0)-MATCH("character_id",[3]characters!$1:$1,0)+1,FALSE)</f>
        <v>1</v>
      </c>
      <c r="AE360" s="4" t="str">
        <f ca="1">VLOOKUP($AB360,OFFSET([3]characters!$A$1,0,0,COUNTA([3]characters!$A:$A),MATCH(AE$1,[3]characters!$1:$1,0)-MATCH("character_id",[3]characters!$1:$1,0)+1),MATCH(AE$1,[3]characters!$1:$1,0)-MATCH("character_id",[3]characters!$1:$1,0)+1,FALSE)</f>
        <v>Drop1N</v>
      </c>
      <c r="AF360" s="7">
        <v>7</v>
      </c>
      <c r="AG360" s="26">
        <f t="shared" ca="1" si="386"/>
        <v>1</v>
      </c>
      <c r="AH360" s="8">
        <v>20</v>
      </c>
      <c r="AI360" s="7">
        <v>0</v>
      </c>
      <c r="AJ360" s="7">
        <v>0</v>
      </c>
      <c r="AK360" s="7">
        <v>0</v>
      </c>
      <c r="AL360" s="7">
        <v>0</v>
      </c>
      <c r="AM360" s="7">
        <v>1</v>
      </c>
    </row>
    <row r="361" spans="1:39" ht="14" x14ac:dyDescent="0.15">
      <c r="A361" s="18" t="str">
        <f t="shared" ca="1" si="419"/>
        <v>24_2-3/35&lt;lv48&gt;s4</v>
      </c>
      <c r="B361" s="50">
        <v>24</v>
      </c>
      <c r="C361" s="49">
        <v>2</v>
      </c>
      <c r="D361" s="2" t="str">
        <f t="shared" si="420"/>
        <v>24_2</v>
      </c>
      <c r="E361" s="2" t="str">
        <f t="shared" si="420"/>
        <v>2_24_2</v>
      </c>
      <c r="F361" s="4" t="str">
        <f ca="1">VLOOKUP($D361,OFFSET([1]stages!$A$1,0,0,COUNTA([1]stages!$A:$A),MATCH(F$1,[1]stages!$2:$2,0)-MATCH($D$1,[1]stages!$2:$2,0)+1),MATCH(F$1,[1]stages!$2:$2,0)-MATCH($D$1,[1]stages!$2:$2,0)+1,FALSE)</f>
        <v>24-2．奇襲と増援</v>
      </c>
      <c r="G361" s="54">
        <v>3</v>
      </c>
      <c r="H361" s="17" t="str">
        <f t="shared" si="421"/>
        <v>24_2-3</v>
      </c>
      <c r="I361" s="17"/>
      <c r="J361" s="17"/>
      <c r="K361" s="65" t="s">
        <v>56</v>
      </c>
      <c r="L361" s="52">
        <v>35</v>
      </c>
      <c r="M361" s="21" t="str">
        <f ca="1">VLOOKUP($L361,OFFSET([2]enemies!$A$1,0,0,COUNTA([2]enemies!$A:$A),MATCH(M$1,[2]enemies!$1:$1,0)-MATCH($L$1,[2]enemies!$1:$1,0)+1),MATCH(M$1,[2]enemies!$1:$1,0)-MATCH($L$1,[2]enemies!$1:$1,0)+1,FALSE)</f>
        <v>F2</v>
      </c>
      <c r="N361" s="21" t="str">
        <f ca="1">VLOOKUP($L361,OFFSET([2]enemies!$A$1,0,0,COUNTA([2]enemies!$A:$A),MATCH(N$1,[2]enemies!$1:$1,0)-MATCH($L$1,[2]enemies!$1:$1,0)+1),MATCH(N$1,[2]enemies!$1:$1,0)-MATCH($L$1,[2]enemies!$1:$1,0)+1,FALSE)</f>
        <v>green</v>
      </c>
      <c r="O361" s="21" t="str">
        <f ca="1">VLOOKUP($L361,OFFSET([3]characters!$A$1,0,0,COUNTA([3]characters!$A:$A),MATCH(O$1,[3]characters!$1:$1,0)-MATCH($L$1,[3]characters!$1:$1,0)+1),MATCH(O$1,[3]characters!$1:$1,0)-MATCH($L$1,[3]characters!$1:$1,0)+1,FALSE)</f>
        <v>Drop1S</v>
      </c>
      <c r="P361" s="21" t="str">
        <f ca="1">VLOOKUP($L361,OFFSET([2]enemies!$A$1,0,0,COUNTA([2]enemies!$A:$A),MATCH(P$1,[2]enemies!$1:$1,0)-MATCH($L$1,[2]enemies!$1:$1,0)+1),MATCH(P$1,[2]enemies!$1:$1,0)-MATCH($L$1,[2]enemies!$1:$1,0)+1,FALSE)</f>
        <v>machine</v>
      </c>
      <c r="Q361" s="21">
        <f ca="1">VLOOKUP($L361,OFFSET([2]enemies!$A$1,0,0,COUNTA([2]enemies!$A:$A),MATCH(Q$1,[2]enemies!$1:$1,0)-MATCH($L$1,[2]enemies!$1:$1,0)+1),MATCH(Q$1,[2]enemies!$1:$1,0)-MATCH($L$1,[2]enemies!$1:$1,0)+1,FALSE)</f>
        <v>15</v>
      </c>
      <c r="R361" s="53">
        <v>48</v>
      </c>
      <c r="S361" s="27">
        <v>1</v>
      </c>
      <c r="T361" s="27">
        <v>1</v>
      </c>
      <c r="U361" s="5">
        <v>0</v>
      </c>
      <c r="V361" s="4" t="str">
        <f ca="1">VLOOKUP($W361,OFFSET([4]enemy_skill_sets!$B$1,0,0,COUNTA([4]enemy_skill_sets!$B:$B),MATCH(M$1,[4]enemy_skill_sets!$1:$1,0)-MATCH($W$1,[4]enemy_skill_sets!$1:$1,0)+2),MATCH(M$1,[4]enemy_skill_sets!$1:$1,0)-MATCH($W$1,[4]enemy_skill_sets!$1:$1,0)+2,FALSE)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61" s="4">
        <f ca="1">VLOOKUP($L361,OFFSET([2]enemies!$A$1,0,0,COUNTA([2]enemies!$A:$A),MATCH(W$1,[2]enemies!$1:$1,0)-MATCH($L$1,[2]enemies!$1:$1,0)+1),MATCH(W$1,[2]enemies!$1:$1,0)-MATCH($L$1,[2]enemies!$1:$1,0)+1,FALSE)</f>
        <v>35</v>
      </c>
      <c r="X361" s="6">
        <v>0</v>
      </c>
      <c r="Y361" s="6">
        <v>100</v>
      </c>
      <c r="Z361" s="6">
        <v>0</v>
      </c>
      <c r="AA361" s="4">
        <f ca="1">VLOOKUP($L361,OFFSET([2]enemies!$A$1,0,0,COUNTA([2]enemies!$A:$A),MATCH(AA$1,[2]enemies!$1:$1,0)-MATCH($L$1,[2]enemies!$1:$1,0)+1),MATCH(AA$1,[2]enemies!$1:$1,0)-MATCH($L$1,[2]enemies!$1:$1,0)+1,FALSE)</f>
        <v>4</v>
      </c>
      <c r="AB361" s="52">
        <v>35</v>
      </c>
      <c r="AC361" s="4" t="str">
        <f ca="1">VLOOKUP($AB361,OFFSET([3]characters!$A$1,0,0,COUNTA([3]characters!$A:$A),MATCH(AC$1,[3]characters!$1:$1,0)-MATCH("character_id",[3]characters!$1:$1,0)+1),MATCH(AC$1,[3]characters!$1:$1,0)-MATCH("character_id",[3]characters!$1:$1,0)+1,FALSE)</f>
        <v>F2</v>
      </c>
      <c r="AD361" s="4">
        <f ca="1">VLOOKUP($AB361,OFFSET([3]characters!$A$1,0,0,COUNTA([3]characters!$A:$A),MATCH(AD$1,[3]characters!$1:$1,0)-MATCH("character_id",[3]characters!$1:$1,0)+1),MATCH(AD$1,[3]characters!$1:$1,0)-MATCH("character_id",[3]characters!$1:$1,0)+1,FALSE)</f>
        <v>2</v>
      </c>
      <c r="AE361" s="4" t="str">
        <f ca="1">VLOOKUP($AB361,OFFSET([3]characters!$A$1,0,0,COUNTA([3]characters!$A:$A),MATCH(AE$1,[3]characters!$1:$1,0)-MATCH("character_id",[3]characters!$1:$1,0)+1),MATCH(AE$1,[3]characters!$1:$1,0)-MATCH("character_id",[3]characters!$1:$1,0)+1,FALSE)</f>
        <v>Drop1S</v>
      </c>
      <c r="AF361" s="7">
        <v>5</v>
      </c>
      <c r="AG361" s="26">
        <f t="shared" ca="1" si="386"/>
        <v>2</v>
      </c>
      <c r="AH361" s="8">
        <v>20</v>
      </c>
      <c r="AI361" s="7">
        <v>0</v>
      </c>
      <c r="AJ361" s="7">
        <v>0</v>
      </c>
      <c r="AK361" s="7">
        <v>0</v>
      </c>
      <c r="AL361" s="7">
        <v>0</v>
      </c>
      <c r="AM361" s="7">
        <v>1</v>
      </c>
    </row>
    <row r="362" spans="1:39" ht="14" x14ac:dyDescent="0.15">
      <c r="A362" s="18" t="str">
        <f t="shared" ref="A362:A363" ca="1" si="422">B362&amp;"_"&amp;C362&amp;"-"&amp;G362&amp;"/"&amp;L362&amp;"&lt;lv"&amp;R362&amp;"&gt;s"&amp;AA362</f>
        <v>24_2-3/362&lt;lv48&gt;s3</v>
      </c>
      <c r="B362" s="53">
        <v>24</v>
      </c>
      <c r="C362" s="51">
        <v>2</v>
      </c>
      <c r="D362" s="2" t="str">
        <f t="shared" ref="D362:D363" si="423">B362&amp;"_"&amp;C362</f>
        <v>24_2</v>
      </c>
      <c r="E362" s="2" t="str">
        <f t="shared" ref="E362:E363" si="424">C362&amp;"_"&amp;D362</f>
        <v>2_24_2</v>
      </c>
      <c r="F362" s="4" t="str">
        <f ca="1">VLOOKUP($D362,OFFSET([1]stages!$A$1,0,0,COUNTA([1]stages!$A:$A),MATCH(F$1,[1]stages!$2:$2,0)-MATCH($D$1,[1]stages!$2:$2,0)+1),MATCH(F$1,[1]stages!$2:$2,0)-MATCH($D$1,[1]stages!$2:$2,0)+1,FALSE)</f>
        <v>24-2．奇襲と増援</v>
      </c>
      <c r="G362" s="54">
        <v>3</v>
      </c>
      <c r="H362" s="17" t="str">
        <f t="shared" ref="H362:H363" si="425">B362&amp;"_"&amp;C362&amp;"-"&amp;G362</f>
        <v>24_2-3</v>
      </c>
      <c r="I362" s="17"/>
      <c r="J362" s="17"/>
      <c r="K362" s="65" t="s">
        <v>56</v>
      </c>
      <c r="L362" s="52">
        <v>362</v>
      </c>
      <c r="M362" s="21" t="str">
        <f ca="1">VLOOKUP($L362,OFFSET([2]enemies!$A$1,0,0,COUNTA([2]enemies!$A:$A),MATCH(M$1,[2]enemies!$1:$1,0)-MATCH($L$1,[2]enemies!$1:$1,0)+1),MATCH(M$1,[2]enemies!$1:$1,0)-MATCH($L$1,[2]enemies!$1:$1,0)+1,FALSE)</f>
        <v>ゆらら</v>
      </c>
      <c r="N362" s="21" t="str">
        <f ca="1">VLOOKUP($L362,OFFSET([2]enemies!$A$1,0,0,COUNTA([2]enemies!$A:$A),MATCH(N$1,[2]enemies!$1:$1,0)-MATCH($L$1,[2]enemies!$1:$1,0)+1),MATCH(N$1,[2]enemies!$1:$1,0)-MATCH($L$1,[2]enemies!$1:$1,0)+1,FALSE)</f>
        <v>green</v>
      </c>
      <c r="O362" s="21" t="str">
        <f ca="1">VLOOKUP($L362,OFFSET([3]characters!$A$1,0,0,COUNTA([3]characters!$A:$A),MATCH(O$1,[3]characters!$1:$1,0)-MATCH($L$1,[3]characters!$1:$1,0)+1),MATCH(O$1,[3]characters!$1:$1,0)-MATCH($L$1,[3]characters!$1:$1,0)+1,FALSE)</f>
        <v>Drop1S</v>
      </c>
      <c r="P362" s="21" t="str">
        <f ca="1">VLOOKUP($L362,OFFSET([2]enemies!$A$1,0,0,COUNTA([2]enemies!$A:$A),MATCH(P$1,[2]enemies!$1:$1,0)-MATCH($L$1,[2]enemies!$1:$1,0)+1),MATCH(P$1,[2]enemies!$1:$1,0)-MATCH($L$1,[2]enemies!$1:$1,0)+1,FALSE)</f>
        <v>animal</v>
      </c>
      <c r="Q362" s="21">
        <f ca="1">VLOOKUP($L362,OFFSET([2]enemies!$A$1,0,0,COUNTA([2]enemies!$A:$A),MATCH(Q$1,[2]enemies!$1:$1,0)-MATCH($L$1,[2]enemies!$1:$1,0)+1),MATCH(Q$1,[2]enemies!$1:$1,0)-MATCH($L$1,[2]enemies!$1:$1,0)+1,FALSE)</f>
        <v>15</v>
      </c>
      <c r="R362" s="53">
        <v>48</v>
      </c>
      <c r="S362" s="27">
        <v>1</v>
      </c>
      <c r="T362" s="27">
        <v>1</v>
      </c>
      <c r="U362" s="5">
        <v>0</v>
      </c>
      <c r="V362" s="4" t="str">
        <f ca="1">VLOOKUP($W362,OFFSET([4]enemy_skill_sets!$B$1,0,0,COUNTA([4]enemy_skill_sets!$B:$B),MATCH(M$1,[4]enemy_skill_sets!$1:$1,0)-MATCH($W$1,[4]enemy_skill_sets!$1:$1,0)+2),MATCH(M$1,[4]enemy_skill_sets!$1:$1,0)-MATCH($W$1,[4]enemy_skill_sets!$1:$1,0)+2,FALSE)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362" s="64">
        <v>362</v>
      </c>
      <c r="X362" s="6">
        <v>0</v>
      </c>
      <c r="Y362" s="6">
        <v>100</v>
      </c>
      <c r="Z362" s="6">
        <v>0</v>
      </c>
      <c r="AA362" s="4">
        <f ca="1">VLOOKUP($L362,OFFSET([2]enemies!$A$1,0,0,COUNTA([2]enemies!$A:$A),MATCH(AA$1,[2]enemies!$1:$1,0)-MATCH($L$1,[2]enemies!$1:$1,0)+1),MATCH(AA$1,[2]enemies!$1:$1,0)-MATCH($L$1,[2]enemies!$1:$1,0)+1,FALSE)</f>
        <v>3</v>
      </c>
      <c r="AB362" s="52">
        <v>362</v>
      </c>
      <c r="AC362" s="4" t="str">
        <f ca="1">VLOOKUP($AB362,OFFSET([3]characters!$A$1,0,0,COUNTA([3]characters!$A:$A),MATCH(AC$1,[3]characters!$1:$1,0)-MATCH("character_id",[3]characters!$1:$1,0)+1),MATCH(AC$1,[3]characters!$1:$1,0)-MATCH("character_id",[3]characters!$1:$1,0)+1,FALSE)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362" s="4">
        <f ca="1">VLOOKUP($AB362,OFFSET([3]characters!$A$1,0,0,COUNTA([3]characters!$A:$A),MATCH(AD$1,[3]characters!$1:$1,0)-MATCH("character_id",[3]characters!$1:$1,0)+1),MATCH(AD$1,[3]characters!$1:$1,0)-MATCH("character_id",[3]characters!$1:$1,0)+1,FALSE)</f>
        <v>2</v>
      </c>
      <c r="AE362" s="4" t="str">
        <f ca="1">VLOOKUP($AB362,OFFSET([3]characters!$A$1,0,0,COUNTA([3]characters!$A:$A),MATCH(AE$1,[3]characters!$1:$1,0)-MATCH("character_id",[3]characters!$1:$1,0)+1),MATCH(AE$1,[3]characters!$1:$1,0)-MATCH("character_id",[3]characters!$1:$1,0)+1,FALSE)</f>
        <v>Drop1S</v>
      </c>
      <c r="AF362" s="7">
        <v>7</v>
      </c>
      <c r="AG362" s="26">
        <f t="shared" ca="1" si="386"/>
        <v>2</v>
      </c>
      <c r="AH362" s="8">
        <v>20</v>
      </c>
      <c r="AI362" s="7">
        <v>0</v>
      </c>
      <c r="AJ362" s="7">
        <v>0</v>
      </c>
      <c r="AK362" s="7">
        <v>0</v>
      </c>
      <c r="AL362" s="7">
        <v>0</v>
      </c>
      <c r="AM362" s="7">
        <v>1</v>
      </c>
    </row>
    <row r="363" spans="1:39" ht="14" x14ac:dyDescent="0.15">
      <c r="A363" s="18" t="str">
        <f t="shared" ca="1" si="422"/>
        <v>24_2-3/366&lt;lv46&gt;s3</v>
      </c>
      <c r="B363" s="53">
        <v>24</v>
      </c>
      <c r="C363" s="51">
        <v>2</v>
      </c>
      <c r="D363" s="2" t="str">
        <f t="shared" si="423"/>
        <v>24_2</v>
      </c>
      <c r="E363" s="2" t="str">
        <f t="shared" si="424"/>
        <v>2_24_2</v>
      </c>
      <c r="F363" s="4" t="str">
        <f ca="1">VLOOKUP($D363,OFFSET([1]stages!$A$1,0,0,COUNTA([1]stages!$A:$A),MATCH(F$1,[1]stages!$2:$2,0)-MATCH($D$1,[1]stages!$2:$2,0)+1),MATCH(F$1,[1]stages!$2:$2,0)-MATCH($D$1,[1]stages!$2:$2,0)+1,FALSE)</f>
        <v>24-2．奇襲と増援</v>
      </c>
      <c r="G363" s="54">
        <v>3</v>
      </c>
      <c r="H363" s="17" t="str">
        <f t="shared" si="425"/>
        <v>24_2-3</v>
      </c>
      <c r="I363" s="17"/>
      <c r="J363" s="17"/>
      <c r="K363" s="65" t="s">
        <v>56</v>
      </c>
      <c r="L363" s="52">
        <v>366</v>
      </c>
      <c r="M363" s="21" t="str">
        <f ca="1">VLOOKUP($L363,OFFSET([2]enemies!$A$1,0,0,COUNTA([2]enemies!$A:$A),MATCH(M$1,[2]enemies!$1:$1,0)-MATCH($L$1,[2]enemies!$1:$1,0)+1),MATCH(M$1,[2]enemies!$1:$1,0)-MATCH($L$1,[2]enemies!$1:$1,0)+1,FALSE)</f>
        <v>トト</v>
      </c>
      <c r="N363" s="21" t="str">
        <f ca="1">VLOOKUP($L363,OFFSET([2]enemies!$A$1,0,0,COUNTA([2]enemies!$A:$A),MATCH(N$1,[2]enemies!$1:$1,0)-MATCH($L$1,[2]enemies!$1:$1,0)+1),MATCH(N$1,[2]enemies!$1:$1,0)-MATCH($L$1,[2]enemies!$1:$1,0)+1,FALSE)</f>
        <v>yellow</v>
      </c>
      <c r="O363" s="21" t="str">
        <f ca="1">VLOOKUP($L363,OFFSET([3]characters!$A$1,0,0,COUNTA([3]characters!$A:$A),MATCH(O$1,[3]characters!$1:$1,0)-MATCH($L$1,[3]characters!$1:$1,0)+1),MATCH(O$1,[3]characters!$1:$1,0)-MATCH($L$1,[3]characters!$1:$1,0)+1,FALSE)</f>
        <v>Drop1S</v>
      </c>
      <c r="P363" s="21" t="str">
        <f ca="1">VLOOKUP($L363,OFFSET([2]enemies!$A$1,0,0,COUNTA([2]enemies!$A:$A),MATCH(P$1,[2]enemies!$1:$1,0)-MATCH($L$1,[2]enemies!$1:$1,0)+1),MATCH(P$1,[2]enemies!$1:$1,0)-MATCH($L$1,[2]enemies!$1:$1,0)+1,FALSE)</f>
        <v>animal</v>
      </c>
      <c r="Q363" s="21">
        <f ca="1">VLOOKUP($L363,OFFSET([2]enemies!$A$1,0,0,COUNTA([2]enemies!$A:$A),MATCH(Q$1,[2]enemies!$1:$1,0)-MATCH($L$1,[2]enemies!$1:$1,0)+1),MATCH(Q$1,[2]enemies!$1:$1,0)-MATCH($L$1,[2]enemies!$1:$1,0)+1,FALSE)</f>
        <v>15</v>
      </c>
      <c r="R363" s="53">
        <v>46</v>
      </c>
      <c r="S363" s="27">
        <v>1.1000000000000001</v>
      </c>
      <c r="T363" s="27">
        <v>1</v>
      </c>
      <c r="U363" s="5">
        <v>0</v>
      </c>
      <c r="V363" s="4" t="str">
        <f ca="1">VLOOKUP($W363,OFFSET([4]enemy_skill_sets!$B$1,0,0,COUNTA([4]enemy_skill_sets!$B:$B),MATCH(M$1,[4]enemy_skill_sets!$1:$1,0)-MATCH($W$1,[4]enemy_skill_sets!$1:$1,0)+2),MATCH(M$1,[4]enemy_skill_sets!$1:$1,0)-MATCH($W$1,[4]enemy_skill_sets!$1:$1,0)+2,FALSE)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363" s="64">
        <v>366</v>
      </c>
      <c r="X363" s="6">
        <v>0</v>
      </c>
      <c r="Y363" s="6">
        <v>100</v>
      </c>
      <c r="Z363" s="6">
        <v>0</v>
      </c>
      <c r="AA363" s="4">
        <f ca="1">VLOOKUP($L363,OFFSET([2]enemies!$A$1,0,0,COUNTA([2]enemies!$A:$A),MATCH(AA$1,[2]enemies!$1:$1,0)-MATCH($L$1,[2]enemies!$1:$1,0)+1),MATCH(AA$1,[2]enemies!$1:$1,0)-MATCH($L$1,[2]enemies!$1:$1,0)+1,FALSE)</f>
        <v>3</v>
      </c>
      <c r="AB363" s="52">
        <v>366</v>
      </c>
      <c r="AC363" s="4" t="str">
        <f ca="1">VLOOKUP($AB363,OFFSET([3]characters!$A$1,0,0,COUNTA([3]characters!$A:$A),MATCH(AC$1,[3]characters!$1:$1,0)-MATCH("character_id",[3]characters!$1:$1,0)+1),MATCH(AC$1,[3]characters!$1:$1,0)-MATCH("character_id",[3]characters!$1:$1,0)+1,FALSE)</f>
        <v>トト</v>
      </c>
      <c r="AD363" s="4">
        <f ca="1">VLOOKUP($AB363,OFFSET([3]characters!$A$1,0,0,COUNTA([3]characters!$A:$A),MATCH(AD$1,[3]characters!$1:$1,0)-MATCH("character_id",[3]characters!$1:$1,0)+1),MATCH(AD$1,[3]characters!$1:$1,0)-MATCH("character_id",[3]characters!$1:$1,0)+1,FALSE)</f>
        <v>2</v>
      </c>
      <c r="AE363" s="4" t="str">
        <f ca="1">VLOOKUP($AB363,OFFSET([3]characters!$A$1,0,0,COUNTA([3]characters!$A:$A),MATCH(AE$1,[3]characters!$1:$1,0)-MATCH("character_id",[3]characters!$1:$1,0)+1),MATCH(AE$1,[3]characters!$1:$1,0)-MATCH("character_id",[3]characters!$1:$1,0)+1,FALSE)</f>
        <v>Drop1S</v>
      </c>
      <c r="AF363" s="7">
        <v>5</v>
      </c>
      <c r="AG363" s="26">
        <f t="shared" ca="1" si="386"/>
        <v>2</v>
      </c>
      <c r="AH363" s="8">
        <v>20</v>
      </c>
      <c r="AI363" s="7">
        <v>0</v>
      </c>
      <c r="AJ363" s="7">
        <v>0</v>
      </c>
      <c r="AK363" s="7">
        <v>0</v>
      </c>
      <c r="AL363" s="7">
        <v>0</v>
      </c>
      <c r="AM363" s="7">
        <v>1</v>
      </c>
    </row>
    <row r="364" spans="1:39" ht="14" x14ac:dyDescent="0.15">
      <c r="A364" s="18" t="str">
        <f t="shared" ref="A364" ca="1" si="426">B364&amp;"_"&amp;C364&amp;"-"&amp;G364&amp;"/"&amp;L364&amp;"&lt;lv"&amp;R364&amp;"&gt;s"&amp;AA364</f>
        <v>24_2-3/354&lt;lv48&gt;s3</v>
      </c>
      <c r="B364" s="53">
        <v>24</v>
      </c>
      <c r="C364" s="51">
        <v>2</v>
      </c>
      <c r="D364" s="2" t="str">
        <f t="shared" ref="D364" si="427">B364&amp;"_"&amp;C364</f>
        <v>24_2</v>
      </c>
      <c r="E364" s="2" t="str">
        <f t="shared" ref="E364" si="428">C364&amp;"_"&amp;D364</f>
        <v>2_24_2</v>
      </c>
      <c r="F364" s="4" t="str">
        <f ca="1">VLOOKUP($D364,OFFSET([1]stages!$A$1,0,0,COUNTA([1]stages!$A:$A),MATCH(F$1,[1]stages!$2:$2,0)-MATCH($D$1,[1]stages!$2:$2,0)+1),MATCH(F$1,[1]stages!$2:$2,0)-MATCH($D$1,[1]stages!$2:$2,0)+1,FALSE)</f>
        <v>24-2．奇襲と増援</v>
      </c>
      <c r="G364" s="54">
        <v>3</v>
      </c>
      <c r="H364" s="17" t="str">
        <f t="shared" ref="H364" si="429">B364&amp;"_"&amp;C364&amp;"-"&amp;G364</f>
        <v>24_2-3</v>
      </c>
      <c r="I364" s="17"/>
      <c r="J364" s="17"/>
      <c r="K364" s="65" t="s">
        <v>56</v>
      </c>
      <c r="L364" s="52">
        <v>354</v>
      </c>
      <c r="M364" s="21" t="str">
        <f ca="1">VLOOKUP($L364,OFFSET([2]enemies!$A$1,0,0,COUNTA([2]enemies!$A:$A),MATCH(M$1,[2]enemies!$1:$1,0)-MATCH($L$1,[2]enemies!$1:$1,0)+1),MATCH(M$1,[2]enemies!$1:$1,0)-MATCH($L$1,[2]enemies!$1:$1,0)+1,FALSE)</f>
        <v>雷のケロケロ</v>
      </c>
      <c r="N364" s="21" t="str">
        <f ca="1">VLOOKUP($L364,OFFSET([2]enemies!$A$1,0,0,COUNTA([2]enemies!$A:$A),MATCH(N$1,[2]enemies!$1:$1,0)-MATCH($L$1,[2]enemies!$1:$1,0)+1),MATCH(N$1,[2]enemies!$1:$1,0)-MATCH($L$1,[2]enemies!$1:$1,0)+1,FALSE)</f>
        <v>yellow</v>
      </c>
      <c r="O364" s="21" t="str">
        <f ca="1">VLOOKUP($L364,OFFSET([3]characters!$A$1,0,0,COUNTA([3]characters!$A:$A),MATCH(O$1,[3]characters!$1:$1,0)-MATCH($L$1,[3]characters!$1:$1,0)+1),MATCH(O$1,[3]characters!$1:$1,0)-MATCH($L$1,[3]characters!$1:$1,0)+1,FALSE)</f>
        <v>Material</v>
      </c>
      <c r="P364" s="21" t="str">
        <f ca="1">VLOOKUP($L364,OFFSET([2]enemies!$A$1,0,0,COUNTA([2]enemies!$A:$A),MATCH(P$1,[2]enemies!$1:$1,0)-MATCH($L$1,[2]enemies!$1:$1,0)+1),MATCH(P$1,[2]enemies!$1:$1,0)-MATCH($L$1,[2]enemies!$1:$1,0)+1,FALSE)</f>
        <v>unknown</v>
      </c>
      <c r="Q364" s="21">
        <f ca="1">VLOOKUP($L364,OFFSET([2]enemies!$A$1,0,0,COUNTA([2]enemies!$A:$A),MATCH(Q$1,[2]enemies!$1:$1,0)-MATCH($L$1,[2]enemies!$1:$1,0)+1),MATCH(Q$1,[2]enemies!$1:$1,0)-MATCH($L$1,[2]enemies!$1:$1,0)+1,FALSE)</f>
        <v>15</v>
      </c>
      <c r="R364" s="53">
        <v>48</v>
      </c>
      <c r="S364" s="27">
        <v>1</v>
      </c>
      <c r="T364" s="27">
        <v>1</v>
      </c>
      <c r="U364" s="5">
        <v>0</v>
      </c>
      <c r="V364" s="4" t="str">
        <f ca="1">VLOOKUP($W364,OFFSET([4]enemy_skill_sets!$B$1,0,0,COUNTA([4]enemy_skill_sets!$B:$B),MATCH(M$1,[4]enemy_skill_sets!$1:$1,0)-MATCH($W$1,[4]enemy_skill_sets!$1:$1,0)+2),MATCH(M$1,[4]enemy_skill_sets!$1:$1,0)-MATCH($W$1,[4]enemy_skill_sets!$1:$1,0)+2,FALSE)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64" s="64">
        <v>354</v>
      </c>
      <c r="X364" s="6">
        <v>0</v>
      </c>
      <c r="Y364" s="6">
        <v>100</v>
      </c>
      <c r="Z364" s="6">
        <v>0</v>
      </c>
      <c r="AA364" s="4">
        <f ca="1">VLOOKUP($L364,OFFSET([2]enemies!$A$1,0,0,COUNTA([2]enemies!$A:$A),MATCH(AA$1,[2]enemies!$1:$1,0)-MATCH($L$1,[2]enemies!$1:$1,0)+1),MATCH(AA$1,[2]enemies!$1:$1,0)-MATCH($L$1,[2]enemies!$1:$1,0)+1,FALSE)</f>
        <v>3</v>
      </c>
      <c r="AB364" s="52">
        <v>354</v>
      </c>
      <c r="AC364" s="4" t="str">
        <f ca="1">VLOOKUP($AB364,OFFSET([3]characters!$A$1,0,0,COUNTA([3]characters!$A:$A),MATCH(AC$1,[3]characters!$1:$1,0)-MATCH("character_id",[3]characters!$1:$1,0)+1),MATCH(AC$1,[3]characters!$1:$1,0)-MATCH("character_id",[3]characters!$1:$1,0)+1,FALSE)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64" s="4">
        <f ca="1">VLOOKUP($AB364,OFFSET([3]characters!$A$1,0,0,COUNTA([3]characters!$A:$A),MATCH(AD$1,[3]characters!$1:$1,0)-MATCH("character_id",[3]characters!$1:$1,0)+1),MATCH(AD$1,[3]characters!$1:$1,0)-MATCH("character_id",[3]characters!$1:$1,0)+1,FALSE)</f>
        <v>2</v>
      </c>
      <c r="AE364" s="4" t="str">
        <f ca="1">VLOOKUP($AB364,OFFSET([3]characters!$A$1,0,0,COUNTA([3]characters!$A:$A),MATCH(AE$1,[3]characters!$1:$1,0)-MATCH("character_id",[3]characters!$1:$1,0)+1),MATCH(AE$1,[3]characters!$1:$1,0)-MATCH("character_id",[3]characters!$1:$1,0)+1,FALSE)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64" s="7">
        <v>10</v>
      </c>
      <c r="AG364" s="26">
        <f t="shared" ca="1" si="386"/>
        <v>2</v>
      </c>
      <c r="AH364" s="8">
        <v>20</v>
      </c>
      <c r="AI364" s="7">
        <v>0</v>
      </c>
      <c r="AJ364" s="7">
        <v>0</v>
      </c>
      <c r="AK364" s="7">
        <v>0</v>
      </c>
      <c r="AL364" s="7">
        <v>0</v>
      </c>
      <c r="AM364" s="7">
        <v>1</v>
      </c>
    </row>
    <row r="365" spans="1:39" ht="14" x14ac:dyDescent="0.15">
      <c r="A365" s="18" t="str">
        <f t="shared" ca="1" si="419"/>
        <v>24_2-4/47&lt;lv46&gt;s1</v>
      </c>
      <c r="B365" s="50">
        <v>24</v>
      </c>
      <c r="C365" s="49">
        <v>2</v>
      </c>
      <c r="D365" s="2" t="str">
        <f t="shared" si="420"/>
        <v>24_2</v>
      </c>
      <c r="E365" s="2" t="str">
        <f t="shared" si="420"/>
        <v>2_24_2</v>
      </c>
      <c r="F365" s="4" t="str">
        <f ca="1">VLOOKUP($D365,OFFSET([1]stages!$A$1,0,0,COUNTA([1]stages!$A:$A),MATCH(F$1,[1]stages!$2:$2,0)-MATCH($D$1,[1]stages!$2:$2,0)+1),MATCH(F$1,[1]stages!$2:$2,0)-MATCH($D$1,[1]stages!$2:$2,0)+1,FALSE)</f>
        <v>24-2．奇襲と増援</v>
      </c>
      <c r="G365" s="55">
        <v>4</v>
      </c>
      <c r="H365" s="17" t="str">
        <f t="shared" si="421"/>
        <v>24_2-4</v>
      </c>
      <c r="I365" s="17"/>
      <c r="J365" s="17"/>
      <c r="K365" s="65" t="s">
        <v>56</v>
      </c>
      <c r="L365" s="52">
        <v>47</v>
      </c>
      <c r="M365" s="21" t="str">
        <f ca="1">VLOOKUP($L365,OFFSET([2]enemies!$A$1,0,0,COUNTA([2]enemies!$A:$A),MATCH(M$1,[2]enemies!$1:$1,0)-MATCH($L$1,[2]enemies!$1:$1,0)+1),MATCH(M$1,[2]enemies!$1:$1,0)-MATCH($L$1,[2]enemies!$1:$1,0)+1,FALSE)</f>
        <v>ヒロ</v>
      </c>
      <c r="N365" s="21" t="str">
        <f ca="1">VLOOKUP($L365,OFFSET([2]enemies!$A$1,0,0,COUNTA([2]enemies!$A:$A),MATCH(N$1,[2]enemies!$1:$1,0)-MATCH($L$1,[2]enemies!$1:$1,0)+1),MATCH(N$1,[2]enemies!$1:$1,0)-MATCH($L$1,[2]enemies!$1:$1,0)+1,FALSE)</f>
        <v>yellow</v>
      </c>
      <c r="O365" s="21" t="str">
        <f ca="1">VLOOKUP($L365,OFFSET([3]characters!$A$1,0,0,COUNTA([3]characters!$A:$A),MATCH(O$1,[3]characters!$1:$1,0)-MATCH($L$1,[3]characters!$1:$1,0)+1),MATCH(O$1,[3]characters!$1:$1,0)-MATCH($L$1,[3]characters!$1:$1,0)+1,FALSE)</f>
        <v>Drop1N</v>
      </c>
      <c r="P365" s="21" t="str">
        <f ca="1">VLOOKUP($L365,OFFSET([2]enemies!$A$1,0,0,COUNTA([2]enemies!$A:$A),MATCH(P$1,[2]enemies!$1:$1,0)-MATCH($L$1,[2]enemies!$1:$1,0)+1),MATCH(P$1,[2]enemies!$1:$1,0)-MATCH($L$1,[2]enemies!$1:$1,0)+1,FALSE)</f>
        <v>animal</v>
      </c>
      <c r="Q365" s="21">
        <f ca="1">VLOOKUP($L365,OFFSET([2]enemies!$A$1,0,0,COUNTA([2]enemies!$A:$A),MATCH(Q$1,[2]enemies!$1:$1,0)-MATCH($L$1,[2]enemies!$1:$1,0)+1),MATCH(Q$1,[2]enemies!$1:$1,0)-MATCH($L$1,[2]enemies!$1:$1,0)+1,FALSE)</f>
        <v>15</v>
      </c>
      <c r="R365" s="53">
        <v>46</v>
      </c>
      <c r="S365" s="27">
        <v>1.1000000000000001</v>
      </c>
      <c r="T365" s="27">
        <v>1</v>
      </c>
      <c r="U365" s="5">
        <v>0</v>
      </c>
      <c r="V365" s="4" t="str">
        <f ca="1">VLOOKUP($W365,OFFSET([4]enemy_skill_sets!$B$1,0,0,COUNTA([4]enemy_skill_sets!$B:$B),MATCH(M$1,[4]enemy_skill_sets!$1:$1,0)-MATCH($W$1,[4]enemy_skill_sets!$1:$1,0)+2),MATCH(M$1,[4]enemy_skill_sets!$1:$1,0)-MATCH($W$1,[4]enemy_skill_sets!$1:$1,0)+2,FALSE)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65" s="4">
        <f ca="1">VLOOKUP($L365,OFFSET([2]enemies!$A$1,0,0,COUNTA([2]enemies!$A:$A),MATCH(W$1,[2]enemies!$1:$1,0)-MATCH($L$1,[2]enemies!$1:$1,0)+1),MATCH(W$1,[2]enemies!$1:$1,0)-MATCH($L$1,[2]enemies!$1:$1,0)+1,FALSE)</f>
        <v>0</v>
      </c>
      <c r="X365" s="6">
        <v>0</v>
      </c>
      <c r="Y365" s="6">
        <v>100</v>
      </c>
      <c r="Z365" s="6">
        <v>0</v>
      </c>
      <c r="AA365" s="4">
        <f ca="1">VLOOKUP($L365,OFFSET([2]enemies!$A$1,0,0,COUNTA([2]enemies!$A:$A),MATCH(AA$1,[2]enemies!$1:$1,0)-MATCH($L$1,[2]enemies!$1:$1,0)+1),MATCH(AA$1,[2]enemies!$1:$1,0)-MATCH($L$1,[2]enemies!$1:$1,0)+1,FALSE)</f>
        <v>1</v>
      </c>
      <c r="AB365" s="52">
        <v>47</v>
      </c>
      <c r="AC365" s="4" t="str">
        <f ca="1">VLOOKUP($AB365,OFFSET([3]characters!$A$1,0,0,COUNTA([3]characters!$A:$A),MATCH(AC$1,[3]characters!$1:$1,0)-MATCH("character_id",[3]characters!$1:$1,0)+1),MATCH(AC$1,[3]characters!$1:$1,0)-MATCH("character_id",[3]characters!$1:$1,0)+1,FALSE)</f>
        <v>ヒロ</v>
      </c>
      <c r="AD365" s="4">
        <f ca="1">VLOOKUP($AB365,OFFSET([3]characters!$A$1,0,0,COUNTA([3]characters!$A:$A),MATCH(AD$1,[3]characters!$1:$1,0)-MATCH("character_id",[3]characters!$1:$1,0)+1),MATCH(AD$1,[3]characters!$1:$1,0)-MATCH("character_id",[3]characters!$1:$1,0)+1,FALSE)</f>
        <v>2</v>
      </c>
      <c r="AE365" s="4" t="str">
        <f ca="1">VLOOKUP($AB365,OFFSET([3]characters!$A$1,0,0,COUNTA([3]characters!$A:$A),MATCH(AE$1,[3]characters!$1:$1,0)-MATCH("character_id",[3]characters!$1:$1,0)+1),MATCH(AE$1,[3]characters!$1:$1,0)-MATCH("character_id",[3]characters!$1:$1,0)+1,FALSE)</f>
        <v>Drop1N</v>
      </c>
      <c r="AF365" s="7">
        <v>7</v>
      </c>
      <c r="AG365" s="26">
        <f t="shared" ca="1" si="386"/>
        <v>2</v>
      </c>
      <c r="AH365" s="8">
        <v>20</v>
      </c>
      <c r="AI365" s="7">
        <v>0</v>
      </c>
      <c r="AJ365" s="7">
        <v>0</v>
      </c>
      <c r="AK365" s="7">
        <v>0</v>
      </c>
      <c r="AL365" s="7">
        <v>0</v>
      </c>
      <c r="AM365" s="7">
        <v>1</v>
      </c>
    </row>
    <row r="366" spans="1:39" ht="14" x14ac:dyDescent="0.15">
      <c r="A366" s="18" t="str">
        <f t="shared" ca="1" si="419"/>
        <v>24_2-4/59&lt;lv48&gt;s2</v>
      </c>
      <c r="B366" s="50">
        <v>24</v>
      </c>
      <c r="C366" s="49">
        <v>2</v>
      </c>
      <c r="D366" s="2" t="str">
        <f t="shared" si="420"/>
        <v>24_2</v>
      </c>
      <c r="E366" s="2" t="str">
        <f t="shared" si="420"/>
        <v>2_24_2</v>
      </c>
      <c r="F366" s="4" t="str">
        <f ca="1">VLOOKUP($D366,OFFSET([1]stages!$A$1,0,0,COUNTA([1]stages!$A:$A),MATCH(F$1,[1]stages!$2:$2,0)-MATCH($D$1,[1]stages!$2:$2,0)+1),MATCH(F$1,[1]stages!$2:$2,0)-MATCH($D$1,[1]stages!$2:$2,0)+1,FALSE)</f>
        <v>24-2．奇襲と増援</v>
      </c>
      <c r="G366" s="55">
        <v>4</v>
      </c>
      <c r="H366" s="17" t="str">
        <f t="shared" si="421"/>
        <v>24_2-4</v>
      </c>
      <c r="I366" s="17"/>
      <c r="J366" s="17"/>
      <c r="K366" s="65" t="s">
        <v>56</v>
      </c>
      <c r="L366" s="52">
        <v>59</v>
      </c>
      <c r="M366" s="21" t="str">
        <f ca="1">VLOOKUP($L366,OFFSET([2]enemies!$A$1,0,0,COUNTA([2]enemies!$A:$A),MATCH(M$1,[2]enemies!$1:$1,0)-MATCH($L$1,[2]enemies!$1:$1,0)+1),MATCH(M$1,[2]enemies!$1:$1,0)-MATCH($L$1,[2]enemies!$1:$1,0)+1,FALSE)</f>
        <v>マーチ</v>
      </c>
      <c r="N366" s="21" t="str">
        <f ca="1">VLOOKUP($L366,OFFSET([2]enemies!$A$1,0,0,COUNTA([2]enemies!$A:$A),MATCH(N$1,[2]enemies!$1:$1,0)-MATCH($L$1,[2]enemies!$1:$1,0)+1),MATCH(N$1,[2]enemies!$1:$1,0)-MATCH($L$1,[2]enemies!$1:$1,0)+1,FALSE)</f>
        <v>green</v>
      </c>
      <c r="O366" s="21" t="str">
        <f ca="1">VLOOKUP($L366,OFFSET([3]characters!$A$1,0,0,COUNTA([3]characters!$A:$A),MATCH(O$1,[3]characters!$1:$1,0)-MATCH($L$1,[3]characters!$1:$1,0)+1),MATCH(O$1,[3]characters!$1:$1,0)-MATCH($L$1,[3]characters!$1:$1,0)+1,FALSE)</f>
        <v>Drop1N</v>
      </c>
      <c r="P366" s="21" t="str">
        <f ca="1">VLOOKUP($L366,OFFSET([2]enemies!$A$1,0,0,COUNTA([2]enemies!$A:$A),MATCH(P$1,[2]enemies!$1:$1,0)-MATCH($L$1,[2]enemies!$1:$1,0)+1),MATCH(P$1,[2]enemies!$1:$1,0)-MATCH($L$1,[2]enemies!$1:$1,0)+1,FALSE)</f>
        <v>animal</v>
      </c>
      <c r="Q366" s="21">
        <f ca="1">VLOOKUP($L366,OFFSET([2]enemies!$A$1,0,0,COUNTA([2]enemies!$A:$A),MATCH(Q$1,[2]enemies!$1:$1,0)-MATCH($L$1,[2]enemies!$1:$1,0)+1),MATCH(Q$1,[2]enemies!$1:$1,0)-MATCH($L$1,[2]enemies!$1:$1,0)+1,FALSE)</f>
        <v>15</v>
      </c>
      <c r="R366" s="53">
        <v>48</v>
      </c>
      <c r="S366" s="27">
        <v>1</v>
      </c>
      <c r="T366" s="27">
        <v>1</v>
      </c>
      <c r="U366" s="5">
        <v>0</v>
      </c>
      <c r="V366" s="4" t="str">
        <f ca="1">VLOOKUP($W366,OFFSET([4]enemy_skill_sets!$B$1,0,0,COUNTA([4]enemy_skill_sets!$B:$B),MATCH(M$1,[4]enemy_skill_sets!$1:$1,0)-MATCH($W$1,[4]enemy_skill_sets!$1:$1,0)+2),MATCH(M$1,[4]enemy_skill_sets!$1:$1,0)-MATCH($W$1,[4]enemy_skill_sets!$1:$1,0)+2,FALSE)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366" s="4">
        <f ca="1">VLOOKUP($L366,OFFSET([2]enemies!$A$1,0,0,COUNTA([2]enemies!$A:$A),MATCH(W$1,[2]enemies!$1:$1,0)-MATCH($L$1,[2]enemies!$1:$1,0)+1),MATCH(W$1,[2]enemies!$1:$1,0)-MATCH($L$1,[2]enemies!$1:$1,0)+1,FALSE)</f>
        <v>59</v>
      </c>
      <c r="X366" s="6">
        <v>0</v>
      </c>
      <c r="Y366" s="6">
        <v>100</v>
      </c>
      <c r="Z366" s="6">
        <v>0</v>
      </c>
      <c r="AA366" s="4">
        <f ca="1">VLOOKUP($L366,OFFSET([2]enemies!$A$1,0,0,COUNTA([2]enemies!$A:$A),MATCH(AA$1,[2]enemies!$1:$1,0)-MATCH($L$1,[2]enemies!$1:$1,0)+1),MATCH(AA$1,[2]enemies!$1:$1,0)-MATCH($L$1,[2]enemies!$1:$1,0)+1,FALSE)</f>
        <v>2</v>
      </c>
      <c r="AB366" s="52">
        <v>59</v>
      </c>
      <c r="AC366" s="4" t="str">
        <f ca="1">VLOOKUP($AB366,OFFSET([3]characters!$A$1,0,0,COUNTA([3]characters!$A:$A),MATCH(AC$1,[3]characters!$1:$1,0)-MATCH("character_id",[3]characters!$1:$1,0)+1),MATCH(AC$1,[3]characters!$1:$1,0)-MATCH("character_id",[3]characters!$1:$1,0)+1,FALSE)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366" s="4">
        <f ca="1">VLOOKUP($AB366,OFFSET([3]characters!$A$1,0,0,COUNTA([3]characters!$A:$A),MATCH(AD$1,[3]characters!$1:$1,0)-MATCH("character_id",[3]characters!$1:$1,0)+1),MATCH(AD$1,[3]characters!$1:$1,0)-MATCH("character_id",[3]characters!$1:$1,0)+1,FALSE)</f>
        <v>2</v>
      </c>
      <c r="AE366" s="4" t="str">
        <f ca="1">VLOOKUP($AB366,OFFSET([3]characters!$A$1,0,0,COUNTA([3]characters!$A:$A),MATCH(AE$1,[3]characters!$1:$1,0)-MATCH("character_id",[3]characters!$1:$1,0)+1),MATCH(AE$1,[3]characters!$1:$1,0)-MATCH("character_id",[3]characters!$1:$1,0)+1,FALSE)</f>
        <v>Drop1N</v>
      </c>
      <c r="AF366" s="7">
        <v>7</v>
      </c>
      <c r="AG366" s="26">
        <f t="shared" ca="1" si="386"/>
        <v>2</v>
      </c>
      <c r="AH366" s="8">
        <v>20</v>
      </c>
      <c r="AI366" s="7">
        <v>0</v>
      </c>
      <c r="AJ366" s="7">
        <v>0</v>
      </c>
      <c r="AK366" s="7">
        <v>0</v>
      </c>
      <c r="AL366" s="7">
        <v>0</v>
      </c>
      <c r="AM366" s="7">
        <v>1</v>
      </c>
    </row>
    <row r="367" spans="1:39" ht="14" x14ac:dyDescent="0.15">
      <c r="A367" s="18" t="str">
        <f t="shared" ca="1" si="419"/>
        <v>24_2-4/63&lt;lv46&gt;s2</v>
      </c>
      <c r="B367" s="50">
        <v>24</v>
      </c>
      <c r="C367" s="49">
        <v>2</v>
      </c>
      <c r="D367" s="2" t="str">
        <f t="shared" si="420"/>
        <v>24_2</v>
      </c>
      <c r="E367" s="2" t="str">
        <f t="shared" si="420"/>
        <v>2_24_2</v>
      </c>
      <c r="F367" s="4" t="str">
        <f ca="1">VLOOKUP($D367,OFFSET([1]stages!$A$1,0,0,COUNTA([1]stages!$A:$A),MATCH(F$1,[1]stages!$2:$2,0)-MATCH($D$1,[1]stages!$2:$2,0)+1),MATCH(F$1,[1]stages!$2:$2,0)-MATCH($D$1,[1]stages!$2:$2,0)+1,FALSE)</f>
        <v>24-2．奇襲と増援</v>
      </c>
      <c r="G367" s="55">
        <v>4</v>
      </c>
      <c r="H367" s="17" t="str">
        <f t="shared" si="421"/>
        <v>24_2-4</v>
      </c>
      <c r="I367" s="17"/>
      <c r="J367" s="17"/>
      <c r="K367" s="65" t="s">
        <v>56</v>
      </c>
      <c r="L367" s="52">
        <v>63</v>
      </c>
      <c r="M367" s="21" t="str">
        <f ca="1">VLOOKUP($L367,OFFSET([2]enemies!$A$1,0,0,COUNTA([2]enemies!$A:$A),MATCH(M$1,[2]enemies!$1:$1,0)-MATCH($L$1,[2]enemies!$1:$1,0)+1),MATCH(M$1,[2]enemies!$1:$1,0)-MATCH($L$1,[2]enemies!$1:$1,0)+1,FALSE)</f>
        <v>トニー</v>
      </c>
      <c r="N367" s="21" t="str">
        <f ca="1">VLOOKUP($L367,OFFSET([2]enemies!$A$1,0,0,COUNTA([2]enemies!$A:$A),MATCH(N$1,[2]enemies!$1:$1,0)-MATCH($L$1,[2]enemies!$1:$1,0)+1),MATCH(N$1,[2]enemies!$1:$1,0)-MATCH($L$1,[2]enemies!$1:$1,0)+1,FALSE)</f>
        <v>yellow</v>
      </c>
      <c r="O367" s="21" t="str">
        <f ca="1">VLOOKUP($L367,OFFSET([3]characters!$A$1,0,0,COUNTA([3]characters!$A:$A),MATCH(O$1,[3]characters!$1:$1,0)-MATCH($L$1,[3]characters!$1:$1,0)+1),MATCH(O$1,[3]characters!$1:$1,0)-MATCH($L$1,[3]characters!$1:$1,0)+1,FALSE)</f>
        <v>Drop1N</v>
      </c>
      <c r="P367" s="21" t="str">
        <f ca="1">VLOOKUP($L367,OFFSET([2]enemies!$A$1,0,0,COUNTA([2]enemies!$A:$A),MATCH(P$1,[2]enemies!$1:$1,0)-MATCH($L$1,[2]enemies!$1:$1,0)+1),MATCH(P$1,[2]enemies!$1:$1,0)-MATCH($L$1,[2]enemies!$1:$1,0)+1,FALSE)</f>
        <v>animal</v>
      </c>
      <c r="Q367" s="21">
        <f ca="1">VLOOKUP($L367,OFFSET([2]enemies!$A$1,0,0,COUNTA([2]enemies!$A:$A),MATCH(Q$1,[2]enemies!$1:$1,0)-MATCH($L$1,[2]enemies!$1:$1,0)+1),MATCH(Q$1,[2]enemies!$1:$1,0)-MATCH($L$1,[2]enemies!$1:$1,0)+1,FALSE)</f>
        <v>15</v>
      </c>
      <c r="R367" s="53">
        <v>46</v>
      </c>
      <c r="S367" s="27">
        <v>1.1000000000000001</v>
      </c>
      <c r="T367" s="27">
        <v>1</v>
      </c>
      <c r="U367" s="5">
        <v>0</v>
      </c>
      <c r="V367" s="4" t="str">
        <f ca="1">VLOOKUP($W367,OFFSET([4]enemy_skill_sets!$B$1,0,0,COUNTA([4]enemy_skill_sets!$B:$B),MATCH(M$1,[4]enemy_skill_sets!$1:$1,0)-MATCH($W$1,[4]enemy_skill_sets!$1:$1,0)+2),MATCH(M$1,[4]enemy_skill_sets!$1:$1,0)-MATCH($W$1,[4]enemy_skill_sets!$1:$1,0)+2,FALSE)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367" s="4">
        <f ca="1">VLOOKUP($L367,OFFSET([2]enemies!$A$1,0,0,COUNTA([2]enemies!$A:$A),MATCH(W$1,[2]enemies!$1:$1,0)-MATCH($L$1,[2]enemies!$1:$1,0)+1),MATCH(W$1,[2]enemies!$1:$1,0)-MATCH($L$1,[2]enemies!$1:$1,0)+1,FALSE)</f>
        <v>63</v>
      </c>
      <c r="X367" s="6">
        <v>0</v>
      </c>
      <c r="Y367" s="6">
        <v>100</v>
      </c>
      <c r="Z367" s="6">
        <v>0</v>
      </c>
      <c r="AA367" s="4">
        <f ca="1">VLOOKUP($L367,OFFSET([2]enemies!$A$1,0,0,COUNTA([2]enemies!$A:$A),MATCH(AA$1,[2]enemies!$1:$1,0)-MATCH($L$1,[2]enemies!$1:$1,0)+1),MATCH(AA$1,[2]enemies!$1:$1,0)-MATCH($L$1,[2]enemies!$1:$1,0)+1,FALSE)</f>
        <v>2</v>
      </c>
      <c r="AB367" s="52">
        <v>63</v>
      </c>
      <c r="AC367" s="4" t="str">
        <f ca="1">VLOOKUP($AB367,OFFSET([3]characters!$A$1,0,0,COUNTA([3]characters!$A:$A),MATCH(AC$1,[3]characters!$1:$1,0)-MATCH("character_id",[3]characters!$1:$1,0)+1),MATCH(AC$1,[3]characters!$1:$1,0)-MATCH("character_id",[3]characters!$1:$1,0)+1,FALSE)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367" s="4">
        <f ca="1">VLOOKUP($AB367,OFFSET([3]characters!$A$1,0,0,COUNTA([3]characters!$A:$A),MATCH(AD$1,[3]characters!$1:$1,0)-MATCH("character_id",[3]characters!$1:$1,0)+1),MATCH(AD$1,[3]characters!$1:$1,0)-MATCH("character_id",[3]characters!$1:$1,0)+1,FALSE)</f>
        <v>2</v>
      </c>
      <c r="AE367" s="4" t="str">
        <f ca="1">VLOOKUP($AB367,OFFSET([3]characters!$A$1,0,0,COUNTA([3]characters!$A:$A),MATCH(AE$1,[3]characters!$1:$1,0)-MATCH("character_id",[3]characters!$1:$1,0)+1),MATCH(AE$1,[3]characters!$1:$1,0)-MATCH("character_id",[3]characters!$1:$1,0)+1,FALSE)</f>
        <v>Drop1N</v>
      </c>
      <c r="AF367" s="7">
        <v>7</v>
      </c>
      <c r="AG367" s="26">
        <f t="shared" ca="1" si="386"/>
        <v>2</v>
      </c>
      <c r="AH367" s="8">
        <v>20</v>
      </c>
      <c r="AI367" s="7">
        <v>0</v>
      </c>
      <c r="AJ367" s="7">
        <v>0</v>
      </c>
      <c r="AK367" s="7">
        <v>0</v>
      </c>
      <c r="AL367" s="7">
        <v>0</v>
      </c>
      <c r="AM367" s="7">
        <v>1</v>
      </c>
    </row>
    <row r="368" spans="1:39" ht="14" x14ac:dyDescent="0.15">
      <c r="A368" s="18" t="str">
        <f t="shared" ca="1" si="419"/>
        <v>24_2-4/35&lt;lv48&gt;s4</v>
      </c>
      <c r="B368" s="50">
        <v>24</v>
      </c>
      <c r="C368" s="49">
        <v>2</v>
      </c>
      <c r="D368" s="2" t="str">
        <f t="shared" si="420"/>
        <v>24_2</v>
      </c>
      <c r="E368" s="2" t="str">
        <f t="shared" si="420"/>
        <v>2_24_2</v>
      </c>
      <c r="F368" s="4" t="str">
        <f ca="1">VLOOKUP($D368,OFFSET([1]stages!$A$1,0,0,COUNTA([1]stages!$A:$A),MATCH(F$1,[1]stages!$2:$2,0)-MATCH($D$1,[1]stages!$2:$2,0)+1),MATCH(F$1,[1]stages!$2:$2,0)-MATCH($D$1,[1]stages!$2:$2,0)+1,FALSE)</f>
        <v>24-2．奇襲と増援</v>
      </c>
      <c r="G368" s="55">
        <v>4</v>
      </c>
      <c r="H368" s="17" t="str">
        <f t="shared" si="421"/>
        <v>24_2-4</v>
      </c>
      <c r="I368" s="17"/>
      <c r="J368" s="17"/>
      <c r="K368" s="65" t="s">
        <v>56</v>
      </c>
      <c r="L368" s="52">
        <v>35</v>
      </c>
      <c r="M368" s="21" t="str">
        <f ca="1">VLOOKUP($L368,OFFSET([2]enemies!$A$1,0,0,COUNTA([2]enemies!$A:$A),MATCH(M$1,[2]enemies!$1:$1,0)-MATCH($L$1,[2]enemies!$1:$1,0)+1),MATCH(M$1,[2]enemies!$1:$1,0)-MATCH($L$1,[2]enemies!$1:$1,0)+1,FALSE)</f>
        <v>F2</v>
      </c>
      <c r="N368" s="21" t="str">
        <f ca="1">VLOOKUP($L368,OFFSET([2]enemies!$A$1,0,0,COUNTA([2]enemies!$A:$A),MATCH(N$1,[2]enemies!$1:$1,0)-MATCH($L$1,[2]enemies!$1:$1,0)+1),MATCH(N$1,[2]enemies!$1:$1,0)-MATCH($L$1,[2]enemies!$1:$1,0)+1,FALSE)</f>
        <v>green</v>
      </c>
      <c r="O368" s="21" t="str">
        <f ca="1">VLOOKUP($L368,OFFSET([3]characters!$A$1,0,0,COUNTA([3]characters!$A:$A),MATCH(O$1,[3]characters!$1:$1,0)-MATCH($L$1,[3]characters!$1:$1,0)+1),MATCH(O$1,[3]characters!$1:$1,0)-MATCH($L$1,[3]characters!$1:$1,0)+1,FALSE)</f>
        <v>Drop1S</v>
      </c>
      <c r="P368" s="21" t="str">
        <f ca="1">VLOOKUP($L368,OFFSET([2]enemies!$A$1,0,0,COUNTA([2]enemies!$A:$A),MATCH(P$1,[2]enemies!$1:$1,0)-MATCH($L$1,[2]enemies!$1:$1,0)+1),MATCH(P$1,[2]enemies!$1:$1,0)-MATCH($L$1,[2]enemies!$1:$1,0)+1,FALSE)</f>
        <v>machine</v>
      </c>
      <c r="Q368" s="21">
        <f ca="1">VLOOKUP($L368,OFFSET([2]enemies!$A$1,0,0,COUNTA([2]enemies!$A:$A),MATCH(Q$1,[2]enemies!$1:$1,0)-MATCH($L$1,[2]enemies!$1:$1,0)+1),MATCH(Q$1,[2]enemies!$1:$1,0)-MATCH($L$1,[2]enemies!$1:$1,0)+1,FALSE)</f>
        <v>15</v>
      </c>
      <c r="R368" s="53">
        <v>48</v>
      </c>
      <c r="S368" s="27">
        <v>1</v>
      </c>
      <c r="T368" s="27">
        <v>1</v>
      </c>
      <c r="U368" s="5">
        <v>0</v>
      </c>
      <c r="V368" s="4" t="str">
        <f ca="1">VLOOKUP($W368,OFFSET([4]enemy_skill_sets!$B$1,0,0,COUNTA([4]enemy_skill_sets!$B:$B),MATCH(M$1,[4]enemy_skill_sets!$1:$1,0)-MATCH($W$1,[4]enemy_skill_sets!$1:$1,0)+2),MATCH(M$1,[4]enemy_skill_sets!$1:$1,0)-MATCH($W$1,[4]enemy_skill_sets!$1:$1,0)+2,FALSE)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68" s="4">
        <f ca="1">VLOOKUP($L368,OFFSET([2]enemies!$A$1,0,0,COUNTA([2]enemies!$A:$A),MATCH(W$1,[2]enemies!$1:$1,0)-MATCH($L$1,[2]enemies!$1:$1,0)+1),MATCH(W$1,[2]enemies!$1:$1,0)-MATCH($L$1,[2]enemies!$1:$1,0)+1,FALSE)</f>
        <v>35</v>
      </c>
      <c r="X368" s="6">
        <v>0</v>
      </c>
      <c r="Y368" s="6">
        <v>100</v>
      </c>
      <c r="Z368" s="6">
        <v>0</v>
      </c>
      <c r="AA368" s="4">
        <f ca="1">VLOOKUP($L368,OFFSET([2]enemies!$A$1,0,0,COUNTA([2]enemies!$A:$A),MATCH(AA$1,[2]enemies!$1:$1,0)-MATCH($L$1,[2]enemies!$1:$1,0)+1),MATCH(AA$1,[2]enemies!$1:$1,0)-MATCH($L$1,[2]enemies!$1:$1,0)+1,FALSE)</f>
        <v>4</v>
      </c>
      <c r="AB368" s="52">
        <v>35</v>
      </c>
      <c r="AC368" s="4" t="str">
        <f ca="1">VLOOKUP($AB368,OFFSET([3]characters!$A$1,0,0,COUNTA([3]characters!$A:$A),MATCH(AC$1,[3]characters!$1:$1,0)-MATCH("character_id",[3]characters!$1:$1,0)+1),MATCH(AC$1,[3]characters!$1:$1,0)-MATCH("character_id",[3]characters!$1:$1,0)+1,FALSE)</f>
        <v>F2</v>
      </c>
      <c r="AD368" s="4">
        <f ca="1">VLOOKUP($AB368,OFFSET([3]characters!$A$1,0,0,COUNTA([3]characters!$A:$A),MATCH(AD$1,[3]characters!$1:$1,0)-MATCH("character_id",[3]characters!$1:$1,0)+1),MATCH(AD$1,[3]characters!$1:$1,0)-MATCH("character_id",[3]characters!$1:$1,0)+1,FALSE)</f>
        <v>2</v>
      </c>
      <c r="AE368" s="4" t="str">
        <f ca="1">VLOOKUP($AB368,OFFSET([3]characters!$A$1,0,0,COUNTA([3]characters!$A:$A),MATCH(AE$1,[3]characters!$1:$1,0)-MATCH("character_id",[3]characters!$1:$1,0)+1),MATCH(AE$1,[3]characters!$1:$1,0)-MATCH("character_id",[3]characters!$1:$1,0)+1,FALSE)</f>
        <v>Drop1S</v>
      </c>
      <c r="AF368" s="7">
        <v>5</v>
      </c>
      <c r="AG368" s="26">
        <f t="shared" ca="1" si="386"/>
        <v>2</v>
      </c>
      <c r="AH368" s="8">
        <v>20</v>
      </c>
      <c r="AI368" s="7">
        <v>0</v>
      </c>
      <c r="AJ368" s="7">
        <v>0</v>
      </c>
      <c r="AK368" s="7">
        <v>0</v>
      </c>
      <c r="AL368" s="7">
        <v>0</v>
      </c>
      <c r="AM368" s="7">
        <v>1</v>
      </c>
    </row>
    <row r="369" spans="1:39" ht="14" x14ac:dyDescent="0.15">
      <c r="A369" s="18" t="str">
        <f t="shared" ref="A369:A370" ca="1" si="430">B369&amp;"_"&amp;C369&amp;"-"&amp;G369&amp;"/"&amp;L369&amp;"&lt;lv"&amp;R369&amp;"&gt;s"&amp;AA369</f>
        <v>24_2-4/362&lt;lv48&gt;s3</v>
      </c>
      <c r="B369" s="53">
        <v>24</v>
      </c>
      <c r="C369" s="51">
        <v>2</v>
      </c>
      <c r="D369" s="2" t="str">
        <f t="shared" ref="D369:D370" si="431">B369&amp;"_"&amp;C369</f>
        <v>24_2</v>
      </c>
      <c r="E369" s="2" t="str">
        <f t="shared" ref="E369:E370" si="432">C369&amp;"_"&amp;D369</f>
        <v>2_24_2</v>
      </c>
      <c r="F369" s="4" t="str">
        <f ca="1">VLOOKUP($D369,OFFSET([1]stages!$A$1,0,0,COUNTA([1]stages!$A:$A),MATCH(F$1,[1]stages!$2:$2,0)-MATCH($D$1,[1]stages!$2:$2,0)+1),MATCH(F$1,[1]stages!$2:$2,0)-MATCH($D$1,[1]stages!$2:$2,0)+1,FALSE)</f>
        <v>24-2．奇襲と増援</v>
      </c>
      <c r="G369" s="55">
        <v>4</v>
      </c>
      <c r="H369" s="17" t="str">
        <f t="shared" ref="H369:H370" si="433">B369&amp;"_"&amp;C369&amp;"-"&amp;G369</f>
        <v>24_2-4</v>
      </c>
      <c r="I369" s="17"/>
      <c r="J369" s="17"/>
      <c r="K369" s="65" t="s">
        <v>56</v>
      </c>
      <c r="L369" s="52">
        <v>362</v>
      </c>
      <c r="M369" s="21" t="str">
        <f ca="1">VLOOKUP($L369,OFFSET([2]enemies!$A$1,0,0,COUNTA([2]enemies!$A:$A),MATCH(M$1,[2]enemies!$1:$1,0)-MATCH($L$1,[2]enemies!$1:$1,0)+1),MATCH(M$1,[2]enemies!$1:$1,0)-MATCH($L$1,[2]enemies!$1:$1,0)+1,FALSE)</f>
        <v>ゆらら</v>
      </c>
      <c r="N369" s="21" t="str">
        <f ca="1">VLOOKUP($L369,OFFSET([2]enemies!$A$1,0,0,COUNTA([2]enemies!$A:$A),MATCH(N$1,[2]enemies!$1:$1,0)-MATCH($L$1,[2]enemies!$1:$1,0)+1),MATCH(N$1,[2]enemies!$1:$1,0)-MATCH($L$1,[2]enemies!$1:$1,0)+1,FALSE)</f>
        <v>green</v>
      </c>
      <c r="O369" s="21" t="str">
        <f ca="1">VLOOKUP($L369,OFFSET([3]characters!$A$1,0,0,COUNTA([3]characters!$A:$A),MATCH(O$1,[3]characters!$1:$1,0)-MATCH($L$1,[3]characters!$1:$1,0)+1),MATCH(O$1,[3]characters!$1:$1,0)-MATCH($L$1,[3]characters!$1:$1,0)+1,FALSE)</f>
        <v>Drop1S</v>
      </c>
      <c r="P369" s="21" t="str">
        <f ca="1">VLOOKUP($L369,OFFSET([2]enemies!$A$1,0,0,COUNTA([2]enemies!$A:$A),MATCH(P$1,[2]enemies!$1:$1,0)-MATCH($L$1,[2]enemies!$1:$1,0)+1),MATCH(P$1,[2]enemies!$1:$1,0)-MATCH($L$1,[2]enemies!$1:$1,0)+1,FALSE)</f>
        <v>animal</v>
      </c>
      <c r="Q369" s="21">
        <f ca="1">VLOOKUP($L369,OFFSET([2]enemies!$A$1,0,0,COUNTA([2]enemies!$A:$A),MATCH(Q$1,[2]enemies!$1:$1,0)-MATCH($L$1,[2]enemies!$1:$1,0)+1),MATCH(Q$1,[2]enemies!$1:$1,0)-MATCH($L$1,[2]enemies!$1:$1,0)+1,FALSE)</f>
        <v>15</v>
      </c>
      <c r="R369" s="53">
        <v>48</v>
      </c>
      <c r="S369" s="27">
        <v>1</v>
      </c>
      <c r="T369" s="27">
        <v>1</v>
      </c>
      <c r="U369" s="5">
        <v>0</v>
      </c>
      <c r="V369" s="4" t="str">
        <f ca="1">VLOOKUP($W369,OFFSET([4]enemy_skill_sets!$B$1,0,0,COUNTA([4]enemy_skill_sets!$B:$B),MATCH(M$1,[4]enemy_skill_sets!$1:$1,0)-MATCH($W$1,[4]enemy_skill_sets!$1:$1,0)+2),MATCH(M$1,[4]enemy_skill_sets!$1:$1,0)-MATCH($W$1,[4]enemy_skill_sets!$1:$1,0)+2,FALSE)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369" s="64">
        <v>362</v>
      </c>
      <c r="X369" s="6">
        <v>0</v>
      </c>
      <c r="Y369" s="6">
        <v>100</v>
      </c>
      <c r="Z369" s="6">
        <v>0</v>
      </c>
      <c r="AA369" s="4">
        <f ca="1">VLOOKUP($L369,OFFSET([2]enemies!$A$1,0,0,COUNTA([2]enemies!$A:$A),MATCH(AA$1,[2]enemies!$1:$1,0)-MATCH($L$1,[2]enemies!$1:$1,0)+1),MATCH(AA$1,[2]enemies!$1:$1,0)-MATCH($L$1,[2]enemies!$1:$1,0)+1,FALSE)</f>
        <v>3</v>
      </c>
      <c r="AB369" s="52">
        <v>362</v>
      </c>
      <c r="AC369" s="4" t="str">
        <f ca="1">VLOOKUP($AB369,OFFSET([3]characters!$A$1,0,0,COUNTA([3]characters!$A:$A),MATCH(AC$1,[3]characters!$1:$1,0)-MATCH("character_id",[3]characters!$1:$1,0)+1),MATCH(AC$1,[3]characters!$1:$1,0)-MATCH("character_id",[3]characters!$1:$1,0)+1,FALSE)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369" s="4">
        <f ca="1">VLOOKUP($AB369,OFFSET([3]characters!$A$1,0,0,COUNTA([3]characters!$A:$A),MATCH(AD$1,[3]characters!$1:$1,0)-MATCH("character_id",[3]characters!$1:$1,0)+1),MATCH(AD$1,[3]characters!$1:$1,0)-MATCH("character_id",[3]characters!$1:$1,0)+1,FALSE)</f>
        <v>2</v>
      </c>
      <c r="AE369" s="4" t="str">
        <f ca="1">VLOOKUP($AB369,OFFSET([3]characters!$A$1,0,0,COUNTA([3]characters!$A:$A),MATCH(AE$1,[3]characters!$1:$1,0)-MATCH("character_id",[3]characters!$1:$1,0)+1),MATCH(AE$1,[3]characters!$1:$1,0)-MATCH("character_id",[3]characters!$1:$1,0)+1,FALSE)</f>
        <v>Drop1S</v>
      </c>
      <c r="AF369" s="7">
        <v>7</v>
      </c>
      <c r="AG369" s="26">
        <f t="shared" ca="1" si="386"/>
        <v>2</v>
      </c>
      <c r="AH369" s="8">
        <v>20</v>
      </c>
      <c r="AI369" s="7">
        <v>0</v>
      </c>
      <c r="AJ369" s="7">
        <v>0</v>
      </c>
      <c r="AK369" s="7">
        <v>0</v>
      </c>
      <c r="AL369" s="7">
        <v>0</v>
      </c>
      <c r="AM369" s="7">
        <v>1</v>
      </c>
    </row>
    <row r="370" spans="1:39" ht="14" x14ac:dyDescent="0.15">
      <c r="A370" s="18" t="str">
        <f t="shared" ca="1" si="430"/>
        <v>24_2-4/366&lt;lv46&gt;s3</v>
      </c>
      <c r="B370" s="53">
        <v>24</v>
      </c>
      <c r="C370" s="51">
        <v>2</v>
      </c>
      <c r="D370" s="2" t="str">
        <f t="shared" si="431"/>
        <v>24_2</v>
      </c>
      <c r="E370" s="2" t="str">
        <f t="shared" si="432"/>
        <v>2_24_2</v>
      </c>
      <c r="F370" s="4" t="str">
        <f ca="1">VLOOKUP($D370,OFFSET([1]stages!$A$1,0,0,COUNTA([1]stages!$A:$A),MATCH(F$1,[1]stages!$2:$2,0)-MATCH($D$1,[1]stages!$2:$2,0)+1),MATCH(F$1,[1]stages!$2:$2,0)-MATCH($D$1,[1]stages!$2:$2,0)+1,FALSE)</f>
        <v>24-2．奇襲と増援</v>
      </c>
      <c r="G370" s="55">
        <v>4</v>
      </c>
      <c r="H370" s="17" t="str">
        <f t="shared" si="433"/>
        <v>24_2-4</v>
      </c>
      <c r="I370" s="17"/>
      <c r="J370" s="17"/>
      <c r="K370" s="65" t="s">
        <v>56</v>
      </c>
      <c r="L370" s="52">
        <v>366</v>
      </c>
      <c r="M370" s="21" t="str">
        <f ca="1">VLOOKUP($L370,OFFSET([2]enemies!$A$1,0,0,COUNTA([2]enemies!$A:$A),MATCH(M$1,[2]enemies!$1:$1,0)-MATCH($L$1,[2]enemies!$1:$1,0)+1),MATCH(M$1,[2]enemies!$1:$1,0)-MATCH($L$1,[2]enemies!$1:$1,0)+1,FALSE)</f>
        <v>トト</v>
      </c>
      <c r="N370" s="21" t="str">
        <f ca="1">VLOOKUP($L370,OFFSET([2]enemies!$A$1,0,0,COUNTA([2]enemies!$A:$A),MATCH(N$1,[2]enemies!$1:$1,0)-MATCH($L$1,[2]enemies!$1:$1,0)+1),MATCH(N$1,[2]enemies!$1:$1,0)-MATCH($L$1,[2]enemies!$1:$1,0)+1,FALSE)</f>
        <v>yellow</v>
      </c>
      <c r="O370" s="21" t="str">
        <f ca="1">VLOOKUP($L370,OFFSET([3]characters!$A$1,0,0,COUNTA([3]characters!$A:$A),MATCH(O$1,[3]characters!$1:$1,0)-MATCH($L$1,[3]characters!$1:$1,0)+1),MATCH(O$1,[3]characters!$1:$1,0)-MATCH($L$1,[3]characters!$1:$1,0)+1,FALSE)</f>
        <v>Drop1S</v>
      </c>
      <c r="P370" s="21" t="str">
        <f ca="1">VLOOKUP($L370,OFFSET([2]enemies!$A$1,0,0,COUNTA([2]enemies!$A:$A),MATCH(P$1,[2]enemies!$1:$1,0)-MATCH($L$1,[2]enemies!$1:$1,0)+1),MATCH(P$1,[2]enemies!$1:$1,0)-MATCH($L$1,[2]enemies!$1:$1,0)+1,FALSE)</f>
        <v>animal</v>
      </c>
      <c r="Q370" s="21">
        <f ca="1">VLOOKUP($L370,OFFSET([2]enemies!$A$1,0,0,COUNTA([2]enemies!$A:$A),MATCH(Q$1,[2]enemies!$1:$1,0)-MATCH($L$1,[2]enemies!$1:$1,0)+1),MATCH(Q$1,[2]enemies!$1:$1,0)-MATCH($L$1,[2]enemies!$1:$1,0)+1,FALSE)</f>
        <v>15</v>
      </c>
      <c r="R370" s="53">
        <v>46</v>
      </c>
      <c r="S370" s="27">
        <v>1.1000000000000001</v>
      </c>
      <c r="T370" s="27">
        <v>1</v>
      </c>
      <c r="U370" s="5">
        <v>0</v>
      </c>
      <c r="V370" s="4" t="str">
        <f ca="1">VLOOKUP($W370,OFFSET([4]enemy_skill_sets!$B$1,0,0,COUNTA([4]enemy_skill_sets!$B:$B),MATCH(M$1,[4]enemy_skill_sets!$1:$1,0)-MATCH($W$1,[4]enemy_skill_sets!$1:$1,0)+2),MATCH(M$1,[4]enemy_skill_sets!$1:$1,0)-MATCH($W$1,[4]enemy_skill_sets!$1:$1,0)+2,FALSE)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370" s="64">
        <v>366</v>
      </c>
      <c r="X370" s="6">
        <v>0</v>
      </c>
      <c r="Y370" s="6">
        <v>100</v>
      </c>
      <c r="Z370" s="6">
        <v>0</v>
      </c>
      <c r="AA370" s="4">
        <f ca="1">VLOOKUP($L370,OFFSET([2]enemies!$A$1,0,0,COUNTA([2]enemies!$A:$A),MATCH(AA$1,[2]enemies!$1:$1,0)-MATCH($L$1,[2]enemies!$1:$1,0)+1),MATCH(AA$1,[2]enemies!$1:$1,0)-MATCH($L$1,[2]enemies!$1:$1,0)+1,FALSE)</f>
        <v>3</v>
      </c>
      <c r="AB370" s="52">
        <v>366</v>
      </c>
      <c r="AC370" s="4" t="str">
        <f ca="1">VLOOKUP($AB370,OFFSET([3]characters!$A$1,0,0,COUNTA([3]characters!$A:$A),MATCH(AC$1,[3]characters!$1:$1,0)-MATCH("character_id",[3]characters!$1:$1,0)+1),MATCH(AC$1,[3]characters!$1:$1,0)-MATCH("character_id",[3]characters!$1:$1,0)+1,FALSE)</f>
        <v>トト</v>
      </c>
      <c r="AD370" s="4">
        <f ca="1">VLOOKUP($AB370,OFFSET([3]characters!$A$1,0,0,COUNTA([3]characters!$A:$A),MATCH(AD$1,[3]characters!$1:$1,0)-MATCH("character_id",[3]characters!$1:$1,0)+1),MATCH(AD$1,[3]characters!$1:$1,0)-MATCH("character_id",[3]characters!$1:$1,0)+1,FALSE)</f>
        <v>2</v>
      </c>
      <c r="AE370" s="4" t="str">
        <f ca="1">VLOOKUP($AB370,OFFSET([3]characters!$A$1,0,0,COUNTA([3]characters!$A:$A),MATCH(AE$1,[3]characters!$1:$1,0)-MATCH("character_id",[3]characters!$1:$1,0)+1),MATCH(AE$1,[3]characters!$1:$1,0)-MATCH("character_id",[3]characters!$1:$1,0)+1,FALSE)</f>
        <v>Drop1S</v>
      </c>
      <c r="AF370" s="7">
        <v>5</v>
      </c>
      <c r="AG370" s="26">
        <f t="shared" ca="1" si="386"/>
        <v>2</v>
      </c>
      <c r="AH370" s="8">
        <v>20</v>
      </c>
      <c r="AI370" s="7">
        <v>0</v>
      </c>
      <c r="AJ370" s="7">
        <v>0</v>
      </c>
      <c r="AK370" s="7">
        <v>0</v>
      </c>
      <c r="AL370" s="7">
        <v>0</v>
      </c>
      <c r="AM370" s="7">
        <v>1</v>
      </c>
    </row>
    <row r="371" spans="1:39" ht="14" x14ac:dyDescent="0.15">
      <c r="A371" s="18" t="str">
        <f t="shared" ref="A371" ca="1" si="434">B371&amp;"_"&amp;C371&amp;"-"&amp;G371&amp;"/"&amp;L371&amp;"&lt;lv"&amp;R371&amp;"&gt;s"&amp;AA371</f>
        <v>24_2-4/354&lt;lv46&gt;s3</v>
      </c>
      <c r="B371" s="53">
        <v>24</v>
      </c>
      <c r="C371" s="51">
        <v>2</v>
      </c>
      <c r="D371" s="2" t="str">
        <f t="shared" ref="D371" si="435">B371&amp;"_"&amp;C371</f>
        <v>24_2</v>
      </c>
      <c r="E371" s="2" t="str">
        <f t="shared" ref="E371" si="436">C371&amp;"_"&amp;D371</f>
        <v>2_24_2</v>
      </c>
      <c r="F371" s="4" t="str">
        <f ca="1">VLOOKUP($D371,OFFSET([1]stages!$A$1,0,0,COUNTA([1]stages!$A:$A),MATCH(F$1,[1]stages!$2:$2,0)-MATCH($D$1,[1]stages!$2:$2,0)+1),MATCH(F$1,[1]stages!$2:$2,0)-MATCH($D$1,[1]stages!$2:$2,0)+1,FALSE)</f>
        <v>24-2．奇襲と増援</v>
      </c>
      <c r="G371" s="55">
        <v>4</v>
      </c>
      <c r="H371" s="17" t="str">
        <f t="shared" ref="H371" si="437">B371&amp;"_"&amp;C371&amp;"-"&amp;G371</f>
        <v>24_2-4</v>
      </c>
      <c r="I371" s="17"/>
      <c r="J371" s="17"/>
      <c r="K371" s="65" t="s">
        <v>56</v>
      </c>
      <c r="L371" s="52">
        <v>354</v>
      </c>
      <c r="M371" s="21" t="str">
        <f ca="1">VLOOKUP($L371,OFFSET([2]enemies!$A$1,0,0,COUNTA([2]enemies!$A:$A),MATCH(M$1,[2]enemies!$1:$1,0)-MATCH($L$1,[2]enemies!$1:$1,0)+1),MATCH(M$1,[2]enemies!$1:$1,0)-MATCH($L$1,[2]enemies!$1:$1,0)+1,FALSE)</f>
        <v>雷のケロケロ</v>
      </c>
      <c r="N371" s="21" t="str">
        <f ca="1">VLOOKUP($L371,OFFSET([2]enemies!$A$1,0,0,COUNTA([2]enemies!$A:$A),MATCH(N$1,[2]enemies!$1:$1,0)-MATCH($L$1,[2]enemies!$1:$1,0)+1),MATCH(N$1,[2]enemies!$1:$1,0)-MATCH($L$1,[2]enemies!$1:$1,0)+1,FALSE)</f>
        <v>yellow</v>
      </c>
      <c r="O371" s="21" t="str">
        <f ca="1">VLOOKUP($L371,OFFSET([3]characters!$A$1,0,0,COUNTA([3]characters!$A:$A),MATCH(O$1,[3]characters!$1:$1,0)-MATCH($L$1,[3]characters!$1:$1,0)+1),MATCH(O$1,[3]characters!$1:$1,0)-MATCH($L$1,[3]characters!$1:$1,0)+1,FALSE)</f>
        <v>Material</v>
      </c>
      <c r="P371" s="21" t="str">
        <f ca="1">VLOOKUP($L371,OFFSET([2]enemies!$A$1,0,0,COUNTA([2]enemies!$A:$A),MATCH(P$1,[2]enemies!$1:$1,0)-MATCH($L$1,[2]enemies!$1:$1,0)+1),MATCH(P$1,[2]enemies!$1:$1,0)-MATCH($L$1,[2]enemies!$1:$1,0)+1,FALSE)</f>
        <v>unknown</v>
      </c>
      <c r="Q371" s="21">
        <f ca="1">VLOOKUP($L371,OFFSET([2]enemies!$A$1,0,0,COUNTA([2]enemies!$A:$A),MATCH(Q$1,[2]enemies!$1:$1,0)-MATCH($L$1,[2]enemies!$1:$1,0)+1),MATCH(Q$1,[2]enemies!$1:$1,0)-MATCH($L$1,[2]enemies!$1:$1,0)+1,FALSE)</f>
        <v>15</v>
      </c>
      <c r="R371" s="53">
        <v>46</v>
      </c>
      <c r="S371" s="27">
        <v>1</v>
      </c>
      <c r="T371" s="27">
        <v>1</v>
      </c>
      <c r="U371" s="5">
        <v>0</v>
      </c>
      <c r="V371" s="4" t="str">
        <f ca="1">VLOOKUP($W371,OFFSET([4]enemy_skill_sets!$B$1,0,0,COUNTA([4]enemy_skill_sets!$B:$B),MATCH(M$1,[4]enemy_skill_sets!$1:$1,0)-MATCH($W$1,[4]enemy_skill_sets!$1:$1,0)+2),MATCH(M$1,[4]enemy_skill_sets!$1:$1,0)-MATCH($W$1,[4]enemy_skill_sets!$1:$1,0)+2,FALSE)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71" s="64">
        <v>354</v>
      </c>
      <c r="X371" s="6">
        <v>1</v>
      </c>
      <c r="Y371" s="6">
        <v>100</v>
      </c>
      <c r="Z371" s="6">
        <v>0</v>
      </c>
      <c r="AA371" s="4">
        <f ca="1">VLOOKUP($L371,OFFSET([2]enemies!$A$1,0,0,COUNTA([2]enemies!$A:$A),MATCH(AA$1,[2]enemies!$1:$1,0)-MATCH($L$1,[2]enemies!$1:$1,0)+1),MATCH(AA$1,[2]enemies!$1:$1,0)-MATCH($L$1,[2]enemies!$1:$1,0)+1,FALSE)</f>
        <v>3</v>
      </c>
      <c r="AB371" s="52">
        <v>354</v>
      </c>
      <c r="AC371" s="4" t="str">
        <f ca="1">VLOOKUP($AB371,OFFSET([3]characters!$A$1,0,0,COUNTA([3]characters!$A:$A),MATCH(AC$1,[3]characters!$1:$1,0)-MATCH("character_id",[3]characters!$1:$1,0)+1),MATCH(AC$1,[3]characters!$1:$1,0)-MATCH("character_id",[3]characters!$1:$1,0)+1,FALSE)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71" s="4">
        <f ca="1">VLOOKUP($AB371,OFFSET([3]characters!$A$1,0,0,COUNTA([3]characters!$A:$A),MATCH(AD$1,[3]characters!$1:$1,0)-MATCH("character_id",[3]characters!$1:$1,0)+1),MATCH(AD$1,[3]characters!$1:$1,0)-MATCH("character_id",[3]characters!$1:$1,0)+1,FALSE)</f>
        <v>2</v>
      </c>
      <c r="AE371" s="4" t="str">
        <f ca="1">VLOOKUP($AB371,OFFSET([3]characters!$A$1,0,0,COUNTA([3]characters!$A:$A),MATCH(AE$1,[3]characters!$1:$1,0)-MATCH("character_id",[3]characters!$1:$1,0)+1),MATCH(AE$1,[3]characters!$1:$1,0)-MATCH("character_id",[3]characters!$1:$1,0)+1,FALSE)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71" s="7">
        <v>10</v>
      </c>
      <c r="AG371" s="26">
        <f t="shared" ca="1" si="386"/>
        <v>2</v>
      </c>
      <c r="AH371" s="8">
        <v>100</v>
      </c>
      <c r="AI371" s="7">
        <v>0</v>
      </c>
      <c r="AJ371" s="7">
        <v>0</v>
      </c>
      <c r="AK371" s="7">
        <v>0</v>
      </c>
      <c r="AL371" s="7">
        <v>0</v>
      </c>
      <c r="AM371" s="7">
        <v>1</v>
      </c>
    </row>
    <row r="372" spans="1:39" ht="14" x14ac:dyDescent="0.15">
      <c r="A372" s="18" t="str">
        <f t="shared" ref="A372" ca="1" si="438">B372&amp;"_"&amp;C372&amp;"-"&amp;G372&amp;"/"&amp;L372&amp;"&lt;lv"&amp;R372&amp;"&gt;s"&amp;AA372</f>
        <v>24_2-5/187&lt;lv51&gt;s1</v>
      </c>
      <c r="B372" s="53">
        <v>24</v>
      </c>
      <c r="C372" s="51">
        <v>2</v>
      </c>
      <c r="D372" s="2" t="str">
        <f t="shared" ref="D372:E372" si="439">B372&amp;"_"&amp;C372</f>
        <v>24_2</v>
      </c>
      <c r="E372" s="2" t="str">
        <f t="shared" si="439"/>
        <v>2_24_2</v>
      </c>
      <c r="F372" s="4" t="str">
        <f ca="1">VLOOKUP($D372,OFFSET([1]stages!$A$1,0,0,COUNTA([1]stages!$A:$A),MATCH(F$1,[1]stages!$2:$2,0)-MATCH($D$1,[1]stages!$2:$2,0)+1),MATCH(F$1,[1]stages!$2:$2,0)-MATCH($D$1,[1]stages!$2:$2,0)+1,FALSE)</f>
        <v>24-2．奇襲と増援</v>
      </c>
      <c r="G372" s="56">
        <v>5</v>
      </c>
      <c r="H372" s="17" t="str">
        <f t="shared" ref="H372" si="440">B372&amp;"_"&amp;C372&amp;"-"&amp;G372</f>
        <v>24_2-5</v>
      </c>
      <c r="I372" s="17"/>
      <c r="J372" s="17"/>
      <c r="K372" s="65" t="s">
        <v>56</v>
      </c>
      <c r="L372" s="52">
        <v>187</v>
      </c>
      <c r="M372" s="21" t="str">
        <f ca="1">VLOOKUP($L372,OFFSET([2]enemies!$A$1,0,0,COUNTA([2]enemies!$A:$A),MATCH(M$1,[2]enemies!$1:$1,0)-MATCH($L$1,[2]enemies!$1:$1,0)+1),MATCH(M$1,[2]enemies!$1:$1,0)-MATCH($L$1,[2]enemies!$1:$1,0)+1,FALSE)</f>
        <v>ホルス</v>
      </c>
      <c r="N372" s="21" t="str">
        <f ca="1">VLOOKUP($L372,OFFSET([2]enemies!$A$1,0,0,COUNTA([2]enemies!$A:$A),MATCH(N$1,[2]enemies!$1:$1,0)-MATCH($L$1,[2]enemies!$1:$1,0)+1),MATCH(N$1,[2]enemies!$1:$1,0)-MATCH($L$1,[2]enemies!$1:$1,0)+1,FALSE)</f>
        <v>yellow</v>
      </c>
      <c r="O372" s="21" t="str">
        <f ca="1">VLOOKUP($L372,OFFSET([3]characters!$A$1,0,0,COUNTA([3]characters!$A:$A),MATCH(O$1,[3]characters!$1:$1,0)-MATCH($L$1,[3]characters!$1:$1,0)+1),MATCH(O$1,[3]characters!$1:$1,0)-MATCH($L$1,[3]characters!$1:$1,0)+1,FALSE)</f>
        <v>PremiumN</v>
      </c>
      <c r="P372" s="21" t="str">
        <f ca="1">VLOOKUP($L372,OFFSET([2]enemies!$A$1,0,0,COUNTA([2]enemies!$A:$A),MATCH(P$1,[2]enemies!$1:$1,0)-MATCH($L$1,[2]enemies!$1:$1,0)+1),MATCH(P$1,[2]enemies!$1:$1,0)-MATCH($L$1,[2]enemies!$1:$1,0)+1,FALSE)</f>
        <v>animal</v>
      </c>
      <c r="Q372" s="21">
        <f ca="1">VLOOKUP($L372,OFFSET([2]enemies!$A$1,0,0,COUNTA([2]enemies!$A:$A),MATCH(Q$1,[2]enemies!$1:$1,0)-MATCH($L$1,[2]enemies!$1:$1,0)+1),MATCH(Q$1,[2]enemies!$1:$1,0)-MATCH($L$1,[2]enemies!$1:$1,0)+1,FALSE)</f>
        <v>20</v>
      </c>
      <c r="R372" s="53">
        <v>51</v>
      </c>
      <c r="S372" s="27">
        <v>1.6</v>
      </c>
      <c r="T372" s="27">
        <v>1</v>
      </c>
      <c r="U372" s="5">
        <v>0</v>
      </c>
      <c r="V372" s="4" t="str">
        <f ca="1">VLOOKUP($W372,OFFSET([4]enemy_skill_sets!$B$1,0,0,COUNTA([4]enemy_skill_sets!$B:$B),MATCH(M$1,[4]enemy_skill_sets!$1:$1,0)-MATCH($W$1,[4]enemy_skill_sets!$1:$1,0)+2),MATCH(M$1,[4]enemy_skill_sets!$1:$1,0)-MATCH($W$1,[4]enemy_skill_sets!$1:$1,0)+2,FALSE)</f>
        <v>3ターン攻撃力UP</v>
      </c>
      <c r="W372" s="64">
        <v>18701</v>
      </c>
      <c r="X372" s="6">
        <v>1</v>
      </c>
      <c r="Y372" s="6">
        <v>100</v>
      </c>
      <c r="Z372" s="6">
        <v>1</v>
      </c>
      <c r="AA372" s="4">
        <f ca="1">VLOOKUP($L372,OFFSET([2]enemies!$A$1,0,0,COUNTA([2]enemies!$A:$A),MATCH(AA$1,[2]enemies!$1:$1,0)-MATCH($L$1,[2]enemies!$1:$1,0)+1),MATCH(AA$1,[2]enemies!$1:$1,0)-MATCH($L$1,[2]enemies!$1:$1,0)+1,FALSE)</f>
        <v>1</v>
      </c>
      <c r="AB372" s="52">
        <v>187</v>
      </c>
      <c r="AC372" s="4" t="str">
        <f ca="1">VLOOKUP($AB372,OFFSET([3]characters!$A$1,0,0,COUNTA([3]characters!$A:$A),MATCH(AC$1,[3]characters!$1:$1,0)-MATCH("character_id",[3]characters!$1:$1,0)+1),MATCH(AC$1,[3]characters!$1:$1,0)-MATCH("character_id",[3]characters!$1:$1,0)+1,FALSE)</f>
        <v>ホルス</v>
      </c>
      <c r="AD372" s="4">
        <f ca="1">VLOOKUP($AB372,OFFSET([3]characters!$A$1,0,0,COUNTA([3]characters!$A:$A),MATCH(AD$1,[3]characters!$1:$1,0)-MATCH("character_id",[3]characters!$1:$1,0)+1),MATCH(AD$1,[3]characters!$1:$1,0)-MATCH("character_id",[3]characters!$1:$1,0)+1,FALSE)</f>
        <v>3</v>
      </c>
      <c r="AE372" s="4" t="str">
        <f ca="1">VLOOKUP($AB372,OFFSET([3]characters!$A$1,0,0,COUNTA([3]characters!$A:$A),MATCH(AE$1,[3]characters!$1:$1,0)-MATCH("character_id",[3]characters!$1:$1,0)+1),MATCH(AE$1,[3]characters!$1:$1,0)-MATCH("character_id",[3]characters!$1:$1,0)+1,FALSE)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372" s="7">
        <v>1</v>
      </c>
      <c r="AG372" s="26">
        <f t="shared" ca="1" si="386"/>
        <v>3</v>
      </c>
      <c r="AH372" s="8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1</v>
      </c>
    </row>
    <row r="373" spans="1:39" ht="14" x14ac:dyDescent="0.15">
      <c r="A373" s="18" t="str">
        <f t="shared" ref="A373" si="441">B373&amp;"_"&amp;C373&amp;"-"&amp;G373&amp;"/"&amp;L373&amp;"&lt;lv"&amp;R373&amp;"&gt;s"&amp;AA373</f>
        <v>24_2-5/36&lt;lv51&gt;s3</v>
      </c>
      <c r="B373" s="53">
        <v>24</v>
      </c>
      <c r="C373" s="51">
        <v>2</v>
      </c>
      <c r="D373" s="2" t="str">
        <f t="shared" ref="D373" si="442">B373&amp;"_"&amp;C373</f>
        <v>24_2</v>
      </c>
      <c r="E373" s="2" t="str">
        <f t="shared" ref="E373" si="443">C373&amp;"_"&amp;D373</f>
        <v>2_24_2</v>
      </c>
      <c r="F373" s="4" t="str">
        <f ca="1">VLOOKUP($D373,OFFSET([1]stages!$A$1,0,0,COUNTA([1]stages!$A:$A),MATCH(F$1,[1]stages!$2:$2,0)-MATCH($D$1,[1]stages!$2:$2,0)+1),MATCH(F$1,[1]stages!$2:$2,0)-MATCH($D$1,[1]stages!$2:$2,0)+1,FALSE)</f>
        <v>24-2．奇襲と増援</v>
      </c>
      <c r="G373" s="56">
        <v>5</v>
      </c>
      <c r="H373" s="17" t="str">
        <f t="shared" ref="H373" si="444">B373&amp;"_"&amp;C373&amp;"-"&amp;G373</f>
        <v>24_2-5</v>
      </c>
      <c r="I373" s="17"/>
      <c r="J373" s="17"/>
      <c r="K373" s="65" t="s">
        <v>56</v>
      </c>
      <c r="L373" s="52">
        <v>36</v>
      </c>
      <c r="M373" s="21" t="str">
        <f ca="1">VLOOKUP($L373,OFFSET([2]enemies!$A$1,0,0,COUNTA([2]enemies!$A:$A),MATCH(M$1,[2]enemies!$1:$1,0)-MATCH($L$1,[2]enemies!$1:$1,0)+1),MATCH(M$1,[2]enemies!$1:$1,0)-MATCH($L$1,[2]enemies!$1:$1,0)+1,FALSE)</f>
        <v>オフィス追尾型移動地雷F3</v>
      </c>
      <c r="N373" s="21" t="str">
        <f ca="1">VLOOKUP($L373,OFFSET([2]enemies!$A$1,0,0,COUNTA([2]enemies!$A:$A),MATCH(N$1,[2]enemies!$1:$1,0)-MATCH($L$1,[2]enemies!$1:$1,0)+1),MATCH(N$1,[2]enemies!$1:$1,0)-MATCH($L$1,[2]enemies!$1:$1,0)+1,FALSE)</f>
        <v>green</v>
      </c>
      <c r="O373" s="21" t="str">
        <f ca="1">VLOOKUP($L373,OFFSET([3]characters!$A$1,0,0,COUNTA([3]characters!$A:$A),MATCH(O$1,[3]characters!$1:$1,0)-MATCH($L$1,[3]characters!$1:$1,0)+1),MATCH(O$1,[3]characters!$1:$1,0)-MATCH($L$1,[3]characters!$1:$1,0)+1,FALSE)</f>
        <v>Drop1S</v>
      </c>
      <c r="P373" s="21" t="str">
        <f ca="1">VLOOKUP($L373,OFFSET([2]enemies!$A$1,0,0,COUNTA([2]enemies!$A:$A),MATCH(P$1,[2]enemies!$1:$1,0)-MATCH($L$1,[2]enemies!$1:$1,0)+1),MATCH(P$1,[2]enemies!$1:$1,0)-MATCH($L$1,[2]enemies!$1:$1,0)+1,FALSE)</f>
        <v>machine</v>
      </c>
      <c r="Q373" s="21">
        <f ca="1">VLOOKUP($L373,OFFSET([2]enemies!$A$1,0,0,COUNTA([2]enemies!$A:$A),MATCH(Q$1,[2]enemies!$1:$1,0)-MATCH($L$1,[2]enemies!$1:$1,0)+1),MATCH(Q$1,[2]enemies!$1:$1,0)-MATCH($L$1,[2]enemies!$1:$1,0)+1,FALSE)</f>
        <v>20</v>
      </c>
      <c r="R373" s="53">
        <v>51</v>
      </c>
      <c r="S373" s="27">
        <v>1.5</v>
      </c>
      <c r="T373" s="27">
        <v>1</v>
      </c>
      <c r="U373" s="5">
        <v>0</v>
      </c>
      <c r="V373" s="4" t="str">
        <f ca="1">VLOOKUP($W373,OFFSET([4]enemy_skill_sets!$B$1,0,0,COUNTA([4]enemy_skill_sets!$B:$B),MATCH(M$1,[4]enemy_skill_sets!$1:$1,0)-MATCH($W$1,[4]enemy_skill_sets!$1:$1,0)+2),MATCH(M$1,[4]enemy_skill_sets!$1:$1,0)-MATCH($W$1,[4]enemy_skill_sets!$1:$1,0)+2,FALSE)</f>
        <v>何やら様子がおかしい！</v>
      </c>
      <c r="W373" s="4">
        <f ca="1">VLOOKUP($L373,OFFSET([2]enemies!$A$1,0,0,COUNTA([2]enemies!$A:$A),MATCH(W$1,[2]enemies!$1:$1,0)-MATCH($L$1,[2]enemies!$1:$1,0)+1),MATCH(W$1,[2]enemies!$1:$1,0)-MATCH($L$1,[2]enemies!$1:$1,0)+1,FALSE)</f>
        <v>36</v>
      </c>
      <c r="X373" s="6">
        <v>1</v>
      </c>
      <c r="Y373" s="6">
        <v>100</v>
      </c>
      <c r="Z373" s="6">
        <v>0</v>
      </c>
      <c r="AA373" s="4">
        <v>3</v>
      </c>
      <c r="AB373" s="52">
        <v>35</v>
      </c>
      <c r="AC373" s="4" t="str">
        <f ca="1">VLOOKUP($AB373,OFFSET([3]characters!$A$1,0,0,COUNTA([3]characters!$A:$A),MATCH(AC$1,[3]characters!$1:$1,0)-MATCH("character_id",[3]characters!$1:$1,0)+1),MATCH(AC$1,[3]characters!$1:$1,0)-MATCH("character_id",[3]characters!$1:$1,0)+1,FALSE)</f>
        <v>F2</v>
      </c>
      <c r="AD373" s="4">
        <f ca="1">VLOOKUP($AB373,OFFSET([3]characters!$A$1,0,0,COUNTA([3]characters!$A:$A),MATCH(AD$1,[3]characters!$1:$1,0)-MATCH("character_id",[3]characters!$1:$1,0)+1),MATCH(AD$1,[3]characters!$1:$1,0)-MATCH("character_id",[3]characters!$1:$1,0)+1,FALSE)</f>
        <v>2</v>
      </c>
      <c r="AE373" s="4" t="str">
        <f ca="1">VLOOKUP($AB373,OFFSET([3]characters!$A$1,0,0,COUNTA([3]characters!$A:$A),MATCH(AE$1,[3]characters!$1:$1,0)-MATCH("character_id",[3]characters!$1:$1,0)+1),MATCH(AE$1,[3]characters!$1:$1,0)-MATCH("character_id",[3]characters!$1:$1,0)+1,FALSE)</f>
        <v>Drop1S</v>
      </c>
      <c r="AF373" s="7">
        <v>1</v>
      </c>
      <c r="AG373" s="26">
        <f t="shared" ca="1" si="386"/>
        <v>2</v>
      </c>
      <c r="AH373" s="8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1</v>
      </c>
    </row>
    <row r="374" spans="1:39" ht="14" x14ac:dyDescent="0.15">
      <c r="A374" s="18" t="str">
        <f t="shared" ref="A374" ca="1" si="445">B374&amp;"_"&amp;C374&amp;"-"&amp;G374&amp;"/"&amp;L374&amp;"&lt;lv"&amp;R374&amp;"&gt;s"&amp;AA374</f>
        <v>24_2-5/47&lt;lv51&gt;s1</v>
      </c>
      <c r="B374" s="53">
        <v>24</v>
      </c>
      <c r="C374" s="51">
        <v>2</v>
      </c>
      <c r="D374" s="2" t="str">
        <f t="shared" ref="D374" si="446">B374&amp;"_"&amp;C374</f>
        <v>24_2</v>
      </c>
      <c r="E374" s="2" t="str">
        <f t="shared" ref="E374" si="447">C374&amp;"_"&amp;D374</f>
        <v>2_24_2</v>
      </c>
      <c r="F374" s="4" t="str">
        <f ca="1">VLOOKUP($D374,OFFSET([1]stages!$A$1,0,0,COUNTA([1]stages!$A:$A),MATCH(F$1,[1]stages!$2:$2,0)-MATCH($D$1,[1]stages!$2:$2,0)+1),MATCH(F$1,[1]stages!$2:$2,0)-MATCH($D$1,[1]stages!$2:$2,0)+1,FALSE)</f>
        <v>24-2．奇襲と増援</v>
      </c>
      <c r="G374" s="56">
        <v>5</v>
      </c>
      <c r="H374" s="17" t="str">
        <f t="shared" ref="H374" si="448">B374&amp;"_"&amp;C374&amp;"-"&amp;G374</f>
        <v>24_2-5</v>
      </c>
      <c r="I374" s="17"/>
      <c r="J374" s="17"/>
      <c r="K374" s="65" t="s">
        <v>56</v>
      </c>
      <c r="L374" s="52">
        <v>47</v>
      </c>
      <c r="M374" s="21" t="str">
        <f ca="1">VLOOKUP($L374,OFFSET([2]enemies!$A$1,0,0,COUNTA([2]enemies!$A:$A),MATCH(M$1,[2]enemies!$1:$1,0)-MATCH($L$1,[2]enemies!$1:$1,0)+1),MATCH(M$1,[2]enemies!$1:$1,0)-MATCH($L$1,[2]enemies!$1:$1,0)+1,FALSE)</f>
        <v>ヒロ</v>
      </c>
      <c r="N374" s="21" t="str">
        <f ca="1">VLOOKUP($L374,OFFSET([2]enemies!$A$1,0,0,COUNTA([2]enemies!$A:$A),MATCH(N$1,[2]enemies!$1:$1,0)-MATCH($L$1,[2]enemies!$1:$1,0)+1),MATCH(N$1,[2]enemies!$1:$1,0)-MATCH($L$1,[2]enemies!$1:$1,0)+1,FALSE)</f>
        <v>yellow</v>
      </c>
      <c r="O374" s="21" t="str">
        <f ca="1">VLOOKUP($L374,OFFSET([3]characters!$A$1,0,0,COUNTA([3]characters!$A:$A),MATCH(O$1,[3]characters!$1:$1,0)-MATCH($L$1,[3]characters!$1:$1,0)+1),MATCH(O$1,[3]characters!$1:$1,0)-MATCH($L$1,[3]characters!$1:$1,0)+1,FALSE)</f>
        <v>Drop1N</v>
      </c>
      <c r="P374" s="21" t="str">
        <f ca="1">VLOOKUP($L374,OFFSET([2]enemies!$A$1,0,0,COUNTA([2]enemies!$A:$A),MATCH(P$1,[2]enemies!$1:$1,0)-MATCH($L$1,[2]enemies!$1:$1,0)+1),MATCH(P$1,[2]enemies!$1:$1,0)-MATCH($L$1,[2]enemies!$1:$1,0)+1,FALSE)</f>
        <v>animal</v>
      </c>
      <c r="Q374" s="21">
        <f ca="1">VLOOKUP($L374,OFFSET([2]enemies!$A$1,0,0,COUNTA([2]enemies!$A:$A),MATCH(Q$1,[2]enemies!$1:$1,0)-MATCH($L$1,[2]enemies!$1:$1,0)+1),MATCH(Q$1,[2]enemies!$1:$1,0)-MATCH($L$1,[2]enemies!$1:$1,0)+1,FALSE)</f>
        <v>15</v>
      </c>
      <c r="R374" s="53">
        <v>51</v>
      </c>
      <c r="S374" s="27">
        <v>2.1</v>
      </c>
      <c r="T374" s="27">
        <v>0.5</v>
      </c>
      <c r="U374" s="5">
        <v>0</v>
      </c>
      <c r="V374" s="4" t="str">
        <f ca="1">VLOOKUP($W374,OFFSET([4]enemy_skill_sets!$B$1,0,0,COUNTA([4]enemy_skill_sets!$B:$B),MATCH(M$1,[4]enemy_skill_sets!$1:$1,0)-MATCH($W$1,[4]enemy_skill_sets!$1:$1,0)+2),MATCH(M$1,[4]enemy_skill_sets!$1:$1,0)-MATCH($W$1,[4]enemy_skill_sets!$1:$1,0)+2,FALSE)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74" s="4">
        <f ca="1">VLOOKUP($L374,OFFSET([2]enemies!$A$1,0,0,COUNTA([2]enemies!$A:$A),MATCH(W$1,[2]enemies!$1:$1,0)-MATCH($L$1,[2]enemies!$1:$1,0)+1),MATCH(W$1,[2]enemies!$1:$1,0)-MATCH($L$1,[2]enemies!$1:$1,0)+1,FALSE)</f>
        <v>0</v>
      </c>
      <c r="X374" s="6">
        <v>1</v>
      </c>
      <c r="Y374" s="6">
        <v>100</v>
      </c>
      <c r="Z374" s="6">
        <v>0</v>
      </c>
      <c r="AA374" s="4">
        <f ca="1">VLOOKUP($L374,OFFSET([2]enemies!$A$1,0,0,COUNTA([2]enemies!$A:$A),MATCH(AA$1,[2]enemies!$1:$1,0)-MATCH($L$1,[2]enemies!$1:$1,0)+1),MATCH(AA$1,[2]enemies!$1:$1,0)-MATCH($L$1,[2]enemies!$1:$1,0)+1,FALSE)</f>
        <v>1</v>
      </c>
      <c r="AB374" s="52">
        <v>47</v>
      </c>
      <c r="AC374" s="4" t="str">
        <f ca="1">VLOOKUP($AB374,OFFSET([3]characters!$A$1,0,0,COUNTA([3]characters!$A:$A),MATCH(AC$1,[3]characters!$1:$1,0)-MATCH("character_id",[3]characters!$1:$1,0)+1),MATCH(AC$1,[3]characters!$1:$1,0)-MATCH("character_id",[3]characters!$1:$1,0)+1,FALSE)</f>
        <v>ヒロ</v>
      </c>
      <c r="AD374" s="4">
        <f ca="1">VLOOKUP($AB374,OFFSET([3]characters!$A$1,0,0,COUNTA([3]characters!$A:$A),MATCH(AD$1,[3]characters!$1:$1,0)-MATCH("character_id",[3]characters!$1:$1,0)+1),MATCH(AD$1,[3]characters!$1:$1,0)-MATCH("character_id",[3]characters!$1:$1,0)+1,FALSE)</f>
        <v>2</v>
      </c>
      <c r="AE374" s="4" t="str">
        <f ca="1">VLOOKUP($AB374,OFFSET([3]characters!$A$1,0,0,COUNTA([3]characters!$A:$A),MATCH(AE$1,[3]characters!$1:$1,0)-MATCH("character_id",[3]characters!$1:$1,0)+1),MATCH(AE$1,[3]characters!$1:$1,0)-MATCH("character_id",[3]characters!$1:$1,0)+1,FALSE)</f>
        <v>Drop1N</v>
      </c>
      <c r="AF374" s="7">
        <v>1</v>
      </c>
      <c r="AG374" s="26">
        <f t="shared" ca="1" si="386"/>
        <v>2</v>
      </c>
      <c r="AH374" s="8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1</v>
      </c>
    </row>
    <row r="375" spans="1:39" ht="14" x14ac:dyDescent="0.15">
      <c r="A375" s="18" t="str">
        <f t="shared" ca="1" si="419"/>
        <v>24_3-1/13&lt;lv48&gt;s2</v>
      </c>
      <c r="B375" s="50">
        <v>24</v>
      </c>
      <c r="C375" s="49">
        <v>3</v>
      </c>
      <c r="D375" s="2" t="str">
        <f t="shared" si="420"/>
        <v>24_3</v>
      </c>
      <c r="E375" s="2" t="str">
        <f t="shared" si="420"/>
        <v>3_24_3</v>
      </c>
      <c r="F375" s="4" t="str">
        <f ca="1">VLOOKUP($D375,OFFSET([1]stages!$A$1,0,0,COUNTA([1]stages!$A:$A),MATCH(F$1,[1]stages!$2:$2,0)-MATCH($D$1,[1]stages!$2:$2,0)+1),MATCH(F$1,[1]stages!$2:$2,0)-MATCH($D$1,[1]stages!$2:$2,0)+1,FALSE)</f>
        <v>24-3．武器を花に変えて</v>
      </c>
      <c r="G375" s="57">
        <v>1</v>
      </c>
      <c r="H375" s="17" t="str">
        <f t="shared" si="421"/>
        <v>24_3-1</v>
      </c>
      <c r="I375" s="17"/>
      <c r="J375" s="17"/>
      <c r="K375" s="65" t="s">
        <v>56</v>
      </c>
      <c r="L375" s="52">
        <v>13</v>
      </c>
      <c r="M375" s="21" t="str">
        <f ca="1">VLOOKUP($L375,OFFSET([2]enemies!$A$1,0,0,COUNTA([2]enemies!$A:$A),MATCH(M$1,[2]enemies!$1:$1,0)-MATCH($L$1,[2]enemies!$1:$1,0)+1),MATCH(M$1,[2]enemies!$1:$1,0)-MATCH($L$1,[2]enemies!$1:$1,0)+1,FALSE)</f>
        <v>ミミ</v>
      </c>
      <c r="N375" s="21" t="str">
        <f ca="1">VLOOKUP($L375,OFFSET([2]enemies!$A$1,0,0,COUNTA([2]enemies!$A:$A),MATCH(N$1,[2]enemies!$1:$1,0)-MATCH($L$1,[2]enemies!$1:$1,0)+1),MATCH(N$1,[2]enemies!$1:$1,0)-MATCH($L$1,[2]enemies!$1:$1,0)+1,FALSE)</f>
        <v>yellow</v>
      </c>
      <c r="O375" s="21" t="str">
        <f ca="1">VLOOKUP($L375,OFFSET([3]characters!$A$1,0,0,COUNTA([3]characters!$A:$A),MATCH(O$1,[3]characters!$1:$1,0)-MATCH($L$1,[3]characters!$1:$1,0)+1),MATCH(O$1,[3]characters!$1:$1,0)-MATCH($L$1,[3]characters!$1:$1,0)+1,FALSE)</f>
        <v>Drop1W</v>
      </c>
      <c r="P375" s="21" t="str">
        <f ca="1">VLOOKUP($L375,OFFSET([2]enemies!$A$1,0,0,COUNTA([2]enemies!$A:$A),MATCH(P$1,[2]enemies!$1:$1,0)-MATCH($L$1,[2]enemies!$1:$1,0)+1),MATCH(P$1,[2]enemies!$1:$1,0)-MATCH($L$1,[2]enemies!$1:$1,0)+1,FALSE)</f>
        <v>animal</v>
      </c>
      <c r="Q375" s="21">
        <f ca="1">VLOOKUP($L375,OFFSET([2]enemies!$A$1,0,0,COUNTA([2]enemies!$A:$A),MATCH(Q$1,[2]enemies!$1:$1,0)-MATCH($L$1,[2]enemies!$1:$1,0)+1),MATCH(Q$1,[2]enemies!$1:$1,0)-MATCH($L$1,[2]enemies!$1:$1,0)+1,FALSE)</f>
        <v>15</v>
      </c>
      <c r="R375" s="53">
        <v>48</v>
      </c>
      <c r="S375" s="27">
        <v>1</v>
      </c>
      <c r="T375" s="27">
        <v>1</v>
      </c>
      <c r="U375" s="5">
        <v>0</v>
      </c>
      <c r="V375" s="4" t="str">
        <f ca="1">VLOOKUP($W375,OFFSET([4]enemy_skill_sets!$B$1,0,0,COUNTA([4]enemy_skill_sets!$B:$B),MATCH(M$1,[4]enemy_skill_sets!$1:$1,0)-MATCH($W$1,[4]enemy_skill_sets!$1:$1,0)+2),MATCH(M$1,[4]enemy_skill_sets!$1:$1,0)-MATCH($W$1,[4]enemy_skill_sets!$1:$1,0)+2,FALSE)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75" s="4">
        <f ca="1">VLOOKUP($L375,OFFSET([2]enemies!$A$1,0,0,COUNTA([2]enemies!$A:$A),MATCH(W$1,[2]enemies!$1:$1,0)-MATCH($L$1,[2]enemies!$1:$1,0)+1),MATCH(W$1,[2]enemies!$1:$1,0)-MATCH($L$1,[2]enemies!$1:$1,0)+1,FALSE)</f>
        <v>0</v>
      </c>
      <c r="X375" s="6">
        <v>0</v>
      </c>
      <c r="Y375" s="6">
        <v>100</v>
      </c>
      <c r="Z375" s="6">
        <v>0</v>
      </c>
      <c r="AA375" s="4">
        <f ca="1">VLOOKUP($L375,OFFSET([2]enemies!$A$1,0,0,COUNTA([2]enemies!$A:$A),MATCH(AA$1,[2]enemies!$1:$1,0)-MATCH($L$1,[2]enemies!$1:$1,0)+1),MATCH(AA$1,[2]enemies!$1:$1,0)-MATCH($L$1,[2]enemies!$1:$1,0)+1,FALSE)</f>
        <v>2</v>
      </c>
      <c r="AB375" s="52">
        <v>13</v>
      </c>
      <c r="AC375" s="4" t="str">
        <f ca="1">VLOOKUP($AB375,OFFSET([3]characters!$A$1,0,0,COUNTA([3]characters!$A:$A),MATCH(AC$1,[3]characters!$1:$1,0)-MATCH("character_id",[3]characters!$1:$1,0)+1),MATCH(AC$1,[3]characters!$1:$1,0)-MATCH("character_id",[3]characters!$1:$1,0)+1,FALSE)</f>
        <v>ミミ</v>
      </c>
      <c r="AD375" s="4">
        <f ca="1">VLOOKUP($AB375,OFFSET([3]characters!$A$1,0,0,COUNTA([3]characters!$A:$A),MATCH(AD$1,[3]characters!$1:$1,0)-MATCH("character_id",[3]characters!$1:$1,0)+1),MATCH(AD$1,[3]characters!$1:$1,0)-MATCH("character_id",[3]characters!$1:$1,0)+1,FALSE)</f>
        <v>1</v>
      </c>
      <c r="AE375" s="4" t="str">
        <f ca="1">VLOOKUP($AB375,OFFSET([3]characters!$A$1,0,0,COUNTA([3]characters!$A:$A),MATCH(AE$1,[3]characters!$1:$1,0)-MATCH("character_id",[3]characters!$1:$1,0)+1),MATCH(AE$1,[3]characters!$1:$1,0)-MATCH("character_id",[3]characters!$1:$1,0)+1,FALSE)</f>
        <v>Drop1W</v>
      </c>
      <c r="AF375" s="7">
        <v>9</v>
      </c>
      <c r="AG375" s="26">
        <f t="shared" ca="1" si="386"/>
        <v>1</v>
      </c>
      <c r="AH375" s="8">
        <v>20</v>
      </c>
      <c r="AI375" s="7">
        <v>0</v>
      </c>
      <c r="AJ375" s="7">
        <v>0</v>
      </c>
      <c r="AK375" s="7">
        <v>0</v>
      </c>
      <c r="AL375" s="7">
        <v>0</v>
      </c>
      <c r="AM375" s="7">
        <v>1</v>
      </c>
    </row>
    <row r="376" spans="1:39" ht="14" x14ac:dyDescent="0.15">
      <c r="A376" s="18" t="str">
        <f t="shared" ca="1" si="419"/>
        <v>24_3-1/47&lt;lv48&gt;s1</v>
      </c>
      <c r="B376" s="50">
        <v>24</v>
      </c>
      <c r="C376" s="49">
        <v>3</v>
      </c>
      <c r="D376" s="2" t="str">
        <f t="shared" si="420"/>
        <v>24_3</v>
      </c>
      <c r="E376" s="2" t="str">
        <f t="shared" si="420"/>
        <v>3_24_3</v>
      </c>
      <c r="F376" s="4" t="str">
        <f ca="1">VLOOKUP($D376,OFFSET([1]stages!$A$1,0,0,COUNTA([1]stages!$A:$A),MATCH(F$1,[1]stages!$2:$2,0)-MATCH($D$1,[1]stages!$2:$2,0)+1),MATCH(F$1,[1]stages!$2:$2,0)-MATCH($D$1,[1]stages!$2:$2,0)+1,FALSE)</f>
        <v>24-3．武器を花に変えて</v>
      </c>
      <c r="G376" s="57">
        <v>1</v>
      </c>
      <c r="H376" s="17" t="str">
        <f t="shared" si="421"/>
        <v>24_3-1</v>
      </c>
      <c r="I376" s="17"/>
      <c r="J376" s="17"/>
      <c r="K376" s="65" t="s">
        <v>56</v>
      </c>
      <c r="L376" s="52">
        <v>47</v>
      </c>
      <c r="M376" s="21" t="str">
        <f ca="1">VLOOKUP($L376,OFFSET([2]enemies!$A$1,0,0,COUNTA([2]enemies!$A:$A),MATCH(M$1,[2]enemies!$1:$1,0)-MATCH($L$1,[2]enemies!$1:$1,0)+1),MATCH(M$1,[2]enemies!$1:$1,0)-MATCH($L$1,[2]enemies!$1:$1,0)+1,FALSE)</f>
        <v>ヒロ</v>
      </c>
      <c r="N376" s="21" t="str">
        <f ca="1">VLOOKUP($L376,OFFSET([2]enemies!$A$1,0,0,COUNTA([2]enemies!$A:$A),MATCH(N$1,[2]enemies!$1:$1,0)-MATCH($L$1,[2]enemies!$1:$1,0)+1),MATCH(N$1,[2]enemies!$1:$1,0)-MATCH($L$1,[2]enemies!$1:$1,0)+1,FALSE)</f>
        <v>yellow</v>
      </c>
      <c r="O376" s="21" t="str">
        <f ca="1">VLOOKUP($L376,OFFSET([3]characters!$A$1,0,0,COUNTA([3]characters!$A:$A),MATCH(O$1,[3]characters!$1:$1,0)-MATCH($L$1,[3]characters!$1:$1,0)+1),MATCH(O$1,[3]characters!$1:$1,0)-MATCH($L$1,[3]characters!$1:$1,0)+1,FALSE)</f>
        <v>Drop1N</v>
      </c>
      <c r="P376" s="21" t="str">
        <f ca="1">VLOOKUP($L376,OFFSET([2]enemies!$A$1,0,0,COUNTA([2]enemies!$A:$A),MATCH(P$1,[2]enemies!$1:$1,0)-MATCH($L$1,[2]enemies!$1:$1,0)+1),MATCH(P$1,[2]enemies!$1:$1,0)-MATCH($L$1,[2]enemies!$1:$1,0)+1,FALSE)</f>
        <v>animal</v>
      </c>
      <c r="Q376" s="21">
        <f ca="1">VLOOKUP($L376,OFFSET([2]enemies!$A$1,0,0,COUNTA([2]enemies!$A:$A),MATCH(Q$1,[2]enemies!$1:$1,0)-MATCH($L$1,[2]enemies!$1:$1,0)+1),MATCH(Q$1,[2]enemies!$1:$1,0)-MATCH($L$1,[2]enemies!$1:$1,0)+1,FALSE)</f>
        <v>15</v>
      </c>
      <c r="R376" s="53">
        <v>48</v>
      </c>
      <c r="S376" s="27">
        <v>1</v>
      </c>
      <c r="T376" s="27">
        <v>1</v>
      </c>
      <c r="U376" s="5">
        <v>0</v>
      </c>
      <c r="V376" s="4" t="str">
        <f ca="1">VLOOKUP($W376,OFFSET([4]enemy_skill_sets!$B$1,0,0,COUNTA([4]enemy_skill_sets!$B:$B),MATCH(M$1,[4]enemy_skill_sets!$1:$1,0)-MATCH($W$1,[4]enemy_skill_sets!$1:$1,0)+2),MATCH(M$1,[4]enemy_skill_sets!$1:$1,0)-MATCH($W$1,[4]enemy_skill_sets!$1:$1,0)+2,FALSE)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76" s="4">
        <f ca="1">VLOOKUP($L376,OFFSET([2]enemies!$A$1,0,0,COUNTA([2]enemies!$A:$A),MATCH(W$1,[2]enemies!$1:$1,0)-MATCH($L$1,[2]enemies!$1:$1,0)+1),MATCH(W$1,[2]enemies!$1:$1,0)-MATCH($L$1,[2]enemies!$1:$1,0)+1,FALSE)</f>
        <v>0</v>
      </c>
      <c r="X376" s="6">
        <v>0</v>
      </c>
      <c r="Y376" s="6">
        <v>100</v>
      </c>
      <c r="Z376" s="6">
        <v>0</v>
      </c>
      <c r="AA376" s="4">
        <f ca="1">VLOOKUP($L376,OFFSET([2]enemies!$A$1,0,0,COUNTA([2]enemies!$A:$A),MATCH(AA$1,[2]enemies!$1:$1,0)-MATCH($L$1,[2]enemies!$1:$1,0)+1),MATCH(AA$1,[2]enemies!$1:$1,0)-MATCH($L$1,[2]enemies!$1:$1,0)+1,FALSE)</f>
        <v>1</v>
      </c>
      <c r="AB376" s="52">
        <v>47</v>
      </c>
      <c r="AC376" s="4" t="str">
        <f ca="1">VLOOKUP($AB376,OFFSET([3]characters!$A$1,0,0,COUNTA([3]characters!$A:$A),MATCH(AC$1,[3]characters!$1:$1,0)-MATCH("character_id",[3]characters!$1:$1,0)+1),MATCH(AC$1,[3]characters!$1:$1,0)-MATCH("character_id",[3]characters!$1:$1,0)+1,FALSE)</f>
        <v>ヒロ</v>
      </c>
      <c r="AD376" s="4">
        <f ca="1">VLOOKUP($AB376,OFFSET([3]characters!$A$1,0,0,COUNTA([3]characters!$A:$A),MATCH(AD$1,[3]characters!$1:$1,0)-MATCH("character_id",[3]characters!$1:$1,0)+1),MATCH(AD$1,[3]characters!$1:$1,0)-MATCH("character_id",[3]characters!$1:$1,0)+1,FALSE)</f>
        <v>2</v>
      </c>
      <c r="AE376" s="4" t="str">
        <f ca="1">VLOOKUP($AB376,OFFSET([3]characters!$A$1,0,0,COUNTA([3]characters!$A:$A),MATCH(AE$1,[3]characters!$1:$1,0)-MATCH("character_id",[3]characters!$1:$1,0)+1),MATCH(AE$1,[3]characters!$1:$1,0)-MATCH("character_id",[3]characters!$1:$1,0)+1,FALSE)</f>
        <v>Drop1N</v>
      </c>
      <c r="AF376" s="7">
        <v>7</v>
      </c>
      <c r="AG376" s="26">
        <f t="shared" ca="1" si="386"/>
        <v>2</v>
      </c>
      <c r="AH376" s="8">
        <v>20</v>
      </c>
      <c r="AI376" s="7">
        <v>0</v>
      </c>
      <c r="AJ376" s="7">
        <v>0</v>
      </c>
      <c r="AK376" s="7">
        <v>0</v>
      </c>
      <c r="AL376" s="7">
        <v>0</v>
      </c>
      <c r="AM376" s="7">
        <v>1</v>
      </c>
    </row>
    <row r="377" spans="1:39" ht="14" x14ac:dyDescent="0.15">
      <c r="A377" s="18" t="str">
        <f t="shared" ca="1" si="419"/>
        <v>24_3-1/63&lt;lv48&gt;s2</v>
      </c>
      <c r="B377" s="50">
        <v>24</v>
      </c>
      <c r="C377" s="49">
        <v>3</v>
      </c>
      <c r="D377" s="2" t="str">
        <f t="shared" si="420"/>
        <v>24_3</v>
      </c>
      <c r="E377" s="2" t="str">
        <f t="shared" si="420"/>
        <v>3_24_3</v>
      </c>
      <c r="F377" s="4" t="str">
        <f ca="1">VLOOKUP($D377,OFFSET([1]stages!$A$1,0,0,COUNTA([1]stages!$A:$A),MATCH(F$1,[1]stages!$2:$2,0)-MATCH($D$1,[1]stages!$2:$2,0)+1),MATCH(F$1,[1]stages!$2:$2,0)-MATCH($D$1,[1]stages!$2:$2,0)+1,FALSE)</f>
        <v>24-3．武器を花に変えて</v>
      </c>
      <c r="G377" s="57">
        <v>1</v>
      </c>
      <c r="H377" s="17" t="str">
        <f t="shared" si="421"/>
        <v>24_3-1</v>
      </c>
      <c r="I377" s="17"/>
      <c r="J377" s="17"/>
      <c r="K377" s="65" t="s">
        <v>56</v>
      </c>
      <c r="L377" s="52">
        <v>63</v>
      </c>
      <c r="M377" s="21" t="str">
        <f ca="1">VLOOKUP($L377,OFFSET([2]enemies!$A$1,0,0,COUNTA([2]enemies!$A:$A),MATCH(M$1,[2]enemies!$1:$1,0)-MATCH($L$1,[2]enemies!$1:$1,0)+1),MATCH(M$1,[2]enemies!$1:$1,0)-MATCH($L$1,[2]enemies!$1:$1,0)+1,FALSE)</f>
        <v>トニー</v>
      </c>
      <c r="N377" s="21" t="str">
        <f ca="1">VLOOKUP($L377,OFFSET([2]enemies!$A$1,0,0,COUNTA([2]enemies!$A:$A),MATCH(N$1,[2]enemies!$1:$1,0)-MATCH($L$1,[2]enemies!$1:$1,0)+1),MATCH(N$1,[2]enemies!$1:$1,0)-MATCH($L$1,[2]enemies!$1:$1,0)+1,FALSE)</f>
        <v>yellow</v>
      </c>
      <c r="O377" s="21" t="str">
        <f ca="1">VLOOKUP($L377,OFFSET([3]characters!$A$1,0,0,COUNTA([3]characters!$A:$A),MATCH(O$1,[3]characters!$1:$1,0)-MATCH($L$1,[3]characters!$1:$1,0)+1),MATCH(O$1,[3]characters!$1:$1,0)-MATCH($L$1,[3]characters!$1:$1,0)+1,FALSE)</f>
        <v>Drop1N</v>
      </c>
      <c r="P377" s="21" t="str">
        <f ca="1">VLOOKUP($L377,OFFSET([2]enemies!$A$1,0,0,COUNTA([2]enemies!$A:$A),MATCH(P$1,[2]enemies!$1:$1,0)-MATCH($L$1,[2]enemies!$1:$1,0)+1),MATCH(P$1,[2]enemies!$1:$1,0)-MATCH($L$1,[2]enemies!$1:$1,0)+1,FALSE)</f>
        <v>animal</v>
      </c>
      <c r="Q377" s="21">
        <f ca="1">VLOOKUP($L377,OFFSET([2]enemies!$A$1,0,0,COUNTA([2]enemies!$A:$A),MATCH(Q$1,[2]enemies!$1:$1,0)-MATCH($L$1,[2]enemies!$1:$1,0)+1),MATCH(Q$1,[2]enemies!$1:$1,0)-MATCH($L$1,[2]enemies!$1:$1,0)+1,FALSE)</f>
        <v>15</v>
      </c>
      <c r="R377" s="53">
        <v>48</v>
      </c>
      <c r="S377" s="27">
        <v>1</v>
      </c>
      <c r="T377" s="27">
        <v>1</v>
      </c>
      <c r="U377" s="5">
        <v>0</v>
      </c>
      <c r="V377" s="4" t="str">
        <f ca="1">VLOOKUP($W377,OFFSET([4]enemy_skill_sets!$B$1,0,0,COUNTA([4]enemy_skill_sets!$B:$B),MATCH(M$1,[4]enemy_skill_sets!$1:$1,0)-MATCH($W$1,[4]enemy_skill_sets!$1:$1,0)+2),MATCH(M$1,[4]enemy_skill_sets!$1:$1,0)-MATCH($W$1,[4]enemy_skill_sets!$1:$1,0)+2,FALSE)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377" s="4">
        <f ca="1">VLOOKUP($L377,OFFSET([2]enemies!$A$1,0,0,COUNTA([2]enemies!$A:$A),MATCH(W$1,[2]enemies!$1:$1,0)-MATCH($L$1,[2]enemies!$1:$1,0)+1),MATCH(W$1,[2]enemies!$1:$1,0)-MATCH($L$1,[2]enemies!$1:$1,0)+1,FALSE)</f>
        <v>63</v>
      </c>
      <c r="X377" s="6">
        <v>0</v>
      </c>
      <c r="Y377" s="6">
        <v>100</v>
      </c>
      <c r="Z377" s="6">
        <v>0</v>
      </c>
      <c r="AA377" s="4">
        <f ca="1">VLOOKUP($L377,OFFSET([2]enemies!$A$1,0,0,COUNTA([2]enemies!$A:$A),MATCH(AA$1,[2]enemies!$1:$1,0)-MATCH($L$1,[2]enemies!$1:$1,0)+1),MATCH(AA$1,[2]enemies!$1:$1,0)-MATCH($L$1,[2]enemies!$1:$1,0)+1,FALSE)</f>
        <v>2</v>
      </c>
      <c r="AB377" s="52">
        <v>63</v>
      </c>
      <c r="AC377" s="4" t="str">
        <f ca="1">VLOOKUP($AB377,OFFSET([3]characters!$A$1,0,0,COUNTA([3]characters!$A:$A),MATCH(AC$1,[3]characters!$1:$1,0)-MATCH("character_id",[3]characters!$1:$1,0)+1),MATCH(AC$1,[3]characters!$1:$1,0)-MATCH("character_id",[3]characters!$1:$1,0)+1,FALSE)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377" s="4">
        <f ca="1">VLOOKUP($AB377,OFFSET([3]characters!$A$1,0,0,COUNTA([3]characters!$A:$A),MATCH(AD$1,[3]characters!$1:$1,0)-MATCH("character_id",[3]characters!$1:$1,0)+1),MATCH(AD$1,[3]characters!$1:$1,0)-MATCH("character_id",[3]characters!$1:$1,0)+1,FALSE)</f>
        <v>2</v>
      </c>
      <c r="AE377" s="4" t="str">
        <f ca="1">VLOOKUP($AB377,OFFSET([3]characters!$A$1,0,0,COUNTA([3]characters!$A:$A),MATCH(AE$1,[3]characters!$1:$1,0)-MATCH("character_id",[3]characters!$1:$1,0)+1),MATCH(AE$1,[3]characters!$1:$1,0)-MATCH("character_id",[3]characters!$1:$1,0)+1,FALSE)</f>
        <v>Drop1N</v>
      </c>
      <c r="AF377" s="7">
        <v>7</v>
      </c>
      <c r="AG377" s="26">
        <f t="shared" ca="1" si="386"/>
        <v>2</v>
      </c>
      <c r="AH377" s="8">
        <v>20</v>
      </c>
      <c r="AI377" s="7">
        <v>0</v>
      </c>
      <c r="AJ377" s="7">
        <v>0</v>
      </c>
      <c r="AK377" s="7">
        <v>0</v>
      </c>
      <c r="AL377" s="7">
        <v>0</v>
      </c>
      <c r="AM377" s="7">
        <v>1</v>
      </c>
    </row>
    <row r="378" spans="1:39" ht="14" x14ac:dyDescent="0.15">
      <c r="A378" s="18" t="str">
        <f t="shared" ca="1" si="419"/>
        <v>24_3-1/31&lt;lv48&gt;s2</v>
      </c>
      <c r="B378" s="50">
        <v>24</v>
      </c>
      <c r="C378" s="49">
        <v>3</v>
      </c>
      <c r="D378" s="2" t="str">
        <f t="shared" si="420"/>
        <v>24_3</v>
      </c>
      <c r="E378" s="2" t="str">
        <f t="shared" si="420"/>
        <v>3_24_3</v>
      </c>
      <c r="F378" s="4" t="str">
        <f ca="1">VLOOKUP($D378,OFFSET([1]stages!$A$1,0,0,COUNTA([1]stages!$A:$A),MATCH(F$1,[1]stages!$2:$2,0)-MATCH($D$1,[1]stages!$2:$2,0)+1),MATCH(F$1,[1]stages!$2:$2,0)-MATCH($D$1,[1]stages!$2:$2,0)+1,FALSE)</f>
        <v>24-3．武器を花に変えて</v>
      </c>
      <c r="G378" s="57">
        <v>1</v>
      </c>
      <c r="H378" s="17" t="str">
        <f t="shared" si="421"/>
        <v>24_3-1</v>
      </c>
      <c r="I378" s="17"/>
      <c r="J378" s="17"/>
      <c r="K378" s="65" t="s">
        <v>56</v>
      </c>
      <c r="L378" s="52">
        <v>31</v>
      </c>
      <c r="M378" s="21" t="str">
        <f ca="1">VLOOKUP($L378,OFFSET([2]enemies!$A$1,0,0,COUNTA([2]enemies!$A:$A),MATCH(M$1,[2]enemies!$1:$1,0)-MATCH($L$1,[2]enemies!$1:$1,0)+1),MATCH(M$1,[2]enemies!$1:$1,0)-MATCH($L$1,[2]enemies!$1:$1,0)+1,FALSE)</f>
        <v>マービー</v>
      </c>
      <c r="N378" s="21" t="str">
        <f ca="1">VLOOKUP($L378,OFFSET([2]enemies!$A$1,0,0,COUNTA([2]enemies!$A:$A),MATCH(N$1,[2]enemies!$1:$1,0)-MATCH($L$1,[2]enemies!$1:$1,0)+1),MATCH(N$1,[2]enemies!$1:$1,0)-MATCH($L$1,[2]enemies!$1:$1,0)+1,FALSE)</f>
        <v>yellow</v>
      </c>
      <c r="O378" s="21" t="str">
        <f ca="1">VLOOKUP($L378,OFFSET([3]characters!$A$1,0,0,COUNTA([3]characters!$A:$A),MATCH(O$1,[3]characters!$1:$1,0)-MATCH($L$1,[3]characters!$1:$1,0)+1),MATCH(O$1,[3]characters!$1:$1,0)-MATCH($L$1,[3]characters!$1:$1,0)+1,FALSE)</f>
        <v>Drop1N</v>
      </c>
      <c r="P378" s="21" t="str">
        <f ca="1">VLOOKUP($L378,OFFSET([2]enemies!$A$1,0,0,COUNTA([2]enemies!$A:$A),MATCH(P$1,[2]enemies!$1:$1,0)-MATCH($L$1,[2]enemies!$1:$1,0)+1),MATCH(P$1,[2]enemies!$1:$1,0)-MATCH($L$1,[2]enemies!$1:$1,0)+1,FALSE)</f>
        <v>machine</v>
      </c>
      <c r="Q378" s="21">
        <f ca="1">VLOOKUP($L378,OFFSET([2]enemies!$A$1,0,0,COUNTA([2]enemies!$A:$A),MATCH(Q$1,[2]enemies!$1:$1,0)-MATCH($L$1,[2]enemies!$1:$1,0)+1),MATCH(Q$1,[2]enemies!$1:$1,0)-MATCH($L$1,[2]enemies!$1:$1,0)+1,FALSE)</f>
        <v>15</v>
      </c>
      <c r="R378" s="53">
        <v>48</v>
      </c>
      <c r="S378" s="27">
        <v>1</v>
      </c>
      <c r="T378" s="27">
        <v>1</v>
      </c>
      <c r="U378" s="5">
        <v>0</v>
      </c>
      <c r="V378" s="4" t="str">
        <f ca="1">VLOOKUP($W378,OFFSET([4]enemy_skill_sets!$B$1,0,0,COUNTA([4]enemy_skill_sets!$B:$B),MATCH(M$1,[4]enemy_skill_sets!$1:$1,0)-MATCH($W$1,[4]enemy_skill_sets!$1:$1,0)+2),MATCH(M$1,[4]enemy_skill_sets!$1:$1,0)-MATCH($W$1,[4]enemy_skill_sets!$1:$1,0)+2,FALSE)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78" s="4">
        <f ca="1">VLOOKUP($L378,OFFSET([2]enemies!$A$1,0,0,COUNTA([2]enemies!$A:$A),MATCH(W$1,[2]enemies!$1:$1,0)-MATCH($L$1,[2]enemies!$1:$1,0)+1),MATCH(W$1,[2]enemies!$1:$1,0)-MATCH($L$1,[2]enemies!$1:$1,0)+1,FALSE)</f>
        <v>0</v>
      </c>
      <c r="X378" s="6">
        <v>0</v>
      </c>
      <c r="Y378" s="6">
        <v>100</v>
      </c>
      <c r="Z378" s="6">
        <v>0</v>
      </c>
      <c r="AA378" s="4">
        <f ca="1">VLOOKUP($L378,OFFSET([2]enemies!$A$1,0,0,COUNTA([2]enemies!$A:$A),MATCH(AA$1,[2]enemies!$1:$1,0)-MATCH($L$1,[2]enemies!$1:$1,0)+1),MATCH(AA$1,[2]enemies!$1:$1,0)-MATCH($L$1,[2]enemies!$1:$1,0)+1,FALSE)</f>
        <v>2</v>
      </c>
      <c r="AB378" s="52">
        <v>31</v>
      </c>
      <c r="AC378" s="4" t="str">
        <f ca="1">VLOOKUP($AB378,OFFSET([3]characters!$A$1,0,0,COUNTA([3]characters!$A:$A),MATCH(AC$1,[3]characters!$1:$1,0)-MATCH("character_id",[3]characters!$1:$1,0)+1),MATCH(AC$1,[3]characters!$1:$1,0)-MATCH("character_id",[3]characters!$1:$1,0)+1,FALSE)</f>
        <v>マービー</v>
      </c>
      <c r="AD378" s="4">
        <f ca="1">VLOOKUP($AB378,OFFSET([3]characters!$A$1,0,0,COUNTA([3]characters!$A:$A),MATCH(AD$1,[3]characters!$1:$1,0)-MATCH("character_id",[3]characters!$1:$1,0)+1),MATCH(AD$1,[3]characters!$1:$1,0)-MATCH("character_id",[3]characters!$1:$1,0)+1,FALSE)</f>
        <v>1</v>
      </c>
      <c r="AE378" s="4" t="str">
        <f ca="1">VLOOKUP($AB378,OFFSET([3]characters!$A$1,0,0,COUNTA([3]characters!$A:$A),MATCH(AE$1,[3]characters!$1:$1,0)-MATCH("character_id",[3]characters!$1:$1,0)+1),MATCH(AE$1,[3]characters!$1:$1,0)-MATCH("character_id",[3]characters!$1:$1,0)+1,FALSE)</f>
        <v>Drop1N</v>
      </c>
      <c r="AF378" s="7">
        <v>7</v>
      </c>
      <c r="AG378" s="26">
        <f t="shared" ca="1" si="386"/>
        <v>1</v>
      </c>
      <c r="AH378" s="8">
        <v>20</v>
      </c>
      <c r="AI378" s="7">
        <v>0</v>
      </c>
      <c r="AJ378" s="7">
        <v>0</v>
      </c>
      <c r="AK378" s="7">
        <v>0</v>
      </c>
      <c r="AL378" s="7">
        <v>0</v>
      </c>
      <c r="AM378" s="7">
        <v>1</v>
      </c>
    </row>
    <row r="379" spans="1:39" ht="14" x14ac:dyDescent="0.15">
      <c r="A379" s="18" t="str">
        <f t="shared" ref="A379" ca="1" si="449">B379&amp;"_"&amp;C379&amp;"-"&amp;G379&amp;"/"&amp;L379&amp;"&lt;lv"&amp;R379&amp;"&gt;s"&amp;AA379</f>
        <v>24_3-1/366&lt;lv48&gt;s3</v>
      </c>
      <c r="B379" s="53">
        <v>24</v>
      </c>
      <c r="C379" s="51">
        <v>3</v>
      </c>
      <c r="D379" s="2" t="str">
        <f t="shared" ref="D379" si="450">B379&amp;"_"&amp;C379</f>
        <v>24_3</v>
      </c>
      <c r="E379" s="2" t="str">
        <f t="shared" ref="E379" si="451">C379&amp;"_"&amp;D379</f>
        <v>3_24_3</v>
      </c>
      <c r="F379" s="4" t="str">
        <f ca="1">VLOOKUP($D379,OFFSET([1]stages!$A$1,0,0,COUNTA([1]stages!$A:$A),MATCH(F$1,[1]stages!$2:$2,0)-MATCH($D$1,[1]stages!$2:$2,0)+1),MATCH(F$1,[1]stages!$2:$2,0)-MATCH($D$1,[1]stages!$2:$2,0)+1,FALSE)</f>
        <v>24-3．武器を花に変えて</v>
      </c>
      <c r="G379" s="57">
        <v>1</v>
      </c>
      <c r="H379" s="17" t="str">
        <f t="shared" ref="H379" si="452">B379&amp;"_"&amp;C379&amp;"-"&amp;G379</f>
        <v>24_3-1</v>
      </c>
      <c r="I379" s="17"/>
      <c r="J379" s="17"/>
      <c r="K379" s="65" t="s">
        <v>56</v>
      </c>
      <c r="L379" s="52">
        <v>366</v>
      </c>
      <c r="M379" s="21" t="str">
        <f ca="1">VLOOKUP($L379,OFFSET([2]enemies!$A$1,0,0,COUNTA([2]enemies!$A:$A),MATCH(M$1,[2]enemies!$1:$1,0)-MATCH($L$1,[2]enemies!$1:$1,0)+1),MATCH(M$1,[2]enemies!$1:$1,0)-MATCH($L$1,[2]enemies!$1:$1,0)+1,FALSE)</f>
        <v>トト</v>
      </c>
      <c r="N379" s="21" t="str">
        <f ca="1">VLOOKUP($L379,OFFSET([2]enemies!$A$1,0,0,COUNTA([2]enemies!$A:$A),MATCH(N$1,[2]enemies!$1:$1,0)-MATCH($L$1,[2]enemies!$1:$1,0)+1),MATCH(N$1,[2]enemies!$1:$1,0)-MATCH($L$1,[2]enemies!$1:$1,0)+1,FALSE)</f>
        <v>yellow</v>
      </c>
      <c r="O379" s="21" t="str">
        <f ca="1">VLOOKUP($L379,OFFSET([3]characters!$A$1,0,0,COUNTA([3]characters!$A:$A),MATCH(O$1,[3]characters!$1:$1,0)-MATCH($L$1,[3]characters!$1:$1,0)+1),MATCH(O$1,[3]characters!$1:$1,0)-MATCH($L$1,[3]characters!$1:$1,0)+1,FALSE)</f>
        <v>Drop1S</v>
      </c>
      <c r="P379" s="21" t="str">
        <f ca="1">VLOOKUP($L379,OFFSET([2]enemies!$A$1,0,0,COUNTA([2]enemies!$A:$A),MATCH(P$1,[2]enemies!$1:$1,0)-MATCH($L$1,[2]enemies!$1:$1,0)+1),MATCH(P$1,[2]enemies!$1:$1,0)-MATCH($L$1,[2]enemies!$1:$1,0)+1,FALSE)</f>
        <v>animal</v>
      </c>
      <c r="Q379" s="21">
        <f ca="1">VLOOKUP($L379,OFFSET([2]enemies!$A$1,0,0,COUNTA([2]enemies!$A:$A),MATCH(Q$1,[2]enemies!$1:$1,0)-MATCH($L$1,[2]enemies!$1:$1,0)+1),MATCH(Q$1,[2]enemies!$1:$1,0)-MATCH($L$1,[2]enemies!$1:$1,0)+1,FALSE)</f>
        <v>15</v>
      </c>
      <c r="R379" s="53">
        <v>48</v>
      </c>
      <c r="S379" s="27">
        <v>1</v>
      </c>
      <c r="T379" s="27">
        <v>1</v>
      </c>
      <c r="U379" s="5">
        <v>0</v>
      </c>
      <c r="V379" s="4" t="str">
        <f ca="1">VLOOKUP($W379,OFFSET([4]enemy_skill_sets!$B$1,0,0,COUNTA([4]enemy_skill_sets!$B:$B),MATCH(M$1,[4]enemy_skill_sets!$1:$1,0)-MATCH($W$1,[4]enemy_skill_sets!$1:$1,0)+2),MATCH(M$1,[4]enemy_skill_sets!$1:$1,0)-MATCH($W$1,[4]enemy_skill_sets!$1:$1,0)+2,FALSE)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379" s="64">
        <v>366</v>
      </c>
      <c r="X379" s="6">
        <v>0</v>
      </c>
      <c r="Y379" s="6">
        <v>100</v>
      </c>
      <c r="Z379" s="6">
        <v>0</v>
      </c>
      <c r="AA379" s="4">
        <f ca="1">VLOOKUP($L379,OFFSET([2]enemies!$A$1,0,0,COUNTA([2]enemies!$A:$A),MATCH(AA$1,[2]enemies!$1:$1,0)-MATCH($L$1,[2]enemies!$1:$1,0)+1),MATCH(AA$1,[2]enemies!$1:$1,0)-MATCH($L$1,[2]enemies!$1:$1,0)+1,FALSE)</f>
        <v>3</v>
      </c>
      <c r="AB379" s="52">
        <v>366</v>
      </c>
      <c r="AC379" s="4" t="str">
        <f ca="1">VLOOKUP($AB379,OFFSET([3]characters!$A$1,0,0,COUNTA([3]characters!$A:$A),MATCH(AC$1,[3]characters!$1:$1,0)-MATCH("character_id",[3]characters!$1:$1,0)+1),MATCH(AC$1,[3]characters!$1:$1,0)-MATCH("character_id",[3]characters!$1:$1,0)+1,FALSE)</f>
        <v>トト</v>
      </c>
      <c r="AD379" s="4">
        <f ca="1">VLOOKUP($AB379,OFFSET([3]characters!$A$1,0,0,COUNTA([3]characters!$A:$A),MATCH(AD$1,[3]characters!$1:$1,0)-MATCH("character_id",[3]characters!$1:$1,0)+1),MATCH(AD$1,[3]characters!$1:$1,0)-MATCH("character_id",[3]characters!$1:$1,0)+1,FALSE)</f>
        <v>2</v>
      </c>
      <c r="AE379" s="4" t="str">
        <f ca="1">VLOOKUP($AB379,OFFSET([3]characters!$A$1,0,0,COUNTA([3]characters!$A:$A),MATCH(AE$1,[3]characters!$1:$1,0)-MATCH("character_id",[3]characters!$1:$1,0)+1),MATCH(AE$1,[3]characters!$1:$1,0)-MATCH("character_id",[3]characters!$1:$1,0)+1,FALSE)</f>
        <v>Drop1S</v>
      </c>
      <c r="AF379" s="7">
        <v>7</v>
      </c>
      <c r="AG379" s="26">
        <f t="shared" ca="1" si="386"/>
        <v>2</v>
      </c>
      <c r="AH379" s="8">
        <v>20</v>
      </c>
      <c r="AI379" s="7">
        <v>0</v>
      </c>
      <c r="AJ379" s="7">
        <v>0</v>
      </c>
      <c r="AK379" s="7">
        <v>0</v>
      </c>
      <c r="AL379" s="7">
        <v>0</v>
      </c>
      <c r="AM379" s="7">
        <v>1</v>
      </c>
    </row>
    <row r="380" spans="1:39" ht="14" x14ac:dyDescent="0.15">
      <c r="A380" s="18" t="str">
        <f t="shared" ref="A380" ca="1" si="453">B380&amp;"_"&amp;C380&amp;"-"&amp;G380&amp;"/"&amp;L380&amp;"&lt;lv"&amp;R380&amp;"&gt;s"&amp;AA380</f>
        <v>24_3-1/354&lt;lv48&gt;s3</v>
      </c>
      <c r="B380" s="53">
        <v>24</v>
      </c>
      <c r="C380" s="51">
        <v>3</v>
      </c>
      <c r="D380" s="2" t="str">
        <f t="shared" ref="D380" si="454">B380&amp;"_"&amp;C380</f>
        <v>24_3</v>
      </c>
      <c r="E380" s="2" t="str">
        <f t="shared" ref="E380" si="455">C380&amp;"_"&amp;D380</f>
        <v>3_24_3</v>
      </c>
      <c r="F380" s="4" t="str">
        <f ca="1">VLOOKUP($D380,OFFSET([1]stages!$A$1,0,0,COUNTA([1]stages!$A:$A),MATCH(F$1,[1]stages!$2:$2,0)-MATCH($D$1,[1]stages!$2:$2,0)+1),MATCH(F$1,[1]stages!$2:$2,0)-MATCH($D$1,[1]stages!$2:$2,0)+1,FALSE)</f>
        <v>24-3．武器を花に変えて</v>
      </c>
      <c r="G380" s="57">
        <v>1</v>
      </c>
      <c r="H380" s="17" t="str">
        <f t="shared" ref="H380" si="456">B380&amp;"_"&amp;C380&amp;"-"&amp;G380</f>
        <v>24_3-1</v>
      </c>
      <c r="I380" s="17"/>
      <c r="J380" s="17"/>
      <c r="K380" s="65" t="s">
        <v>56</v>
      </c>
      <c r="L380" s="52">
        <v>354</v>
      </c>
      <c r="M380" s="21" t="str">
        <f ca="1">VLOOKUP($L380,OFFSET([2]enemies!$A$1,0,0,COUNTA([2]enemies!$A:$A),MATCH(M$1,[2]enemies!$1:$1,0)-MATCH($L$1,[2]enemies!$1:$1,0)+1),MATCH(M$1,[2]enemies!$1:$1,0)-MATCH($L$1,[2]enemies!$1:$1,0)+1,FALSE)</f>
        <v>雷のケロケロ</v>
      </c>
      <c r="N380" s="21" t="str">
        <f ca="1">VLOOKUP($L380,OFFSET([2]enemies!$A$1,0,0,COUNTA([2]enemies!$A:$A),MATCH(N$1,[2]enemies!$1:$1,0)-MATCH($L$1,[2]enemies!$1:$1,0)+1),MATCH(N$1,[2]enemies!$1:$1,0)-MATCH($L$1,[2]enemies!$1:$1,0)+1,FALSE)</f>
        <v>yellow</v>
      </c>
      <c r="O380" s="21" t="str">
        <f ca="1">VLOOKUP($L380,OFFSET([3]characters!$A$1,0,0,COUNTA([3]characters!$A:$A),MATCH(O$1,[3]characters!$1:$1,0)-MATCH($L$1,[3]characters!$1:$1,0)+1),MATCH(O$1,[3]characters!$1:$1,0)-MATCH($L$1,[3]characters!$1:$1,0)+1,FALSE)</f>
        <v>Material</v>
      </c>
      <c r="P380" s="21" t="str">
        <f ca="1">VLOOKUP($L380,OFFSET([2]enemies!$A$1,0,0,COUNTA([2]enemies!$A:$A),MATCH(P$1,[2]enemies!$1:$1,0)-MATCH($L$1,[2]enemies!$1:$1,0)+1),MATCH(P$1,[2]enemies!$1:$1,0)-MATCH($L$1,[2]enemies!$1:$1,0)+1,FALSE)</f>
        <v>unknown</v>
      </c>
      <c r="Q380" s="21">
        <f ca="1">VLOOKUP($L380,OFFSET([2]enemies!$A$1,0,0,COUNTA([2]enemies!$A:$A),MATCH(Q$1,[2]enemies!$1:$1,0)-MATCH($L$1,[2]enemies!$1:$1,0)+1),MATCH(Q$1,[2]enemies!$1:$1,0)-MATCH($L$1,[2]enemies!$1:$1,0)+1,FALSE)</f>
        <v>15</v>
      </c>
      <c r="R380" s="53">
        <v>48</v>
      </c>
      <c r="S380" s="27">
        <v>1</v>
      </c>
      <c r="T380" s="27">
        <v>1</v>
      </c>
      <c r="U380" s="5">
        <v>0</v>
      </c>
      <c r="V380" s="4" t="str">
        <f ca="1">VLOOKUP($W380,OFFSET([4]enemy_skill_sets!$B$1,0,0,COUNTA([4]enemy_skill_sets!$B:$B),MATCH(M$1,[4]enemy_skill_sets!$1:$1,0)-MATCH($W$1,[4]enemy_skill_sets!$1:$1,0)+2),MATCH(M$1,[4]enemy_skill_sets!$1:$1,0)-MATCH($W$1,[4]enemy_skill_sets!$1:$1,0)+2,FALSE)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80" s="64">
        <v>354</v>
      </c>
      <c r="X380" s="6">
        <v>1</v>
      </c>
      <c r="Y380" s="6">
        <v>100</v>
      </c>
      <c r="Z380" s="6">
        <v>0</v>
      </c>
      <c r="AA380" s="4">
        <f ca="1">VLOOKUP($L380,OFFSET([2]enemies!$A$1,0,0,COUNTA([2]enemies!$A:$A),MATCH(AA$1,[2]enemies!$1:$1,0)-MATCH($L$1,[2]enemies!$1:$1,0)+1),MATCH(AA$1,[2]enemies!$1:$1,0)-MATCH($L$1,[2]enemies!$1:$1,0)+1,FALSE)</f>
        <v>3</v>
      </c>
      <c r="AB380" s="52">
        <v>354</v>
      </c>
      <c r="AC380" s="4" t="str">
        <f ca="1">VLOOKUP($AB380,OFFSET([3]characters!$A$1,0,0,COUNTA([3]characters!$A:$A),MATCH(AC$1,[3]characters!$1:$1,0)-MATCH("character_id",[3]characters!$1:$1,0)+1),MATCH(AC$1,[3]characters!$1:$1,0)-MATCH("character_id",[3]characters!$1:$1,0)+1,FALSE)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80" s="4">
        <f ca="1">VLOOKUP($AB380,OFFSET([3]characters!$A$1,0,0,COUNTA([3]characters!$A:$A),MATCH(AD$1,[3]characters!$1:$1,0)-MATCH("character_id",[3]characters!$1:$1,0)+1),MATCH(AD$1,[3]characters!$1:$1,0)-MATCH("character_id",[3]characters!$1:$1,0)+1,FALSE)</f>
        <v>2</v>
      </c>
      <c r="AE380" s="4" t="str">
        <f ca="1">VLOOKUP($AB380,OFFSET([3]characters!$A$1,0,0,COUNTA([3]characters!$A:$A),MATCH(AE$1,[3]characters!$1:$1,0)-MATCH("character_id",[3]characters!$1:$1,0)+1),MATCH(AE$1,[3]characters!$1:$1,0)-MATCH("character_id",[3]characters!$1:$1,0)+1,FALSE)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80" s="7">
        <v>10</v>
      </c>
      <c r="AG380" s="26">
        <f t="shared" ca="1" si="386"/>
        <v>2</v>
      </c>
      <c r="AH380" s="8">
        <v>100</v>
      </c>
      <c r="AI380" s="7">
        <v>0</v>
      </c>
      <c r="AJ380" s="7">
        <v>0</v>
      </c>
      <c r="AK380" s="7">
        <v>0</v>
      </c>
      <c r="AL380" s="7">
        <v>0</v>
      </c>
      <c r="AM380" s="7">
        <v>1</v>
      </c>
    </row>
    <row r="381" spans="1:39" ht="14" x14ac:dyDescent="0.15">
      <c r="A381" s="18" t="str">
        <f t="shared" ca="1" si="419"/>
        <v>24_3-2/11&lt;lv50&gt;s3</v>
      </c>
      <c r="B381" s="50">
        <v>24</v>
      </c>
      <c r="C381" s="49">
        <v>3</v>
      </c>
      <c r="D381" s="2" t="str">
        <f t="shared" si="420"/>
        <v>24_3</v>
      </c>
      <c r="E381" s="2" t="str">
        <f t="shared" si="420"/>
        <v>3_24_3</v>
      </c>
      <c r="F381" s="4" t="str">
        <f ca="1">VLOOKUP($D381,OFFSET([1]stages!$A$1,0,0,COUNTA([1]stages!$A:$A),MATCH(F$1,[1]stages!$2:$2,0)-MATCH($D$1,[1]stages!$2:$2,0)+1),MATCH(F$1,[1]stages!$2:$2,0)-MATCH($D$1,[1]stages!$2:$2,0)+1,FALSE)</f>
        <v>24-3．武器を花に変えて</v>
      </c>
      <c r="G381" s="54">
        <v>2</v>
      </c>
      <c r="H381" s="17" t="str">
        <f t="shared" si="421"/>
        <v>24_3-2</v>
      </c>
      <c r="I381" s="17"/>
      <c r="J381" s="17"/>
      <c r="K381" s="65" t="s">
        <v>56</v>
      </c>
      <c r="L381" s="52">
        <v>11</v>
      </c>
      <c r="M381" s="21" t="str">
        <f ca="1">VLOOKUP($L381,OFFSET([2]enemies!$A$1,0,0,COUNTA([2]enemies!$A:$A),MATCH(M$1,[2]enemies!$1:$1,0)-MATCH($L$1,[2]enemies!$1:$1,0)+1),MATCH(M$1,[2]enemies!$1:$1,0)-MATCH($L$1,[2]enemies!$1:$1,0)+1,FALSE)</f>
        <v>マグリット</v>
      </c>
      <c r="N381" s="21" t="str">
        <f ca="1">VLOOKUP($L381,OFFSET([2]enemies!$A$1,0,0,COUNTA([2]enemies!$A:$A),MATCH(N$1,[2]enemies!$1:$1,0)-MATCH($L$1,[2]enemies!$1:$1,0)+1),MATCH(N$1,[2]enemies!$1:$1,0)-MATCH($L$1,[2]enemies!$1:$1,0)+1,FALSE)</f>
        <v>green</v>
      </c>
      <c r="O381" s="21" t="str">
        <f ca="1">VLOOKUP($L381,OFFSET([3]characters!$A$1,0,0,COUNTA([3]characters!$A:$A),MATCH(O$1,[3]characters!$1:$1,0)-MATCH($L$1,[3]characters!$1:$1,0)+1),MATCH(O$1,[3]characters!$1:$1,0)-MATCH($L$1,[3]characters!$1:$1,0)+1,FALSE)</f>
        <v>Drop1W</v>
      </c>
      <c r="P381" s="21" t="str">
        <f ca="1">VLOOKUP($L381,OFFSET([2]enemies!$A$1,0,0,COUNTA([2]enemies!$A:$A),MATCH(P$1,[2]enemies!$1:$1,0)-MATCH($L$1,[2]enemies!$1:$1,0)+1),MATCH(P$1,[2]enemies!$1:$1,0)-MATCH($L$1,[2]enemies!$1:$1,0)+1,FALSE)</f>
        <v>animal</v>
      </c>
      <c r="Q381" s="21">
        <f ca="1">VLOOKUP($L381,OFFSET([2]enemies!$A$1,0,0,COUNTA([2]enemies!$A:$A),MATCH(Q$1,[2]enemies!$1:$1,0)-MATCH($L$1,[2]enemies!$1:$1,0)+1),MATCH(Q$1,[2]enemies!$1:$1,0)-MATCH($L$1,[2]enemies!$1:$1,0)+1,FALSE)</f>
        <v>15</v>
      </c>
      <c r="R381" s="53">
        <v>50</v>
      </c>
      <c r="S381" s="27">
        <v>1</v>
      </c>
      <c r="T381" s="27">
        <v>1</v>
      </c>
      <c r="U381" s="5">
        <v>0</v>
      </c>
      <c r="V381" s="4" t="str">
        <f ca="1">VLOOKUP($W381,OFFSET([4]enemy_skill_sets!$B$1,0,0,COUNTA([4]enemy_skill_sets!$B:$B),MATCH(M$1,[4]enemy_skill_sets!$1:$1,0)-MATCH($W$1,[4]enemy_skill_sets!$1:$1,0)+2),MATCH(M$1,[4]enemy_skill_sets!$1:$1,0)-MATCH($W$1,[4]enemy_skill_sets!$1:$1,0)+2,FALSE)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81" s="4">
        <f ca="1">VLOOKUP($L381,OFFSET([2]enemies!$A$1,0,0,COUNTA([2]enemies!$A:$A),MATCH(W$1,[2]enemies!$1:$1,0)-MATCH($L$1,[2]enemies!$1:$1,0)+1),MATCH(W$1,[2]enemies!$1:$1,0)-MATCH($L$1,[2]enemies!$1:$1,0)+1,FALSE)</f>
        <v>0</v>
      </c>
      <c r="X381" s="6">
        <v>0</v>
      </c>
      <c r="Y381" s="6">
        <v>100</v>
      </c>
      <c r="Z381" s="6">
        <v>0</v>
      </c>
      <c r="AA381" s="4">
        <f ca="1">VLOOKUP($L381,OFFSET([2]enemies!$A$1,0,0,COUNTA([2]enemies!$A:$A),MATCH(AA$1,[2]enemies!$1:$1,0)-MATCH($L$1,[2]enemies!$1:$1,0)+1),MATCH(AA$1,[2]enemies!$1:$1,0)-MATCH($L$1,[2]enemies!$1:$1,0)+1,FALSE)</f>
        <v>3</v>
      </c>
      <c r="AB381" s="52">
        <v>11</v>
      </c>
      <c r="AC381" s="4" t="str">
        <f ca="1">VLOOKUP($AB381,OFFSET([3]characters!$A$1,0,0,COUNTA([3]characters!$A:$A),MATCH(AC$1,[3]characters!$1:$1,0)-MATCH("character_id",[3]characters!$1:$1,0)+1),MATCH(AC$1,[3]characters!$1:$1,0)-MATCH("character_id",[3]characters!$1:$1,0)+1,FALSE)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381" s="4">
        <f ca="1">VLOOKUP($AB381,OFFSET([3]characters!$A$1,0,0,COUNTA([3]characters!$A:$A),MATCH(AD$1,[3]characters!$1:$1,0)-MATCH("character_id",[3]characters!$1:$1,0)+1),MATCH(AD$1,[3]characters!$1:$1,0)-MATCH("character_id",[3]characters!$1:$1,0)+1,FALSE)</f>
        <v>1</v>
      </c>
      <c r="AE381" s="4" t="str">
        <f ca="1">VLOOKUP($AB381,OFFSET([3]characters!$A$1,0,0,COUNTA([3]characters!$A:$A),MATCH(AE$1,[3]characters!$1:$1,0)-MATCH("character_id",[3]characters!$1:$1,0)+1),MATCH(AE$1,[3]characters!$1:$1,0)-MATCH("character_id",[3]characters!$1:$1,0)+1,FALSE)</f>
        <v>Drop1W</v>
      </c>
      <c r="AF381" s="7">
        <v>9</v>
      </c>
      <c r="AG381" s="26">
        <f t="shared" ca="1" si="386"/>
        <v>1</v>
      </c>
      <c r="AH381" s="8">
        <v>20</v>
      </c>
      <c r="AI381" s="7">
        <v>0</v>
      </c>
      <c r="AJ381" s="7">
        <v>0</v>
      </c>
      <c r="AK381" s="7">
        <v>0</v>
      </c>
      <c r="AL381" s="7">
        <v>0</v>
      </c>
      <c r="AM381" s="7">
        <v>1</v>
      </c>
    </row>
    <row r="382" spans="1:39" ht="14" x14ac:dyDescent="0.15">
      <c r="A382" s="18" t="str">
        <f t="shared" ca="1" si="419"/>
        <v>24_3-2/23&lt;lv50&gt;s4</v>
      </c>
      <c r="B382" s="50">
        <v>24</v>
      </c>
      <c r="C382" s="49">
        <v>3</v>
      </c>
      <c r="D382" s="2" t="str">
        <f t="shared" si="420"/>
        <v>24_3</v>
      </c>
      <c r="E382" s="2" t="str">
        <f t="shared" si="420"/>
        <v>3_24_3</v>
      </c>
      <c r="F382" s="4" t="str">
        <f ca="1">VLOOKUP($D382,OFFSET([1]stages!$A$1,0,0,COUNTA([1]stages!$A:$A),MATCH(F$1,[1]stages!$2:$2,0)-MATCH($D$1,[1]stages!$2:$2,0)+1),MATCH(F$1,[1]stages!$2:$2,0)-MATCH($D$1,[1]stages!$2:$2,0)+1,FALSE)</f>
        <v>24-3．武器を花に変えて</v>
      </c>
      <c r="G382" s="54">
        <v>2</v>
      </c>
      <c r="H382" s="17" t="str">
        <f t="shared" si="421"/>
        <v>24_3-2</v>
      </c>
      <c r="I382" s="17"/>
      <c r="J382" s="17"/>
      <c r="K382" s="65" t="s">
        <v>56</v>
      </c>
      <c r="L382" s="52">
        <v>23</v>
      </c>
      <c r="M382" s="21" t="str">
        <f ca="1">VLOOKUP($L382,OFFSET([2]enemies!$A$1,0,0,COUNTA([2]enemies!$A:$A),MATCH(M$1,[2]enemies!$1:$1,0)-MATCH($L$1,[2]enemies!$1:$1,0)+1),MATCH(M$1,[2]enemies!$1:$1,0)-MATCH($L$1,[2]enemies!$1:$1,0)+1,FALSE)</f>
        <v>ミール</v>
      </c>
      <c r="N382" s="21" t="str">
        <f ca="1">VLOOKUP($L382,OFFSET([2]enemies!$A$1,0,0,COUNTA([2]enemies!$A:$A),MATCH(N$1,[2]enemies!$1:$1,0)-MATCH($L$1,[2]enemies!$1:$1,0)+1),MATCH(N$1,[2]enemies!$1:$1,0)-MATCH($L$1,[2]enemies!$1:$1,0)+1,FALSE)</f>
        <v>green</v>
      </c>
      <c r="O382" s="21" t="str">
        <f ca="1">VLOOKUP($L382,OFFSET([3]characters!$A$1,0,0,COUNTA([3]characters!$A:$A),MATCH(O$1,[3]characters!$1:$1,0)-MATCH($L$1,[3]characters!$1:$1,0)+1),MATCH(O$1,[3]characters!$1:$1,0)-MATCH($L$1,[3]characters!$1:$1,0)+1,FALSE)</f>
        <v>Drop1N</v>
      </c>
      <c r="P382" s="21" t="str">
        <f ca="1">VLOOKUP($L382,OFFSET([2]enemies!$A$1,0,0,COUNTA([2]enemies!$A:$A),MATCH(P$1,[2]enemies!$1:$1,0)-MATCH($L$1,[2]enemies!$1:$1,0)+1),MATCH(P$1,[2]enemies!$1:$1,0)-MATCH($L$1,[2]enemies!$1:$1,0)+1,FALSE)</f>
        <v>animal</v>
      </c>
      <c r="Q382" s="21">
        <f ca="1">VLOOKUP($L382,OFFSET([2]enemies!$A$1,0,0,COUNTA([2]enemies!$A:$A),MATCH(Q$1,[2]enemies!$1:$1,0)-MATCH($L$1,[2]enemies!$1:$1,0)+1),MATCH(Q$1,[2]enemies!$1:$1,0)-MATCH($L$1,[2]enemies!$1:$1,0)+1,FALSE)</f>
        <v>15</v>
      </c>
      <c r="R382" s="53">
        <v>50</v>
      </c>
      <c r="S382" s="27">
        <v>1</v>
      </c>
      <c r="T382" s="27">
        <v>1</v>
      </c>
      <c r="U382" s="5">
        <v>0</v>
      </c>
      <c r="V382" s="4" t="str">
        <f ca="1">VLOOKUP($W382,OFFSET([4]enemy_skill_sets!$B$1,0,0,COUNTA([4]enemy_skill_sets!$B:$B),MATCH(M$1,[4]enemy_skill_sets!$1:$1,0)-MATCH($W$1,[4]enemy_skill_sets!$1:$1,0)+2),MATCH(M$1,[4]enemy_skill_sets!$1:$1,0)-MATCH($W$1,[4]enemy_skill_sets!$1:$1,0)+2,FALSE)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82" s="4">
        <f ca="1">VLOOKUP($L382,OFFSET([2]enemies!$A$1,0,0,COUNTA([2]enemies!$A:$A),MATCH(W$1,[2]enemies!$1:$1,0)-MATCH($L$1,[2]enemies!$1:$1,0)+1),MATCH(W$1,[2]enemies!$1:$1,0)-MATCH($L$1,[2]enemies!$1:$1,0)+1,FALSE)</f>
        <v>0</v>
      </c>
      <c r="X382" s="6">
        <v>0</v>
      </c>
      <c r="Y382" s="6">
        <v>100</v>
      </c>
      <c r="Z382" s="6">
        <v>0</v>
      </c>
      <c r="AA382" s="4">
        <f ca="1">VLOOKUP($L382,OFFSET([2]enemies!$A$1,0,0,COUNTA([2]enemies!$A:$A),MATCH(AA$1,[2]enemies!$1:$1,0)-MATCH($L$1,[2]enemies!$1:$1,0)+1),MATCH(AA$1,[2]enemies!$1:$1,0)-MATCH($L$1,[2]enemies!$1:$1,0)+1,FALSE)</f>
        <v>4</v>
      </c>
      <c r="AB382" s="52">
        <v>23</v>
      </c>
      <c r="AC382" s="4" t="str">
        <f ca="1">VLOOKUP($AB382,OFFSET([3]characters!$A$1,0,0,COUNTA([3]characters!$A:$A),MATCH(AC$1,[3]characters!$1:$1,0)-MATCH("character_id",[3]characters!$1:$1,0)+1),MATCH(AC$1,[3]characters!$1:$1,0)-MATCH("character_id",[3]characters!$1:$1,0)+1,FALSE)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382" s="4">
        <f ca="1">VLOOKUP($AB382,OFFSET([3]characters!$A$1,0,0,COUNTA([3]characters!$A:$A),MATCH(AD$1,[3]characters!$1:$1,0)-MATCH("character_id",[3]characters!$1:$1,0)+1),MATCH(AD$1,[3]characters!$1:$1,0)-MATCH("character_id",[3]characters!$1:$1,0)+1,FALSE)</f>
        <v>1</v>
      </c>
      <c r="AE382" s="4" t="str">
        <f ca="1">VLOOKUP($AB382,OFFSET([3]characters!$A$1,0,0,COUNTA([3]characters!$A:$A),MATCH(AE$1,[3]characters!$1:$1,0)-MATCH("character_id",[3]characters!$1:$1,0)+1),MATCH(AE$1,[3]characters!$1:$1,0)-MATCH("character_id",[3]characters!$1:$1,0)+1,FALSE)</f>
        <v>Drop1N</v>
      </c>
      <c r="AF382" s="7">
        <v>7</v>
      </c>
      <c r="AG382" s="26">
        <f t="shared" ca="1" si="386"/>
        <v>1</v>
      </c>
      <c r="AH382" s="8">
        <v>20</v>
      </c>
      <c r="AI382" s="7">
        <v>0</v>
      </c>
      <c r="AJ382" s="7">
        <v>0</v>
      </c>
      <c r="AK382" s="7">
        <v>0</v>
      </c>
      <c r="AL382" s="7">
        <v>0</v>
      </c>
      <c r="AM382" s="7">
        <v>1</v>
      </c>
    </row>
    <row r="383" spans="1:39" ht="14" x14ac:dyDescent="0.15">
      <c r="A383" s="18" t="str">
        <f t="shared" ca="1" si="419"/>
        <v>24_3-2/59&lt;lv50&gt;s2</v>
      </c>
      <c r="B383" s="50">
        <v>24</v>
      </c>
      <c r="C383" s="49">
        <v>3</v>
      </c>
      <c r="D383" s="2" t="str">
        <f t="shared" si="420"/>
        <v>24_3</v>
      </c>
      <c r="E383" s="2" t="str">
        <f t="shared" si="420"/>
        <v>3_24_3</v>
      </c>
      <c r="F383" s="4" t="str">
        <f ca="1">VLOOKUP($D383,OFFSET([1]stages!$A$1,0,0,COUNTA([1]stages!$A:$A),MATCH(F$1,[1]stages!$2:$2,0)-MATCH($D$1,[1]stages!$2:$2,0)+1),MATCH(F$1,[1]stages!$2:$2,0)-MATCH($D$1,[1]stages!$2:$2,0)+1,FALSE)</f>
        <v>24-3．武器を花に変えて</v>
      </c>
      <c r="G383" s="54">
        <v>2</v>
      </c>
      <c r="H383" s="17" t="str">
        <f t="shared" si="421"/>
        <v>24_3-2</v>
      </c>
      <c r="I383" s="17"/>
      <c r="J383" s="17"/>
      <c r="K383" s="65" t="s">
        <v>56</v>
      </c>
      <c r="L383" s="52">
        <v>59</v>
      </c>
      <c r="M383" s="21" t="str">
        <f ca="1">VLOOKUP($L383,OFFSET([2]enemies!$A$1,0,0,COUNTA([2]enemies!$A:$A),MATCH(M$1,[2]enemies!$1:$1,0)-MATCH($L$1,[2]enemies!$1:$1,0)+1),MATCH(M$1,[2]enemies!$1:$1,0)-MATCH($L$1,[2]enemies!$1:$1,0)+1,FALSE)</f>
        <v>マーチ</v>
      </c>
      <c r="N383" s="21" t="str">
        <f ca="1">VLOOKUP($L383,OFFSET([2]enemies!$A$1,0,0,COUNTA([2]enemies!$A:$A),MATCH(N$1,[2]enemies!$1:$1,0)-MATCH($L$1,[2]enemies!$1:$1,0)+1),MATCH(N$1,[2]enemies!$1:$1,0)-MATCH($L$1,[2]enemies!$1:$1,0)+1,FALSE)</f>
        <v>green</v>
      </c>
      <c r="O383" s="21" t="str">
        <f ca="1">VLOOKUP($L383,OFFSET([3]characters!$A$1,0,0,COUNTA([3]characters!$A:$A),MATCH(O$1,[3]characters!$1:$1,0)-MATCH($L$1,[3]characters!$1:$1,0)+1),MATCH(O$1,[3]characters!$1:$1,0)-MATCH($L$1,[3]characters!$1:$1,0)+1,FALSE)</f>
        <v>Drop1N</v>
      </c>
      <c r="P383" s="21" t="str">
        <f ca="1">VLOOKUP($L383,OFFSET([2]enemies!$A$1,0,0,COUNTA([2]enemies!$A:$A),MATCH(P$1,[2]enemies!$1:$1,0)-MATCH($L$1,[2]enemies!$1:$1,0)+1),MATCH(P$1,[2]enemies!$1:$1,0)-MATCH($L$1,[2]enemies!$1:$1,0)+1,FALSE)</f>
        <v>animal</v>
      </c>
      <c r="Q383" s="21">
        <f ca="1">VLOOKUP($L383,OFFSET([2]enemies!$A$1,0,0,COUNTA([2]enemies!$A:$A),MATCH(Q$1,[2]enemies!$1:$1,0)-MATCH($L$1,[2]enemies!$1:$1,0)+1),MATCH(Q$1,[2]enemies!$1:$1,0)-MATCH($L$1,[2]enemies!$1:$1,0)+1,FALSE)</f>
        <v>15</v>
      </c>
      <c r="R383" s="53">
        <v>50</v>
      </c>
      <c r="S383" s="27">
        <v>1</v>
      </c>
      <c r="T383" s="27">
        <v>1</v>
      </c>
      <c r="U383" s="5">
        <v>0</v>
      </c>
      <c r="V383" s="4" t="str">
        <f ca="1">VLOOKUP($W383,OFFSET([4]enemy_skill_sets!$B$1,0,0,COUNTA([4]enemy_skill_sets!$B:$B),MATCH(M$1,[4]enemy_skill_sets!$1:$1,0)-MATCH($W$1,[4]enemy_skill_sets!$1:$1,0)+2),MATCH(M$1,[4]enemy_skill_sets!$1:$1,0)-MATCH($W$1,[4]enemy_skill_sets!$1:$1,0)+2,FALSE)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383" s="4">
        <f ca="1">VLOOKUP($L383,OFFSET([2]enemies!$A$1,0,0,COUNTA([2]enemies!$A:$A),MATCH(W$1,[2]enemies!$1:$1,0)-MATCH($L$1,[2]enemies!$1:$1,0)+1),MATCH(W$1,[2]enemies!$1:$1,0)-MATCH($L$1,[2]enemies!$1:$1,0)+1,FALSE)</f>
        <v>59</v>
      </c>
      <c r="X383" s="6">
        <v>0</v>
      </c>
      <c r="Y383" s="6">
        <v>100</v>
      </c>
      <c r="Z383" s="6">
        <v>0</v>
      </c>
      <c r="AA383" s="4">
        <f ca="1">VLOOKUP($L383,OFFSET([2]enemies!$A$1,0,0,COUNTA([2]enemies!$A:$A),MATCH(AA$1,[2]enemies!$1:$1,0)-MATCH($L$1,[2]enemies!$1:$1,0)+1),MATCH(AA$1,[2]enemies!$1:$1,0)-MATCH($L$1,[2]enemies!$1:$1,0)+1,FALSE)</f>
        <v>2</v>
      </c>
      <c r="AB383" s="52">
        <v>59</v>
      </c>
      <c r="AC383" s="4" t="str">
        <f ca="1">VLOOKUP($AB383,OFFSET([3]characters!$A$1,0,0,COUNTA([3]characters!$A:$A),MATCH(AC$1,[3]characters!$1:$1,0)-MATCH("character_id",[3]characters!$1:$1,0)+1),MATCH(AC$1,[3]characters!$1:$1,0)-MATCH("character_id",[3]characters!$1:$1,0)+1,FALSE)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383" s="4">
        <f ca="1">VLOOKUP($AB383,OFFSET([3]characters!$A$1,0,0,COUNTA([3]characters!$A:$A),MATCH(AD$1,[3]characters!$1:$1,0)-MATCH("character_id",[3]characters!$1:$1,0)+1),MATCH(AD$1,[3]characters!$1:$1,0)-MATCH("character_id",[3]characters!$1:$1,0)+1,FALSE)</f>
        <v>2</v>
      </c>
      <c r="AE383" s="4" t="str">
        <f ca="1">VLOOKUP($AB383,OFFSET([3]characters!$A$1,0,0,COUNTA([3]characters!$A:$A),MATCH(AE$1,[3]characters!$1:$1,0)-MATCH("character_id",[3]characters!$1:$1,0)+1),MATCH(AE$1,[3]characters!$1:$1,0)-MATCH("character_id",[3]characters!$1:$1,0)+1,FALSE)</f>
        <v>Drop1N</v>
      </c>
      <c r="AF383" s="7">
        <v>7</v>
      </c>
      <c r="AG383" s="26">
        <f t="shared" ca="1" si="386"/>
        <v>2</v>
      </c>
      <c r="AH383" s="8">
        <v>20</v>
      </c>
      <c r="AI383" s="7">
        <v>0</v>
      </c>
      <c r="AJ383" s="7">
        <v>0</v>
      </c>
      <c r="AK383" s="7">
        <v>0</v>
      </c>
      <c r="AL383" s="7">
        <v>0</v>
      </c>
      <c r="AM383" s="7">
        <v>1</v>
      </c>
    </row>
    <row r="384" spans="1:39" ht="14" x14ac:dyDescent="0.15">
      <c r="A384" s="18" t="str">
        <f t="shared" ca="1" si="419"/>
        <v>24_3-2/27&lt;lv50&gt;s1</v>
      </c>
      <c r="B384" s="50">
        <v>24</v>
      </c>
      <c r="C384" s="49">
        <v>3</v>
      </c>
      <c r="D384" s="2" t="str">
        <f t="shared" si="420"/>
        <v>24_3</v>
      </c>
      <c r="E384" s="2" t="str">
        <f t="shared" si="420"/>
        <v>3_24_3</v>
      </c>
      <c r="F384" s="4" t="str">
        <f ca="1">VLOOKUP($D384,OFFSET([1]stages!$A$1,0,0,COUNTA([1]stages!$A:$A),MATCH(F$1,[1]stages!$2:$2,0)-MATCH($D$1,[1]stages!$2:$2,0)+1),MATCH(F$1,[1]stages!$2:$2,0)-MATCH($D$1,[1]stages!$2:$2,0)+1,FALSE)</f>
        <v>24-3．武器を花に変えて</v>
      </c>
      <c r="G384" s="54">
        <v>2</v>
      </c>
      <c r="H384" s="17" t="str">
        <f t="shared" si="421"/>
        <v>24_3-2</v>
      </c>
      <c r="I384" s="17"/>
      <c r="J384" s="17"/>
      <c r="K384" s="65" t="s">
        <v>56</v>
      </c>
      <c r="L384" s="52">
        <v>27</v>
      </c>
      <c r="M384" s="21" t="str">
        <f ca="1">VLOOKUP($L384,OFFSET([2]enemies!$A$1,0,0,COUNTA([2]enemies!$A:$A),MATCH(M$1,[2]enemies!$1:$1,0)-MATCH($L$1,[2]enemies!$1:$1,0)+1),MATCH(M$1,[2]enemies!$1:$1,0)-MATCH($L$1,[2]enemies!$1:$1,0)+1,FALSE)</f>
        <v>パトライン</v>
      </c>
      <c r="N384" s="21" t="str">
        <f ca="1">VLOOKUP($L384,OFFSET([2]enemies!$A$1,0,0,COUNTA([2]enemies!$A:$A),MATCH(N$1,[2]enemies!$1:$1,0)-MATCH($L$1,[2]enemies!$1:$1,0)+1),MATCH(N$1,[2]enemies!$1:$1,0)-MATCH($L$1,[2]enemies!$1:$1,0)+1,FALSE)</f>
        <v>green</v>
      </c>
      <c r="O384" s="21" t="str">
        <f ca="1">VLOOKUP($L384,OFFSET([3]characters!$A$1,0,0,COUNTA([3]characters!$A:$A),MATCH(O$1,[3]characters!$1:$1,0)-MATCH($L$1,[3]characters!$1:$1,0)+1),MATCH(O$1,[3]characters!$1:$1,0)-MATCH($L$1,[3]characters!$1:$1,0)+1,FALSE)</f>
        <v>Drop1N</v>
      </c>
      <c r="P384" s="21" t="str">
        <f ca="1">VLOOKUP($L384,OFFSET([2]enemies!$A$1,0,0,COUNTA([2]enemies!$A:$A),MATCH(P$1,[2]enemies!$1:$1,0)-MATCH($L$1,[2]enemies!$1:$1,0)+1),MATCH(P$1,[2]enemies!$1:$1,0)-MATCH($L$1,[2]enemies!$1:$1,0)+1,FALSE)</f>
        <v>machine</v>
      </c>
      <c r="Q384" s="21">
        <f ca="1">VLOOKUP($L384,OFFSET([2]enemies!$A$1,0,0,COUNTA([2]enemies!$A:$A),MATCH(Q$1,[2]enemies!$1:$1,0)-MATCH($L$1,[2]enemies!$1:$1,0)+1),MATCH(Q$1,[2]enemies!$1:$1,0)-MATCH($L$1,[2]enemies!$1:$1,0)+1,FALSE)</f>
        <v>15</v>
      </c>
      <c r="R384" s="53">
        <v>50</v>
      </c>
      <c r="S384" s="27">
        <v>1</v>
      </c>
      <c r="T384" s="27">
        <v>1</v>
      </c>
      <c r="U384" s="5">
        <v>0</v>
      </c>
      <c r="V384" s="4" t="str">
        <f ca="1">VLOOKUP($W384,OFFSET([4]enemy_skill_sets!$B$1,0,0,COUNTA([4]enemy_skill_sets!$B:$B),MATCH(M$1,[4]enemy_skill_sets!$1:$1,0)-MATCH($W$1,[4]enemy_skill_sets!$1:$1,0)+2),MATCH(M$1,[4]enemy_skill_sets!$1:$1,0)-MATCH($W$1,[4]enemy_skill_sets!$1:$1,0)+2,FALSE)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84" s="4">
        <f ca="1">VLOOKUP($L384,OFFSET([2]enemies!$A$1,0,0,COUNTA([2]enemies!$A:$A),MATCH(W$1,[2]enemies!$1:$1,0)-MATCH($L$1,[2]enemies!$1:$1,0)+1),MATCH(W$1,[2]enemies!$1:$1,0)-MATCH($L$1,[2]enemies!$1:$1,0)+1,FALSE)</f>
        <v>0</v>
      </c>
      <c r="X384" s="6">
        <v>0</v>
      </c>
      <c r="Y384" s="6">
        <v>100</v>
      </c>
      <c r="Z384" s="6">
        <v>0</v>
      </c>
      <c r="AA384" s="4">
        <f ca="1">VLOOKUP($L384,OFFSET([2]enemies!$A$1,0,0,COUNTA([2]enemies!$A:$A),MATCH(AA$1,[2]enemies!$1:$1,0)-MATCH($L$1,[2]enemies!$1:$1,0)+1),MATCH(AA$1,[2]enemies!$1:$1,0)-MATCH($L$1,[2]enemies!$1:$1,0)+1,FALSE)</f>
        <v>1</v>
      </c>
      <c r="AB384" s="52">
        <v>27</v>
      </c>
      <c r="AC384" s="4" t="str">
        <f ca="1">VLOOKUP($AB384,OFFSET([3]characters!$A$1,0,0,COUNTA([3]characters!$A:$A),MATCH(AC$1,[3]characters!$1:$1,0)-MATCH("character_id",[3]characters!$1:$1,0)+1),MATCH(AC$1,[3]characters!$1:$1,0)-MATCH("character_id",[3]characters!$1:$1,0)+1,FALSE)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384" s="4">
        <f ca="1">VLOOKUP($AB384,OFFSET([3]characters!$A$1,0,0,COUNTA([3]characters!$A:$A),MATCH(AD$1,[3]characters!$1:$1,0)-MATCH("character_id",[3]characters!$1:$1,0)+1),MATCH(AD$1,[3]characters!$1:$1,0)-MATCH("character_id",[3]characters!$1:$1,0)+1,FALSE)</f>
        <v>1</v>
      </c>
      <c r="AE384" s="4" t="str">
        <f ca="1">VLOOKUP($AB384,OFFSET([3]characters!$A$1,0,0,COUNTA([3]characters!$A:$A),MATCH(AE$1,[3]characters!$1:$1,0)-MATCH("character_id",[3]characters!$1:$1,0)+1),MATCH(AE$1,[3]characters!$1:$1,0)-MATCH("character_id",[3]characters!$1:$1,0)+1,FALSE)</f>
        <v>Drop1N</v>
      </c>
      <c r="AF384" s="7">
        <v>7</v>
      </c>
      <c r="AG384" s="26">
        <f t="shared" ca="1" si="386"/>
        <v>1</v>
      </c>
      <c r="AH384" s="8">
        <v>20</v>
      </c>
      <c r="AI384" s="7">
        <v>0</v>
      </c>
      <c r="AJ384" s="7">
        <v>0</v>
      </c>
      <c r="AK384" s="7">
        <v>0</v>
      </c>
      <c r="AL384" s="7">
        <v>0</v>
      </c>
      <c r="AM384" s="7">
        <v>1</v>
      </c>
    </row>
    <row r="385" spans="1:39" ht="14" x14ac:dyDescent="0.15">
      <c r="A385" s="18" t="str">
        <f t="shared" ca="1" si="419"/>
        <v>24_3-2/35&lt;lv50&gt;s4</v>
      </c>
      <c r="B385" s="50">
        <v>24</v>
      </c>
      <c r="C385" s="49">
        <v>3</v>
      </c>
      <c r="D385" s="2" t="str">
        <f t="shared" si="420"/>
        <v>24_3</v>
      </c>
      <c r="E385" s="2" t="str">
        <f t="shared" si="420"/>
        <v>3_24_3</v>
      </c>
      <c r="F385" s="4" t="str">
        <f ca="1">VLOOKUP($D385,OFFSET([1]stages!$A$1,0,0,COUNTA([1]stages!$A:$A),MATCH(F$1,[1]stages!$2:$2,0)-MATCH($D$1,[1]stages!$2:$2,0)+1),MATCH(F$1,[1]stages!$2:$2,0)-MATCH($D$1,[1]stages!$2:$2,0)+1,FALSE)</f>
        <v>24-3．武器を花に変えて</v>
      </c>
      <c r="G385" s="54">
        <v>2</v>
      </c>
      <c r="H385" s="17" t="str">
        <f t="shared" si="421"/>
        <v>24_3-2</v>
      </c>
      <c r="I385" s="17"/>
      <c r="J385" s="17"/>
      <c r="K385" s="65" t="s">
        <v>56</v>
      </c>
      <c r="L385" s="52">
        <v>35</v>
      </c>
      <c r="M385" s="21" t="str">
        <f ca="1">VLOOKUP($L385,OFFSET([2]enemies!$A$1,0,0,COUNTA([2]enemies!$A:$A),MATCH(M$1,[2]enemies!$1:$1,0)-MATCH($L$1,[2]enemies!$1:$1,0)+1),MATCH(M$1,[2]enemies!$1:$1,0)-MATCH($L$1,[2]enemies!$1:$1,0)+1,FALSE)</f>
        <v>F2</v>
      </c>
      <c r="N385" s="21" t="str">
        <f ca="1">VLOOKUP($L385,OFFSET([2]enemies!$A$1,0,0,COUNTA([2]enemies!$A:$A),MATCH(N$1,[2]enemies!$1:$1,0)-MATCH($L$1,[2]enemies!$1:$1,0)+1),MATCH(N$1,[2]enemies!$1:$1,0)-MATCH($L$1,[2]enemies!$1:$1,0)+1,FALSE)</f>
        <v>green</v>
      </c>
      <c r="O385" s="21" t="str">
        <f ca="1">VLOOKUP($L385,OFFSET([3]characters!$A$1,0,0,COUNTA([3]characters!$A:$A),MATCH(O$1,[3]characters!$1:$1,0)-MATCH($L$1,[3]characters!$1:$1,0)+1),MATCH(O$1,[3]characters!$1:$1,0)-MATCH($L$1,[3]characters!$1:$1,0)+1,FALSE)</f>
        <v>Drop1S</v>
      </c>
      <c r="P385" s="21" t="str">
        <f ca="1">VLOOKUP($L385,OFFSET([2]enemies!$A$1,0,0,COUNTA([2]enemies!$A:$A),MATCH(P$1,[2]enemies!$1:$1,0)-MATCH($L$1,[2]enemies!$1:$1,0)+1),MATCH(P$1,[2]enemies!$1:$1,0)-MATCH($L$1,[2]enemies!$1:$1,0)+1,FALSE)</f>
        <v>machine</v>
      </c>
      <c r="Q385" s="21">
        <f ca="1">VLOOKUP($L385,OFFSET([2]enemies!$A$1,0,0,COUNTA([2]enemies!$A:$A),MATCH(Q$1,[2]enemies!$1:$1,0)-MATCH($L$1,[2]enemies!$1:$1,0)+1),MATCH(Q$1,[2]enemies!$1:$1,0)-MATCH($L$1,[2]enemies!$1:$1,0)+1,FALSE)</f>
        <v>15</v>
      </c>
      <c r="R385" s="53">
        <v>50</v>
      </c>
      <c r="S385" s="27">
        <v>1</v>
      </c>
      <c r="T385" s="27">
        <v>1</v>
      </c>
      <c r="U385" s="5">
        <v>0</v>
      </c>
      <c r="V385" s="4" t="str">
        <f ca="1">VLOOKUP($W385,OFFSET([4]enemy_skill_sets!$B$1,0,0,COUNTA([4]enemy_skill_sets!$B:$B),MATCH(M$1,[4]enemy_skill_sets!$1:$1,0)-MATCH($W$1,[4]enemy_skill_sets!$1:$1,0)+2),MATCH(M$1,[4]enemy_skill_sets!$1:$1,0)-MATCH($W$1,[4]enemy_skill_sets!$1:$1,0)+2,FALSE)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85" s="4">
        <f ca="1">VLOOKUP($L385,OFFSET([2]enemies!$A$1,0,0,COUNTA([2]enemies!$A:$A),MATCH(W$1,[2]enemies!$1:$1,0)-MATCH($L$1,[2]enemies!$1:$1,0)+1),MATCH(W$1,[2]enemies!$1:$1,0)-MATCH($L$1,[2]enemies!$1:$1,0)+1,FALSE)</f>
        <v>35</v>
      </c>
      <c r="X385" s="6">
        <v>0</v>
      </c>
      <c r="Y385" s="6">
        <v>100</v>
      </c>
      <c r="Z385" s="6">
        <v>0</v>
      </c>
      <c r="AA385" s="4">
        <f ca="1">VLOOKUP($L385,OFFSET([2]enemies!$A$1,0,0,COUNTA([2]enemies!$A:$A),MATCH(AA$1,[2]enemies!$1:$1,0)-MATCH($L$1,[2]enemies!$1:$1,0)+1),MATCH(AA$1,[2]enemies!$1:$1,0)-MATCH($L$1,[2]enemies!$1:$1,0)+1,FALSE)</f>
        <v>4</v>
      </c>
      <c r="AB385" s="52">
        <v>35</v>
      </c>
      <c r="AC385" s="4" t="str">
        <f ca="1">VLOOKUP($AB385,OFFSET([3]characters!$A$1,0,0,COUNTA([3]characters!$A:$A),MATCH(AC$1,[3]characters!$1:$1,0)-MATCH("character_id",[3]characters!$1:$1,0)+1),MATCH(AC$1,[3]characters!$1:$1,0)-MATCH("character_id",[3]characters!$1:$1,0)+1,FALSE)</f>
        <v>F2</v>
      </c>
      <c r="AD385" s="4">
        <f ca="1">VLOOKUP($AB385,OFFSET([3]characters!$A$1,0,0,COUNTA([3]characters!$A:$A),MATCH(AD$1,[3]characters!$1:$1,0)-MATCH("character_id",[3]characters!$1:$1,0)+1),MATCH(AD$1,[3]characters!$1:$1,0)-MATCH("character_id",[3]characters!$1:$1,0)+1,FALSE)</f>
        <v>2</v>
      </c>
      <c r="AE385" s="4" t="str">
        <f ca="1">VLOOKUP($AB385,OFFSET([3]characters!$A$1,0,0,COUNTA([3]characters!$A:$A),MATCH(AE$1,[3]characters!$1:$1,0)-MATCH("character_id",[3]characters!$1:$1,0)+1),MATCH(AE$1,[3]characters!$1:$1,0)-MATCH("character_id",[3]characters!$1:$1,0)+1,FALSE)</f>
        <v>Drop1S</v>
      </c>
      <c r="AF385" s="7">
        <v>5</v>
      </c>
      <c r="AG385" s="26">
        <f t="shared" ca="1" si="386"/>
        <v>2</v>
      </c>
      <c r="AH385" s="8">
        <v>20</v>
      </c>
      <c r="AI385" s="7">
        <v>0</v>
      </c>
      <c r="AJ385" s="7">
        <v>0</v>
      </c>
      <c r="AK385" s="7">
        <v>0</v>
      </c>
      <c r="AL385" s="7">
        <v>0</v>
      </c>
      <c r="AM385" s="7">
        <v>1</v>
      </c>
    </row>
    <row r="386" spans="1:39" ht="14" x14ac:dyDescent="0.15">
      <c r="A386" s="18" t="str">
        <f t="shared" ref="A386" ca="1" si="457">B386&amp;"_"&amp;C386&amp;"-"&amp;G386&amp;"/"&amp;L386&amp;"&lt;lv"&amp;R386&amp;"&gt;s"&amp;AA386</f>
        <v>24_3-2/362&lt;lv50&gt;s3</v>
      </c>
      <c r="B386" s="53">
        <v>24</v>
      </c>
      <c r="C386" s="51">
        <v>3</v>
      </c>
      <c r="D386" s="2" t="str">
        <f t="shared" ref="D386" si="458">B386&amp;"_"&amp;C386</f>
        <v>24_3</v>
      </c>
      <c r="E386" s="2" t="str">
        <f t="shared" ref="E386" si="459">C386&amp;"_"&amp;D386</f>
        <v>3_24_3</v>
      </c>
      <c r="F386" s="4" t="str">
        <f ca="1">VLOOKUP($D386,OFFSET([1]stages!$A$1,0,0,COUNTA([1]stages!$A:$A),MATCH(F$1,[1]stages!$2:$2,0)-MATCH($D$1,[1]stages!$2:$2,0)+1),MATCH(F$1,[1]stages!$2:$2,0)-MATCH($D$1,[1]stages!$2:$2,0)+1,FALSE)</f>
        <v>24-3．武器を花に変えて</v>
      </c>
      <c r="G386" s="54">
        <v>2</v>
      </c>
      <c r="H386" s="17" t="str">
        <f t="shared" ref="H386" si="460">B386&amp;"_"&amp;C386&amp;"-"&amp;G386</f>
        <v>24_3-2</v>
      </c>
      <c r="I386" s="17"/>
      <c r="J386" s="17"/>
      <c r="K386" s="65" t="s">
        <v>56</v>
      </c>
      <c r="L386" s="52">
        <v>362</v>
      </c>
      <c r="M386" s="21" t="str">
        <f ca="1">VLOOKUP($L386,OFFSET([2]enemies!$A$1,0,0,COUNTA([2]enemies!$A:$A),MATCH(M$1,[2]enemies!$1:$1,0)-MATCH($L$1,[2]enemies!$1:$1,0)+1),MATCH(M$1,[2]enemies!$1:$1,0)-MATCH($L$1,[2]enemies!$1:$1,0)+1,FALSE)</f>
        <v>ゆらら</v>
      </c>
      <c r="N386" s="21" t="str">
        <f ca="1">VLOOKUP($L386,OFFSET([2]enemies!$A$1,0,0,COUNTA([2]enemies!$A:$A),MATCH(N$1,[2]enemies!$1:$1,0)-MATCH($L$1,[2]enemies!$1:$1,0)+1),MATCH(N$1,[2]enemies!$1:$1,0)-MATCH($L$1,[2]enemies!$1:$1,0)+1,FALSE)</f>
        <v>green</v>
      </c>
      <c r="O386" s="21" t="str">
        <f ca="1">VLOOKUP($L386,OFFSET([3]characters!$A$1,0,0,COUNTA([3]characters!$A:$A),MATCH(O$1,[3]characters!$1:$1,0)-MATCH($L$1,[3]characters!$1:$1,0)+1),MATCH(O$1,[3]characters!$1:$1,0)-MATCH($L$1,[3]characters!$1:$1,0)+1,FALSE)</f>
        <v>Drop1S</v>
      </c>
      <c r="P386" s="21" t="str">
        <f ca="1">VLOOKUP($L386,OFFSET([2]enemies!$A$1,0,0,COUNTA([2]enemies!$A:$A),MATCH(P$1,[2]enemies!$1:$1,0)-MATCH($L$1,[2]enemies!$1:$1,0)+1),MATCH(P$1,[2]enemies!$1:$1,0)-MATCH($L$1,[2]enemies!$1:$1,0)+1,FALSE)</f>
        <v>animal</v>
      </c>
      <c r="Q386" s="21">
        <f ca="1">VLOOKUP($L386,OFFSET([2]enemies!$A$1,0,0,COUNTA([2]enemies!$A:$A),MATCH(Q$1,[2]enemies!$1:$1,0)-MATCH($L$1,[2]enemies!$1:$1,0)+1),MATCH(Q$1,[2]enemies!$1:$1,0)-MATCH($L$1,[2]enemies!$1:$1,0)+1,FALSE)</f>
        <v>15</v>
      </c>
      <c r="R386" s="53">
        <v>50</v>
      </c>
      <c r="S386" s="27">
        <v>1</v>
      </c>
      <c r="T386" s="27">
        <v>1</v>
      </c>
      <c r="U386" s="5">
        <v>0</v>
      </c>
      <c r="V386" s="4" t="str">
        <f ca="1">VLOOKUP($W386,OFFSET([4]enemy_skill_sets!$B$1,0,0,COUNTA([4]enemy_skill_sets!$B:$B),MATCH(M$1,[4]enemy_skill_sets!$1:$1,0)-MATCH($W$1,[4]enemy_skill_sets!$1:$1,0)+2),MATCH(M$1,[4]enemy_skill_sets!$1:$1,0)-MATCH($W$1,[4]enemy_skill_sets!$1:$1,0)+2,FALSE)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386" s="64">
        <v>362</v>
      </c>
      <c r="X386" s="6">
        <v>0</v>
      </c>
      <c r="Y386" s="6">
        <v>100</v>
      </c>
      <c r="Z386" s="6">
        <v>0</v>
      </c>
      <c r="AA386" s="4">
        <f ca="1">VLOOKUP($L386,OFFSET([2]enemies!$A$1,0,0,COUNTA([2]enemies!$A:$A),MATCH(AA$1,[2]enemies!$1:$1,0)-MATCH($L$1,[2]enemies!$1:$1,0)+1),MATCH(AA$1,[2]enemies!$1:$1,0)-MATCH($L$1,[2]enemies!$1:$1,0)+1,FALSE)</f>
        <v>3</v>
      </c>
      <c r="AB386" s="52">
        <v>362</v>
      </c>
      <c r="AC386" s="4" t="str">
        <f ca="1">VLOOKUP($AB386,OFFSET([3]characters!$A$1,0,0,COUNTA([3]characters!$A:$A),MATCH(AC$1,[3]characters!$1:$1,0)-MATCH("character_id",[3]characters!$1:$1,0)+1),MATCH(AC$1,[3]characters!$1:$1,0)-MATCH("character_id",[3]characters!$1:$1,0)+1,FALSE)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386" s="4">
        <f ca="1">VLOOKUP($AB386,OFFSET([3]characters!$A$1,0,0,COUNTA([3]characters!$A:$A),MATCH(AD$1,[3]characters!$1:$1,0)-MATCH("character_id",[3]characters!$1:$1,0)+1),MATCH(AD$1,[3]characters!$1:$1,0)-MATCH("character_id",[3]characters!$1:$1,0)+1,FALSE)</f>
        <v>2</v>
      </c>
      <c r="AE386" s="4" t="str">
        <f ca="1">VLOOKUP($AB386,OFFSET([3]characters!$A$1,0,0,COUNTA([3]characters!$A:$A),MATCH(AE$1,[3]characters!$1:$1,0)-MATCH("character_id",[3]characters!$1:$1,0)+1),MATCH(AE$1,[3]characters!$1:$1,0)-MATCH("character_id",[3]characters!$1:$1,0)+1,FALSE)</f>
        <v>Drop1S</v>
      </c>
      <c r="AF386" s="7">
        <v>5</v>
      </c>
      <c r="AG386" s="26">
        <f t="shared" ca="1" si="386"/>
        <v>2</v>
      </c>
      <c r="AH386" s="8">
        <v>20</v>
      </c>
      <c r="AI386" s="7">
        <v>0</v>
      </c>
      <c r="AJ386" s="7">
        <v>0</v>
      </c>
      <c r="AK386" s="7">
        <v>0</v>
      </c>
      <c r="AL386" s="7">
        <v>0</v>
      </c>
      <c r="AM386" s="7">
        <v>1</v>
      </c>
    </row>
    <row r="387" spans="1:39" ht="14" x14ac:dyDescent="0.15">
      <c r="A387" s="18" t="str">
        <f t="shared" ref="A387" ca="1" si="461">B387&amp;"_"&amp;C387&amp;"-"&amp;G387&amp;"/"&amp;L387&amp;"&lt;lv"&amp;R387&amp;"&gt;s"&amp;AA387</f>
        <v>24_3-2/354&lt;lv50&gt;s3</v>
      </c>
      <c r="B387" s="53">
        <v>24</v>
      </c>
      <c r="C387" s="51">
        <v>3</v>
      </c>
      <c r="D387" s="2" t="str">
        <f t="shared" ref="D387" si="462">B387&amp;"_"&amp;C387</f>
        <v>24_3</v>
      </c>
      <c r="E387" s="2" t="str">
        <f t="shared" ref="E387" si="463">C387&amp;"_"&amp;D387</f>
        <v>3_24_3</v>
      </c>
      <c r="F387" s="4" t="str">
        <f ca="1">VLOOKUP($D387,OFFSET([1]stages!$A$1,0,0,COUNTA([1]stages!$A:$A),MATCH(F$1,[1]stages!$2:$2,0)-MATCH($D$1,[1]stages!$2:$2,0)+1),MATCH(F$1,[1]stages!$2:$2,0)-MATCH($D$1,[1]stages!$2:$2,0)+1,FALSE)</f>
        <v>24-3．武器を花に変えて</v>
      </c>
      <c r="G387" s="54">
        <v>2</v>
      </c>
      <c r="H387" s="17" t="str">
        <f t="shared" ref="H387" si="464">B387&amp;"_"&amp;C387&amp;"-"&amp;G387</f>
        <v>24_3-2</v>
      </c>
      <c r="I387" s="17"/>
      <c r="J387" s="17"/>
      <c r="K387" s="65" t="s">
        <v>56</v>
      </c>
      <c r="L387" s="52">
        <v>354</v>
      </c>
      <c r="M387" s="21" t="str">
        <f ca="1">VLOOKUP($L387,OFFSET([2]enemies!$A$1,0,0,COUNTA([2]enemies!$A:$A),MATCH(M$1,[2]enemies!$1:$1,0)-MATCH($L$1,[2]enemies!$1:$1,0)+1),MATCH(M$1,[2]enemies!$1:$1,0)-MATCH($L$1,[2]enemies!$1:$1,0)+1,FALSE)</f>
        <v>雷のケロケロ</v>
      </c>
      <c r="N387" s="21" t="str">
        <f ca="1">VLOOKUP($L387,OFFSET([2]enemies!$A$1,0,0,COUNTA([2]enemies!$A:$A),MATCH(N$1,[2]enemies!$1:$1,0)-MATCH($L$1,[2]enemies!$1:$1,0)+1),MATCH(N$1,[2]enemies!$1:$1,0)-MATCH($L$1,[2]enemies!$1:$1,0)+1,FALSE)</f>
        <v>yellow</v>
      </c>
      <c r="O387" s="21" t="str">
        <f ca="1">VLOOKUP($L387,OFFSET([3]characters!$A$1,0,0,COUNTA([3]characters!$A:$A),MATCH(O$1,[3]characters!$1:$1,0)-MATCH($L$1,[3]characters!$1:$1,0)+1),MATCH(O$1,[3]characters!$1:$1,0)-MATCH($L$1,[3]characters!$1:$1,0)+1,FALSE)</f>
        <v>Material</v>
      </c>
      <c r="P387" s="21" t="str">
        <f ca="1">VLOOKUP($L387,OFFSET([2]enemies!$A$1,0,0,COUNTA([2]enemies!$A:$A),MATCH(P$1,[2]enemies!$1:$1,0)-MATCH($L$1,[2]enemies!$1:$1,0)+1),MATCH(P$1,[2]enemies!$1:$1,0)-MATCH($L$1,[2]enemies!$1:$1,0)+1,FALSE)</f>
        <v>unknown</v>
      </c>
      <c r="Q387" s="21">
        <f ca="1">VLOOKUP($L387,OFFSET([2]enemies!$A$1,0,0,COUNTA([2]enemies!$A:$A),MATCH(Q$1,[2]enemies!$1:$1,0)-MATCH($L$1,[2]enemies!$1:$1,0)+1),MATCH(Q$1,[2]enemies!$1:$1,0)-MATCH($L$1,[2]enemies!$1:$1,0)+1,FALSE)</f>
        <v>15</v>
      </c>
      <c r="R387" s="53">
        <v>50</v>
      </c>
      <c r="S387" s="27">
        <v>1</v>
      </c>
      <c r="T387" s="27">
        <v>1</v>
      </c>
      <c r="U387" s="5">
        <v>0</v>
      </c>
      <c r="V387" s="4" t="str">
        <f ca="1">VLOOKUP($W387,OFFSET([4]enemy_skill_sets!$B$1,0,0,COUNTA([4]enemy_skill_sets!$B:$B),MATCH(M$1,[4]enemy_skill_sets!$1:$1,0)-MATCH($W$1,[4]enemy_skill_sets!$1:$1,0)+2),MATCH(M$1,[4]enemy_skill_sets!$1:$1,0)-MATCH($W$1,[4]enemy_skill_sets!$1:$1,0)+2,FALSE)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87" s="64">
        <v>354</v>
      </c>
      <c r="X387" s="6">
        <v>0</v>
      </c>
      <c r="Y387" s="6">
        <v>100</v>
      </c>
      <c r="Z387" s="6">
        <v>0</v>
      </c>
      <c r="AA387" s="4">
        <f ca="1">VLOOKUP($L387,OFFSET([2]enemies!$A$1,0,0,COUNTA([2]enemies!$A:$A),MATCH(AA$1,[2]enemies!$1:$1,0)-MATCH($L$1,[2]enemies!$1:$1,0)+1),MATCH(AA$1,[2]enemies!$1:$1,0)-MATCH($L$1,[2]enemies!$1:$1,0)+1,FALSE)</f>
        <v>3</v>
      </c>
      <c r="AB387" s="52">
        <v>354</v>
      </c>
      <c r="AC387" s="4" t="str">
        <f ca="1">VLOOKUP($AB387,OFFSET([3]characters!$A$1,0,0,COUNTA([3]characters!$A:$A),MATCH(AC$1,[3]characters!$1:$1,0)-MATCH("character_id",[3]characters!$1:$1,0)+1),MATCH(AC$1,[3]characters!$1:$1,0)-MATCH("character_id",[3]characters!$1:$1,0)+1,FALSE)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87" s="4">
        <f ca="1">VLOOKUP($AB387,OFFSET([3]characters!$A$1,0,0,COUNTA([3]characters!$A:$A),MATCH(AD$1,[3]characters!$1:$1,0)-MATCH("character_id",[3]characters!$1:$1,0)+1),MATCH(AD$1,[3]characters!$1:$1,0)-MATCH("character_id",[3]characters!$1:$1,0)+1,FALSE)</f>
        <v>2</v>
      </c>
      <c r="AE387" s="4" t="str">
        <f ca="1">VLOOKUP($AB387,OFFSET([3]characters!$A$1,0,0,COUNTA([3]characters!$A:$A),MATCH(AE$1,[3]characters!$1:$1,0)-MATCH("character_id",[3]characters!$1:$1,0)+1),MATCH(AE$1,[3]characters!$1:$1,0)-MATCH("character_id",[3]characters!$1:$1,0)+1,FALSE)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87" s="7">
        <v>10</v>
      </c>
      <c r="AG387" s="26">
        <f t="shared" ref="AG387:AG450" ca="1" si="465">AD387</f>
        <v>2</v>
      </c>
      <c r="AH387" s="8">
        <v>20</v>
      </c>
      <c r="AI387" s="7">
        <v>0</v>
      </c>
      <c r="AJ387" s="7">
        <v>0</v>
      </c>
      <c r="AK387" s="7">
        <v>0</v>
      </c>
      <c r="AL387" s="7">
        <v>0</v>
      </c>
      <c r="AM387" s="7">
        <v>1</v>
      </c>
    </row>
    <row r="388" spans="1:39" ht="14" x14ac:dyDescent="0.15">
      <c r="A388" s="18" t="str">
        <f t="shared" ca="1" si="419"/>
        <v>24_3-3/11&lt;lv50&gt;s3</v>
      </c>
      <c r="B388" s="50">
        <v>24</v>
      </c>
      <c r="C388" s="49">
        <v>3</v>
      </c>
      <c r="D388" s="2" t="str">
        <f t="shared" si="420"/>
        <v>24_3</v>
      </c>
      <c r="E388" s="2" t="str">
        <f t="shared" si="420"/>
        <v>3_24_3</v>
      </c>
      <c r="F388" s="4" t="str">
        <f ca="1">VLOOKUP($D388,OFFSET([1]stages!$A$1,0,0,COUNTA([1]stages!$A:$A),MATCH(F$1,[1]stages!$2:$2,0)-MATCH($D$1,[1]stages!$2:$2,0)+1),MATCH(F$1,[1]stages!$2:$2,0)-MATCH($D$1,[1]stages!$2:$2,0)+1,FALSE)</f>
        <v>24-3．武器を花に変えて</v>
      </c>
      <c r="G388" s="55">
        <v>3</v>
      </c>
      <c r="H388" s="17" t="str">
        <f t="shared" si="421"/>
        <v>24_3-3</v>
      </c>
      <c r="I388" s="17"/>
      <c r="J388" s="17"/>
      <c r="K388" s="65" t="s">
        <v>56</v>
      </c>
      <c r="L388" s="52">
        <v>11</v>
      </c>
      <c r="M388" s="21" t="str">
        <f ca="1">VLOOKUP($L388,OFFSET([2]enemies!$A$1,0,0,COUNTA([2]enemies!$A:$A),MATCH(M$1,[2]enemies!$1:$1,0)-MATCH($L$1,[2]enemies!$1:$1,0)+1),MATCH(M$1,[2]enemies!$1:$1,0)-MATCH($L$1,[2]enemies!$1:$1,0)+1,FALSE)</f>
        <v>マグリット</v>
      </c>
      <c r="N388" s="21" t="str">
        <f ca="1">VLOOKUP($L388,OFFSET([2]enemies!$A$1,0,0,COUNTA([2]enemies!$A:$A),MATCH(N$1,[2]enemies!$1:$1,0)-MATCH($L$1,[2]enemies!$1:$1,0)+1),MATCH(N$1,[2]enemies!$1:$1,0)-MATCH($L$1,[2]enemies!$1:$1,0)+1,FALSE)</f>
        <v>green</v>
      </c>
      <c r="O388" s="21" t="str">
        <f ca="1">VLOOKUP($L388,OFFSET([3]characters!$A$1,0,0,COUNTA([3]characters!$A:$A),MATCH(O$1,[3]characters!$1:$1,0)-MATCH($L$1,[3]characters!$1:$1,0)+1),MATCH(O$1,[3]characters!$1:$1,0)-MATCH($L$1,[3]characters!$1:$1,0)+1,FALSE)</f>
        <v>Drop1W</v>
      </c>
      <c r="P388" s="21" t="str">
        <f ca="1">VLOOKUP($L388,OFFSET([2]enemies!$A$1,0,0,COUNTA([2]enemies!$A:$A),MATCH(P$1,[2]enemies!$1:$1,0)-MATCH($L$1,[2]enemies!$1:$1,0)+1),MATCH(P$1,[2]enemies!$1:$1,0)-MATCH($L$1,[2]enemies!$1:$1,0)+1,FALSE)</f>
        <v>animal</v>
      </c>
      <c r="Q388" s="21">
        <f ca="1">VLOOKUP($L388,OFFSET([2]enemies!$A$1,0,0,COUNTA([2]enemies!$A:$A),MATCH(Q$1,[2]enemies!$1:$1,0)-MATCH($L$1,[2]enemies!$1:$1,0)+1),MATCH(Q$1,[2]enemies!$1:$1,0)-MATCH($L$1,[2]enemies!$1:$1,0)+1,FALSE)</f>
        <v>15</v>
      </c>
      <c r="R388" s="53">
        <v>50</v>
      </c>
      <c r="S388" s="27">
        <v>1</v>
      </c>
      <c r="T388" s="27">
        <v>1</v>
      </c>
      <c r="U388" s="5">
        <v>0</v>
      </c>
      <c r="V388" s="4" t="str">
        <f ca="1">VLOOKUP($W388,OFFSET([4]enemy_skill_sets!$B$1,0,0,COUNTA([4]enemy_skill_sets!$B:$B),MATCH(M$1,[4]enemy_skill_sets!$1:$1,0)-MATCH($W$1,[4]enemy_skill_sets!$1:$1,0)+2),MATCH(M$1,[4]enemy_skill_sets!$1:$1,0)-MATCH($W$1,[4]enemy_skill_sets!$1:$1,0)+2,FALSE)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88" s="4">
        <f ca="1">VLOOKUP($L388,OFFSET([2]enemies!$A$1,0,0,COUNTA([2]enemies!$A:$A),MATCH(W$1,[2]enemies!$1:$1,0)-MATCH($L$1,[2]enemies!$1:$1,0)+1),MATCH(W$1,[2]enemies!$1:$1,0)-MATCH($L$1,[2]enemies!$1:$1,0)+1,FALSE)</f>
        <v>0</v>
      </c>
      <c r="X388" s="6">
        <v>0</v>
      </c>
      <c r="Y388" s="6">
        <v>100</v>
      </c>
      <c r="Z388" s="6">
        <v>0</v>
      </c>
      <c r="AA388" s="4">
        <f ca="1">VLOOKUP($L388,OFFSET([2]enemies!$A$1,0,0,COUNTA([2]enemies!$A:$A),MATCH(AA$1,[2]enemies!$1:$1,0)-MATCH($L$1,[2]enemies!$1:$1,0)+1),MATCH(AA$1,[2]enemies!$1:$1,0)-MATCH($L$1,[2]enemies!$1:$1,0)+1,FALSE)</f>
        <v>3</v>
      </c>
      <c r="AB388" s="52">
        <v>11</v>
      </c>
      <c r="AC388" s="4" t="str">
        <f ca="1">VLOOKUP($AB388,OFFSET([3]characters!$A$1,0,0,COUNTA([3]characters!$A:$A),MATCH(AC$1,[3]characters!$1:$1,0)-MATCH("character_id",[3]characters!$1:$1,0)+1),MATCH(AC$1,[3]characters!$1:$1,0)-MATCH("character_id",[3]characters!$1:$1,0)+1,FALSE)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388" s="4">
        <f ca="1">VLOOKUP($AB388,OFFSET([3]characters!$A$1,0,0,COUNTA([3]characters!$A:$A),MATCH(AD$1,[3]characters!$1:$1,0)-MATCH("character_id",[3]characters!$1:$1,0)+1),MATCH(AD$1,[3]characters!$1:$1,0)-MATCH("character_id",[3]characters!$1:$1,0)+1,FALSE)</f>
        <v>1</v>
      </c>
      <c r="AE388" s="4" t="str">
        <f ca="1">VLOOKUP($AB388,OFFSET([3]characters!$A$1,0,0,COUNTA([3]characters!$A:$A),MATCH(AE$1,[3]characters!$1:$1,0)-MATCH("character_id",[3]characters!$1:$1,0)+1),MATCH(AE$1,[3]characters!$1:$1,0)-MATCH("character_id",[3]characters!$1:$1,0)+1,FALSE)</f>
        <v>Drop1W</v>
      </c>
      <c r="AF388" s="7">
        <v>9</v>
      </c>
      <c r="AG388" s="26">
        <f t="shared" ca="1" si="465"/>
        <v>1</v>
      </c>
      <c r="AH388" s="8">
        <v>20</v>
      </c>
      <c r="AI388" s="7">
        <v>0</v>
      </c>
      <c r="AJ388" s="7">
        <v>0</v>
      </c>
      <c r="AK388" s="7">
        <v>0</v>
      </c>
      <c r="AL388" s="7">
        <v>0</v>
      </c>
      <c r="AM388" s="7">
        <v>1</v>
      </c>
    </row>
    <row r="389" spans="1:39" ht="14" x14ac:dyDescent="0.15">
      <c r="A389" s="18" t="str">
        <f t="shared" ca="1" si="419"/>
        <v>24_3-3/13&lt;lv48&gt;s2</v>
      </c>
      <c r="B389" s="50">
        <v>24</v>
      </c>
      <c r="C389" s="49">
        <v>3</v>
      </c>
      <c r="D389" s="2" t="str">
        <f t="shared" si="420"/>
        <v>24_3</v>
      </c>
      <c r="E389" s="2" t="str">
        <f t="shared" si="420"/>
        <v>3_24_3</v>
      </c>
      <c r="F389" s="4" t="str">
        <f ca="1">VLOOKUP($D389,OFFSET([1]stages!$A$1,0,0,COUNTA([1]stages!$A:$A),MATCH(F$1,[1]stages!$2:$2,0)-MATCH($D$1,[1]stages!$2:$2,0)+1),MATCH(F$1,[1]stages!$2:$2,0)-MATCH($D$1,[1]stages!$2:$2,0)+1,FALSE)</f>
        <v>24-3．武器を花に変えて</v>
      </c>
      <c r="G389" s="55">
        <v>3</v>
      </c>
      <c r="H389" s="17" t="str">
        <f t="shared" si="421"/>
        <v>24_3-3</v>
      </c>
      <c r="I389" s="17"/>
      <c r="J389" s="17"/>
      <c r="K389" s="65" t="s">
        <v>56</v>
      </c>
      <c r="L389" s="52">
        <v>13</v>
      </c>
      <c r="M389" s="21" t="str">
        <f ca="1">VLOOKUP($L389,OFFSET([2]enemies!$A$1,0,0,COUNTA([2]enemies!$A:$A),MATCH(M$1,[2]enemies!$1:$1,0)-MATCH($L$1,[2]enemies!$1:$1,0)+1),MATCH(M$1,[2]enemies!$1:$1,0)-MATCH($L$1,[2]enemies!$1:$1,0)+1,FALSE)</f>
        <v>ミミ</v>
      </c>
      <c r="N389" s="21" t="str">
        <f ca="1">VLOOKUP($L389,OFFSET([2]enemies!$A$1,0,0,COUNTA([2]enemies!$A:$A),MATCH(N$1,[2]enemies!$1:$1,0)-MATCH($L$1,[2]enemies!$1:$1,0)+1),MATCH(N$1,[2]enemies!$1:$1,0)-MATCH($L$1,[2]enemies!$1:$1,0)+1,FALSE)</f>
        <v>yellow</v>
      </c>
      <c r="O389" s="21" t="str">
        <f ca="1">VLOOKUP($L389,OFFSET([3]characters!$A$1,0,0,COUNTA([3]characters!$A:$A),MATCH(O$1,[3]characters!$1:$1,0)-MATCH($L$1,[3]characters!$1:$1,0)+1),MATCH(O$1,[3]characters!$1:$1,0)-MATCH($L$1,[3]characters!$1:$1,0)+1,FALSE)</f>
        <v>Drop1W</v>
      </c>
      <c r="P389" s="21" t="str">
        <f ca="1">VLOOKUP($L389,OFFSET([2]enemies!$A$1,0,0,COUNTA([2]enemies!$A:$A),MATCH(P$1,[2]enemies!$1:$1,0)-MATCH($L$1,[2]enemies!$1:$1,0)+1),MATCH(P$1,[2]enemies!$1:$1,0)-MATCH($L$1,[2]enemies!$1:$1,0)+1,FALSE)</f>
        <v>animal</v>
      </c>
      <c r="Q389" s="21">
        <f ca="1">VLOOKUP($L389,OFFSET([2]enemies!$A$1,0,0,COUNTA([2]enemies!$A:$A),MATCH(Q$1,[2]enemies!$1:$1,0)-MATCH($L$1,[2]enemies!$1:$1,0)+1),MATCH(Q$1,[2]enemies!$1:$1,0)-MATCH($L$1,[2]enemies!$1:$1,0)+1,FALSE)</f>
        <v>15</v>
      </c>
      <c r="R389" s="53">
        <v>48</v>
      </c>
      <c r="S389" s="27">
        <v>1.1000000000000001</v>
      </c>
      <c r="T389" s="27">
        <v>1</v>
      </c>
      <c r="U389" s="5">
        <v>0</v>
      </c>
      <c r="V389" s="4" t="str">
        <f ca="1">VLOOKUP($W389,OFFSET([4]enemy_skill_sets!$B$1,0,0,COUNTA([4]enemy_skill_sets!$B:$B),MATCH(M$1,[4]enemy_skill_sets!$1:$1,0)-MATCH($W$1,[4]enemy_skill_sets!$1:$1,0)+2),MATCH(M$1,[4]enemy_skill_sets!$1:$1,0)-MATCH($W$1,[4]enemy_skill_sets!$1:$1,0)+2,FALSE)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89" s="4">
        <f ca="1">VLOOKUP($L389,OFFSET([2]enemies!$A$1,0,0,COUNTA([2]enemies!$A:$A),MATCH(W$1,[2]enemies!$1:$1,0)-MATCH($L$1,[2]enemies!$1:$1,0)+1),MATCH(W$1,[2]enemies!$1:$1,0)-MATCH($L$1,[2]enemies!$1:$1,0)+1,FALSE)</f>
        <v>0</v>
      </c>
      <c r="X389" s="6">
        <v>0</v>
      </c>
      <c r="Y389" s="6">
        <v>100</v>
      </c>
      <c r="Z389" s="6">
        <v>0</v>
      </c>
      <c r="AA389" s="4">
        <f ca="1">VLOOKUP($L389,OFFSET([2]enemies!$A$1,0,0,COUNTA([2]enemies!$A:$A),MATCH(AA$1,[2]enemies!$1:$1,0)-MATCH($L$1,[2]enemies!$1:$1,0)+1),MATCH(AA$1,[2]enemies!$1:$1,0)-MATCH($L$1,[2]enemies!$1:$1,0)+1,FALSE)</f>
        <v>2</v>
      </c>
      <c r="AB389" s="52">
        <v>13</v>
      </c>
      <c r="AC389" s="4" t="str">
        <f ca="1">VLOOKUP($AB389,OFFSET([3]characters!$A$1,0,0,COUNTA([3]characters!$A:$A),MATCH(AC$1,[3]characters!$1:$1,0)-MATCH("character_id",[3]characters!$1:$1,0)+1),MATCH(AC$1,[3]characters!$1:$1,0)-MATCH("character_id",[3]characters!$1:$1,0)+1,FALSE)</f>
        <v>ミミ</v>
      </c>
      <c r="AD389" s="4">
        <f ca="1">VLOOKUP($AB389,OFFSET([3]characters!$A$1,0,0,COUNTA([3]characters!$A:$A),MATCH(AD$1,[3]characters!$1:$1,0)-MATCH("character_id",[3]characters!$1:$1,0)+1),MATCH(AD$1,[3]characters!$1:$1,0)-MATCH("character_id",[3]characters!$1:$1,0)+1,FALSE)</f>
        <v>1</v>
      </c>
      <c r="AE389" s="4" t="str">
        <f ca="1">VLOOKUP($AB389,OFFSET([3]characters!$A$1,0,0,COUNTA([3]characters!$A:$A),MATCH(AE$1,[3]characters!$1:$1,0)-MATCH("character_id",[3]characters!$1:$1,0)+1),MATCH(AE$1,[3]characters!$1:$1,0)-MATCH("character_id",[3]characters!$1:$1,0)+1,FALSE)</f>
        <v>Drop1W</v>
      </c>
      <c r="AF389" s="7">
        <v>9</v>
      </c>
      <c r="AG389" s="26">
        <f t="shared" ca="1" si="465"/>
        <v>1</v>
      </c>
      <c r="AH389" s="8">
        <v>20</v>
      </c>
      <c r="AI389" s="7">
        <v>0</v>
      </c>
      <c r="AJ389" s="7">
        <v>0</v>
      </c>
      <c r="AK389" s="7">
        <v>0</v>
      </c>
      <c r="AL389" s="7">
        <v>0</v>
      </c>
      <c r="AM389" s="7">
        <v>1</v>
      </c>
    </row>
    <row r="390" spans="1:39" ht="14" x14ac:dyDescent="0.15">
      <c r="A390" s="18" t="str">
        <f t="shared" ca="1" si="419"/>
        <v>24_3-3/23&lt;lv50&gt;s4</v>
      </c>
      <c r="B390" s="50">
        <v>24</v>
      </c>
      <c r="C390" s="49">
        <v>3</v>
      </c>
      <c r="D390" s="2" t="str">
        <f t="shared" si="420"/>
        <v>24_3</v>
      </c>
      <c r="E390" s="2" t="str">
        <f t="shared" si="420"/>
        <v>3_24_3</v>
      </c>
      <c r="F390" s="4" t="str">
        <f ca="1">VLOOKUP($D390,OFFSET([1]stages!$A$1,0,0,COUNTA([1]stages!$A:$A),MATCH(F$1,[1]stages!$2:$2,0)-MATCH($D$1,[1]stages!$2:$2,0)+1),MATCH(F$1,[1]stages!$2:$2,0)-MATCH($D$1,[1]stages!$2:$2,0)+1,FALSE)</f>
        <v>24-3．武器を花に変えて</v>
      </c>
      <c r="G390" s="55">
        <v>3</v>
      </c>
      <c r="H390" s="17" t="str">
        <f t="shared" si="421"/>
        <v>24_3-3</v>
      </c>
      <c r="I390" s="17"/>
      <c r="J390" s="17"/>
      <c r="K390" s="65" t="s">
        <v>56</v>
      </c>
      <c r="L390" s="52">
        <v>23</v>
      </c>
      <c r="M390" s="21" t="str">
        <f ca="1">VLOOKUP($L390,OFFSET([2]enemies!$A$1,0,0,COUNTA([2]enemies!$A:$A),MATCH(M$1,[2]enemies!$1:$1,0)-MATCH($L$1,[2]enemies!$1:$1,0)+1),MATCH(M$1,[2]enemies!$1:$1,0)-MATCH($L$1,[2]enemies!$1:$1,0)+1,FALSE)</f>
        <v>ミール</v>
      </c>
      <c r="N390" s="21" t="str">
        <f ca="1">VLOOKUP($L390,OFFSET([2]enemies!$A$1,0,0,COUNTA([2]enemies!$A:$A),MATCH(N$1,[2]enemies!$1:$1,0)-MATCH($L$1,[2]enemies!$1:$1,0)+1),MATCH(N$1,[2]enemies!$1:$1,0)-MATCH($L$1,[2]enemies!$1:$1,0)+1,FALSE)</f>
        <v>green</v>
      </c>
      <c r="O390" s="21" t="str">
        <f ca="1">VLOOKUP($L390,OFFSET([3]characters!$A$1,0,0,COUNTA([3]characters!$A:$A),MATCH(O$1,[3]characters!$1:$1,0)-MATCH($L$1,[3]characters!$1:$1,0)+1),MATCH(O$1,[3]characters!$1:$1,0)-MATCH($L$1,[3]characters!$1:$1,0)+1,FALSE)</f>
        <v>Drop1N</v>
      </c>
      <c r="P390" s="21" t="str">
        <f ca="1">VLOOKUP($L390,OFFSET([2]enemies!$A$1,0,0,COUNTA([2]enemies!$A:$A),MATCH(P$1,[2]enemies!$1:$1,0)-MATCH($L$1,[2]enemies!$1:$1,0)+1),MATCH(P$1,[2]enemies!$1:$1,0)-MATCH($L$1,[2]enemies!$1:$1,0)+1,FALSE)</f>
        <v>animal</v>
      </c>
      <c r="Q390" s="21">
        <f ca="1">VLOOKUP($L390,OFFSET([2]enemies!$A$1,0,0,COUNTA([2]enemies!$A:$A),MATCH(Q$1,[2]enemies!$1:$1,0)-MATCH($L$1,[2]enemies!$1:$1,0)+1),MATCH(Q$1,[2]enemies!$1:$1,0)-MATCH($L$1,[2]enemies!$1:$1,0)+1,FALSE)</f>
        <v>15</v>
      </c>
      <c r="R390" s="53">
        <v>50</v>
      </c>
      <c r="S390" s="27">
        <v>1</v>
      </c>
      <c r="T390" s="27">
        <v>1</v>
      </c>
      <c r="U390" s="5">
        <v>0</v>
      </c>
      <c r="V390" s="4" t="str">
        <f ca="1">VLOOKUP($W390,OFFSET([4]enemy_skill_sets!$B$1,0,0,COUNTA([4]enemy_skill_sets!$B:$B),MATCH(M$1,[4]enemy_skill_sets!$1:$1,0)-MATCH($W$1,[4]enemy_skill_sets!$1:$1,0)+2),MATCH(M$1,[4]enemy_skill_sets!$1:$1,0)-MATCH($W$1,[4]enemy_skill_sets!$1:$1,0)+2,FALSE)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90" s="4">
        <f ca="1">VLOOKUP($L390,OFFSET([2]enemies!$A$1,0,0,COUNTA([2]enemies!$A:$A),MATCH(W$1,[2]enemies!$1:$1,0)-MATCH($L$1,[2]enemies!$1:$1,0)+1),MATCH(W$1,[2]enemies!$1:$1,0)-MATCH($L$1,[2]enemies!$1:$1,0)+1,FALSE)</f>
        <v>0</v>
      </c>
      <c r="X390" s="6">
        <v>0</v>
      </c>
      <c r="Y390" s="6">
        <v>100</v>
      </c>
      <c r="Z390" s="6">
        <v>0</v>
      </c>
      <c r="AA390" s="4">
        <f ca="1">VLOOKUP($L390,OFFSET([2]enemies!$A$1,0,0,COUNTA([2]enemies!$A:$A),MATCH(AA$1,[2]enemies!$1:$1,0)-MATCH($L$1,[2]enemies!$1:$1,0)+1),MATCH(AA$1,[2]enemies!$1:$1,0)-MATCH($L$1,[2]enemies!$1:$1,0)+1,FALSE)</f>
        <v>4</v>
      </c>
      <c r="AB390" s="52">
        <v>23</v>
      </c>
      <c r="AC390" s="4" t="str">
        <f ca="1">VLOOKUP($AB390,OFFSET([3]characters!$A$1,0,0,COUNTA([3]characters!$A:$A),MATCH(AC$1,[3]characters!$1:$1,0)-MATCH("character_id",[3]characters!$1:$1,0)+1),MATCH(AC$1,[3]characters!$1:$1,0)-MATCH("character_id",[3]characters!$1:$1,0)+1,FALSE)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390" s="4">
        <f ca="1">VLOOKUP($AB390,OFFSET([3]characters!$A$1,0,0,COUNTA([3]characters!$A:$A),MATCH(AD$1,[3]characters!$1:$1,0)-MATCH("character_id",[3]characters!$1:$1,0)+1),MATCH(AD$1,[3]characters!$1:$1,0)-MATCH("character_id",[3]characters!$1:$1,0)+1,FALSE)</f>
        <v>1</v>
      </c>
      <c r="AE390" s="4" t="str">
        <f ca="1">VLOOKUP($AB390,OFFSET([3]characters!$A$1,0,0,COUNTA([3]characters!$A:$A),MATCH(AE$1,[3]characters!$1:$1,0)-MATCH("character_id",[3]characters!$1:$1,0)+1),MATCH(AE$1,[3]characters!$1:$1,0)-MATCH("character_id",[3]characters!$1:$1,0)+1,FALSE)</f>
        <v>Drop1N</v>
      </c>
      <c r="AF390" s="7">
        <v>7</v>
      </c>
      <c r="AG390" s="26">
        <f t="shared" ca="1" si="465"/>
        <v>1</v>
      </c>
      <c r="AH390" s="8">
        <v>20</v>
      </c>
      <c r="AI390" s="7">
        <v>0</v>
      </c>
      <c r="AJ390" s="7">
        <v>0</v>
      </c>
      <c r="AK390" s="7">
        <v>0</v>
      </c>
      <c r="AL390" s="7">
        <v>0</v>
      </c>
      <c r="AM390" s="7">
        <v>1</v>
      </c>
    </row>
    <row r="391" spans="1:39" ht="14" x14ac:dyDescent="0.15">
      <c r="A391" s="18" t="str">
        <f t="shared" ca="1" si="419"/>
        <v>24_3-3/47&lt;lv48&gt;s1</v>
      </c>
      <c r="B391" s="50">
        <v>24</v>
      </c>
      <c r="C391" s="49">
        <v>3</v>
      </c>
      <c r="D391" s="2" t="str">
        <f t="shared" si="420"/>
        <v>24_3</v>
      </c>
      <c r="E391" s="2" t="str">
        <f t="shared" si="420"/>
        <v>3_24_3</v>
      </c>
      <c r="F391" s="4" t="str">
        <f ca="1">VLOOKUP($D391,OFFSET([1]stages!$A$1,0,0,COUNTA([1]stages!$A:$A),MATCH(F$1,[1]stages!$2:$2,0)-MATCH($D$1,[1]stages!$2:$2,0)+1),MATCH(F$1,[1]stages!$2:$2,0)-MATCH($D$1,[1]stages!$2:$2,0)+1,FALSE)</f>
        <v>24-3．武器を花に変えて</v>
      </c>
      <c r="G391" s="55">
        <v>3</v>
      </c>
      <c r="H391" s="17" t="str">
        <f t="shared" si="421"/>
        <v>24_3-3</v>
      </c>
      <c r="I391" s="17"/>
      <c r="J391" s="17"/>
      <c r="K391" s="65" t="s">
        <v>56</v>
      </c>
      <c r="L391" s="52">
        <v>47</v>
      </c>
      <c r="M391" s="21" t="str">
        <f ca="1">VLOOKUP($L391,OFFSET([2]enemies!$A$1,0,0,COUNTA([2]enemies!$A:$A),MATCH(M$1,[2]enemies!$1:$1,0)-MATCH($L$1,[2]enemies!$1:$1,0)+1),MATCH(M$1,[2]enemies!$1:$1,0)-MATCH($L$1,[2]enemies!$1:$1,0)+1,FALSE)</f>
        <v>ヒロ</v>
      </c>
      <c r="N391" s="21" t="str">
        <f ca="1">VLOOKUP($L391,OFFSET([2]enemies!$A$1,0,0,COUNTA([2]enemies!$A:$A),MATCH(N$1,[2]enemies!$1:$1,0)-MATCH($L$1,[2]enemies!$1:$1,0)+1),MATCH(N$1,[2]enemies!$1:$1,0)-MATCH($L$1,[2]enemies!$1:$1,0)+1,FALSE)</f>
        <v>yellow</v>
      </c>
      <c r="O391" s="21" t="str">
        <f ca="1">VLOOKUP($L391,OFFSET([3]characters!$A$1,0,0,COUNTA([3]characters!$A:$A),MATCH(O$1,[3]characters!$1:$1,0)-MATCH($L$1,[3]characters!$1:$1,0)+1),MATCH(O$1,[3]characters!$1:$1,0)-MATCH($L$1,[3]characters!$1:$1,0)+1,FALSE)</f>
        <v>Drop1N</v>
      </c>
      <c r="P391" s="21" t="str">
        <f ca="1">VLOOKUP($L391,OFFSET([2]enemies!$A$1,0,0,COUNTA([2]enemies!$A:$A),MATCH(P$1,[2]enemies!$1:$1,0)-MATCH($L$1,[2]enemies!$1:$1,0)+1),MATCH(P$1,[2]enemies!$1:$1,0)-MATCH($L$1,[2]enemies!$1:$1,0)+1,FALSE)</f>
        <v>animal</v>
      </c>
      <c r="Q391" s="21">
        <f ca="1">VLOOKUP($L391,OFFSET([2]enemies!$A$1,0,0,COUNTA([2]enemies!$A:$A),MATCH(Q$1,[2]enemies!$1:$1,0)-MATCH($L$1,[2]enemies!$1:$1,0)+1),MATCH(Q$1,[2]enemies!$1:$1,0)-MATCH($L$1,[2]enemies!$1:$1,0)+1,FALSE)</f>
        <v>15</v>
      </c>
      <c r="R391" s="53">
        <v>48</v>
      </c>
      <c r="S391" s="27">
        <v>1.1000000000000001</v>
      </c>
      <c r="T391" s="27">
        <v>1</v>
      </c>
      <c r="U391" s="5">
        <v>0</v>
      </c>
      <c r="V391" s="4" t="str">
        <f ca="1">VLOOKUP($W391,OFFSET([4]enemy_skill_sets!$B$1,0,0,COUNTA([4]enemy_skill_sets!$B:$B),MATCH(M$1,[4]enemy_skill_sets!$1:$1,0)-MATCH($W$1,[4]enemy_skill_sets!$1:$1,0)+2),MATCH(M$1,[4]enemy_skill_sets!$1:$1,0)-MATCH($W$1,[4]enemy_skill_sets!$1:$1,0)+2,FALSE)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91" s="4">
        <f ca="1">VLOOKUP($L391,OFFSET([2]enemies!$A$1,0,0,COUNTA([2]enemies!$A:$A),MATCH(W$1,[2]enemies!$1:$1,0)-MATCH($L$1,[2]enemies!$1:$1,0)+1),MATCH(W$1,[2]enemies!$1:$1,0)-MATCH($L$1,[2]enemies!$1:$1,0)+1,FALSE)</f>
        <v>0</v>
      </c>
      <c r="X391" s="6">
        <v>0</v>
      </c>
      <c r="Y391" s="6">
        <v>100</v>
      </c>
      <c r="Z391" s="6">
        <v>0</v>
      </c>
      <c r="AA391" s="4">
        <f ca="1">VLOOKUP($L391,OFFSET([2]enemies!$A$1,0,0,COUNTA([2]enemies!$A:$A),MATCH(AA$1,[2]enemies!$1:$1,0)-MATCH($L$1,[2]enemies!$1:$1,0)+1),MATCH(AA$1,[2]enemies!$1:$1,0)-MATCH($L$1,[2]enemies!$1:$1,0)+1,FALSE)</f>
        <v>1</v>
      </c>
      <c r="AB391" s="52">
        <v>47</v>
      </c>
      <c r="AC391" s="4" t="str">
        <f ca="1">VLOOKUP($AB391,OFFSET([3]characters!$A$1,0,0,COUNTA([3]characters!$A:$A),MATCH(AC$1,[3]characters!$1:$1,0)-MATCH("character_id",[3]characters!$1:$1,0)+1),MATCH(AC$1,[3]characters!$1:$1,0)-MATCH("character_id",[3]characters!$1:$1,0)+1,FALSE)</f>
        <v>ヒロ</v>
      </c>
      <c r="AD391" s="4">
        <f ca="1">VLOOKUP($AB391,OFFSET([3]characters!$A$1,0,0,COUNTA([3]characters!$A:$A),MATCH(AD$1,[3]characters!$1:$1,0)-MATCH("character_id",[3]characters!$1:$1,0)+1),MATCH(AD$1,[3]characters!$1:$1,0)-MATCH("character_id",[3]characters!$1:$1,0)+1,FALSE)</f>
        <v>2</v>
      </c>
      <c r="AE391" s="4" t="str">
        <f ca="1">VLOOKUP($AB391,OFFSET([3]characters!$A$1,0,0,COUNTA([3]characters!$A:$A),MATCH(AE$1,[3]characters!$1:$1,0)-MATCH("character_id",[3]characters!$1:$1,0)+1),MATCH(AE$1,[3]characters!$1:$1,0)-MATCH("character_id",[3]characters!$1:$1,0)+1,FALSE)</f>
        <v>Drop1N</v>
      </c>
      <c r="AF391" s="7">
        <v>7</v>
      </c>
      <c r="AG391" s="26">
        <f t="shared" ca="1" si="465"/>
        <v>2</v>
      </c>
      <c r="AH391" s="8">
        <v>20</v>
      </c>
      <c r="AI391" s="7">
        <v>0</v>
      </c>
      <c r="AJ391" s="7">
        <v>0</v>
      </c>
      <c r="AK391" s="7">
        <v>0</v>
      </c>
      <c r="AL391" s="7">
        <v>0</v>
      </c>
      <c r="AM391" s="7">
        <v>1</v>
      </c>
    </row>
    <row r="392" spans="1:39" ht="14" x14ac:dyDescent="0.15">
      <c r="A392" s="18" t="str">
        <f t="shared" ca="1" si="419"/>
        <v>24_3-3/59&lt;lv50&gt;s2</v>
      </c>
      <c r="B392" s="50">
        <v>24</v>
      </c>
      <c r="C392" s="49">
        <v>3</v>
      </c>
      <c r="D392" s="2" t="str">
        <f t="shared" si="420"/>
        <v>24_3</v>
      </c>
      <c r="E392" s="2" t="str">
        <f t="shared" si="420"/>
        <v>3_24_3</v>
      </c>
      <c r="F392" s="4" t="str">
        <f ca="1">VLOOKUP($D392,OFFSET([1]stages!$A$1,0,0,COUNTA([1]stages!$A:$A),MATCH(F$1,[1]stages!$2:$2,0)-MATCH($D$1,[1]stages!$2:$2,0)+1),MATCH(F$1,[1]stages!$2:$2,0)-MATCH($D$1,[1]stages!$2:$2,0)+1,FALSE)</f>
        <v>24-3．武器を花に変えて</v>
      </c>
      <c r="G392" s="55">
        <v>3</v>
      </c>
      <c r="H392" s="17" t="str">
        <f t="shared" si="421"/>
        <v>24_3-3</v>
      </c>
      <c r="I392" s="17"/>
      <c r="J392" s="17"/>
      <c r="K392" s="65" t="s">
        <v>56</v>
      </c>
      <c r="L392" s="52">
        <v>59</v>
      </c>
      <c r="M392" s="21" t="str">
        <f ca="1">VLOOKUP($L392,OFFSET([2]enemies!$A$1,0,0,COUNTA([2]enemies!$A:$A),MATCH(M$1,[2]enemies!$1:$1,0)-MATCH($L$1,[2]enemies!$1:$1,0)+1),MATCH(M$1,[2]enemies!$1:$1,0)-MATCH($L$1,[2]enemies!$1:$1,0)+1,FALSE)</f>
        <v>マーチ</v>
      </c>
      <c r="N392" s="21" t="str">
        <f ca="1">VLOOKUP($L392,OFFSET([2]enemies!$A$1,0,0,COUNTA([2]enemies!$A:$A),MATCH(N$1,[2]enemies!$1:$1,0)-MATCH($L$1,[2]enemies!$1:$1,0)+1),MATCH(N$1,[2]enemies!$1:$1,0)-MATCH($L$1,[2]enemies!$1:$1,0)+1,FALSE)</f>
        <v>green</v>
      </c>
      <c r="O392" s="21" t="str">
        <f ca="1">VLOOKUP($L392,OFFSET([3]characters!$A$1,0,0,COUNTA([3]characters!$A:$A),MATCH(O$1,[3]characters!$1:$1,0)-MATCH($L$1,[3]characters!$1:$1,0)+1),MATCH(O$1,[3]characters!$1:$1,0)-MATCH($L$1,[3]characters!$1:$1,0)+1,FALSE)</f>
        <v>Drop1N</v>
      </c>
      <c r="P392" s="21" t="str">
        <f ca="1">VLOOKUP($L392,OFFSET([2]enemies!$A$1,0,0,COUNTA([2]enemies!$A:$A),MATCH(P$1,[2]enemies!$1:$1,0)-MATCH($L$1,[2]enemies!$1:$1,0)+1),MATCH(P$1,[2]enemies!$1:$1,0)-MATCH($L$1,[2]enemies!$1:$1,0)+1,FALSE)</f>
        <v>animal</v>
      </c>
      <c r="Q392" s="21">
        <f ca="1">VLOOKUP($L392,OFFSET([2]enemies!$A$1,0,0,COUNTA([2]enemies!$A:$A),MATCH(Q$1,[2]enemies!$1:$1,0)-MATCH($L$1,[2]enemies!$1:$1,0)+1),MATCH(Q$1,[2]enemies!$1:$1,0)-MATCH($L$1,[2]enemies!$1:$1,0)+1,FALSE)</f>
        <v>15</v>
      </c>
      <c r="R392" s="53">
        <v>50</v>
      </c>
      <c r="S392" s="27">
        <v>1</v>
      </c>
      <c r="T392" s="27">
        <v>1</v>
      </c>
      <c r="U392" s="5">
        <v>0</v>
      </c>
      <c r="V392" s="4" t="str">
        <f ca="1">VLOOKUP($W392,OFFSET([4]enemy_skill_sets!$B$1,0,0,COUNTA([4]enemy_skill_sets!$B:$B),MATCH(M$1,[4]enemy_skill_sets!$1:$1,0)-MATCH($W$1,[4]enemy_skill_sets!$1:$1,0)+2),MATCH(M$1,[4]enemy_skill_sets!$1:$1,0)-MATCH($W$1,[4]enemy_skill_sets!$1:$1,0)+2,FALSE)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392" s="4">
        <f ca="1">VLOOKUP($L392,OFFSET([2]enemies!$A$1,0,0,COUNTA([2]enemies!$A:$A),MATCH(W$1,[2]enemies!$1:$1,0)-MATCH($L$1,[2]enemies!$1:$1,0)+1),MATCH(W$1,[2]enemies!$1:$1,0)-MATCH($L$1,[2]enemies!$1:$1,0)+1,FALSE)</f>
        <v>59</v>
      </c>
      <c r="X392" s="6">
        <v>0</v>
      </c>
      <c r="Y392" s="6">
        <v>100</v>
      </c>
      <c r="Z392" s="6">
        <v>0</v>
      </c>
      <c r="AA392" s="4">
        <f ca="1">VLOOKUP($L392,OFFSET([2]enemies!$A$1,0,0,COUNTA([2]enemies!$A:$A),MATCH(AA$1,[2]enemies!$1:$1,0)-MATCH($L$1,[2]enemies!$1:$1,0)+1),MATCH(AA$1,[2]enemies!$1:$1,0)-MATCH($L$1,[2]enemies!$1:$1,0)+1,FALSE)</f>
        <v>2</v>
      </c>
      <c r="AB392" s="52">
        <v>59</v>
      </c>
      <c r="AC392" s="4" t="str">
        <f ca="1">VLOOKUP($AB392,OFFSET([3]characters!$A$1,0,0,COUNTA([3]characters!$A:$A),MATCH(AC$1,[3]characters!$1:$1,0)-MATCH("character_id",[3]characters!$1:$1,0)+1),MATCH(AC$1,[3]characters!$1:$1,0)-MATCH("character_id",[3]characters!$1:$1,0)+1,FALSE)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392" s="4">
        <f ca="1">VLOOKUP($AB392,OFFSET([3]characters!$A$1,0,0,COUNTA([3]characters!$A:$A),MATCH(AD$1,[3]characters!$1:$1,0)-MATCH("character_id",[3]characters!$1:$1,0)+1),MATCH(AD$1,[3]characters!$1:$1,0)-MATCH("character_id",[3]characters!$1:$1,0)+1,FALSE)</f>
        <v>2</v>
      </c>
      <c r="AE392" s="4" t="str">
        <f ca="1">VLOOKUP($AB392,OFFSET([3]characters!$A$1,0,0,COUNTA([3]characters!$A:$A),MATCH(AE$1,[3]characters!$1:$1,0)-MATCH("character_id",[3]characters!$1:$1,0)+1),MATCH(AE$1,[3]characters!$1:$1,0)-MATCH("character_id",[3]characters!$1:$1,0)+1,FALSE)</f>
        <v>Drop1N</v>
      </c>
      <c r="AF392" s="7">
        <v>7</v>
      </c>
      <c r="AG392" s="26">
        <f t="shared" ca="1" si="465"/>
        <v>2</v>
      </c>
      <c r="AH392" s="8">
        <v>20</v>
      </c>
      <c r="AI392" s="7">
        <v>0</v>
      </c>
      <c r="AJ392" s="7">
        <v>0</v>
      </c>
      <c r="AK392" s="7">
        <v>0</v>
      </c>
      <c r="AL392" s="7">
        <v>0</v>
      </c>
      <c r="AM392" s="7">
        <v>1</v>
      </c>
    </row>
    <row r="393" spans="1:39" ht="14" x14ac:dyDescent="0.15">
      <c r="A393" s="18" t="str">
        <f t="shared" ca="1" si="419"/>
        <v>24_3-3/63&lt;lv48&gt;s2</v>
      </c>
      <c r="B393" s="50">
        <v>24</v>
      </c>
      <c r="C393" s="49">
        <v>3</v>
      </c>
      <c r="D393" s="2" t="str">
        <f t="shared" si="420"/>
        <v>24_3</v>
      </c>
      <c r="E393" s="2" t="str">
        <f t="shared" si="420"/>
        <v>3_24_3</v>
      </c>
      <c r="F393" s="4" t="str">
        <f ca="1">VLOOKUP($D393,OFFSET([1]stages!$A$1,0,0,COUNTA([1]stages!$A:$A),MATCH(F$1,[1]stages!$2:$2,0)-MATCH($D$1,[1]stages!$2:$2,0)+1),MATCH(F$1,[1]stages!$2:$2,0)-MATCH($D$1,[1]stages!$2:$2,0)+1,FALSE)</f>
        <v>24-3．武器を花に変えて</v>
      </c>
      <c r="G393" s="55">
        <v>3</v>
      </c>
      <c r="H393" s="17" t="str">
        <f t="shared" si="421"/>
        <v>24_3-3</v>
      </c>
      <c r="I393" s="17"/>
      <c r="J393" s="17"/>
      <c r="K393" s="65" t="s">
        <v>56</v>
      </c>
      <c r="L393" s="52">
        <v>63</v>
      </c>
      <c r="M393" s="21" t="str">
        <f ca="1">VLOOKUP($L393,OFFSET([2]enemies!$A$1,0,0,COUNTA([2]enemies!$A:$A),MATCH(M$1,[2]enemies!$1:$1,0)-MATCH($L$1,[2]enemies!$1:$1,0)+1),MATCH(M$1,[2]enemies!$1:$1,0)-MATCH($L$1,[2]enemies!$1:$1,0)+1,FALSE)</f>
        <v>トニー</v>
      </c>
      <c r="N393" s="21" t="str">
        <f ca="1">VLOOKUP($L393,OFFSET([2]enemies!$A$1,0,0,COUNTA([2]enemies!$A:$A),MATCH(N$1,[2]enemies!$1:$1,0)-MATCH($L$1,[2]enemies!$1:$1,0)+1),MATCH(N$1,[2]enemies!$1:$1,0)-MATCH($L$1,[2]enemies!$1:$1,0)+1,FALSE)</f>
        <v>yellow</v>
      </c>
      <c r="O393" s="21" t="str">
        <f ca="1">VLOOKUP($L393,OFFSET([3]characters!$A$1,0,0,COUNTA([3]characters!$A:$A),MATCH(O$1,[3]characters!$1:$1,0)-MATCH($L$1,[3]characters!$1:$1,0)+1),MATCH(O$1,[3]characters!$1:$1,0)-MATCH($L$1,[3]characters!$1:$1,0)+1,FALSE)</f>
        <v>Drop1N</v>
      </c>
      <c r="P393" s="21" t="str">
        <f ca="1">VLOOKUP($L393,OFFSET([2]enemies!$A$1,0,0,COUNTA([2]enemies!$A:$A),MATCH(P$1,[2]enemies!$1:$1,0)-MATCH($L$1,[2]enemies!$1:$1,0)+1),MATCH(P$1,[2]enemies!$1:$1,0)-MATCH($L$1,[2]enemies!$1:$1,0)+1,FALSE)</f>
        <v>animal</v>
      </c>
      <c r="Q393" s="21">
        <f ca="1">VLOOKUP($L393,OFFSET([2]enemies!$A$1,0,0,COUNTA([2]enemies!$A:$A),MATCH(Q$1,[2]enemies!$1:$1,0)-MATCH($L$1,[2]enemies!$1:$1,0)+1),MATCH(Q$1,[2]enemies!$1:$1,0)-MATCH($L$1,[2]enemies!$1:$1,0)+1,FALSE)</f>
        <v>15</v>
      </c>
      <c r="R393" s="53">
        <v>48</v>
      </c>
      <c r="S393" s="27">
        <v>1.1000000000000001</v>
      </c>
      <c r="T393" s="27">
        <v>1</v>
      </c>
      <c r="U393" s="5">
        <v>0</v>
      </c>
      <c r="V393" s="4" t="str">
        <f ca="1">VLOOKUP($W393,OFFSET([4]enemy_skill_sets!$B$1,0,0,COUNTA([4]enemy_skill_sets!$B:$B),MATCH(M$1,[4]enemy_skill_sets!$1:$1,0)-MATCH($W$1,[4]enemy_skill_sets!$1:$1,0)+2),MATCH(M$1,[4]enemy_skill_sets!$1:$1,0)-MATCH($W$1,[4]enemy_skill_sets!$1:$1,0)+2,FALSE)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393" s="4">
        <f ca="1">VLOOKUP($L393,OFFSET([2]enemies!$A$1,0,0,COUNTA([2]enemies!$A:$A),MATCH(W$1,[2]enemies!$1:$1,0)-MATCH($L$1,[2]enemies!$1:$1,0)+1),MATCH(W$1,[2]enemies!$1:$1,0)-MATCH($L$1,[2]enemies!$1:$1,0)+1,FALSE)</f>
        <v>63</v>
      </c>
      <c r="X393" s="6">
        <v>0</v>
      </c>
      <c r="Y393" s="6">
        <v>100</v>
      </c>
      <c r="Z393" s="6">
        <v>0</v>
      </c>
      <c r="AA393" s="4">
        <f ca="1">VLOOKUP($L393,OFFSET([2]enemies!$A$1,0,0,COUNTA([2]enemies!$A:$A),MATCH(AA$1,[2]enemies!$1:$1,0)-MATCH($L$1,[2]enemies!$1:$1,0)+1),MATCH(AA$1,[2]enemies!$1:$1,0)-MATCH($L$1,[2]enemies!$1:$1,0)+1,FALSE)</f>
        <v>2</v>
      </c>
      <c r="AB393" s="52">
        <v>63</v>
      </c>
      <c r="AC393" s="4" t="str">
        <f ca="1">VLOOKUP($AB393,OFFSET([3]characters!$A$1,0,0,COUNTA([3]characters!$A:$A),MATCH(AC$1,[3]characters!$1:$1,0)-MATCH("character_id",[3]characters!$1:$1,0)+1),MATCH(AC$1,[3]characters!$1:$1,0)-MATCH("character_id",[3]characters!$1:$1,0)+1,FALSE)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393" s="4">
        <f ca="1">VLOOKUP($AB393,OFFSET([3]characters!$A$1,0,0,COUNTA([3]characters!$A:$A),MATCH(AD$1,[3]characters!$1:$1,0)-MATCH("character_id",[3]characters!$1:$1,0)+1),MATCH(AD$1,[3]characters!$1:$1,0)-MATCH("character_id",[3]characters!$1:$1,0)+1,FALSE)</f>
        <v>2</v>
      </c>
      <c r="AE393" s="4" t="str">
        <f ca="1">VLOOKUP($AB393,OFFSET([3]characters!$A$1,0,0,COUNTA([3]characters!$A:$A),MATCH(AE$1,[3]characters!$1:$1,0)-MATCH("character_id",[3]characters!$1:$1,0)+1),MATCH(AE$1,[3]characters!$1:$1,0)-MATCH("character_id",[3]characters!$1:$1,0)+1,FALSE)</f>
        <v>Drop1N</v>
      </c>
      <c r="AF393" s="7">
        <v>7</v>
      </c>
      <c r="AG393" s="26">
        <f t="shared" ca="1" si="465"/>
        <v>2</v>
      </c>
      <c r="AH393" s="8">
        <v>20</v>
      </c>
      <c r="AI393" s="7">
        <v>0</v>
      </c>
      <c r="AJ393" s="7">
        <v>0</v>
      </c>
      <c r="AK393" s="7">
        <v>0</v>
      </c>
      <c r="AL393" s="7">
        <v>0</v>
      </c>
      <c r="AM393" s="7">
        <v>1</v>
      </c>
    </row>
    <row r="394" spans="1:39" ht="14" x14ac:dyDescent="0.15">
      <c r="A394" s="18" t="str">
        <f t="shared" ca="1" si="419"/>
        <v>24_3-3/27&lt;lv50&gt;s1</v>
      </c>
      <c r="B394" s="50">
        <v>24</v>
      </c>
      <c r="C394" s="49">
        <v>3</v>
      </c>
      <c r="D394" s="2" t="str">
        <f t="shared" si="420"/>
        <v>24_3</v>
      </c>
      <c r="E394" s="2" t="str">
        <f t="shared" si="420"/>
        <v>3_24_3</v>
      </c>
      <c r="F394" s="4" t="str">
        <f ca="1">VLOOKUP($D394,OFFSET([1]stages!$A$1,0,0,COUNTA([1]stages!$A:$A),MATCH(F$1,[1]stages!$2:$2,0)-MATCH($D$1,[1]stages!$2:$2,0)+1),MATCH(F$1,[1]stages!$2:$2,0)-MATCH($D$1,[1]stages!$2:$2,0)+1,FALSE)</f>
        <v>24-3．武器を花に変えて</v>
      </c>
      <c r="G394" s="55">
        <v>3</v>
      </c>
      <c r="H394" s="17" t="str">
        <f t="shared" si="421"/>
        <v>24_3-3</v>
      </c>
      <c r="I394" s="17"/>
      <c r="J394" s="17"/>
      <c r="K394" s="65" t="s">
        <v>56</v>
      </c>
      <c r="L394" s="52">
        <v>27</v>
      </c>
      <c r="M394" s="21" t="str">
        <f ca="1">VLOOKUP($L394,OFFSET([2]enemies!$A$1,0,0,COUNTA([2]enemies!$A:$A),MATCH(M$1,[2]enemies!$1:$1,0)-MATCH($L$1,[2]enemies!$1:$1,0)+1),MATCH(M$1,[2]enemies!$1:$1,0)-MATCH($L$1,[2]enemies!$1:$1,0)+1,FALSE)</f>
        <v>パトライン</v>
      </c>
      <c r="N394" s="21" t="str">
        <f ca="1">VLOOKUP($L394,OFFSET([2]enemies!$A$1,0,0,COUNTA([2]enemies!$A:$A),MATCH(N$1,[2]enemies!$1:$1,0)-MATCH($L$1,[2]enemies!$1:$1,0)+1),MATCH(N$1,[2]enemies!$1:$1,0)-MATCH($L$1,[2]enemies!$1:$1,0)+1,FALSE)</f>
        <v>green</v>
      </c>
      <c r="O394" s="21" t="str">
        <f ca="1">VLOOKUP($L394,OFFSET([3]characters!$A$1,0,0,COUNTA([3]characters!$A:$A),MATCH(O$1,[3]characters!$1:$1,0)-MATCH($L$1,[3]characters!$1:$1,0)+1),MATCH(O$1,[3]characters!$1:$1,0)-MATCH($L$1,[3]characters!$1:$1,0)+1,FALSE)</f>
        <v>Drop1N</v>
      </c>
      <c r="P394" s="21" t="str">
        <f ca="1">VLOOKUP($L394,OFFSET([2]enemies!$A$1,0,0,COUNTA([2]enemies!$A:$A),MATCH(P$1,[2]enemies!$1:$1,0)-MATCH($L$1,[2]enemies!$1:$1,0)+1),MATCH(P$1,[2]enemies!$1:$1,0)-MATCH($L$1,[2]enemies!$1:$1,0)+1,FALSE)</f>
        <v>machine</v>
      </c>
      <c r="Q394" s="21">
        <f ca="1">VLOOKUP($L394,OFFSET([2]enemies!$A$1,0,0,COUNTA([2]enemies!$A:$A),MATCH(Q$1,[2]enemies!$1:$1,0)-MATCH($L$1,[2]enemies!$1:$1,0)+1),MATCH(Q$1,[2]enemies!$1:$1,0)-MATCH($L$1,[2]enemies!$1:$1,0)+1,FALSE)</f>
        <v>15</v>
      </c>
      <c r="R394" s="53">
        <v>50</v>
      </c>
      <c r="S394" s="27">
        <v>1</v>
      </c>
      <c r="T394" s="27">
        <v>1</v>
      </c>
      <c r="U394" s="5">
        <v>0</v>
      </c>
      <c r="V394" s="4" t="str">
        <f ca="1">VLOOKUP($W394,OFFSET([4]enemy_skill_sets!$B$1,0,0,COUNTA([4]enemy_skill_sets!$B:$B),MATCH(M$1,[4]enemy_skill_sets!$1:$1,0)-MATCH($W$1,[4]enemy_skill_sets!$1:$1,0)+2),MATCH(M$1,[4]enemy_skill_sets!$1:$1,0)-MATCH($W$1,[4]enemy_skill_sets!$1:$1,0)+2,FALSE)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94" s="4">
        <f ca="1">VLOOKUP($L394,OFFSET([2]enemies!$A$1,0,0,COUNTA([2]enemies!$A:$A),MATCH(W$1,[2]enemies!$1:$1,0)-MATCH($L$1,[2]enemies!$1:$1,0)+1),MATCH(W$1,[2]enemies!$1:$1,0)-MATCH($L$1,[2]enemies!$1:$1,0)+1,FALSE)</f>
        <v>0</v>
      </c>
      <c r="X394" s="6">
        <v>0</v>
      </c>
      <c r="Y394" s="6">
        <v>100</v>
      </c>
      <c r="Z394" s="6">
        <v>0</v>
      </c>
      <c r="AA394" s="4">
        <f ca="1">VLOOKUP($L394,OFFSET([2]enemies!$A$1,0,0,COUNTA([2]enemies!$A:$A),MATCH(AA$1,[2]enemies!$1:$1,0)-MATCH($L$1,[2]enemies!$1:$1,0)+1),MATCH(AA$1,[2]enemies!$1:$1,0)-MATCH($L$1,[2]enemies!$1:$1,0)+1,FALSE)</f>
        <v>1</v>
      </c>
      <c r="AB394" s="52">
        <v>27</v>
      </c>
      <c r="AC394" s="4" t="str">
        <f ca="1">VLOOKUP($AB394,OFFSET([3]characters!$A$1,0,0,COUNTA([3]characters!$A:$A),MATCH(AC$1,[3]characters!$1:$1,0)-MATCH("character_id",[3]characters!$1:$1,0)+1),MATCH(AC$1,[3]characters!$1:$1,0)-MATCH("character_id",[3]characters!$1:$1,0)+1,FALSE)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394" s="4">
        <f ca="1">VLOOKUP($AB394,OFFSET([3]characters!$A$1,0,0,COUNTA([3]characters!$A:$A),MATCH(AD$1,[3]characters!$1:$1,0)-MATCH("character_id",[3]characters!$1:$1,0)+1),MATCH(AD$1,[3]characters!$1:$1,0)-MATCH("character_id",[3]characters!$1:$1,0)+1,FALSE)</f>
        <v>1</v>
      </c>
      <c r="AE394" s="4" t="str">
        <f ca="1">VLOOKUP($AB394,OFFSET([3]characters!$A$1,0,0,COUNTA([3]characters!$A:$A),MATCH(AE$1,[3]characters!$1:$1,0)-MATCH("character_id",[3]characters!$1:$1,0)+1),MATCH(AE$1,[3]characters!$1:$1,0)-MATCH("character_id",[3]characters!$1:$1,0)+1,FALSE)</f>
        <v>Drop1N</v>
      </c>
      <c r="AF394" s="7">
        <v>7</v>
      </c>
      <c r="AG394" s="26">
        <f t="shared" ca="1" si="465"/>
        <v>1</v>
      </c>
      <c r="AH394" s="8">
        <v>20</v>
      </c>
      <c r="AI394" s="7">
        <v>0</v>
      </c>
      <c r="AJ394" s="7">
        <v>0</v>
      </c>
      <c r="AK394" s="7">
        <v>0</v>
      </c>
      <c r="AL394" s="7">
        <v>0</v>
      </c>
      <c r="AM394" s="7">
        <v>1</v>
      </c>
    </row>
    <row r="395" spans="1:39" ht="14" x14ac:dyDescent="0.15">
      <c r="A395" s="18" t="str">
        <f t="shared" ref="A395:A424" ca="1" si="466">B395&amp;"_"&amp;C395&amp;"-"&amp;G395&amp;"/"&amp;L395&amp;"&lt;lv"&amp;R395&amp;"&gt;s"&amp;AA395</f>
        <v>24_3-3/31&lt;lv48&gt;s2</v>
      </c>
      <c r="B395" s="50">
        <v>24</v>
      </c>
      <c r="C395" s="49">
        <v>3</v>
      </c>
      <c r="D395" s="2" t="str">
        <f t="shared" ref="D395:E424" si="467">B395&amp;"_"&amp;C395</f>
        <v>24_3</v>
      </c>
      <c r="E395" s="2" t="str">
        <f t="shared" si="467"/>
        <v>3_24_3</v>
      </c>
      <c r="F395" s="4" t="str">
        <f ca="1">VLOOKUP($D395,OFFSET([1]stages!$A$1,0,0,COUNTA([1]stages!$A:$A),MATCH(F$1,[1]stages!$2:$2,0)-MATCH($D$1,[1]stages!$2:$2,0)+1),MATCH(F$1,[1]stages!$2:$2,0)-MATCH($D$1,[1]stages!$2:$2,0)+1,FALSE)</f>
        <v>24-3．武器を花に変えて</v>
      </c>
      <c r="G395" s="55">
        <v>3</v>
      </c>
      <c r="H395" s="17" t="str">
        <f t="shared" ref="H395:H424" si="468">B395&amp;"_"&amp;C395&amp;"-"&amp;G395</f>
        <v>24_3-3</v>
      </c>
      <c r="I395" s="17"/>
      <c r="J395" s="17"/>
      <c r="K395" s="65" t="s">
        <v>56</v>
      </c>
      <c r="L395" s="52">
        <v>31</v>
      </c>
      <c r="M395" s="21" t="str">
        <f ca="1">VLOOKUP($L395,OFFSET([2]enemies!$A$1,0,0,COUNTA([2]enemies!$A:$A),MATCH(M$1,[2]enemies!$1:$1,0)-MATCH($L$1,[2]enemies!$1:$1,0)+1),MATCH(M$1,[2]enemies!$1:$1,0)-MATCH($L$1,[2]enemies!$1:$1,0)+1,FALSE)</f>
        <v>マービー</v>
      </c>
      <c r="N395" s="21" t="str">
        <f ca="1">VLOOKUP($L395,OFFSET([2]enemies!$A$1,0,0,COUNTA([2]enemies!$A:$A),MATCH(N$1,[2]enemies!$1:$1,0)-MATCH($L$1,[2]enemies!$1:$1,0)+1),MATCH(N$1,[2]enemies!$1:$1,0)-MATCH($L$1,[2]enemies!$1:$1,0)+1,FALSE)</f>
        <v>yellow</v>
      </c>
      <c r="O395" s="21" t="str">
        <f ca="1">VLOOKUP($L395,OFFSET([3]characters!$A$1,0,0,COUNTA([3]characters!$A:$A),MATCH(O$1,[3]characters!$1:$1,0)-MATCH($L$1,[3]characters!$1:$1,0)+1),MATCH(O$1,[3]characters!$1:$1,0)-MATCH($L$1,[3]characters!$1:$1,0)+1,FALSE)</f>
        <v>Drop1N</v>
      </c>
      <c r="P395" s="21" t="str">
        <f ca="1">VLOOKUP($L395,OFFSET([2]enemies!$A$1,0,0,COUNTA([2]enemies!$A:$A),MATCH(P$1,[2]enemies!$1:$1,0)-MATCH($L$1,[2]enemies!$1:$1,0)+1),MATCH(P$1,[2]enemies!$1:$1,0)-MATCH($L$1,[2]enemies!$1:$1,0)+1,FALSE)</f>
        <v>machine</v>
      </c>
      <c r="Q395" s="21">
        <f ca="1">VLOOKUP($L395,OFFSET([2]enemies!$A$1,0,0,COUNTA([2]enemies!$A:$A),MATCH(Q$1,[2]enemies!$1:$1,0)-MATCH($L$1,[2]enemies!$1:$1,0)+1),MATCH(Q$1,[2]enemies!$1:$1,0)-MATCH($L$1,[2]enemies!$1:$1,0)+1,FALSE)</f>
        <v>15</v>
      </c>
      <c r="R395" s="53">
        <v>48</v>
      </c>
      <c r="S395" s="27">
        <v>1.1000000000000001</v>
      </c>
      <c r="T395" s="27">
        <v>1</v>
      </c>
      <c r="U395" s="5">
        <v>0</v>
      </c>
      <c r="V395" s="4" t="str">
        <f ca="1">VLOOKUP($W395,OFFSET([4]enemy_skill_sets!$B$1,0,0,COUNTA([4]enemy_skill_sets!$B:$B),MATCH(M$1,[4]enemy_skill_sets!$1:$1,0)-MATCH($W$1,[4]enemy_skill_sets!$1:$1,0)+2),MATCH(M$1,[4]enemy_skill_sets!$1:$1,0)-MATCH($W$1,[4]enemy_skill_sets!$1:$1,0)+2,FALSE)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395" s="4">
        <f ca="1">VLOOKUP($L395,OFFSET([2]enemies!$A$1,0,0,COUNTA([2]enemies!$A:$A),MATCH(W$1,[2]enemies!$1:$1,0)-MATCH($L$1,[2]enemies!$1:$1,0)+1),MATCH(W$1,[2]enemies!$1:$1,0)-MATCH($L$1,[2]enemies!$1:$1,0)+1,FALSE)</f>
        <v>0</v>
      </c>
      <c r="X395" s="6">
        <v>0</v>
      </c>
      <c r="Y395" s="6">
        <v>100</v>
      </c>
      <c r="Z395" s="6">
        <v>0</v>
      </c>
      <c r="AA395" s="4">
        <f ca="1">VLOOKUP($L395,OFFSET([2]enemies!$A$1,0,0,COUNTA([2]enemies!$A:$A),MATCH(AA$1,[2]enemies!$1:$1,0)-MATCH($L$1,[2]enemies!$1:$1,0)+1),MATCH(AA$1,[2]enemies!$1:$1,0)-MATCH($L$1,[2]enemies!$1:$1,0)+1,FALSE)</f>
        <v>2</v>
      </c>
      <c r="AB395" s="52">
        <v>31</v>
      </c>
      <c r="AC395" s="4" t="str">
        <f ca="1">VLOOKUP($AB395,OFFSET([3]characters!$A$1,0,0,COUNTA([3]characters!$A:$A),MATCH(AC$1,[3]characters!$1:$1,0)-MATCH("character_id",[3]characters!$1:$1,0)+1),MATCH(AC$1,[3]characters!$1:$1,0)-MATCH("character_id",[3]characters!$1:$1,0)+1,FALSE)</f>
        <v>マービー</v>
      </c>
      <c r="AD395" s="4">
        <f ca="1">VLOOKUP($AB395,OFFSET([3]characters!$A$1,0,0,COUNTA([3]characters!$A:$A),MATCH(AD$1,[3]characters!$1:$1,0)-MATCH("character_id",[3]characters!$1:$1,0)+1),MATCH(AD$1,[3]characters!$1:$1,0)-MATCH("character_id",[3]characters!$1:$1,0)+1,FALSE)</f>
        <v>1</v>
      </c>
      <c r="AE395" s="4" t="str">
        <f ca="1">VLOOKUP($AB395,OFFSET([3]characters!$A$1,0,0,COUNTA([3]characters!$A:$A),MATCH(AE$1,[3]characters!$1:$1,0)-MATCH("character_id",[3]characters!$1:$1,0)+1),MATCH(AE$1,[3]characters!$1:$1,0)-MATCH("character_id",[3]characters!$1:$1,0)+1,FALSE)</f>
        <v>Drop1N</v>
      </c>
      <c r="AF395" s="7">
        <v>7</v>
      </c>
      <c r="AG395" s="26">
        <f t="shared" ca="1" si="465"/>
        <v>1</v>
      </c>
      <c r="AH395" s="8">
        <v>20</v>
      </c>
      <c r="AI395" s="7">
        <v>0</v>
      </c>
      <c r="AJ395" s="7">
        <v>0</v>
      </c>
      <c r="AK395" s="7">
        <v>0</v>
      </c>
      <c r="AL395" s="7">
        <v>0</v>
      </c>
      <c r="AM395" s="7">
        <v>1</v>
      </c>
    </row>
    <row r="396" spans="1:39" ht="14" x14ac:dyDescent="0.15">
      <c r="A396" s="18" t="str">
        <f t="shared" ca="1" si="466"/>
        <v>24_3-3/35&lt;lv50&gt;s4</v>
      </c>
      <c r="B396" s="50">
        <v>24</v>
      </c>
      <c r="C396" s="49">
        <v>3</v>
      </c>
      <c r="D396" s="2" t="str">
        <f t="shared" si="467"/>
        <v>24_3</v>
      </c>
      <c r="E396" s="2" t="str">
        <f t="shared" si="467"/>
        <v>3_24_3</v>
      </c>
      <c r="F396" s="4" t="str">
        <f ca="1">VLOOKUP($D396,OFFSET([1]stages!$A$1,0,0,COUNTA([1]stages!$A:$A),MATCH(F$1,[1]stages!$2:$2,0)-MATCH($D$1,[1]stages!$2:$2,0)+1),MATCH(F$1,[1]stages!$2:$2,0)-MATCH($D$1,[1]stages!$2:$2,0)+1,FALSE)</f>
        <v>24-3．武器を花に変えて</v>
      </c>
      <c r="G396" s="55">
        <v>3</v>
      </c>
      <c r="H396" s="17" t="str">
        <f t="shared" si="468"/>
        <v>24_3-3</v>
      </c>
      <c r="I396" s="17"/>
      <c r="J396" s="17"/>
      <c r="K396" s="65" t="s">
        <v>56</v>
      </c>
      <c r="L396" s="52">
        <v>35</v>
      </c>
      <c r="M396" s="21" t="str">
        <f ca="1">VLOOKUP($L396,OFFSET([2]enemies!$A$1,0,0,COUNTA([2]enemies!$A:$A),MATCH(M$1,[2]enemies!$1:$1,0)-MATCH($L$1,[2]enemies!$1:$1,0)+1),MATCH(M$1,[2]enemies!$1:$1,0)-MATCH($L$1,[2]enemies!$1:$1,0)+1,FALSE)</f>
        <v>F2</v>
      </c>
      <c r="N396" s="21" t="str">
        <f ca="1">VLOOKUP($L396,OFFSET([2]enemies!$A$1,0,0,COUNTA([2]enemies!$A:$A),MATCH(N$1,[2]enemies!$1:$1,0)-MATCH($L$1,[2]enemies!$1:$1,0)+1),MATCH(N$1,[2]enemies!$1:$1,0)-MATCH($L$1,[2]enemies!$1:$1,0)+1,FALSE)</f>
        <v>green</v>
      </c>
      <c r="O396" s="21" t="str">
        <f ca="1">VLOOKUP($L396,OFFSET([3]characters!$A$1,0,0,COUNTA([3]characters!$A:$A),MATCH(O$1,[3]characters!$1:$1,0)-MATCH($L$1,[3]characters!$1:$1,0)+1),MATCH(O$1,[3]characters!$1:$1,0)-MATCH($L$1,[3]characters!$1:$1,0)+1,FALSE)</f>
        <v>Drop1S</v>
      </c>
      <c r="P396" s="21" t="str">
        <f ca="1">VLOOKUP($L396,OFFSET([2]enemies!$A$1,0,0,COUNTA([2]enemies!$A:$A),MATCH(P$1,[2]enemies!$1:$1,0)-MATCH($L$1,[2]enemies!$1:$1,0)+1),MATCH(P$1,[2]enemies!$1:$1,0)-MATCH($L$1,[2]enemies!$1:$1,0)+1,FALSE)</f>
        <v>machine</v>
      </c>
      <c r="Q396" s="21">
        <f ca="1">VLOOKUP($L396,OFFSET([2]enemies!$A$1,0,0,COUNTA([2]enemies!$A:$A),MATCH(Q$1,[2]enemies!$1:$1,0)-MATCH($L$1,[2]enemies!$1:$1,0)+1),MATCH(Q$1,[2]enemies!$1:$1,0)-MATCH($L$1,[2]enemies!$1:$1,0)+1,FALSE)</f>
        <v>15</v>
      </c>
      <c r="R396" s="53">
        <v>50</v>
      </c>
      <c r="S396" s="27">
        <v>1</v>
      </c>
      <c r="T396" s="27">
        <v>1</v>
      </c>
      <c r="U396" s="5">
        <v>0</v>
      </c>
      <c r="V396" s="4" t="str">
        <f ca="1">VLOOKUP($W396,OFFSET([4]enemy_skill_sets!$B$1,0,0,COUNTA([4]enemy_skill_sets!$B:$B),MATCH(M$1,[4]enemy_skill_sets!$1:$1,0)-MATCH($W$1,[4]enemy_skill_sets!$1:$1,0)+2),MATCH(M$1,[4]enemy_skill_sets!$1:$1,0)-MATCH($W$1,[4]enemy_skill_sets!$1:$1,0)+2,FALSE)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396" s="4">
        <f ca="1">VLOOKUP($L396,OFFSET([2]enemies!$A$1,0,0,COUNTA([2]enemies!$A:$A),MATCH(W$1,[2]enemies!$1:$1,0)-MATCH($L$1,[2]enemies!$1:$1,0)+1),MATCH(W$1,[2]enemies!$1:$1,0)-MATCH($L$1,[2]enemies!$1:$1,0)+1,FALSE)</f>
        <v>35</v>
      </c>
      <c r="X396" s="6">
        <v>0</v>
      </c>
      <c r="Y396" s="6">
        <v>100</v>
      </c>
      <c r="Z396" s="6">
        <v>0</v>
      </c>
      <c r="AA396" s="4">
        <f ca="1">VLOOKUP($L396,OFFSET([2]enemies!$A$1,0,0,COUNTA([2]enemies!$A:$A),MATCH(AA$1,[2]enemies!$1:$1,0)-MATCH($L$1,[2]enemies!$1:$1,0)+1),MATCH(AA$1,[2]enemies!$1:$1,0)-MATCH($L$1,[2]enemies!$1:$1,0)+1,FALSE)</f>
        <v>4</v>
      </c>
      <c r="AB396" s="52">
        <v>35</v>
      </c>
      <c r="AC396" s="4" t="str">
        <f ca="1">VLOOKUP($AB396,OFFSET([3]characters!$A$1,0,0,COUNTA([3]characters!$A:$A),MATCH(AC$1,[3]characters!$1:$1,0)-MATCH("character_id",[3]characters!$1:$1,0)+1),MATCH(AC$1,[3]characters!$1:$1,0)-MATCH("character_id",[3]characters!$1:$1,0)+1,FALSE)</f>
        <v>F2</v>
      </c>
      <c r="AD396" s="4">
        <f ca="1">VLOOKUP($AB396,OFFSET([3]characters!$A$1,0,0,COUNTA([3]characters!$A:$A),MATCH(AD$1,[3]characters!$1:$1,0)-MATCH("character_id",[3]characters!$1:$1,0)+1),MATCH(AD$1,[3]characters!$1:$1,0)-MATCH("character_id",[3]characters!$1:$1,0)+1,FALSE)</f>
        <v>2</v>
      </c>
      <c r="AE396" s="4" t="str">
        <f ca="1">VLOOKUP($AB396,OFFSET([3]characters!$A$1,0,0,COUNTA([3]characters!$A:$A),MATCH(AE$1,[3]characters!$1:$1,0)-MATCH("character_id",[3]characters!$1:$1,0)+1),MATCH(AE$1,[3]characters!$1:$1,0)-MATCH("character_id",[3]characters!$1:$1,0)+1,FALSE)</f>
        <v>Drop1S</v>
      </c>
      <c r="AF396" s="7">
        <v>5</v>
      </c>
      <c r="AG396" s="26">
        <f t="shared" ca="1" si="465"/>
        <v>2</v>
      </c>
      <c r="AH396" s="8">
        <v>20</v>
      </c>
      <c r="AI396" s="7">
        <v>0</v>
      </c>
      <c r="AJ396" s="7">
        <v>0</v>
      </c>
      <c r="AK396" s="7">
        <v>0</v>
      </c>
      <c r="AL396" s="7">
        <v>0</v>
      </c>
      <c r="AM396" s="7">
        <v>1</v>
      </c>
    </row>
    <row r="397" spans="1:39" ht="14" x14ac:dyDescent="0.15">
      <c r="A397" s="18" t="str">
        <f t="shared" ref="A397:A398" ca="1" si="469">B397&amp;"_"&amp;C397&amp;"-"&amp;G397&amp;"/"&amp;L397&amp;"&lt;lv"&amp;R397&amp;"&gt;s"&amp;AA397</f>
        <v>24_3-3/362&lt;lv50&gt;s3</v>
      </c>
      <c r="B397" s="53">
        <v>24</v>
      </c>
      <c r="C397" s="51">
        <v>3</v>
      </c>
      <c r="D397" s="2" t="str">
        <f t="shared" ref="D397:D398" si="470">B397&amp;"_"&amp;C397</f>
        <v>24_3</v>
      </c>
      <c r="E397" s="2" t="str">
        <f t="shared" ref="E397:E398" si="471">C397&amp;"_"&amp;D397</f>
        <v>3_24_3</v>
      </c>
      <c r="F397" s="4" t="str">
        <f ca="1">VLOOKUP($D397,OFFSET([1]stages!$A$1,0,0,COUNTA([1]stages!$A:$A),MATCH(F$1,[1]stages!$2:$2,0)-MATCH($D$1,[1]stages!$2:$2,0)+1),MATCH(F$1,[1]stages!$2:$2,0)-MATCH($D$1,[1]stages!$2:$2,0)+1,FALSE)</f>
        <v>24-3．武器を花に変えて</v>
      </c>
      <c r="G397" s="55">
        <v>3</v>
      </c>
      <c r="H397" s="17" t="str">
        <f t="shared" ref="H397:H398" si="472">B397&amp;"_"&amp;C397&amp;"-"&amp;G397</f>
        <v>24_3-3</v>
      </c>
      <c r="I397" s="17"/>
      <c r="J397" s="17"/>
      <c r="K397" s="65" t="s">
        <v>56</v>
      </c>
      <c r="L397" s="52">
        <v>362</v>
      </c>
      <c r="M397" s="21" t="str">
        <f ca="1">VLOOKUP($L397,OFFSET([2]enemies!$A$1,0,0,COUNTA([2]enemies!$A:$A),MATCH(M$1,[2]enemies!$1:$1,0)-MATCH($L$1,[2]enemies!$1:$1,0)+1),MATCH(M$1,[2]enemies!$1:$1,0)-MATCH($L$1,[2]enemies!$1:$1,0)+1,FALSE)</f>
        <v>ゆらら</v>
      </c>
      <c r="N397" s="21" t="str">
        <f ca="1">VLOOKUP($L397,OFFSET([2]enemies!$A$1,0,0,COUNTA([2]enemies!$A:$A),MATCH(N$1,[2]enemies!$1:$1,0)-MATCH($L$1,[2]enemies!$1:$1,0)+1),MATCH(N$1,[2]enemies!$1:$1,0)-MATCH($L$1,[2]enemies!$1:$1,0)+1,FALSE)</f>
        <v>green</v>
      </c>
      <c r="O397" s="21" t="str">
        <f ca="1">VLOOKUP($L397,OFFSET([3]characters!$A$1,0,0,COUNTA([3]characters!$A:$A),MATCH(O$1,[3]characters!$1:$1,0)-MATCH($L$1,[3]characters!$1:$1,0)+1),MATCH(O$1,[3]characters!$1:$1,0)-MATCH($L$1,[3]characters!$1:$1,0)+1,FALSE)</f>
        <v>Drop1S</v>
      </c>
      <c r="P397" s="21" t="str">
        <f ca="1">VLOOKUP($L397,OFFSET([2]enemies!$A$1,0,0,COUNTA([2]enemies!$A:$A),MATCH(P$1,[2]enemies!$1:$1,0)-MATCH($L$1,[2]enemies!$1:$1,0)+1),MATCH(P$1,[2]enemies!$1:$1,0)-MATCH($L$1,[2]enemies!$1:$1,0)+1,FALSE)</f>
        <v>animal</v>
      </c>
      <c r="Q397" s="21">
        <f ca="1">VLOOKUP($L397,OFFSET([2]enemies!$A$1,0,0,COUNTA([2]enemies!$A:$A),MATCH(Q$1,[2]enemies!$1:$1,0)-MATCH($L$1,[2]enemies!$1:$1,0)+1),MATCH(Q$1,[2]enemies!$1:$1,0)-MATCH($L$1,[2]enemies!$1:$1,0)+1,FALSE)</f>
        <v>15</v>
      </c>
      <c r="R397" s="53">
        <v>50</v>
      </c>
      <c r="S397" s="27">
        <v>1</v>
      </c>
      <c r="T397" s="27">
        <v>1</v>
      </c>
      <c r="U397" s="5">
        <v>0</v>
      </c>
      <c r="V397" s="4" t="str">
        <f ca="1">VLOOKUP($W397,OFFSET([4]enemy_skill_sets!$B$1,0,0,COUNTA([4]enemy_skill_sets!$B:$B),MATCH(M$1,[4]enemy_skill_sets!$1:$1,0)-MATCH($W$1,[4]enemy_skill_sets!$1:$1,0)+2),MATCH(M$1,[4]enemy_skill_sets!$1:$1,0)-MATCH($W$1,[4]enemy_skill_sets!$1:$1,0)+2,FALSE)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397" s="64">
        <v>362</v>
      </c>
      <c r="X397" s="6">
        <v>0</v>
      </c>
      <c r="Y397" s="6">
        <v>100</v>
      </c>
      <c r="Z397" s="6">
        <v>0</v>
      </c>
      <c r="AA397" s="4">
        <f ca="1">VLOOKUP($L397,OFFSET([2]enemies!$A$1,0,0,COUNTA([2]enemies!$A:$A),MATCH(AA$1,[2]enemies!$1:$1,0)-MATCH($L$1,[2]enemies!$1:$1,0)+1),MATCH(AA$1,[2]enemies!$1:$1,0)-MATCH($L$1,[2]enemies!$1:$1,0)+1,FALSE)</f>
        <v>3</v>
      </c>
      <c r="AB397" s="52">
        <v>362</v>
      </c>
      <c r="AC397" s="4" t="str">
        <f ca="1">VLOOKUP($AB397,OFFSET([3]characters!$A$1,0,0,COUNTA([3]characters!$A:$A),MATCH(AC$1,[3]characters!$1:$1,0)-MATCH("character_id",[3]characters!$1:$1,0)+1),MATCH(AC$1,[3]characters!$1:$1,0)-MATCH("character_id",[3]characters!$1:$1,0)+1,FALSE)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397" s="4">
        <f ca="1">VLOOKUP($AB397,OFFSET([3]characters!$A$1,0,0,COUNTA([3]characters!$A:$A),MATCH(AD$1,[3]characters!$1:$1,0)-MATCH("character_id",[3]characters!$1:$1,0)+1),MATCH(AD$1,[3]characters!$1:$1,0)-MATCH("character_id",[3]characters!$1:$1,0)+1,FALSE)</f>
        <v>2</v>
      </c>
      <c r="AE397" s="4" t="str">
        <f ca="1">VLOOKUP($AB397,OFFSET([3]characters!$A$1,0,0,COUNTA([3]characters!$A:$A),MATCH(AE$1,[3]characters!$1:$1,0)-MATCH("character_id",[3]characters!$1:$1,0)+1),MATCH(AE$1,[3]characters!$1:$1,0)-MATCH("character_id",[3]characters!$1:$1,0)+1,FALSE)</f>
        <v>Drop1S</v>
      </c>
      <c r="AF397" s="7">
        <v>7</v>
      </c>
      <c r="AG397" s="26">
        <f t="shared" ca="1" si="465"/>
        <v>2</v>
      </c>
      <c r="AH397" s="8">
        <v>20</v>
      </c>
      <c r="AI397" s="7">
        <v>0</v>
      </c>
      <c r="AJ397" s="7">
        <v>0</v>
      </c>
      <c r="AK397" s="7">
        <v>0</v>
      </c>
      <c r="AL397" s="7">
        <v>0</v>
      </c>
      <c r="AM397" s="7">
        <v>1</v>
      </c>
    </row>
    <row r="398" spans="1:39" ht="14" x14ac:dyDescent="0.15">
      <c r="A398" s="18" t="str">
        <f t="shared" ca="1" si="469"/>
        <v>24_3-3/366&lt;lv48&gt;s3</v>
      </c>
      <c r="B398" s="53">
        <v>24</v>
      </c>
      <c r="C398" s="51">
        <v>3</v>
      </c>
      <c r="D398" s="2" t="str">
        <f t="shared" si="470"/>
        <v>24_3</v>
      </c>
      <c r="E398" s="2" t="str">
        <f t="shared" si="471"/>
        <v>3_24_3</v>
      </c>
      <c r="F398" s="4" t="str">
        <f ca="1">VLOOKUP($D398,OFFSET([1]stages!$A$1,0,0,COUNTA([1]stages!$A:$A),MATCH(F$1,[1]stages!$2:$2,0)-MATCH($D$1,[1]stages!$2:$2,0)+1),MATCH(F$1,[1]stages!$2:$2,0)-MATCH($D$1,[1]stages!$2:$2,0)+1,FALSE)</f>
        <v>24-3．武器を花に変えて</v>
      </c>
      <c r="G398" s="55">
        <v>3</v>
      </c>
      <c r="H398" s="17" t="str">
        <f t="shared" si="472"/>
        <v>24_3-3</v>
      </c>
      <c r="I398" s="17"/>
      <c r="J398" s="17"/>
      <c r="K398" s="65" t="s">
        <v>56</v>
      </c>
      <c r="L398" s="52">
        <v>366</v>
      </c>
      <c r="M398" s="21" t="str">
        <f ca="1">VLOOKUP($L398,OFFSET([2]enemies!$A$1,0,0,COUNTA([2]enemies!$A:$A),MATCH(M$1,[2]enemies!$1:$1,0)-MATCH($L$1,[2]enemies!$1:$1,0)+1),MATCH(M$1,[2]enemies!$1:$1,0)-MATCH($L$1,[2]enemies!$1:$1,0)+1,FALSE)</f>
        <v>トト</v>
      </c>
      <c r="N398" s="21" t="str">
        <f ca="1">VLOOKUP($L398,OFFSET([2]enemies!$A$1,0,0,COUNTA([2]enemies!$A:$A),MATCH(N$1,[2]enemies!$1:$1,0)-MATCH($L$1,[2]enemies!$1:$1,0)+1),MATCH(N$1,[2]enemies!$1:$1,0)-MATCH($L$1,[2]enemies!$1:$1,0)+1,FALSE)</f>
        <v>yellow</v>
      </c>
      <c r="O398" s="21" t="str">
        <f ca="1">VLOOKUP($L398,OFFSET([3]characters!$A$1,0,0,COUNTA([3]characters!$A:$A),MATCH(O$1,[3]characters!$1:$1,0)-MATCH($L$1,[3]characters!$1:$1,0)+1),MATCH(O$1,[3]characters!$1:$1,0)-MATCH($L$1,[3]characters!$1:$1,0)+1,FALSE)</f>
        <v>Drop1S</v>
      </c>
      <c r="P398" s="21" t="str">
        <f ca="1">VLOOKUP($L398,OFFSET([2]enemies!$A$1,0,0,COUNTA([2]enemies!$A:$A),MATCH(P$1,[2]enemies!$1:$1,0)-MATCH($L$1,[2]enemies!$1:$1,0)+1),MATCH(P$1,[2]enemies!$1:$1,0)-MATCH($L$1,[2]enemies!$1:$1,0)+1,FALSE)</f>
        <v>animal</v>
      </c>
      <c r="Q398" s="21">
        <f ca="1">VLOOKUP($L398,OFFSET([2]enemies!$A$1,0,0,COUNTA([2]enemies!$A:$A),MATCH(Q$1,[2]enemies!$1:$1,0)-MATCH($L$1,[2]enemies!$1:$1,0)+1),MATCH(Q$1,[2]enemies!$1:$1,0)-MATCH($L$1,[2]enemies!$1:$1,0)+1,FALSE)</f>
        <v>15</v>
      </c>
      <c r="R398" s="53">
        <v>48</v>
      </c>
      <c r="S398" s="27">
        <v>1.1000000000000001</v>
      </c>
      <c r="T398" s="27">
        <v>1</v>
      </c>
      <c r="U398" s="5">
        <v>0</v>
      </c>
      <c r="V398" s="4" t="str">
        <f ca="1">VLOOKUP($W398,OFFSET([4]enemy_skill_sets!$B$1,0,0,COUNTA([4]enemy_skill_sets!$B:$B),MATCH(M$1,[4]enemy_skill_sets!$1:$1,0)-MATCH($W$1,[4]enemy_skill_sets!$1:$1,0)+2),MATCH(M$1,[4]enemy_skill_sets!$1:$1,0)-MATCH($W$1,[4]enemy_skill_sets!$1:$1,0)+2,FALSE)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398" s="64">
        <v>366</v>
      </c>
      <c r="X398" s="6">
        <v>0</v>
      </c>
      <c r="Y398" s="6">
        <v>100</v>
      </c>
      <c r="Z398" s="6">
        <v>0</v>
      </c>
      <c r="AA398" s="4">
        <f ca="1">VLOOKUP($L398,OFFSET([2]enemies!$A$1,0,0,COUNTA([2]enemies!$A:$A),MATCH(AA$1,[2]enemies!$1:$1,0)-MATCH($L$1,[2]enemies!$1:$1,0)+1),MATCH(AA$1,[2]enemies!$1:$1,0)-MATCH($L$1,[2]enemies!$1:$1,0)+1,FALSE)</f>
        <v>3</v>
      </c>
      <c r="AB398" s="52">
        <v>366</v>
      </c>
      <c r="AC398" s="4" t="str">
        <f ca="1">VLOOKUP($AB398,OFFSET([3]characters!$A$1,0,0,COUNTA([3]characters!$A:$A),MATCH(AC$1,[3]characters!$1:$1,0)-MATCH("character_id",[3]characters!$1:$1,0)+1),MATCH(AC$1,[3]characters!$1:$1,0)-MATCH("character_id",[3]characters!$1:$1,0)+1,FALSE)</f>
        <v>トト</v>
      </c>
      <c r="AD398" s="4">
        <f ca="1">VLOOKUP($AB398,OFFSET([3]characters!$A$1,0,0,COUNTA([3]characters!$A:$A),MATCH(AD$1,[3]characters!$1:$1,0)-MATCH("character_id",[3]characters!$1:$1,0)+1),MATCH(AD$1,[3]characters!$1:$1,0)-MATCH("character_id",[3]characters!$1:$1,0)+1,FALSE)</f>
        <v>2</v>
      </c>
      <c r="AE398" s="4" t="str">
        <f ca="1">VLOOKUP($AB398,OFFSET([3]characters!$A$1,0,0,COUNTA([3]characters!$A:$A),MATCH(AE$1,[3]characters!$1:$1,0)-MATCH("character_id",[3]characters!$1:$1,0)+1),MATCH(AE$1,[3]characters!$1:$1,0)-MATCH("character_id",[3]characters!$1:$1,0)+1,FALSE)</f>
        <v>Drop1S</v>
      </c>
      <c r="AF398" s="7">
        <v>5</v>
      </c>
      <c r="AG398" s="26">
        <f t="shared" ca="1" si="465"/>
        <v>2</v>
      </c>
      <c r="AH398" s="8">
        <v>20</v>
      </c>
      <c r="AI398" s="7">
        <v>0</v>
      </c>
      <c r="AJ398" s="7">
        <v>0</v>
      </c>
      <c r="AK398" s="7">
        <v>0</v>
      </c>
      <c r="AL398" s="7">
        <v>0</v>
      </c>
      <c r="AM398" s="7">
        <v>1</v>
      </c>
    </row>
    <row r="399" spans="1:39" ht="14" x14ac:dyDescent="0.15">
      <c r="A399" s="18" t="str">
        <f t="shared" ref="A399" ca="1" si="473">B399&amp;"_"&amp;C399&amp;"-"&amp;G399&amp;"/"&amp;L399&amp;"&lt;lv"&amp;R399&amp;"&gt;s"&amp;AA399</f>
        <v>24_3-3/354&lt;lv48&gt;s3</v>
      </c>
      <c r="B399" s="53">
        <v>24</v>
      </c>
      <c r="C399" s="51">
        <v>3</v>
      </c>
      <c r="D399" s="2" t="str">
        <f t="shared" ref="D399" si="474">B399&amp;"_"&amp;C399</f>
        <v>24_3</v>
      </c>
      <c r="E399" s="2" t="str">
        <f t="shared" ref="E399" si="475">C399&amp;"_"&amp;D399</f>
        <v>3_24_3</v>
      </c>
      <c r="F399" s="4" t="str">
        <f ca="1">VLOOKUP($D399,OFFSET([1]stages!$A$1,0,0,COUNTA([1]stages!$A:$A),MATCH(F$1,[1]stages!$2:$2,0)-MATCH($D$1,[1]stages!$2:$2,0)+1),MATCH(F$1,[1]stages!$2:$2,0)-MATCH($D$1,[1]stages!$2:$2,0)+1,FALSE)</f>
        <v>24-3．武器を花に変えて</v>
      </c>
      <c r="G399" s="55">
        <v>3</v>
      </c>
      <c r="H399" s="17" t="str">
        <f t="shared" ref="H399" si="476">B399&amp;"_"&amp;C399&amp;"-"&amp;G399</f>
        <v>24_3-3</v>
      </c>
      <c r="I399" s="17"/>
      <c r="J399" s="17"/>
      <c r="K399" s="65" t="s">
        <v>56</v>
      </c>
      <c r="L399" s="52">
        <v>354</v>
      </c>
      <c r="M399" s="21" t="str">
        <f ca="1">VLOOKUP($L399,OFFSET([2]enemies!$A$1,0,0,COUNTA([2]enemies!$A:$A),MATCH(M$1,[2]enemies!$1:$1,0)-MATCH($L$1,[2]enemies!$1:$1,0)+1),MATCH(M$1,[2]enemies!$1:$1,0)-MATCH($L$1,[2]enemies!$1:$1,0)+1,FALSE)</f>
        <v>雷のケロケロ</v>
      </c>
      <c r="N399" s="21" t="str">
        <f ca="1">VLOOKUP($L399,OFFSET([2]enemies!$A$1,0,0,COUNTA([2]enemies!$A:$A),MATCH(N$1,[2]enemies!$1:$1,0)-MATCH($L$1,[2]enemies!$1:$1,0)+1),MATCH(N$1,[2]enemies!$1:$1,0)-MATCH($L$1,[2]enemies!$1:$1,0)+1,FALSE)</f>
        <v>yellow</v>
      </c>
      <c r="O399" s="21" t="str">
        <f ca="1">VLOOKUP($L399,OFFSET([3]characters!$A$1,0,0,COUNTA([3]characters!$A:$A),MATCH(O$1,[3]characters!$1:$1,0)-MATCH($L$1,[3]characters!$1:$1,0)+1),MATCH(O$1,[3]characters!$1:$1,0)-MATCH($L$1,[3]characters!$1:$1,0)+1,FALSE)</f>
        <v>Material</v>
      </c>
      <c r="P399" s="21" t="str">
        <f ca="1">VLOOKUP($L399,OFFSET([2]enemies!$A$1,0,0,COUNTA([2]enemies!$A:$A),MATCH(P$1,[2]enemies!$1:$1,0)-MATCH($L$1,[2]enemies!$1:$1,0)+1),MATCH(P$1,[2]enemies!$1:$1,0)-MATCH($L$1,[2]enemies!$1:$1,0)+1,FALSE)</f>
        <v>unknown</v>
      </c>
      <c r="Q399" s="21">
        <f ca="1">VLOOKUP($L399,OFFSET([2]enemies!$A$1,0,0,COUNTA([2]enemies!$A:$A),MATCH(Q$1,[2]enemies!$1:$1,0)-MATCH($L$1,[2]enemies!$1:$1,0)+1),MATCH(Q$1,[2]enemies!$1:$1,0)-MATCH($L$1,[2]enemies!$1:$1,0)+1,FALSE)</f>
        <v>15</v>
      </c>
      <c r="R399" s="53">
        <v>48</v>
      </c>
      <c r="S399" s="27">
        <v>1</v>
      </c>
      <c r="T399" s="27">
        <v>1</v>
      </c>
      <c r="U399" s="5">
        <v>0</v>
      </c>
      <c r="V399" s="4" t="str">
        <f ca="1">VLOOKUP($W399,OFFSET([4]enemy_skill_sets!$B$1,0,0,COUNTA([4]enemy_skill_sets!$B:$B),MATCH(M$1,[4]enemy_skill_sets!$1:$1,0)-MATCH($W$1,[4]enemy_skill_sets!$1:$1,0)+2),MATCH(M$1,[4]enemy_skill_sets!$1:$1,0)-MATCH($W$1,[4]enemy_skill_sets!$1:$1,0)+2,FALSE)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399" s="64">
        <v>354</v>
      </c>
      <c r="X399" s="6">
        <v>0</v>
      </c>
      <c r="Y399" s="6">
        <v>100</v>
      </c>
      <c r="Z399" s="6">
        <v>0</v>
      </c>
      <c r="AA399" s="4">
        <f ca="1">VLOOKUP($L399,OFFSET([2]enemies!$A$1,0,0,COUNTA([2]enemies!$A:$A),MATCH(AA$1,[2]enemies!$1:$1,0)-MATCH($L$1,[2]enemies!$1:$1,0)+1),MATCH(AA$1,[2]enemies!$1:$1,0)-MATCH($L$1,[2]enemies!$1:$1,0)+1,FALSE)</f>
        <v>3</v>
      </c>
      <c r="AB399" s="52">
        <v>354</v>
      </c>
      <c r="AC399" s="4" t="str">
        <f ca="1">VLOOKUP($AB399,OFFSET([3]characters!$A$1,0,0,COUNTA([3]characters!$A:$A),MATCH(AC$1,[3]characters!$1:$1,0)-MATCH("character_id",[3]characters!$1:$1,0)+1),MATCH(AC$1,[3]characters!$1:$1,0)-MATCH("character_id",[3]characters!$1:$1,0)+1,FALSE)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399" s="4">
        <f ca="1">VLOOKUP($AB399,OFFSET([3]characters!$A$1,0,0,COUNTA([3]characters!$A:$A),MATCH(AD$1,[3]characters!$1:$1,0)-MATCH("character_id",[3]characters!$1:$1,0)+1),MATCH(AD$1,[3]characters!$1:$1,0)-MATCH("character_id",[3]characters!$1:$1,0)+1,FALSE)</f>
        <v>2</v>
      </c>
      <c r="AE399" s="4" t="str">
        <f ca="1">VLOOKUP($AB399,OFFSET([3]characters!$A$1,0,0,COUNTA([3]characters!$A:$A),MATCH(AE$1,[3]characters!$1:$1,0)-MATCH("character_id",[3]characters!$1:$1,0)+1),MATCH(AE$1,[3]characters!$1:$1,0)-MATCH("character_id",[3]characters!$1:$1,0)+1,FALSE)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399" s="7">
        <v>10</v>
      </c>
      <c r="AG399" s="26">
        <f t="shared" ca="1" si="465"/>
        <v>2</v>
      </c>
      <c r="AH399" s="8">
        <v>20</v>
      </c>
      <c r="AI399" s="7">
        <v>0</v>
      </c>
      <c r="AJ399" s="7">
        <v>0</v>
      </c>
      <c r="AK399" s="7">
        <v>0</v>
      </c>
      <c r="AL399" s="7">
        <v>0</v>
      </c>
      <c r="AM399" s="7">
        <v>1</v>
      </c>
    </row>
    <row r="400" spans="1:39" ht="14" x14ac:dyDescent="0.15">
      <c r="A400" s="18" t="str">
        <f t="shared" ca="1" si="466"/>
        <v>24_3-4/47&lt;lv48&gt;s1</v>
      </c>
      <c r="B400" s="50">
        <v>24</v>
      </c>
      <c r="C400" s="49">
        <v>3</v>
      </c>
      <c r="D400" s="2" t="str">
        <f t="shared" si="467"/>
        <v>24_3</v>
      </c>
      <c r="E400" s="2" t="str">
        <f t="shared" si="467"/>
        <v>3_24_3</v>
      </c>
      <c r="F400" s="4" t="str">
        <f ca="1">VLOOKUP($D400,OFFSET([1]stages!$A$1,0,0,COUNTA([1]stages!$A:$A),MATCH(F$1,[1]stages!$2:$2,0)-MATCH($D$1,[1]stages!$2:$2,0)+1),MATCH(F$1,[1]stages!$2:$2,0)-MATCH($D$1,[1]stages!$2:$2,0)+1,FALSE)</f>
        <v>24-3．武器を花に変えて</v>
      </c>
      <c r="G400" s="58">
        <v>4</v>
      </c>
      <c r="H400" s="17" t="str">
        <f t="shared" si="468"/>
        <v>24_3-4</v>
      </c>
      <c r="I400" s="17"/>
      <c r="J400" s="17"/>
      <c r="K400" s="65" t="s">
        <v>56</v>
      </c>
      <c r="L400" s="52">
        <v>47</v>
      </c>
      <c r="M400" s="21" t="str">
        <f ca="1">VLOOKUP($L400,OFFSET([2]enemies!$A$1,0,0,COUNTA([2]enemies!$A:$A),MATCH(M$1,[2]enemies!$1:$1,0)-MATCH($L$1,[2]enemies!$1:$1,0)+1),MATCH(M$1,[2]enemies!$1:$1,0)-MATCH($L$1,[2]enemies!$1:$1,0)+1,FALSE)</f>
        <v>ヒロ</v>
      </c>
      <c r="N400" s="21" t="str">
        <f ca="1">VLOOKUP($L400,OFFSET([2]enemies!$A$1,0,0,COUNTA([2]enemies!$A:$A),MATCH(N$1,[2]enemies!$1:$1,0)-MATCH($L$1,[2]enemies!$1:$1,0)+1),MATCH(N$1,[2]enemies!$1:$1,0)-MATCH($L$1,[2]enemies!$1:$1,0)+1,FALSE)</f>
        <v>yellow</v>
      </c>
      <c r="O400" s="21" t="str">
        <f ca="1">VLOOKUP($L400,OFFSET([3]characters!$A$1,0,0,COUNTA([3]characters!$A:$A),MATCH(O$1,[3]characters!$1:$1,0)-MATCH($L$1,[3]characters!$1:$1,0)+1),MATCH(O$1,[3]characters!$1:$1,0)-MATCH($L$1,[3]characters!$1:$1,0)+1,FALSE)</f>
        <v>Drop1N</v>
      </c>
      <c r="P400" s="21" t="str">
        <f ca="1">VLOOKUP($L400,OFFSET([2]enemies!$A$1,0,0,COUNTA([2]enemies!$A:$A),MATCH(P$1,[2]enemies!$1:$1,0)-MATCH($L$1,[2]enemies!$1:$1,0)+1),MATCH(P$1,[2]enemies!$1:$1,0)-MATCH($L$1,[2]enemies!$1:$1,0)+1,FALSE)</f>
        <v>animal</v>
      </c>
      <c r="Q400" s="21">
        <f ca="1">VLOOKUP($L400,OFFSET([2]enemies!$A$1,0,0,COUNTA([2]enemies!$A:$A),MATCH(Q$1,[2]enemies!$1:$1,0)-MATCH($L$1,[2]enemies!$1:$1,0)+1),MATCH(Q$1,[2]enemies!$1:$1,0)-MATCH($L$1,[2]enemies!$1:$1,0)+1,FALSE)</f>
        <v>15</v>
      </c>
      <c r="R400" s="53">
        <v>48</v>
      </c>
      <c r="S400" s="27">
        <v>1.1000000000000001</v>
      </c>
      <c r="T400" s="27">
        <v>1</v>
      </c>
      <c r="U400" s="5">
        <v>0</v>
      </c>
      <c r="V400" s="4" t="str">
        <f ca="1">VLOOKUP($W400,OFFSET([4]enemy_skill_sets!$B$1,0,0,COUNTA([4]enemy_skill_sets!$B:$B),MATCH(M$1,[4]enemy_skill_sets!$1:$1,0)-MATCH($W$1,[4]enemy_skill_sets!$1:$1,0)+2),MATCH(M$1,[4]enemy_skill_sets!$1:$1,0)-MATCH($W$1,[4]enemy_skill_sets!$1:$1,0)+2,FALSE)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00" s="4">
        <f ca="1">VLOOKUP($L400,OFFSET([2]enemies!$A$1,0,0,COUNTA([2]enemies!$A:$A),MATCH(W$1,[2]enemies!$1:$1,0)-MATCH($L$1,[2]enemies!$1:$1,0)+1),MATCH(W$1,[2]enemies!$1:$1,0)-MATCH($L$1,[2]enemies!$1:$1,0)+1,FALSE)</f>
        <v>0</v>
      </c>
      <c r="X400" s="6">
        <v>0</v>
      </c>
      <c r="Y400" s="6">
        <v>100</v>
      </c>
      <c r="Z400" s="6">
        <v>0</v>
      </c>
      <c r="AA400" s="4">
        <f ca="1">VLOOKUP($L400,OFFSET([2]enemies!$A$1,0,0,COUNTA([2]enemies!$A:$A),MATCH(AA$1,[2]enemies!$1:$1,0)-MATCH($L$1,[2]enemies!$1:$1,0)+1),MATCH(AA$1,[2]enemies!$1:$1,0)-MATCH($L$1,[2]enemies!$1:$1,0)+1,FALSE)</f>
        <v>1</v>
      </c>
      <c r="AB400" s="52">
        <v>47</v>
      </c>
      <c r="AC400" s="4" t="str">
        <f ca="1">VLOOKUP($AB400,OFFSET([3]characters!$A$1,0,0,COUNTA([3]characters!$A:$A),MATCH(AC$1,[3]characters!$1:$1,0)-MATCH("character_id",[3]characters!$1:$1,0)+1),MATCH(AC$1,[3]characters!$1:$1,0)-MATCH("character_id",[3]characters!$1:$1,0)+1,FALSE)</f>
        <v>ヒロ</v>
      </c>
      <c r="AD400" s="4">
        <f ca="1">VLOOKUP($AB400,OFFSET([3]characters!$A$1,0,0,COUNTA([3]characters!$A:$A),MATCH(AD$1,[3]characters!$1:$1,0)-MATCH("character_id",[3]characters!$1:$1,0)+1),MATCH(AD$1,[3]characters!$1:$1,0)-MATCH("character_id",[3]characters!$1:$1,0)+1,FALSE)</f>
        <v>2</v>
      </c>
      <c r="AE400" s="4" t="str">
        <f ca="1">VLOOKUP($AB400,OFFSET([3]characters!$A$1,0,0,COUNTA([3]characters!$A:$A),MATCH(AE$1,[3]characters!$1:$1,0)-MATCH("character_id",[3]characters!$1:$1,0)+1),MATCH(AE$1,[3]characters!$1:$1,0)-MATCH("character_id",[3]characters!$1:$1,0)+1,FALSE)</f>
        <v>Drop1N</v>
      </c>
      <c r="AF400" s="7">
        <v>7</v>
      </c>
      <c r="AG400" s="26">
        <f t="shared" ca="1" si="465"/>
        <v>2</v>
      </c>
      <c r="AH400" s="8">
        <v>20</v>
      </c>
      <c r="AI400" s="7">
        <v>0</v>
      </c>
      <c r="AJ400" s="7">
        <v>0</v>
      </c>
      <c r="AK400" s="7">
        <v>0</v>
      </c>
      <c r="AL400" s="7">
        <v>0</v>
      </c>
      <c r="AM400" s="7">
        <v>1</v>
      </c>
    </row>
    <row r="401" spans="1:39" ht="14" x14ac:dyDescent="0.15">
      <c r="A401" s="18" t="str">
        <f t="shared" ca="1" si="466"/>
        <v>24_3-4/59&lt;lv50&gt;s2</v>
      </c>
      <c r="B401" s="50">
        <v>24</v>
      </c>
      <c r="C401" s="49">
        <v>3</v>
      </c>
      <c r="D401" s="2" t="str">
        <f t="shared" si="467"/>
        <v>24_3</v>
      </c>
      <c r="E401" s="2" t="str">
        <f t="shared" si="467"/>
        <v>3_24_3</v>
      </c>
      <c r="F401" s="4" t="str">
        <f ca="1">VLOOKUP($D401,OFFSET([1]stages!$A$1,0,0,COUNTA([1]stages!$A:$A),MATCH(F$1,[1]stages!$2:$2,0)-MATCH($D$1,[1]stages!$2:$2,0)+1),MATCH(F$1,[1]stages!$2:$2,0)-MATCH($D$1,[1]stages!$2:$2,0)+1,FALSE)</f>
        <v>24-3．武器を花に変えて</v>
      </c>
      <c r="G401" s="58">
        <v>4</v>
      </c>
      <c r="H401" s="17" t="str">
        <f t="shared" si="468"/>
        <v>24_3-4</v>
      </c>
      <c r="I401" s="17"/>
      <c r="J401" s="17"/>
      <c r="K401" s="65" t="s">
        <v>56</v>
      </c>
      <c r="L401" s="52">
        <v>59</v>
      </c>
      <c r="M401" s="21" t="str">
        <f ca="1">VLOOKUP($L401,OFFSET([2]enemies!$A$1,0,0,COUNTA([2]enemies!$A:$A),MATCH(M$1,[2]enemies!$1:$1,0)-MATCH($L$1,[2]enemies!$1:$1,0)+1),MATCH(M$1,[2]enemies!$1:$1,0)-MATCH($L$1,[2]enemies!$1:$1,0)+1,FALSE)</f>
        <v>マーチ</v>
      </c>
      <c r="N401" s="21" t="str">
        <f ca="1">VLOOKUP($L401,OFFSET([2]enemies!$A$1,0,0,COUNTA([2]enemies!$A:$A),MATCH(N$1,[2]enemies!$1:$1,0)-MATCH($L$1,[2]enemies!$1:$1,0)+1),MATCH(N$1,[2]enemies!$1:$1,0)-MATCH($L$1,[2]enemies!$1:$1,0)+1,FALSE)</f>
        <v>green</v>
      </c>
      <c r="O401" s="21" t="str">
        <f ca="1">VLOOKUP($L401,OFFSET([3]characters!$A$1,0,0,COUNTA([3]characters!$A:$A),MATCH(O$1,[3]characters!$1:$1,0)-MATCH($L$1,[3]characters!$1:$1,0)+1),MATCH(O$1,[3]characters!$1:$1,0)-MATCH($L$1,[3]characters!$1:$1,0)+1,FALSE)</f>
        <v>Drop1N</v>
      </c>
      <c r="P401" s="21" t="str">
        <f ca="1">VLOOKUP($L401,OFFSET([2]enemies!$A$1,0,0,COUNTA([2]enemies!$A:$A),MATCH(P$1,[2]enemies!$1:$1,0)-MATCH($L$1,[2]enemies!$1:$1,0)+1),MATCH(P$1,[2]enemies!$1:$1,0)-MATCH($L$1,[2]enemies!$1:$1,0)+1,FALSE)</f>
        <v>animal</v>
      </c>
      <c r="Q401" s="21">
        <f ca="1">VLOOKUP($L401,OFFSET([2]enemies!$A$1,0,0,COUNTA([2]enemies!$A:$A),MATCH(Q$1,[2]enemies!$1:$1,0)-MATCH($L$1,[2]enemies!$1:$1,0)+1),MATCH(Q$1,[2]enemies!$1:$1,0)-MATCH($L$1,[2]enemies!$1:$1,0)+1,FALSE)</f>
        <v>15</v>
      </c>
      <c r="R401" s="53">
        <v>50</v>
      </c>
      <c r="S401" s="27">
        <v>1</v>
      </c>
      <c r="T401" s="27">
        <v>1</v>
      </c>
      <c r="U401" s="5">
        <v>0</v>
      </c>
      <c r="V401" s="4" t="str">
        <f ca="1">VLOOKUP($W401,OFFSET([4]enemy_skill_sets!$B$1,0,0,COUNTA([4]enemy_skill_sets!$B:$B),MATCH(M$1,[4]enemy_skill_sets!$1:$1,0)-MATCH($W$1,[4]enemy_skill_sets!$1:$1,0)+2),MATCH(M$1,[4]enemy_skill_sets!$1:$1,0)-MATCH($W$1,[4]enemy_skill_sets!$1:$1,0)+2,FALSE)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01" s="4">
        <f ca="1">VLOOKUP($L401,OFFSET([2]enemies!$A$1,0,0,COUNTA([2]enemies!$A:$A),MATCH(W$1,[2]enemies!$1:$1,0)-MATCH($L$1,[2]enemies!$1:$1,0)+1),MATCH(W$1,[2]enemies!$1:$1,0)-MATCH($L$1,[2]enemies!$1:$1,0)+1,FALSE)</f>
        <v>59</v>
      </c>
      <c r="X401" s="6">
        <v>0</v>
      </c>
      <c r="Y401" s="6">
        <v>100</v>
      </c>
      <c r="Z401" s="6">
        <v>0</v>
      </c>
      <c r="AA401" s="4">
        <f ca="1">VLOOKUP($L401,OFFSET([2]enemies!$A$1,0,0,COUNTA([2]enemies!$A:$A),MATCH(AA$1,[2]enemies!$1:$1,0)-MATCH($L$1,[2]enemies!$1:$1,0)+1),MATCH(AA$1,[2]enemies!$1:$1,0)-MATCH($L$1,[2]enemies!$1:$1,0)+1,FALSE)</f>
        <v>2</v>
      </c>
      <c r="AB401" s="52">
        <v>59</v>
      </c>
      <c r="AC401" s="4" t="str">
        <f ca="1">VLOOKUP($AB401,OFFSET([3]characters!$A$1,0,0,COUNTA([3]characters!$A:$A),MATCH(AC$1,[3]characters!$1:$1,0)-MATCH("character_id",[3]characters!$1:$1,0)+1),MATCH(AC$1,[3]characters!$1:$1,0)-MATCH("character_id",[3]characters!$1:$1,0)+1,FALSE)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401" s="4">
        <f ca="1">VLOOKUP($AB401,OFFSET([3]characters!$A$1,0,0,COUNTA([3]characters!$A:$A),MATCH(AD$1,[3]characters!$1:$1,0)-MATCH("character_id",[3]characters!$1:$1,0)+1),MATCH(AD$1,[3]characters!$1:$1,0)-MATCH("character_id",[3]characters!$1:$1,0)+1,FALSE)</f>
        <v>2</v>
      </c>
      <c r="AE401" s="4" t="str">
        <f ca="1">VLOOKUP($AB401,OFFSET([3]characters!$A$1,0,0,COUNTA([3]characters!$A:$A),MATCH(AE$1,[3]characters!$1:$1,0)-MATCH("character_id",[3]characters!$1:$1,0)+1),MATCH(AE$1,[3]characters!$1:$1,0)-MATCH("character_id",[3]characters!$1:$1,0)+1,FALSE)</f>
        <v>Drop1N</v>
      </c>
      <c r="AF401" s="7">
        <v>7</v>
      </c>
      <c r="AG401" s="26">
        <f t="shared" ca="1" si="465"/>
        <v>2</v>
      </c>
      <c r="AH401" s="8">
        <v>20</v>
      </c>
      <c r="AI401" s="7">
        <v>0</v>
      </c>
      <c r="AJ401" s="7">
        <v>0</v>
      </c>
      <c r="AK401" s="7">
        <v>0</v>
      </c>
      <c r="AL401" s="7">
        <v>0</v>
      </c>
      <c r="AM401" s="7">
        <v>1</v>
      </c>
    </row>
    <row r="402" spans="1:39" ht="14" x14ac:dyDescent="0.15">
      <c r="A402" s="18" t="str">
        <f t="shared" ca="1" si="466"/>
        <v>24_3-4/63&lt;lv48&gt;s2</v>
      </c>
      <c r="B402" s="50">
        <v>24</v>
      </c>
      <c r="C402" s="49">
        <v>3</v>
      </c>
      <c r="D402" s="2" t="str">
        <f t="shared" si="467"/>
        <v>24_3</v>
      </c>
      <c r="E402" s="2" t="str">
        <f t="shared" si="467"/>
        <v>3_24_3</v>
      </c>
      <c r="F402" s="4" t="str">
        <f ca="1">VLOOKUP($D402,OFFSET([1]stages!$A$1,0,0,COUNTA([1]stages!$A:$A),MATCH(F$1,[1]stages!$2:$2,0)-MATCH($D$1,[1]stages!$2:$2,0)+1),MATCH(F$1,[1]stages!$2:$2,0)-MATCH($D$1,[1]stages!$2:$2,0)+1,FALSE)</f>
        <v>24-3．武器を花に変えて</v>
      </c>
      <c r="G402" s="58">
        <v>4</v>
      </c>
      <c r="H402" s="17" t="str">
        <f t="shared" si="468"/>
        <v>24_3-4</v>
      </c>
      <c r="I402" s="17"/>
      <c r="J402" s="17"/>
      <c r="K402" s="65" t="s">
        <v>56</v>
      </c>
      <c r="L402" s="52">
        <v>63</v>
      </c>
      <c r="M402" s="21" t="str">
        <f ca="1">VLOOKUP($L402,OFFSET([2]enemies!$A$1,0,0,COUNTA([2]enemies!$A:$A),MATCH(M$1,[2]enemies!$1:$1,0)-MATCH($L$1,[2]enemies!$1:$1,0)+1),MATCH(M$1,[2]enemies!$1:$1,0)-MATCH($L$1,[2]enemies!$1:$1,0)+1,FALSE)</f>
        <v>トニー</v>
      </c>
      <c r="N402" s="21" t="str">
        <f ca="1">VLOOKUP($L402,OFFSET([2]enemies!$A$1,0,0,COUNTA([2]enemies!$A:$A),MATCH(N$1,[2]enemies!$1:$1,0)-MATCH($L$1,[2]enemies!$1:$1,0)+1),MATCH(N$1,[2]enemies!$1:$1,0)-MATCH($L$1,[2]enemies!$1:$1,0)+1,FALSE)</f>
        <v>yellow</v>
      </c>
      <c r="O402" s="21" t="str">
        <f ca="1">VLOOKUP($L402,OFFSET([3]characters!$A$1,0,0,COUNTA([3]characters!$A:$A),MATCH(O$1,[3]characters!$1:$1,0)-MATCH($L$1,[3]characters!$1:$1,0)+1),MATCH(O$1,[3]characters!$1:$1,0)-MATCH($L$1,[3]characters!$1:$1,0)+1,FALSE)</f>
        <v>Drop1N</v>
      </c>
      <c r="P402" s="21" t="str">
        <f ca="1">VLOOKUP($L402,OFFSET([2]enemies!$A$1,0,0,COUNTA([2]enemies!$A:$A),MATCH(P$1,[2]enemies!$1:$1,0)-MATCH($L$1,[2]enemies!$1:$1,0)+1),MATCH(P$1,[2]enemies!$1:$1,0)-MATCH($L$1,[2]enemies!$1:$1,0)+1,FALSE)</f>
        <v>animal</v>
      </c>
      <c r="Q402" s="21">
        <f ca="1">VLOOKUP($L402,OFFSET([2]enemies!$A$1,0,0,COUNTA([2]enemies!$A:$A),MATCH(Q$1,[2]enemies!$1:$1,0)-MATCH($L$1,[2]enemies!$1:$1,0)+1),MATCH(Q$1,[2]enemies!$1:$1,0)-MATCH($L$1,[2]enemies!$1:$1,0)+1,FALSE)</f>
        <v>15</v>
      </c>
      <c r="R402" s="53">
        <v>48</v>
      </c>
      <c r="S402" s="27">
        <v>1.1000000000000001</v>
      </c>
      <c r="T402" s="27">
        <v>1</v>
      </c>
      <c r="U402" s="5">
        <v>0</v>
      </c>
      <c r="V402" s="4" t="str">
        <f ca="1">VLOOKUP($W402,OFFSET([4]enemy_skill_sets!$B$1,0,0,COUNTA([4]enemy_skill_sets!$B:$B),MATCH(M$1,[4]enemy_skill_sets!$1:$1,0)-MATCH($W$1,[4]enemy_skill_sets!$1:$1,0)+2),MATCH(M$1,[4]enemy_skill_sets!$1:$1,0)-MATCH($W$1,[4]enemy_skill_sets!$1:$1,0)+2,FALSE)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402" s="4">
        <f ca="1">VLOOKUP($L402,OFFSET([2]enemies!$A$1,0,0,COUNTA([2]enemies!$A:$A),MATCH(W$1,[2]enemies!$1:$1,0)-MATCH($L$1,[2]enemies!$1:$1,0)+1),MATCH(W$1,[2]enemies!$1:$1,0)-MATCH($L$1,[2]enemies!$1:$1,0)+1,FALSE)</f>
        <v>63</v>
      </c>
      <c r="X402" s="6">
        <v>0</v>
      </c>
      <c r="Y402" s="6">
        <v>100</v>
      </c>
      <c r="Z402" s="6">
        <v>0</v>
      </c>
      <c r="AA402" s="4">
        <f ca="1">VLOOKUP($L402,OFFSET([2]enemies!$A$1,0,0,COUNTA([2]enemies!$A:$A),MATCH(AA$1,[2]enemies!$1:$1,0)-MATCH($L$1,[2]enemies!$1:$1,0)+1),MATCH(AA$1,[2]enemies!$1:$1,0)-MATCH($L$1,[2]enemies!$1:$1,0)+1,FALSE)</f>
        <v>2</v>
      </c>
      <c r="AB402" s="52">
        <v>63</v>
      </c>
      <c r="AC402" s="4" t="str">
        <f ca="1">VLOOKUP($AB402,OFFSET([3]characters!$A$1,0,0,COUNTA([3]characters!$A:$A),MATCH(AC$1,[3]characters!$1:$1,0)-MATCH("character_id",[3]characters!$1:$1,0)+1),MATCH(AC$1,[3]characters!$1:$1,0)-MATCH("character_id",[3]characters!$1:$1,0)+1,FALSE)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402" s="4">
        <f ca="1">VLOOKUP($AB402,OFFSET([3]characters!$A$1,0,0,COUNTA([3]characters!$A:$A),MATCH(AD$1,[3]characters!$1:$1,0)-MATCH("character_id",[3]characters!$1:$1,0)+1),MATCH(AD$1,[3]characters!$1:$1,0)-MATCH("character_id",[3]characters!$1:$1,0)+1,FALSE)</f>
        <v>2</v>
      </c>
      <c r="AE402" s="4" t="str">
        <f ca="1">VLOOKUP($AB402,OFFSET([3]characters!$A$1,0,0,COUNTA([3]characters!$A:$A),MATCH(AE$1,[3]characters!$1:$1,0)-MATCH("character_id",[3]characters!$1:$1,0)+1),MATCH(AE$1,[3]characters!$1:$1,0)-MATCH("character_id",[3]characters!$1:$1,0)+1,FALSE)</f>
        <v>Drop1N</v>
      </c>
      <c r="AF402" s="7">
        <v>7</v>
      </c>
      <c r="AG402" s="26">
        <f t="shared" ca="1" si="465"/>
        <v>2</v>
      </c>
      <c r="AH402" s="8">
        <v>20</v>
      </c>
      <c r="AI402" s="7">
        <v>0</v>
      </c>
      <c r="AJ402" s="7">
        <v>0</v>
      </c>
      <c r="AK402" s="7">
        <v>0</v>
      </c>
      <c r="AL402" s="7">
        <v>0</v>
      </c>
      <c r="AM402" s="7">
        <v>1</v>
      </c>
    </row>
    <row r="403" spans="1:39" ht="14" x14ac:dyDescent="0.15">
      <c r="A403" s="18" t="str">
        <f t="shared" ca="1" si="466"/>
        <v>24_3-4/35&lt;lv50&gt;s4</v>
      </c>
      <c r="B403" s="50">
        <v>24</v>
      </c>
      <c r="C403" s="49">
        <v>3</v>
      </c>
      <c r="D403" s="2" t="str">
        <f t="shared" si="467"/>
        <v>24_3</v>
      </c>
      <c r="E403" s="2" t="str">
        <f t="shared" si="467"/>
        <v>3_24_3</v>
      </c>
      <c r="F403" s="4" t="str">
        <f ca="1">VLOOKUP($D403,OFFSET([1]stages!$A$1,0,0,COUNTA([1]stages!$A:$A),MATCH(F$1,[1]stages!$2:$2,0)-MATCH($D$1,[1]stages!$2:$2,0)+1),MATCH(F$1,[1]stages!$2:$2,0)-MATCH($D$1,[1]stages!$2:$2,0)+1,FALSE)</f>
        <v>24-3．武器を花に変えて</v>
      </c>
      <c r="G403" s="58">
        <v>4</v>
      </c>
      <c r="H403" s="17" t="str">
        <f t="shared" si="468"/>
        <v>24_3-4</v>
      </c>
      <c r="I403" s="17"/>
      <c r="J403" s="17"/>
      <c r="K403" s="65" t="s">
        <v>56</v>
      </c>
      <c r="L403" s="52">
        <v>35</v>
      </c>
      <c r="M403" s="21" t="str">
        <f ca="1">VLOOKUP($L403,OFFSET([2]enemies!$A$1,0,0,COUNTA([2]enemies!$A:$A),MATCH(M$1,[2]enemies!$1:$1,0)-MATCH($L$1,[2]enemies!$1:$1,0)+1),MATCH(M$1,[2]enemies!$1:$1,0)-MATCH($L$1,[2]enemies!$1:$1,0)+1,FALSE)</f>
        <v>F2</v>
      </c>
      <c r="N403" s="21" t="str">
        <f ca="1">VLOOKUP($L403,OFFSET([2]enemies!$A$1,0,0,COUNTA([2]enemies!$A:$A),MATCH(N$1,[2]enemies!$1:$1,0)-MATCH($L$1,[2]enemies!$1:$1,0)+1),MATCH(N$1,[2]enemies!$1:$1,0)-MATCH($L$1,[2]enemies!$1:$1,0)+1,FALSE)</f>
        <v>green</v>
      </c>
      <c r="O403" s="21" t="str">
        <f ca="1">VLOOKUP($L403,OFFSET([3]characters!$A$1,0,0,COUNTA([3]characters!$A:$A),MATCH(O$1,[3]characters!$1:$1,0)-MATCH($L$1,[3]characters!$1:$1,0)+1),MATCH(O$1,[3]characters!$1:$1,0)-MATCH($L$1,[3]characters!$1:$1,0)+1,FALSE)</f>
        <v>Drop1S</v>
      </c>
      <c r="P403" s="21" t="str">
        <f ca="1">VLOOKUP($L403,OFFSET([2]enemies!$A$1,0,0,COUNTA([2]enemies!$A:$A),MATCH(P$1,[2]enemies!$1:$1,0)-MATCH($L$1,[2]enemies!$1:$1,0)+1),MATCH(P$1,[2]enemies!$1:$1,0)-MATCH($L$1,[2]enemies!$1:$1,0)+1,FALSE)</f>
        <v>machine</v>
      </c>
      <c r="Q403" s="21">
        <f ca="1">VLOOKUP($L403,OFFSET([2]enemies!$A$1,0,0,COUNTA([2]enemies!$A:$A),MATCH(Q$1,[2]enemies!$1:$1,0)-MATCH($L$1,[2]enemies!$1:$1,0)+1),MATCH(Q$1,[2]enemies!$1:$1,0)-MATCH($L$1,[2]enemies!$1:$1,0)+1,FALSE)</f>
        <v>15</v>
      </c>
      <c r="R403" s="53">
        <v>50</v>
      </c>
      <c r="S403" s="27">
        <v>1</v>
      </c>
      <c r="T403" s="27">
        <v>1</v>
      </c>
      <c r="U403" s="5">
        <v>0</v>
      </c>
      <c r="V403" s="4" t="str">
        <f ca="1">VLOOKUP($W403,OFFSET([4]enemy_skill_sets!$B$1,0,0,COUNTA([4]enemy_skill_sets!$B:$B),MATCH(M$1,[4]enemy_skill_sets!$1:$1,0)-MATCH($W$1,[4]enemy_skill_sets!$1:$1,0)+2),MATCH(M$1,[4]enemy_skill_sets!$1:$1,0)-MATCH($W$1,[4]enemy_skill_sets!$1:$1,0)+2,FALSE)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03" s="4">
        <f ca="1">VLOOKUP($L403,OFFSET([2]enemies!$A$1,0,0,COUNTA([2]enemies!$A:$A),MATCH(W$1,[2]enemies!$1:$1,0)-MATCH($L$1,[2]enemies!$1:$1,0)+1),MATCH(W$1,[2]enemies!$1:$1,0)-MATCH($L$1,[2]enemies!$1:$1,0)+1,FALSE)</f>
        <v>35</v>
      </c>
      <c r="X403" s="6">
        <v>0</v>
      </c>
      <c r="Y403" s="6">
        <v>100</v>
      </c>
      <c r="Z403" s="6">
        <v>0</v>
      </c>
      <c r="AA403" s="4">
        <f ca="1">VLOOKUP($L403,OFFSET([2]enemies!$A$1,0,0,COUNTA([2]enemies!$A:$A),MATCH(AA$1,[2]enemies!$1:$1,0)-MATCH($L$1,[2]enemies!$1:$1,0)+1),MATCH(AA$1,[2]enemies!$1:$1,0)-MATCH($L$1,[2]enemies!$1:$1,0)+1,FALSE)</f>
        <v>4</v>
      </c>
      <c r="AB403" s="52">
        <v>35</v>
      </c>
      <c r="AC403" s="4" t="str">
        <f ca="1">VLOOKUP($AB403,OFFSET([3]characters!$A$1,0,0,COUNTA([3]characters!$A:$A),MATCH(AC$1,[3]characters!$1:$1,0)-MATCH("character_id",[3]characters!$1:$1,0)+1),MATCH(AC$1,[3]characters!$1:$1,0)-MATCH("character_id",[3]characters!$1:$1,0)+1,FALSE)</f>
        <v>F2</v>
      </c>
      <c r="AD403" s="4">
        <f ca="1">VLOOKUP($AB403,OFFSET([3]characters!$A$1,0,0,COUNTA([3]characters!$A:$A),MATCH(AD$1,[3]characters!$1:$1,0)-MATCH("character_id",[3]characters!$1:$1,0)+1),MATCH(AD$1,[3]characters!$1:$1,0)-MATCH("character_id",[3]characters!$1:$1,0)+1,FALSE)</f>
        <v>2</v>
      </c>
      <c r="AE403" s="4" t="str">
        <f ca="1">VLOOKUP($AB403,OFFSET([3]characters!$A$1,0,0,COUNTA([3]characters!$A:$A),MATCH(AE$1,[3]characters!$1:$1,0)-MATCH("character_id",[3]characters!$1:$1,0)+1),MATCH(AE$1,[3]characters!$1:$1,0)-MATCH("character_id",[3]characters!$1:$1,0)+1,FALSE)</f>
        <v>Drop1S</v>
      </c>
      <c r="AF403" s="7">
        <v>5</v>
      </c>
      <c r="AG403" s="26">
        <f t="shared" ca="1" si="465"/>
        <v>2</v>
      </c>
      <c r="AH403" s="8">
        <v>20</v>
      </c>
      <c r="AI403" s="7">
        <v>0</v>
      </c>
      <c r="AJ403" s="7">
        <v>0</v>
      </c>
      <c r="AK403" s="7">
        <v>0</v>
      </c>
      <c r="AL403" s="7">
        <v>0</v>
      </c>
      <c r="AM403" s="7">
        <v>1</v>
      </c>
    </row>
    <row r="404" spans="1:39" ht="14" x14ac:dyDescent="0.15">
      <c r="A404" s="18" t="str">
        <f t="shared" ref="A404:A405" ca="1" si="477">B404&amp;"_"&amp;C404&amp;"-"&amp;G404&amp;"/"&amp;L404&amp;"&lt;lv"&amp;R404&amp;"&gt;s"&amp;AA404</f>
        <v>24_3-4/362&lt;lv50&gt;s3</v>
      </c>
      <c r="B404" s="53">
        <v>24</v>
      </c>
      <c r="C404" s="51">
        <v>3</v>
      </c>
      <c r="D404" s="2" t="str">
        <f t="shared" ref="D404:D405" si="478">B404&amp;"_"&amp;C404</f>
        <v>24_3</v>
      </c>
      <c r="E404" s="2" t="str">
        <f t="shared" ref="E404:E405" si="479">C404&amp;"_"&amp;D404</f>
        <v>3_24_3</v>
      </c>
      <c r="F404" s="4" t="str">
        <f ca="1">VLOOKUP($D404,OFFSET([1]stages!$A$1,0,0,COUNTA([1]stages!$A:$A),MATCH(F$1,[1]stages!$2:$2,0)-MATCH($D$1,[1]stages!$2:$2,0)+1),MATCH(F$1,[1]stages!$2:$2,0)-MATCH($D$1,[1]stages!$2:$2,0)+1,FALSE)</f>
        <v>24-3．武器を花に変えて</v>
      </c>
      <c r="G404" s="58">
        <v>4</v>
      </c>
      <c r="H404" s="17" t="str">
        <f t="shared" ref="H404:H405" si="480">B404&amp;"_"&amp;C404&amp;"-"&amp;G404</f>
        <v>24_3-4</v>
      </c>
      <c r="I404" s="17"/>
      <c r="J404" s="17"/>
      <c r="K404" s="65" t="s">
        <v>56</v>
      </c>
      <c r="L404" s="52">
        <v>362</v>
      </c>
      <c r="M404" s="21" t="str">
        <f ca="1">VLOOKUP($L404,OFFSET([2]enemies!$A$1,0,0,COUNTA([2]enemies!$A:$A),MATCH(M$1,[2]enemies!$1:$1,0)-MATCH($L$1,[2]enemies!$1:$1,0)+1),MATCH(M$1,[2]enemies!$1:$1,0)-MATCH($L$1,[2]enemies!$1:$1,0)+1,FALSE)</f>
        <v>ゆらら</v>
      </c>
      <c r="N404" s="21" t="str">
        <f ca="1">VLOOKUP($L404,OFFSET([2]enemies!$A$1,0,0,COUNTA([2]enemies!$A:$A),MATCH(N$1,[2]enemies!$1:$1,0)-MATCH($L$1,[2]enemies!$1:$1,0)+1),MATCH(N$1,[2]enemies!$1:$1,0)-MATCH($L$1,[2]enemies!$1:$1,0)+1,FALSE)</f>
        <v>green</v>
      </c>
      <c r="O404" s="21" t="str">
        <f ca="1">VLOOKUP($L404,OFFSET([3]characters!$A$1,0,0,COUNTA([3]characters!$A:$A),MATCH(O$1,[3]characters!$1:$1,0)-MATCH($L$1,[3]characters!$1:$1,0)+1),MATCH(O$1,[3]characters!$1:$1,0)-MATCH($L$1,[3]characters!$1:$1,0)+1,FALSE)</f>
        <v>Drop1S</v>
      </c>
      <c r="P404" s="21" t="str">
        <f ca="1">VLOOKUP($L404,OFFSET([2]enemies!$A$1,0,0,COUNTA([2]enemies!$A:$A),MATCH(P$1,[2]enemies!$1:$1,0)-MATCH($L$1,[2]enemies!$1:$1,0)+1),MATCH(P$1,[2]enemies!$1:$1,0)-MATCH($L$1,[2]enemies!$1:$1,0)+1,FALSE)</f>
        <v>animal</v>
      </c>
      <c r="Q404" s="21">
        <f ca="1">VLOOKUP($L404,OFFSET([2]enemies!$A$1,0,0,COUNTA([2]enemies!$A:$A),MATCH(Q$1,[2]enemies!$1:$1,0)-MATCH($L$1,[2]enemies!$1:$1,0)+1),MATCH(Q$1,[2]enemies!$1:$1,0)-MATCH($L$1,[2]enemies!$1:$1,0)+1,FALSE)</f>
        <v>15</v>
      </c>
      <c r="R404" s="53">
        <v>50</v>
      </c>
      <c r="S404" s="27">
        <v>1</v>
      </c>
      <c r="T404" s="27">
        <v>1</v>
      </c>
      <c r="U404" s="5">
        <v>0</v>
      </c>
      <c r="V404" s="4" t="str">
        <f ca="1">VLOOKUP($W404,OFFSET([4]enemy_skill_sets!$B$1,0,0,COUNTA([4]enemy_skill_sets!$B:$B),MATCH(M$1,[4]enemy_skill_sets!$1:$1,0)-MATCH($W$1,[4]enemy_skill_sets!$1:$1,0)+2),MATCH(M$1,[4]enemy_skill_sets!$1:$1,0)-MATCH($W$1,[4]enemy_skill_sets!$1:$1,0)+2,FALSE)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404" s="64">
        <v>362</v>
      </c>
      <c r="X404" s="6">
        <v>0</v>
      </c>
      <c r="Y404" s="6">
        <v>100</v>
      </c>
      <c r="Z404" s="6">
        <v>0</v>
      </c>
      <c r="AA404" s="4">
        <f ca="1">VLOOKUP($L404,OFFSET([2]enemies!$A$1,0,0,COUNTA([2]enemies!$A:$A),MATCH(AA$1,[2]enemies!$1:$1,0)-MATCH($L$1,[2]enemies!$1:$1,0)+1),MATCH(AA$1,[2]enemies!$1:$1,0)-MATCH($L$1,[2]enemies!$1:$1,0)+1,FALSE)</f>
        <v>3</v>
      </c>
      <c r="AB404" s="52">
        <v>362</v>
      </c>
      <c r="AC404" s="4" t="str">
        <f ca="1">VLOOKUP($AB404,OFFSET([3]characters!$A$1,0,0,COUNTA([3]characters!$A:$A),MATCH(AC$1,[3]characters!$1:$1,0)-MATCH("character_id",[3]characters!$1:$1,0)+1),MATCH(AC$1,[3]characters!$1:$1,0)-MATCH("character_id",[3]characters!$1:$1,0)+1,FALSE)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404" s="4">
        <f ca="1">VLOOKUP($AB404,OFFSET([3]characters!$A$1,0,0,COUNTA([3]characters!$A:$A),MATCH(AD$1,[3]characters!$1:$1,0)-MATCH("character_id",[3]characters!$1:$1,0)+1),MATCH(AD$1,[3]characters!$1:$1,0)-MATCH("character_id",[3]characters!$1:$1,0)+1,FALSE)</f>
        <v>2</v>
      </c>
      <c r="AE404" s="4" t="str">
        <f ca="1">VLOOKUP($AB404,OFFSET([3]characters!$A$1,0,0,COUNTA([3]characters!$A:$A),MATCH(AE$1,[3]characters!$1:$1,0)-MATCH("character_id",[3]characters!$1:$1,0)+1),MATCH(AE$1,[3]characters!$1:$1,0)-MATCH("character_id",[3]characters!$1:$1,0)+1,FALSE)</f>
        <v>Drop1S</v>
      </c>
      <c r="AF404" s="7">
        <v>7</v>
      </c>
      <c r="AG404" s="26">
        <f t="shared" ca="1" si="465"/>
        <v>2</v>
      </c>
      <c r="AH404" s="8">
        <v>20</v>
      </c>
      <c r="AI404" s="7">
        <v>0</v>
      </c>
      <c r="AJ404" s="7">
        <v>0</v>
      </c>
      <c r="AK404" s="7">
        <v>0</v>
      </c>
      <c r="AL404" s="7">
        <v>0</v>
      </c>
      <c r="AM404" s="7">
        <v>1</v>
      </c>
    </row>
    <row r="405" spans="1:39" ht="14" x14ac:dyDescent="0.15">
      <c r="A405" s="18" t="str">
        <f t="shared" ca="1" si="477"/>
        <v>24_3-4/366&lt;lv48&gt;s3</v>
      </c>
      <c r="B405" s="53">
        <v>24</v>
      </c>
      <c r="C405" s="51">
        <v>3</v>
      </c>
      <c r="D405" s="2" t="str">
        <f t="shared" si="478"/>
        <v>24_3</v>
      </c>
      <c r="E405" s="2" t="str">
        <f t="shared" si="479"/>
        <v>3_24_3</v>
      </c>
      <c r="F405" s="4" t="str">
        <f ca="1">VLOOKUP($D405,OFFSET([1]stages!$A$1,0,0,COUNTA([1]stages!$A:$A),MATCH(F$1,[1]stages!$2:$2,0)-MATCH($D$1,[1]stages!$2:$2,0)+1),MATCH(F$1,[1]stages!$2:$2,0)-MATCH($D$1,[1]stages!$2:$2,0)+1,FALSE)</f>
        <v>24-3．武器を花に変えて</v>
      </c>
      <c r="G405" s="58">
        <v>4</v>
      </c>
      <c r="H405" s="17" t="str">
        <f t="shared" si="480"/>
        <v>24_3-4</v>
      </c>
      <c r="I405" s="17"/>
      <c r="J405" s="17"/>
      <c r="K405" s="65" t="s">
        <v>56</v>
      </c>
      <c r="L405" s="52">
        <v>366</v>
      </c>
      <c r="M405" s="21" t="str">
        <f ca="1">VLOOKUP($L405,OFFSET([2]enemies!$A$1,0,0,COUNTA([2]enemies!$A:$A),MATCH(M$1,[2]enemies!$1:$1,0)-MATCH($L$1,[2]enemies!$1:$1,0)+1),MATCH(M$1,[2]enemies!$1:$1,0)-MATCH($L$1,[2]enemies!$1:$1,0)+1,FALSE)</f>
        <v>トト</v>
      </c>
      <c r="N405" s="21" t="str">
        <f ca="1">VLOOKUP($L405,OFFSET([2]enemies!$A$1,0,0,COUNTA([2]enemies!$A:$A),MATCH(N$1,[2]enemies!$1:$1,0)-MATCH($L$1,[2]enemies!$1:$1,0)+1),MATCH(N$1,[2]enemies!$1:$1,0)-MATCH($L$1,[2]enemies!$1:$1,0)+1,FALSE)</f>
        <v>yellow</v>
      </c>
      <c r="O405" s="21" t="str">
        <f ca="1">VLOOKUP($L405,OFFSET([3]characters!$A$1,0,0,COUNTA([3]characters!$A:$A),MATCH(O$1,[3]characters!$1:$1,0)-MATCH($L$1,[3]characters!$1:$1,0)+1),MATCH(O$1,[3]characters!$1:$1,0)-MATCH($L$1,[3]characters!$1:$1,0)+1,FALSE)</f>
        <v>Drop1S</v>
      </c>
      <c r="P405" s="21" t="str">
        <f ca="1">VLOOKUP($L405,OFFSET([2]enemies!$A$1,0,0,COUNTA([2]enemies!$A:$A),MATCH(P$1,[2]enemies!$1:$1,0)-MATCH($L$1,[2]enemies!$1:$1,0)+1),MATCH(P$1,[2]enemies!$1:$1,0)-MATCH($L$1,[2]enemies!$1:$1,0)+1,FALSE)</f>
        <v>animal</v>
      </c>
      <c r="Q405" s="21">
        <f ca="1">VLOOKUP($L405,OFFSET([2]enemies!$A$1,0,0,COUNTA([2]enemies!$A:$A),MATCH(Q$1,[2]enemies!$1:$1,0)-MATCH($L$1,[2]enemies!$1:$1,0)+1),MATCH(Q$1,[2]enemies!$1:$1,0)-MATCH($L$1,[2]enemies!$1:$1,0)+1,FALSE)</f>
        <v>15</v>
      </c>
      <c r="R405" s="53">
        <v>48</v>
      </c>
      <c r="S405" s="27">
        <v>1.1000000000000001</v>
      </c>
      <c r="T405" s="27">
        <v>1</v>
      </c>
      <c r="U405" s="5">
        <v>0</v>
      </c>
      <c r="V405" s="4" t="str">
        <f ca="1">VLOOKUP($W405,OFFSET([4]enemy_skill_sets!$B$1,0,0,COUNTA([4]enemy_skill_sets!$B:$B),MATCH(M$1,[4]enemy_skill_sets!$1:$1,0)-MATCH($W$1,[4]enemy_skill_sets!$1:$1,0)+2),MATCH(M$1,[4]enemy_skill_sets!$1:$1,0)-MATCH($W$1,[4]enemy_skill_sets!$1:$1,0)+2,FALSE)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405" s="64">
        <v>366</v>
      </c>
      <c r="X405" s="6">
        <v>0</v>
      </c>
      <c r="Y405" s="6">
        <v>100</v>
      </c>
      <c r="Z405" s="6">
        <v>0</v>
      </c>
      <c r="AA405" s="4">
        <f ca="1">VLOOKUP($L405,OFFSET([2]enemies!$A$1,0,0,COUNTA([2]enemies!$A:$A),MATCH(AA$1,[2]enemies!$1:$1,0)-MATCH($L$1,[2]enemies!$1:$1,0)+1),MATCH(AA$1,[2]enemies!$1:$1,0)-MATCH($L$1,[2]enemies!$1:$1,0)+1,FALSE)</f>
        <v>3</v>
      </c>
      <c r="AB405" s="52">
        <v>366</v>
      </c>
      <c r="AC405" s="4" t="str">
        <f ca="1">VLOOKUP($AB405,OFFSET([3]characters!$A$1,0,0,COUNTA([3]characters!$A:$A),MATCH(AC$1,[3]characters!$1:$1,0)-MATCH("character_id",[3]characters!$1:$1,0)+1),MATCH(AC$1,[3]characters!$1:$1,0)-MATCH("character_id",[3]characters!$1:$1,0)+1,FALSE)</f>
        <v>トト</v>
      </c>
      <c r="AD405" s="4">
        <f ca="1">VLOOKUP($AB405,OFFSET([3]characters!$A$1,0,0,COUNTA([3]characters!$A:$A),MATCH(AD$1,[3]characters!$1:$1,0)-MATCH("character_id",[3]characters!$1:$1,0)+1),MATCH(AD$1,[3]characters!$1:$1,0)-MATCH("character_id",[3]characters!$1:$1,0)+1,FALSE)</f>
        <v>2</v>
      </c>
      <c r="AE405" s="4" t="str">
        <f ca="1">VLOOKUP($AB405,OFFSET([3]characters!$A$1,0,0,COUNTA([3]characters!$A:$A),MATCH(AE$1,[3]characters!$1:$1,0)-MATCH("character_id",[3]characters!$1:$1,0)+1),MATCH(AE$1,[3]characters!$1:$1,0)-MATCH("character_id",[3]characters!$1:$1,0)+1,FALSE)</f>
        <v>Drop1S</v>
      </c>
      <c r="AF405" s="7">
        <v>5</v>
      </c>
      <c r="AG405" s="26">
        <f t="shared" ca="1" si="465"/>
        <v>2</v>
      </c>
      <c r="AH405" s="8">
        <v>20</v>
      </c>
      <c r="AI405" s="7">
        <v>0</v>
      </c>
      <c r="AJ405" s="7">
        <v>0</v>
      </c>
      <c r="AK405" s="7">
        <v>0</v>
      </c>
      <c r="AL405" s="7">
        <v>0</v>
      </c>
      <c r="AM405" s="7">
        <v>1</v>
      </c>
    </row>
    <row r="406" spans="1:39" ht="14" x14ac:dyDescent="0.15">
      <c r="A406" s="18" t="str">
        <f t="shared" ref="A406" ca="1" si="481">B406&amp;"_"&amp;C406&amp;"-"&amp;G406&amp;"/"&amp;L406&amp;"&lt;lv"&amp;R406&amp;"&gt;s"&amp;AA406</f>
        <v>24_3-4/354&lt;lv50&gt;s3</v>
      </c>
      <c r="B406" s="53">
        <v>24</v>
      </c>
      <c r="C406" s="51">
        <v>3</v>
      </c>
      <c r="D406" s="2" t="str">
        <f t="shared" ref="D406" si="482">B406&amp;"_"&amp;C406</f>
        <v>24_3</v>
      </c>
      <c r="E406" s="2" t="str">
        <f t="shared" ref="E406" si="483">C406&amp;"_"&amp;D406</f>
        <v>3_24_3</v>
      </c>
      <c r="F406" s="4" t="str">
        <f ca="1">VLOOKUP($D406,OFFSET([1]stages!$A$1,0,0,COUNTA([1]stages!$A:$A),MATCH(F$1,[1]stages!$2:$2,0)-MATCH($D$1,[1]stages!$2:$2,0)+1),MATCH(F$1,[1]stages!$2:$2,0)-MATCH($D$1,[1]stages!$2:$2,0)+1,FALSE)</f>
        <v>24-3．武器を花に変えて</v>
      </c>
      <c r="G406" s="58">
        <v>4</v>
      </c>
      <c r="H406" s="17" t="str">
        <f t="shared" ref="H406" si="484">B406&amp;"_"&amp;C406&amp;"-"&amp;G406</f>
        <v>24_3-4</v>
      </c>
      <c r="I406" s="17"/>
      <c r="J406" s="17"/>
      <c r="K406" s="65" t="s">
        <v>56</v>
      </c>
      <c r="L406" s="52">
        <v>354</v>
      </c>
      <c r="M406" s="21" t="str">
        <f ca="1">VLOOKUP($L406,OFFSET([2]enemies!$A$1,0,0,COUNTA([2]enemies!$A:$A),MATCH(M$1,[2]enemies!$1:$1,0)-MATCH($L$1,[2]enemies!$1:$1,0)+1),MATCH(M$1,[2]enemies!$1:$1,0)-MATCH($L$1,[2]enemies!$1:$1,0)+1,FALSE)</f>
        <v>雷のケロケロ</v>
      </c>
      <c r="N406" s="21" t="str">
        <f ca="1">VLOOKUP($L406,OFFSET([2]enemies!$A$1,0,0,COUNTA([2]enemies!$A:$A),MATCH(N$1,[2]enemies!$1:$1,0)-MATCH($L$1,[2]enemies!$1:$1,0)+1),MATCH(N$1,[2]enemies!$1:$1,0)-MATCH($L$1,[2]enemies!$1:$1,0)+1,FALSE)</f>
        <v>yellow</v>
      </c>
      <c r="O406" s="21" t="str">
        <f ca="1">VLOOKUP($L406,OFFSET([3]characters!$A$1,0,0,COUNTA([3]characters!$A:$A),MATCH(O$1,[3]characters!$1:$1,0)-MATCH($L$1,[3]characters!$1:$1,0)+1),MATCH(O$1,[3]characters!$1:$1,0)-MATCH($L$1,[3]characters!$1:$1,0)+1,FALSE)</f>
        <v>Material</v>
      </c>
      <c r="P406" s="21" t="str">
        <f ca="1">VLOOKUP($L406,OFFSET([2]enemies!$A$1,0,0,COUNTA([2]enemies!$A:$A),MATCH(P$1,[2]enemies!$1:$1,0)-MATCH($L$1,[2]enemies!$1:$1,0)+1),MATCH(P$1,[2]enemies!$1:$1,0)-MATCH($L$1,[2]enemies!$1:$1,0)+1,FALSE)</f>
        <v>unknown</v>
      </c>
      <c r="Q406" s="21">
        <f ca="1">VLOOKUP($L406,OFFSET([2]enemies!$A$1,0,0,COUNTA([2]enemies!$A:$A),MATCH(Q$1,[2]enemies!$1:$1,0)-MATCH($L$1,[2]enemies!$1:$1,0)+1),MATCH(Q$1,[2]enemies!$1:$1,0)-MATCH($L$1,[2]enemies!$1:$1,0)+1,FALSE)</f>
        <v>15</v>
      </c>
      <c r="R406" s="53">
        <v>50</v>
      </c>
      <c r="S406" s="27">
        <v>1</v>
      </c>
      <c r="T406" s="27">
        <v>1</v>
      </c>
      <c r="U406" s="5">
        <v>0</v>
      </c>
      <c r="V406" s="4" t="str">
        <f ca="1">VLOOKUP($W406,OFFSET([4]enemy_skill_sets!$B$1,0,0,COUNTA([4]enemy_skill_sets!$B:$B),MATCH(M$1,[4]enemy_skill_sets!$1:$1,0)-MATCH($W$1,[4]enemy_skill_sets!$1:$1,0)+2),MATCH(M$1,[4]enemy_skill_sets!$1:$1,0)-MATCH($W$1,[4]enemy_skill_sets!$1:$1,0)+2,FALSE)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406" s="64">
        <v>354</v>
      </c>
      <c r="X406" s="6">
        <v>0</v>
      </c>
      <c r="Y406" s="6">
        <v>100</v>
      </c>
      <c r="Z406" s="6">
        <v>0</v>
      </c>
      <c r="AA406" s="4">
        <f ca="1">VLOOKUP($L406,OFFSET([2]enemies!$A$1,0,0,COUNTA([2]enemies!$A:$A),MATCH(AA$1,[2]enemies!$1:$1,0)-MATCH($L$1,[2]enemies!$1:$1,0)+1),MATCH(AA$1,[2]enemies!$1:$1,0)-MATCH($L$1,[2]enemies!$1:$1,0)+1,FALSE)</f>
        <v>3</v>
      </c>
      <c r="AB406" s="52">
        <v>354</v>
      </c>
      <c r="AC406" s="4" t="str">
        <f ca="1">VLOOKUP($AB406,OFFSET([3]characters!$A$1,0,0,COUNTA([3]characters!$A:$A),MATCH(AC$1,[3]characters!$1:$1,0)-MATCH("character_id",[3]characters!$1:$1,0)+1),MATCH(AC$1,[3]characters!$1:$1,0)-MATCH("character_id",[3]characters!$1:$1,0)+1,FALSE)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406" s="4">
        <f ca="1">VLOOKUP($AB406,OFFSET([3]characters!$A$1,0,0,COUNTA([3]characters!$A:$A),MATCH(AD$1,[3]characters!$1:$1,0)-MATCH("character_id",[3]characters!$1:$1,0)+1),MATCH(AD$1,[3]characters!$1:$1,0)-MATCH("character_id",[3]characters!$1:$1,0)+1,FALSE)</f>
        <v>2</v>
      </c>
      <c r="AE406" s="4" t="str">
        <f ca="1">VLOOKUP($AB406,OFFSET([3]characters!$A$1,0,0,COUNTA([3]characters!$A:$A),MATCH(AE$1,[3]characters!$1:$1,0)-MATCH("character_id",[3]characters!$1:$1,0)+1),MATCH(AE$1,[3]characters!$1:$1,0)-MATCH("character_id",[3]characters!$1:$1,0)+1,FALSE)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06" s="7">
        <v>10</v>
      </c>
      <c r="AG406" s="26">
        <f t="shared" ca="1" si="465"/>
        <v>2</v>
      </c>
      <c r="AH406" s="8">
        <v>20</v>
      </c>
      <c r="AI406" s="7">
        <v>0</v>
      </c>
      <c r="AJ406" s="7">
        <v>0</v>
      </c>
      <c r="AK406" s="7">
        <v>0</v>
      </c>
      <c r="AL406" s="7">
        <v>0</v>
      </c>
      <c r="AM406" s="7">
        <v>1</v>
      </c>
    </row>
    <row r="407" spans="1:39" ht="14" x14ac:dyDescent="0.15">
      <c r="A407" s="18" t="str">
        <f t="shared" si="466"/>
        <v>24_3-5/242&lt;lv53&gt;s3</v>
      </c>
      <c r="B407" s="50">
        <v>24</v>
      </c>
      <c r="C407" s="49">
        <v>3</v>
      </c>
      <c r="D407" s="2" t="str">
        <f t="shared" si="467"/>
        <v>24_3</v>
      </c>
      <c r="E407" s="2" t="str">
        <f t="shared" si="467"/>
        <v>3_24_3</v>
      </c>
      <c r="F407" s="4" t="str">
        <f ca="1">VLOOKUP($D407,OFFSET([1]stages!$A$1,0,0,COUNTA([1]stages!$A:$A),MATCH(F$1,[1]stages!$2:$2,0)-MATCH($D$1,[1]stages!$2:$2,0)+1),MATCH(F$1,[1]stages!$2:$2,0)-MATCH($D$1,[1]stages!$2:$2,0)+1,FALSE)</f>
        <v>24-3．武器を花に変えて</v>
      </c>
      <c r="G407" s="57">
        <v>5</v>
      </c>
      <c r="H407" s="17" t="str">
        <f t="shared" si="468"/>
        <v>24_3-5</v>
      </c>
      <c r="I407" s="17"/>
      <c r="J407" s="17"/>
      <c r="K407" s="65">
        <v>242</v>
      </c>
      <c r="L407" s="52">
        <v>242</v>
      </c>
      <c r="M407" s="21" t="str">
        <f ca="1">VLOOKUP($L407,OFFSET([2]enemies!$A$1,0,0,COUNTA([2]enemies!$A:$A),MATCH(M$1,[2]enemies!$1:$1,0)-MATCH($L$1,[2]enemies!$1:$1,0)+1),MATCH(M$1,[2]enemies!$1:$1,0)-MATCH($L$1,[2]enemies!$1:$1,0)+1,FALSE)</f>
        <v>百花の天使 ガブリエル</v>
      </c>
      <c r="N407" s="21" t="str">
        <f ca="1">VLOOKUP($L407,OFFSET([2]enemies!$A$1,0,0,COUNTA([2]enemies!$A:$A),MATCH(N$1,[2]enemies!$1:$1,0)-MATCH($L$1,[2]enemies!$1:$1,0)+1),MATCH(N$1,[2]enemies!$1:$1,0)-MATCH($L$1,[2]enemies!$1:$1,0)+1,FALSE)</f>
        <v>green</v>
      </c>
      <c r="O407" s="21" t="str">
        <f ca="1">VLOOKUP($L407,OFFSET([3]characters!$A$1,0,0,COUNTA([3]characters!$A:$A),MATCH(O$1,[3]characters!$1:$1,0)-MATCH($L$1,[3]characters!$1:$1,0)+1),MATCH(O$1,[3]characters!$1:$1,0)-MATCH($L$1,[3]characters!$1:$1,0)+1,FALSE)</f>
        <v>PremiumS</v>
      </c>
      <c r="P407" s="21" t="str">
        <f ca="1">VLOOKUP($L407,OFFSET([2]enemies!$A$1,0,0,COUNTA([2]enemies!$A:$A),MATCH(P$1,[2]enemies!$1:$1,0)-MATCH($L$1,[2]enemies!$1:$1,0)+1),MATCH(P$1,[2]enemies!$1:$1,0)-MATCH($L$1,[2]enemies!$1:$1,0)+1,FALSE)</f>
        <v>machine</v>
      </c>
      <c r="Q407" s="21">
        <f ca="1">VLOOKUP($L407,OFFSET([2]enemies!$A$1,0,0,COUNTA([2]enemies!$A:$A),MATCH(Q$1,[2]enemies!$1:$1,0)-MATCH($L$1,[2]enemies!$1:$1,0)+1),MATCH(Q$1,[2]enemies!$1:$1,0)-MATCH($L$1,[2]enemies!$1:$1,0)+1,FALSE)</f>
        <v>30</v>
      </c>
      <c r="R407" s="53">
        <v>53</v>
      </c>
      <c r="S407" s="27">
        <v>0.9</v>
      </c>
      <c r="T407" s="27">
        <v>0.7</v>
      </c>
      <c r="U407" s="5">
        <v>0</v>
      </c>
      <c r="V407" s="4" t="str">
        <f ca="1">VLOOKUP($W407,OFFSET([4]enemy_skill_sets!$B$1,0,0,COUNTA([4]enemy_skill_sets!$B:$B),MATCH(M$1,[4]enemy_skill_sets!$1:$1,0)-MATCH($W$1,[4]enemy_skill_sets!$1:$1,0)+2),MATCH(M$1,[4]enemy_skill_sets!$1:$1,0)-MATCH($W$1,[4]enemy_skill_sets!$1:$1,0)+2,FALSE)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407" s="64">
        <v>24201</v>
      </c>
      <c r="X407" s="6">
        <v>1</v>
      </c>
      <c r="Y407" s="6">
        <v>100</v>
      </c>
      <c r="Z407" s="6">
        <v>1</v>
      </c>
      <c r="AA407" s="4">
        <v>3</v>
      </c>
      <c r="AB407" s="52">
        <v>241</v>
      </c>
      <c r="AC407" s="4" t="str">
        <f ca="1">VLOOKUP($AB407,OFFSET([3]characters!$A$1,0,0,COUNTA([3]characters!$A:$A),MATCH(AC$1,[3]characters!$1:$1,0)-MATCH("character_id",[3]characters!$1:$1,0)+1),MATCH(AC$1,[3]characters!$1:$1,0)-MATCH("character_id",[3]characters!$1:$1,0)+1,FALSE)</f>
        <v>ガブリエル</v>
      </c>
      <c r="AD407" s="4">
        <f ca="1">VLOOKUP($AB407,OFFSET([3]characters!$A$1,0,0,COUNTA([3]characters!$A:$A),MATCH(AD$1,[3]characters!$1:$1,0)-MATCH("character_id",[3]characters!$1:$1,0)+1),MATCH(AD$1,[3]characters!$1:$1,0)-MATCH("character_id",[3]characters!$1:$1,0)+1,FALSE)</f>
        <v>3</v>
      </c>
      <c r="AE407" s="4" t="str">
        <f ca="1">VLOOKUP($AB407,OFFSET([3]characters!$A$1,0,0,COUNTA([3]characters!$A:$A),MATCH(AE$1,[3]characters!$1:$1,0)-MATCH("character_id",[3]characters!$1:$1,0)+1),MATCH(AE$1,[3]characters!$1:$1,0)-MATCH("character_id",[3]characters!$1:$1,0)+1,FALSE)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407" s="7">
        <v>1</v>
      </c>
      <c r="AG407" s="26">
        <f t="shared" ca="1" si="465"/>
        <v>3</v>
      </c>
      <c r="AH407" s="8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1</v>
      </c>
    </row>
    <row r="408" spans="1:39" ht="14" x14ac:dyDescent="0.15">
      <c r="A408" s="18" t="str">
        <f t="shared" ca="1" si="466"/>
        <v>24_4-1/11&lt;lv52&gt;s3</v>
      </c>
      <c r="B408" s="50">
        <v>24</v>
      </c>
      <c r="C408" s="49">
        <v>4</v>
      </c>
      <c r="D408" s="2" t="str">
        <f t="shared" si="467"/>
        <v>24_4</v>
      </c>
      <c r="E408" s="2" t="str">
        <f t="shared" si="467"/>
        <v>4_24_4</v>
      </c>
      <c r="F408" s="4" t="str">
        <f ca="1">VLOOKUP($D408,OFFSET([1]stages!$A$1,0,0,COUNTA([1]stages!$A:$A),MATCH(F$1,[1]stages!$2:$2,0)-MATCH($D$1,[1]stages!$2:$2,0)+1),MATCH(F$1,[1]stages!$2:$2,0)-MATCH($D$1,[1]stages!$2:$2,0)+1,FALSE)</f>
        <v>24-4．肉弾の虎将</v>
      </c>
      <c r="G408" s="54">
        <v>1</v>
      </c>
      <c r="H408" s="17" t="str">
        <f t="shared" si="468"/>
        <v>24_4-1</v>
      </c>
      <c r="I408" s="17"/>
      <c r="J408" s="17"/>
      <c r="K408" s="65" t="s">
        <v>56</v>
      </c>
      <c r="L408" s="52">
        <v>11</v>
      </c>
      <c r="M408" s="21" t="str">
        <f ca="1">VLOOKUP($L408,OFFSET([2]enemies!$A$1,0,0,COUNTA([2]enemies!$A:$A),MATCH(M$1,[2]enemies!$1:$1,0)-MATCH($L$1,[2]enemies!$1:$1,0)+1),MATCH(M$1,[2]enemies!$1:$1,0)-MATCH($L$1,[2]enemies!$1:$1,0)+1,FALSE)</f>
        <v>マグリット</v>
      </c>
      <c r="N408" s="21" t="str">
        <f ca="1">VLOOKUP($L408,OFFSET([2]enemies!$A$1,0,0,COUNTA([2]enemies!$A:$A),MATCH(N$1,[2]enemies!$1:$1,0)-MATCH($L$1,[2]enemies!$1:$1,0)+1),MATCH(N$1,[2]enemies!$1:$1,0)-MATCH($L$1,[2]enemies!$1:$1,0)+1,FALSE)</f>
        <v>green</v>
      </c>
      <c r="O408" s="21" t="str">
        <f ca="1">VLOOKUP($L408,OFFSET([3]characters!$A$1,0,0,COUNTA([3]characters!$A:$A),MATCH(O$1,[3]characters!$1:$1,0)-MATCH($L$1,[3]characters!$1:$1,0)+1),MATCH(O$1,[3]characters!$1:$1,0)-MATCH($L$1,[3]characters!$1:$1,0)+1,FALSE)</f>
        <v>Drop1W</v>
      </c>
      <c r="P408" s="21" t="str">
        <f ca="1">VLOOKUP($L408,OFFSET([2]enemies!$A$1,0,0,COUNTA([2]enemies!$A:$A),MATCH(P$1,[2]enemies!$1:$1,0)-MATCH($L$1,[2]enemies!$1:$1,0)+1),MATCH(P$1,[2]enemies!$1:$1,0)-MATCH($L$1,[2]enemies!$1:$1,0)+1,FALSE)</f>
        <v>animal</v>
      </c>
      <c r="Q408" s="21">
        <f ca="1">VLOOKUP($L408,OFFSET([2]enemies!$A$1,0,0,COUNTA([2]enemies!$A:$A),MATCH(Q$1,[2]enemies!$1:$1,0)-MATCH($L$1,[2]enemies!$1:$1,0)+1),MATCH(Q$1,[2]enemies!$1:$1,0)-MATCH($L$1,[2]enemies!$1:$1,0)+1,FALSE)</f>
        <v>15</v>
      </c>
      <c r="R408" s="53">
        <v>52</v>
      </c>
      <c r="S408" s="27">
        <v>1</v>
      </c>
      <c r="T408" s="27">
        <v>1</v>
      </c>
      <c r="U408" s="5">
        <v>0</v>
      </c>
      <c r="V408" s="4" t="str">
        <f ca="1">VLOOKUP($W408,OFFSET([4]enemy_skill_sets!$B$1,0,0,COUNTA([4]enemy_skill_sets!$B:$B),MATCH(M$1,[4]enemy_skill_sets!$1:$1,0)-MATCH($W$1,[4]enemy_skill_sets!$1:$1,0)+2),MATCH(M$1,[4]enemy_skill_sets!$1:$1,0)-MATCH($W$1,[4]enemy_skill_sets!$1:$1,0)+2,FALSE)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08" s="4">
        <f ca="1">VLOOKUP($L408,OFFSET([2]enemies!$A$1,0,0,COUNTA([2]enemies!$A:$A),MATCH(W$1,[2]enemies!$1:$1,0)-MATCH($L$1,[2]enemies!$1:$1,0)+1),MATCH(W$1,[2]enemies!$1:$1,0)-MATCH($L$1,[2]enemies!$1:$1,0)+1,FALSE)</f>
        <v>0</v>
      </c>
      <c r="X408" s="6">
        <v>0</v>
      </c>
      <c r="Y408" s="6">
        <v>100</v>
      </c>
      <c r="Z408" s="6">
        <v>0</v>
      </c>
      <c r="AA408" s="4">
        <f ca="1">VLOOKUP($L408,OFFSET([2]enemies!$A$1,0,0,COUNTA([2]enemies!$A:$A),MATCH(AA$1,[2]enemies!$1:$1,0)-MATCH($L$1,[2]enemies!$1:$1,0)+1),MATCH(AA$1,[2]enemies!$1:$1,0)-MATCH($L$1,[2]enemies!$1:$1,0)+1,FALSE)</f>
        <v>3</v>
      </c>
      <c r="AB408" s="52">
        <v>11</v>
      </c>
      <c r="AC408" s="4" t="str">
        <f ca="1">VLOOKUP($AB408,OFFSET([3]characters!$A$1,0,0,COUNTA([3]characters!$A:$A),MATCH(AC$1,[3]characters!$1:$1,0)-MATCH("character_id",[3]characters!$1:$1,0)+1),MATCH(AC$1,[3]characters!$1:$1,0)-MATCH("character_id",[3]characters!$1:$1,0)+1,FALSE)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408" s="4">
        <f ca="1">VLOOKUP($AB408,OFFSET([3]characters!$A$1,0,0,COUNTA([3]characters!$A:$A),MATCH(AD$1,[3]characters!$1:$1,0)-MATCH("character_id",[3]characters!$1:$1,0)+1),MATCH(AD$1,[3]characters!$1:$1,0)-MATCH("character_id",[3]characters!$1:$1,0)+1,FALSE)</f>
        <v>1</v>
      </c>
      <c r="AE408" s="4" t="str">
        <f ca="1">VLOOKUP($AB408,OFFSET([3]characters!$A$1,0,0,COUNTA([3]characters!$A:$A),MATCH(AE$1,[3]characters!$1:$1,0)-MATCH("character_id",[3]characters!$1:$1,0)+1),MATCH(AE$1,[3]characters!$1:$1,0)-MATCH("character_id",[3]characters!$1:$1,0)+1,FALSE)</f>
        <v>Drop1W</v>
      </c>
      <c r="AF408" s="7">
        <v>9</v>
      </c>
      <c r="AG408" s="26">
        <f t="shared" ca="1" si="465"/>
        <v>1</v>
      </c>
      <c r="AH408" s="8">
        <v>20</v>
      </c>
      <c r="AI408" s="7">
        <v>0</v>
      </c>
      <c r="AJ408" s="7">
        <v>0</v>
      </c>
      <c r="AK408" s="7">
        <v>0</v>
      </c>
      <c r="AL408" s="7">
        <v>0</v>
      </c>
      <c r="AM408" s="7">
        <v>1</v>
      </c>
    </row>
    <row r="409" spans="1:39" ht="14" x14ac:dyDescent="0.15">
      <c r="A409" s="18" t="str">
        <f t="shared" ca="1" si="466"/>
        <v>24_4-1/23&lt;lv52&gt;s4</v>
      </c>
      <c r="B409" s="50">
        <v>24</v>
      </c>
      <c r="C409" s="49">
        <v>4</v>
      </c>
      <c r="D409" s="2" t="str">
        <f t="shared" si="467"/>
        <v>24_4</v>
      </c>
      <c r="E409" s="2" t="str">
        <f t="shared" si="467"/>
        <v>4_24_4</v>
      </c>
      <c r="F409" s="4" t="str">
        <f ca="1">VLOOKUP($D409,OFFSET([1]stages!$A$1,0,0,COUNTA([1]stages!$A:$A),MATCH(F$1,[1]stages!$2:$2,0)-MATCH($D$1,[1]stages!$2:$2,0)+1),MATCH(F$1,[1]stages!$2:$2,0)-MATCH($D$1,[1]stages!$2:$2,0)+1,FALSE)</f>
        <v>24-4．肉弾の虎将</v>
      </c>
      <c r="G409" s="54">
        <v>1</v>
      </c>
      <c r="H409" s="17" t="str">
        <f t="shared" si="468"/>
        <v>24_4-1</v>
      </c>
      <c r="I409" s="17"/>
      <c r="J409" s="17"/>
      <c r="K409" s="65" t="s">
        <v>56</v>
      </c>
      <c r="L409" s="52">
        <v>23</v>
      </c>
      <c r="M409" s="21" t="str">
        <f ca="1">VLOOKUP($L409,OFFSET([2]enemies!$A$1,0,0,COUNTA([2]enemies!$A:$A),MATCH(M$1,[2]enemies!$1:$1,0)-MATCH($L$1,[2]enemies!$1:$1,0)+1),MATCH(M$1,[2]enemies!$1:$1,0)-MATCH($L$1,[2]enemies!$1:$1,0)+1,FALSE)</f>
        <v>ミール</v>
      </c>
      <c r="N409" s="21" t="str">
        <f ca="1">VLOOKUP($L409,OFFSET([2]enemies!$A$1,0,0,COUNTA([2]enemies!$A:$A),MATCH(N$1,[2]enemies!$1:$1,0)-MATCH($L$1,[2]enemies!$1:$1,0)+1),MATCH(N$1,[2]enemies!$1:$1,0)-MATCH($L$1,[2]enemies!$1:$1,0)+1,FALSE)</f>
        <v>green</v>
      </c>
      <c r="O409" s="21" t="str">
        <f ca="1">VLOOKUP($L409,OFFSET([3]characters!$A$1,0,0,COUNTA([3]characters!$A:$A),MATCH(O$1,[3]characters!$1:$1,0)-MATCH($L$1,[3]characters!$1:$1,0)+1),MATCH(O$1,[3]characters!$1:$1,0)-MATCH($L$1,[3]characters!$1:$1,0)+1,FALSE)</f>
        <v>Drop1N</v>
      </c>
      <c r="P409" s="21" t="str">
        <f ca="1">VLOOKUP($L409,OFFSET([2]enemies!$A$1,0,0,COUNTA([2]enemies!$A:$A),MATCH(P$1,[2]enemies!$1:$1,0)-MATCH($L$1,[2]enemies!$1:$1,0)+1),MATCH(P$1,[2]enemies!$1:$1,0)-MATCH($L$1,[2]enemies!$1:$1,0)+1,FALSE)</f>
        <v>animal</v>
      </c>
      <c r="Q409" s="21">
        <f ca="1">VLOOKUP($L409,OFFSET([2]enemies!$A$1,0,0,COUNTA([2]enemies!$A:$A),MATCH(Q$1,[2]enemies!$1:$1,0)-MATCH($L$1,[2]enemies!$1:$1,0)+1),MATCH(Q$1,[2]enemies!$1:$1,0)-MATCH($L$1,[2]enemies!$1:$1,0)+1,FALSE)</f>
        <v>15</v>
      </c>
      <c r="R409" s="53">
        <v>52</v>
      </c>
      <c r="S409" s="27">
        <v>1</v>
      </c>
      <c r="T409" s="27">
        <v>1</v>
      </c>
      <c r="U409" s="5">
        <v>0</v>
      </c>
      <c r="V409" s="4" t="str">
        <f ca="1">VLOOKUP($W409,OFFSET([4]enemy_skill_sets!$B$1,0,0,COUNTA([4]enemy_skill_sets!$B:$B),MATCH(M$1,[4]enemy_skill_sets!$1:$1,0)-MATCH($W$1,[4]enemy_skill_sets!$1:$1,0)+2),MATCH(M$1,[4]enemy_skill_sets!$1:$1,0)-MATCH($W$1,[4]enemy_skill_sets!$1:$1,0)+2,FALSE)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09" s="4">
        <f ca="1">VLOOKUP($L409,OFFSET([2]enemies!$A$1,0,0,COUNTA([2]enemies!$A:$A),MATCH(W$1,[2]enemies!$1:$1,0)-MATCH($L$1,[2]enemies!$1:$1,0)+1),MATCH(W$1,[2]enemies!$1:$1,0)-MATCH($L$1,[2]enemies!$1:$1,0)+1,FALSE)</f>
        <v>0</v>
      </c>
      <c r="X409" s="6">
        <v>0</v>
      </c>
      <c r="Y409" s="6">
        <v>100</v>
      </c>
      <c r="Z409" s="6">
        <v>0</v>
      </c>
      <c r="AA409" s="4">
        <f ca="1">VLOOKUP($L409,OFFSET([2]enemies!$A$1,0,0,COUNTA([2]enemies!$A:$A),MATCH(AA$1,[2]enemies!$1:$1,0)-MATCH($L$1,[2]enemies!$1:$1,0)+1),MATCH(AA$1,[2]enemies!$1:$1,0)-MATCH($L$1,[2]enemies!$1:$1,0)+1,FALSE)</f>
        <v>4</v>
      </c>
      <c r="AB409" s="52">
        <v>23</v>
      </c>
      <c r="AC409" s="4" t="str">
        <f ca="1">VLOOKUP($AB409,OFFSET([3]characters!$A$1,0,0,COUNTA([3]characters!$A:$A),MATCH(AC$1,[3]characters!$1:$1,0)-MATCH("character_id",[3]characters!$1:$1,0)+1),MATCH(AC$1,[3]characters!$1:$1,0)-MATCH("character_id",[3]characters!$1:$1,0)+1,FALSE)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409" s="4">
        <f ca="1">VLOOKUP($AB409,OFFSET([3]characters!$A$1,0,0,COUNTA([3]characters!$A:$A),MATCH(AD$1,[3]characters!$1:$1,0)-MATCH("character_id",[3]characters!$1:$1,0)+1),MATCH(AD$1,[3]characters!$1:$1,0)-MATCH("character_id",[3]characters!$1:$1,0)+1,FALSE)</f>
        <v>1</v>
      </c>
      <c r="AE409" s="4" t="str">
        <f ca="1">VLOOKUP($AB409,OFFSET([3]characters!$A$1,0,0,COUNTA([3]characters!$A:$A),MATCH(AE$1,[3]characters!$1:$1,0)-MATCH("character_id",[3]characters!$1:$1,0)+1),MATCH(AE$1,[3]characters!$1:$1,0)-MATCH("character_id",[3]characters!$1:$1,0)+1,FALSE)</f>
        <v>Drop1N</v>
      </c>
      <c r="AF409" s="7">
        <v>7</v>
      </c>
      <c r="AG409" s="26">
        <f t="shared" ca="1" si="465"/>
        <v>1</v>
      </c>
      <c r="AH409" s="8">
        <v>20</v>
      </c>
      <c r="AI409" s="7">
        <v>0</v>
      </c>
      <c r="AJ409" s="7">
        <v>0</v>
      </c>
      <c r="AK409" s="7">
        <v>0</v>
      </c>
      <c r="AL409" s="7">
        <v>0</v>
      </c>
      <c r="AM409" s="7">
        <v>1</v>
      </c>
    </row>
    <row r="410" spans="1:39" ht="14" x14ac:dyDescent="0.15">
      <c r="A410" s="18" t="str">
        <f t="shared" ca="1" si="466"/>
        <v>24_4-1/59&lt;lv52&gt;s2</v>
      </c>
      <c r="B410" s="50">
        <v>24</v>
      </c>
      <c r="C410" s="49">
        <v>4</v>
      </c>
      <c r="D410" s="2" t="str">
        <f t="shared" si="467"/>
        <v>24_4</v>
      </c>
      <c r="E410" s="2" t="str">
        <f t="shared" si="467"/>
        <v>4_24_4</v>
      </c>
      <c r="F410" s="4" t="str">
        <f ca="1">VLOOKUP($D410,OFFSET([1]stages!$A$1,0,0,COUNTA([1]stages!$A:$A),MATCH(F$1,[1]stages!$2:$2,0)-MATCH($D$1,[1]stages!$2:$2,0)+1),MATCH(F$1,[1]stages!$2:$2,0)-MATCH($D$1,[1]stages!$2:$2,0)+1,FALSE)</f>
        <v>24-4．肉弾の虎将</v>
      </c>
      <c r="G410" s="54">
        <v>1</v>
      </c>
      <c r="H410" s="17" t="str">
        <f t="shared" si="468"/>
        <v>24_4-1</v>
      </c>
      <c r="I410" s="17"/>
      <c r="J410" s="17"/>
      <c r="K410" s="65" t="s">
        <v>56</v>
      </c>
      <c r="L410" s="52">
        <v>59</v>
      </c>
      <c r="M410" s="21" t="str">
        <f ca="1">VLOOKUP($L410,OFFSET([2]enemies!$A$1,0,0,COUNTA([2]enemies!$A:$A),MATCH(M$1,[2]enemies!$1:$1,0)-MATCH($L$1,[2]enemies!$1:$1,0)+1),MATCH(M$1,[2]enemies!$1:$1,0)-MATCH($L$1,[2]enemies!$1:$1,0)+1,FALSE)</f>
        <v>マーチ</v>
      </c>
      <c r="N410" s="21" t="str">
        <f ca="1">VLOOKUP($L410,OFFSET([2]enemies!$A$1,0,0,COUNTA([2]enemies!$A:$A),MATCH(N$1,[2]enemies!$1:$1,0)-MATCH($L$1,[2]enemies!$1:$1,0)+1),MATCH(N$1,[2]enemies!$1:$1,0)-MATCH($L$1,[2]enemies!$1:$1,0)+1,FALSE)</f>
        <v>green</v>
      </c>
      <c r="O410" s="21" t="str">
        <f ca="1">VLOOKUP($L410,OFFSET([3]characters!$A$1,0,0,COUNTA([3]characters!$A:$A),MATCH(O$1,[3]characters!$1:$1,0)-MATCH($L$1,[3]characters!$1:$1,0)+1),MATCH(O$1,[3]characters!$1:$1,0)-MATCH($L$1,[3]characters!$1:$1,0)+1,FALSE)</f>
        <v>Drop1N</v>
      </c>
      <c r="P410" s="21" t="str">
        <f ca="1">VLOOKUP($L410,OFFSET([2]enemies!$A$1,0,0,COUNTA([2]enemies!$A:$A),MATCH(P$1,[2]enemies!$1:$1,0)-MATCH($L$1,[2]enemies!$1:$1,0)+1),MATCH(P$1,[2]enemies!$1:$1,0)-MATCH($L$1,[2]enemies!$1:$1,0)+1,FALSE)</f>
        <v>animal</v>
      </c>
      <c r="Q410" s="21">
        <f ca="1">VLOOKUP($L410,OFFSET([2]enemies!$A$1,0,0,COUNTA([2]enemies!$A:$A),MATCH(Q$1,[2]enemies!$1:$1,0)-MATCH($L$1,[2]enemies!$1:$1,0)+1),MATCH(Q$1,[2]enemies!$1:$1,0)-MATCH($L$1,[2]enemies!$1:$1,0)+1,FALSE)</f>
        <v>15</v>
      </c>
      <c r="R410" s="53">
        <v>52</v>
      </c>
      <c r="S410" s="27">
        <v>1</v>
      </c>
      <c r="T410" s="27">
        <v>1</v>
      </c>
      <c r="U410" s="5">
        <v>0</v>
      </c>
      <c r="V410" s="4" t="str">
        <f ca="1">VLOOKUP($W410,OFFSET([4]enemy_skill_sets!$B$1,0,0,COUNTA([4]enemy_skill_sets!$B:$B),MATCH(M$1,[4]enemy_skill_sets!$1:$1,0)-MATCH($W$1,[4]enemy_skill_sets!$1:$1,0)+2),MATCH(M$1,[4]enemy_skill_sets!$1:$1,0)-MATCH($W$1,[4]enemy_skill_sets!$1:$1,0)+2,FALSE)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10" s="4">
        <f ca="1">VLOOKUP($L410,OFFSET([2]enemies!$A$1,0,0,COUNTA([2]enemies!$A:$A),MATCH(W$1,[2]enemies!$1:$1,0)-MATCH($L$1,[2]enemies!$1:$1,0)+1),MATCH(W$1,[2]enemies!$1:$1,0)-MATCH($L$1,[2]enemies!$1:$1,0)+1,FALSE)</f>
        <v>59</v>
      </c>
      <c r="X410" s="6">
        <v>0</v>
      </c>
      <c r="Y410" s="6">
        <v>100</v>
      </c>
      <c r="Z410" s="6">
        <v>0</v>
      </c>
      <c r="AA410" s="4">
        <f ca="1">VLOOKUP($L410,OFFSET([2]enemies!$A$1,0,0,COUNTA([2]enemies!$A:$A),MATCH(AA$1,[2]enemies!$1:$1,0)-MATCH($L$1,[2]enemies!$1:$1,0)+1),MATCH(AA$1,[2]enemies!$1:$1,0)-MATCH($L$1,[2]enemies!$1:$1,0)+1,FALSE)</f>
        <v>2</v>
      </c>
      <c r="AB410" s="52">
        <v>59</v>
      </c>
      <c r="AC410" s="4" t="str">
        <f ca="1">VLOOKUP($AB410,OFFSET([3]characters!$A$1,0,0,COUNTA([3]characters!$A:$A),MATCH(AC$1,[3]characters!$1:$1,0)-MATCH("character_id",[3]characters!$1:$1,0)+1),MATCH(AC$1,[3]characters!$1:$1,0)-MATCH("character_id",[3]characters!$1:$1,0)+1,FALSE)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410" s="4">
        <f ca="1">VLOOKUP($AB410,OFFSET([3]characters!$A$1,0,0,COUNTA([3]characters!$A:$A),MATCH(AD$1,[3]characters!$1:$1,0)-MATCH("character_id",[3]characters!$1:$1,0)+1),MATCH(AD$1,[3]characters!$1:$1,0)-MATCH("character_id",[3]characters!$1:$1,0)+1,FALSE)</f>
        <v>2</v>
      </c>
      <c r="AE410" s="4" t="str">
        <f ca="1">VLOOKUP($AB410,OFFSET([3]characters!$A$1,0,0,COUNTA([3]characters!$A:$A),MATCH(AE$1,[3]characters!$1:$1,0)-MATCH("character_id",[3]characters!$1:$1,0)+1),MATCH(AE$1,[3]characters!$1:$1,0)-MATCH("character_id",[3]characters!$1:$1,0)+1,FALSE)</f>
        <v>Drop1N</v>
      </c>
      <c r="AF410" s="7">
        <v>7</v>
      </c>
      <c r="AG410" s="26">
        <f t="shared" ca="1" si="465"/>
        <v>2</v>
      </c>
      <c r="AH410" s="8">
        <v>20</v>
      </c>
      <c r="AI410" s="7">
        <v>0</v>
      </c>
      <c r="AJ410" s="7">
        <v>0</v>
      </c>
      <c r="AK410" s="7">
        <v>0</v>
      </c>
      <c r="AL410" s="7">
        <v>0</v>
      </c>
      <c r="AM410" s="7">
        <v>1</v>
      </c>
    </row>
    <row r="411" spans="1:39" ht="14" x14ac:dyDescent="0.15">
      <c r="A411" s="18" t="str">
        <f t="shared" ca="1" si="466"/>
        <v>24_4-1/27&lt;lv52&gt;s1</v>
      </c>
      <c r="B411" s="50">
        <v>24</v>
      </c>
      <c r="C411" s="49">
        <v>4</v>
      </c>
      <c r="D411" s="2" t="str">
        <f t="shared" si="467"/>
        <v>24_4</v>
      </c>
      <c r="E411" s="2" t="str">
        <f t="shared" si="467"/>
        <v>4_24_4</v>
      </c>
      <c r="F411" s="4" t="str">
        <f ca="1">VLOOKUP($D411,OFFSET([1]stages!$A$1,0,0,COUNTA([1]stages!$A:$A),MATCH(F$1,[1]stages!$2:$2,0)-MATCH($D$1,[1]stages!$2:$2,0)+1),MATCH(F$1,[1]stages!$2:$2,0)-MATCH($D$1,[1]stages!$2:$2,0)+1,FALSE)</f>
        <v>24-4．肉弾の虎将</v>
      </c>
      <c r="G411" s="54">
        <v>1</v>
      </c>
      <c r="H411" s="17" t="str">
        <f t="shared" si="468"/>
        <v>24_4-1</v>
      </c>
      <c r="I411" s="17"/>
      <c r="J411" s="17"/>
      <c r="K411" s="65" t="s">
        <v>56</v>
      </c>
      <c r="L411" s="52">
        <v>27</v>
      </c>
      <c r="M411" s="21" t="str">
        <f ca="1">VLOOKUP($L411,OFFSET([2]enemies!$A$1,0,0,COUNTA([2]enemies!$A:$A),MATCH(M$1,[2]enemies!$1:$1,0)-MATCH($L$1,[2]enemies!$1:$1,0)+1),MATCH(M$1,[2]enemies!$1:$1,0)-MATCH($L$1,[2]enemies!$1:$1,0)+1,FALSE)</f>
        <v>パトライン</v>
      </c>
      <c r="N411" s="21" t="str">
        <f ca="1">VLOOKUP($L411,OFFSET([2]enemies!$A$1,0,0,COUNTA([2]enemies!$A:$A),MATCH(N$1,[2]enemies!$1:$1,0)-MATCH($L$1,[2]enemies!$1:$1,0)+1),MATCH(N$1,[2]enemies!$1:$1,0)-MATCH($L$1,[2]enemies!$1:$1,0)+1,FALSE)</f>
        <v>green</v>
      </c>
      <c r="O411" s="21" t="str">
        <f ca="1">VLOOKUP($L411,OFFSET([3]characters!$A$1,0,0,COUNTA([3]characters!$A:$A),MATCH(O$1,[3]characters!$1:$1,0)-MATCH($L$1,[3]characters!$1:$1,0)+1),MATCH(O$1,[3]characters!$1:$1,0)-MATCH($L$1,[3]characters!$1:$1,0)+1,FALSE)</f>
        <v>Drop1N</v>
      </c>
      <c r="P411" s="21" t="str">
        <f ca="1">VLOOKUP($L411,OFFSET([2]enemies!$A$1,0,0,COUNTA([2]enemies!$A:$A),MATCH(P$1,[2]enemies!$1:$1,0)-MATCH($L$1,[2]enemies!$1:$1,0)+1),MATCH(P$1,[2]enemies!$1:$1,0)-MATCH($L$1,[2]enemies!$1:$1,0)+1,FALSE)</f>
        <v>machine</v>
      </c>
      <c r="Q411" s="21">
        <f ca="1">VLOOKUP($L411,OFFSET([2]enemies!$A$1,0,0,COUNTA([2]enemies!$A:$A),MATCH(Q$1,[2]enemies!$1:$1,0)-MATCH($L$1,[2]enemies!$1:$1,0)+1),MATCH(Q$1,[2]enemies!$1:$1,0)-MATCH($L$1,[2]enemies!$1:$1,0)+1,FALSE)</f>
        <v>15</v>
      </c>
      <c r="R411" s="53">
        <v>52</v>
      </c>
      <c r="S411" s="27">
        <v>1</v>
      </c>
      <c r="T411" s="27">
        <v>1</v>
      </c>
      <c r="U411" s="5">
        <v>0</v>
      </c>
      <c r="V411" s="4" t="str">
        <f ca="1">VLOOKUP($W411,OFFSET([4]enemy_skill_sets!$B$1,0,0,COUNTA([4]enemy_skill_sets!$B:$B),MATCH(M$1,[4]enemy_skill_sets!$1:$1,0)-MATCH($W$1,[4]enemy_skill_sets!$1:$1,0)+2),MATCH(M$1,[4]enemy_skill_sets!$1:$1,0)-MATCH($W$1,[4]enemy_skill_sets!$1:$1,0)+2,FALSE)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11" s="4">
        <f ca="1">VLOOKUP($L411,OFFSET([2]enemies!$A$1,0,0,COUNTA([2]enemies!$A:$A),MATCH(W$1,[2]enemies!$1:$1,0)-MATCH($L$1,[2]enemies!$1:$1,0)+1),MATCH(W$1,[2]enemies!$1:$1,0)-MATCH($L$1,[2]enemies!$1:$1,0)+1,FALSE)</f>
        <v>0</v>
      </c>
      <c r="X411" s="6">
        <v>0</v>
      </c>
      <c r="Y411" s="6">
        <v>100</v>
      </c>
      <c r="Z411" s="6">
        <v>0</v>
      </c>
      <c r="AA411" s="4">
        <f ca="1">VLOOKUP($L411,OFFSET([2]enemies!$A$1,0,0,COUNTA([2]enemies!$A:$A),MATCH(AA$1,[2]enemies!$1:$1,0)-MATCH($L$1,[2]enemies!$1:$1,0)+1),MATCH(AA$1,[2]enemies!$1:$1,0)-MATCH($L$1,[2]enemies!$1:$1,0)+1,FALSE)</f>
        <v>1</v>
      </c>
      <c r="AB411" s="52">
        <v>27</v>
      </c>
      <c r="AC411" s="4" t="str">
        <f ca="1">VLOOKUP($AB411,OFFSET([3]characters!$A$1,0,0,COUNTA([3]characters!$A:$A),MATCH(AC$1,[3]characters!$1:$1,0)-MATCH("character_id",[3]characters!$1:$1,0)+1),MATCH(AC$1,[3]characters!$1:$1,0)-MATCH("character_id",[3]characters!$1:$1,0)+1,FALSE)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411" s="4">
        <f ca="1">VLOOKUP($AB411,OFFSET([3]characters!$A$1,0,0,COUNTA([3]characters!$A:$A),MATCH(AD$1,[3]characters!$1:$1,0)-MATCH("character_id",[3]characters!$1:$1,0)+1),MATCH(AD$1,[3]characters!$1:$1,0)-MATCH("character_id",[3]characters!$1:$1,0)+1,FALSE)</f>
        <v>1</v>
      </c>
      <c r="AE411" s="4" t="str">
        <f ca="1">VLOOKUP($AB411,OFFSET([3]characters!$A$1,0,0,COUNTA([3]characters!$A:$A),MATCH(AE$1,[3]characters!$1:$1,0)-MATCH("character_id",[3]characters!$1:$1,0)+1),MATCH(AE$1,[3]characters!$1:$1,0)-MATCH("character_id",[3]characters!$1:$1,0)+1,FALSE)</f>
        <v>Drop1N</v>
      </c>
      <c r="AF411" s="7">
        <v>7</v>
      </c>
      <c r="AG411" s="26">
        <f t="shared" ca="1" si="465"/>
        <v>1</v>
      </c>
      <c r="AH411" s="8">
        <v>20</v>
      </c>
      <c r="AI411" s="7">
        <v>0</v>
      </c>
      <c r="AJ411" s="7">
        <v>0</v>
      </c>
      <c r="AK411" s="7">
        <v>0</v>
      </c>
      <c r="AL411" s="7">
        <v>0</v>
      </c>
      <c r="AM411" s="7">
        <v>1</v>
      </c>
    </row>
    <row r="412" spans="1:39" ht="14" x14ac:dyDescent="0.15">
      <c r="A412" s="18" t="str">
        <f t="shared" ca="1" si="466"/>
        <v>24_4-1/35&lt;lv52&gt;s4</v>
      </c>
      <c r="B412" s="50">
        <v>24</v>
      </c>
      <c r="C412" s="49">
        <v>4</v>
      </c>
      <c r="D412" s="2" t="str">
        <f t="shared" si="467"/>
        <v>24_4</v>
      </c>
      <c r="E412" s="2" t="str">
        <f t="shared" si="467"/>
        <v>4_24_4</v>
      </c>
      <c r="F412" s="4" t="str">
        <f ca="1">VLOOKUP($D412,OFFSET([1]stages!$A$1,0,0,COUNTA([1]stages!$A:$A),MATCH(F$1,[1]stages!$2:$2,0)-MATCH($D$1,[1]stages!$2:$2,0)+1),MATCH(F$1,[1]stages!$2:$2,0)-MATCH($D$1,[1]stages!$2:$2,0)+1,FALSE)</f>
        <v>24-4．肉弾の虎将</v>
      </c>
      <c r="G412" s="54">
        <v>1</v>
      </c>
      <c r="H412" s="17" t="str">
        <f t="shared" si="468"/>
        <v>24_4-1</v>
      </c>
      <c r="I412" s="17"/>
      <c r="J412" s="17"/>
      <c r="K412" s="65" t="s">
        <v>56</v>
      </c>
      <c r="L412" s="52">
        <v>35</v>
      </c>
      <c r="M412" s="21" t="str">
        <f ca="1">VLOOKUP($L412,OFFSET([2]enemies!$A$1,0,0,COUNTA([2]enemies!$A:$A),MATCH(M$1,[2]enemies!$1:$1,0)-MATCH($L$1,[2]enemies!$1:$1,0)+1),MATCH(M$1,[2]enemies!$1:$1,0)-MATCH($L$1,[2]enemies!$1:$1,0)+1,FALSE)</f>
        <v>F2</v>
      </c>
      <c r="N412" s="21" t="str">
        <f ca="1">VLOOKUP($L412,OFFSET([2]enemies!$A$1,0,0,COUNTA([2]enemies!$A:$A),MATCH(N$1,[2]enemies!$1:$1,0)-MATCH($L$1,[2]enemies!$1:$1,0)+1),MATCH(N$1,[2]enemies!$1:$1,0)-MATCH($L$1,[2]enemies!$1:$1,0)+1,FALSE)</f>
        <v>green</v>
      </c>
      <c r="O412" s="21" t="str">
        <f ca="1">VLOOKUP($L412,OFFSET([3]characters!$A$1,0,0,COUNTA([3]characters!$A:$A),MATCH(O$1,[3]characters!$1:$1,0)-MATCH($L$1,[3]characters!$1:$1,0)+1),MATCH(O$1,[3]characters!$1:$1,0)-MATCH($L$1,[3]characters!$1:$1,0)+1,FALSE)</f>
        <v>Drop1S</v>
      </c>
      <c r="P412" s="21" t="str">
        <f ca="1">VLOOKUP($L412,OFFSET([2]enemies!$A$1,0,0,COUNTA([2]enemies!$A:$A),MATCH(P$1,[2]enemies!$1:$1,0)-MATCH($L$1,[2]enemies!$1:$1,0)+1),MATCH(P$1,[2]enemies!$1:$1,0)-MATCH($L$1,[2]enemies!$1:$1,0)+1,FALSE)</f>
        <v>machine</v>
      </c>
      <c r="Q412" s="21">
        <f ca="1">VLOOKUP($L412,OFFSET([2]enemies!$A$1,0,0,COUNTA([2]enemies!$A:$A),MATCH(Q$1,[2]enemies!$1:$1,0)-MATCH($L$1,[2]enemies!$1:$1,0)+1),MATCH(Q$1,[2]enemies!$1:$1,0)-MATCH($L$1,[2]enemies!$1:$1,0)+1,FALSE)</f>
        <v>15</v>
      </c>
      <c r="R412" s="53">
        <v>52</v>
      </c>
      <c r="S412" s="27">
        <v>1</v>
      </c>
      <c r="T412" s="27">
        <v>1</v>
      </c>
      <c r="U412" s="5">
        <v>0</v>
      </c>
      <c r="V412" s="4" t="str">
        <f ca="1">VLOOKUP($W412,OFFSET([4]enemy_skill_sets!$B$1,0,0,COUNTA([4]enemy_skill_sets!$B:$B),MATCH(M$1,[4]enemy_skill_sets!$1:$1,0)-MATCH($W$1,[4]enemy_skill_sets!$1:$1,0)+2),MATCH(M$1,[4]enemy_skill_sets!$1:$1,0)-MATCH($W$1,[4]enemy_skill_sets!$1:$1,0)+2,FALSE)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12" s="4">
        <f ca="1">VLOOKUP($L412,OFFSET([2]enemies!$A$1,0,0,COUNTA([2]enemies!$A:$A),MATCH(W$1,[2]enemies!$1:$1,0)-MATCH($L$1,[2]enemies!$1:$1,0)+1),MATCH(W$1,[2]enemies!$1:$1,0)-MATCH($L$1,[2]enemies!$1:$1,0)+1,FALSE)</f>
        <v>35</v>
      </c>
      <c r="X412" s="6">
        <v>0</v>
      </c>
      <c r="Y412" s="6">
        <v>100</v>
      </c>
      <c r="Z412" s="6">
        <v>0</v>
      </c>
      <c r="AA412" s="4">
        <f ca="1">VLOOKUP($L412,OFFSET([2]enemies!$A$1,0,0,COUNTA([2]enemies!$A:$A),MATCH(AA$1,[2]enemies!$1:$1,0)-MATCH($L$1,[2]enemies!$1:$1,0)+1),MATCH(AA$1,[2]enemies!$1:$1,0)-MATCH($L$1,[2]enemies!$1:$1,0)+1,FALSE)</f>
        <v>4</v>
      </c>
      <c r="AB412" s="52">
        <v>35</v>
      </c>
      <c r="AC412" s="4" t="str">
        <f ca="1">VLOOKUP($AB412,OFFSET([3]characters!$A$1,0,0,COUNTA([3]characters!$A:$A),MATCH(AC$1,[3]characters!$1:$1,0)-MATCH("character_id",[3]characters!$1:$1,0)+1),MATCH(AC$1,[3]characters!$1:$1,0)-MATCH("character_id",[3]characters!$1:$1,0)+1,FALSE)</f>
        <v>F2</v>
      </c>
      <c r="AD412" s="4">
        <f ca="1">VLOOKUP($AB412,OFFSET([3]characters!$A$1,0,0,COUNTA([3]characters!$A:$A),MATCH(AD$1,[3]characters!$1:$1,0)-MATCH("character_id",[3]characters!$1:$1,0)+1),MATCH(AD$1,[3]characters!$1:$1,0)-MATCH("character_id",[3]characters!$1:$1,0)+1,FALSE)</f>
        <v>2</v>
      </c>
      <c r="AE412" s="4" t="str">
        <f ca="1">VLOOKUP($AB412,OFFSET([3]characters!$A$1,0,0,COUNTA([3]characters!$A:$A),MATCH(AE$1,[3]characters!$1:$1,0)-MATCH("character_id",[3]characters!$1:$1,0)+1),MATCH(AE$1,[3]characters!$1:$1,0)-MATCH("character_id",[3]characters!$1:$1,0)+1,FALSE)</f>
        <v>Drop1S</v>
      </c>
      <c r="AF412" s="7">
        <v>5</v>
      </c>
      <c r="AG412" s="26">
        <f t="shared" ca="1" si="465"/>
        <v>2</v>
      </c>
      <c r="AH412" s="8">
        <v>20</v>
      </c>
      <c r="AI412" s="7">
        <v>0</v>
      </c>
      <c r="AJ412" s="7">
        <v>0</v>
      </c>
      <c r="AK412" s="7">
        <v>0</v>
      </c>
      <c r="AL412" s="7">
        <v>0</v>
      </c>
      <c r="AM412" s="7">
        <v>1</v>
      </c>
    </row>
    <row r="413" spans="1:39" ht="14" x14ac:dyDescent="0.15">
      <c r="A413" s="18" t="str">
        <f t="shared" ref="A413" ca="1" si="485">B413&amp;"_"&amp;C413&amp;"-"&amp;G413&amp;"/"&amp;L413&amp;"&lt;lv"&amp;R413&amp;"&gt;s"&amp;AA413</f>
        <v>24_4-1/362&lt;lv52&gt;s3</v>
      </c>
      <c r="B413" s="53">
        <v>24</v>
      </c>
      <c r="C413" s="51">
        <v>4</v>
      </c>
      <c r="D413" s="2" t="str">
        <f t="shared" ref="D413" si="486">B413&amp;"_"&amp;C413</f>
        <v>24_4</v>
      </c>
      <c r="E413" s="2" t="str">
        <f t="shared" ref="E413" si="487">C413&amp;"_"&amp;D413</f>
        <v>4_24_4</v>
      </c>
      <c r="F413" s="4" t="str">
        <f ca="1">VLOOKUP($D413,OFFSET([1]stages!$A$1,0,0,COUNTA([1]stages!$A:$A),MATCH(F$1,[1]stages!$2:$2,0)-MATCH($D$1,[1]stages!$2:$2,0)+1),MATCH(F$1,[1]stages!$2:$2,0)-MATCH($D$1,[1]stages!$2:$2,0)+1,FALSE)</f>
        <v>24-4．肉弾の虎将</v>
      </c>
      <c r="G413" s="54">
        <v>1</v>
      </c>
      <c r="H413" s="17" t="str">
        <f t="shared" ref="H413" si="488">B413&amp;"_"&amp;C413&amp;"-"&amp;G413</f>
        <v>24_4-1</v>
      </c>
      <c r="I413" s="17"/>
      <c r="J413" s="17"/>
      <c r="K413" s="65" t="s">
        <v>56</v>
      </c>
      <c r="L413" s="52">
        <v>362</v>
      </c>
      <c r="M413" s="21" t="str">
        <f ca="1">VLOOKUP($L413,OFFSET([2]enemies!$A$1,0,0,COUNTA([2]enemies!$A:$A),MATCH(M$1,[2]enemies!$1:$1,0)-MATCH($L$1,[2]enemies!$1:$1,0)+1),MATCH(M$1,[2]enemies!$1:$1,0)-MATCH($L$1,[2]enemies!$1:$1,0)+1,FALSE)</f>
        <v>ゆらら</v>
      </c>
      <c r="N413" s="21" t="str">
        <f ca="1">VLOOKUP($L413,OFFSET([2]enemies!$A$1,0,0,COUNTA([2]enemies!$A:$A),MATCH(N$1,[2]enemies!$1:$1,0)-MATCH($L$1,[2]enemies!$1:$1,0)+1),MATCH(N$1,[2]enemies!$1:$1,0)-MATCH($L$1,[2]enemies!$1:$1,0)+1,FALSE)</f>
        <v>green</v>
      </c>
      <c r="O413" s="21" t="str">
        <f ca="1">VLOOKUP($L413,OFFSET([3]characters!$A$1,0,0,COUNTA([3]characters!$A:$A),MATCH(O$1,[3]characters!$1:$1,0)-MATCH($L$1,[3]characters!$1:$1,0)+1),MATCH(O$1,[3]characters!$1:$1,0)-MATCH($L$1,[3]characters!$1:$1,0)+1,FALSE)</f>
        <v>Drop1S</v>
      </c>
      <c r="P413" s="21" t="str">
        <f ca="1">VLOOKUP($L413,OFFSET([2]enemies!$A$1,0,0,COUNTA([2]enemies!$A:$A),MATCH(P$1,[2]enemies!$1:$1,0)-MATCH($L$1,[2]enemies!$1:$1,0)+1),MATCH(P$1,[2]enemies!$1:$1,0)-MATCH($L$1,[2]enemies!$1:$1,0)+1,FALSE)</f>
        <v>animal</v>
      </c>
      <c r="Q413" s="21">
        <f ca="1">VLOOKUP($L413,OFFSET([2]enemies!$A$1,0,0,COUNTA([2]enemies!$A:$A),MATCH(Q$1,[2]enemies!$1:$1,0)-MATCH($L$1,[2]enemies!$1:$1,0)+1),MATCH(Q$1,[2]enemies!$1:$1,0)-MATCH($L$1,[2]enemies!$1:$1,0)+1,FALSE)</f>
        <v>15</v>
      </c>
      <c r="R413" s="53">
        <v>52</v>
      </c>
      <c r="S413" s="27">
        <v>1</v>
      </c>
      <c r="T413" s="27">
        <v>1</v>
      </c>
      <c r="U413" s="5">
        <v>0</v>
      </c>
      <c r="V413" s="4" t="str">
        <f ca="1">VLOOKUP($W413,OFFSET([4]enemy_skill_sets!$B$1,0,0,COUNTA([4]enemy_skill_sets!$B:$B),MATCH(M$1,[4]enemy_skill_sets!$1:$1,0)-MATCH($W$1,[4]enemy_skill_sets!$1:$1,0)+2),MATCH(M$1,[4]enemy_skill_sets!$1:$1,0)-MATCH($W$1,[4]enemy_skill_sets!$1:$1,0)+2,FALSE)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413" s="64">
        <v>362</v>
      </c>
      <c r="X413" s="6">
        <v>0</v>
      </c>
      <c r="Y413" s="6">
        <v>100</v>
      </c>
      <c r="Z413" s="6">
        <v>0</v>
      </c>
      <c r="AA413" s="4">
        <f ca="1">VLOOKUP($L413,OFFSET([2]enemies!$A$1,0,0,COUNTA([2]enemies!$A:$A),MATCH(AA$1,[2]enemies!$1:$1,0)-MATCH($L$1,[2]enemies!$1:$1,0)+1),MATCH(AA$1,[2]enemies!$1:$1,0)-MATCH($L$1,[2]enemies!$1:$1,0)+1,FALSE)</f>
        <v>3</v>
      </c>
      <c r="AB413" s="52">
        <v>362</v>
      </c>
      <c r="AC413" s="4" t="str">
        <f ca="1">VLOOKUP($AB413,OFFSET([3]characters!$A$1,0,0,COUNTA([3]characters!$A:$A),MATCH(AC$1,[3]characters!$1:$1,0)-MATCH("character_id",[3]characters!$1:$1,0)+1),MATCH(AC$1,[3]characters!$1:$1,0)-MATCH("character_id",[3]characters!$1:$1,0)+1,FALSE)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413" s="4">
        <f ca="1">VLOOKUP($AB413,OFFSET([3]characters!$A$1,0,0,COUNTA([3]characters!$A:$A),MATCH(AD$1,[3]characters!$1:$1,0)-MATCH("character_id",[3]characters!$1:$1,0)+1),MATCH(AD$1,[3]characters!$1:$1,0)-MATCH("character_id",[3]characters!$1:$1,0)+1,FALSE)</f>
        <v>2</v>
      </c>
      <c r="AE413" s="4" t="str">
        <f ca="1">VLOOKUP($AB413,OFFSET([3]characters!$A$1,0,0,COUNTA([3]characters!$A:$A),MATCH(AE$1,[3]characters!$1:$1,0)-MATCH("character_id",[3]characters!$1:$1,0)+1),MATCH(AE$1,[3]characters!$1:$1,0)-MATCH("character_id",[3]characters!$1:$1,0)+1,FALSE)</f>
        <v>Drop1S</v>
      </c>
      <c r="AF413" s="7">
        <v>5</v>
      </c>
      <c r="AG413" s="26">
        <f t="shared" ca="1" si="465"/>
        <v>2</v>
      </c>
      <c r="AH413" s="8">
        <v>20</v>
      </c>
      <c r="AI413" s="7">
        <v>0</v>
      </c>
      <c r="AJ413" s="7">
        <v>0</v>
      </c>
      <c r="AK413" s="7">
        <v>0</v>
      </c>
      <c r="AL413" s="7">
        <v>0</v>
      </c>
      <c r="AM413" s="7">
        <v>1</v>
      </c>
    </row>
    <row r="414" spans="1:39" ht="14" x14ac:dyDescent="0.15">
      <c r="A414" s="18" t="str">
        <f t="shared" ref="A414" ca="1" si="489">B414&amp;"_"&amp;C414&amp;"-"&amp;G414&amp;"/"&amp;L414&amp;"&lt;lv"&amp;R414&amp;"&gt;s"&amp;AA414</f>
        <v>24_4-1/354&lt;lv52&gt;s3</v>
      </c>
      <c r="B414" s="53">
        <v>24</v>
      </c>
      <c r="C414" s="51">
        <v>4</v>
      </c>
      <c r="D414" s="2" t="str">
        <f t="shared" ref="D414" si="490">B414&amp;"_"&amp;C414</f>
        <v>24_4</v>
      </c>
      <c r="E414" s="2" t="str">
        <f t="shared" ref="E414" si="491">C414&amp;"_"&amp;D414</f>
        <v>4_24_4</v>
      </c>
      <c r="F414" s="4" t="str">
        <f ca="1">VLOOKUP($D414,OFFSET([1]stages!$A$1,0,0,COUNTA([1]stages!$A:$A),MATCH(F$1,[1]stages!$2:$2,0)-MATCH($D$1,[1]stages!$2:$2,0)+1),MATCH(F$1,[1]stages!$2:$2,0)-MATCH($D$1,[1]stages!$2:$2,0)+1,FALSE)</f>
        <v>24-4．肉弾の虎将</v>
      </c>
      <c r="G414" s="54">
        <v>1</v>
      </c>
      <c r="H414" s="17" t="str">
        <f t="shared" ref="H414" si="492">B414&amp;"_"&amp;C414&amp;"-"&amp;G414</f>
        <v>24_4-1</v>
      </c>
      <c r="I414" s="17"/>
      <c r="J414" s="17"/>
      <c r="K414" s="65" t="s">
        <v>56</v>
      </c>
      <c r="L414" s="52">
        <v>354</v>
      </c>
      <c r="M414" s="21" t="str">
        <f ca="1">VLOOKUP($L414,OFFSET([2]enemies!$A$1,0,0,COUNTA([2]enemies!$A:$A),MATCH(M$1,[2]enemies!$1:$1,0)-MATCH($L$1,[2]enemies!$1:$1,0)+1),MATCH(M$1,[2]enemies!$1:$1,0)-MATCH($L$1,[2]enemies!$1:$1,0)+1,FALSE)</f>
        <v>雷のケロケロ</v>
      </c>
      <c r="N414" s="21" t="str">
        <f ca="1">VLOOKUP($L414,OFFSET([2]enemies!$A$1,0,0,COUNTA([2]enemies!$A:$A),MATCH(N$1,[2]enemies!$1:$1,0)-MATCH($L$1,[2]enemies!$1:$1,0)+1),MATCH(N$1,[2]enemies!$1:$1,0)-MATCH($L$1,[2]enemies!$1:$1,0)+1,FALSE)</f>
        <v>yellow</v>
      </c>
      <c r="O414" s="21" t="str">
        <f ca="1">VLOOKUP($L414,OFFSET([3]characters!$A$1,0,0,COUNTA([3]characters!$A:$A),MATCH(O$1,[3]characters!$1:$1,0)-MATCH($L$1,[3]characters!$1:$1,0)+1),MATCH(O$1,[3]characters!$1:$1,0)-MATCH($L$1,[3]characters!$1:$1,0)+1,FALSE)</f>
        <v>Material</v>
      </c>
      <c r="P414" s="21" t="str">
        <f ca="1">VLOOKUP($L414,OFFSET([2]enemies!$A$1,0,0,COUNTA([2]enemies!$A:$A),MATCH(P$1,[2]enemies!$1:$1,0)-MATCH($L$1,[2]enemies!$1:$1,0)+1),MATCH(P$1,[2]enemies!$1:$1,0)-MATCH($L$1,[2]enemies!$1:$1,0)+1,FALSE)</f>
        <v>unknown</v>
      </c>
      <c r="Q414" s="21">
        <f ca="1">VLOOKUP($L414,OFFSET([2]enemies!$A$1,0,0,COUNTA([2]enemies!$A:$A),MATCH(Q$1,[2]enemies!$1:$1,0)-MATCH($L$1,[2]enemies!$1:$1,0)+1),MATCH(Q$1,[2]enemies!$1:$1,0)-MATCH($L$1,[2]enemies!$1:$1,0)+1,FALSE)</f>
        <v>15</v>
      </c>
      <c r="R414" s="53">
        <v>52</v>
      </c>
      <c r="S414" s="27">
        <v>1</v>
      </c>
      <c r="T414" s="27">
        <v>1</v>
      </c>
      <c r="U414" s="5">
        <v>0</v>
      </c>
      <c r="V414" s="4" t="str">
        <f ca="1">VLOOKUP($W414,OFFSET([4]enemy_skill_sets!$B$1,0,0,COUNTA([4]enemy_skill_sets!$B:$B),MATCH(M$1,[4]enemy_skill_sets!$1:$1,0)-MATCH($W$1,[4]enemy_skill_sets!$1:$1,0)+2),MATCH(M$1,[4]enemy_skill_sets!$1:$1,0)-MATCH($W$1,[4]enemy_skill_sets!$1:$1,0)+2,FALSE)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414" s="64">
        <v>354</v>
      </c>
      <c r="X414" s="6">
        <v>0</v>
      </c>
      <c r="Y414" s="6">
        <v>100</v>
      </c>
      <c r="Z414" s="6">
        <v>0</v>
      </c>
      <c r="AA414" s="4">
        <f ca="1">VLOOKUP($L414,OFFSET([2]enemies!$A$1,0,0,COUNTA([2]enemies!$A:$A),MATCH(AA$1,[2]enemies!$1:$1,0)-MATCH($L$1,[2]enemies!$1:$1,0)+1),MATCH(AA$1,[2]enemies!$1:$1,0)-MATCH($L$1,[2]enemies!$1:$1,0)+1,FALSE)</f>
        <v>3</v>
      </c>
      <c r="AB414" s="52">
        <v>354</v>
      </c>
      <c r="AC414" s="4" t="str">
        <f ca="1">VLOOKUP($AB414,OFFSET([3]characters!$A$1,0,0,COUNTA([3]characters!$A:$A),MATCH(AC$1,[3]characters!$1:$1,0)-MATCH("character_id",[3]characters!$1:$1,0)+1),MATCH(AC$1,[3]characters!$1:$1,0)-MATCH("character_id",[3]characters!$1:$1,0)+1,FALSE)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414" s="4">
        <f ca="1">VLOOKUP($AB414,OFFSET([3]characters!$A$1,0,0,COUNTA([3]characters!$A:$A),MATCH(AD$1,[3]characters!$1:$1,0)-MATCH("character_id",[3]characters!$1:$1,0)+1),MATCH(AD$1,[3]characters!$1:$1,0)-MATCH("character_id",[3]characters!$1:$1,0)+1,FALSE)</f>
        <v>2</v>
      </c>
      <c r="AE414" s="4" t="str">
        <f ca="1">VLOOKUP($AB414,OFFSET([3]characters!$A$1,0,0,COUNTA([3]characters!$A:$A),MATCH(AE$1,[3]characters!$1:$1,0)-MATCH("character_id",[3]characters!$1:$1,0)+1),MATCH(AE$1,[3]characters!$1:$1,0)-MATCH("character_id",[3]characters!$1:$1,0)+1,FALSE)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14" s="7">
        <v>10</v>
      </c>
      <c r="AG414" s="26">
        <f t="shared" ca="1" si="465"/>
        <v>2</v>
      </c>
      <c r="AH414" s="8">
        <v>20</v>
      </c>
      <c r="AI414" s="7">
        <v>0</v>
      </c>
      <c r="AJ414" s="7">
        <v>0</v>
      </c>
      <c r="AK414" s="7">
        <v>0</v>
      </c>
      <c r="AL414" s="7">
        <v>0</v>
      </c>
      <c r="AM414" s="7">
        <v>1</v>
      </c>
    </row>
    <row r="415" spans="1:39" ht="14" x14ac:dyDescent="0.15">
      <c r="A415" s="18" t="str">
        <f t="shared" ca="1" si="466"/>
        <v>24_4-2/13&lt;lv50&gt;s2</v>
      </c>
      <c r="B415" s="50">
        <v>24</v>
      </c>
      <c r="C415" s="49">
        <v>4</v>
      </c>
      <c r="D415" s="2" t="str">
        <f t="shared" si="467"/>
        <v>24_4</v>
      </c>
      <c r="E415" s="2" t="str">
        <f t="shared" si="467"/>
        <v>4_24_4</v>
      </c>
      <c r="F415" s="4" t="str">
        <f ca="1">VLOOKUP($D415,OFFSET([1]stages!$A$1,0,0,COUNTA([1]stages!$A:$A),MATCH(F$1,[1]stages!$2:$2,0)-MATCH($D$1,[1]stages!$2:$2,0)+1),MATCH(F$1,[1]stages!$2:$2,0)-MATCH($D$1,[1]stages!$2:$2,0)+1,FALSE)</f>
        <v>24-4．肉弾の虎将</v>
      </c>
      <c r="G415" s="55">
        <v>2</v>
      </c>
      <c r="H415" s="17" t="str">
        <f t="shared" si="468"/>
        <v>24_4-2</v>
      </c>
      <c r="I415" s="17"/>
      <c r="J415" s="17"/>
      <c r="K415" s="65" t="s">
        <v>56</v>
      </c>
      <c r="L415" s="52">
        <v>13</v>
      </c>
      <c r="M415" s="21" t="str">
        <f ca="1">VLOOKUP($L415,OFFSET([2]enemies!$A$1,0,0,COUNTA([2]enemies!$A:$A),MATCH(M$1,[2]enemies!$1:$1,0)-MATCH($L$1,[2]enemies!$1:$1,0)+1),MATCH(M$1,[2]enemies!$1:$1,0)-MATCH($L$1,[2]enemies!$1:$1,0)+1,FALSE)</f>
        <v>ミミ</v>
      </c>
      <c r="N415" s="21" t="str">
        <f ca="1">VLOOKUP($L415,OFFSET([2]enemies!$A$1,0,0,COUNTA([2]enemies!$A:$A),MATCH(N$1,[2]enemies!$1:$1,0)-MATCH($L$1,[2]enemies!$1:$1,0)+1),MATCH(N$1,[2]enemies!$1:$1,0)-MATCH($L$1,[2]enemies!$1:$1,0)+1,FALSE)</f>
        <v>yellow</v>
      </c>
      <c r="O415" s="21" t="str">
        <f ca="1">VLOOKUP($L415,OFFSET([3]characters!$A$1,0,0,COUNTA([3]characters!$A:$A),MATCH(O$1,[3]characters!$1:$1,0)-MATCH($L$1,[3]characters!$1:$1,0)+1),MATCH(O$1,[3]characters!$1:$1,0)-MATCH($L$1,[3]characters!$1:$1,0)+1,FALSE)</f>
        <v>Drop1W</v>
      </c>
      <c r="P415" s="21" t="str">
        <f ca="1">VLOOKUP($L415,OFFSET([2]enemies!$A$1,0,0,COUNTA([2]enemies!$A:$A),MATCH(P$1,[2]enemies!$1:$1,0)-MATCH($L$1,[2]enemies!$1:$1,0)+1),MATCH(P$1,[2]enemies!$1:$1,0)-MATCH($L$1,[2]enemies!$1:$1,0)+1,FALSE)</f>
        <v>animal</v>
      </c>
      <c r="Q415" s="21">
        <f ca="1">VLOOKUP($L415,OFFSET([2]enemies!$A$1,0,0,COUNTA([2]enemies!$A:$A),MATCH(Q$1,[2]enemies!$1:$1,0)-MATCH($L$1,[2]enemies!$1:$1,0)+1),MATCH(Q$1,[2]enemies!$1:$1,0)-MATCH($L$1,[2]enemies!$1:$1,0)+1,FALSE)</f>
        <v>15</v>
      </c>
      <c r="R415" s="53">
        <v>50</v>
      </c>
      <c r="S415" s="27">
        <v>1</v>
      </c>
      <c r="T415" s="27">
        <v>1</v>
      </c>
      <c r="U415" s="5">
        <v>0</v>
      </c>
      <c r="V415" s="4" t="str">
        <f ca="1">VLOOKUP($W415,OFFSET([4]enemy_skill_sets!$B$1,0,0,COUNTA([4]enemy_skill_sets!$B:$B),MATCH(M$1,[4]enemy_skill_sets!$1:$1,0)-MATCH($W$1,[4]enemy_skill_sets!$1:$1,0)+2),MATCH(M$1,[4]enemy_skill_sets!$1:$1,0)-MATCH($W$1,[4]enemy_skill_sets!$1:$1,0)+2,FALSE)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15" s="4">
        <f ca="1">VLOOKUP($L415,OFFSET([2]enemies!$A$1,0,0,COUNTA([2]enemies!$A:$A),MATCH(W$1,[2]enemies!$1:$1,0)-MATCH($L$1,[2]enemies!$1:$1,0)+1),MATCH(W$1,[2]enemies!$1:$1,0)-MATCH($L$1,[2]enemies!$1:$1,0)+1,FALSE)</f>
        <v>0</v>
      </c>
      <c r="X415" s="6">
        <v>0</v>
      </c>
      <c r="Y415" s="6">
        <v>100</v>
      </c>
      <c r="Z415" s="6">
        <v>0</v>
      </c>
      <c r="AA415" s="4">
        <f ca="1">VLOOKUP($L415,OFFSET([2]enemies!$A$1,0,0,COUNTA([2]enemies!$A:$A),MATCH(AA$1,[2]enemies!$1:$1,0)-MATCH($L$1,[2]enemies!$1:$1,0)+1),MATCH(AA$1,[2]enemies!$1:$1,0)-MATCH($L$1,[2]enemies!$1:$1,0)+1,FALSE)</f>
        <v>2</v>
      </c>
      <c r="AB415" s="52">
        <v>13</v>
      </c>
      <c r="AC415" s="4" t="str">
        <f ca="1">VLOOKUP($AB415,OFFSET([3]characters!$A$1,0,0,COUNTA([3]characters!$A:$A),MATCH(AC$1,[3]characters!$1:$1,0)-MATCH("character_id",[3]characters!$1:$1,0)+1),MATCH(AC$1,[3]characters!$1:$1,0)-MATCH("character_id",[3]characters!$1:$1,0)+1,FALSE)</f>
        <v>ミミ</v>
      </c>
      <c r="AD415" s="4">
        <f ca="1">VLOOKUP($AB415,OFFSET([3]characters!$A$1,0,0,COUNTA([3]characters!$A:$A),MATCH(AD$1,[3]characters!$1:$1,0)-MATCH("character_id",[3]characters!$1:$1,0)+1),MATCH(AD$1,[3]characters!$1:$1,0)-MATCH("character_id",[3]characters!$1:$1,0)+1,FALSE)</f>
        <v>1</v>
      </c>
      <c r="AE415" s="4" t="str">
        <f ca="1">VLOOKUP($AB415,OFFSET([3]characters!$A$1,0,0,COUNTA([3]characters!$A:$A),MATCH(AE$1,[3]characters!$1:$1,0)-MATCH("character_id",[3]characters!$1:$1,0)+1),MATCH(AE$1,[3]characters!$1:$1,0)-MATCH("character_id",[3]characters!$1:$1,0)+1,FALSE)</f>
        <v>Drop1W</v>
      </c>
      <c r="AF415" s="7">
        <v>9</v>
      </c>
      <c r="AG415" s="26">
        <f t="shared" ca="1" si="465"/>
        <v>1</v>
      </c>
      <c r="AH415" s="8">
        <v>20</v>
      </c>
      <c r="AI415" s="7">
        <v>0</v>
      </c>
      <c r="AJ415" s="7">
        <v>0</v>
      </c>
      <c r="AK415" s="7">
        <v>0</v>
      </c>
      <c r="AL415" s="7">
        <v>0</v>
      </c>
      <c r="AM415" s="7">
        <v>1</v>
      </c>
    </row>
    <row r="416" spans="1:39" ht="14" x14ac:dyDescent="0.15">
      <c r="A416" s="18" t="str">
        <f t="shared" ca="1" si="466"/>
        <v>24_4-2/47&lt;lv50&gt;s1</v>
      </c>
      <c r="B416" s="50">
        <v>24</v>
      </c>
      <c r="C416" s="49">
        <v>4</v>
      </c>
      <c r="D416" s="2" t="str">
        <f t="shared" si="467"/>
        <v>24_4</v>
      </c>
      <c r="E416" s="2" t="str">
        <f t="shared" si="467"/>
        <v>4_24_4</v>
      </c>
      <c r="F416" s="4" t="str">
        <f ca="1">VLOOKUP($D416,OFFSET([1]stages!$A$1,0,0,COUNTA([1]stages!$A:$A),MATCH(F$1,[1]stages!$2:$2,0)-MATCH($D$1,[1]stages!$2:$2,0)+1),MATCH(F$1,[1]stages!$2:$2,0)-MATCH($D$1,[1]stages!$2:$2,0)+1,FALSE)</f>
        <v>24-4．肉弾の虎将</v>
      </c>
      <c r="G416" s="55">
        <v>2</v>
      </c>
      <c r="H416" s="17" t="str">
        <f t="shared" si="468"/>
        <v>24_4-2</v>
      </c>
      <c r="I416" s="17"/>
      <c r="J416" s="17"/>
      <c r="K416" s="65" t="s">
        <v>56</v>
      </c>
      <c r="L416" s="52">
        <v>47</v>
      </c>
      <c r="M416" s="21" t="str">
        <f ca="1">VLOOKUP($L416,OFFSET([2]enemies!$A$1,0,0,COUNTA([2]enemies!$A:$A),MATCH(M$1,[2]enemies!$1:$1,0)-MATCH($L$1,[2]enemies!$1:$1,0)+1),MATCH(M$1,[2]enemies!$1:$1,0)-MATCH($L$1,[2]enemies!$1:$1,0)+1,FALSE)</f>
        <v>ヒロ</v>
      </c>
      <c r="N416" s="21" t="str">
        <f ca="1">VLOOKUP($L416,OFFSET([2]enemies!$A$1,0,0,COUNTA([2]enemies!$A:$A),MATCH(N$1,[2]enemies!$1:$1,0)-MATCH($L$1,[2]enemies!$1:$1,0)+1),MATCH(N$1,[2]enemies!$1:$1,0)-MATCH($L$1,[2]enemies!$1:$1,0)+1,FALSE)</f>
        <v>yellow</v>
      </c>
      <c r="O416" s="21" t="str">
        <f ca="1">VLOOKUP($L416,OFFSET([3]characters!$A$1,0,0,COUNTA([3]characters!$A:$A),MATCH(O$1,[3]characters!$1:$1,0)-MATCH($L$1,[3]characters!$1:$1,0)+1),MATCH(O$1,[3]characters!$1:$1,0)-MATCH($L$1,[3]characters!$1:$1,0)+1,FALSE)</f>
        <v>Drop1N</v>
      </c>
      <c r="P416" s="21" t="str">
        <f ca="1">VLOOKUP($L416,OFFSET([2]enemies!$A$1,0,0,COUNTA([2]enemies!$A:$A),MATCH(P$1,[2]enemies!$1:$1,0)-MATCH($L$1,[2]enemies!$1:$1,0)+1),MATCH(P$1,[2]enemies!$1:$1,0)-MATCH($L$1,[2]enemies!$1:$1,0)+1,FALSE)</f>
        <v>animal</v>
      </c>
      <c r="Q416" s="21">
        <f ca="1">VLOOKUP($L416,OFFSET([2]enemies!$A$1,0,0,COUNTA([2]enemies!$A:$A),MATCH(Q$1,[2]enemies!$1:$1,0)-MATCH($L$1,[2]enemies!$1:$1,0)+1),MATCH(Q$1,[2]enemies!$1:$1,0)-MATCH($L$1,[2]enemies!$1:$1,0)+1,FALSE)</f>
        <v>15</v>
      </c>
      <c r="R416" s="53">
        <v>50</v>
      </c>
      <c r="S416" s="27">
        <v>1</v>
      </c>
      <c r="T416" s="27">
        <v>1</v>
      </c>
      <c r="U416" s="5">
        <v>0</v>
      </c>
      <c r="V416" s="4" t="str">
        <f ca="1">VLOOKUP($W416,OFFSET([4]enemy_skill_sets!$B$1,0,0,COUNTA([4]enemy_skill_sets!$B:$B),MATCH(M$1,[4]enemy_skill_sets!$1:$1,0)-MATCH($W$1,[4]enemy_skill_sets!$1:$1,0)+2),MATCH(M$1,[4]enemy_skill_sets!$1:$1,0)-MATCH($W$1,[4]enemy_skill_sets!$1:$1,0)+2,FALSE)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16" s="4">
        <f ca="1">VLOOKUP($L416,OFFSET([2]enemies!$A$1,0,0,COUNTA([2]enemies!$A:$A),MATCH(W$1,[2]enemies!$1:$1,0)-MATCH($L$1,[2]enemies!$1:$1,0)+1),MATCH(W$1,[2]enemies!$1:$1,0)-MATCH($L$1,[2]enemies!$1:$1,0)+1,FALSE)</f>
        <v>0</v>
      </c>
      <c r="X416" s="6">
        <v>0</v>
      </c>
      <c r="Y416" s="6">
        <v>100</v>
      </c>
      <c r="Z416" s="6">
        <v>0</v>
      </c>
      <c r="AA416" s="4">
        <f ca="1">VLOOKUP($L416,OFFSET([2]enemies!$A$1,0,0,COUNTA([2]enemies!$A:$A),MATCH(AA$1,[2]enemies!$1:$1,0)-MATCH($L$1,[2]enemies!$1:$1,0)+1),MATCH(AA$1,[2]enemies!$1:$1,0)-MATCH($L$1,[2]enemies!$1:$1,0)+1,FALSE)</f>
        <v>1</v>
      </c>
      <c r="AB416" s="52">
        <v>47</v>
      </c>
      <c r="AC416" s="4" t="str">
        <f ca="1">VLOOKUP($AB416,OFFSET([3]characters!$A$1,0,0,COUNTA([3]characters!$A:$A),MATCH(AC$1,[3]characters!$1:$1,0)-MATCH("character_id",[3]characters!$1:$1,0)+1),MATCH(AC$1,[3]characters!$1:$1,0)-MATCH("character_id",[3]characters!$1:$1,0)+1,FALSE)</f>
        <v>ヒロ</v>
      </c>
      <c r="AD416" s="4">
        <f ca="1">VLOOKUP($AB416,OFFSET([3]characters!$A$1,0,0,COUNTA([3]characters!$A:$A),MATCH(AD$1,[3]characters!$1:$1,0)-MATCH("character_id",[3]characters!$1:$1,0)+1),MATCH(AD$1,[3]characters!$1:$1,0)-MATCH("character_id",[3]characters!$1:$1,0)+1,FALSE)</f>
        <v>2</v>
      </c>
      <c r="AE416" s="4" t="str">
        <f ca="1">VLOOKUP($AB416,OFFSET([3]characters!$A$1,0,0,COUNTA([3]characters!$A:$A),MATCH(AE$1,[3]characters!$1:$1,0)-MATCH("character_id",[3]characters!$1:$1,0)+1),MATCH(AE$1,[3]characters!$1:$1,0)-MATCH("character_id",[3]characters!$1:$1,0)+1,FALSE)</f>
        <v>Drop1N</v>
      </c>
      <c r="AF416" s="7">
        <v>7</v>
      </c>
      <c r="AG416" s="26">
        <f t="shared" ca="1" si="465"/>
        <v>2</v>
      </c>
      <c r="AH416" s="8">
        <v>20</v>
      </c>
      <c r="AI416" s="7">
        <v>0</v>
      </c>
      <c r="AJ416" s="7">
        <v>0</v>
      </c>
      <c r="AK416" s="7">
        <v>0</v>
      </c>
      <c r="AL416" s="7">
        <v>0</v>
      </c>
      <c r="AM416" s="7">
        <v>1</v>
      </c>
    </row>
    <row r="417" spans="1:39" ht="14" x14ac:dyDescent="0.15">
      <c r="A417" s="18" t="str">
        <f t="shared" ca="1" si="466"/>
        <v>24_4-2/63&lt;lv50&gt;s2</v>
      </c>
      <c r="B417" s="50">
        <v>24</v>
      </c>
      <c r="C417" s="49">
        <v>4</v>
      </c>
      <c r="D417" s="2" t="str">
        <f t="shared" si="467"/>
        <v>24_4</v>
      </c>
      <c r="E417" s="2" t="str">
        <f t="shared" si="467"/>
        <v>4_24_4</v>
      </c>
      <c r="F417" s="4" t="str">
        <f ca="1">VLOOKUP($D417,OFFSET([1]stages!$A$1,0,0,COUNTA([1]stages!$A:$A),MATCH(F$1,[1]stages!$2:$2,0)-MATCH($D$1,[1]stages!$2:$2,0)+1),MATCH(F$1,[1]stages!$2:$2,0)-MATCH($D$1,[1]stages!$2:$2,0)+1,FALSE)</f>
        <v>24-4．肉弾の虎将</v>
      </c>
      <c r="G417" s="55">
        <v>2</v>
      </c>
      <c r="H417" s="17" t="str">
        <f t="shared" si="468"/>
        <v>24_4-2</v>
      </c>
      <c r="I417" s="17"/>
      <c r="J417" s="17"/>
      <c r="K417" s="65" t="s">
        <v>56</v>
      </c>
      <c r="L417" s="52">
        <v>63</v>
      </c>
      <c r="M417" s="21" t="str">
        <f ca="1">VLOOKUP($L417,OFFSET([2]enemies!$A$1,0,0,COUNTA([2]enemies!$A:$A),MATCH(M$1,[2]enemies!$1:$1,0)-MATCH($L$1,[2]enemies!$1:$1,0)+1),MATCH(M$1,[2]enemies!$1:$1,0)-MATCH($L$1,[2]enemies!$1:$1,0)+1,FALSE)</f>
        <v>トニー</v>
      </c>
      <c r="N417" s="21" t="str">
        <f ca="1">VLOOKUP($L417,OFFSET([2]enemies!$A$1,0,0,COUNTA([2]enemies!$A:$A),MATCH(N$1,[2]enemies!$1:$1,0)-MATCH($L$1,[2]enemies!$1:$1,0)+1),MATCH(N$1,[2]enemies!$1:$1,0)-MATCH($L$1,[2]enemies!$1:$1,0)+1,FALSE)</f>
        <v>yellow</v>
      </c>
      <c r="O417" s="21" t="str">
        <f ca="1">VLOOKUP($L417,OFFSET([3]characters!$A$1,0,0,COUNTA([3]characters!$A:$A),MATCH(O$1,[3]characters!$1:$1,0)-MATCH($L$1,[3]characters!$1:$1,0)+1),MATCH(O$1,[3]characters!$1:$1,0)-MATCH($L$1,[3]characters!$1:$1,0)+1,FALSE)</f>
        <v>Drop1N</v>
      </c>
      <c r="P417" s="21" t="str">
        <f ca="1">VLOOKUP($L417,OFFSET([2]enemies!$A$1,0,0,COUNTA([2]enemies!$A:$A),MATCH(P$1,[2]enemies!$1:$1,0)-MATCH($L$1,[2]enemies!$1:$1,0)+1),MATCH(P$1,[2]enemies!$1:$1,0)-MATCH($L$1,[2]enemies!$1:$1,0)+1,FALSE)</f>
        <v>animal</v>
      </c>
      <c r="Q417" s="21">
        <f ca="1">VLOOKUP($L417,OFFSET([2]enemies!$A$1,0,0,COUNTA([2]enemies!$A:$A),MATCH(Q$1,[2]enemies!$1:$1,0)-MATCH($L$1,[2]enemies!$1:$1,0)+1),MATCH(Q$1,[2]enemies!$1:$1,0)-MATCH($L$1,[2]enemies!$1:$1,0)+1,FALSE)</f>
        <v>15</v>
      </c>
      <c r="R417" s="53">
        <v>50</v>
      </c>
      <c r="S417" s="27">
        <v>1</v>
      </c>
      <c r="T417" s="27">
        <v>1</v>
      </c>
      <c r="U417" s="5">
        <v>0</v>
      </c>
      <c r="V417" s="4" t="str">
        <f ca="1">VLOOKUP($W417,OFFSET([4]enemy_skill_sets!$B$1,0,0,COUNTA([4]enemy_skill_sets!$B:$B),MATCH(M$1,[4]enemy_skill_sets!$1:$1,0)-MATCH($W$1,[4]enemy_skill_sets!$1:$1,0)+2),MATCH(M$1,[4]enemy_skill_sets!$1:$1,0)-MATCH($W$1,[4]enemy_skill_sets!$1:$1,0)+2,FALSE)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417" s="4">
        <f ca="1">VLOOKUP($L417,OFFSET([2]enemies!$A$1,0,0,COUNTA([2]enemies!$A:$A),MATCH(W$1,[2]enemies!$1:$1,0)-MATCH($L$1,[2]enemies!$1:$1,0)+1),MATCH(W$1,[2]enemies!$1:$1,0)-MATCH($L$1,[2]enemies!$1:$1,0)+1,FALSE)</f>
        <v>63</v>
      </c>
      <c r="X417" s="6">
        <v>0</v>
      </c>
      <c r="Y417" s="6">
        <v>100</v>
      </c>
      <c r="Z417" s="6">
        <v>0</v>
      </c>
      <c r="AA417" s="4">
        <f ca="1">VLOOKUP($L417,OFFSET([2]enemies!$A$1,0,0,COUNTA([2]enemies!$A:$A),MATCH(AA$1,[2]enemies!$1:$1,0)-MATCH($L$1,[2]enemies!$1:$1,0)+1),MATCH(AA$1,[2]enemies!$1:$1,0)-MATCH($L$1,[2]enemies!$1:$1,0)+1,FALSE)</f>
        <v>2</v>
      </c>
      <c r="AB417" s="52">
        <v>63</v>
      </c>
      <c r="AC417" s="4" t="str">
        <f ca="1">VLOOKUP($AB417,OFFSET([3]characters!$A$1,0,0,COUNTA([3]characters!$A:$A),MATCH(AC$1,[3]characters!$1:$1,0)-MATCH("character_id",[3]characters!$1:$1,0)+1),MATCH(AC$1,[3]characters!$1:$1,0)-MATCH("character_id",[3]characters!$1:$1,0)+1,FALSE)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417" s="4">
        <f ca="1">VLOOKUP($AB417,OFFSET([3]characters!$A$1,0,0,COUNTA([3]characters!$A:$A),MATCH(AD$1,[3]characters!$1:$1,0)-MATCH("character_id",[3]characters!$1:$1,0)+1),MATCH(AD$1,[3]characters!$1:$1,0)-MATCH("character_id",[3]characters!$1:$1,0)+1,FALSE)</f>
        <v>2</v>
      </c>
      <c r="AE417" s="4" t="str">
        <f ca="1">VLOOKUP($AB417,OFFSET([3]characters!$A$1,0,0,COUNTA([3]characters!$A:$A),MATCH(AE$1,[3]characters!$1:$1,0)-MATCH("character_id",[3]characters!$1:$1,0)+1),MATCH(AE$1,[3]characters!$1:$1,0)-MATCH("character_id",[3]characters!$1:$1,0)+1,FALSE)</f>
        <v>Drop1N</v>
      </c>
      <c r="AF417" s="7">
        <v>7</v>
      </c>
      <c r="AG417" s="26">
        <f t="shared" ca="1" si="465"/>
        <v>2</v>
      </c>
      <c r="AH417" s="8">
        <v>20</v>
      </c>
      <c r="AI417" s="7">
        <v>0</v>
      </c>
      <c r="AJ417" s="7">
        <v>0</v>
      </c>
      <c r="AK417" s="7">
        <v>0</v>
      </c>
      <c r="AL417" s="7">
        <v>0</v>
      </c>
      <c r="AM417" s="7">
        <v>1</v>
      </c>
    </row>
    <row r="418" spans="1:39" ht="14" x14ac:dyDescent="0.15">
      <c r="A418" s="18" t="str">
        <f t="shared" ca="1" si="466"/>
        <v>24_4-2/31&lt;lv50&gt;s2</v>
      </c>
      <c r="B418" s="50">
        <v>24</v>
      </c>
      <c r="C418" s="49">
        <v>4</v>
      </c>
      <c r="D418" s="2" t="str">
        <f t="shared" si="467"/>
        <v>24_4</v>
      </c>
      <c r="E418" s="2" t="str">
        <f t="shared" si="467"/>
        <v>4_24_4</v>
      </c>
      <c r="F418" s="4" t="str">
        <f ca="1">VLOOKUP($D418,OFFSET([1]stages!$A$1,0,0,COUNTA([1]stages!$A:$A),MATCH(F$1,[1]stages!$2:$2,0)-MATCH($D$1,[1]stages!$2:$2,0)+1),MATCH(F$1,[1]stages!$2:$2,0)-MATCH($D$1,[1]stages!$2:$2,0)+1,FALSE)</f>
        <v>24-4．肉弾の虎将</v>
      </c>
      <c r="G418" s="55">
        <v>2</v>
      </c>
      <c r="H418" s="17" t="str">
        <f t="shared" si="468"/>
        <v>24_4-2</v>
      </c>
      <c r="I418" s="17"/>
      <c r="J418" s="17"/>
      <c r="K418" s="65" t="s">
        <v>56</v>
      </c>
      <c r="L418" s="52">
        <v>31</v>
      </c>
      <c r="M418" s="21" t="str">
        <f ca="1">VLOOKUP($L418,OFFSET([2]enemies!$A$1,0,0,COUNTA([2]enemies!$A:$A),MATCH(M$1,[2]enemies!$1:$1,0)-MATCH($L$1,[2]enemies!$1:$1,0)+1),MATCH(M$1,[2]enemies!$1:$1,0)-MATCH($L$1,[2]enemies!$1:$1,0)+1,FALSE)</f>
        <v>マービー</v>
      </c>
      <c r="N418" s="21" t="str">
        <f ca="1">VLOOKUP($L418,OFFSET([2]enemies!$A$1,0,0,COUNTA([2]enemies!$A:$A),MATCH(N$1,[2]enemies!$1:$1,0)-MATCH($L$1,[2]enemies!$1:$1,0)+1),MATCH(N$1,[2]enemies!$1:$1,0)-MATCH($L$1,[2]enemies!$1:$1,0)+1,FALSE)</f>
        <v>yellow</v>
      </c>
      <c r="O418" s="21" t="str">
        <f ca="1">VLOOKUP($L418,OFFSET([3]characters!$A$1,0,0,COUNTA([3]characters!$A:$A),MATCH(O$1,[3]characters!$1:$1,0)-MATCH($L$1,[3]characters!$1:$1,0)+1),MATCH(O$1,[3]characters!$1:$1,0)-MATCH($L$1,[3]characters!$1:$1,0)+1,FALSE)</f>
        <v>Drop1N</v>
      </c>
      <c r="P418" s="21" t="str">
        <f ca="1">VLOOKUP($L418,OFFSET([2]enemies!$A$1,0,0,COUNTA([2]enemies!$A:$A),MATCH(P$1,[2]enemies!$1:$1,0)-MATCH($L$1,[2]enemies!$1:$1,0)+1),MATCH(P$1,[2]enemies!$1:$1,0)-MATCH($L$1,[2]enemies!$1:$1,0)+1,FALSE)</f>
        <v>machine</v>
      </c>
      <c r="Q418" s="21">
        <f ca="1">VLOOKUP($L418,OFFSET([2]enemies!$A$1,0,0,COUNTA([2]enemies!$A:$A),MATCH(Q$1,[2]enemies!$1:$1,0)-MATCH($L$1,[2]enemies!$1:$1,0)+1),MATCH(Q$1,[2]enemies!$1:$1,0)-MATCH($L$1,[2]enemies!$1:$1,0)+1,FALSE)</f>
        <v>15</v>
      </c>
      <c r="R418" s="53">
        <v>50</v>
      </c>
      <c r="S418" s="27">
        <v>1</v>
      </c>
      <c r="T418" s="27">
        <v>1</v>
      </c>
      <c r="U418" s="5">
        <v>0</v>
      </c>
      <c r="V418" s="4" t="str">
        <f ca="1">VLOOKUP($W418,OFFSET([4]enemy_skill_sets!$B$1,0,0,COUNTA([4]enemy_skill_sets!$B:$B),MATCH(M$1,[4]enemy_skill_sets!$1:$1,0)-MATCH($W$1,[4]enemy_skill_sets!$1:$1,0)+2),MATCH(M$1,[4]enemy_skill_sets!$1:$1,0)-MATCH($W$1,[4]enemy_skill_sets!$1:$1,0)+2,FALSE)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18" s="4">
        <f ca="1">VLOOKUP($L418,OFFSET([2]enemies!$A$1,0,0,COUNTA([2]enemies!$A:$A),MATCH(W$1,[2]enemies!$1:$1,0)-MATCH($L$1,[2]enemies!$1:$1,0)+1),MATCH(W$1,[2]enemies!$1:$1,0)-MATCH($L$1,[2]enemies!$1:$1,0)+1,FALSE)</f>
        <v>0</v>
      </c>
      <c r="X418" s="6">
        <v>0</v>
      </c>
      <c r="Y418" s="6">
        <v>100</v>
      </c>
      <c r="Z418" s="6">
        <v>0</v>
      </c>
      <c r="AA418" s="4">
        <f ca="1">VLOOKUP($L418,OFFSET([2]enemies!$A$1,0,0,COUNTA([2]enemies!$A:$A),MATCH(AA$1,[2]enemies!$1:$1,0)-MATCH($L$1,[2]enemies!$1:$1,0)+1),MATCH(AA$1,[2]enemies!$1:$1,0)-MATCH($L$1,[2]enemies!$1:$1,0)+1,FALSE)</f>
        <v>2</v>
      </c>
      <c r="AB418" s="52">
        <v>31</v>
      </c>
      <c r="AC418" s="4" t="str">
        <f ca="1">VLOOKUP($AB418,OFFSET([3]characters!$A$1,0,0,COUNTA([3]characters!$A:$A),MATCH(AC$1,[3]characters!$1:$1,0)-MATCH("character_id",[3]characters!$1:$1,0)+1),MATCH(AC$1,[3]characters!$1:$1,0)-MATCH("character_id",[3]characters!$1:$1,0)+1,FALSE)</f>
        <v>マービー</v>
      </c>
      <c r="AD418" s="4">
        <f ca="1">VLOOKUP($AB418,OFFSET([3]characters!$A$1,0,0,COUNTA([3]characters!$A:$A),MATCH(AD$1,[3]characters!$1:$1,0)-MATCH("character_id",[3]characters!$1:$1,0)+1),MATCH(AD$1,[3]characters!$1:$1,0)-MATCH("character_id",[3]characters!$1:$1,0)+1,FALSE)</f>
        <v>1</v>
      </c>
      <c r="AE418" s="4" t="str">
        <f ca="1">VLOOKUP($AB418,OFFSET([3]characters!$A$1,0,0,COUNTA([3]characters!$A:$A),MATCH(AE$1,[3]characters!$1:$1,0)-MATCH("character_id",[3]characters!$1:$1,0)+1),MATCH(AE$1,[3]characters!$1:$1,0)-MATCH("character_id",[3]characters!$1:$1,0)+1,FALSE)</f>
        <v>Drop1N</v>
      </c>
      <c r="AF418" s="7">
        <v>7</v>
      </c>
      <c r="AG418" s="26">
        <f t="shared" ca="1" si="465"/>
        <v>1</v>
      </c>
      <c r="AH418" s="8">
        <v>20</v>
      </c>
      <c r="AI418" s="7">
        <v>0</v>
      </c>
      <c r="AJ418" s="7">
        <v>0</v>
      </c>
      <c r="AK418" s="7">
        <v>0</v>
      </c>
      <c r="AL418" s="7">
        <v>0</v>
      </c>
      <c r="AM418" s="7">
        <v>1</v>
      </c>
    </row>
    <row r="419" spans="1:39" ht="14" x14ac:dyDescent="0.15">
      <c r="A419" s="18" t="str">
        <f t="shared" ref="A419" ca="1" si="493">B419&amp;"_"&amp;C419&amp;"-"&amp;G419&amp;"/"&amp;L419&amp;"&lt;lv"&amp;R419&amp;"&gt;s"&amp;AA419</f>
        <v>24_4-2/366&lt;lv50&gt;s3</v>
      </c>
      <c r="B419" s="53">
        <v>24</v>
      </c>
      <c r="C419" s="51">
        <v>4</v>
      </c>
      <c r="D419" s="2" t="str">
        <f t="shared" ref="D419" si="494">B419&amp;"_"&amp;C419</f>
        <v>24_4</v>
      </c>
      <c r="E419" s="2" t="str">
        <f t="shared" ref="E419" si="495">C419&amp;"_"&amp;D419</f>
        <v>4_24_4</v>
      </c>
      <c r="F419" s="4" t="str">
        <f ca="1">VLOOKUP($D419,OFFSET([1]stages!$A$1,0,0,COUNTA([1]stages!$A:$A),MATCH(F$1,[1]stages!$2:$2,0)-MATCH($D$1,[1]stages!$2:$2,0)+1),MATCH(F$1,[1]stages!$2:$2,0)-MATCH($D$1,[1]stages!$2:$2,0)+1,FALSE)</f>
        <v>24-4．肉弾の虎将</v>
      </c>
      <c r="G419" s="55">
        <v>2</v>
      </c>
      <c r="H419" s="17" t="str">
        <f t="shared" ref="H419" si="496">B419&amp;"_"&amp;C419&amp;"-"&amp;G419</f>
        <v>24_4-2</v>
      </c>
      <c r="I419" s="17"/>
      <c r="J419" s="17"/>
      <c r="K419" s="65" t="s">
        <v>56</v>
      </c>
      <c r="L419" s="52">
        <v>366</v>
      </c>
      <c r="M419" s="21" t="str">
        <f ca="1">VLOOKUP($L419,OFFSET([2]enemies!$A$1,0,0,COUNTA([2]enemies!$A:$A),MATCH(M$1,[2]enemies!$1:$1,0)-MATCH($L$1,[2]enemies!$1:$1,0)+1),MATCH(M$1,[2]enemies!$1:$1,0)-MATCH($L$1,[2]enemies!$1:$1,0)+1,FALSE)</f>
        <v>トト</v>
      </c>
      <c r="N419" s="21" t="str">
        <f ca="1">VLOOKUP($L419,OFFSET([2]enemies!$A$1,0,0,COUNTA([2]enemies!$A:$A),MATCH(N$1,[2]enemies!$1:$1,0)-MATCH($L$1,[2]enemies!$1:$1,0)+1),MATCH(N$1,[2]enemies!$1:$1,0)-MATCH($L$1,[2]enemies!$1:$1,0)+1,FALSE)</f>
        <v>yellow</v>
      </c>
      <c r="O419" s="21" t="str">
        <f ca="1">VLOOKUP($L419,OFFSET([3]characters!$A$1,0,0,COUNTA([3]characters!$A:$A),MATCH(O$1,[3]characters!$1:$1,0)-MATCH($L$1,[3]characters!$1:$1,0)+1),MATCH(O$1,[3]characters!$1:$1,0)-MATCH($L$1,[3]characters!$1:$1,0)+1,FALSE)</f>
        <v>Drop1S</v>
      </c>
      <c r="P419" s="21" t="str">
        <f ca="1">VLOOKUP($L419,OFFSET([2]enemies!$A$1,0,0,COUNTA([2]enemies!$A:$A),MATCH(P$1,[2]enemies!$1:$1,0)-MATCH($L$1,[2]enemies!$1:$1,0)+1),MATCH(P$1,[2]enemies!$1:$1,0)-MATCH($L$1,[2]enemies!$1:$1,0)+1,FALSE)</f>
        <v>animal</v>
      </c>
      <c r="Q419" s="21">
        <f ca="1">VLOOKUP($L419,OFFSET([2]enemies!$A$1,0,0,COUNTA([2]enemies!$A:$A),MATCH(Q$1,[2]enemies!$1:$1,0)-MATCH($L$1,[2]enemies!$1:$1,0)+1),MATCH(Q$1,[2]enemies!$1:$1,0)-MATCH($L$1,[2]enemies!$1:$1,0)+1,FALSE)</f>
        <v>15</v>
      </c>
      <c r="R419" s="53">
        <v>50</v>
      </c>
      <c r="S419" s="27">
        <v>1</v>
      </c>
      <c r="T419" s="27">
        <v>1</v>
      </c>
      <c r="U419" s="5">
        <v>0</v>
      </c>
      <c r="V419" s="4" t="str">
        <f ca="1">VLOOKUP($W419,OFFSET([4]enemy_skill_sets!$B$1,0,0,COUNTA([4]enemy_skill_sets!$B:$B),MATCH(M$1,[4]enemy_skill_sets!$1:$1,0)-MATCH($W$1,[4]enemy_skill_sets!$1:$1,0)+2),MATCH(M$1,[4]enemy_skill_sets!$1:$1,0)-MATCH($W$1,[4]enemy_skill_sets!$1:$1,0)+2,FALSE)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419" s="64">
        <v>366</v>
      </c>
      <c r="X419" s="6">
        <v>0</v>
      </c>
      <c r="Y419" s="6">
        <v>100</v>
      </c>
      <c r="Z419" s="6">
        <v>0</v>
      </c>
      <c r="AA419" s="4">
        <f ca="1">VLOOKUP($L419,OFFSET([2]enemies!$A$1,0,0,COUNTA([2]enemies!$A:$A),MATCH(AA$1,[2]enemies!$1:$1,0)-MATCH($L$1,[2]enemies!$1:$1,0)+1),MATCH(AA$1,[2]enemies!$1:$1,0)-MATCH($L$1,[2]enemies!$1:$1,0)+1,FALSE)</f>
        <v>3</v>
      </c>
      <c r="AB419" s="52">
        <v>366</v>
      </c>
      <c r="AC419" s="4" t="str">
        <f ca="1">VLOOKUP($AB419,OFFSET([3]characters!$A$1,0,0,COUNTA([3]characters!$A:$A),MATCH(AC$1,[3]characters!$1:$1,0)-MATCH("character_id",[3]characters!$1:$1,0)+1),MATCH(AC$1,[3]characters!$1:$1,0)-MATCH("character_id",[3]characters!$1:$1,0)+1,FALSE)</f>
        <v>トト</v>
      </c>
      <c r="AD419" s="4">
        <f ca="1">VLOOKUP($AB419,OFFSET([3]characters!$A$1,0,0,COUNTA([3]characters!$A:$A),MATCH(AD$1,[3]characters!$1:$1,0)-MATCH("character_id",[3]characters!$1:$1,0)+1),MATCH(AD$1,[3]characters!$1:$1,0)-MATCH("character_id",[3]characters!$1:$1,0)+1,FALSE)</f>
        <v>2</v>
      </c>
      <c r="AE419" s="4" t="str">
        <f ca="1">VLOOKUP($AB419,OFFSET([3]characters!$A$1,0,0,COUNTA([3]characters!$A:$A),MATCH(AE$1,[3]characters!$1:$1,0)-MATCH("character_id",[3]characters!$1:$1,0)+1),MATCH(AE$1,[3]characters!$1:$1,0)-MATCH("character_id",[3]characters!$1:$1,0)+1,FALSE)</f>
        <v>Drop1S</v>
      </c>
      <c r="AF419" s="7">
        <v>7</v>
      </c>
      <c r="AG419" s="26">
        <f t="shared" ca="1" si="465"/>
        <v>2</v>
      </c>
      <c r="AH419" s="8">
        <v>20</v>
      </c>
      <c r="AI419" s="7">
        <v>0</v>
      </c>
      <c r="AJ419" s="7">
        <v>0</v>
      </c>
      <c r="AK419" s="7">
        <v>0</v>
      </c>
      <c r="AL419" s="7">
        <v>0</v>
      </c>
      <c r="AM419" s="7">
        <v>1</v>
      </c>
    </row>
    <row r="420" spans="1:39" ht="14" x14ac:dyDescent="0.15">
      <c r="A420" s="18" t="str">
        <f t="shared" ref="A420" ca="1" si="497">B420&amp;"_"&amp;C420&amp;"-"&amp;G420&amp;"/"&amp;L420&amp;"&lt;lv"&amp;R420&amp;"&gt;s"&amp;AA420</f>
        <v>24_4-2/354&lt;lv50&gt;s3</v>
      </c>
      <c r="B420" s="53">
        <v>24</v>
      </c>
      <c r="C420" s="51">
        <v>4</v>
      </c>
      <c r="D420" s="2" t="str">
        <f t="shared" ref="D420" si="498">B420&amp;"_"&amp;C420</f>
        <v>24_4</v>
      </c>
      <c r="E420" s="2" t="str">
        <f t="shared" ref="E420" si="499">C420&amp;"_"&amp;D420</f>
        <v>4_24_4</v>
      </c>
      <c r="F420" s="4" t="str">
        <f ca="1">VLOOKUP($D420,OFFSET([1]stages!$A$1,0,0,COUNTA([1]stages!$A:$A),MATCH(F$1,[1]stages!$2:$2,0)-MATCH($D$1,[1]stages!$2:$2,0)+1),MATCH(F$1,[1]stages!$2:$2,0)-MATCH($D$1,[1]stages!$2:$2,0)+1,FALSE)</f>
        <v>24-4．肉弾の虎将</v>
      </c>
      <c r="G420" s="55">
        <v>2</v>
      </c>
      <c r="H420" s="17" t="str">
        <f t="shared" ref="H420" si="500">B420&amp;"_"&amp;C420&amp;"-"&amp;G420</f>
        <v>24_4-2</v>
      </c>
      <c r="I420" s="17"/>
      <c r="J420" s="17"/>
      <c r="K420" s="65" t="s">
        <v>56</v>
      </c>
      <c r="L420" s="52">
        <v>354</v>
      </c>
      <c r="M420" s="21" t="str">
        <f ca="1">VLOOKUP($L420,OFFSET([2]enemies!$A$1,0,0,COUNTA([2]enemies!$A:$A),MATCH(M$1,[2]enemies!$1:$1,0)-MATCH($L$1,[2]enemies!$1:$1,0)+1),MATCH(M$1,[2]enemies!$1:$1,0)-MATCH($L$1,[2]enemies!$1:$1,0)+1,FALSE)</f>
        <v>雷のケロケロ</v>
      </c>
      <c r="N420" s="21" t="str">
        <f ca="1">VLOOKUP($L420,OFFSET([2]enemies!$A$1,0,0,COUNTA([2]enemies!$A:$A),MATCH(N$1,[2]enemies!$1:$1,0)-MATCH($L$1,[2]enemies!$1:$1,0)+1),MATCH(N$1,[2]enemies!$1:$1,0)-MATCH($L$1,[2]enemies!$1:$1,0)+1,FALSE)</f>
        <v>yellow</v>
      </c>
      <c r="O420" s="21" t="str">
        <f ca="1">VLOOKUP($L420,OFFSET([3]characters!$A$1,0,0,COUNTA([3]characters!$A:$A),MATCH(O$1,[3]characters!$1:$1,0)-MATCH($L$1,[3]characters!$1:$1,0)+1),MATCH(O$1,[3]characters!$1:$1,0)-MATCH($L$1,[3]characters!$1:$1,0)+1,FALSE)</f>
        <v>Material</v>
      </c>
      <c r="P420" s="21" t="str">
        <f ca="1">VLOOKUP($L420,OFFSET([2]enemies!$A$1,0,0,COUNTA([2]enemies!$A:$A),MATCH(P$1,[2]enemies!$1:$1,0)-MATCH($L$1,[2]enemies!$1:$1,0)+1),MATCH(P$1,[2]enemies!$1:$1,0)-MATCH($L$1,[2]enemies!$1:$1,0)+1,FALSE)</f>
        <v>unknown</v>
      </c>
      <c r="Q420" s="21">
        <f ca="1">VLOOKUP($L420,OFFSET([2]enemies!$A$1,0,0,COUNTA([2]enemies!$A:$A),MATCH(Q$1,[2]enemies!$1:$1,0)-MATCH($L$1,[2]enemies!$1:$1,0)+1),MATCH(Q$1,[2]enemies!$1:$1,0)-MATCH($L$1,[2]enemies!$1:$1,0)+1,FALSE)</f>
        <v>15</v>
      </c>
      <c r="R420" s="53">
        <v>50</v>
      </c>
      <c r="S420" s="27">
        <v>1</v>
      </c>
      <c r="T420" s="27">
        <v>1</v>
      </c>
      <c r="U420" s="5">
        <v>0</v>
      </c>
      <c r="V420" s="4" t="str">
        <f ca="1">VLOOKUP($W420,OFFSET([4]enemy_skill_sets!$B$1,0,0,COUNTA([4]enemy_skill_sets!$B:$B),MATCH(M$1,[4]enemy_skill_sets!$1:$1,0)-MATCH($W$1,[4]enemy_skill_sets!$1:$1,0)+2),MATCH(M$1,[4]enemy_skill_sets!$1:$1,0)-MATCH($W$1,[4]enemy_skill_sets!$1:$1,0)+2,FALSE)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420" s="64">
        <v>354</v>
      </c>
      <c r="X420" s="6">
        <v>1</v>
      </c>
      <c r="Y420" s="6">
        <v>100</v>
      </c>
      <c r="Z420" s="6">
        <v>0</v>
      </c>
      <c r="AA420" s="4">
        <f ca="1">VLOOKUP($L420,OFFSET([2]enemies!$A$1,0,0,COUNTA([2]enemies!$A:$A),MATCH(AA$1,[2]enemies!$1:$1,0)-MATCH($L$1,[2]enemies!$1:$1,0)+1),MATCH(AA$1,[2]enemies!$1:$1,0)-MATCH($L$1,[2]enemies!$1:$1,0)+1,FALSE)</f>
        <v>3</v>
      </c>
      <c r="AB420" s="52">
        <v>354</v>
      </c>
      <c r="AC420" s="4" t="str">
        <f ca="1">VLOOKUP($AB420,OFFSET([3]characters!$A$1,0,0,COUNTA([3]characters!$A:$A),MATCH(AC$1,[3]characters!$1:$1,0)-MATCH("character_id",[3]characters!$1:$1,0)+1),MATCH(AC$1,[3]characters!$1:$1,0)-MATCH("character_id",[3]characters!$1:$1,0)+1,FALSE)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420" s="4">
        <f ca="1">VLOOKUP($AB420,OFFSET([3]characters!$A$1,0,0,COUNTA([3]characters!$A:$A),MATCH(AD$1,[3]characters!$1:$1,0)-MATCH("character_id",[3]characters!$1:$1,0)+1),MATCH(AD$1,[3]characters!$1:$1,0)-MATCH("character_id",[3]characters!$1:$1,0)+1,FALSE)</f>
        <v>2</v>
      </c>
      <c r="AE420" s="4" t="str">
        <f ca="1">VLOOKUP($AB420,OFFSET([3]characters!$A$1,0,0,COUNTA([3]characters!$A:$A),MATCH(AE$1,[3]characters!$1:$1,0)-MATCH("character_id",[3]characters!$1:$1,0)+1),MATCH(AE$1,[3]characters!$1:$1,0)-MATCH("character_id",[3]characters!$1:$1,0)+1,FALSE)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20" s="7">
        <v>10</v>
      </c>
      <c r="AG420" s="26">
        <f t="shared" ca="1" si="465"/>
        <v>2</v>
      </c>
      <c r="AH420" s="8">
        <v>100</v>
      </c>
      <c r="AI420" s="7">
        <v>0</v>
      </c>
      <c r="AJ420" s="7">
        <v>0</v>
      </c>
      <c r="AK420" s="7">
        <v>0</v>
      </c>
      <c r="AL420" s="7">
        <v>0</v>
      </c>
      <c r="AM420" s="7">
        <v>1</v>
      </c>
    </row>
    <row r="421" spans="1:39" ht="14" x14ac:dyDescent="0.15">
      <c r="A421" s="18" t="str">
        <f t="shared" ca="1" si="466"/>
        <v>24_4-3/132&lt;lv55&gt;s3</v>
      </c>
      <c r="B421" s="50">
        <v>24</v>
      </c>
      <c r="C421" s="49">
        <v>4</v>
      </c>
      <c r="D421" s="2" t="str">
        <f t="shared" si="467"/>
        <v>24_4</v>
      </c>
      <c r="E421" s="2" t="str">
        <f t="shared" si="467"/>
        <v>4_24_4</v>
      </c>
      <c r="F421" s="4" t="str">
        <f ca="1">VLOOKUP($D421,OFFSET([1]stages!$A$1,0,0,COUNTA([1]stages!$A:$A),MATCH(F$1,[1]stages!$2:$2,0)-MATCH($D$1,[1]stages!$2:$2,0)+1),MATCH(F$1,[1]stages!$2:$2,0)-MATCH($D$1,[1]stages!$2:$2,0)+1,FALSE)</f>
        <v>24-4．肉弾の虎将</v>
      </c>
      <c r="G421" s="56">
        <v>3</v>
      </c>
      <c r="H421" s="17" t="str">
        <f t="shared" si="468"/>
        <v>24_4-3</v>
      </c>
      <c r="I421" s="17"/>
      <c r="J421" s="17"/>
      <c r="K421" s="65" t="s">
        <v>56</v>
      </c>
      <c r="L421" s="52">
        <v>132</v>
      </c>
      <c r="M421" s="21" t="str">
        <f ca="1">VLOOKUP($L421,OFFSET([2]enemies!$A$1,0,0,COUNTA([2]enemies!$A:$A),MATCH(M$1,[2]enemies!$1:$1,0)-MATCH($L$1,[2]enemies!$1:$1,0)+1),MATCH(M$1,[2]enemies!$1:$1,0)-MATCH($L$1,[2]enemies!$1:$1,0)+1,FALSE)</f>
        <v>鳥人ハヤト</v>
      </c>
      <c r="N421" s="21" t="str">
        <f ca="1">VLOOKUP($L421,OFFSET([2]enemies!$A$1,0,0,COUNTA([2]enemies!$A:$A),MATCH(N$1,[2]enemies!$1:$1,0)-MATCH($L$1,[2]enemies!$1:$1,0)+1),MATCH(N$1,[2]enemies!$1:$1,0)-MATCH($L$1,[2]enemies!$1:$1,0)+1,FALSE)</f>
        <v>yellow</v>
      </c>
      <c r="O421" s="21" t="str">
        <f ca="1">VLOOKUP($L421,OFFSET([3]characters!$A$1,0,0,COUNTA([3]characters!$A:$A),MATCH(O$1,[3]characters!$1:$1,0)-MATCH($L$1,[3]characters!$1:$1,0)+1),MATCH(O$1,[3]characters!$1:$1,0)-MATCH($L$1,[3]characters!$1:$1,0)+1,FALSE)</f>
        <v>PremiumW</v>
      </c>
      <c r="P421" s="21" t="str">
        <f ca="1">VLOOKUP($L421,OFFSET([2]enemies!$A$1,0,0,COUNTA([2]enemies!$A:$A),MATCH(P$1,[2]enemies!$1:$1,0)-MATCH($L$1,[2]enemies!$1:$1,0)+1),MATCH(P$1,[2]enemies!$1:$1,0)-MATCH($L$1,[2]enemies!$1:$1,0)+1,FALSE)</f>
        <v>human</v>
      </c>
      <c r="Q421" s="21">
        <f ca="1">VLOOKUP($L421,OFFSET([2]enemies!$A$1,0,0,COUNTA([2]enemies!$A:$A),MATCH(Q$1,[2]enemies!$1:$1,0)-MATCH($L$1,[2]enemies!$1:$1,0)+1),MATCH(Q$1,[2]enemies!$1:$1,0)-MATCH($L$1,[2]enemies!$1:$1,0)+1,FALSE)</f>
        <v>20</v>
      </c>
      <c r="R421" s="53">
        <v>55</v>
      </c>
      <c r="S421" s="27">
        <v>2</v>
      </c>
      <c r="T421" s="27">
        <v>0.6</v>
      </c>
      <c r="U421" s="5">
        <v>0</v>
      </c>
      <c r="V421" s="4" t="str">
        <f ca="1">VLOOKUP($W421,OFFSET([4]enemy_skill_sets!$B$1,0,0,COUNTA([4]enemy_skill_sets!$B:$B),MATCH(M$1,[4]enemy_skill_sets!$1:$1,0)-MATCH($W$1,[4]enemy_skill_sets!$1:$1,0)+2),MATCH(M$1,[4]enemy_skill_sets!$1:$1,0)-MATCH($W$1,[4]enemy_skill_sets!$1:$1,0)+2,FALSE)</f>
        <v>4回連続攻撃</v>
      </c>
      <c r="W421" s="4">
        <v>132</v>
      </c>
      <c r="X421" s="6">
        <v>0</v>
      </c>
      <c r="Y421" s="6">
        <v>100</v>
      </c>
      <c r="Z421" s="6">
        <v>1</v>
      </c>
      <c r="AA421" s="4">
        <f ca="1">VLOOKUP($L421,OFFSET([2]enemies!$A$1,0,0,COUNTA([2]enemies!$A:$A),MATCH(AA$1,[2]enemies!$1:$1,0)-MATCH($L$1,[2]enemies!$1:$1,0)+1),MATCH(AA$1,[2]enemies!$1:$1,0)-MATCH($L$1,[2]enemies!$1:$1,0)+1,FALSE)</f>
        <v>3</v>
      </c>
      <c r="AB421" s="52">
        <v>132</v>
      </c>
      <c r="AC421" s="4" t="str">
        <f ca="1">VLOOKUP($AB421,OFFSET([3]characters!$A$1,0,0,COUNTA([3]characters!$A:$A),MATCH(AC$1,[3]characters!$1:$1,0)-MATCH("character_id",[3]characters!$1:$1,0)+1),MATCH(AC$1,[3]characters!$1:$1,0)-MATCH("character_id",[3]characters!$1:$1,0)+1,FALSE)</f>
        <v>鳥人ハヤト</v>
      </c>
      <c r="AD421" s="4">
        <f ca="1">VLOOKUP($AB421,OFFSET([3]characters!$A$1,0,0,COUNTA([3]characters!$A:$A),MATCH(AD$1,[3]characters!$1:$1,0)-MATCH("character_id",[3]characters!$1:$1,0)+1),MATCH(AD$1,[3]characters!$1:$1,0)-MATCH("character_id",[3]characters!$1:$1,0)+1,FALSE)</f>
        <v>3</v>
      </c>
      <c r="AE421" s="4" t="str">
        <f ca="1">VLOOKUP($AB421,OFFSET([3]characters!$A$1,0,0,COUNTA([3]characters!$A:$A),MATCH(AE$1,[3]characters!$1:$1,0)-MATCH("character_id",[3]characters!$1:$1,0)+1),MATCH(AE$1,[3]characters!$1:$1,0)-MATCH("character_id",[3]characters!$1:$1,0)+1,FALSE)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421" s="7">
        <v>1</v>
      </c>
      <c r="AG421" s="26">
        <f t="shared" ca="1" si="465"/>
        <v>3</v>
      </c>
      <c r="AH421" s="8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1</v>
      </c>
    </row>
    <row r="422" spans="1:39" ht="14" x14ac:dyDescent="0.15">
      <c r="A422" s="18" t="str">
        <f t="shared" ca="1" si="466"/>
        <v>24_4-4/47&lt;lv50&gt;s1</v>
      </c>
      <c r="B422" s="50">
        <v>24</v>
      </c>
      <c r="C422" s="49">
        <v>4</v>
      </c>
      <c r="D422" s="2" t="str">
        <f t="shared" si="467"/>
        <v>24_4</v>
      </c>
      <c r="E422" s="2" t="str">
        <f t="shared" si="467"/>
        <v>4_24_4</v>
      </c>
      <c r="F422" s="4" t="str">
        <f ca="1">VLOOKUP($D422,OFFSET([1]stages!$A$1,0,0,COUNTA([1]stages!$A:$A),MATCH(F$1,[1]stages!$2:$2,0)-MATCH($D$1,[1]stages!$2:$2,0)+1),MATCH(F$1,[1]stages!$2:$2,0)-MATCH($D$1,[1]stages!$2:$2,0)+1,FALSE)</f>
        <v>24-4．肉弾の虎将</v>
      </c>
      <c r="G422" s="57">
        <v>4</v>
      </c>
      <c r="H422" s="17" t="str">
        <f t="shared" si="468"/>
        <v>24_4-4</v>
      </c>
      <c r="I422" s="17"/>
      <c r="J422" s="17"/>
      <c r="K422" s="65" t="s">
        <v>56</v>
      </c>
      <c r="L422" s="52">
        <v>47</v>
      </c>
      <c r="M422" s="21" t="str">
        <f ca="1">VLOOKUP($L422,OFFSET([2]enemies!$A$1,0,0,COUNTA([2]enemies!$A:$A),MATCH(M$1,[2]enemies!$1:$1,0)-MATCH($L$1,[2]enemies!$1:$1,0)+1),MATCH(M$1,[2]enemies!$1:$1,0)-MATCH($L$1,[2]enemies!$1:$1,0)+1,FALSE)</f>
        <v>ヒロ</v>
      </c>
      <c r="N422" s="21" t="str">
        <f ca="1">VLOOKUP($L422,OFFSET([2]enemies!$A$1,0,0,COUNTA([2]enemies!$A:$A),MATCH(N$1,[2]enemies!$1:$1,0)-MATCH($L$1,[2]enemies!$1:$1,0)+1),MATCH(N$1,[2]enemies!$1:$1,0)-MATCH($L$1,[2]enemies!$1:$1,0)+1,FALSE)</f>
        <v>yellow</v>
      </c>
      <c r="O422" s="21" t="str">
        <f ca="1">VLOOKUP($L422,OFFSET([3]characters!$A$1,0,0,COUNTA([3]characters!$A:$A),MATCH(O$1,[3]characters!$1:$1,0)-MATCH($L$1,[3]characters!$1:$1,0)+1),MATCH(O$1,[3]characters!$1:$1,0)-MATCH($L$1,[3]characters!$1:$1,0)+1,FALSE)</f>
        <v>Drop1N</v>
      </c>
      <c r="P422" s="21" t="str">
        <f ca="1">VLOOKUP($L422,OFFSET([2]enemies!$A$1,0,0,COUNTA([2]enemies!$A:$A),MATCH(P$1,[2]enemies!$1:$1,0)-MATCH($L$1,[2]enemies!$1:$1,0)+1),MATCH(P$1,[2]enemies!$1:$1,0)-MATCH($L$1,[2]enemies!$1:$1,0)+1,FALSE)</f>
        <v>animal</v>
      </c>
      <c r="Q422" s="21">
        <f ca="1">VLOOKUP($L422,OFFSET([2]enemies!$A$1,0,0,COUNTA([2]enemies!$A:$A),MATCH(Q$1,[2]enemies!$1:$1,0)-MATCH($L$1,[2]enemies!$1:$1,0)+1),MATCH(Q$1,[2]enemies!$1:$1,0)-MATCH($L$1,[2]enemies!$1:$1,0)+1,FALSE)</f>
        <v>15</v>
      </c>
      <c r="R422" s="53">
        <v>50</v>
      </c>
      <c r="S422" s="27">
        <v>1.1000000000000001</v>
      </c>
      <c r="T422" s="27">
        <v>1</v>
      </c>
      <c r="U422" s="5">
        <v>0</v>
      </c>
      <c r="V422" s="4" t="str">
        <f ca="1">VLOOKUP($W422,OFFSET([4]enemy_skill_sets!$B$1,0,0,COUNTA([4]enemy_skill_sets!$B:$B),MATCH(M$1,[4]enemy_skill_sets!$1:$1,0)-MATCH($W$1,[4]enemy_skill_sets!$1:$1,0)+2),MATCH(M$1,[4]enemy_skill_sets!$1:$1,0)-MATCH($W$1,[4]enemy_skill_sets!$1:$1,0)+2,FALSE)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22" s="4">
        <f ca="1">VLOOKUP($L422,OFFSET([2]enemies!$A$1,0,0,COUNTA([2]enemies!$A:$A),MATCH(W$1,[2]enemies!$1:$1,0)-MATCH($L$1,[2]enemies!$1:$1,0)+1),MATCH(W$1,[2]enemies!$1:$1,0)-MATCH($L$1,[2]enemies!$1:$1,0)+1,FALSE)</f>
        <v>0</v>
      </c>
      <c r="X422" s="6">
        <v>0</v>
      </c>
      <c r="Y422" s="6">
        <v>100</v>
      </c>
      <c r="Z422" s="6">
        <v>0</v>
      </c>
      <c r="AA422" s="4">
        <f ca="1">VLOOKUP($L422,OFFSET([2]enemies!$A$1,0,0,COUNTA([2]enemies!$A:$A),MATCH(AA$1,[2]enemies!$1:$1,0)-MATCH($L$1,[2]enemies!$1:$1,0)+1),MATCH(AA$1,[2]enemies!$1:$1,0)-MATCH($L$1,[2]enemies!$1:$1,0)+1,FALSE)</f>
        <v>1</v>
      </c>
      <c r="AB422" s="52">
        <v>47</v>
      </c>
      <c r="AC422" s="4" t="str">
        <f ca="1">VLOOKUP($AB422,OFFSET([3]characters!$A$1,0,0,COUNTA([3]characters!$A:$A),MATCH(AC$1,[3]characters!$1:$1,0)-MATCH("character_id",[3]characters!$1:$1,0)+1),MATCH(AC$1,[3]characters!$1:$1,0)-MATCH("character_id",[3]characters!$1:$1,0)+1,FALSE)</f>
        <v>ヒロ</v>
      </c>
      <c r="AD422" s="4">
        <f ca="1">VLOOKUP($AB422,OFFSET([3]characters!$A$1,0,0,COUNTA([3]characters!$A:$A),MATCH(AD$1,[3]characters!$1:$1,0)-MATCH("character_id",[3]characters!$1:$1,0)+1),MATCH(AD$1,[3]characters!$1:$1,0)-MATCH("character_id",[3]characters!$1:$1,0)+1,FALSE)</f>
        <v>2</v>
      </c>
      <c r="AE422" s="4" t="str">
        <f ca="1">VLOOKUP($AB422,OFFSET([3]characters!$A$1,0,0,COUNTA([3]characters!$A:$A),MATCH(AE$1,[3]characters!$1:$1,0)-MATCH("character_id",[3]characters!$1:$1,0)+1),MATCH(AE$1,[3]characters!$1:$1,0)-MATCH("character_id",[3]characters!$1:$1,0)+1,FALSE)</f>
        <v>Drop1N</v>
      </c>
      <c r="AF422" s="7">
        <v>7</v>
      </c>
      <c r="AG422" s="26">
        <f t="shared" ca="1" si="465"/>
        <v>2</v>
      </c>
      <c r="AH422" s="8">
        <v>20</v>
      </c>
      <c r="AI422" s="7">
        <v>0</v>
      </c>
      <c r="AJ422" s="7">
        <v>0</v>
      </c>
      <c r="AK422" s="7">
        <v>0</v>
      </c>
      <c r="AL422" s="7">
        <v>0</v>
      </c>
      <c r="AM422" s="7">
        <v>1</v>
      </c>
    </row>
    <row r="423" spans="1:39" ht="14" x14ac:dyDescent="0.15">
      <c r="A423" s="18" t="str">
        <f t="shared" ca="1" si="466"/>
        <v>24_4-4/59&lt;lv52&gt;s2</v>
      </c>
      <c r="B423" s="50">
        <v>24</v>
      </c>
      <c r="C423" s="49">
        <v>4</v>
      </c>
      <c r="D423" s="2" t="str">
        <f t="shared" si="467"/>
        <v>24_4</v>
      </c>
      <c r="E423" s="2" t="str">
        <f t="shared" si="467"/>
        <v>4_24_4</v>
      </c>
      <c r="F423" s="4" t="str">
        <f ca="1">VLOOKUP($D423,OFFSET([1]stages!$A$1,0,0,COUNTA([1]stages!$A:$A),MATCH(F$1,[1]stages!$2:$2,0)-MATCH($D$1,[1]stages!$2:$2,0)+1),MATCH(F$1,[1]stages!$2:$2,0)-MATCH($D$1,[1]stages!$2:$2,0)+1,FALSE)</f>
        <v>24-4．肉弾の虎将</v>
      </c>
      <c r="G423" s="57">
        <v>4</v>
      </c>
      <c r="H423" s="17" t="str">
        <f t="shared" si="468"/>
        <v>24_4-4</v>
      </c>
      <c r="I423" s="17"/>
      <c r="J423" s="17"/>
      <c r="K423" s="65" t="s">
        <v>56</v>
      </c>
      <c r="L423" s="52">
        <v>59</v>
      </c>
      <c r="M423" s="21" t="str">
        <f ca="1">VLOOKUP($L423,OFFSET([2]enemies!$A$1,0,0,COUNTA([2]enemies!$A:$A),MATCH(M$1,[2]enemies!$1:$1,0)-MATCH($L$1,[2]enemies!$1:$1,0)+1),MATCH(M$1,[2]enemies!$1:$1,0)-MATCH($L$1,[2]enemies!$1:$1,0)+1,FALSE)</f>
        <v>マーチ</v>
      </c>
      <c r="N423" s="21" t="str">
        <f ca="1">VLOOKUP($L423,OFFSET([2]enemies!$A$1,0,0,COUNTA([2]enemies!$A:$A),MATCH(N$1,[2]enemies!$1:$1,0)-MATCH($L$1,[2]enemies!$1:$1,0)+1),MATCH(N$1,[2]enemies!$1:$1,0)-MATCH($L$1,[2]enemies!$1:$1,0)+1,FALSE)</f>
        <v>green</v>
      </c>
      <c r="O423" s="21" t="str">
        <f ca="1">VLOOKUP($L423,OFFSET([3]characters!$A$1,0,0,COUNTA([3]characters!$A:$A),MATCH(O$1,[3]characters!$1:$1,0)-MATCH($L$1,[3]characters!$1:$1,0)+1),MATCH(O$1,[3]characters!$1:$1,0)-MATCH($L$1,[3]characters!$1:$1,0)+1,FALSE)</f>
        <v>Drop1N</v>
      </c>
      <c r="P423" s="21" t="str">
        <f ca="1">VLOOKUP($L423,OFFSET([2]enemies!$A$1,0,0,COUNTA([2]enemies!$A:$A),MATCH(P$1,[2]enemies!$1:$1,0)-MATCH($L$1,[2]enemies!$1:$1,0)+1),MATCH(P$1,[2]enemies!$1:$1,0)-MATCH($L$1,[2]enemies!$1:$1,0)+1,FALSE)</f>
        <v>animal</v>
      </c>
      <c r="Q423" s="21">
        <f ca="1">VLOOKUP($L423,OFFSET([2]enemies!$A$1,0,0,COUNTA([2]enemies!$A:$A),MATCH(Q$1,[2]enemies!$1:$1,0)-MATCH($L$1,[2]enemies!$1:$1,0)+1),MATCH(Q$1,[2]enemies!$1:$1,0)-MATCH($L$1,[2]enemies!$1:$1,0)+1,FALSE)</f>
        <v>15</v>
      </c>
      <c r="R423" s="53">
        <v>52</v>
      </c>
      <c r="S423" s="27">
        <v>1</v>
      </c>
      <c r="T423" s="27">
        <v>1</v>
      </c>
      <c r="U423" s="5">
        <v>0</v>
      </c>
      <c r="V423" s="4" t="str">
        <f ca="1">VLOOKUP($W423,OFFSET([4]enemy_skill_sets!$B$1,0,0,COUNTA([4]enemy_skill_sets!$B:$B),MATCH(M$1,[4]enemy_skill_sets!$1:$1,0)-MATCH($W$1,[4]enemy_skill_sets!$1:$1,0)+2),MATCH(M$1,[4]enemy_skill_sets!$1:$1,0)-MATCH($W$1,[4]enemy_skill_sets!$1:$1,0)+2,FALSE)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23" s="4">
        <f ca="1">VLOOKUP($L423,OFFSET([2]enemies!$A$1,0,0,COUNTA([2]enemies!$A:$A),MATCH(W$1,[2]enemies!$1:$1,0)-MATCH($L$1,[2]enemies!$1:$1,0)+1),MATCH(W$1,[2]enemies!$1:$1,0)-MATCH($L$1,[2]enemies!$1:$1,0)+1,FALSE)</f>
        <v>59</v>
      </c>
      <c r="X423" s="6">
        <v>0</v>
      </c>
      <c r="Y423" s="6">
        <v>100</v>
      </c>
      <c r="Z423" s="6">
        <v>0</v>
      </c>
      <c r="AA423" s="4">
        <f ca="1">VLOOKUP($L423,OFFSET([2]enemies!$A$1,0,0,COUNTA([2]enemies!$A:$A),MATCH(AA$1,[2]enemies!$1:$1,0)-MATCH($L$1,[2]enemies!$1:$1,0)+1),MATCH(AA$1,[2]enemies!$1:$1,0)-MATCH($L$1,[2]enemies!$1:$1,0)+1,FALSE)</f>
        <v>2</v>
      </c>
      <c r="AB423" s="52">
        <v>59</v>
      </c>
      <c r="AC423" s="4" t="str">
        <f ca="1">VLOOKUP($AB423,OFFSET([3]characters!$A$1,0,0,COUNTA([3]characters!$A:$A),MATCH(AC$1,[3]characters!$1:$1,0)-MATCH("character_id",[3]characters!$1:$1,0)+1),MATCH(AC$1,[3]characters!$1:$1,0)-MATCH("character_id",[3]characters!$1:$1,0)+1,FALSE)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423" s="4">
        <f ca="1">VLOOKUP($AB423,OFFSET([3]characters!$A$1,0,0,COUNTA([3]characters!$A:$A),MATCH(AD$1,[3]characters!$1:$1,0)-MATCH("character_id",[3]characters!$1:$1,0)+1),MATCH(AD$1,[3]characters!$1:$1,0)-MATCH("character_id",[3]characters!$1:$1,0)+1,FALSE)</f>
        <v>2</v>
      </c>
      <c r="AE423" s="4" t="str">
        <f ca="1">VLOOKUP($AB423,OFFSET([3]characters!$A$1,0,0,COUNTA([3]characters!$A:$A),MATCH(AE$1,[3]characters!$1:$1,0)-MATCH("character_id",[3]characters!$1:$1,0)+1),MATCH(AE$1,[3]characters!$1:$1,0)-MATCH("character_id",[3]characters!$1:$1,0)+1,FALSE)</f>
        <v>Drop1N</v>
      </c>
      <c r="AF423" s="7">
        <v>7</v>
      </c>
      <c r="AG423" s="26">
        <f t="shared" ca="1" si="465"/>
        <v>2</v>
      </c>
      <c r="AH423" s="8">
        <v>20</v>
      </c>
      <c r="AI423" s="7">
        <v>0</v>
      </c>
      <c r="AJ423" s="7">
        <v>0</v>
      </c>
      <c r="AK423" s="7">
        <v>0</v>
      </c>
      <c r="AL423" s="7">
        <v>0</v>
      </c>
      <c r="AM423" s="7">
        <v>1</v>
      </c>
    </row>
    <row r="424" spans="1:39" ht="14" x14ac:dyDescent="0.15">
      <c r="A424" s="18" t="str">
        <f t="shared" ca="1" si="466"/>
        <v>24_4-4/63&lt;lv50&gt;s2</v>
      </c>
      <c r="B424" s="50">
        <v>24</v>
      </c>
      <c r="C424" s="49">
        <v>4</v>
      </c>
      <c r="D424" s="2" t="str">
        <f t="shared" si="467"/>
        <v>24_4</v>
      </c>
      <c r="E424" s="2" t="str">
        <f t="shared" si="467"/>
        <v>4_24_4</v>
      </c>
      <c r="F424" s="4" t="str">
        <f ca="1">VLOOKUP($D424,OFFSET([1]stages!$A$1,0,0,COUNTA([1]stages!$A:$A),MATCH(F$1,[1]stages!$2:$2,0)-MATCH($D$1,[1]stages!$2:$2,0)+1),MATCH(F$1,[1]stages!$2:$2,0)-MATCH($D$1,[1]stages!$2:$2,0)+1,FALSE)</f>
        <v>24-4．肉弾の虎将</v>
      </c>
      <c r="G424" s="57">
        <v>4</v>
      </c>
      <c r="H424" s="17" t="str">
        <f t="shared" si="468"/>
        <v>24_4-4</v>
      </c>
      <c r="I424" s="17"/>
      <c r="J424" s="17"/>
      <c r="K424" s="65" t="s">
        <v>56</v>
      </c>
      <c r="L424" s="52">
        <v>63</v>
      </c>
      <c r="M424" s="21" t="str">
        <f ca="1">VLOOKUP($L424,OFFSET([2]enemies!$A$1,0,0,COUNTA([2]enemies!$A:$A),MATCH(M$1,[2]enemies!$1:$1,0)-MATCH($L$1,[2]enemies!$1:$1,0)+1),MATCH(M$1,[2]enemies!$1:$1,0)-MATCH($L$1,[2]enemies!$1:$1,0)+1,FALSE)</f>
        <v>トニー</v>
      </c>
      <c r="N424" s="21" t="str">
        <f ca="1">VLOOKUP($L424,OFFSET([2]enemies!$A$1,0,0,COUNTA([2]enemies!$A:$A),MATCH(N$1,[2]enemies!$1:$1,0)-MATCH($L$1,[2]enemies!$1:$1,0)+1),MATCH(N$1,[2]enemies!$1:$1,0)-MATCH($L$1,[2]enemies!$1:$1,0)+1,FALSE)</f>
        <v>yellow</v>
      </c>
      <c r="O424" s="21" t="str">
        <f ca="1">VLOOKUP($L424,OFFSET([3]characters!$A$1,0,0,COUNTA([3]characters!$A:$A),MATCH(O$1,[3]characters!$1:$1,0)-MATCH($L$1,[3]characters!$1:$1,0)+1),MATCH(O$1,[3]characters!$1:$1,0)-MATCH($L$1,[3]characters!$1:$1,0)+1,FALSE)</f>
        <v>Drop1N</v>
      </c>
      <c r="P424" s="21" t="str">
        <f ca="1">VLOOKUP($L424,OFFSET([2]enemies!$A$1,0,0,COUNTA([2]enemies!$A:$A),MATCH(P$1,[2]enemies!$1:$1,0)-MATCH($L$1,[2]enemies!$1:$1,0)+1),MATCH(P$1,[2]enemies!$1:$1,0)-MATCH($L$1,[2]enemies!$1:$1,0)+1,FALSE)</f>
        <v>animal</v>
      </c>
      <c r="Q424" s="21">
        <f ca="1">VLOOKUP($L424,OFFSET([2]enemies!$A$1,0,0,COUNTA([2]enemies!$A:$A),MATCH(Q$1,[2]enemies!$1:$1,0)-MATCH($L$1,[2]enemies!$1:$1,0)+1),MATCH(Q$1,[2]enemies!$1:$1,0)-MATCH($L$1,[2]enemies!$1:$1,0)+1,FALSE)</f>
        <v>15</v>
      </c>
      <c r="R424" s="53">
        <v>50</v>
      </c>
      <c r="S424" s="27">
        <v>1.1000000000000001</v>
      </c>
      <c r="T424" s="27">
        <v>1</v>
      </c>
      <c r="U424" s="5">
        <v>0</v>
      </c>
      <c r="V424" s="4" t="str">
        <f ca="1">VLOOKUP($W424,OFFSET([4]enemy_skill_sets!$B$1,0,0,COUNTA([4]enemy_skill_sets!$B:$B),MATCH(M$1,[4]enemy_skill_sets!$1:$1,0)-MATCH($W$1,[4]enemy_skill_sets!$1:$1,0)+2),MATCH(M$1,[4]enemy_skill_sets!$1:$1,0)-MATCH($W$1,[4]enemy_skill_sets!$1:$1,0)+2,FALSE)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424" s="4">
        <f ca="1">VLOOKUP($L424,OFFSET([2]enemies!$A$1,0,0,COUNTA([2]enemies!$A:$A),MATCH(W$1,[2]enemies!$1:$1,0)-MATCH($L$1,[2]enemies!$1:$1,0)+1),MATCH(W$1,[2]enemies!$1:$1,0)-MATCH($L$1,[2]enemies!$1:$1,0)+1,FALSE)</f>
        <v>63</v>
      </c>
      <c r="X424" s="6">
        <v>0</v>
      </c>
      <c r="Y424" s="6">
        <v>100</v>
      </c>
      <c r="Z424" s="6">
        <v>0</v>
      </c>
      <c r="AA424" s="4">
        <f ca="1">VLOOKUP($L424,OFFSET([2]enemies!$A$1,0,0,COUNTA([2]enemies!$A:$A),MATCH(AA$1,[2]enemies!$1:$1,0)-MATCH($L$1,[2]enemies!$1:$1,0)+1),MATCH(AA$1,[2]enemies!$1:$1,0)-MATCH($L$1,[2]enemies!$1:$1,0)+1,FALSE)</f>
        <v>2</v>
      </c>
      <c r="AB424" s="52">
        <v>63</v>
      </c>
      <c r="AC424" s="4" t="str">
        <f ca="1">VLOOKUP($AB424,OFFSET([3]characters!$A$1,0,0,COUNTA([3]characters!$A:$A),MATCH(AC$1,[3]characters!$1:$1,0)-MATCH("character_id",[3]characters!$1:$1,0)+1),MATCH(AC$1,[3]characters!$1:$1,0)-MATCH("character_id",[3]characters!$1:$1,0)+1,FALSE)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424" s="4">
        <f ca="1">VLOOKUP($AB424,OFFSET([3]characters!$A$1,0,0,COUNTA([3]characters!$A:$A),MATCH(AD$1,[3]characters!$1:$1,0)-MATCH("character_id",[3]characters!$1:$1,0)+1),MATCH(AD$1,[3]characters!$1:$1,0)-MATCH("character_id",[3]characters!$1:$1,0)+1,FALSE)</f>
        <v>2</v>
      </c>
      <c r="AE424" s="4" t="str">
        <f ca="1">VLOOKUP($AB424,OFFSET([3]characters!$A$1,0,0,COUNTA([3]characters!$A:$A),MATCH(AE$1,[3]characters!$1:$1,0)-MATCH("character_id",[3]characters!$1:$1,0)+1),MATCH(AE$1,[3]characters!$1:$1,0)-MATCH("character_id",[3]characters!$1:$1,0)+1,FALSE)</f>
        <v>Drop1N</v>
      </c>
      <c r="AF424" s="7">
        <v>7</v>
      </c>
      <c r="AG424" s="26">
        <f t="shared" ca="1" si="465"/>
        <v>2</v>
      </c>
      <c r="AH424" s="8">
        <v>20</v>
      </c>
      <c r="AI424" s="7">
        <v>0</v>
      </c>
      <c r="AJ424" s="7">
        <v>0</v>
      </c>
      <c r="AK424" s="7">
        <v>0</v>
      </c>
      <c r="AL424" s="7">
        <v>0</v>
      </c>
      <c r="AM424" s="7">
        <v>1</v>
      </c>
    </row>
    <row r="425" spans="1:39" ht="14" x14ac:dyDescent="0.15">
      <c r="A425" s="18" t="str">
        <f t="shared" ref="A425:A426" ca="1" si="501">B425&amp;"_"&amp;C425&amp;"-"&amp;G425&amp;"/"&amp;L425&amp;"&lt;lv"&amp;R425&amp;"&gt;s"&amp;AA425</f>
        <v>24_4-4/35&lt;lv52&gt;s4</v>
      </c>
      <c r="B425" s="50">
        <v>24</v>
      </c>
      <c r="C425" s="49">
        <v>4</v>
      </c>
      <c r="D425" s="2" t="str">
        <f t="shared" ref="D425:E448" si="502">B425&amp;"_"&amp;C425</f>
        <v>24_4</v>
      </c>
      <c r="E425" s="2" t="str">
        <f t="shared" si="502"/>
        <v>4_24_4</v>
      </c>
      <c r="F425" s="4" t="str">
        <f ca="1">VLOOKUP($D425,OFFSET([1]stages!$A$1,0,0,COUNTA([1]stages!$A:$A),MATCH(F$1,[1]stages!$2:$2,0)-MATCH($D$1,[1]stages!$2:$2,0)+1),MATCH(F$1,[1]stages!$2:$2,0)-MATCH($D$1,[1]stages!$2:$2,0)+1,FALSE)</f>
        <v>24-4．肉弾の虎将</v>
      </c>
      <c r="G425" s="57">
        <v>4</v>
      </c>
      <c r="H425" s="17" t="str">
        <f t="shared" ref="H425:H448" si="503">B425&amp;"_"&amp;C425&amp;"-"&amp;G425</f>
        <v>24_4-4</v>
      </c>
      <c r="I425" s="17"/>
      <c r="J425" s="17"/>
      <c r="K425" s="65" t="s">
        <v>56</v>
      </c>
      <c r="L425" s="52">
        <v>35</v>
      </c>
      <c r="M425" s="21" t="str">
        <f ca="1">VLOOKUP($L425,OFFSET([2]enemies!$A$1,0,0,COUNTA([2]enemies!$A:$A),MATCH(M$1,[2]enemies!$1:$1,0)-MATCH($L$1,[2]enemies!$1:$1,0)+1),MATCH(M$1,[2]enemies!$1:$1,0)-MATCH($L$1,[2]enemies!$1:$1,0)+1,FALSE)</f>
        <v>F2</v>
      </c>
      <c r="N425" s="21" t="str">
        <f ca="1">VLOOKUP($L425,OFFSET([2]enemies!$A$1,0,0,COUNTA([2]enemies!$A:$A),MATCH(N$1,[2]enemies!$1:$1,0)-MATCH($L$1,[2]enemies!$1:$1,0)+1),MATCH(N$1,[2]enemies!$1:$1,0)-MATCH($L$1,[2]enemies!$1:$1,0)+1,FALSE)</f>
        <v>green</v>
      </c>
      <c r="O425" s="21" t="str">
        <f ca="1">VLOOKUP($L425,OFFSET([3]characters!$A$1,0,0,COUNTA([3]characters!$A:$A),MATCH(O$1,[3]characters!$1:$1,0)-MATCH($L$1,[3]characters!$1:$1,0)+1),MATCH(O$1,[3]characters!$1:$1,0)-MATCH($L$1,[3]characters!$1:$1,0)+1,FALSE)</f>
        <v>Drop1S</v>
      </c>
      <c r="P425" s="21" t="str">
        <f ca="1">VLOOKUP($L425,OFFSET([2]enemies!$A$1,0,0,COUNTA([2]enemies!$A:$A),MATCH(P$1,[2]enemies!$1:$1,0)-MATCH($L$1,[2]enemies!$1:$1,0)+1),MATCH(P$1,[2]enemies!$1:$1,0)-MATCH($L$1,[2]enemies!$1:$1,0)+1,FALSE)</f>
        <v>machine</v>
      </c>
      <c r="Q425" s="21">
        <f ca="1">VLOOKUP($L425,OFFSET([2]enemies!$A$1,0,0,COUNTA([2]enemies!$A:$A),MATCH(Q$1,[2]enemies!$1:$1,0)-MATCH($L$1,[2]enemies!$1:$1,0)+1),MATCH(Q$1,[2]enemies!$1:$1,0)-MATCH($L$1,[2]enemies!$1:$1,0)+1,FALSE)</f>
        <v>15</v>
      </c>
      <c r="R425" s="53">
        <v>52</v>
      </c>
      <c r="S425" s="27">
        <v>1</v>
      </c>
      <c r="T425" s="27">
        <v>1</v>
      </c>
      <c r="U425" s="5">
        <v>0</v>
      </c>
      <c r="V425" s="4" t="str">
        <f ca="1">VLOOKUP($W425,OFFSET([4]enemy_skill_sets!$B$1,0,0,COUNTA([4]enemy_skill_sets!$B:$B),MATCH(M$1,[4]enemy_skill_sets!$1:$1,0)-MATCH($W$1,[4]enemy_skill_sets!$1:$1,0)+2),MATCH(M$1,[4]enemy_skill_sets!$1:$1,0)-MATCH($W$1,[4]enemy_skill_sets!$1:$1,0)+2,FALSE)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25" s="4">
        <f ca="1">VLOOKUP($L425,OFFSET([2]enemies!$A$1,0,0,COUNTA([2]enemies!$A:$A),MATCH(W$1,[2]enemies!$1:$1,0)-MATCH($L$1,[2]enemies!$1:$1,0)+1),MATCH(W$1,[2]enemies!$1:$1,0)-MATCH($L$1,[2]enemies!$1:$1,0)+1,FALSE)</f>
        <v>35</v>
      </c>
      <c r="X425" s="6">
        <v>0</v>
      </c>
      <c r="Y425" s="6">
        <v>100</v>
      </c>
      <c r="Z425" s="6">
        <v>0</v>
      </c>
      <c r="AA425" s="4">
        <f ca="1">VLOOKUP($L425,OFFSET([2]enemies!$A$1,0,0,COUNTA([2]enemies!$A:$A),MATCH(AA$1,[2]enemies!$1:$1,0)-MATCH($L$1,[2]enemies!$1:$1,0)+1),MATCH(AA$1,[2]enemies!$1:$1,0)-MATCH($L$1,[2]enemies!$1:$1,0)+1,FALSE)</f>
        <v>4</v>
      </c>
      <c r="AB425" s="52">
        <v>35</v>
      </c>
      <c r="AC425" s="4" t="str">
        <f ca="1">VLOOKUP($AB425,OFFSET([3]characters!$A$1,0,0,COUNTA([3]characters!$A:$A),MATCH(AC$1,[3]characters!$1:$1,0)-MATCH("character_id",[3]characters!$1:$1,0)+1),MATCH(AC$1,[3]characters!$1:$1,0)-MATCH("character_id",[3]characters!$1:$1,0)+1,FALSE)</f>
        <v>F2</v>
      </c>
      <c r="AD425" s="4">
        <f ca="1">VLOOKUP($AB425,OFFSET([3]characters!$A$1,0,0,COUNTA([3]characters!$A:$A),MATCH(AD$1,[3]characters!$1:$1,0)-MATCH("character_id",[3]characters!$1:$1,0)+1),MATCH(AD$1,[3]characters!$1:$1,0)-MATCH("character_id",[3]characters!$1:$1,0)+1,FALSE)</f>
        <v>2</v>
      </c>
      <c r="AE425" s="4" t="str">
        <f ca="1">VLOOKUP($AB425,OFFSET([3]characters!$A$1,0,0,COUNTA([3]characters!$A:$A),MATCH(AE$1,[3]characters!$1:$1,0)-MATCH("character_id",[3]characters!$1:$1,0)+1),MATCH(AE$1,[3]characters!$1:$1,0)-MATCH("character_id",[3]characters!$1:$1,0)+1,FALSE)</f>
        <v>Drop1S</v>
      </c>
      <c r="AF425" s="7">
        <v>5</v>
      </c>
      <c r="AG425" s="26">
        <f t="shared" ca="1" si="465"/>
        <v>2</v>
      </c>
      <c r="AH425" s="8">
        <v>20</v>
      </c>
      <c r="AI425" s="7">
        <v>0</v>
      </c>
      <c r="AJ425" s="7">
        <v>0</v>
      </c>
      <c r="AK425" s="7">
        <v>0</v>
      </c>
      <c r="AL425" s="7">
        <v>0</v>
      </c>
      <c r="AM425" s="7">
        <v>1</v>
      </c>
    </row>
    <row r="426" spans="1:39" ht="14" x14ac:dyDescent="0.15">
      <c r="A426" s="18" t="str">
        <f t="shared" ca="1" si="501"/>
        <v>24_4-4/362&lt;lv52&gt;s3</v>
      </c>
      <c r="B426" s="53">
        <v>24</v>
      </c>
      <c r="C426" s="51">
        <v>4</v>
      </c>
      <c r="D426" s="2" t="str">
        <f t="shared" si="502"/>
        <v>24_4</v>
      </c>
      <c r="E426" s="2" t="str">
        <f t="shared" si="502"/>
        <v>4_24_4</v>
      </c>
      <c r="F426" s="4" t="str">
        <f ca="1">VLOOKUP($D426,OFFSET([1]stages!$A$1,0,0,COUNTA([1]stages!$A:$A),MATCH(F$1,[1]stages!$2:$2,0)-MATCH($D$1,[1]stages!$2:$2,0)+1),MATCH(F$1,[1]stages!$2:$2,0)-MATCH($D$1,[1]stages!$2:$2,0)+1,FALSE)</f>
        <v>24-4．肉弾の虎将</v>
      </c>
      <c r="G426" s="57">
        <v>4</v>
      </c>
      <c r="H426" s="17" t="str">
        <f t="shared" si="503"/>
        <v>24_4-4</v>
      </c>
      <c r="I426" s="17"/>
      <c r="J426" s="17"/>
      <c r="K426" s="65" t="s">
        <v>56</v>
      </c>
      <c r="L426" s="52">
        <v>362</v>
      </c>
      <c r="M426" s="21" t="str">
        <f ca="1">VLOOKUP($L426,OFFSET([2]enemies!$A$1,0,0,COUNTA([2]enemies!$A:$A),MATCH(M$1,[2]enemies!$1:$1,0)-MATCH($L$1,[2]enemies!$1:$1,0)+1),MATCH(M$1,[2]enemies!$1:$1,0)-MATCH($L$1,[2]enemies!$1:$1,0)+1,FALSE)</f>
        <v>ゆらら</v>
      </c>
      <c r="N426" s="21" t="str">
        <f ca="1">VLOOKUP($L426,OFFSET([2]enemies!$A$1,0,0,COUNTA([2]enemies!$A:$A),MATCH(N$1,[2]enemies!$1:$1,0)-MATCH($L$1,[2]enemies!$1:$1,0)+1),MATCH(N$1,[2]enemies!$1:$1,0)-MATCH($L$1,[2]enemies!$1:$1,0)+1,FALSE)</f>
        <v>green</v>
      </c>
      <c r="O426" s="21" t="str">
        <f ca="1">VLOOKUP($L426,OFFSET([3]characters!$A$1,0,0,COUNTA([3]characters!$A:$A),MATCH(O$1,[3]characters!$1:$1,0)-MATCH($L$1,[3]characters!$1:$1,0)+1),MATCH(O$1,[3]characters!$1:$1,0)-MATCH($L$1,[3]characters!$1:$1,0)+1,FALSE)</f>
        <v>Drop1S</v>
      </c>
      <c r="P426" s="21" t="str">
        <f ca="1">VLOOKUP($L426,OFFSET([2]enemies!$A$1,0,0,COUNTA([2]enemies!$A:$A),MATCH(P$1,[2]enemies!$1:$1,0)-MATCH($L$1,[2]enemies!$1:$1,0)+1),MATCH(P$1,[2]enemies!$1:$1,0)-MATCH($L$1,[2]enemies!$1:$1,0)+1,FALSE)</f>
        <v>animal</v>
      </c>
      <c r="Q426" s="21">
        <f ca="1">VLOOKUP($L426,OFFSET([2]enemies!$A$1,0,0,COUNTA([2]enemies!$A:$A),MATCH(Q$1,[2]enemies!$1:$1,0)-MATCH($L$1,[2]enemies!$1:$1,0)+1),MATCH(Q$1,[2]enemies!$1:$1,0)-MATCH($L$1,[2]enemies!$1:$1,0)+1,FALSE)</f>
        <v>15</v>
      </c>
      <c r="R426" s="53">
        <v>52</v>
      </c>
      <c r="S426" s="27">
        <v>1</v>
      </c>
      <c r="T426" s="27">
        <v>1</v>
      </c>
      <c r="U426" s="5">
        <v>0</v>
      </c>
      <c r="V426" s="4" t="str">
        <f ca="1">VLOOKUP($W426,OFFSET([4]enemy_skill_sets!$B$1,0,0,COUNTA([4]enemy_skill_sets!$B:$B),MATCH(M$1,[4]enemy_skill_sets!$1:$1,0)-MATCH($W$1,[4]enemy_skill_sets!$1:$1,0)+2),MATCH(M$1,[4]enemy_skill_sets!$1:$1,0)-MATCH($W$1,[4]enemy_skill_sets!$1:$1,0)+2,FALSE)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426" s="64">
        <v>362</v>
      </c>
      <c r="X426" s="6">
        <v>0</v>
      </c>
      <c r="Y426" s="6">
        <v>100</v>
      </c>
      <c r="Z426" s="6">
        <v>0</v>
      </c>
      <c r="AA426" s="4">
        <f ca="1">VLOOKUP($L426,OFFSET([2]enemies!$A$1,0,0,COUNTA([2]enemies!$A:$A),MATCH(AA$1,[2]enemies!$1:$1,0)-MATCH($L$1,[2]enemies!$1:$1,0)+1),MATCH(AA$1,[2]enemies!$1:$1,0)-MATCH($L$1,[2]enemies!$1:$1,0)+1,FALSE)</f>
        <v>3</v>
      </c>
      <c r="AB426" s="52">
        <v>362</v>
      </c>
      <c r="AC426" s="4" t="str">
        <f ca="1">VLOOKUP($AB426,OFFSET([3]characters!$A$1,0,0,COUNTA([3]characters!$A:$A),MATCH(AC$1,[3]characters!$1:$1,0)-MATCH("character_id",[3]characters!$1:$1,0)+1),MATCH(AC$1,[3]characters!$1:$1,0)-MATCH("character_id",[3]characters!$1:$1,0)+1,FALSE)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426" s="4">
        <f ca="1">VLOOKUP($AB426,OFFSET([3]characters!$A$1,0,0,COUNTA([3]characters!$A:$A),MATCH(AD$1,[3]characters!$1:$1,0)-MATCH("character_id",[3]characters!$1:$1,0)+1),MATCH(AD$1,[3]characters!$1:$1,0)-MATCH("character_id",[3]characters!$1:$1,0)+1,FALSE)</f>
        <v>2</v>
      </c>
      <c r="AE426" s="4" t="str">
        <f ca="1">VLOOKUP($AB426,OFFSET([3]characters!$A$1,0,0,COUNTA([3]characters!$A:$A),MATCH(AE$1,[3]characters!$1:$1,0)-MATCH("character_id",[3]characters!$1:$1,0)+1),MATCH(AE$1,[3]characters!$1:$1,0)-MATCH("character_id",[3]characters!$1:$1,0)+1,FALSE)</f>
        <v>Drop1S</v>
      </c>
      <c r="AF426" s="7">
        <v>7</v>
      </c>
      <c r="AG426" s="26">
        <f t="shared" ca="1" si="465"/>
        <v>2</v>
      </c>
      <c r="AH426" s="8">
        <v>20</v>
      </c>
      <c r="AI426" s="7">
        <v>0</v>
      </c>
      <c r="AJ426" s="7">
        <v>0</v>
      </c>
      <c r="AK426" s="7">
        <v>0</v>
      </c>
      <c r="AL426" s="7">
        <v>0</v>
      </c>
      <c r="AM426" s="7">
        <v>1</v>
      </c>
    </row>
    <row r="427" spans="1:39" ht="14" x14ac:dyDescent="0.15">
      <c r="A427" s="18" t="str">
        <f t="shared" ref="A427" ca="1" si="504">B427&amp;"_"&amp;C427&amp;"-"&amp;G427&amp;"/"&amp;L427&amp;"&lt;lv"&amp;R427&amp;"&gt;s"&amp;AA427</f>
        <v>24_4-4/366&lt;lv50&gt;s3</v>
      </c>
      <c r="B427" s="53">
        <v>24</v>
      </c>
      <c r="C427" s="51">
        <v>4</v>
      </c>
      <c r="D427" s="2" t="str">
        <f t="shared" ref="D427" si="505">B427&amp;"_"&amp;C427</f>
        <v>24_4</v>
      </c>
      <c r="E427" s="2" t="str">
        <f t="shared" ref="E427" si="506">C427&amp;"_"&amp;D427</f>
        <v>4_24_4</v>
      </c>
      <c r="F427" s="4" t="str">
        <f ca="1">VLOOKUP($D427,OFFSET([1]stages!$A$1,0,0,COUNTA([1]stages!$A:$A),MATCH(F$1,[1]stages!$2:$2,0)-MATCH($D$1,[1]stages!$2:$2,0)+1),MATCH(F$1,[1]stages!$2:$2,0)-MATCH($D$1,[1]stages!$2:$2,0)+1,FALSE)</f>
        <v>24-4．肉弾の虎将</v>
      </c>
      <c r="G427" s="57">
        <v>4</v>
      </c>
      <c r="H427" s="17" t="str">
        <f t="shared" ref="H427" si="507">B427&amp;"_"&amp;C427&amp;"-"&amp;G427</f>
        <v>24_4-4</v>
      </c>
      <c r="I427" s="17"/>
      <c r="J427" s="17"/>
      <c r="K427" s="65" t="s">
        <v>56</v>
      </c>
      <c r="L427" s="52">
        <v>366</v>
      </c>
      <c r="M427" s="21" t="str">
        <f ca="1">VLOOKUP($L427,OFFSET([2]enemies!$A$1,0,0,COUNTA([2]enemies!$A:$A),MATCH(M$1,[2]enemies!$1:$1,0)-MATCH($L$1,[2]enemies!$1:$1,0)+1),MATCH(M$1,[2]enemies!$1:$1,0)-MATCH($L$1,[2]enemies!$1:$1,0)+1,FALSE)</f>
        <v>トト</v>
      </c>
      <c r="N427" s="21" t="str">
        <f ca="1">VLOOKUP($L427,OFFSET([2]enemies!$A$1,0,0,COUNTA([2]enemies!$A:$A),MATCH(N$1,[2]enemies!$1:$1,0)-MATCH($L$1,[2]enemies!$1:$1,0)+1),MATCH(N$1,[2]enemies!$1:$1,0)-MATCH($L$1,[2]enemies!$1:$1,0)+1,FALSE)</f>
        <v>yellow</v>
      </c>
      <c r="O427" s="21" t="str">
        <f ca="1">VLOOKUP($L427,OFFSET([3]characters!$A$1,0,0,COUNTA([3]characters!$A:$A),MATCH(O$1,[3]characters!$1:$1,0)-MATCH($L$1,[3]characters!$1:$1,0)+1),MATCH(O$1,[3]characters!$1:$1,0)-MATCH($L$1,[3]characters!$1:$1,0)+1,FALSE)</f>
        <v>Drop1S</v>
      </c>
      <c r="P427" s="21" t="str">
        <f ca="1">VLOOKUP($L427,OFFSET([2]enemies!$A$1,0,0,COUNTA([2]enemies!$A:$A),MATCH(P$1,[2]enemies!$1:$1,0)-MATCH($L$1,[2]enemies!$1:$1,0)+1),MATCH(P$1,[2]enemies!$1:$1,0)-MATCH($L$1,[2]enemies!$1:$1,0)+1,FALSE)</f>
        <v>animal</v>
      </c>
      <c r="Q427" s="21">
        <f ca="1">VLOOKUP($L427,OFFSET([2]enemies!$A$1,0,0,COUNTA([2]enemies!$A:$A),MATCH(Q$1,[2]enemies!$1:$1,0)-MATCH($L$1,[2]enemies!$1:$1,0)+1),MATCH(Q$1,[2]enemies!$1:$1,0)-MATCH($L$1,[2]enemies!$1:$1,0)+1,FALSE)</f>
        <v>15</v>
      </c>
      <c r="R427" s="53">
        <v>50</v>
      </c>
      <c r="S427" s="27">
        <v>1.1000000000000001</v>
      </c>
      <c r="T427" s="27">
        <v>1</v>
      </c>
      <c r="U427" s="5">
        <v>0</v>
      </c>
      <c r="V427" s="4" t="str">
        <f ca="1">VLOOKUP($W427,OFFSET([4]enemy_skill_sets!$B$1,0,0,COUNTA([4]enemy_skill_sets!$B:$B),MATCH(M$1,[4]enemy_skill_sets!$1:$1,0)-MATCH($W$1,[4]enemy_skill_sets!$1:$1,0)+2),MATCH(M$1,[4]enemy_skill_sets!$1:$1,0)-MATCH($W$1,[4]enemy_skill_sets!$1:$1,0)+2,FALSE)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427" s="64">
        <v>366</v>
      </c>
      <c r="X427" s="6">
        <v>0</v>
      </c>
      <c r="Y427" s="6">
        <v>100</v>
      </c>
      <c r="Z427" s="6">
        <v>0</v>
      </c>
      <c r="AA427" s="4">
        <f ca="1">VLOOKUP($L427,OFFSET([2]enemies!$A$1,0,0,COUNTA([2]enemies!$A:$A),MATCH(AA$1,[2]enemies!$1:$1,0)-MATCH($L$1,[2]enemies!$1:$1,0)+1),MATCH(AA$1,[2]enemies!$1:$1,0)-MATCH($L$1,[2]enemies!$1:$1,0)+1,FALSE)</f>
        <v>3</v>
      </c>
      <c r="AB427" s="52">
        <v>366</v>
      </c>
      <c r="AC427" s="4" t="str">
        <f ca="1">VLOOKUP($AB427,OFFSET([3]characters!$A$1,0,0,COUNTA([3]characters!$A:$A),MATCH(AC$1,[3]characters!$1:$1,0)-MATCH("character_id",[3]characters!$1:$1,0)+1),MATCH(AC$1,[3]characters!$1:$1,0)-MATCH("character_id",[3]characters!$1:$1,0)+1,FALSE)</f>
        <v>トト</v>
      </c>
      <c r="AD427" s="4">
        <f ca="1">VLOOKUP($AB427,OFFSET([3]characters!$A$1,0,0,COUNTA([3]characters!$A:$A),MATCH(AD$1,[3]characters!$1:$1,0)-MATCH("character_id",[3]characters!$1:$1,0)+1),MATCH(AD$1,[3]characters!$1:$1,0)-MATCH("character_id",[3]characters!$1:$1,0)+1,FALSE)</f>
        <v>2</v>
      </c>
      <c r="AE427" s="4" t="str">
        <f ca="1">VLOOKUP($AB427,OFFSET([3]characters!$A$1,0,0,COUNTA([3]characters!$A:$A),MATCH(AE$1,[3]characters!$1:$1,0)-MATCH("character_id",[3]characters!$1:$1,0)+1),MATCH(AE$1,[3]characters!$1:$1,0)-MATCH("character_id",[3]characters!$1:$1,0)+1,FALSE)</f>
        <v>Drop1S</v>
      </c>
      <c r="AF427" s="7">
        <v>5</v>
      </c>
      <c r="AG427" s="26">
        <f t="shared" ca="1" si="465"/>
        <v>2</v>
      </c>
      <c r="AH427" s="8">
        <v>20</v>
      </c>
      <c r="AI427" s="7">
        <v>0</v>
      </c>
      <c r="AJ427" s="7">
        <v>0</v>
      </c>
      <c r="AK427" s="7">
        <v>0</v>
      </c>
      <c r="AL427" s="7">
        <v>0</v>
      </c>
      <c r="AM427" s="7">
        <v>1</v>
      </c>
    </row>
    <row r="428" spans="1:39" ht="14" x14ac:dyDescent="0.15">
      <c r="A428" s="18" t="str">
        <f t="shared" ref="A428" ca="1" si="508">B428&amp;"_"&amp;C428&amp;"-"&amp;G428&amp;"/"&amp;L428&amp;"&lt;lv"&amp;R428&amp;"&gt;s"&amp;AA428</f>
        <v>24_4-4/354&lt;lv52&gt;s3</v>
      </c>
      <c r="B428" s="53">
        <v>24</v>
      </c>
      <c r="C428" s="51">
        <v>4</v>
      </c>
      <c r="D428" s="2" t="str">
        <f t="shared" ref="D428" si="509">B428&amp;"_"&amp;C428</f>
        <v>24_4</v>
      </c>
      <c r="E428" s="2" t="str">
        <f t="shared" ref="E428" si="510">C428&amp;"_"&amp;D428</f>
        <v>4_24_4</v>
      </c>
      <c r="F428" s="4" t="str">
        <f ca="1">VLOOKUP($D428,OFFSET([1]stages!$A$1,0,0,COUNTA([1]stages!$A:$A),MATCH(F$1,[1]stages!$2:$2,0)-MATCH($D$1,[1]stages!$2:$2,0)+1),MATCH(F$1,[1]stages!$2:$2,0)-MATCH($D$1,[1]stages!$2:$2,0)+1,FALSE)</f>
        <v>24-4．肉弾の虎将</v>
      </c>
      <c r="G428" s="57">
        <v>4</v>
      </c>
      <c r="H428" s="17" t="str">
        <f t="shared" ref="H428" si="511">B428&amp;"_"&amp;C428&amp;"-"&amp;G428</f>
        <v>24_4-4</v>
      </c>
      <c r="I428" s="17"/>
      <c r="J428" s="17"/>
      <c r="K428" s="65" t="s">
        <v>56</v>
      </c>
      <c r="L428" s="52">
        <v>354</v>
      </c>
      <c r="M428" s="21" t="str">
        <f ca="1">VLOOKUP($L428,OFFSET([2]enemies!$A$1,0,0,COUNTA([2]enemies!$A:$A),MATCH(M$1,[2]enemies!$1:$1,0)-MATCH($L$1,[2]enemies!$1:$1,0)+1),MATCH(M$1,[2]enemies!$1:$1,0)-MATCH($L$1,[2]enemies!$1:$1,0)+1,FALSE)</f>
        <v>雷のケロケロ</v>
      </c>
      <c r="N428" s="21" t="str">
        <f ca="1">VLOOKUP($L428,OFFSET([2]enemies!$A$1,0,0,COUNTA([2]enemies!$A:$A),MATCH(N$1,[2]enemies!$1:$1,0)-MATCH($L$1,[2]enemies!$1:$1,0)+1),MATCH(N$1,[2]enemies!$1:$1,0)-MATCH($L$1,[2]enemies!$1:$1,0)+1,FALSE)</f>
        <v>yellow</v>
      </c>
      <c r="O428" s="21" t="str">
        <f ca="1">VLOOKUP($L428,OFFSET([3]characters!$A$1,0,0,COUNTA([3]characters!$A:$A),MATCH(O$1,[3]characters!$1:$1,0)-MATCH($L$1,[3]characters!$1:$1,0)+1),MATCH(O$1,[3]characters!$1:$1,0)-MATCH($L$1,[3]characters!$1:$1,0)+1,FALSE)</f>
        <v>Material</v>
      </c>
      <c r="P428" s="21" t="str">
        <f ca="1">VLOOKUP($L428,OFFSET([2]enemies!$A$1,0,0,COUNTA([2]enemies!$A:$A),MATCH(P$1,[2]enemies!$1:$1,0)-MATCH($L$1,[2]enemies!$1:$1,0)+1),MATCH(P$1,[2]enemies!$1:$1,0)-MATCH($L$1,[2]enemies!$1:$1,0)+1,FALSE)</f>
        <v>unknown</v>
      </c>
      <c r="Q428" s="21">
        <f ca="1">VLOOKUP($L428,OFFSET([2]enemies!$A$1,0,0,COUNTA([2]enemies!$A:$A),MATCH(Q$1,[2]enemies!$1:$1,0)-MATCH($L$1,[2]enemies!$1:$1,0)+1),MATCH(Q$1,[2]enemies!$1:$1,0)-MATCH($L$1,[2]enemies!$1:$1,0)+1,FALSE)</f>
        <v>15</v>
      </c>
      <c r="R428" s="53">
        <v>52</v>
      </c>
      <c r="S428" s="27">
        <v>1</v>
      </c>
      <c r="T428" s="27">
        <v>1</v>
      </c>
      <c r="U428" s="5">
        <v>0</v>
      </c>
      <c r="V428" s="4" t="str">
        <f ca="1">VLOOKUP($W428,OFFSET([4]enemy_skill_sets!$B$1,0,0,COUNTA([4]enemy_skill_sets!$B:$B),MATCH(M$1,[4]enemy_skill_sets!$1:$1,0)-MATCH($W$1,[4]enemy_skill_sets!$1:$1,0)+2),MATCH(M$1,[4]enemy_skill_sets!$1:$1,0)-MATCH($W$1,[4]enemy_skill_sets!$1:$1,0)+2,FALSE)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428" s="64">
        <v>354</v>
      </c>
      <c r="X428" s="6">
        <v>0</v>
      </c>
      <c r="Y428" s="6">
        <v>100</v>
      </c>
      <c r="Z428" s="6">
        <v>0</v>
      </c>
      <c r="AA428" s="4">
        <f ca="1">VLOOKUP($L428,OFFSET([2]enemies!$A$1,0,0,COUNTA([2]enemies!$A:$A),MATCH(AA$1,[2]enemies!$1:$1,0)-MATCH($L$1,[2]enemies!$1:$1,0)+1),MATCH(AA$1,[2]enemies!$1:$1,0)-MATCH($L$1,[2]enemies!$1:$1,0)+1,FALSE)</f>
        <v>3</v>
      </c>
      <c r="AB428" s="52">
        <v>354</v>
      </c>
      <c r="AC428" s="4" t="str">
        <f ca="1">VLOOKUP($AB428,OFFSET([3]characters!$A$1,0,0,COUNTA([3]characters!$A:$A),MATCH(AC$1,[3]characters!$1:$1,0)-MATCH("character_id",[3]characters!$1:$1,0)+1),MATCH(AC$1,[3]characters!$1:$1,0)-MATCH("character_id",[3]characters!$1:$1,0)+1,FALSE)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428" s="4">
        <f ca="1">VLOOKUP($AB428,OFFSET([3]characters!$A$1,0,0,COUNTA([3]characters!$A:$A),MATCH(AD$1,[3]characters!$1:$1,0)-MATCH("character_id",[3]characters!$1:$1,0)+1),MATCH(AD$1,[3]characters!$1:$1,0)-MATCH("character_id",[3]characters!$1:$1,0)+1,FALSE)</f>
        <v>2</v>
      </c>
      <c r="AE428" s="4" t="str">
        <f ca="1">VLOOKUP($AB428,OFFSET([3]characters!$A$1,0,0,COUNTA([3]characters!$A:$A),MATCH(AE$1,[3]characters!$1:$1,0)-MATCH("character_id",[3]characters!$1:$1,0)+1),MATCH(AE$1,[3]characters!$1:$1,0)-MATCH("character_id",[3]characters!$1:$1,0)+1,FALSE)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28" s="7">
        <v>10</v>
      </c>
      <c r="AG428" s="26">
        <f t="shared" ca="1" si="465"/>
        <v>2</v>
      </c>
      <c r="AH428" s="8">
        <v>20</v>
      </c>
      <c r="AI428" s="7">
        <v>0</v>
      </c>
      <c r="AJ428" s="7">
        <v>0</v>
      </c>
      <c r="AK428" s="7">
        <v>0</v>
      </c>
      <c r="AL428" s="7">
        <v>0</v>
      </c>
      <c r="AM428" s="7">
        <v>1</v>
      </c>
    </row>
    <row r="429" spans="1:39" ht="14" x14ac:dyDescent="0.15">
      <c r="A429" s="18" t="str">
        <f t="shared" ref="A429:A493" si="512">B429&amp;"_"&amp;C429&amp;"-"&amp;G429&amp;"/"&amp;L429&amp;"&lt;lv"&amp;R429&amp;"&gt;s"&amp;AA429</f>
        <v>24_4-5/95&lt;lv55&gt;s3</v>
      </c>
      <c r="B429" s="50">
        <v>24</v>
      </c>
      <c r="C429" s="49">
        <v>4</v>
      </c>
      <c r="D429" s="2" t="str">
        <f t="shared" si="502"/>
        <v>24_4</v>
      </c>
      <c r="E429" s="2" t="str">
        <f t="shared" si="502"/>
        <v>4_24_4</v>
      </c>
      <c r="F429" s="4" t="str">
        <f ca="1">VLOOKUP($D429,OFFSET([1]stages!$A$1,0,0,COUNTA([1]stages!$A:$A),MATCH(F$1,[1]stages!$2:$2,0)-MATCH($D$1,[1]stages!$2:$2,0)+1),MATCH(F$1,[1]stages!$2:$2,0)-MATCH($D$1,[1]stages!$2:$2,0)+1,FALSE)</f>
        <v>24-4．肉弾の虎将</v>
      </c>
      <c r="G429" s="54">
        <v>5</v>
      </c>
      <c r="H429" s="17" t="str">
        <f t="shared" si="503"/>
        <v>24_4-5</v>
      </c>
      <c r="I429" s="17"/>
      <c r="J429" s="17"/>
      <c r="K429" s="65" t="s">
        <v>56</v>
      </c>
      <c r="L429" s="52">
        <v>95</v>
      </c>
      <c r="M429" s="21" t="str">
        <f ca="1">VLOOKUP($L429,OFFSET([2]enemies!$A$1,0,0,COUNTA([2]enemies!$A:$A),MATCH(M$1,[2]enemies!$1:$1,0)-MATCH($L$1,[2]enemies!$1:$1,0)+1),MATCH(M$1,[2]enemies!$1:$1,0)-MATCH($L$1,[2]enemies!$1:$1,0)+1,FALSE)</f>
        <v>守護者 白虎</v>
      </c>
      <c r="N429" s="21" t="str">
        <f ca="1">VLOOKUP($L429,OFFSET([2]enemies!$A$1,0,0,COUNTA([2]enemies!$A:$A),MATCH(N$1,[2]enemies!$1:$1,0)-MATCH($L$1,[2]enemies!$1:$1,0)+1),MATCH(N$1,[2]enemies!$1:$1,0)-MATCH($L$1,[2]enemies!$1:$1,0)+1,FALSE)</f>
        <v>yellow</v>
      </c>
      <c r="O429" s="21" t="str">
        <f ca="1">VLOOKUP($L429,OFFSET([3]characters!$A$1,0,0,COUNTA([3]characters!$A:$A),MATCH(O$1,[3]characters!$1:$1,0)-MATCH($L$1,[3]characters!$1:$1,0)+1),MATCH(O$1,[3]characters!$1:$1,0)-MATCH($L$1,[3]characters!$1:$1,0)+1,FALSE)</f>
        <v>Drop2N</v>
      </c>
      <c r="P429" s="21" t="str">
        <f ca="1">VLOOKUP($L429,OFFSET([2]enemies!$A$1,0,0,COUNTA([2]enemies!$A:$A),MATCH(P$1,[2]enemies!$1:$1,0)-MATCH($L$1,[2]enemies!$1:$1,0)+1),MATCH(P$1,[2]enemies!$1:$1,0)-MATCH($L$1,[2]enemies!$1:$1,0)+1,FALSE)</f>
        <v>animal</v>
      </c>
      <c r="Q429" s="21">
        <f ca="1">VLOOKUP($L429,OFFSET([2]enemies!$A$1,0,0,COUNTA([2]enemies!$A:$A),MATCH(Q$1,[2]enemies!$1:$1,0)-MATCH($L$1,[2]enemies!$1:$1,0)+1),MATCH(Q$1,[2]enemies!$1:$1,0)-MATCH($L$1,[2]enemies!$1:$1,0)+1,FALSE)</f>
        <v>30</v>
      </c>
      <c r="R429" s="53">
        <v>55</v>
      </c>
      <c r="S429" s="27">
        <v>1.5</v>
      </c>
      <c r="T429" s="27">
        <v>0.4</v>
      </c>
      <c r="U429" s="5">
        <v>0</v>
      </c>
      <c r="V429" s="4" t="str">
        <f ca="1">VLOOKUP($W429,OFFSET([4]enemy_skill_sets!$B$1,0,0,COUNTA([4]enemy_skill_sets!$B:$B),MATCH(M$1,[4]enemy_skill_sets!$1:$1,0)-MATCH($W$1,[4]enemy_skill_sets!$1:$1,0)+2),MATCH(M$1,[4]enemy_skill_sets!$1:$1,0)-MATCH($W$1,[4]enemy_skill_sets!$1:$1,0)+2,FALSE)</f>
        <v>種族ドラゴンのユニットに大ダメージ</v>
      </c>
      <c r="W429" s="64">
        <v>9501</v>
      </c>
      <c r="X429" s="6">
        <v>1</v>
      </c>
      <c r="Y429" s="6">
        <v>100</v>
      </c>
      <c r="Z429" s="6">
        <v>1</v>
      </c>
      <c r="AA429" s="64">
        <v>3</v>
      </c>
      <c r="AB429" s="52">
        <v>94</v>
      </c>
      <c r="AC429" s="4" t="str">
        <f ca="1">VLOOKUP($AB429,OFFSET([3]characters!$A$1,0,0,COUNTA([3]characters!$A:$A),MATCH(AC$1,[3]characters!$1:$1,0)-MATCH("character_id",[3]characters!$1:$1,0)+1),MATCH(AC$1,[3]characters!$1:$1,0)-MATCH("character_id",[3]characters!$1:$1,0)+1,FALSE)</f>
        <v>白虎</v>
      </c>
      <c r="AD429" s="4">
        <f ca="1">VLOOKUP($AB429,OFFSET([3]characters!$A$1,0,0,COUNTA([3]characters!$A:$A),MATCH(AD$1,[3]characters!$1:$1,0)-MATCH("character_id",[3]characters!$1:$1,0)+1),MATCH(AD$1,[3]characters!$1:$1,0)-MATCH("character_id",[3]characters!$1:$1,0)+1,FALSE)</f>
        <v>3</v>
      </c>
      <c r="AE429" s="4" t="str">
        <f ca="1">VLOOKUP($AB429,OFFSET([3]characters!$A$1,0,0,COUNTA([3]characters!$A:$A),MATCH(AE$1,[3]characters!$1:$1,0)-MATCH("character_id",[3]characters!$1:$1,0)+1),MATCH(AE$1,[3]characters!$1:$1,0)-MATCH("character_id",[3]characters!$1:$1,0)+1,FALSE)</f>
        <v>Drop2N</v>
      </c>
      <c r="AF429" s="7">
        <v>1</v>
      </c>
      <c r="AG429" s="26">
        <f t="shared" ca="1" si="465"/>
        <v>3</v>
      </c>
      <c r="AH429" s="8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1</v>
      </c>
    </row>
    <row r="430" spans="1:39" ht="14" x14ac:dyDescent="0.15">
      <c r="A430" s="18" t="str">
        <f t="shared" ca="1" si="512"/>
        <v>24_4-5/28&lt;lv55&gt;s1</v>
      </c>
      <c r="B430" s="53">
        <v>24</v>
      </c>
      <c r="C430" s="51">
        <v>4</v>
      </c>
      <c r="D430" s="2" t="str">
        <f t="shared" ref="D430:E430" si="513">B430&amp;"_"&amp;C430</f>
        <v>24_4</v>
      </c>
      <c r="E430" s="2" t="str">
        <f t="shared" si="513"/>
        <v>4_24_4</v>
      </c>
      <c r="F430" s="4" t="str">
        <f ca="1">VLOOKUP($D430,OFFSET([1]stages!$A$1,0,0,COUNTA([1]stages!$A:$A),MATCH(F$1,[1]stages!$2:$2,0)-MATCH($D$1,[1]stages!$2:$2,0)+1),MATCH(F$1,[1]stages!$2:$2,0)-MATCH($D$1,[1]stages!$2:$2,0)+1,FALSE)</f>
        <v>24-4．肉弾の虎将</v>
      </c>
      <c r="G430" s="54">
        <v>5</v>
      </c>
      <c r="H430" s="17" t="str">
        <f t="shared" ref="H430" si="514">B430&amp;"_"&amp;C430&amp;"-"&amp;G430</f>
        <v>24_4-5</v>
      </c>
      <c r="I430" s="17"/>
      <c r="J430" s="17"/>
      <c r="K430" s="65">
        <v>28</v>
      </c>
      <c r="L430" s="52">
        <v>28</v>
      </c>
      <c r="M430" s="21" t="str">
        <f ca="1">VLOOKUP($L430,OFFSET([2]enemies!$A$1,0,0,COUNTA([2]enemies!$A:$A),MATCH(M$1,[2]enemies!$1:$1,0)-MATCH($L$1,[2]enemies!$1:$1,0)+1),MATCH(M$1,[2]enemies!$1:$1,0)-MATCH($L$1,[2]enemies!$1:$1,0)+1,FALSE)</f>
        <v>現場急行 パトラインカスタム</v>
      </c>
      <c r="N430" s="21" t="str">
        <f ca="1">VLOOKUP($L430,OFFSET([2]enemies!$A$1,0,0,COUNTA([2]enemies!$A:$A),MATCH(N$1,[2]enemies!$1:$1,0)-MATCH($L$1,[2]enemies!$1:$1,0)+1),MATCH(N$1,[2]enemies!$1:$1,0)-MATCH($L$1,[2]enemies!$1:$1,0)+1,FALSE)</f>
        <v>green</v>
      </c>
      <c r="O430" s="21" t="str">
        <f ca="1">VLOOKUP($L430,OFFSET([3]characters!$A$1,0,0,COUNTA([3]characters!$A:$A),MATCH(O$1,[3]characters!$1:$1,0)-MATCH($L$1,[3]characters!$1:$1,0)+1),MATCH(O$1,[3]characters!$1:$1,0)-MATCH($L$1,[3]characters!$1:$1,0)+1,FALSE)</f>
        <v>Drop1N</v>
      </c>
      <c r="P430" s="21" t="str">
        <f ca="1">VLOOKUP($L430,OFFSET([2]enemies!$A$1,0,0,COUNTA([2]enemies!$A:$A),MATCH(P$1,[2]enemies!$1:$1,0)-MATCH($L$1,[2]enemies!$1:$1,0)+1),MATCH(P$1,[2]enemies!$1:$1,0)-MATCH($L$1,[2]enemies!$1:$1,0)+1,FALSE)</f>
        <v>machine</v>
      </c>
      <c r="Q430" s="21">
        <f ca="1">VLOOKUP($L430,OFFSET([2]enemies!$A$1,0,0,COUNTA([2]enemies!$A:$A),MATCH(Q$1,[2]enemies!$1:$1,0)-MATCH($L$1,[2]enemies!$1:$1,0)+1),MATCH(Q$1,[2]enemies!$1:$1,0)-MATCH($L$1,[2]enemies!$1:$1,0)+1,FALSE)</f>
        <v>15</v>
      </c>
      <c r="R430" s="53">
        <v>55</v>
      </c>
      <c r="S430" s="27">
        <v>1.3</v>
      </c>
      <c r="T430" s="27">
        <v>1</v>
      </c>
      <c r="U430" s="5">
        <v>0</v>
      </c>
      <c r="V430" s="4" t="str">
        <f ca="1">VLOOKUP($W430,OFFSET([4]enemy_skill_sets!$B$1,0,0,COUNTA([4]enemy_skill_sets!$B:$B),MATCH(M$1,[4]enemy_skill_sets!$1:$1,0)-MATCH($W$1,[4]enemy_skill_sets!$1:$1,0)+2),MATCH(M$1,[4]enemy_skill_sets!$1:$1,0)-MATCH($W$1,[4]enemy_skill_sets!$1:$1,0)+2,FALSE)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30" s="4">
        <f ca="1">VLOOKUP($L430,OFFSET([2]enemies!$A$1,0,0,COUNTA([2]enemies!$A:$A),MATCH(W$1,[2]enemies!$1:$1,0)-MATCH($L$1,[2]enemies!$1:$1,0)+1),MATCH(W$1,[2]enemies!$1:$1,0)-MATCH($L$1,[2]enemies!$1:$1,0)+1,FALSE)</f>
        <v>28</v>
      </c>
      <c r="X430" s="6">
        <v>2</v>
      </c>
      <c r="Y430" s="6">
        <v>100</v>
      </c>
      <c r="Z430" s="6">
        <v>0</v>
      </c>
      <c r="AA430" s="4">
        <f ca="1">VLOOKUP($L430,OFFSET([2]enemies!$A$1,0,0,COUNTA([2]enemies!$A:$A),MATCH(AA$1,[2]enemies!$1:$1,0)-MATCH($L$1,[2]enemies!$1:$1,0)+1),MATCH(AA$1,[2]enemies!$1:$1,0)-MATCH($L$1,[2]enemies!$1:$1,0)+1,FALSE)</f>
        <v>1</v>
      </c>
      <c r="AB430" s="52">
        <v>27</v>
      </c>
      <c r="AC430" s="4" t="str">
        <f ca="1">VLOOKUP($AB430,OFFSET([3]characters!$A$1,0,0,COUNTA([3]characters!$A:$A),MATCH(AC$1,[3]characters!$1:$1,0)-MATCH("character_id",[3]characters!$1:$1,0)+1),MATCH(AC$1,[3]characters!$1:$1,0)-MATCH("character_id",[3]characters!$1:$1,0)+1,FALSE)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430" s="4">
        <f ca="1">VLOOKUP($AB430,OFFSET([3]characters!$A$1,0,0,COUNTA([3]characters!$A:$A),MATCH(AD$1,[3]characters!$1:$1,0)-MATCH("character_id",[3]characters!$1:$1,0)+1),MATCH(AD$1,[3]characters!$1:$1,0)-MATCH("character_id",[3]characters!$1:$1,0)+1,FALSE)</f>
        <v>1</v>
      </c>
      <c r="AE430" s="4" t="str">
        <f ca="1">VLOOKUP($AB430,OFFSET([3]characters!$A$1,0,0,COUNTA([3]characters!$A:$A),MATCH(AE$1,[3]characters!$1:$1,0)-MATCH("character_id",[3]characters!$1:$1,0)+1),MATCH(AE$1,[3]characters!$1:$1,0)-MATCH("character_id",[3]characters!$1:$1,0)+1,FALSE)</f>
        <v>Drop1N</v>
      </c>
      <c r="AF430" s="7">
        <v>7</v>
      </c>
      <c r="AG430" s="26">
        <f t="shared" ca="1" si="465"/>
        <v>1</v>
      </c>
      <c r="AH430" s="8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1</v>
      </c>
    </row>
    <row r="431" spans="1:39" ht="14" x14ac:dyDescent="0.15">
      <c r="A431" s="18" t="str">
        <f t="shared" ca="1" si="512"/>
        <v>24_5-1/13&lt;lv52&gt;s2</v>
      </c>
      <c r="B431" s="50">
        <v>24</v>
      </c>
      <c r="C431" s="49">
        <v>5</v>
      </c>
      <c r="D431" s="2" t="str">
        <f t="shared" si="502"/>
        <v>24_5</v>
      </c>
      <c r="E431" s="2" t="str">
        <f t="shared" si="502"/>
        <v>5_24_5</v>
      </c>
      <c r="F431" s="4" t="str">
        <f ca="1">VLOOKUP($D431,OFFSET([1]stages!$A$1,0,0,COUNTA([1]stages!$A:$A),MATCH(F$1,[1]stages!$2:$2,0)-MATCH($D$1,[1]stages!$2:$2,0)+1),MATCH(F$1,[1]stages!$2:$2,0)-MATCH($D$1,[1]stages!$2:$2,0)+1,FALSE)</f>
        <v>24-5．決戦のヘヴン</v>
      </c>
      <c r="G431" s="55">
        <v>1</v>
      </c>
      <c r="H431" s="17" t="str">
        <f t="shared" si="503"/>
        <v>24_5-1</v>
      </c>
      <c r="I431" s="17"/>
      <c r="J431" s="17"/>
      <c r="K431" s="65" t="s">
        <v>56</v>
      </c>
      <c r="L431" s="52">
        <v>13</v>
      </c>
      <c r="M431" s="21" t="str">
        <f ca="1">VLOOKUP($L431,OFFSET([2]enemies!$A$1,0,0,COUNTA([2]enemies!$A:$A),MATCH(M$1,[2]enemies!$1:$1,0)-MATCH($L$1,[2]enemies!$1:$1,0)+1),MATCH(M$1,[2]enemies!$1:$1,0)-MATCH($L$1,[2]enemies!$1:$1,0)+1,FALSE)</f>
        <v>ミミ</v>
      </c>
      <c r="N431" s="21" t="str">
        <f ca="1">VLOOKUP($L431,OFFSET([2]enemies!$A$1,0,0,COUNTA([2]enemies!$A:$A),MATCH(N$1,[2]enemies!$1:$1,0)-MATCH($L$1,[2]enemies!$1:$1,0)+1),MATCH(N$1,[2]enemies!$1:$1,0)-MATCH($L$1,[2]enemies!$1:$1,0)+1,FALSE)</f>
        <v>yellow</v>
      </c>
      <c r="O431" s="21" t="str">
        <f ca="1">VLOOKUP($L431,OFFSET([3]characters!$A$1,0,0,COUNTA([3]characters!$A:$A),MATCH(O$1,[3]characters!$1:$1,0)-MATCH($L$1,[3]characters!$1:$1,0)+1),MATCH(O$1,[3]characters!$1:$1,0)-MATCH($L$1,[3]characters!$1:$1,0)+1,FALSE)</f>
        <v>Drop1W</v>
      </c>
      <c r="P431" s="21" t="str">
        <f ca="1">VLOOKUP($L431,OFFSET([2]enemies!$A$1,0,0,COUNTA([2]enemies!$A:$A),MATCH(P$1,[2]enemies!$1:$1,0)-MATCH($L$1,[2]enemies!$1:$1,0)+1),MATCH(P$1,[2]enemies!$1:$1,0)-MATCH($L$1,[2]enemies!$1:$1,0)+1,FALSE)</f>
        <v>animal</v>
      </c>
      <c r="Q431" s="21">
        <f ca="1">VLOOKUP($L431,OFFSET([2]enemies!$A$1,0,0,COUNTA([2]enemies!$A:$A),MATCH(Q$1,[2]enemies!$1:$1,0)-MATCH($L$1,[2]enemies!$1:$1,0)+1),MATCH(Q$1,[2]enemies!$1:$1,0)-MATCH($L$1,[2]enemies!$1:$1,0)+1,FALSE)</f>
        <v>15</v>
      </c>
      <c r="R431" s="53">
        <v>52</v>
      </c>
      <c r="S431" s="27">
        <v>1</v>
      </c>
      <c r="T431" s="27">
        <v>1</v>
      </c>
      <c r="U431" s="5">
        <v>0</v>
      </c>
      <c r="V431" s="4" t="str">
        <f ca="1">VLOOKUP($W431,OFFSET([4]enemy_skill_sets!$B$1,0,0,COUNTA([4]enemy_skill_sets!$B:$B),MATCH(M$1,[4]enemy_skill_sets!$1:$1,0)-MATCH($W$1,[4]enemy_skill_sets!$1:$1,0)+2),MATCH(M$1,[4]enemy_skill_sets!$1:$1,0)-MATCH($W$1,[4]enemy_skill_sets!$1:$1,0)+2,FALSE)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31" s="4">
        <f ca="1">VLOOKUP($L431,OFFSET([2]enemies!$A$1,0,0,COUNTA([2]enemies!$A:$A),MATCH(W$1,[2]enemies!$1:$1,0)-MATCH($L$1,[2]enemies!$1:$1,0)+1),MATCH(W$1,[2]enemies!$1:$1,0)-MATCH($L$1,[2]enemies!$1:$1,0)+1,FALSE)</f>
        <v>0</v>
      </c>
      <c r="X431" s="6">
        <v>0</v>
      </c>
      <c r="Y431" s="6">
        <v>100</v>
      </c>
      <c r="Z431" s="6">
        <v>0</v>
      </c>
      <c r="AA431" s="4">
        <f ca="1">VLOOKUP($L431,OFFSET([2]enemies!$A$1,0,0,COUNTA([2]enemies!$A:$A),MATCH(AA$1,[2]enemies!$1:$1,0)-MATCH($L$1,[2]enemies!$1:$1,0)+1),MATCH(AA$1,[2]enemies!$1:$1,0)-MATCH($L$1,[2]enemies!$1:$1,0)+1,FALSE)</f>
        <v>2</v>
      </c>
      <c r="AB431" s="52">
        <v>13</v>
      </c>
      <c r="AC431" s="4" t="str">
        <f ca="1">VLOOKUP($AB431,OFFSET([3]characters!$A$1,0,0,COUNTA([3]characters!$A:$A),MATCH(AC$1,[3]characters!$1:$1,0)-MATCH("character_id",[3]characters!$1:$1,0)+1),MATCH(AC$1,[3]characters!$1:$1,0)-MATCH("character_id",[3]characters!$1:$1,0)+1,FALSE)</f>
        <v>ミミ</v>
      </c>
      <c r="AD431" s="4">
        <f ca="1">VLOOKUP($AB431,OFFSET([3]characters!$A$1,0,0,COUNTA([3]characters!$A:$A),MATCH(AD$1,[3]characters!$1:$1,0)-MATCH("character_id",[3]characters!$1:$1,0)+1),MATCH(AD$1,[3]characters!$1:$1,0)-MATCH("character_id",[3]characters!$1:$1,0)+1,FALSE)</f>
        <v>1</v>
      </c>
      <c r="AE431" s="4" t="str">
        <f ca="1">VLOOKUP($AB431,OFFSET([3]characters!$A$1,0,0,COUNTA([3]characters!$A:$A),MATCH(AE$1,[3]characters!$1:$1,0)-MATCH("character_id",[3]characters!$1:$1,0)+1),MATCH(AE$1,[3]characters!$1:$1,0)-MATCH("character_id",[3]characters!$1:$1,0)+1,FALSE)</f>
        <v>Drop1W</v>
      </c>
      <c r="AF431" s="7">
        <v>9</v>
      </c>
      <c r="AG431" s="26">
        <f t="shared" ca="1" si="465"/>
        <v>1</v>
      </c>
      <c r="AH431" s="8">
        <v>20</v>
      </c>
      <c r="AI431" s="7">
        <v>0</v>
      </c>
      <c r="AJ431" s="7">
        <v>0</v>
      </c>
      <c r="AK431" s="7">
        <v>0</v>
      </c>
      <c r="AL431" s="7">
        <v>0</v>
      </c>
      <c r="AM431" s="7">
        <v>1</v>
      </c>
    </row>
    <row r="432" spans="1:39" ht="14" x14ac:dyDescent="0.15">
      <c r="A432" s="18" t="str">
        <f t="shared" ca="1" si="512"/>
        <v>24_5-1/47&lt;lv52&gt;s1</v>
      </c>
      <c r="B432" s="50">
        <v>24</v>
      </c>
      <c r="C432" s="49">
        <v>5</v>
      </c>
      <c r="D432" s="2" t="str">
        <f t="shared" si="502"/>
        <v>24_5</v>
      </c>
      <c r="E432" s="2" t="str">
        <f t="shared" si="502"/>
        <v>5_24_5</v>
      </c>
      <c r="F432" s="4" t="str">
        <f ca="1">VLOOKUP($D432,OFFSET([1]stages!$A$1,0,0,COUNTA([1]stages!$A:$A),MATCH(F$1,[1]stages!$2:$2,0)-MATCH($D$1,[1]stages!$2:$2,0)+1),MATCH(F$1,[1]stages!$2:$2,0)-MATCH($D$1,[1]stages!$2:$2,0)+1,FALSE)</f>
        <v>24-5．決戦のヘヴン</v>
      </c>
      <c r="G432" s="55">
        <v>1</v>
      </c>
      <c r="H432" s="17" t="str">
        <f t="shared" si="503"/>
        <v>24_5-1</v>
      </c>
      <c r="I432" s="17"/>
      <c r="J432" s="17"/>
      <c r="K432" s="65" t="s">
        <v>56</v>
      </c>
      <c r="L432" s="52">
        <v>47</v>
      </c>
      <c r="M432" s="21" t="str">
        <f ca="1">VLOOKUP($L432,OFFSET([2]enemies!$A$1,0,0,COUNTA([2]enemies!$A:$A),MATCH(M$1,[2]enemies!$1:$1,0)-MATCH($L$1,[2]enemies!$1:$1,0)+1),MATCH(M$1,[2]enemies!$1:$1,0)-MATCH($L$1,[2]enemies!$1:$1,0)+1,FALSE)</f>
        <v>ヒロ</v>
      </c>
      <c r="N432" s="21" t="str">
        <f ca="1">VLOOKUP($L432,OFFSET([2]enemies!$A$1,0,0,COUNTA([2]enemies!$A:$A),MATCH(N$1,[2]enemies!$1:$1,0)-MATCH($L$1,[2]enemies!$1:$1,0)+1),MATCH(N$1,[2]enemies!$1:$1,0)-MATCH($L$1,[2]enemies!$1:$1,0)+1,FALSE)</f>
        <v>yellow</v>
      </c>
      <c r="O432" s="21" t="str">
        <f ca="1">VLOOKUP($L432,OFFSET([3]characters!$A$1,0,0,COUNTA([3]characters!$A:$A),MATCH(O$1,[3]characters!$1:$1,0)-MATCH($L$1,[3]characters!$1:$1,0)+1),MATCH(O$1,[3]characters!$1:$1,0)-MATCH($L$1,[3]characters!$1:$1,0)+1,FALSE)</f>
        <v>Drop1N</v>
      </c>
      <c r="P432" s="21" t="str">
        <f ca="1">VLOOKUP($L432,OFFSET([2]enemies!$A$1,0,0,COUNTA([2]enemies!$A:$A),MATCH(P$1,[2]enemies!$1:$1,0)-MATCH($L$1,[2]enemies!$1:$1,0)+1),MATCH(P$1,[2]enemies!$1:$1,0)-MATCH($L$1,[2]enemies!$1:$1,0)+1,FALSE)</f>
        <v>animal</v>
      </c>
      <c r="Q432" s="21">
        <f ca="1">VLOOKUP($L432,OFFSET([2]enemies!$A$1,0,0,COUNTA([2]enemies!$A:$A),MATCH(Q$1,[2]enemies!$1:$1,0)-MATCH($L$1,[2]enemies!$1:$1,0)+1),MATCH(Q$1,[2]enemies!$1:$1,0)-MATCH($L$1,[2]enemies!$1:$1,0)+1,FALSE)</f>
        <v>15</v>
      </c>
      <c r="R432" s="53">
        <v>52</v>
      </c>
      <c r="S432" s="27">
        <v>1</v>
      </c>
      <c r="T432" s="27">
        <v>1</v>
      </c>
      <c r="U432" s="5">
        <v>0</v>
      </c>
      <c r="V432" s="4" t="str">
        <f ca="1">VLOOKUP($W432,OFFSET([4]enemy_skill_sets!$B$1,0,0,COUNTA([4]enemy_skill_sets!$B:$B),MATCH(M$1,[4]enemy_skill_sets!$1:$1,0)-MATCH($W$1,[4]enemy_skill_sets!$1:$1,0)+2),MATCH(M$1,[4]enemy_skill_sets!$1:$1,0)-MATCH($W$1,[4]enemy_skill_sets!$1:$1,0)+2,FALSE)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32" s="4">
        <f ca="1">VLOOKUP($L432,OFFSET([2]enemies!$A$1,0,0,COUNTA([2]enemies!$A:$A),MATCH(W$1,[2]enemies!$1:$1,0)-MATCH($L$1,[2]enemies!$1:$1,0)+1),MATCH(W$1,[2]enemies!$1:$1,0)-MATCH($L$1,[2]enemies!$1:$1,0)+1,FALSE)</f>
        <v>0</v>
      </c>
      <c r="X432" s="6">
        <v>0</v>
      </c>
      <c r="Y432" s="6">
        <v>100</v>
      </c>
      <c r="Z432" s="6">
        <v>0</v>
      </c>
      <c r="AA432" s="4">
        <f ca="1">VLOOKUP($L432,OFFSET([2]enemies!$A$1,0,0,COUNTA([2]enemies!$A:$A),MATCH(AA$1,[2]enemies!$1:$1,0)-MATCH($L$1,[2]enemies!$1:$1,0)+1),MATCH(AA$1,[2]enemies!$1:$1,0)-MATCH($L$1,[2]enemies!$1:$1,0)+1,FALSE)</f>
        <v>1</v>
      </c>
      <c r="AB432" s="52">
        <v>47</v>
      </c>
      <c r="AC432" s="4" t="str">
        <f ca="1">VLOOKUP($AB432,OFFSET([3]characters!$A$1,0,0,COUNTA([3]characters!$A:$A),MATCH(AC$1,[3]characters!$1:$1,0)-MATCH("character_id",[3]characters!$1:$1,0)+1),MATCH(AC$1,[3]characters!$1:$1,0)-MATCH("character_id",[3]characters!$1:$1,0)+1,FALSE)</f>
        <v>ヒロ</v>
      </c>
      <c r="AD432" s="4">
        <f ca="1">VLOOKUP($AB432,OFFSET([3]characters!$A$1,0,0,COUNTA([3]characters!$A:$A),MATCH(AD$1,[3]characters!$1:$1,0)-MATCH("character_id",[3]characters!$1:$1,0)+1),MATCH(AD$1,[3]characters!$1:$1,0)-MATCH("character_id",[3]characters!$1:$1,0)+1,FALSE)</f>
        <v>2</v>
      </c>
      <c r="AE432" s="4" t="str">
        <f ca="1">VLOOKUP($AB432,OFFSET([3]characters!$A$1,0,0,COUNTA([3]characters!$A:$A),MATCH(AE$1,[3]characters!$1:$1,0)-MATCH("character_id",[3]characters!$1:$1,0)+1),MATCH(AE$1,[3]characters!$1:$1,0)-MATCH("character_id",[3]characters!$1:$1,0)+1,FALSE)</f>
        <v>Drop1N</v>
      </c>
      <c r="AF432" s="7">
        <v>7</v>
      </c>
      <c r="AG432" s="26">
        <f t="shared" ca="1" si="465"/>
        <v>2</v>
      </c>
      <c r="AH432" s="8">
        <v>20</v>
      </c>
      <c r="AI432" s="7">
        <v>0</v>
      </c>
      <c r="AJ432" s="7">
        <v>0</v>
      </c>
      <c r="AK432" s="7">
        <v>0</v>
      </c>
      <c r="AL432" s="7">
        <v>0</v>
      </c>
      <c r="AM432" s="7">
        <v>1</v>
      </c>
    </row>
    <row r="433" spans="1:39" ht="14" x14ac:dyDescent="0.15">
      <c r="A433" s="18" t="str">
        <f t="shared" ca="1" si="512"/>
        <v>24_5-1/63&lt;lv52&gt;s2</v>
      </c>
      <c r="B433" s="50">
        <v>24</v>
      </c>
      <c r="C433" s="49">
        <v>5</v>
      </c>
      <c r="D433" s="2" t="str">
        <f t="shared" si="502"/>
        <v>24_5</v>
      </c>
      <c r="E433" s="2" t="str">
        <f t="shared" si="502"/>
        <v>5_24_5</v>
      </c>
      <c r="F433" s="4" t="str">
        <f ca="1">VLOOKUP($D433,OFFSET([1]stages!$A$1,0,0,COUNTA([1]stages!$A:$A),MATCH(F$1,[1]stages!$2:$2,0)-MATCH($D$1,[1]stages!$2:$2,0)+1),MATCH(F$1,[1]stages!$2:$2,0)-MATCH($D$1,[1]stages!$2:$2,0)+1,FALSE)</f>
        <v>24-5．決戦のヘヴン</v>
      </c>
      <c r="G433" s="55">
        <v>1</v>
      </c>
      <c r="H433" s="17" t="str">
        <f t="shared" si="503"/>
        <v>24_5-1</v>
      </c>
      <c r="I433" s="17"/>
      <c r="J433" s="17"/>
      <c r="K433" s="65" t="s">
        <v>56</v>
      </c>
      <c r="L433" s="52">
        <v>63</v>
      </c>
      <c r="M433" s="21" t="str">
        <f ca="1">VLOOKUP($L433,OFFSET([2]enemies!$A$1,0,0,COUNTA([2]enemies!$A:$A),MATCH(M$1,[2]enemies!$1:$1,0)-MATCH($L$1,[2]enemies!$1:$1,0)+1),MATCH(M$1,[2]enemies!$1:$1,0)-MATCH($L$1,[2]enemies!$1:$1,0)+1,FALSE)</f>
        <v>トニー</v>
      </c>
      <c r="N433" s="21" t="str">
        <f ca="1">VLOOKUP($L433,OFFSET([2]enemies!$A$1,0,0,COUNTA([2]enemies!$A:$A),MATCH(N$1,[2]enemies!$1:$1,0)-MATCH($L$1,[2]enemies!$1:$1,0)+1),MATCH(N$1,[2]enemies!$1:$1,0)-MATCH($L$1,[2]enemies!$1:$1,0)+1,FALSE)</f>
        <v>yellow</v>
      </c>
      <c r="O433" s="21" t="str">
        <f ca="1">VLOOKUP($L433,OFFSET([3]characters!$A$1,0,0,COUNTA([3]characters!$A:$A),MATCH(O$1,[3]characters!$1:$1,0)-MATCH($L$1,[3]characters!$1:$1,0)+1),MATCH(O$1,[3]characters!$1:$1,0)-MATCH($L$1,[3]characters!$1:$1,0)+1,FALSE)</f>
        <v>Drop1N</v>
      </c>
      <c r="P433" s="21" t="str">
        <f ca="1">VLOOKUP($L433,OFFSET([2]enemies!$A$1,0,0,COUNTA([2]enemies!$A:$A),MATCH(P$1,[2]enemies!$1:$1,0)-MATCH($L$1,[2]enemies!$1:$1,0)+1),MATCH(P$1,[2]enemies!$1:$1,0)-MATCH($L$1,[2]enemies!$1:$1,0)+1,FALSE)</f>
        <v>animal</v>
      </c>
      <c r="Q433" s="21">
        <f ca="1">VLOOKUP($L433,OFFSET([2]enemies!$A$1,0,0,COUNTA([2]enemies!$A:$A),MATCH(Q$1,[2]enemies!$1:$1,0)-MATCH($L$1,[2]enemies!$1:$1,0)+1),MATCH(Q$1,[2]enemies!$1:$1,0)-MATCH($L$1,[2]enemies!$1:$1,0)+1,FALSE)</f>
        <v>15</v>
      </c>
      <c r="R433" s="53">
        <v>52</v>
      </c>
      <c r="S433" s="27">
        <v>1</v>
      </c>
      <c r="T433" s="27">
        <v>1</v>
      </c>
      <c r="U433" s="5">
        <v>0</v>
      </c>
      <c r="V433" s="4" t="str">
        <f ca="1">VLOOKUP($W433,OFFSET([4]enemy_skill_sets!$B$1,0,0,COUNTA([4]enemy_skill_sets!$B:$B),MATCH(M$1,[4]enemy_skill_sets!$1:$1,0)-MATCH($W$1,[4]enemy_skill_sets!$1:$1,0)+2),MATCH(M$1,[4]enemy_skill_sets!$1:$1,0)-MATCH($W$1,[4]enemy_skill_sets!$1:$1,0)+2,FALSE)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433" s="4">
        <f ca="1">VLOOKUP($L433,OFFSET([2]enemies!$A$1,0,0,COUNTA([2]enemies!$A:$A),MATCH(W$1,[2]enemies!$1:$1,0)-MATCH($L$1,[2]enemies!$1:$1,0)+1),MATCH(W$1,[2]enemies!$1:$1,0)-MATCH($L$1,[2]enemies!$1:$1,0)+1,FALSE)</f>
        <v>63</v>
      </c>
      <c r="X433" s="6">
        <v>0</v>
      </c>
      <c r="Y433" s="6">
        <v>100</v>
      </c>
      <c r="Z433" s="6">
        <v>0</v>
      </c>
      <c r="AA433" s="4">
        <f ca="1">VLOOKUP($L433,OFFSET([2]enemies!$A$1,0,0,COUNTA([2]enemies!$A:$A),MATCH(AA$1,[2]enemies!$1:$1,0)-MATCH($L$1,[2]enemies!$1:$1,0)+1),MATCH(AA$1,[2]enemies!$1:$1,0)-MATCH($L$1,[2]enemies!$1:$1,0)+1,FALSE)</f>
        <v>2</v>
      </c>
      <c r="AB433" s="52">
        <v>63</v>
      </c>
      <c r="AC433" s="4" t="str">
        <f ca="1">VLOOKUP($AB433,OFFSET([3]characters!$A$1,0,0,COUNTA([3]characters!$A:$A),MATCH(AC$1,[3]characters!$1:$1,0)-MATCH("character_id",[3]characters!$1:$1,0)+1),MATCH(AC$1,[3]characters!$1:$1,0)-MATCH("character_id",[3]characters!$1:$1,0)+1,FALSE)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433" s="4">
        <f ca="1">VLOOKUP($AB433,OFFSET([3]characters!$A$1,0,0,COUNTA([3]characters!$A:$A),MATCH(AD$1,[3]characters!$1:$1,0)-MATCH("character_id",[3]characters!$1:$1,0)+1),MATCH(AD$1,[3]characters!$1:$1,0)-MATCH("character_id",[3]characters!$1:$1,0)+1,FALSE)</f>
        <v>2</v>
      </c>
      <c r="AE433" s="4" t="str">
        <f ca="1">VLOOKUP($AB433,OFFSET([3]characters!$A$1,0,0,COUNTA([3]characters!$A:$A),MATCH(AE$1,[3]characters!$1:$1,0)-MATCH("character_id",[3]characters!$1:$1,0)+1),MATCH(AE$1,[3]characters!$1:$1,0)-MATCH("character_id",[3]characters!$1:$1,0)+1,FALSE)</f>
        <v>Drop1N</v>
      </c>
      <c r="AF433" s="7">
        <v>7</v>
      </c>
      <c r="AG433" s="26">
        <f t="shared" ca="1" si="465"/>
        <v>2</v>
      </c>
      <c r="AH433" s="8">
        <v>20</v>
      </c>
      <c r="AI433" s="7">
        <v>0</v>
      </c>
      <c r="AJ433" s="7">
        <v>0</v>
      </c>
      <c r="AK433" s="7">
        <v>0</v>
      </c>
      <c r="AL433" s="7">
        <v>0</v>
      </c>
      <c r="AM433" s="7">
        <v>1</v>
      </c>
    </row>
    <row r="434" spans="1:39" ht="14" x14ac:dyDescent="0.15">
      <c r="A434" s="18" t="str">
        <f t="shared" ca="1" si="512"/>
        <v>24_5-1/366&lt;lv52&gt;s3</v>
      </c>
      <c r="B434" s="53">
        <v>24</v>
      </c>
      <c r="C434" s="51">
        <v>5</v>
      </c>
      <c r="D434" s="2" t="str">
        <f t="shared" ref="D434" si="515">B434&amp;"_"&amp;C434</f>
        <v>24_5</v>
      </c>
      <c r="E434" s="2" t="str">
        <f t="shared" ref="E434" si="516">C434&amp;"_"&amp;D434</f>
        <v>5_24_5</v>
      </c>
      <c r="F434" s="4" t="str">
        <f ca="1">VLOOKUP($D434,OFFSET([1]stages!$A$1,0,0,COUNTA([1]stages!$A:$A),MATCH(F$1,[1]stages!$2:$2,0)-MATCH($D$1,[1]stages!$2:$2,0)+1),MATCH(F$1,[1]stages!$2:$2,0)-MATCH($D$1,[1]stages!$2:$2,0)+1,FALSE)</f>
        <v>24-5．決戦のヘヴン</v>
      </c>
      <c r="G434" s="55">
        <v>1</v>
      </c>
      <c r="H434" s="17" t="str">
        <f t="shared" ref="H434" si="517">B434&amp;"_"&amp;C434&amp;"-"&amp;G434</f>
        <v>24_5-1</v>
      </c>
      <c r="I434" s="17"/>
      <c r="J434" s="17"/>
      <c r="K434" s="65" t="s">
        <v>56</v>
      </c>
      <c r="L434" s="52">
        <v>366</v>
      </c>
      <c r="M434" s="21" t="str">
        <f ca="1">VLOOKUP($L434,OFFSET([2]enemies!$A$1,0,0,COUNTA([2]enemies!$A:$A),MATCH(M$1,[2]enemies!$1:$1,0)-MATCH($L$1,[2]enemies!$1:$1,0)+1),MATCH(M$1,[2]enemies!$1:$1,0)-MATCH($L$1,[2]enemies!$1:$1,0)+1,FALSE)</f>
        <v>トト</v>
      </c>
      <c r="N434" s="21" t="str">
        <f ca="1">VLOOKUP($L434,OFFSET([2]enemies!$A$1,0,0,COUNTA([2]enemies!$A:$A),MATCH(N$1,[2]enemies!$1:$1,0)-MATCH($L$1,[2]enemies!$1:$1,0)+1),MATCH(N$1,[2]enemies!$1:$1,0)-MATCH($L$1,[2]enemies!$1:$1,0)+1,FALSE)</f>
        <v>yellow</v>
      </c>
      <c r="O434" s="21" t="str">
        <f ca="1">VLOOKUP($L434,OFFSET([3]characters!$A$1,0,0,COUNTA([3]characters!$A:$A),MATCH(O$1,[3]characters!$1:$1,0)-MATCH($L$1,[3]characters!$1:$1,0)+1),MATCH(O$1,[3]characters!$1:$1,0)-MATCH($L$1,[3]characters!$1:$1,0)+1,FALSE)</f>
        <v>Drop1S</v>
      </c>
      <c r="P434" s="21" t="str">
        <f ca="1">VLOOKUP($L434,OFFSET([2]enemies!$A$1,0,0,COUNTA([2]enemies!$A:$A),MATCH(P$1,[2]enemies!$1:$1,0)-MATCH($L$1,[2]enemies!$1:$1,0)+1),MATCH(P$1,[2]enemies!$1:$1,0)-MATCH($L$1,[2]enemies!$1:$1,0)+1,FALSE)</f>
        <v>animal</v>
      </c>
      <c r="Q434" s="21">
        <f ca="1">VLOOKUP($L434,OFFSET([2]enemies!$A$1,0,0,COUNTA([2]enemies!$A:$A),MATCH(Q$1,[2]enemies!$1:$1,0)-MATCH($L$1,[2]enemies!$1:$1,0)+1),MATCH(Q$1,[2]enemies!$1:$1,0)-MATCH($L$1,[2]enemies!$1:$1,0)+1,FALSE)</f>
        <v>15</v>
      </c>
      <c r="R434" s="53">
        <v>52</v>
      </c>
      <c r="S434" s="27">
        <v>1</v>
      </c>
      <c r="T434" s="27">
        <v>1</v>
      </c>
      <c r="U434" s="5">
        <v>0</v>
      </c>
      <c r="V434" s="4" t="str">
        <f ca="1">VLOOKUP($W434,OFFSET([4]enemy_skill_sets!$B$1,0,0,COUNTA([4]enemy_skill_sets!$B:$B),MATCH(M$1,[4]enemy_skill_sets!$1:$1,0)-MATCH($W$1,[4]enemy_skill_sets!$1:$1,0)+2),MATCH(M$1,[4]enemy_skill_sets!$1:$1,0)-MATCH($W$1,[4]enemy_skill_sets!$1:$1,0)+2,FALSE)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434" s="64">
        <v>366</v>
      </c>
      <c r="X434" s="6">
        <v>0</v>
      </c>
      <c r="Y434" s="6">
        <v>100</v>
      </c>
      <c r="Z434" s="6">
        <v>0</v>
      </c>
      <c r="AA434" s="4">
        <f ca="1">VLOOKUP($L434,OFFSET([2]enemies!$A$1,0,0,COUNTA([2]enemies!$A:$A),MATCH(AA$1,[2]enemies!$1:$1,0)-MATCH($L$1,[2]enemies!$1:$1,0)+1),MATCH(AA$1,[2]enemies!$1:$1,0)-MATCH($L$1,[2]enemies!$1:$1,0)+1,FALSE)</f>
        <v>3</v>
      </c>
      <c r="AB434" s="52">
        <v>366</v>
      </c>
      <c r="AC434" s="4" t="str">
        <f ca="1">VLOOKUP($AB434,OFFSET([3]characters!$A$1,0,0,COUNTA([3]characters!$A:$A),MATCH(AC$1,[3]characters!$1:$1,0)-MATCH("character_id",[3]characters!$1:$1,0)+1),MATCH(AC$1,[3]characters!$1:$1,0)-MATCH("character_id",[3]characters!$1:$1,0)+1,FALSE)</f>
        <v>トト</v>
      </c>
      <c r="AD434" s="4">
        <f ca="1">VLOOKUP($AB434,OFFSET([3]characters!$A$1,0,0,COUNTA([3]characters!$A:$A),MATCH(AD$1,[3]characters!$1:$1,0)-MATCH("character_id",[3]characters!$1:$1,0)+1),MATCH(AD$1,[3]characters!$1:$1,0)-MATCH("character_id",[3]characters!$1:$1,0)+1,FALSE)</f>
        <v>2</v>
      </c>
      <c r="AE434" s="4" t="str">
        <f ca="1">VLOOKUP($AB434,OFFSET([3]characters!$A$1,0,0,COUNTA([3]characters!$A:$A),MATCH(AE$1,[3]characters!$1:$1,0)-MATCH("character_id",[3]characters!$1:$1,0)+1),MATCH(AE$1,[3]characters!$1:$1,0)-MATCH("character_id",[3]characters!$1:$1,0)+1,FALSE)</f>
        <v>Drop1S</v>
      </c>
      <c r="AF434" s="7">
        <v>7</v>
      </c>
      <c r="AG434" s="26">
        <f t="shared" ca="1" si="465"/>
        <v>2</v>
      </c>
      <c r="AH434" s="8">
        <v>20</v>
      </c>
      <c r="AI434" s="7">
        <v>0</v>
      </c>
      <c r="AJ434" s="7">
        <v>0</v>
      </c>
      <c r="AK434" s="7">
        <v>0</v>
      </c>
      <c r="AL434" s="7">
        <v>0</v>
      </c>
      <c r="AM434" s="7">
        <v>1</v>
      </c>
    </row>
    <row r="435" spans="1:39" ht="14" x14ac:dyDescent="0.15">
      <c r="A435" s="18" t="str">
        <f t="shared" ca="1" si="512"/>
        <v>24_5-1/354&lt;lv52&gt;s3</v>
      </c>
      <c r="B435" s="53">
        <v>24</v>
      </c>
      <c r="C435" s="51">
        <v>5</v>
      </c>
      <c r="D435" s="2" t="str">
        <f t="shared" ref="D435" si="518">B435&amp;"_"&amp;C435</f>
        <v>24_5</v>
      </c>
      <c r="E435" s="2" t="str">
        <f t="shared" ref="E435" si="519">C435&amp;"_"&amp;D435</f>
        <v>5_24_5</v>
      </c>
      <c r="F435" s="4" t="str">
        <f ca="1">VLOOKUP($D435,OFFSET([1]stages!$A$1,0,0,COUNTA([1]stages!$A:$A),MATCH(F$1,[1]stages!$2:$2,0)-MATCH($D$1,[1]stages!$2:$2,0)+1),MATCH(F$1,[1]stages!$2:$2,0)-MATCH($D$1,[1]stages!$2:$2,0)+1,FALSE)</f>
        <v>24-5．決戦のヘヴン</v>
      </c>
      <c r="G435" s="55">
        <v>1</v>
      </c>
      <c r="H435" s="17" t="str">
        <f t="shared" ref="H435" si="520">B435&amp;"_"&amp;C435&amp;"-"&amp;G435</f>
        <v>24_5-1</v>
      </c>
      <c r="I435" s="17"/>
      <c r="J435" s="17"/>
      <c r="K435" s="65" t="s">
        <v>56</v>
      </c>
      <c r="L435" s="52">
        <v>354</v>
      </c>
      <c r="M435" s="21" t="str">
        <f ca="1">VLOOKUP($L435,OFFSET([2]enemies!$A$1,0,0,COUNTA([2]enemies!$A:$A),MATCH(M$1,[2]enemies!$1:$1,0)-MATCH($L$1,[2]enemies!$1:$1,0)+1),MATCH(M$1,[2]enemies!$1:$1,0)-MATCH($L$1,[2]enemies!$1:$1,0)+1,FALSE)</f>
        <v>雷のケロケロ</v>
      </c>
      <c r="N435" s="21" t="str">
        <f ca="1">VLOOKUP($L435,OFFSET([2]enemies!$A$1,0,0,COUNTA([2]enemies!$A:$A),MATCH(N$1,[2]enemies!$1:$1,0)-MATCH($L$1,[2]enemies!$1:$1,0)+1),MATCH(N$1,[2]enemies!$1:$1,0)-MATCH($L$1,[2]enemies!$1:$1,0)+1,FALSE)</f>
        <v>yellow</v>
      </c>
      <c r="O435" s="21" t="str">
        <f ca="1">VLOOKUP($L435,OFFSET([3]characters!$A$1,0,0,COUNTA([3]characters!$A:$A),MATCH(O$1,[3]characters!$1:$1,0)-MATCH($L$1,[3]characters!$1:$1,0)+1),MATCH(O$1,[3]characters!$1:$1,0)-MATCH($L$1,[3]characters!$1:$1,0)+1,FALSE)</f>
        <v>Material</v>
      </c>
      <c r="P435" s="21" t="str">
        <f ca="1">VLOOKUP($L435,OFFSET([2]enemies!$A$1,0,0,COUNTA([2]enemies!$A:$A),MATCH(P$1,[2]enemies!$1:$1,0)-MATCH($L$1,[2]enemies!$1:$1,0)+1),MATCH(P$1,[2]enemies!$1:$1,0)-MATCH($L$1,[2]enemies!$1:$1,0)+1,FALSE)</f>
        <v>unknown</v>
      </c>
      <c r="Q435" s="21">
        <f ca="1">VLOOKUP($L435,OFFSET([2]enemies!$A$1,0,0,COUNTA([2]enemies!$A:$A),MATCH(Q$1,[2]enemies!$1:$1,0)-MATCH($L$1,[2]enemies!$1:$1,0)+1),MATCH(Q$1,[2]enemies!$1:$1,0)-MATCH($L$1,[2]enemies!$1:$1,0)+1,FALSE)</f>
        <v>15</v>
      </c>
      <c r="R435" s="53">
        <v>52</v>
      </c>
      <c r="S435" s="27">
        <v>1</v>
      </c>
      <c r="T435" s="27">
        <v>1</v>
      </c>
      <c r="U435" s="5">
        <v>0</v>
      </c>
      <c r="V435" s="4" t="str">
        <f ca="1">VLOOKUP($W435,OFFSET([4]enemy_skill_sets!$B$1,0,0,COUNTA([4]enemy_skill_sets!$B:$B),MATCH(M$1,[4]enemy_skill_sets!$1:$1,0)-MATCH($W$1,[4]enemy_skill_sets!$1:$1,0)+2),MATCH(M$1,[4]enemy_skill_sets!$1:$1,0)-MATCH($W$1,[4]enemy_skill_sets!$1:$1,0)+2,FALSE)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435" s="64">
        <v>354</v>
      </c>
      <c r="X435" s="6">
        <v>0</v>
      </c>
      <c r="Y435" s="6">
        <v>100</v>
      </c>
      <c r="Z435" s="6">
        <v>0</v>
      </c>
      <c r="AA435" s="4">
        <f ca="1">VLOOKUP($L435,OFFSET([2]enemies!$A$1,0,0,COUNTA([2]enemies!$A:$A),MATCH(AA$1,[2]enemies!$1:$1,0)-MATCH($L$1,[2]enemies!$1:$1,0)+1),MATCH(AA$1,[2]enemies!$1:$1,0)-MATCH($L$1,[2]enemies!$1:$1,0)+1,FALSE)</f>
        <v>3</v>
      </c>
      <c r="AB435" s="52">
        <v>354</v>
      </c>
      <c r="AC435" s="4" t="str">
        <f ca="1">VLOOKUP($AB435,OFFSET([3]characters!$A$1,0,0,COUNTA([3]characters!$A:$A),MATCH(AC$1,[3]characters!$1:$1,0)-MATCH("character_id",[3]characters!$1:$1,0)+1),MATCH(AC$1,[3]characters!$1:$1,0)-MATCH("character_id",[3]characters!$1:$1,0)+1,FALSE)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435" s="4">
        <f ca="1">VLOOKUP($AB435,OFFSET([3]characters!$A$1,0,0,COUNTA([3]characters!$A:$A),MATCH(AD$1,[3]characters!$1:$1,0)-MATCH("character_id",[3]characters!$1:$1,0)+1),MATCH(AD$1,[3]characters!$1:$1,0)-MATCH("character_id",[3]characters!$1:$1,0)+1,FALSE)</f>
        <v>2</v>
      </c>
      <c r="AE435" s="4" t="str">
        <f ca="1">VLOOKUP($AB435,OFFSET([3]characters!$A$1,0,0,COUNTA([3]characters!$A:$A),MATCH(AE$1,[3]characters!$1:$1,0)-MATCH("character_id",[3]characters!$1:$1,0)+1),MATCH(AE$1,[3]characters!$1:$1,0)-MATCH("character_id",[3]characters!$1:$1,0)+1,FALSE)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35" s="7">
        <v>10</v>
      </c>
      <c r="AG435" s="26">
        <f t="shared" ca="1" si="465"/>
        <v>2</v>
      </c>
      <c r="AH435" s="8">
        <v>20</v>
      </c>
      <c r="AI435" s="7">
        <v>0</v>
      </c>
      <c r="AJ435" s="7">
        <v>0</v>
      </c>
      <c r="AK435" s="7">
        <v>0</v>
      </c>
      <c r="AL435" s="7">
        <v>0</v>
      </c>
      <c r="AM435" s="7">
        <v>1</v>
      </c>
    </row>
    <row r="436" spans="1:39" ht="14" x14ac:dyDescent="0.15">
      <c r="A436" s="18" t="str">
        <f t="shared" ca="1" si="512"/>
        <v>24_5-2/11&lt;lv54&gt;s3</v>
      </c>
      <c r="B436" s="50">
        <v>24</v>
      </c>
      <c r="C436" s="49">
        <v>5</v>
      </c>
      <c r="D436" s="2" t="str">
        <f t="shared" si="502"/>
        <v>24_5</v>
      </c>
      <c r="E436" s="2" t="str">
        <f t="shared" si="502"/>
        <v>5_24_5</v>
      </c>
      <c r="F436" s="4" t="str">
        <f ca="1">VLOOKUP($D436,OFFSET([1]stages!$A$1,0,0,COUNTA([1]stages!$A:$A),MATCH(F$1,[1]stages!$2:$2,0)-MATCH($D$1,[1]stages!$2:$2,0)+1),MATCH(F$1,[1]stages!$2:$2,0)-MATCH($D$1,[1]stages!$2:$2,0)+1,FALSE)</f>
        <v>24-5．決戦のヘヴン</v>
      </c>
      <c r="G436" s="56">
        <v>2</v>
      </c>
      <c r="H436" s="17" t="str">
        <f t="shared" si="503"/>
        <v>24_5-2</v>
      </c>
      <c r="I436" s="17"/>
      <c r="J436" s="17"/>
      <c r="K436" s="65" t="s">
        <v>56</v>
      </c>
      <c r="L436" s="52">
        <v>11</v>
      </c>
      <c r="M436" s="21" t="str">
        <f ca="1">VLOOKUP($L436,OFFSET([2]enemies!$A$1,0,0,COUNTA([2]enemies!$A:$A),MATCH(M$1,[2]enemies!$1:$1,0)-MATCH($L$1,[2]enemies!$1:$1,0)+1),MATCH(M$1,[2]enemies!$1:$1,0)-MATCH($L$1,[2]enemies!$1:$1,0)+1,FALSE)</f>
        <v>マグリット</v>
      </c>
      <c r="N436" s="21" t="str">
        <f ca="1">VLOOKUP($L436,OFFSET([2]enemies!$A$1,0,0,COUNTA([2]enemies!$A:$A),MATCH(N$1,[2]enemies!$1:$1,0)-MATCH($L$1,[2]enemies!$1:$1,0)+1),MATCH(N$1,[2]enemies!$1:$1,0)-MATCH($L$1,[2]enemies!$1:$1,0)+1,FALSE)</f>
        <v>green</v>
      </c>
      <c r="O436" s="21" t="str">
        <f ca="1">VLOOKUP($L436,OFFSET([3]characters!$A$1,0,0,COUNTA([3]characters!$A:$A),MATCH(O$1,[3]characters!$1:$1,0)-MATCH($L$1,[3]characters!$1:$1,0)+1),MATCH(O$1,[3]characters!$1:$1,0)-MATCH($L$1,[3]characters!$1:$1,0)+1,FALSE)</f>
        <v>Drop1W</v>
      </c>
      <c r="P436" s="21" t="str">
        <f ca="1">VLOOKUP($L436,OFFSET([2]enemies!$A$1,0,0,COUNTA([2]enemies!$A:$A),MATCH(P$1,[2]enemies!$1:$1,0)-MATCH($L$1,[2]enemies!$1:$1,0)+1),MATCH(P$1,[2]enemies!$1:$1,0)-MATCH($L$1,[2]enemies!$1:$1,0)+1,FALSE)</f>
        <v>animal</v>
      </c>
      <c r="Q436" s="21">
        <f ca="1">VLOOKUP($L436,OFFSET([2]enemies!$A$1,0,0,COUNTA([2]enemies!$A:$A),MATCH(Q$1,[2]enemies!$1:$1,0)-MATCH($L$1,[2]enemies!$1:$1,0)+1),MATCH(Q$1,[2]enemies!$1:$1,0)-MATCH($L$1,[2]enemies!$1:$1,0)+1,FALSE)</f>
        <v>15</v>
      </c>
      <c r="R436" s="53">
        <v>54</v>
      </c>
      <c r="S436" s="27">
        <v>1</v>
      </c>
      <c r="T436" s="27">
        <v>1</v>
      </c>
      <c r="U436" s="5">
        <v>0</v>
      </c>
      <c r="V436" s="4" t="str">
        <f ca="1">VLOOKUP($W436,OFFSET([4]enemy_skill_sets!$B$1,0,0,COUNTA([4]enemy_skill_sets!$B:$B),MATCH(M$1,[4]enemy_skill_sets!$1:$1,0)-MATCH($W$1,[4]enemy_skill_sets!$1:$1,0)+2),MATCH(M$1,[4]enemy_skill_sets!$1:$1,0)-MATCH($W$1,[4]enemy_skill_sets!$1:$1,0)+2,FALSE)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36" s="4">
        <f ca="1">VLOOKUP($L436,OFFSET([2]enemies!$A$1,0,0,COUNTA([2]enemies!$A:$A),MATCH(W$1,[2]enemies!$1:$1,0)-MATCH($L$1,[2]enemies!$1:$1,0)+1),MATCH(W$1,[2]enemies!$1:$1,0)-MATCH($L$1,[2]enemies!$1:$1,0)+1,FALSE)</f>
        <v>0</v>
      </c>
      <c r="X436" s="6">
        <v>0</v>
      </c>
      <c r="Y436" s="6">
        <v>100</v>
      </c>
      <c r="Z436" s="6">
        <v>0</v>
      </c>
      <c r="AA436" s="4">
        <f ca="1">VLOOKUP($L436,OFFSET([2]enemies!$A$1,0,0,COUNTA([2]enemies!$A:$A),MATCH(AA$1,[2]enemies!$1:$1,0)-MATCH($L$1,[2]enemies!$1:$1,0)+1),MATCH(AA$1,[2]enemies!$1:$1,0)-MATCH($L$1,[2]enemies!$1:$1,0)+1,FALSE)</f>
        <v>3</v>
      </c>
      <c r="AB436" s="52">
        <v>11</v>
      </c>
      <c r="AC436" s="4" t="str">
        <f ca="1">VLOOKUP($AB436,OFFSET([3]characters!$A$1,0,0,COUNTA([3]characters!$A:$A),MATCH(AC$1,[3]characters!$1:$1,0)-MATCH("character_id",[3]characters!$1:$1,0)+1),MATCH(AC$1,[3]characters!$1:$1,0)-MATCH("character_id",[3]characters!$1:$1,0)+1,FALSE)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436" s="4">
        <f ca="1">VLOOKUP($AB436,OFFSET([3]characters!$A$1,0,0,COUNTA([3]characters!$A:$A),MATCH(AD$1,[3]characters!$1:$1,0)-MATCH("character_id",[3]characters!$1:$1,0)+1),MATCH(AD$1,[3]characters!$1:$1,0)-MATCH("character_id",[3]characters!$1:$1,0)+1,FALSE)</f>
        <v>1</v>
      </c>
      <c r="AE436" s="4" t="str">
        <f ca="1">VLOOKUP($AB436,OFFSET([3]characters!$A$1,0,0,COUNTA([3]characters!$A:$A),MATCH(AE$1,[3]characters!$1:$1,0)-MATCH("character_id",[3]characters!$1:$1,0)+1),MATCH(AE$1,[3]characters!$1:$1,0)-MATCH("character_id",[3]characters!$1:$1,0)+1,FALSE)</f>
        <v>Drop1W</v>
      </c>
      <c r="AF436" s="7">
        <v>9</v>
      </c>
      <c r="AG436" s="26">
        <f t="shared" ca="1" si="465"/>
        <v>1</v>
      </c>
      <c r="AH436" s="8">
        <v>20</v>
      </c>
      <c r="AI436" s="7">
        <v>0</v>
      </c>
      <c r="AJ436" s="7">
        <v>0</v>
      </c>
      <c r="AK436" s="7">
        <v>0</v>
      </c>
      <c r="AL436" s="7">
        <v>0</v>
      </c>
      <c r="AM436" s="7">
        <v>1</v>
      </c>
    </row>
    <row r="437" spans="1:39" ht="14" x14ac:dyDescent="0.15">
      <c r="A437" s="18" t="str">
        <f t="shared" ca="1" si="512"/>
        <v>24_5-2/23&lt;lv54&gt;s4</v>
      </c>
      <c r="B437" s="50">
        <v>24</v>
      </c>
      <c r="C437" s="49">
        <v>5</v>
      </c>
      <c r="D437" s="2" t="str">
        <f t="shared" si="502"/>
        <v>24_5</v>
      </c>
      <c r="E437" s="2" t="str">
        <f t="shared" si="502"/>
        <v>5_24_5</v>
      </c>
      <c r="F437" s="4" t="str">
        <f ca="1">VLOOKUP($D437,OFFSET([1]stages!$A$1,0,0,COUNTA([1]stages!$A:$A),MATCH(F$1,[1]stages!$2:$2,0)-MATCH($D$1,[1]stages!$2:$2,0)+1),MATCH(F$1,[1]stages!$2:$2,0)-MATCH($D$1,[1]stages!$2:$2,0)+1,FALSE)</f>
        <v>24-5．決戦のヘヴン</v>
      </c>
      <c r="G437" s="56">
        <v>2</v>
      </c>
      <c r="H437" s="17" t="str">
        <f t="shared" si="503"/>
        <v>24_5-2</v>
      </c>
      <c r="I437" s="17"/>
      <c r="J437" s="17"/>
      <c r="K437" s="65" t="s">
        <v>56</v>
      </c>
      <c r="L437" s="52">
        <v>23</v>
      </c>
      <c r="M437" s="21" t="str">
        <f ca="1">VLOOKUP($L437,OFFSET([2]enemies!$A$1,0,0,COUNTA([2]enemies!$A:$A),MATCH(M$1,[2]enemies!$1:$1,0)-MATCH($L$1,[2]enemies!$1:$1,0)+1),MATCH(M$1,[2]enemies!$1:$1,0)-MATCH($L$1,[2]enemies!$1:$1,0)+1,FALSE)</f>
        <v>ミール</v>
      </c>
      <c r="N437" s="21" t="str">
        <f ca="1">VLOOKUP($L437,OFFSET([2]enemies!$A$1,0,0,COUNTA([2]enemies!$A:$A),MATCH(N$1,[2]enemies!$1:$1,0)-MATCH($L$1,[2]enemies!$1:$1,0)+1),MATCH(N$1,[2]enemies!$1:$1,0)-MATCH($L$1,[2]enemies!$1:$1,0)+1,FALSE)</f>
        <v>green</v>
      </c>
      <c r="O437" s="21" t="str">
        <f ca="1">VLOOKUP($L437,OFFSET([3]characters!$A$1,0,0,COUNTA([3]characters!$A:$A),MATCH(O$1,[3]characters!$1:$1,0)-MATCH($L$1,[3]characters!$1:$1,0)+1),MATCH(O$1,[3]characters!$1:$1,0)-MATCH($L$1,[3]characters!$1:$1,0)+1,FALSE)</f>
        <v>Drop1N</v>
      </c>
      <c r="P437" s="21" t="str">
        <f ca="1">VLOOKUP($L437,OFFSET([2]enemies!$A$1,0,0,COUNTA([2]enemies!$A:$A),MATCH(P$1,[2]enemies!$1:$1,0)-MATCH($L$1,[2]enemies!$1:$1,0)+1),MATCH(P$1,[2]enemies!$1:$1,0)-MATCH($L$1,[2]enemies!$1:$1,0)+1,FALSE)</f>
        <v>animal</v>
      </c>
      <c r="Q437" s="21">
        <f ca="1">VLOOKUP($L437,OFFSET([2]enemies!$A$1,0,0,COUNTA([2]enemies!$A:$A),MATCH(Q$1,[2]enemies!$1:$1,0)-MATCH($L$1,[2]enemies!$1:$1,0)+1),MATCH(Q$1,[2]enemies!$1:$1,0)-MATCH($L$1,[2]enemies!$1:$1,0)+1,FALSE)</f>
        <v>15</v>
      </c>
      <c r="R437" s="53">
        <v>54</v>
      </c>
      <c r="S437" s="27">
        <v>1</v>
      </c>
      <c r="T437" s="27">
        <v>1</v>
      </c>
      <c r="U437" s="5">
        <v>0</v>
      </c>
      <c r="V437" s="4" t="str">
        <f ca="1">VLOOKUP($W437,OFFSET([4]enemy_skill_sets!$B$1,0,0,COUNTA([4]enemy_skill_sets!$B:$B),MATCH(M$1,[4]enemy_skill_sets!$1:$1,0)-MATCH($W$1,[4]enemy_skill_sets!$1:$1,0)+2),MATCH(M$1,[4]enemy_skill_sets!$1:$1,0)-MATCH($W$1,[4]enemy_skill_sets!$1:$1,0)+2,FALSE)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37" s="4">
        <f ca="1">VLOOKUP($L437,OFFSET([2]enemies!$A$1,0,0,COUNTA([2]enemies!$A:$A),MATCH(W$1,[2]enemies!$1:$1,0)-MATCH($L$1,[2]enemies!$1:$1,0)+1),MATCH(W$1,[2]enemies!$1:$1,0)-MATCH($L$1,[2]enemies!$1:$1,0)+1,FALSE)</f>
        <v>0</v>
      </c>
      <c r="X437" s="6">
        <v>0</v>
      </c>
      <c r="Y437" s="6">
        <v>100</v>
      </c>
      <c r="Z437" s="6">
        <v>0</v>
      </c>
      <c r="AA437" s="4">
        <f ca="1">VLOOKUP($L437,OFFSET([2]enemies!$A$1,0,0,COUNTA([2]enemies!$A:$A),MATCH(AA$1,[2]enemies!$1:$1,0)-MATCH($L$1,[2]enemies!$1:$1,0)+1),MATCH(AA$1,[2]enemies!$1:$1,0)-MATCH($L$1,[2]enemies!$1:$1,0)+1,FALSE)</f>
        <v>4</v>
      </c>
      <c r="AB437" s="52">
        <v>23</v>
      </c>
      <c r="AC437" s="4" t="str">
        <f ca="1">VLOOKUP($AB437,OFFSET([3]characters!$A$1,0,0,COUNTA([3]characters!$A:$A),MATCH(AC$1,[3]characters!$1:$1,0)-MATCH("character_id",[3]characters!$1:$1,0)+1),MATCH(AC$1,[3]characters!$1:$1,0)-MATCH("character_id",[3]characters!$1:$1,0)+1,FALSE)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437" s="4">
        <f ca="1">VLOOKUP($AB437,OFFSET([3]characters!$A$1,0,0,COUNTA([3]characters!$A:$A),MATCH(AD$1,[3]characters!$1:$1,0)-MATCH("character_id",[3]characters!$1:$1,0)+1),MATCH(AD$1,[3]characters!$1:$1,0)-MATCH("character_id",[3]characters!$1:$1,0)+1,FALSE)</f>
        <v>1</v>
      </c>
      <c r="AE437" s="4" t="str">
        <f ca="1">VLOOKUP($AB437,OFFSET([3]characters!$A$1,0,0,COUNTA([3]characters!$A:$A),MATCH(AE$1,[3]characters!$1:$1,0)-MATCH("character_id",[3]characters!$1:$1,0)+1),MATCH(AE$1,[3]characters!$1:$1,0)-MATCH("character_id",[3]characters!$1:$1,0)+1,FALSE)</f>
        <v>Drop1N</v>
      </c>
      <c r="AF437" s="7">
        <v>7</v>
      </c>
      <c r="AG437" s="26">
        <f t="shared" ca="1" si="465"/>
        <v>1</v>
      </c>
      <c r="AH437" s="8">
        <v>20</v>
      </c>
      <c r="AI437" s="7">
        <v>0</v>
      </c>
      <c r="AJ437" s="7">
        <v>0</v>
      </c>
      <c r="AK437" s="7">
        <v>0</v>
      </c>
      <c r="AL437" s="7">
        <v>0</v>
      </c>
      <c r="AM437" s="7">
        <v>1</v>
      </c>
    </row>
    <row r="438" spans="1:39" ht="14" x14ac:dyDescent="0.15">
      <c r="A438" s="18" t="str">
        <f t="shared" ca="1" si="512"/>
        <v>24_5-2/59&lt;lv54&gt;s2</v>
      </c>
      <c r="B438" s="50">
        <v>24</v>
      </c>
      <c r="C438" s="49">
        <v>5</v>
      </c>
      <c r="D438" s="2" t="str">
        <f t="shared" si="502"/>
        <v>24_5</v>
      </c>
      <c r="E438" s="2" t="str">
        <f t="shared" si="502"/>
        <v>5_24_5</v>
      </c>
      <c r="F438" s="4" t="str">
        <f ca="1">VLOOKUP($D438,OFFSET([1]stages!$A$1,0,0,COUNTA([1]stages!$A:$A),MATCH(F$1,[1]stages!$2:$2,0)-MATCH($D$1,[1]stages!$2:$2,0)+1),MATCH(F$1,[1]stages!$2:$2,0)-MATCH($D$1,[1]stages!$2:$2,0)+1,FALSE)</f>
        <v>24-5．決戦のヘヴン</v>
      </c>
      <c r="G438" s="56">
        <v>2</v>
      </c>
      <c r="H438" s="17" t="str">
        <f t="shared" si="503"/>
        <v>24_5-2</v>
      </c>
      <c r="I438" s="17"/>
      <c r="J438" s="17"/>
      <c r="K438" s="65" t="s">
        <v>56</v>
      </c>
      <c r="L438" s="52">
        <v>59</v>
      </c>
      <c r="M438" s="21" t="str">
        <f ca="1">VLOOKUP($L438,OFFSET([2]enemies!$A$1,0,0,COUNTA([2]enemies!$A:$A),MATCH(M$1,[2]enemies!$1:$1,0)-MATCH($L$1,[2]enemies!$1:$1,0)+1),MATCH(M$1,[2]enemies!$1:$1,0)-MATCH($L$1,[2]enemies!$1:$1,0)+1,FALSE)</f>
        <v>マーチ</v>
      </c>
      <c r="N438" s="21" t="str">
        <f ca="1">VLOOKUP($L438,OFFSET([2]enemies!$A$1,0,0,COUNTA([2]enemies!$A:$A),MATCH(N$1,[2]enemies!$1:$1,0)-MATCH($L$1,[2]enemies!$1:$1,0)+1),MATCH(N$1,[2]enemies!$1:$1,0)-MATCH($L$1,[2]enemies!$1:$1,0)+1,FALSE)</f>
        <v>green</v>
      </c>
      <c r="O438" s="21" t="str">
        <f ca="1">VLOOKUP($L438,OFFSET([3]characters!$A$1,0,0,COUNTA([3]characters!$A:$A),MATCH(O$1,[3]characters!$1:$1,0)-MATCH($L$1,[3]characters!$1:$1,0)+1),MATCH(O$1,[3]characters!$1:$1,0)-MATCH($L$1,[3]characters!$1:$1,0)+1,FALSE)</f>
        <v>Drop1N</v>
      </c>
      <c r="P438" s="21" t="str">
        <f ca="1">VLOOKUP($L438,OFFSET([2]enemies!$A$1,0,0,COUNTA([2]enemies!$A:$A),MATCH(P$1,[2]enemies!$1:$1,0)-MATCH($L$1,[2]enemies!$1:$1,0)+1),MATCH(P$1,[2]enemies!$1:$1,0)-MATCH($L$1,[2]enemies!$1:$1,0)+1,FALSE)</f>
        <v>animal</v>
      </c>
      <c r="Q438" s="21">
        <f ca="1">VLOOKUP($L438,OFFSET([2]enemies!$A$1,0,0,COUNTA([2]enemies!$A:$A),MATCH(Q$1,[2]enemies!$1:$1,0)-MATCH($L$1,[2]enemies!$1:$1,0)+1),MATCH(Q$1,[2]enemies!$1:$1,0)-MATCH($L$1,[2]enemies!$1:$1,0)+1,FALSE)</f>
        <v>15</v>
      </c>
      <c r="R438" s="53">
        <v>54</v>
      </c>
      <c r="S438" s="27">
        <v>1</v>
      </c>
      <c r="T438" s="27">
        <v>1</v>
      </c>
      <c r="U438" s="5">
        <v>0</v>
      </c>
      <c r="V438" s="4" t="str">
        <f ca="1">VLOOKUP($W438,OFFSET([4]enemy_skill_sets!$B$1,0,0,COUNTA([4]enemy_skill_sets!$B:$B),MATCH(M$1,[4]enemy_skill_sets!$1:$1,0)-MATCH($W$1,[4]enemy_skill_sets!$1:$1,0)+2),MATCH(M$1,[4]enemy_skill_sets!$1:$1,0)-MATCH($W$1,[4]enemy_skill_sets!$1:$1,0)+2,FALSE)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38" s="4">
        <f ca="1">VLOOKUP($L438,OFFSET([2]enemies!$A$1,0,0,COUNTA([2]enemies!$A:$A),MATCH(W$1,[2]enemies!$1:$1,0)-MATCH($L$1,[2]enemies!$1:$1,0)+1),MATCH(W$1,[2]enemies!$1:$1,0)-MATCH($L$1,[2]enemies!$1:$1,0)+1,FALSE)</f>
        <v>59</v>
      </c>
      <c r="X438" s="6">
        <v>0</v>
      </c>
      <c r="Y438" s="6">
        <v>100</v>
      </c>
      <c r="Z438" s="6">
        <v>0</v>
      </c>
      <c r="AA438" s="4">
        <f ca="1">VLOOKUP($L438,OFFSET([2]enemies!$A$1,0,0,COUNTA([2]enemies!$A:$A),MATCH(AA$1,[2]enemies!$1:$1,0)-MATCH($L$1,[2]enemies!$1:$1,0)+1),MATCH(AA$1,[2]enemies!$1:$1,0)-MATCH($L$1,[2]enemies!$1:$1,0)+1,FALSE)</f>
        <v>2</v>
      </c>
      <c r="AB438" s="52">
        <v>59</v>
      </c>
      <c r="AC438" s="4" t="str">
        <f ca="1">VLOOKUP($AB438,OFFSET([3]characters!$A$1,0,0,COUNTA([3]characters!$A:$A),MATCH(AC$1,[3]characters!$1:$1,0)-MATCH("character_id",[3]characters!$1:$1,0)+1),MATCH(AC$1,[3]characters!$1:$1,0)-MATCH("character_id",[3]characters!$1:$1,0)+1,FALSE)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438" s="4">
        <f ca="1">VLOOKUP($AB438,OFFSET([3]characters!$A$1,0,0,COUNTA([3]characters!$A:$A),MATCH(AD$1,[3]characters!$1:$1,0)-MATCH("character_id",[3]characters!$1:$1,0)+1),MATCH(AD$1,[3]characters!$1:$1,0)-MATCH("character_id",[3]characters!$1:$1,0)+1,FALSE)</f>
        <v>2</v>
      </c>
      <c r="AE438" s="4" t="str">
        <f ca="1">VLOOKUP($AB438,OFFSET([3]characters!$A$1,0,0,COUNTA([3]characters!$A:$A),MATCH(AE$1,[3]characters!$1:$1,0)-MATCH("character_id",[3]characters!$1:$1,0)+1),MATCH(AE$1,[3]characters!$1:$1,0)-MATCH("character_id",[3]characters!$1:$1,0)+1,FALSE)</f>
        <v>Drop1N</v>
      </c>
      <c r="AF438" s="7">
        <v>7</v>
      </c>
      <c r="AG438" s="26">
        <f t="shared" ca="1" si="465"/>
        <v>2</v>
      </c>
      <c r="AH438" s="8">
        <v>20</v>
      </c>
      <c r="AI438" s="7">
        <v>0</v>
      </c>
      <c r="AJ438" s="7">
        <v>0</v>
      </c>
      <c r="AK438" s="7">
        <v>0</v>
      </c>
      <c r="AL438" s="7">
        <v>0</v>
      </c>
      <c r="AM438" s="7">
        <v>1</v>
      </c>
    </row>
    <row r="439" spans="1:39" ht="14" x14ac:dyDescent="0.15">
      <c r="A439" s="18" t="str">
        <f t="shared" ca="1" si="512"/>
        <v>24_5-2/27&lt;lv54&gt;s1</v>
      </c>
      <c r="B439" s="50">
        <v>24</v>
      </c>
      <c r="C439" s="49">
        <v>5</v>
      </c>
      <c r="D439" s="2" t="str">
        <f t="shared" si="502"/>
        <v>24_5</v>
      </c>
      <c r="E439" s="2" t="str">
        <f t="shared" si="502"/>
        <v>5_24_5</v>
      </c>
      <c r="F439" s="4" t="str">
        <f ca="1">VLOOKUP($D439,OFFSET([1]stages!$A$1,0,0,COUNTA([1]stages!$A:$A),MATCH(F$1,[1]stages!$2:$2,0)-MATCH($D$1,[1]stages!$2:$2,0)+1),MATCH(F$1,[1]stages!$2:$2,0)-MATCH($D$1,[1]stages!$2:$2,0)+1,FALSE)</f>
        <v>24-5．決戦のヘヴン</v>
      </c>
      <c r="G439" s="56">
        <v>2</v>
      </c>
      <c r="H439" s="17" t="str">
        <f t="shared" si="503"/>
        <v>24_5-2</v>
      </c>
      <c r="I439" s="17"/>
      <c r="J439" s="17"/>
      <c r="K439" s="65" t="s">
        <v>56</v>
      </c>
      <c r="L439" s="52">
        <v>27</v>
      </c>
      <c r="M439" s="21" t="str">
        <f ca="1">VLOOKUP($L439,OFFSET([2]enemies!$A$1,0,0,COUNTA([2]enemies!$A:$A),MATCH(M$1,[2]enemies!$1:$1,0)-MATCH($L$1,[2]enemies!$1:$1,0)+1),MATCH(M$1,[2]enemies!$1:$1,0)-MATCH($L$1,[2]enemies!$1:$1,0)+1,FALSE)</f>
        <v>パトライン</v>
      </c>
      <c r="N439" s="21" t="str">
        <f ca="1">VLOOKUP($L439,OFFSET([2]enemies!$A$1,0,0,COUNTA([2]enemies!$A:$A),MATCH(N$1,[2]enemies!$1:$1,0)-MATCH($L$1,[2]enemies!$1:$1,0)+1),MATCH(N$1,[2]enemies!$1:$1,0)-MATCH($L$1,[2]enemies!$1:$1,0)+1,FALSE)</f>
        <v>green</v>
      </c>
      <c r="O439" s="21" t="str">
        <f ca="1">VLOOKUP($L439,OFFSET([3]characters!$A$1,0,0,COUNTA([3]characters!$A:$A),MATCH(O$1,[3]characters!$1:$1,0)-MATCH($L$1,[3]characters!$1:$1,0)+1),MATCH(O$1,[3]characters!$1:$1,0)-MATCH($L$1,[3]characters!$1:$1,0)+1,FALSE)</f>
        <v>Drop1N</v>
      </c>
      <c r="P439" s="21" t="str">
        <f ca="1">VLOOKUP($L439,OFFSET([2]enemies!$A$1,0,0,COUNTA([2]enemies!$A:$A),MATCH(P$1,[2]enemies!$1:$1,0)-MATCH($L$1,[2]enemies!$1:$1,0)+1),MATCH(P$1,[2]enemies!$1:$1,0)-MATCH($L$1,[2]enemies!$1:$1,0)+1,FALSE)</f>
        <v>machine</v>
      </c>
      <c r="Q439" s="21">
        <f ca="1">VLOOKUP($L439,OFFSET([2]enemies!$A$1,0,0,COUNTA([2]enemies!$A:$A),MATCH(Q$1,[2]enemies!$1:$1,0)-MATCH($L$1,[2]enemies!$1:$1,0)+1),MATCH(Q$1,[2]enemies!$1:$1,0)-MATCH($L$1,[2]enemies!$1:$1,0)+1,FALSE)</f>
        <v>15</v>
      </c>
      <c r="R439" s="53">
        <v>54</v>
      </c>
      <c r="S439" s="27">
        <v>1</v>
      </c>
      <c r="T439" s="27">
        <v>1</v>
      </c>
      <c r="U439" s="5">
        <v>0</v>
      </c>
      <c r="V439" s="4" t="str">
        <f ca="1">VLOOKUP($W439,OFFSET([4]enemy_skill_sets!$B$1,0,0,COUNTA([4]enemy_skill_sets!$B:$B),MATCH(M$1,[4]enemy_skill_sets!$1:$1,0)-MATCH($W$1,[4]enemy_skill_sets!$1:$1,0)+2),MATCH(M$1,[4]enemy_skill_sets!$1:$1,0)-MATCH($W$1,[4]enemy_skill_sets!$1:$1,0)+2,FALSE)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39" s="4">
        <f ca="1">VLOOKUP($L439,OFFSET([2]enemies!$A$1,0,0,COUNTA([2]enemies!$A:$A),MATCH(W$1,[2]enemies!$1:$1,0)-MATCH($L$1,[2]enemies!$1:$1,0)+1),MATCH(W$1,[2]enemies!$1:$1,0)-MATCH($L$1,[2]enemies!$1:$1,0)+1,FALSE)</f>
        <v>0</v>
      </c>
      <c r="X439" s="6">
        <v>0</v>
      </c>
      <c r="Y439" s="6">
        <v>100</v>
      </c>
      <c r="Z439" s="6">
        <v>0</v>
      </c>
      <c r="AA439" s="4">
        <f ca="1">VLOOKUP($L439,OFFSET([2]enemies!$A$1,0,0,COUNTA([2]enemies!$A:$A),MATCH(AA$1,[2]enemies!$1:$1,0)-MATCH($L$1,[2]enemies!$1:$1,0)+1),MATCH(AA$1,[2]enemies!$1:$1,0)-MATCH($L$1,[2]enemies!$1:$1,0)+1,FALSE)</f>
        <v>1</v>
      </c>
      <c r="AB439" s="52">
        <v>27</v>
      </c>
      <c r="AC439" s="4" t="str">
        <f ca="1">VLOOKUP($AB439,OFFSET([3]characters!$A$1,0,0,COUNTA([3]characters!$A:$A),MATCH(AC$1,[3]characters!$1:$1,0)-MATCH("character_id",[3]characters!$1:$1,0)+1),MATCH(AC$1,[3]characters!$1:$1,0)-MATCH("character_id",[3]characters!$1:$1,0)+1,FALSE)</f>
        <v>パトライン</v>
      </c>
      <c r="AD439" s="4">
        <f ca="1">VLOOKUP($AB439,OFFSET([3]characters!$A$1,0,0,COUNTA([3]characters!$A:$A),MATCH(AD$1,[3]characters!$1:$1,0)-MATCH("character_id",[3]characters!$1:$1,0)+1),MATCH(AD$1,[3]characters!$1:$1,0)-MATCH("character_id",[3]characters!$1:$1,0)+1,FALSE)</f>
        <v>1</v>
      </c>
      <c r="AE439" s="4" t="str">
        <f ca="1">VLOOKUP($AB439,OFFSET([3]characters!$A$1,0,0,COUNTA([3]characters!$A:$A),MATCH(AE$1,[3]characters!$1:$1,0)-MATCH("character_id",[3]characters!$1:$1,0)+1),MATCH(AE$1,[3]characters!$1:$1,0)-MATCH("character_id",[3]characters!$1:$1,0)+1,FALSE)</f>
        <v>Drop1N</v>
      </c>
      <c r="AF439" s="7">
        <v>7</v>
      </c>
      <c r="AG439" s="26">
        <f t="shared" ca="1" si="465"/>
        <v>1</v>
      </c>
      <c r="AH439" s="8">
        <v>20</v>
      </c>
      <c r="AI439" s="7">
        <v>0</v>
      </c>
      <c r="AJ439" s="7">
        <v>0</v>
      </c>
      <c r="AK439" s="7">
        <v>0</v>
      </c>
      <c r="AL439" s="7">
        <v>0</v>
      </c>
      <c r="AM439" s="7">
        <v>1</v>
      </c>
    </row>
    <row r="440" spans="1:39" ht="14" x14ac:dyDescent="0.15">
      <c r="A440" s="18" t="str">
        <f t="shared" ca="1" si="512"/>
        <v>24_5-2/35&lt;lv54&gt;s4</v>
      </c>
      <c r="B440" s="50">
        <v>24</v>
      </c>
      <c r="C440" s="49">
        <v>5</v>
      </c>
      <c r="D440" s="2" t="str">
        <f t="shared" si="502"/>
        <v>24_5</v>
      </c>
      <c r="E440" s="2" t="str">
        <f t="shared" si="502"/>
        <v>5_24_5</v>
      </c>
      <c r="F440" s="4" t="str">
        <f ca="1">VLOOKUP($D440,OFFSET([1]stages!$A$1,0,0,COUNTA([1]stages!$A:$A),MATCH(F$1,[1]stages!$2:$2,0)-MATCH($D$1,[1]stages!$2:$2,0)+1),MATCH(F$1,[1]stages!$2:$2,0)-MATCH($D$1,[1]stages!$2:$2,0)+1,FALSE)</f>
        <v>24-5．決戦のヘヴン</v>
      </c>
      <c r="G440" s="56">
        <v>2</v>
      </c>
      <c r="H440" s="17" t="str">
        <f t="shared" si="503"/>
        <v>24_5-2</v>
      </c>
      <c r="I440" s="17"/>
      <c r="J440" s="17"/>
      <c r="K440" s="65" t="s">
        <v>56</v>
      </c>
      <c r="L440" s="52">
        <v>35</v>
      </c>
      <c r="M440" s="21" t="str">
        <f ca="1">VLOOKUP($L440,OFFSET([2]enemies!$A$1,0,0,COUNTA([2]enemies!$A:$A),MATCH(M$1,[2]enemies!$1:$1,0)-MATCH($L$1,[2]enemies!$1:$1,0)+1),MATCH(M$1,[2]enemies!$1:$1,0)-MATCH($L$1,[2]enemies!$1:$1,0)+1,FALSE)</f>
        <v>F2</v>
      </c>
      <c r="N440" s="21" t="str">
        <f ca="1">VLOOKUP($L440,OFFSET([2]enemies!$A$1,0,0,COUNTA([2]enemies!$A:$A),MATCH(N$1,[2]enemies!$1:$1,0)-MATCH($L$1,[2]enemies!$1:$1,0)+1),MATCH(N$1,[2]enemies!$1:$1,0)-MATCH($L$1,[2]enemies!$1:$1,0)+1,FALSE)</f>
        <v>green</v>
      </c>
      <c r="O440" s="21" t="str">
        <f ca="1">VLOOKUP($L440,OFFSET([3]characters!$A$1,0,0,COUNTA([3]characters!$A:$A),MATCH(O$1,[3]characters!$1:$1,0)-MATCH($L$1,[3]characters!$1:$1,0)+1),MATCH(O$1,[3]characters!$1:$1,0)-MATCH($L$1,[3]characters!$1:$1,0)+1,FALSE)</f>
        <v>Drop1S</v>
      </c>
      <c r="P440" s="21" t="str">
        <f ca="1">VLOOKUP($L440,OFFSET([2]enemies!$A$1,0,0,COUNTA([2]enemies!$A:$A),MATCH(P$1,[2]enemies!$1:$1,0)-MATCH($L$1,[2]enemies!$1:$1,0)+1),MATCH(P$1,[2]enemies!$1:$1,0)-MATCH($L$1,[2]enemies!$1:$1,0)+1,FALSE)</f>
        <v>machine</v>
      </c>
      <c r="Q440" s="21">
        <f ca="1">VLOOKUP($L440,OFFSET([2]enemies!$A$1,0,0,COUNTA([2]enemies!$A:$A),MATCH(Q$1,[2]enemies!$1:$1,0)-MATCH($L$1,[2]enemies!$1:$1,0)+1),MATCH(Q$1,[2]enemies!$1:$1,0)-MATCH($L$1,[2]enemies!$1:$1,0)+1,FALSE)</f>
        <v>15</v>
      </c>
      <c r="R440" s="53">
        <v>54</v>
      </c>
      <c r="S440" s="27">
        <v>1</v>
      </c>
      <c r="T440" s="27">
        <v>1</v>
      </c>
      <c r="U440" s="5">
        <v>0</v>
      </c>
      <c r="V440" s="4" t="str">
        <f ca="1">VLOOKUP($W440,OFFSET([4]enemy_skill_sets!$B$1,0,0,COUNTA([4]enemy_skill_sets!$B:$B),MATCH(M$1,[4]enemy_skill_sets!$1:$1,0)-MATCH($W$1,[4]enemy_skill_sets!$1:$1,0)+2),MATCH(M$1,[4]enemy_skill_sets!$1:$1,0)-MATCH($W$1,[4]enemy_skill_sets!$1:$1,0)+2,FALSE)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40" s="4">
        <f ca="1">VLOOKUP($L440,OFFSET([2]enemies!$A$1,0,0,COUNTA([2]enemies!$A:$A),MATCH(W$1,[2]enemies!$1:$1,0)-MATCH($L$1,[2]enemies!$1:$1,0)+1),MATCH(W$1,[2]enemies!$1:$1,0)-MATCH($L$1,[2]enemies!$1:$1,0)+1,FALSE)</f>
        <v>35</v>
      </c>
      <c r="X440" s="6">
        <v>0</v>
      </c>
      <c r="Y440" s="6">
        <v>100</v>
      </c>
      <c r="Z440" s="6">
        <v>0</v>
      </c>
      <c r="AA440" s="4">
        <f ca="1">VLOOKUP($L440,OFFSET([2]enemies!$A$1,0,0,COUNTA([2]enemies!$A:$A),MATCH(AA$1,[2]enemies!$1:$1,0)-MATCH($L$1,[2]enemies!$1:$1,0)+1),MATCH(AA$1,[2]enemies!$1:$1,0)-MATCH($L$1,[2]enemies!$1:$1,0)+1,FALSE)</f>
        <v>4</v>
      </c>
      <c r="AB440" s="52">
        <v>35</v>
      </c>
      <c r="AC440" s="4" t="str">
        <f ca="1">VLOOKUP($AB440,OFFSET([3]characters!$A$1,0,0,COUNTA([3]characters!$A:$A),MATCH(AC$1,[3]characters!$1:$1,0)-MATCH("character_id",[3]characters!$1:$1,0)+1),MATCH(AC$1,[3]characters!$1:$1,0)-MATCH("character_id",[3]characters!$1:$1,0)+1,FALSE)</f>
        <v>F2</v>
      </c>
      <c r="AD440" s="4">
        <f ca="1">VLOOKUP($AB440,OFFSET([3]characters!$A$1,0,0,COUNTA([3]characters!$A:$A),MATCH(AD$1,[3]characters!$1:$1,0)-MATCH("character_id",[3]characters!$1:$1,0)+1),MATCH(AD$1,[3]characters!$1:$1,0)-MATCH("character_id",[3]characters!$1:$1,0)+1,FALSE)</f>
        <v>2</v>
      </c>
      <c r="AE440" s="4" t="str">
        <f ca="1">VLOOKUP($AB440,OFFSET([3]characters!$A$1,0,0,COUNTA([3]characters!$A:$A),MATCH(AE$1,[3]characters!$1:$1,0)-MATCH("character_id",[3]characters!$1:$1,0)+1),MATCH(AE$1,[3]characters!$1:$1,0)-MATCH("character_id",[3]characters!$1:$1,0)+1,FALSE)</f>
        <v>Drop1S</v>
      </c>
      <c r="AF440" s="7">
        <v>5</v>
      </c>
      <c r="AG440" s="26">
        <f t="shared" ca="1" si="465"/>
        <v>2</v>
      </c>
      <c r="AH440" s="8">
        <v>20</v>
      </c>
      <c r="AI440" s="7">
        <v>0</v>
      </c>
      <c r="AJ440" s="7">
        <v>0</v>
      </c>
      <c r="AK440" s="7">
        <v>0</v>
      </c>
      <c r="AL440" s="7">
        <v>0</v>
      </c>
      <c r="AM440" s="7">
        <v>1</v>
      </c>
    </row>
    <row r="441" spans="1:39" ht="14" x14ac:dyDescent="0.15">
      <c r="A441" s="18" t="str">
        <f t="shared" ca="1" si="512"/>
        <v>24_5-2/362&lt;lv54&gt;s3</v>
      </c>
      <c r="B441" s="53">
        <v>24</v>
      </c>
      <c r="C441" s="51">
        <v>5</v>
      </c>
      <c r="D441" s="2" t="str">
        <f t="shared" ref="D441" si="521">B441&amp;"_"&amp;C441</f>
        <v>24_5</v>
      </c>
      <c r="E441" s="2" t="str">
        <f t="shared" ref="E441" si="522">C441&amp;"_"&amp;D441</f>
        <v>5_24_5</v>
      </c>
      <c r="F441" s="4" t="str">
        <f ca="1">VLOOKUP($D441,OFFSET([1]stages!$A$1,0,0,COUNTA([1]stages!$A:$A),MATCH(F$1,[1]stages!$2:$2,0)-MATCH($D$1,[1]stages!$2:$2,0)+1),MATCH(F$1,[1]stages!$2:$2,0)-MATCH($D$1,[1]stages!$2:$2,0)+1,FALSE)</f>
        <v>24-5．決戦のヘヴン</v>
      </c>
      <c r="G441" s="56">
        <v>2</v>
      </c>
      <c r="H441" s="17" t="str">
        <f t="shared" ref="H441" si="523">B441&amp;"_"&amp;C441&amp;"-"&amp;G441</f>
        <v>24_5-2</v>
      </c>
      <c r="I441" s="17"/>
      <c r="J441" s="17"/>
      <c r="K441" s="65" t="s">
        <v>56</v>
      </c>
      <c r="L441" s="52">
        <v>362</v>
      </c>
      <c r="M441" s="21" t="str">
        <f ca="1">VLOOKUP($L441,OFFSET([2]enemies!$A$1,0,0,COUNTA([2]enemies!$A:$A),MATCH(M$1,[2]enemies!$1:$1,0)-MATCH($L$1,[2]enemies!$1:$1,0)+1),MATCH(M$1,[2]enemies!$1:$1,0)-MATCH($L$1,[2]enemies!$1:$1,0)+1,FALSE)</f>
        <v>ゆらら</v>
      </c>
      <c r="N441" s="21" t="str">
        <f ca="1">VLOOKUP($L441,OFFSET([2]enemies!$A$1,0,0,COUNTA([2]enemies!$A:$A),MATCH(N$1,[2]enemies!$1:$1,0)-MATCH($L$1,[2]enemies!$1:$1,0)+1),MATCH(N$1,[2]enemies!$1:$1,0)-MATCH($L$1,[2]enemies!$1:$1,0)+1,FALSE)</f>
        <v>green</v>
      </c>
      <c r="O441" s="21" t="str">
        <f ca="1">VLOOKUP($L441,OFFSET([3]characters!$A$1,0,0,COUNTA([3]characters!$A:$A),MATCH(O$1,[3]characters!$1:$1,0)-MATCH($L$1,[3]characters!$1:$1,0)+1),MATCH(O$1,[3]characters!$1:$1,0)-MATCH($L$1,[3]characters!$1:$1,0)+1,FALSE)</f>
        <v>Drop1S</v>
      </c>
      <c r="P441" s="21" t="str">
        <f ca="1">VLOOKUP($L441,OFFSET([2]enemies!$A$1,0,0,COUNTA([2]enemies!$A:$A),MATCH(P$1,[2]enemies!$1:$1,0)-MATCH($L$1,[2]enemies!$1:$1,0)+1),MATCH(P$1,[2]enemies!$1:$1,0)-MATCH($L$1,[2]enemies!$1:$1,0)+1,FALSE)</f>
        <v>animal</v>
      </c>
      <c r="Q441" s="21">
        <f ca="1">VLOOKUP($L441,OFFSET([2]enemies!$A$1,0,0,COUNTA([2]enemies!$A:$A),MATCH(Q$1,[2]enemies!$1:$1,0)-MATCH($L$1,[2]enemies!$1:$1,0)+1),MATCH(Q$1,[2]enemies!$1:$1,0)-MATCH($L$1,[2]enemies!$1:$1,0)+1,FALSE)</f>
        <v>15</v>
      </c>
      <c r="R441" s="53">
        <v>54</v>
      </c>
      <c r="S441" s="27">
        <v>1</v>
      </c>
      <c r="T441" s="27">
        <v>1</v>
      </c>
      <c r="U441" s="5">
        <v>0</v>
      </c>
      <c r="V441" s="4" t="str">
        <f ca="1">VLOOKUP($W441,OFFSET([4]enemy_skill_sets!$B$1,0,0,COUNTA([4]enemy_skill_sets!$B:$B),MATCH(M$1,[4]enemy_skill_sets!$1:$1,0)-MATCH($W$1,[4]enemy_skill_sets!$1:$1,0)+2),MATCH(M$1,[4]enemy_skill_sets!$1:$1,0)-MATCH($W$1,[4]enemy_skill_sets!$1:$1,0)+2,FALSE)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441" s="64">
        <v>362</v>
      </c>
      <c r="X441" s="6">
        <v>0</v>
      </c>
      <c r="Y441" s="6">
        <v>100</v>
      </c>
      <c r="Z441" s="6">
        <v>0</v>
      </c>
      <c r="AA441" s="4">
        <f ca="1">VLOOKUP($L441,OFFSET([2]enemies!$A$1,0,0,COUNTA([2]enemies!$A:$A),MATCH(AA$1,[2]enemies!$1:$1,0)-MATCH($L$1,[2]enemies!$1:$1,0)+1),MATCH(AA$1,[2]enemies!$1:$1,0)-MATCH($L$1,[2]enemies!$1:$1,0)+1,FALSE)</f>
        <v>3</v>
      </c>
      <c r="AB441" s="52">
        <v>362</v>
      </c>
      <c r="AC441" s="4" t="str">
        <f ca="1">VLOOKUP($AB441,OFFSET([3]characters!$A$1,0,0,COUNTA([3]characters!$A:$A),MATCH(AC$1,[3]characters!$1:$1,0)-MATCH("character_id",[3]characters!$1:$1,0)+1),MATCH(AC$1,[3]characters!$1:$1,0)-MATCH("character_id",[3]characters!$1:$1,0)+1,FALSE)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441" s="4">
        <f ca="1">VLOOKUP($AB441,OFFSET([3]characters!$A$1,0,0,COUNTA([3]characters!$A:$A),MATCH(AD$1,[3]characters!$1:$1,0)-MATCH("character_id",[3]characters!$1:$1,0)+1),MATCH(AD$1,[3]characters!$1:$1,0)-MATCH("character_id",[3]characters!$1:$1,0)+1,FALSE)</f>
        <v>2</v>
      </c>
      <c r="AE441" s="4" t="str">
        <f ca="1">VLOOKUP($AB441,OFFSET([3]characters!$A$1,0,0,COUNTA([3]characters!$A:$A),MATCH(AE$1,[3]characters!$1:$1,0)-MATCH("character_id",[3]characters!$1:$1,0)+1),MATCH(AE$1,[3]characters!$1:$1,0)-MATCH("character_id",[3]characters!$1:$1,0)+1,FALSE)</f>
        <v>Drop1S</v>
      </c>
      <c r="AF441" s="7">
        <v>5</v>
      </c>
      <c r="AG441" s="26">
        <f t="shared" ca="1" si="465"/>
        <v>2</v>
      </c>
      <c r="AH441" s="8">
        <v>20</v>
      </c>
      <c r="AI441" s="7">
        <v>0</v>
      </c>
      <c r="AJ441" s="7">
        <v>0</v>
      </c>
      <c r="AK441" s="7">
        <v>0</v>
      </c>
      <c r="AL441" s="7">
        <v>0</v>
      </c>
      <c r="AM441" s="7">
        <v>1</v>
      </c>
    </row>
    <row r="442" spans="1:39" ht="14" x14ac:dyDescent="0.15">
      <c r="A442" s="18" t="str">
        <f t="shared" ca="1" si="512"/>
        <v>24_5-2/354&lt;lv54&gt;s3</v>
      </c>
      <c r="B442" s="53">
        <v>24</v>
      </c>
      <c r="C442" s="51">
        <v>5</v>
      </c>
      <c r="D442" s="2" t="str">
        <f t="shared" ref="D442" si="524">B442&amp;"_"&amp;C442</f>
        <v>24_5</v>
      </c>
      <c r="E442" s="2" t="str">
        <f t="shared" ref="E442" si="525">C442&amp;"_"&amp;D442</f>
        <v>5_24_5</v>
      </c>
      <c r="F442" s="4" t="str">
        <f ca="1">VLOOKUP($D442,OFFSET([1]stages!$A$1,0,0,COUNTA([1]stages!$A:$A),MATCH(F$1,[1]stages!$2:$2,0)-MATCH($D$1,[1]stages!$2:$2,0)+1),MATCH(F$1,[1]stages!$2:$2,0)-MATCH($D$1,[1]stages!$2:$2,0)+1,FALSE)</f>
        <v>24-5．決戦のヘヴン</v>
      </c>
      <c r="G442" s="56">
        <v>2</v>
      </c>
      <c r="H442" s="17" t="str">
        <f t="shared" ref="H442" si="526">B442&amp;"_"&amp;C442&amp;"-"&amp;G442</f>
        <v>24_5-2</v>
      </c>
      <c r="I442" s="17"/>
      <c r="J442" s="17"/>
      <c r="K442" s="65" t="s">
        <v>56</v>
      </c>
      <c r="L442" s="52">
        <v>354</v>
      </c>
      <c r="M442" s="21" t="str">
        <f ca="1">VLOOKUP($L442,OFFSET([2]enemies!$A$1,0,0,COUNTA([2]enemies!$A:$A),MATCH(M$1,[2]enemies!$1:$1,0)-MATCH($L$1,[2]enemies!$1:$1,0)+1),MATCH(M$1,[2]enemies!$1:$1,0)-MATCH($L$1,[2]enemies!$1:$1,0)+1,FALSE)</f>
        <v>雷のケロケロ</v>
      </c>
      <c r="N442" s="21" t="str">
        <f ca="1">VLOOKUP($L442,OFFSET([2]enemies!$A$1,0,0,COUNTA([2]enemies!$A:$A),MATCH(N$1,[2]enemies!$1:$1,0)-MATCH($L$1,[2]enemies!$1:$1,0)+1),MATCH(N$1,[2]enemies!$1:$1,0)-MATCH($L$1,[2]enemies!$1:$1,0)+1,FALSE)</f>
        <v>yellow</v>
      </c>
      <c r="O442" s="21" t="str">
        <f ca="1">VLOOKUP($L442,OFFSET([3]characters!$A$1,0,0,COUNTA([3]characters!$A:$A),MATCH(O$1,[3]characters!$1:$1,0)-MATCH($L$1,[3]characters!$1:$1,0)+1),MATCH(O$1,[3]characters!$1:$1,0)-MATCH($L$1,[3]characters!$1:$1,0)+1,FALSE)</f>
        <v>Material</v>
      </c>
      <c r="P442" s="21" t="str">
        <f ca="1">VLOOKUP($L442,OFFSET([2]enemies!$A$1,0,0,COUNTA([2]enemies!$A:$A),MATCH(P$1,[2]enemies!$1:$1,0)-MATCH($L$1,[2]enemies!$1:$1,0)+1),MATCH(P$1,[2]enemies!$1:$1,0)-MATCH($L$1,[2]enemies!$1:$1,0)+1,FALSE)</f>
        <v>unknown</v>
      </c>
      <c r="Q442" s="21">
        <f ca="1">VLOOKUP($L442,OFFSET([2]enemies!$A$1,0,0,COUNTA([2]enemies!$A:$A),MATCH(Q$1,[2]enemies!$1:$1,0)-MATCH($L$1,[2]enemies!$1:$1,0)+1),MATCH(Q$1,[2]enemies!$1:$1,0)-MATCH($L$1,[2]enemies!$1:$1,0)+1,FALSE)</f>
        <v>15</v>
      </c>
      <c r="R442" s="53">
        <v>54</v>
      </c>
      <c r="S442" s="27">
        <v>1</v>
      </c>
      <c r="T442" s="27">
        <v>1</v>
      </c>
      <c r="U442" s="5">
        <v>0</v>
      </c>
      <c r="V442" s="4" t="str">
        <f ca="1">VLOOKUP($W442,OFFSET([4]enemy_skill_sets!$B$1,0,0,COUNTA([4]enemy_skill_sets!$B:$B),MATCH(M$1,[4]enemy_skill_sets!$1:$1,0)-MATCH($W$1,[4]enemy_skill_sets!$1:$1,0)+2),MATCH(M$1,[4]enemy_skill_sets!$1:$1,0)-MATCH($W$1,[4]enemy_skill_sets!$1:$1,0)+2,FALSE)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442" s="64">
        <v>354</v>
      </c>
      <c r="X442" s="6">
        <v>0</v>
      </c>
      <c r="Y442" s="6">
        <v>100</v>
      </c>
      <c r="Z442" s="6">
        <v>0</v>
      </c>
      <c r="AA442" s="4">
        <f ca="1">VLOOKUP($L442,OFFSET([2]enemies!$A$1,0,0,COUNTA([2]enemies!$A:$A),MATCH(AA$1,[2]enemies!$1:$1,0)-MATCH($L$1,[2]enemies!$1:$1,0)+1),MATCH(AA$1,[2]enemies!$1:$1,0)-MATCH($L$1,[2]enemies!$1:$1,0)+1,FALSE)</f>
        <v>3</v>
      </c>
      <c r="AB442" s="52">
        <v>354</v>
      </c>
      <c r="AC442" s="4" t="str">
        <f ca="1">VLOOKUP($AB442,OFFSET([3]characters!$A$1,0,0,COUNTA([3]characters!$A:$A),MATCH(AC$1,[3]characters!$1:$1,0)-MATCH("character_id",[3]characters!$1:$1,0)+1),MATCH(AC$1,[3]characters!$1:$1,0)-MATCH("character_id",[3]characters!$1:$1,0)+1,FALSE)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442" s="4">
        <f ca="1">VLOOKUP($AB442,OFFSET([3]characters!$A$1,0,0,COUNTA([3]characters!$A:$A),MATCH(AD$1,[3]characters!$1:$1,0)-MATCH("character_id",[3]characters!$1:$1,0)+1),MATCH(AD$1,[3]characters!$1:$1,0)-MATCH("character_id",[3]characters!$1:$1,0)+1,FALSE)</f>
        <v>2</v>
      </c>
      <c r="AE442" s="4" t="str">
        <f ca="1">VLOOKUP($AB442,OFFSET([3]characters!$A$1,0,0,COUNTA([3]characters!$A:$A),MATCH(AE$1,[3]characters!$1:$1,0)-MATCH("character_id",[3]characters!$1:$1,0)+1),MATCH(AE$1,[3]characters!$1:$1,0)-MATCH("character_id",[3]characters!$1:$1,0)+1,FALSE)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42" s="7">
        <v>10</v>
      </c>
      <c r="AG442" s="26">
        <f t="shared" ca="1" si="465"/>
        <v>2</v>
      </c>
      <c r="AH442" s="8">
        <v>20</v>
      </c>
      <c r="AI442" s="7">
        <v>0</v>
      </c>
      <c r="AJ442" s="7">
        <v>0</v>
      </c>
      <c r="AK442" s="7">
        <v>0</v>
      </c>
      <c r="AL442" s="7">
        <v>0</v>
      </c>
      <c r="AM442" s="7">
        <v>1</v>
      </c>
    </row>
    <row r="443" spans="1:39" ht="14" x14ac:dyDescent="0.15">
      <c r="A443" s="18" t="str">
        <f t="shared" ca="1" si="512"/>
        <v>24_5-3/140&lt;lv52&gt;s2</v>
      </c>
      <c r="B443" s="50">
        <v>24</v>
      </c>
      <c r="C443" s="49">
        <v>5</v>
      </c>
      <c r="D443" s="2" t="str">
        <f t="shared" si="502"/>
        <v>24_5</v>
      </c>
      <c r="E443" s="2" t="str">
        <f t="shared" si="502"/>
        <v>5_24_5</v>
      </c>
      <c r="F443" s="4" t="str">
        <f ca="1">VLOOKUP($D443,OFFSET([1]stages!$A$1,0,0,COUNTA([1]stages!$A:$A),MATCH(F$1,[1]stages!$2:$2,0)-MATCH($D$1,[1]stages!$2:$2,0)+1),MATCH(F$1,[1]stages!$2:$2,0)-MATCH($D$1,[1]stages!$2:$2,0)+1,FALSE)</f>
        <v>24-5．決戦のヘヴン</v>
      </c>
      <c r="G443" s="57">
        <v>3</v>
      </c>
      <c r="H443" s="17" t="str">
        <f t="shared" si="503"/>
        <v>24_5-3</v>
      </c>
      <c r="I443" s="17"/>
      <c r="J443" s="17"/>
      <c r="K443" s="65" t="s">
        <v>56</v>
      </c>
      <c r="L443" s="52">
        <v>140</v>
      </c>
      <c r="M443" s="21" t="str">
        <f ca="1">VLOOKUP($L443,OFFSET([2]enemies!$A$1,0,0,COUNTA([2]enemies!$A:$A),MATCH(M$1,[2]enemies!$1:$1,0)-MATCH($L$1,[2]enemies!$1:$1,0)+1),MATCH(M$1,[2]enemies!$1:$1,0)-MATCH($L$1,[2]enemies!$1:$1,0)+1,FALSE)</f>
        <v>秋祭のタマモ</v>
      </c>
      <c r="N443" s="21" t="str">
        <f ca="1">VLOOKUP($L443,OFFSET([2]enemies!$A$1,0,0,COUNTA([2]enemies!$A:$A),MATCH(N$1,[2]enemies!$1:$1,0)-MATCH($L$1,[2]enemies!$1:$1,0)+1),MATCH(N$1,[2]enemies!$1:$1,0)-MATCH($L$1,[2]enemies!$1:$1,0)+1,FALSE)</f>
        <v>yellow</v>
      </c>
      <c r="O443" s="21" t="str">
        <f ca="1">VLOOKUP($L443,OFFSET([3]characters!$A$1,0,0,COUNTA([3]characters!$A:$A),MATCH(O$1,[3]characters!$1:$1,0)-MATCH($L$1,[3]characters!$1:$1,0)+1),MATCH(O$1,[3]characters!$1:$1,0)-MATCH($L$1,[3]characters!$1:$1,0)+1,FALSE)</f>
        <v>PremiumW</v>
      </c>
      <c r="P443" s="21" t="str">
        <f ca="1">VLOOKUP($L443,OFFSET([2]enemies!$A$1,0,0,COUNTA([2]enemies!$A:$A),MATCH(P$1,[2]enemies!$1:$1,0)-MATCH($L$1,[2]enemies!$1:$1,0)+1),MATCH(P$1,[2]enemies!$1:$1,0)-MATCH($L$1,[2]enemies!$1:$1,0)+1,FALSE)</f>
        <v>animal</v>
      </c>
      <c r="Q443" s="21">
        <f ca="1">VLOOKUP($L443,OFFSET([2]enemies!$A$1,0,0,COUNTA([2]enemies!$A:$A),MATCH(Q$1,[2]enemies!$1:$1,0)-MATCH($L$1,[2]enemies!$1:$1,0)+1),MATCH(Q$1,[2]enemies!$1:$1,0)-MATCH($L$1,[2]enemies!$1:$1,0)+1,FALSE)</f>
        <v>20</v>
      </c>
      <c r="R443" s="53">
        <v>52</v>
      </c>
      <c r="S443" s="27">
        <v>1.8</v>
      </c>
      <c r="T443" s="27">
        <v>1.1000000000000001</v>
      </c>
      <c r="U443" s="5">
        <v>0</v>
      </c>
      <c r="V443" s="4" t="str">
        <f ca="1">VLOOKUP($W443,OFFSET([4]enemy_skill_sets!$B$1,0,0,COUNTA([4]enemy_skill_sets!$B:$B),MATCH(M$1,[4]enemy_skill_sets!$1:$1,0)-MATCH($W$1,[4]enemy_skill_sets!$1:$1,0)+2),MATCH(M$1,[4]enemy_skill_sets!$1:$1,0)-MATCH($W$1,[4]enemy_skill_sets!$1:$1,0)+2,FALSE)</f>
        <v>3ターン攻撃頻度が1ターンにUP</v>
      </c>
      <c r="W443" s="64">
        <v>14001</v>
      </c>
      <c r="X443" s="6">
        <v>1</v>
      </c>
      <c r="Y443" s="6">
        <v>100</v>
      </c>
      <c r="Z443" s="6">
        <v>1</v>
      </c>
      <c r="AA443" s="4">
        <f ca="1">VLOOKUP($L443,OFFSET([2]enemies!$A$1,0,0,COUNTA([2]enemies!$A:$A),MATCH(AA$1,[2]enemies!$1:$1,0)-MATCH($L$1,[2]enemies!$1:$1,0)+1),MATCH(AA$1,[2]enemies!$1:$1,0)-MATCH($L$1,[2]enemies!$1:$1,0)+1,FALSE)</f>
        <v>2</v>
      </c>
      <c r="AB443" s="52">
        <v>140</v>
      </c>
      <c r="AC443" s="4" t="str">
        <f ca="1">VLOOKUP($AB443,OFFSET([3]characters!$A$1,0,0,COUNTA([3]characters!$A:$A),MATCH(AC$1,[3]characters!$1:$1,0)-MATCH("character_id",[3]characters!$1:$1,0)+1),MATCH(AC$1,[3]characters!$1:$1,0)-MATCH("character_id",[3]characters!$1:$1,0)+1,FALSE)</f>
        <v>秋祭のタマモ</v>
      </c>
      <c r="AD443" s="4">
        <f ca="1">VLOOKUP($AB443,OFFSET([3]characters!$A$1,0,0,COUNTA([3]characters!$A:$A),MATCH(AD$1,[3]characters!$1:$1,0)-MATCH("character_id",[3]characters!$1:$1,0)+1),MATCH(AD$1,[3]characters!$1:$1,0)-MATCH("character_id",[3]characters!$1:$1,0)+1,FALSE)</f>
        <v>3</v>
      </c>
      <c r="AE443" s="4" t="str">
        <f ca="1">VLOOKUP($AB443,OFFSET([3]characters!$A$1,0,0,COUNTA([3]characters!$A:$A),MATCH(AE$1,[3]characters!$1:$1,0)-MATCH("character_id",[3]characters!$1:$1,0)+1),MATCH(AE$1,[3]characters!$1:$1,0)-MATCH("character_id",[3]characters!$1:$1,0)+1,FALSE)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443" s="7">
        <v>1</v>
      </c>
      <c r="AG443" s="26">
        <f t="shared" ca="1" si="465"/>
        <v>3</v>
      </c>
      <c r="AH443" s="8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1</v>
      </c>
    </row>
    <row r="444" spans="1:39" ht="14" x14ac:dyDescent="0.15">
      <c r="A444" s="18" t="str">
        <f t="shared" ca="1" si="512"/>
        <v>24_5-3/12&lt;lv54&gt;s3</v>
      </c>
      <c r="B444" s="53">
        <v>24</v>
      </c>
      <c r="C444" s="51">
        <v>5</v>
      </c>
      <c r="D444" s="2" t="str">
        <f t="shared" ref="D444" si="527">B444&amp;"_"&amp;C444</f>
        <v>24_5</v>
      </c>
      <c r="E444" s="2" t="str">
        <f t="shared" ref="E444" si="528">C444&amp;"_"&amp;D444</f>
        <v>5_24_5</v>
      </c>
      <c r="F444" s="4" t="str">
        <f ca="1">VLOOKUP($D444,OFFSET([1]stages!$A$1,0,0,COUNTA([1]stages!$A:$A),MATCH(F$1,[1]stages!$2:$2,0)-MATCH($D$1,[1]stages!$2:$2,0)+1),MATCH(F$1,[1]stages!$2:$2,0)-MATCH($D$1,[1]stages!$2:$2,0)+1,FALSE)</f>
        <v>24-5．決戦のヘヴン</v>
      </c>
      <c r="G444" s="57">
        <v>3</v>
      </c>
      <c r="H444" s="17" t="str">
        <f t="shared" ref="H444" si="529">B444&amp;"_"&amp;C444&amp;"-"&amp;G444</f>
        <v>24_5-3</v>
      </c>
      <c r="I444" s="17"/>
      <c r="J444" s="17"/>
      <c r="K444" s="65" t="s">
        <v>56</v>
      </c>
      <c r="L444" s="52">
        <v>12</v>
      </c>
      <c r="M444" s="21" t="str">
        <f ca="1">VLOOKUP($L444,OFFSET([2]enemies!$A$1,0,0,COUNTA([2]enemies!$A:$A),MATCH(M$1,[2]enemies!$1:$1,0)-MATCH($L$1,[2]enemies!$1:$1,0)+1),MATCH(M$1,[2]enemies!$1:$1,0)-MATCH($L$1,[2]enemies!$1:$1,0)+1,FALSE)</f>
        <v>癒しのグラフィティ マグリット</v>
      </c>
      <c r="N444" s="21" t="str">
        <f ca="1">VLOOKUP($L444,OFFSET([2]enemies!$A$1,0,0,COUNTA([2]enemies!$A:$A),MATCH(N$1,[2]enemies!$1:$1,0)-MATCH($L$1,[2]enemies!$1:$1,0)+1),MATCH(N$1,[2]enemies!$1:$1,0)-MATCH($L$1,[2]enemies!$1:$1,0)+1,FALSE)</f>
        <v>green</v>
      </c>
      <c r="O444" s="21" t="str">
        <f ca="1">VLOOKUP($L444,OFFSET([3]characters!$A$1,0,0,COUNTA([3]characters!$A:$A),MATCH(O$1,[3]characters!$1:$1,0)-MATCH($L$1,[3]characters!$1:$1,0)+1),MATCH(O$1,[3]characters!$1:$1,0)-MATCH($L$1,[3]characters!$1:$1,0)+1,FALSE)</f>
        <v>Drop1W</v>
      </c>
      <c r="P444" s="21" t="str">
        <f ca="1">VLOOKUP($L444,OFFSET([2]enemies!$A$1,0,0,COUNTA([2]enemies!$A:$A),MATCH(P$1,[2]enemies!$1:$1,0)-MATCH($L$1,[2]enemies!$1:$1,0)+1),MATCH(P$1,[2]enemies!$1:$1,0)-MATCH($L$1,[2]enemies!$1:$1,0)+1,FALSE)</f>
        <v>animal</v>
      </c>
      <c r="Q444" s="21">
        <f ca="1">VLOOKUP($L444,OFFSET([2]enemies!$A$1,0,0,COUNTA([2]enemies!$A:$A),MATCH(Q$1,[2]enemies!$1:$1,0)-MATCH($L$1,[2]enemies!$1:$1,0)+1),MATCH(Q$1,[2]enemies!$1:$1,0)-MATCH($L$1,[2]enemies!$1:$1,0)+1,FALSE)</f>
        <v>15</v>
      </c>
      <c r="R444" s="53">
        <v>54</v>
      </c>
      <c r="S444" s="27">
        <v>3</v>
      </c>
      <c r="T444" s="27">
        <v>1.2</v>
      </c>
      <c r="U444" s="5">
        <v>0</v>
      </c>
      <c r="V444" s="4" t="str">
        <f ca="1">VLOOKUP($W444,OFFSET([4]enemy_skill_sets!$B$1,0,0,COUNTA([4]enemy_skill_sets!$B:$B),MATCH(M$1,[4]enemy_skill_sets!$1:$1,0)-MATCH($W$1,[4]enemy_skill_sets!$1:$1,0)+2),MATCH(M$1,[4]enemy_skill_sets!$1:$1,0)-MATCH($W$1,[4]enemy_skill_sets!$1:$1,0)+2,FALSE)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44" s="4">
        <f ca="1">VLOOKUP($L444,OFFSET([2]enemies!$A$1,0,0,COUNTA([2]enemies!$A:$A),MATCH(W$1,[2]enemies!$1:$1,0)-MATCH($L$1,[2]enemies!$1:$1,0)+1),MATCH(W$1,[2]enemies!$1:$1,0)-MATCH($L$1,[2]enemies!$1:$1,0)+1,FALSE)</f>
        <v>0</v>
      </c>
      <c r="X444" s="6">
        <v>2</v>
      </c>
      <c r="Y444" s="6">
        <v>100</v>
      </c>
      <c r="Z444" s="6">
        <v>0</v>
      </c>
      <c r="AA444" s="4">
        <f ca="1">VLOOKUP($L444,OFFSET([2]enemies!$A$1,0,0,COUNTA([2]enemies!$A:$A),MATCH(AA$1,[2]enemies!$1:$1,0)-MATCH($L$1,[2]enemies!$1:$1,0)+1),MATCH(AA$1,[2]enemies!$1:$1,0)-MATCH($L$1,[2]enemies!$1:$1,0)+1,FALSE)</f>
        <v>3</v>
      </c>
      <c r="AB444" s="52">
        <v>11</v>
      </c>
      <c r="AC444" s="4" t="str">
        <f ca="1">VLOOKUP($AB444,OFFSET([3]characters!$A$1,0,0,COUNTA([3]characters!$A:$A),MATCH(AC$1,[3]characters!$1:$1,0)-MATCH("character_id",[3]characters!$1:$1,0)+1),MATCH(AC$1,[3]characters!$1:$1,0)-MATCH("character_id",[3]characters!$1:$1,0)+1,FALSE)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444" s="4">
        <f ca="1">VLOOKUP($AB444,OFFSET([3]characters!$A$1,0,0,COUNTA([3]characters!$A:$A),MATCH(AD$1,[3]characters!$1:$1,0)-MATCH("character_id",[3]characters!$1:$1,0)+1),MATCH(AD$1,[3]characters!$1:$1,0)-MATCH("character_id",[3]characters!$1:$1,0)+1,FALSE)</f>
        <v>1</v>
      </c>
      <c r="AE444" s="4" t="str">
        <f ca="1">VLOOKUP($AB444,OFFSET([3]characters!$A$1,0,0,COUNTA([3]characters!$A:$A),MATCH(AE$1,[3]characters!$1:$1,0)-MATCH("character_id",[3]characters!$1:$1,0)+1),MATCH(AE$1,[3]characters!$1:$1,0)-MATCH("character_id",[3]characters!$1:$1,0)+1,FALSE)</f>
        <v>Drop1W</v>
      </c>
      <c r="AF444" s="7">
        <v>9</v>
      </c>
      <c r="AG444" s="26">
        <f t="shared" ca="1" si="465"/>
        <v>1</v>
      </c>
      <c r="AH444" s="8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1</v>
      </c>
    </row>
    <row r="445" spans="1:39" ht="14" x14ac:dyDescent="0.15">
      <c r="A445" s="18" t="str">
        <f t="shared" ca="1" si="512"/>
        <v>24_5-4/47&lt;lv52&gt;s1</v>
      </c>
      <c r="B445" s="50">
        <v>24</v>
      </c>
      <c r="C445" s="49">
        <v>5</v>
      </c>
      <c r="D445" s="2" t="str">
        <f t="shared" si="502"/>
        <v>24_5</v>
      </c>
      <c r="E445" s="2" t="str">
        <f t="shared" si="502"/>
        <v>5_24_5</v>
      </c>
      <c r="F445" s="4" t="str">
        <f ca="1">VLOOKUP($D445,OFFSET([1]stages!$A$1,0,0,COUNTA([1]stages!$A:$A),MATCH(F$1,[1]stages!$2:$2,0)-MATCH($D$1,[1]stages!$2:$2,0)+1),MATCH(F$1,[1]stages!$2:$2,0)-MATCH($D$1,[1]stages!$2:$2,0)+1,FALSE)</f>
        <v>24-5．決戦のヘヴン</v>
      </c>
      <c r="G445" s="54">
        <v>4</v>
      </c>
      <c r="H445" s="17" t="str">
        <f t="shared" si="503"/>
        <v>24_5-4</v>
      </c>
      <c r="I445" s="17"/>
      <c r="J445" s="17"/>
      <c r="K445" s="65" t="s">
        <v>56</v>
      </c>
      <c r="L445" s="52">
        <v>47</v>
      </c>
      <c r="M445" s="21" t="str">
        <f ca="1">VLOOKUP($L445,OFFSET([2]enemies!$A$1,0,0,COUNTA([2]enemies!$A:$A),MATCH(M$1,[2]enemies!$1:$1,0)-MATCH($L$1,[2]enemies!$1:$1,0)+1),MATCH(M$1,[2]enemies!$1:$1,0)-MATCH($L$1,[2]enemies!$1:$1,0)+1,FALSE)</f>
        <v>ヒロ</v>
      </c>
      <c r="N445" s="21" t="str">
        <f ca="1">VLOOKUP($L445,OFFSET([2]enemies!$A$1,0,0,COUNTA([2]enemies!$A:$A),MATCH(N$1,[2]enemies!$1:$1,0)-MATCH($L$1,[2]enemies!$1:$1,0)+1),MATCH(N$1,[2]enemies!$1:$1,0)-MATCH($L$1,[2]enemies!$1:$1,0)+1,FALSE)</f>
        <v>yellow</v>
      </c>
      <c r="O445" s="21" t="str">
        <f ca="1">VLOOKUP($L445,OFFSET([3]characters!$A$1,0,0,COUNTA([3]characters!$A:$A),MATCH(O$1,[3]characters!$1:$1,0)-MATCH($L$1,[3]characters!$1:$1,0)+1),MATCH(O$1,[3]characters!$1:$1,0)-MATCH($L$1,[3]characters!$1:$1,0)+1,FALSE)</f>
        <v>Drop1N</v>
      </c>
      <c r="P445" s="21" t="str">
        <f ca="1">VLOOKUP($L445,OFFSET([2]enemies!$A$1,0,0,COUNTA([2]enemies!$A:$A),MATCH(P$1,[2]enemies!$1:$1,0)-MATCH($L$1,[2]enemies!$1:$1,0)+1),MATCH(P$1,[2]enemies!$1:$1,0)-MATCH($L$1,[2]enemies!$1:$1,0)+1,FALSE)</f>
        <v>animal</v>
      </c>
      <c r="Q445" s="21">
        <f ca="1">VLOOKUP($L445,OFFSET([2]enemies!$A$1,0,0,COUNTA([2]enemies!$A:$A),MATCH(Q$1,[2]enemies!$1:$1,0)-MATCH($L$1,[2]enemies!$1:$1,0)+1),MATCH(Q$1,[2]enemies!$1:$1,0)-MATCH($L$1,[2]enemies!$1:$1,0)+1,FALSE)</f>
        <v>15</v>
      </c>
      <c r="R445" s="53">
        <v>52</v>
      </c>
      <c r="S445" s="27">
        <v>1.1000000000000001</v>
      </c>
      <c r="T445" s="27">
        <v>1</v>
      </c>
      <c r="U445" s="5">
        <v>0</v>
      </c>
      <c r="V445" s="4" t="str">
        <f ca="1">VLOOKUP($W445,OFFSET([4]enemy_skill_sets!$B$1,0,0,COUNTA([4]enemy_skill_sets!$B:$B),MATCH(M$1,[4]enemy_skill_sets!$1:$1,0)-MATCH($W$1,[4]enemy_skill_sets!$1:$1,0)+2),MATCH(M$1,[4]enemy_skill_sets!$1:$1,0)-MATCH($W$1,[4]enemy_skill_sets!$1:$1,0)+2,FALSE)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45" s="4">
        <f ca="1">VLOOKUP($L445,OFFSET([2]enemies!$A$1,0,0,COUNTA([2]enemies!$A:$A),MATCH(W$1,[2]enemies!$1:$1,0)-MATCH($L$1,[2]enemies!$1:$1,0)+1),MATCH(W$1,[2]enemies!$1:$1,0)-MATCH($L$1,[2]enemies!$1:$1,0)+1,FALSE)</f>
        <v>0</v>
      </c>
      <c r="X445" s="6">
        <v>0</v>
      </c>
      <c r="Y445" s="6">
        <v>100</v>
      </c>
      <c r="Z445" s="6">
        <v>0</v>
      </c>
      <c r="AA445" s="4">
        <f ca="1">VLOOKUP($L445,OFFSET([2]enemies!$A$1,0,0,COUNTA([2]enemies!$A:$A),MATCH(AA$1,[2]enemies!$1:$1,0)-MATCH($L$1,[2]enemies!$1:$1,0)+1),MATCH(AA$1,[2]enemies!$1:$1,0)-MATCH($L$1,[2]enemies!$1:$1,0)+1,FALSE)</f>
        <v>1</v>
      </c>
      <c r="AB445" s="52">
        <v>47</v>
      </c>
      <c r="AC445" s="4" t="str">
        <f ca="1">VLOOKUP($AB445,OFFSET([3]characters!$A$1,0,0,COUNTA([3]characters!$A:$A),MATCH(AC$1,[3]characters!$1:$1,0)-MATCH("character_id",[3]characters!$1:$1,0)+1),MATCH(AC$1,[3]characters!$1:$1,0)-MATCH("character_id",[3]characters!$1:$1,0)+1,FALSE)</f>
        <v>ヒロ</v>
      </c>
      <c r="AD445" s="4">
        <f ca="1">VLOOKUP($AB445,OFFSET([3]characters!$A$1,0,0,COUNTA([3]characters!$A:$A),MATCH(AD$1,[3]characters!$1:$1,0)-MATCH("character_id",[3]characters!$1:$1,0)+1),MATCH(AD$1,[3]characters!$1:$1,0)-MATCH("character_id",[3]characters!$1:$1,0)+1,FALSE)</f>
        <v>2</v>
      </c>
      <c r="AE445" s="4" t="str">
        <f ca="1">VLOOKUP($AB445,OFFSET([3]characters!$A$1,0,0,COUNTA([3]characters!$A:$A),MATCH(AE$1,[3]characters!$1:$1,0)-MATCH("character_id",[3]characters!$1:$1,0)+1),MATCH(AE$1,[3]characters!$1:$1,0)-MATCH("character_id",[3]characters!$1:$1,0)+1,FALSE)</f>
        <v>Drop1N</v>
      </c>
      <c r="AF445" s="7">
        <v>7</v>
      </c>
      <c r="AG445" s="26">
        <f t="shared" ca="1" si="465"/>
        <v>2</v>
      </c>
      <c r="AH445" s="8">
        <v>20</v>
      </c>
      <c r="AI445" s="7">
        <v>0</v>
      </c>
      <c r="AJ445" s="7">
        <v>0</v>
      </c>
      <c r="AK445" s="7">
        <v>0</v>
      </c>
      <c r="AL445" s="7">
        <v>0</v>
      </c>
      <c r="AM445" s="7">
        <v>1</v>
      </c>
    </row>
    <row r="446" spans="1:39" ht="14" x14ac:dyDescent="0.15">
      <c r="A446" s="18" t="str">
        <f t="shared" ca="1" si="512"/>
        <v>24_5-4/59&lt;lv54&gt;s2</v>
      </c>
      <c r="B446" s="50">
        <v>24</v>
      </c>
      <c r="C446" s="49">
        <v>5</v>
      </c>
      <c r="D446" s="2" t="str">
        <f t="shared" si="502"/>
        <v>24_5</v>
      </c>
      <c r="E446" s="2" t="str">
        <f t="shared" si="502"/>
        <v>5_24_5</v>
      </c>
      <c r="F446" s="4" t="str">
        <f ca="1">VLOOKUP($D446,OFFSET([1]stages!$A$1,0,0,COUNTA([1]stages!$A:$A),MATCH(F$1,[1]stages!$2:$2,0)-MATCH($D$1,[1]stages!$2:$2,0)+1),MATCH(F$1,[1]stages!$2:$2,0)-MATCH($D$1,[1]stages!$2:$2,0)+1,FALSE)</f>
        <v>24-5．決戦のヘヴン</v>
      </c>
      <c r="G446" s="54">
        <v>4</v>
      </c>
      <c r="H446" s="17" t="str">
        <f t="shared" si="503"/>
        <v>24_5-4</v>
      </c>
      <c r="I446" s="17"/>
      <c r="J446" s="17"/>
      <c r="K446" s="65" t="s">
        <v>56</v>
      </c>
      <c r="L446" s="52">
        <v>59</v>
      </c>
      <c r="M446" s="21" t="str">
        <f ca="1">VLOOKUP($L446,OFFSET([2]enemies!$A$1,0,0,COUNTA([2]enemies!$A:$A),MATCH(M$1,[2]enemies!$1:$1,0)-MATCH($L$1,[2]enemies!$1:$1,0)+1),MATCH(M$1,[2]enemies!$1:$1,0)-MATCH($L$1,[2]enemies!$1:$1,0)+1,FALSE)</f>
        <v>マーチ</v>
      </c>
      <c r="N446" s="21" t="str">
        <f ca="1">VLOOKUP($L446,OFFSET([2]enemies!$A$1,0,0,COUNTA([2]enemies!$A:$A),MATCH(N$1,[2]enemies!$1:$1,0)-MATCH($L$1,[2]enemies!$1:$1,0)+1),MATCH(N$1,[2]enemies!$1:$1,0)-MATCH($L$1,[2]enemies!$1:$1,0)+1,FALSE)</f>
        <v>green</v>
      </c>
      <c r="O446" s="21" t="str">
        <f ca="1">VLOOKUP($L446,OFFSET([3]characters!$A$1,0,0,COUNTA([3]characters!$A:$A),MATCH(O$1,[3]characters!$1:$1,0)-MATCH($L$1,[3]characters!$1:$1,0)+1),MATCH(O$1,[3]characters!$1:$1,0)-MATCH($L$1,[3]characters!$1:$1,0)+1,FALSE)</f>
        <v>Drop1N</v>
      </c>
      <c r="P446" s="21" t="str">
        <f ca="1">VLOOKUP($L446,OFFSET([2]enemies!$A$1,0,0,COUNTA([2]enemies!$A:$A),MATCH(P$1,[2]enemies!$1:$1,0)-MATCH($L$1,[2]enemies!$1:$1,0)+1),MATCH(P$1,[2]enemies!$1:$1,0)-MATCH($L$1,[2]enemies!$1:$1,0)+1,FALSE)</f>
        <v>animal</v>
      </c>
      <c r="Q446" s="21">
        <f ca="1">VLOOKUP($L446,OFFSET([2]enemies!$A$1,0,0,COUNTA([2]enemies!$A:$A),MATCH(Q$1,[2]enemies!$1:$1,0)-MATCH($L$1,[2]enemies!$1:$1,0)+1),MATCH(Q$1,[2]enemies!$1:$1,0)-MATCH($L$1,[2]enemies!$1:$1,0)+1,FALSE)</f>
        <v>15</v>
      </c>
      <c r="R446" s="53">
        <v>54</v>
      </c>
      <c r="S446" s="27">
        <v>1</v>
      </c>
      <c r="T446" s="27">
        <v>1</v>
      </c>
      <c r="U446" s="5">
        <v>0</v>
      </c>
      <c r="V446" s="4" t="str">
        <f ca="1">VLOOKUP($W446,OFFSET([4]enemy_skill_sets!$B$1,0,0,COUNTA([4]enemy_skill_sets!$B:$B),MATCH(M$1,[4]enemy_skill_sets!$1:$1,0)-MATCH($W$1,[4]enemy_skill_sets!$1:$1,0)+2),MATCH(M$1,[4]enemy_skill_sets!$1:$1,0)-MATCH($W$1,[4]enemy_skill_sets!$1:$1,0)+2,FALSE)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46" s="4">
        <f ca="1">VLOOKUP($L446,OFFSET([2]enemies!$A$1,0,0,COUNTA([2]enemies!$A:$A),MATCH(W$1,[2]enemies!$1:$1,0)-MATCH($L$1,[2]enemies!$1:$1,0)+1),MATCH(W$1,[2]enemies!$1:$1,0)-MATCH($L$1,[2]enemies!$1:$1,0)+1,FALSE)</f>
        <v>59</v>
      </c>
      <c r="X446" s="6">
        <v>0</v>
      </c>
      <c r="Y446" s="6">
        <v>100</v>
      </c>
      <c r="Z446" s="6">
        <v>0</v>
      </c>
      <c r="AA446" s="4">
        <f ca="1">VLOOKUP($L446,OFFSET([2]enemies!$A$1,0,0,COUNTA([2]enemies!$A:$A),MATCH(AA$1,[2]enemies!$1:$1,0)-MATCH($L$1,[2]enemies!$1:$1,0)+1),MATCH(AA$1,[2]enemies!$1:$1,0)-MATCH($L$1,[2]enemies!$1:$1,0)+1,FALSE)</f>
        <v>2</v>
      </c>
      <c r="AB446" s="52">
        <v>59</v>
      </c>
      <c r="AC446" s="4" t="str">
        <f ca="1">VLOOKUP($AB446,OFFSET([3]characters!$A$1,0,0,COUNTA([3]characters!$A:$A),MATCH(AC$1,[3]characters!$1:$1,0)-MATCH("character_id",[3]characters!$1:$1,0)+1),MATCH(AC$1,[3]characters!$1:$1,0)-MATCH("character_id",[3]characters!$1:$1,0)+1,FALSE)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446" s="4">
        <f ca="1">VLOOKUP($AB446,OFFSET([3]characters!$A$1,0,0,COUNTA([3]characters!$A:$A),MATCH(AD$1,[3]characters!$1:$1,0)-MATCH("character_id",[3]characters!$1:$1,0)+1),MATCH(AD$1,[3]characters!$1:$1,0)-MATCH("character_id",[3]characters!$1:$1,0)+1,FALSE)</f>
        <v>2</v>
      </c>
      <c r="AE446" s="4" t="str">
        <f ca="1">VLOOKUP($AB446,OFFSET([3]characters!$A$1,0,0,COUNTA([3]characters!$A:$A),MATCH(AE$1,[3]characters!$1:$1,0)-MATCH("character_id",[3]characters!$1:$1,0)+1),MATCH(AE$1,[3]characters!$1:$1,0)-MATCH("character_id",[3]characters!$1:$1,0)+1,FALSE)</f>
        <v>Drop1N</v>
      </c>
      <c r="AF446" s="7">
        <v>7</v>
      </c>
      <c r="AG446" s="26">
        <f t="shared" ca="1" si="465"/>
        <v>2</v>
      </c>
      <c r="AH446" s="8">
        <v>20</v>
      </c>
      <c r="AI446" s="7">
        <v>0</v>
      </c>
      <c r="AJ446" s="7">
        <v>0</v>
      </c>
      <c r="AK446" s="7">
        <v>0</v>
      </c>
      <c r="AL446" s="7">
        <v>0</v>
      </c>
      <c r="AM446" s="7">
        <v>1</v>
      </c>
    </row>
    <row r="447" spans="1:39" ht="14" x14ac:dyDescent="0.15">
      <c r="A447" s="18" t="str">
        <f t="shared" ca="1" si="512"/>
        <v>24_5-4/63&lt;lv52&gt;s2</v>
      </c>
      <c r="B447" s="50">
        <v>24</v>
      </c>
      <c r="C447" s="49">
        <v>5</v>
      </c>
      <c r="D447" s="2" t="str">
        <f t="shared" si="502"/>
        <v>24_5</v>
      </c>
      <c r="E447" s="2" t="str">
        <f t="shared" si="502"/>
        <v>5_24_5</v>
      </c>
      <c r="F447" s="4" t="str">
        <f ca="1">VLOOKUP($D447,OFFSET([1]stages!$A$1,0,0,COUNTA([1]stages!$A:$A),MATCH(F$1,[1]stages!$2:$2,0)-MATCH($D$1,[1]stages!$2:$2,0)+1),MATCH(F$1,[1]stages!$2:$2,0)-MATCH($D$1,[1]stages!$2:$2,0)+1,FALSE)</f>
        <v>24-5．決戦のヘヴン</v>
      </c>
      <c r="G447" s="54">
        <v>4</v>
      </c>
      <c r="H447" s="17" t="str">
        <f t="shared" si="503"/>
        <v>24_5-4</v>
      </c>
      <c r="I447" s="17"/>
      <c r="J447" s="17"/>
      <c r="K447" s="65" t="s">
        <v>56</v>
      </c>
      <c r="L447" s="52">
        <v>63</v>
      </c>
      <c r="M447" s="21" t="str">
        <f ca="1">VLOOKUP($L447,OFFSET([2]enemies!$A$1,0,0,COUNTA([2]enemies!$A:$A),MATCH(M$1,[2]enemies!$1:$1,0)-MATCH($L$1,[2]enemies!$1:$1,0)+1),MATCH(M$1,[2]enemies!$1:$1,0)-MATCH($L$1,[2]enemies!$1:$1,0)+1,FALSE)</f>
        <v>トニー</v>
      </c>
      <c r="N447" s="21" t="str">
        <f ca="1">VLOOKUP($L447,OFFSET([2]enemies!$A$1,0,0,COUNTA([2]enemies!$A:$A),MATCH(N$1,[2]enemies!$1:$1,0)-MATCH($L$1,[2]enemies!$1:$1,0)+1),MATCH(N$1,[2]enemies!$1:$1,0)-MATCH($L$1,[2]enemies!$1:$1,0)+1,FALSE)</f>
        <v>yellow</v>
      </c>
      <c r="O447" s="21" t="str">
        <f ca="1">VLOOKUP($L447,OFFSET([3]characters!$A$1,0,0,COUNTA([3]characters!$A:$A),MATCH(O$1,[3]characters!$1:$1,0)-MATCH($L$1,[3]characters!$1:$1,0)+1),MATCH(O$1,[3]characters!$1:$1,0)-MATCH($L$1,[3]characters!$1:$1,0)+1,FALSE)</f>
        <v>Drop1N</v>
      </c>
      <c r="P447" s="21" t="str">
        <f ca="1">VLOOKUP($L447,OFFSET([2]enemies!$A$1,0,0,COUNTA([2]enemies!$A:$A),MATCH(P$1,[2]enemies!$1:$1,0)-MATCH($L$1,[2]enemies!$1:$1,0)+1),MATCH(P$1,[2]enemies!$1:$1,0)-MATCH($L$1,[2]enemies!$1:$1,0)+1,FALSE)</f>
        <v>animal</v>
      </c>
      <c r="Q447" s="21">
        <f ca="1">VLOOKUP($L447,OFFSET([2]enemies!$A$1,0,0,COUNTA([2]enemies!$A:$A),MATCH(Q$1,[2]enemies!$1:$1,0)-MATCH($L$1,[2]enemies!$1:$1,0)+1),MATCH(Q$1,[2]enemies!$1:$1,0)-MATCH($L$1,[2]enemies!$1:$1,0)+1,FALSE)</f>
        <v>15</v>
      </c>
      <c r="R447" s="53">
        <v>52</v>
      </c>
      <c r="S447" s="27">
        <v>1.1000000000000001</v>
      </c>
      <c r="T447" s="27">
        <v>1</v>
      </c>
      <c r="U447" s="5">
        <v>0</v>
      </c>
      <c r="V447" s="4" t="str">
        <f ca="1">VLOOKUP($W447,OFFSET([4]enemy_skill_sets!$B$1,0,0,COUNTA([4]enemy_skill_sets!$B:$B),MATCH(M$1,[4]enemy_skill_sets!$1:$1,0)-MATCH($W$1,[4]enemy_skill_sets!$1:$1,0)+2),MATCH(M$1,[4]enemy_skill_sets!$1:$1,0)-MATCH($W$1,[4]enemy_skill_sets!$1:$1,0)+2,FALSE)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447" s="4">
        <f ca="1">VLOOKUP($L447,OFFSET([2]enemies!$A$1,0,0,COUNTA([2]enemies!$A:$A),MATCH(W$1,[2]enemies!$1:$1,0)-MATCH($L$1,[2]enemies!$1:$1,0)+1),MATCH(W$1,[2]enemies!$1:$1,0)-MATCH($L$1,[2]enemies!$1:$1,0)+1,FALSE)</f>
        <v>63</v>
      </c>
      <c r="X447" s="6">
        <v>0</v>
      </c>
      <c r="Y447" s="6">
        <v>100</v>
      </c>
      <c r="Z447" s="6">
        <v>0</v>
      </c>
      <c r="AA447" s="4">
        <f ca="1">VLOOKUP($L447,OFFSET([2]enemies!$A$1,0,0,COUNTA([2]enemies!$A:$A),MATCH(AA$1,[2]enemies!$1:$1,0)-MATCH($L$1,[2]enemies!$1:$1,0)+1),MATCH(AA$1,[2]enemies!$1:$1,0)-MATCH($L$1,[2]enemies!$1:$1,0)+1,FALSE)</f>
        <v>2</v>
      </c>
      <c r="AB447" s="52">
        <v>63</v>
      </c>
      <c r="AC447" s="4" t="str">
        <f ca="1">VLOOKUP($AB447,OFFSET([3]characters!$A$1,0,0,COUNTA([3]characters!$A:$A),MATCH(AC$1,[3]characters!$1:$1,0)-MATCH("character_id",[3]characters!$1:$1,0)+1),MATCH(AC$1,[3]characters!$1:$1,0)-MATCH("character_id",[3]characters!$1:$1,0)+1,FALSE)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447" s="4">
        <f ca="1">VLOOKUP($AB447,OFFSET([3]characters!$A$1,0,0,COUNTA([3]characters!$A:$A),MATCH(AD$1,[3]characters!$1:$1,0)-MATCH("character_id",[3]characters!$1:$1,0)+1),MATCH(AD$1,[3]characters!$1:$1,0)-MATCH("character_id",[3]characters!$1:$1,0)+1,FALSE)</f>
        <v>2</v>
      </c>
      <c r="AE447" s="4" t="str">
        <f ca="1">VLOOKUP($AB447,OFFSET([3]characters!$A$1,0,0,COUNTA([3]characters!$A:$A),MATCH(AE$1,[3]characters!$1:$1,0)-MATCH("character_id",[3]characters!$1:$1,0)+1),MATCH(AE$1,[3]characters!$1:$1,0)-MATCH("character_id",[3]characters!$1:$1,0)+1,FALSE)</f>
        <v>Drop1N</v>
      </c>
      <c r="AF447" s="7">
        <v>7</v>
      </c>
      <c r="AG447" s="26">
        <f t="shared" ca="1" si="465"/>
        <v>2</v>
      </c>
      <c r="AH447" s="8">
        <v>20</v>
      </c>
      <c r="AI447" s="7">
        <v>0</v>
      </c>
      <c r="AJ447" s="7">
        <v>0</v>
      </c>
      <c r="AK447" s="7">
        <v>0</v>
      </c>
      <c r="AL447" s="7">
        <v>0</v>
      </c>
      <c r="AM447" s="7">
        <v>1</v>
      </c>
    </row>
    <row r="448" spans="1:39" ht="14" x14ac:dyDescent="0.15">
      <c r="A448" s="18" t="str">
        <f t="shared" ca="1" si="512"/>
        <v>24_5-4/35&lt;lv54&gt;s4</v>
      </c>
      <c r="B448" s="50">
        <v>24</v>
      </c>
      <c r="C448" s="49">
        <v>5</v>
      </c>
      <c r="D448" s="2" t="str">
        <f t="shared" si="502"/>
        <v>24_5</v>
      </c>
      <c r="E448" s="2" t="str">
        <f t="shared" si="502"/>
        <v>5_24_5</v>
      </c>
      <c r="F448" s="4" t="str">
        <f ca="1">VLOOKUP($D448,OFFSET([1]stages!$A$1,0,0,COUNTA([1]stages!$A:$A),MATCH(F$1,[1]stages!$2:$2,0)-MATCH($D$1,[1]stages!$2:$2,0)+1),MATCH(F$1,[1]stages!$2:$2,0)-MATCH($D$1,[1]stages!$2:$2,0)+1,FALSE)</f>
        <v>24-5．決戦のヘヴン</v>
      </c>
      <c r="G448" s="54">
        <v>4</v>
      </c>
      <c r="H448" s="17" t="str">
        <f t="shared" si="503"/>
        <v>24_5-4</v>
      </c>
      <c r="I448" s="17"/>
      <c r="J448" s="17"/>
      <c r="K448" s="65" t="s">
        <v>56</v>
      </c>
      <c r="L448" s="52">
        <v>35</v>
      </c>
      <c r="M448" s="21" t="str">
        <f ca="1">VLOOKUP($L448,OFFSET([2]enemies!$A$1,0,0,COUNTA([2]enemies!$A:$A),MATCH(M$1,[2]enemies!$1:$1,0)-MATCH($L$1,[2]enemies!$1:$1,0)+1),MATCH(M$1,[2]enemies!$1:$1,0)-MATCH($L$1,[2]enemies!$1:$1,0)+1,FALSE)</f>
        <v>F2</v>
      </c>
      <c r="N448" s="21" t="str">
        <f ca="1">VLOOKUP($L448,OFFSET([2]enemies!$A$1,0,0,COUNTA([2]enemies!$A:$A),MATCH(N$1,[2]enemies!$1:$1,0)-MATCH($L$1,[2]enemies!$1:$1,0)+1),MATCH(N$1,[2]enemies!$1:$1,0)-MATCH($L$1,[2]enemies!$1:$1,0)+1,FALSE)</f>
        <v>green</v>
      </c>
      <c r="O448" s="21" t="str">
        <f ca="1">VLOOKUP($L448,OFFSET([3]characters!$A$1,0,0,COUNTA([3]characters!$A:$A),MATCH(O$1,[3]characters!$1:$1,0)-MATCH($L$1,[3]characters!$1:$1,0)+1),MATCH(O$1,[3]characters!$1:$1,0)-MATCH($L$1,[3]characters!$1:$1,0)+1,FALSE)</f>
        <v>Drop1S</v>
      </c>
      <c r="P448" s="21" t="str">
        <f ca="1">VLOOKUP($L448,OFFSET([2]enemies!$A$1,0,0,COUNTA([2]enemies!$A:$A),MATCH(P$1,[2]enemies!$1:$1,0)-MATCH($L$1,[2]enemies!$1:$1,0)+1),MATCH(P$1,[2]enemies!$1:$1,0)-MATCH($L$1,[2]enemies!$1:$1,0)+1,FALSE)</f>
        <v>machine</v>
      </c>
      <c r="Q448" s="21">
        <f ca="1">VLOOKUP($L448,OFFSET([2]enemies!$A$1,0,0,COUNTA([2]enemies!$A:$A),MATCH(Q$1,[2]enemies!$1:$1,0)-MATCH($L$1,[2]enemies!$1:$1,0)+1),MATCH(Q$1,[2]enemies!$1:$1,0)-MATCH($L$1,[2]enemies!$1:$1,0)+1,FALSE)</f>
        <v>15</v>
      </c>
      <c r="R448" s="53">
        <v>54</v>
      </c>
      <c r="S448" s="27">
        <v>1</v>
      </c>
      <c r="T448" s="27">
        <v>1</v>
      </c>
      <c r="U448" s="5">
        <v>0</v>
      </c>
      <c r="V448" s="4" t="str">
        <f ca="1">VLOOKUP($W448,OFFSET([4]enemy_skill_sets!$B$1,0,0,COUNTA([4]enemy_skill_sets!$B:$B),MATCH(M$1,[4]enemy_skill_sets!$1:$1,0)-MATCH($W$1,[4]enemy_skill_sets!$1:$1,0)+2),MATCH(M$1,[4]enemy_skill_sets!$1:$1,0)-MATCH($W$1,[4]enemy_skill_sets!$1:$1,0)+2,FALSE)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48" s="4">
        <f ca="1">VLOOKUP($L448,OFFSET([2]enemies!$A$1,0,0,COUNTA([2]enemies!$A:$A),MATCH(W$1,[2]enemies!$1:$1,0)-MATCH($L$1,[2]enemies!$1:$1,0)+1),MATCH(W$1,[2]enemies!$1:$1,0)-MATCH($L$1,[2]enemies!$1:$1,0)+1,FALSE)</f>
        <v>35</v>
      </c>
      <c r="X448" s="6">
        <v>0</v>
      </c>
      <c r="Y448" s="6">
        <v>100</v>
      </c>
      <c r="Z448" s="6">
        <v>0</v>
      </c>
      <c r="AA448" s="4">
        <f ca="1">VLOOKUP($L448,OFFSET([2]enemies!$A$1,0,0,COUNTA([2]enemies!$A:$A),MATCH(AA$1,[2]enemies!$1:$1,0)-MATCH($L$1,[2]enemies!$1:$1,0)+1),MATCH(AA$1,[2]enemies!$1:$1,0)-MATCH($L$1,[2]enemies!$1:$1,0)+1,FALSE)</f>
        <v>4</v>
      </c>
      <c r="AB448" s="52">
        <v>35</v>
      </c>
      <c r="AC448" s="4" t="str">
        <f ca="1">VLOOKUP($AB448,OFFSET([3]characters!$A$1,0,0,COUNTA([3]characters!$A:$A),MATCH(AC$1,[3]characters!$1:$1,0)-MATCH("character_id",[3]characters!$1:$1,0)+1),MATCH(AC$1,[3]characters!$1:$1,0)-MATCH("character_id",[3]characters!$1:$1,0)+1,FALSE)</f>
        <v>F2</v>
      </c>
      <c r="AD448" s="4">
        <f ca="1">VLOOKUP($AB448,OFFSET([3]characters!$A$1,0,0,COUNTA([3]characters!$A:$A),MATCH(AD$1,[3]characters!$1:$1,0)-MATCH("character_id",[3]characters!$1:$1,0)+1),MATCH(AD$1,[3]characters!$1:$1,0)-MATCH("character_id",[3]characters!$1:$1,0)+1,FALSE)</f>
        <v>2</v>
      </c>
      <c r="AE448" s="4" t="str">
        <f ca="1">VLOOKUP($AB448,OFFSET([3]characters!$A$1,0,0,COUNTA([3]characters!$A:$A),MATCH(AE$1,[3]characters!$1:$1,0)-MATCH("character_id",[3]characters!$1:$1,0)+1),MATCH(AE$1,[3]characters!$1:$1,0)-MATCH("character_id",[3]characters!$1:$1,0)+1,FALSE)</f>
        <v>Drop1S</v>
      </c>
      <c r="AF448" s="7">
        <v>5</v>
      </c>
      <c r="AG448" s="26">
        <f t="shared" ca="1" si="465"/>
        <v>2</v>
      </c>
      <c r="AH448" s="8">
        <v>20</v>
      </c>
      <c r="AI448" s="7">
        <v>0</v>
      </c>
      <c r="AJ448" s="7">
        <v>0</v>
      </c>
      <c r="AK448" s="7">
        <v>0</v>
      </c>
      <c r="AL448" s="7">
        <v>0</v>
      </c>
      <c r="AM448" s="7">
        <v>1</v>
      </c>
    </row>
    <row r="449" spans="1:39" ht="14" x14ac:dyDescent="0.15">
      <c r="A449" s="18" t="str">
        <f t="shared" ca="1" si="512"/>
        <v>24_5-4/362&lt;lv54&gt;s3</v>
      </c>
      <c r="B449" s="53">
        <v>24</v>
      </c>
      <c r="C449" s="51">
        <v>5</v>
      </c>
      <c r="D449" s="2" t="str">
        <f t="shared" ref="D449:D450" si="530">B449&amp;"_"&amp;C449</f>
        <v>24_5</v>
      </c>
      <c r="E449" s="2" t="str">
        <f t="shared" ref="E449:E450" si="531">C449&amp;"_"&amp;D449</f>
        <v>5_24_5</v>
      </c>
      <c r="F449" s="4" t="str">
        <f ca="1">VLOOKUP($D449,OFFSET([1]stages!$A$1,0,0,COUNTA([1]stages!$A:$A),MATCH(F$1,[1]stages!$2:$2,0)-MATCH($D$1,[1]stages!$2:$2,0)+1),MATCH(F$1,[1]stages!$2:$2,0)-MATCH($D$1,[1]stages!$2:$2,0)+1,FALSE)</f>
        <v>24-5．決戦のヘヴン</v>
      </c>
      <c r="G449" s="54">
        <v>4</v>
      </c>
      <c r="H449" s="17" t="str">
        <f t="shared" ref="H449:H450" si="532">B449&amp;"_"&amp;C449&amp;"-"&amp;G449</f>
        <v>24_5-4</v>
      </c>
      <c r="I449" s="17"/>
      <c r="J449" s="17"/>
      <c r="K449" s="65" t="s">
        <v>56</v>
      </c>
      <c r="L449" s="52">
        <v>362</v>
      </c>
      <c r="M449" s="21" t="str">
        <f ca="1">VLOOKUP($L449,OFFSET([2]enemies!$A$1,0,0,COUNTA([2]enemies!$A:$A),MATCH(M$1,[2]enemies!$1:$1,0)-MATCH($L$1,[2]enemies!$1:$1,0)+1),MATCH(M$1,[2]enemies!$1:$1,0)-MATCH($L$1,[2]enemies!$1:$1,0)+1,FALSE)</f>
        <v>ゆらら</v>
      </c>
      <c r="N449" s="21" t="str">
        <f ca="1">VLOOKUP($L449,OFFSET([2]enemies!$A$1,0,0,COUNTA([2]enemies!$A:$A),MATCH(N$1,[2]enemies!$1:$1,0)-MATCH($L$1,[2]enemies!$1:$1,0)+1),MATCH(N$1,[2]enemies!$1:$1,0)-MATCH($L$1,[2]enemies!$1:$1,0)+1,FALSE)</f>
        <v>green</v>
      </c>
      <c r="O449" s="21" t="str">
        <f ca="1">VLOOKUP($L449,OFFSET([3]characters!$A$1,0,0,COUNTA([3]characters!$A:$A),MATCH(O$1,[3]characters!$1:$1,0)-MATCH($L$1,[3]characters!$1:$1,0)+1),MATCH(O$1,[3]characters!$1:$1,0)-MATCH($L$1,[3]characters!$1:$1,0)+1,FALSE)</f>
        <v>Drop1S</v>
      </c>
      <c r="P449" s="21" t="str">
        <f ca="1">VLOOKUP($L449,OFFSET([2]enemies!$A$1,0,0,COUNTA([2]enemies!$A:$A),MATCH(P$1,[2]enemies!$1:$1,0)-MATCH($L$1,[2]enemies!$1:$1,0)+1),MATCH(P$1,[2]enemies!$1:$1,0)-MATCH($L$1,[2]enemies!$1:$1,0)+1,FALSE)</f>
        <v>animal</v>
      </c>
      <c r="Q449" s="21">
        <f ca="1">VLOOKUP($L449,OFFSET([2]enemies!$A$1,0,0,COUNTA([2]enemies!$A:$A),MATCH(Q$1,[2]enemies!$1:$1,0)-MATCH($L$1,[2]enemies!$1:$1,0)+1),MATCH(Q$1,[2]enemies!$1:$1,0)-MATCH($L$1,[2]enemies!$1:$1,0)+1,FALSE)</f>
        <v>15</v>
      </c>
      <c r="R449" s="53">
        <v>54</v>
      </c>
      <c r="S449" s="27">
        <v>1</v>
      </c>
      <c r="T449" s="27">
        <v>1</v>
      </c>
      <c r="U449" s="5">
        <v>0</v>
      </c>
      <c r="V449" s="4" t="str">
        <f ca="1">VLOOKUP($W449,OFFSET([4]enemy_skill_sets!$B$1,0,0,COUNTA([4]enemy_skill_sets!$B:$B),MATCH(M$1,[4]enemy_skill_sets!$1:$1,0)-MATCH($W$1,[4]enemy_skill_sets!$1:$1,0)+2),MATCH(M$1,[4]enemy_skill_sets!$1:$1,0)-MATCH($W$1,[4]enemy_skill_sets!$1:$1,0)+2,FALSE)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449" s="64">
        <v>362</v>
      </c>
      <c r="X449" s="6">
        <v>0</v>
      </c>
      <c r="Y449" s="6">
        <v>100</v>
      </c>
      <c r="Z449" s="6">
        <v>0</v>
      </c>
      <c r="AA449" s="4">
        <f ca="1">VLOOKUP($L449,OFFSET([2]enemies!$A$1,0,0,COUNTA([2]enemies!$A:$A),MATCH(AA$1,[2]enemies!$1:$1,0)-MATCH($L$1,[2]enemies!$1:$1,0)+1),MATCH(AA$1,[2]enemies!$1:$1,0)-MATCH($L$1,[2]enemies!$1:$1,0)+1,FALSE)</f>
        <v>3</v>
      </c>
      <c r="AB449" s="52">
        <v>362</v>
      </c>
      <c r="AC449" s="4" t="str">
        <f ca="1">VLOOKUP($AB449,OFFSET([3]characters!$A$1,0,0,COUNTA([3]characters!$A:$A),MATCH(AC$1,[3]characters!$1:$1,0)-MATCH("character_id",[3]characters!$1:$1,0)+1),MATCH(AC$1,[3]characters!$1:$1,0)-MATCH("character_id",[3]characters!$1:$1,0)+1,FALSE)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449" s="4">
        <f ca="1">VLOOKUP($AB449,OFFSET([3]characters!$A$1,0,0,COUNTA([3]characters!$A:$A),MATCH(AD$1,[3]characters!$1:$1,0)-MATCH("character_id",[3]characters!$1:$1,0)+1),MATCH(AD$1,[3]characters!$1:$1,0)-MATCH("character_id",[3]characters!$1:$1,0)+1,FALSE)</f>
        <v>2</v>
      </c>
      <c r="AE449" s="4" t="str">
        <f ca="1">VLOOKUP($AB449,OFFSET([3]characters!$A$1,0,0,COUNTA([3]characters!$A:$A),MATCH(AE$1,[3]characters!$1:$1,0)-MATCH("character_id",[3]characters!$1:$1,0)+1),MATCH(AE$1,[3]characters!$1:$1,0)-MATCH("character_id",[3]characters!$1:$1,0)+1,FALSE)</f>
        <v>Drop1S</v>
      </c>
      <c r="AF449" s="7">
        <v>7</v>
      </c>
      <c r="AG449" s="26">
        <f t="shared" ca="1" si="465"/>
        <v>2</v>
      </c>
      <c r="AH449" s="8">
        <v>20</v>
      </c>
      <c r="AI449" s="7">
        <v>0</v>
      </c>
      <c r="AJ449" s="7">
        <v>0</v>
      </c>
      <c r="AK449" s="7">
        <v>0</v>
      </c>
      <c r="AL449" s="7">
        <v>0</v>
      </c>
      <c r="AM449" s="7">
        <v>1</v>
      </c>
    </row>
    <row r="450" spans="1:39" ht="14" x14ac:dyDescent="0.15">
      <c r="A450" s="18" t="str">
        <f t="shared" ca="1" si="512"/>
        <v>24_5-4/366&lt;lv52&gt;s3</v>
      </c>
      <c r="B450" s="53">
        <v>24</v>
      </c>
      <c r="C450" s="51">
        <v>5</v>
      </c>
      <c r="D450" s="2" t="str">
        <f t="shared" si="530"/>
        <v>24_5</v>
      </c>
      <c r="E450" s="2" t="str">
        <f t="shared" si="531"/>
        <v>5_24_5</v>
      </c>
      <c r="F450" s="4" t="str">
        <f ca="1">VLOOKUP($D450,OFFSET([1]stages!$A$1,0,0,COUNTA([1]stages!$A:$A),MATCH(F$1,[1]stages!$2:$2,0)-MATCH($D$1,[1]stages!$2:$2,0)+1),MATCH(F$1,[1]stages!$2:$2,0)-MATCH($D$1,[1]stages!$2:$2,0)+1,FALSE)</f>
        <v>24-5．決戦のヘヴン</v>
      </c>
      <c r="G450" s="54">
        <v>4</v>
      </c>
      <c r="H450" s="17" t="str">
        <f t="shared" si="532"/>
        <v>24_5-4</v>
      </c>
      <c r="I450" s="17"/>
      <c r="J450" s="17"/>
      <c r="K450" s="65" t="s">
        <v>56</v>
      </c>
      <c r="L450" s="52">
        <v>366</v>
      </c>
      <c r="M450" s="21" t="str">
        <f ca="1">VLOOKUP($L450,OFFSET([2]enemies!$A$1,0,0,COUNTA([2]enemies!$A:$A),MATCH(M$1,[2]enemies!$1:$1,0)-MATCH($L$1,[2]enemies!$1:$1,0)+1),MATCH(M$1,[2]enemies!$1:$1,0)-MATCH($L$1,[2]enemies!$1:$1,0)+1,FALSE)</f>
        <v>トト</v>
      </c>
      <c r="N450" s="21" t="str">
        <f ca="1">VLOOKUP($L450,OFFSET([2]enemies!$A$1,0,0,COUNTA([2]enemies!$A:$A),MATCH(N$1,[2]enemies!$1:$1,0)-MATCH($L$1,[2]enemies!$1:$1,0)+1),MATCH(N$1,[2]enemies!$1:$1,0)-MATCH($L$1,[2]enemies!$1:$1,0)+1,FALSE)</f>
        <v>yellow</v>
      </c>
      <c r="O450" s="21" t="str">
        <f ca="1">VLOOKUP($L450,OFFSET([3]characters!$A$1,0,0,COUNTA([3]characters!$A:$A),MATCH(O$1,[3]characters!$1:$1,0)-MATCH($L$1,[3]characters!$1:$1,0)+1),MATCH(O$1,[3]characters!$1:$1,0)-MATCH($L$1,[3]characters!$1:$1,0)+1,FALSE)</f>
        <v>Drop1S</v>
      </c>
      <c r="P450" s="21" t="str">
        <f ca="1">VLOOKUP($L450,OFFSET([2]enemies!$A$1,0,0,COUNTA([2]enemies!$A:$A),MATCH(P$1,[2]enemies!$1:$1,0)-MATCH($L$1,[2]enemies!$1:$1,0)+1),MATCH(P$1,[2]enemies!$1:$1,0)-MATCH($L$1,[2]enemies!$1:$1,0)+1,FALSE)</f>
        <v>animal</v>
      </c>
      <c r="Q450" s="21">
        <f ca="1">VLOOKUP($L450,OFFSET([2]enemies!$A$1,0,0,COUNTA([2]enemies!$A:$A),MATCH(Q$1,[2]enemies!$1:$1,0)-MATCH($L$1,[2]enemies!$1:$1,0)+1),MATCH(Q$1,[2]enemies!$1:$1,0)-MATCH($L$1,[2]enemies!$1:$1,0)+1,FALSE)</f>
        <v>15</v>
      </c>
      <c r="R450" s="53">
        <v>52</v>
      </c>
      <c r="S450" s="27">
        <v>1.1000000000000001</v>
      </c>
      <c r="T450" s="27">
        <v>1</v>
      </c>
      <c r="U450" s="5">
        <v>0</v>
      </c>
      <c r="V450" s="4" t="str">
        <f ca="1">VLOOKUP($W450,OFFSET([4]enemy_skill_sets!$B$1,0,0,COUNTA([4]enemy_skill_sets!$B:$B),MATCH(M$1,[4]enemy_skill_sets!$1:$1,0)-MATCH($W$1,[4]enemy_skill_sets!$1:$1,0)+2),MATCH(M$1,[4]enemy_skill_sets!$1:$1,0)-MATCH($W$1,[4]enemy_skill_sets!$1:$1,0)+2,FALSE)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450" s="64">
        <v>366</v>
      </c>
      <c r="X450" s="6">
        <v>0</v>
      </c>
      <c r="Y450" s="6">
        <v>100</v>
      </c>
      <c r="Z450" s="6">
        <v>0</v>
      </c>
      <c r="AA450" s="4">
        <f ca="1">VLOOKUP($L450,OFFSET([2]enemies!$A$1,0,0,COUNTA([2]enemies!$A:$A),MATCH(AA$1,[2]enemies!$1:$1,0)-MATCH($L$1,[2]enemies!$1:$1,0)+1),MATCH(AA$1,[2]enemies!$1:$1,0)-MATCH($L$1,[2]enemies!$1:$1,0)+1,FALSE)</f>
        <v>3</v>
      </c>
      <c r="AB450" s="52">
        <v>366</v>
      </c>
      <c r="AC450" s="4" t="str">
        <f ca="1">VLOOKUP($AB450,OFFSET([3]characters!$A$1,0,0,COUNTA([3]characters!$A:$A),MATCH(AC$1,[3]characters!$1:$1,0)-MATCH("character_id",[3]characters!$1:$1,0)+1),MATCH(AC$1,[3]characters!$1:$1,0)-MATCH("character_id",[3]characters!$1:$1,0)+1,FALSE)</f>
        <v>トト</v>
      </c>
      <c r="AD450" s="4">
        <f ca="1">VLOOKUP($AB450,OFFSET([3]characters!$A$1,0,0,COUNTA([3]characters!$A:$A),MATCH(AD$1,[3]characters!$1:$1,0)-MATCH("character_id",[3]characters!$1:$1,0)+1),MATCH(AD$1,[3]characters!$1:$1,0)-MATCH("character_id",[3]characters!$1:$1,0)+1,FALSE)</f>
        <v>2</v>
      </c>
      <c r="AE450" s="4" t="str">
        <f ca="1">VLOOKUP($AB450,OFFSET([3]characters!$A$1,0,0,COUNTA([3]characters!$A:$A),MATCH(AE$1,[3]characters!$1:$1,0)-MATCH("character_id",[3]characters!$1:$1,0)+1),MATCH(AE$1,[3]characters!$1:$1,0)-MATCH("character_id",[3]characters!$1:$1,0)+1,FALSE)</f>
        <v>Drop1S</v>
      </c>
      <c r="AF450" s="7">
        <v>5</v>
      </c>
      <c r="AG450" s="26">
        <f t="shared" ca="1" si="465"/>
        <v>2</v>
      </c>
      <c r="AH450" s="8">
        <v>20</v>
      </c>
      <c r="AI450" s="7">
        <v>0</v>
      </c>
      <c r="AJ450" s="7">
        <v>0</v>
      </c>
      <c r="AK450" s="7">
        <v>0</v>
      </c>
      <c r="AL450" s="7">
        <v>0</v>
      </c>
      <c r="AM450" s="7">
        <v>1</v>
      </c>
    </row>
    <row r="451" spans="1:39" ht="14" x14ac:dyDescent="0.15">
      <c r="A451" s="18" t="str">
        <f t="shared" ca="1" si="512"/>
        <v>24_5-4/354&lt;lv52&gt;s3</v>
      </c>
      <c r="B451" s="53">
        <v>24</v>
      </c>
      <c r="C451" s="51">
        <v>5</v>
      </c>
      <c r="D451" s="2" t="str">
        <f t="shared" ref="D451" si="533">B451&amp;"_"&amp;C451</f>
        <v>24_5</v>
      </c>
      <c r="E451" s="2" t="str">
        <f t="shared" ref="E451" si="534">C451&amp;"_"&amp;D451</f>
        <v>5_24_5</v>
      </c>
      <c r="F451" s="4" t="str">
        <f ca="1">VLOOKUP($D451,OFFSET([1]stages!$A$1,0,0,COUNTA([1]stages!$A:$A),MATCH(F$1,[1]stages!$2:$2,0)-MATCH($D$1,[1]stages!$2:$2,0)+1),MATCH(F$1,[1]stages!$2:$2,0)-MATCH($D$1,[1]stages!$2:$2,0)+1,FALSE)</f>
        <v>24-5．決戦のヘヴン</v>
      </c>
      <c r="G451" s="54">
        <v>4</v>
      </c>
      <c r="H451" s="17" t="str">
        <f t="shared" ref="H451" si="535">B451&amp;"_"&amp;C451&amp;"-"&amp;G451</f>
        <v>24_5-4</v>
      </c>
      <c r="I451" s="17"/>
      <c r="J451" s="17"/>
      <c r="K451" s="65" t="s">
        <v>56</v>
      </c>
      <c r="L451" s="52">
        <v>354</v>
      </c>
      <c r="M451" s="21" t="str">
        <f ca="1">VLOOKUP($L451,OFFSET([2]enemies!$A$1,0,0,COUNTA([2]enemies!$A:$A),MATCH(M$1,[2]enemies!$1:$1,0)-MATCH($L$1,[2]enemies!$1:$1,0)+1),MATCH(M$1,[2]enemies!$1:$1,0)-MATCH($L$1,[2]enemies!$1:$1,0)+1,FALSE)</f>
        <v>雷のケロケロ</v>
      </c>
      <c r="N451" s="21" t="str">
        <f ca="1">VLOOKUP($L451,OFFSET([2]enemies!$A$1,0,0,COUNTA([2]enemies!$A:$A),MATCH(N$1,[2]enemies!$1:$1,0)-MATCH($L$1,[2]enemies!$1:$1,0)+1),MATCH(N$1,[2]enemies!$1:$1,0)-MATCH($L$1,[2]enemies!$1:$1,0)+1,FALSE)</f>
        <v>yellow</v>
      </c>
      <c r="O451" s="21" t="str">
        <f ca="1">VLOOKUP($L451,OFFSET([3]characters!$A$1,0,0,COUNTA([3]characters!$A:$A),MATCH(O$1,[3]characters!$1:$1,0)-MATCH($L$1,[3]characters!$1:$1,0)+1),MATCH(O$1,[3]characters!$1:$1,0)-MATCH($L$1,[3]characters!$1:$1,0)+1,FALSE)</f>
        <v>Material</v>
      </c>
      <c r="P451" s="21" t="str">
        <f ca="1">VLOOKUP($L451,OFFSET([2]enemies!$A$1,0,0,COUNTA([2]enemies!$A:$A),MATCH(P$1,[2]enemies!$1:$1,0)-MATCH($L$1,[2]enemies!$1:$1,0)+1),MATCH(P$1,[2]enemies!$1:$1,0)-MATCH($L$1,[2]enemies!$1:$1,0)+1,FALSE)</f>
        <v>unknown</v>
      </c>
      <c r="Q451" s="21">
        <f ca="1">VLOOKUP($L451,OFFSET([2]enemies!$A$1,0,0,COUNTA([2]enemies!$A:$A),MATCH(Q$1,[2]enemies!$1:$1,0)-MATCH($L$1,[2]enemies!$1:$1,0)+1),MATCH(Q$1,[2]enemies!$1:$1,0)-MATCH($L$1,[2]enemies!$1:$1,0)+1,FALSE)</f>
        <v>15</v>
      </c>
      <c r="R451" s="53">
        <v>52</v>
      </c>
      <c r="S451" s="27">
        <v>1</v>
      </c>
      <c r="T451" s="27">
        <v>1</v>
      </c>
      <c r="U451" s="5">
        <v>0</v>
      </c>
      <c r="V451" s="4" t="str">
        <f ca="1">VLOOKUP($W451,OFFSET([4]enemy_skill_sets!$B$1,0,0,COUNTA([4]enemy_skill_sets!$B:$B),MATCH(M$1,[4]enemy_skill_sets!$1:$1,0)-MATCH($W$1,[4]enemy_skill_sets!$1:$1,0)+2),MATCH(M$1,[4]enemy_skill_sets!$1:$1,0)-MATCH($W$1,[4]enemy_skill_sets!$1:$1,0)+2,FALSE)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451" s="64">
        <v>354</v>
      </c>
      <c r="X451" s="6">
        <v>1</v>
      </c>
      <c r="Y451" s="6">
        <v>100</v>
      </c>
      <c r="Z451" s="6">
        <v>0</v>
      </c>
      <c r="AA451" s="4">
        <f ca="1">VLOOKUP($L451,OFFSET([2]enemies!$A$1,0,0,COUNTA([2]enemies!$A:$A),MATCH(AA$1,[2]enemies!$1:$1,0)-MATCH($L$1,[2]enemies!$1:$1,0)+1),MATCH(AA$1,[2]enemies!$1:$1,0)-MATCH($L$1,[2]enemies!$1:$1,0)+1,FALSE)</f>
        <v>3</v>
      </c>
      <c r="AB451" s="52">
        <v>354</v>
      </c>
      <c r="AC451" s="4" t="str">
        <f ca="1">VLOOKUP($AB451,OFFSET([3]characters!$A$1,0,0,COUNTA([3]characters!$A:$A),MATCH(AC$1,[3]characters!$1:$1,0)-MATCH("character_id",[3]characters!$1:$1,0)+1),MATCH(AC$1,[3]characters!$1:$1,0)-MATCH("character_id",[3]characters!$1:$1,0)+1,FALSE)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451" s="4">
        <f ca="1">VLOOKUP($AB451,OFFSET([3]characters!$A$1,0,0,COUNTA([3]characters!$A:$A),MATCH(AD$1,[3]characters!$1:$1,0)-MATCH("character_id",[3]characters!$1:$1,0)+1),MATCH(AD$1,[3]characters!$1:$1,0)-MATCH("character_id",[3]characters!$1:$1,0)+1,FALSE)</f>
        <v>2</v>
      </c>
      <c r="AE451" s="4" t="str">
        <f ca="1">VLOOKUP($AB451,OFFSET([3]characters!$A$1,0,0,COUNTA([3]characters!$A:$A),MATCH(AE$1,[3]characters!$1:$1,0)-MATCH("character_id",[3]characters!$1:$1,0)+1),MATCH(AE$1,[3]characters!$1:$1,0)-MATCH("character_id",[3]characters!$1:$1,0)+1,FALSE)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51" s="7">
        <v>10</v>
      </c>
      <c r="AG451" s="26">
        <f t="shared" ref="AG451:AG514" ca="1" si="536">AD451</f>
        <v>2</v>
      </c>
      <c r="AH451" s="8">
        <v>100</v>
      </c>
      <c r="AI451" s="7">
        <v>0</v>
      </c>
      <c r="AJ451" s="7">
        <v>0</v>
      </c>
      <c r="AK451" s="7">
        <v>0</v>
      </c>
      <c r="AL451" s="7">
        <v>0</v>
      </c>
      <c r="AM451" s="7">
        <v>1</v>
      </c>
    </row>
    <row r="452" spans="1:39" ht="14" x14ac:dyDescent="0.15">
      <c r="A452" s="18" t="str">
        <f t="shared" ca="1" si="512"/>
        <v>24_5-5/248&lt;lv57&gt;s2</v>
      </c>
      <c r="B452" s="50">
        <v>24</v>
      </c>
      <c r="C452" s="49">
        <v>5</v>
      </c>
      <c r="D452" s="2" t="str">
        <f t="shared" ref="D452:E499" si="537">B452&amp;"_"&amp;C452</f>
        <v>24_5</v>
      </c>
      <c r="E452" s="2" t="str">
        <f t="shared" si="537"/>
        <v>5_24_5</v>
      </c>
      <c r="F452" s="4" t="str">
        <f ca="1">VLOOKUP($D452,OFFSET([1]stages!$A$1,0,0,COUNTA([1]stages!$A:$A),MATCH(F$1,[1]stages!$2:$2,0)-MATCH($D$1,[1]stages!$2:$2,0)+1),MATCH(F$1,[1]stages!$2:$2,0)-MATCH($D$1,[1]stages!$2:$2,0)+1,FALSE)</f>
        <v>24-5．決戦のヘヴン</v>
      </c>
      <c r="G452" s="55">
        <v>5</v>
      </c>
      <c r="H452" s="17" t="str">
        <f t="shared" ref="H452:H499" si="538">B452&amp;"_"&amp;C452&amp;"-"&amp;G452</f>
        <v>24_5-5</v>
      </c>
      <c r="I452" s="17"/>
      <c r="J452" s="17"/>
      <c r="K452" s="65">
        <v>248</v>
      </c>
      <c r="L452" s="52">
        <v>248</v>
      </c>
      <c r="M452" s="21" t="str">
        <f ca="1">VLOOKUP($L452,OFFSET([2]enemies!$A$1,0,0,COUNTA([2]enemies!$A:$A),MATCH(M$1,[2]enemies!$1:$1,0)-MATCH($L$1,[2]enemies!$1:$1,0)+1),MATCH(M$1,[2]enemies!$1:$1,0)-MATCH($L$1,[2]enemies!$1:$1,0)+1,FALSE)</f>
        <v>彩電の天使 ミカエル</v>
      </c>
      <c r="N452" s="21" t="str">
        <f ca="1">VLOOKUP($L452,OFFSET([2]enemies!$A$1,0,0,COUNTA([2]enemies!$A:$A),MATCH(N$1,[2]enemies!$1:$1,0)-MATCH($L$1,[2]enemies!$1:$1,0)+1),MATCH(N$1,[2]enemies!$1:$1,0)-MATCH($L$1,[2]enemies!$1:$1,0)+1,FALSE)</f>
        <v>yellow</v>
      </c>
      <c r="O452" s="21" t="str">
        <f ca="1">VLOOKUP($L452,OFFSET([3]characters!$A$1,0,0,COUNTA([3]characters!$A:$A),MATCH(O$1,[3]characters!$1:$1,0)-MATCH($L$1,[3]characters!$1:$1,0)+1),MATCH(O$1,[3]characters!$1:$1,0)-MATCH($L$1,[3]characters!$1:$1,0)+1,FALSE)</f>
        <v>PremiumS</v>
      </c>
      <c r="P452" s="21" t="str">
        <f ca="1">VLOOKUP($L452,OFFSET([2]enemies!$A$1,0,0,COUNTA([2]enemies!$A:$A),MATCH(P$1,[2]enemies!$1:$1,0)-MATCH($L$1,[2]enemies!$1:$1,0)+1),MATCH(P$1,[2]enemies!$1:$1,0)-MATCH($L$1,[2]enemies!$1:$1,0)+1,FALSE)</f>
        <v>machine</v>
      </c>
      <c r="Q452" s="21">
        <f ca="1">VLOOKUP($L452,OFFSET([2]enemies!$A$1,0,0,COUNTA([2]enemies!$A:$A),MATCH(Q$1,[2]enemies!$1:$1,0)-MATCH($L$1,[2]enemies!$1:$1,0)+1),MATCH(Q$1,[2]enemies!$1:$1,0)-MATCH($L$1,[2]enemies!$1:$1,0)+1,FALSE)</f>
        <v>30</v>
      </c>
      <c r="R452" s="53">
        <v>57</v>
      </c>
      <c r="S452" s="27">
        <v>0.9</v>
      </c>
      <c r="T452" s="27">
        <v>1</v>
      </c>
      <c r="U452" s="5">
        <v>0</v>
      </c>
      <c r="V452" s="4" t="str">
        <f ca="1">VLOOKUP($W452,OFFSET([4]enemy_skill_sets!$B$1,0,0,COUNTA([4]enemy_skill_sets!$B:$B),MATCH(M$1,[4]enemy_skill_sets!$1:$1,0)-MATCH($W$1,[4]enemy_skill_sets!$1:$1,0)+2),MATCH(M$1,[4]enemy_skill_sets!$1:$1,0)-MATCH($W$1,[4]enemy_skill_sets!$1:$1,0)+2,FALSE)</f>
        <v>タップ回数を1減少+攻撃頻度が1ターンにUP</v>
      </c>
      <c r="W452" s="64">
        <v>24801</v>
      </c>
      <c r="X452" s="6">
        <v>1</v>
      </c>
      <c r="Y452" s="6">
        <v>100</v>
      </c>
      <c r="Z452" s="6">
        <v>1</v>
      </c>
      <c r="AA452" s="4">
        <f ca="1">VLOOKUP($L452,OFFSET([2]enemies!$A$1,0,0,COUNTA([2]enemies!$A:$A),MATCH(AA$1,[2]enemies!$1:$1,0)-MATCH($L$1,[2]enemies!$1:$1,0)+1),MATCH(AA$1,[2]enemies!$1:$1,0)-MATCH($L$1,[2]enemies!$1:$1,0)+1,FALSE)</f>
        <v>2</v>
      </c>
      <c r="AB452" s="52">
        <v>247</v>
      </c>
      <c r="AC452" s="4" t="str">
        <f ca="1">VLOOKUP($AB452,OFFSET([3]characters!$A$1,0,0,COUNTA([3]characters!$A:$A),MATCH(AC$1,[3]characters!$1:$1,0)-MATCH("character_id",[3]characters!$1:$1,0)+1),MATCH(AC$1,[3]characters!$1:$1,0)-MATCH("character_id",[3]characters!$1:$1,0)+1,FALSE)</f>
        <v>ミカエル</v>
      </c>
      <c r="AD452" s="4">
        <f ca="1">VLOOKUP($AB452,OFFSET([3]characters!$A$1,0,0,COUNTA([3]characters!$A:$A),MATCH(AD$1,[3]characters!$1:$1,0)-MATCH("character_id",[3]characters!$1:$1,0)+1),MATCH(AD$1,[3]characters!$1:$1,0)-MATCH("character_id",[3]characters!$1:$1,0)+1,FALSE)</f>
        <v>3</v>
      </c>
      <c r="AE452" s="4" t="str">
        <f ca="1">VLOOKUP($AB452,OFFSET([3]characters!$A$1,0,0,COUNTA([3]characters!$A:$A),MATCH(AE$1,[3]characters!$1:$1,0)-MATCH("character_id",[3]characters!$1:$1,0)+1),MATCH(AE$1,[3]characters!$1:$1,0)-MATCH("character_id",[3]characters!$1:$1,0)+1,FALSE)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452" s="7">
        <v>1</v>
      </c>
      <c r="AG452" s="26">
        <f t="shared" ca="1" si="536"/>
        <v>3</v>
      </c>
      <c r="AH452" s="8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1</v>
      </c>
    </row>
    <row r="453" spans="1:39" ht="14" x14ac:dyDescent="0.15">
      <c r="A453" s="18" t="str">
        <f t="shared" ca="1" si="512"/>
        <v>24_6-1/346&lt;lv1&gt;s3</v>
      </c>
      <c r="B453" s="53">
        <v>24</v>
      </c>
      <c r="C453" s="51">
        <v>6</v>
      </c>
      <c r="D453" s="2" t="str">
        <f t="shared" si="537"/>
        <v>24_6</v>
      </c>
      <c r="E453" s="2" t="str">
        <f t="shared" si="537"/>
        <v>6_24_6</v>
      </c>
      <c r="F453" s="4" t="str">
        <f ca="1">VLOOKUP($D453,OFFSET([1]stages!$A$1,0,0,COUNTA([1]stages!$A:$A),MATCH(F$1,[1]stages!$2:$2,0)-MATCH($D$1,[1]stages!$2:$2,0)+1),MATCH(F$1,[1]stages!$2:$2,0)-MATCH($D$1,[1]stages!$2:$2,0)+1,FALSE)</f>
        <v>24-6．【1回のみ】ボーナスステージ</v>
      </c>
      <c r="G453" s="51">
        <v>1</v>
      </c>
      <c r="H453" s="17" t="str">
        <f t="shared" si="538"/>
        <v>24_6-1</v>
      </c>
      <c r="I453" s="17"/>
      <c r="J453" s="17"/>
      <c r="K453" s="65" t="s">
        <v>56</v>
      </c>
      <c r="L453" s="52">
        <v>346</v>
      </c>
      <c r="M453" s="21" t="str">
        <f ca="1">VLOOKUP($L453,OFFSET([2]enemies!$A$1,0,0,COUNTA([2]enemies!$A:$A),MATCH(M$1,[2]enemies!$1:$1,0)-MATCH($L$1,[2]enemies!$1:$1,0)+1),MATCH(M$1,[2]enemies!$1:$1,0)-MATCH($L$1,[2]enemies!$1:$1,0)+1,FALSE)</f>
        <v>雷のメタルダック</v>
      </c>
      <c r="N453" s="21" t="str">
        <f ca="1">VLOOKUP($L453,OFFSET([2]enemies!$A$1,0,0,COUNTA([2]enemies!$A:$A),MATCH(N$1,[2]enemies!$1:$1,0)-MATCH($L$1,[2]enemies!$1:$1,0)+1),MATCH(N$1,[2]enemies!$1:$1,0)-MATCH($L$1,[2]enemies!$1:$1,0)+1,FALSE)</f>
        <v>yellow</v>
      </c>
      <c r="O453" s="21" t="str">
        <f ca="1">VLOOKUP($L453,OFFSET([3]characters!$A$1,0,0,COUNTA([3]characters!$A:$A),MATCH(O$1,[3]characters!$1:$1,0)-MATCH($L$1,[3]characters!$1:$1,0)+1),MATCH(O$1,[3]characters!$1:$1,0)-MATCH($L$1,[3]characters!$1:$1,0)+1,FALSE)</f>
        <v>Material</v>
      </c>
      <c r="P453" s="21" t="str">
        <f ca="1">VLOOKUP($L453,OFFSET([2]enemies!$A$1,0,0,COUNTA([2]enemies!$A:$A),MATCH(P$1,[2]enemies!$1:$1,0)-MATCH($L$1,[2]enemies!$1:$1,0)+1),MATCH(P$1,[2]enemies!$1:$1,0)-MATCH($L$1,[2]enemies!$1:$1,0)+1,FALSE)</f>
        <v>unknown</v>
      </c>
      <c r="Q453" s="21">
        <f ca="1">VLOOKUP($L453,OFFSET([2]enemies!$A$1,0,0,COUNTA([2]enemies!$A:$A),MATCH(Q$1,[2]enemies!$1:$1,0)-MATCH($L$1,[2]enemies!$1:$1,0)+1),MATCH(Q$1,[2]enemies!$1:$1,0)-MATCH($L$1,[2]enemies!$1:$1,0)+1,FALSE)</f>
        <v>20</v>
      </c>
      <c r="R453" s="53">
        <v>1</v>
      </c>
      <c r="S453" s="27">
        <v>1</v>
      </c>
      <c r="T453" s="27">
        <v>1</v>
      </c>
      <c r="U453" s="5">
        <v>0</v>
      </c>
      <c r="V453" s="4" t="str">
        <f ca="1">VLOOKUP($W453,OFFSET([4]enemy_skill_sets!$B$1,0,0,COUNTA([4]enemy_skill_sets!$B:$B),MATCH(M$1,[4]enemy_skill_sets!$1:$1,0)-MATCH($W$1,[4]enemy_skill_sets!$1:$1,0)+2),MATCH(M$1,[4]enemy_skill_sets!$1:$1,0)-MATCH($W$1,[4]enemy_skill_sets!$1:$1,0)+2,FALSE)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53" s="4">
        <f ca="1">VLOOKUP($L453,OFFSET([2]enemies!$A$1,0,0,COUNTA([2]enemies!$A:$A),MATCH(W$1,[2]enemies!$1:$1,0)-MATCH($L$1,[2]enemies!$1:$1,0)+1),MATCH(W$1,[2]enemies!$1:$1,0)-MATCH($L$1,[2]enemies!$1:$1,0)+1,FALSE)</f>
        <v>0</v>
      </c>
      <c r="X453" s="6">
        <v>0</v>
      </c>
      <c r="Y453" s="6">
        <v>100</v>
      </c>
      <c r="Z453" s="6">
        <v>0</v>
      </c>
      <c r="AA453" s="4">
        <f ca="1">VLOOKUP($L453,OFFSET([2]enemies!$A$1,0,0,COUNTA([2]enemies!$A:$A),MATCH(AA$1,[2]enemies!$1:$1,0)-MATCH($L$1,[2]enemies!$1:$1,0)+1),MATCH(AA$1,[2]enemies!$1:$1,0)-MATCH($L$1,[2]enemies!$1:$1,0)+1,FALSE)</f>
        <v>3</v>
      </c>
      <c r="AB453" s="52">
        <v>346</v>
      </c>
      <c r="AC453" s="4" t="str">
        <f ca="1">VLOOKUP($AB453,OFFSET([3]characters!$A$1,0,0,COUNTA([3]characters!$A:$A),MATCH(AC$1,[3]characters!$1:$1,0)-MATCH("character_id",[3]characters!$1:$1,0)+1),MATCH(AC$1,[3]characters!$1:$1,0)-MATCH("character_id",[3]characters!$1:$1,0)+1,FALSE)</f>
        <v>雷のメタルダック</v>
      </c>
      <c r="AD453" s="4">
        <f ca="1">VLOOKUP($AB453,OFFSET([3]characters!$A$1,0,0,COUNTA([3]characters!$A:$A),MATCH(AD$1,[3]characters!$1:$1,0)-MATCH("character_id",[3]characters!$1:$1,0)+1),MATCH(AD$1,[3]characters!$1:$1,0)-MATCH("character_id",[3]characters!$1:$1,0)+1,FALSE)</f>
        <v>5</v>
      </c>
      <c r="AE453" s="4" t="str">
        <f ca="1">VLOOKUP($AB453,OFFSET([3]characters!$A$1,0,0,COUNTA([3]characters!$A:$A),MATCH(AE$1,[3]characters!$1:$1,0)-MATCH("character_id",[3]characters!$1:$1,0)+1),MATCH(AE$1,[3]characters!$1:$1,0)-MATCH("character_id",[3]characters!$1:$1,0)+1,FALSE)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53" s="7">
        <v>1</v>
      </c>
      <c r="AG453" s="26">
        <f t="shared" ca="1" si="536"/>
        <v>5</v>
      </c>
      <c r="AH453" s="8">
        <v>100</v>
      </c>
      <c r="AI453" s="7">
        <v>0</v>
      </c>
      <c r="AJ453" s="7">
        <v>0</v>
      </c>
      <c r="AK453" s="7">
        <v>0</v>
      </c>
      <c r="AL453" s="7">
        <v>0</v>
      </c>
      <c r="AM453" s="7">
        <v>1</v>
      </c>
    </row>
    <row r="454" spans="1:39" ht="14" x14ac:dyDescent="0.15">
      <c r="A454" s="18" t="str">
        <f t="shared" ca="1" si="512"/>
        <v>24_6-2/338&lt;lv1&gt;s3</v>
      </c>
      <c r="B454" s="53">
        <v>24</v>
      </c>
      <c r="C454" s="51">
        <v>6</v>
      </c>
      <c r="D454" s="2" t="str">
        <f t="shared" si="537"/>
        <v>24_6</v>
      </c>
      <c r="E454" s="2" t="str">
        <f t="shared" si="537"/>
        <v>6_24_6</v>
      </c>
      <c r="F454" s="4" t="str">
        <f ca="1">VLOOKUP($D454,OFFSET([1]stages!$A$1,0,0,COUNTA([1]stages!$A:$A),MATCH(F$1,[1]stages!$2:$2,0)-MATCH($D$1,[1]stages!$2:$2,0)+1),MATCH(F$1,[1]stages!$2:$2,0)-MATCH($D$1,[1]stages!$2:$2,0)+1,FALSE)</f>
        <v>24-6．【1回のみ】ボーナスステージ</v>
      </c>
      <c r="G454" s="51">
        <v>2</v>
      </c>
      <c r="H454" s="17" t="str">
        <f t="shared" si="538"/>
        <v>24_6-2</v>
      </c>
      <c r="I454" s="17"/>
      <c r="J454" s="17"/>
      <c r="K454" s="65" t="s">
        <v>56</v>
      </c>
      <c r="L454" s="63">
        <v>338</v>
      </c>
      <c r="M454" s="21" t="str">
        <f ca="1">VLOOKUP($L454,OFFSET([2]enemies!$A$1,0,0,COUNTA([2]enemies!$A:$A),MATCH(M$1,[2]enemies!$1:$1,0)-MATCH($L$1,[2]enemies!$1:$1,0)+1),MATCH(M$1,[2]enemies!$1:$1,0)-MATCH($L$1,[2]enemies!$1:$1,0)+1,FALSE)</f>
        <v>森のメタルダック</v>
      </c>
      <c r="N454" s="21" t="str">
        <f ca="1">VLOOKUP($L454,OFFSET([2]enemies!$A$1,0,0,COUNTA([2]enemies!$A:$A),MATCH(N$1,[2]enemies!$1:$1,0)-MATCH($L$1,[2]enemies!$1:$1,0)+1),MATCH(N$1,[2]enemies!$1:$1,0)-MATCH($L$1,[2]enemies!$1:$1,0)+1,FALSE)</f>
        <v>green</v>
      </c>
      <c r="O454" s="21" t="str">
        <f ca="1">VLOOKUP($L454,OFFSET([3]characters!$A$1,0,0,COUNTA([3]characters!$A:$A),MATCH(O$1,[3]characters!$1:$1,0)-MATCH($L$1,[3]characters!$1:$1,0)+1),MATCH(O$1,[3]characters!$1:$1,0)-MATCH($L$1,[3]characters!$1:$1,0)+1,FALSE)</f>
        <v>Material</v>
      </c>
      <c r="P454" s="21" t="str">
        <f ca="1">VLOOKUP($L454,OFFSET([2]enemies!$A$1,0,0,COUNTA([2]enemies!$A:$A),MATCH(P$1,[2]enemies!$1:$1,0)-MATCH($L$1,[2]enemies!$1:$1,0)+1),MATCH(P$1,[2]enemies!$1:$1,0)-MATCH($L$1,[2]enemies!$1:$1,0)+1,FALSE)</f>
        <v>unknown</v>
      </c>
      <c r="Q454" s="21">
        <f ca="1">VLOOKUP($L454,OFFSET([2]enemies!$A$1,0,0,COUNTA([2]enemies!$A:$A),MATCH(Q$1,[2]enemies!$1:$1,0)-MATCH($L$1,[2]enemies!$1:$1,0)+1),MATCH(Q$1,[2]enemies!$1:$1,0)-MATCH($L$1,[2]enemies!$1:$1,0)+1,FALSE)</f>
        <v>20</v>
      </c>
      <c r="R454" s="53">
        <v>1</v>
      </c>
      <c r="S454" s="27">
        <v>1</v>
      </c>
      <c r="T454" s="27">
        <v>1</v>
      </c>
      <c r="U454" s="5">
        <v>0</v>
      </c>
      <c r="V454" s="4" t="str">
        <f ca="1">VLOOKUP($W454,OFFSET([4]enemy_skill_sets!$B$1,0,0,COUNTA([4]enemy_skill_sets!$B:$B),MATCH(M$1,[4]enemy_skill_sets!$1:$1,0)-MATCH($W$1,[4]enemy_skill_sets!$1:$1,0)+2),MATCH(M$1,[4]enemy_skill_sets!$1:$1,0)-MATCH($W$1,[4]enemy_skill_sets!$1:$1,0)+2,FALSE)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54" s="4">
        <f ca="1">VLOOKUP($L454,OFFSET([2]enemies!$A$1,0,0,COUNTA([2]enemies!$A:$A),MATCH(W$1,[2]enemies!$1:$1,0)-MATCH($L$1,[2]enemies!$1:$1,0)+1),MATCH(W$1,[2]enemies!$1:$1,0)-MATCH($L$1,[2]enemies!$1:$1,0)+1,FALSE)</f>
        <v>0</v>
      </c>
      <c r="X454" s="6">
        <v>0</v>
      </c>
      <c r="Y454" s="6">
        <v>100</v>
      </c>
      <c r="Z454" s="6">
        <v>0</v>
      </c>
      <c r="AA454" s="4">
        <f ca="1">VLOOKUP($L454,OFFSET([2]enemies!$A$1,0,0,COUNTA([2]enemies!$A:$A),MATCH(AA$1,[2]enemies!$1:$1,0)-MATCH($L$1,[2]enemies!$1:$1,0)+1),MATCH(AA$1,[2]enemies!$1:$1,0)-MATCH($L$1,[2]enemies!$1:$1,0)+1,FALSE)</f>
        <v>3</v>
      </c>
      <c r="AB454" s="63">
        <v>338</v>
      </c>
      <c r="AC454" s="4" t="str">
        <f ca="1">VLOOKUP($AB454,OFFSET([3]characters!$A$1,0,0,COUNTA([3]characters!$A:$A),MATCH(AC$1,[3]characters!$1:$1,0)-MATCH("character_id",[3]characters!$1:$1,0)+1),MATCH(AC$1,[3]characters!$1:$1,0)-MATCH("character_id",[3]characters!$1:$1,0)+1,FALSE)</f>
        <v>森のメタルダック</v>
      </c>
      <c r="AD454" s="4">
        <f ca="1">VLOOKUP($AB454,OFFSET([3]characters!$A$1,0,0,COUNTA([3]characters!$A:$A),MATCH(AD$1,[3]characters!$1:$1,0)-MATCH("character_id",[3]characters!$1:$1,0)+1),MATCH(AD$1,[3]characters!$1:$1,0)-MATCH("character_id",[3]characters!$1:$1,0)+1,FALSE)</f>
        <v>5</v>
      </c>
      <c r="AE454" s="4" t="str">
        <f ca="1">VLOOKUP($AB454,OFFSET([3]characters!$A$1,0,0,COUNTA([3]characters!$A:$A),MATCH(AE$1,[3]characters!$1:$1,0)-MATCH("character_id",[3]characters!$1:$1,0)+1),MATCH(AE$1,[3]characters!$1:$1,0)-MATCH("character_id",[3]characters!$1:$1,0)+1,FALSE)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54" s="7">
        <v>1</v>
      </c>
      <c r="AG454" s="26">
        <f t="shared" ca="1" si="536"/>
        <v>5</v>
      </c>
      <c r="AH454" s="8">
        <v>100</v>
      </c>
      <c r="AI454" s="7">
        <v>0</v>
      </c>
      <c r="AJ454" s="7">
        <v>0</v>
      </c>
      <c r="AK454" s="7">
        <v>0</v>
      </c>
      <c r="AL454" s="7">
        <v>0</v>
      </c>
      <c r="AM454" s="7">
        <v>1</v>
      </c>
    </row>
    <row r="455" spans="1:39" ht="14" x14ac:dyDescent="0.15">
      <c r="A455" s="18" t="str">
        <f t="shared" ca="1" si="512"/>
        <v>24_6-3/119&lt;lv1&gt;s3</v>
      </c>
      <c r="B455" s="53">
        <v>24</v>
      </c>
      <c r="C455" s="51">
        <v>6</v>
      </c>
      <c r="D455" s="2" t="str">
        <f t="shared" si="537"/>
        <v>24_6</v>
      </c>
      <c r="E455" s="2" t="str">
        <f t="shared" si="537"/>
        <v>6_24_6</v>
      </c>
      <c r="F455" s="4" t="str">
        <f ca="1">VLOOKUP($D455,OFFSET([1]stages!$A$1,0,0,COUNTA([1]stages!$A:$A),MATCH(F$1,[1]stages!$2:$2,0)-MATCH($D$1,[1]stages!$2:$2,0)+1),MATCH(F$1,[1]stages!$2:$2,0)-MATCH($D$1,[1]stages!$2:$2,0)+1,FALSE)</f>
        <v>24-6．【1回のみ】ボーナスステージ</v>
      </c>
      <c r="G455" s="51">
        <v>3</v>
      </c>
      <c r="H455" s="17" t="str">
        <f t="shared" si="538"/>
        <v>24_6-3</v>
      </c>
      <c r="I455" s="17"/>
      <c r="J455" s="17"/>
      <c r="K455" s="65" t="s">
        <v>56</v>
      </c>
      <c r="L455" s="52">
        <v>119</v>
      </c>
      <c r="M455" s="21" t="str">
        <f ca="1">VLOOKUP($L455,OFFSET([2]enemies!$A$1,0,0,COUNTA([2]enemies!$A:$A),MATCH(M$1,[2]enemies!$1:$1,0)-MATCH($L$1,[2]enemies!$1:$1,0)+1),MATCH(M$1,[2]enemies!$1:$1,0)-MATCH($L$1,[2]enemies!$1:$1,0)+1,FALSE)</f>
        <v>ゴールドダック</v>
      </c>
      <c r="N455" s="21" t="str">
        <f ca="1">VLOOKUP($L455,OFFSET([2]enemies!$A$1,0,0,COUNTA([2]enemies!$A:$A),MATCH(N$1,[2]enemies!$1:$1,0)-MATCH($L$1,[2]enemies!$1:$1,0)+1),MATCH(N$1,[2]enemies!$1:$1,0)-MATCH($L$1,[2]enemies!$1:$1,0)+1,FALSE)</f>
        <v>yellow</v>
      </c>
      <c r="O455" s="21" t="str">
        <f ca="1">VLOOKUP($L455,OFFSET([3]characters!$A$1,0,0,COUNTA([3]characters!$A:$A),MATCH(O$1,[3]characters!$1:$1,0)-MATCH($L$1,[3]characters!$1:$1,0)+1),MATCH(O$1,[3]characters!$1:$1,0)-MATCH($L$1,[3]characters!$1:$1,0)+1,FALSE)</f>
        <v>Material</v>
      </c>
      <c r="P455" s="21" t="str">
        <f ca="1">VLOOKUP($L455,OFFSET([2]enemies!$A$1,0,0,COUNTA([2]enemies!$A:$A),MATCH(P$1,[2]enemies!$1:$1,0)-MATCH($L$1,[2]enemies!$1:$1,0)+1),MATCH(P$1,[2]enemies!$1:$1,0)-MATCH($L$1,[2]enemies!$1:$1,0)+1,FALSE)</f>
        <v>unknown</v>
      </c>
      <c r="Q455" s="21">
        <f ca="1">VLOOKUP($L455,OFFSET([2]enemies!$A$1,0,0,COUNTA([2]enemies!$A:$A),MATCH(Q$1,[2]enemies!$1:$1,0)-MATCH($L$1,[2]enemies!$1:$1,0)+1),MATCH(Q$1,[2]enemies!$1:$1,0)-MATCH($L$1,[2]enemies!$1:$1,0)+1,FALSE)</f>
        <v>20</v>
      </c>
      <c r="R455" s="53">
        <v>1</v>
      </c>
      <c r="S455" s="27">
        <v>1</v>
      </c>
      <c r="T455" s="27">
        <v>1</v>
      </c>
      <c r="U455" s="5">
        <v>0</v>
      </c>
      <c r="V455" s="4" t="str">
        <f ca="1">VLOOKUP($W455,OFFSET([4]enemy_skill_sets!$B$1,0,0,COUNTA([4]enemy_skill_sets!$B:$B),MATCH(M$1,[4]enemy_skill_sets!$1:$1,0)-MATCH($W$1,[4]enemy_skill_sets!$1:$1,0)+2),MATCH(M$1,[4]enemy_skill_sets!$1:$1,0)-MATCH($W$1,[4]enemy_skill_sets!$1:$1,0)+2,FALSE)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55" s="4">
        <f ca="1">VLOOKUP($L455,OFFSET([2]enemies!$A$1,0,0,COUNTA([2]enemies!$A:$A),MATCH(W$1,[2]enemies!$1:$1,0)-MATCH($L$1,[2]enemies!$1:$1,0)+1),MATCH(W$1,[2]enemies!$1:$1,0)-MATCH($L$1,[2]enemies!$1:$1,0)+1,FALSE)</f>
        <v>0</v>
      </c>
      <c r="X455" s="6">
        <v>0</v>
      </c>
      <c r="Y455" s="6">
        <v>100</v>
      </c>
      <c r="Z455" s="6">
        <v>0</v>
      </c>
      <c r="AA455" s="4">
        <f ca="1">VLOOKUP($L455,OFFSET([2]enemies!$A$1,0,0,COUNTA([2]enemies!$A:$A),MATCH(AA$1,[2]enemies!$1:$1,0)-MATCH($L$1,[2]enemies!$1:$1,0)+1),MATCH(AA$1,[2]enemies!$1:$1,0)-MATCH($L$1,[2]enemies!$1:$1,0)+1,FALSE)</f>
        <v>3</v>
      </c>
      <c r="AB455" s="52">
        <v>119</v>
      </c>
      <c r="AC455" s="4" t="str">
        <f ca="1">VLOOKUP($AB455,OFFSET([3]characters!$A$1,0,0,COUNTA([3]characters!$A:$A),MATCH(AC$1,[3]characters!$1:$1,0)-MATCH("character_id",[3]characters!$1:$1,0)+1),MATCH(AC$1,[3]characters!$1:$1,0)-MATCH("character_id",[3]characters!$1:$1,0)+1,FALSE)</f>
        <v>ゴールドダック</v>
      </c>
      <c r="AD455" s="4">
        <f ca="1">VLOOKUP($AB455,OFFSET([3]characters!$A$1,0,0,COUNTA([3]characters!$A:$A),MATCH(AD$1,[3]characters!$1:$1,0)-MATCH("character_id",[3]characters!$1:$1,0)+1),MATCH(AD$1,[3]characters!$1:$1,0)-MATCH("character_id",[3]characters!$1:$1,0)+1,FALSE)</f>
        <v>5</v>
      </c>
      <c r="AE455" s="4" t="str">
        <f ca="1">VLOOKUP($AB455,OFFSET([3]characters!$A$1,0,0,COUNTA([3]characters!$A:$A),MATCH(AE$1,[3]characters!$1:$1,0)-MATCH("character_id",[3]characters!$1:$1,0)+1),MATCH(AE$1,[3]characters!$1:$1,0)-MATCH("character_id",[3]characters!$1:$1,0)+1,FALSE)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55" s="7">
        <v>1</v>
      </c>
      <c r="AG455" s="26">
        <f t="shared" ca="1" si="536"/>
        <v>5</v>
      </c>
      <c r="AH455" s="8">
        <v>100</v>
      </c>
      <c r="AI455" s="7">
        <v>0</v>
      </c>
      <c r="AJ455" s="7">
        <v>0</v>
      </c>
      <c r="AK455" s="7">
        <v>0</v>
      </c>
      <c r="AL455" s="7">
        <v>0</v>
      </c>
      <c r="AM455" s="7">
        <v>1</v>
      </c>
    </row>
    <row r="456" spans="1:39" ht="14" x14ac:dyDescent="0.15">
      <c r="A456" s="18" t="str">
        <f t="shared" ca="1" si="512"/>
        <v>24_6-4/346&lt;lv1&gt;s3</v>
      </c>
      <c r="B456" s="53">
        <v>24</v>
      </c>
      <c r="C456" s="51">
        <v>6</v>
      </c>
      <c r="D456" s="2" t="str">
        <f t="shared" si="537"/>
        <v>24_6</v>
      </c>
      <c r="E456" s="2" t="str">
        <f t="shared" si="537"/>
        <v>6_24_6</v>
      </c>
      <c r="F456" s="4" t="str">
        <f ca="1">VLOOKUP($D456,OFFSET([1]stages!$A$1,0,0,COUNTA([1]stages!$A:$A),MATCH(F$1,[1]stages!$2:$2,0)-MATCH($D$1,[1]stages!$2:$2,0)+1),MATCH(F$1,[1]stages!$2:$2,0)-MATCH($D$1,[1]stages!$2:$2,0)+1,FALSE)</f>
        <v>24-6．【1回のみ】ボーナスステージ</v>
      </c>
      <c r="G456" s="51">
        <v>4</v>
      </c>
      <c r="H456" s="17" t="str">
        <f t="shared" si="538"/>
        <v>24_6-4</v>
      </c>
      <c r="I456" s="17"/>
      <c r="J456" s="17"/>
      <c r="K456" s="65" t="s">
        <v>56</v>
      </c>
      <c r="L456" s="63">
        <v>346</v>
      </c>
      <c r="M456" s="21" t="str">
        <f ca="1">VLOOKUP($L456,OFFSET([2]enemies!$A$1,0,0,COUNTA([2]enemies!$A:$A),MATCH(M$1,[2]enemies!$1:$1,0)-MATCH($L$1,[2]enemies!$1:$1,0)+1),MATCH(M$1,[2]enemies!$1:$1,0)-MATCH($L$1,[2]enemies!$1:$1,0)+1,FALSE)</f>
        <v>雷のメタルダック</v>
      </c>
      <c r="N456" s="21" t="str">
        <f ca="1">VLOOKUP($L456,OFFSET([2]enemies!$A$1,0,0,COUNTA([2]enemies!$A:$A),MATCH(N$1,[2]enemies!$1:$1,0)-MATCH($L$1,[2]enemies!$1:$1,0)+1),MATCH(N$1,[2]enemies!$1:$1,0)-MATCH($L$1,[2]enemies!$1:$1,0)+1,FALSE)</f>
        <v>yellow</v>
      </c>
      <c r="O456" s="21" t="str">
        <f ca="1">VLOOKUP($L456,OFFSET([3]characters!$A$1,0,0,COUNTA([3]characters!$A:$A),MATCH(O$1,[3]characters!$1:$1,0)-MATCH($L$1,[3]characters!$1:$1,0)+1),MATCH(O$1,[3]characters!$1:$1,0)-MATCH($L$1,[3]characters!$1:$1,0)+1,FALSE)</f>
        <v>Material</v>
      </c>
      <c r="P456" s="21" t="str">
        <f ca="1">VLOOKUP($L456,OFFSET([2]enemies!$A$1,0,0,COUNTA([2]enemies!$A:$A),MATCH(P$1,[2]enemies!$1:$1,0)-MATCH($L$1,[2]enemies!$1:$1,0)+1),MATCH(P$1,[2]enemies!$1:$1,0)-MATCH($L$1,[2]enemies!$1:$1,0)+1,FALSE)</f>
        <v>unknown</v>
      </c>
      <c r="Q456" s="21">
        <f ca="1">VLOOKUP($L456,OFFSET([2]enemies!$A$1,0,0,COUNTA([2]enemies!$A:$A),MATCH(Q$1,[2]enemies!$1:$1,0)-MATCH($L$1,[2]enemies!$1:$1,0)+1),MATCH(Q$1,[2]enemies!$1:$1,0)-MATCH($L$1,[2]enemies!$1:$1,0)+1,FALSE)</f>
        <v>20</v>
      </c>
      <c r="R456" s="53">
        <v>1</v>
      </c>
      <c r="S456" s="27">
        <v>1</v>
      </c>
      <c r="T456" s="27">
        <v>1</v>
      </c>
      <c r="U456" s="5">
        <v>0</v>
      </c>
      <c r="V456" s="4" t="str">
        <f ca="1">VLOOKUP($W456,OFFSET([4]enemy_skill_sets!$B$1,0,0,COUNTA([4]enemy_skill_sets!$B:$B),MATCH(M$1,[4]enemy_skill_sets!$1:$1,0)-MATCH($W$1,[4]enemy_skill_sets!$1:$1,0)+2),MATCH(M$1,[4]enemy_skill_sets!$1:$1,0)-MATCH($W$1,[4]enemy_skill_sets!$1:$1,0)+2,FALSE)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56" s="4">
        <f ca="1">VLOOKUP($L456,OFFSET([2]enemies!$A$1,0,0,COUNTA([2]enemies!$A:$A),MATCH(W$1,[2]enemies!$1:$1,0)-MATCH($L$1,[2]enemies!$1:$1,0)+1),MATCH(W$1,[2]enemies!$1:$1,0)-MATCH($L$1,[2]enemies!$1:$1,0)+1,FALSE)</f>
        <v>0</v>
      </c>
      <c r="X456" s="6">
        <v>1</v>
      </c>
      <c r="Y456" s="6">
        <v>100</v>
      </c>
      <c r="Z456" s="6">
        <v>0</v>
      </c>
      <c r="AA456" s="4">
        <f ca="1">VLOOKUP($L456,OFFSET([2]enemies!$A$1,0,0,COUNTA([2]enemies!$A:$A),MATCH(AA$1,[2]enemies!$1:$1,0)-MATCH($L$1,[2]enemies!$1:$1,0)+1),MATCH(AA$1,[2]enemies!$1:$1,0)-MATCH($L$1,[2]enemies!$1:$1,0)+1,FALSE)</f>
        <v>3</v>
      </c>
      <c r="AB456" s="63">
        <v>346</v>
      </c>
      <c r="AC456" s="4" t="str">
        <f ca="1">VLOOKUP($AB456,OFFSET([3]characters!$A$1,0,0,COUNTA([3]characters!$A:$A),MATCH(AC$1,[3]characters!$1:$1,0)-MATCH("character_id",[3]characters!$1:$1,0)+1),MATCH(AC$1,[3]characters!$1:$1,0)-MATCH("character_id",[3]characters!$1:$1,0)+1,FALSE)</f>
        <v>雷のメタルダック</v>
      </c>
      <c r="AD456" s="4">
        <f ca="1">VLOOKUP($AB456,OFFSET([3]characters!$A$1,0,0,COUNTA([3]characters!$A:$A),MATCH(AD$1,[3]characters!$1:$1,0)-MATCH("character_id",[3]characters!$1:$1,0)+1),MATCH(AD$1,[3]characters!$1:$1,0)-MATCH("character_id",[3]characters!$1:$1,0)+1,FALSE)</f>
        <v>5</v>
      </c>
      <c r="AE456" s="4" t="str">
        <f ca="1">VLOOKUP($AB456,OFFSET([3]characters!$A$1,0,0,COUNTA([3]characters!$A:$A),MATCH(AE$1,[3]characters!$1:$1,0)-MATCH("character_id",[3]characters!$1:$1,0)+1),MATCH(AE$1,[3]characters!$1:$1,0)-MATCH("character_id",[3]characters!$1:$1,0)+1,FALSE)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56" s="7">
        <v>1</v>
      </c>
      <c r="AG456" s="26">
        <f t="shared" ca="1" si="536"/>
        <v>5</v>
      </c>
      <c r="AH456" s="8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1</v>
      </c>
    </row>
    <row r="457" spans="1:39" ht="14" x14ac:dyDescent="0.15">
      <c r="A457" s="18" t="str">
        <f t="shared" ca="1" si="512"/>
        <v>24_6-4/338&lt;lv1&gt;s3</v>
      </c>
      <c r="B457" s="53">
        <v>24</v>
      </c>
      <c r="C457" s="51">
        <v>6</v>
      </c>
      <c r="D457" s="2" t="str">
        <f t="shared" si="537"/>
        <v>24_6</v>
      </c>
      <c r="E457" s="2" t="str">
        <f t="shared" si="537"/>
        <v>6_24_6</v>
      </c>
      <c r="F457" s="4" t="str">
        <f ca="1">VLOOKUP($D457,OFFSET([1]stages!$A$1,0,0,COUNTA([1]stages!$A:$A),MATCH(F$1,[1]stages!$2:$2,0)-MATCH($D$1,[1]stages!$2:$2,0)+1),MATCH(F$1,[1]stages!$2:$2,0)-MATCH($D$1,[1]stages!$2:$2,0)+1,FALSE)</f>
        <v>24-6．【1回のみ】ボーナスステージ</v>
      </c>
      <c r="G457" s="51">
        <v>4</v>
      </c>
      <c r="H457" s="17" t="str">
        <f t="shared" si="538"/>
        <v>24_6-4</v>
      </c>
      <c r="I457" s="17"/>
      <c r="J457" s="17"/>
      <c r="K457" s="65" t="s">
        <v>56</v>
      </c>
      <c r="L457" s="63">
        <v>338</v>
      </c>
      <c r="M457" s="21" t="str">
        <f ca="1">VLOOKUP($L457,OFFSET([2]enemies!$A$1,0,0,COUNTA([2]enemies!$A:$A),MATCH(M$1,[2]enemies!$1:$1,0)-MATCH($L$1,[2]enemies!$1:$1,0)+1),MATCH(M$1,[2]enemies!$1:$1,0)-MATCH($L$1,[2]enemies!$1:$1,0)+1,FALSE)</f>
        <v>森のメタルダック</v>
      </c>
      <c r="N457" s="21" t="str">
        <f ca="1">VLOOKUP($L457,OFFSET([2]enemies!$A$1,0,0,COUNTA([2]enemies!$A:$A),MATCH(N$1,[2]enemies!$1:$1,0)-MATCH($L$1,[2]enemies!$1:$1,0)+1),MATCH(N$1,[2]enemies!$1:$1,0)-MATCH($L$1,[2]enemies!$1:$1,0)+1,FALSE)</f>
        <v>green</v>
      </c>
      <c r="O457" s="21" t="str">
        <f ca="1">VLOOKUP($L457,OFFSET([3]characters!$A$1,0,0,COUNTA([3]characters!$A:$A),MATCH(O$1,[3]characters!$1:$1,0)-MATCH($L$1,[3]characters!$1:$1,0)+1),MATCH(O$1,[3]characters!$1:$1,0)-MATCH($L$1,[3]characters!$1:$1,0)+1,FALSE)</f>
        <v>Material</v>
      </c>
      <c r="P457" s="21" t="str">
        <f ca="1">VLOOKUP($L457,OFFSET([2]enemies!$A$1,0,0,COUNTA([2]enemies!$A:$A),MATCH(P$1,[2]enemies!$1:$1,0)-MATCH($L$1,[2]enemies!$1:$1,0)+1),MATCH(P$1,[2]enemies!$1:$1,0)-MATCH($L$1,[2]enemies!$1:$1,0)+1,FALSE)</f>
        <v>unknown</v>
      </c>
      <c r="Q457" s="21">
        <f ca="1">VLOOKUP($L457,OFFSET([2]enemies!$A$1,0,0,COUNTA([2]enemies!$A:$A),MATCH(Q$1,[2]enemies!$1:$1,0)-MATCH($L$1,[2]enemies!$1:$1,0)+1),MATCH(Q$1,[2]enemies!$1:$1,0)-MATCH($L$1,[2]enemies!$1:$1,0)+1,FALSE)</f>
        <v>20</v>
      </c>
      <c r="R457" s="53">
        <v>1</v>
      </c>
      <c r="S457" s="27">
        <v>1</v>
      </c>
      <c r="T457" s="27">
        <v>1</v>
      </c>
      <c r="U457" s="5">
        <v>0</v>
      </c>
      <c r="V457" s="4" t="str">
        <f ca="1">VLOOKUP($W457,OFFSET([4]enemy_skill_sets!$B$1,0,0,COUNTA([4]enemy_skill_sets!$B:$B),MATCH(M$1,[4]enemy_skill_sets!$1:$1,0)-MATCH($W$1,[4]enemy_skill_sets!$1:$1,0)+2),MATCH(M$1,[4]enemy_skill_sets!$1:$1,0)-MATCH($W$1,[4]enemy_skill_sets!$1:$1,0)+2,FALSE)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57" s="4">
        <f ca="1">VLOOKUP($L457,OFFSET([2]enemies!$A$1,0,0,COUNTA([2]enemies!$A:$A),MATCH(W$1,[2]enemies!$1:$1,0)-MATCH($L$1,[2]enemies!$1:$1,0)+1),MATCH(W$1,[2]enemies!$1:$1,0)-MATCH($L$1,[2]enemies!$1:$1,0)+1,FALSE)</f>
        <v>0</v>
      </c>
      <c r="X457" s="6">
        <v>1</v>
      </c>
      <c r="Y457" s="6">
        <v>100</v>
      </c>
      <c r="Z457" s="6">
        <v>0</v>
      </c>
      <c r="AA457" s="4">
        <f ca="1">VLOOKUP($L457,OFFSET([2]enemies!$A$1,0,0,COUNTA([2]enemies!$A:$A),MATCH(AA$1,[2]enemies!$1:$1,0)-MATCH($L$1,[2]enemies!$1:$1,0)+1),MATCH(AA$1,[2]enemies!$1:$1,0)-MATCH($L$1,[2]enemies!$1:$1,0)+1,FALSE)</f>
        <v>3</v>
      </c>
      <c r="AB457" s="63">
        <v>338</v>
      </c>
      <c r="AC457" s="4" t="str">
        <f ca="1">VLOOKUP($AB457,OFFSET([3]characters!$A$1,0,0,COUNTA([3]characters!$A:$A),MATCH(AC$1,[3]characters!$1:$1,0)-MATCH("character_id",[3]characters!$1:$1,0)+1),MATCH(AC$1,[3]characters!$1:$1,0)-MATCH("character_id",[3]characters!$1:$1,0)+1,FALSE)</f>
        <v>森のメタルダック</v>
      </c>
      <c r="AD457" s="4">
        <f ca="1">VLOOKUP($AB457,OFFSET([3]characters!$A$1,0,0,COUNTA([3]characters!$A:$A),MATCH(AD$1,[3]characters!$1:$1,0)-MATCH("character_id",[3]characters!$1:$1,0)+1),MATCH(AD$1,[3]characters!$1:$1,0)-MATCH("character_id",[3]characters!$1:$1,0)+1,FALSE)</f>
        <v>5</v>
      </c>
      <c r="AE457" s="4" t="str">
        <f ca="1">VLOOKUP($AB457,OFFSET([3]characters!$A$1,0,0,COUNTA([3]characters!$A:$A),MATCH(AE$1,[3]characters!$1:$1,0)-MATCH("character_id",[3]characters!$1:$1,0)+1),MATCH(AE$1,[3]characters!$1:$1,0)-MATCH("character_id",[3]characters!$1:$1,0)+1,FALSE)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57" s="7">
        <v>1</v>
      </c>
      <c r="AG457" s="26">
        <f t="shared" ca="1" si="536"/>
        <v>5</v>
      </c>
      <c r="AH457" s="8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1</v>
      </c>
    </row>
    <row r="458" spans="1:39" ht="14" x14ac:dyDescent="0.15">
      <c r="A458" s="18" t="str">
        <f t="shared" ca="1" si="512"/>
        <v>24_6-4/120&lt;lv1&gt;s4</v>
      </c>
      <c r="B458" s="53">
        <v>24</v>
      </c>
      <c r="C458" s="51">
        <v>6</v>
      </c>
      <c r="D458" s="2" t="str">
        <f t="shared" si="537"/>
        <v>24_6</v>
      </c>
      <c r="E458" s="2" t="str">
        <f t="shared" si="537"/>
        <v>6_24_6</v>
      </c>
      <c r="F458" s="4" t="str">
        <f ca="1">VLOOKUP($D458,OFFSET([1]stages!$A$1,0,0,COUNTA([1]stages!$A:$A),MATCH(F$1,[1]stages!$2:$2,0)-MATCH($D$1,[1]stages!$2:$2,0)+1),MATCH(F$1,[1]stages!$2:$2,0)-MATCH($D$1,[1]stages!$2:$2,0)+1,FALSE)</f>
        <v>24-6．【1回のみ】ボーナスステージ</v>
      </c>
      <c r="G458" s="51">
        <v>4</v>
      </c>
      <c r="H458" s="17" t="str">
        <f t="shared" si="538"/>
        <v>24_6-4</v>
      </c>
      <c r="I458" s="17"/>
      <c r="J458" s="17"/>
      <c r="K458" s="65" t="s">
        <v>56</v>
      </c>
      <c r="L458" s="63">
        <v>120</v>
      </c>
      <c r="M458" s="21" t="str">
        <f ca="1">VLOOKUP($L458,OFFSET([2]enemies!$A$1,0,0,COUNTA([2]enemies!$A:$A),MATCH(M$1,[2]enemies!$1:$1,0)-MATCH($L$1,[2]enemies!$1:$1,0)+1),MATCH(M$1,[2]enemies!$1:$1,0)-MATCH($L$1,[2]enemies!$1:$1,0)+1,FALSE)</f>
        <v>ゴールドキング</v>
      </c>
      <c r="N458" s="21" t="str">
        <f ca="1">VLOOKUP($L458,OFFSET([2]enemies!$A$1,0,0,COUNTA([2]enemies!$A:$A),MATCH(N$1,[2]enemies!$1:$1,0)-MATCH($L$1,[2]enemies!$1:$1,0)+1),MATCH(N$1,[2]enemies!$1:$1,0)-MATCH($L$1,[2]enemies!$1:$1,0)+1,FALSE)</f>
        <v>yellow</v>
      </c>
      <c r="O458" s="21" t="str">
        <f ca="1">VLOOKUP($L458,OFFSET([3]characters!$A$1,0,0,COUNTA([3]characters!$A:$A),MATCH(O$1,[3]characters!$1:$1,0)-MATCH($L$1,[3]characters!$1:$1,0)+1),MATCH(O$1,[3]characters!$1:$1,0)-MATCH($L$1,[3]characters!$1:$1,0)+1,FALSE)</f>
        <v>Material</v>
      </c>
      <c r="P458" s="21" t="str">
        <f ca="1">VLOOKUP($L458,OFFSET([2]enemies!$A$1,0,0,COUNTA([2]enemies!$A:$A),MATCH(P$1,[2]enemies!$1:$1,0)-MATCH($L$1,[2]enemies!$1:$1,0)+1),MATCH(P$1,[2]enemies!$1:$1,0)-MATCH($L$1,[2]enemies!$1:$1,0)+1,FALSE)</f>
        <v>unknown</v>
      </c>
      <c r="Q458" s="21">
        <f ca="1">VLOOKUP($L458,OFFSET([2]enemies!$A$1,0,0,COUNTA([2]enemies!$A:$A),MATCH(Q$1,[2]enemies!$1:$1,0)-MATCH($L$1,[2]enemies!$1:$1,0)+1),MATCH(Q$1,[2]enemies!$1:$1,0)-MATCH($L$1,[2]enemies!$1:$1,0)+1,FALSE)</f>
        <v>20</v>
      </c>
      <c r="R458" s="53">
        <v>1</v>
      </c>
      <c r="S458" s="27">
        <v>1</v>
      </c>
      <c r="T458" s="27">
        <v>1</v>
      </c>
      <c r="U458" s="5">
        <v>0</v>
      </c>
      <c r="V458" s="4" t="str">
        <f ca="1">VLOOKUP($W458,OFFSET([4]enemy_skill_sets!$B$1,0,0,COUNTA([4]enemy_skill_sets!$B:$B),MATCH(M$1,[4]enemy_skill_sets!$1:$1,0)-MATCH($W$1,[4]enemy_skill_sets!$1:$1,0)+2),MATCH(M$1,[4]enemy_skill_sets!$1:$1,0)-MATCH($W$1,[4]enemy_skill_sets!$1:$1,0)+2,FALSE)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58" s="4">
        <f ca="1">VLOOKUP($L458,OFFSET([2]enemies!$A$1,0,0,COUNTA([2]enemies!$A:$A),MATCH(W$1,[2]enemies!$1:$1,0)-MATCH($L$1,[2]enemies!$1:$1,0)+1),MATCH(W$1,[2]enemies!$1:$1,0)-MATCH($L$1,[2]enemies!$1:$1,0)+1,FALSE)</f>
        <v>0</v>
      </c>
      <c r="X458" s="6">
        <v>1</v>
      </c>
      <c r="Y458" s="6">
        <v>100</v>
      </c>
      <c r="Z458" s="6">
        <v>1</v>
      </c>
      <c r="AA458" s="4">
        <f ca="1">VLOOKUP($L458,OFFSET([2]enemies!$A$1,0,0,COUNTA([2]enemies!$A:$A),MATCH(AA$1,[2]enemies!$1:$1,0)-MATCH($L$1,[2]enemies!$1:$1,0)+1),MATCH(AA$1,[2]enemies!$1:$1,0)-MATCH($L$1,[2]enemies!$1:$1,0)+1,FALSE)</f>
        <v>4</v>
      </c>
      <c r="AB458" s="63">
        <v>120</v>
      </c>
      <c r="AC458" s="4" t="str">
        <f ca="1">VLOOKUP($AB458,OFFSET([3]characters!$A$1,0,0,COUNTA([3]characters!$A:$A),MATCH(AC$1,[3]characters!$1:$1,0)-MATCH("character_id",[3]characters!$1:$1,0)+1),MATCH(AC$1,[3]characters!$1:$1,0)-MATCH("character_id",[3]characters!$1:$1,0)+1,FALSE)</f>
        <v>ゴールドキング</v>
      </c>
      <c r="AD458" s="4">
        <f ca="1">VLOOKUP($AB458,OFFSET([3]characters!$A$1,0,0,COUNTA([3]characters!$A:$A),MATCH(AD$1,[3]characters!$1:$1,0)-MATCH("character_id",[3]characters!$1:$1,0)+1),MATCH(AD$1,[3]characters!$1:$1,0)-MATCH("character_id",[3]characters!$1:$1,0)+1,FALSE)</f>
        <v>6</v>
      </c>
      <c r="AE458" s="4" t="str">
        <f ca="1">VLOOKUP($AB458,OFFSET([3]characters!$A$1,0,0,COUNTA([3]characters!$A:$A),MATCH(AE$1,[3]characters!$1:$1,0)-MATCH("character_id",[3]characters!$1:$1,0)+1),MATCH(AE$1,[3]characters!$1:$1,0)-MATCH("character_id",[3]characters!$1:$1,0)+1,FALSE)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58" s="7">
        <v>1</v>
      </c>
      <c r="AG458" s="26">
        <f t="shared" ca="1" si="536"/>
        <v>6</v>
      </c>
      <c r="AH458" s="8">
        <v>100</v>
      </c>
      <c r="AI458" s="7">
        <v>0</v>
      </c>
      <c r="AJ458" s="7">
        <v>0</v>
      </c>
      <c r="AK458" s="7">
        <v>0</v>
      </c>
      <c r="AL458" s="7">
        <v>0</v>
      </c>
      <c r="AM458" s="7">
        <v>1</v>
      </c>
    </row>
    <row r="459" spans="1:39" ht="14" x14ac:dyDescent="0.15">
      <c r="A459" s="18" t="str">
        <f t="shared" ca="1" si="512"/>
        <v>24_6-5/347&lt;lv1&gt;s4</v>
      </c>
      <c r="B459" s="53">
        <v>24</v>
      </c>
      <c r="C459" s="51">
        <v>6</v>
      </c>
      <c r="D459" s="2" t="str">
        <f t="shared" si="537"/>
        <v>24_6</v>
      </c>
      <c r="E459" s="2" t="str">
        <f t="shared" si="537"/>
        <v>6_24_6</v>
      </c>
      <c r="F459" s="4" t="str">
        <f ca="1">VLOOKUP($D459,OFFSET([1]stages!$A$1,0,0,COUNTA([1]stages!$A:$A),MATCH(F$1,[1]stages!$2:$2,0)-MATCH($D$1,[1]stages!$2:$2,0)+1),MATCH(F$1,[1]stages!$2:$2,0)-MATCH($D$1,[1]stages!$2:$2,0)+1,FALSE)</f>
        <v>24-6．【1回のみ】ボーナスステージ</v>
      </c>
      <c r="G459" s="51">
        <v>5</v>
      </c>
      <c r="H459" s="17" t="str">
        <f t="shared" si="538"/>
        <v>24_6-5</v>
      </c>
      <c r="I459" s="17"/>
      <c r="J459" s="17"/>
      <c r="K459" s="65" t="s">
        <v>56</v>
      </c>
      <c r="L459" s="52">
        <v>347</v>
      </c>
      <c r="M459" s="21" t="str">
        <f ca="1">VLOOKUP($L459,OFFSET([2]enemies!$A$1,0,0,COUNTA([2]enemies!$A:$A),MATCH(M$1,[2]enemies!$1:$1,0)-MATCH($L$1,[2]enemies!$1:$1,0)+1),MATCH(M$1,[2]enemies!$1:$1,0)-MATCH($L$1,[2]enemies!$1:$1,0)+1,FALSE)</f>
        <v>雷のメタルジェントル</v>
      </c>
      <c r="N459" s="21" t="str">
        <f ca="1">VLOOKUP($L459,OFFSET([2]enemies!$A$1,0,0,COUNTA([2]enemies!$A:$A),MATCH(N$1,[2]enemies!$1:$1,0)-MATCH($L$1,[2]enemies!$1:$1,0)+1),MATCH(N$1,[2]enemies!$1:$1,0)-MATCH($L$1,[2]enemies!$1:$1,0)+1,FALSE)</f>
        <v>yellow</v>
      </c>
      <c r="O459" s="21" t="str">
        <f ca="1">VLOOKUP($L459,OFFSET([3]characters!$A$1,0,0,COUNTA([3]characters!$A:$A),MATCH(O$1,[3]characters!$1:$1,0)-MATCH($L$1,[3]characters!$1:$1,0)+1),MATCH(O$1,[3]characters!$1:$1,0)-MATCH($L$1,[3]characters!$1:$1,0)+1,FALSE)</f>
        <v>Material</v>
      </c>
      <c r="P459" s="21" t="str">
        <f ca="1">VLOOKUP($L459,OFFSET([2]enemies!$A$1,0,0,COUNTA([2]enemies!$A:$A),MATCH(P$1,[2]enemies!$1:$1,0)-MATCH($L$1,[2]enemies!$1:$1,0)+1),MATCH(P$1,[2]enemies!$1:$1,0)-MATCH($L$1,[2]enemies!$1:$1,0)+1,FALSE)</f>
        <v>unknown</v>
      </c>
      <c r="Q459" s="21">
        <f ca="1">VLOOKUP($L459,OFFSET([2]enemies!$A$1,0,0,COUNTA([2]enemies!$A:$A),MATCH(Q$1,[2]enemies!$1:$1,0)-MATCH($L$1,[2]enemies!$1:$1,0)+1),MATCH(Q$1,[2]enemies!$1:$1,0)-MATCH($L$1,[2]enemies!$1:$1,0)+1,FALSE)</f>
        <v>20</v>
      </c>
      <c r="R459" s="53">
        <v>1</v>
      </c>
      <c r="S459" s="27">
        <v>1</v>
      </c>
      <c r="T459" s="27">
        <v>1</v>
      </c>
      <c r="U459" s="5">
        <v>0</v>
      </c>
      <c r="V459" s="4" t="str">
        <f ca="1">VLOOKUP($W459,OFFSET([4]enemy_skill_sets!$B$1,0,0,COUNTA([4]enemy_skill_sets!$B:$B),MATCH(M$1,[4]enemy_skill_sets!$1:$1,0)-MATCH($W$1,[4]enemy_skill_sets!$1:$1,0)+2),MATCH(M$1,[4]enemy_skill_sets!$1:$1,0)-MATCH($W$1,[4]enemy_skill_sets!$1:$1,0)+2,FALSE)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59" s="4">
        <f ca="1">VLOOKUP($L459,OFFSET([2]enemies!$A$1,0,0,COUNTA([2]enemies!$A:$A),MATCH(W$1,[2]enemies!$1:$1,0)-MATCH($L$1,[2]enemies!$1:$1,0)+1),MATCH(W$1,[2]enemies!$1:$1,0)-MATCH($L$1,[2]enemies!$1:$1,0)+1,FALSE)</f>
        <v>0</v>
      </c>
      <c r="X459" s="6">
        <v>1</v>
      </c>
      <c r="Y459" s="6">
        <v>100</v>
      </c>
      <c r="Z459" s="6">
        <v>0</v>
      </c>
      <c r="AA459" s="4">
        <f ca="1">VLOOKUP($L459,OFFSET([2]enemies!$A$1,0,0,COUNTA([2]enemies!$A:$A),MATCH(AA$1,[2]enemies!$1:$1,0)-MATCH($L$1,[2]enemies!$1:$1,0)+1),MATCH(AA$1,[2]enemies!$1:$1,0)-MATCH($L$1,[2]enemies!$1:$1,0)+1,FALSE)</f>
        <v>4</v>
      </c>
      <c r="AB459" s="52">
        <v>347</v>
      </c>
      <c r="AC459" s="4" t="str">
        <f ca="1">VLOOKUP($AB459,OFFSET([3]characters!$A$1,0,0,COUNTA([3]characters!$A:$A),MATCH(AC$1,[3]characters!$1:$1,0)-MATCH("character_id",[3]characters!$1:$1,0)+1),MATCH(AC$1,[3]characters!$1:$1,0)-MATCH("character_id",[3]characters!$1:$1,0)+1,FALSE)</f>
        <v>雷のメタルジェントル</v>
      </c>
      <c r="AD459" s="4">
        <f ca="1">VLOOKUP($AB459,OFFSET([3]characters!$A$1,0,0,COUNTA([3]characters!$A:$A),MATCH(AD$1,[3]characters!$1:$1,0)-MATCH("character_id",[3]characters!$1:$1,0)+1),MATCH(AD$1,[3]characters!$1:$1,0)-MATCH("character_id",[3]characters!$1:$1,0)+1,FALSE)</f>
        <v>6</v>
      </c>
      <c r="AE459" s="4" t="str">
        <f ca="1">VLOOKUP($AB459,OFFSET([3]characters!$A$1,0,0,COUNTA([3]characters!$A:$A),MATCH(AE$1,[3]characters!$1:$1,0)-MATCH("character_id",[3]characters!$1:$1,0)+1),MATCH(AE$1,[3]characters!$1:$1,0)-MATCH("character_id",[3]characters!$1:$1,0)+1,FALSE)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59" s="7">
        <v>1</v>
      </c>
      <c r="AG459" s="26">
        <f t="shared" ca="1" si="536"/>
        <v>6</v>
      </c>
      <c r="AH459" s="8">
        <v>100</v>
      </c>
      <c r="AI459" s="7">
        <v>0</v>
      </c>
      <c r="AJ459" s="7">
        <v>0</v>
      </c>
      <c r="AK459" s="7">
        <v>0</v>
      </c>
      <c r="AL459" s="7">
        <v>0</v>
      </c>
      <c r="AM459" s="7">
        <v>1</v>
      </c>
    </row>
    <row r="460" spans="1:39" ht="14" x14ac:dyDescent="0.15">
      <c r="A460" s="18" t="str">
        <f t="shared" ref="A460" ca="1" si="539">B460&amp;"_"&amp;C460&amp;"-"&amp;G460&amp;"/"&amp;L460&amp;"&lt;lv"&amp;R460&amp;"&gt;s"&amp;AA460</f>
        <v>24_6-5/339&lt;lv1&gt;s4</v>
      </c>
      <c r="B460" s="53">
        <v>24</v>
      </c>
      <c r="C460" s="51">
        <v>6</v>
      </c>
      <c r="D460" s="2" t="str">
        <f t="shared" ref="D460" si="540">B460&amp;"_"&amp;C460</f>
        <v>24_6</v>
      </c>
      <c r="E460" s="2" t="str">
        <f t="shared" ref="E460" si="541">C460&amp;"_"&amp;D460</f>
        <v>6_24_6</v>
      </c>
      <c r="F460" s="4" t="str">
        <f ca="1">VLOOKUP($D460,OFFSET([1]stages!$A$1,0,0,COUNTA([1]stages!$A:$A),MATCH(F$1,[1]stages!$2:$2,0)-MATCH($D$1,[1]stages!$2:$2,0)+1),MATCH(F$1,[1]stages!$2:$2,0)-MATCH($D$1,[1]stages!$2:$2,0)+1,FALSE)</f>
        <v>24-6．【1回のみ】ボーナスステージ</v>
      </c>
      <c r="G460" s="51">
        <v>5</v>
      </c>
      <c r="H460" s="17" t="str">
        <f t="shared" si="538"/>
        <v>24_6-5</v>
      </c>
      <c r="I460" s="17"/>
      <c r="J460" s="17"/>
      <c r="K460" s="65" t="s">
        <v>56</v>
      </c>
      <c r="L460" s="52">
        <v>339</v>
      </c>
      <c r="M460" s="21" t="str">
        <f ca="1">VLOOKUP($L460,OFFSET([2]enemies!$A$1,0,0,COUNTA([2]enemies!$A:$A),MATCH(M$1,[2]enemies!$1:$1,0)-MATCH($L$1,[2]enemies!$1:$1,0)+1),MATCH(M$1,[2]enemies!$1:$1,0)-MATCH($L$1,[2]enemies!$1:$1,0)+1,FALSE)</f>
        <v>森のメタルジェントル</v>
      </c>
      <c r="N460" s="21" t="str">
        <f ca="1">VLOOKUP($L460,OFFSET([2]enemies!$A$1,0,0,COUNTA([2]enemies!$A:$A),MATCH(N$1,[2]enemies!$1:$1,0)-MATCH($L$1,[2]enemies!$1:$1,0)+1),MATCH(N$1,[2]enemies!$1:$1,0)-MATCH($L$1,[2]enemies!$1:$1,0)+1,FALSE)</f>
        <v>green</v>
      </c>
      <c r="O460" s="21" t="str">
        <f ca="1">VLOOKUP($L460,OFFSET([3]characters!$A$1,0,0,COUNTA([3]characters!$A:$A),MATCH(O$1,[3]characters!$1:$1,0)-MATCH($L$1,[3]characters!$1:$1,0)+1),MATCH(O$1,[3]characters!$1:$1,0)-MATCH($L$1,[3]characters!$1:$1,0)+1,FALSE)</f>
        <v>Material</v>
      </c>
      <c r="P460" s="21" t="str">
        <f ca="1">VLOOKUP($L460,OFFSET([2]enemies!$A$1,0,0,COUNTA([2]enemies!$A:$A),MATCH(P$1,[2]enemies!$1:$1,0)-MATCH($L$1,[2]enemies!$1:$1,0)+1),MATCH(P$1,[2]enemies!$1:$1,0)-MATCH($L$1,[2]enemies!$1:$1,0)+1,FALSE)</f>
        <v>unknown</v>
      </c>
      <c r="Q460" s="21">
        <f ca="1">VLOOKUP($L460,OFFSET([2]enemies!$A$1,0,0,COUNTA([2]enemies!$A:$A),MATCH(Q$1,[2]enemies!$1:$1,0)-MATCH($L$1,[2]enemies!$1:$1,0)+1),MATCH(Q$1,[2]enemies!$1:$1,0)-MATCH($L$1,[2]enemies!$1:$1,0)+1,FALSE)</f>
        <v>20</v>
      </c>
      <c r="R460" s="53">
        <v>1</v>
      </c>
      <c r="S460" s="27">
        <v>1</v>
      </c>
      <c r="T460" s="27">
        <v>1</v>
      </c>
      <c r="U460" s="5">
        <v>0</v>
      </c>
      <c r="V460" s="4" t="str">
        <f ca="1">VLOOKUP($W460,OFFSET([4]enemy_skill_sets!$B$1,0,0,COUNTA([4]enemy_skill_sets!$B:$B),MATCH(M$1,[4]enemy_skill_sets!$1:$1,0)-MATCH($W$1,[4]enemy_skill_sets!$1:$1,0)+2),MATCH(M$1,[4]enemy_skill_sets!$1:$1,0)-MATCH($W$1,[4]enemy_skill_sets!$1:$1,0)+2,FALSE)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60" s="4">
        <f ca="1">VLOOKUP($L460,OFFSET([2]enemies!$A$1,0,0,COUNTA([2]enemies!$A:$A),MATCH(W$1,[2]enemies!$1:$1,0)-MATCH($L$1,[2]enemies!$1:$1,0)+1),MATCH(W$1,[2]enemies!$1:$1,0)-MATCH($L$1,[2]enemies!$1:$1,0)+1,FALSE)</f>
        <v>0</v>
      </c>
      <c r="X460" s="6">
        <v>1</v>
      </c>
      <c r="Y460" s="6">
        <v>100</v>
      </c>
      <c r="Z460" s="6">
        <v>0</v>
      </c>
      <c r="AA460" s="4">
        <f ca="1">VLOOKUP($L460,OFFSET([2]enemies!$A$1,0,0,COUNTA([2]enemies!$A:$A),MATCH(AA$1,[2]enemies!$1:$1,0)-MATCH($L$1,[2]enemies!$1:$1,0)+1),MATCH(AA$1,[2]enemies!$1:$1,0)-MATCH($L$1,[2]enemies!$1:$1,0)+1,FALSE)</f>
        <v>4</v>
      </c>
      <c r="AB460" s="52">
        <v>339</v>
      </c>
      <c r="AC460" s="4" t="str">
        <f ca="1">VLOOKUP($AB460,OFFSET([3]characters!$A$1,0,0,COUNTA([3]characters!$A:$A),MATCH(AC$1,[3]characters!$1:$1,0)-MATCH("character_id",[3]characters!$1:$1,0)+1),MATCH(AC$1,[3]characters!$1:$1,0)-MATCH("character_id",[3]characters!$1:$1,0)+1,FALSE)</f>
        <v>森のメタルジェントル</v>
      </c>
      <c r="AD460" s="4">
        <f ca="1">VLOOKUP($AB460,OFFSET([3]characters!$A$1,0,0,COUNTA([3]characters!$A:$A),MATCH(AD$1,[3]characters!$1:$1,0)-MATCH("character_id",[3]characters!$1:$1,0)+1),MATCH(AD$1,[3]characters!$1:$1,0)-MATCH("character_id",[3]characters!$1:$1,0)+1,FALSE)</f>
        <v>6</v>
      </c>
      <c r="AE460" s="4" t="str">
        <f ca="1">VLOOKUP($AB460,OFFSET([3]characters!$A$1,0,0,COUNTA([3]characters!$A:$A),MATCH(AE$1,[3]characters!$1:$1,0)-MATCH("character_id",[3]characters!$1:$1,0)+1),MATCH(AE$1,[3]characters!$1:$1,0)-MATCH("character_id",[3]characters!$1:$1,0)+1,FALSE)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60" s="7">
        <v>1</v>
      </c>
      <c r="AG460" s="26">
        <f t="shared" ca="1" si="536"/>
        <v>6</v>
      </c>
      <c r="AH460" s="8">
        <v>100</v>
      </c>
      <c r="AI460" s="7">
        <v>0</v>
      </c>
      <c r="AJ460" s="7">
        <v>0</v>
      </c>
      <c r="AK460" s="7">
        <v>0</v>
      </c>
      <c r="AL460" s="7">
        <v>0</v>
      </c>
      <c r="AM460" s="7">
        <v>1</v>
      </c>
    </row>
    <row r="461" spans="1:39" ht="14" x14ac:dyDescent="0.15">
      <c r="A461" s="18" t="str">
        <f t="shared" ca="1" si="512"/>
        <v>25_1-1/25&lt;lv46&gt;s3</v>
      </c>
      <c r="B461" s="50">
        <v>25</v>
      </c>
      <c r="C461" s="49">
        <v>1</v>
      </c>
      <c r="D461" s="2" t="str">
        <f t="shared" si="537"/>
        <v>25_1</v>
      </c>
      <c r="E461" s="2" t="str">
        <f t="shared" si="537"/>
        <v>1_25_1</v>
      </c>
      <c r="F461" s="4" t="str">
        <f ca="1">VLOOKUP($D461,OFFSET([1]stages!$A$1,0,0,COUNTA([1]stages!$A:$A),MATCH(F$1,[1]stages!$2:$2,0)-MATCH($D$1,[1]stages!$2:$2,0)+1),MATCH(F$1,[1]stages!$2:$2,0)-MATCH($D$1,[1]stages!$2:$2,0)+1,FALSE)</f>
        <v>25-1．血塗られた招待状</v>
      </c>
      <c r="G461" s="56">
        <v>1</v>
      </c>
      <c r="H461" s="17" t="str">
        <f t="shared" si="538"/>
        <v>25_1-1</v>
      </c>
      <c r="I461" s="17"/>
      <c r="J461" s="17"/>
      <c r="K461" s="65" t="s">
        <v>56</v>
      </c>
      <c r="L461" s="52">
        <v>25</v>
      </c>
      <c r="M461" s="21" t="str">
        <f ca="1">VLOOKUP($L461,OFFSET([2]enemies!$A$1,0,0,COUNTA([2]enemies!$A:$A),MATCH(M$1,[2]enemies!$1:$1,0)-MATCH($L$1,[2]enemies!$1:$1,0)+1),MATCH(M$1,[2]enemies!$1:$1,0)-MATCH($L$1,[2]enemies!$1:$1,0)+1,FALSE)</f>
        <v>ハチ</v>
      </c>
      <c r="N461" s="21" t="str">
        <f ca="1">VLOOKUP($L461,OFFSET([2]enemies!$A$1,0,0,COUNTA([2]enemies!$A:$A),MATCH(N$1,[2]enemies!$1:$1,0)-MATCH($L$1,[2]enemies!$1:$1,0)+1),MATCH(N$1,[2]enemies!$1:$1,0)-MATCH($L$1,[2]enemies!$1:$1,0)+1,FALSE)</f>
        <v>blue</v>
      </c>
      <c r="O461" s="21" t="str">
        <f ca="1">VLOOKUP($L461,OFFSET([3]characters!$A$1,0,0,COUNTA([3]characters!$A:$A),MATCH(O$1,[3]characters!$1:$1,0)-MATCH($L$1,[3]characters!$1:$1,0)+1),MATCH(O$1,[3]characters!$1:$1,0)-MATCH($L$1,[3]characters!$1:$1,0)+1,FALSE)</f>
        <v>Drop1N</v>
      </c>
      <c r="P461" s="21" t="str">
        <f ca="1">VLOOKUP($L461,OFFSET([2]enemies!$A$1,0,0,COUNTA([2]enemies!$A:$A),MATCH(P$1,[2]enemies!$1:$1,0)-MATCH($L$1,[2]enemies!$1:$1,0)+1),MATCH(P$1,[2]enemies!$1:$1,0)-MATCH($L$1,[2]enemies!$1:$1,0)+1,FALSE)</f>
        <v>animal</v>
      </c>
      <c r="Q461" s="21">
        <f ca="1">VLOOKUP($L461,OFFSET([2]enemies!$A$1,0,0,COUNTA([2]enemies!$A:$A),MATCH(Q$1,[2]enemies!$1:$1,0)-MATCH($L$1,[2]enemies!$1:$1,0)+1),MATCH(Q$1,[2]enemies!$1:$1,0)-MATCH($L$1,[2]enemies!$1:$1,0)+1,FALSE)</f>
        <v>15</v>
      </c>
      <c r="R461" s="53">
        <v>46</v>
      </c>
      <c r="S461" s="27">
        <v>1</v>
      </c>
      <c r="T461" s="27">
        <v>1</v>
      </c>
      <c r="U461" s="5">
        <v>0</v>
      </c>
      <c r="V461" s="4" t="str">
        <f ca="1">VLOOKUP($W461,OFFSET([4]enemy_skill_sets!$B$1,0,0,COUNTA([4]enemy_skill_sets!$B:$B),MATCH(M$1,[4]enemy_skill_sets!$1:$1,0)-MATCH($W$1,[4]enemy_skill_sets!$1:$1,0)+2),MATCH(M$1,[4]enemy_skill_sets!$1:$1,0)-MATCH($W$1,[4]enemy_skill_sets!$1:$1,0)+2,FALSE)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61" s="4">
        <f ca="1">VLOOKUP($L461,OFFSET([2]enemies!$A$1,0,0,COUNTA([2]enemies!$A:$A),MATCH(W$1,[2]enemies!$1:$1,0)-MATCH($L$1,[2]enemies!$1:$1,0)+1),MATCH(W$1,[2]enemies!$1:$1,0)-MATCH($L$1,[2]enemies!$1:$1,0)+1,FALSE)</f>
        <v>0</v>
      </c>
      <c r="X461" s="6">
        <v>0</v>
      </c>
      <c r="Y461" s="6">
        <v>100</v>
      </c>
      <c r="Z461" s="6">
        <v>0</v>
      </c>
      <c r="AA461" s="4">
        <f ca="1">VLOOKUP($L461,OFFSET([2]enemies!$A$1,0,0,COUNTA([2]enemies!$A:$A),MATCH(AA$1,[2]enemies!$1:$1,0)-MATCH($L$1,[2]enemies!$1:$1,0)+1),MATCH(AA$1,[2]enemies!$1:$1,0)-MATCH($L$1,[2]enemies!$1:$1,0)+1,FALSE)</f>
        <v>3</v>
      </c>
      <c r="AB461" s="52">
        <v>25</v>
      </c>
      <c r="AC461" s="4" t="str">
        <f ca="1">VLOOKUP($AB461,OFFSET([3]characters!$A$1,0,0,COUNTA([3]characters!$A:$A),MATCH(AC$1,[3]characters!$1:$1,0)-MATCH("character_id",[3]characters!$1:$1,0)+1),MATCH(AC$1,[3]characters!$1:$1,0)-MATCH("character_id",[3]characters!$1:$1,0)+1,FALSE)</f>
        <v>ハチ</v>
      </c>
      <c r="AD461" s="4">
        <f ca="1">VLOOKUP($AB461,OFFSET([3]characters!$A$1,0,0,COUNTA([3]characters!$A:$A),MATCH(AD$1,[3]characters!$1:$1,0)-MATCH("character_id",[3]characters!$1:$1,0)+1),MATCH(AD$1,[3]characters!$1:$1,0)-MATCH("character_id",[3]characters!$1:$1,0)+1,FALSE)</f>
        <v>1</v>
      </c>
      <c r="AE461" s="4" t="str">
        <f ca="1">VLOOKUP($AB461,OFFSET([3]characters!$A$1,0,0,COUNTA([3]characters!$A:$A),MATCH(AE$1,[3]characters!$1:$1,0)-MATCH("character_id",[3]characters!$1:$1,0)+1),MATCH(AE$1,[3]characters!$1:$1,0)-MATCH("character_id",[3]characters!$1:$1,0)+1,FALSE)</f>
        <v>Drop1N</v>
      </c>
      <c r="AF461" s="7">
        <v>7</v>
      </c>
      <c r="AG461" s="26">
        <f t="shared" ca="1" si="536"/>
        <v>1</v>
      </c>
      <c r="AH461" s="8">
        <v>20</v>
      </c>
      <c r="AI461" s="7">
        <v>0</v>
      </c>
      <c r="AJ461" s="7">
        <v>0</v>
      </c>
      <c r="AK461" s="7">
        <v>0</v>
      </c>
      <c r="AL461" s="7">
        <v>0</v>
      </c>
      <c r="AM461" s="7">
        <v>1</v>
      </c>
    </row>
    <row r="462" spans="1:39" ht="14" x14ac:dyDescent="0.15">
      <c r="A462" s="18" t="str">
        <f t="shared" ca="1" si="512"/>
        <v>25_1-1/37&lt;lv46&gt;s3</v>
      </c>
      <c r="B462" s="50">
        <v>25</v>
      </c>
      <c r="C462" s="49">
        <v>1</v>
      </c>
      <c r="D462" s="2" t="str">
        <f t="shared" si="537"/>
        <v>25_1</v>
      </c>
      <c r="E462" s="2" t="str">
        <f t="shared" si="537"/>
        <v>1_25_1</v>
      </c>
      <c r="F462" s="4" t="str">
        <f ca="1">VLOOKUP($D462,OFFSET([1]stages!$A$1,0,0,COUNTA([1]stages!$A:$A),MATCH(F$1,[1]stages!$2:$2,0)-MATCH($D$1,[1]stages!$2:$2,0)+1),MATCH(F$1,[1]stages!$2:$2,0)-MATCH($D$1,[1]stages!$2:$2,0)+1,FALSE)</f>
        <v>25-1．血塗られた招待状</v>
      </c>
      <c r="G462" s="56">
        <v>1</v>
      </c>
      <c r="H462" s="17" t="str">
        <f t="shared" si="538"/>
        <v>25_1-1</v>
      </c>
      <c r="I462" s="17"/>
      <c r="J462" s="17"/>
      <c r="K462" s="65" t="s">
        <v>56</v>
      </c>
      <c r="L462" s="52">
        <v>37</v>
      </c>
      <c r="M462" s="21" t="str">
        <f ca="1">VLOOKUP($L462,OFFSET([2]enemies!$A$1,0,0,COUNTA([2]enemies!$A:$A),MATCH(M$1,[2]enemies!$1:$1,0)-MATCH($L$1,[2]enemies!$1:$1,0)+1),MATCH(M$1,[2]enemies!$1:$1,0)-MATCH($L$1,[2]enemies!$1:$1,0)+1,FALSE)</f>
        <v>ガイル</v>
      </c>
      <c r="N462" s="21" t="str">
        <f ca="1">VLOOKUP($L462,OFFSET([2]enemies!$A$1,0,0,COUNTA([2]enemies!$A:$A),MATCH(N$1,[2]enemies!$1:$1,0)-MATCH($L$1,[2]enemies!$1:$1,0)+1),MATCH(N$1,[2]enemies!$1:$1,0)-MATCH($L$1,[2]enemies!$1:$1,0)+1,FALSE)</f>
        <v>blue</v>
      </c>
      <c r="O462" s="21" t="str">
        <f ca="1">VLOOKUP($L462,OFFSET([3]characters!$A$1,0,0,COUNTA([3]characters!$A:$A),MATCH(O$1,[3]characters!$1:$1,0)-MATCH($L$1,[3]characters!$1:$1,0)+1),MATCH(O$1,[3]characters!$1:$1,0)-MATCH($L$1,[3]characters!$1:$1,0)+1,FALSE)</f>
        <v>Drop1S</v>
      </c>
      <c r="P462" s="21" t="str">
        <f ca="1">VLOOKUP($L462,OFFSET([2]enemies!$A$1,0,0,COUNTA([2]enemies!$A:$A),MATCH(P$1,[2]enemies!$1:$1,0)-MATCH($L$1,[2]enemies!$1:$1,0)+1),MATCH(P$1,[2]enemies!$1:$1,0)-MATCH($L$1,[2]enemies!$1:$1,0)+1,FALSE)</f>
        <v>animal</v>
      </c>
      <c r="Q462" s="21">
        <f ca="1">VLOOKUP($L462,OFFSET([2]enemies!$A$1,0,0,COUNTA([2]enemies!$A:$A),MATCH(Q$1,[2]enemies!$1:$1,0)-MATCH($L$1,[2]enemies!$1:$1,0)+1),MATCH(Q$1,[2]enemies!$1:$1,0)-MATCH($L$1,[2]enemies!$1:$1,0)+1,FALSE)</f>
        <v>15</v>
      </c>
      <c r="R462" s="53">
        <v>46</v>
      </c>
      <c r="S462" s="27">
        <v>1</v>
      </c>
      <c r="T462" s="27">
        <v>1</v>
      </c>
      <c r="U462" s="5">
        <v>0</v>
      </c>
      <c r="V462" s="4" t="str">
        <f ca="1">VLOOKUP($W462,OFFSET([4]enemy_skill_sets!$B$1,0,0,COUNTA([4]enemy_skill_sets!$B:$B),MATCH(M$1,[4]enemy_skill_sets!$1:$1,0)-MATCH($W$1,[4]enemy_skill_sets!$1:$1,0)+2),MATCH(M$1,[4]enemy_skill_sets!$1:$1,0)-MATCH($W$1,[4]enemy_skill_sets!$1:$1,0)+2,FALSE)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62" s="4">
        <f ca="1">VLOOKUP($L462,OFFSET([2]enemies!$A$1,0,0,COUNTA([2]enemies!$A:$A),MATCH(W$1,[2]enemies!$1:$1,0)-MATCH($L$1,[2]enemies!$1:$1,0)+1),MATCH(W$1,[2]enemies!$1:$1,0)-MATCH($L$1,[2]enemies!$1:$1,0)+1,FALSE)</f>
        <v>37</v>
      </c>
      <c r="X462" s="6">
        <v>0</v>
      </c>
      <c r="Y462" s="6">
        <v>100</v>
      </c>
      <c r="Z462" s="6">
        <v>0</v>
      </c>
      <c r="AA462" s="4">
        <f ca="1">VLOOKUP($L462,OFFSET([2]enemies!$A$1,0,0,COUNTA([2]enemies!$A:$A),MATCH(AA$1,[2]enemies!$1:$1,0)-MATCH($L$1,[2]enemies!$1:$1,0)+1),MATCH(AA$1,[2]enemies!$1:$1,0)-MATCH($L$1,[2]enemies!$1:$1,0)+1,FALSE)</f>
        <v>3</v>
      </c>
      <c r="AB462" s="52">
        <v>37</v>
      </c>
      <c r="AC462" s="4" t="str">
        <f ca="1">VLOOKUP($AB462,OFFSET([3]characters!$A$1,0,0,COUNTA([3]characters!$A:$A),MATCH(AC$1,[3]characters!$1:$1,0)-MATCH("character_id",[3]characters!$1:$1,0)+1),MATCH(AC$1,[3]characters!$1:$1,0)-MATCH("character_id",[3]characters!$1:$1,0)+1,FALSE)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462" s="4">
        <f ca="1">VLOOKUP($AB462,OFFSET([3]characters!$A$1,0,0,COUNTA([3]characters!$A:$A),MATCH(AD$1,[3]characters!$1:$1,0)-MATCH("character_id",[3]characters!$1:$1,0)+1),MATCH(AD$1,[3]characters!$1:$1,0)-MATCH("character_id",[3]characters!$1:$1,0)+1,FALSE)</f>
        <v>2</v>
      </c>
      <c r="AE462" s="4" t="str">
        <f ca="1">VLOOKUP($AB462,OFFSET([3]characters!$A$1,0,0,COUNTA([3]characters!$A:$A),MATCH(AE$1,[3]characters!$1:$1,0)-MATCH("character_id",[3]characters!$1:$1,0)+1),MATCH(AE$1,[3]characters!$1:$1,0)-MATCH("character_id",[3]characters!$1:$1,0)+1,FALSE)</f>
        <v>Drop1S</v>
      </c>
      <c r="AF462" s="7">
        <v>5</v>
      </c>
      <c r="AG462" s="26">
        <f t="shared" ca="1" si="536"/>
        <v>2</v>
      </c>
      <c r="AH462" s="8">
        <v>20</v>
      </c>
      <c r="AI462" s="7">
        <v>0</v>
      </c>
      <c r="AJ462" s="7">
        <v>0</v>
      </c>
      <c r="AK462" s="7">
        <v>0</v>
      </c>
      <c r="AL462" s="7">
        <v>0</v>
      </c>
      <c r="AM462" s="7">
        <v>1</v>
      </c>
    </row>
    <row r="463" spans="1:39" ht="14" x14ac:dyDescent="0.15">
      <c r="A463" s="18" t="str">
        <f t="shared" ca="1" si="512"/>
        <v>25_1-1/45&lt;lv46&gt;s3</v>
      </c>
      <c r="B463" s="50">
        <v>25</v>
      </c>
      <c r="C463" s="49">
        <v>1</v>
      </c>
      <c r="D463" s="2" t="str">
        <f t="shared" si="537"/>
        <v>25_1</v>
      </c>
      <c r="E463" s="2" t="str">
        <f t="shared" si="537"/>
        <v>1_25_1</v>
      </c>
      <c r="F463" s="4" t="str">
        <f ca="1">VLOOKUP($D463,OFFSET([1]stages!$A$1,0,0,COUNTA([1]stages!$A:$A),MATCH(F$1,[1]stages!$2:$2,0)-MATCH($D$1,[1]stages!$2:$2,0)+1),MATCH(F$1,[1]stages!$2:$2,0)-MATCH($D$1,[1]stages!$2:$2,0)+1,FALSE)</f>
        <v>25-1．血塗られた招待状</v>
      </c>
      <c r="G463" s="56">
        <v>1</v>
      </c>
      <c r="H463" s="17" t="str">
        <f t="shared" si="538"/>
        <v>25_1-1</v>
      </c>
      <c r="I463" s="17"/>
      <c r="J463" s="17"/>
      <c r="K463" s="65" t="s">
        <v>56</v>
      </c>
      <c r="L463" s="52">
        <v>45</v>
      </c>
      <c r="M463" s="21" t="str">
        <f ca="1">VLOOKUP($L463,OFFSET([2]enemies!$A$1,0,0,COUNTA([2]enemies!$A:$A),MATCH(M$1,[2]enemies!$1:$1,0)-MATCH($L$1,[2]enemies!$1:$1,0)+1),MATCH(M$1,[2]enemies!$1:$1,0)-MATCH($L$1,[2]enemies!$1:$1,0)+1,FALSE)</f>
        <v>ショウイン</v>
      </c>
      <c r="N463" s="21" t="str">
        <f ca="1">VLOOKUP($L463,OFFSET([2]enemies!$A$1,0,0,COUNTA([2]enemies!$A:$A),MATCH(N$1,[2]enemies!$1:$1,0)-MATCH($L$1,[2]enemies!$1:$1,0)+1),MATCH(N$1,[2]enemies!$1:$1,0)-MATCH($L$1,[2]enemies!$1:$1,0)+1,FALSE)</f>
        <v>blue</v>
      </c>
      <c r="O463" s="21" t="str">
        <f ca="1">VLOOKUP($L463,OFFSET([3]characters!$A$1,0,0,COUNTA([3]characters!$A:$A),MATCH(O$1,[3]characters!$1:$1,0)-MATCH($L$1,[3]characters!$1:$1,0)+1),MATCH(O$1,[3]characters!$1:$1,0)-MATCH($L$1,[3]characters!$1:$1,0)+1,FALSE)</f>
        <v>Drop1N</v>
      </c>
      <c r="P463" s="21" t="str">
        <f ca="1">VLOOKUP($L463,OFFSET([2]enemies!$A$1,0,0,COUNTA([2]enemies!$A:$A),MATCH(P$1,[2]enemies!$1:$1,0)-MATCH($L$1,[2]enemies!$1:$1,0)+1),MATCH(P$1,[2]enemies!$1:$1,0)-MATCH($L$1,[2]enemies!$1:$1,0)+1,FALSE)</f>
        <v>animal</v>
      </c>
      <c r="Q463" s="21">
        <f ca="1">VLOOKUP($L463,OFFSET([2]enemies!$A$1,0,0,COUNTA([2]enemies!$A:$A),MATCH(Q$1,[2]enemies!$1:$1,0)-MATCH($L$1,[2]enemies!$1:$1,0)+1),MATCH(Q$1,[2]enemies!$1:$1,0)-MATCH($L$1,[2]enemies!$1:$1,0)+1,FALSE)</f>
        <v>15</v>
      </c>
      <c r="R463" s="53">
        <v>46</v>
      </c>
      <c r="S463" s="27">
        <v>1</v>
      </c>
      <c r="T463" s="27">
        <v>1</v>
      </c>
      <c r="U463" s="5">
        <v>0</v>
      </c>
      <c r="V463" s="4" t="str">
        <f ca="1">VLOOKUP($W463,OFFSET([4]enemy_skill_sets!$B$1,0,0,COUNTA([4]enemy_skill_sets!$B:$B),MATCH(M$1,[4]enemy_skill_sets!$1:$1,0)-MATCH($W$1,[4]enemy_skill_sets!$1:$1,0)+2),MATCH(M$1,[4]enemy_skill_sets!$1:$1,0)-MATCH($W$1,[4]enemy_skill_sets!$1:$1,0)+2,FALSE)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63" s="4">
        <f ca="1">VLOOKUP($L463,OFFSET([2]enemies!$A$1,0,0,COUNTA([2]enemies!$A:$A),MATCH(W$1,[2]enemies!$1:$1,0)-MATCH($L$1,[2]enemies!$1:$1,0)+1),MATCH(W$1,[2]enemies!$1:$1,0)-MATCH($L$1,[2]enemies!$1:$1,0)+1,FALSE)</f>
        <v>0</v>
      </c>
      <c r="X463" s="6">
        <v>0</v>
      </c>
      <c r="Y463" s="6">
        <v>100</v>
      </c>
      <c r="Z463" s="6">
        <v>0</v>
      </c>
      <c r="AA463" s="4">
        <f ca="1">VLOOKUP($L463,OFFSET([2]enemies!$A$1,0,0,COUNTA([2]enemies!$A:$A),MATCH(AA$1,[2]enemies!$1:$1,0)-MATCH($L$1,[2]enemies!$1:$1,0)+1),MATCH(AA$1,[2]enemies!$1:$1,0)-MATCH($L$1,[2]enemies!$1:$1,0)+1,FALSE)</f>
        <v>3</v>
      </c>
      <c r="AB463" s="52">
        <v>45</v>
      </c>
      <c r="AC463" s="4" t="str">
        <f ca="1">VLOOKUP($AB463,OFFSET([3]characters!$A$1,0,0,COUNTA([3]characters!$A:$A),MATCH(AC$1,[3]characters!$1:$1,0)-MATCH("character_id",[3]characters!$1:$1,0)+1),MATCH(AC$1,[3]characters!$1:$1,0)-MATCH("character_id",[3]characters!$1:$1,0)+1,FALSE)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463" s="4">
        <f ca="1">VLOOKUP($AB463,OFFSET([3]characters!$A$1,0,0,COUNTA([3]characters!$A:$A),MATCH(AD$1,[3]characters!$1:$1,0)-MATCH("character_id",[3]characters!$1:$1,0)+1),MATCH(AD$1,[3]characters!$1:$1,0)-MATCH("character_id",[3]characters!$1:$1,0)+1,FALSE)</f>
        <v>2</v>
      </c>
      <c r="AE463" s="4" t="str">
        <f ca="1">VLOOKUP($AB463,OFFSET([3]characters!$A$1,0,0,COUNTA([3]characters!$A:$A),MATCH(AE$1,[3]characters!$1:$1,0)-MATCH("character_id",[3]characters!$1:$1,0)+1),MATCH(AE$1,[3]characters!$1:$1,0)-MATCH("character_id",[3]characters!$1:$1,0)+1,FALSE)</f>
        <v>Drop1N</v>
      </c>
      <c r="AF463" s="7">
        <v>7</v>
      </c>
      <c r="AG463" s="26">
        <f t="shared" ca="1" si="536"/>
        <v>2</v>
      </c>
      <c r="AH463" s="8">
        <v>20</v>
      </c>
      <c r="AI463" s="7">
        <v>0</v>
      </c>
      <c r="AJ463" s="7">
        <v>0</v>
      </c>
      <c r="AK463" s="7">
        <v>0</v>
      </c>
      <c r="AL463" s="7">
        <v>0</v>
      </c>
      <c r="AM463" s="7">
        <v>1</v>
      </c>
    </row>
    <row r="464" spans="1:39" ht="14" x14ac:dyDescent="0.15">
      <c r="A464" s="18" t="str">
        <f t="shared" ca="1" si="512"/>
        <v>25_1-1/61&lt;lv46&gt;s2</v>
      </c>
      <c r="B464" s="50">
        <v>25</v>
      </c>
      <c r="C464" s="49">
        <v>1</v>
      </c>
      <c r="D464" s="2" t="str">
        <f t="shared" si="537"/>
        <v>25_1</v>
      </c>
      <c r="E464" s="2" t="str">
        <f t="shared" si="537"/>
        <v>1_25_1</v>
      </c>
      <c r="F464" s="4" t="str">
        <f ca="1">VLOOKUP($D464,OFFSET([1]stages!$A$1,0,0,COUNTA([1]stages!$A:$A),MATCH(F$1,[1]stages!$2:$2,0)-MATCH($D$1,[1]stages!$2:$2,0)+1),MATCH(F$1,[1]stages!$2:$2,0)-MATCH($D$1,[1]stages!$2:$2,0)+1,FALSE)</f>
        <v>25-1．血塗られた招待状</v>
      </c>
      <c r="G464" s="56">
        <v>1</v>
      </c>
      <c r="H464" s="17" t="str">
        <f t="shared" si="538"/>
        <v>25_1-1</v>
      </c>
      <c r="I464" s="17"/>
      <c r="J464" s="17"/>
      <c r="K464" s="65" t="s">
        <v>56</v>
      </c>
      <c r="L464" s="52">
        <v>61</v>
      </c>
      <c r="M464" s="21" t="str">
        <f ca="1">VLOOKUP($L464,OFFSET([2]enemies!$A$1,0,0,COUNTA([2]enemies!$A:$A),MATCH(M$1,[2]enemies!$1:$1,0)-MATCH($L$1,[2]enemies!$1:$1,0)+1),MATCH(M$1,[2]enemies!$1:$1,0)-MATCH($L$1,[2]enemies!$1:$1,0)+1,FALSE)</f>
        <v>クロウ</v>
      </c>
      <c r="N464" s="21" t="str">
        <f ca="1">VLOOKUP($L464,OFFSET([2]enemies!$A$1,0,0,COUNTA([2]enemies!$A:$A),MATCH(N$1,[2]enemies!$1:$1,0)-MATCH($L$1,[2]enemies!$1:$1,0)+1),MATCH(N$1,[2]enemies!$1:$1,0)-MATCH($L$1,[2]enemies!$1:$1,0)+1,FALSE)</f>
        <v>blue</v>
      </c>
      <c r="O464" s="21" t="str">
        <f ca="1">VLOOKUP($L464,OFFSET([3]characters!$A$1,0,0,COUNTA([3]characters!$A:$A),MATCH(O$1,[3]characters!$1:$1,0)-MATCH($L$1,[3]characters!$1:$1,0)+1),MATCH(O$1,[3]characters!$1:$1,0)-MATCH($L$1,[3]characters!$1:$1,0)+1,FALSE)</f>
        <v>Drop1N</v>
      </c>
      <c r="P464" s="21" t="str">
        <f ca="1">VLOOKUP($L464,OFFSET([2]enemies!$A$1,0,0,COUNTA([2]enemies!$A:$A),MATCH(P$1,[2]enemies!$1:$1,0)-MATCH($L$1,[2]enemies!$1:$1,0)+1),MATCH(P$1,[2]enemies!$1:$1,0)-MATCH($L$1,[2]enemies!$1:$1,0)+1,FALSE)</f>
        <v>animal</v>
      </c>
      <c r="Q464" s="21">
        <f ca="1">VLOOKUP($L464,OFFSET([2]enemies!$A$1,0,0,COUNTA([2]enemies!$A:$A),MATCH(Q$1,[2]enemies!$1:$1,0)-MATCH($L$1,[2]enemies!$1:$1,0)+1),MATCH(Q$1,[2]enemies!$1:$1,0)-MATCH($L$1,[2]enemies!$1:$1,0)+1,FALSE)</f>
        <v>15</v>
      </c>
      <c r="R464" s="53">
        <v>46</v>
      </c>
      <c r="S464" s="27">
        <v>1</v>
      </c>
      <c r="T464" s="27">
        <v>1</v>
      </c>
      <c r="U464" s="5">
        <v>0</v>
      </c>
      <c r="V464" s="4" t="str">
        <f ca="1">VLOOKUP($W464,OFFSET([4]enemy_skill_sets!$B$1,0,0,COUNTA([4]enemy_skill_sets!$B:$B),MATCH(M$1,[4]enemy_skill_sets!$1:$1,0)-MATCH($W$1,[4]enemy_skill_sets!$1:$1,0)+2),MATCH(M$1,[4]enemy_skill_sets!$1:$1,0)-MATCH($W$1,[4]enemy_skill_sets!$1:$1,0)+2,FALSE)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64" s="4">
        <f ca="1">VLOOKUP($L464,OFFSET([2]enemies!$A$1,0,0,COUNTA([2]enemies!$A:$A),MATCH(W$1,[2]enemies!$1:$1,0)-MATCH($L$1,[2]enemies!$1:$1,0)+1),MATCH(W$1,[2]enemies!$1:$1,0)-MATCH($L$1,[2]enemies!$1:$1,0)+1,FALSE)</f>
        <v>61</v>
      </c>
      <c r="X464" s="6">
        <v>0</v>
      </c>
      <c r="Y464" s="6">
        <v>100</v>
      </c>
      <c r="Z464" s="6">
        <v>0</v>
      </c>
      <c r="AA464" s="4">
        <f ca="1">VLOOKUP($L464,OFFSET([2]enemies!$A$1,0,0,COUNTA([2]enemies!$A:$A),MATCH(AA$1,[2]enemies!$1:$1,0)-MATCH($L$1,[2]enemies!$1:$1,0)+1),MATCH(AA$1,[2]enemies!$1:$1,0)-MATCH($L$1,[2]enemies!$1:$1,0)+1,FALSE)</f>
        <v>2</v>
      </c>
      <c r="AB464" s="52">
        <v>61</v>
      </c>
      <c r="AC464" s="4" t="str">
        <f ca="1">VLOOKUP($AB464,OFFSET([3]characters!$A$1,0,0,COUNTA([3]characters!$A:$A),MATCH(AC$1,[3]characters!$1:$1,0)-MATCH("character_id",[3]characters!$1:$1,0)+1),MATCH(AC$1,[3]characters!$1:$1,0)-MATCH("character_id",[3]characters!$1:$1,0)+1,FALSE)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464" s="4">
        <f ca="1">VLOOKUP($AB464,OFFSET([3]characters!$A$1,0,0,COUNTA([3]characters!$A:$A),MATCH(AD$1,[3]characters!$1:$1,0)-MATCH("character_id",[3]characters!$1:$1,0)+1),MATCH(AD$1,[3]characters!$1:$1,0)-MATCH("character_id",[3]characters!$1:$1,0)+1,FALSE)</f>
        <v>2</v>
      </c>
      <c r="AE464" s="4" t="str">
        <f ca="1">VLOOKUP($AB464,OFFSET([3]characters!$A$1,0,0,COUNTA([3]characters!$A:$A),MATCH(AE$1,[3]characters!$1:$1,0)-MATCH("character_id",[3]characters!$1:$1,0)+1),MATCH(AE$1,[3]characters!$1:$1,0)-MATCH("character_id",[3]characters!$1:$1,0)+1,FALSE)</f>
        <v>Drop1N</v>
      </c>
      <c r="AF464" s="7">
        <v>7</v>
      </c>
      <c r="AG464" s="26">
        <f t="shared" ca="1" si="536"/>
        <v>2</v>
      </c>
      <c r="AH464" s="8">
        <v>20</v>
      </c>
      <c r="AI464" s="7">
        <v>0</v>
      </c>
      <c r="AJ464" s="7">
        <v>0</v>
      </c>
      <c r="AK464" s="7">
        <v>0</v>
      </c>
      <c r="AL464" s="7">
        <v>0</v>
      </c>
      <c r="AM464" s="7">
        <v>1</v>
      </c>
    </row>
    <row r="465" spans="1:39" ht="14" x14ac:dyDescent="0.15">
      <c r="A465" s="18" t="str">
        <f t="shared" ca="1" si="512"/>
        <v>25_1-1/17&lt;lv46&gt;s2</v>
      </c>
      <c r="B465" s="50">
        <v>25</v>
      </c>
      <c r="C465" s="49">
        <v>1</v>
      </c>
      <c r="D465" s="2" t="str">
        <f t="shared" si="537"/>
        <v>25_1</v>
      </c>
      <c r="E465" s="2" t="str">
        <f t="shared" si="537"/>
        <v>1_25_1</v>
      </c>
      <c r="F465" s="4" t="str">
        <f ca="1">VLOOKUP($D465,OFFSET([1]stages!$A$1,0,0,COUNTA([1]stages!$A:$A),MATCH(F$1,[1]stages!$2:$2,0)-MATCH($D$1,[1]stages!$2:$2,0)+1),MATCH(F$1,[1]stages!$2:$2,0)-MATCH($D$1,[1]stages!$2:$2,0)+1,FALSE)</f>
        <v>25-1．血塗られた招待状</v>
      </c>
      <c r="G465" s="56">
        <v>1</v>
      </c>
      <c r="H465" s="17" t="str">
        <f t="shared" si="538"/>
        <v>25_1-1</v>
      </c>
      <c r="I465" s="17"/>
      <c r="J465" s="17"/>
      <c r="K465" s="65" t="s">
        <v>56</v>
      </c>
      <c r="L465" s="52">
        <v>17</v>
      </c>
      <c r="M465" s="21" t="str">
        <f ca="1">VLOOKUP($L465,OFFSET([2]enemies!$A$1,0,0,COUNTA([2]enemies!$A:$A),MATCH(M$1,[2]enemies!$1:$1,0)-MATCH($L$1,[2]enemies!$1:$1,0)+1),MATCH(M$1,[2]enemies!$1:$1,0)-MATCH($L$1,[2]enemies!$1:$1,0)+1,FALSE)</f>
        <v>リム</v>
      </c>
      <c r="N465" s="21" t="str">
        <f ca="1">VLOOKUP($L465,OFFSET([2]enemies!$A$1,0,0,COUNTA([2]enemies!$A:$A),MATCH(N$1,[2]enemies!$1:$1,0)-MATCH($L$1,[2]enemies!$1:$1,0)+1),MATCH(N$1,[2]enemies!$1:$1,0)-MATCH($L$1,[2]enemies!$1:$1,0)+1,FALSE)</f>
        <v>blue</v>
      </c>
      <c r="O465" s="21" t="str">
        <f ca="1">VLOOKUP($L465,OFFSET([3]characters!$A$1,0,0,COUNTA([3]characters!$A:$A),MATCH(O$1,[3]characters!$1:$1,0)-MATCH($L$1,[3]characters!$1:$1,0)+1),MATCH(O$1,[3]characters!$1:$1,0)-MATCH($L$1,[3]characters!$1:$1,0)+1,FALSE)</f>
        <v>Drop1W</v>
      </c>
      <c r="P465" s="21" t="str">
        <f ca="1">VLOOKUP($L465,OFFSET([2]enemies!$A$1,0,0,COUNTA([2]enemies!$A:$A),MATCH(P$1,[2]enemies!$1:$1,0)-MATCH($L$1,[2]enemies!$1:$1,0)+1),MATCH(P$1,[2]enemies!$1:$1,0)-MATCH($L$1,[2]enemies!$1:$1,0)+1,FALSE)</f>
        <v>human</v>
      </c>
      <c r="Q465" s="21">
        <f ca="1">VLOOKUP($L465,OFFSET([2]enemies!$A$1,0,0,COUNTA([2]enemies!$A:$A),MATCH(Q$1,[2]enemies!$1:$1,0)-MATCH($L$1,[2]enemies!$1:$1,0)+1),MATCH(Q$1,[2]enemies!$1:$1,0)-MATCH($L$1,[2]enemies!$1:$1,0)+1,FALSE)</f>
        <v>15</v>
      </c>
      <c r="R465" s="53">
        <v>46</v>
      </c>
      <c r="S465" s="27">
        <v>1</v>
      </c>
      <c r="T465" s="27">
        <v>1</v>
      </c>
      <c r="U465" s="5">
        <v>0</v>
      </c>
      <c r="V465" s="4" t="str">
        <f ca="1">VLOOKUP($W465,OFFSET([4]enemy_skill_sets!$B$1,0,0,COUNTA([4]enemy_skill_sets!$B:$B),MATCH(M$1,[4]enemy_skill_sets!$1:$1,0)-MATCH($W$1,[4]enemy_skill_sets!$1:$1,0)+2),MATCH(M$1,[4]enemy_skill_sets!$1:$1,0)-MATCH($W$1,[4]enemy_skill_sets!$1:$1,0)+2,FALSE)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65" s="4">
        <f ca="1">VLOOKUP($L465,OFFSET([2]enemies!$A$1,0,0,COUNTA([2]enemies!$A:$A),MATCH(W$1,[2]enemies!$1:$1,0)-MATCH($L$1,[2]enemies!$1:$1,0)+1),MATCH(W$1,[2]enemies!$1:$1,0)-MATCH($L$1,[2]enemies!$1:$1,0)+1,FALSE)</f>
        <v>0</v>
      </c>
      <c r="X465" s="6">
        <v>0</v>
      </c>
      <c r="Y465" s="6">
        <v>100</v>
      </c>
      <c r="Z465" s="6">
        <v>0</v>
      </c>
      <c r="AA465" s="4">
        <f ca="1">VLOOKUP($L465,OFFSET([2]enemies!$A$1,0,0,COUNTA([2]enemies!$A:$A),MATCH(AA$1,[2]enemies!$1:$1,0)-MATCH($L$1,[2]enemies!$1:$1,0)+1),MATCH(AA$1,[2]enemies!$1:$1,0)-MATCH($L$1,[2]enemies!$1:$1,0)+1,FALSE)</f>
        <v>2</v>
      </c>
      <c r="AB465" s="52">
        <v>17</v>
      </c>
      <c r="AC465" s="4" t="str">
        <f ca="1">VLOOKUP($AB465,OFFSET([3]characters!$A$1,0,0,COUNTA([3]characters!$A:$A),MATCH(AC$1,[3]characters!$1:$1,0)-MATCH("character_id",[3]characters!$1:$1,0)+1),MATCH(AC$1,[3]characters!$1:$1,0)-MATCH("character_id",[3]characters!$1:$1,0)+1,FALSE)</f>
        <v>リム</v>
      </c>
      <c r="AD465" s="4">
        <f ca="1">VLOOKUP($AB465,OFFSET([3]characters!$A$1,0,0,COUNTA([3]characters!$A:$A),MATCH(AD$1,[3]characters!$1:$1,0)-MATCH("character_id",[3]characters!$1:$1,0)+1),MATCH(AD$1,[3]characters!$1:$1,0)-MATCH("character_id",[3]characters!$1:$1,0)+1,FALSE)</f>
        <v>1</v>
      </c>
      <c r="AE465" s="4" t="str">
        <f ca="1">VLOOKUP($AB465,OFFSET([3]characters!$A$1,0,0,COUNTA([3]characters!$A:$A),MATCH(AE$1,[3]characters!$1:$1,0)-MATCH("character_id",[3]characters!$1:$1,0)+1),MATCH(AE$1,[3]characters!$1:$1,0)-MATCH("character_id",[3]characters!$1:$1,0)+1,FALSE)</f>
        <v>Drop1W</v>
      </c>
      <c r="AF465" s="7">
        <v>9</v>
      </c>
      <c r="AG465" s="26">
        <f t="shared" ca="1" si="536"/>
        <v>1</v>
      </c>
      <c r="AH465" s="8">
        <v>20</v>
      </c>
      <c r="AI465" s="7">
        <v>0</v>
      </c>
      <c r="AJ465" s="7">
        <v>0</v>
      </c>
      <c r="AK465" s="7">
        <v>0</v>
      </c>
      <c r="AL465" s="7">
        <v>0</v>
      </c>
      <c r="AM465" s="7">
        <v>1</v>
      </c>
    </row>
    <row r="466" spans="1:39" ht="14" x14ac:dyDescent="0.15">
      <c r="A466" s="18" t="str">
        <f t="shared" ca="1" si="512"/>
        <v>25_1-1/53&lt;lv46&gt;s2</v>
      </c>
      <c r="B466" s="50">
        <v>25</v>
      </c>
      <c r="C466" s="49">
        <v>1</v>
      </c>
      <c r="D466" s="2" t="str">
        <f t="shared" si="537"/>
        <v>25_1</v>
      </c>
      <c r="E466" s="2" t="str">
        <f t="shared" si="537"/>
        <v>1_25_1</v>
      </c>
      <c r="F466" s="4" t="str">
        <f ca="1">VLOOKUP($D466,OFFSET([1]stages!$A$1,0,0,COUNTA([1]stages!$A:$A),MATCH(F$1,[1]stages!$2:$2,0)-MATCH($D$1,[1]stages!$2:$2,0)+1),MATCH(F$1,[1]stages!$2:$2,0)-MATCH($D$1,[1]stages!$2:$2,0)+1,FALSE)</f>
        <v>25-1．血塗られた招待状</v>
      </c>
      <c r="G466" s="56">
        <v>1</v>
      </c>
      <c r="H466" s="17" t="str">
        <f t="shared" si="538"/>
        <v>25_1-1</v>
      </c>
      <c r="I466" s="17"/>
      <c r="J466" s="17"/>
      <c r="K466" s="65" t="s">
        <v>56</v>
      </c>
      <c r="L466" s="52">
        <v>53</v>
      </c>
      <c r="M466" s="21" t="str">
        <f ca="1">VLOOKUP($L466,OFFSET([2]enemies!$A$1,0,0,COUNTA([2]enemies!$A:$A),MATCH(M$1,[2]enemies!$1:$1,0)-MATCH($L$1,[2]enemies!$1:$1,0)+1),MATCH(M$1,[2]enemies!$1:$1,0)-MATCH($L$1,[2]enemies!$1:$1,0)+1,FALSE)</f>
        <v>ケンジ</v>
      </c>
      <c r="N466" s="21" t="str">
        <f ca="1">VLOOKUP($L466,OFFSET([2]enemies!$A$1,0,0,COUNTA([2]enemies!$A:$A),MATCH(N$1,[2]enemies!$1:$1,0)-MATCH($L$1,[2]enemies!$1:$1,0)+1),MATCH(N$1,[2]enemies!$1:$1,0)-MATCH($L$1,[2]enemies!$1:$1,0)+1,FALSE)</f>
        <v>blue</v>
      </c>
      <c r="O466" s="21" t="str">
        <f ca="1">VLOOKUP($L466,OFFSET([3]characters!$A$1,0,0,COUNTA([3]characters!$A:$A),MATCH(O$1,[3]characters!$1:$1,0)-MATCH($L$1,[3]characters!$1:$1,0)+1),MATCH(O$1,[3]characters!$1:$1,0)-MATCH($L$1,[3]characters!$1:$1,0)+1,FALSE)</f>
        <v>Drop1N</v>
      </c>
      <c r="P466" s="21" t="str">
        <f ca="1">VLOOKUP($L466,OFFSET([2]enemies!$A$1,0,0,COUNTA([2]enemies!$A:$A),MATCH(P$1,[2]enemies!$1:$1,0)-MATCH($L$1,[2]enemies!$1:$1,0)+1),MATCH(P$1,[2]enemies!$1:$1,0)-MATCH($L$1,[2]enemies!$1:$1,0)+1,FALSE)</f>
        <v>human</v>
      </c>
      <c r="Q466" s="21">
        <f ca="1">VLOOKUP($L466,OFFSET([2]enemies!$A$1,0,0,COUNTA([2]enemies!$A:$A),MATCH(Q$1,[2]enemies!$1:$1,0)-MATCH($L$1,[2]enemies!$1:$1,0)+1),MATCH(Q$1,[2]enemies!$1:$1,0)-MATCH($L$1,[2]enemies!$1:$1,0)+1,FALSE)</f>
        <v>15</v>
      </c>
      <c r="R466" s="53">
        <v>46</v>
      </c>
      <c r="S466" s="27">
        <v>1</v>
      </c>
      <c r="T466" s="27">
        <v>1</v>
      </c>
      <c r="U466" s="5">
        <v>0</v>
      </c>
      <c r="V466" s="4" t="str">
        <f ca="1">VLOOKUP($W466,OFFSET([4]enemy_skill_sets!$B$1,0,0,COUNTA([4]enemy_skill_sets!$B:$B),MATCH(M$1,[4]enemy_skill_sets!$1:$1,0)-MATCH($W$1,[4]enemy_skill_sets!$1:$1,0)+2),MATCH(M$1,[4]enemy_skill_sets!$1:$1,0)-MATCH($W$1,[4]enemy_skill_sets!$1:$1,0)+2,FALSE)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466" s="4">
        <f ca="1">VLOOKUP($L466,OFFSET([2]enemies!$A$1,0,0,COUNTA([2]enemies!$A:$A),MATCH(W$1,[2]enemies!$1:$1,0)-MATCH($L$1,[2]enemies!$1:$1,0)+1),MATCH(W$1,[2]enemies!$1:$1,0)-MATCH($L$1,[2]enemies!$1:$1,0)+1,FALSE)</f>
        <v>53</v>
      </c>
      <c r="X466" s="6">
        <v>0</v>
      </c>
      <c r="Y466" s="6">
        <v>100</v>
      </c>
      <c r="Z466" s="6">
        <v>0</v>
      </c>
      <c r="AA466" s="4">
        <f ca="1">VLOOKUP($L466,OFFSET([2]enemies!$A$1,0,0,COUNTA([2]enemies!$A:$A),MATCH(AA$1,[2]enemies!$1:$1,0)-MATCH($L$1,[2]enemies!$1:$1,0)+1),MATCH(AA$1,[2]enemies!$1:$1,0)-MATCH($L$1,[2]enemies!$1:$1,0)+1,FALSE)</f>
        <v>2</v>
      </c>
      <c r="AB466" s="52">
        <v>53</v>
      </c>
      <c r="AC466" s="4" t="str">
        <f ca="1">VLOOKUP($AB466,OFFSET([3]characters!$A$1,0,0,COUNTA([3]characters!$A:$A),MATCH(AC$1,[3]characters!$1:$1,0)-MATCH("character_id",[3]characters!$1:$1,0)+1),MATCH(AC$1,[3]characters!$1:$1,0)-MATCH("character_id",[3]characters!$1:$1,0)+1,FALSE)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466" s="4">
        <f ca="1">VLOOKUP($AB466,OFFSET([3]characters!$A$1,0,0,COUNTA([3]characters!$A:$A),MATCH(AD$1,[3]characters!$1:$1,0)-MATCH("character_id",[3]characters!$1:$1,0)+1),MATCH(AD$1,[3]characters!$1:$1,0)-MATCH("character_id",[3]characters!$1:$1,0)+1,FALSE)</f>
        <v>2</v>
      </c>
      <c r="AE466" s="4" t="str">
        <f ca="1">VLOOKUP($AB466,OFFSET([3]characters!$A$1,0,0,COUNTA([3]characters!$A:$A),MATCH(AE$1,[3]characters!$1:$1,0)-MATCH("character_id",[3]characters!$1:$1,0)+1),MATCH(AE$1,[3]characters!$1:$1,0)-MATCH("character_id",[3]characters!$1:$1,0)+1,FALSE)</f>
        <v>Drop1N</v>
      </c>
      <c r="AF466" s="7">
        <v>7</v>
      </c>
      <c r="AG466" s="26">
        <f t="shared" ca="1" si="536"/>
        <v>2</v>
      </c>
      <c r="AH466" s="8">
        <v>20</v>
      </c>
      <c r="AI466" s="7">
        <v>0</v>
      </c>
      <c r="AJ466" s="7">
        <v>0</v>
      </c>
      <c r="AK466" s="7">
        <v>0</v>
      </c>
      <c r="AL466" s="7">
        <v>0</v>
      </c>
      <c r="AM466" s="7">
        <v>1</v>
      </c>
    </row>
    <row r="467" spans="1:39" ht="14" x14ac:dyDescent="0.15">
      <c r="A467" s="18" t="str">
        <f t="shared" ca="1" si="512"/>
        <v>25_1-1/364&lt;lv46&gt;s3</v>
      </c>
      <c r="B467" s="53">
        <v>25</v>
      </c>
      <c r="C467" s="51">
        <v>1</v>
      </c>
      <c r="D467" s="2" t="str">
        <f t="shared" ref="D467" si="542">B467&amp;"_"&amp;C467</f>
        <v>25_1</v>
      </c>
      <c r="E467" s="2" t="str">
        <f t="shared" ref="E467" si="543">C467&amp;"_"&amp;D467</f>
        <v>1_25_1</v>
      </c>
      <c r="F467" s="4" t="str">
        <f ca="1">VLOOKUP($D467,OFFSET([1]stages!$A$1,0,0,COUNTA([1]stages!$A:$A),MATCH(F$1,[1]stages!$2:$2,0)-MATCH($D$1,[1]stages!$2:$2,0)+1),MATCH(F$1,[1]stages!$2:$2,0)-MATCH($D$1,[1]stages!$2:$2,0)+1,FALSE)</f>
        <v>25-1．血塗られた招待状</v>
      </c>
      <c r="G467" s="56">
        <v>1</v>
      </c>
      <c r="H467" s="17" t="str">
        <f t="shared" ref="H467" si="544">B467&amp;"_"&amp;C467&amp;"-"&amp;G467</f>
        <v>25_1-1</v>
      </c>
      <c r="I467" s="17"/>
      <c r="J467" s="17"/>
      <c r="K467" s="65" t="s">
        <v>56</v>
      </c>
      <c r="L467" s="52">
        <v>364</v>
      </c>
      <c r="M467" s="21" t="str">
        <f ca="1">VLOOKUP($L467,OFFSET([2]enemies!$A$1,0,0,COUNTA([2]enemies!$A:$A),MATCH(M$1,[2]enemies!$1:$1,0)-MATCH($L$1,[2]enemies!$1:$1,0)+1),MATCH(M$1,[2]enemies!$1:$1,0)-MATCH($L$1,[2]enemies!$1:$1,0)+1,FALSE)</f>
        <v>ノエル</v>
      </c>
      <c r="N467" s="21" t="str">
        <f ca="1">VLOOKUP($L467,OFFSET([2]enemies!$A$1,0,0,COUNTA([2]enemies!$A:$A),MATCH(N$1,[2]enemies!$1:$1,0)-MATCH($L$1,[2]enemies!$1:$1,0)+1),MATCH(N$1,[2]enemies!$1:$1,0)-MATCH($L$1,[2]enemies!$1:$1,0)+1,FALSE)</f>
        <v>blue</v>
      </c>
      <c r="O467" s="21" t="str">
        <f ca="1">VLOOKUP($L467,OFFSET([3]characters!$A$1,0,0,COUNTA([3]characters!$A:$A),MATCH(O$1,[3]characters!$1:$1,0)-MATCH($L$1,[3]characters!$1:$1,0)+1),MATCH(O$1,[3]characters!$1:$1,0)-MATCH($L$1,[3]characters!$1:$1,0)+1,FALSE)</f>
        <v>Drop1S</v>
      </c>
      <c r="P467" s="21" t="str">
        <f ca="1">VLOOKUP($L467,OFFSET([2]enemies!$A$1,0,0,COUNTA([2]enemies!$A:$A),MATCH(P$1,[2]enemies!$1:$1,0)-MATCH($L$1,[2]enemies!$1:$1,0)+1),MATCH(P$1,[2]enemies!$1:$1,0)-MATCH($L$1,[2]enemies!$1:$1,0)+1,FALSE)</f>
        <v>animal</v>
      </c>
      <c r="Q467" s="21">
        <f ca="1">VLOOKUP($L467,OFFSET([2]enemies!$A$1,0,0,COUNTA([2]enemies!$A:$A),MATCH(Q$1,[2]enemies!$1:$1,0)-MATCH($L$1,[2]enemies!$1:$1,0)+1),MATCH(Q$1,[2]enemies!$1:$1,0)-MATCH($L$1,[2]enemies!$1:$1,0)+1,FALSE)</f>
        <v>15</v>
      </c>
      <c r="R467" s="53">
        <v>46</v>
      </c>
      <c r="S467" s="27">
        <v>1</v>
      </c>
      <c r="T467" s="27">
        <v>1</v>
      </c>
      <c r="U467" s="5">
        <v>0</v>
      </c>
      <c r="V467" s="4" t="str">
        <f ca="1">VLOOKUP($W467,OFFSET([4]enemy_skill_sets!$B$1,0,0,COUNTA([4]enemy_skill_sets!$B:$B),MATCH(M$1,[4]enemy_skill_sets!$1:$1,0)-MATCH($W$1,[4]enemy_skill_sets!$1:$1,0)+2),MATCH(M$1,[4]enemy_skill_sets!$1:$1,0)-MATCH($W$1,[4]enemy_skill_sets!$1:$1,0)+2,FALSE)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467" s="64">
        <v>364</v>
      </c>
      <c r="X467" s="6">
        <v>0</v>
      </c>
      <c r="Y467" s="6">
        <v>100</v>
      </c>
      <c r="Z467" s="6">
        <v>0</v>
      </c>
      <c r="AA467" s="4">
        <f ca="1">VLOOKUP($L467,OFFSET([2]enemies!$A$1,0,0,COUNTA([2]enemies!$A:$A),MATCH(AA$1,[2]enemies!$1:$1,0)-MATCH($L$1,[2]enemies!$1:$1,0)+1),MATCH(AA$1,[2]enemies!$1:$1,0)-MATCH($L$1,[2]enemies!$1:$1,0)+1,FALSE)</f>
        <v>3</v>
      </c>
      <c r="AB467" s="52">
        <v>364</v>
      </c>
      <c r="AC467" s="4" t="str">
        <f ca="1">VLOOKUP($AB467,OFFSET([3]characters!$A$1,0,0,COUNTA([3]characters!$A:$A),MATCH(AC$1,[3]characters!$1:$1,0)-MATCH("character_id",[3]characters!$1:$1,0)+1),MATCH(AC$1,[3]characters!$1:$1,0)-MATCH("character_id",[3]characters!$1:$1,0)+1,FALSE)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467" s="4">
        <f ca="1">VLOOKUP($AB467,OFFSET([3]characters!$A$1,0,0,COUNTA([3]characters!$A:$A),MATCH(AD$1,[3]characters!$1:$1,0)-MATCH("character_id",[3]characters!$1:$1,0)+1),MATCH(AD$1,[3]characters!$1:$1,0)-MATCH("character_id",[3]characters!$1:$1,0)+1,FALSE)</f>
        <v>2</v>
      </c>
      <c r="AE467" s="4" t="str">
        <f ca="1">VLOOKUP($AB467,OFFSET([3]characters!$A$1,0,0,COUNTA([3]characters!$A:$A),MATCH(AE$1,[3]characters!$1:$1,0)-MATCH("character_id",[3]characters!$1:$1,0)+1),MATCH(AE$1,[3]characters!$1:$1,0)-MATCH("character_id",[3]characters!$1:$1,0)+1,FALSE)</f>
        <v>Drop1S</v>
      </c>
      <c r="AF467" s="7">
        <v>7</v>
      </c>
      <c r="AG467" s="26">
        <f t="shared" ca="1" si="536"/>
        <v>2</v>
      </c>
      <c r="AH467" s="8">
        <v>20</v>
      </c>
      <c r="AI467" s="7">
        <v>0</v>
      </c>
      <c r="AJ467" s="7">
        <v>0</v>
      </c>
      <c r="AK467" s="7">
        <v>0</v>
      </c>
      <c r="AL467" s="7">
        <v>0</v>
      </c>
      <c r="AM467" s="7">
        <v>1</v>
      </c>
    </row>
    <row r="468" spans="1:39" ht="14" x14ac:dyDescent="0.15">
      <c r="A468" s="18" t="str">
        <f t="shared" ca="1" si="512"/>
        <v>25_1-1/352&lt;lv46&gt;s3</v>
      </c>
      <c r="B468" s="53">
        <v>25</v>
      </c>
      <c r="C468" s="51">
        <v>1</v>
      </c>
      <c r="D468" s="2" t="str">
        <f t="shared" ref="D468" si="545">B468&amp;"_"&amp;C468</f>
        <v>25_1</v>
      </c>
      <c r="E468" s="2" t="str">
        <f t="shared" ref="E468" si="546">C468&amp;"_"&amp;D468</f>
        <v>1_25_1</v>
      </c>
      <c r="F468" s="4" t="str">
        <f ca="1">VLOOKUP($D468,OFFSET([1]stages!$A$1,0,0,COUNTA([1]stages!$A:$A),MATCH(F$1,[1]stages!$2:$2,0)-MATCH($D$1,[1]stages!$2:$2,0)+1),MATCH(F$1,[1]stages!$2:$2,0)-MATCH($D$1,[1]stages!$2:$2,0)+1,FALSE)</f>
        <v>25-1．血塗られた招待状</v>
      </c>
      <c r="G468" s="56">
        <v>1</v>
      </c>
      <c r="H468" s="17" t="str">
        <f t="shared" ref="H468" si="547">B468&amp;"_"&amp;C468&amp;"-"&amp;G468</f>
        <v>25_1-1</v>
      </c>
      <c r="I468" s="17"/>
      <c r="J468" s="17"/>
      <c r="K468" s="65" t="s">
        <v>56</v>
      </c>
      <c r="L468" s="52">
        <v>352</v>
      </c>
      <c r="M468" s="21" t="str">
        <f ca="1">VLOOKUP($L468,OFFSET([2]enemies!$A$1,0,0,COUNTA([2]enemies!$A:$A),MATCH(M$1,[2]enemies!$1:$1,0)-MATCH($L$1,[2]enemies!$1:$1,0)+1),MATCH(M$1,[2]enemies!$1:$1,0)-MATCH($L$1,[2]enemies!$1:$1,0)+1,FALSE)</f>
        <v>水のケロケロ</v>
      </c>
      <c r="N468" s="21" t="str">
        <f ca="1">VLOOKUP($L468,OFFSET([2]enemies!$A$1,0,0,COUNTA([2]enemies!$A:$A),MATCH(N$1,[2]enemies!$1:$1,0)-MATCH($L$1,[2]enemies!$1:$1,0)+1),MATCH(N$1,[2]enemies!$1:$1,0)-MATCH($L$1,[2]enemies!$1:$1,0)+1,FALSE)</f>
        <v>blue</v>
      </c>
      <c r="O468" s="21" t="str">
        <f ca="1">VLOOKUP($L468,OFFSET([3]characters!$A$1,0,0,COUNTA([3]characters!$A:$A),MATCH(O$1,[3]characters!$1:$1,0)-MATCH($L$1,[3]characters!$1:$1,0)+1),MATCH(O$1,[3]characters!$1:$1,0)-MATCH($L$1,[3]characters!$1:$1,0)+1,FALSE)</f>
        <v>Material</v>
      </c>
      <c r="P468" s="21" t="str">
        <f ca="1">VLOOKUP($L468,OFFSET([2]enemies!$A$1,0,0,COUNTA([2]enemies!$A:$A),MATCH(P$1,[2]enemies!$1:$1,0)-MATCH($L$1,[2]enemies!$1:$1,0)+1),MATCH(P$1,[2]enemies!$1:$1,0)-MATCH($L$1,[2]enemies!$1:$1,0)+1,FALSE)</f>
        <v>unknown</v>
      </c>
      <c r="Q468" s="21">
        <f ca="1">VLOOKUP($L468,OFFSET([2]enemies!$A$1,0,0,COUNTA([2]enemies!$A:$A),MATCH(Q$1,[2]enemies!$1:$1,0)-MATCH($L$1,[2]enemies!$1:$1,0)+1),MATCH(Q$1,[2]enemies!$1:$1,0)-MATCH($L$1,[2]enemies!$1:$1,0)+1,FALSE)</f>
        <v>15</v>
      </c>
      <c r="R468" s="53">
        <v>46</v>
      </c>
      <c r="S468" s="27">
        <v>1</v>
      </c>
      <c r="T468" s="27">
        <v>1</v>
      </c>
      <c r="U468" s="5">
        <v>0</v>
      </c>
      <c r="V468" s="4" t="str">
        <f ca="1">VLOOKUP($W468,OFFSET([4]enemy_skill_sets!$B$1,0,0,COUNTA([4]enemy_skill_sets!$B:$B),MATCH(M$1,[4]enemy_skill_sets!$1:$1,0)-MATCH($W$1,[4]enemy_skill_sets!$1:$1,0)+2),MATCH(M$1,[4]enemy_skill_sets!$1:$1,0)-MATCH($W$1,[4]enemy_skill_sets!$1:$1,0)+2,FALSE)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468" s="64">
        <v>352</v>
      </c>
      <c r="X468" s="6">
        <v>0</v>
      </c>
      <c r="Y468" s="6">
        <v>100</v>
      </c>
      <c r="Z468" s="6">
        <v>0</v>
      </c>
      <c r="AA468" s="4">
        <f ca="1">VLOOKUP($L468,OFFSET([2]enemies!$A$1,0,0,COUNTA([2]enemies!$A:$A),MATCH(AA$1,[2]enemies!$1:$1,0)-MATCH($L$1,[2]enemies!$1:$1,0)+1),MATCH(AA$1,[2]enemies!$1:$1,0)-MATCH($L$1,[2]enemies!$1:$1,0)+1,FALSE)</f>
        <v>3</v>
      </c>
      <c r="AB468" s="52">
        <v>352</v>
      </c>
      <c r="AC468" s="4" t="str">
        <f ca="1">VLOOKUP($AB468,OFFSET([3]characters!$A$1,0,0,COUNTA([3]characters!$A:$A),MATCH(AC$1,[3]characters!$1:$1,0)-MATCH("character_id",[3]characters!$1:$1,0)+1),MATCH(AC$1,[3]characters!$1:$1,0)-MATCH("character_id",[3]characters!$1:$1,0)+1,FALSE)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468" s="4">
        <f ca="1">VLOOKUP($AB468,OFFSET([3]characters!$A$1,0,0,COUNTA([3]characters!$A:$A),MATCH(AD$1,[3]characters!$1:$1,0)-MATCH("character_id",[3]characters!$1:$1,0)+1),MATCH(AD$1,[3]characters!$1:$1,0)-MATCH("character_id",[3]characters!$1:$1,0)+1,FALSE)</f>
        <v>2</v>
      </c>
      <c r="AE468" s="4" t="str">
        <f ca="1">VLOOKUP($AB468,OFFSET([3]characters!$A$1,0,0,COUNTA([3]characters!$A:$A),MATCH(AE$1,[3]characters!$1:$1,0)-MATCH("character_id",[3]characters!$1:$1,0)+1),MATCH(AE$1,[3]characters!$1:$1,0)-MATCH("character_id",[3]characters!$1:$1,0)+1,FALSE)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68" s="7">
        <v>10</v>
      </c>
      <c r="AG468" s="26">
        <f t="shared" ca="1" si="536"/>
        <v>2</v>
      </c>
      <c r="AH468" s="8">
        <v>20</v>
      </c>
      <c r="AI468" s="7">
        <v>0</v>
      </c>
      <c r="AJ468" s="7">
        <v>0</v>
      </c>
      <c r="AK468" s="7">
        <v>0</v>
      </c>
      <c r="AL468" s="7">
        <v>0</v>
      </c>
      <c r="AM468" s="7">
        <v>1</v>
      </c>
    </row>
    <row r="469" spans="1:39" ht="14" x14ac:dyDescent="0.15">
      <c r="A469" s="18" t="str">
        <f t="shared" ca="1" si="512"/>
        <v>25_1-2/13&lt;lv46&gt;s2</v>
      </c>
      <c r="B469" s="50">
        <v>25</v>
      </c>
      <c r="C469" s="49">
        <v>1</v>
      </c>
      <c r="D469" s="2" t="str">
        <f t="shared" si="537"/>
        <v>25_1</v>
      </c>
      <c r="E469" s="2" t="str">
        <f t="shared" si="537"/>
        <v>1_25_1</v>
      </c>
      <c r="F469" s="4" t="str">
        <f ca="1">VLOOKUP($D469,OFFSET([1]stages!$A$1,0,0,COUNTA([1]stages!$A:$A),MATCH(F$1,[1]stages!$2:$2,0)-MATCH($D$1,[1]stages!$2:$2,0)+1),MATCH(F$1,[1]stages!$2:$2,0)-MATCH($D$1,[1]stages!$2:$2,0)+1,FALSE)</f>
        <v>25-1．血塗られた招待状</v>
      </c>
      <c r="G469" s="57">
        <v>2</v>
      </c>
      <c r="H469" s="17" t="str">
        <f t="shared" si="538"/>
        <v>25_1-2</v>
      </c>
      <c r="I469" s="17"/>
      <c r="J469" s="17"/>
      <c r="K469" s="65" t="s">
        <v>56</v>
      </c>
      <c r="L469" s="52">
        <v>13</v>
      </c>
      <c r="M469" s="21" t="str">
        <f ca="1">VLOOKUP($L469,OFFSET([2]enemies!$A$1,0,0,COUNTA([2]enemies!$A:$A),MATCH(M$1,[2]enemies!$1:$1,0)-MATCH($L$1,[2]enemies!$1:$1,0)+1),MATCH(M$1,[2]enemies!$1:$1,0)-MATCH($L$1,[2]enemies!$1:$1,0)+1,FALSE)</f>
        <v>ミミ</v>
      </c>
      <c r="N469" s="21" t="str">
        <f ca="1">VLOOKUP($L469,OFFSET([2]enemies!$A$1,0,0,COUNTA([2]enemies!$A:$A),MATCH(N$1,[2]enemies!$1:$1,0)-MATCH($L$1,[2]enemies!$1:$1,0)+1),MATCH(N$1,[2]enemies!$1:$1,0)-MATCH($L$1,[2]enemies!$1:$1,0)+1,FALSE)</f>
        <v>yellow</v>
      </c>
      <c r="O469" s="21" t="str">
        <f ca="1">VLOOKUP($L469,OFFSET([3]characters!$A$1,0,0,COUNTA([3]characters!$A:$A),MATCH(O$1,[3]characters!$1:$1,0)-MATCH($L$1,[3]characters!$1:$1,0)+1),MATCH(O$1,[3]characters!$1:$1,0)-MATCH($L$1,[3]characters!$1:$1,0)+1,FALSE)</f>
        <v>Drop1W</v>
      </c>
      <c r="P469" s="21" t="str">
        <f ca="1">VLOOKUP($L469,OFFSET([2]enemies!$A$1,0,0,COUNTA([2]enemies!$A:$A),MATCH(P$1,[2]enemies!$1:$1,0)-MATCH($L$1,[2]enemies!$1:$1,0)+1),MATCH(P$1,[2]enemies!$1:$1,0)-MATCH($L$1,[2]enemies!$1:$1,0)+1,FALSE)</f>
        <v>animal</v>
      </c>
      <c r="Q469" s="21">
        <f ca="1">VLOOKUP($L469,OFFSET([2]enemies!$A$1,0,0,COUNTA([2]enemies!$A:$A),MATCH(Q$1,[2]enemies!$1:$1,0)-MATCH($L$1,[2]enemies!$1:$1,0)+1),MATCH(Q$1,[2]enemies!$1:$1,0)-MATCH($L$1,[2]enemies!$1:$1,0)+1,FALSE)</f>
        <v>15</v>
      </c>
      <c r="R469" s="53">
        <v>46</v>
      </c>
      <c r="S469" s="27">
        <v>1</v>
      </c>
      <c r="T469" s="27">
        <v>1</v>
      </c>
      <c r="U469" s="5">
        <v>0</v>
      </c>
      <c r="V469" s="4" t="str">
        <f ca="1">VLOOKUP($W469,OFFSET([4]enemy_skill_sets!$B$1,0,0,COUNTA([4]enemy_skill_sets!$B:$B),MATCH(M$1,[4]enemy_skill_sets!$1:$1,0)-MATCH($W$1,[4]enemy_skill_sets!$1:$1,0)+2),MATCH(M$1,[4]enemy_skill_sets!$1:$1,0)-MATCH($W$1,[4]enemy_skill_sets!$1:$1,0)+2,FALSE)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69" s="4">
        <f ca="1">VLOOKUP($L469,OFFSET([2]enemies!$A$1,0,0,COUNTA([2]enemies!$A:$A),MATCH(W$1,[2]enemies!$1:$1,0)-MATCH($L$1,[2]enemies!$1:$1,0)+1),MATCH(W$1,[2]enemies!$1:$1,0)-MATCH($L$1,[2]enemies!$1:$1,0)+1,FALSE)</f>
        <v>0</v>
      </c>
      <c r="X469" s="6">
        <v>0</v>
      </c>
      <c r="Y469" s="6">
        <v>100</v>
      </c>
      <c r="Z469" s="6">
        <v>0</v>
      </c>
      <c r="AA469" s="4">
        <f ca="1">VLOOKUP($L469,OFFSET([2]enemies!$A$1,0,0,COUNTA([2]enemies!$A:$A),MATCH(AA$1,[2]enemies!$1:$1,0)-MATCH($L$1,[2]enemies!$1:$1,0)+1),MATCH(AA$1,[2]enemies!$1:$1,0)-MATCH($L$1,[2]enemies!$1:$1,0)+1,FALSE)</f>
        <v>2</v>
      </c>
      <c r="AB469" s="52">
        <v>13</v>
      </c>
      <c r="AC469" s="4" t="str">
        <f ca="1">VLOOKUP($AB469,OFFSET([3]characters!$A$1,0,0,COUNTA([3]characters!$A:$A),MATCH(AC$1,[3]characters!$1:$1,0)-MATCH("character_id",[3]characters!$1:$1,0)+1),MATCH(AC$1,[3]characters!$1:$1,0)-MATCH("character_id",[3]characters!$1:$1,0)+1,FALSE)</f>
        <v>ミミ</v>
      </c>
      <c r="AD469" s="4">
        <f ca="1">VLOOKUP($AB469,OFFSET([3]characters!$A$1,0,0,COUNTA([3]characters!$A:$A),MATCH(AD$1,[3]characters!$1:$1,0)-MATCH("character_id",[3]characters!$1:$1,0)+1),MATCH(AD$1,[3]characters!$1:$1,0)-MATCH("character_id",[3]characters!$1:$1,0)+1,FALSE)</f>
        <v>1</v>
      </c>
      <c r="AE469" s="4" t="str">
        <f ca="1">VLOOKUP($AB469,OFFSET([3]characters!$A$1,0,0,COUNTA([3]characters!$A:$A),MATCH(AE$1,[3]characters!$1:$1,0)-MATCH("character_id",[3]characters!$1:$1,0)+1),MATCH(AE$1,[3]characters!$1:$1,0)-MATCH("character_id",[3]characters!$1:$1,0)+1,FALSE)</f>
        <v>Drop1W</v>
      </c>
      <c r="AF469" s="7">
        <v>9</v>
      </c>
      <c r="AG469" s="26">
        <f t="shared" ca="1" si="536"/>
        <v>1</v>
      </c>
      <c r="AH469" s="8">
        <v>20</v>
      </c>
      <c r="AI469" s="7">
        <v>0</v>
      </c>
      <c r="AJ469" s="7">
        <v>0</v>
      </c>
      <c r="AK469" s="7">
        <v>0</v>
      </c>
      <c r="AL469" s="7">
        <v>0</v>
      </c>
      <c r="AM469" s="7">
        <v>1</v>
      </c>
    </row>
    <row r="470" spans="1:39" ht="14" x14ac:dyDescent="0.15">
      <c r="A470" s="18" t="str">
        <f t="shared" ca="1" si="512"/>
        <v>25_1-2/47&lt;lv46&gt;s1</v>
      </c>
      <c r="B470" s="50">
        <v>25</v>
      </c>
      <c r="C470" s="49">
        <v>1</v>
      </c>
      <c r="D470" s="2" t="str">
        <f t="shared" si="537"/>
        <v>25_1</v>
      </c>
      <c r="E470" s="2" t="str">
        <f t="shared" si="537"/>
        <v>1_25_1</v>
      </c>
      <c r="F470" s="4" t="str">
        <f ca="1">VLOOKUP($D470,OFFSET([1]stages!$A$1,0,0,COUNTA([1]stages!$A:$A),MATCH(F$1,[1]stages!$2:$2,0)-MATCH($D$1,[1]stages!$2:$2,0)+1),MATCH(F$1,[1]stages!$2:$2,0)-MATCH($D$1,[1]stages!$2:$2,0)+1,FALSE)</f>
        <v>25-1．血塗られた招待状</v>
      </c>
      <c r="G470" s="57">
        <v>2</v>
      </c>
      <c r="H470" s="17" t="str">
        <f t="shared" si="538"/>
        <v>25_1-2</v>
      </c>
      <c r="I470" s="17"/>
      <c r="J470" s="17"/>
      <c r="K470" s="65" t="s">
        <v>56</v>
      </c>
      <c r="L470" s="52">
        <v>47</v>
      </c>
      <c r="M470" s="21" t="str">
        <f ca="1">VLOOKUP($L470,OFFSET([2]enemies!$A$1,0,0,COUNTA([2]enemies!$A:$A),MATCH(M$1,[2]enemies!$1:$1,0)-MATCH($L$1,[2]enemies!$1:$1,0)+1),MATCH(M$1,[2]enemies!$1:$1,0)-MATCH($L$1,[2]enemies!$1:$1,0)+1,FALSE)</f>
        <v>ヒロ</v>
      </c>
      <c r="N470" s="21" t="str">
        <f ca="1">VLOOKUP($L470,OFFSET([2]enemies!$A$1,0,0,COUNTA([2]enemies!$A:$A),MATCH(N$1,[2]enemies!$1:$1,0)-MATCH($L$1,[2]enemies!$1:$1,0)+1),MATCH(N$1,[2]enemies!$1:$1,0)-MATCH($L$1,[2]enemies!$1:$1,0)+1,FALSE)</f>
        <v>yellow</v>
      </c>
      <c r="O470" s="21" t="str">
        <f ca="1">VLOOKUP($L470,OFFSET([3]characters!$A$1,0,0,COUNTA([3]characters!$A:$A),MATCH(O$1,[3]characters!$1:$1,0)-MATCH($L$1,[3]characters!$1:$1,0)+1),MATCH(O$1,[3]characters!$1:$1,0)-MATCH($L$1,[3]characters!$1:$1,0)+1,FALSE)</f>
        <v>Drop1N</v>
      </c>
      <c r="P470" s="21" t="str">
        <f ca="1">VLOOKUP($L470,OFFSET([2]enemies!$A$1,0,0,COUNTA([2]enemies!$A:$A),MATCH(P$1,[2]enemies!$1:$1,0)-MATCH($L$1,[2]enemies!$1:$1,0)+1),MATCH(P$1,[2]enemies!$1:$1,0)-MATCH($L$1,[2]enemies!$1:$1,0)+1,FALSE)</f>
        <v>animal</v>
      </c>
      <c r="Q470" s="21">
        <f ca="1">VLOOKUP($L470,OFFSET([2]enemies!$A$1,0,0,COUNTA([2]enemies!$A:$A),MATCH(Q$1,[2]enemies!$1:$1,0)-MATCH($L$1,[2]enemies!$1:$1,0)+1),MATCH(Q$1,[2]enemies!$1:$1,0)-MATCH($L$1,[2]enemies!$1:$1,0)+1,FALSE)</f>
        <v>15</v>
      </c>
      <c r="R470" s="53">
        <v>46</v>
      </c>
      <c r="S470" s="27">
        <v>1</v>
      </c>
      <c r="T470" s="27">
        <v>1</v>
      </c>
      <c r="U470" s="5">
        <v>0</v>
      </c>
      <c r="V470" s="4" t="str">
        <f ca="1">VLOOKUP($W470,OFFSET([4]enemy_skill_sets!$B$1,0,0,COUNTA([4]enemy_skill_sets!$B:$B),MATCH(M$1,[4]enemy_skill_sets!$1:$1,0)-MATCH($W$1,[4]enemy_skill_sets!$1:$1,0)+2),MATCH(M$1,[4]enemy_skill_sets!$1:$1,0)-MATCH($W$1,[4]enemy_skill_sets!$1:$1,0)+2,FALSE)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70" s="4">
        <f ca="1">VLOOKUP($L470,OFFSET([2]enemies!$A$1,0,0,COUNTA([2]enemies!$A:$A),MATCH(W$1,[2]enemies!$1:$1,0)-MATCH($L$1,[2]enemies!$1:$1,0)+1),MATCH(W$1,[2]enemies!$1:$1,0)-MATCH($L$1,[2]enemies!$1:$1,0)+1,FALSE)</f>
        <v>0</v>
      </c>
      <c r="X470" s="6">
        <v>0</v>
      </c>
      <c r="Y470" s="6">
        <v>100</v>
      </c>
      <c r="Z470" s="6">
        <v>0</v>
      </c>
      <c r="AA470" s="4">
        <f ca="1">VLOOKUP($L470,OFFSET([2]enemies!$A$1,0,0,COUNTA([2]enemies!$A:$A),MATCH(AA$1,[2]enemies!$1:$1,0)-MATCH($L$1,[2]enemies!$1:$1,0)+1),MATCH(AA$1,[2]enemies!$1:$1,0)-MATCH($L$1,[2]enemies!$1:$1,0)+1,FALSE)</f>
        <v>1</v>
      </c>
      <c r="AB470" s="52">
        <v>47</v>
      </c>
      <c r="AC470" s="4" t="str">
        <f ca="1">VLOOKUP($AB470,OFFSET([3]characters!$A$1,0,0,COUNTA([3]characters!$A:$A),MATCH(AC$1,[3]characters!$1:$1,0)-MATCH("character_id",[3]characters!$1:$1,0)+1),MATCH(AC$1,[3]characters!$1:$1,0)-MATCH("character_id",[3]characters!$1:$1,0)+1,FALSE)</f>
        <v>ヒロ</v>
      </c>
      <c r="AD470" s="4">
        <f ca="1">VLOOKUP($AB470,OFFSET([3]characters!$A$1,0,0,COUNTA([3]characters!$A:$A),MATCH(AD$1,[3]characters!$1:$1,0)-MATCH("character_id",[3]characters!$1:$1,0)+1),MATCH(AD$1,[3]characters!$1:$1,0)-MATCH("character_id",[3]characters!$1:$1,0)+1,FALSE)</f>
        <v>2</v>
      </c>
      <c r="AE470" s="4" t="str">
        <f ca="1">VLOOKUP($AB470,OFFSET([3]characters!$A$1,0,0,COUNTA([3]characters!$A:$A),MATCH(AE$1,[3]characters!$1:$1,0)-MATCH("character_id",[3]characters!$1:$1,0)+1),MATCH(AE$1,[3]characters!$1:$1,0)-MATCH("character_id",[3]characters!$1:$1,0)+1,FALSE)</f>
        <v>Drop1N</v>
      </c>
      <c r="AF470" s="7">
        <v>7</v>
      </c>
      <c r="AG470" s="26">
        <f t="shared" ca="1" si="536"/>
        <v>2</v>
      </c>
      <c r="AH470" s="8">
        <v>20</v>
      </c>
      <c r="AI470" s="7">
        <v>0</v>
      </c>
      <c r="AJ470" s="7">
        <v>0</v>
      </c>
      <c r="AK470" s="7">
        <v>0</v>
      </c>
      <c r="AL470" s="7">
        <v>0</v>
      </c>
      <c r="AM470" s="7">
        <v>1</v>
      </c>
    </row>
    <row r="471" spans="1:39" ht="14" x14ac:dyDescent="0.15">
      <c r="A471" s="18" t="str">
        <f t="shared" ca="1" si="512"/>
        <v>25_1-2/63&lt;lv46&gt;s2</v>
      </c>
      <c r="B471" s="50">
        <v>25</v>
      </c>
      <c r="C471" s="49">
        <v>1</v>
      </c>
      <c r="D471" s="2" t="str">
        <f t="shared" si="537"/>
        <v>25_1</v>
      </c>
      <c r="E471" s="2" t="str">
        <f t="shared" si="537"/>
        <v>1_25_1</v>
      </c>
      <c r="F471" s="4" t="str">
        <f ca="1">VLOOKUP($D471,OFFSET([1]stages!$A$1,0,0,COUNTA([1]stages!$A:$A),MATCH(F$1,[1]stages!$2:$2,0)-MATCH($D$1,[1]stages!$2:$2,0)+1),MATCH(F$1,[1]stages!$2:$2,0)-MATCH($D$1,[1]stages!$2:$2,0)+1,FALSE)</f>
        <v>25-1．血塗られた招待状</v>
      </c>
      <c r="G471" s="57">
        <v>2</v>
      </c>
      <c r="H471" s="17" t="str">
        <f t="shared" si="538"/>
        <v>25_1-2</v>
      </c>
      <c r="I471" s="17"/>
      <c r="J471" s="17"/>
      <c r="K471" s="65" t="s">
        <v>56</v>
      </c>
      <c r="L471" s="52">
        <v>63</v>
      </c>
      <c r="M471" s="21" t="str">
        <f ca="1">VLOOKUP($L471,OFFSET([2]enemies!$A$1,0,0,COUNTA([2]enemies!$A:$A),MATCH(M$1,[2]enemies!$1:$1,0)-MATCH($L$1,[2]enemies!$1:$1,0)+1),MATCH(M$1,[2]enemies!$1:$1,0)-MATCH($L$1,[2]enemies!$1:$1,0)+1,FALSE)</f>
        <v>トニー</v>
      </c>
      <c r="N471" s="21" t="str">
        <f ca="1">VLOOKUP($L471,OFFSET([2]enemies!$A$1,0,0,COUNTA([2]enemies!$A:$A),MATCH(N$1,[2]enemies!$1:$1,0)-MATCH($L$1,[2]enemies!$1:$1,0)+1),MATCH(N$1,[2]enemies!$1:$1,0)-MATCH($L$1,[2]enemies!$1:$1,0)+1,FALSE)</f>
        <v>yellow</v>
      </c>
      <c r="O471" s="21" t="str">
        <f ca="1">VLOOKUP($L471,OFFSET([3]characters!$A$1,0,0,COUNTA([3]characters!$A:$A),MATCH(O$1,[3]characters!$1:$1,0)-MATCH($L$1,[3]characters!$1:$1,0)+1),MATCH(O$1,[3]characters!$1:$1,0)-MATCH($L$1,[3]characters!$1:$1,0)+1,FALSE)</f>
        <v>Drop1N</v>
      </c>
      <c r="P471" s="21" t="str">
        <f ca="1">VLOOKUP($L471,OFFSET([2]enemies!$A$1,0,0,COUNTA([2]enemies!$A:$A),MATCH(P$1,[2]enemies!$1:$1,0)-MATCH($L$1,[2]enemies!$1:$1,0)+1),MATCH(P$1,[2]enemies!$1:$1,0)-MATCH($L$1,[2]enemies!$1:$1,0)+1,FALSE)</f>
        <v>animal</v>
      </c>
      <c r="Q471" s="21">
        <f ca="1">VLOOKUP($L471,OFFSET([2]enemies!$A$1,0,0,COUNTA([2]enemies!$A:$A),MATCH(Q$1,[2]enemies!$1:$1,0)-MATCH($L$1,[2]enemies!$1:$1,0)+1),MATCH(Q$1,[2]enemies!$1:$1,0)-MATCH($L$1,[2]enemies!$1:$1,0)+1,FALSE)</f>
        <v>15</v>
      </c>
      <c r="R471" s="53">
        <v>46</v>
      </c>
      <c r="S471" s="27">
        <v>1</v>
      </c>
      <c r="T471" s="27">
        <v>1</v>
      </c>
      <c r="U471" s="5">
        <v>0</v>
      </c>
      <c r="V471" s="4" t="str">
        <f ca="1">VLOOKUP($W471,OFFSET([4]enemy_skill_sets!$B$1,0,0,COUNTA([4]enemy_skill_sets!$B:$B),MATCH(M$1,[4]enemy_skill_sets!$1:$1,0)-MATCH($W$1,[4]enemy_skill_sets!$1:$1,0)+2),MATCH(M$1,[4]enemy_skill_sets!$1:$1,0)-MATCH($W$1,[4]enemy_skill_sets!$1:$1,0)+2,FALSE)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471" s="4">
        <f ca="1">VLOOKUP($L471,OFFSET([2]enemies!$A$1,0,0,COUNTA([2]enemies!$A:$A),MATCH(W$1,[2]enemies!$1:$1,0)-MATCH($L$1,[2]enemies!$1:$1,0)+1),MATCH(W$1,[2]enemies!$1:$1,0)-MATCH($L$1,[2]enemies!$1:$1,0)+1,FALSE)</f>
        <v>63</v>
      </c>
      <c r="X471" s="6">
        <v>0</v>
      </c>
      <c r="Y471" s="6">
        <v>100</v>
      </c>
      <c r="Z471" s="6">
        <v>0</v>
      </c>
      <c r="AA471" s="4">
        <f ca="1">VLOOKUP($L471,OFFSET([2]enemies!$A$1,0,0,COUNTA([2]enemies!$A:$A),MATCH(AA$1,[2]enemies!$1:$1,0)-MATCH($L$1,[2]enemies!$1:$1,0)+1),MATCH(AA$1,[2]enemies!$1:$1,0)-MATCH($L$1,[2]enemies!$1:$1,0)+1,FALSE)</f>
        <v>2</v>
      </c>
      <c r="AB471" s="52">
        <v>63</v>
      </c>
      <c r="AC471" s="4" t="str">
        <f ca="1">VLOOKUP($AB471,OFFSET([3]characters!$A$1,0,0,COUNTA([3]characters!$A:$A),MATCH(AC$1,[3]characters!$1:$1,0)-MATCH("character_id",[3]characters!$1:$1,0)+1),MATCH(AC$1,[3]characters!$1:$1,0)-MATCH("character_id",[3]characters!$1:$1,0)+1,FALSE)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471" s="4">
        <f ca="1">VLOOKUP($AB471,OFFSET([3]characters!$A$1,0,0,COUNTA([3]characters!$A:$A),MATCH(AD$1,[3]characters!$1:$1,0)-MATCH("character_id",[3]characters!$1:$1,0)+1),MATCH(AD$1,[3]characters!$1:$1,0)-MATCH("character_id",[3]characters!$1:$1,0)+1,FALSE)</f>
        <v>2</v>
      </c>
      <c r="AE471" s="4" t="str">
        <f ca="1">VLOOKUP($AB471,OFFSET([3]characters!$A$1,0,0,COUNTA([3]characters!$A:$A),MATCH(AE$1,[3]characters!$1:$1,0)-MATCH("character_id",[3]characters!$1:$1,0)+1),MATCH(AE$1,[3]characters!$1:$1,0)-MATCH("character_id",[3]characters!$1:$1,0)+1,FALSE)</f>
        <v>Drop1N</v>
      </c>
      <c r="AF471" s="7">
        <v>7</v>
      </c>
      <c r="AG471" s="26">
        <f t="shared" ca="1" si="536"/>
        <v>2</v>
      </c>
      <c r="AH471" s="8">
        <v>20</v>
      </c>
      <c r="AI471" s="7">
        <v>0</v>
      </c>
      <c r="AJ471" s="7">
        <v>0</v>
      </c>
      <c r="AK471" s="7">
        <v>0</v>
      </c>
      <c r="AL471" s="7">
        <v>0</v>
      </c>
      <c r="AM471" s="7">
        <v>1</v>
      </c>
    </row>
    <row r="472" spans="1:39" ht="14" x14ac:dyDescent="0.15">
      <c r="A472" s="18" t="str">
        <f t="shared" ca="1" si="512"/>
        <v>25_1-2/19&lt;lv46&gt;s3</v>
      </c>
      <c r="B472" s="50">
        <v>25</v>
      </c>
      <c r="C472" s="49">
        <v>1</v>
      </c>
      <c r="D472" s="2" t="str">
        <f t="shared" si="537"/>
        <v>25_1</v>
      </c>
      <c r="E472" s="2" t="str">
        <f t="shared" si="537"/>
        <v>1_25_1</v>
      </c>
      <c r="F472" s="4" t="str">
        <f ca="1">VLOOKUP($D472,OFFSET([1]stages!$A$1,0,0,COUNTA([1]stages!$A:$A),MATCH(F$1,[1]stages!$2:$2,0)-MATCH($D$1,[1]stages!$2:$2,0)+1),MATCH(F$1,[1]stages!$2:$2,0)-MATCH($D$1,[1]stages!$2:$2,0)+1,FALSE)</f>
        <v>25-1．血塗られた招待状</v>
      </c>
      <c r="G472" s="57">
        <v>2</v>
      </c>
      <c r="H472" s="17" t="str">
        <f t="shared" si="538"/>
        <v>25_1-2</v>
      </c>
      <c r="I472" s="17"/>
      <c r="J472" s="17"/>
      <c r="K472" s="65" t="s">
        <v>56</v>
      </c>
      <c r="L472" s="52">
        <v>19</v>
      </c>
      <c r="M472" s="21" t="str">
        <f ca="1">VLOOKUP($L472,OFFSET([2]enemies!$A$1,0,0,COUNTA([2]enemies!$A:$A),MATCH(M$1,[2]enemies!$1:$1,0)-MATCH($L$1,[2]enemies!$1:$1,0)+1),MATCH(M$1,[2]enemies!$1:$1,0)-MATCH($L$1,[2]enemies!$1:$1,0)+1,FALSE)</f>
        <v>ティンク</v>
      </c>
      <c r="N472" s="21" t="str">
        <f ca="1">VLOOKUP($L472,OFFSET([2]enemies!$A$1,0,0,COUNTA([2]enemies!$A:$A),MATCH(N$1,[2]enemies!$1:$1,0)-MATCH($L$1,[2]enemies!$1:$1,0)+1),MATCH(N$1,[2]enemies!$1:$1,0)-MATCH($L$1,[2]enemies!$1:$1,0)+1,FALSE)</f>
        <v>yellow</v>
      </c>
      <c r="O472" s="21" t="str">
        <f ca="1">VLOOKUP($L472,OFFSET([3]characters!$A$1,0,0,COUNTA([3]characters!$A:$A),MATCH(O$1,[3]characters!$1:$1,0)-MATCH($L$1,[3]characters!$1:$1,0)+1),MATCH(O$1,[3]characters!$1:$1,0)-MATCH($L$1,[3]characters!$1:$1,0)+1,FALSE)</f>
        <v>Drop1W</v>
      </c>
      <c r="P472" s="21" t="str">
        <f ca="1">VLOOKUP($L472,OFFSET([2]enemies!$A$1,0,0,COUNTA([2]enemies!$A:$A),MATCH(P$1,[2]enemies!$1:$1,0)-MATCH($L$1,[2]enemies!$1:$1,0)+1),MATCH(P$1,[2]enemies!$1:$1,0)-MATCH($L$1,[2]enemies!$1:$1,0)+1,FALSE)</f>
        <v>human</v>
      </c>
      <c r="Q472" s="21">
        <f ca="1">VLOOKUP($L472,OFFSET([2]enemies!$A$1,0,0,COUNTA([2]enemies!$A:$A),MATCH(Q$1,[2]enemies!$1:$1,0)-MATCH($L$1,[2]enemies!$1:$1,0)+1),MATCH(Q$1,[2]enemies!$1:$1,0)-MATCH($L$1,[2]enemies!$1:$1,0)+1,FALSE)</f>
        <v>15</v>
      </c>
      <c r="R472" s="53">
        <v>46</v>
      </c>
      <c r="S472" s="27">
        <v>1</v>
      </c>
      <c r="T472" s="27">
        <v>1</v>
      </c>
      <c r="U472" s="5">
        <v>0</v>
      </c>
      <c r="V472" s="4" t="str">
        <f ca="1">VLOOKUP($W472,OFFSET([4]enemy_skill_sets!$B$1,0,0,COUNTA([4]enemy_skill_sets!$B:$B),MATCH(M$1,[4]enemy_skill_sets!$1:$1,0)-MATCH($W$1,[4]enemy_skill_sets!$1:$1,0)+2),MATCH(M$1,[4]enemy_skill_sets!$1:$1,0)-MATCH($W$1,[4]enemy_skill_sets!$1:$1,0)+2,FALSE)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72" s="4">
        <f ca="1">VLOOKUP($L472,OFFSET([2]enemies!$A$1,0,0,COUNTA([2]enemies!$A:$A),MATCH(W$1,[2]enemies!$1:$1,0)-MATCH($L$1,[2]enemies!$1:$1,0)+1),MATCH(W$1,[2]enemies!$1:$1,0)-MATCH($L$1,[2]enemies!$1:$1,0)+1,FALSE)</f>
        <v>0</v>
      </c>
      <c r="X472" s="6">
        <v>0</v>
      </c>
      <c r="Y472" s="6">
        <v>100</v>
      </c>
      <c r="Z472" s="6">
        <v>0</v>
      </c>
      <c r="AA472" s="4">
        <f ca="1">VLOOKUP($L472,OFFSET([2]enemies!$A$1,0,0,COUNTA([2]enemies!$A:$A),MATCH(AA$1,[2]enemies!$1:$1,0)-MATCH($L$1,[2]enemies!$1:$1,0)+1),MATCH(AA$1,[2]enemies!$1:$1,0)-MATCH($L$1,[2]enemies!$1:$1,0)+1,FALSE)</f>
        <v>3</v>
      </c>
      <c r="AB472" s="52">
        <v>19</v>
      </c>
      <c r="AC472" s="4" t="str">
        <f ca="1">VLOOKUP($AB472,OFFSET([3]characters!$A$1,0,0,COUNTA([3]characters!$A:$A),MATCH(AC$1,[3]characters!$1:$1,0)-MATCH("character_id",[3]characters!$1:$1,0)+1),MATCH(AC$1,[3]characters!$1:$1,0)-MATCH("character_id",[3]characters!$1:$1,0)+1,FALSE)</f>
        <v>ティンク</v>
      </c>
      <c r="AD472" s="4">
        <f ca="1">VLOOKUP($AB472,OFFSET([3]characters!$A$1,0,0,COUNTA([3]characters!$A:$A),MATCH(AD$1,[3]characters!$1:$1,0)-MATCH("character_id",[3]characters!$1:$1,0)+1),MATCH(AD$1,[3]characters!$1:$1,0)-MATCH("character_id",[3]characters!$1:$1,0)+1,FALSE)</f>
        <v>1</v>
      </c>
      <c r="AE472" s="4" t="str">
        <f ca="1">VLOOKUP($AB472,OFFSET([3]characters!$A$1,0,0,COUNTA([3]characters!$A:$A),MATCH(AE$1,[3]characters!$1:$1,0)-MATCH("character_id",[3]characters!$1:$1,0)+1),MATCH(AE$1,[3]characters!$1:$1,0)-MATCH("character_id",[3]characters!$1:$1,0)+1,FALSE)</f>
        <v>Drop1W</v>
      </c>
      <c r="AF472" s="7">
        <v>9</v>
      </c>
      <c r="AG472" s="26">
        <f t="shared" ca="1" si="536"/>
        <v>1</v>
      </c>
      <c r="AH472" s="8">
        <v>20</v>
      </c>
      <c r="AI472" s="7">
        <v>0</v>
      </c>
      <c r="AJ472" s="7">
        <v>0</v>
      </c>
      <c r="AK472" s="7">
        <v>0</v>
      </c>
      <c r="AL472" s="7">
        <v>0</v>
      </c>
      <c r="AM472" s="7">
        <v>1</v>
      </c>
    </row>
    <row r="473" spans="1:39" ht="14" x14ac:dyDescent="0.15">
      <c r="A473" s="18" t="str">
        <f t="shared" ca="1" si="512"/>
        <v>25_1-2/39&lt;lv46&gt;s3</v>
      </c>
      <c r="B473" s="50">
        <v>25</v>
      </c>
      <c r="C473" s="49">
        <v>1</v>
      </c>
      <c r="D473" s="2" t="str">
        <f t="shared" si="537"/>
        <v>25_1</v>
      </c>
      <c r="E473" s="2" t="str">
        <f t="shared" si="537"/>
        <v>1_25_1</v>
      </c>
      <c r="F473" s="4" t="str">
        <f ca="1">VLOOKUP($D473,OFFSET([1]stages!$A$1,0,0,COUNTA([1]stages!$A:$A),MATCH(F$1,[1]stages!$2:$2,0)-MATCH($D$1,[1]stages!$2:$2,0)+1),MATCH(F$1,[1]stages!$2:$2,0)-MATCH($D$1,[1]stages!$2:$2,0)+1,FALSE)</f>
        <v>25-1．血塗られた招待状</v>
      </c>
      <c r="G473" s="57">
        <v>2</v>
      </c>
      <c r="H473" s="17" t="str">
        <f t="shared" si="538"/>
        <v>25_1-2</v>
      </c>
      <c r="I473" s="17"/>
      <c r="J473" s="17"/>
      <c r="K473" s="65" t="s">
        <v>56</v>
      </c>
      <c r="L473" s="52">
        <v>39</v>
      </c>
      <c r="M473" s="21" t="str">
        <f ca="1">VLOOKUP($L473,OFFSET([2]enemies!$A$1,0,0,COUNTA([2]enemies!$A:$A),MATCH(M$1,[2]enemies!$1:$1,0)-MATCH($L$1,[2]enemies!$1:$1,0)+1),MATCH(M$1,[2]enemies!$1:$1,0)-MATCH($L$1,[2]enemies!$1:$1,0)+1,FALSE)</f>
        <v>マーロン</v>
      </c>
      <c r="N473" s="21" t="str">
        <f ca="1">VLOOKUP($L473,OFFSET([2]enemies!$A$1,0,0,COUNTA([2]enemies!$A:$A),MATCH(N$1,[2]enemies!$1:$1,0)-MATCH($L$1,[2]enemies!$1:$1,0)+1),MATCH(N$1,[2]enemies!$1:$1,0)-MATCH($L$1,[2]enemies!$1:$1,0)+1,FALSE)</f>
        <v>yellow</v>
      </c>
      <c r="O473" s="21" t="str">
        <f ca="1">VLOOKUP($L473,OFFSET([3]characters!$A$1,0,0,COUNTA([3]characters!$A:$A),MATCH(O$1,[3]characters!$1:$1,0)-MATCH($L$1,[3]characters!$1:$1,0)+1),MATCH(O$1,[3]characters!$1:$1,0)-MATCH($L$1,[3]characters!$1:$1,0)+1,FALSE)</f>
        <v>Drop1S</v>
      </c>
      <c r="P473" s="21" t="str">
        <f ca="1">VLOOKUP($L473,OFFSET([2]enemies!$A$1,0,0,COUNTA([2]enemies!$A:$A),MATCH(P$1,[2]enemies!$1:$1,0)-MATCH($L$1,[2]enemies!$1:$1,0)+1),MATCH(P$1,[2]enemies!$1:$1,0)-MATCH($L$1,[2]enemies!$1:$1,0)+1,FALSE)</f>
        <v>human</v>
      </c>
      <c r="Q473" s="21">
        <f ca="1">VLOOKUP($L473,OFFSET([2]enemies!$A$1,0,0,COUNTA([2]enemies!$A:$A),MATCH(Q$1,[2]enemies!$1:$1,0)-MATCH($L$1,[2]enemies!$1:$1,0)+1),MATCH(Q$1,[2]enemies!$1:$1,0)-MATCH($L$1,[2]enemies!$1:$1,0)+1,FALSE)</f>
        <v>15</v>
      </c>
      <c r="R473" s="53">
        <v>46</v>
      </c>
      <c r="S473" s="27">
        <v>1</v>
      </c>
      <c r="T473" s="27">
        <v>1</v>
      </c>
      <c r="U473" s="5">
        <v>0</v>
      </c>
      <c r="V473" s="4" t="str">
        <f ca="1">VLOOKUP($W473,OFFSET([4]enemy_skill_sets!$B$1,0,0,COUNTA([4]enemy_skill_sets!$B:$B),MATCH(M$1,[4]enemy_skill_sets!$1:$1,0)-MATCH($W$1,[4]enemy_skill_sets!$1:$1,0)+2),MATCH(M$1,[4]enemy_skill_sets!$1:$1,0)-MATCH($W$1,[4]enemy_skill_sets!$1:$1,0)+2,FALSE)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473" s="4">
        <f ca="1">VLOOKUP($L473,OFFSET([2]enemies!$A$1,0,0,COUNTA([2]enemies!$A:$A),MATCH(W$1,[2]enemies!$1:$1,0)-MATCH($L$1,[2]enemies!$1:$1,0)+1),MATCH(W$1,[2]enemies!$1:$1,0)-MATCH($L$1,[2]enemies!$1:$1,0)+1,FALSE)</f>
        <v>39</v>
      </c>
      <c r="X473" s="6">
        <v>0</v>
      </c>
      <c r="Y473" s="6">
        <v>100</v>
      </c>
      <c r="Z473" s="6">
        <v>0</v>
      </c>
      <c r="AA473" s="4">
        <f ca="1">VLOOKUP($L473,OFFSET([2]enemies!$A$1,0,0,COUNTA([2]enemies!$A:$A),MATCH(AA$1,[2]enemies!$1:$1,0)-MATCH($L$1,[2]enemies!$1:$1,0)+1),MATCH(AA$1,[2]enemies!$1:$1,0)-MATCH($L$1,[2]enemies!$1:$1,0)+1,FALSE)</f>
        <v>3</v>
      </c>
      <c r="AB473" s="52">
        <v>39</v>
      </c>
      <c r="AC473" s="4" t="str">
        <f ca="1">VLOOKUP($AB473,OFFSET([3]characters!$A$1,0,0,COUNTA([3]characters!$A:$A),MATCH(AC$1,[3]characters!$1:$1,0)-MATCH("character_id",[3]characters!$1:$1,0)+1),MATCH(AC$1,[3]characters!$1:$1,0)-MATCH("character_id",[3]characters!$1:$1,0)+1,FALSE)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473" s="4">
        <f ca="1">VLOOKUP($AB473,OFFSET([3]characters!$A$1,0,0,COUNTA([3]characters!$A:$A),MATCH(AD$1,[3]characters!$1:$1,0)-MATCH("character_id",[3]characters!$1:$1,0)+1),MATCH(AD$1,[3]characters!$1:$1,0)-MATCH("character_id",[3]characters!$1:$1,0)+1,FALSE)</f>
        <v>2</v>
      </c>
      <c r="AE473" s="4" t="str">
        <f ca="1">VLOOKUP($AB473,OFFSET([3]characters!$A$1,0,0,COUNTA([3]characters!$A:$A),MATCH(AE$1,[3]characters!$1:$1,0)-MATCH("character_id",[3]characters!$1:$1,0)+1),MATCH(AE$1,[3]characters!$1:$1,0)-MATCH("character_id",[3]characters!$1:$1,0)+1,FALSE)</f>
        <v>Drop1S</v>
      </c>
      <c r="AF473" s="7">
        <v>5</v>
      </c>
      <c r="AG473" s="26">
        <f t="shared" ca="1" si="536"/>
        <v>2</v>
      </c>
      <c r="AH473" s="8">
        <v>20</v>
      </c>
      <c r="AI473" s="7">
        <v>0</v>
      </c>
      <c r="AJ473" s="7">
        <v>0</v>
      </c>
      <c r="AK473" s="7">
        <v>0</v>
      </c>
      <c r="AL473" s="7">
        <v>0</v>
      </c>
      <c r="AM473" s="7">
        <v>1</v>
      </c>
    </row>
    <row r="474" spans="1:39" ht="14" x14ac:dyDescent="0.15">
      <c r="A474" s="18" t="str">
        <f t="shared" ca="1" si="512"/>
        <v>25_1-2/55&lt;lv46&gt;s4</v>
      </c>
      <c r="B474" s="50">
        <v>25</v>
      </c>
      <c r="C474" s="49">
        <v>1</v>
      </c>
      <c r="D474" s="2" t="str">
        <f t="shared" si="537"/>
        <v>25_1</v>
      </c>
      <c r="E474" s="2" t="str">
        <f t="shared" si="537"/>
        <v>1_25_1</v>
      </c>
      <c r="F474" s="4" t="str">
        <f ca="1">VLOOKUP($D474,OFFSET([1]stages!$A$1,0,0,COUNTA([1]stages!$A:$A),MATCH(F$1,[1]stages!$2:$2,0)-MATCH($D$1,[1]stages!$2:$2,0)+1),MATCH(F$1,[1]stages!$2:$2,0)-MATCH($D$1,[1]stages!$2:$2,0)+1,FALSE)</f>
        <v>25-1．血塗られた招待状</v>
      </c>
      <c r="G474" s="57">
        <v>2</v>
      </c>
      <c r="H474" s="17" t="str">
        <f t="shared" si="538"/>
        <v>25_1-2</v>
      </c>
      <c r="I474" s="17"/>
      <c r="J474" s="17"/>
      <c r="K474" s="65" t="s">
        <v>56</v>
      </c>
      <c r="L474" s="52">
        <v>55</v>
      </c>
      <c r="M474" s="21" t="str">
        <f ca="1">VLOOKUP($L474,OFFSET([2]enemies!$A$1,0,0,COUNTA([2]enemies!$A:$A),MATCH(M$1,[2]enemies!$1:$1,0)-MATCH($L$1,[2]enemies!$1:$1,0)+1),MATCH(M$1,[2]enemies!$1:$1,0)-MATCH($L$1,[2]enemies!$1:$1,0)+1,FALSE)</f>
        <v>マミコ</v>
      </c>
      <c r="N474" s="21" t="str">
        <f ca="1">VLOOKUP($L474,OFFSET([2]enemies!$A$1,0,0,COUNTA([2]enemies!$A:$A),MATCH(N$1,[2]enemies!$1:$1,0)-MATCH($L$1,[2]enemies!$1:$1,0)+1),MATCH(N$1,[2]enemies!$1:$1,0)-MATCH($L$1,[2]enemies!$1:$1,0)+1,FALSE)</f>
        <v>yellow</v>
      </c>
      <c r="O474" s="21" t="str">
        <f ca="1">VLOOKUP($L474,OFFSET([3]characters!$A$1,0,0,COUNTA([3]characters!$A:$A),MATCH(O$1,[3]characters!$1:$1,0)-MATCH($L$1,[3]characters!$1:$1,0)+1),MATCH(O$1,[3]characters!$1:$1,0)-MATCH($L$1,[3]characters!$1:$1,0)+1,FALSE)</f>
        <v>Drop1N</v>
      </c>
      <c r="P474" s="21" t="str">
        <f ca="1">VLOOKUP($L474,OFFSET([2]enemies!$A$1,0,0,COUNTA([2]enemies!$A:$A),MATCH(P$1,[2]enemies!$1:$1,0)-MATCH($L$1,[2]enemies!$1:$1,0)+1),MATCH(P$1,[2]enemies!$1:$1,0)-MATCH($L$1,[2]enemies!$1:$1,0)+1,FALSE)</f>
        <v>human</v>
      </c>
      <c r="Q474" s="21">
        <f ca="1">VLOOKUP($L474,OFFSET([2]enemies!$A$1,0,0,COUNTA([2]enemies!$A:$A),MATCH(Q$1,[2]enemies!$1:$1,0)-MATCH($L$1,[2]enemies!$1:$1,0)+1),MATCH(Q$1,[2]enemies!$1:$1,0)-MATCH($L$1,[2]enemies!$1:$1,0)+1,FALSE)</f>
        <v>15</v>
      </c>
      <c r="R474" s="53">
        <v>46</v>
      </c>
      <c r="S474" s="27">
        <v>1</v>
      </c>
      <c r="T474" s="27">
        <v>1</v>
      </c>
      <c r="U474" s="5">
        <v>0</v>
      </c>
      <c r="V474" s="4" t="str">
        <f ca="1">VLOOKUP($W474,OFFSET([4]enemy_skill_sets!$B$1,0,0,COUNTA([4]enemy_skill_sets!$B:$B),MATCH(M$1,[4]enemy_skill_sets!$1:$1,0)-MATCH($W$1,[4]enemy_skill_sets!$1:$1,0)+2),MATCH(M$1,[4]enemy_skill_sets!$1:$1,0)-MATCH($W$1,[4]enemy_skill_sets!$1:$1,0)+2,FALSE)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474" s="4">
        <f ca="1">VLOOKUP($L474,OFFSET([2]enemies!$A$1,0,0,COUNTA([2]enemies!$A:$A),MATCH(W$1,[2]enemies!$1:$1,0)-MATCH($L$1,[2]enemies!$1:$1,0)+1),MATCH(W$1,[2]enemies!$1:$1,0)-MATCH($L$1,[2]enemies!$1:$1,0)+1,FALSE)</f>
        <v>55</v>
      </c>
      <c r="X474" s="6">
        <v>0</v>
      </c>
      <c r="Y474" s="6">
        <v>100</v>
      </c>
      <c r="Z474" s="6">
        <v>0</v>
      </c>
      <c r="AA474" s="4">
        <f ca="1">VLOOKUP($L474,OFFSET([2]enemies!$A$1,0,0,COUNTA([2]enemies!$A:$A),MATCH(AA$1,[2]enemies!$1:$1,0)-MATCH($L$1,[2]enemies!$1:$1,0)+1),MATCH(AA$1,[2]enemies!$1:$1,0)-MATCH($L$1,[2]enemies!$1:$1,0)+1,FALSE)</f>
        <v>4</v>
      </c>
      <c r="AB474" s="52">
        <v>55</v>
      </c>
      <c r="AC474" s="4" t="str">
        <f ca="1">VLOOKUP($AB474,OFFSET([3]characters!$A$1,0,0,COUNTA([3]characters!$A:$A),MATCH(AC$1,[3]characters!$1:$1,0)-MATCH("character_id",[3]characters!$1:$1,0)+1),MATCH(AC$1,[3]characters!$1:$1,0)-MATCH("character_id",[3]characters!$1:$1,0)+1,FALSE)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474" s="4">
        <f ca="1">VLOOKUP($AB474,OFFSET([3]characters!$A$1,0,0,COUNTA([3]characters!$A:$A),MATCH(AD$1,[3]characters!$1:$1,0)-MATCH("character_id",[3]characters!$1:$1,0)+1),MATCH(AD$1,[3]characters!$1:$1,0)-MATCH("character_id",[3]characters!$1:$1,0)+1,FALSE)</f>
        <v>2</v>
      </c>
      <c r="AE474" s="4" t="str">
        <f ca="1">VLOOKUP($AB474,OFFSET([3]characters!$A$1,0,0,COUNTA([3]characters!$A:$A),MATCH(AE$1,[3]characters!$1:$1,0)-MATCH("character_id",[3]characters!$1:$1,0)+1),MATCH(AE$1,[3]characters!$1:$1,0)-MATCH("character_id",[3]characters!$1:$1,0)+1,FALSE)</f>
        <v>Drop1N</v>
      </c>
      <c r="AF474" s="7">
        <v>7</v>
      </c>
      <c r="AG474" s="26">
        <f t="shared" ca="1" si="536"/>
        <v>2</v>
      </c>
      <c r="AH474" s="8">
        <v>20</v>
      </c>
      <c r="AI474" s="7">
        <v>0</v>
      </c>
      <c r="AJ474" s="7">
        <v>0</v>
      </c>
      <c r="AK474" s="7">
        <v>0</v>
      </c>
      <c r="AL474" s="7">
        <v>0</v>
      </c>
      <c r="AM474" s="7">
        <v>1</v>
      </c>
    </row>
    <row r="475" spans="1:39" ht="14" x14ac:dyDescent="0.15">
      <c r="A475" s="18" t="str">
        <f t="shared" ca="1" si="512"/>
        <v>25_1-2/366&lt;lv46&gt;s3</v>
      </c>
      <c r="B475" s="53">
        <v>25</v>
      </c>
      <c r="C475" s="51">
        <v>1</v>
      </c>
      <c r="D475" s="2" t="str">
        <f t="shared" ref="D475" si="548">B475&amp;"_"&amp;C475</f>
        <v>25_1</v>
      </c>
      <c r="E475" s="2" t="str">
        <f t="shared" ref="E475" si="549">C475&amp;"_"&amp;D475</f>
        <v>1_25_1</v>
      </c>
      <c r="F475" s="4" t="str">
        <f ca="1">VLOOKUP($D475,OFFSET([1]stages!$A$1,0,0,COUNTA([1]stages!$A:$A),MATCH(F$1,[1]stages!$2:$2,0)-MATCH($D$1,[1]stages!$2:$2,0)+1),MATCH(F$1,[1]stages!$2:$2,0)-MATCH($D$1,[1]stages!$2:$2,0)+1,FALSE)</f>
        <v>25-1．血塗られた招待状</v>
      </c>
      <c r="G475" s="57">
        <v>2</v>
      </c>
      <c r="H475" s="17" t="str">
        <f t="shared" ref="H475" si="550">B475&amp;"_"&amp;C475&amp;"-"&amp;G475</f>
        <v>25_1-2</v>
      </c>
      <c r="I475" s="17"/>
      <c r="J475" s="17"/>
      <c r="K475" s="65" t="s">
        <v>56</v>
      </c>
      <c r="L475" s="52">
        <v>366</v>
      </c>
      <c r="M475" s="21" t="str">
        <f ca="1">VLOOKUP($L475,OFFSET([2]enemies!$A$1,0,0,COUNTA([2]enemies!$A:$A),MATCH(M$1,[2]enemies!$1:$1,0)-MATCH($L$1,[2]enemies!$1:$1,0)+1),MATCH(M$1,[2]enemies!$1:$1,0)-MATCH($L$1,[2]enemies!$1:$1,0)+1,FALSE)</f>
        <v>トト</v>
      </c>
      <c r="N475" s="21" t="str">
        <f ca="1">VLOOKUP($L475,OFFSET([2]enemies!$A$1,0,0,COUNTA([2]enemies!$A:$A),MATCH(N$1,[2]enemies!$1:$1,0)-MATCH($L$1,[2]enemies!$1:$1,0)+1),MATCH(N$1,[2]enemies!$1:$1,0)-MATCH($L$1,[2]enemies!$1:$1,0)+1,FALSE)</f>
        <v>yellow</v>
      </c>
      <c r="O475" s="21" t="str">
        <f ca="1">VLOOKUP($L475,OFFSET([3]characters!$A$1,0,0,COUNTA([3]characters!$A:$A),MATCH(O$1,[3]characters!$1:$1,0)-MATCH($L$1,[3]characters!$1:$1,0)+1),MATCH(O$1,[3]characters!$1:$1,0)-MATCH($L$1,[3]characters!$1:$1,0)+1,FALSE)</f>
        <v>Drop1S</v>
      </c>
      <c r="P475" s="21" t="str">
        <f ca="1">VLOOKUP($L475,OFFSET([2]enemies!$A$1,0,0,COUNTA([2]enemies!$A:$A),MATCH(P$1,[2]enemies!$1:$1,0)-MATCH($L$1,[2]enemies!$1:$1,0)+1),MATCH(P$1,[2]enemies!$1:$1,0)-MATCH($L$1,[2]enemies!$1:$1,0)+1,FALSE)</f>
        <v>animal</v>
      </c>
      <c r="Q475" s="21">
        <f ca="1">VLOOKUP($L475,OFFSET([2]enemies!$A$1,0,0,COUNTA([2]enemies!$A:$A),MATCH(Q$1,[2]enemies!$1:$1,0)-MATCH($L$1,[2]enemies!$1:$1,0)+1),MATCH(Q$1,[2]enemies!$1:$1,0)-MATCH($L$1,[2]enemies!$1:$1,0)+1,FALSE)</f>
        <v>15</v>
      </c>
      <c r="R475" s="53">
        <v>46</v>
      </c>
      <c r="S475" s="27">
        <v>1</v>
      </c>
      <c r="T475" s="27">
        <v>1</v>
      </c>
      <c r="U475" s="5">
        <v>0</v>
      </c>
      <c r="V475" s="4" t="str">
        <f ca="1">VLOOKUP($W475,OFFSET([4]enemy_skill_sets!$B$1,0,0,COUNTA([4]enemy_skill_sets!$B:$B),MATCH(M$1,[4]enemy_skill_sets!$1:$1,0)-MATCH($W$1,[4]enemy_skill_sets!$1:$1,0)+2),MATCH(M$1,[4]enemy_skill_sets!$1:$1,0)-MATCH($W$1,[4]enemy_skill_sets!$1:$1,0)+2,FALSE)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475" s="64">
        <v>366</v>
      </c>
      <c r="X475" s="6">
        <v>0</v>
      </c>
      <c r="Y475" s="6">
        <v>100</v>
      </c>
      <c r="Z475" s="6">
        <v>0</v>
      </c>
      <c r="AA475" s="4">
        <f ca="1">VLOOKUP($L475,OFFSET([2]enemies!$A$1,0,0,COUNTA([2]enemies!$A:$A),MATCH(AA$1,[2]enemies!$1:$1,0)-MATCH($L$1,[2]enemies!$1:$1,0)+1),MATCH(AA$1,[2]enemies!$1:$1,0)-MATCH($L$1,[2]enemies!$1:$1,0)+1,FALSE)</f>
        <v>3</v>
      </c>
      <c r="AB475" s="52">
        <v>366</v>
      </c>
      <c r="AC475" s="4" t="str">
        <f ca="1">VLOOKUP($AB475,OFFSET([3]characters!$A$1,0,0,COUNTA([3]characters!$A:$A),MATCH(AC$1,[3]characters!$1:$1,0)-MATCH("character_id",[3]characters!$1:$1,0)+1),MATCH(AC$1,[3]characters!$1:$1,0)-MATCH("character_id",[3]characters!$1:$1,0)+1,FALSE)</f>
        <v>トト</v>
      </c>
      <c r="AD475" s="4">
        <f ca="1">VLOOKUP($AB475,OFFSET([3]characters!$A$1,0,0,COUNTA([3]characters!$A:$A),MATCH(AD$1,[3]characters!$1:$1,0)-MATCH("character_id",[3]characters!$1:$1,0)+1),MATCH(AD$1,[3]characters!$1:$1,0)-MATCH("character_id",[3]characters!$1:$1,0)+1,FALSE)</f>
        <v>2</v>
      </c>
      <c r="AE475" s="4" t="str">
        <f ca="1">VLOOKUP($AB475,OFFSET([3]characters!$A$1,0,0,COUNTA([3]characters!$A:$A),MATCH(AE$1,[3]characters!$1:$1,0)-MATCH("character_id",[3]characters!$1:$1,0)+1),MATCH(AE$1,[3]characters!$1:$1,0)-MATCH("character_id",[3]characters!$1:$1,0)+1,FALSE)</f>
        <v>Drop1S</v>
      </c>
      <c r="AF475" s="7">
        <v>7</v>
      </c>
      <c r="AG475" s="26">
        <f t="shared" ca="1" si="536"/>
        <v>2</v>
      </c>
      <c r="AH475" s="8">
        <v>20</v>
      </c>
      <c r="AI475" s="7">
        <v>0</v>
      </c>
      <c r="AJ475" s="7">
        <v>0</v>
      </c>
      <c r="AK475" s="7">
        <v>0</v>
      </c>
      <c r="AL475" s="7">
        <v>0</v>
      </c>
      <c r="AM475" s="7">
        <v>1</v>
      </c>
    </row>
    <row r="476" spans="1:39" ht="14" x14ac:dyDescent="0.15">
      <c r="A476" s="18" t="str">
        <f t="shared" ca="1" si="512"/>
        <v>25_1-2/352&lt;lv46&gt;s3</v>
      </c>
      <c r="B476" s="53">
        <v>25</v>
      </c>
      <c r="C476" s="51">
        <v>1</v>
      </c>
      <c r="D476" s="2" t="str">
        <f t="shared" ref="D476" si="551">B476&amp;"_"&amp;C476</f>
        <v>25_1</v>
      </c>
      <c r="E476" s="2" t="str">
        <f t="shared" ref="E476" si="552">C476&amp;"_"&amp;D476</f>
        <v>1_25_1</v>
      </c>
      <c r="F476" s="4" t="str">
        <f ca="1">VLOOKUP($D476,OFFSET([1]stages!$A$1,0,0,COUNTA([1]stages!$A:$A),MATCH(F$1,[1]stages!$2:$2,0)-MATCH($D$1,[1]stages!$2:$2,0)+1),MATCH(F$1,[1]stages!$2:$2,0)-MATCH($D$1,[1]stages!$2:$2,0)+1,FALSE)</f>
        <v>25-1．血塗られた招待状</v>
      </c>
      <c r="G476" s="57">
        <v>2</v>
      </c>
      <c r="H476" s="17" t="str">
        <f t="shared" ref="H476" si="553">B476&amp;"_"&amp;C476&amp;"-"&amp;G476</f>
        <v>25_1-2</v>
      </c>
      <c r="I476" s="17"/>
      <c r="J476" s="17"/>
      <c r="K476" s="65" t="s">
        <v>56</v>
      </c>
      <c r="L476" s="52">
        <v>352</v>
      </c>
      <c r="M476" s="21" t="str">
        <f ca="1">VLOOKUP($L476,OFFSET([2]enemies!$A$1,0,0,COUNTA([2]enemies!$A:$A),MATCH(M$1,[2]enemies!$1:$1,0)-MATCH($L$1,[2]enemies!$1:$1,0)+1),MATCH(M$1,[2]enemies!$1:$1,0)-MATCH($L$1,[2]enemies!$1:$1,0)+1,FALSE)</f>
        <v>水のケロケロ</v>
      </c>
      <c r="N476" s="21" t="str">
        <f ca="1">VLOOKUP($L476,OFFSET([2]enemies!$A$1,0,0,COUNTA([2]enemies!$A:$A),MATCH(N$1,[2]enemies!$1:$1,0)-MATCH($L$1,[2]enemies!$1:$1,0)+1),MATCH(N$1,[2]enemies!$1:$1,0)-MATCH($L$1,[2]enemies!$1:$1,0)+1,FALSE)</f>
        <v>blue</v>
      </c>
      <c r="O476" s="21" t="str">
        <f ca="1">VLOOKUP($L476,OFFSET([3]characters!$A$1,0,0,COUNTA([3]characters!$A:$A),MATCH(O$1,[3]characters!$1:$1,0)-MATCH($L$1,[3]characters!$1:$1,0)+1),MATCH(O$1,[3]characters!$1:$1,0)-MATCH($L$1,[3]characters!$1:$1,0)+1,FALSE)</f>
        <v>Material</v>
      </c>
      <c r="P476" s="21" t="str">
        <f ca="1">VLOOKUP($L476,OFFSET([2]enemies!$A$1,0,0,COUNTA([2]enemies!$A:$A),MATCH(P$1,[2]enemies!$1:$1,0)-MATCH($L$1,[2]enemies!$1:$1,0)+1),MATCH(P$1,[2]enemies!$1:$1,0)-MATCH($L$1,[2]enemies!$1:$1,0)+1,FALSE)</f>
        <v>unknown</v>
      </c>
      <c r="Q476" s="21">
        <f ca="1">VLOOKUP($L476,OFFSET([2]enemies!$A$1,0,0,COUNTA([2]enemies!$A:$A),MATCH(Q$1,[2]enemies!$1:$1,0)-MATCH($L$1,[2]enemies!$1:$1,0)+1),MATCH(Q$1,[2]enemies!$1:$1,0)-MATCH($L$1,[2]enemies!$1:$1,0)+1,FALSE)</f>
        <v>15</v>
      </c>
      <c r="R476" s="53">
        <v>46</v>
      </c>
      <c r="S476" s="27">
        <v>1</v>
      </c>
      <c r="T476" s="27">
        <v>1</v>
      </c>
      <c r="U476" s="5">
        <v>0</v>
      </c>
      <c r="V476" s="4" t="str">
        <f ca="1">VLOOKUP($W476,OFFSET([4]enemy_skill_sets!$B$1,0,0,COUNTA([4]enemy_skill_sets!$B:$B),MATCH(M$1,[4]enemy_skill_sets!$1:$1,0)-MATCH($W$1,[4]enemy_skill_sets!$1:$1,0)+2),MATCH(M$1,[4]enemy_skill_sets!$1:$1,0)-MATCH($W$1,[4]enemy_skill_sets!$1:$1,0)+2,FALSE)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476" s="64">
        <v>352</v>
      </c>
      <c r="X476" s="6">
        <v>0</v>
      </c>
      <c r="Y476" s="6">
        <v>100</v>
      </c>
      <c r="Z476" s="6">
        <v>0</v>
      </c>
      <c r="AA476" s="4">
        <f ca="1">VLOOKUP($L476,OFFSET([2]enemies!$A$1,0,0,COUNTA([2]enemies!$A:$A),MATCH(AA$1,[2]enemies!$1:$1,0)-MATCH($L$1,[2]enemies!$1:$1,0)+1),MATCH(AA$1,[2]enemies!$1:$1,0)-MATCH($L$1,[2]enemies!$1:$1,0)+1,FALSE)</f>
        <v>3</v>
      </c>
      <c r="AB476" s="52">
        <v>352</v>
      </c>
      <c r="AC476" s="4" t="str">
        <f ca="1">VLOOKUP($AB476,OFFSET([3]characters!$A$1,0,0,COUNTA([3]characters!$A:$A),MATCH(AC$1,[3]characters!$1:$1,0)-MATCH("character_id",[3]characters!$1:$1,0)+1),MATCH(AC$1,[3]characters!$1:$1,0)-MATCH("character_id",[3]characters!$1:$1,0)+1,FALSE)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476" s="4">
        <f ca="1">VLOOKUP($AB476,OFFSET([3]characters!$A$1,0,0,COUNTA([3]characters!$A:$A),MATCH(AD$1,[3]characters!$1:$1,0)-MATCH("character_id",[3]characters!$1:$1,0)+1),MATCH(AD$1,[3]characters!$1:$1,0)-MATCH("character_id",[3]characters!$1:$1,0)+1,FALSE)</f>
        <v>2</v>
      </c>
      <c r="AE476" s="4" t="str">
        <f ca="1">VLOOKUP($AB476,OFFSET([3]characters!$A$1,0,0,COUNTA([3]characters!$A:$A),MATCH(AE$1,[3]characters!$1:$1,0)-MATCH("character_id",[3]characters!$1:$1,0)+1),MATCH(AE$1,[3]characters!$1:$1,0)-MATCH("character_id",[3]characters!$1:$1,0)+1,FALSE)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76" s="7">
        <v>10</v>
      </c>
      <c r="AG476" s="26">
        <f t="shared" ca="1" si="536"/>
        <v>2</v>
      </c>
      <c r="AH476" s="8">
        <v>20</v>
      </c>
      <c r="AI476" s="7">
        <v>0</v>
      </c>
      <c r="AJ476" s="7">
        <v>0</v>
      </c>
      <c r="AK476" s="7">
        <v>0</v>
      </c>
      <c r="AL476" s="7">
        <v>0</v>
      </c>
      <c r="AM476" s="7">
        <v>1</v>
      </c>
    </row>
    <row r="477" spans="1:39" ht="14" x14ac:dyDescent="0.15">
      <c r="A477" s="18" t="str">
        <f t="shared" ca="1" si="512"/>
        <v>25_1-3/13&lt;lv46&gt;s2</v>
      </c>
      <c r="B477" s="50">
        <v>25</v>
      </c>
      <c r="C477" s="49">
        <v>1</v>
      </c>
      <c r="D477" s="2" t="str">
        <f t="shared" si="537"/>
        <v>25_1</v>
      </c>
      <c r="E477" s="2" t="str">
        <f t="shared" si="537"/>
        <v>1_25_1</v>
      </c>
      <c r="F477" s="4" t="str">
        <f ca="1">VLOOKUP($D477,OFFSET([1]stages!$A$1,0,0,COUNTA([1]stages!$A:$A),MATCH(F$1,[1]stages!$2:$2,0)-MATCH($D$1,[1]stages!$2:$2,0)+1),MATCH(F$1,[1]stages!$2:$2,0)-MATCH($D$1,[1]stages!$2:$2,0)+1,FALSE)</f>
        <v>25-1．血塗られた招待状</v>
      </c>
      <c r="G477" s="54">
        <v>3</v>
      </c>
      <c r="H477" s="17" t="str">
        <f t="shared" si="538"/>
        <v>25_1-3</v>
      </c>
      <c r="I477" s="17"/>
      <c r="J477" s="17"/>
      <c r="K477" s="65" t="s">
        <v>56</v>
      </c>
      <c r="L477" s="52">
        <v>13</v>
      </c>
      <c r="M477" s="21" t="str">
        <f ca="1">VLOOKUP($L477,OFFSET([2]enemies!$A$1,0,0,COUNTA([2]enemies!$A:$A),MATCH(M$1,[2]enemies!$1:$1,0)-MATCH($L$1,[2]enemies!$1:$1,0)+1),MATCH(M$1,[2]enemies!$1:$1,0)-MATCH($L$1,[2]enemies!$1:$1,0)+1,FALSE)</f>
        <v>ミミ</v>
      </c>
      <c r="N477" s="21" t="str">
        <f ca="1">VLOOKUP($L477,OFFSET([2]enemies!$A$1,0,0,COUNTA([2]enemies!$A:$A),MATCH(N$1,[2]enemies!$1:$1,0)-MATCH($L$1,[2]enemies!$1:$1,0)+1),MATCH(N$1,[2]enemies!$1:$1,0)-MATCH($L$1,[2]enemies!$1:$1,0)+1,FALSE)</f>
        <v>yellow</v>
      </c>
      <c r="O477" s="21" t="str">
        <f ca="1">VLOOKUP($L477,OFFSET([3]characters!$A$1,0,0,COUNTA([3]characters!$A:$A),MATCH(O$1,[3]characters!$1:$1,0)-MATCH($L$1,[3]characters!$1:$1,0)+1),MATCH(O$1,[3]characters!$1:$1,0)-MATCH($L$1,[3]characters!$1:$1,0)+1,FALSE)</f>
        <v>Drop1W</v>
      </c>
      <c r="P477" s="21" t="str">
        <f ca="1">VLOOKUP($L477,OFFSET([2]enemies!$A$1,0,0,COUNTA([2]enemies!$A:$A),MATCH(P$1,[2]enemies!$1:$1,0)-MATCH($L$1,[2]enemies!$1:$1,0)+1),MATCH(P$1,[2]enemies!$1:$1,0)-MATCH($L$1,[2]enemies!$1:$1,0)+1,FALSE)</f>
        <v>animal</v>
      </c>
      <c r="Q477" s="21">
        <f ca="1">VLOOKUP($L477,OFFSET([2]enemies!$A$1,0,0,COUNTA([2]enemies!$A:$A),MATCH(Q$1,[2]enemies!$1:$1,0)-MATCH($L$1,[2]enemies!$1:$1,0)+1),MATCH(Q$1,[2]enemies!$1:$1,0)-MATCH($L$1,[2]enemies!$1:$1,0)+1,FALSE)</f>
        <v>15</v>
      </c>
      <c r="R477" s="53">
        <v>46</v>
      </c>
      <c r="S477" s="27">
        <v>1.1000000000000001</v>
      </c>
      <c r="T477" s="27">
        <v>1</v>
      </c>
      <c r="U477" s="5">
        <v>0</v>
      </c>
      <c r="V477" s="4" t="str">
        <f ca="1">VLOOKUP($W477,OFFSET([4]enemy_skill_sets!$B$1,0,0,COUNTA([4]enemy_skill_sets!$B:$B),MATCH(M$1,[4]enemy_skill_sets!$1:$1,0)-MATCH($W$1,[4]enemy_skill_sets!$1:$1,0)+2),MATCH(M$1,[4]enemy_skill_sets!$1:$1,0)-MATCH($W$1,[4]enemy_skill_sets!$1:$1,0)+2,FALSE)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77" s="4">
        <f ca="1">VLOOKUP($L477,OFFSET([2]enemies!$A$1,0,0,COUNTA([2]enemies!$A:$A),MATCH(W$1,[2]enemies!$1:$1,0)-MATCH($L$1,[2]enemies!$1:$1,0)+1),MATCH(W$1,[2]enemies!$1:$1,0)-MATCH($L$1,[2]enemies!$1:$1,0)+1,FALSE)</f>
        <v>0</v>
      </c>
      <c r="X477" s="6">
        <v>0</v>
      </c>
      <c r="Y477" s="6">
        <v>100</v>
      </c>
      <c r="Z477" s="6">
        <v>0</v>
      </c>
      <c r="AA477" s="4">
        <f ca="1">VLOOKUP($L477,OFFSET([2]enemies!$A$1,0,0,COUNTA([2]enemies!$A:$A),MATCH(AA$1,[2]enemies!$1:$1,0)-MATCH($L$1,[2]enemies!$1:$1,0)+1),MATCH(AA$1,[2]enemies!$1:$1,0)-MATCH($L$1,[2]enemies!$1:$1,0)+1,FALSE)</f>
        <v>2</v>
      </c>
      <c r="AB477" s="52">
        <v>13</v>
      </c>
      <c r="AC477" s="4" t="str">
        <f ca="1">VLOOKUP($AB477,OFFSET([3]characters!$A$1,0,0,COUNTA([3]characters!$A:$A),MATCH(AC$1,[3]characters!$1:$1,0)-MATCH("character_id",[3]characters!$1:$1,0)+1),MATCH(AC$1,[3]characters!$1:$1,0)-MATCH("character_id",[3]characters!$1:$1,0)+1,FALSE)</f>
        <v>ミミ</v>
      </c>
      <c r="AD477" s="4">
        <f ca="1">VLOOKUP($AB477,OFFSET([3]characters!$A$1,0,0,COUNTA([3]characters!$A:$A),MATCH(AD$1,[3]characters!$1:$1,0)-MATCH("character_id",[3]characters!$1:$1,0)+1),MATCH(AD$1,[3]characters!$1:$1,0)-MATCH("character_id",[3]characters!$1:$1,0)+1,FALSE)</f>
        <v>1</v>
      </c>
      <c r="AE477" s="4" t="str">
        <f ca="1">VLOOKUP($AB477,OFFSET([3]characters!$A$1,0,0,COUNTA([3]characters!$A:$A),MATCH(AE$1,[3]characters!$1:$1,0)-MATCH("character_id",[3]characters!$1:$1,0)+1),MATCH(AE$1,[3]characters!$1:$1,0)-MATCH("character_id",[3]characters!$1:$1,0)+1,FALSE)</f>
        <v>Drop1W</v>
      </c>
      <c r="AF477" s="7">
        <v>9</v>
      </c>
      <c r="AG477" s="26">
        <f t="shared" ca="1" si="536"/>
        <v>1</v>
      </c>
      <c r="AH477" s="8">
        <v>20</v>
      </c>
      <c r="AI477" s="7">
        <v>0</v>
      </c>
      <c r="AJ477" s="7">
        <v>0</v>
      </c>
      <c r="AK477" s="7">
        <v>0</v>
      </c>
      <c r="AL477" s="7">
        <v>0</v>
      </c>
      <c r="AM477" s="7">
        <v>1</v>
      </c>
    </row>
    <row r="478" spans="1:39" ht="14" x14ac:dyDescent="0.15">
      <c r="A478" s="18" t="str">
        <f t="shared" ca="1" si="512"/>
        <v>25_1-3/25&lt;lv46&gt;s3</v>
      </c>
      <c r="B478" s="50">
        <v>25</v>
      </c>
      <c r="C478" s="49">
        <v>1</v>
      </c>
      <c r="D478" s="2" t="str">
        <f t="shared" si="537"/>
        <v>25_1</v>
      </c>
      <c r="E478" s="2" t="str">
        <f t="shared" si="537"/>
        <v>1_25_1</v>
      </c>
      <c r="F478" s="4" t="str">
        <f ca="1">VLOOKUP($D478,OFFSET([1]stages!$A$1,0,0,COUNTA([1]stages!$A:$A),MATCH(F$1,[1]stages!$2:$2,0)-MATCH($D$1,[1]stages!$2:$2,0)+1),MATCH(F$1,[1]stages!$2:$2,0)-MATCH($D$1,[1]stages!$2:$2,0)+1,FALSE)</f>
        <v>25-1．血塗られた招待状</v>
      </c>
      <c r="G478" s="54">
        <v>3</v>
      </c>
      <c r="H478" s="17" t="str">
        <f t="shared" si="538"/>
        <v>25_1-3</v>
      </c>
      <c r="I478" s="17"/>
      <c r="J478" s="17"/>
      <c r="K478" s="65" t="s">
        <v>56</v>
      </c>
      <c r="L478" s="52">
        <v>25</v>
      </c>
      <c r="M478" s="21" t="str">
        <f ca="1">VLOOKUP($L478,OFFSET([2]enemies!$A$1,0,0,COUNTA([2]enemies!$A:$A),MATCH(M$1,[2]enemies!$1:$1,0)-MATCH($L$1,[2]enemies!$1:$1,0)+1),MATCH(M$1,[2]enemies!$1:$1,0)-MATCH($L$1,[2]enemies!$1:$1,0)+1,FALSE)</f>
        <v>ハチ</v>
      </c>
      <c r="N478" s="21" t="str">
        <f ca="1">VLOOKUP($L478,OFFSET([2]enemies!$A$1,0,0,COUNTA([2]enemies!$A:$A),MATCH(N$1,[2]enemies!$1:$1,0)-MATCH($L$1,[2]enemies!$1:$1,0)+1),MATCH(N$1,[2]enemies!$1:$1,0)-MATCH($L$1,[2]enemies!$1:$1,0)+1,FALSE)</f>
        <v>blue</v>
      </c>
      <c r="O478" s="21" t="str">
        <f ca="1">VLOOKUP($L478,OFFSET([3]characters!$A$1,0,0,COUNTA([3]characters!$A:$A),MATCH(O$1,[3]characters!$1:$1,0)-MATCH($L$1,[3]characters!$1:$1,0)+1),MATCH(O$1,[3]characters!$1:$1,0)-MATCH($L$1,[3]characters!$1:$1,0)+1,FALSE)</f>
        <v>Drop1N</v>
      </c>
      <c r="P478" s="21" t="str">
        <f ca="1">VLOOKUP($L478,OFFSET([2]enemies!$A$1,0,0,COUNTA([2]enemies!$A:$A),MATCH(P$1,[2]enemies!$1:$1,0)-MATCH($L$1,[2]enemies!$1:$1,0)+1),MATCH(P$1,[2]enemies!$1:$1,0)-MATCH($L$1,[2]enemies!$1:$1,0)+1,FALSE)</f>
        <v>animal</v>
      </c>
      <c r="Q478" s="21">
        <f ca="1">VLOOKUP($L478,OFFSET([2]enemies!$A$1,0,0,COUNTA([2]enemies!$A:$A),MATCH(Q$1,[2]enemies!$1:$1,0)-MATCH($L$1,[2]enemies!$1:$1,0)+1),MATCH(Q$1,[2]enemies!$1:$1,0)-MATCH($L$1,[2]enemies!$1:$1,0)+1,FALSE)</f>
        <v>15</v>
      </c>
      <c r="R478" s="53">
        <v>46</v>
      </c>
      <c r="S478" s="27">
        <v>1.1000000000000001</v>
      </c>
      <c r="T478" s="27">
        <v>1</v>
      </c>
      <c r="U478" s="5">
        <v>0</v>
      </c>
      <c r="V478" s="4" t="str">
        <f ca="1">VLOOKUP($W478,OFFSET([4]enemy_skill_sets!$B$1,0,0,COUNTA([4]enemy_skill_sets!$B:$B),MATCH(M$1,[4]enemy_skill_sets!$1:$1,0)-MATCH($W$1,[4]enemy_skill_sets!$1:$1,0)+2),MATCH(M$1,[4]enemy_skill_sets!$1:$1,0)-MATCH($W$1,[4]enemy_skill_sets!$1:$1,0)+2,FALSE)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78" s="4">
        <f ca="1">VLOOKUP($L478,OFFSET([2]enemies!$A$1,0,0,COUNTA([2]enemies!$A:$A),MATCH(W$1,[2]enemies!$1:$1,0)-MATCH($L$1,[2]enemies!$1:$1,0)+1),MATCH(W$1,[2]enemies!$1:$1,0)-MATCH($L$1,[2]enemies!$1:$1,0)+1,FALSE)</f>
        <v>0</v>
      </c>
      <c r="X478" s="6">
        <v>0</v>
      </c>
      <c r="Y478" s="6">
        <v>100</v>
      </c>
      <c r="Z478" s="6">
        <v>0</v>
      </c>
      <c r="AA478" s="4">
        <f ca="1">VLOOKUP($L478,OFFSET([2]enemies!$A$1,0,0,COUNTA([2]enemies!$A:$A),MATCH(AA$1,[2]enemies!$1:$1,0)-MATCH($L$1,[2]enemies!$1:$1,0)+1),MATCH(AA$1,[2]enemies!$1:$1,0)-MATCH($L$1,[2]enemies!$1:$1,0)+1,FALSE)</f>
        <v>3</v>
      </c>
      <c r="AB478" s="52">
        <v>25</v>
      </c>
      <c r="AC478" s="4" t="str">
        <f ca="1">VLOOKUP($AB478,OFFSET([3]characters!$A$1,0,0,COUNTA([3]characters!$A:$A),MATCH(AC$1,[3]characters!$1:$1,0)-MATCH("character_id",[3]characters!$1:$1,0)+1),MATCH(AC$1,[3]characters!$1:$1,0)-MATCH("character_id",[3]characters!$1:$1,0)+1,FALSE)</f>
        <v>ハチ</v>
      </c>
      <c r="AD478" s="4">
        <f ca="1">VLOOKUP($AB478,OFFSET([3]characters!$A$1,0,0,COUNTA([3]characters!$A:$A),MATCH(AD$1,[3]characters!$1:$1,0)-MATCH("character_id",[3]characters!$1:$1,0)+1),MATCH(AD$1,[3]characters!$1:$1,0)-MATCH("character_id",[3]characters!$1:$1,0)+1,FALSE)</f>
        <v>1</v>
      </c>
      <c r="AE478" s="4" t="str">
        <f ca="1">VLOOKUP($AB478,OFFSET([3]characters!$A$1,0,0,COUNTA([3]characters!$A:$A),MATCH(AE$1,[3]characters!$1:$1,0)-MATCH("character_id",[3]characters!$1:$1,0)+1),MATCH(AE$1,[3]characters!$1:$1,0)-MATCH("character_id",[3]characters!$1:$1,0)+1,FALSE)</f>
        <v>Drop1N</v>
      </c>
      <c r="AF478" s="7">
        <v>7</v>
      </c>
      <c r="AG478" s="26">
        <f t="shared" ca="1" si="536"/>
        <v>1</v>
      </c>
      <c r="AH478" s="8">
        <v>20</v>
      </c>
      <c r="AI478" s="7">
        <v>0</v>
      </c>
      <c r="AJ478" s="7">
        <v>0</v>
      </c>
      <c r="AK478" s="7">
        <v>0</v>
      </c>
      <c r="AL478" s="7">
        <v>0</v>
      </c>
      <c r="AM478" s="7">
        <v>1</v>
      </c>
    </row>
    <row r="479" spans="1:39" ht="14" x14ac:dyDescent="0.15">
      <c r="A479" s="18" t="str">
        <f t="shared" ca="1" si="512"/>
        <v>25_1-3/37&lt;lv46&gt;s3</v>
      </c>
      <c r="B479" s="50">
        <v>25</v>
      </c>
      <c r="C479" s="49">
        <v>1</v>
      </c>
      <c r="D479" s="2" t="str">
        <f t="shared" si="537"/>
        <v>25_1</v>
      </c>
      <c r="E479" s="2" t="str">
        <f t="shared" si="537"/>
        <v>1_25_1</v>
      </c>
      <c r="F479" s="4" t="str">
        <f ca="1">VLOOKUP($D479,OFFSET([1]stages!$A$1,0,0,COUNTA([1]stages!$A:$A),MATCH(F$1,[1]stages!$2:$2,0)-MATCH($D$1,[1]stages!$2:$2,0)+1),MATCH(F$1,[1]stages!$2:$2,0)-MATCH($D$1,[1]stages!$2:$2,0)+1,FALSE)</f>
        <v>25-1．血塗られた招待状</v>
      </c>
      <c r="G479" s="54">
        <v>3</v>
      </c>
      <c r="H479" s="17" t="str">
        <f t="shared" si="538"/>
        <v>25_1-3</v>
      </c>
      <c r="I479" s="17"/>
      <c r="J479" s="17"/>
      <c r="K479" s="65" t="s">
        <v>56</v>
      </c>
      <c r="L479" s="52">
        <v>37</v>
      </c>
      <c r="M479" s="21" t="str">
        <f ca="1">VLOOKUP($L479,OFFSET([2]enemies!$A$1,0,0,COUNTA([2]enemies!$A:$A),MATCH(M$1,[2]enemies!$1:$1,0)-MATCH($L$1,[2]enemies!$1:$1,0)+1),MATCH(M$1,[2]enemies!$1:$1,0)-MATCH($L$1,[2]enemies!$1:$1,0)+1,FALSE)</f>
        <v>ガイル</v>
      </c>
      <c r="N479" s="21" t="str">
        <f ca="1">VLOOKUP($L479,OFFSET([2]enemies!$A$1,0,0,COUNTA([2]enemies!$A:$A),MATCH(N$1,[2]enemies!$1:$1,0)-MATCH($L$1,[2]enemies!$1:$1,0)+1),MATCH(N$1,[2]enemies!$1:$1,0)-MATCH($L$1,[2]enemies!$1:$1,0)+1,FALSE)</f>
        <v>blue</v>
      </c>
      <c r="O479" s="21" t="str">
        <f ca="1">VLOOKUP($L479,OFFSET([3]characters!$A$1,0,0,COUNTA([3]characters!$A:$A),MATCH(O$1,[3]characters!$1:$1,0)-MATCH($L$1,[3]characters!$1:$1,0)+1),MATCH(O$1,[3]characters!$1:$1,0)-MATCH($L$1,[3]characters!$1:$1,0)+1,FALSE)</f>
        <v>Drop1S</v>
      </c>
      <c r="P479" s="21" t="str">
        <f ca="1">VLOOKUP($L479,OFFSET([2]enemies!$A$1,0,0,COUNTA([2]enemies!$A:$A),MATCH(P$1,[2]enemies!$1:$1,0)-MATCH($L$1,[2]enemies!$1:$1,0)+1),MATCH(P$1,[2]enemies!$1:$1,0)-MATCH($L$1,[2]enemies!$1:$1,0)+1,FALSE)</f>
        <v>animal</v>
      </c>
      <c r="Q479" s="21">
        <f ca="1">VLOOKUP($L479,OFFSET([2]enemies!$A$1,0,0,COUNTA([2]enemies!$A:$A),MATCH(Q$1,[2]enemies!$1:$1,0)-MATCH($L$1,[2]enemies!$1:$1,0)+1),MATCH(Q$1,[2]enemies!$1:$1,0)-MATCH($L$1,[2]enemies!$1:$1,0)+1,FALSE)</f>
        <v>15</v>
      </c>
      <c r="R479" s="53">
        <v>46</v>
      </c>
      <c r="S479" s="27">
        <v>1.1000000000000001</v>
      </c>
      <c r="T479" s="27">
        <v>1</v>
      </c>
      <c r="U479" s="5">
        <v>0</v>
      </c>
      <c r="V479" s="4" t="str">
        <f ca="1">VLOOKUP($W479,OFFSET([4]enemy_skill_sets!$B$1,0,0,COUNTA([4]enemy_skill_sets!$B:$B),MATCH(M$1,[4]enemy_skill_sets!$1:$1,0)-MATCH($W$1,[4]enemy_skill_sets!$1:$1,0)+2),MATCH(M$1,[4]enemy_skill_sets!$1:$1,0)-MATCH($W$1,[4]enemy_skill_sets!$1:$1,0)+2,FALSE)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79" s="4">
        <f ca="1">VLOOKUP($L479,OFFSET([2]enemies!$A$1,0,0,COUNTA([2]enemies!$A:$A),MATCH(W$1,[2]enemies!$1:$1,0)-MATCH($L$1,[2]enemies!$1:$1,0)+1),MATCH(W$1,[2]enemies!$1:$1,0)-MATCH($L$1,[2]enemies!$1:$1,0)+1,FALSE)</f>
        <v>37</v>
      </c>
      <c r="X479" s="6">
        <v>0</v>
      </c>
      <c r="Y479" s="6">
        <v>100</v>
      </c>
      <c r="Z479" s="6">
        <v>0</v>
      </c>
      <c r="AA479" s="4">
        <f ca="1">VLOOKUP($L479,OFFSET([2]enemies!$A$1,0,0,COUNTA([2]enemies!$A:$A),MATCH(AA$1,[2]enemies!$1:$1,0)-MATCH($L$1,[2]enemies!$1:$1,0)+1),MATCH(AA$1,[2]enemies!$1:$1,0)-MATCH($L$1,[2]enemies!$1:$1,0)+1,FALSE)</f>
        <v>3</v>
      </c>
      <c r="AB479" s="52">
        <v>37</v>
      </c>
      <c r="AC479" s="4" t="str">
        <f ca="1">VLOOKUP($AB479,OFFSET([3]characters!$A$1,0,0,COUNTA([3]characters!$A:$A),MATCH(AC$1,[3]characters!$1:$1,0)-MATCH("character_id",[3]characters!$1:$1,0)+1),MATCH(AC$1,[3]characters!$1:$1,0)-MATCH("character_id",[3]characters!$1:$1,0)+1,FALSE)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479" s="4">
        <f ca="1">VLOOKUP($AB479,OFFSET([3]characters!$A$1,0,0,COUNTA([3]characters!$A:$A),MATCH(AD$1,[3]characters!$1:$1,0)-MATCH("character_id",[3]characters!$1:$1,0)+1),MATCH(AD$1,[3]characters!$1:$1,0)-MATCH("character_id",[3]characters!$1:$1,0)+1,FALSE)</f>
        <v>2</v>
      </c>
      <c r="AE479" s="4" t="str">
        <f ca="1">VLOOKUP($AB479,OFFSET([3]characters!$A$1,0,0,COUNTA([3]characters!$A:$A),MATCH(AE$1,[3]characters!$1:$1,0)-MATCH("character_id",[3]characters!$1:$1,0)+1),MATCH(AE$1,[3]characters!$1:$1,0)-MATCH("character_id",[3]characters!$1:$1,0)+1,FALSE)</f>
        <v>Drop1S</v>
      </c>
      <c r="AF479" s="7">
        <v>5</v>
      </c>
      <c r="AG479" s="26">
        <f t="shared" ca="1" si="536"/>
        <v>2</v>
      </c>
      <c r="AH479" s="8">
        <v>20</v>
      </c>
      <c r="AI479" s="7">
        <v>0</v>
      </c>
      <c r="AJ479" s="7">
        <v>0</v>
      </c>
      <c r="AK479" s="7">
        <v>0</v>
      </c>
      <c r="AL479" s="7">
        <v>0</v>
      </c>
      <c r="AM479" s="7">
        <v>1</v>
      </c>
    </row>
    <row r="480" spans="1:39" ht="14" x14ac:dyDescent="0.15">
      <c r="A480" s="18" t="str">
        <f t="shared" ca="1" si="512"/>
        <v>25_1-3/45&lt;lv46&gt;s3</v>
      </c>
      <c r="B480" s="50">
        <v>25</v>
      </c>
      <c r="C480" s="49">
        <v>1</v>
      </c>
      <c r="D480" s="2" t="str">
        <f t="shared" si="537"/>
        <v>25_1</v>
      </c>
      <c r="E480" s="2" t="str">
        <f t="shared" si="537"/>
        <v>1_25_1</v>
      </c>
      <c r="F480" s="4" t="str">
        <f ca="1">VLOOKUP($D480,OFFSET([1]stages!$A$1,0,0,COUNTA([1]stages!$A:$A),MATCH(F$1,[1]stages!$2:$2,0)-MATCH($D$1,[1]stages!$2:$2,0)+1),MATCH(F$1,[1]stages!$2:$2,0)-MATCH($D$1,[1]stages!$2:$2,0)+1,FALSE)</f>
        <v>25-1．血塗られた招待状</v>
      </c>
      <c r="G480" s="54">
        <v>3</v>
      </c>
      <c r="H480" s="17" t="str">
        <f t="shared" si="538"/>
        <v>25_1-3</v>
      </c>
      <c r="I480" s="17"/>
      <c r="J480" s="17"/>
      <c r="K480" s="65" t="s">
        <v>56</v>
      </c>
      <c r="L480" s="52">
        <v>45</v>
      </c>
      <c r="M480" s="21" t="str">
        <f ca="1">VLOOKUP($L480,OFFSET([2]enemies!$A$1,0,0,COUNTA([2]enemies!$A:$A),MATCH(M$1,[2]enemies!$1:$1,0)-MATCH($L$1,[2]enemies!$1:$1,0)+1),MATCH(M$1,[2]enemies!$1:$1,0)-MATCH($L$1,[2]enemies!$1:$1,0)+1,FALSE)</f>
        <v>ショウイン</v>
      </c>
      <c r="N480" s="21" t="str">
        <f ca="1">VLOOKUP($L480,OFFSET([2]enemies!$A$1,0,0,COUNTA([2]enemies!$A:$A),MATCH(N$1,[2]enemies!$1:$1,0)-MATCH($L$1,[2]enemies!$1:$1,0)+1),MATCH(N$1,[2]enemies!$1:$1,0)-MATCH($L$1,[2]enemies!$1:$1,0)+1,FALSE)</f>
        <v>blue</v>
      </c>
      <c r="O480" s="21" t="str">
        <f ca="1">VLOOKUP($L480,OFFSET([3]characters!$A$1,0,0,COUNTA([3]characters!$A:$A),MATCH(O$1,[3]characters!$1:$1,0)-MATCH($L$1,[3]characters!$1:$1,0)+1),MATCH(O$1,[3]characters!$1:$1,0)-MATCH($L$1,[3]characters!$1:$1,0)+1,FALSE)</f>
        <v>Drop1N</v>
      </c>
      <c r="P480" s="21" t="str">
        <f ca="1">VLOOKUP($L480,OFFSET([2]enemies!$A$1,0,0,COUNTA([2]enemies!$A:$A),MATCH(P$1,[2]enemies!$1:$1,0)-MATCH($L$1,[2]enemies!$1:$1,0)+1),MATCH(P$1,[2]enemies!$1:$1,0)-MATCH($L$1,[2]enemies!$1:$1,0)+1,FALSE)</f>
        <v>animal</v>
      </c>
      <c r="Q480" s="21">
        <f ca="1">VLOOKUP($L480,OFFSET([2]enemies!$A$1,0,0,COUNTA([2]enemies!$A:$A),MATCH(Q$1,[2]enemies!$1:$1,0)-MATCH($L$1,[2]enemies!$1:$1,0)+1),MATCH(Q$1,[2]enemies!$1:$1,0)-MATCH($L$1,[2]enemies!$1:$1,0)+1,FALSE)</f>
        <v>15</v>
      </c>
      <c r="R480" s="53">
        <v>46</v>
      </c>
      <c r="S480" s="27">
        <v>1.1000000000000001</v>
      </c>
      <c r="T480" s="27">
        <v>1</v>
      </c>
      <c r="U480" s="5">
        <v>0</v>
      </c>
      <c r="V480" s="4" t="str">
        <f ca="1">VLOOKUP($W480,OFFSET([4]enemy_skill_sets!$B$1,0,0,COUNTA([4]enemy_skill_sets!$B:$B),MATCH(M$1,[4]enemy_skill_sets!$1:$1,0)-MATCH($W$1,[4]enemy_skill_sets!$1:$1,0)+2),MATCH(M$1,[4]enemy_skill_sets!$1:$1,0)-MATCH($W$1,[4]enemy_skill_sets!$1:$1,0)+2,FALSE)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80" s="4">
        <f ca="1">VLOOKUP($L480,OFFSET([2]enemies!$A$1,0,0,COUNTA([2]enemies!$A:$A),MATCH(W$1,[2]enemies!$1:$1,0)-MATCH($L$1,[2]enemies!$1:$1,0)+1),MATCH(W$1,[2]enemies!$1:$1,0)-MATCH($L$1,[2]enemies!$1:$1,0)+1,FALSE)</f>
        <v>0</v>
      </c>
      <c r="X480" s="6">
        <v>0</v>
      </c>
      <c r="Y480" s="6">
        <v>100</v>
      </c>
      <c r="Z480" s="6">
        <v>0</v>
      </c>
      <c r="AA480" s="4">
        <f ca="1">VLOOKUP($L480,OFFSET([2]enemies!$A$1,0,0,COUNTA([2]enemies!$A:$A),MATCH(AA$1,[2]enemies!$1:$1,0)-MATCH($L$1,[2]enemies!$1:$1,0)+1),MATCH(AA$1,[2]enemies!$1:$1,0)-MATCH($L$1,[2]enemies!$1:$1,0)+1,FALSE)</f>
        <v>3</v>
      </c>
      <c r="AB480" s="52">
        <v>45</v>
      </c>
      <c r="AC480" s="4" t="str">
        <f ca="1">VLOOKUP($AB480,OFFSET([3]characters!$A$1,0,0,COUNTA([3]characters!$A:$A),MATCH(AC$1,[3]characters!$1:$1,0)-MATCH("character_id",[3]characters!$1:$1,0)+1),MATCH(AC$1,[3]characters!$1:$1,0)-MATCH("character_id",[3]characters!$1:$1,0)+1,FALSE)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480" s="4">
        <f ca="1">VLOOKUP($AB480,OFFSET([3]characters!$A$1,0,0,COUNTA([3]characters!$A:$A),MATCH(AD$1,[3]characters!$1:$1,0)-MATCH("character_id",[3]characters!$1:$1,0)+1),MATCH(AD$1,[3]characters!$1:$1,0)-MATCH("character_id",[3]characters!$1:$1,0)+1,FALSE)</f>
        <v>2</v>
      </c>
      <c r="AE480" s="4" t="str">
        <f ca="1">VLOOKUP($AB480,OFFSET([3]characters!$A$1,0,0,COUNTA([3]characters!$A:$A),MATCH(AE$1,[3]characters!$1:$1,0)-MATCH("character_id",[3]characters!$1:$1,0)+1),MATCH(AE$1,[3]characters!$1:$1,0)-MATCH("character_id",[3]characters!$1:$1,0)+1,FALSE)</f>
        <v>Drop1N</v>
      </c>
      <c r="AF480" s="7">
        <v>7</v>
      </c>
      <c r="AG480" s="26">
        <f t="shared" ca="1" si="536"/>
        <v>2</v>
      </c>
      <c r="AH480" s="8">
        <v>20</v>
      </c>
      <c r="AI480" s="7">
        <v>0</v>
      </c>
      <c r="AJ480" s="7">
        <v>0</v>
      </c>
      <c r="AK480" s="7">
        <v>0</v>
      </c>
      <c r="AL480" s="7">
        <v>0</v>
      </c>
      <c r="AM480" s="7">
        <v>1</v>
      </c>
    </row>
    <row r="481" spans="1:39" ht="14" x14ac:dyDescent="0.15">
      <c r="A481" s="18" t="str">
        <f t="shared" ca="1" si="512"/>
        <v>25_1-3/47&lt;lv46&gt;s1</v>
      </c>
      <c r="B481" s="50">
        <v>25</v>
      </c>
      <c r="C481" s="49">
        <v>1</v>
      </c>
      <c r="D481" s="2" t="str">
        <f t="shared" si="537"/>
        <v>25_1</v>
      </c>
      <c r="E481" s="2" t="str">
        <f t="shared" si="537"/>
        <v>1_25_1</v>
      </c>
      <c r="F481" s="4" t="str">
        <f ca="1">VLOOKUP($D481,OFFSET([1]stages!$A$1,0,0,COUNTA([1]stages!$A:$A),MATCH(F$1,[1]stages!$2:$2,0)-MATCH($D$1,[1]stages!$2:$2,0)+1),MATCH(F$1,[1]stages!$2:$2,0)-MATCH($D$1,[1]stages!$2:$2,0)+1,FALSE)</f>
        <v>25-1．血塗られた招待状</v>
      </c>
      <c r="G481" s="54">
        <v>3</v>
      </c>
      <c r="H481" s="17" t="str">
        <f t="shared" si="538"/>
        <v>25_1-3</v>
      </c>
      <c r="I481" s="17"/>
      <c r="J481" s="17"/>
      <c r="K481" s="65" t="s">
        <v>56</v>
      </c>
      <c r="L481" s="52">
        <v>47</v>
      </c>
      <c r="M481" s="21" t="str">
        <f ca="1">VLOOKUP($L481,OFFSET([2]enemies!$A$1,0,0,COUNTA([2]enemies!$A:$A),MATCH(M$1,[2]enemies!$1:$1,0)-MATCH($L$1,[2]enemies!$1:$1,0)+1),MATCH(M$1,[2]enemies!$1:$1,0)-MATCH($L$1,[2]enemies!$1:$1,0)+1,FALSE)</f>
        <v>ヒロ</v>
      </c>
      <c r="N481" s="21" t="str">
        <f ca="1">VLOOKUP($L481,OFFSET([2]enemies!$A$1,0,0,COUNTA([2]enemies!$A:$A),MATCH(N$1,[2]enemies!$1:$1,0)-MATCH($L$1,[2]enemies!$1:$1,0)+1),MATCH(N$1,[2]enemies!$1:$1,0)-MATCH($L$1,[2]enemies!$1:$1,0)+1,FALSE)</f>
        <v>yellow</v>
      </c>
      <c r="O481" s="21" t="str">
        <f ca="1">VLOOKUP($L481,OFFSET([3]characters!$A$1,0,0,COUNTA([3]characters!$A:$A),MATCH(O$1,[3]characters!$1:$1,0)-MATCH($L$1,[3]characters!$1:$1,0)+1),MATCH(O$1,[3]characters!$1:$1,0)-MATCH($L$1,[3]characters!$1:$1,0)+1,FALSE)</f>
        <v>Drop1N</v>
      </c>
      <c r="P481" s="21" t="str">
        <f ca="1">VLOOKUP($L481,OFFSET([2]enemies!$A$1,0,0,COUNTA([2]enemies!$A:$A),MATCH(P$1,[2]enemies!$1:$1,0)-MATCH($L$1,[2]enemies!$1:$1,0)+1),MATCH(P$1,[2]enemies!$1:$1,0)-MATCH($L$1,[2]enemies!$1:$1,0)+1,FALSE)</f>
        <v>animal</v>
      </c>
      <c r="Q481" s="21">
        <f ca="1">VLOOKUP($L481,OFFSET([2]enemies!$A$1,0,0,COUNTA([2]enemies!$A:$A),MATCH(Q$1,[2]enemies!$1:$1,0)-MATCH($L$1,[2]enemies!$1:$1,0)+1),MATCH(Q$1,[2]enemies!$1:$1,0)-MATCH($L$1,[2]enemies!$1:$1,0)+1,FALSE)</f>
        <v>15</v>
      </c>
      <c r="R481" s="53">
        <v>46</v>
      </c>
      <c r="S481" s="27">
        <v>1.1000000000000001</v>
      </c>
      <c r="T481" s="27">
        <v>1</v>
      </c>
      <c r="U481" s="5">
        <v>0</v>
      </c>
      <c r="V481" s="4" t="str">
        <f ca="1">VLOOKUP($W481,OFFSET([4]enemy_skill_sets!$B$1,0,0,COUNTA([4]enemy_skill_sets!$B:$B),MATCH(M$1,[4]enemy_skill_sets!$1:$1,0)-MATCH($W$1,[4]enemy_skill_sets!$1:$1,0)+2),MATCH(M$1,[4]enemy_skill_sets!$1:$1,0)-MATCH($W$1,[4]enemy_skill_sets!$1:$1,0)+2,FALSE)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81" s="4">
        <f ca="1">VLOOKUP($L481,OFFSET([2]enemies!$A$1,0,0,COUNTA([2]enemies!$A:$A),MATCH(W$1,[2]enemies!$1:$1,0)-MATCH($L$1,[2]enemies!$1:$1,0)+1),MATCH(W$1,[2]enemies!$1:$1,0)-MATCH($L$1,[2]enemies!$1:$1,0)+1,FALSE)</f>
        <v>0</v>
      </c>
      <c r="X481" s="6">
        <v>0</v>
      </c>
      <c r="Y481" s="6">
        <v>100</v>
      </c>
      <c r="Z481" s="6">
        <v>0</v>
      </c>
      <c r="AA481" s="4">
        <f ca="1">VLOOKUP($L481,OFFSET([2]enemies!$A$1,0,0,COUNTA([2]enemies!$A:$A),MATCH(AA$1,[2]enemies!$1:$1,0)-MATCH($L$1,[2]enemies!$1:$1,0)+1),MATCH(AA$1,[2]enemies!$1:$1,0)-MATCH($L$1,[2]enemies!$1:$1,0)+1,FALSE)</f>
        <v>1</v>
      </c>
      <c r="AB481" s="52">
        <v>47</v>
      </c>
      <c r="AC481" s="4" t="str">
        <f ca="1">VLOOKUP($AB481,OFFSET([3]characters!$A$1,0,0,COUNTA([3]characters!$A:$A),MATCH(AC$1,[3]characters!$1:$1,0)-MATCH("character_id",[3]characters!$1:$1,0)+1),MATCH(AC$1,[3]characters!$1:$1,0)-MATCH("character_id",[3]characters!$1:$1,0)+1,FALSE)</f>
        <v>ヒロ</v>
      </c>
      <c r="AD481" s="4">
        <f ca="1">VLOOKUP($AB481,OFFSET([3]characters!$A$1,0,0,COUNTA([3]characters!$A:$A),MATCH(AD$1,[3]characters!$1:$1,0)-MATCH("character_id",[3]characters!$1:$1,0)+1),MATCH(AD$1,[3]characters!$1:$1,0)-MATCH("character_id",[3]characters!$1:$1,0)+1,FALSE)</f>
        <v>2</v>
      </c>
      <c r="AE481" s="4" t="str">
        <f ca="1">VLOOKUP($AB481,OFFSET([3]characters!$A$1,0,0,COUNTA([3]characters!$A:$A),MATCH(AE$1,[3]characters!$1:$1,0)-MATCH("character_id",[3]characters!$1:$1,0)+1),MATCH(AE$1,[3]characters!$1:$1,0)-MATCH("character_id",[3]characters!$1:$1,0)+1,FALSE)</f>
        <v>Drop1N</v>
      </c>
      <c r="AF481" s="7">
        <v>7</v>
      </c>
      <c r="AG481" s="26">
        <f t="shared" ca="1" si="536"/>
        <v>2</v>
      </c>
      <c r="AH481" s="8">
        <v>20</v>
      </c>
      <c r="AI481" s="7">
        <v>0</v>
      </c>
      <c r="AJ481" s="7">
        <v>0</v>
      </c>
      <c r="AK481" s="7">
        <v>0</v>
      </c>
      <c r="AL481" s="7">
        <v>0</v>
      </c>
      <c r="AM481" s="7">
        <v>1</v>
      </c>
    </row>
    <row r="482" spans="1:39" ht="14" x14ac:dyDescent="0.15">
      <c r="A482" s="18" t="str">
        <f t="shared" ca="1" si="512"/>
        <v>25_1-3/61&lt;lv46&gt;s2</v>
      </c>
      <c r="B482" s="50">
        <v>25</v>
      </c>
      <c r="C482" s="49">
        <v>1</v>
      </c>
      <c r="D482" s="2" t="str">
        <f t="shared" si="537"/>
        <v>25_1</v>
      </c>
      <c r="E482" s="2" t="str">
        <f t="shared" si="537"/>
        <v>1_25_1</v>
      </c>
      <c r="F482" s="4" t="str">
        <f ca="1">VLOOKUP($D482,OFFSET([1]stages!$A$1,0,0,COUNTA([1]stages!$A:$A),MATCH(F$1,[1]stages!$2:$2,0)-MATCH($D$1,[1]stages!$2:$2,0)+1),MATCH(F$1,[1]stages!$2:$2,0)-MATCH($D$1,[1]stages!$2:$2,0)+1,FALSE)</f>
        <v>25-1．血塗られた招待状</v>
      </c>
      <c r="G482" s="54">
        <v>3</v>
      </c>
      <c r="H482" s="17" t="str">
        <f t="shared" si="538"/>
        <v>25_1-3</v>
      </c>
      <c r="I482" s="17"/>
      <c r="J482" s="17"/>
      <c r="K482" s="65" t="s">
        <v>56</v>
      </c>
      <c r="L482" s="52">
        <v>61</v>
      </c>
      <c r="M482" s="21" t="str">
        <f ca="1">VLOOKUP($L482,OFFSET([2]enemies!$A$1,0,0,COUNTA([2]enemies!$A:$A),MATCH(M$1,[2]enemies!$1:$1,0)-MATCH($L$1,[2]enemies!$1:$1,0)+1),MATCH(M$1,[2]enemies!$1:$1,0)-MATCH($L$1,[2]enemies!$1:$1,0)+1,FALSE)</f>
        <v>クロウ</v>
      </c>
      <c r="N482" s="21" t="str">
        <f ca="1">VLOOKUP($L482,OFFSET([2]enemies!$A$1,0,0,COUNTA([2]enemies!$A:$A),MATCH(N$1,[2]enemies!$1:$1,0)-MATCH($L$1,[2]enemies!$1:$1,0)+1),MATCH(N$1,[2]enemies!$1:$1,0)-MATCH($L$1,[2]enemies!$1:$1,0)+1,FALSE)</f>
        <v>blue</v>
      </c>
      <c r="O482" s="21" t="str">
        <f ca="1">VLOOKUP($L482,OFFSET([3]characters!$A$1,0,0,COUNTA([3]characters!$A:$A),MATCH(O$1,[3]characters!$1:$1,0)-MATCH($L$1,[3]characters!$1:$1,0)+1),MATCH(O$1,[3]characters!$1:$1,0)-MATCH($L$1,[3]characters!$1:$1,0)+1,FALSE)</f>
        <v>Drop1N</v>
      </c>
      <c r="P482" s="21" t="str">
        <f ca="1">VLOOKUP($L482,OFFSET([2]enemies!$A$1,0,0,COUNTA([2]enemies!$A:$A),MATCH(P$1,[2]enemies!$1:$1,0)-MATCH($L$1,[2]enemies!$1:$1,0)+1),MATCH(P$1,[2]enemies!$1:$1,0)-MATCH($L$1,[2]enemies!$1:$1,0)+1,FALSE)</f>
        <v>animal</v>
      </c>
      <c r="Q482" s="21">
        <f ca="1">VLOOKUP($L482,OFFSET([2]enemies!$A$1,0,0,COUNTA([2]enemies!$A:$A),MATCH(Q$1,[2]enemies!$1:$1,0)-MATCH($L$1,[2]enemies!$1:$1,0)+1),MATCH(Q$1,[2]enemies!$1:$1,0)-MATCH($L$1,[2]enemies!$1:$1,0)+1,FALSE)</f>
        <v>15</v>
      </c>
      <c r="R482" s="53">
        <v>46</v>
      </c>
      <c r="S482" s="27">
        <v>1.1000000000000001</v>
      </c>
      <c r="T482" s="27">
        <v>1</v>
      </c>
      <c r="U482" s="5">
        <v>0</v>
      </c>
      <c r="V482" s="4" t="str">
        <f ca="1">VLOOKUP($W482,OFFSET([4]enemy_skill_sets!$B$1,0,0,COUNTA([4]enemy_skill_sets!$B:$B),MATCH(M$1,[4]enemy_skill_sets!$1:$1,0)-MATCH($W$1,[4]enemy_skill_sets!$1:$1,0)+2),MATCH(M$1,[4]enemy_skill_sets!$1:$1,0)-MATCH($W$1,[4]enemy_skill_sets!$1:$1,0)+2,FALSE)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82" s="4">
        <f ca="1">VLOOKUP($L482,OFFSET([2]enemies!$A$1,0,0,COUNTA([2]enemies!$A:$A),MATCH(W$1,[2]enemies!$1:$1,0)-MATCH($L$1,[2]enemies!$1:$1,0)+1),MATCH(W$1,[2]enemies!$1:$1,0)-MATCH($L$1,[2]enemies!$1:$1,0)+1,FALSE)</f>
        <v>61</v>
      </c>
      <c r="X482" s="6">
        <v>0</v>
      </c>
      <c r="Y482" s="6">
        <v>100</v>
      </c>
      <c r="Z482" s="6">
        <v>0</v>
      </c>
      <c r="AA482" s="4">
        <f ca="1">VLOOKUP($L482,OFFSET([2]enemies!$A$1,0,0,COUNTA([2]enemies!$A:$A),MATCH(AA$1,[2]enemies!$1:$1,0)-MATCH($L$1,[2]enemies!$1:$1,0)+1),MATCH(AA$1,[2]enemies!$1:$1,0)-MATCH($L$1,[2]enemies!$1:$1,0)+1,FALSE)</f>
        <v>2</v>
      </c>
      <c r="AB482" s="52">
        <v>61</v>
      </c>
      <c r="AC482" s="4" t="str">
        <f ca="1">VLOOKUP($AB482,OFFSET([3]characters!$A$1,0,0,COUNTA([3]characters!$A:$A),MATCH(AC$1,[3]characters!$1:$1,0)-MATCH("character_id",[3]characters!$1:$1,0)+1),MATCH(AC$1,[3]characters!$1:$1,0)-MATCH("character_id",[3]characters!$1:$1,0)+1,FALSE)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482" s="4">
        <f ca="1">VLOOKUP($AB482,OFFSET([3]characters!$A$1,0,0,COUNTA([3]characters!$A:$A),MATCH(AD$1,[3]characters!$1:$1,0)-MATCH("character_id",[3]characters!$1:$1,0)+1),MATCH(AD$1,[3]characters!$1:$1,0)-MATCH("character_id",[3]characters!$1:$1,0)+1,FALSE)</f>
        <v>2</v>
      </c>
      <c r="AE482" s="4" t="str">
        <f ca="1">VLOOKUP($AB482,OFFSET([3]characters!$A$1,0,0,COUNTA([3]characters!$A:$A),MATCH(AE$1,[3]characters!$1:$1,0)-MATCH("character_id",[3]characters!$1:$1,0)+1),MATCH(AE$1,[3]characters!$1:$1,0)-MATCH("character_id",[3]characters!$1:$1,0)+1,FALSE)</f>
        <v>Drop1N</v>
      </c>
      <c r="AF482" s="7">
        <v>7</v>
      </c>
      <c r="AG482" s="26">
        <f t="shared" ca="1" si="536"/>
        <v>2</v>
      </c>
      <c r="AH482" s="8">
        <v>20</v>
      </c>
      <c r="AI482" s="7">
        <v>0</v>
      </c>
      <c r="AJ482" s="7">
        <v>0</v>
      </c>
      <c r="AK482" s="7">
        <v>0</v>
      </c>
      <c r="AL482" s="7">
        <v>0</v>
      </c>
      <c r="AM482" s="7">
        <v>1</v>
      </c>
    </row>
    <row r="483" spans="1:39" ht="14" x14ac:dyDescent="0.15">
      <c r="A483" s="18" t="str">
        <f t="shared" ca="1" si="512"/>
        <v>25_1-3/63&lt;lv46&gt;s2</v>
      </c>
      <c r="B483" s="50">
        <v>25</v>
      </c>
      <c r="C483" s="49">
        <v>1</v>
      </c>
      <c r="D483" s="2" t="str">
        <f t="shared" si="537"/>
        <v>25_1</v>
      </c>
      <c r="E483" s="2" t="str">
        <f t="shared" si="537"/>
        <v>1_25_1</v>
      </c>
      <c r="F483" s="4" t="str">
        <f ca="1">VLOOKUP($D483,OFFSET([1]stages!$A$1,0,0,COUNTA([1]stages!$A:$A),MATCH(F$1,[1]stages!$2:$2,0)-MATCH($D$1,[1]stages!$2:$2,0)+1),MATCH(F$1,[1]stages!$2:$2,0)-MATCH($D$1,[1]stages!$2:$2,0)+1,FALSE)</f>
        <v>25-1．血塗られた招待状</v>
      </c>
      <c r="G483" s="54">
        <v>3</v>
      </c>
      <c r="H483" s="17" t="str">
        <f t="shared" si="538"/>
        <v>25_1-3</v>
      </c>
      <c r="I483" s="17"/>
      <c r="J483" s="17"/>
      <c r="K483" s="65" t="s">
        <v>56</v>
      </c>
      <c r="L483" s="52">
        <v>63</v>
      </c>
      <c r="M483" s="21" t="str">
        <f ca="1">VLOOKUP($L483,OFFSET([2]enemies!$A$1,0,0,COUNTA([2]enemies!$A:$A),MATCH(M$1,[2]enemies!$1:$1,0)-MATCH($L$1,[2]enemies!$1:$1,0)+1),MATCH(M$1,[2]enemies!$1:$1,0)-MATCH($L$1,[2]enemies!$1:$1,0)+1,FALSE)</f>
        <v>トニー</v>
      </c>
      <c r="N483" s="21" t="str">
        <f ca="1">VLOOKUP($L483,OFFSET([2]enemies!$A$1,0,0,COUNTA([2]enemies!$A:$A),MATCH(N$1,[2]enemies!$1:$1,0)-MATCH($L$1,[2]enemies!$1:$1,0)+1),MATCH(N$1,[2]enemies!$1:$1,0)-MATCH($L$1,[2]enemies!$1:$1,0)+1,FALSE)</f>
        <v>yellow</v>
      </c>
      <c r="O483" s="21" t="str">
        <f ca="1">VLOOKUP($L483,OFFSET([3]characters!$A$1,0,0,COUNTA([3]characters!$A:$A),MATCH(O$1,[3]characters!$1:$1,0)-MATCH($L$1,[3]characters!$1:$1,0)+1),MATCH(O$1,[3]characters!$1:$1,0)-MATCH($L$1,[3]characters!$1:$1,0)+1,FALSE)</f>
        <v>Drop1N</v>
      </c>
      <c r="P483" s="21" t="str">
        <f ca="1">VLOOKUP($L483,OFFSET([2]enemies!$A$1,0,0,COUNTA([2]enemies!$A:$A),MATCH(P$1,[2]enemies!$1:$1,0)-MATCH($L$1,[2]enemies!$1:$1,0)+1),MATCH(P$1,[2]enemies!$1:$1,0)-MATCH($L$1,[2]enemies!$1:$1,0)+1,FALSE)</f>
        <v>animal</v>
      </c>
      <c r="Q483" s="21">
        <f ca="1">VLOOKUP($L483,OFFSET([2]enemies!$A$1,0,0,COUNTA([2]enemies!$A:$A),MATCH(Q$1,[2]enemies!$1:$1,0)-MATCH($L$1,[2]enemies!$1:$1,0)+1),MATCH(Q$1,[2]enemies!$1:$1,0)-MATCH($L$1,[2]enemies!$1:$1,0)+1,FALSE)</f>
        <v>15</v>
      </c>
      <c r="R483" s="53">
        <v>46</v>
      </c>
      <c r="S483" s="27">
        <v>1.1000000000000001</v>
      </c>
      <c r="T483" s="27">
        <v>1</v>
      </c>
      <c r="U483" s="5">
        <v>0</v>
      </c>
      <c r="V483" s="4" t="str">
        <f ca="1">VLOOKUP($W483,OFFSET([4]enemy_skill_sets!$B$1,0,0,COUNTA([4]enemy_skill_sets!$B:$B),MATCH(M$1,[4]enemy_skill_sets!$1:$1,0)-MATCH($W$1,[4]enemy_skill_sets!$1:$1,0)+2),MATCH(M$1,[4]enemy_skill_sets!$1:$1,0)-MATCH($W$1,[4]enemy_skill_sets!$1:$1,0)+2,FALSE)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483" s="4">
        <f ca="1">VLOOKUP($L483,OFFSET([2]enemies!$A$1,0,0,COUNTA([2]enemies!$A:$A),MATCH(W$1,[2]enemies!$1:$1,0)-MATCH($L$1,[2]enemies!$1:$1,0)+1),MATCH(W$1,[2]enemies!$1:$1,0)-MATCH($L$1,[2]enemies!$1:$1,0)+1,FALSE)</f>
        <v>63</v>
      </c>
      <c r="X483" s="6">
        <v>0</v>
      </c>
      <c r="Y483" s="6">
        <v>100</v>
      </c>
      <c r="Z483" s="6">
        <v>0</v>
      </c>
      <c r="AA483" s="4">
        <f ca="1">VLOOKUP($L483,OFFSET([2]enemies!$A$1,0,0,COUNTA([2]enemies!$A:$A),MATCH(AA$1,[2]enemies!$1:$1,0)-MATCH($L$1,[2]enemies!$1:$1,0)+1),MATCH(AA$1,[2]enemies!$1:$1,0)-MATCH($L$1,[2]enemies!$1:$1,0)+1,FALSE)</f>
        <v>2</v>
      </c>
      <c r="AB483" s="52">
        <v>63</v>
      </c>
      <c r="AC483" s="4" t="str">
        <f ca="1">VLOOKUP($AB483,OFFSET([3]characters!$A$1,0,0,COUNTA([3]characters!$A:$A),MATCH(AC$1,[3]characters!$1:$1,0)-MATCH("character_id",[3]characters!$1:$1,0)+1),MATCH(AC$1,[3]characters!$1:$1,0)-MATCH("character_id",[3]characters!$1:$1,0)+1,FALSE)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483" s="4">
        <f ca="1">VLOOKUP($AB483,OFFSET([3]characters!$A$1,0,0,COUNTA([3]characters!$A:$A),MATCH(AD$1,[3]characters!$1:$1,0)-MATCH("character_id",[3]characters!$1:$1,0)+1),MATCH(AD$1,[3]characters!$1:$1,0)-MATCH("character_id",[3]characters!$1:$1,0)+1,FALSE)</f>
        <v>2</v>
      </c>
      <c r="AE483" s="4" t="str">
        <f ca="1">VLOOKUP($AB483,OFFSET([3]characters!$A$1,0,0,COUNTA([3]characters!$A:$A),MATCH(AE$1,[3]characters!$1:$1,0)-MATCH("character_id",[3]characters!$1:$1,0)+1),MATCH(AE$1,[3]characters!$1:$1,0)-MATCH("character_id",[3]characters!$1:$1,0)+1,FALSE)</f>
        <v>Drop1N</v>
      </c>
      <c r="AF483" s="7">
        <v>7</v>
      </c>
      <c r="AG483" s="26">
        <f t="shared" ca="1" si="536"/>
        <v>2</v>
      </c>
      <c r="AH483" s="8">
        <v>20</v>
      </c>
      <c r="AI483" s="7">
        <v>0</v>
      </c>
      <c r="AJ483" s="7">
        <v>0</v>
      </c>
      <c r="AK483" s="7">
        <v>0</v>
      </c>
      <c r="AL483" s="7">
        <v>0</v>
      </c>
      <c r="AM483" s="7">
        <v>1</v>
      </c>
    </row>
    <row r="484" spans="1:39" ht="14" x14ac:dyDescent="0.15">
      <c r="A484" s="18" t="str">
        <f t="shared" ca="1" si="512"/>
        <v>25_1-3/17&lt;lv46&gt;s2</v>
      </c>
      <c r="B484" s="50">
        <v>25</v>
      </c>
      <c r="C484" s="49">
        <v>1</v>
      </c>
      <c r="D484" s="2" t="str">
        <f t="shared" si="537"/>
        <v>25_1</v>
      </c>
      <c r="E484" s="2" t="str">
        <f t="shared" si="537"/>
        <v>1_25_1</v>
      </c>
      <c r="F484" s="4" t="str">
        <f ca="1">VLOOKUP($D484,OFFSET([1]stages!$A$1,0,0,COUNTA([1]stages!$A:$A),MATCH(F$1,[1]stages!$2:$2,0)-MATCH($D$1,[1]stages!$2:$2,0)+1),MATCH(F$1,[1]stages!$2:$2,0)-MATCH($D$1,[1]stages!$2:$2,0)+1,FALSE)</f>
        <v>25-1．血塗られた招待状</v>
      </c>
      <c r="G484" s="54">
        <v>3</v>
      </c>
      <c r="H484" s="17" t="str">
        <f t="shared" si="538"/>
        <v>25_1-3</v>
      </c>
      <c r="I484" s="17"/>
      <c r="J484" s="17"/>
      <c r="K484" s="65" t="s">
        <v>56</v>
      </c>
      <c r="L484" s="52">
        <v>17</v>
      </c>
      <c r="M484" s="21" t="str">
        <f ca="1">VLOOKUP($L484,OFFSET([2]enemies!$A$1,0,0,COUNTA([2]enemies!$A:$A),MATCH(M$1,[2]enemies!$1:$1,0)-MATCH($L$1,[2]enemies!$1:$1,0)+1),MATCH(M$1,[2]enemies!$1:$1,0)-MATCH($L$1,[2]enemies!$1:$1,0)+1,FALSE)</f>
        <v>リム</v>
      </c>
      <c r="N484" s="21" t="str">
        <f ca="1">VLOOKUP($L484,OFFSET([2]enemies!$A$1,0,0,COUNTA([2]enemies!$A:$A),MATCH(N$1,[2]enemies!$1:$1,0)-MATCH($L$1,[2]enemies!$1:$1,0)+1),MATCH(N$1,[2]enemies!$1:$1,0)-MATCH($L$1,[2]enemies!$1:$1,0)+1,FALSE)</f>
        <v>blue</v>
      </c>
      <c r="O484" s="21" t="str">
        <f ca="1">VLOOKUP($L484,OFFSET([3]characters!$A$1,0,0,COUNTA([3]characters!$A:$A),MATCH(O$1,[3]characters!$1:$1,0)-MATCH($L$1,[3]characters!$1:$1,0)+1),MATCH(O$1,[3]characters!$1:$1,0)-MATCH($L$1,[3]characters!$1:$1,0)+1,FALSE)</f>
        <v>Drop1W</v>
      </c>
      <c r="P484" s="21" t="str">
        <f ca="1">VLOOKUP($L484,OFFSET([2]enemies!$A$1,0,0,COUNTA([2]enemies!$A:$A),MATCH(P$1,[2]enemies!$1:$1,0)-MATCH($L$1,[2]enemies!$1:$1,0)+1),MATCH(P$1,[2]enemies!$1:$1,0)-MATCH($L$1,[2]enemies!$1:$1,0)+1,FALSE)</f>
        <v>human</v>
      </c>
      <c r="Q484" s="21">
        <f ca="1">VLOOKUP($L484,OFFSET([2]enemies!$A$1,0,0,COUNTA([2]enemies!$A:$A),MATCH(Q$1,[2]enemies!$1:$1,0)-MATCH($L$1,[2]enemies!$1:$1,0)+1),MATCH(Q$1,[2]enemies!$1:$1,0)-MATCH($L$1,[2]enemies!$1:$1,0)+1,FALSE)</f>
        <v>15</v>
      </c>
      <c r="R484" s="53">
        <v>46</v>
      </c>
      <c r="S484" s="27">
        <v>1.1000000000000001</v>
      </c>
      <c r="T484" s="27">
        <v>1</v>
      </c>
      <c r="U484" s="5">
        <v>0</v>
      </c>
      <c r="V484" s="4" t="str">
        <f ca="1">VLOOKUP($W484,OFFSET([4]enemy_skill_sets!$B$1,0,0,COUNTA([4]enemy_skill_sets!$B:$B),MATCH(M$1,[4]enemy_skill_sets!$1:$1,0)-MATCH($W$1,[4]enemy_skill_sets!$1:$1,0)+2),MATCH(M$1,[4]enemy_skill_sets!$1:$1,0)-MATCH($W$1,[4]enemy_skill_sets!$1:$1,0)+2,FALSE)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84" s="4">
        <f ca="1">VLOOKUP($L484,OFFSET([2]enemies!$A$1,0,0,COUNTA([2]enemies!$A:$A),MATCH(W$1,[2]enemies!$1:$1,0)-MATCH($L$1,[2]enemies!$1:$1,0)+1),MATCH(W$1,[2]enemies!$1:$1,0)-MATCH($L$1,[2]enemies!$1:$1,0)+1,FALSE)</f>
        <v>0</v>
      </c>
      <c r="X484" s="6">
        <v>0</v>
      </c>
      <c r="Y484" s="6">
        <v>100</v>
      </c>
      <c r="Z484" s="6">
        <v>0</v>
      </c>
      <c r="AA484" s="4">
        <f ca="1">VLOOKUP($L484,OFFSET([2]enemies!$A$1,0,0,COUNTA([2]enemies!$A:$A),MATCH(AA$1,[2]enemies!$1:$1,0)-MATCH($L$1,[2]enemies!$1:$1,0)+1),MATCH(AA$1,[2]enemies!$1:$1,0)-MATCH($L$1,[2]enemies!$1:$1,0)+1,FALSE)</f>
        <v>2</v>
      </c>
      <c r="AB484" s="52">
        <v>17</v>
      </c>
      <c r="AC484" s="4" t="str">
        <f ca="1">VLOOKUP($AB484,OFFSET([3]characters!$A$1,0,0,COUNTA([3]characters!$A:$A),MATCH(AC$1,[3]characters!$1:$1,0)-MATCH("character_id",[3]characters!$1:$1,0)+1),MATCH(AC$1,[3]characters!$1:$1,0)-MATCH("character_id",[3]characters!$1:$1,0)+1,FALSE)</f>
        <v>リム</v>
      </c>
      <c r="AD484" s="4">
        <f ca="1">VLOOKUP($AB484,OFFSET([3]characters!$A$1,0,0,COUNTA([3]characters!$A:$A),MATCH(AD$1,[3]characters!$1:$1,0)-MATCH("character_id",[3]characters!$1:$1,0)+1),MATCH(AD$1,[3]characters!$1:$1,0)-MATCH("character_id",[3]characters!$1:$1,0)+1,FALSE)</f>
        <v>1</v>
      </c>
      <c r="AE484" s="4" t="str">
        <f ca="1">VLOOKUP($AB484,OFFSET([3]characters!$A$1,0,0,COUNTA([3]characters!$A:$A),MATCH(AE$1,[3]characters!$1:$1,0)-MATCH("character_id",[3]characters!$1:$1,0)+1),MATCH(AE$1,[3]characters!$1:$1,0)-MATCH("character_id",[3]characters!$1:$1,0)+1,FALSE)</f>
        <v>Drop1W</v>
      </c>
      <c r="AF484" s="7">
        <v>9</v>
      </c>
      <c r="AG484" s="26">
        <f t="shared" ca="1" si="536"/>
        <v>1</v>
      </c>
      <c r="AH484" s="8">
        <v>20</v>
      </c>
      <c r="AI484" s="7">
        <v>0</v>
      </c>
      <c r="AJ484" s="7">
        <v>0</v>
      </c>
      <c r="AK484" s="7">
        <v>0</v>
      </c>
      <c r="AL484" s="7">
        <v>0</v>
      </c>
      <c r="AM484" s="7">
        <v>1</v>
      </c>
    </row>
    <row r="485" spans="1:39" ht="14" x14ac:dyDescent="0.15">
      <c r="A485" s="18" t="str">
        <f t="shared" ca="1" si="512"/>
        <v>25_1-3/19&lt;lv46&gt;s3</v>
      </c>
      <c r="B485" s="50">
        <v>25</v>
      </c>
      <c r="C485" s="49">
        <v>1</v>
      </c>
      <c r="D485" s="2" t="str">
        <f t="shared" si="537"/>
        <v>25_1</v>
      </c>
      <c r="E485" s="2" t="str">
        <f t="shared" si="537"/>
        <v>1_25_1</v>
      </c>
      <c r="F485" s="4" t="str">
        <f ca="1">VLOOKUP($D485,OFFSET([1]stages!$A$1,0,0,COUNTA([1]stages!$A:$A),MATCH(F$1,[1]stages!$2:$2,0)-MATCH($D$1,[1]stages!$2:$2,0)+1),MATCH(F$1,[1]stages!$2:$2,0)-MATCH($D$1,[1]stages!$2:$2,0)+1,FALSE)</f>
        <v>25-1．血塗られた招待状</v>
      </c>
      <c r="G485" s="54">
        <v>3</v>
      </c>
      <c r="H485" s="17" t="str">
        <f t="shared" si="538"/>
        <v>25_1-3</v>
      </c>
      <c r="I485" s="17"/>
      <c r="J485" s="17"/>
      <c r="K485" s="65" t="s">
        <v>56</v>
      </c>
      <c r="L485" s="52">
        <v>19</v>
      </c>
      <c r="M485" s="21" t="str">
        <f ca="1">VLOOKUP($L485,OFFSET([2]enemies!$A$1,0,0,COUNTA([2]enemies!$A:$A),MATCH(M$1,[2]enemies!$1:$1,0)-MATCH($L$1,[2]enemies!$1:$1,0)+1),MATCH(M$1,[2]enemies!$1:$1,0)-MATCH($L$1,[2]enemies!$1:$1,0)+1,FALSE)</f>
        <v>ティンク</v>
      </c>
      <c r="N485" s="21" t="str">
        <f ca="1">VLOOKUP($L485,OFFSET([2]enemies!$A$1,0,0,COUNTA([2]enemies!$A:$A),MATCH(N$1,[2]enemies!$1:$1,0)-MATCH($L$1,[2]enemies!$1:$1,0)+1),MATCH(N$1,[2]enemies!$1:$1,0)-MATCH($L$1,[2]enemies!$1:$1,0)+1,FALSE)</f>
        <v>yellow</v>
      </c>
      <c r="O485" s="21" t="str">
        <f ca="1">VLOOKUP($L485,OFFSET([3]characters!$A$1,0,0,COUNTA([3]characters!$A:$A),MATCH(O$1,[3]characters!$1:$1,0)-MATCH($L$1,[3]characters!$1:$1,0)+1),MATCH(O$1,[3]characters!$1:$1,0)-MATCH($L$1,[3]characters!$1:$1,0)+1,FALSE)</f>
        <v>Drop1W</v>
      </c>
      <c r="P485" s="21" t="str">
        <f ca="1">VLOOKUP($L485,OFFSET([2]enemies!$A$1,0,0,COUNTA([2]enemies!$A:$A),MATCH(P$1,[2]enemies!$1:$1,0)-MATCH($L$1,[2]enemies!$1:$1,0)+1),MATCH(P$1,[2]enemies!$1:$1,0)-MATCH($L$1,[2]enemies!$1:$1,0)+1,FALSE)</f>
        <v>human</v>
      </c>
      <c r="Q485" s="21">
        <f ca="1">VLOOKUP($L485,OFFSET([2]enemies!$A$1,0,0,COUNTA([2]enemies!$A:$A),MATCH(Q$1,[2]enemies!$1:$1,0)-MATCH($L$1,[2]enemies!$1:$1,0)+1),MATCH(Q$1,[2]enemies!$1:$1,0)-MATCH($L$1,[2]enemies!$1:$1,0)+1,FALSE)</f>
        <v>15</v>
      </c>
      <c r="R485" s="53">
        <v>46</v>
      </c>
      <c r="S485" s="27">
        <v>1.1000000000000001</v>
      </c>
      <c r="T485" s="27">
        <v>1</v>
      </c>
      <c r="U485" s="5">
        <v>0</v>
      </c>
      <c r="V485" s="4" t="str">
        <f ca="1">VLOOKUP($W485,OFFSET([4]enemy_skill_sets!$B$1,0,0,COUNTA([4]enemy_skill_sets!$B:$B),MATCH(M$1,[4]enemy_skill_sets!$1:$1,0)-MATCH($W$1,[4]enemy_skill_sets!$1:$1,0)+2),MATCH(M$1,[4]enemy_skill_sets!$1:$1,0)-MATCH($W$1,[4]enemy_skill_sets!$1:$1,0)+2,FALSE)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85" s="4">
        <f ca="1">VLOOKUP($L485,OFFSET([2]enemies!$A$1,0,0,COUNTA([2]enemies!$A:$A),MATCH(W$1,[2]enemies!$1:$1,0)-MATCH($L$1,[2]enemies!$1:$1,0)+1),MATCH(W$1,[2]enemies!$1:$1,0)-MATCH($L$1,[2]enemies!$1:$1,0)+1,FALSE)</f>
        <v>0</v>
      </c>
      <c r="X485" s="6">
        <v>0</v>
      </c>
      <c r="Y485" s="6">
        <v>100</v>
      </c>
      <c r="Z485" s="6">
        <v>0</v>
      </c>
      <c r="AA485" s="4">
        <f ca="1">VLOOKUP($L485,OFFSET([2]enemies!$A$1,0,0,COUNTA([2]enemies!$A:$A),MATCH(AA$1,[2]enemies!$1:$1,0)-MATCH($L$1,[2]enemies!$1:$1,0)+1),MATCH(AA$1,[2]enemies!$1:$1,0)-MATCH($L$1,[2]enemies!$1:$1,0)+1,FALSE)</f>
        <v>3</v>
      </c>
      <c r="AB485" s="52">
        <v>19</v>
      </c>
      <c r="AC485" s="4" t="str">
        <f ca="1">VLOOKUP($AB485,OFFSET([3]characters!$A$1,0,0,COUNTA([3]characters!$A:$A),MATCH(AC$1,[3]characters!$1:$1,0)-MATCH("character_id",[3]characters!$1:$1,0)+1),MATCH(AC$1,[3]characters!$1:$1,0)-MATCH("character_id",[3]characters!$1:$1,0)+1,FALSE)</f>
        <v>ティンク</v>
      </c>
      <c r="AD485" s="4">
        <f ca="1">VLOOKUP($AB485,OFFSET([3]characters!$A$1,0,0,COUNTA([3]characters!$A:$A),MATCH(AD$1,[3]characters!$1:$1,0)-MATCH("character_id",[3]characters!$1:$1,0)+1),MATCH(AD$1,[3]characters!$1:$1,0)-MATCH("character_id",[3]characters!$1:$1,0)+1,FALSE)</f>
        <v>1</v>
      </c>
      <c r="AE485" s="4" t="str">
        <f ca="1">VLOOKUP($AB485,OFFSET([3]characters!$A$1,0,0,COUNTA([3]characters!$A:$A),MATCH(AE$1,[3]characters!$1:$1,0)-MATCH("character_id",[3]characters!$1:$1,0)+1),MATCH(AE$1,[3]characters!$1:$1,0)-MATCH("character_id",[3]characters!$1:$1,0)+1,FALSE)</f>
        <v>Drop1W</v>
      </c>
      <c r="AF485" s="7">
        <v>9</v>
      </c>
      <c r="AG485" s="26">
        <f t="shared" ca="1" si="536"/>
        <v>1</v>
      </c>
      <c r="AH485" s="8">
        <v>20</v>
      </c>
      <c r="AI485" s="7">
        <v>0</v>
      </c>
      <c r="AJ485" s="7">
        <v>0</v>
      </c>
      <c r="AK485" s="7">
        <v>0</v>
      </c>
      <c r="AL485" s="7">
        <v>0</v>
      </c>
      <c r="AM485" s="7">
        <v>1</v>
      </c>
    </row>
    <row r="486" spans="1:39" ht="14" x14ac:dyDescent="0.15">
      <c r="A486" s="18" t="str">
        <f t="shared" ca="1" si="512"/>
        <v>25_1-3/39&lt;lv46&gt;s3</v>
      </c>
      <c r="B486" s="50">
        <v>25</v>
      </c>
      <c r="C486" s="49">
        <v>1</v>
      </c>
      <c r="D486" s="2" t="str">
        <f t="shared" si="537"/>
        <v>25_1</v>
      </c>
      <c r="E486" s="2" t="str">
        <f t="shared" si="537"/>
        <v>1_25_1</v>
      </c>
      <c r="F486" s="4" t="str">
        <f ca="1">VLOOKUP($D486,OFFSET([1]stages!$A$1,0,0,COUNTA([1]stages!$A:$A),MATCH(F$1,[1]stages!$2:$2,0)-MATCH($D$1,[1]stages!$2:$2,0)+1),MATCH(F$1,[1]stages!$2:$2,0)-MATCH($D$1,[1]stages!$2:$2,0)+1,FALSE)</f>
        <v>25-1．血塗られた招待状</v>
      </c>
      <c r="G486" s="54">
        <v>3</v>
      </c>
      <c r="H486" s="17" t="str">
        <f t="shared" si="538"/>
        <v>25_1-3</v>
      </c>
      <c r="I486" s="17"/>
      <c r="J486" s="17"/>
      <c r="K486" s="65" t="s">
        <v>56</v>
      </c>
      <c r="L486" s="52">
        <v>39</v>
      </c>
      <c r="M486" s="21" t="str">
        <f ca="1">VLOOKUP($L486,OFFSET([2]enemies!$A$1,0,0,COUNTA([2]enemies!$A:$A),MATCH(M$1,[2]enemies!$1:$1,0)-MATCH($L$1,[2]enemies!$1:$1,0)+1),MATCH(M$1,[2]enemies!$1:$1,0)-MATCH($L$1,[2]enemies!$1:$1,0)+1,FALSE)</f>
        <v>マーロン</v>
      </c>
      <c r="N486" s="21" t="str">
        <f ca="1">VLOOKUP($L486,OFFSET([2]enemies!$A$1,0,0,COUNTA([2]enemies!$A:$A),MATCH(N$1,[2]enemies!$1:$1,0)-MATCH($L$1,[2]enemies!$1:$1,0)+1),MATCH(N$1,[2]enemies!$1:$1,0)-MATCH($L$1,[2]enemies!$1:$1,0)+1,FALSE)</f>
        <v>yellow</v>
      </c>
      <c r="O486" s="21" t="str">
        <f ca="1">VLOOKUP($L486,OFFSET([3]characters!$A$1,0,0,COUNTA([3]characters!$A:$A),MATCH(O$1,[3]characters!$1:$1,0)-MATCH($L$1,[3]characters!$1:$1,0)+1),MATCH(O$1,[3]characters!$1:$1,0)-MATCH($L$1,[3]characters!$1:$1,0)+1,FALSE)</f>
        <v>Drop1S</v>
      </c>
      <c r="P486" s="21" t="str">
        <f ca="1">VLOOKUP($L486,OFFSET([2]enemies!$A$1,0,0,COUNTA([2]enemies!$A:$A),MATCH(P$1,[2]enemies!$1:$1,0)-MATCH($L$1,[2]enemies!$1:$1,0)+1),MATCH(P$1,[2]enemies!$1:$1,0)-MATCH($L$1,[2]enemies!$1:$1,0)+1,FALSE)</f>
        <v>human</v>
      </c>
      <c r="Q486" s="21">
        <f ca="1">VLOOKUP($L486,OFFSET([2]enemies!$A$1,0,0,COUNTA([2]enemies!$A:$A),MATCH(Q$1,[2]enemies!$1:$1,0)-MATCH($L$1,[2]enemies!$1:$1,0)+1),MATCH(Q$1,[2]enemies!$1:$1,0)-MATCH($L$1,[2]enemies!$1:$1,0)+1,FALSE)</f>
        <v>15</v>
      </c>
      <c r="R486" s="53">
        <v>46</v>
      </c>
      <c r="S486" s="27">
        <v>1.1000000000000001</v>
      </c>
      <c r="T486" s="27">
        <v>1</v>
      </c>
      <c r="U486" s="5">
        <v>0</v>
      </c>
      <c r="V486" s="4" t="str">
        <f ca="1">VLOOKUP($W486,OFFSET([4]enemy_skill_sets!$B$1,0,0,COUNTA([4]enemy_skill_sets!$B:$B),MATCH(M$1,[4]enemy_skill_sets!$1:$1,0)-MATCH($W$1,[4]enemy_skill_sets!$1:$1,0)+2),MATCH(M$1,[4]enemy_skill_sets!$1:$1,0)-MATCH($W$1,[4]enemy_skill_sets!$1:$1,0)+2,FALSE)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486" s="4">
        <f ca="1">VLOOKUP($L486,OFFSET([2]enemies!$A$1,0,0,COUNTA([2]enemies!$A:$A),MATCH(W$1,[2]enemies!$1:$1,0)-MATCH($L$1,[2]enemies!$1:$1,0)+1),MATCH(W$1,[2]enemies!$1:$1,0)-MATCH($L$1,[2]enemies!$1:$1,0)+1,FALSE)</f>
        <v>39</v>
      </c>
      <c r="X486" s="6">
        <v>0</v>
      </c>
      <c r="Y486" s="6">
        <v>100</v>
      </c>
      <c r="Z486" s="6">
        <v>0</v>
      </c>
      <c r="AA486" s="4">
        <f ca="1">VLOOKUP($L486,OFFSET([2]enemies!$A$1,0,0,COUNTA([2]enemies!$A:$A),MATCH(AA$1,[2]enemies!$1:$1,0)-MATCH($L$1,[2]enemies!$1:$1,0)+1),MATCH(AA$1,[2]enemies!$1:$1,0)-MATCH($L$1,[2]enemies!$1:$1,0)+1,FALSE)</f>
        <v>3</v>
      </c>
      <c r="AB486" s="52">
        <v>39</v>
      </c>
      <c r="AC486" s="4" t="str">
        <f ca="1">VLOOKUP($AB486,OFFSET([3]characters!$A$1,0,0,COUNTA([3]characters!$A:$A),MATCH(AC$1,[3]characters!$1:$1,0)-MATCH("character_id",[3]characters!$1:$1,0)+1),MATCH(AC$1,[3]characters!$1:$1,0)-MATCH("character_id",[3]characters!$1:$1,0)+1,FALSE)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486" s="4">
        <f ca="1">VLOOKUP($AB486,OFFSET([3]characters!$A$1,0,0,COUNTA([3]characters!$A:$A),MATCH(AD$1,[3]characters!$1:$1,0)-MATCH("character_id",[3]characters!$1:$1,0)+1),MATCH(AD$1,[3]characters!$1:$1,0)-MATCH("character_id",[3]characters!$1:$1,0)+1,FALSE)</f>
        <v>2</v>
      </c>
      <c r="AE486" s="4" t="str">
        <f ca="1">VLOOKUP($AB486,OFFSET([3]characters!$A$1,0,0,COUNTA([3]characters!$A:$A),MATCH(AE$1,[3]characters!$1:$1,0)-MATCH("character_id",[3]characters!$1:$1,0)+1),MATCH(AE$1,[3]characters!$1:$1,0)-MATCH("character_id",[3]characters!$1:$1,0)+1,FALSE)</f>
        <v>Drop1S</v>
      </c>
      <c r="AF486" s="7">
        <v>5</v>
      </c>
      <c r="AG486" s="26">
        <f t="shared" ca="1" si="536"/>
        <v>2</v>
      </c>
      <c r="AH486" s="8">
        <v>20</v>
      </c>
      <c r="AI486" s="7">
        <v>0</v>
      </c>
      <c r="AJ486" s="7">
        <v>0</v>
      </c>
      <c r="AK486" s="7">
        <v>0</v>
      </c>
      <c r="AL486" s="7">
        <v>0</v>
      </c>
      <c r="AM486" s="7">
        <v>1</v>
      </c>
    </row>
    <row r="487" spans="1:39" ht="14" x14ac:dyDescent="0.15">
      <c r="A487" s="18" t="str">
        <f t="shared" ca="1" si="512"/>
        <v>25_1-3/53&lt;lv46&gt;s2</v>
      </c>
      <c r="B487" s="50">
        <v>25</v>
      </c>
      <c r="C487" s="49">
        <v>1</v>
      </c>
      <c r="D487" s="2" t="str">
        <f t="shared" si="537"/>
        <v>25_1</v>
      </c>
      <c r="E487" s="2" t="str">
        <f t="shared" si="537"/>
        <v>1_25_1</v>
      </c>
      <c r="F487" s="4" t="str">
        <f ca="1">VLOOKUP($D487,OFFSET([1]stages!$A$1,0,0,COUNTA([1]stages!$A:$A),MATCH(F$1,[1]stages!$2:$2,0)-MATCH($D$1,[1]stages!$2:$2,0)+1),MATCH(F$1,[1]stages!$2:$2,0)-MATCH($D$1,[1]stages!$2:$2,0)+1,FALSE)</f>
        <v>25-1．血塗られた招待状</v>
      </c>
      <c r="G487" s="54">
        <v>3</v>
      </c>
      <c r="H487" s="17" t="str">
        <f t="shared" si="538"/>
        <v>25_1-3</v>
      </c>
      <c r="I487" s="17"/>
      <c r="J487" s="17"/>
      <c r="K487" s="65" t="s">
        <v>56</v>
      </c>
      <c r="L487" s="52">
        <v>53</v>
      </c>
      <c r="M487" s="21" t="str">
        <f ca="1">VLOOKUP($L487,OFFSET([2]enemies!$A$1,0,0,COUNTA([2]enemies!$A:$A),MATCH(M$1,[2]enemies!$1:$1,0)-MATCH($L$1,[2]enemies!$1:$1,0)+1),MATCH(M$1,[2]enemies!$1:$1,0)-MATCH($L$1,[2]enemies!$1:$1,0)+1,FALSE)</f>
        <v>ケンジ</v>
      </c>
      <c r="N487" s="21" t="str">
        <f ca="1">VLOOKUP($L487,OFFSET([2]enemies!$A$1,0,0,COUNTA([2]enemies!$A:$A),MATCH(N$1,[2]enemies!$1:$1,0)-MATCH($L$1,[2]enemies!$1:$1,0)+1),MATCH(N$1,[2]enemies!$1:$1,0)-MATCH($L$1,[2]enemies!$1:$1,0)+1,FALSE)</f>
        <v>blue</v>
      </c>
      <c r="O487" s="21" t="str">
        <f ca="1">VLOOKUP($L487,OFFSET([3]characters!$A$1,0,0,COUNTA([3]characters!$A:$A),MATCH(O$1,[3]characters!$1:$1,0)-MATCH($L$1,[3]characters!$1:$1,0)+1),MATCH(O$1,[3]characters!$1:$1,0)-MATCH($L$1,[3]characters!$1:$1,0)+1,FALSE)</f>
        <v>Drop1N</v>
      </c>
      <c r="P487" s="21" t="str">
        <f ca="1">VLOOKUP($L487,OFFSET([2]enemies!$A$1,0,0,COUNTA([2]enemies!$A:$A),MATCH(P$1,[2]enemies!$1:$1,0)-MATCH($L$1,[2]enemies!$1:$1,0)+1),MATCH(P$1,[2]enemies!$1:$1,0)-MATCH($L$1,[2]enemies!$1:$1,0)+1,FALSE)</f>
        <v>human</v>
      </c>
      <c r="Q487" s="21">
        <f ca="1">VLOOKUP($L487,OFFSET([2]enemies!$A$1,0,0,COUNTA([2]enemies!$A:$A),MATCH(Q$1,[2]enemies!$1:$1,0)-MATCH($L$1,[2]enemies!$1:$1,0)+1),MATCH(Q$1,[2]enemies!$1:$1,0)-MATCH($L$1,[2]enemies!$1:$1,0)+1,FALSE)</f>
        <v>15</v>
      </c>
      <c r="R487" s="53">
        <v>46</v>
      </c>
      <c r="S487" s="27">
        <v>1.1000000000000001</v>
      </c>
      <c r="T487" s="27">
        <v>1</v>
      </c>
      <c r="U487" s="5">
        <v>0</v>
      </c>
      <c r="V487" s="4" t="str">
        <f ca="1">VLOOKUP($W487,OFFSET([4]enemy_skill_sets!$B$1,0,0,COUNTA([4]enemy_skill_sets!$B:$B),MATCH(M$1,[4]enemy_skill_sets!$1:$1,0)-MATCH($W$1,[4]enemy_skill_sets!$1:$1,0)+2),MATCH(M$1,[4]enemy_skill_sets!$1:$1,0)-MATCH($W$1,[4]enemy_skill_sets!$1:$1,0)+2,FALSE)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487" s="4">
        <f ca="1">VLOOKUP($L487,OFFSET([2]enemies!$A$1,0,0,COUNTA([2]enemies!$A:$A),MATCH(W$1,[2]enemies!$1:$1,0)-MATCH($L$1,[2]enemies!$1:$1,0)+1),MATCH(W$1,[2]enemies!$1:$1,0)-MATCH($L$1,[2]enemies!$1:$1,0)+1,FALSE)</f>
        <v>53</v>
      </c>
      <c r="X487" s="6">
        <v>0</v>
      </c>
      <c r="Y487" s="6">
        <v>100</v>
      </c>
      <c r="Z487" s="6">
        <v>0</v>
      </c>
      <c r="AA487" s="4">
        <f ca="1">VLOOKUP($L487,OFFSET([2]enemies!$A$1,0,0,COUNTA([2]enemies!$A:$A),MATCH(AA$1,[2]enemies!$1:$1,0)-MATCH($L$1,[2]enemies!$1:$1,0)+1),MATCH(AA$1,[2]enemies!$1:$1,0)-MATCH($L$1,[2]enemies!$1:$1,0)+1,FALSE)</f>
        <v>2</v>
      </c>
      <c r="AB487" s="52">
        <v>53</v>
      </c>
      <c r="AC487" s="4" t="str">
        <f ca="1">VLOOKUP($AB487,OFFSET([3]characters!$A$1,0,0,COUNTA([3]characters!$A:$A),MATCH(AC$1,[3]characters!$1:$1,0)-MATCH("character_id",[3]characters!$1:$1,0)+1),MATCH(AC$1,[3]characters!$1:$1,0)-MATCH("character_id",[3]characters!$1:$1,0)+1,FALSE)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487" s="4">
        <f ca="1">VLOOKUP($AB487,OFFSET([3]characters!$A$1,0,0,COUNTA([3]characters!$A:$A),MATCH(AD$1,[3]characters!$1:$1,0)-MATCH("character_id",[3]characters!$1:$1,0)+1),MATCH(AD$1,[3]characters!$1:$1,0)-MATCH("character_id",[3]characters!$1:$1,0)+1,FALSE)</f>
        <v>2</v>
      </c>
      <c r="AE487" s="4" t="str">
        <f ca="1">VLOOKUP($AB487,OFFSET([3]characters!$A$1,0,0,COUNTA([3]characters!$A:$A),MATCH(AE$1,[3]characters!$1:$1,0)-MATCH("character_id",[3]characters!$1:$1,0)+1),MATCH(AE$1,[3]characters!$1:$1,0)-MATCH("character_id",[3]characters!$1:$1,0)+1,FALSE)</f>
        <v>Drop1N</v>
      </c>
      <c r="AF487" s="7">
        <v>7</v>
      </c>
      <c r="AG487" s="26">
        <f t="shared" ca="1" si="536"/>
        <v>2</v>
      </c>
      <c r="AH487" s="8">
        <v>20</v>
      </c>
      <c r="AI487" s="7">
        <v>0</v>
      </c>
      <c r="AJ487" s="7">
        <v>0</v>
      </c>
      <c r="AK487" s="7">
        <v>0</v>
      </c>
      <c r="AL487" s="7">
        <v>0</v>
      </c>
      <c r="AM487" s="7">
        <v>1</v>
      </c>
    </row>
    <row r="488" spans="1:39" ht="14" x14ac:dyDescent="0.15">
      <c r="A488" s="18" t="str">
        <f t="shared" ca="1" si="512"/>
        <v>25_1-3/55&lt;lv46&gt;s4</v>
      </c>
      <c r="B488" s="50">
        <v>25</v>
      </c>
      <c r="C488" s="49">
        <v>1</v>
      </c>
      <c r="D488" s="2" t="str">
        <f t="shared" si="537"/>
        <v>25_1</v>
      </c>
      <c r="E488" s="2" t="str">
        <f t="shared" si="537"/>
        <v>1_25_1</v>
      </c>
      <c r="F488" s="4" t="str">
        <f ca="1">VLOOKUP($D488,OFFSET([1]stages!$A$1,0,0,COUNTA([1]stages!$A:$A),MATCH(F$1,[1]stages!$2:$2,0)-MATCH($D$1,[1]stages!$2:$2,0)+1),MATCH(F$1,[1]stages!$2:$2,0)-MATCH($D$1,[1]stages!$2:$2,0)+1,FALSE)</f>
        <v>25-1．血塗られた招待状</v>
      </c>
      <c r="G488" s="54">
        <v>3</v>
      </c>
      <c r="H488" s="17" t="str">
        <f t="shared" si="538"/>
        <v>25_1-3</v>
      </c>
      <c r="I488" s="17"/>
      <c r="J488" s="17"/>
      <c r="K488" s="65" t="s">
        <v>56</v>
      </c>
      <c r="L488" s="52">
        <v>55</v>
      </c>
      <c r="M488" s="21" t="str">
        <f ca="1">VLOOKUP($L488,OFFSET([2]enemies!$A$1,0,0,COUNTA([2]enemies!$A:$A),MATCH(M$1,[2]enemies!$1:$1,0)-MATCH($L$1,[2]enemies!$1:$1,0)+1),MATCH(M$1,[2]enemies!$1:$1,0)-MATCH($L$1,[2]enemies!$1:$1,0)+1,FALSE)</f>
        <v>マミコ</v>
      </c>
      <c r="N488" s="21" t="str">
        <f ca="1">VLOOKUP($L488,OFFSET([2]enemies!$A$1,0,0,COUNTA([2]enemies!$A:$A),MATCH(N$1,[2]enemies!$1:$1,0)-MATCH($L$1,[2]enemies!$1:$1,0)+1),MATCH(N$1,[2]enemies!$1:$1,0)-MATCH($L$1,[2]enemies!$1:$1,0)+1,FALSE)</f>
        <v>yellow</v>
      </c>
      <c r="O488" s="21" t="str">
        <f ca="1">VLOOKUP($L488,OFFSET([3]characters!$A$1,0,0,COUNTA([3]characters!$A:$A),MATCH(O$1,[3]characters!$1:$1,0)-MATCH($L$1,[3]characters!$1:$1,0)+1),MATCH(O$1,[3]characters!$1:$1,0)-MATCH($L$1,[3]characters!$1:$1,0)+1,FALSE)</f>
        <v>Drop1N</v>
      </c>
      <c r="P488" s="21" t="str">
        <f ca="1">VLOOKUP($L488,OFFSET([2]enemies!$A$1,0,0,COUNTA([2]enemies!$A:$A),MATCH(P$1,[2]enemies!$1:$1,0)-MATCH($L$1,[2]enemies!$1:$1,0)+1),MATCH(P$1,[2]enemies!$1:$1,0)-MATCH($L$1,[2]enemies!$1:$1,0)+1,FALSE)</f>
        <v>human</v>
      </c>
      <c r="Q488" s="21">
        <f ca="1">VLOOKUP($L488,OFFSET([2]enemies!$A$1,0,0,COUNTA([2]enemies!$A:$A),MATCH(Q$1,[2]enemies!$1:$1,0)-MATCH($L$1,[2]enemies!$1:$1,0)+1),MATCH(Q$1,[2]enemies!$1:$1,0)-MATCH($L$1,[2]enemies!$1:$1,0)+1,FALSE)</f>
        <v>15</v>
      </c>
      <c r="R488" s="53">
        <v>46</v>
      </c>
      <c r="S488" s="27">
        <v>1.1000000000000001</v>
      </c>
      <c r="T488" s="27">
        <v>1</v>
      </c>
      <c r="U488" s="5">
        <v>0</v>
      </c>
      <c r="V488" s="4" t="str">
        <f ca="1">VLOOKUP($W488,OFFSET([4]enemy_skill_sets!$B$1,0,0,COUNTA([4]enemy_skill_sets!$B:$B),MATCH(M$1,[4]enemy_skill_sets!$1:$1,0)-MATCH($W$1,[4]enemy_skill_sets!$1:$1,0)+2),MATCH(M$1,[4]enemy_skill_sets!$1:$1,0)-MATCH($W$1,[4]enemy_skill_sets!$1:$1,0)+2,FALSE)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488" s="4">
        <f ca="1">VLOOKUP($L488,OFFSET([2]enemies!$A$1,0,0,COUNTA([2]enemies!$A:$A),MATCH(W$1,[2]enemies!$1:$1,0)-MATCH($L$1,[2]enemies!$1:$1,0)+1),MATCH(W$1,[2]enemies!$1:$1,0)-MATCH($L$1,[2]enemies!$1:$1,0)+1,FALSE)</f>
        <v>55</v>
      </c>
      <c r="X488" s="6">
        <v>0</v>
      </c>
      <c r="Y488" s="6">
        <v>100</v>
      </c>
      <c r="Z488" s="6">
        <v>0</v>
      </c>
      <c r="AA488" s="4">
        <f ca="1">VLOOKUP($L488,OFFSET([2]enemies!$A$1,0,0,COUNTA([2]enemies!$A:$A),MATCH(AA$1,[2]enemies!$1:$1,0)-MATCH($L$1,[2]enemies!$1:$1,0)+1),MATCH(AA$1,[2]enemies!$1:$1,0)-MATCH($L$1,[2]enemies!$1:$1,0)+1,FALSE)</f>
        <v>4</v>
      </c>
      <c r="AB488" s="52">
        <v>55</v>
      </c>
      <c r="AC488" s="4" t="str">
        <f ca="1">VLOOKUP($AB488,OFFSET([3]characters!$A$1,0,0,COUNTA([3]characters!$A:$A),MATCH(AC$1,[3]characters!$1:$1,0)-MATCH("character_id",[3]characters!$1:$1,0)+1),MATCH(AC$1,[3]characters!$1:$1,0)-MATCH("character_id",[3]characters!$1:$1,0)+1,FALSE)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488" s="4">
        <f ca="1">VLOOKUP($AB488,OFFSET([3]characters!$A$1,0,0,COUNTA([3]characters!$A:$A),MATCH(AD$1,[3]characters!$1:$1,0)-MATCH("character_id",[3]characters!$1:$1,0)+1),MATCH(AD$1,[3]characters!$1:$1,0)-MATCH("character_id",[3]characters!$1:$1,0)+1,FALSE)</f>
        <v>2</v>
      </c>
      <c r="AE488" s="4" t="str">
        <f ca="1">VLOOKUP($AB488,OFFSET([3]characters!$A$1,0,0,COUNTA([3]characters!$A:$A),MATCH(AE$1,[3]characters!$1:$1,0)-MATCH("character_id",[3]characters!$1:$1,0)+1),MATCH(AE$1,[3]characters!$1:$1,0)-MATCH("character_id",[3]characters!$1:$1,0)+1,FALSE)</f>
        <v>Drop1N</v>
      </c>
      <c r="AF488" s="7">
        <v>7</v>
      </c>
      <c r="AG488" s="26">
        <f t="shared" ca="1" si="536"/>
        <v>2</v>
      </c>
      <c r="AH488" s="8">
        <v>20</v>
      </c>
      <c r="AI488" s="7">
        <v>0</v>
      </c>
      <c r="AJ488" s="7">
        <v>0</v>
      </c>
      <c r="AK488" s="7">
        <v>0</v>
      </c>
      <c r="AL488" s="7">
        <v>0</v>
      </c>
      <c r="AM488" s="7">
        <v>1</v>
      </c>
    </row>
    <row r="489" spans="1:39" ht="14" x14ac:dyDescent="0.15">
      <c r="A489" s="18" t="str">
        <f t="shared" ca="1" si="512"/>
        <v>25_1-3/364&lt;lv46&gt;s3</v>
      </c>
      <c r="B489" s="53">
        <v>25</v>
      </c>
      <c r="C489" s="51">
        <v>1</v>
      </c>
      <c r="D489" s="2" t="str">
        <f t="shared" ref="D489:D490" si="554">B489&amp;"_"&amp;C489</f>
        <v>25_1</v>
      </c>
      <c r="E489" s="2" t="str">
        <f t="shared" ref="E489:E490" si="555">C489&amp;"_"&amp;D489</f>
        <v>1_25_1</v>
      </c>
      <c r="F489" s="4" t="str">
        <f ca="1">VLOOKUP($D489,OFFSET([1]stages!$A$1,0,0,COUNTA([1]stages!$A:$A),MATCH(F$1,[1]stages!$2:$2,0)-MATCH($D$1,[1]stages!$2:$2,0)+1),MATCH(F$1,[1]stages!$2:$2,0)-MATCH($D$1,[1]stages!$2:$2,0)+1,FALSE)</f>
        <v>25-1．血塗られた招待状</v>
      </c>
      <c r="G489" s="54">
        <v>3</v>
      </c>
      <c r="H489" s="17" t="str">
        <f t="shared" ref="H489:H490" si="556">B489&amp;"_"&amp;C489&amp;"-"&amp;G489</f>
        <v>25_1-3</v>
      </c>
      <c r="I489" s="17"/>
      <c r="J489" s="17"/>
      <c r="K489" s="65" t="s">
        <v>56</v>
      </c>
      <c r="L489" s="52">
        <v>364</v>
      </c>
      <c r="M489" s="21" t="str">
        <f ca="1">VLOOKUP($L489,OFFSET([2]enemies!$A$1,0,0,COUNTA([2]enemies!$A:$A),MATCH(M$1,[2]enemies!$1:$1,0)-MATCH($L$1,[2]enemies!$1:$1,0)+1),MATCH(M$1,[2]enemies!$1:$1,0)-MATCH($L$1,[2]enemies!$1:$1,0)+1,FALSE)</f>
        <v>ノエル</v>
      </c>
      <c r="N489" s="21" t="str">
        <f ca="1">VLOOKUP($L489,OFFSET([2]enemies!$A$1,0,0,COUNTA([2]enemies!$A:$A),MATCH(N$1,[2]enemies!$1:$1,0)-MATCH($L$1,[2]enemies!$1:$1,0)+1),MATCH(N$1,[2]enemies!$1:$1,0)-MATCH($L$1,[2]enemies!$1:$1,0)+1,FALSE)</f>
        <v>blue</v>
      </c>
      <c r="O489" s="21" t="str">
        <f ca="1">VLOOKUP($L489,OFFSET([3]characters!$A$1,0,0,COUNTA([3]characters!$A:$A),MATCH(O$1,[3]characters!$1:$1,0)-MATCH($L$1,[3]characters!$1:$1,0)+1),MATCH(O$1,[3]characters!$1:$1,0)-MATCH($L$1,[3]characters!$1:$1,0)+1,FALSE)</f>
        <v>Drop1S</v>
      </c>
      <c r="P489" s="21" t="str">
        <f ca="1">VLOOKUP($L489,OFFSET([2]enemies!$A$1,0,0,COUNTA([2]enemies!$A:$A),MATCH(P$1,[2]enemies!$1:$1,0)-MATCH($L$1,[2]enemies!$1:$1,0)+1),MATCH(P$1,[2]enemies!$1:$1,0)-MATCH($L$1,[2]enemies!$1:$1,0)+1,FALSE)</f>
        <v>animal</v>
      </c>
      <c r="Q489" s="21">
        <f ca="1">VLOOKUP($L489,OFFSET([2]enemies!$A$1,0,0,COUNTA([2]enemies!$A:$A),MATCH(Q$1,[2]enemies!$1:$1,0)-MATCH($L$1,[2]enemies!$1:$1,0)+1),MATCH(Q$1,[2]enemies!$1:$1,0)-MATCH($L$1,[2]enemies!$1:$1,0)+1,FALSE)</f>
        <v>15</v>
      </c>
      <c r="R489" s="53">
        <v>46</v>
      </c>
      <c r="S489" s="27">
        <v>1.1000000000000001</v>
      </c>
      <c r="T489" s="27">
        <v>1</v>
      </c>
      <c r="U489" s="5">
        <v>0</v>
      </c>
      <c r="V489" s="4" t="str">
        <f ca="1">VLOOKUP($W489,OFFSET([4]enemy_skill_sets!$B$1,0,0,COUNTA([4]enemy_skill_sets!$B:$B),MATCH(M$1,[4]enemy_skill_sets!$1:$1,0)-MATCH($W$1,[4]enemy_skill_sets!$1:$1,0)+2),MATCH(M$1,[4]enemy_skill_sets!$1:$1,0)-MATCH($W$1,[4]enemy_skill_sets!$1:$1,0)+2,FALSE)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489" s="64">
        <v>364</v>
      </c>
      <c r="X489" s="6">
        <v>0</v>
      </c>
      <c r="Y489" s="6">
        <v>100</v>
      </c>
      <c r="Z489" s="6">
        <v>0</v>
      </c>
      <c r="AA489" s="4">
        <f ca="1">VLOOKUP($L489,OFFSET([2]enemies!$A$1,0,0,COUNTA([2]enemies!$A:$A),MATCH(AA$1,[2]enemies!$1:$1,0)-MATCH($L$1,[2]enemies!$1:$1,0)+1),MATCH(AA$1,[2]enemies!$1:$1,0)-MATCH($L$1,[2]enemies!$1:$1,0)+1,FALSE)</f>
        <v>3</v>
      </c>
      <c r="AB489" s="52">
        <v>364</v>
      </c>
      <c r="AC489" s="4" t="str">
        <f ca="1">VLOOKUP($AB489,OFFSET([3]characters!$A$1,0,0,COUNTA([3]characters!$A:$A),MATCH(AC$1,[3]characters!$1:$1,0)-MATCH("character_id",[3]characters!$1:$1,0)+1),MATCH(AC$1,[3]characters!$1:$1,0)-MATCH("character_id",[3]characters!$1:$1,0)+1,FALSE)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489" s="4">
        <f ca="1">VLOOKUP($AB489,OFFSET([3]characters!$A$1,0,0,COUNTA([3]characters!$A:$A),MATCH(AD$1,[3]characters!$1:$1,0)-MATCH("character_id",[3]characters!$1:$1,0)+1),MATCH(AD$1,[3]characters!$1:$1,0)-MATCH("character_id",[3]characters!$1:$1,0)+1,FALSE)</f>
        <v>2</v>
      </c>
      <c r="AE489" s="4" t="str">
        <f ca="1">VLOOKUP($AB489,OFFSET([3]characters!$A$1,0,0,COUNTA([3]characters!$A:$A),MATCH(AE$1,[3]characters!$1:$1,0)-MATCH("character_id",[3]characters!$1:$1,0)+1),MATCH(AE$1,[3]characters!$1:$1,0)-MATCH("character_id",[3]characters!$1:$1,0)+1,FALSE)</f>
        <v>Drop1S</v>
      </c>
      <c r="AF489" s="7">
        <v>7</v>
      </c>
      <c r="AG489" s="26">
        <f t="shared" ca="1" si="536"/>
        <v>2</v>
      </c>
      <c r="AH489" s="8">
        <v>20</v>
      </c>
      <c r="AI489" s="7">
        <v>0</v>
      </c>
      <c r="AJ489" s="7">
        <v>0</v>
      </c>
      <c r="AK489" s="7">
        <v>0</v>
      </c>
      <c r="AL489" s="7">
        <v>0</v>
      </c>
      <c r="AM489" s="7">
        <v>1</v>
      </c>
    </row>
    <row r="490" spans="1:39" ht="14" x14ac:dyDescent="0.15">
      <c r="A490" s="18" t="str">
        <f t="shared" ca="1" si="512"/>
        <v>25_1-3/366&lt;lv46&gt;s3</v>
      </c>
      <c r="B490" s="53">
        <v>25</v>
      </c>
      <c r="C490" s="51">
        <v>1</v>
      </c>
      <c r="D490" s="2" t="str">
        <f t="shared" si="554"/>
        <v>25_1</v>
      </c>
      <c r="E490" s="2" t="str">
        <f t="shared" si="555"/>
        <v>1_25_1</v>
      </c>
      <c r="F490" s="4" t="str">
        <f ca="1">VLOOKUP($D490,OFFSET([1]stages!$A$1,0,0,COUNTA([1]stages!$A:$A),MATCH(F$1,[1]stages!$2:$2,0)-MATCH($D$1,[1]stages!$2:$2,0)+1),MATCH(F$1,[1]stages!$2:$2,0)-MATCH($D$1,[1]stages!$2:$2,0)+1,FALSE)</f>
        <v>25-1．血塗られた招待状</v>
      </c>
      <c r="G490" s="54">
        <v>3</v>
      </c>
      <c r="H490" s="17" t="str">
        <f t="shared" si="556"/>
        <v>25_1-3</v>
      </c>
      <c r="I490" s="17"/>
      <c r="J490" s="17"/>
      <c r="K490" s="65" t="s">
        <v>56</v>
      </c>
      <c r="L490" s="52">
        <v>366</v>
      </c>
      <c r="M490" s="21" t="str">
        <f ca="1">VLOOKUP($L490,OFFSET([2]enemies!$A$1,0,0,COUNTA([2]enemies!$A:$A),MATCH(M$1,[2]enemies!$1:$1,0)-MATCH($L$1,[2]enemies!$1:$1,0)+1),MATCH(M$1,[2]enemies!$1:$1,0)-MATCH($L$1,[2]enemies!$1:$1,0)+1,FALSE)</f>
        <v>トト</v>
      </c>
      <c r="N490" s="21" t="str">
        <f ca="1">VLOOKUP($L490,OFFSET([2]enemies!$A$1,0,0,COUNTA([2]enemies!$A:$A),MATCH(N$1,[2]enemies!$1:$1,0)-MATCH($L$1,[2]enemies!$1:$1,0)+1),MATCH(N$1,[2]enemies!$1:$1,0)-MATCH($L$1,[2]enemies!$1:$1,0)+1,FALSE)</f>
        <v>yellow</v>
      </c>
      <c r="O490" s="21" t="str">
        <f ca="1">VLOOKUP($L490,OFFSET([3]characters!$A$1,0,0,COUNTA([3]characters!$A:$A),MATCH(O$1,[3]characters!$1:$1,0)-MATCH($L$1,[3]characters!$1:$1,0)+1),MATCH(O$1,[3]characters!$1:$1,0)-MATCH($L$1,[3]characters!$1:$1,0)+1,FALSE)</f>
        <v>Drop1S</v>
      </c>
      <c r="P490" s="21" t="str">
        <f ca="1">VLOOKUP($L490,OFFSET([2]enemies!$A$1,0,0,COUNTA([2]enemies!$A:$A),MATCH(P$1,[2]enemies!$1:$1,0)-MATCH($L$1,[2]enemies!$1:$1,0)+1),MATCH(P$1,[2]enemies!$1:$1,0)-MATCH($L$1,[2]enemies!$1:$1,0)+1,FALSE)</f>
        <v>animal</v>
      </c>
      <c r="Q490" s="21">
        <f ca="1">VLOOKUP($L490,OFFSET([2]enemies!$A$1,0,0,COUNTA([2]enemies!$A:$A),MATCH(Q$1,[2]enemies!$1:$1,0)-MATCH($L$1,[2]enemies!$1:$1,0)+1),MATCH(Q$1,[2]enemies!$1:$1,0)-MATCH($L$1,[2]enemies!$1:$1,0)+1,FALSE)</f>
        <v>15</v>
      </c>
      <c r="R490" s="53">
        <v>46</v>
      </c>
      <c r="S490" s="27">
        <v>1.1000000000000001</v>
      </c>
      <c r="T490" s="27">
        <v>1</v>
      </c>
      <c r="U490" s="5">
        <v>0</v>
      </c>
      <c r="V490" s="4" t="str">
        <f ca="1">VLOOKUP($W490,OFFSET([4]enemy_skill_sets!$B$1,0,0,COUNTA([4]enemy_skill_sets!$B:$B),MATCH(M$1,[4]enemy_skill_sets!$1:$1,0)-MATCH($W$1,[4]enemy_skill_sets!$1:$1,0)+2),MATCH(M$1,[4]enemy_skill_sets!$1:$1,0)-MATCH($W$1,[4]enemy_skill_sets!$1:$1,0)+2,FALSE)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490" s="64">
        <v>366</v>
      </c>
      <c r="X490" s="6">
        <v>0</v>
      </c>
      <c r="Y490" s="6">
        <v>100</v>
      </c>
      <c r="Z490" s="6">
        <v>0</v>
      </c>
      <c r="AA490" s="4">
        <f ca="1">VLOOKUP($L490,OFFSET([2]enemies!$A$1,0,0,COUNTA([2]enemies!$A:$A),MATCH(AA$1,[2]enemies!$1:$1,0)-MATCH($L$1,[2]enemies!$1:$1,0)+1),MATCH(AA$1,[2]enemies!$1:$1,0)-MATCH($L$1,[2]enemies!$1:$1,0)+1,FALSE)</f>
        <v>3</v>
      </c>
      <c r="AB490" s="52">
        <v>366</v>
      </c>
      <c r="AC490" s="4" t="str">
        <f ca="1">VLOOKUP($AB490,OFFSET([3]characters!$A$1,0,0,COUNTA([3]characters!$A:$A),MATCH(AC$1,[3]characters!$1:$1,0)-MATCH("character_id",[3]characters!$1:$1,0)+1),MATCH(AC$1,[3]characters!$1:$1,0)-MATCH("character_id",[3]characters!$1:$1,0)+1,FALSE)</f>
        <v>トト</v>
      </c>
      <c r="AD490" s="4">
        <f ca="1">VLOOKUP($AB490,OFFSET([3]characters!$A$1,0,0,COUNTA([3]characters!$A:$A),MATCH(AD$1,[3]characters!$1:$1,0)-MATCH("character_id",[3]characters!$1:$1,0)+1),MATCH(AD$1,[3]characters!$1:$1,0)-MATCH("character_id",[3]characters!$1:$1,0)+1,FALSE)</f>
        <v>2</v>
      </c>
      <c r="AE490" s="4" t="str">
        <f ca="1">VLOOKUP($AB490,OFFSET([3]characters!$A$1,0,0,COUNTA([3]characters!$A:$A),MATCH(AE$1,[3]characters!$1:$1,0)-MATCH("character_id",[3]characters!$1:$1,0)+1),MATCH(AE$1,[3]characters!$1:$1,0)-MATCH("character_id",[3]characters!$1:$1,0)+1,FALSE)</f>
        <v>Drop1S</v>
      </c>
      <c r="AF490" s="7">
        <v>7</v>
      </c>
      <c r="AG490" s="26">
        <f t="shared" ca="1" si="536"/>
        <v>2</v>
      </c>
      <c r="AH490" s="8">
        <v>20</v>
      </c>
      <c r="AI490" s="7">
        <v>0</v>
      </c>
      <c r="AJ490" s="7">
        <v>0</v>
      </c>
      <c r="AK490" s="7">
        <v>0</v>
      </c>
      <c r="AL490" s="7">
        <v>0</v>
      </c>
      <c r="AM490" s="7">
        <v>1</v>
      </c>
    </row>
    <row r="491" spans="1:39" ht="14" x14ac:dyDescent="0.15">
      <c r="A491" s="18" t="str">
        <f t="shared" ca="1" si="512"/>
        <v>25_1-3/352&lt;lv46&gt;s3</v>
      </c>
      <c r="B491" s="53">
        <v>25</v>
      </c>
      <c r="C491" s="51">
        <v>1</v>
      </c>
      <c r="D491" s="2" t="str">
        <f t="shared" ref="D491" si="557">B491&amp;"_"&amp;C491</f>
        <v>25_1</v>
      </c>
      <c r="E491" s="2" t="str">
        <f t="shared" ref="E491" si="558">C491&amp;"_"&amp;D491</f>
        <v>1_25_1</v>
      </c>
      <c r="F491" s="4" t="str">
        <f ca="1">VLOOKUP($D491,OFFSET([1]stages!$A$1,0,0,COUNTA([1]stages!$A:$A),MATCH(F$1,[1]stages!$2:$2,0)-MATCH($D$1,[1]stages!$2:$2,0)+1),MATCH(F$1,[1]stages!$2:$2,0)-MATCH($D$1,[1]stages!$2:$2,0)+1,FALSE)</f>
        <v>25-1．血塗られた招待状</v>
      </c>
      <c r="G491" s="54">
        <v>3</v>
      </c>
      <c r="H491" s="17" t="str">
        <f t="shared" ref="H491" si="559">B491&amp;"_"&amp;C491&amp;"-"&amp;G491</f>
        <v>25_1-3</v>
      </c>
      <c r="I491" s="17"/>
      <c r="J491" s="17"/>
      <c r="K491" s="65" t="s">
        <v>56</v>
      </c>
      <c r="L491" s="52">
        <v>352</v>
      </c>
      <c r="M491" s="21" t="str">
        <f ca="1">VLOOKUP($L491,OFFSET([2]enemies!$A$1,0,0,COUNTA([2]enemies!$A:$A),MATCH(M$1,[2]enemies!$1:$1,0)-MATCH($L$1,[2]enemies!$1:$1,0)+1),MATCH(M$1,[2]enemies!$1:$1,0)-MATCH($L$1,[2]enemies!$1:$1,0)+1,FALSE)</f>
        <v>水のケロケロ</v>
      </c>
      <c r="N491" s="21" t="str">
        <f ca="1">VLOOKUP($L491,OFFSET([2]enemies!$A$1,0,0,COUNTA([2]enemies!$A:$A),MATCH(N$1,[2]enemies!$1:$1,0)-MATCH($L$1,[2]enemies!$1:$1,0)+1),MATCH(N$1,[2]enemies!$1:$1,0)-MATCH($L$1,[2]enemies!$1:$1,0)+1,FALSE)</f>
        <v>blue</v>
      </c>
      <c r="O491" s="21" t="str">
        <f ca="1">VLOOKUP($L491,OFFSET([3]characters!$A$1,0,0,COUNTA([3]characters!$A:$A),MATCH(O$1,[3]characters!$1:$1,0)-MATCH($L$1,[3]characters!$1:$1,0)+1),MATCH(O$1,[3]characters!$1:$1,0)-MATCH($L$1,[3]characters!$1:$1,0)+1,FALSE)</f>
        <v>Material</v>
      </c>
      <c r="P491" s="21" t="str">
        <f ca="1">VLOOKUP($L491,OFFSET([2]enemies!$A$1,0,0,COUNTA([2]enemies!$A:$A),MATCH(P$1,[2]enemies!$1:$1,0)-MATCH($L$1,[2]enemies!$1:$1,0)+1),MATCH(P$1,[2]enemies!$1:$1,0)-MATCH($L$1,[2]enemies!$1:$1,0)+1,FALSE)</f>
        <v>unknown</v>
      </c>
      <c r="Q491" s="21">
        <f ca="1">VLOOKUP($L491,OFFSET([2]enemies!$A$1,0,0,COUNTA([2]enemies!$A:$A),MATCH(Q$1,[2]enemies!$1:$1,0)-MATCH($L$1,[2]enemies!$1:$1,0)+1),MATCH(Q$1,[2]enemies!$1:$1,0)-MATCH($L$1,[2]enemies!$1:$1,0)+1,FALSE)</f>
        <v>15</v>
      </c>
      <c r="R491" s="53">
        <v>46</v>
      </c>
      <c r="S491" s="27">
        <v>1</v>
      </c>
      <c r="T491" s="27">
        <v>1</v>
      </c>
      <c r="U491" s="5">
        <v>0</v>
      </c>
      <c r="V491" s="4" t="str">
        <f ca="1">VLOOKUP($W491,OFFSET([4]enemy_skill_sets!$B$1,0,0,COUNTA([4]enemy_skill_sets!$B:$B),MATCH(M$1,[4]enemy_skill_sets!$1:$1,0)-MATCH($W$1,[4]enemy_skill_sets!$1:$1,0)+2),MATCH(M$1,[4]enemy_skill_sets!$1:$1,0)-MATCH($W$1,[4]enemy_skill_sets!$1:$1,0)+2,FALSE)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491" s="64">
        <v>352</v>
      </c>
      <c r="X491" s="6">
        <v>1</v>
      </c>
      <c r="Y491" s="6">
        <v>100</v>
      </c>
      <c r="Z491" s="6">
        <v>0</v>
      </c>
      <c r="AA491" s="4">
        <f ca="1">VLOOKUP($L491,OFFSET([2]enemies!$A$1,0,0,COUNTA([2]enemies!$A:$A),MATCH(AA$1,[2]enemies!$1:$1,0)-MATCH($L$1,[2]enemies!$1:$1,0)+1),MATCH(AA$1,[2]enemies!$1:$1,0)-MATCH($L$1,[2]enemies!$1:$1,0)+1,FALSE)</f>
        <v>3</v>
      </c>
      <c r="AB491" s="52">
        <v>352</v>
      </c>
      <c r="AC491" s="4" t="str">
        <f ca="1">VLOOKUP($AB491,OFFSET([3]characters!$A$1,0,0,COUNTA([3]characters!$A:$A),MATCH(AC$1,[3]characters!$1:$1,0)-MATCH("character_id",[3]characters!$1:$1,0)+1),MATCH(AC$1,[3]characters!$1:$1,0)-MATCH("character_id",[3]characters!$1:$1,0)+1,FALSE)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491" s="4">
        <f ca="1">VLOOKUP($AB491,OFFSET([3]characters!$A$1,0,0,COUNTA([3]characters!$A:$A),MATCH(AD$1,[3]characters!$1:$1,0)-MATCH("character_id",[3]characters!$1:$1,0)+1),MATCH(AD$1,[3]characters!$1:$1,0)-MATCH("character_id",[3]characters!$1:$1,0)+1,FALSE)</f>
        <v>2</v>
      </c>
      <c r="AE491" s="4" t="str">
        <f ca="1">VLOOKUP($AB491,OFFSET([3]characters!$A$1,0,0,COUNTA([3]characters!$A:$A),MATCH(AE$1,[3]characters!$1:$1,0)-MATCH("character_id",[3]characters!$1:$1,0)+1),MATCH(AE$1,[3]characters!$1:$1,0)-MATCH("character_id",[3]characters!$1:$1,0)+1,FALSE)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491" s="7">
        <v>10</v>
      </c>
      <c r="AG491" s="26">
        <f t="shared" ca="1" si="536"/>
        <v>2</v>
      </c>
      <c r="AH491" s="8">
        <v>100</v>
      </c>
      <c r="AI491" s="7">
        <v>0</v>
      </c>
      <c r="AJ491" s="7">
        <v>0</v>
      </c>
      <c r="AK491" s="7">
        <v>0</v>
      </c>
      <c r="AL491" s="7">
        <v>0</v>
      </c>
      <c r="AM491" s="7">
        <v>1</v>
      </c>
    </row>
    <row r="492" spans="1:39" ht="14" x14ac:dyDescent="0.15">
      <c r="A492" s="18" t="str">
        <f t="shared" ca="1" si="512"/>
        <v>25_1-4/37&lt;lv46&gt;s3</v>
      </c>
      <c r="B492" s="50">
        <v>25</v>
      </c>
      <c r="C492" s="49">
        <v>1</v>
      </c>
      <c r="D492" s="2" t="str">
        <f t="shared" si="537"/>
        <v>25_1</v>
      </c>
      <c r="E492" s="2" t="str">
        <f t="shared" si="537"/>
        <v>1_25_1</v>
      </c>
      <c r="F492" s="4" t="str">
        <f ca="1">VLOOKUP($D492,OFFSET([1]stages!$A$1,0,0,COUNTA([1]stages!$A:$A),MATCH(F$1,[1]stages!$2:$2,0)-MATCH($D$1,[1]stages!$2:$2,0)+1),MATCH(F$1,[1]stages!$2:$2,0)-MATCH($D$1,[1]stages!$2:$2,0)+1,FALSE)</f>
        <v>25-1．血塗られた招待状</v>
      </c>
      <c r="G492" s="55">
        <v>4</v>
      </c>
      <c r="H492" s="17" t="str">
        <f t="shared" si="538"/>
        <v>25_1-4</v>
      </c>
      <c r="I492" s="17"/>
      <c r="J492" s="17"/>
      <c r="K492" s="65" t="s">
        <v>56</v>
      </c>
      <c r="L492" s="52">
        <v>37</v>
      </c>
      <c r="M492" s="21" t="str">
        <f ca="1">VLOOKUP($L492,OFFSET([2]enemies!$A$1,0,0,COUNTA([2]enemies!$A:$A),MATCH(M$1,[2]enemies!$1:$1,0)-MATCH($L$1,[2]enemies!$1:$1,0)+1),MATCH(M$1,[2]enemies!$1:$1,0)-MATCH($L$1,[2]enemies!$1:$1,0)+1,FALSE)</f>
        <v>ガイル</v>
      </c>
      <c r="N492" s="21" t="str">
        <f ca="1">VLOOKUP($L492,OFFSET([2]enemies!$A$1,0,0,COUNTA([2]enemies!$A:$A),MATCH(N$1,[2]enemies!$1:$1,0)-MATCH($L$1,[2]enemies!$1:$1,0)+1),MATCH(N$1,[2]enemies!$1:$1,0)-MATCH($L$1,[2]enemies!$1:$1,0)+1,FALSE)</f>
        <v>blue</v>
      </c>
      <c r="O492" s="21" t="str">
        <f ca="1">VLOOKUP($L492,OFFSET([3]characters!$A$1,0,0,COUNTA([3]characters!$A:$A),MATCH(O$1,[3]characters!$1:$1,0)-MATCH($L$1,[3]characters!$1:$1,0)+1),MATCH(O$1,[3]characters!$1:$1,0)-MATCH($L$1,[3]characters!$1:$1,0)+1,FALSE)</f>
        <v>Drop1S</v>
      </c>
      <c r="P492" s="21" t="str">
        <f ca="1">VLOOKUP($L492,OFFSET([2]enemies!$A$1,0,0,COUNTA([2]enemies!$A:$A),MATCH(P$1,[2]enemies!$1:$1,0)-MATCH($L$1,[2]enemies!$1:$1,0)+1),MATCH(P$1,[2]enemies!$1:$1,0)-MATCH($L$1,[2]enemies!$1:$1,0)+1,FALSE)</f>
        <v>animal</v>
      </c>
      <c r="Q492" s="21">
        <f ca="1">VLOOKUP($L492,OFFSET([2]enemies!$A$1,0,0,COUNTA([2]enemies!$A:$A),MATCH(Q$1,[2]enemies!$1:$1,0)-MATCH($L$1,[2]enemies!$1:$1,0)+1),MATCH(Q$1,[2]enemies!$1:$1,0)-MATCH($L$1,[2]enemies!$1:$1,0)+1,FALSE)</f>
        <v>15</v>
      </c>
      <c r="R492" s="53">
        <v>46</v>
      </c>
      <c r="S492" s="27">
        <v>1.1000000000000001</v>
      </c>
      <c r="T492" s="27">
        <v>1</v>
      </c>
      <c r="U492" s="5">
        <v>0</v>
      </c>
      <c r="V492" s="4" t="str">
        <f ca="1">VLOOKUP($W492,OFFSET([4]enemy_skill_sets!$B$1,0,0,COUNTA([4]enemy_skill_sets!$B:$B),MATCH(M$1,[4]enemy_skill_sets!$1:$1,0)-MATCH($W$1,[4]enemy_skill_sets!$1:$1,0)+2),MATCH(M$1,[4]enemy_skill_sets!$1:$1,0)-MATCH($W$1,[4]enemy_skill_sets!$1:$1,0)+2,FALSE)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492" s="4">
        <f ca="1">VLOOKUP($L492,OFFSET([2]enemies!$A$1,0,0,COUNTA([2]enemies!$A:$A),MATCH(W$1,[2]enemies!$1:$1,0)-MATCH($L$1,[2]enemies!$1:$1,0)+1),MATCH(W$1,[2]enemies!$1:$1,0)-MATCH($L$1,[2]enemies!$1:$1,0)+1,FALSE)</f>
        <v>37</v>
      </c>
      <c r="X492" s="6">
        <v>0</v>
      </c>
      <c r="Y492" s="6">
        <v>100</v>
      </c>
      <c r="Z492" s="6">
        <v>0</v>
      </c>
      <c r="AA492" s="4">
        <f ca="1">VLOOKUP($L492,OFFSET([2]enemies!$A$1,0,0,COUNTA([2]enemies!$A:$A),MATCH(AA$1,[2]enemies!$1:$1,0)-MATCH($L$1,[2]enemies!$1:$1,0)+1),MATCH(AA$1,[2]enemies!$1:$1,0)-MATCH($L$1,[2]enemies!$1:$1,0)+1,FALSE)</f>
        <v>3</v>
      </c>
      <c r="AB492" s="52">
        <v>37</v>
      </c>
      <c r="AC492" s="4" t="str">
        <f ca="1">VLOOKUP($AB492,OFFSET([3]characters!$A$1,0,0,COUNTA([3]characters!$A:$A),MATCH(AC$1,[3]characters!$1:$1,0)-MATCH("character_id",[3]characters!$1:$1,0)+1),MATCH(AC$1,[3]characters!$1:$1,0)-MATCH("character_id",[3]characters!$1:$1,0)+1,FALSE)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492" s="4">
        <f ca="1">VLOOKUP($AB492,OFFSET([3]characters!$A$1,0,0,COUNTA([3]characters!$A:$A),MATCH(AD$1,[3]characters!$1:$1,0)-MATCH("character_id",[3]characters!$1:$1,0)+1),MATCH(AD$1,[3]characters!$1:$1,0)-MATCH("character_id",[3]characters!$1:$1,0)+1,FALSE)</f>
        <v>2</v>
      </c>
      <c r="AE492" s="4" t="str">
        <f ca="1">VLOOKUP($AB492,OFFSET([3]characters!$A$1,0,0,COUNTA([3]characters!$A:$A),MATCH(AE$1,[3]characters!$1:$1,0)-MATCH("character_id",[3]characters!$1:$1,0)+1),MATCH(AE$1,[3]characters!$1:$1,0)-MATCH("character_id",[3]characters!$1:$1,0)+1,FALSE)</f>
        <v>Drop1S</v>
      </c>
      <c r="AF492" s="7">
        <v>5</v>
      </c>
      <c r="AG492" s="26">
        <f t="shared" ca="1" si="536"/>
        <v>2</v>
      </c>
      <c r="AH492" s="8">
        <v>20</v>
      </c>
      <c r="AI492" s="7">
        <v>0</v>
      </c>
      <c r="AJ492" s="7">
        <v>0</v>
      </c>
      <c r="AK492" s="7">
        <v>0</v>
      </c>
      <c r="AL492" s="7">
        <v>0</v>
      </c>
      <c r="AM492" s="7">
        <v>1</v>
      </c>
    </row>
    <row r="493" spans="1:39" ht="14" x14ac:dyDescent="0.15">
      <c r="A493" s="18" t="str">
        <f t="shared" ca="1" si="512"/>
        <v>25_1-4/45&lt;lv46&gt;s3</v>
      </c>
      <c r="B493" s="50">
        <v>25</v>
      </c>
      <c r="C493" s="49">
        <v>1</v>
      </c>
      <c r="D493" s="2" t="str">
        <f t="shared" si="537"/>
        <v>25_1</v>
      </c>
      <c r="E493" s="2" t="str">
        <f t="shared" si="537"/>
        <v>1_25_1</v>
      </c>
      <c r="F493" s="4" t="str">
        <f ca="1">VLOOKUP($D493,OFFSET([1]stages!$A$1,0,0,COUNTA([1]stages!$A:$A),MATCH(F$1,[1]stages!$2:$2,0)-MATCH($D$1,[1]stages!$2:$2,0)+1),MATCH(F$1,[1]stages!$2:$2,0)-MATCH($D$1,[1]stages!$2:$2,0)+1,FALSE)</f>
        <v>25-1．血塗られた招待状</v>
      </c>
      <c r="G493" s="55">
        <v>4</v>
      </c>
      <c r="H493" s="17" t="str">
        <f t="shared" si="538"/>
        <v>25_1-4</v>
      </c>
      <c r="I493" s="17"/>
      <c r="J493" s="17"/>
      <c r="K493" s="65" t="s">
        <v>56</v>
      </c>
      <c r="L493" s="52">
        <v>45</v>
      </c>
      <c r="M493" s="21" t="str">
        <f ca="1">VLOOKUP($L493,OFFSET([2]enemies!$A$1,0,0,COUNTA([2]enemies!$A:$A),MATCH(M$1,[2]enemies!$1:$1,0)-MATCH($L$1,[2]enemies!$1:$1,0)+1),MATCH(M$1,[2]enemies!$1:$1,0)-MATCH($L$1,[2]enemies!$1:$1,0)+1,FALSE)</f>
        <v>ショウイン</v>
      </c>
      <c r="N493" s="21" t="str">
        <f ca="1">VLOOKUP($L493,OFFSET([2]enemies!$A$1,0,0,COUNTA([2]enemies!$A:$A),MATCH(N$1,[2]enemies!$1:$1,0)-MATCH($L$1,[2]enemies!$1:$1,0)+1),MATCH(N$1,[2]enemies!$1:$1,0)-MATCH($L$1,[2]enemies!$1:$1,0)+1,FALSE)</f>
        <v>blue</v>
      </c>
      <c r="O493" s="21" t="str">
        <f ca="1">VLOOKUP($L493,OFFSET([3]characters!$A$1,0,0,COUNTA([3]characters!$A:$A),MATCH(O$1,[3]characters!$1:$1,0)-MATCH($L$1,[3]characters!$1:$1,0)+1),MATCH(O$1,[3]characters!$1:$1,0)-MATCH($L$1,[3]characters!$1:$1,0)+1,FALSE)</f>
        <v>Drop1N</v>
      </c>
      <c r="P493" s="21" t="str">
        <f ca="1">VLOOKUP($L493,OFFSET([2]enemies!$A$1,0,0,COUNTA([2]enemies!$A:$A),MATCH(P$1,[2]enemies!$1:$1,0)-MATCH($L$1,[2]enemies!$1:$1,0)+1),MATCH(P$1,[2]enemies!$1:$1,0)-MATCH($L$1,[2]enemies!$1:$1,0)+1,FALSE)</f>
        <v>animal</v>
      </c>
      <c r="Q493" s="21">
        <f ca="1">VLOOKUP($L493,OFFSET([2]enemies!$A$1,0,0,COUNTA([2]enemies!$A:$A),MATCH(Q$1,[2]enemies!$1:$1,0)-MATCH($L$1,[2]enemies!$1:$1,0)+1),MATCH(Q$1,[2]enemies!$1:$1,0)-MATCH($L$1,[2]enemies!$1:$1,0)+1,FALSE)</f>
        <v>15</v>
      </c>
      <c r="R493" s="53">
        <v>46</v>
      </c>
      <c r="S493" s="27">
        <v>1.1000000000000001</v>
      </c>
      <c r="T493" s="27">
        <v>1</v>
      </c>
      <c r="U493" s="5">
        <v>0</v>
      </c>
      <c r="V493" s="4" t="str">
        <f ca="1">VLOOKUP($W493,OFFSET([4]enemy_skill_sets!$B$1,0,0,COUNTA([4]enemy_skill_sets!$B:$B),MATCH(M$1,[4]enemy_skill_sets!$1:$1,0)-MATCH($W$1,[4]enemy_skill_sets!$1:$1,0)+2),MATCH(M$1,[4]enemy_skill_sets!$1:$1,0)-MATCH($W$1,[4]enemy_skill_sets!$1:$1,0)+2,FALSE)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93" s="4">
        <f ca="1">VLOOKUP($L493,OFFSET([2]enemies!$A$1,0,0,COUNTA([2]enemies!$A:$A),MATCH(W$1,[2]enemies!$1:$1,0)-MATCH($L$1,[2]enemies!$1:$1,0)+1),MATCH(W$1,[2]enemies!$1:$1,0)-MATCH($L$1,[2]enemies!$1:$1,0)+1,FALSE)</f>
        <v>0</v>
      </c>
      <c r="X493" s="6">
        <v>0</v>
      </c>
      <c r="Y493" s="6">
        <v>100</v>
      </c>
      <c r="Z493" s="6">
        <v>0</v>
      </c>
      <c r="AA493" s="4">
        <f ca="1">VLOOKUP($L493,OFFSET([2]enemies!$A$1,0,0,COUNTA([2]enemies!$A:$A),MATCH(AA$1,[2]enemies!$1:$1,0)-MATCH($L$1,[2]enemies!$1:$1,0)+1),MATCH(AA$1,[2]enemies!$1:$1,0)-MATCH($L$1,[2]enemies!$1:$1,0)+1,FALSE)</f>
        <v>3</v>
      </c>
      <c r="AB493" s="52">
        <v>45</v>
      </c>
      <c r="AC493" s="4" t="str">
        <f ca="1">VLOOKUP($AB493,OFFSET([3]characters!$A$1,0,0,COUNTA([3]characters!$A:$A),MATCH(AC$1,[3]characters!$1:$1,0)-MATCH("character_id",[3]characters!$1:$1,0)+1),MATCH(AC$1,[3]characters!$1:$1,0)-MATCH("character_id",[3]characters!$1:$1,0)+1,FALSE)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493" s="4">
        <f ca="1">VLOOKUP($AB493,OFFSET([3]characters!$A$1,0,0,COUNTA([3]characters!$A:$A),MATCH(AD$1,[3]characters!$1:$1,0)-MATCH("character_id",[3]characters!$1:$1,0)+1),MATCH(AD$1,[3]characters!$1:$1,0)-MATCH("character_id",[3]characters!$1:$1,0)+1,FALSE)</f>
        <v>2</v>
      </c>
      <c r="AE493" s="4" t="str">
        <f ca="1">VLOOKUP($AB493,OFFSET([3]characters!$A$1,0,0,COUNTA([3]characters!$A:$A),MATCH(AE$1,[3]characters!$1:$1,0)-MATCH("character_id",[3]characters!$1:$1,0)+1),MATCH(AE$1,[3]characters!$1:$1,0)-MATCH("character_id",[3]characters!$1:$1,0)+1,FALSE)</f>
        <v>Drop1N</v>
      </c>
      <c r="AF493" s="7">
        <v>7</v>
      </c>
      <c r="AG493" s="26">
        <f t="shared" ca="1" si="536"/>
        <v>2</v>
      </c>
      <c r="AH493" s="8">
        <v>20</v>
      </c>
      <c r="AI493" s="7">
        <v>0</v>
      </c>
      <c r="AJ493" s="7">
        <v>0</v>
      </c>
      <c r="AK493" s="7">
        <v>0</v>
      </c>
      <c r="AL493" s="7">
        <v>0</v>
      </c>
      <c r="AM493" s="7">
        <v>1</v>
      </c>
    </row>
    <row r="494" spans="1:39" ht="14" x14ac:dyDescent="0.15">
      <c r="A494" s="18" t="str">
        <f t="shared" ref="A494:A557" ca="1" si="560">B494&amp;"_"&amp;C494&amp;"-"&amp;G494&amp;"/"&amp;L494&amp;"&lt;lv"&amp;R494&amp;"&gt;s"&amp;AA494</f>
        <v>25_1-4/47&lt;lv46&gt;s1</v>
      </c>
      <c r="B494" s="50">
        <v>25</v>
      </c>
      <c r="C494" s="49">
        <v>1</v>
      </c>
      <c r="D494" s="2" t="str">
        <f t="shared" si="537"/>
        <v>25_1</v>
      </c>
      <c r="E494" s="2" t="str">
        <f t="shared" si="537"/>
        <v>1_25_1</v>
      </c>
      <c r="F494" s="4" t="str">
        <f ca="1">VLOOKUP($D494,OFFSET([1]stages!$A$1,0,0,COUNTA([1]stages!$A:$A),MATCH(F$1,[1]stages!$2:$2,0)-MATCH($D$1,[1]stages!$2:$2,0)+1),MATCH(F$1,[1]stages!$2:$2,0)-MATCH($D$1,[1]stages!$2:$2,0)+1,FALSE)</f>
        <v>25-1．血塗られた招待状</v>
      </c>
      <c r="G494" s="55">
        <v>4</v>
      </c>
      <c r="H494" s="17" t="str">
        <f t="shared" si="538"/>
        <v>25_1-4</v>
      </c>
      <c r="I494" s="17"/>
      <c r="J494" s="17"/>
      <c r="K494" s="65" t="s">
        <v>56</v>
      </c>
      <c r="L494" s="52">
        <v>47</v>
      </c>
      <c r="M494" s="21" t="str">
        <f ca="1">VLOOKUP($L494,OFFSET([2]enemies!$A$1,0,0,COUNTA([2]enemies!$A:$A),MATCH(M$1,[2]enemies!$1:$1,0)-MATCH($L$1,[2]enemies!$1:$1,0)+1),MATCH(M$1,[2]enemies!$1:$1,0)-MATCH($L$1,[2]enemies!$1:$1,0)+1,FALSE)</f>
        <v>ヒロ</v>
      </c>
      <c r="N494" s="21" t="str">
        <f ca="1">VLOOKUP($L494,OFFSET([2]enemies!$A$1,0,0,COUNTA([2]enemies!$A:$A),MATCH(N$1,[2]enemies!$1:$1,0)-MATCH($L$1,[2]enemies!$1:$1,0)+1),MATCH(N$1,[2]enemies!$1:$1,0)-MATCH($L$1,[2]enemies!$1:$1,0)+1,FALSE)</f>
        <v>yellow</v>
      </c>
      <c r="O494" s="21" t="str">
        <f ca="1">VLOOKUP($L494,OFFSET([3]characters!$A$1,0,0,COUNTA([3]characters!$A:$A),MATCH(O$1,[3]characters!$1:$1,0)-MATCH($L$1,[3]characters!$1:$1,0)+1),MATCH(O$1,[3]characters!$1:$1,0)-MATCH($L$1,[3]characters!$1:$1,0)+1,FALSE)</f>
        <v>Drop1N</v>
      </c>
      <c r="P494" s="21" t="str">
        <f ca="1">VLOOKUP($L494,OFFSET([2]enemies!$A$1,0,0,COUNTA([2]enemies!$A:$A),MATCH(P$1,[2]enemies!$1:$1,0)-MATCH($L$1,[2]enemies!$1:$1,0)+1),MATCH(P$1,[2]enemies!$1:$1,0)-MATCH($L$1,[2]enemies!$1:$1,0)+1,FALSE)</f>
        <v>animal</v>
      </c>
      <c r="Q494" s="21">
        <f ca="1">VLOOKUP($L494,OFFSET([2]enemies!$A$1,0,0,COUNTA([2]enemies!$A:$A),MATCH(Q$1,[2]enemies!$1:$1,0)-MATCH($L$1,[2]enemies!$1:$1,0)+1),MATCH(Q$1,[2]enemies!$1:$1,0)-MATCH($L$1,[2]enemies!$1:$1,0)+1,FALSE)</f>
        <v>15</v>
      </c>
      <c r="R494" s="53">
        <v>46</v>
      </c>
      <c r="S494" s="27">
        <v>1.1000000000000001</v>
      </c>
      <c r="T494" s="27">
        <v>1</v>
      </c>
      <c r="U494" s="5">
        <v>0</v>
      </c>
      <c r="V494" s="4" t="str">
        <f ca="1">VLOOKUP($W494,OFFSET([4]enemy_skill_sets!$B$1,0,0,COUNTA([4]enemy_skill_sets!$B:$B),MATCH(M$1,[4]enemy_skill_sets!$1:$1,0)-MATCH($W$1,[4]enemy_skill_sets!$1:$1,0)+2),MATCH(M$1,[4]enemy_skill_sets!$1:$1,0)-MATCH($W$1,[4]enemy_skill_sets!$1:$1,0)+2,FALSE)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494" s="4">
        <f ca="1">VLOOKUP($L494,OFFSET([2]enemies!$A$1,0,0,COUNTA([2]enemies!$A:$A),MATCH(W$1,[2]enemies!$1:$1,0)-MATCH($L$1,[2]enemies!$1:$1,0)+1),MATCH(W$1,[2]enemies!$1:$1,0)-MATCH($L$1,[2]enemies!$1:$1,0)+1,FALSE)</f>
        <v>0</v>
      </c>
      <c r="X494" s="6">
        <v>0</v>
      </c>
      <c r="Y494" s="6">
        <v>100</v>
      </c>
      <c r="Z494" s="6">
        <v>0</v>
      </c>
      <c r="AA494" s="4">
        <f ca="1">VLOOKUP($L494,OFFSET([2]enemies!$A$1,0,0,COUNTA([2]enemies!$A:$A),MATCH(AA$1,[2]enemies!$1:$1,0)-MATCH($L$1,[2]enemies!$1:$1,0)+1),MATCH(AA$1,[2]enemies!$1:$1,0)-MATCH($L$1,[2]enemies!$1:$1,0)+1,FALSE)</f>
        <v>1</v>
      </c>
      <c r="AB494" s="52">
        <v>47</v>
      </c>
      <c r="AC494" s="4" t="str">
        <f ca="1">VLOOKUP($AB494,OFFSET([3]characters!$A$1,0,0,COUNTA([3]characters!$A:$A),MATCH(AC$1,[3]characters!$1:$1,0)-MATCH("character_id",[3]characters!$1:$1,0)+1),MATCH(AC$1,[3]characters!$1:$1,0)-MATCH("character_id",[3]characters!$1:$1,0)+1,FALSE)</f>
        <v>ヒロ</v>
      </c>
      <c r="AD494" s="4">
        <f ca="1">VLOOKUP($AB494,OFFSET([3]characters!$A$1,0,0,COUNTA([3]characters!$A:$A),MATCH(AD$1,[3]characters!$1:$1,0)-MATCH("character_id",[3]characters!$1:$1,0)+1),MATCH(AD$1,[3]characters!$1:$1,0)-MATCH("character_id",[3]characters!$1:$1,0)+1,FALSE)</f>
        <v>2</v>
      </c>
      <c r="AE494" s="4" t="str">
        <f ca="1">VLOOKUP($AB494,OFFSET([3]characters!$A$1,0,0,COUNTA([3]characters!$A:$A),MATCH(AE$1,[3]characters!$1:$1,0)-MATCH("character_id",[3]characters!$1:$1,0)+1),MATCH(AE$1,[3]characters!$1:$1,0)-MATCH("character_id",[3]characters!$1:$1,0)+1,FALSE)</f>
        <v>Drop1N</v>
      </c>
      <c r="AF494" s="7">
        <v>7</v>
      </c>
      <c r="AG494" s="26">
        <f t="shared" ca="1" si="536"/>
        <v>2</v>
      </c>
      <c r="AH494" s="8">
        <v>20</v>
      </c>
      <c r="AI494" s="7">
        <v>0</v>
      </c>
      <c r="AJ494" s="7">
        <v>0</v>
      </c>
      <c r="AK494" s="7">
        <v>0</v>
      </c>
      <c r="AL494" s="7">
        <v>0</v>
      </c>
      <c r="AM494" s="7">
        <v>1</v>
      </c>
    </row>
    <row r="495" spans="1:39" ht="14" x14ac:dyDescent="0.15">
      <c r="A495" s="18" t="str">
        <f t="shared" ca="1" si="560"/>
        <v>25_1-4/61&lt;lv46&gt;s2</v>
      </c>
      <c r="B495" s="50">
        <v>25</v>
      </c>
      <c r="C495" s="49">
        <v>1</v>
      </c>
      <c r="D495" s="2" t="str">
        <f t="shared" si="537"/>
        <v>25_1</v>
      </c>
      <c r="E495" s="2" t="str">
        <f t="shared" si="537"/>
        <v>1_25_1</v>
      </c>
      <c r="F495" s="4" t="str">
        <f ca="1">VLOOKUP($D495,OFFSET([1]stages!$A$1,0,0,COUNTA([1]stages!$A:$A),MATCH(F$1,[1]stages!$2:$2,0)-MATCH($D$1,[1]stages!$2:$2,0)+1),MATCH(F$1,[1]stages!$2:$2,0)-MATCH($D$1,[1]stages!$2:$2,0)+1,FALSE)</f>
        <v>25-1．血塗られた招待状</v>
      </c>
      <c r="G495" s="55">
        <v>4</v>
      </c>
      <c r="H495" s="17" t="str">
        <f t="shared" si="538"/>
        <v>25_1-4</v>
      </c>
      <c r="I495" s="17"/>
      <c r="J495" s="17"/>
      <c r="K495" s="65" t="s">
        <v>56</v>
      </c>
      <c r="L495" s="52">
        <v>61</v>
      </c>
      <c r="M495" s="21" t="str">
        <f ca="1">VLOOKUP($L495,OFFSET([2]enemies!$A$1,0,0,COUNTA([2]enemies!$A:$A),MATCH(M$1,[2]enemies!$1:$1,0)-MATCH($L$1,[2]enemies!$1:$1,0)+1),MATCH(M$1,[2]enemies!$1:$1,0)-MATCH($L$1,[2]enemies!$1:$1,0)+1,FALSE)</f>
        <v>クロウ</v>
      </c>
      <c r="N495" s="21" t="str">
        <f ca="1">VLOOKUP($L495,OFFSET([2]enemies!$A$1,0,0,COUNTA([2]enemies!$A:$A),MATCH(N$1,[2]enemies!$1:$1,0)-MATCH($L$1,[2]enemies!$1:$1,0)+1),MATCH(N$1,[2]enemies!$1:$1,0)-MATCH($L$1,[2]enemies!$1:$1,0)+1,FALSE)</f>
        <v>blue</v>
      </c>
      <c r="O495" s="21" t="str">
        <f ca="1">VLOOKUP($L495,OFFSET([3]characters!$A$1,0,0,COUNTA([3]characters!$A:$A),MATCH(O$1,[3]characters!$1:$1,0)-MATCH($L$1,[3]characters!$1:$1,0)+1),MATCH(O$1,[3]characters!$1:$1,0)-MATCH($L$1,[3]characters!$1:$1,0)+1,FALSE)</f>
        <v>Drop1N</v>
      </c>
      <c r="P495" s="21" t="str">
        <f ca="1">VLOOKUP($L495,OFFSET([2]enemies!$A$1,0,0,COUNTA([2]enemies!$A:$A),MATCH(P$1,[2]enemies!$1:$1,0)-MATCH($L$1,[2]enemies!$1:$1,0)+1),MATCH(P$1,[2]enemies!$1:$1,0)-MATCH($L$1,[2]enemies!$1:$1,0)+1,FALSE)</f>
        <v>animal</v>
      </c>
      <c r="Q495" s="21">
        <f ca="1">VLOOKUP($L495,OFFSET([2]enemies!$A$1,0,0,COUNTA([2]enemies!$A:$A),MATCH(Q$1,[2]enemies!$1:$1,0)-MATCH($L$1,[2]enemies!$1:$1,0)+1),MATCH(Q$1,[2]enemies!$1:$1,0)-MATCH($L$1,[2]enemies!$1:$1,0)+1,FALSE)</f>
        <v>15</v>
      </c>
      <c r="R495" s="53">
        <v>46</v>
      </c>
      <c r="S495" s="27">
        <v>1.1000000000000001</v>
      </c>
      <c r="T495" s="27">
        <v>1</v>
      </c>
      <c r="U495" s="5">
        <v>0</v>
      </c>
      <c r="V495" s="4" t="str">
        <f ca="1">VLOOKUP($W495,OFFSET([4]enemy_skill_sets!$B$1,0,0,COUNTA([4]enemy_skill_sets!$B:$B),MATCH(M$1,[4]enemy_skill_sets!$1:$1,0)-MATCH($W$1,[4]enemy_skill_sets!$1:$1,0)+2),MATCH(M$1,[4]enemy_skill_sets!$1:$1,0)-MATCH($W$1,[4]enemy_skill_sets!$1:$1,0)+2,FALSE)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495" s="4">
        <f ca="1">VLOOKUP($L495,OFFSET([2]enemies!$A$1,0,0,COUNTA([2]enemies!$A:$A),MATCH(W$1,[2]enemies!$1:$1,0)-MATCH($L$1,[2]enemies!$1:$1,0)+1),MATCH(W$1,[2]enemies!$1:$1,0)-MATCH($L$1,[2]enemies!$1:$1,0)+1,FALSE)</f>
        <v>61</v>
      </c>
      <c r="X495" s="6">
        <v>0</v>
      </c>
      <c r="Y495" s="6">
        <v>100</v>
      </c>
      <c r="Z495" s="6">
        <v>0</v>
      </c>
      <c r="AA495" s="4">
        <f ca="1">VLOOKUP($L495,OFFSET([2]enemies!$A$1,0,0,COUNTA([2]enemies!$A:$A),MATCH(AA$1,[2]enemies!$1:$1,0)-MATCH($L$1,[2]enemies!$1:$1,0)+1),MATCH(AA$1,[2]enemies!$1:$1,0)-MATCH($L$1,[2]enemies!$1:$1,0)+1,FALSE)</f>
        <v>2</v>
      </c>
      <c r="AB495" s="52">
        <v>61</v>
      </c>
      <c r="AC495" s="4" t="str">
        <f ca="1">VLOOKUP($AB495,OFFSET([3]characters!$A$1,0,0,COUNTA([3]characters!$A:$A),MATCH(AC$1,[3]characters!$1:$1,0)-MATCH("character_id",[3]characters!$1:$1,0)+1),MATCH(AC$1,[3]characters!$1:$1,0)-MATCH("character_id",[3]characters!$1:$1,0)+1,FALSE)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495" s="4">
        <f ca="1">VLOOKUP($AB495,OFFSET([3]characters!$A$1,0,0,COUNTA([3]characters!$A:$A),MATCH(AD$1,[3]characters!$1:$1,0)-MATCH("character_id",[3]characters!$1:$1,0)+1),MATCH(AD$1,[3]characters!$1:$1,0)-MATCH("character_id",[3]characters!$1:$1,0)+1,FALSE)</f>
        <v>2</v>
      </c>
      <c r="AE495" s="4" t="str">
        <f ca="1">VLOOKUP($AB495,OFFSET([3]characters!$A$1,0,0,COUNTA([3]characters!$A:$A),MATCH(AE$1,[3]characters!$1:$1,0)-MATCH("character_id",[3]characters!$1:$1,0)+1),MATCH(AE$1,[3]characters!$1:$1,0)-MATCH("character_id",[3]characters!$1:$1,0)+1,FALSE)</f>
        <v>Drop1N</v>
      </c>
      <c r="AF495" s="7">
        <v>7</v>
      </c>
      <c r="AG495" s="26">
        <f t="shared" ca="1" si="536"/>
        <v>2</v>
      </c>
      <c r="AH495" s="8">
        <v>20</v>
      </c>
      <c r="AI495" s="7">
        <v>0</v>
      </c>
      <c r="AJ495" s="7">
        <v>0</v>
      </c>
      <c r="AK495" s="7">
        <v>0</v>
      </c>
      <c r="AL495" s="7">
        <v>0</v>
      </c>
      <c r="AM495" s="7">
        <v>1</v>
      </c>
    </row>
    <row r="496" spans="1:39" ht="14" x14ac:dyDescent="0.15">
      <c r="A496" s="18" t="str">
        <f t="shared" ca="1" si="560"/>
        <v>25_1-4/63&lt;lv46&gt;s2</v>
      </c>
      <c r="B496" s="50">
        <v>25</v>
      </c>
      <c r="C496" s="49">
        <v>1</v>
      </c>
      <c r="D496" s="2" t="str">
        <f t="shared" si="537"/>
        <v>25_1</v>
      </c>
      <c r="E496" s="2" t="str">
        <f t="shared" si="537"/>
        <v>1_25_1</v>
      </c>
      <c r="F496" s="4" t="str">
        <f ca="1">VLOOKUP($D496,OFFSET([1]stages!$A$1,0,0,COUNTA([1]stages!$A:$A),MATCH(F$1,[1]stages!$2:$2,0)-MATCH($D$1,[1]stages!$2:$2,0)+1),MATCH(F$1,[1]stages!$2:$2,0)-MATCH($D$1,[1]stages!$2:$2,0)+1,FALSE)</f>
        <v>25-1．血塗られた招待状</v>
      </c>
      <c r="G496" s="55">
        <v>4</v>
      </c>
      <c r="H496" s="17" t="str">
        <f t="shared" si="538"/>
        <v>25_1-4</v>
      </c>
      <c r="I496" s="17"/>
      <c r="J496" s="17"/>
      <c r="K496" s="65" t="s">
        <v>56</v>
      </c>
      <c r="L496" s="52">
        <v>63</v>
      </c>
      <c r="M496" s="21" t="str">
        <f ca="1">VLOOKUP($L496,OFFSET([2]enemies!$A$1,0,0,COUNTA([2]enemies!$A:$A),MATCH(M$1,[2]enemies!$1:$1,0)-MATCH($L$1,[2]enemies!$1:$1,0)+1),MATCH(M$1,[2]enemies!$1:$1,0)-MATCH($L$1,[2]enemies!$1:$1,0)+1,FALSE)</f>
        <v>トニー</v>
      </c>
      <c r="N496" s="21" t="str">
        <f ca="1">VLOOKUP($L496,OFFSET([2]enemies!$A$1,0,0,COUNTA([2]enemies!$A:$A),MATCH(N$1,[2]enemies!$1:$1,0)-MATCH($L$1,[2]enemies!$1:$1,0)+1),MATCH(N$1,[2]enemies!$1:$1,0)-MATCH($L$1,[2]enemies!$1:$1,0)+1,FALSE)</f>
        <v>yellow</v>
      </c>
      <c r="O496" s="21" t="str">
        <f ca="1">VLOOKUP($L496,OFFSET([3]characters!$A$1,0,0,COUNTA([3]characters!$A:$A),MATCH(O$1,[3]characters!$1:$1,0)-MATCH($L$1,[3]characters!$1:$1,0)+1),MATCH(O$1,[3]characters!$1:$1,0)-MATCH($L$1,[3]characters!$1:$1,0)+1,FALSE)</f>
        <v>Drop1N</v>
      </c>
      <c r="P496" s="21" t="str">
        <f ca="1">VLOOKUP($L496,OFFSET([2]enemies!$A$1,0,0,COUNTA([2]enemies!$A:$A),MATCH(P$1,[2]enemies!$1:$1,0)-MATCH($L$1,[2]enemies!$1:$1,0)+1),MATCH(P$1,[2]enemies!$1:$1,0)-MATCH($L$1,[2]enemies!$1:$1,0)+1,FALSE)</f>
        <v>animal</v>
      </c>
      <c r="Q496" s="21">
        <f ca="1">VLOOKUP($L496,OFFSET([2]enemies!$A$1,0,0,COUNTA([2]enemies!$A:$A),MATCH(Q$1,[2]enemies!$1:$1,0)-MATCH($L$1,[2]enemies!$1:$1,0)+1),MATCH(Q$1,[2]enemies!$1:$1,0)-MATCH($L$1,[2]enemies!$1:$1,0)+1,FALSE)</f>
        <v>15</v>
      </c>
      <c r="R496" s="53">
        <v>46</v>
      </c>
      <c r="S496" s="27">
        <v>1.1000000000000001</v>
      </c>
      <c r="T496" s="27">
        <v>1</v>
      </c>
      <c r="U496" s="5">
        <v>0</v>
      </c>
      <c r="V496" s="4" t="str">
        <f ca="1">VLOOKUP($W496,OFFSET([4]enemy_skill_sets!$B$1,0,0,COUNTA([4]enemy_skill_sets!$B:$B),MATCH(M$1,[4]enemy_skill_sets!$1:$1,0)-MATCH($W$1,[4]enemy_skill_sets!$1:$1,0)+2),MATCH(M$1,[4]enemy_skill_sets!$1:$1,0)-MATCH($W$1,[4]enemy_skill_sets!$1:$1,0)+2,FALSE)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496" s="4">
        <f ca="1">VLOOKUP($L496,OFFSET([2]enemies!$A$1,0,0,COUNTA([2]enemies!$A:$A),MATCH(W$1,[2]enemies!$1:$1,0)-MATCH($L$1,[2]enemies!$1:$1,0)+1),MATCH(W$1,[2]enemies!$1:$1,0)-MATCH($L$1,[2]enemies!$1:$1,0)+1,FALSE)</f>
        <v>63</v>
      </c>
      <c r="X496" s="6">
        <v>0</v>
      </c>
      <c r="Y496" s="6">
        <v>100</v>
      </c>
      <c r="Z496" s="6">
        <v>0</v>
      </c>
      <c r="AA496" s="4">
        <f ca="1">VLOOKUP($L496,OFFSET([2]enemies!$A$1,0,0,COUNTA([2]enemies!$A:$A),MATCH(AA$1,[2]enemies!$1:$1,0)-MATCH($L$1,[2]enemies!$1:$1,0)+1),MATCH(AA$1,[2]enemies!$1:$1,0)-MATCH($L$1,[2]enemies!$1:$1,0)+1,FALSE)</f>
        <v>2</v>
      </c>
      <c r="AB496" s="52">
        <v>63</v>
      </c>
      <c r="AC496" s="4" t="str">
        <f ca="1">VLOOKUP($AB496,OFFSET([3]characters!$A$1,0,0,COUNTA([3]characters!$A:$A),MATCH(AC$1,[3]characters!$1:$1,0)-MATCH("character_id",[3]characters!$1:$1,0)+1),MATCH(AC$1,[3]characters!$1:$1,0)-MATCH("character_id",[3]characters!$1:$1,0)+1,FALSE)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496" s="4">
        <f ca="1">VLOOKUP($AB496,OFFSET([3]characters!$A$1,0,0,COUNTA([3]characters!$A:$A),MATCH(AD$1,[3]characters!$1:$1,0)-MATCH("character_id",[3]characters!$1:$1,0)+1),MATCH(AD$1,[3]characters!$1:$1,0)-MATCH("character_id",[3]characters!$1:$1,0)+1,FALSE)</f>
        <v>2</v>
      </c>
      <c r="AE496" s="4" t="str">
        <f ca="1">VLOOKUP($AB496,OFFSET([3]characters!$A$1,0,0,COUNTA([3]characters!$A:$A),MATCH(AE$1,[3]characters!$1:$1,0)-MATCH("character_id",[3]characters!$1:$1,0)+1),MATCH(AE$1,[3]characters!$1:$1,0)-MATCH("character_id",[3]characters!$1:$1,0)+1,FALSE)</f>
        <v>Drop1N</v>
      </c>
      <c r="AF496" s="7">
        <v>7</v>
      </c>
      <c r="AG496" s="26">
        <f t="shared" ca="1" si="536"/>
        <v>2</v>
      </c>
      <c r="AH496" s="8">
        <v>20</v>
      </c>
      <c r="AI496" s="7">
        <v>0</v>
      </c>
      <c r="AJ496" s="7">
        <v>0</v>
      </c>
      <c r="AK496" s="7">
        <v>0</v>
      </c>
      <c r="AL496" s="7">
        <v>0</v>
      </c>
      <c r="AM496" s="7">
        <v>1</v>
      </c>
    </row>
    <row r="497" spans="1:39" ht="14" x14ac:dyDescent="0.15">
      <c r="A497" s="18" t="str">
        <f t="shared" ca="1" si="560"/>
        <v>25_1-4/39&lt;lv46&gt;s3</v>
      </c>
      <c r="B497" s="50">
        <v>25</v>
      </c>
      <c r="C497" s="49">
        <v>1</v>
      </c>
      <c r="D497" s="2" t="str">
        <f t="shared" si="537"/>
        <v>25_1</v>
      </c>
      <c r="E497" s="2" t="str">
        <f t="shared" si="537"/>
        <v>1_25_1</v>
      </c>
      <c r="F497" s="4" t="str">
        <f ca="1">VLOOKUP($D497,OFFSET([1]stages!$A$1,0,0,COUNTA([1]stages!$A:$A),MATCH(F$1,[1]stages!$2:$2,0)-MATCH($D$1,[1]stages!$2:$2,0)+1),MATCH(F$1,[1]stages!$2:$2,0)-MATCH($D$1,[1]stages!$2:$2,0)+1,FALSE)</f>
        <v>25-1．血塗られた招待状</v>
      </c>
      <c r="G497" s="55">
        <v>4</v>
      </c>
      <c r="H497" s="17" t="str">
        <f t="shared" si="538"/>
        <v>25_1-4</v>
      </c>
      <c r="I497" s="17"/>
      <c r="J497" s="17"/>
      <c r="K497" s="65" t="s">
        <v>56</v>
      </c>
      <c r="L497" s="52">
        <v>39</v>
      </c>
      <c r="M497" s="21" t="str">
        <f ca="1">VLOOKUP($L497,OFFSET([2]enemies!$A$1,0,0,COUNTA([2]enemies!$A:$A),MATCH(M$1,[2]enemies!$1:$1,0)-MATCH($L$1,[2]enemies!$1:$1,0)+1),MATCH(M$1,[2]enemies!$1:$1,0)-MATCH($L$1,[2]enemies!$1:$1,0)+1,FALSE)</f>
        <v>マーロン</v>
      </c>
      <c r="N497" s="21" t="str">
        <f ca="1">VLOOKUP($L497,OFFSET([2]enemies!$A$1,0,0,COUNTA([2]enemies!$A:$A),MATCH(N$1,[2]enemies!$1:$1,0)-MATCH($L$1,[2]enemies!$1:$1,0)+1),MATCH(N$1,[2]enemies!$1:$1,0)-MATCH($L$1,[2]enemies!$1:$1,0)+1,FALSE)</f>
        <v>yellow</v>
      </c>
      <c r="O497" s="21" t="str">
        <f ca="1">VLOOKUP($L497,OFFSET([3]characters!$A$1,0,0,COUNTA([3]characters!$A:$A),MATCH(O$1,[3]characters!$1:$1,0)-MATCH($L$1,[3]characters!$1:$1,0)+1),MATCH(O$1,[3]characters!$1:$1,0)-MATCH($L$1,[3]characters!$1:$1,0)+1,FALSE)</f>
        <v>Drop1S</v>
      </c>
      <c r="P497" s="21" t="str">
        <f ca="1">VLOOKUP($L497,OFFSET([2]enemies!$A$1,0,0,COUNTA([2]enemies!$A:$A),MATCH(P$1,[2]enemies!$1:$1,0)-MATCH($L$1,[2]enemies!$1:$1,0)+1),MATCH(P$1,[2]enemies!$1:$1,0)-MATCH($L$1,[2]enemies!$1:$1,0)+1,FALSE)</f>
        <v>human</v>
      </c>
      <c r="Q497" s="21">
        <f ca="1">VLOOKUP($L497,OFFSET([2]enemies!$A$1,0,0,COUNTA([2]enemies!$A:$A),MATCH(Q$1,[2]enemies!$1:$1,0)-MATCH($L$1,[2]enemies!$1:$1,0)+1),MATCH(Q$1,[2]enemies!$1:$1,0)-MATCH($L$1,[2]enemies!$1:$1,0)+1,FALSE)</f>
        <v>15</v>
      </c>
      <c r="R497" s="53">
        <v>46</v>
      </c>
      <c r="S497" s="27">
        <v>1.1000000000000001</v>
      </c>
      <c r="T497" s="27">
        <v>1</v>
      </c>
      <c r="U497" s="5">
        <v>0</v>
      </c>
      <c r="V497" s="4" t="str">
        <f ca="1">VLOOKUP($W497,OFFSET([4]enemy_skill_sets!$B$1,0,0,COUNTA([4]enemy_skill_sets!$B:$B),MATCH(M$1,[4]enemy_skill_sets!$1:$1,0)-MATCH($W$1,[4]enemy_skill_sets!$1:$1,0)+2),MATCH(M$1,[4]enemy_skill_sets!$1:$1,0)-MATCH($W$1,[4]enemy_skill_sets!$1:$1,0)+2,FALSE)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497" s="4">
        <f ca="1">VLOOKUP($L497,OFFSET([2]enemies!$A$1,0,0,COUNTA([2]enemies!$A:$A),MATCH(W$1,[2]enemies!$1:$1,0)-MATCH($L$1,[2]enemies!$1:$1,0)+1),MATCH(W$1,[2]enemies!$1:$1,0)-MATCH($L$1,[2]enemies!$1:$1,0)+1,FALSE)</f>
        <v>39</v>
      </c>
      <c r="X497" s="6">
        <v>0</v>
      </c>
      <c r="Y497" s="6">
        <v>100</v>
      </c>
      <c r="Z497" s="6">
        <v>0</v>
      </c>
      <c r="AA497" s="4">
        <f ca="1">VLOOKUP($L497,OFFSET([2]enemies!$A$1,0,0,COUNTA([2]enemies!$A:$A),MATCH(AA$1,[2]enemies!$1:$1,0)-MATCH($L$1,[2]enemies!$1:$1,0)+1),MATCH(AA$1,[2]enemies!$1:$1,0)-MATCH($L$1,[2]enemies!$1:$1,0)+1,FALSE)</f>
        <v>3</v>
      </c>
      <c r="AB497" s="52">
        <v>39</v>
      </c>
      <c r="AC497" s="4" t="str">
        <f ca="1">VLOOKUP($AB497,OFFSET([3]characters!$A$1,0,0,COUNTA([3]characters!$A:$A),MATCH(AC$1,[3]characters!$1:$1,0)-MATCH("character_id",[3]characters!$1:$1,0)+1),MATCH(AC$1,[3]characters!$1:$1,0)-MATCH("character_id",[3]characters!$1:$1,0)+1,FALSE)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497" s="4">
        <f ca="1">VLOOKUP($AB497,OFFSET([3]characters!$A$1,0,0,COUNTA([3]characters!$A:$A),MATCH(AD$1,[3]characters!$1:$1,0)-MATCH("character_id",[3]characters!$1:$1,0)+1),MATCH(AD$1,[3]characters!$1:$1,0)-MATCH("character_id",[3]characters!$1:$1,0)+1,FALSE)</f>
        <v>2</v>
      </c>
      <c r="AE497" s="4" t="str">
        <f ca="1">VLOOKUP($AB497,OFFSET([3]characters!$A$1,0,0,COUNTA([3]characters!$A:$A),MATCH(AE$1,[3]characters!$1:$1,0)-MATCH("character_id",[3]characters!$1:$1,0)+1),MATCH(AE$1,[3]characters!$1:$1,0)-MATCH("character_id",[3]characters!$1:$1,0)+1,FALSE)</f>
        <v>Drop1S</v>
      </c>
      <c r="AF497" s="7">
        <v>5</v>
      </c>
      <c r="AG497" s="26">
        <f t="shared" ca="1" si="536"/>
        <v>2</v>
      </c>
      <c r="AH497" s="8">
        <v>20</v>
      </c>
      <c r="AI497" s="7">
        <v>0</v>
      </c>
      <c r="AJ497" s="7">
        <v>0</v>
      </c>
      <c r="AK497" s="7">
        <v>0</v>
      </c>
      <c r="AL497" s="7">
        <v>0</v>
      </c>
      <c r="AM497" s="7">
        <v>1</v>
      </c>
    </row>
    <row r="498" spans="1:39" ht="14" x14ac:dyDescent="0.15">
      <c r="A498" s="18" t="str">
        <f t="shared" ca="1" si="560"/>
        <v>25_1-4/53&lt;lv46&gt;s2</v>
      </c>
      <c r="B498" s="50">
        <v>25</v>
      </c>
      <c r="C498" s="49">
        <v>1</v>
      </c>
      <c r="D498" s="2" t="str">
        <f t="shared" si="537"/>
        <v>25_1</v>
      </c>
      <c r="E498" s="2" t="str">
        <f t="shared" si="537"/>
        <v>1_25_1</v>
      </c>
      <c r="F498" s="4" t="str">
        <f ca="1">VLOOKUP($D498,OFFSET([1]stages!$A$1,0,0,COUNTA([1]stages!$A:$A),MATCH(F$1,[1]stages!$2:$2,0)-MATCH($D$1,[1]stages!$2:$2,0)+1),MATCH(F$1,[1]stages!$2:$2,0)-MATCH($D$1,[1]stages!$2:$2,0)+1,FALSE)</f>
        <v>25-1．血塗られた招待状</v>
      </c>
      <c r="G498" s="55">
        <v>4</v>
      </c>
      <c r="H498" s="17" t="str">
        <f t="shared" si="538"/>
        <v>25_1-4</v>
      </c>
      <c r="I498" s="17"/>
      <c r="J498" s="17"/>
      <c r="K498" s="65" t="s">
        <v>56</v>
      </c>
      <c r="L498" s="52">
        <v>53</v>
      </c>
      <c r="M498" s="21" t="str">
        <f ca="1">VLOOKUP($L498,OFFSET([2]enemies!$A$1,0,0,COUNTA([2]enemies!$A:$A),MATCH(M$1,[2]enemies!$1:$1,0)-MATCH($L$1,[2]enemies!$1:$1,0)+1),MATCH(M$1,[2]enemies!$1:$1,0)-MATCH($L$1,[2]enemies!$1:$1,0)+1,FALSE)</f>
        <v>ケンジ</v>
      </c>
      <c r="N498" s="21" t="str">
        <f ca="1">VLOOKUP($L498,OFFSET([2]enemies!$A$1,0,0,COUNTA([2]enemies!$A:$A),MATCH(N$1,[2]enemies!$1:$1,0)-MATCH($L$1,[2]enemies!$1:$1,0)+1),MATCH(N$1,[2]enemies!$1:$1,0)-MATCH($L$1,[2]enemies!$1:$1,0)+1,FALSE)</f>
        <v>blue</v>
      </c>
      <c r="O498" s="21" t="str">
        <f ca="1">VLOOKUP($L498,OFFSET([3]characters!$A$1,0,0,COUNTA([3]characters!$A:$A),MATCH(O$1,[3]characters!$1:$1,0)-MATCH($L$1,[3]characters!$1:$1,0)+1),MATCH(O$1,[3]characters!$1:$1,0)-MATCH($L$1,[3]characters!$1:$1,0)+1,FALSE)</f>
        <v>Drop1N</v>
      </c>
      <c r="P498" s="21" t="str">
        <f ca="1">VLOOKUP($L498,OFFSET([2]enemies!$A$1,0,0,COUNTA([2]enemies!$A:$A),MATCH(P$1,[2]enemies!$1:$1,0)-MATCH($L$1,[2]enemies!$1:$1,0)+1),MATCH(P$1,[2]enemies!$1:$1,0)-MATCH($L$1,[2]enemies!$1:$1,0)+1,FALSE)</f>
        <v>human</v>
      </c>
      <c r="Q498" s="21">
        <f ca="1">VLOOKUP($L498,OFFSET([2]enemies!$A$1,0,0,COUNTA([2]enemies!$A:$A),MATCH(Q$1,[2]enemies!$1:$1,0)-MATCH($L$1,[2]enemies!$1:$1,0)+1),MATCH(Q$1,[2]enemies!$1:$1,0)-MATCH($L$1,[2]enemies!$1:$1,0)+1,FALSE)</f>
        <v>15</v>
      </c>
      <c r="R498" s="53">
        <v>46</v>
      </c>
      <c r="S498" s="27">
        <v>1.1000000000000001</v>
      </c>
      <c r="T498" s="27">
        <v>1</v>
      </c>
      <c r="U498" s="5">
        <v>0</v>
      </c>
      <c r="V498" s="4" t="str">
        <f ca="1">VLOOKUP($W498,OFFSET([4]enemy_skill_sets!$B$1,0,0,COUNTA([4]enemy_skill_sets!$B:$B),MATCH(M$1,[4]enemy_skill_sets!$1:$1,0)-MATCH($W$1,[4]enemy_skill_sets!$1:$1,0)+2),MATCH(M$1,[4]enemy_skill_sets!$1:$1,0)-MATCH($W$1,[4]enemy_skill_sets!$1:$1,0)+2,FALSE)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498" s="4">
        <f ca="1">VLOOKUP($L498,OFFSET([2]enemies!$A$1,0,0,COUNTA([2]enemies!$A:$A),MATCH(W$1,[2]enemies!$1:$1,0)-MATCH($L$1,[2]enemies!$1:$1,0)+1),MATCH(W$1,[2]enemies!$1:$1,0)-MATCH($L$1,[2]enemies!$1:$1,0)+1,FALSE)</f>
        <v>53</v>
      </c>
      <c r="X498" s="6">
        <v>0</v>
      </c>
      <c r="Y498" s="6">
        <v>100</v>
      </c>
      <c r="Z498" s="6">
        <v>0</v>
      </c>
      <c r="AA498" s="4">
        <f ca="1">VLOOKUP($L498,OFFSET([2]enemies!$A$1,0,0,COUNTA([2]enemies!$A:$A),MATCH(AA$1,[2]enemies!$1:$1,0)-MATCH($L$1,[2]enemies!$1:$1,0)+1),MATCH(AA$1,[2]enemies!$1:$1,0)-MATCH($L$1,[2]enemies!$1:$1,0)+1,FALSE)</f>
        <v>2</v>
      </c>
      <c r="AB498" s="52">
        <v>53</v>
      </c>
      <c r="AC498" s="4" t="str">
        <f ca="1">VLOOKUP($AB498,OFFSET([3]characters!$A$1,0,0,COUNTA([3]characters!$A:$A),MATCH(AC$1,[3]characters!$1:$1,0)-MATCH("character_id",[3]characters!$1:$1,0)+1),MATCH(AC$1,[3]characters!$1:$1,0)-MATCH("character_id",[3]characters!$1:$1,0)+1,FALSE)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498" s="4">
        <f ca="1">VLOOKUP($AB498,OFFSET([3]characters!$A$1,0,0,COUNTA([3]characters!$A:$A),MATCH(AD$1,[3]characters!$1:$1,0)-MATCH("character_id",[3]characters!$1:$1,0)+1),MATCH(AD$1,[3]characters!$1:$1,0)-MATCH("character_id",[3]characters!$1:$1,0)+1,FALSE)</f>
        <v>2</v>
      </c>
      <c r="AE498" s="4" t="str">
        <f ca="1">VLOOKUP($AB498,OFFSET([3]characters!$A$1,0,0,COUNTA([3]characters!$A:$A),MATCH(AE$1,[3]characters!$1:$1,0)-MATCH("character_id",[3]characters!$1:$1,0)+1),MATCH(AE$1,[3]characters!$1:$1,0)-MATCH("character_id",[3]characters!$1:$1,0)+1,FALSE)</f>
        <v>Drop1N</v>
      </c>
      <c r="AF498" s="7">
        <v>7</v>
      </c>
      <c r="AG498" s="26">
        <f t="shared" ca="1" si="536"/>
        <v>2</v>
      </c>
      <c r="AH498" s="8">
        <v>20</v>
      </c>
      <c r="AI498" s="7">
        <v>0</v>
      </c>
      <c r="AJ498" s="7">
        <v>0</v>
      </c>
      <c r="AK498" s="7">
        <v>0</v>
      </c>
      <c r="AL498" s="7">
        <v>0</v>
      </c>
      <c r="AM498" s="7">
        <v>1</v>
      </c>
    </row>
    <row r="499" spans="1:39" ht="14" x14ac:dyDescent="0.15">
      <c r="A499" s="18" t="str">
        <f t="shared" ca="1" si="560"/>
        <v>25_1-4/55&lt;lv46&gt;s4</v>
      </c>
      <c r="B499" s="50">
        <v>25</v>
      </c>
      <c r="C499" s="49">
        <v>1</v>
      </c>
      <c r="D499" s="2" t="str">
        <f t="shared" si="537"/>
        <v>25_1</v>
      </c>
      <c r="E499" s="2" t="str">
        <f t="shared" si="537"/>
        <v>1_25_1</v>
      </c>
      <c r="F499" s="4" t="str">
        <f ca="1">VLOOKUP($D499,OFFSET([1]stages!$A$1,0,0,COUNTA([1]stages!$A:$A),MATCH(F$1,[1]stages!$2:$2,0)-MATCH($D$1,[1]stages!$2:$2,0)+1),MATCH(F$1,[1]stages!$2:$2,0)-MATCH($D$1,[1]stages!$2:$2,0)+1,FALSE)</f>
        <v>25-1．血塗られた招待状</v>
      </c>
      <c r="G499" s="55">
        <v>4</v>
      </c>
      <c r="H499" s="17" t="str">
        <f t="shared" si="538"/>
        <v>25_1-4</v>
      </c>
      <c r="I499" s="17"/>
      <c r="J499" s="17"/>
      <c r="K499" s="65" t="s">
        <v>56</v>
      </c>
      <c r="L499" s="52">
        <v>55</v>
      </c>
      <c r="M499" s="21" t="str">
        <f ca="1">VLOOKUP($L499,OFFSET([2]enemies!$A$1,0,0,COUNTA([2]enemies!$A:$A),MATCH(M$1,[2]enemies!$1:$1,0)-MATCH($L$1,[2]enemies!$1:$1,0)+1),MATCH(M$1,[2]enemies!$1:$1,0)-MATCH($L$1,[2]enemies!$1:$1,0)+1,FALSE)</f>
        <v>マミコ</v>
      </c>
      <c r="N499" s="21" t="str">
        <f ca="1">VLOOKUP($L499,OFFSET([2]enemies!$A$1,0,0,COUNTA([2]enemies!$A:$A),MATCH(N$1,[2]enemies!$1:$1,0)-MATCH($L$1,[2]enemies!$1:$1,0)+1),MATCH(N$1,[2]enemies!$1:$1,0)-MATCH($L$1,[2]enemies!$1:$1,0)+1,FALSE)</f>
        <v>yellow</v>
      </c>
      <c r="O499" s="21" t="str">
        <f ca="1">VLOOKUP($L499,OFFSET([3]characters!$A$1,0,0,COUNTA([3]characters!$A:$A),MATCH(O$1,[3]characters!$1:$1,0)-MATCH($L$1,[3]characters!$1:$1,0)+1),MATCH(O$1,[3]characters!$1:$1,0)-MATCH($L$1,[3]characters!$1:$1,0)+1,FALSE)</f>
        <v>Drop1N</v>
      </c>
      <c r="P499" s="21" t="str">
        <f ca="1">VLOOKUP($L499,OFFSET([2]enemies!$A$1,0,0,COUNTA([2]enemies!$A:$A),MATCH(P$1,[2]enemies!$1:$1,0)-MATCH($L$1,[2]enemies!$1:$1,0)+1),MATCH(P$1,[2]enemies!$1:$1,0)-MATCH($L$1,[2]enemies!$1:$1,0)+1,FALSE)</f>
        <v>human</v>
      </c>
      <c r="Q499" s="21">
        <f ca="1">VLOOKUP($L499,OFFSET([2]enemies!$A$1,0,0,COUNTA([2]enemies!$A:$A),MATCH(Q$1,[2]enemies!$1:$1,0)-MATCH($L$1,[2]enemies!$1:$1,0)+1),MATCH(Q$1,[2]enemies!$1:$1,0)-MATCH($L$1,[2]enemies!$1:$1,0)+1,FALSE)</f>
        <v>15</v>
      </c>
      <c r="R499" s="53">
        <v>46</v>
      </c>
      <c r="S499" s="27">
        <v>1.1000000000000001</v>
      </c>
      <c r="T499" s="27">
        <v>1</v>
      </c>
      <c r="U499" s="5">
        <v>0</v>
      </c>
      <c r="V499" s="4" t="str">
        <f ca="1">VLOOKUP($W499,OFFSET([4]enemy_skill_sets!$B$1,0,0,COUNTA([4]enemy_skill_sets!$B:$B),MATCH(M$1,[4]enemy_skill_sets!$1:$1,0)-MATCH($W$1,[4]enemy_skill_sets!$1:$1,0)+2),MATCH(M$1,[4]enemy_skill_sets!$1:$1,0)-MATCH($W$1,[4]enemy_skill_sets!$1:$1,0)+2,FALSE)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499" s="4">
        <f ca="1">VLOOKUP($L499,OFFSET([2]enemies!$A$1,0,0,COUNTA([2]enemies!$A:$A),MATCH(W$1,[2]enemies!$1:$1,0)-MATCH($L$1,[2]enemies!$1:$1,0)+1),MATCH(W$1,[2]enemies!$1:$1,0)-MATCH($L$1,[2]enemies!$1:$1,0)+1,FALSE)</f>
        <v>55</v>
      </c>
      <c r="X499" s="6">
        <v>0</v>
      </c>
      <c r="Y499" s="6">
        <v>100</v>
      </c>
      <c r="Z499" s="6">
        <v>0</v>
      </c>
      <c r="AA499" s="4">
        <f ca="1">VLOOKUP($L499,OFFSET([2]enemies!$A$1,0,0,COUNTA([2]enemies!$A:$A),MATCH(AA$1,[2]enemies!$1:$1,0)-MATCH($L$1,[2]enemies!$1:$1,0)+1),MATCH(AA$1,[2]enemies!$1:$1,0)-MATCH($L$1,[2]enemies!$1:$1,0)+1,FALSE)</f>
        <v>4</v>
      </c>
      <c r="AB499" s="52">
        <v>55</v>
      </c>
      <c r="AC499" s="4" t="str">
        <f ca="1">VLOOKUP($AB499,OFFSET([3]characters!$A$1,0,0,COUNTA([3]characters!$A:$A),MATCH(AC$1,[3]characters!$1:$1,0)-MATCH("character_id",[3]characters!$1:$1,0)+1),MATCH(AC$1,[3]characters!$1:$1,0)-MATCH("character_id",[3]characters!$1:$1,0)+1,FALSE)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499" s="4">
        <f ca="1">VLOOKUP($AB499,OFFSET([3]characters!$A$1,0,0,COUNTA([3]characters!$A:$A),MATCH(AD$1,[3]characters!$1:$1,0)-MATCH("character_id",[3]characters!$1:$1,0)+1),MATCH(AD$1,[3]characters!$1:$1,0)-MATCH("character_id",[3]characters!$1:$1,0)+1,FALSE)</f>
        <v>2</v>
      </c>
      <c r="AE499" s="4" t="str">
        <f ca="1">VLOOKUP($AB499,OFFSET([3]characters!$A$1,0,0,COUNTA([3]characters!$A:$A),MATCH(AE$1,[3]characters!$1:$1,0)-MATCH("character_id",[3]characters!$1:$1,0)+1),MATCH(AE$1,[3]characters!$1:$1,0)-MATCH("character_id",[3]characters!$1:$1,0)+1,FALSE)</f>
        <v>Drop1N</v>
      </c>
      <c r="AF499" s="7">
        <v>7</v>
      </c>
      <c r="AG499" s="26">
        <f t="shared" ca="1" si="536"/>
        <v>2</v>
      </c>
      <c r="AH499" s="8">
        <v>20</v>
      </c>
      <c r="AI499" s="7">
        <v>0</v>
      </c>
      <c r="AJ499" s="7">
        <v>0</v>
      </c>
      <c r="AK499" s="7">
        <v>0</v>
      </c>
      <c r="AL499" s="7">
        <v>0</v>
      </c>
      <c r="AM499" s="7">
        <v>1</v>
      </c>
    </row>
    <row r="500" spans="1:39" ht="14" x14ac:dyDescent="0.15">
      <c r="A500" s="18" t="str">
        <f t="shared" ca="1" si="560"/>
        <v>25_1-4/364&lt;lv46&gt;s3</v>
      </c>
      <c r="B500" s="53">
        <v>25</v>
      </c>
      <c r="C500" s="51">
        <v>1</v>
      </c>
      <c r="D500" s="2" t="str">
        <f t="shared" ref="D500:D501" si="561">B500&amp;"_"&amp;C500</f>
        <v>25_1</v>
      </c>
      <c r="E500" s="2" t="str">
        <f t="shared" ref="E500:E501" si="562">C500&amp;"_"&amp;D500</f>
        <v>1_25_1</v>
      </c>
      <c r="F500" s="4" t="str">
        <f ca="1">VLOOKUP($D500,OFFSET([1]stages!$A$1,0,0,COUNTA([1]stages!$A:$A),MATCH(F$1,[1]stages!$2:$2,0)-MATCH($D$1,[1]stages!$2:$2,0)+1),MATCH(F$1,[1]stages!$2:$2,0)-MATCH($D$1,[1]stages!$2:$2,0)+1,FALSE)</f>
        <v>25-1．血塗られた招待状</v>
      </c>
      <c r="G500" s="55">
        <v>4</v>
      </c>
      <c r="H500" s="17" t="str">
        <f t="shared" ref="H500:H501" si="563">B500&amp;"_"&amp;C500&amp;"-"&amp;G500</f>
        <v>25_1-4</v>
      </c>
      <c r="I500" s="17"/>
      <c r="J500" s="17"/>
      <c r="K500" s="65" t="s">
        <v>56</v>
      </c>
      <c r="L500" s="52">
        <v>364</v>
      </c>
      <c r="M500" s="21" t="str">
        <f ca="1">VLOOKUP($L500,OFFSET([2]enemies!$A$1,0,0,COUNTA([2]enemies!$A:$A),MATCH(M$1,[2]enemies!$1:$1,0)-MATCH($L$1,[2]enemies!$1:$1,0)+1),MATCH(M$1,[2]enemies!$1:$1,0)-MATCH($L$1,[2]enemies!$1:$1,0)+1,FALSE)</f>
        <v>ノエル</v>
      </c>
      <c r="N500" s="21" t="str">
        <f ca="1">VLOOKUP($L500,OFFSET([2]enemies!$A$1,0,0,COUNTA([2]enemies!$A:$A),MATCH(N$1,[2]enemies!$1:$1,0)-MATCH($L$1,[2]enemies!$1:$1,0)+1),MATCH(N$1,[2]enemies!$1:$1,0)-MATCH($L$1,[2]enemies!$1:$1,0)+1,FALSE)</f>
        <v>blue</v>
      </c>
      <c r="O500" s="21" t="str">
        <f ca="1">VLOOKUP($L500,OFFSET([3]characters!$A$1,0,0,COUNTA([3]characters!$A:$A),MATCH(O$1,[3]characters!$1:$1,0)-MATCH($L$1,[3]characters!$1:$1,0)+1),MATCH(O$1,[3]characters!$1:$1,0)-MATCH($L$1,[3]characters!$1:$1,0)+1,FALSE)</f>
        <v>Drop1S</v>
      </c>
      <c r="P500" s="21" t="str">
        <f ca="1">VLOOKUP($L500,OFFSET([2]enemies!$A$1,0,0,COUNTA([2]enemies!$A:$A),MATCH(P$1,[2]enemies!$1:$1,0)-MATCH($L$1,[2]enemies!$1:$1,0)+1),MATCH(P$1,[2]enemies!$1:$1,0)-MATCH($L$1,[2]enemies!$1:$1,0)+1,FALSE)</f>
        <v>animal</v>
      </c>
      <c r="Q500" s="21">
        <f ca="1">VLOOKUP($L500,OFFSET([2]enemies!$A$1,0,0,COUNTA([2]enemies!$A:$A),MATCH(Q$1,[2]enemies!$1:$1,0)-MATCH($L$1,[2]enemies!$1:$1,0)+1),MATCH(Q$1,[2]enemies!$1:$1,0)-MATCH($L$1,[2]enemies!$1:$1,0)+1,FALSE)</f>
        <v>15</v>
      </c>
      <c r="R500" s="53">
        <v>46</v>
      </c>
      <c r="S500" s="27">
        <v>1.1000000000000001</v>
      </c>
      <c r="T500" s="27">
        <v>1</v>
      </c>
      <c r="U500" s="5">
        <v>0</v>
      </c>
      <c r="V500" s="4" t="str">
        <f ca="1">VLOOKUP($W500,OFFSET([4]enemy_skill_sets!$B$1,0,0,COUNTA([4]enemy_skill_sets!$B:$B),MATCH(M$1,[4]enemy_skill_sets!$1:$1,0)-MATCH($W$1,[4]enemy_skill_sets!$1:$1,0)+2),MATCH(M$1,[4]enemy_skill_sets!$1:$1,0)-MATCH($W$1,[4]enemy_skill_sets!$1:$1,0)+2,FALSE)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00" s="64">
        <v>364</v>
      </c>
      <c r="X500" s="6">
        <v>0</v>
      </c>
      <c r="Y500" s="6">
        <v>100</v>
      </c>
      <c r="Z500" s="6">
        <v>0</v>
      </c>
      <c r="AA500" s="4">
        <f ca="1">VLOOKUP($L500,OFFSET([2]enemies!$A$1,0,0,COUNTA([2]enemies!$A:$A),MATCH(AA$1,[2]enemies!$1:$1,0)-MATCH($L$1,[2]enemies!$1:$1,0)+1),MATCH(AA$1,[2]enemies!$1:$1,0)-MATCH($L$1,[2]enemies!$1:$1,0)+1,FALSE)</f>
        <v>3</v>
      </c>
      <c r="AB500" s="52">
        <v>364</v>
      </c>
      <c r="AC500" s="4" t="str">
        <f ca="1">VLOOKUP($AB500,OFFSET([3]characters!$A$1,0,0,COUNTA([3]characters!$A:$A),MATCH(AC$1,[3]characters!$1:$1,0)-MATCH("character_id",[3]characters!$1:$1,0)+1),MATCH(AC$1,[3]characters!$1:$1,0)-MATCH("character_id",[3]characters!$1:$1,0)+1,FALSE)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00" s="4">
        <f ca="1">VLOOKUP($AB500,OFFSET([3]characters!$A$1,0,0,COUNTA([3]characters!$A:$A),MATCH(AD$1,[3]characters!$1:$1,0)-MATCH("character_id",[3]characters!$1:$1,0)+1),MATCH(AD$1,[3]characters!$1:$1,0)-MATCH("character_id",[3]characters!$1:$1,0)+1,FALSE)</f>
        <v>2</v>
      </c>
      <c r="AE500" s="4" t="str">
        <f ca="1">VLOOKUP($AB500,OFFSET([3]characters!$A$1,0,0,COUNTA([3]characters!$A:$A),MATCH(AE$1,[3]characters!$1:$1,0)-MATCH("character_id",[3]characters!$1:$1,0)+1),MATCH(AE$1,[3]characters!$1:$1,0)-MATCH("character_id",[3]characters!$1:$1,0)+1,FALSE)</f>
        <v>Drop1S</v>
      </c>
      <c r="AF500" s="7">
        <v>7</v>
      </c>
      <c r="AG500" s="26">
        <f t="shared" ca="1" si="536"/>
        <v>2</v>
      </c>
      <c r="AH500" s="8">
        <v>20</v>
      </c>
      <c r="AI500" s="7">
        <v>0</v>
      </c>
      <c r="AJ500" s="7">
        <v>0</v>
      </c>
      <c r="AK500" s="7">
        <v>0</v>
      </c>
      <c r="AL500" s="7">
        <v>0</v>
      </c>
      <c r="AM500" s="7">
        <v>1</v>
      </c>
    </row>
    <row r="501" spans="1:39" ht="14" x14ac:dyDescent="0.15">
      <c r="A501" s="18" t="str">
        <f t="shared" ca="1" si="560"/>
        <v>25_1-4/366&lt;lv46&gt;s3</v>
      </c>
      <c r="B501" s="53">
        <v>25</v>
      </c>
      <c r="C501" s="51">
        <v>1</v>
      </c>
      <c r="D501" s="2" t="str">
        <f t="shared" si="561"/>
        <v>25_1</v>
      </c>
      <c r="E501" s="2" t="str">
        <f t="shared" si="562"/>
        <v>1_25_1</v>
      </c>
      <c r="F501" s="4" t="str">
        <f ca="1">VLOOKUP($D501,OFFSET([1]stages!$A$1,0,0,COUNTA([1]stages!$A:$A),MATCH(F$1,[1]stages!$2:$2,0)-MATCH($D$1,[1]stages!$2:$2,0)+1),MATCH(F$1,[1]stages!$2:$2,0)-MATCH($D$1,[1]stages!$2:$2,0)+1,FALSE)</f>
        <v>25-1．血塗られた招待状</v>
      </c>
      <c r="G501" s="55">
        <v>4</v>
      </c>
      <c r="H501" s="17" t="str">
        <f t="shared" si="563"/>
        <v>25_1-4</v>
      </c>
      <c r="I501" s="17"/>
      <c r="J501" s="17"/>
      <c r="K501" s="65" t="s">
        <v>56</v>
      </c>
      <c r="L501" s="52">
        <v>366</v>
      </c>
      <c r="M501" s="21" t="str">
        <f ca="1">VLOOKUP($L501,OFFSET([2]enemies!$A$1,0,0,COUNTA([2]enemies!$A:$A),MATCH(M$1,[2]enemies!$1:$1,0)-MATCH($L$1,[2]enemies!$1:$1,0)+1),MATCH(M$1,[2]enemies!$1:$1,0)-MATCH($L$1,[2]enemies!$1:$1,0)+1,FALSE)</f>
        <v>トト</v>
      </c>
      <c r="N501" s="21" t="str">
        <f ca="1">VLOOKUP($L501,OFFSET([2]enemies!$A$1,0,0,COUNTA([2]enemies!$A:$A),MATCH(N$1,[2]enemies!$1:$1,0)-MATCH($L$1,[2]enemies!$1:$1,0)+1),MATCH(N$1,[2]enemies!$1:$1,0)-MATCH($L$1,[2]enemies!$1:$1,0)+1,FALSE)</f>
        <v>yellow</v>
      </c>
      <c r="O501" s="21" t="str">
        <f ca="1">VLOOKUP($L501,OFFSET([3]characters!$A$1,0,0,COUNTA([3]characters!$A:$A),MATCH(O$1,[3]characters!$1:$1,0)-MATCH($L$1,[3]characters!$1:$1,0)+1),MATCH(O$1,[3]characters!$1:$1,0)-MATCH($L$1,[3]characters!$1:$1,0)+1,FALSE)</f>
        <v>Drop1S</v>
      </c>
      <c r="P501" s="21" t="str">
        <f ca="1">VLOOKUP($L501,OFFSET([2]enemies!$A$1,0,0,COUNTA([2]enemies!$A:$A),MATCH(P$1,[2]enemies!$1:$1,0)-MATCH($L$1,[2]enemies!$1:$1,0)+1),MATCH(P$1,[2]enemies!$1:$1,0)-MATCH($L$1,[2]enemies!$1:$1,0)+1,FALSE)</f>
        <v>animal</v>
      </c>
      <c r="Q501" s="21">
        <f ca="1">VLOOKUP($L501,OFFSET([2]enemies!$A$1,0,0,COUNTA([2]enemies!$A:$A),MATCH(Q$1,[2]enemies!$1:$1,0)-MATCH($L$1,[2]enemies!$1:$1,0)+1),MATCH(Q$1,[2]enemies!$1:$1,0)-MATCH($L$1,[2]enemies!$1:$1,0)+1,FALSE)</f>
        <v>15</v>
      </c>
      <c r="R501" s="53">
        <v>46</v>
      </c>
      <c r="S501" s="27">
        <v>1.1000000000000001</v>
      </c>
      <c r="T501" s="27">
        <v>1</v>
      </c>
      <c r="U501" s="5">
        <v>0</v>
      </c>
      <c r="V501" s="4" t="str">
        <f ca="1">VLOOKUP($W501,OFFSET([4]enemy_skill_sets!$B$1,0,0,COUNTA([4]enemy_skill_sets!$B:$B),MATCH(M$1,[4]enemy_skill_sets!$1:$1,0)-MATCH($W$1,[4]enemy_skill_sets!$1:$1,0)+2),MATCH(M$1,[4]enemy_skill_sets!$1:$1,0)-MATCH($W$1,[4]enemy_skill_sets!$1:$1,0)+2,FALSE)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501" s="64">
        <v>366</v>
      </c>
      <c r="X501" s="6">
        <v>0</v>
      </c>
      <c r="Y501" s="6">
        <v>100</v>
      </c>
      <c r="Z501" s="6">
        <v>0</v>
      </c>
      <c r="AA501" s="4">
        <f ca="1">VLOOKUP($L501,OFFSET([2]enemies!$A$1,0,0,COUNTA([2]enemies!$A:$A),MATCH(AA$1,[2]enemies!$1:$1,0)-MATCH($L$1,[2]enemies!$1:$1,0)+1),MATCH(AA$1,[2]enemies!$1:$1,0)-MATCH($L$1,[2]enemies!$1:$1,0)+1,FALSE)</f>
        <v>3</v>
      </c>
      <c r="AB501" s="52">
        <v>366</v>
      </c>
      <c r="AC501" s="4" t="str">
        <f ca="1">VLOOKUP($AB501,OFFSET([3]characters!$A$1,0,0,COUNTA([3]characters!$A:$A),MATCH(AC$1,[3]characters!$1:$1,0)-MATCH("character_id",[3]characters!$1:$1,0)+1),MATCH(AC$1,[3]characters!$1:$1,0)-MATCH("character_id",[3]characters!$1:$1,0)+1,FALSE)</f>
        <v>トト</v>
      </c>
      <c r="AD501" s="4">
        <f ca="1">VLOOKUP($AB501,OFFSET([3]characters!$A$1,0,0,COUNTA([3]characters!$A:$A),MATCH(AD$1,[3]characters!$1:$1,0)-MATCH("character_id",[3]characters!$1:$1,0)+1),MATCH(AD$1,[3]characters!$1:$1,0)-MATCH("character_id",[3]characters!$1:$1,0)+1,FALSE)</f>
        <v>2</v>
      </c>
      <c r="AE501" s="4" t="str">
        <f ca="1">VLOOKUP($AB501,OFFSET([3]characters!$A$1,0,0,COUNTA([3]characters!$A:$A),MATCH(AE$1,[3]characters!$1:$1,0)-MATCH("character_id",[3]characters!$1:$1,0)+1),MATCH(AE$1,[3]characters!$1:$1,0)-MATCH("character_id",[3]characters!$1:$1,0)+1,FALSE)</f>
        <v>Drop1S</v>
      </c>
      <c r="AF501" s="7">
        <v>7</v>
      </c>
      <c r="AG501" s="26">
        <f t="shared" ca="1" si="536"/>
        <v>2</v>
      </c>
      <c r="AH501" s="8">
        <v>20</v>
      </c>
      <c r="AI501" s="7">
        <v>0</v>
      </c>
      <c r="AJ501" s="7">
        <v>0</v>
      </c>
      <c r="AK501" s="7">
        <v>0</v>
      </c>
      <c r="AL501" s="7">
        <v>0</v>
      </c>
      <c r="AM501" s="7">
        <v>1</v>
      </c>
    </row>
    <row r="502" spans="1:39" ht="14" x14ac:dyDescent="0.15">
      <c r="A502" s="18" t="str">
        <f t="shared" ca="1" si="560"/>
        <v>25_1-4/352&lt;lv46&gt;s3</v>
      </c>
      <c r="B502" s="53">
        <v>25</v>
      </c>
      <c r="C502" s="51">
        <v>1</v>
      </c>
      <c r="D502" s="2" t="str">
        <f t="shared" ref="D502" si="564">B502&amp;"_"&amp;C502</f>
        <v>25_1</v>
      </c>
      <c r="E502" s="2" t="str">
        <f t="shared" ref="E502" si="565">C502&amp;"_"&amp;D502</f>
        <v>1_25_1</v>
      </c>
      <c r="F502" s="4" t="str">
        <f ca="1">VLOOKUP($D502,OFFSET([1]stages!$A$1,0,0,COUNTA([1]stages!$A:$A),MATCH(F$1,[1]stages!$2:$2,0)-MATCH($D$1,[1]stages!$2:$2,0)+1),MATCH(F$1,[1]stages!$2:$2,0)-MATCH($D$1,[1]stages!$2:$2,0)+1,FALSE)</f>
        <v>25-1．血塗られた招待状</v>
      </c>
      <c r="G502" s="55">
        <v>4</v>
      </c>
      <c r="H502" s="17" t="str">
        <f t="shared" ref="H502" si="566">B502&amp;"_"&amp;C502&amp;"-"&amp;G502</f>
        <v>25_1-4</v>
      </c>
      <c r="I502" s="17"/>
      <c r="J502" s="17"/>
      <c r="K502" s="65" t="s">
        <v>56</v>
      </c>
      <c r="L502" s="52">
        <v>352</v>
      </c>
      <c r="M502" s="21" t="str">
        <f ca="1">VLOOKUP($L502,OFFSET([2]enemies!$A$1,0,0,COUNTA([2]enemies!$A:$A),MATCH(M$1,[2]enemies!$1:$1,0)-MATCH($L$1,[2]enemies!$1:$1,0)+1),MATCH(M$1,[2]enemies!$1:$1,0)-MATCH($L$1,[2]enemies!$1:$1,0)+1,FALSE)</f>
        <v>水のケロケロ</v>
      </c>
      <c r="N502" s="21" t="str">
        <f ca="1">VLOOKUP($L502,OFFSET([2]enemies!$A$1,0,0,COUNTA([2]enemies!$A:$A),MATCH(N$1,[2]enemies!$1:$1,0)-MATCH($L$1,[2]enemies!$1:$1,0)+1),MATCH(N$1,[2]enemies!$1:$1,0)-MATCH($L$1,[2]enemies!$1:$1,0)+1,FALSE)</f>
        <v>blue</v>
      </c>
      <c r="O502" s="21" t="str">
        <f ca="1">VLOOKUP($L502,OFFSET([3]characters!$A$1,0,0,COUNTA([3]characters!$A:$A),MATCH(O$1,[3]characters!$1:$1,0)-MATCH($L$1,[3]characters!$1:$1,0)+1),MATCH(O$1,[3]characters!$1:$1,0)-MATCH($L$1,[3]characters!$1:$1,0)+1,FALSE)</f>
        <v>Material</v>
      </c>
      <c r="P502" s="21" t="str">
        <f ca="1">VLOOKUP($L502,OFFSET([2]enemies!$A$1,0,0,COUNTA([2]enemies!$A:$A),MATCH(P$1,[2]enemies!$1:$1,0)-MATCH($L$1,[2]enemies!$1:$1,0)+1),MATCH(P$1,[2]enemies!$1:$1,0)-MATCH($L$1,[2]enemies!$1:$1,0)+1,FALSE)</f>
        <v>unknown</v>
      </c>
      <c r="Q502" s="21">
        <f ca="1">VLOOKUP($L502,OFFSET([2]enemies!$A$1,0,0,COUNTA([2]enemies!$A:$A),MATCH(Q$1,[2]enemies!$1:$1,0)-MATCH($L$1,[2]enemies!$1:$1,0)+1),MATCH(Q$1,[2]enemies!$1:$1,0)-MATCH($L$1,[2]enemies!$1:$1,0)+1,FALSE)</f>
        <v>15</v>
      </c>
      <c r="R502" s="53">
        <v>46</v>
      </c>
      <c r="S502" s="27">
        <v>1</v>
      </c>
      <c r="T502" s="27">
        <v>1</v>
      </c>
      <c r="U502" s="5">
        <v>0</v>
      </c>
      <c r="V502" s="4" t="str">
        <f ca="1">VLOOKUP($W502,OFFSET([4]enemy_skill_sets!$B$1,0,0,COUNTA([4]enemy_skill_sets!$B:$B),MATCH(M$1,[4]enemy_skill_sets!$1:$1,0)-MATCH($W$1,[4]enemy_skill_sets!$1:$1,0)+2),MATCH(M$1,[4]enemy_skill_sets!$1:$1,0)-MATCH($W$1,[4]enemy_skill_sets!$1:$1,0)+2,FALSE)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02" s="64">
        <v>352</v>
      </c>
      <c r="X502" s="6">
        <v>0</v>
      </c>
      <c r="Y502" s="6">
        <v>100</v>
      </c>
      <c r="Z502" s="6">
        <v>0</v>
      </c>
      <c r="AA502" s="4">
        <f ca="1">VLOOKUP($L502,OFFSET([2]enemies!$A$1,0,0,COUNTA([2]enemies!$A:$A),MATCH(AA$1,[2]enemies!$1:$1,0)-MATCH($L$1,[2]enemies!$1:$1,0)+1),MATCH(AA$1,[2]enemies!$1:$1,0)-MATCH($L$1,[2]enemies!$1:$1,0)+1,FALSE)</f>
        <v>3</v>
      </c>
      <c r="AB502" s="52">
        <v>352</v>
      </c>
      <c r="AC502" s="4" t="str">
        <f ca="1">VLOOKUP($AB502,OFFSET([3]characters!$A$1,0,0,COUNTA([3]characters!$A:$A),MATCH(AC$1,[3]characters!$1:$1,0)-MATCH("character_id",[3]characters!$1:$1,0)+1),MATCH(AC$1,[3]characters!$1:$1,0)-MATCH("character_id",[3]characters!$1:$1,0)+1,FALSE)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02" s="4">
        <f ca="1">VLOOKUP($AB502,OFFSET([3]characters!$A$1,0,0,COUNTA([3]characters!$A:$A),MATCH(AD$1,[3]characters!$1:$1,0)-MATCH("character_id",[3]characters!$1:$1,0)+1),MATCH(AD$1,[3]characters!$1:$1,0)-MATCH("character_id",[3]characters!$1:$1,0)+1,FALSE)</f>
        <v>2</v>
      </c>
      <c r="AE502" s="4" t="str">
        <f ca="1">VLOOKUP($AB502,OFFSET([3]characters!$A$1,0,0,COUNTA([3]characters!$A:$A),MATCH(AE$1,[3]characters!$1:$1,0)-MATCH("character_id",[3]characters!$1:$1,0)+1),MATCH(AE$1,[3]characters!$1:$1,0)-MATCH("character_id",[3]characters!$1:$1,0)+1,FALSE)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02" s="7">
        <v>10</v>
      </c>
      <c r="AG502" s="26">
        <f t="shared" ca="1" si="536"/>
        <v>2</v>
      </c>
      <c r="AH502" s="8">
        <v>20</v>
      </c>
      <c r="AI502" s="7">
        <v>0</v>
      </c>
      <c r="AJ502" s="7">
        <v>0</v>
      </c>
      <c r="AK502" s="7">
        <v>0</v>
      </c>
      <c r="AL502" s="7">
        <v>0</v>
      </c>
      <c r="AM502" s="7">
        <v>1</v>
      </c>
    </row>
    <row r="503" spans="1:39" ht="14" x14ac:dyDescent="0.15">
      <c r="A503" s="18" t="str">
        <f t="shared" ca="1" si="560"/>
        <v>25_1-5/162&lt;lv51&gt;s2</v>
      </c>
      <c r="B503" s="50">
        <v>25</v>
      </c>
      <c r="C503" s="49">
        <v>1</v>
      </c>
      <c r="D503" s="2" t="str">
        <f t="shared" ref="D503:E539" si="567">B503&amp;"_"&amp;C503</f>
        <v>25_1</v>
      </c>
      <c r="E503" s="2" t="str">
        <f t="shared" si="567"/>
        <v>1_25_1</v>
      </c>
      <c r="F503" s="4" t="str">
        <f ca="1">VLOOKUP($D503,OFFSET([1]stages!$A$1,0,0,COUNTA([1]stages!$A:$A),MATCH(F$1,[1]stages!$2:$2,0)-MATCH($D$1,[1]stages!$2:$2,0)+1),MATCH(F$1,[1]stages!$2:$2,0)-MATCH($D$1,[1]stages!$2:$2,0)+1,FALSE)</f>
        <v>25-1．血塗られた招待状</v>
      </c>
      <c r="G503" s="56">
        <v>5</v>
      </c>
      <c r="H503" s="17" t="str">
        <f t="shared" ref="H503:H539" si="568">B503&amp;"_"&amp;C503&amp;"-"&amp;G503</f>
        <v>25_1-5</v>
      </c>
      <c r="I503" s="17"/>
      <c r="J503" s="17"/>
      <c r="K503" s="65" t="s">
        <v>56</v>
      </c>
      <c r="L503" s="52">
        <v>162</v>
      </c>
      <c r="M503" s="21" t="str">
        <f ca="1">VLOOKUP($L503,OFFSET([2]enemies!$A$1,0,0,COUNTA([2]enemies!$A:$A),MATCH(M$1,[2]enemies!$1:$1,0)-MATCH($L$1,[2]enemies!$1:$1,0)+1),MATCH(M$1,[2]enemies!$1:$1,0)-MATCH($L$1,[2]enemies!$1:$1,0)+1,FALSE)</f>
        <v>狂女 クララ</v>
      </c>
      <c r="N503" s="21" t="str">
        <f ca="1">VLOOKUP($L503,OFFSET([2]enemies!$A$1,0,0,COUNTA([2]enemies!$A:$A),MATCH(N$1,[2]enemies!$1:$1,0)-MATCH($L$1,[2]enemies!$1:$1,0)+1),MATCH(N$1,[2]enemies!$1:$1,0)-MATCH($L$1,[2]enemies!$1:$1,0)+1,FALSE)</f>
        <v>blue</v>
      </c>
      <c r="O503" s="21" t="str">
        <f ca="1">VLOOKUP($L503,OFFSET([3]characters!$A$1,0,0,COUNTA([3]characters!$A:$A),MATCH(O$1,[3]characters!$1:$1,0)-MATCH($L$1,[3]characters!$1:$1,0)+1),MATCH(O$1,[3]characters!$1:$1,0)-MATCH($L$1,[3]characters!$1:$1,0)+1,FALSE)</f>
        <v>PremiumW</v>
      </c>
      <c r="P503" s="21" t="str">
        <f ca="1">VLOOKUP($L503,OFFSET([2]enemies!$A$1,0,0,COUNTA([2]enemies!$A:$A),MATCH(P$1,[2]enemies!$1:$1,0)-MATCH($L$1,[2]enemies!$1:$1,0)+1),MATCH(P$1,[2]enemies!$1:$1,0)-MATCH($L$1,[2]enemies!$1:$1,0)+1,FALSE)</f>
        <v>human</v>
      </c>
      <c r="Q503" s="21">
        <f ca="1">VLOOKUP($L503,OFFSET([2]enemies!$A$1,0,0,COUNTA([2]enemies!$A:$A),MATCH(Q$1,[2]enemies!$1:$1,0)-MATCH($L$1,[2]enemies!$1:$1,0)+1),MATCH(Q$1,[2]enemies!$1:$1,0)-MATCH($L$1,[2]enemies!$1:$1,0)+1,FALSE)</f>
        <v>20</v>
      </c>
      <c r="R503" s="53">
        <v>51</v>
      </c>
      <c r="S503" s="27">
        <v>3</v>
      </c>
      <c r="T503" s="27">
        <v>1.1000000000000001</v>
      </c>
      <c r="U503" s="5">
        <v>0</v>
      </c>
      <c r="V503" s="4" t="str">
        <f ca="1">VLOOKUP($W503,OFFSET([4]enemy_skill_sets!$B$1,0,0,COUNTA([4]enemy_skill_sets!$B:$B),MATCH(M$1,[4]enemy_skill_sets!$1:$1,0)-MATCH($W$1,[4]enemy_skill_sets!$1:$1,0)+2),MATCH(M$1,[4]enemy_skill_sets!$1:$1,0)-MATCH($W$1,[4]enemy_skill_sets!$1:$1,0)+2,FALSE)</f>
        <v>4ターンパネルの色が分からなくなる !</v>
      </c>
      <c r="W503" s="64">
        <v>16201</v>
      </c>
      <c r="X503" s="6">
        <v>1</v>
      </c>
      <c r="Y503" s="6">
        <v>100</v>
      </c>
      <c r="Z503" s="6">
        <v>1</v>
      </c>
      <c r="AA503" s="4">
        <f ca="1">VLOOKUP($L503,OFFSET([2]enemies!$A$1,0,0,COUNTA([2]enemies!$A:$A),MATCH(AA$1,[2]enemies!$1:$1,0)-MATCH($L$1,[2]enemies!$1:$1,0)+1),MATCH(AA$1,[2]enemies!$1:$1,0)-MATCH($L$1,[2]enemies!$1:$1,0)+1,FALSE)</f>
        <v>2</v>
      </c>
      <c r="AB503" s="52">
        <v>162</v>
      </c>
      <c r="AC503" s="4" t="str">
        <f ca="1">VLOOKUP($AB503,OFFSET([3]characters!$A$1,0,0,COUNTA([3]characters!$A:$A),MATCH(AC$1,[3]characters!$1:$1,0)-MATCH("character_id",[3]characters!$1:$1,0)+1),MATCH(AC$1,[3]characters!$1:$1,0)-MATCH("character_id",[3]characters!$1:$1,0)+1,FALSE)</f>
        <v>狂女 クララ</v>
      </c>
      <c r="AD503" s="4">
        <f ca="1">VLOOKUP($AB503,OFFSET([3]characters!$A$1,0,0,COUNTA([3]characters!$A:$A),MATCH(AD$1,[3]characters!$1:$1,0)-MATCH("character_id",[3]characters!$1:$1,0)+1),MATCH(AD$1,[3]characters!$1:$1,0)-MATCH("character_id",[3]characters!$1:$1,0)+1,FALSE)</f>
        <v>3</v>
      </c>
      <c r="AE503" s="4" t="str">
        <f ca="1">VLOOKUP($AB503,OFFSET([3]characters!$A$1,0,0,COUNTA([3]characters!$A:$A),MATCH(AE$1,[3]characters!$1:$1,0)-MATCH("character_id",[3]characters!$1:$1,0)+1),MATCH(AE$1,[3]characters!$1:$1,0)-MATCH("character_id",[3]characters!$1:$1,0)+1,FALSE)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503" s="7">
        <v>1</v>
      </c>
      <c r="AG503" s="26">
        <f t="shared" ca="1" si="536"/>
        <v>3</v>
      </c>
      <c r="AH503" s="8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1</v>
      </c>
    </row>
    <row r="504" spans="1:39" ht="14" x14ac:dyDescent="0.15">
      <c r="A504" s="18" t="str">
        <f t="shared" ca="1" si="560"/>
        <v>25_2-1/13&lt;lv48&gt;s2</v>
      </c>
      <c r="B504" s="50">
        <v>25</v>
      </c>
      <c r="C504" s="49">
        <v>2</v>
      </c>
      <c r="D504" s="2" t="str">
        <f t="shared" si="567"/>
        <v>25_2</v>
      </c>
      <c r="E504" s="2" t="str">
        <f t="shared" si="567"/>
        <v>2_25_2</v>
      </c>
      <c r="F504" s="4" t="str">
        <f ca="1">VLOOKUP($D504,OFFSET([1]stages!$A$1,0,0,COUNTA([1]stages!$A:$A),MATCH(F$1,[1]stages!$2:$2,0)-MATCH($D$1,[1]stages!$2:$2,0)+1),MATCH(F$1,[1]stages!$2:$2,0)-MATCH($D$1,[1]stages!$2:$2,0)+1,FALSE)</f>
        <v>25-2．剣の舞</v>
      </c>
      <c r="G504" s="57">
        <v>1</v>
      </c>
      <c r="H504" s="17" t="str">
        <f t="shared" si="568"/>
        <v>25_2-1</v>
      </c>
      <c r="I504" s="17"/>
      <c r="J504" s="17"/>
      <c r="K504" s="65" t="s">
        <v>56</v>
      </c>
      <c r="L504" s="52">
        <v>13</v>
      </c>
      <c r="M504" s="21" t="str">
        <f ca="1">VLOOKUP($L504,OFFSET([2]enemies!$A$1,0,0,COUNTA([2]enemies!$A:$A),MATCH(M$1,[2]enemies!$1:$1,0)-MATCH($L$1,[2]enemies!$1:$1,0)+1),MATCH(M$1,[2]enemies!$1:$1,0)-MATCH($L$1,[2]enemies!$1:$1,0)+1,FALSE)</f>
        <v>ミミ</v>
      </c>
      <c r="N504" s="21" t="str">
        <f ca="1">VLOOKUP($L504,OFFSET([2]enemies!$A$1,0,0,COUNTA([2]enemies!$A:$A),MATCH(N$1,[2]enemies!$1:$1,0)-MATCH($L$1,[2]enemies!$1:$1,0)+1),MATCH(N$1,[2]enemies!$1:$1,0)-MATCH($L$1,[2]enemies!$1:$1,0)+1,FALSE)</f>
        <v>yellow</v>
      </c>
      <c r="O504" s="21" t="str">
        <f ca="1">VLOOKUP($L504,OFFSET([3]characters!$A$1,0,0,COUNTA([3]characters!$A:$A),MATCH(O$1,[3]characters!$1:$1,0)-MATCH($L$1,[3]characters!$1:$1,0)+1),MATCH(O$1,[3]characters!$1:$1,0)-MATCH($L$1,[3]characters!$1:$1,0)+1,FALSE)</f>
        <v>Drop1W</v>
      </c>
      <c r="P504" s="21" t="str">
        <f ca="1">VLOOKUP($L504,OFFSET([2]enemies!$A$1,0,0,COUNTA([2]enemies!$A:$A),MATCH(P$1,[2]enemies!$1:$1,0)-MATCH($L$1,[2]enemies!$1:$1,0)+1),MATCH(P$1,[2]enemies!$1:$1,0)-MATCH($L$1,[2]enemies!$1:$1,0)+1,FALSE)</f>
        <v>animal</v>
      </c>
      <c r="Q504" s="21">
        <f ca="1">VLOOKUP($L504,OFFSET([2]enemies!$A$1,0,0,COUNTA([2]enemies!$A:$A),MATCH(Q$1,[2]enemies!$1:$1,0)-MATCH($L$1,[2]enemies!$1:$1,0)+1),MATCH(Q$1,[2]enemies!$1:$1,0)-MATCH($L$1,[2]enemies!$1:$1,0)+1,FALSE)</f>
        <v>15</v>
      </c>
      <c r="R504" s="53">
        <v>48</v>
      </c>
      <c r="S504" s="27">
        <v>1</v>
      </c>
      <c r="T504" s="27">
        <v>1</v>
      </c>
      <c r="U504" s="5">
        <v>0</v>
      </c>
      <c r="V504" s="4" t="str">
        <f ca="1">VLOOKUP($W504,OFFSET([4]enemy_skill_sets!$B$1,0,0,COUNTA([4]enemy_skill_sets!$B:$B),MATCH(M$1,[4]enemy_skill_sets!$1:$1,0)-MATCH($W$1,[4]enemy_skill_sets!$1:$1,0)+2),MATCH(M$1,[4]enemy_skill_sets!$1:$1,0)-MATCH($W$1,[4]enemy_skill_sets!$1:$1,0)+2,FALSE)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04" s="4">
        <f ca="1">VLOOKUP($L504,OFFSET([2]enemies!$A$1,0,0,COUNTA([2]enemies!$A:$A),MATCH(W$1,[2]enemies!$1:$1,0)-MATCH($L$1,[2]enemies!$1:$1,0)+1),MATCH(W$1,[2]enemies!$1:$1,0)-MATCH($L$1,[2]enemies!$1:$1,0)+1,FALSE)</f>
        <v>0</v>
      </c>
      <c r="X504" s="6">
        <v>0</v>
      </c>
      <c r="Y504" s="6">
        <v>100</v>
      </c>
      <c r="Z504" s="6">
        <v>0</v>
      </c>
      <c r="AA504" s="4">
        <f ca="1">VLOOKUP($L504,OFFSET([2]enemies!$A$1,0,0,COUNTA([2]enemies!$A:$A),MATCH(AA$1,[2]enemies!$1:$1,0)-MATCH($L$1,[2]enemies!$1:$1,0)+1),MATCH(AA$1,[2]enemies!$1:$1,0)-MATCH($L$1,[2]enemies!$1:$1,0)+1,FALSE)</f>
        <v>2</v>
      </c>
      <c r="AB504" s="52">
        <v>13</v>
      </c>
      <c r="AC504" s="4" t="str">
        <f ca="1">VLOOKUP($AB504,OFFSET([3]characters!$A$1,0,0,COUNTA([3]characters!$A:$A),MATCH(AC$1,[3]characters!$1:$1,0)-MATCH("character_id",[3]characters!$1:$1,0)+1),MATCH(AC$1,[3]characters!$1:$1,0)-MATCH("character_id",[3]characters!$1:$1,0)+1,FALSE)</f>
        <v>ミミ</v>
      </c>
      <c r="AD504" s="4">
        <f ca="1">VLOOKUP($AB504,OFFSET([3]characters!$A$1,0,0,COUNTA([3]characters!$A:$A),MATCH(AD$1,[3]characters!$1:$1,0)-MATCH("character_id",[3]characters!$1:$1,0)+1),MATCH(AD$1,[3]characters!$1:$1,0)-MATCH("character_id",[3]characters!$1:$1,0)+1,FALSE)</f>
        <v>1</v>
      </c>
      <c r="AE504" s="4" t="str">
        <f ca="1">VLOOKUP($AB504,OFFSET([3]characters!$A$1,0,0,COUNTA([3]characters!$A:$A),MATCH(AE$1,[3]characters!$1:$1,0)-MATCH("character_id",[3]characters!$1:$1,0)+1),MATCH(AE$1,[3]characters!$1:$1,0)-MATCH("character_id",[3]characters!$1:$1,0)+1,FALSE)</f>
        <v>Drop1W</v>
      </c>
      <c r="AF504" s="7">
        <v>9</v>
      </c>
      <c r="AG504" s="26">
        <f t="shared" ca="1" si="536"/>
        <v>1</v>
      </c>
      <c r="AH504" s="8">
        <v>20</v>
      </c>
      <c r="AI504" s="7">
        <v>0</v>
      </c>
      <c r="AJ504" s="7">
        <v>0</v>
      </c>
      <c r="AK504" s="7">
        <v>0</v>
      </c>
      <c r="AL504" s="7">
        <v>0</v>
      </c>
      <c r="AM504" s="7">
        <v>1</v>
      </c>
    </row>
    <row r="505" spans="1:39" ht="14" x14ac:dyDescent="0.15">
      <c r="A505" s="18" t="str">
        <f t="shared" ca="1" si="560"/>
        <v>25_2-1/47&lt;lv48&gt;s1</v>
      </c>
      <c r="B505" s="50">
        <v>25</v>
      </c>
      <c r="C505" s="49">
        <v>2</v>
      </c>
      <c r="D505" s="2" t="str">
        <f t="shared" si="567"/>
        <v>25_2</v>
      </c>
      <c r="E505" s="2" t="str">
        <f t="shared" si="567"/>
        <v>2_25_2</v>
      </c>
      <c r="F505" s="4" t="str">
        <f ca="1">VLOOKUP($D505,OFFSET([1]stages!$A$1,0,0,COUNTA([1]stages!$A:$A),MATCH(F$1,[1]stages!$2:$2,0)-MATCH($D$1,[1]stages!$2:$2,0)+1),MATCH(F$1,[1]stages!$2:$2,0)-MATCH($D$1,[1]stages!$2:$2,0)+1,FALSE)</f>
        <v>25-2．剣の舞</v>
      </c>
      <c r="G505" s="57">
        <v>1</v>
      </c>
      <c r="H505" s="17" t="str">
        <f t="shared" si="568"/>
        <v>25_2-1</v>
      </c>
      <c r="I505" s="17"/>
      <c r="J505" s="17"/>
      <c r="K505" s="65" t="s">
        <v>56</v>
      </c>
      <c r="L505" s="52">
        <v>47</v>
      </c>
      <c r="M505" s="21" t="str">
        <f ca="1">VLOOKUP($L505,OFFSET([2]enemies!$A$1,0,0,COUNTA([2]enemies!$A:$A),MATCH(M$1,[2]enemies!$1:$1,0)-MATCH($L$1,[2]enemies!$1:$1,0)+1),MATCH(M$1,[2]enemies!$1:$1,0)-MATCH($L$1,[2]enemies!$1:$1,0)+1,FALSE)</f>
        <v>ヒロ</v>
      </c>
      <c r="N505" s="21" t="str">
        <f ca="1">VLOOKUP($L505,OFFSET([2]enemies!$A$1,0,0,COUNTA([2]enemies!$A:$A),MATCH(N$1,[2]enemies!$1:$1,0)-MATCH($L$1,[2]enemies!$1:$1,0)+1),MATCH(N$1,[2]enemies!$1:$1,0)-MATCH($L$1,[2]enemies!$1:$1,0)+1,FALSE)</f>
        <v>yellow</v>
      </c>
      <c r="O505" s="21" t="str">
        <f ca="1">VLOOKUP($L505,OFFSET([3]characters!$A$1,0,0,COUNTA([3]characters!$A:$A),MATCH(O$1,[3]characters!$1:$1,0)-MATCH($L$1,[3]characters!$1:$1,0)+1),MATCH(O$1,[3]characters!$1:$1,0)-MATCH($L$1,[3]characters!$1:$1,0)+1,FALSE)</f>
        <v>Drop1N</v>
      </c>
      <c r="P505" s="21" t="str">
        <f ca="1">VLOOKUP($L505,OFFSET([2]enemies!$A$1,0,0,COUNTA([2]enemies!$A:$A),MATCH(P$1,[2]enemies!$1:$1,0)-MATCH($L$1,[2]enemies!$1:$1,0)+1),MATCH(P$1,[2]enemies!$1:$1,0)-MATCH($L$1,[2]enemies!$1:$1,0)+1,FALSE)</f>
        <v>animal</v>
      </c>
      <c r="Q505" s="21">
        <f ca="1">VLOOKUP($L505,OFFSET([2]enemies!$A$1,0,0,COUNTA([2]enemies!$A:$A),MATCH(Q$1,[2]enemies!$1:$1,0)-MATCH($L$1,[2]enemies!$1:$1,0)+1),MATCH(Q$1,[2]enemies!$1:$1,0)-MATCH($L$1,[2]enemies!$1:$1,0)+1,FALSE)</f>
        <v>15</v>
      </c>
      <c r="R505" s="53">
        <v>48</v>
      </c>
      <c r="S505" s="27">
        <v>1</v>
      </c>
      <c r="T505" s="27">
        <v>1</v>
      </c>
      <c r="U505" s="5">
        <v>0</v>
      </c>
      <c r="V505" s="4" t="str">
        <f ca="1">VLOOKUP($W505,OFFSET([4]enemy_skill_sets!$B$1,0,0,COUNTA([4]enemy_skill_sets!$B:$B),MATCH(M$1,[4]enemy_skill_sets!$1:$1,0)-MATCH($W$1,[4]enemy_skill_sets!$1:$1,0)+2),MATCH(M$1,[4]enemy_skill_sets!$1:$1,0)-MATCH($W$1,[4]enemy_skill_sets!$1:$1,0)+2,FALSE)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05" s="4">
        <f ca="1">VLOOKUP($L505,OFFSET([2]enemies!$A$1,0,0,COUNTA([2]enemies!$A:$A),MATCH(W$1,[2]enemies!$1:$1,0)-MATCH($L$1,[2]enemies!$1:$1,0)+1),MATCH(W$1,[2]enemies!$1:$1,0)-MATCH($L$1,[2]enemies!$1:$1,0)+1,FALSE)</f>
        <v>0</v>
      </c>
      <c r="X505" s="6">
        <v>0</v>
      </c>
      <c r="Y505" s="6">
        <v>100</v>
      </c>
      <c r="Z505" s="6">
        <v>0</v>
      </c>
      <c r="AA505" s="4">
        <f ca="1">VLOOKUP($L505,OFFSET([2]enemies!$A$1,0,0,COUNTA([2]enemies!$A:$A),MATCH(AA$1,[2]enemies!$1:$1,0)-MATCH($L$1,[2]enemies!$1:$1,0)+1),MATCH(AA$1,[2]enemies!$1:$1,0)-MATCH($L$1,[2]enemies!$1:$1,0)+1,FALSE)</f>
        <v>1</v>
      </c>
      <c r="AB505" s="52">
        <v>47</v>
      </c>
      <c r="AC505" s="4" t="str">
        <f ca="1">VLOOKUP($AB505,OFFSET([3]characters!$A$1,0,0,COUNTA([3]characters!$A:$A),MATCH(AC$1,[3]characters!$1:$1,0)-MATCH("character_id",[3]characters!$1:$1,0)+1),MATCH(AC$1,[3]characters!$1:$1,0)-MATCH("character_id",[3]characters!$1:$1,0)+1,FALSE)</f>
        <v>ヒロ</v>
      </c>
      <c r="AD505" s="4">
        <f ca="1">VLOOKUP($AB505,OFFSET([3]characters!$A$1,0,0,COUNTA([3]characters!$A:$A),MATCH(AD$1,[3]characters!$1:$1,0)-MATCH("character_id",[3]characters!$1:$1,0)+1),MATCH(AD$1,[3]characters!$1:$1,0)-MATCH("character_id",[3]characters!$1:$1,0)+1,FALSE)</f>
        <v>2</v>
      </c>
      <c r="AE505" s="4" t="str">
        <f ca="1">VLOOKUP($AB505,OFFSET([3]characters!$A$1,0,0,COUNTA([3]characters!$A:$A),MATCH(AE$1,[3]characters!$1:$1,0)-MATCH("character_id",[3]characters!$1:$1,0)+1),MATCH(AE$1,[3]characters!$1:$1,0)-MATCH("character_id",[3]characters!$1:$1,0)+1,FALSE)</f>
        <v>Drop1N</v>
      </c>
      <c r="AF505" s="7">
        <v>7</v>
      </c>
      <c r="AG505" s="26">
        <f t="shared" ca="1" si="536"/>
        <v>2</v>
      </c>
      <c r="AH505" s="8">
        <v>20</v>
      </c>
      <c r="AI505" s="7">
        <v>0</v>
      </c>
      <c r="AJ505" s="7">
        <v>0</v>
      </c>
      <c r="AK505" s="7">
        <v>0</v>
      </c>
      <c r="AL505" s="7">
        <v>0</v>
      </c>
      <c r="AM505" s="7">
        <v>1</v>
      </c>
    </row>
    <row r="506" spans="1:39" ht="14" x14ac:dyDescent="0.15">
      <c r="A506" s="18" t="str">
        <f t="shared" ca="1" si="560"/>
        <v>25_2-1/63&lt;lv48&gt;s2</v>
      </c>
      <c r="B506" s="50">
        <v>25</v>
      </c>
      <c r="C506" s="49">
        <v>2</v>
      </c>
      <c r="D506" s="2" t="str">
        <f t="shared" si="567"/>
        <v>25_2</v>
      </c>
      <c r="E506" s="2" t="str">
        <f t="shared" si="567"/>
        <v>2_25_2</v>
      </c>
      <c r="F506" s="4" t="str">
        <f ca="1">VLOOKUP($D506,OFFSET([1]stages!$A$1,0,0,COUNTA([1]stages!$A:$A),MATCH(F$1,[1]stages!$2:$2,0)-MATCH($D$1,[1]stages!$2:$2,0)+1),MATCH(F$1,[1]stages!$2:$2,0)-MATCH($D$1,[1]stages!$2:$2,0)+1,FALSE)</f>
        <v>25-2．剣の舞</v>
      </c>
      <c r="G506" s="57">
        <v>1</v>
      </c>
      <c r="H506" s="17" t="str">
        <f t="shared" si="568"/>
        <v>25_2-1</v>
      </c>
      <c r="I506" s="17"/>
      <c r="J506" s="17"/>
      <c r="K506" s="65" t="s">
        <v>56</v>
      </c>
      <c r="L506" s="52">
        <v>63</v>
      </c>
      <c r="M506" s="21" t="str">
        <f ca="1">VLOOKUP($L506,OFFSET([2]enemies!$A$1,0,0,COUNTA([2]enemies!$A:$A),MATCH(M$1,[2]enemies!$1:$1,0)-MATCH($L$1,[2]enemies!$1:$1,0)+1),MATCH(M$1,[2]enemies!$1:$1,0)-MATCH($L$1,[2]enemies!$1:$1,0)+1,FALSE)</f>
        <v>トニー</v>
      </c>
      <c r="N506" s="21" t="str">
        <f ca="1">VLOOKUP($L506,OFFSET([2]enemies!$A$1,0,0,COUNTA([2]enemies!$A:$A),MATCH(N$1,[2]enemies!$1:$1,0)-MATCH($L$1,[2]enemies!$1:$1,0)+1),MATCH(N$1,[2]enemies!$1:$1,0)-MATCH($L$1,[2]enemies!$1:$1,0)+1,FALSE)</f>
        <v>yellow</v>
      </c>
      <c r="O506" s="21" t="str">
        <f ca="1">VLOOKUP($L506,OFFSET([3]characters!$A$1,0,0,COUNTA([3]characters!$A:$A),MATCH(O$1,[3]characters!$1:$1,0)-MATCH($L$1,[3]characters!$1:$1,0)+1),MATCH(O$1,[3]characters!$1:$1,0)-MATCH($L$1,[3]characters!$1:$1,0)+1,FALSE)</f>
        <v>Drop1N</v>
      </c>
      <c r="P506" s="21" t="str">
        <f ca="1">VLOOKUP($L506,OFFSET([2]enemies!$A$1,0,0,COUNTA([2]enemies!$A:$A),MATCH(P$1,[2]enemies!$1:$1,0)-MATCH($L$1,[2]enemies!$1:$1,0)+1),MATCH(P$1,[2]enemies!$1:$1,0)-MATCH($L$1,[2]enemies!$1:$1,0)+1,FALSE)</f>
        <v>animal</v>
      </c>
      <c r="Q506" s="21">
        <f ca="1">VLOOKUP($L506,OFFSET([2]enemies!$A$1,0,0,COUNTA([2]enemies!$A:$A),MATCH(Q$1,[2]enemies!$1:$1,0)-MATCH($L$1,[2]enemies!$1:$1,0)+1),MATCH(Q$1,[2]enemies!$1:$1,0)-MATCH($L$1,[2]enemies!$1:$1,0)+1,FALSE)</f>
        <v>15</v>
      </c>
      <c r="R506" s="53">
        <v>48</v>
      </c>
      <c r="S506" s="27">
        <v>1</v>
      </c>
      <c r="T506" s="27">
        <v>1</v>
      </c>
      <c r="U506" s="5">
        <v>0</v>
      </c>
      <c r="V506" s="4" t="str">
        <f ca="1">VLOOKUP($W506,OFFSET([4]enemy_skill_sets!$B$1,0,0,COUNTA([4]enemy_skill_sets!$B:$B),MATCH(M$1,[4]enemy_skill_sets!$1:$1,0)-MATCH($W$1,[4]enemy_skill_sets!$1:$1,0)+2),MATCH(M$1,[4]enemy_skill_sets!$1:$1,0)-MATCH($W$1,[4]enemy_skill_sets!$1:$1,0)+2,FALSE)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506" s="4">
        <f ca="1">VLOOKUP($L506,OFFSET([2]enemies!$A$1,0,0,COUNTA([2]enemies!$A:$A),MATCH(W$1,[2]enemies!$1:$1,0)-MATCH($L$1,[2]enemies!$1:$1,0)+1),MATCH(W$1,[2]enemies!$1:$1,0)-MATCH($L$1,[2]enemies!$1:$1,0)+1,FALSE)</f>
        <v>63</v>
      </c>
      <c r="X506" s="6">
        <v>0</v>
      </c>
      <c r="Y506" s="6">
        <v>100</v>
      </c>
      <c r="Z506" s="6">
        <v>0</v>
      </c>
      <c r="AA506" s="4">
        <f ca="1">VLOOKUP($L506,OFFSET([2]enemies!$A$1,0,0,COUNTA([2]enemies!$A:$A),MATCH(AA$1,[2]enemies!$1:$1,0)-MATCH($L$1,[2]enemies!$1:$1,0)+1),MATCH(AA$1,[2]enemies!$1:$1,0)-MATCH($L$1,[2]enemies!$1:$1,0)+1,FALSE)</f>
        <v>2</v>
      </c>
      <c r="AB506" s="52">
        <v>63</v>
      </c>
      <c r="AC506" s="4" t="str">
        <f ca="1">VLOOKUP($AB506,OFFSET([3]characters!$A$1,0,0,COUNTA([3]characters!$A:$A),MATCH(AC$1,[3]characters!$1:$1,0)-MATCH("character_id",[3]characters!$1:$1,0)+1),MATCH(AC$1,[3]characters!$1:$1,0)-MATCH("character_id",[3]characters!$1:$1,0)+1,FALSE)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506" s="4">
        <f ca="1">VLOOKUP($AB506,OFFSET([3]characters!$A$1,0,0,COUNTA([3]characters!$A:$A),MATCH(AD$1,[3]characters!$1:$1,0)-MATCH("character_id",[3]characters!$1:$1,0)+1),MATCH(AD$1,[3]characters!$1:$1,0)-MATCH("character_id",[3]characters!$1:$1,0)+1,FALSE)</f>
        <v>2</v>
      </c>
      <c r="AE506" s="4" t="str">
        <f ca="1">VLOOKUP($AB506,OFFSET([3]characters!$A$1,0,0,COUNTA([3]characters!$A:$A),MATCH(AE$1,[3]characters!$1:$1,0)-MATCH("character_id",[3]characters!$1:$1,0)+1),MATCH(AE$1,[3]characters!$1:$1,0)-MATCH("character_id",[3]characters!$1:$1,0)+1,FALSE)</f>
        <v>Drop1N</v>
      </c>
      <c r="AF506" s="7">
        <v>7</v>
      </c>
      <c r="AG506" s="26">
        <f t="shared" ca="1" si="536"/>
        <v>2</v>
      </c>
      <c r="AH506" s="8">
        <v>20</v>
      </c>
      <c r="AI506" s="7">
        <v>0</v>
      </c>
      <c r="AJ506" s="7">
        <v>0</v>
      </c>
      <c r="AK506" s="7">
        <v>0</v>
      </c>
      <c r="AL506" s="7">
        <v>0</v>
      </c>
      <c r="AM506" s="7">
        <v>1</v>
      </c>
    </row>
    <row r="507" spans="1:39" ht="14" x14ac:dyDescent="0.15">
      <c r="A507" s="18" t="str">
        <f t="shared" ca="1" si="560"/>
        <v>25_2-1/19&lt;lv48&gt;s3</v>
      </c>
      <c r="B507" s="50">
        <v>25</v>
      </c>
      <c r="C507" s="49">
        <v>2</v>
      </c>
      <c r="D507" s="2" t="str">
        <f t="shared" si="567"/>
        <v>25_2</v>
      </c>
      <c r="E507" s="2" t="str">
        <f t="shared" si="567"/>
        <v>2_25_2</v>
      </c>
      <c r="F507" s="4" t="str">
        <f ca="1">VLOOKUP($D507,OFFSET([1]stages!$A$1,0,0,COUNTA([1]stages!$A:$A),MATCH(F$1,[1]stages!$2:$2,0)-MATCH($D$1,[1]stages!$2:$2,0)+1),MATCH(F$1,[1]stages!$2:$2,0)-MATCH($D$1,[1]stages!$2:$2,0)+1,FALSE)</f>
        <v>25-2．剣の舞</v>
      </c>
      <c r="G507" s="57">
        <v>1</v>
      </c>
      <c r="H507" s="17" t="str">
        <f t="shared" si="568"/>
        <v>25_2-1</v>
      </c>
      <c r="I507" s="17"/>
      <c r="J507" s="17"/>
      <c r="K507" s="65" t="s">
        <v>56</v>
      </c>
      <c r="L507" s="52">
        <v>19</v>
      </c>
      <c r="M507" s="21" t="str">
        <f ca="1">VLOOKUP($L507,OFFSET([2]enemies!$A$1,0,0,COUNTA([2]enemies!$A:$A),MATCH(M$1,[2]enemies!$1:$1,0)-MATCH($L$1,[2]enemies!$1:$1,0)+1),MATCH(M$1,[2]enemies!$1:$1,0)-MATCH($L$1,[2]enemies!$1:$1,0)+1,FALSE)</f>
        <v>ティンク</v>
      </c>
      <c r="N507" s="21" t="str">
        <f ca="1">VLOOKUP($L507,OFFSET([2]enemies!$A$1,0,0,COUNTA([2]enemies!$A:$A),MATCH(N$1,[2]enemies!$1:$1,0)-MATCH($L$1,[2]enemies!$1:$1,0)+1),MATCH(N$1,[2]enemies!$1:$1,0)-MATCH($L$1,[2]enemies!$1:$1,0)+1,FALSE)</f>
        <v>yellow</v>
      </c>
      <c r="O507" s="21" t="str">
        <f ca="1">VLOOKUP($L507,OFFSET([3]characters!$A$1,0,0,COUNTA([3]characters!$A:$A),MATCH(O$1,[3]characters!$1:$1,0)-MATCH($L$1,[3]characters!$1:$1,0)+1),MATCH(O$1,[3]characters!$1:$1,0)-MATCH($L$1,[3]characters!$1:$1,0)+1,FALSE)</f>
        <v>Drop1W</v>
      </c>
      <c r="P507" s="21" t="str">
        <f ca="1">VLOOKUP($L507,OFFSET([2]enemies!$A$1,0,0,COUNTA([2]enemies!$A:$A),MATCH(P$1,[2]enemies!$1:$1,0)-MATCH($L$1,[2]enemies!$1:$1,0)+1),MATCH(P$1,[2]enemies!$1:$1,0)-MATCH($L$1,[2]enemies!$1:$1,0)+1,FALSE)</f>
        <v>human</v>
      </c>
      <c r="Q507" s="21">
        <f ca="1">VLOOKUP($L507,OFFSET([2]enemies!$A$1,0,0,COUNTA([2]enemies!$A:$A),MATCH(Q$1,[2]enemies!$1:$1,0)-MATCH($L$1,[2]enemies!$1:$1,0)+1),MATCH(Q$1,[2]enemies!$1:$1,0)-MATCH($L$1,[2]enemies!$1:$1,0)+1,FALSE)</f>
        <v>15</v>
      </c>
      <c r="R507" s="53">
        <v>48</v>
      </c>
      <c r="S507" s="27">
        <v>1</v>
      </c>
      <c r="T507" s="27">
        <v>1</v>
      </c>
      <c r="U507" s="5">
        <v>0</v>
      </c>
      <c r="V507" s="4" t="str">
        <f ca="1">VLOOKUP($W507,OFFSET([4]enemy_skill_sets!$B$1,0,0,COUNTA([4]enemy_skill_sets!$B:$B),MATCH(M$1,[4]enemy_skill_sets!$1:$1,0)-MATCH($W$1,[4]enemy_skill_sets!$1:$1,0)+2),MATCH(M$1,[4]enemy_skill_sets!$1:$1,0)-MATCH($W$1,[4]enemy_skill_sets!$1:$1,0)+2,FALSE)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07" s="4">
        <f ca="1">VLOOKUP($L507,OFFSET([2]enemies!$A$1,0,0,COUNTA([2]enemies!$A:$A),MATCH(W$1,[2]enemies!$1:$1,0)-MATCH($L$1,[2]enemies!$1:$1,0)+1),MATCH(W$1,[2]enemies!$1:$1,0)-MATCH($L$1,[2]enemies!$1:$1,0)+1,FALSE)</f>
        <v>0</v>
      </c>
      <c r="X507" s="6">
        <v>0</v>
      </c>
      <c r="Y507" s="6">
        <v>100</v>
      </c>
      <c r="Z507" s="6">
        <v>0</v>
      </c>
      <c r="AA507" s="4">
        <f ca="1">VLOOKUP($L507,OFFSET([2]enemies!$A$1,0,0,COUNTA([2]enemies!$A:$A),MATCH(AA$1,[2]enemies!$1:$1,0)-MATCH($L$1,[2]enemies!$1:$1,0)+1),MATCH(AA$1,[2]enemies!$1:$1,0)-MATCH($L$1,[2]enemies!$1:$1,0)+1,FALSE)</f>
        <v>3</v>
      </c>
      <c r="AB507" s="52">
        <v>19</v>
      </c>
      <c r="AC507" s="4" t="str">
        <f ca="1">VLOOKUP($AB507,OFFSET([3]characters!$A$1,0,0,COUNTA([3]characters!$A:$A),MATCH(AC$1,[3]characters!$1:$1,0)-MATCH("character_id",[3]characters!$1:$1,0)+1),MATCH(AC$1,[3]characters!$1:$1,0)-MATCH("character_id",[3]characters!$1:$1,0)+1,FALSE)</f>
        <v>ティンク</v>
      </c>
      <c r="AD507" s="4">
        <f ca="1">VLOOKUP($AB507,OFFSET([3]characters!$A$1,0,0,COUNTA([3]characters!$A:$A),MATCH(AD$1,[3]characters!$1:$1,0)-MATCH("character_id",[3]characters!$1:$1,0)+1),MATCH(AD$1,[3]characters!$1:$1,0)-MATCH("character_id",[3]characters!$1:$1,0)+1,FALSE)</f>
        <v>1</v>
      </c>
      <c r="AE507" s="4" t="str">
        <f ca="1">VLOOKUP($AB507,OFFSET([3]characters!$A$1,0,0,COUNTA([3]characters!$A:$A),MATCH(AE$1,[3]characters!$1:$1,0)-MATCH("character_id",[3]characters!$1:$1,0)+1),MATCH(AE$1,[3]characters!$1:$1,0)-MATCH("character_id",[3]characters!$1:$1,0)+1,FALSE)</f>
        <v>Drop1W</v>
      </c>
      <c r="AF507" s="7">
        <v>9</v>
      </c>
      <c r="AG507" s="26">
        <f t="shared" ca="1" si="536"/>
        <v>1</v>
      </c>
      <c r="AH507" s="8">
        <v>20</v>
      </c>
      <c r="AI507" s="7">
        <v>0</v>
      </c>
      <c r="AJ507" s="7">
        <v>0</v>
      </c>
      <c r="AK507" s="7">
        <v>0</v>
      </c>
      <c r="AL507" s="7">
        <v>0</v>
      </c>
      <c r="AM507" s="7">
        <v>1</v>
      </c>
    </row>
    <row r="508" spans="1:39" ht="14" x14ac:dyDescent="0.15">
      <c r="A508" s="18" t="str">
        <f t="shared" ca="1" si="560"/>
        <v>25_2-1/39&lt;lv48&gt;s3</v>
      </c>
      <c r="B508" s="50">
        <v>25</v>
      </c>
      <c r="C508" s="49">
        <v>2</v>
      </c>
      <c r="D508" s="2" t="str">
        <f t="shared" si="567"/>
        <v>25_2</v>
      </c>
      <c r="E508" s="2" t="str">
        <f t="shared" si="567"/>
        <v>2_25_2</v>
      </c>
      <c r="F508" s="4" t="str">
        <f ca="1">VLOOKUP($D508,OFFSET([1]stages!$A$1,0,0,COUNTA([1]stages!$A:$A),MATCH(F$1,[1]stages!$2:$2,0)-MATCH($D$1,[1]stages!$2:$2,0)+1),MATCH(F$1,[1]stages!$2:$2,0)-MATCH($D$1,[1]stages!$2:$2,0)+1,FALSE)</f>
        <v>25-2．剣の舞</v>
      </c>
      <c r="G508" s="57">
        <v>1</v>
      </c>
      <c r="H508" s="17" t="str">
        <f t="shared" si="568"/>
        <v>25_2-1</v>
      </c>
      <c r="I508" s="17"/>
      <c r="J508" s="17"/>
      <c r="K508" s="65" t="s">
        <v>56</v>
      </c>
      <c r="L508" s="52">
        <v>39</v>
      </c>
      <c r="M508" s="21" t="str">
        <f ca="1">VLOOKUP($L508,OFFSET([2]enemies!$A$1,0,0,COUNTA([2]enemies!$A:$A),MATCH(M$1,[2]enemies!$1:$1,0)-MATCH($L$1,[2]enemies!$1:$1,0)+1),MATCH(M$1,[2]enemies!$1:$1,0)-MATCH($L$1,[2]enemies!$1:$1,0)+1,FALSE)</f>
        <v>マーロン</v>
      </c>
      <c r="N508" s="21" t="str">
        <f ca="1">VLOOKUP($L508,OFFSET([2]enemies!$A$1,0,0,COUNTA([2]enemies!$A:$A),MATCH(N$1,[2]enemies!$1:$1,0)-MATCH($L$1,[2]enemies!$1:$1,0)+1),MATCH(N$1,[2]enemies!$1:$1,0)-MATCH($L$1,[2]enemies!$1:$1,0)+1,FALSE)</f>
        <v>yellow</v>
      </c>
      <c r="O508" s="21" t="str">
        <f ca="1">VLOOKUP($L508,OFFSET([3]characters!$A$1,0,0,COUNTA([3]characters!$A:$A),MATCH(O$1,[3]characters!$1:$1,0)-MATCH($L$1,[3]characters!$1:$1,0)+1),MATCH(O$1,[3]characters!$1:$1,0)-MATCH($L$1,[3]characters!$1:$1,0)+1,FALSE)</f>
        <v>Drop1S</v>
      </c>
      <c r="P508" s="21" t="str">
        <f ca="1">VLOOKUP($L508,OFFSET([2]enemies!$A$1,0,0,COUNTA([2]enemies!$A:$A),MATCH(P$1,[2]enemies!$1:$1,0)-MATCH($L$1,[2]enemies!$1:$1,0)+1),MATCH(P$1,[2]enemies!$1:$1,0)-MATCH($L$1,[2]enemies!$1:$1,0)+1,FALSE)</f>
        <v>human</v>
      </c>
      <c r="Q508" s="21">
        <f ca="1">VLOOKUP($L508,OFFSET([2]enemies!$A$1,0,0,COUNTA([2]enemies!$A:$A),MATCH(Q$1,[2]enemies!$1:$1,0)-MATCH($L$1,[2]enemies!$1:$1,0)+1),MATCH(Q$1,[2]enemies!$1:$1,0)-MATCH($L$1,[2]enemies!$1:$1,0)+1,FALSE)</f>
        <v>15</v>
      </c>
      <c r="R508" s="53">
        <v>48</v>
      </c>
      <c r="S508" s="27">
        <v>1</v>
      </c>
      <c r="T508" s="27">
        <v>1</v>
      </c>
      <c r="U508" s="5">
        <v>0</v>
      </c>
      <c r="V508" s="4" t="str">
        <f ca="1">VLOOKUP($W508,OFFSET([4]enemy_skill_sets!$B$1,0,0,COUNTA([4]enemy_skill_sets!$B:$B),MATCH(M$1,[4]enemy_skill_sets!$1:$1,0)-MATCH($W$1,[4]enemy_skill_sets!$1:$1,0)+2),MATCH(M$1,[4]enemy_skill_sets!$1:$1,0)-MATCH($W$1,[4]enemy_skill_sets!$1:$1,0)+2,FALSE)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508" s="4">
        <f ca="1">VLOOKUP($L508,OFFSET([2]enemies!$A$1,0,0,COUNTA([2]enemies!$A:$A),MATCH(W$1,[2]enemies!$1:$1,0)-MATCH($L$1,[2]enemies!$1:$1,0)+1),MATCH(W$1,[2]enemies!$1:$1,0)-MATCH($L$1,[2]enemies!$1:$1,0)+1,FALSE)</f>
        <v>39</v>
      </c>
      <c r="X508" s="6">
        <v>0</v>
      </c>
      <c r="Y508" s="6">
        <v>100</v>
      </c>
      <c r="Z508" s="6">
        <v>0</v>
      </c>
      <c r="AA508" s="4">
        <f ca="1">VLOOKUP($L508,OFFSET([2]enemies!$A$1,0,0,COUNTA([2]enemies!$A:$A),MATCH(AA$1,[2]enemies!$1:$1,0)-MATCH($L$1,[2]enemies!$1:$1,0)+1),MATCH(AA$1,[2]enemies!$1:$1,0)-MATCH($L$1,[2]enemies!$1:$1,0)+1,FALSE)</f>
        <v>3</v>
      </c>
      <c r="AB508" s="52">
        <v>39</v>
      </c>
      <c r="AC508" s="4" t="str">
        <f ca="1">VLOOKUP($AB508,OFFSET([3]characters!$A$1,0,0,COUNTA([3]characters!$A:$A),MATCH(AC$1,[3]characters!$1:$1,0)-MATCH("character_id",[3]characters!$1:$1,0)+1),MATCH(AC$1,[3]characters!$1:$1,0)-MATCH("character_id",[3]characters!$1:$1,0)+1,FALSE)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508" s="4">
        <f ca="1">VLOOKUP($AB508,OFFSET([3]characters!$A$1,0,0,COUNTA([3]characters!$A:$A),MATCH(AD$1,[3]characters!$1:$1,0)-MATCH("character_id",[3]characters!$1:$1,0)+1),MATCH(AD$1,[3]characters!$1:$1,0)-MATCH("character_id",[3]characters!$1:$1,0)+1,FALSE)</f>
        <v>2</v>
      </c>
      <c r="AE508" s="4" t="str">
        <f ca="1">VLOOKUP($AB508,OFFSET([3]characters!$A$1,0,0,COUNTA([3]characters!$A:$A),MATCH(AE$1,[3]characters!$1:$1,0)-MATCH("character_id",[3]characters!$1:$1,0)+1),MATCH(AE$1,[3]characters!$1:$1,0)-MATCH("character_id",[3]characters!$1:$1,0)+1,FALSE)</f>
        <v>Drop1S</v>
      </c>
      <c r="AF508" s="7">
        <v>5</v>
      </c>
      <c r="AG508" s="26">
        <f t="shared" ca="1" si="536"/>
        <v>2</v>
      </c>
      <c r="AH508" s="8">
        <v>20</v>
      </c>
      <c r="AI508" s="7">
        <v>0</v>
      </c>
      <c r="AJ508" s="7">
        <v>0</v>
      </c>
      <c r="AK508" s="7">
        <v>0</v>
      </c>
      <c r="AL508" s="7">
        <v>0</v>
      </c>
      <c r="AM508" s="7">
        <v>1</v>
      </c>
    </row>
    <row r="509" spans="1:39" ht="14" x14ac:dyDescent="0.15">
      <c r="A509" s="18" t="str">
        <f t="shared" ca="1" si="560"/>
        <v>25_2-1/55&lt;lv48&gt;s4</v>
      </c>
      <c r="B509" s="50">
        <v>25</v>
      </c>
      <c r="C509" s="49">
        <v>2</v>
      </c>
      <c r="D509" s="2" t="str">
        <f t="shared" si="567"/>
        <v>25_2</v>
      </c>
      <c r="E509" s="2" t="str">
        <f t="shared" si="567"/>
        <v>2_25_2</v>
      </c>
      <c r="F509" s="4" t="str">
        <f ca="1">VLOOKUP($D509,OFFSET([1]stages!$A$1,0,0,COUNTA([1]stages!$A:$A),MATCH(F$1,[1]stages!$2:$2,0)-MATCH($D$1,[1]stages!$2:$2,0)+1),MATCH(F$1,[1]stages!$2:$2,0)-MATCH($D$1,[1]stages!$2:$2,0)+1,FALSE)</f>
        <v>25-2．剣の舞</v>
      </c>
      <c r="G509" s="57">
        <v>1</v>
      </c>
      <c r="H509" s="17" t="str">
        <f t="shared" si="568"/>
        <v>25_2-1</v>
      </c>
      <c r="I509" s="17"/>
      <c r="J509" s="17"/>
      <c r="K509" s="65" t="s">
        <v>56</v>
      </c>
      <c r="L509" s="52">
        <v>55</v>
      </c>
      <c r="M509" s="21" t="str">
        <f ca="1">VLOOKUP($L509,OFFSET([2]enemies!$A$1,0,0,COUNTA([2]enemies!$A:$A),MATCH(M$1,[2]enemies!$1:$1,0)-MATCH($L$1,[2]enemies!$1:$1,0)+1),MATCH(M$1,[2]enemies!$1:$1,0)-MATCH($L$1,[2]enemies!$1:$1,0)+1,FALSE)</f>
        <v>マミコ</v>
      </c>
      <c r="N509" s="21" t="str">
        <f ca="1">VLOOKUP($L509,OFFSET([2]enemies!$A$1,0,0,COUNTA([2]enemies!$A:$A),MATCH(N$1,[2]enemies!$1:$1,0)-MATCH($L$1,[2]enemies!$1:$1,0)+1),MATCH(N$1,[2]enemies!$1:$1,0)-MATCH($L$1,[2]enemies!$1:$1,0)+1,FALSE)</f>
        <v>yellow</v>
      </c>
      <c r="O509" s="21" t="str">
        <f ca="1">VLOOKUP($L509,OFFSET([3]characters!$A$1,0,0,COUNTA([3]characters!$A:$A),MATCH(O$1,[3]characters!$1:$1,0)-MATCH($L$1,[3]characters!$1:$1,0)+1),MATCH(O$1,[3]characters!$1:$1,0)-MATCH($L$1,[3]characters!$1:$1,0)+1,FALSE)</f>
        <v>Drop1N</v>
      </c>
      <c r="P509" s="21" t="str">
        <f ca="1">VLOOKUP($L509,OFFSET([2]enemies!$A$1,0,0,COUNTA([2]enemies!$A:$A),MATCH(P$1,[2]enemies!$1:$1,0)-MATCH($L$1,[2]enemies!$1:$1,0)+1),MATCH(P$1,[2]enemies!$1:$1,0)-MATCH($L$1,[2]enemies!$1:$1,0)+1,FALSE)</f>
        <v>human</v>
      </c>
      <c r="Q509" s="21">
        <f ca="1">VLOOKUP($L509,OFFSET([2]enemies!$A$1,0,0,COUNTA([2]enemies!$A:$A),MATCH(Q$1,[2]enemies!$1:$1,0)-MATCH($L$1,[2]enemies!$1:$1,0)+1),MATCH(Q$1,[2]enemies!$1:$1,0)-MATCH($L$1,[2]enemies!$1:$1,0)+1,FALSE)</f>
        <v>15</v>
      </c>
      <c r="R509" s="53">
        <v>48</v>
      </c>
      <c r="S509" s="27">
        <v>1</v>
      </c>
      <c r="T509" s="27">
        <v>1</v>
      </c>
      <c r="U509" s="5">
        <v>0</v>
      </c>
      <c r="V509" s="4" t="str">
        <f ca="1">VLOOKUP($W509,OFFSET([4]enemy_skill_sets!$B$1,0,0,COUNTA([4]enemy_skill_sets!$B:$B),MATCH(M$1,[4]enemy_skill_sets!$1:$1,0)-MATCH($W$1,[4]enemy_skill_sets!$1:$1,0)+2),MATCH(M$1,[4]enemy_skill_sets!$1:$1,0)-MATCH($W$1,[4]enemy_skill_sets!$1:$1,0)+2,FALSE)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509" s="4">
        <f ca="1">VLOOKUP($L509,OFFSET([2]enemies!$A$1,0,0,COUNTA([2]enemies!$A:$A),MATCH(W$1,[2]enemies!$1:$1,0)-MATCH($L$1,[2]enemies!$1:$1,0)+1),MATCH(W$1,[2]enemies!$1:$1,0)-MATCH($L$1,[2]enemies!$1:$1,0)+1,FALSE)</f>
        <v>55</v>
      </c>
      <c r="X509" s="6">
        <v>0</v>
      </c>
      <c r="Y509" s="6">
        <v>100</v>
      </c>
      <c r="Z509" s="6">
        <v>0</v>
      </c>
      <c r="AA509" s="4">
        <f ca="1">VLOOKUP($L509,OFFSET([2]enemies!$A$1,0,0,COUNTA([2]enemies!$A:$A),MATCH(AA$1,[2]enemies!$1:$1,0)-MATCH($L$1,[2]enemies!$1:$1,0)+1),MATCH(AA$1,[2]enemies!$1:$1,0)-MATCH($L$1,[2]enemies!$1:$1,0)+1,FALSE)</f>
        <v>4</v>
      </c>
      <c r="AB509" s="52">
        <v>55</v>
      </c>
      <c r="AC509" s="4" t="str">
        <f ca="1">VLOOKUP($AB509,OFFSET([3]characters!$A$1,0,0,COUNTA([3]characters!$A:$A),MATCH(AC$1,[3]characters!$1:$1,0)-MATCH("character_id",[3]characters!$1:$1,0)+1),MATCH(AC$1,[3]characters!$1:$1,0)-MATCH("character_id",[3]characters!$1:$1,0)+1,FALSE)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509" s="4">
        <f ca="1">VLOOKUP($AB509,OFFSET([3]characters!$A$1,0,0,COUNTA([3]characters!$A:$A),MATCH(AD$1,[3]characters!$1:$1,0)-MATCH("character_id",[3]characters!$1:$1,0)+1),MATCH(AD$1,[3]characters!$1:$1,0)-MATCH("character_id",[3]characters!$1:$1,0)+1,FALSE)</f>
        <v>2</v>
      </c>
      <c r="AE509" s="4" t="str">
        <f ca="1">VLOOKUP($AB509,OFFSET([3]characters!$A$1,0,0,COUNTA([3]characters!$A:$A),MATCH(AE$1,[3]characters!$1:$1,0)-MATCH("character_id",[3]characters!$1:$1,0)+1),MATCH(AE$1,[3]characters!$1:$1,0)-MATCH("character_id",[3]characters!$1:$1,0)+1,FALSE)</f>
        <v>Drop1N</v>
      </c>
      <c r="AF509" s="7">
        <v>7</v>
      </c>
      <c r="AG509" s="26">
        <f t="shared" ca="1" si="536"/>
        <v>2</v>
      </c>
      <c r="AH509" s="8">
        <v>20</v>
      </c>
      <c r="AI509" s="7">
        <v>0</v>
      </c>
      <c r="AJ509" s="7">
        <v>0</v>
      </c>
      <c r="AK509" s="7">
        <v>0</v>
      </c>
      <c r="AL509" s="7">
        <v>0</v>
      </c>
      <c r="AM509" s="7">
        <v>1</v>
      </c>
    </row>
    <row r="510" spans="1:39" ht="14" x14ac:dyDescent="0.15">
      <c r="A510" s="18" t="str">
        <f t="shared" ca="1" si="560"/>
        <v>25_2-1/366&lt;lv48&gt;s3</v>
      </c>
      <c r="B510" s="53">
        <v>25</v>
      </c>
      <c r="C510" s="51">
        <v>2</v>
      </c>
      <c r="D510" s="2" t="str">
        <f t="shared" ref="D510" si="569">B510&amp;"_"&amp;C510</f>
        <v>25_2</v>
      </c>
      <c r="E510" s="2" t="str">
        <f t="shared" ref="E510" si="570">C510&amp;"_"&amp;D510</f>
        <v>2_25_2</v>
      </c>
      <c r="F510" s="4" t="str">
        <f ca="1">VLOOKUP($D510,OFFSET([1]stages!$A$1,0,0,COUNTA([1]stages!$A:$A),MATCH(F$1,[1]stages!$2:$2,0)-MATCH($D$1,[1]stages!$2:$2,0)+1),MATCH(F$1,[1]stages!$2:$2,0)-MATCH($D$1,[1]stages!$2:$2,0)+1,FALSE)</f>
        <v>25-2．剣の舞</v>
      </c>
      <c r="G510" s="57">
        <v>1</v>
      </c>
      <c r="H510" s="17" t="str">
        <f t="shared" ref="H510" si="571">B510&amp;"_"&amp;C510&amp;"-"&amp;G510</f>
        <v>25_2-1</v>
      </c>
      <c r="I510" s="17"/>
      <c r="J510" s="17"/>
      <c r="K510" s="65" t="s">
        <v>56</v>
      </c>
      <c r="L510" s="52">
        <v>366</v>
      </c>
      <c r="M510" s="21" t="str">
        <f ca="1">VLOOKUP($L510,OFFSET([2]enemies!$A$1,0,0,COUNTA([2]enemies!$A:$A),MATCH(M$1,[2]enemies!$1:$1,0)-MATCH($L$1,[2]enemies!$1:$1,0)+1),MATCH(M$1,[2]enemies!$1:$1,0)-MATCH($L$1,[2]enemies!$1:$1,0)+1,FALSE)</f>
        <v>トト</v>
      </c>
      <c r="N510" s="21" t="str">
        <f ca="1">VLOOKUP($L510,OFFSET([2]enemies!$A$1,0,0,COUNTA([2]enemies!$A:$A),MATCH(N$1,[2]enemies!$1:$1,0)-MATCH($L$1,[2]enemies!$1:$1,0)+1),MATCH(N$1,[2]enemies!$1:$1,0)-MATCH($L$1,[2]enemies!$1:$1,0)+1,FALSE)</f>
        <v>yellow</v>
      </c>
      <c r="O510" s="21" t="str">
        <f ca="1">VLOOKUP($L510,OFFSET([3]characters!$A$1,0,0,COUNTA([3]characters!$A:$A),MATCH(O$1,[3]characters!$1:$1,0)-MATCH($L$1,[3]characters!$1:$1,0)+1),MATCH(O$1,[3]characters!$1:$1,0)-MATCH($L$1,[3]characters!$1:$1,0)+1,FALSE)</f>
        <v>Drop1S</v>
      </c>
      <c r="P510" s="21" t="str">
        <f ca="1">VLOOKUP($L510,OFFSET([2]enemies!$A$1,0,0,COUNTA([2]enemies!$A:$A),MATCH(P$1,[2]enemies!$1:$1,0)-MATCH($L$1,[2]enemies!$1:$1,0)+1),MATCH(P$1,[2]enemies!$1:$1,0)-MATCH($L$1,[2]enemies!$1:$1,0)+1,FALSE)</f>
        <v>animal</v>
      </c>
      <c r="Q510" s="21">
        <f ca="1">VLOOKUP($L510,OFFSET([2]enemies!$A$1,0,0,COUNTA([2]enemies!$A:$A),MATCH(Q$1,[2]enemies!$1:$1,0)-MATCH($L$1,[2]enemies!$1:$1,0)+1),MATCH(Q$1,[2]enemies!$1:$1,0)-MATCH($L$1,[2]enemies!$1:$1,0)+1,FALSE)</f>
        <v>15</v>
      </c>
      <c r="R510" s="53">
        <v>48</v>
      </c>
      <c r="S510" s="27">
        <v>1</v>
      </c>
      <c r="T510" s="27">
        <v>1</v>
      </c>
      <c r="U510" s="5">
        <v>0</v>
      </c>
      <c r="V510" s="4" t="str">
        <f ca="1">VLOOKUP($W510,OFFSET([4]enemy_skill_sets!$B$1,0,0,COUNTA([4]enemy_skill_sets!$B:$B),MATCH(M$1,[4]enemy_skill_sets!$1:$1,0)-MATCH($W$1,[4]enemy_skill_sets!$1:$1,0)+2),MATCH(M$1,[4]enemy_skill_sets!$1:$1,0)-MATCH($W$1,[4]enemy_skill_sets!$1:$1,0)+2,FALSE)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510" s="64">
        <v>366</v>
      </c>
      <c r="X510" s="6">
        <v>0</v>
      </c>
      <c r="Y510" s="6">
        <v>100</v>
      </c>
      <c r="Z510" s="6">
        <v>0</v>
      </c>
      <c r="AA510" s="4">
        <f ca="1">VLOOKUP($L510,OFFSET([2]enemies!$A$1,0,0,COUNTA([2]enemies!$A:$A),MATCH(AA$1,[2]enemies!$1:$1,0)-MATCH($L$1,[2]enemies!$1:$1,0)+1),MATCH(AA$1,[2]enemies!$1:$1,0)-MATCH($L$1,[2]enemies!$1:$1,0)+1,FALSE)</f>
        <v>3</v>
      </c>
      <c r="AB510" s="52">
        <v>366</v>
      </c>
      <c r="AC510" s="4" t="str">
        <f ca="1">VLOOKUP($AB510,OFFSET([3]characters!$A$1,0,0,COUNTA([3]characters!$A:$A),MATCH(AC$1,[3]characters!$1:$1,0)-MATCH("character_id",[3]characters!$1:$1,0)+1),MATCH(AC$1,[3]characters!$1:$1,0)-MATCH("character_id",[3]characters!$1:$1,0)+1,FALSE)</f>
        <v>トト</v>
      </c>
      <c r="AD510" s="4">
        <f ca="1">VLOOKUP($AB510,OFFSET([3]characters!$A$1,0,0,COUNTA([3]characters!$A:$A),MATCH(AD$1,[3]characters!$1:$1,0)-MATCH("character_id",[3]characters!$1:$1,0)+1),MATCH(AD$1,[3]characters!$1:$1,0)-MATCH("character_id",[3]characters!$1:$1,0)+1,FALSE)</f>
        <v>2</v>
      </c>
      <c r="AE510" s="4" t="str">
        <f ca="1">VLOOKUP($AB510,OFFSET([3]characters!$A$1,0,0,COUNTA([3]characters!$A:$A),MATCH(AE$1,[3]characters!$1:$1,0)-MATCH("character_id",[3]characters!$1:$1,0)+1),MATCH(AE$1,[3]characters!$1:$1,0)-MATCH("character_id",[3]characters!$1:$1,0)+1,FALSE)</f>
        <v>Drop1S</v>
      </c>
      <c r="AF510" s="7">
        <v>7</v>
      </c>
      <c r="AG510" s="26">
        <f t="shared" ca="1" si="536"/>
        <v>2</v>
      </c>
      <c r="AH510" s="8">
        <v>20</v>
      </c>
      <c r="AI510" s="7">
        <v>0</v>
      </c>
      <c r="AJ510" s="7">
        <v>0</v>
      </c>
      <c r="AK510" s="7">
        <v>0</v>
      </c>
      <c r="AL510" s="7">
        <v>0</v>
      </c>
      <c r="AM510" s="7">
        <v>1</v>
      </c>
    </row>
    <row r="511" spans="1:39" ht="14" x14ac:dyDescent="0.15">
      <c r="A511" s="18" t="str">
        <f t="shared" ca="1" si="560"/>
        <v>25_2-1/352&lt;lv48&gt;s3</v>
      </c>
      <c r="B511" s="53">
        <v>25</v>
      </c>
      <c r="C511" s="51">
        <v>2</v>
      </c>
      <c r="D511" s="2" t="str">
        <f t="shared" ref="D511" si="572">B511&amp;"_"&amp;C511</f>
        <v>25_2</v>
      </c>
      <c r="E511" s="2" t="str">
        <f t="shared" ref="E511" si="573">C511&amp;"_"&amp;D511</f>
        <v>2_25_2</v>
      </c>
      <c r="F511" s="4" t="str">
        <f ca="1">VLOOKUP($D511,OFFSET([1]stages!$A$1,0,0,COUNTA([1]stages!$A:$A),MATCH(F$1,[1]stages!$2:$2,0)-MATCH($D$1,[1]stages!$2:$2,0)+1),MATCH(F$1,[1]stages!$2:$2,0)-MATCH($D$1,[1]stages!$2:$2,0)+1,FALSE)</f>
        <v>25-2．剣の舞</v>
      </c>
      <c r="G511" s="57">
        <v>1</v>
      </c>
      <c r="H511" s="17" t="str">
        <f t="shared" ref="H511" si="574">B511&amp;"_"&amp;C511&amp;"-"&amp;G511</f>
        <v>25_2-1</v>
      </c>
      <c r="I511" s="17"/>
      <c r="J511" s="17"/>
      <c r="K511" s="65" t="s">
        <v>56</v>
      </c>
      <c r="L511" s="52">
        <v>352</v>
      </c>
      <c r="M511" s="21" t="str">
        <f ca="1">VLOOKUP($L511,OFFSET([2]enemies!$A$1,0,0,COUNTA([2]enemies!$A:$A),MATCH(M$1,[2]enemies!$1:$1,0)-MATCH($L$1,[2]enemies!$1:$1,0)+1),MATCH(M$1,[2]enemies!$1:$1,0)-MATCH($L$1,[2]enemies!$1:$1,0)+1,FALSE)</f>
        <v>水のケロケロ</v>
      </c>
      <c r="N511" s="21" t="str">
        <f ca="1">VLOOKUP($L511,OFFSET([2]enemies!$A$1,0,0,COUNTA([2]enemies!$A:$A),MATCH(N$1,[2]enemies!$1:$1,0)-MATCH($L$1,[2]enemies!$1:$1,0)+1),MATCH(N$1,[2]enemies!$1:$1,0)-MATCH($L$1,[2]enemies!$1:$1,0)+1,FALSE)</f>
        <v>blue</v>
      </c>
      <c r="O511" s="21" t="str">
        <f ca="1">VLOOKUP($L511,OFFSET([3]characters!$A$1,0,0,COUNTA([3]characters!$A:$A),MATCH(O$1,[3]characters!$1:$1,0)-MATCH($L$1,[3]characters!$1:$1,0)+1),MATCH(O$1,[3]characters!$1:$1,0)-MATCH($L$1,[3]characters!$1:$1,0)+1,FALSE)</f>
        <v>Material</v>
      </c>
      <c r="P511" s="21" t="str">
        <f ca="1">VLOOKUP($L511,OFFSET([2]enemies!$A$1,0,0,COUNTA([2]enemies!$A:$A),MATCH(P$1,[2]enemies!$1:$1,0)-MATCH($L$1,[2]enemies!$1:$1,0)+1),MATCH(P$1,[2]enemies!$1:$1,0)-MATCH($L$1,[2]enemies!$1:$1,0)+1,FALSE)</f>
        <v>unknown</v>
      </c>
      <c r="Q511" s="21">
        <f ca="1">VLOOKUP($L511,OFFSET([2]enemies!$A$1,0,0,COUNTA([2]enemies!$A:$A),MATCH(Q$1,[2]enemies!$1:$1,0)-MATCH($L$1,[2]enemies!$1:$1,0)+1),MATCH(Q$1,[2]enemies!$1:$1,0)-MATCH($L$1,[2]enemies!$1:$1,0)+1,FALSE)</f>
        <v>15</v>
      </c>
      <c r="R511" s="53">
        <v>48</v>
      </c>
      <c r="S511" s="27">
        <v>1</v>
      </c>
      <c r="T511" s="27">
        <v>1</v>
      </c>
      <c r="U511" s="5">
        <v>0</v>
      </c>
      <c r="V511" s="4" t="str">
        <f ca="1">VLOOKUP($W511,OFFSET([4]enemy_skill_sets!$B$1,0,0,COUNTA([4]enemy_skill_sets!$B:$B),MATCH(M$1,[4]enemy_skill_sets!$1:$1,0)-MATCH($W$1,[4]enemy_skill_sets!$1:$1,0)+2),MATCH(M$1,[4]enemy_skill_sets!$1:$1,0)-MATCH($W$1,[4]enemy_skill_sets!$1:$1,0)+2,FALSE)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11" s="64">
        <v>352</v>
      </c>
      <c r="X511" s="6">
        <v>0</v>
      </c>
      <c r="Y511" s="6">
        <v>100</v>
      </c>
      <c r="Z511" s="6">
        <v>0</v>
      </c>
      <c r="AA511" s="4">
        <f ca="1">VLOOKUP($L511,OFFSET([2]enemies!$A$1,0,0,COUNTA([2]enemies!$A:$A),MATCH(AA$1,[2]enemies!$1:$1,0)-MATCH($L$1,[2]enemies!$1:$1,0)+1),MATCH(AA$1,[2]enemies!$1:$1,0)-MATCH($L$1,[2]enemies!$1:$1,0)+1,FALSE)</f>
        <v>3</v>
      </c>
      <c r="AB511" s="52">
        <v>352</v>
      </c>
      <c r="AC511" s="4" t="str">
        <f ca="1">VLOOKUP($AB511,OFFSET([3]characters!$A$1,0,0,COUNTA([3]characters!$A:$A),MATCH(AC$1,[3]characters!$1:$1,0)-MATCH("character_id",[3]characters!$1:$1,0)+1),MATCH(AC$1,[3]characters!$1:$1,0)-MATCH("character_id",[3]characters!$1:$1,0)+1,FALSE)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11" s="4">
        <f ca="1">VLOOKUP($AB511,OFFSET([3]characters!$A$1,0,0,COUNTA([3]characters!$A:$A),MATCH(AD$1,[3]characters!$1:$1,0)-MATCH("character_id",[3]characters!$1:$1,0)+1),MATCH(AD$1,[3]characters!$1:$1,0)-MATCH("character_id",[3]characters!$1:$1,0)+1,FALSE)</f>
        <v>2</v>
      </c>
      <c r="AE511" s="4" t="str">
        <f ca="1">VLOOKUP($AB511,OFFSET([3]characters!$A$1,0,0,COUNTA([3]characters!$A:$A),MATCH(AE$1,[3]characters!$1:$1,0)-MATCH("character_id",[3]characters!$1:$1,0)+1),MATCH(AE$1,[3]characters!$1:$1,0)-MATCH("character_id",[3]characters!$1:$1,0)+1,FALSE)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11" s="7">
        <v>10</v>
      </c>
      <c r="AG511" s="26">
        <f t="shared" ca="1" si="536"/>
        <v>2</v>
      </c>
      <c r="AH511" s="8">
        <v>20</v>
      </c>
      <c r="AI511" s="7">
        <v>0</v>
      </c>
      <c r="AJ511" s="7">
        <v>0</v>
      </c>
      <c r="AK511" s="7">
        <v>0</v>
      </c>
      <c r="AL511" s="7">
        <v>0</v>
      </c>
      <c r="AM511" s="7">
        <v>1</v>
      </c>
    </row>
    <row r="512" spans="1:39" ht="14" x14ac:dyDescent="0.15">
      <c r="A512" s="18" t="str">
        <f t="shared" ca="1" si="560"/>
        <v>25_2-2/25&lt;lv48&gt;s3</v>
      </c>
      <c r="B512" s="50">
        <v>25</v>
      </c>
      <c r="C512" s="49">
        <v>2</v>
      </c>
      <c r="D512" s="2" t="str">
        <f t="shared" si="567"/>
        <v>25_2</v>
      </c>
      <c r="E512" s="2" t="str">
        <f t="shared" si="567"/>
        <v>2_25_2</v>
      </c>
      <c r="F512" s="4" t="str">
        <f ca="1">VLOOKUP($D512,OFFSET([1]stages!$A$1,0,0,COUNTA([1]stages!$A:$A),MATCH(F$1,[1]stages!$2:$2,0)-MATCH($D$1,[1]stages!$2:$2,0)+1),MATCH(F$1,[1]stages!$2:$2,0)-MATCH($D$1,[1]stages!$2:$2,0)+1,FALSE)</f>
        <v>25-2．剣の舞</v>
      </c>
      <c r="G512" s="54">
        <v>2</v>
      </c>
      <c r="H512" s="17" t="str">
        <f t="shared" si="568"/>
        <v>25_2-2</v>
      </c>
      <c r="I512" s="17"/>
      <c r="J512" s="17"/>
      <c r="K512" s="65" t="s">
        <v>56</v>
      </c>
      <c r="L512" s="52">
        <v>25</v>
      </c>
      <c r="M512" s="21" t="str">
        <f ca="1">VLOOKUP($L512,OFFSET([2]enemies!$A$1,0,0,COUNTA([2]enemies!$A:$A),MATCH(M$1,[2]enemies!$1:$1,0)-MATCH($L$1,[2]enemies!$1:$1,0)+1),MATCH(M$1,[2]enemies!$1:$1,0)-MATCH($L$1,[2]enemies!$1:$1,0)+1,FALSE)</f>
        <v>ハチ</v>
      </c>
      <c r="N512" s="21" t="str">
        <f ca="1">VLOOKUP($L512,OFFSET([2]enemies!$A$1,0,0,COUNTA([2]enemies!$A:$A),MATCH(N$1,[2]enemies!$1:$1,0)-MATCH($L$1,[2]enemies!$1:$1,0)+1),MATCH(N$1,[2]enemies!$1:$1,0)-MATCH($L$1,[2]enemies!$1:$1,0)+1,FALSE)</f>
        <v>blue</v>
      </c>
      <c r="O512" s="21" t="str">
        <f ca="1">VLOOKUP($L512,OFFSET([3]characters!$A$1,0,0,COUNTA([3]characters!$A:$A),MATCH(O$1,[3]characters!$1:$1,0)-MATCH($L$1,[3]characters!$1:$1,0)+1),MATCH(O$1,[3]characters!$1:$1,0)-MATCH($L$1,[3]characters!$1:$1,0)+1,FALSE)</f>
        <v>Drop1N</v>
      </c>
      <c r="P512" s="21" t="str">
        <f ca="1">VLOOKUP($L512,OFFSET([2]enemies!$A$1,0,0,COUNTA([2]enemies!$A:$A),MATCH(P$1,[2]enemies!$1:$1,0)-MATCH($L$1,[2]enemies!$1:$1,0)+1),MATCH(P$1,[2]enemies!$1:$1,0)-MATCH($L$1,[2]enemies!$1:$1,0)+1,FALSE)</f>
        <v>animal</v>
      </c>
      <c r="Q512" s="21">
        <f ca="1">VLOOKUP($L512,OFFSET([2]enemies!$A$1,0,0,COUNTA([2]enemies!$A:$A),MATCH(Q$1,[2]enemies!$1:$1,0)-MATCH($L$1,[2]enemies!$1:$1,0)+1),MATCH(Q$1,[2]enemies!$1:$1,0)-MATCH($L$1,[2]enemies!$1:$1,0)+1,FALSE)</f>
        <v>15</v>
      </c>
      <c r="R512" s="53">
        <v>48</v>
      </c>
      <c r="S512" s="27">
        <v>1</v>
      </c>
      <c r="T512" s="27">
        <v>1</v>
      </c>
      <c r="U512" s="5">
        <v>0</v>
      </c>
      <c r="V512" s="4" t="str">
        <f ca="1">VLOOKUP($W512,OFFSET([4]enemy_skill_sets!$B$1,0,0,COUNTA([4]enemy_skill_sets!$B:$B),MATCH(M$1,[4]enemy_skill_sets!$1:$1,0)-MATCH($W$1,[4]enemy_skill_sets!$1:$1,0)+2),MATCH(M$1,[4]enemy_skill_sets!$1:$1,0)-MATCH($W$1,[4]enemy_skill_sets!$1:$1,0)+2,FALSE)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12" s="4">
        <f ca="1">VLOOKUP($L512,OFFSET([2]enemies!$A$1,0,0,COUNTA([2]enemies!$A:$A),MATCH(W$1,[2]enemies!$1:$1,0)-MATCH($L$1,[2]enemies!$1:$1,0)+1),MATCH(W$1,[2]enemies!$1:$1,0)-MATCH($L$1,[2]enemies!$1:$1,0)+1,FALSE)</f>
        <v>0</v>
      </c>
      <c r="X512" s="6">
        <v>0</v>
      </c>
      <c r="Y512" s="6">
        <v>100</v>
      </c>
      <c r="Z512" s="6">
        <v>0</v>
      </c>
      <c r="AA512" s="4">
        <f ca="1">VLOOKUP($L512,OFFSET([2]enemies!$A$1,0,0,COUNTA([2]enemies!$A:$A),MATCH(AA$1,[2]enemies!$1:$1,0)-MATCH($L$1,[2]enemies!$1:$1,0)+1),MATCH(AA$1,[2]enemies!$1:$1,0)-MATCH($L$1,[2]enemies!$1:$1,0)+1,FALSE)</f>
        <v>3</v>
      </c>
      <c r="AB512" s="52">
        <v>25</v>
      </c>
      <c r="AC512" s="4" t="str">
        <f ca="1">VLOOKUP($AB512,OFFSET([3]characters!$A$1,0,0,COUNTA([3]characters!$A:$A),MATCH(AC$1,[3]characters!$1:$1,0)-MATCH("character_id",[3]characters!$1:$1,0)+1),MATCH(AC$1,[3]characters!$1:$1,0)-MATCH("character_id",[3]characters!$1:$1,0)+1,FALSE)</f>
        <v>ハチ</v>
      </c>
      <c r="AD512" s="4">
        <f ca="1">VLOOKUP($AB512,OFFSET([3]characters!$A$1,0,0,COUNTA([3]characters!$A:$A),MATCH(AD$1,[3]characters!$1:$1,0)-MATCH("character_id",[3]characters!$1:$1,0)+1),MATCH(AD$1,[3]characters!$1:$1,0)-MATCH("character_id",[3]characters!$1:$1,0)+1,FALSE)</f>
        <v>1</v>
      </c>
      <c r="AE512" s="4" t="str">
        <f ca="1">VLOOKUP($AB512,OFFSET([3]characters!$A$1,0,0,COUNTA([3]characters!$A:$A),MATCH(AE$1,[3]characters!$1:$1,0)-MATCH("character_id",[3]characters!$1:$1,0)+1),MATCH(AE$1,[3]characters!$1:$1,0)-MATCH("character_id",[3]characters!$1:$1,0)+1,FALSE)</f>
        <v>Drop1N</v>
      </c>
      <c r="AF512" s="7">
        <v>7</v>
      </c>
      <c r="AG512" s="26">
        <f t="shared" ca="1" si="536"/>
        <v>1</v>
      </c>
      <c r="AH512" s="8">
        <v>20</v>
      </c>
      <c r="AI512" s="7">
        <v>0</v>
      </c>
      <c r="AJ512" s="7">
        <v>0</v>
      </c>
      <c r="AK512" s="7">
        <v>0</v>
      </c>
      <c r="AL512" s="7">
        <v>0</v>
      </c>
      <c r="AM512" s="7">
        <v>1</v>
      </c>
    </row>
    <row r="513" spans="1:39" ht="14" x14ac:dyDescent="0.15">
      <c r="A513" s="18" t="str">
        <f t="shared" ca="1" si="560"/>
        <v>25_2-2/37&lt;lv48&gt;s3</v>
      </c>
      <c r="B513" s="50">
        <v>25</v>
      </c>
      <c r="C513" s="49">
        <v>2</v>
      </c>
      <c r="D513" s="2" t="str">
        <f t="shared" si="567"/>
        <v>25_2</v>
      </c>
      <c r="E513" s="2" t="str">
        <f t="shared" si="567"/>
        <v>2_25_2</v>
      </c>
      <c r="F513" s="4" t="str">
        <f ca="1">VLOOKUP($D513,OFFSET([1]stages!$A$1,0,0,COUNTA([1]stages!$A:$A),MATCH(F$1,[1]stages!$2:$2,0)-MATCH($D$1,[1]stages!$2:$2,0)+1),MATCH(F$1,[1]stages!$2:$2,0)-MATCH($D$1,[1]stages!$2:$2,0)+1,FALSE)</f>
        <v>25-2．剣の舞</v>
      </c>
      <c r="G513" s="54">
        <v>2</v>
      </c>
      <c r="H513" s="17" t="str">
        <f t="shared" si="568"/>
        <v>25_2-2</v>
      </c>
      <c r="I513" s="17"/>
      <c r="J513" s="17"/>
      <c r="K513" s="65" t="s">
        <v>56</v>
      </c>
      <c r="L513" s="52">
        <v>37</v>
      </c>
      <c r="M513" s="21" t="str">
        <f ca="1">VLOOKUP($L513,OFFSET([2]enemies!$A$1,0,0,COUNTA([2]enemies!$A:$A),MATCH(M$1,[2]enemies!$1:$1,0)-MATCH($L$1,[2]enemies!$1:$1,0)+1),MATCH(M$1,[2]enemies!$1:$1,0)-MATCH($L$1,[2]enemies!$1:$1,0)+1,FALSE)</f>
        <v>ガイル</v>
      </c>
      <c r="N513" s="21" t="str">
        <f ca="1">VLOOKUP($L513,OFFSET([2]enemies!$A$1,0,0,COUNTA([2]enemies!$A:$A),MATCH(N$1,[2]enemies!$1:$1,0)-MATCH($L$1,[2]enemies!$1:$1,0)+1),MATCH(N$1,[2]enemies!$1:$1,0)-MATCH($L$1,[2]enemies!$1:$1,0)+1,FALSE)</f>
        <v>blue</v>
      </c>
      <c r="O513" s="21" t="str">
        <f ca="1">VLOOKUP($L513,OFFSET([3]characters!$A$1,0,0,COUNTA([3]characters!$A:$A),MATCH(O$1,[3]characters!$1:$1,0)-MATCH($L$1,[3]characters!$1:$1,0)+1),MATCH(O$1,[3]characters!$1:$1,0)-MATCH($L$1,[3]characters!$1:$1,0)+1,FALSE)</f>
        <v>Drop1S</v>
      </c>
      <c r="P513" s="21" t="str">
        <f ca="1">VLOOKUP($L513,OFFSET([2]enemies!$A$1,0,0,COUNTA([2]enemies!$A:$A),MATCH(P$1,[2]enemies!$1:$1,0)-MATCH($L$1,[2]enemies!$1:$1,0)+1),MATCH(P$1,[2]enemies!$1:$1,0)-MATCH($L$1,[2]enemies!$1:$1,0)+1,FALSE)</f>
        <v>animal</v>
      </c>
      <c r="Q513" s="21">
        <f ca="1">VLOOKUP($L513,OFFSET([2]enemies!$A$1,0,0,COUNTA([2]enemies!$A:$A),MATCH(Q$1,[2]enemies!$1:$1,0)-MATCH($L$1,[2]enemies!$1:$1,0)+1),MATCH(Q$1,[2]enemies!$1:$1,0)-MATCH($L$1,[2]enemies!$1:$1,0)+1,FALSE)</f>
        <v>15</v>
      </c>
      <c r="R513" s="53">
        <v>48</v>
      </c>
      <c r="S513" s="27">
        <v>1</v>
      </c>
      <c r="T513" s="27">
        <v>1</v>
      </c>
      <c r="U513" s="5">
        <v>0</v>
      </c>
      <c r="V513" s="4" t="str">
        <f ca="1">VLOOKUP($W513,OFFSET([4]enemy_skill_sets!$B$1,0,0,COUNTA([4]enemy_skill_sets!$B:$B),MATCH(M$1,[4]enemy_skill_sets!$1:$1,0)-MATCH($W$1,[4]enemy_skill_sets!$1:$1,0)+2),MATCH(M$1,[4]enemy_skill_sets!$1:$1,0)-MATCH($W$1,[4]enemy_skill_sets!$1:$1,0)+2,FALSE)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513" s="4">
        <f ca="1">VLOOKUP($L513,OFFSET([2]enemies!$A$1,0,0,COUNTA([2]enemies!$A:$A),MATCH(W$1,[2]enemies!$1:$1,0)-MATCH($L$1,[2]enemies!$1:$1,0)+1),MATCH(W$1,[2]enemies!$1:$1,0)-MATCH($L$1,[2]enemies!$1:$1,0)+1,FALSE)</f>
        <v>37</v>
      </c>
      <c r="X513" s="6">
        <v>0</v>
      </c>
      <c r="Y513" s="6">
        <v>100</v>
      </c>
      <c r="Z513" s="6">
        <v>0</v>
      </c>
      <c r="AA513" s="4">
        <f ca="1">VLOOKUP($L513,OFFSET([2]enemies!$A$1,0,0,COUNTA([2]enemies!$A:$A),MATCH(AA$1,[2]enemies!$1:$1,0)-MATCH($L$1,[2]enemies!$1:$1,0)+1),MATCH(AA$1,[2]enemies!$1:$1,0)-MATCH($L$1,[2]enemies!$1:$1,0)+1,FALSE)</f>
        <v>3</v>
      </c>
      <c r="AB513" s="52">
        <v>37</v>
      </c>
      <c r="AC513" s="4" t="str">
        <f ca="1">VLOOKUP($AB513,OFFSET([3]characters!$A$1,0,0,COUNTA([3]characters!$A:$A),MATCH(AC$1,[3]characters!$1:$1,0)-MATCH("character_id",[3]characters!$1:$1,0)+1),MATCH(AC$1,[3]characters!$1:$1,0)-MATCH("character_id",[3]characters!$1:$1,0)+1,FALSE)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513" s="4">
        <f ca="1">VLOOKUP($AB513,OFFSET([3]characters!$A$1,0,0,COUNTA([3]characters!$A:$A),MATCH(AD$1,[3]characters!$1:$1,0)-MATCH("character_id",[3]characters!$1:$1,0)+1),MATCH(AD$1,[3]characters!$1:$1,0)-MATCH("character_id",[3]characters!$1:$1,0)+1,FALSE)</f>
        <v>2</v>
      </c>
      <c r="AE513" s="4" t="str">
        <f ca="1">VLOOKUP($AB513,OFFSET([3]characters!$A$1,0,0,COUNTA([3]characters!$A:$A),MATCH(AE$1,[3]characters!$1:$1,0)-MATCH("character_id",[3]characters!$1:$1,0)+1),MATCH(AE$1,[3]characters!$1:$1,0)-MATCH("character_id",[3]characters!$1:$1,0)+1,FALSE)</f>
        <v>Drop1S</v>
      </c>
      <c r="AF513" s="7">
        <v>5</v>
      </c>
      <c r="AG513" s="26">
        <f t="shared" ca="1" si="536"/>
        <v>2</v>
      </c>
      <c r="AH513" s="8">
        <v>20</v>
      </c>
      <c r="AI513" s="7">
        <v>0</v>
      </c>
      <c r="AJ513" s="7">
        <v>0</v>
      </c>
      <c r="AK513" s="7">
        <v>0</v>
      </c>
      <c r="AL513" s="7">
        <v>0</v>
      </c>
      <c r="AM513" s="7">
        <v>1</v>
      </c>
    </row>
    <row r="514" spans="1:39" ht="14" x14ac:dyDescent="0.15">
      <c r="A514" s="18" t="str">
        <f t="shared" ca="1" si="560"/>
        <v>25_2-2/45&lt;lv48&gt;s3</v>
      </c>
      <c r="B514" s="50">
        <v>25</v>
      </c>
      <c r="C514" s="49">
        <v>2</v>
      </c>
      <c r="D514" s="2" t="str">
        <f t="shared" si="567"/>
        <v>25_2</v>
      </c>
      <c r="E514" s="2" t="str">
        <f t="shared" si="567"/>
        <v>2_25_2</v>
      </c>
      <c r="F514" s="4" t="str">
        <f ca="1">VLOOKUP($D514,OFFSET([1]stages!$A$1,0,0,COUNTA([1]stages!$A:$A),MATCH(F$1,[1]stages!$2:$2,0)-MATCH($D$1,[1]stages!$2:$2,0)+1),MATCH(F$1,[1]stages!$2:$2,0)-MATCH($D$1,[1]stages!$2:$2,0)+1,FALSE)</f>
        <v>25-2．剣の舞</v>
      </c>
      <c r="G514" s="54">
        <v>2</v>
      </c>
      <c r="H514" s="17" t="str">
        <f t="shared" si="568"/>
        <v>25_2-2</v>
      </c>
      <c r="I514" s="17"/>
      <c r="J514" s="17"/>
      <c r="K514" s="65" t="s">
        <v>56</v>
      </c>
      <c r="L514" s="52">
        <v>45</v>
      </c>
      <c r="M514" s="21" t="str">
        <f ca="1">VLOOKUP($L514,OFFSET([2]enemies!$A$1,0,0,COUNTA([2]enemies!$A:$A),MATCH(M$1,[2]enemies!$1:$1,0)-MATCH($L$1,[2]enemies!$1:$1,0)+1),MATCH(M$1,[2]enemies!$1:$1,0)-MATCH($L$1,[2]enemies!$1:$1,0)+1,FALSE)</f>
        <v>ショウイン</v>
      </c>
      <c r="N514" s="21" t="str">
        <f ca="1">VLOOKUP($L514,OFFSET([2]enemies!$A$1,0,0,COUNTA([2]enemies!$A:$A),MATCH(N$1,[2]enemies!$1:$1,0)-MATCH($L$1,[2]enemies!$1:$1,0)+1),MATCH(N$1,[2]enemies!$1:$1,0)-MATCH($L$1,[2]enemies!$1:$1,0)+1,FALSE)</f>
        <v>blue</v>
      </c>
      <c r="O514" s="21" t="str">
        <f ca="1">VLOOKUP($L514,OFFSET([3]characters!$A$1,0,0,COUNTA([3]characters!$A:$A),MATCH(O$1,[3]characters!$1:$1,0)-MATCH($L$1,[3]characters!$1:$1,0)+1),MATCH(O$1,[3]characters!$1:$1,0)-MATCH($L$1,[3]characters!$1:$1,0)+1,FALSE)</f>
        <v>Drop1N</v>
      </c>
      <c r="P514" s="21" t="str">
        <f ca="1">VLOOKUP($L514,OFFSET([2]enemies!$A$1,0,0,COUNTA([2]enemies!$A:$A),MATCH(P$1,[2]enemies!$1:$1,0)-MATCH($L$1,[2]enemies!$1:$1,0)+1),MATCH(P$1,[2]enemies!$1:$1,0)-MATCH($L$1,[2]enemies!$1:$1,0)+1,FALSE)</f>
        <v>animal</v>
      </c>
      <c r="Q514" s="21">
        <f ca="1">VLOOKUP($L514,OFFSET([2]enemies!$A$1,0,0,COUNTA([2]enemies!$A:$A),MATCH(Q$1,[2]enemies!$1:$1,0)-MATCH($L$1,[2]enemies!$1:$1,0)+1),MATCH(Q$1,[2]enemies!$1:$1,0)-MATCH($L$1,[2]enemies!$1:$1,0)+1,FALSE)</f>
        <v>15</v>
      </c>
      <c r="R514" s="53">
        <v>48</v>
      </c>
      <c r="S514" s="27">
        <v>1</v>
      </c>
      <c r="T514" s="27">
        <v>1</v>
      </c>
      <c r="U514" s="5">
        <v>0</v>
      </c>
      <c r="V514" s="4" t="str">
        <f ca="1">VLOOKUP($W514,OFFSET([4]enemy_skill_sets!$B$1,0,0,COUNTA([4]enemy_skill_sets!$B:$B),MATCH(M$1,[4]enemy_skill_sets!$1:$1,0)-MATCH($W$1,[4]enemy_skill_sets!$1:$1,0)+2),MATCH(M$1,[4]enemy_skill_sets!$1:$1,0)-MATCH($W$1,[4]enemy_skill_sets!$1:$1,0)+2,FALSE)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14" s="4">
        <f ca="1">VLOOKUP($L514,OFFSET([2]enemies!$A$1,0,0,COUNTA([2]enemies!$A:$A),MATCH(W$1,[2]enemies!$1:$1,0)-MATCH($L$1,[2]enemies!$1:$1,0)+1),MATCH(W$1,[2]enemies!$1:$1,0)-MATCH($L$1,[2]enemies!$1:$1,0)+1,FALSE)</f>
        <v>0</v>
      </c>
      <c r="X514" s="6">
        <v>0</v>
      </c>
      <c r="Y514" s="6">
        <v>100</v>
      </c>
      <c r="Z514" s="6">
        <v>0</v>
      </c>
      <c r="AA514" s="4">
        <f ca="1">VLOOKUP($L514,OFFSET([2]enemies!$A$1,0,0,COUNTA([2]enemies!$A:$A),MATCH(AA$1,[2]enemies!$1:$1,0)-MATCH($L$1,[2]enemies!$1:$1,0)+1),MATCH(AA$1,[2]enemies!$1:$1,0)-MATCH($L$1,[2]enemies!$1:$1,0)+1,FALSE)</f>
        <v>3</v>
      </c>
      <c r="AB514" s="52">
        <v>45</v>
      </c>
      <c r="AC514" s="4" t="str">
        <f ca="1">VLOOKUP($AB514,OFFSET([3]characters!$A$1,0,0,COUNTA([3]characters!$A:$A),MATCH(AC$1,[3]characters!$1:$1,0)-MATCH("character_id",[3]characters!$1:$1,0)+1),MATCH(AC$1,[3]characters!$1:$1,0)-MATCH("character_id",[3]characters!$1:$1,0)+1,FALSE)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514" s="4">
        <f ca="1">VLOOKUP($AB514,OFFSET([3]characters!$A$1,0,0,COUNTA([3]characters!$A:$A),MATCH(AD$1,[3]characters!$1:$1,0)-MATCH("character_id",[3]characters!$1:$1,0)+1),MATCH(AD$1,[3]characters!$1:$1,0)-MATCH("character_id",[3]characters!$1:$1,0)+1,FALSE)</f>
        <v>2</v>
      </c>
      <c r="AE514" s="4" t="str">
        <f ca="1">VLOOKUP($AB514,OFFSET([3]characters!$A$1,0,0,COUNTA([3]characters!$A:$A),MATCH(AE$1,[3]characters!$1:$1,0)-MATCH("character_id",[3]characters!$1:$1,0)+1),MATCH(AE$1,[3]characters!$1:$1,0)-MATCH("character_id",[3]characters!$1:$1,0)+1,FALSE)</f>
        <v>Drop1N</v>
      </c>
      <c r="AF514" s="7">
        <v>7</v>
      </c>
      <c r="AG514" s="26">
        <f t="shared" ca="1" si="536"/>
        <v>2</v>
      </c>
      <c r="AH514" s="8">
        <v>20</v>
      </c>
      <c r="AI514" s="7">
        <v>0</v>
      </c>
      <c r="AJ514" s="7">
        <v>0</v>
      </c>
      <c r="AK514" s="7">
        <v>0</v>
      </c>
      <c r="AL514" s="7">
        <v>0</v>
      </c>
      <c r="AM514" s="7">
        <v>1</v>
      </c>
    </row>
    <row r="515" spans="1:39" ht="14" x14ac:dyDescent="0.15">
      <c r="A515" s="18" t="str">
        <f t="shared" ca="1" si="560"/>
        <v>25_2-2/61&lt;lv48&gt;s2</v>
      </c>
      <c r="B515" s="50">
        <v>25</v>
      </c>
      <c r="C515" s="49">
        <v>2</v>
      </c>
      <c r="D515" s="2" t="str">
        <f t="shared" si="567"/>
        <v>25_2</v>
      </c>
      <c r="E515" s="2" t="str">
        <f t="shared" si="567"/>
        <v>2_25_2</v>
      </c>
      <c r="F515" s="4" t="str">
        <f ca="1">VLOOKUP($D515,OFFSET([1]stages!$A$1,0,0,COUNTA([1]stages!$A:$A),MATCH(F$1,[1]stages!$2:$2,0)-MATCH($D$1,[1]stages!$2:$2,0)+1),MATCH(F$1,[1]stages!$2:$2,0)-MATCH($D$1,[1]stages!$2:$2,0)+1,FALSE)</f>
        <v>25-2．剣の舞</v>
      </c>
      <c r="G515" s="54">
        <v>2</v>
      </c>
      <c r="H515" s="17" t="str">
        <f t="shared" si="568"/>
        <v>25_2-2</v>
      </c>
      <c r="I515" s="17"/>
      <c r="J515" s="17"/>
      <c r="K515" s="65" t="s">
        <v>56</v>
      </c>
      <c r="L515" s="52">
        <v>61</v>
      </c>
      <c r="M515" s="21" t="str">
        <f ca="1">VLOOKUP($L515,OFFSET([2]enemies!$A$1,0,0,COUNTA([2]enemies!$A:$A),MATCH(M$1,[2]enemies!$1:$1,0)-MATCH($L$1,[2]enemies!$1:$1,0)+1),MATCH(M$1,[2]enemies!$1:$1,0)-MATCH($L$1,[2]enemies!$1:$1,0)+1,FALSE)</f>
        <v>クロウ</v>
      </c>
      <c r="N515" s="21" t="str">
        <f ca="1">VLOOKUP($L515,OFFSET([2]enemies!$A$1,0,0,COUNTA([2]enemies!$A:$A),MATCH(N$1,[2]enemies!$1:$1,0)-MATCH($L$1,[2]enemies!$1:$1,0)+1),MATCH(N$1,[2]enemies!$1:$1,0)-MATCH($L$1,[2]enemies!$1:$1,0)+1,FALSE)</f>
        <v>blue</v>
      </c>
      <c r="O515" s="21" t="str">
        <f ca="1">VLOOKUP($L515,OFFSET([3]characters!$A$1,0,0,COUNTA([3]characters!$A:$A),MATCH(O$1,[3]characters!$1:$1,0)-MATCH($L$1,[3]characters!$1:$1,0)+1),MATCH(O$1,[3]characters!$1:$1,0)-MATCH($L$1,[3]characters!$1:$1,0)+1,FALSE)</f>
        <v>Drop1N</v>
      </c>
      <c r="P515" s="21" t="str">
        <f ca="1">VLOOKUP($L515,OFFSET([2]enemies!$A$1,0,0,COUNTA([2]enemies!$A:$A),MATCH(P$1,[2]enemies!$1:$1,0)-MATCH($L$1,[2]enemies!$1:$1,0)+1),MATCH(P$1,[2]enemies!$1:$1,0)-MATCH($L$1,[2]enemies!$1:$1,0)+1,FALSE)</f>
        <v>animal</v>
      </c>
      <c r="Q515" s="21">
        <f ca="1">VLOOKUP($L515,OFFSET([2]enemies!$A$1,0,0,COUNTA([2]enemies!$A:$A),MATCH(Q$1,[2]enemies!$1:$1,0)-MATCH($L$1,[2]enemies!$1:$1,0)+1),MATCH(Q$1,[2]enemies!$1:$1,0)-MATCH($L$1,[2]enemies!$1:$1,0)+1,FALSE)</f>
        <v>15</v>
      </c>
      <c r="R515" s="53">
        <v>48</v>
      </c>
      <c r="S515" s="27">
        <v>1</v>
      </c>
      <c r="T515" s="27">
        <v>1</v>
      </c>
      <c r="U515" s="5">
        <v>0</v>
      </c>
      <c r="V515" s="4" t="str">
        <f ca="1">VLOOKUP($W515,OFFSET([4]enemy_skill_sets!$B$1,0,0,COUNTA([4]enemy_skill_sets!$B:$B),MATCH(M$1,[4]enemy_skill_sets!$1:$1,0)-MATCH($W$1,[4]enemy_skill_sets!$1:$1,0)+2),MATCH(M$1,[4]enemy_skill_sets!$1:$1,0)-MATCH($W$1,[4]enemy_skill_sets!$1:$1,0)+2,FALSE)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15" s="4">
        <f ca="1">VLOOKUP($L515,OFFSET([2]enemies!$A$1,0,0,COUNTA([2]enemies!$A:$A),MATCH(W$1,[2]enemies!$1:$1,0)-MATCH($L$1,[2]enemies!$1:$1,0)+1),MATCH(W$1,[2]enemies!$1:$1,0)-MATCH($L$1,[2]enemies!$1:$1,0)+1,FALSE)</f>
        <v>61</v>
      </c>
      <c r="X515" s="6">
        <v>0</v>
      </c>
      <c r="Y515" s="6">
        <v>100</v>
      </c>
      <c r="Z515" s="6">
        <v>0</v>
      </c>
      <c r="AA515" s="4">
        <f ca="1">VLOOKUP($L515,OFFSET([2]enemies!$A$1,0,0,COUNTA([2]enemies!$A:$A),MATCH(AA$1,[2]enemies!$1:$1,0)-MATCH($L$1,[2]enemies!$1:$1,0)+1),MATCH(AA$1,[2]enemies!$1:$1,0)-MATCH($L$1,[2]enemies!$1:$1,0)+1,FALSE)</f>
        <v>2</v>
      </c>
      <c r="AB515" s="52">
        <v>61</v>
      </c>
      <c r="AC515" s="4" t="str">
        <f ca="1">VLOOKUP($AB515,OFFSET([3]characters!$A$1,0,0,COUNTA([3]characters!$A:$A),MATCH(AC$1,[3]characters!$1:$1,0)-MATCH("character_id",[3]characters!$1:$1,0)+1),MATCH(AC$1,[3]characters!$1:$1,0)-MATCH("character_id",[3]characters!$1:$1,0)+1,FALSE)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515" s="4">
        <f ca="1">VLOOKUP($AB515,OFFSET([3]characters!$A$1,0,0,COUNTA([3]characters!$A:$A),MATCH(AD$1,[3]characters!$1:$1,0)-MATCH("character_id",[3]characters!$1:$1,0)+1),MATCH(AD$1,[3]characters!$1:$1,0)-MATCH("character_id",[3]characters!$1:$1,0)+1,FALSE)</f>
        <v>2</v>
      </c>
      <c r="AE515" s="4" t="str">
        <f ca="1">VLOOKUP($AB515,OFFSET([3]characters!$A$1,0,0,COUNTA([3]characters!$A:$A),MATCH(AE$1,[3]characters!$1:$1,0)-MATCH("character_id",[3]characters!$1:$1,0)+1),MATCH(AE$1,[3]characters!$1:$1,0)-MATCH("character_id",[3]characters!$1:$1,0)+1,FALSE)</f>
        <v>Drop1N</v>
      </c>
      <c r="AF515" s="7">
        <v>7</v>
      </c>
      <c r="AG515" s="26">
        <f t="shared" ref="AG515:AG578" ca="1" si="575">AD515</f>
        <v>2</v>
      </c>
      <c r="AH515" s="8">
        <v>20</v>
      </c>
      <c r="AI515" s="7">
        <v>0</v>
      </c>
      <c r="AJ515" s="7">
        <v>0</v>
      </c>
      <c r="AK515" s="7">
        <v>0</v>
      </c>
      <c r="AL515" s="7">
        <v>0</v>
      </c>
      <c r="AM515" s="7">
        <v>1</v>
      </c>
    </row>
    <row r="516" spans="1:39" ht="14" x14ac:dyDescent="0.15">
      <c r="A516" s="18" t="str">
        <f t="shared" ca="1" si="560"/>
        <v>25_2-2/17&lt;lv48&gt;s2</v>
      </c>
      <c r="B516" s="50">
        <v>25</v>
      </c>
      <c r="C516" s="49">
        <v>2</v>
      </c>
      <c r="D516" s="2" t="str">
        <f t="shared" si="567"/>
        <v>25_2</v>
      </c>
      <c r="E516" s="2" t="str">
        <f t="shared" si="567"/>
        <v>2_25_2</v>
      </c>
      <c r="F516" s="4" t="str">
        <f ca="1">VLOOKUP($D516,OFFSET([1]stages!$A$1,0,0,COUNTA([1]stages!$A:$A),MATCH(F$1,[1]stages!$2:$2,0)-MATCH($D$1,[1]stages!$2:$2,0)+1),MATCH(F$1,[1]stages!$2:$2,0)-MATCH($D$1,[1]stages!$2:$2,0)+1,FALSE)</f>
        <v>25-2．剣の舞</v>
      </c>
      <c r="G516" s="54">
        <v>2</v>
      </c>
      <c r="H516" s="17" t="str">
        <f t="shared" si="568"/>
        <v>25_2-2</v>
      </c>
      <c r="I516" s="17"/>
      <c r="J516" s="17"/>
      <c r="K516" s="65" t="s">
        <v>56</v>
      </c>
      <c r="L516" s="52">
        <v>17</v>
      </c>
      <c r="M516" s="21" t="str">
        <f ca="1">VLOOKUP($L516,OFFSET([2]enemies!$A$1,0,0,COUNTA([2]enemies!$A:$A),MATCH(M$1,[2]enemies!$1:$1,0)-MATCH($L$1,[2]enemies!$1:$1,0)+1),MATCH(M$1,[2]enemies!$1:$1,0)-MATCH($L$1,[2]enemies!$1:$1,0)+1,FALSE)</f>
        <v>リム</v>
      </c>
      <c r="N516" s="21" t="str">
        <f ca="1">VLOOKUP($L516,OFFSET([2]enemies!$A$1,0,0,COUNTA([2]enemies!$A:$A),MATCH(N$1,[2]enemies!$1:$1,0)-MATCH($L$1,[2]enemies!$1:$1,0)+1),MATCH(N$1,[2]enemies!$1:$1,0)-MATCH($L$1,[2]enemies!$1:$1,0)+1,FALSE)</f>
        <v>blue</v>
      </c>
      <c r="O516" s="21" t="str">
        <f ca="1">VLOOKUP($L516,OFFSET([3]characters!$A$1,0,0,COUNTA([3]characters!$A:$A),MATCH(O$1,[3]characters!$1:$1,0)-MATCH($L$1,[3]characters!$1:$1,0)+1),MATCH(O$1,[3]characters!$1:$1,0)-MATCH($L$1,[3]characters!$1:$1,0)+1,FALSE)</f>
        <v>Drop1W</v>
      </c>
      <c r="P516" s="21" t="str">
        <f ca="1">VLOOKUP($L516,OFFSET([2]enemies!$A$1,0,0,COUNTA([2]enemies!$A:$A),MATCH(P$1,[2]enemies!$1:$1,0)-MATCH($L$1,[2]enemies!$1:$1,0)+1),MATCH(P$1,[2]enemies!$1:$1,0)-MATCH($L$1,[2]enemies!$1:$1,0)+1,FALSE)</f>
        <v>human</v>
      </c>
      <c r="Q516" s="21">
        <f ca="1">VLOOKUP($L516,OFFSET([2]enemies!$A$1,0,0,COUNTA([2]enemies!$A:$A),MATCH(Q$1,[2]enemies!$1:$1,0)-MATCH($L$1,[2]enemies!$1:$1,0)+1),MATCH(Q$1,[2]enemies!$1:$1,0)-MATCH($L$1,[2]enemies!$1:$1,0)+1,FALSE)</f>
        <v>15</v>
      </c>
      <c r="R516" s="53">
        <v>48</v>
      </c>
      <c r="S516" s="27">
        <v>1</v>
      </c>
      <c r="T516" s="27">
        <v>1</v>
      </c>
      <c r="U516" s="5">
        <v>0</v>
      </c>
      <c r="V516" s="4" t="str">
        <f ca="1">VLOOKUP($W516,OFFSET([4]enemy_skill_sets!$B$1,0,0,COUNTA([4]enemy_skill_sets!$B:$B),MATCH(M$1,[4]enemy_skill_sets!$1:$1,0)-MATCH($W$1,[4]enemy_skill_sets!$1:$1,0)+2),MATCH(M$1,[4]enemy_skill_sets!$1:$1,0)-MATCH($W$1,[4]enemy_skill_sets!$1:$1,0)+2,FALSE)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16" s="4">
        <f ca="1">VLOOKUP($L516,OFFSET([2]enemies!$A$1,0,0,COUNTA([2]enemies!$A:$A),MATCH(W$1,[2]enemies!$1:$1,0)-MATCH($L$1,[2]enemies!$1:$1,0)+1),MATCH(W$1,[2]enemies!$1:$1,0)-MATCH($L$1,[2]enemies!$1:$1,0)+1,FALSE)</f>
        <v>0</v>
      </c>
      <c r="X516" s="6">
        <v>0</v>
      </c>
      <c r="Y516" s="6">
        <v>100</v>
      </c>
      <c r="Z516" s="6">
        <v>0</v>
      </c>
      <c r="AA516" s="4">
        <f ca="1">VLOOKUP($L516,OFFSET([2]enemies!$A$1,0,0,COUNTA([2]enemies!$A:$A),MATCH(AA$1,[2]enemies!$1:$1,0)-MATCH($L$1,[2]enemies!$1:$1,0)+1),MATCH(AA$1,[2]enemies!$1:$1,0)-MATCH($L$1,[2]enemies!$1:$1,0)+1,FALSE)</f>
        <v>2</v>
      </c>
      <c r="AB516" s="52">
        <v>17</v>
      </c>
      <c r="AC516" s="4" t="str">
        <f ca="1">VLOOKUP($AB516,OFFSET([3]characters!$A$1,0,0,COUNTA([3]characters!$A:$A),MATCH(AC$1,[3]characters!$1:$1,0)-MATCH("character_id",[3]characters!$1:$1,0)+1),MATCH(AC$1,[3]characters!$1:$1,0)-MATCH("character_id",[3]characters!$1:$1,0)+1,FALSE)</f>
        <v>リム</v>
      </c>
      <c r="AD516" s="4">
        <f ca="1">VLOOKUP($AB516,OFFSET([3]characters!$A$1,0,0,COUNTA([3]characters!$A:$A),MATCH(AD$1,[3]characters!$1:$1,0)-MATCH("character_id",[3]characters!$1:$1,0)+1),MATCH(AD$1,[3]characters!$1:$1,0)-MATCH("character_id",[3]characters!$1:$1,0)+1,FALSE)</f>
        <v>1</v>
      </c>
      <c r="AE516" s="4" t="str">
        <f ca="1">VLOOKUP($AB516,OFFSET([3]characters!$A$1,0,0,COUNTA([3]characters!$A:$A),MATCH(AE$1,[3]characters!$1:$1,0)-MATCH("character_id",[3]characters!$1:$1,0)+1),MATCH(AE$1,[3]characters!$1:$1,0)-MATCH("character_id",[3]characters!$1:$1,0)+1,FALSE)</f>
        <v>Drop1W</v>
      </c>
      <c r="AF516" s="7">
        <v>9</v>
      </c>
      <c r="AG516" s="26">
        <f t="shared" ca="1" si="575"/>
        <v>1</v>
      </c>
      <c r="AH516" s="8">
        <v>20</v>
      </c>
      <c r="AI516" s="7">
        <v>0</v>
      </c>
      <c r="AJ516" s="7">
        <v>0</v>
      </c>
      <c r="AK516" s="7">
        <v>0</v>
      </c>
      <c r="AL516" s="7">
        <v>0</v>
      </c>
      <c r="AM516" s="7">
        <v>1</v>
      </c>
    </row>
    <row r="517" spans="1:39" ht="14" x14ac:dyDescent="0.15">
      <c r="A517" s="18" t="str">
        <f t="shared" ca="1" si="560"/>
        <v>25_2-2/53&lt;lv48&gt;s2</v>
      </c>
      <c r="B517" s="50">
        <v>25</v>
      </c>
      <c r="C517" s="49">
        <v>2</v>
      </c>
      <c r="D517" s="2" t="str">
        <f t="shared" si="567"/>
        <v>25_2</v>
      </c>
      <c r="E517" s="2" t="str">
        <f t="shared" si="567"/>
        <v>2_25_2</v>
      </c>
      <c r="F517" s="4" t="str">
        <f ca="1">VLOOKUP($D517,OFFSET([1]stages!$A$1,0,0,COUNTA([1]stages!$A:$A),MATCH(F$1,[1]stages!$2:$2,0)-MATCH($D$1,[1]stages!$2:$2,0)+1),MATCH(F$1,[1]stages!$2:$2,0)-MATCH($D$1,[1]stages!$2:$2,0)+1,FALSE)</f>
        <v>25-2．剣の舞</v>
      </c>
      <c r="G517" s="54">
        <v>2</v>
      </c>
      <c r="H517" s="17" t="str">
        <f t="shared" si="568"/>
        <v>25_2-2</v>
      </c>
      <c r="I517" s="17"/>
      <c r="J517" s="17"/>
      <c r="K517" s="65" t="s">
        <v>56</v>
      </c>
      <c r="L517" s="52">
        <v>53</v>
      </c>
      <c r="M517" s="21" t="str">
        <f ca="1">VLOOKUP($L517,OFFSET([2]enemies!$A$1,0,0,COUNTA([2]enemies!$A:$A),MATCH(M$1,[2]enemies!$1:$1,0)-MATCH($L$1,[2]enemies!$1:$1,0)+1),MATCH(M$1,[2]enemies!$1:$1,0)-MATCH($L$1,[2]enemies!$1:$1,0)+1,FALSE)</f>
        <v>ケンジ</v>
      </c>
      <c r="N517" s="21" t="str">
        <f ca="1">VLOOKUP($L517,OFFSET([2]enemies!$A$1,0,0,COUNTA([2]enemies!$A:$A),MATCH(N$1,[2]enemies!$1:$1,0)-MATCH($L$1,[2]enemies!$1:$1,0)+1),MATCH(N$1,[2]enemies!$1:$1,0)-MATCH($L$1,[2]enemies!$1:$1,0)+1,FALSE)</f>
        <v>blue</v>
      </c>
      <c r="O517" s="21" t="str">
        <f ca="1">VLOOKUP($L517,OFFSET([3]characters!$A$1,0,0,COUNTA([3]characters!$A:$A),MATCH(O$1,[3]characters!$1:$1,0)-MATCH($L$1,[3]characters!$1:$1,0)+1),MATCH(O$1,[3]characters!$1:$1,0)-MATCH($L$1,[3]characters!$1:$1,0)+1,FALSE)</f>
        <v>Drop1N</v>
      </c>
      <c r="P517" s="21" t="str">
        <f ca="1">VLOOKUP($L517,OFFSET([2]enemies!$A$1,0,0,COUNTA([2]enemies!$A:$A),MATCH(P$1,[2]enemies!$1:$1,0)-MATCH($L$1,[2]enemies!$1:$1,0)+1),MATCH(P$1,[2]enemies!$1:$1,0)-MATCH($L$1,[2]enemies!$1:$1,0)+1,FALSE)</f>
        <v>human</v>
      </c>
      <c r="Q517" s="21">
        <f ca="1">VLOOKUP($L517,OFFSET([2]enemies!$A$1,0,0,COUNTA([2]enemies!$A:$A),MATCH(Q$1,[2]enemies!$1:$1,0)-MATCH($L$1,[2]enemies!$1:$1,0)+1),MATCH(Q$1,[2]enemies!$1:$1,0)-MATCH($L$1,[2]enemies!$1:$1,0)+1,FALSE)</f>
        <v>15</v>
      </c>
      <c r="R517" s="53">
        <v>48</v>
      </c>
      <c r="S517" s="27">
        <v>1</v>
      </c>
      <c r="T517" s="27">
        <v>1</v>
      </c>
      <c r="U517" s="5">
        <v>0</v>
      </c>
      <c r="V517" s="4" t="str">
        <f ca="1">VLOOKUP($W517,OFFSET([4]enemy_skill_sets!$B$1,0,0,COUNTA([4]enemy_skill_sets!$B:$B),MATCH(M$1,[4]enemy_skill_sets!$1:$1,0)-MATCH($W$1,[4]enemy_skill_sets!$1:$1,0)+2),MATCH(M$1,[4]enemy_skill_sets!$1:$1,0)-MATCH($W$1,[4]enemy_skill_sets!$1:$1,0)+2,FALSE)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517" s="4">
        <f ca="1">VLOOKUP($L517,OFFSET([2]enemies!$A$1,0,0,COUNTA([2]enemies!$A:$A),MATCH(W$1,[2]enemies!$1:$1,0)-MATCH($L$1,[2]enemies!$1:$1,0)+1),MATCH(W$1,[2]enemies!$1:$1,0)-MATCH($L$1,[2]enemies!$1:$1,0)+1,FALSE)</f>
        <v>53</v>
      </c>
      <c r="X517" s="6">
        <v>0</v>
      </c>
      <c r="Y517" s="6">
        <v>100</v>
      </c>
      <c r="Z517" s="6">
        <v>0</v>
      </c>
      <c r="AA517" s="4">
        <f ca="1">VLOOKUP($L517,OFFSET([2]enemies!$A$1,0,0,COUNTA([2]enemies!$A:$A),MATCH(AA$1,[2]enemies!$1:$1,0)-MATCH($L$1,[2]enemies!$1:$1,0)+1),MATCH(AA$1,[2]enemies!$1:$1,0)-MATCH($L$1,[2]enemies!$1:$1,0)+1,FALSE)</f>
        <v>2</v>
      </c>
      <c r="AB517" s="52">
        <v>53</v>
      </c>
      <c r="AC517" s="4" t="str">
        <f ca="1">VLOOKUP($AB517,OFFSET([3]characters!$A$1,0,0,COUNTA([3]characters!$A:$A),MATCH(AC$1,[3]characters!$1:$1,0)-MATCH("character_id",[3]characters!$1:$1,0)+1),MATCH(AC$1,[3]characters!$1:$1,0)-MATCH("character_id",[3]characters!$1:$1,0)+1,FALSE)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517" s="4">
        <f ca="1">VLOOKUP($AB517,OFFSET([3]characters!$A$1,0,0,COUNTA([3]characters!$A:$A),MATCH(AD$1,[3]characters!$1:$1,0)-MATCH("character_id",[3]characters!$1:$1,0)+1),MATCH(AD$1,[3]characters!$1:$1,0)-MATCH("character_id",[3]characters!$1:$1,0)+1,FALSE)</f>
        <v>2</v>
      </c>
      <c r="AE517" s="4" t="str">
        <f ca="1">VLOOKUP($AB517,OFFSET([3]characters!$A$1,0,0,COUNTA([3]characters!$A:$A),MATCH(AE$1,[3]characters!$1:$1,0)-MATCH("character_id",[3]characters!$1:$1,0)+1),MATCH(AE$1,[3]characters!$1:$1,0)-MATCH("character_id",[3]characters!$1:$1,0)+1,FALSE)</f>
        <v>Drop1N</v>
      </c>
      <c r="AF517" s="7">
        <v>7</v>
      </c>
      <c r="AG517" s="26">
        <f t="shared" ca="1" si="575"/>
        <v>2</v>
      </c>
      <c r="AH517" s="8">
        <v>20</v>
      </c>
      <c r="AI517" s="7">
        <v>0</v>
      </c>
      <c r="AJ517" s="7">
        <v>0</v>
      </c>
      <c r="AK517" s="7">
        <v>0</v>
      </c>
      <c r="AL517" s="7">
        <v>0</v>
      </c>
      <c r="AM517" s="7">
        <v>1</v>
      </c>
    </row>
    <row r="518" spans="1:39" ht="14" x14ac:dyDescent="0.15">
      <c r="A518" s="18" t="str">
        <f t="shared" ca="1" si="560"/>
        <v>25_2-2/364&lt;lv48&gt;s3</v>
      </c>
      <c r="B518" s="53">
        <v>25</v>
      </c>
      <c r="C518" s="51">
        <v>2</v>
      </c>
      <c r="D518" s="2" t="str">
        <f t="shared" ref="D518" si="576">B518&amp;"_"&amp;C518</f>
        <v>25_2</v>
      </c>
      <c r="E518" s="2" t="str">
        <f t="shared" ref="E518" si="577">C518&amp;"_"&amp;D518</f>
        <v>2_25_2</v>
      </c>
      <c r="F518" s="4" t="str">
        <f ca="1">VLOOKUP($D518,OFFSET([1]stages!$A$1,0,0,COUNTA([1]stages!$A:$A),MATCH(F$1,[1]stages!$2:$2,0)-MATCH($D$1,[1]stages!$2:$2,0)+1),MATCH(F$1,[1]stages!$2:$2,0)-MATCH($D$1,[1]stages!$2:$2,0)+1,FALSE)</f>
        <v>25-2．剣の舞</v>
      </c>
      <c r="G518" s="54">
        <v>2</v>
      </c>
      <c r="H518" s="17" t="str">
        <f t="shared" ref="H518" si="578">B518&amp;"_"&amp;C518&amp;"-"&amp;G518</f>
        <v>25_2-2</v>
      </c>
      <c r="I518" s="17"/>
      <c r="J518" s="17"/>
      <c r="K518" s="65" t="s">
        <v>56</v>
      </c>
      <c r="L518" s="52">
        <v>364</v>
      </c>
      <c r="M518" s="21" t="str">
        <f ca="1">VLOOKUP($L518,OFFSET([2]enemies!$A$1,0,0,COUNTA([2]enemies!$A:$A),MATCH(M$1,[2]enemies!$1:$1,0)-MATCH($L$1,[2]enemies!$1:$1,0)+1),MATCH(M$1,[2]enemies!$1:$1,0)-MATCH($L$1,[2]enemies!$1:$1,0)+1,FALSE)</f>
        <v>ノエル</v>
      </c>
      <c r="N518" s="21" t="str">
        <f ca="1">VLOOKUP($L518,OFFSET([2]enemies!$A$1,0,0,COUNTA([2]enemies!$A:$A),MATCH(N$1,[2]enemies!$1:$1,0)-MATCH($L$1,[2]enemies!$1:$1,0)+1),MATCH(N$1,[2]enemies!$1:$1,0)-MATCH($L$1,[2]enemies!$1:$1,0)+1,FALSE)</f>
        <v>blue</v>
      </c>
      <c r="O518" s="21" t="str">
        <f ca="1">VLOOKUP($L518,OFFSET([3]characters!$A$1,0,0,COUNTA([3]characters!$A:$A),MATCH(O$1,[3]characters!$1:$1,0)-MATCH($L$1,[3]characters!$1:$1,0)+1),MATCH(O$1,[3]characters!$1:$1,0)-MATCH($L$1,[3]characters!$1:$1,0)+1,FALSE)</f>
        <v>Drop1S</v>
      </c>
      <c r="P518" s="21" t="str">
        <f ca="1">VLOOKUP($L518,OFFSET([2]enemies!$A$1,0,0,COUNTA([2]enemies!$A:$A),MATCH(P$1,[2]enemies!$1:$1,0)-MATCH($L$1,[2]enemies!$1:$1,0)+1),MATCH(P$1,[2]enemies!$1:$1,0)-MATCH($L$1,[2]enemies!$1:$1,0)+1,FALSE)</f>
        <v>animal</v>
      </c>
      <c r="Q518" s="21">
        <f ca="1">VLOOKUP($L518,OFFSET([2]enemies!$A$1,0,0,COUNTA([2]enemies!$A:$A),MATCH(Q$1,[2]enemies!$1:$1,0)-MATCH($L$1,[2]enemies!$1:$1,0)+1),MATCH(Q$1,[2]enemies!$1:$1,0)-MATCH($L$1,[2]enemies!$1:$1,0)+1,FALSE)</f>
        <v>15</v>
      </c>
      <c r="R518" s="53">
        <v>48</v>
      </c>
      <c r="S518" s="27">
        <v>1</v>
      </c>
      <c r="T518" s="27">
        <v>1</v>
      </c>
      <c r="U518" s="5">
        <v>0</v>
      </c>
      <c r="V518" s="4" t="str">
        <f ca="1">VLOOKUP($W518,OFFSET([4]enemy_skill_sets!$B$1,0,0,COUNTA([4]enemy_skill_sets!$B:$B),MATCH(M$1,[4]enemy_skill_sets!$1:$1,0)-MATCH($W$1,[4]enemy_skill_sets!$1:$1,0)+2),MATCH(M$1,[4]enemy_skill_sets!$1:$1,0)-MATCH($W$1,[4]enemy_skill_sets!$1:$1,0)+2,FALSE)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18" s="64">
        <v>364</v>
      </c>
      <c r="X518" s="6">
        <v>0</v>
      </c>
      <c r="Y518" s="6">
        <v>100</v>
      </c>
      <c r="Z518" s="6">
        <v>0</v>
      </c>
      <c r="AA518" s="4">
        <f ca="1">VLOOKUP($L518,OFFSET([2]enemies!$A$1,0,0,COUNTA([2]enemies!$A:$A),MATCH(AA$1,[2]enemies!$1:$1,0)-MATCH($L$1,[2]enemies!$1:$1,0)+1),MATCH(AA$1,[2]enemies!$1:$1,0)-MATCH($L$1,[2]enemies!$1:$1,0)+1,FALSE)</f>
        <v>3</v>
      </c>
      <c r="AB518" s="52">
        <v>364</v>
      </c>
      <c r="AC518" s="4" t="str">
        <f ca="1">VLOOKUP($AB518,OFFSET([3]characters!$A$1,0,0,COUNTA([3]characters!$A:$A),MATCH(AC$1,[3]characters!$1:$1,0)-MATCH("character_id",[3]characters!$1:$1,0)+1),MATCH(AC$1,[3]characters!$1:$1,0)-MATCH("character_id",[3]characters!$1:$1,0)+1,FALSE)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18" s="4">
        <f ca="1">VLOOKUP($AB518,OFFSET([3]characters!$A$1,0,0,COUNTA([3]characters!$A:$A),MATCH(AD$1,[3]characters!$1:$1,0)-MATCH("character_id",[3]characters!$1:$1,0)+1),MATCH(AD$1,[3]characters!$1:$1,0)-MATCH("character_id",[3]characters!$1:$1,0)+1,FALSE)</f>
        <v>2</v>
      </c>
      <c r="AE518" s="4" t="str">
        <f ca="1">VLOOKUP($AB518,OFFSET([3]characters!$A$1,0,0,COUNTA([3]characters!$A:$A),MATCH(AE$1,[3]characters!$1:$1,0)-MATCH("character_id",[3]characters!$1:$1,0)+1),MATCH(AE$1,[3]characters!$1:$1,0)-MATCH("character_id",[3]characters!$1:$1,0)+1,FALSE)</f>
        <v>Drop1S</v>
      </c>
      <c r="AF518" s="7">
        <v>7</v>
      </c>
      <c r="AG518" s="26">
        <f t="shared" ca="1" si="575"/>
        <v>2</v>
      </c>
      <c r="AH518" s="8">
        <v>20</v>
      </c>
      <c r="AI518" s="7">
        <v>0</v>
      </c>
      <c r="AJ518" s="7">
        <v>0</v>
      </c>
      <c r="AK518" s="7">
        <v>0</v>
      </c>
      <c r="AL518" s="7">
        <v>0</v>
      </c>
      <c r="AM518" s="7">
        <v>1</v>
      </c>
    </row>
    <row r="519" spans="1:39" ht="14" x14ac:dyDescent="0.15">
      <c r="A519" s="18" t="str">
        <f t="shared" ca="1" si="560"/>
        <v>25_2-2/352&lt;lv48&gt;s3</v>
      </c>
      <c r="B519" s="53">
        <v>25</v>
      </c>
      <c r="C519" s="51">
        <v>2</v>
      </c>
      <c r="D519" s="2" t="str">
        <f t="shared" ref="D519" si="579">B519&amp;"_"&amp;C519</f>
        <v>25_2</v>
      </c>
      <c r="E519" s="2" t="str">
        <f t="shared" ref="E519" si="580">C519&amp;"_"&amp;D519</f>
        <v>2_25_2</v>
      </c>
      <c r="F519" s="4" t="str">
        <f ca="1">VLOOKUP($D519,OFFSET([1]stages!$A$1,0,0,COUNTA([1]stages!$A:$A),MATCH(F$1,[1]stages!$2:$2,0)-MATCH($D$1,[1]stages!$2:$2,0)+1),MATCH(F$1,[1]stages!$2:$2,0)-MATCH($D$1,[1]stages!$2:$2,0)+1,FALSE)</f>
        <v>25-2．剣の舞</v>
      </c>
      <c r="G519" s="54">
        <v>2</v>
      </c>
      <c r="H519" s="17" t="str">
        <f t="shared" ref="H519" si="581">B519&amp;"_"&amp;C519&amp;"-"&amp;G519</f>
        <v>25_2-2</v>
      </c>
      <c r="I519" s="17"/>
      <c r="J519" s="17"/>
      <c r="K519" s="65" t="s">
        <v>56</v>
      </c>
      <c r="L519" s="52">
        <v>352</v>
      </c>
      <c r="M519" s="21" t="str">
        <f ca="1">VLOOKUP($L519,OFFSET([2]enemies!$A$1,0,0,COUNTA([2]enemies!$A:$A),MATCH(M$1,[2]enemies!$1:$1,0)-MATCH($L$1,[2]enemies!$1:$1,0)+1),MATCH(M$1,[2]enemies!$1:$1,0)-MATCH($L$1,[2]enemies!$1:$1,0)+1,FALSE)</f>
        <v>水のケロケロ</v>
      </c>
      <c r="N519" s="21" t="str">
        <f ca="1">VLOOKUP($L519,OFFSET([2]enemies!$A$1,0,0,COUNTA([2]enemies!$A:$A),MATCH(N$1,[2]enemies!$1:$1,0)-MATCH($L$1,[2]enemies!$1:$1,0)+1),MATCH(N$1,[2]enemies!$1:$1,0)-MATCH($L$1,[2]enemies!$1:$1,0)+1,FALSE)</f>
        <v>blue</v>
      </c>
      <c r="O519" s="21" t="str">
        <f ca="1">VLOOKUP($L519,OFFSET([3]characters!$A$1,0,0,COUNTA([3]characters!$A:$A),MATCH(O$1,[3]characters!$1:$1,0)-MATCH($L$1,[3]characters!$1:$1,0)+1),MATCH(O$1,[3]characters!$1:$1,0)-MATCH($L$1,[3]characters!$1:$1,0)+1,FALSE)</f>
        <v>Material</v>
      </c>
      <c r="P519" s="21" t="str">
        <f ca="1">VLOOKUP($L519,OFFSET([2]enemies!$A$1,0,0,COUNTA([2]enemies!$A:$A),MATCH(P$1,[2]enemies!$1:$1,0)-MATCH($L$1,[2]enemies!$1:$1,0)+1),MATCH(P$1,[2]enemies!$1:$1,0)-MATCH($L$1,[2]enemies!$1:$1,0)+1,FALSE)</f>
        <v>unknown</v>
      </c>
      <c r="Q519" s="21">
        <f ca="1">VLOOKUP($L519,OFFSET([2]enemies!$A$1,0,0,COUNTA([2]enemies!$A:$A),MATCH(Q$1,[2]enemies!$1:$1,0)-MATCH($L$1,[2]enemies!$1:$1,0)+1),MATCH(Q$1,[2]enemies!$1:$1,0)-MATCH($L$1,[2]enemies!$1:$1,0)+1,FALSE)</f>
        <v>15</v>
      </c>
      <c r="R519" s="53">
        <v>48</v>
      </c>
      <c r="S519" s="27">
        <v>1</v>
      </c>
      <c r="T519" s="27">
        <v>1</v>
      </c>
      <c r="U519" s="5">
        <v>0</v>
      </c>
      <c r="V519" s="4" t="str">
        <f ca="1">VLOOKUP($W519,OFFSET([4]enemy_skill_sets!$B$1,0,0,COUNTA([4]enemy_skill_sets!$B:$B),MATCH(M$1,[4]enemy_skill_sets!$1:$1,0)-MATCH($W$1,[4]enemy_skill_sets!$1:$1,0)+2),MATCH(M$1,[4]enemy_skill_sets!$1:$1,0)-MATCH($W$1,[4]enemy_skill_sets!$1:$1,0)+2,FALSE)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19" s="64">
        <v>352</v>
      </c>
      <c r="X519" s="6">
        <v>0</v>
      </c>
      <c r="Y519" s="6">
        <v>100</v>
      </c>
      <c r="Z519" s="6">
        <v>0</v>
      </c>
      <c r="AA519" s="4">
        <f ca="1">VLOOKUP($L519,OFFSET([2]enemies!$A$1,0,0,COUNTA([2]enemies!$A:$A),MATCH(AA$1,[2]enemies!$1:$1,0)-MATCH($L$1,[2]enemies!$1:$1,0)+1),MATCH(AA$1,[2]enemies!$1:$1,0)-MATCH($L$1,[2]enemies!$1:$1,0)+1,FALSE)</f>
        <v>3</v>
      </c>
      <c r="AB519" s="52">
        <v>352</v>
      </c>
      <c r="AC519" s="4" t="str">
        <f ca="1">VLOOKUP($AB519,OFFSET([3]characters!$A$1,0,0,COUNTA([3]characters!$A:$A),MATCH(AC$1,[3]characters!$1:$1,0)-MATCH("character_id",[3]characters!$1:$1,0)+1),MATCH(AC$1,[3]characters!$1:$1,0)-MATCH("character_id",[3]characters!$1:$1,0)+1,FALSE)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19" s="4">
        <f ca="1">VLOOKUP($AB519,OFFSET([3]characters!$A$1,0,0,COUNTA([3]characters!$A:$A),MATCH(AD$1,[3]characters!$1:$1,0)-MATCH("character_id",[3]characters!$1:$1,0)+1),MATCH(AD$1,[3]characters!$1:$1,0)-MATCH("character_id",[3]characters!$1:$1,0)+1,FALSE)</f>
        <v>2</v>
      </c>
      <c r="AE519" s="4" t="str">
        <f ca="1">VLOOKUP($AB519,OFFSET([3]characters!$A$1,0,0,COUNTA([3]characters!$A:$A),MATCH(AE$1,[3]characters!$1:$1,0)-MATCH("character_id",[3]characters!$1:$1,0)+1),MATCH(AE$1,[3]characters!$1:$1,0)-MATCH("character_id",[3]characters!$1:$1,0)+1,FALSE)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19" s="7">
        <v>10</v>
      </c>
      <c r="AG519" s="26">
        <f t="shared" ca="1" si="575"/>
        <v>2</v>
      </c>
      <c r="AH519" s="8">
        <v>20</v>
      </c>
      <c r="AI519" s="7">
        <v>0</v>
      </c>
      <c r="AJ519" s="7">
        <v>0</v>
      </c>
      <c r="AK519" s="7">
        <v>0</v>
      </c>
      <c r="AL519" s="7">
        <v>0</v>
      </c>
      <c r="AM519" s="7">
        <v>1</v>
      </c>
    </row>
    <row r="520" spans="1:39" ht="14" x14ac:dyDescent="0.15">
      <c r="A520" s="18" t="str">
        <f t="shared" ca="1" si="560"/>
        <v>25_2-3/13&lt;lv48&gt;s2</v>
      </c>
      <c r="B520" s="50">
        <v>25</v>
      </c>
      <c r="C520" s="49">
        <v>2</v>
      </c>
      <c r="D520" s="2" t="str">
        <f t="shared" si="567"/>
        <v>25_2</v>
      </c>
      <c r="E520" s="2" t="str">
        <f t="shared" si="567"/>
        <v>2_25_2</v>
      </c>
      <c r="F520" s="4" t="str">
        <f ca="1">VLOOKUP($D520,OFFSET([1]stages!$A$1,0,0,COUNTA([1]stages!$A:$A),MATCH(F$1,[1]stages!$2:$2,0)-MATCH($D$1,[1]stages!$2:$2,0)+1),MATCH(F$1,[1]stages!$2:$2,0)-MATCH($D$1,[1]stages!$2:$2,0)+1,FALSE)</f>
        <v>25-2．剣の舞</v>
      </c>
      <c r="G520" s="55">
        <v>3</v>
      </c>
      <c r="H520" s="17" t="str">
        <f t="shared" si="568"/>
        <v>25_2-3</v>
      </c>
      <c r="I520" s="17"/>
      <c r="J520" s="17"/>
      <c r="K520" s="65" t="s">
        <v>56</v>
      </c>
      <c r="L520" s="52">
        <v>13</v>
      </c>
      <c r="M520" s="21" t="str">
        <f ca="1">VLOOKUP($L520,OFFSET([2]enemies!$A$1,0,0,COUNTA([2]enemies!$A:$A),MATCH(M$1,[2]enemies!$1:$1,0)-MATCH($L$1,[2]enemies!$1:$1,0)+1),MATCH(M$1,[2]enemies!$1:$1,0)-MATCH($L$1,[2]enemies!$1:$1,0)+1,FALSE)</f>
        <v>ミミ</v>
      </c>
      <c r="N520" s="21" t="str">
        <f ca="1">VLOOKUP($L520,OFFSET([2]enemies!$A$1,0,0,COUNTA([2]enemies!$A:$A),MATCH(N$1,[2]enemies!$1:$1,0)-MATCH($L$1,[2]enemies!$1:$1,0)+1),MATCH(N$1,[2]enemies!$1:$1,0)-MATCH($L$1,[2]enemies!$1:$1,0)+1,FALSE)</f>
        <v>yellow</v>
      </c>
      <c r="O520" s="21" t="str">
        <f ca="1">VLOOKUP($L520,OFFSET([3]characters!$A$1,0,0,COUNTA([3]characters!$A:$A),MATCH(O$1,[3]characters!$1:$1,0)-MATCH($L$1,[3]characters!$1:$1,0)+1),MATCH(O$1,[3]characters!$1:$1,0)-MATCH($L$1,[3]characters!$1:$1,0)+1,FALSE)</f>
        <v>Drop1W</v>
      </c>
      <c r="P520" s="21" t="str">
        <f ca="1">VLOOKUP($L520,OFFSET([2]enemies!$A$1,0,0,COUNTA([2]enemies!$A:$A),MATCH(P$1,[2]enemies!$1:$1,0)-MATCH($L$1,[2]enemies!$1:$1,0)+1),MATCH(P$1,[2]enemies!$1:$1,0)-MATCH($L$1,[2]enemies!$1:$1,0)+1,FALSE)</f>
        <v>animal</v>
      </c>
      <c r="Q520" s="21">
        <f ca="1">VLOOKUP($L520,OFFSET([2]enemies!$A$1,0,0,COUNTA([2]enemies!$A:$A),MATCH(Q$1,[2]enemies!$1:$1,0)-MATCH($L$1,[2]enemies!$1:$1,0)+1),MATCH(Q$1,[2]enemies!$1:$1,0)-MATCH($L$1,[2]enemies!$1:$1,0)+1,FALSE)</f>
        <v>15</v>
      </c>
      <c r="R520" s="53">
        <v>48</v>
      </c>
      <c r="S520" s="27">
        <v>1.1000000000000001</v>
      </c>
      <c r="T520" s="27">
        <v>1</v>
      </c>
      <c r="U520" s="5">
        <v>0</v>
      </c>
      <c r="V520" s="4" t="str">
        <f ca="1">VLOOKUP($W520,OFFSET([4]enemy_skill_sets!$B$1,0,0,COUNTA([4]enemy_skill_sets!$B:$B),MATCH(M$1,[4]enemy_skill_sets!$1:$1,0)-MATCH($W$1,[4]enemy_skill_sets!$1:$1,0)+2),MATCH(M$1,[4]enemy_skill_sets!$1:$1,0)-MATCH($W$1,[4]enemy_skill_sets!$1:$1,0)+2,FALSE)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20" s="4">
        <f ca="1">VLOOKUP($L520,OFFSET([2]enemies!$A$1,0,0,COUNTA([2]enemies!$A:$A),MATCH(W$1,[2]enemies!$1:$1,0)-MATCH($L$1,[2]enemies!$1:$1,0)+1),MATCH(W$1,[2]enemies!$1:$1,0)-MATCH($L$1,[2]enemies!$1:$1,0)+1,FALSE)</f>
        <v>0</v>
      </c>
      <c r="X520" s="6">
        <v>0</v>
      </c>
      <c r="Y520" s="6">
        <v>100</v>
      </c>
      <c r="Z520" s="6">
        <v>0</v>
      </c>
      <c r="AA520" s="4">
        <f ca="1">VLOOKUP($L520,OFFSET([2]enemies!$A$1,0,0,COUNTA([2]enemies!$A:$A),MATCH(AA$1,[2]enemies!$1:$1,0)-MATCH($L$1,[2]enemies!$1:$1,0)+1),MATCH(AA$1,[2]enemies!$1:$1,0)-MATCH($L$1,[2]enemies!$1:$1,0)+1,FALSE)</f>
        <v>2</v>
      </c>
      <c r="AB520" s="52">
        <v>13</v>
      </c>
      <c r="AC520" s="4" t="str">
        <f ca="1">VLOOKUP($AB520,OFFSET([3]characters!$A$1,0,0,COUNTA([3]characters!$A:$A),MATCH(AC$1,[3]characters!$1:$1,0)-MATCH("character_id",[3]characters!$1:$1,0)+1),MATCH(AC$1,[3]characters!$1:$1,0)-MATCH("character_id",[3]characters!$1:$1,0)+1,FALSE)</f>
        <v>ミミ</v>
      </c>
      <c r="AD520" s="4">
        <f ca="1">VLOOKUP($AB520,OFFSET([3]characters!$A$1,0,0,COUNTA([3]characters!$A:$A),MATCH(AD$1,[3]characters!$1:$1,0)-MATCH("character_id",[3]characters!$1:$1,0)+1),MATCH(AD$1,[3]characters!$1:$1,0)-MATCH("character_id",[3]characters!$1:$1,0)+1,FALSE)</f>
        <v>1</v>
      </c>
      <c r="AE520" s="4" t="str">
        <f ca="1">VLOOKUP($AB520,OFFSET([3]characters!$A$1,0,0,COUNTA([3]characters!$A:$A),MATCH(AE$1,[3]characters!$1:$1,0)-MATCH("character_id",[3]characters!$1:$1,0)+1),MATCH(AE$1,[3]characters!$1:$1,0)-MATCH("character_id",[3]characters!$1:$1,0)+1,FALSE)</f>
        <v>Drop1W</v>
      </c>
      <c r="AF520" s="7">
        <v>9</v>
      </c>
      <c r="AG520" s="26">
        <f t="shared" ca="1" si="575"/>
        <v>1</v>
      </c>
      <c r="AH520" s="8">
        <v>20</v>
      </c>
      <c r="AI520" s="7">
        <v>0</v>
      </c>
      <c r="AJ520" s="7">
        <v>0</v>
      </c>
      <c r="AK520" s="7">
        <v>0</v>
      </c>
      <c r="AL520" s="7">
        <v>0</v>
      </c>
      <c r="AM520" s="7">
        <v>1</v>
      </c>
    </row>
    <row r="521" spans="1:39" ht="14" x14ac:dyDescent="0.15">
      <c r="A521" s="18" t="str">
        <f t="shared" ca="1" si="560"/>
        <v>25_2-3/25&lt;lv48&gt;s3</v>
      </c>
      <c r="B521" s="50">
        <v>25</v>
      </c>
      <c r="C521" s="49">
        <v>2</v>
      </c>
      <c r="D521" s="2" t="str">
        <f t="shared" si="567"/>
        <v>25_2</v>
      </c>
      <c r="E521" s="2" t="str">
        <f t="shared" si="567"/>
        <v>2_25_2</v>
      </c>
      <c r="F521" s="4" t="str">
        <f ca="1">VLOOKUP($D521,OFFSET([1]stages!$A$1,0,0,COUNTA([1]stages!$A:$A),MATCH(F$1,[1]stages!$2:$2,0)-MATCH($D$1,[1]stages!$2:$2,0)+1),MATCH(F$1,[1]stages!$2:$2,0)-MATCH($D$1,[1]stages!$2:$2,0)+1,FALSE)</f>
        <v>25-2．剣の舞</v>
      </c>
      <c r="G521" s="55">
        <v>3</v>
      </c>
      <c r="H521" s="17" t="str">
        <f t="shared" si="568"/>
        <v>25_2-3</v>
      </c>
      <c r="I521" s="17"/>
      <c r="J521" s="17"/>
      <c r="K521" s="65" t="s">
        <v>56</v>
      </c>
      <c r="L521" s="52">
        <v>25</v>
      </c>
      <c r="M521" s="21" t="str">
        <f ca="1">VLOOKUP($L521,OFFSET([2]enemies!$A$1,0,0,COUNTA([2]enemies!$A:$A),MATCH(M$1,[2]enemies!$1:$1,0)-MATCH($L$1,[2]enemies!$1:$1,0)+1),MATCH(M$1,[2]enemies!$1:$1,0)-MATCH($L$1,[2]enemies!$1:$1,0)+1,FALSE)</f>
        <v>ハチ</v>
      </c>
      <c r="N521" s="21" t="str">
        <f ca="1">VLOOKUP($L521,OFFSET([2]enemies!$A$1,0,0,COUNTA([2]enemies!$A:$A),MATCH(N$1,[2]enemies!$1:$1,0)-MATCH($L$1,[2]enemies!$1:$1,0)+1),MATCH(N$1,[2]enemies!$1:$1,0)-MATCH($L$1,[2]enemies!$1:$1,0)+1,FALSE)</f>
        <v>blue</v>
      </c>
      <c r="O521" s="21" t="str">
        <f ca="1">VLOOKUP($L521,OFFSET([3]characters!$A$1,0,0,COUNTA([3]characters!$A:$A),MATCH(O$1,[3]characters!$1:$1,0)-MATCH($L$1,[3]characters!$1:$1,0)+1),MATCH(O$1,[3]characters!$1:$1,0)-MATCH($L$1,[3]characters!$1:$1,0)+1,FALSE)</f>
        <v>Drop1N</v>
      </c>
      <c r="P521" s="21" t="str">
        <f ca="1">VLOOKUP($L521,OFFSET([2]enemies!$A$1,0,0,COUNTA([2]enemies!$A:$A),MATCH(P$1,[2]enemies!$1:$1,0)-MATCH($L$1,[2]enemies!$1:$1,0)+1),MATCH(P$1,[2]enemies!$1:$1,0)-MATCH($L$1,[2]enemies!$1:$1,0)+1,FALSE)</f>
        <v>animal</v>
      </c>
      <c r="Q521" s="21">
        <f ca="1">VLOOKUP($L521,OFFSET([2]enemies!$A$1,0,0,COUNTA([2]enemies!$A:$A),MATCH(Q$1,[2]enemies!$1:$1,0)-MATCH($L$1,[2]enemies!$1:$1,0)+1),MATCH(Q$1,[2]enemies!$1:$1,0)-MATCH($L$1,[2]enemies!$1:$1,0)+1,FALSE)</f>
        <v>15</v>
      </c>
      <c r="R521" s="53">
        <v>48</v>
      </c>
      <c r="S521" s="27">
        <v>1.1000000000000001</v>
      </c>
      <c r="T521" s="27">
        <v>1</v>
      </c>
      <c r="U521" s="5">
        <v>0</v>
      </c>
      <c r="V521" s="4" t="str">
        <f ca="1">VLOOKUP($W521,OFFSET([4]enemy_skill_sets!$B$1,0,0,COUNTA([4]enemy_skill_sets!$B:$B),MATCH(M$1,[4]enemy_skill_sets!$1:$1,0)-MATCH($W$1,[4]enemy_skill_sets!$1:$1,0)+2),MATCH(M$1,[4]enemy_skill_sets!$1:$1,0)-MATCH($W$1,[4]enemy_skill_sets!$1:$1,0)+2,FALSE)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21" s="4">
        <f ca="1">VLOOKUP($L521,OFFSET([2]enemies!$A$1,0,0,COUNTA([2]enemies!$A:$A),MATCH(W$1,[2]enemies!$1:$1,0)-MATCH($L$1,[2]enemies!$1:$1,0)+1),MATCH(W$1,[2]enemies!$1:$1,0)-MATCH($L$1,[2]enemies!$1:$1,0)+1,FALSE)</f>
        <v>0</v>
      </c>
      <c r="X521" s="6">
        <v>0</v>
      </c>
      <c r="Y521" s="6">
        <v>100</v>
      </c>
      <c r="Z521" s="6">
        <v>0</v>
      </c>
      <c r="AA521" s="4">
        <f ca="1">VLOOKUP($L521,OFFSET([2]enemies!$A$1,0,0,COUNTA([2]enemies!$A:$A),MATCH(AA$1,[2]enemies!$1:$1,0)-MATCH($L$1,[2]enemies!$1:$1,0)+1),MATCH(AA$1,[2]enemies!$1:$1,0)-MATCH($L$1,[2]enemies!$1:$1,0)+1,FALSE)</f>
        <v>3</v>
      </c>
      <c r="AB521" s="52">
        <v>25</v>
      </c>
      <c r="AC521" s="4" t="str">
        <f ca="1">VLOOKUP($AB521,OFFSET([3]characters!$A$1,0,0,COUNTA([3]characters!$A:$A),MATCH(AC$1,[3]characters!$1:$1,0)-MATCH("character_id",[3]characters!$1:$1,0)+1),MATCH(AC$1,[3]characters!$1:$1,0)-MATCH("character_id",[3]characters!$1:$1,0)+1,FALSE)</f>
        <v>ハチ</v>
      </c>
      <c r="AD521" s="4">
        <f ca="1">VLOOKUP($AB521,OFFSET([3]characters!$A$1,0,0,COUNTA([3]characters!$A:$A),MATCH(AD$1,[3]characters!$1:$1,0)-MATCH("character_id",[3]characters!$1:$1,0)+1),MATCH(AD$1,[3]characters!$1:$1,0)-MATCH("character_id",[3]characters!$1:$1,0)+1,FALSE)</f>
        <v>1</v>
      </c>
      <c r="AE521" s="4" t="str">
        <f ca="1">VLOOKUP($AB521,OFFSET([3]characters!$A$1,0,0,COUNTA([3]characters!$A:$A),MATCH(AE$1,[3]characters!$1:$1,0)-MATCH("character_id",[3]characters!$1:$1,0)+1),MATCH(AE$1,[3]characters!$1:$1,0)-MATCH("character_id",[3]characters!$1:$1,0)+1,FALSE)</f>
        <v>Drop1N</v>
      </c>
      <c r="AF521" s="7">
        <v>7</v>
      </c>
      <c r="AG521" s="26">
        <f t="shared" ca="1" si="575"/>
        <v>1</v>
      </c>
      <c r="AH521" s="8">
        <v>20</v>
      </c>
      <c r="AI521" s="7">
        <v>0</v>
      </c>
      <c r="AJ521" s="7">
        <v>0</v>
      </c>
      <c r="AK521" s="7">
        <v>0</v>
      </c>
      <c r="AL521" s="7">
        <v>0</v>
      </c>
      <c r="AM521" s="7">
        <v>1</v>
      </c>
    </row>
    <row r="522" spans="1:39" ht="14" x14ac:dyDescent="0.15">
      <c r="A522" s="18" t="str">
        <f t="shared" ca="1" si="560"/>
        <v>25_2-3/37&lt;lv48&gt;s3</v>
      </c>
      <c r="B522" s="50">
        <v>25</v>
      </c>
      <c r="C522" s="49">
        <v>2</v>
      </c>
      <c r="D522" s="2" t="str">
        <f t="shared" si="567"/>
        <v>25_2</v>
      </c>
      <c r="E522" s="2" t="str">
        <f t="shared" si="567"/>
        <v>2_25_2</v>
      </c>
      <c r="F522" s="4" t="str">
        <f ca="1">VLOOKUP($D522,OFFSET([1]stages!$A$1,0,0,COUNTA([1]stages!$A:$A),MATCH(F$1,[1]stages!$2:$2,0)-MATCH($D$1,[1]stages!$2:$2,0)+1),MATCH(F$1,[1]stages!$2:$2,0)-MATCH($D$1,[1]stages!$2:$2,0)+1,FALSE)</f>
        <v>25-2．剣の舞</v>
      </c>
      <c r="G522" s="55">
        <v>3</v>
      </c>
      <c r="H522" s="17" t="str">
        <f t="shared" si="568"/>
        <v>25_2-3</v>
      </c>
      <c r="I522" s="17"/>
      <c r="J522" s="17"/>
      <c r="K522" s="65" t="s">
        <v>56</v>
      </c>
      <c r="L522" s="52">
        <v>37</v>
      </c>
      <c r="M522" s="21" t="str">
        <f ca="1">VLOOKUP($L522,OFFSET([2]enemies!$A$1,0,0,COUNTA([2]enemies!$A:$A),MATCH(M$1,[2]enemies!$1:$1,0)-MATCH($L$1,[2]enemies!$1:$1,0)+1),MATCH(M$1,[2]enemies!$1:$1,0)-MATCH($L$1,[2]enemies!$1:$1,0)+1,FALSE)</f>
        <v>ガイル</v>
      </c>
      <c r="N522" s="21" t="str">
        <f ca="1">VLOOKUP($L522,OFFSET([2]enemies!$A$1,0,0,COUNTA([2]enemies!$A:$A),MATCH(N$1,[2]enemies!$1:$1,0)-MATCH($L$1,[2]enemies!$1:$1,0)+1),MATCH(N$1,[2]enemies!$1:$1,0)-MATCH($L$1,[2]enemies!$1:$1,0)+1,FALSE)</f>
        <v>blue</v>
      </c>
      <c r="O522" s="21" t="str">
        <f ca="1">VLOOKUP($L522,OFFSET([3]characters!$A$1,0,0,COUNTA([3]characters!$A:$A),MATCH(O$1,[3]characters!$1:$1,0)-MATCH($L$1,[3]characters!$1:$1,0)+1),MATCH(O$1,[3]characters!$1:$1,0)-MATCH($L$1,[3]characters!$1:$1,0)+1,FALSE)</f>
        <v>Drop1S</v>
      </c>
      <c r="P522" s="21" t="str">
        <f ca="1">VLOOKUP($L522,OFFSET([2]enemies!$A$1,0,0,COUNTA([2]enemies!$A:$A),MATCH(P$1,[2]enemies!$1:$1,0)-MATCH($L$1,[2]enemies!$1:$1,0)+1),MATCH(P$1,[2]enemies!$1:$1,0)-MATCH($L$1,[2]enemies!$1:$1,0)+1,FALSE)</f>
        <v>animal</v>
      </c>
      <c r="Q522" s="21">
        <f ca="1">VLOOKUP($L522,OFFSET([2]enemies!$A$1,0,0,COUNTA([2]enemies!$A:$A),MATCH(Q$1,[2]enemies!$1:$1,0)-MATCH($L$1,[2]enemies!$1:$1,0)+1),MATCH(Q$1,[2]enemies!$1:$1,0)-MATCH($L$1,[2]enemies!$1:$1,0)+1,FALSE)</f>
        <v>15</v>
      </c>
      <c r="R522" s="53">
        <v>48</v>
      </c>
      <c r="S522" s="27">
        <v>1.1000000000000001</v>
      </c>
      <c r="T522" s="27">
        <v>1</v>
      </c>
      <c r="U522" s="5">
        <v>0</v>
      </c>
      <c r="V522" s="4" t="str">
        <f ca="1">VLOOKUP($W522,OFFSET([4]enemy_skill_sets!$B$1,0,0,COUNTA([4]enemy_skill_sets!$B:$B),MATCH(M$1,[4]enemy_skill_sets!$1:$1,0)-MATCH($W$1,[4]enemy_skill_sets!$1:$1,0)+2),MATCH(M$1,[4]enemy_skill_sets!$1:$1,0)-MATCH($W$1,[4]enemy_skill_sets!$1:$1,0)+2,FALSE)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522" s="4">
        <f ca="1">VLOOKUP($L522,OFFSET([2]enemies!$A$1,0,0,COUNTA([2]enemies!$A:$A),MATCH(W$1,[2]enemies!$1:$1,0)-MATCH($L$1,[2]enemies!$1:$1,0)+1),MATCH(W$1,[2]enemies!$1:$1,0)-MATCH($L$1,[2]enemies!$1:$1,0)+1,FALSE)</f>
        <v>37</v>
      </c>
      <c r="X522" s="6">
        <v>0</v>
      </c>
      <c r="Y522" s="6">
        <v>100</v>
      </c>
      <c r="Z522" s="6">
        <v>0</v>
      </c>
      <c r="AA522" s="4">
        <f ca="1">VLOOKUP($L522,OFFSET([2]enemies!$A$1,0,0,COUNTA([2]enemies!$A:$A),MATCH(AA$1,[2]enemies!$1:$1,0)-MATCH($L$1,[2]enemies!$1:$1,0)+1),MATCH(AA$1,[2]enemies!$1:$1,0)-MATCH($L$1,[2]enemies!$1:$1,0)+1,FALSE)</f>
        <v>3</v>
      </c>
      <c r="AB522" s="52">
        <v>37</v>
      </c>
      <c r="AC522" s="4" t="str">
        <f ca="1">VLOOKUP($AB522,OFFSET([3]characters!$A$1,0,0,COUNTA([3]characters!$A:$A),MATCH(AC$1,[3]characters!$1:$1,0)-MATCH("character_id",[3]characters!$1:$1,0)+1),MATCH(AC$1,[3]characters!$1:$1,0)-MATCH("character_id",[3]characters!$1:$1,0)+1,FALSE)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522" s="4">
        <f ca="1">VLOOKUP($AB522,OFFSET([3]characters!$A$1,0,0,COUNTA([3]characters!$A:$A),MATCH(AD$1,[3]characters!$1:$1,0)-MATCH("character_id",[3]characters!$1:$1,0)+1),MATCH(AD$1,[3]characters!$1:$1,0)-MATCH("character_id",[3]characters!$1:$1,0)+1,FALSE)</f>
        <v>2</v>
      </c>
      <c r="AE522" s="4" t="str">
        <f ca="1">VLOOKUP($AB522,OFFSET([3]characters!$A$1,0,0,COUNTA([3]characters!$A:$A),MATCH(AE$1,[3]characters!$1:$1,0)-MATCH("character_id",[3]characters!$1:$1,0)+1),MATCH(AE$1,[3]characters!$1:$1,0)-MATCH("character_id",[3]characters!$1:$1,0)+1,FALSE)</f>
        <v>Drop1S</v>
      </c>
      <c r="AF522" s="7">
        <v>5</v>
      </c>
      <c r="AG522" s="26">
        <f t="shared" ca="1" si="575"/>
        <v>2</v>
      </c>
      <c r="AH522" s="8">
        <v>20</v>
      </c>
      <c r="AI522" s="7">
        <v>0</v>
      </c>
      <c r="AJ522" s="7">
        <v>0</v>
      </c>
      <c r="AK522" s="7">
        <v>0</v>
      </c>
      <c r="AL522" s="7">
        <v>0</v>
      </c>
      <c r="AM522" s="7">
        <v>1</v>
      </c>
    </row>
    <row r="523" spans="1:39" ht="14" x14ac:dyDescent="0.15">
      <c r="A523" s="18" t="str">
        <f t="shared" ca="1" si="560"/>
        <v>25_2-3/45&lt;lv48&gt;s3</v>
      </c>
      <c r="B523" s="50">
        <v>25</v>
      </c>
      <c r="C523" s="49">
        <v>2</v>
      </c>
      <c r="D523" s="2" t="str">
        <f t="shared" si="567"/>
        <v>25_2</v>
      </c>
      <c r="E523" s="2" t="str">
        <f t="shared" si="567"/>
        <v>2_25_2</v>
      </c>
      <c r="F523" s="4" t="str">
        <f ca="1">VLOOKUP($D523,OFFSET([1]stages!$A$1,0,0,COUNTA([1]stages!$A:$A),MATCH(F$1,[1]stages!$2:$2,0)-MATCH($D$1,[1]stages!$2:$2,0)+1),MATCH(F$1,[1]stages!$2:$2,0)-MATCH($D$1,[1]stages!$2:$2,0)+1,FALSE)</f>
        <v>25-2．剣の舞</v>
      </c>
      <c r="G523" s="55">
        <v>3</v>
      </c>
      <c r="H523" s="17" t="str">
        <f t="shared" si="568"/>
        <v>25_2-3</v>
      </c>
      <c r="I523" s="17"/>
      <c r="J523" s="17"/>
      <c r="K523" s="65" t="s">
        <v>56</v>
      </c>
      <c r="L523" s="52">
        <v>45</v>
      </c>
      <c r="M523" s="21" t="str">
        <f ca="1">VLOOKUP($L523,OFFSET([2]enemies!$A$1,0,0,COUNTA([2]enemies!$A:$A),MATCH(M$1,[2]enemies!$1:$1,0)-MATCH($L$1,[2]enemies!$1:$1,0)+1),MATCH(M$1,[2]enemies!$1:$1,0)-MATCH($L$1,[2]enemies!$1:$1,0)+1,FALSE)</f>
        <v>ショウイン</v>
      </c>
      <c r="N523" s="21" t="str">
        <f ca="1">VLOOKUP($L523,OFFSET([2]enemies!$A$1,0,0,COUNTA([2]enemies!$A:$A),MATCH(N$1,[2]enemies!$1:$1,0)-MATCH($L$1,[2]enemies!$1:$1,0)+1),MATCH(N$1,[2]enemies!$1:$1,0)-MATCH($L$1,[2]enemies!$1:$1,0)+1,FALSE)</f>
        <v>blue</v>
      </c>
      <c r="O523" s="21" t="str">
        <f ca="1">VLOOKUP($L523,OFFSET([3]characters!$A$1,0,0,COUNTA([3]characters!$A:$A),MATCH(O$1,[3]characters!$1:$1,0)-MATCH($L$1,[3]characters!$1:$1,0)+1),MATCH(O$1,[3]characters!$1:$1,0)-MATCH($L$1,[3]characters!$1:$1,0)+1,FALSE)</f>
        <v>Drop1N</v>
      </c>
      <c r="P523" s="21" t="str">
        <f ca="1">VLOOKUP($L523,OFFSET([2]enemies!$A$1,0,0,COUNTA([2]enemies!$A:$A),MATCH(P$1,[2]enemies!$1:$1,0)-MATCH($L$1,[2]enemies!$1:$1,0)+1),MATCH(P$1,[2]enemies!$1:$1,0)-MATCH($L$1,[2]enemies!$1:$1,0)+1,FALSE)</f>
        <v>animal</v>
      </c>
      <c r="Q523" s="21">
        <f ca="1">VLOOKUP($L523,OFFSET([2]enemies!$A$1,0,0,COUNTA([2]enemies!$A:$A),MATCH(Q$1,[2]enemies!$1:$1,0)-MATCH($L$1,[2]enemies!$1:$1,0)+1),MATCH(Q$1,[2]enemies!$1:$1,0)-MATCH($L$1,[2]enemies!$1:$1,0)+1,FALSE)</f>
        <v>15</v>
      </c>
      <c r="R523" s="53">
        <v>48</v>
      </c>
      <c r="S523" s="27">
        <v>1.1000000000000001</v>
      </c>
      <c r="T523" s="27">
        <v>1</v>
      </c>
      <c r="U523" s="5">
        <v>0</v>
      </c>
      <c r="V523" s="4" t="str">
        <f ca="1">VLOOKUP($W523,OFFSET([4]enemy_skill_sets!$B$1,0,0,COUNTA([4]enemy_skill_sets!$B:$B),MATCH(M$1,[4]enemy_skill_sets!$1:$1,0)-MATCH($W$1,[4]enemy_skill_sets!$1:$1,0)+2),MATCH(M$1,[4]enemy_skill_sets!$1:$1,0)-MATCH($W$1,[4]enemy_skill_sets!$1:$1,0)+2,FALSE)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23" s="4">
        <f ca="1">VLOOKUP($L523,OFFSET([2]enemies!$A$1,0,0,COUNTA([2]enemies!$A:$A),MATCH(W$1,[2]enemies!$1:$1,0)-MATCH($L$1,[2]enemies!$1:$1,0)+1),MATCH(W$1,[2]enemies!$1:$1,0)-MATCH($L$1,[2]enemies!$1:$1,0)+1,FALSE)</f>
        <v>0</v>
      </c>
      <c r="X523" s="6">
        <v>0</v>
      </c>
      <c r="Y523" s="6">
        <v>100</v>
      </c>
      <c r="Z523" s="6">
        <v>0</v>
      </c>
      <c r="AA523" s="4">
        <f ca="1">VLOOKUP($L523,OFFSET([2]enemies!$A$1,0,0,COUNTA([2]enemies!$A:$A),MATCH(AA$1,[2]enemies!$1:$1,0)-MATCH($L$1,[2]enemies!$1:$1,0)+1),MATCH(AA$1,[2]enemies!$1:$1,0)-MATCH($L$1,[2]enemies!$1:$1,0)+1,FALSE)</f>
        <v>3</v>
      </c>
      <c r="AB523" s="52">
        <v>45</v>
      </c>
      <c r="AC523" s="4" t="str">
        <f ca="1">VLOOKUP($AB523,OFFSET([3]characters!$A$1,0,0,COUNTA([3]characters!$A:$A),MATCH(AC$1,[3]characters!$1:$1,0)-MATCH("character_id",[3]characters!$1:$1,0)+1),MATCH(AC$1,[3]characters!$1:$1,0)-MATCH("character_id",[3]characters!$1:$1,0)+1,FALSE)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523" s="4">
        <f ca="1">VLOOKUP($AB523,OFFSET([3]characters!$A$1,0,0,COUNTA([3]characters!$A:$A),MATCH(AD$1,[3]characters!$1:$1,0)-MATCH("character_id",[3]characters!$1:$1,0)+1),MATCH(AD$1,[3]characters!$1:$1,0)-MATCH("character_id",[3]characters!$1:$1,0)+1,FALSE)</f>
        <v>2</v>
      </c>
      <c r="AE523" s="4" t="str">
        <f ca="1">VLOOKUP($AB523,OFFSET([3]characters!$A$1,0,0,COUNTA([3]characters!$A:$A),MATCH(AE$1,[3]characters!$1:$1,0)-MATCH("character_id",[3]characters!$1:$1,0)+1),MATCH(AE$1,[3]characters!$1:$1,0)-MATCH("character_id",[3]characters!$1:$1,0)+1,FALSE)</f>
        <v>Drop1N</v>
      </c>
      <c r="AF523" s="7">
        <v>7</v>
      </c>
      <c r="AG523" s="26">
        <f t="shared" ca="1" si="575"/>
        <v>2</v>
      </c>
      <c r="AH523" s="8">
        <v>20</v>
      </c>
      <c r="AI523" s="7">
        <v>0</v>
      </c>
      <c r="AJ523" s="7">
        <v>0</v>
      </c>
      <c r="AK523" s="7">
        <v>0</v>
      </c>
      <c r="AL523" s="7">
        <v>0</v>
      </c>
      <c r="AM523" s="7">
        <v>1</v>
      </c>
    </row>
    <row r="524" spans="1:39" ht="14" x14ac:dyDescent="0.15">
      <c r="A524" s="18" t="str">
        <f t="shared" ca="1" si="560"/>
        <v>25_2-3/47&lt;lv48&gt;s1</v>
      </c>
      <c r="B524" s="50">
        <v>25</v>
      </c>
      <c r="C524" s="49">
        <v>2</v>
      </c>
      <c r="D524" s="2" t="str">
        <f t="shared" si="567"/>
        <v>25_2</v>
      </c>
      <c r="E524" s="2" t="str">
        <f t="shared" si="567"/>
        <v>2_25_2</v>
      </c>
      <c r="F524" s="4" t="str">
        <f ca="1">VLOOKUP($D524,OFFSET([1]stages!$A$1,0,0,COUNTA([1]stages!$A:$A),MATCH(F$1,[1]stages!$2:$2,0)-MATCH($D$1,[1]stages!$2:$2,0)+1),MATCH(F$1,[1]stages!$2:$2,0)-MATCH($D$1,[1]stages!$2:$2,0)+1,FALSE)</f>
        <v>25-2．剣の舞</v>
      </c>
      <c r="G524" s="55">
        <v>3</v>
      </c>
      <c r="H524" s="17" t="str">
        <f t="shared" si="568"/>
        <v>25_2-3</v>
      </c>
      <c r="I524" s="17"/>
      <c r="J524" s="17"/>
      <c r="K524" s="65" t="s">
        <v>56</v>
      </c>
      <c r="L524" s="52">
        <v>47</v>
      </c>
      <c r="M524" s="21" t="str">
        <f ca="1">VLOOKUP($L524,OFFSET([2]enemies!$A$1,0,0,COUNTA([2]enemies!$A:$A),MATCH(M$1,[2]enemies!$1:$1,0)-MATCH($L$1,[2]enemies!$1:$1,0)+1),MATCH(M$1,[2]enemies!$1:$1,0)-MATCH($L$1,[2]enemies!$1:$1,0)+1,FALSE)</f>
        <v>ヒロ</v>
      </c>
      <c r="N524" s="21" t="str">
        <f ca="1">VLOOKUP($L524,OFFSET([2]enemies!$A$1,0,0,COUNTA([2]enemies!$A:$A),MATCH(N$1,[2]enemies!$1:$1,0)-MATCH($L$1,[2]enemies!$1:$1,0)+1),MATCH(N$1,[2]enemies!$1:$1,0)-MATCH($L$1,[2]enemies!$1:$1,0)+1,FALSE)</f>
        <v>yellow</v>
      </c>
      <c r="O524" s="21" t="str">
        <f ca="1">VLOOKUP($L524,OFFSET([3]characters!$A$1,0,0,COUNTA([3]characters!$A:$A),MATCH(O$1,[3]characters!$1:$1,0)-MATCH($L$1,[3]characters!$1:$1,0)+1),MATCH(O$1,[3]characters!$1:$1,0)-MATCH($L$1,[3]characters!$1:$1,0)+1,FALSE)</f>
        <v>Drop1N</v>
      </c>
      <c r="P524" s="21" t="str">
        <f ca="1">VLOOKUP($L524,OFFSET([2]enemies!$A$1,0,0,COUNTA([2]enemies!$A:$A),MATCH(P$1,[2]enemies!$1:$1,0)-MATCH($L$1,[2]enemies!$1:$1,0)+1),MATCH(P$1,[2]enemies!$1:$1,0)-MATCH($L$1,[2]enemies!$1:$1,0)+1,FALSE)</f>
        <v>animal</v>
      </c>
      <c r="Q524" s="21">
        <f ca="1">VLOOKUP($L524,OFFSET([2]enemies!$A$1,0,0,COUNTA([2]enemies!$A:$A),MATCH(Q$1,[2]enemies!$1:$1,0)-MATCH($L$1,[2]enemies!$1:$1,0)+1),MATCH(Q$1,[2]enemies!$1:$1,0)-MATCH($L$1,[2]enemies!$1:$1,0)+1,FALSE)</f>
        <v>15</v>
      </c>
      <c r="R524" s="53">
        <v>48</v>
      </c>
      <c r="S524" s="27">
        <v>1.1000000000000001</v>
      </c>
      <c r="T524" s="27">
        <v>1</v>
      </c>
      <c r="U524" s="5">
        <v>0</v>
      </c>
      <c r="V524" s="4" t="str">
        <f ca="1">VLOOKUP($W524,OFFSET([4]enemy_skill_sets!$B$1,0,0,COUNTA([4]enemy_skill_sets!$B:$B),MATCH(M$1,[4]enemy_skill_sets!$1:$1,0)-MATCH($W$1,[4]enemy_skill_sets!$1:$1,0)+2),MATCH(M$1,[4]enemy_skill_sets!$1:$1,0)-MATCH($W$1,[4]enemy_skill_sets!$1:$1,0)+2,FALSE)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24" s="4">
        <f ca="1">VLOOKUP($L524,OFFSET([2]enemies!$A$1,0,0,COUNTA([2]enemies!$A:$A),MATCH(W$1,[2]enemies!$1:$1,0)-MATCH($L$1,[2]enemies!$1:$1,0)+1),MATCH(W$1,[2]enemies!$1:$1,0)-MATCH($L$1,[2]enemies!$1:$1,0)+1,FALSE)</f>
        <v>0</v>
      </c>
      <c r="X524" s="6">
        <v>0</v>
      </c>
      <c r="Y524" s="6">
        <v>100</v>
      </c>
      <c r="Z524" s="6">
        <v>0</v>
      </c>
      <c r="AA524" s="4">
        <f ca="1">VLOOKUP($L524,OFFSET([2]enemies!$A$1,0,0,COUNTA([2]enemies!$A:$A),MATCH(AA$1,[2]enemies!$1:$1,0)-MATCH($L$1,[2]enemies!$1:$1,0)+1),MATCH(AA$1,[2]enemies!$1:$1,0)-MATCH($L$1,[2]enemies!$1:$1,0)+1,FALSE)</f>
        <v>1</v>
      </c>
      <c r="AB524" s="52">
        <v>47</v>
      </c>
      <c r="AC524" s="4" t="str">
        <f ca="1">VLOOKUP($AB524,OFFSET([3]characters!$A$1,0,0,COUNTA([3]characters!$A:$A),MATCH(AC$1,[3]characters!$1:$1,0)-MATCH("character_id",[3]characters!$1:$1,0)+1),MATCH(AC$1,[3]characters!$1:$1,0)-MATCH("character_id",[3]characters!$1:$1,0)+1,FALSE)</f>
        <v>ヒロ</v>
      </c>
      <c r="AD524" s="4">
        <f ca="1">VLOOKUP($AB524,OFFSET([3]characters!$A$1,0,0,COUNTA([3]characters!$A:$A),MATCH(AD$1,[3]characters!$1:$1,0)-MATCH("character_id",[3]characters!$1:$1,0)+1),MATCH(AD$1,[3]characters!$1:$1,0)-MATCH("character_id",[3]characters!$1:$1,0)+1,FALSE)</f>
        <v>2</v>
      </c>
      <c r="AE524" s="4" t="str">
        <f ca="1">VLOOKUP($AB524,OFFSET([3]characters!$A$1,0,0,COUNTA([3]characters!$A:$A),MATCH(AE$1,[3]characters!$1:$1,0)-MATCH("character_id",[3]characters!$1:$1,0)+1),MATCH(AE$1,[3]characters!$1:$1,0)-MATCH("character_id",[3]characters!$1:$1,0)+1,FALSE)</f>
        <v>Drop1N</v>
      </c>
      <c r="AF524" s="7">
        <v>7</v>
      </c>
      <c r="AG524" s="26">
        <f t="shared" ca="1" si="575"/>
        <v>2</v>
      </c>
      <c r="AH524" s="8">
        <v>20</v>
      </c>
      <c r="AI524" s="7">
        <v>0</v>
      </c>
      <c r="AJ524" s="7">
        <v>0</v>
      </c>
      <c r="AK524" s="7">
        <v>0</v>
      </c>
      <c r="AL524" s="7">
        <v>0</v>
      </c>
      <c r="AM524" s="7">
        <v>1</v>
      </c>
    </row>
    <row r="525" spans="1:39" ht="14" x14ac:dyDescent="0.15">
      <c r="A525" s="18" t="str">
        <f t="shared" ca="1" si="560"/>
        <v>25_2-3/61&lt;lv48&gt;s2</v>
      </c>
      <c r="B525" s="50">
        <v>25</v>
      </c>
      <c r="C525" s="49">
        <v>2</v>
      </c>
      <c r="D525" s="2" t="str">
        <f t="shared" si="567"/>
        <v>25_2</v>
      </c>
      <c r="E525" s="2" t="str">
        <f t="shared" si="567"/>
        <v>2_25_2</v>
      </c>
      <c r="F525" s="4" t="str">
        <f ca="1">VLOOKUP($D525,OFFSET([1]stages!$A$1,0,0,COUNTA([1]stages!$A:$A),MATCH(F$1,[1]stages!$2:$2,0)-MATCH($D$1,[1]stages!$2:$2,0)+1),MATCH(F$1,[1]stages!$2:$2,0)-MATCH($D$1,[1]stages!$2:$2,0)+1,FALSE)</f>
        <v>25-2．剣の舞</v>
      </c>
      <c r="G525" s="55">
        <v>3</v>
      </c>
      <c r="H525" s="17" t="str">
        <f t="shared" si="568"/>
        <v>25_2-3</v>
      </c>
      <c r="I525" s="17"/>
      <c r="J525" s="17"/>
      <c r="K525" s="65" t="s">
        <v>56</v>
      </c>
      <c r="L525" s="52">
        <v>61</v>
      </c>
      <c r="M525" s="21" t="str">
        <f ca="1">VLOOKUP($L525,OFFSET([2]enemies!$A$1,0,0,COUNTA([2]enemies!$A:$A),MATCH(M$1,[2]enemies!$1:$1,0)-MATCH($L$1,[2]enemies!$1:$1,0)+1),MATCH(M$1,[2]enemies!$1:$1,0)-MATCH($L$1,[2]enemies!$1:$1,0)+1,FALSE)</f>
        <v>クロウ</v>
      </c>
      <c r="N525" s="21" t="str">
        <f ca="1">VLOOKUP($L525,OFFSET([2]enemies!$A$1,0,0,COUNTA([2]enemies!$A:$A),MATCH(N$1,[2]enemies!$1:$1,0)-MATCH($L$1,[2]enemies!$1:$1,0)+1),MATCH(N$1,[2]enemies!$1:$1,0)-MATCH($L$1,[2]enemies!$1:$1,0)+1,FALSE)</f>
        <v>blue</v>
      </c>
      <c r="O525" s="21" t="str">
        <f ca="1">VLOOKUP($L525,OFFSET([3]characters!$A$1,0,0,COUNTA([3]characters!$A:$A),MATCH(O$1,[3]characters!$1:$1,0)-MATCH($L$1,[3]characters!$1:$1,0)+1),MATCH(O$1,[3]characters!$1:$1,0)-MATCH($L$1,[3]characters!$1:$1,0)+1,FALSE)</f>
        <v>Drop1N</v>
      </c>
      <c r="P525" s="21" t="str">
        <f ca="1">VLOOKUP($L525,OFFSET([2]enemies!$A$1,0,0,COUNTA([2]enemies!$A:$A),MATCH(P$1,[2]enemies!$1:$1,0)-MATCH($L$1,[2]enemies!$1:$1,0)+1),MATCH(P$1,[2]enemies!$1:$1,0)-MATCH($L$1,[2]enemies!$1:$1,0)+1,FALSE)</f>
        <v>animal</v>
      </c>
      <c r="Q525" s="21">
        <f ca="1">VLOOKUP($L525,OFFSET([2]enemies!$A$1,0,0,COUNTA([2]enemies!$A:$A),MATCH(Q$1,[2]enemies!$1:$1,0)-MATCH($L$1,[2]enemies!$1:$1,0)+1),MATCH(Q$1,[2]enemies!$1:$1,0)-MATCH($L$1,[2]enemies!$1:$1,0)+1,FALSE)</f>
        <v>15</v>
      </c>
      <c r="R525" s="53">
        <v>48</v>
      </c>
      <c r="S525" s="27">
        <v>1.1000000000000001</v>
      </c>
      <c r="T525" s="27">
        <v>1</v>
      </c>
      <c r="U525" s="5">
        <v>0</v>
      </c>
      <c r="V525" s="4" t="str">
        <f ca="1">VLOOKUP($W525,OFFSET([4]enemy_skill_sets!$B$1,0,0,COUNTA([4]enemy_skill_sets!$B:$B),MATCH(M$1,[4]enemy_skill_sets!$1:$1,0)-MATCH($W$1,[4]enemy_skill_sets!$1:$1,0)+2),MATCH(M$1,[4]enemy_skill_sets!$1:$1,0)-MATCH($W$1,[4]enemy_skill_sets!$1:$1,0)+2,FALSE)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25" s="4">
        <f ca="1">VLOOKUP($L525,OFFSET([2]enemies!$A$1,0,0,COUNTA([2]enemies!$A:$A),MATCH(W$1,[2]enemies!$1:$1,0)-MATCH($L$1,[2]enemies!$1:$1,0)+1),MATCH(W$1,[2]enemies!$1:$1,0)-MATCH($L$1,[2]enemies!$1:$1,0)+1,FALSE)</f>
        <v>61</v>
      </c>
      <c r="X525" s="6">
        <v>0</v>
      </c>
      <c r="Y525" s="6">
        <v>100</v>
      </c>
      <c r="Z525" s="6">
        <v>0</v>
      </c>
      <c r="AA525" s="4">
        <f ca="1">VLOOKUP($L525,OFFSET([2]enemies!$A$1,0,0,COUNTA([2]enemies!$A:$A),MATCH(AA$1,[2]enemies!$1:$1,0)-MATCH($L$1,[2]enemies!$1:$1,0)+1),MATCH(AA$1,[2]enemies!$1:$1,0)-MATCH($L$1,[2]enemies!$1:$1,0)+1,FALSE)</f>
        <v>2</v>
      </c>
      <c r="AB525" s="52">
        <v>61</v>
      </c>
      <c r="AC525" s="4" t="str">
        <f ca="1">VLOOKUP($AB525,OFFSET([3]characters!$A$1,0,0,COUNTA([3]characters!$A:$A),MATCH(AC$1,[3]characters!$1:$1,0)-MATCH("character_id",[3]characters!$1:$1,0)+1),MATCH(AC$1,[3]characters!$1:$1,0)-MATCH("character_id",[3]characters!$1:$1,0)+1,FALSE)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525" s="4">
        <f ca="1">VLOOKUP($AB525,OFFSET([3]characters!$A$1,0,0,COUNTA([3]characters!$A:$A),MATCH(AD$1,[3]characters!$1:$1,0)-MATCH("character_id",[3]characters!$1:$1,0)+1),MATCH(AD$1,[3]characters!$1:$1,0)-MATCH("character_id",[3]characters!$1:$1,0)+1,FALSE)</f>
        <v>2</v>
      </c>
      <c r="AE525" s="4" t="str">
        <f ca="1">VLOOKUP($AB525,OFFSET([3]characters!$A$1,0,0,COUNTA([3]characters!$A:$A),MATCH(AE$1,[3]characters!$1:$1,0)-MATCH("character_id",[3]characters!$1:$1,0)+1),MATCH(AE$1,[3]characters!$1:$1,0)-MATCH("character_id",[3]characters!$1:$1,0)+1,FALSE)</f>
        <v>Drop1N</v>
      </c>
      <c r="AF525" s="7">
        <v>7</v>
      </c>
      <c r="AG525" s="26">
        <f t="shared" ca="1" si="575"/>
        <v>2</v>
      </c>
      <c r="AH525" s="8">
        <v>20</v>
      </c>
      <c r="AI525" s="7">
        <v>0</v>
      </c>
      <c r="AJ525" s="7">
        <v>0</v>
      </c>
      <c r="AK525" s="7">
        <v>0</v>
      </c>
      <c r="AL525" s="7">
        <v>0</v>
      </c>
      <c r="AM525" s="7">
        <v>1</v>
      </c>
    </row>
    <row r="526" spans="1:39" ht="14" x14ac:dyDescent="0.15">
      <c r="A526" s="18" t="str">
        <f t="shared" ca="1" si="560"/>
        <v>25_2-3/63&lt;lv48&gt;s2</v>
      </c>
      <c r="B526" s="50">
        <v>25</v>
      </c>
      <c r="C526" s="49">
        <v>2</v>
      </c>
      <c r="D526" s="2" t="str">
        <f t="shared" si="567"/>
        <v>25_2</v>
      </c>
      <c r="E526" s="2" t="str">
        <f t="shared" si="567"/>
        <v>2_25_2</v>
      </c>
      <c r="F526" s="4" t="str">
        <f ca="1">VLOOKUP($D526,OFFSET([1]stages!$A$1,0,0,COUNTA([1]stages!$A:$A),MATCH(F$1,[1]stages!$2:$2,0)-MATCH($D$1,[1]stages!$2:$2,0)+1),MATCH(F$1,[1]stages!$2:$2,0)-MATCH($D$1,[1]stages!$2:$2,0)+1,FALSE)</f>
        <v>25-2．剣の舞</v>
      </c>
      <c r="G526" s="55">
        <v>3</v>
      </c>
      <c r="H526" s="17" t="str">
        <f t="shared" si="568"/>
        <v>25_2-3</v>
      </c>
      <c r="I526" s="17"/>
      <c r="J526" s="17"/>
      <c r="K526" s="65" t="s">
        <v>56</v>
      </c>
      <c r="L526" s="52">
        <v>63</v>
      </c>
      <c r="M526" s="21" t="str">
        <f ca="1">VLOOKUP($L526,OFFSET([2]enemies!$A$1,0,0,COUNTA([2]enemies!$A:$A),MATCH(M$1,[2]enemies!$1:$1,0)-MATCH($L$1,[2]enemies!$1:$1,0)+1),MATCH(M$1,[2]enemies!$1:$1,0)-MATCH($L$1,[2]enemies!$1:$1,0)+1,FALSE)</f>
        <v>トニー</v>
      </c>
      <c r="N526" s="21" t="str">
        <f ca="1">VLOOKUP($L526,OFFSET([2]enemies!$A$1,0,0,COUNTA([2]enemies!$A:$A),MATCH(N$1,[2]enemies!$1:$1,0)-MATCH($L$1,[2]enemies!$1:$1,0)+1),MATCH(N$1,[2]enemies!$1:$1,0)-MATCH($L$1,[2]enemies!$1:$1,0)+1,FALSE)</f>
        <v>yellow</v>
      </c>
      <c r="O526" s="21" t="str">
        <f ca="1">VLOOKUP($L526,OFFSET([3]characters!$A$1,0,0,COUNTA([3]characters!$A:$A),MATCH(O$1,[3]characters!$1:$1,0)-MATCH($L$1,[3]characters!$1:$1,0)+1),MATCH(O$1,[3]characters!$1:$1,0)-MATCH($L$1,[3]characters!$1:$1,0)+1,FALSE)</f>
        <v>Drop1N</v>
      </c>
      <c r="P526" s="21" t="str">
        <f ca="1">VLOOKUP($L526,OFFSET([2]enemies!$A$1,0,0,COUNTA([2]enemies!$A:$A),MATCH(P$1,[2]enemies!$1:$1,0)-MATCH($L$1,[2]enemies!$1:$1,0)+1),MATCH(P$1,[2]enemies!$1:$1,0)-MATCH($L$1,[2]enemies!$1:$1,0)+1,FALSE)</f>
        <v>animal</v>
      </c>
      <c r="Q526" s="21">
        <f ca="1">VLOOKUP($L526,OFFSET([2]enemies!$A$1,0,0,COUNTA([2]enemies!$A:$A),MATCH(Q$1,[2]enemies!$1:$1,0)-MATCH($L$1,[2]enemies!$1:$1,0)+1),MATCH(Q$1,[2]enemies!$1:$1,0)-MATCH($L$1,[2]enemies!$1:$1,0)+1,FALSE)</f>
        <v>15</v>
      </c>
      <c r="R526" s="53">
        <v>48</v>
      </c>
      <c r="S526" s="27">
        <v>1.1000000000000001</v>
      </c>
      <c r="T526" s="27">
        <v>1</v>
      </c>
      <c r="U526" s="5">
        <v>0</v>
      </c>
      <c r="V526" s="4" t="str">
        <f ca="1">VLOOKUP($W526,OFFSET([4]enemy_skill_sets!$B$1,0,0,COUNTA([4]enemy_skill_sets!$B:$B),MATCH(M$1,[4]enemy_skill_sets!$1:$1,0)-MATCH($W$1,[4]enemy_skill_sets!$1:$1,0)+2),MATCH(M$1,[4]enemy_skill_sets!$1:$1,0)-MATCH($W$1,[4]enemy_skill_sets!$1:$1,0)+2,FALSE)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526" s="4">
        <f ca="1">VLOOKUP($L526,OFFSET([2]enemies!$A$1,0,0,COUNTA([2]enemies!$A:$A),MATCH(W$1,[2]enemies!$1:$1,0)-MATCH($L$1,[2]enemies!$1:$1,0)+1),MATCH(W$1,[2]enemies!$1:$1,0)-MATCH($L$1,[2]enemies!$1:$1,0)+1,FALSE)</f>
        <v>63</v>
      </c>
      <c r="X526" s="6">
        <v>0</v>
      </c>
      <c r="Y526" s="6">
        <v>100</v>
      </c>
      <c r="Z526" s="6">
        <v>0</v>
      </c>
      <c r="AA526" s="4">
        <f ca="1">VLOOKUP($L526,OFFSET([2]enemies!$A$1,0,0,COUNTA([2]enemies!$A:$A),MATCH(AA$1,[2]enemies!$1:$1,0)-MATCH($L$1,[2]enemies!$1:$1,0)+1),MATCH(AA$1,[2]enemies!$1:$1,0)-MATCH($L$1,[2]enemies!$1:$1,0)+1,FALSE)</f>
        <v>2</v>
      </c>
      <c r="AB526" s="52">
        <v>63</v>
      </c>
      <c r="AC526" s="4" t="str">
        <f ca="1">VLOOKUP($AB526,OFFSET([3]characters!$A$1,0,0,COUNTA([3]characters!$A:$A),MATCH(AC$1,[3]characters!$1:$1,0)-MATCH("character_id",[3]characters!$1:$1,0)+1),MATCH(AC$1,[3]characters!$1:$1,0)-MATCH("character_id",[3]characters!$1:$1,0)+1,FALSE)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526" s="4">
        <f ca="1">VLOOKUP($AB526,OFFSET([3]characters!$A$1,0,0,COUNTA([3]characters!$A:$A),MATCH(AD$1,[3]characters!$1:$1,0)-MATCH("character_id",[3]characters!$1:$1,0)+1),MATCH(AD$1,[3]characters!$1:$1,0)-MATCH("character_id",[3]characters!$1:$1,0)+1,FALSE)</f>
        <v>2</v>
      </c>
      <c r="AE526" s="4" t="str">
        <f ca="1">VLOOKUP($AB526,OFFSET([3]characters!$A$1,0,0,COUNTA([3]characters!$A:$A),MATCH(AE$1,[3]characters!$1:$1,0)-MATCH("character_id",[3]characters!$1:$1,0)+1),MATCH(AE$1,[3]characters!$1:$1,0)-MATCH("character_id",[3]characters!$1:$1,0)+1,FALSE)</f>
        <v>Drop1N</v>
      </c>
      <c r="AF526" s="7">
        <v>7</v>
      </c>
      <c r="AG526" s="26">
        <f t="shared" ca="1" si="575"/>
        <v>2</v>
      </c>
      <c r="AH526" s="8">
        <v>20</v>
      </c>
      <c r="AI526" s="7">
        <v>0</v>
      </c>
      <c r="AJ526" s="7">
        <v>0</v>
      </c>
      <c r="AK526" s="7">
        <v>0</v>
      </c>
      <c r="AL526" s="7">
        <v>0</v>
      </c>
      <c r="AM526" s="7">
        <v>1</v>
      </c>
    </row>
    <row r="527" spans="1:39" ht="14" x14ac:dyDescent="0.15">
      <c r="A527" s="18" t="str">
        <f t="shared" ca="1" si="560"/>
        <v>25_2-3/17&lt;lv48&gt;s2</v>
      </c>
      <c r="B527" s="50">
        <v>25</v>
      </c>
      <c r="C527" s="49">
        <v>2</v>
      </c>
      <c r="D527" s="2" t="str">
        <f t="shared" si="567"/>
        <v>25_2</v>
      </c>
      <c r="E527" s="2" t="str">
        <f t="shared" si="567"/>
        <v>2_25_2</v>
      </c>
      <c r="F527" s="4" t="str">
        <f ca="1">VLOOKUP($D527,OFFSET([1]stages!$A$1,0,0,COUNTA([1]stages!$A:$A),MATCH(F$1,[1]stages!$2:$2,0)-MATCH($D$1,[1]stages!$2:$2,0)+1),MATCH(F$1,[1]stages!$2:$2,0)-MATCH($D$1,[1]stages!$2:$2,0)+1,FALSE)</f>
        <v>25-2．剣の舞</v>
      </c>
      <c r="G527" s="55">
        <v>3</v>
      </c>
      <c r="H527" s="17" t="str">
        <f t="shared" si="568"/>
        <v>25_2-3</v>
      </c>
      <c r="I527" s="17"/>
      <c r="J527" s="17"/>
      <c r="K527" s="65" t="s">
        <v>56</v>
      </c>
      <c r="L527" s="52">
        <v>17</v>
      </c>
      <c r="M527" s="21" t="str">
        <f ca="1">VLOOKUP($L527,OFFSET([2]enemies!$A$1,0,0,COUNTA([2]enemies!$A:$A),MATCH(M$1,[2]enemies!$1:$1,0)-MATCH($L$1,[2]enemies!$1:$1,0)+1),MATCH(M$1,[2]enemies!$1:$1,0)-MATCH($L$1,[2]enemies!$1:$1,0)+1,FALSE)</f>
        <v>リム</v>
      </c>
      <c r="N527" s="21" t="str">
        <f ca="1">VLOOKUP($L527,OFFSET([2]enemies!$A$1,0,0,COUNTA([2]enemies!$A:$A),MATCH(N$1,[2]enemies!$1:$1,0)-MATCH($L$1,[2]enemies!$1:$1,0)+1),MATCH(N$1,[2]enemies!$1:$1,0)-MATCH($L$1,[2]enemies!$1:$1,0)+1,FALSE)</f>
        <v>blue</v>
      </c>
      <c r="O527" s="21" t="str">
        <f ca="1">VLOOKUP($L527,OFFSET([3]characters!$A$1,0,0,COUNTA([3]characters!$A:$A),MATCH(O$1,[3]characters!$1:$1,0)-MATCH($L$1,[3]characters!$1:$1,0)+1),MATCH(O$1,[3]characters!$1:$1,0)-MATCH($L$1,[3]characters!$1:$1,0)+1,FALSE)</f>
        <v>Drop1W</v>
      </c>
      <c r="P527" s="21" t="str">
        <f ca="1">VLOOKUP($L527,OFFSET([2]enemies!$A$1,0,0,COUNTA([2]enemies!$A:$A),MATCH(P$1,[2]enemies!$1:$1,0)-MATCH($L$1,[2]enemies!$1:$1,0)+1),MATCH(P$1,[2]enemies!$1:$1,0)-MATCH($L$1,[2]enemies!$1:$1,0)+1,FALSE)</f>
        <v>human</v>
      </c>
      <c r="Q527" s="21">
        <f ca="1">VLOOKUP($L527,OFFSET([2]enemies!$A$1,0,0,COUNTA([2]enemies!$A:$A),MATCH(Q$1,[2]enemies!$1:$1,0)-MATCH($L$1,[2]enemies!$1:$1,0)+1),MATCH(Q$1,[2]enemies!$1:$1,0)-MATCH($L$1,[2]enemies!$1:$1,0)+1,FALSE)</f>
        <v>15</v>
      </c>
      <c r="R527" s="53">
        <v>48</v>
      </c>
      <c r="S527" s="27">
        <v>1.1000000000000001</v>
      </c>
      <c r="T527" s="27">
        <v>1</v>
      </c>
      <c r="U527" s="5">
        <v>0</v>
      </c>
      <c r="V527" s="4" t="str">
        <f ca="1">VLOOKUP($W527,OFFSET([4]enemy_skill_sets!$B$1,0,0,COUNTA([4]enemy_skill_sets!$B:$B),MATCH(M$1,[4]enemy_skill_sets!$1:$1,0)-MATCH($W$1,[4]enemy_skill_sets!$1:$1,0)+2),MATCH(M$1,[4]enemy_skill_sets!$1:$1,0)-MATCH($W$1,[4]enemy_skill_sets!$1:$1,0)+2,FALSE)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27" s="4">
        <f ca="1">VLOOKUP($L527,OFFSET([2]enemies!$A$1,0,0,COUNTA([2]enemies!$A:$A),MATCH(W$1,[2]enemies!$1:$1,0)-MATCH($L$1,[2]enemies!$1:$1,0)+1),MATCH(W$1,[2]enemies!$1:$1,0)-MATCH($L$1,[2]enemies!$1:$1,0)+1,FALSE)</f>
        <v>0</v>
      </c>
      <c r="X527" s="6">
        <v>0</v>
      </c>
      <c r="Y527" s="6">
        <v>100</v>
      </c>
      <c r="Z527" s="6">
        <v>0</v>
      </c>
      <c r="AA527" s="4">
        <f ca="1">VLOOKUP($L527,OFFSET([2]enemies!$A$1,0,0,COUNTA([2]enemies!$A:$A),MATCH(AA$1,[2]enemies!$1:$1,0)-MATCH($L$1,[2]enemies!$1:$1,0)+1),MATCH(AA$1,[2]enemies!$1:$1,0)-MATCH($L$1,[2]enemies!$1:$1,0)+1,FALSE)</f>
        <v>2</v>
      </c>
      <c r="AB527" s="52">
        <v>17</v>
      </c>
      <c r="AC527" s="4" t="str">
        <f ca="1">VLOOKUP($AB527,OFFSET([3]characters!$A$1,0,0,COUNTA([3]characters!$A:$A),MATCH(AC$1,[3]characters!$1:$1,0)-MATCH("character_id",[3]characters!$1:$1,0)+1),MATCH(AC$1,[3]characters!$1:$1,0)-MATCH("character_id",[3]characters!$1:$1,0)+1,FALSE)</f>
        <v>リム</v>
      </c>
      <c r="AD527" s="4">
        <f ca="1">VLOOKUP($AB527,OFFSET([3]characters!$A$1,0,0,COUNTA([3]characters!$A:$A),MATCH(AD$1,[3]characters!$1:$1,0)-MATCH("character_id",[3]characters!$1:$1,0)+1),MATCH(AD$1,[3]characters!$1:$1,0)-MATCH("character_id",[3]characters!$1:$1,0)+1,FALSE)</f>
        <v>1</v>
      </c>
      <c r="AE527" s="4" t="str">
        <f ca="1">VLOOKUP($AB527,OFFSET([3]characters!$A$1,0,0,COUNTA([3]characters!$A:$A),MATCH(AE$1,[3]characters!$1:$1,0)-MATCH("character_id",[3]characters!$1:$1,0)+1),MATCH(AE$1,[3]characters!$1:$1,0)-MATCH("character_id",[3]characters!$1:$1,0)+1,FALSE)</f>
        <v>Drop1W</v>
      </c>
      <c r="AF527" s="7">
        <v>9</v>
      </c>
      <c r="AG527" s="26">
        <f t="shared" ca="1" si="575"/>
        <v>1</v>
      </c>
      <c r="AH527" s="8">
        <v>20</v>
      </c>
      <c r="AI527" s="7">
        <v>0</v>
      </c>
      <c r="AJ527" s="7">
        <v>0</v>
      </c>
      <c r="AK527" s="7">
        <v>0</v>
      </c>
      <c r="AL527" s="7">
        <v>0</v>
      </c>
      <c r="AM527" s="7">
        <v>1</v>
      </c>
    </row>
    <row r="528" spans="1:39" ht="14" x14ac:dyDescent="0.15">
      <c r="A528" s="18" t="str">
        <f t="shared" ca="1" si="560"/>
        <v>25_2-3/19&lt;lv48&gt;s3</v>
      </c>
      <c r="B528" s="50">
        <v>25</v>
      </c>
      <c r="C528" s="49">
        <v>2</v>
      </c>
      <c r="D528" s="2" t="str">
        <f t="shared" si="567"/>
        <v>25_2</v>
      </c>
      <c r="E528" s="2" t="str">
        <f t="shared" si="567"/>
        <v>2_25_2</v>
      </c>
      <c r="F528" s="4" t="str">
        <f ca="1">VLOOKUP($D528,OFFSET([1]stages!$A$1,0,0,COUNTA([1]stages!$A:$A),MATCH(F$1,[1]stages!$2:$2,0)-MATCH($D$1,[1]stages!$2:$2,0)+1),MATCH(F$1,[1]stages!$2:$2,0)-MATCH($D$1,[1]stages!$2:$2,0)+1,FALSE)</f>
        <v>25-2．剣の舞</v>
      </c>
      <c r="G528" s="55">
        <v>3</v>
      </c>
      <c r="H528" s="17" t="str">
        <f t="shared" si="568"/>
        <v>25_2-3</v>
      </c>
      <c r="I528" s="17"/>
      <c r="J528" s="17"/>
      <c r="K528" s="65" t="s">
        <v>56</v>
      </c>
      <c r="L528" s="52">
        <v>19</v>
      </c>
      <c r="M528" s="21" t="str">
        <f ca="1">VLOOKUP($L528,OFFSET([2]enemies!$A$1,0,0,COUNTA([2]enemies!$A:$A),MATCH(M$1,[2]enemies!$1:$1,0)-MATCH($L$1,[2]enemies!$1:$1,0)+1),MATCH(M$1,[2]enemies!$1:$1,0)-MATCH($L$1,[2]enemies!$1:$1,0)+1,FALSE)</f>
        <v>ティンク</v>
      </c>
      <c r="N528" s="21" t="str">
        <f ca="1">VLOOKUP($L528,OFFSET([2]enemies!$A$1,0,0,COUNTA([2]enemies!$A:$A),MATCH(N$1,[2]enemies!$1:$1,0)-MATCH($L$1,[2]enemies!$1:$1,0)+1),MATCH(N$1,[2]enemies!$1:$1,0)-MATCH($L$1,[2]enemies!$1:$1,0)+1,FALSE)</f>
        <v>yellow</v>
      </c>
      <c r="O528" s="21" t="str">
        <f ca="1">VLOOKUP($L528,OFFSET([3]characters!$A$1,0,0,COUNTA([3]characters!$A:$A),MATCH(O$1,[3]characters!$1:$1,0)-MATCH($L$1,[3]characters!$1:$1,0)+1),MATCH(O$1,[3]characters!$1:$1,0)-MATCH($L$1,[3]characters!$1:$1,0)+1,FALSE)</f>
        <v>Drop1W</v>
      </c>
      <c r="P528" s="21" t="str">
        <f ca="1">VLOOKUP($L528,OFFSET([2]enemies!$A$1,0,0,COUNTA([2]enemies!$A:$A),MATCH(P$1,[2]enemies!$1:$1,0)-MATCH($L$1,[2]enemies!$1:$1,0)+1),MATCH(P$1,[2]enemies!$1:$1,0)-MATCH($L$1,[2]enemies!$1:$1,0)+1,FALSE)</f>
        <v>human</v>
      </c>
      <c r="Q528" s="21">
        <f ca="1">VLOOKUP($L528,OFFSET([2]enemies!$A$1,0,0,COUNTA([2]enemies!$A:$A),MATCH(Q$1,[2]enemies!$1:$1,0)-MATCH($L$1,[2]enemies!$1:$1,0)+1),MATCH(Q$1,[2]enemies!$1:$1,0)-MATCH($L$1,[2]enemies!$1:$1,0)+1,FALSE)</f>
        <v>15</v>
      </c>
      <c r="R528" s="53">
        <v>48</v>
      </c>
      <c r="S528" s="27">
        <v>1.1000000000000001</v>
      </c>
      <c r="T528" s="27">
        <v>1</v>
      </c>
      <c r="U528" s="5">
        <v>0</v>
      </c>
      <c r="V528" s="4" t="str">
        <f ca="1">VLOOKUP($W528,OFFSET([4]enemy_skill_sets!$B$1,0,0,COUNTA([4]enemy_skill_sets!$B:$B),MATCH(M$1,[4]enemy_skill_sets!$1:$1,0)-MATCH($W$1,[4]enemy_skill_sets!$1:$1,0)+2),MATCH(M$1,[4]enemy_skill_sets!$1:$1,0)-MATCH($W$1,[4]enemy_skill_sets!$1:$1,0)+2,FALSE)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28" s="4">
        <f ca="1">VLOOKUP($L528,OFFSET([2]enemies!$A$1,0,0,COUNTA([2]enemies!$A:$A),MATCH(W$1,[2]enemies!$1:$1,0)-MATCH($L$1,[2]enemies!$1:$1,0)+1),MATCH(W$1,[2]enemies!$1:$1,0)-MATCH($L$1,[2]enemies!$1:$1,0)+1,FALSE)</f>
        <v>0</v>
      </c>
      <c r="X528" s="6">
        <v>0</v>
      </c>
      <c r="Y528" s="6">
        <v>100</v>
      </c>
      <c r="Z528" s="6">
        <v>0</v>
      </c>
      <c r="AA528" s="4">
        <f ca="1">VLOOKUP($L528,OFFSET([2]enemies!$A$1,0,0,COUNTA([2]enemies!$A:$A),MATCH(AA$1,[2]enemies!$1:$1,0)-MATCH($L$1,[2]enemies!$1:$1,0)+1),MATCH(AA$1,[2]enemies!$1:$1,0)-MATCH($L$1,[2]enemies!$1:$1,0)+1,FALSE)</f>
        <v>3</v>
      </c>
      <c r="AB528" s="52">
        <v>19</v>
      </c>
      <c r="AC528" s="4" t="str">
        <f ca="1">VLOOKUP($AB528,OFFSET([3]characters!$A$1,0,0,COUNTA([3]characters!$A:$A),MATCH(AC$1,[3]characters!$1:$1,0)-MATCH("character_id",[3]characters!$1:$1,0)+1),MATCH(AC$1,[3]characters!$1:$1,0)-MATCH("character_id",[3]characters!$1:$1,0)+1,FALSE)</f>
        <v>ティンク</v>
      </c>
      <c r="AD528" s="4">
        <f ca="1">VLOOKUP($AB528,OFFSET([3]characters!$A$1,0,0,COUNTA([3]characters!$A:$A),MATCH(AD$1,[3]characters!$1:$1,0)-MATCH("character_id",[3]characters!$1:$1,0)+1),MATCH(AD$1,[3]characters!$1:$1,0)-MATCH("character_id",[3]characters!$1:$1,0)+1,FALSE)</f>
        <v>1</v>
      </c>
      <c r="AE528" s="4" t="str">
        <f ca="1">VLOOKUP($AB528,OFFSET([3]characters!$A$1,0,0,COUNTA([3]characters!$A:$A),MATCH(AE$1,[3]characters!$1:$1,0)-MATCH("character_id",[3]characters!$1:$1,0)+1),MATCH(AE$1,[3]characters!$1:$1,0)-MATCH("character_id",[3]characters!$1:$1,0)+1,FALSE)</f>
        <v>Drop1W</v>
      </c>
      <c r="AF528" s="7">
        <v>9</v>
      </c>
      <c r="AG528" s="26">
        <f t="shared" ca="1" si="575"/>
        <v>1</v>
      </c>
      <c r="AH528" s="8">
        <v>20</v>
      </c>
      <c r="AI528" s="7">
        <v>0</v>
      </c>
      <c r="AJ528" s="7">
        <v>0</v>
      </c>
      <c r="AK528" s="7">
        <v>0</v>
      </c>
      <c r="AL528" s="7">
        <v>0</v>
      </c>
      <c r="AM528" s="7">
        <v>1</v>
      </c>
    </row>
    <row r="529" spans="1:39" ht="14" x14ac:dyDescent="0.15">
      <c r="A529" s="18" t="str">
        <f t="shared" ca="1" si="560"/>
        <v>25_2-3/39&lt;lv48&gt;s3</v>
      </c>
      <c r="B529" s="50">
        <v>25</v>
      </c>
      <c r="C529" s="49">
        <v>2</v>
      </c>
      <c r="D529" s="2" t="str">
        <f t="shared" si="567"/>
        <v>25_2</v>
      </c>
      <c r="E529" s="2" t="str">
        <f t="shared" si="567"/>
        <v>2_25_2</v>
      </c>
      <c r="F529" s="4" t="str">
        <f ca="1">VLOOKUP($D529,OFFSET([1]stages!$A$1,0,0,COUNTA([1]stages!$A:$A),MATCH(F$1,[1]stages!$2:$2,0)-MATCH($D$1,[1]stages!$2:$2,0)+1),MATCH(F$1,[1]stages!$2:$2,0)-MATCH($D$1,[1]stages!$2:$2,0)+1,FALSE)</f>
        <v>25-2．剣の舞</v>
      </c>
      <c r="G529" s="55">
        <v>3</v>
      </c>
      <c r="H529" s="17" t="str">
        <f t="shared" si="568"/>
        <v>25_2-3</v>
      </c>
      <c r="I529" s="17"/>
      <c r="J529" s="17"/>
      <c r="K529" s="65" t="s">
        <v>56</v>
      </c>
      <c r="L529" s="52">
        <v>39</v>
      </c>
      <c r="M529" s="21" t="str">
        <f ca="1">VLOOKUP($L529,OFFSET([2]enemies!$A$1,0,0,COUNTA([2]enemies!$A:$A),MATCH(M$1,[2]enemies!$1:$1,0)-MATCH($L$1,[2]enemies!$1:$1,0)+1),MATCH(M$1,[2]enemies!$1:$1,0)-MATCH($L$1,[2]enemies!$1:$1,0)+1,FALSE)</f>
        <v>マーロン</v>
      </c>
      <c r="N529" s="21" t="str">
        <f ca="1">VLOOKUP($L529,OFFSET([2]enemies!$A$1,0,0,COUNTA([2]enemies!$A:$A),MATCH(N$1,[2]enemies!$1:$1,0)-MATCH($L$1,[2]enemies!$1:$1,0)+1),MATCH(N$1,[2]enemies!$1:$1,0)-MATCH($L$1,[2]enemies!$1:$1,0)+1,FALSE)</f>
        <v>yellow</v>
      </c>
      <c r="O529" s="21" t="str">
        <f ca="1">VLOOKUP($L529,OFFSET([3]characters!$A$1,0,0,COUNTA([3]characters!$A:$A),MATCH(O$1,[3]characters!$1:$1,0)-MATCH($L$1,[3]characters!$1:$1,0)+1),MATCH(O$1,[3]characters!$1:$1,0)-MATCH($L$1,[3]characters!$1:$1,0)+1,FALSE)</f>
        <v>Drop1S</v>
      </c>
      <c r="P529" s="21" t="str">
        <f ca="1">VLOOKUP($L529,OFFSET([2]enemies!$A$1,0,0,COUNTA([2]enemies!$A:$A),MATCH(P$1,[2]enemies!$1:$1,0)-MATCH($L$1,[2]enemies!$1:$1,0)+1),MATCH(P$1,[2]enemies!$1:$1,0)-MATCH($L$1,[2]enemies!$1:$1,0)+1,FALSE)</f>
        <v>human</v>
      </c>
      <c r="Q529" s="21">
        <f ca="1">VLOOKUP($L529,OFFSET([2]enemies!$A$1,0,0,COUNTA([2]enemies!$A:$A),MATCH(Q$1,[2]enemies!$1:$1,0)-MATCH($L$1,[2]enemies!$1:$1,0)+1),MATCH(Q$1,[2]enemies!$1:$1,0)-MATCH($L$1,[2]enemies!$1:$1,0)+1,FALSE)</f>
        <v>15</v>
      </c>
      <c r="R529" s="53">
        <v>48</v>
      </c>
      <c r="S529" s="27">
        <v>1.1000000000000001</v>
      </c>
      <c r="T529" s="27">
        <v>1</v>
      </c>
      <c r="U529" s="5">
        <v>0</v>
      </c>
      <c r="V529" s="4" t="str">
        <f ca="1">VLOOKUP($W529,OFFSET([4]enemy_skill_sets!$B$1,0,0,COUNTA([4]enemy_skill_sets!$B:$B),MATCH(M$1,[4]enemy_skill_sets!$1:$1,0)-MATCH($W$1,[4]enemy_skill_sets!$1:$1,0)+2),MATCH(M$1,[4]enemy_skill_sets!$1:$1,0)-MATCH($W$1,[4]enemy_skill_sets!$1:$1,0)+2,FALSE)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529" s="4">
        <f ca="1">VLOOKUP($L529,OFFSET([2]enemies!$A$1,0,0,COUNTA([2]enemies!$A:$A),MATCH(W$1,[2]enemies!$1:$1,0)-MATCH($L$1,[2]enemies!$1:$1,0)+1),MATCH(W$1,[2]enemies!$1:$1,0)-MATCH($L$1,[2]enemies!$1:$1,0)+1,FALSE)</f>
        <v>39</v>
      </c>
      <c r="X529" s="6">
        <v>0</v>
      </c>
      <c r="Y529" s="6">
        <v>100</v>
      </c>
      <c r="Z529" s="6">
        <v>0</v>
      </c>
      <c r="AA529" s="4">
        <f ca="1">VLOOKUP($L529,OFFSET([2]enemies!$A$1,0,0,COUNTA([2]enemies!$A:$A),MATCH(AA$1,[2]enemies!$1:$1,0)-MATCH($L$1,[2]enemies!$1:$1,0)+1),MATCH(AA$1,[2]enemies!$1:$1,0)-MATCH($L$1,[2]enemies!$1:$1,0)+1,FALSE)</f>
        <v>3</v>
      </c>
      <c r="AB529" s="52">
        <v>39</v>
      </c>
      <c r="AC529" s="4" t="str">
        <f ca="1">VLOOKUP($AB529,OFFSET([3]characters!$A$1,0,0,COUNTA([3]characters!$A:$A),MATCH(AC$1,[3]characters!$1:$1,0)-MATCH("character_id",[3]characters!$1:$1,0)+1),MATCH(AC$1,[3]characters!$1:$1,0)-MATCH("character_id",[3]characters!$1:$1,0)+1,FALSE)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529" s="4">
        <f ca="1">VLOOKUP($AB529,OFFSET([3]characters!$A$1,0,0,COUNTA([3]characters!$A:$A),MATCH(AD$1,[3]characters!$1:$1,0)-MATCH("character_id",[3]characters!$1:$1,0)+1),MATCH(AD$1,[3]characters!$1:$1,0)-MATCH("character_id",[3]characters!$1:$1,0)+1,FALSE)</f>
        <v>2</v>
      </c>
      <c r="AE529" s="4" t="str">
        <f ca="1">VLOOKUP($AB529,OFFSET([3]characters!$A$1,0,0,COUNTA([3]characters!$A:$A),MATCH(AE$1,[3]characters!$1:$1,0)-MATCH("character_id",[3]characters!$1:$1,0)+1),MATCH(AE$1,[3]characters!$1:$1,0)-MATCH("character_id",[3]characters!$1:$1,0)+1,FALSE)</f>
        <v>Drop1S</v>
      </c>
      <c r="AF529" s="7">
        <v>5</v>
      </c>
      <c r="AG529" s="26">
        <f t="shared" ca="1" si="575"/>
        <v>2</v>
      </c>
      <c r="AH529" s="8">
        <v>20</v>
      </c>
      <c r="AI529" s="7">
        <v>0</v>
      </c>
      <c r="AJ529" s="7">
        <v>0</v>
      </c>
      <c r="AK529" s="7">
        <v>0</v>
      </c>
      <c r="AL529" s="7">
        <v>0</v>
      </c>
      <c r="AM529" s="7">
        <v>1</v>
      </c>
    </row>
    <row r="530" spans="1:39" ht="14" x14ac:dyDescent="0.15">
      <c r="A530" s="18" t="str">
        <f t="shared" ca="1" si="560"/>
        <v>25_2-3/53&lt;lv48&gt;s2</v>
      </c>
      <c r="B530" s="50">
        <v>25</v>
      </c>
      <c r="C530" s="49">
        <v>2</v>
      </c>
      <c r="D530" s="2" t="str">
        <f t="shared" si="567"/>
        <v>25_2</v>
      </c>
      <c r="E530" s="2" t="str">
        <f t="shared" si="567"/>
        <v>2_25_2</v>
      </c>
      <c r="F530" s="4" t="str">
        <f ca="1">VLOOKUP($D530,OFFSET([1]stages!$A$1,0,0,COUNTA([1]stages!$A:$A),MATCH(F$1,[1]stages!$2:$2,0)-MATCH($D$1,[1]stages!$2:$2,0)+1),MATCH(F$1,[1]stages!$2:$2,0)-MATCH($D$1,[1]stages!$2:$2,0)+1,FALSE)</f>
        <v>25-2．剣の舞</v>
      </c>
      <c r="G530" s="55">
        <v>3</v>
      </c>
      <c r="H530" s="17" t="str">
        <f t="shared" si="568"/>
        <v>25_2-3</v>
      </c>
      <c r="I530" s="17"/>
      <c r="J530" s="17"/>
      <c r="K530" s="65" t="s">
        <v>56</v>
      </c>
      <c r="L530" s="52">
        <v>53</v>
      </c>
      <c r="M530" s="21" t="str">
        <f ca="1">VLOOKUP($L530,OFFSET([2]enemies!$A$1,0,0,COUNTA([2]enemies!$A:$A),MATCH(M$1,[2]enemies!$1:$1,0)-MATCH($L$1,[2]enemies!$1:$1,0)+1),MATCH(M$1,[2]enemies!$1:$1,0)-MATCH($L$1,[2]enemies!$1:$1,0)+1,FALSE)</f>
        <v>ケンジ</v>
      </c>
      <c r="N530" s="21" t="str">
        <f ca="1">VLOOKUP($L530,OFFSET([2]enemies!$A$1,0,0,COUNTA([2]enemies!$A:$A),MATCH(N$1,[2]enemies!$1:$1,0)-MATCH($L$1,[2]enemies!$1:$1,0)+1),MATCH(N$1,[2]enemies!$1:$1,0)-MATCH($L$1,[2]enemies!$1:$1,0)+1,FALSE)</f>
        <v>blue</v>
      </c>
      <c r="O530" s="21" t="str">
        <f ca="1">VLOOKUP($L530,OFFSET([3]characters!$A$1,0,0,COUNTA([3]characters!$A:$A),MATCH(O$1,[3]characters!$1:$1,0)-MATCH($L$1,[3]characters!$1:$1,0)+1),MATCH(O$1,[3]characters!$1:$1,0)-MATCH($L$1,[3]characters!$1:$1,0)+1,FALSE)</f>
        <v>Drop1N</v>
      </c>
      <c r="P530" s="21" t="str">
        <f ca="1">VLOOKUP($L530,OFFSET([2]enemies!$A$1,0,0,COUNTA([2]enemies!$A:$A),MATCH(P$1,[2]enemies!$1:$1,0)-MATCH($L$1,[2]enemies!$1:$1,0)+1),MATCH(P$1,[2]enemies!$1:$1,0)-MATCH($L$1,[2]enemies!$1:$1,0)+1,FALSE)</f>
        <v>human</v>
      </c>
      <c r="Q530" s="21">
        <f ca="1">VLOOKUP($L530,OFFSET([2]enemies!$A$1,0,0,COUNTA([2]enemies!$A:$A),MATCH(Q$1,[2]enemies!$1:$1,0)-MATCH($L$1,[2]enemies!$1:$1,0)+1),MATCH(Q$1,[2]enemies!$1:$1,0)-MATCH($L$1,[2]enemies!$1:$1,0)+1,FALSE)</f>
        <v>15</v>
      </c>
      <c r="R530" s="53">
        <v>48</v>
      </c>
      <c r="S530" s="27">
        <v>1.1000000000000001</v>
      </c>
      <c r="T530" s="27">
        <v>1</v>
      </c>
      <c r="U530" s="5">
        <v>0</v>
      </c>
      <c r="V530" s="4" t="str">
        <f ca="1">VLOOKUP($W530,OFFSET([4]enemy_skill_sets!$B$1,0,0,COUNTA([4]enemy_skill_sets!$B:$B),MATCH(M$1,[4]enemy_skill_sets!$1:$1,0)-MATCH($W$1,[4]enemy_skill_sets!$1:$1,0)+2),MATCH(M$1,[4]enemy_skill_sets!$1:$1,0)-MATCH($W$1,[4]enemy_skill_sets!$1:$1,0)+2,FALSE)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530" s="4">
        <f ca="1">VLOOKUP($L530,OFFSET([2]enemies!$A$1,0,0,COUNTA([2]enemies!$A:$A),MATCH(W$1,[2]enemies!$1:$1,0)-MATCH($L$1,[2]enemies!$1:$1,0)+1),MATCH(W$1,[2]enemies!$1:$1,0)-MATCH($L$1,[2]enemies!$1:$1,0)+1,FALSE)</f>
        <v>53</v>
      </c>
      <c r="X530" s="6">
        <v>0</v>
      </c>
      <c r="Y530" s="6">
        <v>100</v>
      </c>
      <c r="Z530" s="6">
        <v>0</v>
      </c>
      <c r="AA530" s="4">
        <f ca="1">VLOOKUP($L530,OFFSET([2]enemies!$A$1,0,0,COUNTA([2]enemies!$A:$A),MATCH(AA$1,[2]enemies!$1:$1,0)-MATCH($L$1,[2]enemies!$1:$1,0)+1),MATCH(AA$1,[2]enemies!$1:$1,0)-MATCH($L$1,[2]enemies!$1:$1,0)+1,FALSE)</f>
        <v>2</v>
      </c>
      <c r="AB530" s="52">
        <v>53</v>
      </c>
      <c r="AC530" s="4" t="str">
        <f ca="1">VLOOKUP($AB530,OFFSET([3]characters!$A$1,0,0,COUNTA([3]characters!$A:$A),MATCH(AC$1,[3]characters!$1:$1,0)-MATCH("character_id",[3]characters!$1:$1,0)+1),MATCH(AC$1,[3]characters!$1:$1,0)-MATCH("character_id",[3]characters!$1:$1,0)+1,FALSE)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530" s="4">
        <f ca="1">VLOOKUP($AB530,OFFSET([3]characters!$A$1,0,0,COUNTA([3]characters!$A:$A),MATCH(AD$1,[3]characters!$1:$1,0)-MATCH("character_id",[3]characters!$1:$1,0)+1),MATCH(AD$1,[3]characters!$1:$1,0)-MATCH("character_id",[3]characters!$1:$1,0)+1,FALSE)</f>
        <v>2</v>
      </c>
      <c r="AE530" s="4" t="str">
        <f ca="1">VLOOKUP($AB530,OFFSET([3]characters!$A$1,0,0,COUNTA([3]characters!$A:$A),MATCH(AE$1,[3]characters!$1:$1,0)-MATCH("character_id",[3]characters!$1:$1,0)+1),MATCH(AE$1,[3]characters!$1:$1,0)-MATCH("character_id",[3]characters!$1:$1,0)+1,FALSE)</f>
        <v>Drop1N</v>
      </c>
      <c r="AF530" s="7">
        <v>7</v>
      </c>
      <c r="AG530" s="26">
        <f t="shared" ca="1" si="575"/>
        <v>2</v>
      </c>
      <c r="AH530" s="8">
        <v>20</v>
      </c>
      <c r="AI530" s="7">
        <v>0</v>
      </c>
      <c r="AJ530" s="7">
        <v>0</v>
      </c>
      <c r="AK530" s="7">
        <v>0</v>
      </c>
      <c r="AL530" s="7">
        <v>0</v>
      </c>
      <c r="AM530" s="7">
        <v>1</v>
      </c>
    </row>
    <row r="531" spans="1:39" ht="14" x14ac:dyDescent="0.15">
      <c r="A531" s="18" t="str">
        <f t="shared" ca="1" si="560"/>
        <v>25_2-3/55&lt;lv48&gt;s4</v>
      </c>
      <c r="B531" s="50">
        <v>25</v>
      </c>
      <c r="C531" s="49">
        <v>2</v>
      </c>
      <c r="D531" s="2" t="str">
        <f t="shared" si="567"/>
        <v>25_2</v>
      </c>
      <c r="E531" s="2" t="str">
        <f t="shared" si="567"/>
        <v>2_25_2</v>
      </c>
      <c r="F531" s="4" t="str">
        <f ca="1">VLOOKUP($D531,OFFSET([1]stages!$A$1,0,0,COUNTA([1]stages!$A:$A),MATCH(F$1,[1]stages!$2:$2,0)-MATCH($D$1,[1]stages!$2:$2,0)+1),MATCH(F$1,[1]stages!$2:$2,0)-MATCH($D$1,[1]stages!$2:$2,0)+1,FALSE)</f>
        <v>25-2．剣の舞</v>
      </c>
      <c r="G531" s="55">
        <v>3</v>
      </c>
      <c r="H531" s="17" t="str">
        <f t="shared" si="568"/>
        <v>25_2-3</v>
      </c>
      <c r="I531" s="17"/>
      <c r="J531" s="17"/>
      <c r="K531" s="65" t="s">
        <v>56</v>
      </c>
      <c r="L531" s="52">
        <v>55</v>
      </c>
      <c r="M531" s="21" t="str">
        <f ca="1">VLOOKUP($L531,OFFSET([2]enemies!$A$1,0,0,COUNTA([2]enemies!$A:$A),MATCH(M$1,[2]enemies!$1:$1,0)-MATCH($L$1,[2]enemies!$1:$1,0)+1),MATCH(M$1,[2]enemies!$1:$1,0)-MATCH($L$1,[2]enemies!$1:$1,0)+1,FALSE)</f>
        <v>マミコ</v>
      </c>
      <c r="N531" s="21" t="str">
        <f ca="1">VLOOKUP($L531,OFFSET([2]enemies!$A$1,0,0,COUNTA([2]enemies!$A:$A),MATCH(N$1,[2]enemies!$1:$1,0)-MATCH($L$1,[2]enemies!$1:$1,0)+1),MATCH(N$1,[2]enemies!$1:$1,0)-MATCH($L$1,[2]enemies!$1:$1,0)+1,FALSE)</f>
        <v>yellow</v>
      </c>
      <c r="O531" s="21" t="str">
        <f ca="1">VLOOKUP($L531,OFFSET([3]characters!$A$1,0,0,COUNTA([3]characters!$A:$A),MATCH(O$1,[3]characters!$1:$1,0)-MATCH($L$1,[3]characters!$1:$1,0)+1),MATCH(O$1,[3]characters!$1:$1,0)-MATCH($L$1,[3]characters!$1:$1,0)+1,FALSE)</f>
        <v>Drop1N</v>
      </c>
      <c r="P531" s="21" t="str">
        <f ca="1">VLOOKUP($L531,OFFSET([2]enemies!$A$1,0,0,COUNTA([2]enemies!$A:$A),MATCH(P$1,[2]enemies!$1:$1,0)-MATCH($L$1,[2]enemies!$1:$1,0)+1),MATCH(P$1,[2]enemies!$1:$1,0)-MATCH($L$1,[2]enemies!$1:$1,0)+1,FALSE)</f>
        <v>human</v>
      </c>
      <c r="Q531" s="21">
        <f ca="1">VLOOKUP($L531,OFFSET([2]enemies!$A$1,0,0,COUNTA([2]enemies!$A:$A),MATCH(Q$1,[2]enemies!$1:$1,0)-MATCH($L$1,[2]enemies!$1:$1,0)+1),MATCH(Q$1,[2]enemies!$1:$1,0)-MATCH($L$1,[2]enemies!$1:$1,0)+1,FALSE)</f>
        <v>15</v>
      </c>
      <c r="R531" s="53">
        <v>48</v>
      </c>
      <c r="S531" s="27">
        <v>1.1000000000000001</v>
      </c>
      <c r="T531" s="27">
        <v>1</v>
      </c>
      <c r="U531" s="5">
        <v>0</v>
      </c>
      <c r="V531" s="4" t="str">
        <f ca="1">VLOOKUP($W531,OFFSET([4]enemy_skill_sets!$B$1,0,0,COUNTA([4]enemy_skill_sets!$B:$B),MATCH(M$1,[4]enemy_skill_sets!$1:$1,0)-MATCH($W$1,[4]enemy_skill_sets!$1:$1,0)+2),MATCH(M$1,[4]enemy_skill_sets!$1:$1,0)-MATCH($W$1,[4]enemy_skill_sets!$1:$1,0)+2,FALSE)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531" s="4">
        <f ca="1">VLOOKUP($L531,OFFSET([2]enemies!$A$1,0,0,COUNTA([2]enemies!$A:$A),MATCH(W$1,[2]enemies!$1:$1,0)-MATCH($L$1,[2]enemies!$1:$1,0)+1),MATCH(W$1,[2]enemies!$1:$1,0)-MATCH($L$1,[2]enemies!$1:$1,0)+1,FALSE)</f>
        <v>55</v>
      </c>
      <c r="X531" s="6">
        <v>0</v>
      </c>
      <c r="Y531" s="6">
        <v>100</v>
      </c>
      <c r="Z531" s="6">
        <v>0</v>
      </c>
      <c r="AA531" s="4">
        <f ca="1">VLOOKUP($L531,OFFSET([2]enemies!$A$1,0,0,COUNTA([2]enemies!$A:$A),MATCH(AA$1,[2]enemies!$1:$1,0)-MATCH($L$1,[2]enemies!$1:$1,0)+1),MATCH(AA$1,[2]enemies!$1:$1,0)-MATCH($L$1,[2]enemies!$1:$1,0)+1,FALSE)</f>
        <v>4</v>
      </c>
      <c r="AB531" s="52">
        <v>55</v>
      </c>
      <c r="AC531" s="4" t="str">
        <f ca="1">VLOOKUP($AB531,OFFSET([3]characters!$A$1,0,0,COUNTA([3]characters!$A:$A),MATCH(AC$1,[3]characters!$1:$1,0)-MATCH("character_id",[3]characters!$1:$1,0)+1),MATCH(AC$1,[3]characters!$1:$1,0)-MATCH("character_id",[3]characters!$1:$1,0)+1,FALSE)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531" s="4">
        <f ca="1">VLOOKUP($AB531,OFFSET([3]characters!$A$1,0,0,COUNTA([3]characters!$A:$A),MATCH(AD$1,[3]characters!$1:$1,0)-MATCH("character_id",[3]characters!$1:$1,0)+1),MATCH(AD$1,[3]characters!$1:$1,0)-MATCH("character_id",[3]characters!$1:$1,0)+1,FALSE)</f>
        <v>2</v>
      </c>
      <c r="AE531" s="4" t="str">
        <f ca="1">VLOOKUP($AB531,OFFSET([3]characters!$A$1,0,0,COUNTA([3]characters!$A:$A),MATCH(AE$1,[3]characters!$1:$1,0)-MATCH("character_id",[3]characters!$1:$1,0)+1),MATCH(AE$1,[3]characters!$1:$1,0)-MATCH("character_id",[3]characters!$1:$1,0)+1,FALSE)</f>
        <v>Drop1N</v>
      </c>
      <c r="AF531" s="7">
        <v>7</v>
      </c>
      <c r="AG531" s="26">
        <f t="shared" ca="1" si="575"/>
        <v>2</v>
      </c>
      <c r="AH531" s="8">
        <v>20</v>
      </c>
      <c r="AI531" s="7">
        <v>0</v>
      </c>
      <c r="AJ531" s="7">
        <v>0</v>
      </c>
      <c r="AK531" s="7">
        <v>0</v>
      </c>
      <c r="AL531" s="7">
        <v>0</v>
      </c>
      <c r="AM531" s="7">
        <v>1</v>
      </c>
    </row>
    <row r="532" spans="1:39" ht="14" x14ac:dyDescent="0.15">
      <c r="A532" s="18" t="str">
        <f t="shared" ca="1" si="560"/>
        <v>25_2-3/364&lt;lv48&gt;s3</v>
      </c>
      <c r="B532" s="53">
        <v>25</v>
      </c>
      <c r="C532" s="51">
        <v>2</v>
      </c>
      <c r="D532" s="2" t="str">
        <f t="shared" ref="D532:D533" si="582">B532&amp;"_"&amp;C532</f>
        <v>25_2</v>
      </c>
      <c r="E532" s="2" t="str">
        <f t="shared" ref="E532:E533" si="583">C532&amp;"_"&amp;D532</f>
        <v>2_25_2</v>
      </c>
      <c r="F532" s="4" t="str">
        <f ca="1">VLOOKUP($D532,OFFSET([1]stages!$A$1,0,0,COUNTA([1]stages!$A:$A),MATCH(F$1,[1]stages!$2:$2,0)-MATCH($D$1,[1]stages!$2:$2,0)+1),MATCH(F$1,[1]stages!$2:$2,0)-MATCH($D$1,[1]stages!$2:$2,0)+1,FALSE)</f>
        <v>25-2．剣の舞</v>
      </c>
      <c r="G532" s="55">
        <v>3</v>
      </c>
      <c r="H532" s="17" t="str">
        <f t="shared" ref="H532:H533" si="584">B532&amp;"_"&amp;C532&amp;"-"&amp;G532</f>
        <v>25_2-3</v>
      </c>
      <c r="I532" s="17"/>
      <c r="J532" s="17"/>
      <c r="K532" s="65" t="s">
        <v>56</v>
      </c>
      <c r="L532" s="52">
        <v>364</v>
      </c>
      <c r="M532" s="21" t="str">
        <f ca="1">VLOOKUP($L532,OFFSET([2]enemies!$A$1,0,0,COUNTA([2]enemies!$A:$A),MATCH(M$1,[2]enemies!$1:$1,0)-MATCH($L$1,[2]enemies!$1:$1,0)+1),MATCH(M$1,[2]enemies!$1:$1,0)-MATCH($L$1,[2]enemies!$1:$1,0)+1,FALSE)</f>
        <v>ノエル</v>
      </c>
      <c r="N532" s="21" t="str">
        <f ca="1">VLOOKUP($L532,OFFSET([2]enemies!$A$1,0,0,COUNTA([2]enemies!$A:$A),MATCH(N$1,[2]enemies!$1:$1,0)-MATCH($L$1,[2]enemies!$1:$1,0)+1),MATCH(N$1,[2]enemies!$1:$1,0)-MATCH($L$1,[2]enemies!$1:$1,0)+1,FALSE)</f>
        <v>blue</v>
      </c>
      <c r="O532" s="21" t="str">
        <f ca="1">VLOOKUP($L532,OFFSET([3]characters!$A$1,0,0,COUNTA([3]characters!$A:$A),MATCH(O$1,[3]characters!$1:$1,0)-MATCH($L$1,[3]characters!$1:$1,0)+1),MATCH(O$1,[3]characters!$1:$1,0)-MATCH($L$1,[3]characters!$1:$1,0)+1,FALSE)</f>
        <v>Drop1S</v>
      </c>
      <c r="P532" s="21" t="str">
        <f ca="1">VLOOKUP($L532,OFFSET([2]enemies!$A$1,0,0,COUNTA([2]enemies!$A:$A),MATCH(P$1,[2]enemies!$1:$1,0)-MATCH($L$1,[2]enemies!$1:$1,0)+1),MATCH(P$1,[2]enemies!$1:$1,0)-MATCH($L$1,[2]enemies!$1:$1,0)+1,FALSE)</f>
        <v>animal</v>
      </c>
      <c r="Q532" s="21">
        <f ca="1">VLOOKUP($L532,OFFSET([2]enemies!$A$1,0,0,COUNTA([2]enemies!$A:$A),MATCH(Q$1,[2]enemies!$1:$1,0)-MATCH($L$1,[2]enemies!$1:$1,0)+1),MATCH(Q$1,[2]enemies!$1:$1,0)-MATCH($L$1,[2]enemies!$1:$1,0)+1,FALSE)</f>
        <v>15</v>
      </c>
      <c r="R532" s="53">
        <v>48</v>
      </c>
      <c r="S532" s="27">
        <v>1.1000000000000001</v>
      </c>
      <c r="T532" s="27">
        <v>1</v>
      </c>
      <c r="U532" s="5">
        <v>0</v>
      </c>
      <c r="V532" s="4" t="str">
        <f ca="1">VLOOKUP($W532,OFFSET([4]enemy_skill_sets!$B$1,0,0,COUNTA([4]enemy_skill_sets!$B:$B),MATCH(M$1,[4]enemy_skill_sets!$1:$1,0)-MATCH($W$1,[4]enemy_skill_sets!$1:$1,0)+2),MATCH(M$1,[4]enemy_skill_sets!$1:$1,0)-MATCH($W$1,[4]enemy_skill_sets!$1:$1,0)+2,FALSE)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32" s="64">
        <v>364</v>
      </c>
      <c r="X532" s="6">
        <v>0</v>
      </c>
      <c r="Y532" s="6">
        <v>100</v>
      </c>
      <c r="Z532" s="6">
        <v>0</v>
      </c>
      <c r="AA532" s="4">
        <f ca="1">VLOOKUP($L532,OFFSET([2]enemies!$A$1,0,0,COUNTA([2]enemies!$A:$A),MATCH(AA$1,[2]enemies!$1:$1,0)-MATCH($L$1,[2]enemies!$1:$1,0)+1),MATCH(AA$1,[2]enemies!$1:$1,0)-MATCH($L$1,[2]enemies!$1:$1,0)+1,FALSE)</f>
        <v>3</v>
      </c>
      <c r="AB532" s="52">
        <v>364</v>
      </c>
      <c r="AC532" s="4" t="str">
        <f ca="1">VLOOKUP($AB532,OFFSET([3]characters!$A$1,0,0,COUNTA([3]characters!$A:$A),MATCH(AC$1,[3]characters!$1:$1,0)-MATCH("character_id",[3]characters!$1:$1,0)+1),MATCH(AC$1,[3]characters!$1:$1,0)-MATCH("character_id",[3]characters!$1:$1,0)+1,FALSE)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32" s="4">
        <f ca="1">VLOOKUP($AB532,OFFSET([3]characters!$A$1,0,0,COUNTA([3]characters!$A:$A),MATCH(AD$1,[3]characters!$1:$1,0)-MATCH("character_id",[3]characters!$1:$1,0)+1),MATCH(AD$1,[3]characters!$1:$1,0)-MATCH("character_id",[3]characters!$1:$1,0)+1,FALSE)</f>
        <v>2</v>
      </c>
      <c r="AE532" s="4" t="str">
        <f ca="1">VLOOKUP($AB532,OFFSET([3]characters!$A$1,0,0,COUNTA([3]characters!$A:$A),MATCH(AE$1,[3]characters!$1:$1,0)-MATCH("character_id",[3]characters!$1:$1,0)+1),MATCH(AE$1,[3]characters!$1:$1,0)-MATCH("character_id",[3]characters!$1:$1,0)+1,FALSE)</f>
        <v>Drop1S</v>
      </c>
      <c r="AF532" s="7">
        <v>7</v>
      </c>
      <c r="AG532" s="26">
        <f t="shared" ca="1" si="575"/>
        <v>2</v>
      </c>
      <c r="AH532" s="8">
        <v>20</v>
      </c>
      <c r="AI532" s="7">
        <v>0</v>
      </c>
      <c r="AJ532" s="7">
        <v>0</v>
      </c>
      <c r="AK532" s="7">
        <v>0</v>
      </c>
      <c r="AL532" s="7">
        <v>0</v>
      </c>
      <c r="AM532" s="7">
        <v>1</v>
      </c>
    </row>
    <row r="533" spans="1:39" ht="14" x14ac:dyDescent="0.15">
      <c r="A533" s="18" t="str">
        <f t="shared" ca="1" si="560"/>
        <v>25_2-3/366&lt;lv48&gt;s3</v>
      </c>
      <c r="B533" s="53">
        <v>25</v>
      </c>
      <c r="C533" s="51">
        <v>2</v>
      </c>
      <c r="D533" s="2" t="str">
        <f t="shared" si="582"/>
        <v>25_2</v>
      </c>
      <c r="E533" s="2" t="str">
        <f t="shared" si="583"/>
        <v>2_25_2</v>
      </c>
      <c r="F533" s="4" t="str">
        <f ca="1">VLOOKUP($D533,OFFSET([1]stages!$A$1,0,0,COUNTA([1]stages!$A:$A),MATCH(F$1,[1]stages!$2:$2,0)-MATCH($D$1,[1]stages!$2:$2,0)+1),MATCH(F$1,[1]stages!$2:$2,0)-MATCH($D$1,[1]stages!$2:$2,0)+1,FALSE)</f>
        <v>25-2．剣の舞</v>
      </c>
      <c r="G533" s="55">
        <v>3</v>
      </c>
      <c r="H533" s="17" t="str">
        <f t="shared" si="584"/>
        <v>25_2-3</v>
      </c>
      <c r="I533" s="17"/>
      <c r="J533" s="17"/>
      <c r="K533" s="65" t="s">
        <v>56</v>
      </c>
      <c r="L533" s="52">
        <v>366</v>
      </c>
      <c r="M533" s="21" t="str">
        <f ca="1">VLOOKUP($L533,OFFSET([2]enemies!$A$1,0,0,COUNTA([2]enemies!$A:$A),MATCH(M$1,[2]enemies!$1:$1,0)-MATCH($L$1,[2]enemies!$1:$1,0)+1),MATCH(M$1,[2]enemies!$1:$1,0)-MATCH($L$1,[2]enemies!$1:$1,0)+1,FALSE)</f>
        <v>トト</v>
      </c>
      <c r="N533" s="21" t="str">
        <f ca="1">VLOOKUP($L533,OFFSET([2]enemies!$A$1,0,0,COUNTA([2]enemies!$A:$A),MATCH(N$1,[2]enemies!$1:$1,0)-MATCH($L$1,[2]enemies!$1:$1,0)+1),MATCH(N$1,[2]enemies!$1:$1,0)-MATCH($L$1,[2]enemies!$1:$1,0)+1,FALSE)</f>
        <v>yellow</v>
      </c>
      <c r="O533" s="21" t="str">
        <f ca="1">VLOOKUP($L533,OFFSET([3]characters!$A$1,0,0,COUNTA([3]characters!$A:$A),MATCH(O$1,[3]characters!$1:$1,0)-MATCH($L$1,[3]characters!$1:$1,0)+1),MATCH(O$1,[3]characters!$1:$1,0)-MATCH($L$1,[3]characters!$1:$1,0)+1,FALSE)</f>
        <v>Drop1S</v>
      </c>
      <c r="P533" s="21" t="str">
        <f ca="1">VLOOKUP($L533,OFFSET([2]enemies!$A$1,0,0,COUNTA([2]enemies!$A:$A),MATCH(P$1,[2]enemies!$1:$1,0)-MATCH($L$1,[2]enemies!$1:$1,0)+1),MATCH(P$1,[2]enemies!$1:$1,0)-MATCH($L$1,[2]enemies!$1:$1,0)+1,FALSE)</f>
        <v>animal</v>
      </c>
      <c r="Q533" s="21">
        <f ca="1">VLOOKUP($L533,OFFSET([2]enemies!$A$1,0,0,COUNTA([2]enemies!$A:$A),MATCH(Q$1,[2]enemies!$1:$1,0)-MATCH($L$1,[2]enemies!$1:$1,0)+1),MATCH(Q$1,[2]enemies!$1:$1,0)-MATCH($L$1,[2]enemies!$1:$1,0)+1,FALSE)</f>
        <v>15</v>
      </c>
      <c r="R533" s="53">
        <v>48</v>
      </c>
      <c r="S533" s="27">
        <v>1.1000000000000001</v>
      </c>
      <c r="T533" s="27">
        <v>1</v>
      </c>
      <c r="U533" s="5">
        <v>0</v>
      </c>
      <c r="V533" s="4" t="str">
        <f ca="1">VLOOKUP($W533,OFFSET([4]enemy_skill_sets!$B$1,0,0,COUNTA([4]enemy_skill_sets!$B:$B),MATCH(M$1,[4]enemy_skill_sets!$1:$1,0)-MATCH($W$1,[4]enemy_skill_sets!$1:$1,0)+2),MATCH(M$1,[4]enemy_skill_sets!$1:$1,0)-MATCH($W$1,[4]enemy_skill_sets!$1:$1,0)+2,FALSE)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533" s="64">
        <v>366</v>
      </c>
      <c r="X533" s="6">
        <v>0</v>
      </c>
      <c r="Y533" s="6">
        <v>100</v>
      </c>
      <c r="Z533" s="6">
        <v>0</v>
      </c>
      <c r="AA533" s="4">
        <f ca="1">VLOOKUP($L533,OFFSET([2]enemies!$A$1,0,0,COUNTA([2]enemies!$A:$A),MATCH(AA$1,[2]enemies!$1:$1,0)-MATCH($L$1,[2]enemies!$1:$1,0)+1),MATCH(AA$1,[2]enemies!$1:$1,0)-MATCH($L$1,[2]enemies!$1:$1,0)+1,FALSE)</f>
        <v>3</v>
      </c>
      <c r="AB533" s="52">
        <v>366</v>
      </c>
      <c r="AC533" s="4" t="str">
        <f ca="1">VLOOKUP($AB533,OFFSET([3]characters!$A$1,0,0,COUNTA([3]characters!$A:$A),MATCH(AC$1,[3]characters!$1:$1,0)-MATCH("character_id",[3]characters!$1:$1,0)+1),MATCH(AC$1,[3]characters!$1:$1,0)-MATCH("character_id",[3]characters!$1:$1,0)+1,FALSE)</f>
        <v>トト</v>
      </c>
      <c r="AD533" s="4">
        <f ca="1">VLOOKUP($AB533,OFFSET([3]characters!$A$1,0,0,COUNTA([3]characters!$A:$A),MATCH(AD$1,[3]characters!$1:$1,0)-MATCH("character_id",[3]characters!$1:$1,0)+1),MATCH(AD$1,[3]characters!$1:$1,0)-MATCH("character_id",[3]characters!$1:$1,0)+1,FALSE)</f>
        <v>2</v>
      </c>
      <c r="AE533" s="4" t="str">
        <f ca="1">VLOOKUP($AB533,OFFSET([3]characters!$A$1,0,0,COUNTA([3]characters!$A:$A),MATCH(AE$1,[3]characters!$1:$1,0)-MATCH("character_id",[3]characters!$1:$1,0)+1),MATCH(AE$1,[3]characters!$1:$1,0)-MATCH("character_id",[3]characters!$1:$1,0)+1,FALSE)</f>
        <v>Drop1S</v>
      </c>
      <c r="AF533" s="7">
        <v>7</v>
      </c>
      <c r="AG533" s="26">
        <f t="shared" ca="1" si="575"/>
        <v>2</v>
      </c>
      <c r="AH533" s="8">
        <v>20</v>
      </c>
      <c r="AI533" s="7">
        <v>0</v>
      </c>
      <c r="AJ533" s="7">
        <v>0</v>
      </c>
      <c r="AK533" s="7">
        <v>0</v>
      </c>
      <c r="AL533" s="7">
        <v>0</v>
      </c>
      <c r="AM533" s="7">
        <v>1</v>
      </c>
    </row>
    <row r="534" spans="1:39" ht="14" x14ac:dyDescent="0.15">
      <c r="A534" s="18" t="str">
        <f t="shared" ca="1" si="560"/>
        <v>25_2-3/352&lt;lv48&gt;s3</v>
      </c>
      <c r="B534" s="53">
        <v>25</v>
      </c>
      <c r="C534" s="51">
        <v>2</v>
      </c>
      <c r="D534" s="2" t="str">
        <f t="shared" ref="D534" si="585">B534&amp;"_"&amp;C534</f>
        <v>25_2</v>
      </c>
      <c r="E534" s="2" t="str">
        <f t="shared" ref="E534" si="586">C534&amp;"_"&amp;D534</f>
        <v>2_25_2</v>
      </c>
      <c r="F534" s="4" t="str">
        <f ca="1">VLOOKUP($D534,OFFSET([1]stages!$A$1,0,0,COUNTA([1]stages!$A:$A),MATCH(F$1,[1]stages!$2:$2,0)-MATCH($D$1,[1]stages!$2:$2,0)+1),MATCH(F$1,[1]stages!$2:$2,0)-MATCH($D$1,[1]stages!$2:$2,0)+1,FALSE)</f>
        <v>25-2．剣の舞</v>
      </c>
      <c r="G534" s="55">
        <v>3</v>
      </c>
      <c r="H534" s="17" t="str">
        <f t="shared" ref="H534" si="587">B534&amp;"_"&amp;C534&amp;"-"&amp;G534</f>
        <v>25_2-3</v>
      </c>
      <c r="I534" s="17"/>
      <c r="J534" s="17"/>
      <c r="K534" s="65" t="s">
        <v>56</v>
      </c>
      <c r="L534" s="52">
        <v>352</v>
      </c>
      <c r="M534" s="21" t="str">
        <f ca="1">VLOOKUP($L534,OFFSET([2]enemies!$A$1,0,0,COUNTA([2]enemies!$A:$A),MATCH(M$1,[2]enemies!$1:$1,0)-MATCH($L$1,[2]enemies!$1:$1,0)+1),MATCH(M$1,[2]enemies!$1:$1,0)-MATCH($L$1,[2]enemies!$1:$1,0)+1,FALSE)</f>
        <v>水のケロケロ</v>
      </c>
      <c r="N534" s="21" t="str">
        <f ca="1">VLOOKUP($L534,OFFSET([2]enemies!$A$1,0,0,COUNTA([2]enemies!$A:$A),MATCH(N$1,[2]enemies!$1:$1,0)-MATCH($L$1,[2]enemies!$1:$1,0)+1),MATCH(N$1,[2]enemies!$1:$1,0)-MATCH($L$1,[2]enemies!$1:$1,0)+1,FALSE)</f>
        <v>blue</v>
      </c>
      <c r="O534" s="21" t="str">
        <f ca="1">VLOOKUP($L534,OFFSET([3]characters!$A$1,0,0,COUNTA([3]characters!$A:$A),MATCH(O$1,[3]characters!$1:$1,0)-MATCH($L$1,[3]characters!$1:$1,0)+1),MATCH(O$1,[3]characters!$1:$1,0)-MATCH($L$1,[3]characters!$1:$1,0)+1,FALSE)</f>
        <v>Material</v>
      </c>
      <c r="P534" s="21" t="str">
        <f ca="1">VLOOKUP($L534,OFFSET([2]enemies!$A$1,0,0,COUNTA([2]enemies!$A:$A),MATCH(P$1,[2]enemies!$1:$1,0)-MATCH($L$1,[2]enemies!$1:$1,0)+1),MATCH(P$1,[2]enemies!$1:$1,0)-MATCH($L$1,[2]enemies!$1:$1,0)+1,FALSE)</f>
        <v>unknown</v>
      </c>
      <c r="Q534" s="21">
        <f ca="1">VLOOKUP($L534,OFFSET([2]enemies!$A$1,0,0,COUNTA([2]enemies!$A:$A),MATCH(Q$1,[2]enemies!$1:$1,0)-MATCH($L$1,[2]enemies!$1:$1,0)+1),MATCH(Q$1,[2]enemies!$1:$1,0)-MATCH($L$1,[2]enemies!$1:$1,0)+1,FALSE)</f>
        <v>15</v>
      </c>
      <c r="R534" s="53">
        <v>48</v>
      </c>
      <c r="S534" s="27">
        <v>1</v>
      </c>
      <c r="T534" s="27">
        <v>1</v>
      </c>
      <c r="U534" s="5">
        <v>0</v>
      </c>
      <c r="V534" s="4" t="str">
        <f ca="1">VLOOKUP($W534,OFFSET([4]enemy_skill_sets!$B$1,0,0,COUNTA([4]enemy_skill_sets!$B:$B),MATCH(M$1,[4]enemy_skill_sets!$1:$1,0)-MATCH($W$1,[4]enemy_skill_sets!$1:$1,0)+2),MATCH(M$1,[4]enemy_skill_sets!$1:$1,0)-MATCH($W$1,[4]enemy_skill_sets!$1:$1,0)+2,FALSE)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34" s="64">
        <v>352</v>
      </c>
      <c r="X534" s="6">
        <v>0</v>
      </c>
      <c r="Y534" s="6">
        <v>100</v>
      </c>
      <c r="Z534" s="6">
        <v>0</v>
      </c>
      <c r="AA534" s="4">
        <f ca="1">VLOOKUP($L534,OFFSET([2]enemies!$A$1,0,0,COUNTA([2]enemies!$A:$A),MATCH(AA$1,[2]enemies!$1:$1,0)-MATCH($L$1,[2]enemies!$1:$1,0)+1),MATCH(AA$1,[2]enemies!$1:$1,0)-MATCH($L$1,[2]enemies!$1:$1,0)+1,FALSE)</f>
        <v>3</v>
      </c>
      <c r="AB534" s="52">
        <v>352</v>
      </c>
      <c r="AC534" s="4" t="str">
        <f ca="1">VLOOKUP($AB534,OFFSET([3]characters!$A$1,0,0,COUNTA([3]characters!$A:$A),MATCH(AC$1,[3]characters!$1:$1,0)-MATCH("character_id",[3]characters!$1:$1,0)+1),MATCH(AC$1,[3]characters!$1:$1,0)-MATCH("character_id",[3]characters!$1:$1,0)+1,FALSE)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34" s="4">
        <f ca="1">VLOOKUP($AB534,OFFSET([3]characters!$A$1,0,0,COUNTA([3]characters!$A:$A),MATCH(AD$1,[3]characters!$1:$1,0)-MATCH("character_id",[3]characters!$1:$1,0)+1),MATCH(AD$1,[3]characters!$1:$1,0)-MATCH("character_id",[3]characters!$1:$1,0)+1,FALSE)</f>
        <v>2</v>
      </c>
      <c r="AE534" s="4" t="str">
        <f ca="1">VLOOKUP($AB534,OFFSET([3]characters!$A$1,0,0,COUNTA([3]characters!$A:$A),MATCH(AE$1,[3]characters!$1:$1,0)-MATCH("character_id",[3]characters!$1:$1,0)+1),MATCH(AE$1,[3]characters!$1:$1,0)-MATCH("character_id",[3]characters!$1:$1,0)+1,FALSE)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34" s="7">
        <v>10</v>
      </c>
      <c r="AG534" s="26">
        <f t="shared" ca="1" si="575"/>
        <v>2</v>
      </c>
      <c r="AH534" s="8">
        <v>20</v>
      </c>
      <c r="AI534" s="7">
        <v>0</v>
      </c>
      <c r="AJ534" s="7">
        <v>0</v>
      </c>
      <c r="AK534" s="7">
        <v>0</v>
      </c>
      <c r="AL534" s="7">
        <v>0</v>
      </c>
      <c r="AM534" s="7">
        <v>1</v>
      </c>
    </row>
    <row r="535" spans="1:39" ht="14" x14ac:dyDescent="0.15">
      <c r="A535" s="18" t="str">
        <f t="shared" ca="1" si="560"/>
        <v>25_2-4/37&lt;lv48&gt;s3</v>
      </c>
      <c r="B535" s="50">
        <v>25</v>
      </c>
      <c r="C535" s="49">
        <v>2</v>
      </c>
      <c r="D535" s="2" t="str">
        <f t="shared" si="567"/>
        <v>25_2</v>
      </c>
      <c r="E535" s="2" t="str">
        <f t="shared" si="567"/>
        <v>2_25_2</v>
      </c>
      <c r="F535" s="4" t="str">
        <f ca="1">VLOOKUP($D535,OFFSET([1]stages!$A$1,0,0,COUNTA([1]stages!$A:$A),MATCH(F$1,[1]stages!$2:$2,0)-MATCH($D$1,[1]stages!$2:$2,0)+1),MATCH(F$1,[1]stages!$2:$2,0)-MATCH($D$1,[1]stages!$2:$2,0)+1,FALSE)</f>
        <v>25-2．剣の舞</v>
      </c>
      <c r="G535" s="56">
        <v>4</v>
      </c>
      <c r="H535" s="17" t="str">
        <f t="shared" si="568"/>
        <v>25_2-4</v>
      </c>
      <c r="I535" s="17"/>
      <c r="J535" s="17"/>
      <c r="K535" s="65" t="s">
        <v>56</v>
      </c>
      <c r="L535" s="52">
        <v>37</v>
      </c>
      <c r="M535" s="21" t="str">
        <f ca="1">VLOOKUP($L535,OFFSET([2]enemies!$A$1,0,0,COUNTA([2]enemies!$A:$A),MATCH(M$1,[2]enemies!$1:$1,0)-MATCH($L$1,[2]enemies!$1:$1,0)+1),MATCH(M$1,[2]enemies!$1:$1,0)-MATCH($L$1,[2]enemies!$1:$1,0)+1,FALSE)</f>
        <v>ガイル</v>
      </c>
      <c r="N535" s="21" t="str">
        <f ca="1">VLOOKUP($L535,OFFSET([2]enemies!$A$1,0,0,COUNTA([2]enemies!$A:$A),MATCH(N$1,[2]enemies!$1:$1,0)-MATCH($L$1,[2]enemies!$1:$1,0)+1),MATCH(N$1,[2]enemies!$1:$1,0)-MATCH($L$1,[2]enemies!$1:$1,0)+1,FALSE)</f>
        <v>blue</v>
      </c>
      <c r="O535" s="21" t="str">
        <f ca="1">VLOOKUP($L535,OFFSET([3]characters!$A$1,0,0,COUNTA([3]characters!$A:$A),MATCH(O$1,[3]characters!$1:$1,0)-MATCH($L$1,[3]characters!$1:$1,0)+1),MATCH(O$1,[3]characters!$1:$1,0)-MATCH($L$1,[3]characters!$1:$1,0)+1,FALSE)</f>
        <v>Drop1S</v>
      </c>
      <c r="P535" s="21" t="str">
        <f ca="1">VLOOKUP($L535,OFFSET([2]enemies!$A$1,0,0,COUNTA([2]enemies!$A:$A),MATCH(P$1,[2]enemies!$1:$1,0)-MATCH($L$1,[2]enemies!$1:$1,0)+1),MATCH(P$1,[2]enemies!$1:$1,0)-MATCH($L$1,[2]enemies!$1:$1,0)+1,FALSE)</f>
        <v>animal</v>
      </c>
      <c r="Q535" s="21">
        <f ca="1">VLOOKUP($L535,OFFSET([2]enemies!$A$1,0,0,COUNTA([2]enemies!$A:$A),MATCH(Q$1,[2]enemies!$1:$1,0)-MATCH($L$1,[2]enemies!$1:$1,0)+1),MATCH(Q$1,[2]enemies!$1:$1,0)-MATCH($L$1,[2]enemies!$1:$1,0)+1,FALSE)</f>
        <v>15</v>
      </c>
      <c r="R535" s="53">
        <v>48</v>
      </c>
      <c r="S535" s="27">
        <v>1.1000000000000001</v>
      </c>
      <c r="T535" s="27">
        <v>1</v>
      </c>
      <c r="U535" s="5">
        <v>0</v>
      </c>
      <c r="V535" s="4" t="str">
        <f ca="1">VLOOKUP($W535,OFFSET([4]enemy_skill_sets!$B$1,0,0,COUNTA([4]enemy_skill_sets!$B:$B),MATCH(M$1,[4]enemy_skill_sets!$1:$1,0)-MATCH($W$1,[4]enemy_skill_sets!$1:$1,0)+2),MATCH(M$1,[4]enemy_skill_sets!$1:$1,0)-MATCH($W$1,[4]enemy_skill_sets!$1:$1,0)+2,FALSE)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535" s="4">
        <f ca="1">VLOOKUP($L535,OFFSET([2]enemies!$A$1,0,0,COUNTA([2]enemies!$A:$A),MATCH(W$1,[2]enemies!$1:$1,0)-MATCH($L$1,[2]enemies!$1:$1,0)+1),MATCH(W$1,[2]enemies!$1:$1,0)-MATCH($L$1,[2]enemies!$1:$1,0)+1,FALSE)</f>
        <v>37</v>
      </c>
      <c r="X535" s="6">
        <v>0</v>
      </c>
      <c r="Y535" s="6">
        <v>100</v>
      </c>
      <c r="Z535" s="6">
        <v>0</v>
      </c>
      <c r="AA535" s="4">
        <f ca="1">VLOOKUP($L535,OFFSET([2]enemies!$A$1,0,0,COUNTA([2]enemies!$A:$A),MATCH(AA$1,[2]enemies!$1:$1,0)-MATCH($L$1,[2]enemies!$1:$1,0)+1),MATCH(AA$1,[2]enemies!$1:$1,0)-MATCH($L$1,[2]enemies!$1:$1,0)+1,FALSE)</f>
        <v>3</v>
      </c>
      <c r="AB535" s="52">
        <v>37</v>
      </c>
      <c r="AC535" s="4" t="str">
        <f ca="1">VLOOKUP($AB535,OFFSET([3]characters!$A$1,0,0,COUNTA([3]characters!$A:$A),MATCH(AC$1,[3]characters!$1:$1,0)-MATCH("character_id",[3]characters!$1:$1,0)+1),MATCH(AC$1,[3]characters!$1:$1,0)-MATCH("character_id",[3]characters!$1:$1,0)+1,FALSE)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535" s="4">
        <f ca="1">VLOOKUP($AB535,OFFSET([3]characters!$A$1,0,0,COUNTA([3]characters!$A:$A),MATCH(AD$1,[3]characters!$1:$1,0)-MATCH("character_id",[3]characters!$1:$1,0)+1),MATCH(AD$1,[3]characters!$1:$1,0)-MATCH("character_id",[3]characters!$1:$1,0)+1,FALSE)</f>
        <v>2</v>
      </c>
      <c r="AE535" s="4" t="str">
        <f ca="1">VLOOKUP($AB535,OFFSET([3]characters!$A$1,0,0,COUNTA([3]characters!$A:$A),MATCH(AE$1,[3]characters!$1:$1,0)-MATCH("character_id",[3]characters!$1:$1,0)+1),MATCH(AE$1,[3]characters!$1:$1,0)-MATCH("character_id",[3]characters!$1:$1,0)+1,FALSE)</f>
        <v>Drop1S</v>
      </c>
      <c r="AF535" s="7">
        <v>5</v>
      </c>
      <c r="AG535" s="26">
        <f t="shared" ca="1" si="575"/>
        <v>2</v>
      </c>
      <c r="AH535" s="8">
        <v>20</v>
      </c>
      <c r="AI535" s="7">
        <v>0</v>
      </c>
      <c r="AJ535" s="7">
        <v>0</v>
      </c>
      <c r="AK535" s="7">
        <v>0</v>
      </c>
      <c r="AL535" s="7">
        <v>0</v>
      </c>
      <c r="AM535" s="7">
        <v>1</v>
      </c>
    </row>
    <row r="536" spans="1:39" ht="14" x14ac:dyDescent="0.15">
      <c r="A536" s="18" t="str">
        <f t="shared" ca="1" si="560"/>
        <v>25_2-4/45&lt;lv48&gt;s3</v>
      </c>
      <c r="B536" s="50">
        <v>25</v>
      </c>
      <c r="C536" s="49">
        <v>2</v>
      </c>
      <c r="D536" s="2" t="str">
        <f t="shared" si="567"/>
        <v>25_2</v>
      </c>
      <c r="E536" s="2" t="str">
        <f t="shared" si="567"/>
        <v>2_25_2</v>
      </c>
      <c r="F536" s="4" t="str">
        <f ca="1">VLOOKUP($D536,OFFSET([1]stages!$A$1,0,0,COUNTA([1]stages!$A:$A),MATCH(F$1,[1]stages!$2:$2,0)-MATCH($D$1,[1]stages!$2:$2,0)+1),MATCH(F$1,[1]stages!$2:$2,0)-MATCH($D$1,[1]stages!$2:$2,0)+1,FALSE)</f>
        <v>25-2．剣の舞</v>
      </c>
      <c r="G536" s="56">
        <v>4</v>
      </c>
      <c r="H536" s="17" t="str">
        <f t="shared" si="568"/>
        <v>25_2-4</v>
      </c>
      <c r="I536" s="17"/>
      <c r="J536" s="17"/>
      <c r="K536" s="65" t="s">
        <v>56</v>
      </c>
      <c r="L536" s="52">
        <v>45</v>
      </c>
      <c r="M536" s="21" t="str">
        <f ca="1">VLOOKUP($L536,OFFSET([2]enemies!$A$1,0,0,COUNTA([2]enemies!$A:$A),MATCH(M$1,[2]enemies!$1:$1,0)-MATCH($L$1,[2]enemies!$1:$1,0)+1),MATCH(M$1,[2]enemies!$1:$1,0)-MATCH($L$1,[2]enemies!$1:$1,0)+1,FALSE)</f>
        <v>ショウイン</v>
      </c>
      <c r="N536" s="21" t="str">
        <f ca="1">VLOOKUP($L536,OFFSET([2]enemies!$A$1,0,0,COUNTA([2]enemies!$A:$A),MATCH(N$1,[2]enemies!$1:$1,0)-MATCH($L$1,[2]enemies!$1:$1,0)+1),MATCH(N$1,[2]enemies!$1:$1,0)-MATCH($L$1,[2]enemies!$1:$1,0)+1,FALSE)</f>
        <v>blue</v>
      </c>
      <c r="O536" s="21" t="str">
        <f ca="1">VLOOKUP($L536,OFFSET([3]characters!$A$1,0,0,COUNTA([3]characters!$A:$A),MATCH(O$1,[3]characters!$1:$1,0)-MATCH($L$1,[3]characters!$1:$1,0)+1),MATCH(O$1,[3]characters!$1:$1,0)-MATCH($L$1,[3]characters!$1:$1,0)+1,FALSE)</f>
        <v>Drop1N</v>
      </c>
      <c r="P536" s="21" t="str">
        <f ca="1">VLOOKUP($L536,OFFSET([2]enemies!$A$1,0,0,COUNTA([2]enemies!$A:$A),MATCH(P$1,[2]enemies!$1:$1,0)-MATCH($L$1,[2]enemies!$1:$1,0)+1),MATCH(P$1,[2]enemies!$1:$1,0)-MATCH($L$1,[2]enemies!$1:$1,0)+1,FALSE)</f>
        <v>animal</v>
      </c>
      <c r="Q536" s="21">
        <f ca="1">VLOOKUP($L536,OFFSET([2]enemies!$A$1,0,0,COUNTA([2]enemies!$A:$A),MATCH(Q$1,[2]enemies!$1:$1,0)-MATCH($L$1,[2]enemies!$1:$1,0)+1),MATCH(Q$1,[2]enemies!$1:$1,0)-MATCH($L$1,[2]enemies!$1:$1,0)+1,FALSE)</f>
        <v>15</v>
      </c>
      <c r="R536" s="53">
        <v>48</v>
      </c>
      <c r="S536" s="27">
        <v>1.1000000000000001</v>
      </c>
      <c r="T536" s="27">
        <v>1</v>
      </c>
      <c r="U536" s="5">
        <v>0</v>
      </c>
      <c r="V536" s="4" t="str">
        <f ca="1">VLOOKUP($W536,OFFSET([4]enemy_skill_sets!$B$1,0,0,COUNTA([4]enemy_skill_sets!$B:$B),MATCH(M$1,[4]enemy_skill_sets!$1:$1,0)-MATCH($W$1,[4]enemy_skill_sets!$1:$1,0)+2),MATCH(M$1,[4]enemy_skill_sets!$1:$1,0)-MATCH($W$1,[4]enemy_skill_sets!$1:$1,0)+2,FALSE)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36" s="4">
        <f ca="1">VLOOKUP($L536,OFFSET([2]enemies!$A$1,0,0,COUNTA([2]enemies!$A:$A),MATCH(W$1,[2]enemies!$1:$1,0)-MATCH($L$1,[2]enemies!$1:$1,0)+1),MATCH(W$1,[2]enemies!$1:$1,0)-MATCH($L$1,[2]enemies!$1:$1,0)+1,FALSE)</f>
        <v>0</v>
      </c>
      <c r="X536" s="6">
        <v>0</v>
      </c>
      <c r="Y536" s="6">
        <v>100</v>
      </c>
      <c r="Z536" s="6">
        <v>0</v>
      </c>
      <c r="AA536" s="4">
        <f ca="1">VLOOKUP($L536,OFFSET([2]enemies!$A$1,0,0,COUNTA([2]enemies!$A:$A),MATCH(AA$1,[2]enemies!$1:$1,0)-MATCH($L$1,[2]enemies!$1:$1,0)+1),MATCH(AA$1,[2]enemies!$1:$1,0)-MATCH($L$1,[2]enemies!$1:$1,0)+1,FALSE)</f>
        <v>3</v>
      </c>
      <c r="AB536" s="52">
        <v>45</v>
      </c>
      <c r="AC536" s="4" t="str">
        <f ca="1">VLOOKUP($AB536,OFFSET([3]characters!$A$1,0,0,COUNTA([3]characters!$A:$A),MATCH(AC$1,[3]characters!$1:$1,0)-MATCH("character_id",[3]characters!$1:$1,0)+1),MATCH(AC$1,[3]characters!$1:$1,0)-MATCH("character_id",[3]characters!$1:$1,0)+1,FALSE)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536" s="4">
        <f ca="1">VLOOKUP($AB536,OFFSET([3]characters!$A$1,0,0,COUNTA([3]characters!$A:$A),MATCH(AD$1,[3]characters!$1:$1,0)-MATCH("character_id",[3]characters!$1:$1,0)+1),MATCH(AD$1,[3]characters!$1:$1,0)-MATCH("character_id",[3]characters!$1:$1,0)+1,FALSE)</f>
        <v>2</v>
      </c>
      <c r="AE536" s="4" t="str">
        <f ca="1">VLOOKUP($AB536,OFFSET([3]characters!$A$1,0,0,COUNTA([3]characters!$A:$A),MATCH(AE$1,[3]characters!$1:$1,0)-MATCH("character_id",[3]characters!$1:$1,0)+1),MATCH(AE$1,[3]characters!$1:$1,0)-MATCH("character_id",[3]characters!$1:$1,0)+1,FALSE)</f>
        <v>Drop1N</v>
      </c>
      <c r="AF536" s="7">
        <v>7</v>
      </c>
      <c r="AG536" s="26">
        <f t="shared" ca="1" si="575"/>
        <v>2</v>
      </c>
      <c r="AH536" s="8">
        <v>20</v>
      </c>
      <c r="AI536" s="7">
        <v>0</v>
      </c>
      <c r="AJ536" s="7">
        <v>0</v>
      </c>
      <c r="AK536" s="7">
        <v>0</v>
      </c>
      <c r="AL536" s="7">
        <v>0</v>
      </c>
      <c r="AM536" s="7">
        <v>1</v>
      </c>
    </row>
    <row r="537" spans="1:39" ht="14" x14ac:dyDescent="0.15">
      <c r="A537" s="18" t="str">
        <f t="shared" ca="1" si="560"/>
        <v>25_2-4/47&lt;lv48&gt;s1</v>
      </c>
      <c r="B537" s="50">
        <v>25</v>
      </c>
      <c r="C537" s="49">
        <v>2</v>
      </c>
      <c r="D537" s="2" t="str">
        <f t="shared" si="567"/>
        <v>25_2</v>
      </c>
      <c r="E537" s="2" t="str">
        <f t="shared" si="567"/>
        <v>2_25_2</v>
      </c>
      <c r="F537" s="4" t="str">
        <f ca="1">VLOOKUP($D537,OFFSET([1]stages!$A$1,0,0,COUNTA([1]stages!$A:$A),MATCH(F$1,[1]stages!$2:$2,0)-MATCH($D$1,[1]stages!$2:$2,0)+1),MATCH(F$1,[1]stages!$2:$2,0)-MATCH($D$1,[1]stages!$2:$2,0)+1,FALSE)</f>
        <v>25-2．剣の舞</v>
      </c>
      <c r="G537" s="56">
        <v>4</v>
      </c>
      <c r="H537" s="17" t="str">
        <f t="shared" si="568"/>
        <v>25_2-4</v>
      </c>
      <c r="I537" s="17"/>
      <c r="J537" s="17"/>
      <c r="K537" s="65" t="s">
        <v>56</v>
      </c>
      <c r="L537" s="52">
        <v>47</v>
      </c>
      <c r="M537" s="21" t="str">
        <f ca="1">VLOOKUP($L537,OFFSET([2]enemies!$A$1,0,0,COUNTA([2]enemies!$A:$A),MATCH(M$1,[2]enemies!$1:$1,0)-MATCH($L$1,[2]enemies!$1:$1,0)+1),MATCH(M$1,[2]enemies!$1:$1,0)-MATCH($L$1,[2]enemies!$1:$1,0)+1,FALSE)</f>
        <v>ヒロ</v>
      </c>
      <c r="N537" s="21" t="str">
        <f ca="1">VLOOKUP($L537,OFFSET([2]enemies!$A$1,0,0,COUNTA([2]enemies!$A:$A),MATCH(N$1,[2]enemies!$1:$1,0)-MATCH($L$1,[2]enemies!$1:$1,0)+1),MATCH(N$1,[2]enemies!$1:$1,0)-MATCH($L$1,[2]enemies!$1:$1,0)+1,FALSE)</f>
        <v>yellow</v>
      </c>
      <c r="O537" s="21" t="str">
        <f ca="1">VLOOKUP($L537,OFFSET([3]characters!$A$1,0,0,COUNTA([3]characters!$A:$A),MATCH(O$1,[3]characters!$1:$1,0)-MATCH($L$1,[3]characters!$1:$1,0)+1),MATCH(O$1,[3]characters!$1:$1,0)-MATCH($L$1,[3]characters!$1:$1,0)+1,FALSE)</f>
        <v>Drop1N</v>
      </c>
      <c r="P537" s="21" t="str">
        <f ca="1">VLOOKUP($L537,OFFSET([2]enemies!$A$1,0,0,COUNTA([2]enemies!$A:$A),MATCH(P$1,[2]enemies!$1:$1,0)-MATCH($L$1,[2]enemies!$1:$1,0)+1),MATCH(P$1,[2]enemies!$1:$1,0)-MATCH($L$1,[2]enemies!$1:$1,0)+1,FALSE)</f>
        <v>animal</v>
      </c>
      <c r="Q537" s="21">
        <f ca="1">VLOOKUP($L537,OFFSET([2]enemies!$A$1,0,0,COUNTA([2]enemies!$A:$A),MATCH(Q$1,[2]enemies!$1:$1,0)-MATCH($L$1,[2]enemies!$1:$1,0)+1),MATCH(Q$1,[2]enemies!$1:$1,0)-MATCH($L$1,[2]enemies!$1:$1,0)+1,FALSE)</f>
        <v>15</v>
      </c>
      <c r="R537" s="53">
        <v>48</v>
      </c>
      <c r="S537" s="27">
        <v>1.1000000000000001</v>
      </c>
      <c r="T537" s="27">
        <v>1</v>
      </c>
      <c r="U537" s="5">
        <v>0</v>
      </c>
      <c r="V537" s="4" t="str">
        <f ca="1">VLOOKUP($W537,OFFSET([4]enemy_skill_sets!$B$1,0,0,COUNTA([4]enemy_skill_sets!$B:$B),MATCH(M$1,[4]enemy_skill_sets!$1:$1,0)-MATCH($W$1,[4]enemy_skill_sets!$1:$1,0)+2),MATCH(M$1,[4]enemy_skill_sets!$1:$1,0)-MATCH($W$1,[4]enemy_skill_sets!$1:$1,0)+2,FALSE)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37" s="4">
        <f ca="1">VLOOKUP($L537,OFFSET([2]enemies!$A$1,0,0,COUNTA([2]enemies!$A:$A),MATCH(W$1,[2]enemies!$1:$1,0)-MATCH($L$1,[2]enemies!$1:$1,0)+1),MATCH(W$1,[2]enemies!$1:$1,0)-MATCH($L$1,[2]enemies!$1:$1,0)+1,FALSE)</f>
        <v>0</v>
      </c>
      <c r="X537" s="6">
        <v>0</v>
      </c>
      <c r="Y537" s="6">
        <v>100</v>
      </c>
      <c r="Z537" s="6">
        <v>0</v>
      </c>
      <c r="AA537" s="4">
        <f ca="1">VLOOKUP($L537,OFFSET([2]enemies!$A$1,0,0,COUNTA([2]enemies!$A:$A),MATCH(AA$1,[2]enemies!$1:$1,0)-MATCH($L$1,[2]enemies!$1:$1,0)+1),MATCH(AA$1,[2]enemies!$1:$1,0)-MATCH($L$1,[2]enemies!$1:$1,0)+1,FALSE)</f>
        <v>1</v>
      </c>
      <c r="AB537" s="52">
        <v>47</v>
      </c>
      <c r="AC537" s="4" t="str">
        <f ca="1">VLOOKUP($AB537,OFFSET([3]characters!$A$1,0,0,COUNTA([3]characters!$A:$A),MATCH(AC$1,[3]characters!$1:$1,0)-MATCH("character_id",[3]characters!$1:$1,0)+1),MATCH(AC$1,[3]characters!$1:$1,0)-MATCH("character_id",[3]characters!$1:$1,0)+1,FALSE)</f>
        <v>ヒロ</v>
      </c>
      <c r="AD537" s="4">
        <f ca="1">VLOOKUP($AB537,OFFSET([3]characters!$A$1,0,0,COUNTA([3]characters!$A:$A),MATCH(AD$1,[3]characters!$1:$1,0)-MATCH("character_id",[3]characters!$1:$1,0)+1),MATCH(AD$1,[3]characters!$1:$1,0)-MATCH("character_id",[3]characters!$1:$1,0)+1,FALSE)</f>
        <v>2</v>
      </c>
      <c r="AE537" s="4" t="str">
        <f ca="1">VLOOKUP($AB537,OFFSET([3]characters!$A$1,0,0,COUNTA([3]characters!$A:$A),MATCH(AE$1,[3]characters!$1:$1,0)-MATCH("character_id",[3]characters!$1:$1,0)+1),MATCH(AE$1,[3]characters!$1:$1,0)-MATCH("character_id",[3]characters!$1:$1,0)+1,FALSE)</f>
        <v>Drop1N</v>
      </c>
      <c r="AF537" s="7">
        <v>7</v>
      </c>
      <c r="AG537" s="26">
        <f t="shared" ca="1" si="575"/>
        <v>2</v>
      </c>
      <c r="AH537" s="8">
        <v>20</v>
      </c>
      <c r="AI537" s="7">
        <v>0</v>
      </c>
      <c r="AJ537" s="7">
        <v>0</v>
      </c>
      <c r="AK537" s="7">
        <v>0</v>
      </c>
      <c r="AL537" s="7">
        <v>0</v>
      </c>
      <c r="AM537" s="7">
        <v>1</v>
      </c>
    </row>
    <row r="538" spans="1:39" ht="14" x14ac:dyDescent="0.15">
      <c r="A538" s="18" t="str">
        <f t="shared" ca="1" si="560"/>
        <v>25_2-4/61&lt;lv48&gt;s2</v>
      </c>
      <c r="B538" s="50">
        <v>25</v>
      </c>
      <c r="C538" s="49">
        <v>2</v>
      </c>
      <c r="D538" s="2" t="str">
        <f t="shared" si="567"/>
        <v>25_2</v>
      </c>
      <c r="E538" s="2" t="str">
        <f t="shared" si="567"/>
        <v>2_25_2</v>
      </c>
      <c r="F538" s="4" t="str">
        <f ca="1">VLOOKUP($D538,OFFSET([1]stages!$A$1,0,0,COUNTA([1]stages!$A:$A),MATCH(F$1,[1]stages!$2:$2,0)-MATCH($D$1,[1]stages!$2:$2,0)+1),MATCH(F$1,[1]stages!$2:$2,0)-MATCH($D$1,[1]stages!$2:$2,0)+1,FALSE)</f>
        <v>25-2．剣の舞</v>
      </c>
      <c r="G538" s="56">
        <v>4</v>
      </c>
      <c r="H538" s="17" t="str">
        <f t="shared" si="568"/>
        <v>25_2-4</v>
      </c>
      <c r="I538" s="17"/>
      <c r="J538" s="17"/>
      <c r="K538" s="65" t="s">
        <v>56</v>
      </c>
      <c r="L538" s="52">
        <v>61</v>
      </c>
      <c r="M538" s="21" t="str">
        <f ca="1">VLOOKUP($L538,OFFSET([2]enemies!$A$1,0,0,COUNTA([2]enemies!$A:$A),MATCH(M$1,[2]enemies!$1:$1,0)-MATCH($L$1,[2]enemies!$1:$1,0)+1),MATCH(M$1,[2]enemies!$1:$1,0)-MATCH($L$1,[2]enemies!$1:$1,0)+1,FALSE)</f>
        <v>クロウ</v>
      </c>
      <c r="N538" s="21" t="str">
        <f ca="1">VLOOKUP($L538,OFFSET([2]enemies!$A$1,0,0,COUNTA([2]enemies!$A:$A),MATCH(N$1,[2]enemies!$1:$1,0)-MATCH($L$1,[2]enemies!$1:$1,0)+1),MATCH(N$1,[2]enemies!$1:$1,0)-MATCH($L$1,[2]enemies!$1:$1,0)+1,FALSE)</f>
        <v>blue</v>
      </c>
      <c r="O538" s="21" t="str">
        <f ca="1">VLOOKUP($L538,OFFSET([3]characters!$A$1,0,0,COUNTA([3]characters!$A:$A),MATCH(O$1,[3]characters!$1:$1,0)-MATCH($L$1,[3]characters!$1:$1,0)+1),MATCH(O$1,[3]characters!$1:$1,0)-MATCH($L$1,[3]characters!$1:$1,0)+1,FALSE)</f>
        <v>Drop1N</v>
      </c>
      <c r="P538" s="21" t="str">
        <f ca="1">VLOOKUP($L538,OFFSET([2]enemies!$A$1,0,0,COUNTA([2]enemies!$A:$A),MATCH(P$1,[2]enemies!$1:$1,0)-MATCH($L$1,[2]enemies!$1:$1,0)+1),MATCH(P$1,[2]enemies!$1:$1,0)-MATCH($L$1,[2]enemies!$1:$1,0)+1,FALSE)</f>
        <v>animal</v>
      </c>
      <c r="Q538" s="21">
        <f ca="1">VLOOKUP($L538,OFFSET([2]enemies!$A$1,0,0,COUNTA([2]enemies!$A:$A),MATCH(Q$1,[2]enemies!$1:$1,0)-MATCH($L$1,[2]enemies!$1:$1,0)+1),MATCH(Q$1,[2]enemies!$1:$1,0)-MATCH($L$1,[2]enemies!$1:$1,0)+1,FALSE)</f>
        <v>15</v>
      </c>
      <c r="R538" s="53">
        <v>48</v>
      </c>
      <c r="S538" s="27">
        <v>1.1000000000000001</v>
      </c>
      <c r="T538" s="27">
        <v>1</v>
      </c>
      <c r="U538" s="5">
        <v>0</v>
      </c>
      <c r="V538" s="4" t="str">
        <f ca="1">VLOOKUP($W538,OFFSET([4]enemy_skill_sets!$B$1,0,0,COUNTA([4]enemy_skill_sets!$B:$B),MATCH(M$1,[4]enemy_skill_sets!$1:$1,0)-MATCH($W$1,[4]enemy_skill_sets!$1:$1,0)+2),MATCH(M$1,[4]enemy_skill_sets!$1:$1,0)-MATCH($W$1,[4]enemy_skill_sets!$1:$1,0)+2,FALSE)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38" s="4">
        <f ca="1">VLOOKUP($L538,OFFSET([2]enemies!$A$1,0,0,COUNTA([2]enemies!$A:$A),MATCH(W$1,[2]enemies!$1:$1,0)-MATCH($L$1,[2]enemies!$1:$1,0)+1),MATCH(W$1,[2]enemies!$1:$1,0)-MATCH($L$1,[2]enemies!$1:$1,0)+1,FALSE)</f>
        <v>61</v>
      </c>
      <c r="X538" s="6">
        <v>0</v>
      </c>
      <c r="Y538" s="6">
        <v>100</v>
      </c>
      <c r="Z538" s="6">
        <v>0</v>
      </c>
      <c r="AA538" s="4">
        <f ca="1">VLOOKUP($L538,OFFSET([2]enemies!$A$1,0,0,COUNTA([2]enemies!$A:$A),MATCH(AA$1,[2]enemies!$1:$1,0)-MATCH($L$1,[2]enemies!$1:$1,0)+1),MATCH(AA$1,[2]enemies!$1:$1,0)-MATCH($L$1,[2]enemies!$1:$1,0)+1,FALSE)</f>
        <v>2</v>
      </c>
      <c r="AB538" s="52">
        <v>61</v>
      </c>
      <c r="AC538" s="4" t="str">
        <f ca="1">VLOOKUP($AB538,OFFSET([3]characters!$A$1,0,0,COUNTA([3]characters!$A:$A),MATCH(AC$1,[3]characters!$1:$1,0)-MATCH("character_id",[3]characters!$1:$1,0)+1),MATCH(AC$1,[3]characters!$1:$1,0)-MATCH("character_id",[3]characters!$1:$1,0)+1,FALSE)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538" s="4">
        <f ca="1">VLOOKUP($AB538,OFFSET([3]characters!$A$1,0,0,COUNTA([3]characters!$A:$A),MATCH(AD$1,[3]characters!$1:$1,0)-MATCH("character_id",[3]characters!$1:$1,0)+1),MATCH(AD$1,[3]characters!$1:$1,0)-MATCH("character_id",[3]characters!$1:$1,0)+1,FALSE)</f>
        <v>2</v>
      </c>
      <c r="AE538" s="4" t="str">
        <f ca="1">VLOOKUP($AB538,OFFSET([3]characters!$A$1,0,0,COUNTA([3]characters!$A:$A),MATCH(AE$1,[3]characters!$1:$1,0)-MATCH("character_id",[3]characters!$1:$1,0)+1),MATCH(AE$1,[3]characters!$1:$1,0)-MATCH("character_id",[3]characters!$1:$1,0)+1,FALSE)</f>
        <v>Drop1N</v>
      </c>
      <c r="AF538" s="7">
        <v>7</v>
      </c>
      <c r="AG538" s="26">
        <f t="shared" ca="1" si="575"/>
        <v>2</v>
      </c>
      <c r="AH538" s="8">
        <v>20</v>
      </c>
      <c r="AI538" s="7">
        <v>0</v>
      </c>
      <c r="AJ538" s="7">
        <v>0</v>
      </c>
      <c r="AK538" s="7">
        <v>0</v>
      </c>
      <c r="AL538" s="7">
        <v>0</v>
      </c>
      <c r="AM538" s="7">
        <v>1</v>
      </c>
    </row>
    <row r="539" spans="1:39" ht="14" x14ac:dyDescent="0.15">
      <c r="A539" s="18" t="str">
        <f t="shared" ca="1" si="560"/>
        <v>25_2-4/63&lt;lv48&gt;s2</v>
      </c>
      <c r="B539" s="50">
        <v>25</v>
      </c>
      <c r="C539" s="49">
        <v>2</v>
      </c>
      <c r="D539" s="2" t="str">
        <f t="shared" si="567"/>
        <v>25_2</v>
      </c>
      <c r="E539" s="2" t="str">
        <f t="shared" si="567"/>
        <v>2_25_2</v>
      </c>
      <c r="F539" s="4" t="str">
        <f ca="1">VLOOKUP($D539,OFFSET([1]stages!$A$1,0,0,COUNTA([1]stages!$A:$A),MATCH(F$1,[1]stages!$2:$2,0)-MATCH($D$1,[1]stages!$2:$2,0)+1),MATCH(F$1,[1]stages!$2:$2,0)-MATCH($D$1,[1]stages!$2:$2,0)+1,FALSE)</f>
        <v>25-2．剣の舞</v>
      </c>
      <c r="G539" s="56">
        <v>4</v>
      </c>
      <c r="H539" s="17" t="str">
        <f t="shared" si="568"/>
        <v>25_2-4</v>
      </c>
      <c r="I539" s="17"/>
      <c r="J539" s="17"/>
      <c r="K539" s="65" t="s">
        <v>56</v>
      </c>
      <c r="L539" s="52">
        <v>63</v>
      </c>
      <c r="M539" s="21" t="str">
        <f ca="1">VLOOKUP($L539,OFFSET([2]enemies!$A$1,0,0,COUNTA([2]enemies!$A:$A),MATCH(M$1,[2]enemies!$1:$1,0)-MATCH($L$1,[2]enemies!$1:$1,0)+1),MATCH(M$1,[2]enemies!$1:$1,0)-MATCH($L$1,[2]enemies!$1:$1,0)+1,FALSE)</f>
        <v>トニー</v>
      </c>
      <c r="N539" s="21" t="str">
        <f ca="1">VLOOKUP($L539,OFFSET([2]enemies!$A$1,0,0,COUNTA([2]enemies!$A:$A),MATCH(N$1,[2]enemies!$1:$1,0)-MATCH($L$1,[2]enemies!$1:$1,0)+1),MATCH(N$1,[2]enemies!$1:$1,0)-MATCH($L$1,[2]enemies!$1:$1,0)+1,FALSE)</f>
        <v>yellow</v>
      </c>
      <c r="O539" s="21" t="str">
        <f ca="1">VLOOKUP($L539,OFFSET([3]characters!$A$1,0,0,COUNTA([3]characters!$A:$A),MATCH(O$1,[3]characters!$1:$1,0)-MATCH($L$1,[3]characters!$1:$1,0)+1),MATCH(O$1,[3]characters!$1:$1,0)-MATCH($L$1,[3]characters!$1:$1,0)+1,FALSE)</f>
        <v>Drop1N</v>
      </c>
      <c r="P539" s="21" t="str">
        <f ca="1">VLOOKUP($L539,OFFSET([2]enemies!$A$1,0,0,COUNTA([2]enemies!$A:$A),MATCH(P$1,[2]enemies!$1:$1,0)-MATCH($L$1,[2]enemies!$1:$1,0)+1),MATCH(P$1,[2]enemies!$1:$1,0)-MATCH($L$1,[2]enemies!$1:$1,0)+1,FALSE)</f>
        <v>animal</v>
      </c>
      <c r="Q539" s="21">
        <f ca="1">VLOOKUP($L539,OFFSET([2]enemies!$A$1,0,0,COUNTA([2]enemies!$A:$A),MATCH(Q$1,[2]enemies!$1:$1,0)-MATCH($L$1,[2]enemies!$1:$1,0)+1),MATCH(Q$1,[2]enemies!$1:$1,0)-MATCH($L$1,[2]enemies!$1:$1,0)+1,FALSE)</f>
        <v>15</v>
      </c>
      <c r="R539" s="53">
        <v>48</v>
      </c>
      <c r="S539" s="27">
        <v>1.1000000000000001</v>
      </c>
      <c r="T539" s="27">
        <v>1</v>
      </c>
      <c r="U539" s="5">
        <v>0</v>
      </c>
      <c r="V539" s="4" t="str">
        <f ca="1">VLOOKUP($W539,OFFSET([4]enemy_skill_sets!$B$1,0,0,COUNTA([4]enemy_skill_sets!$B:$B),MATCH(M$1,[4]enemy_skill_sets!$1:$1,0)-MATCH($W$1,[4]enemy_skill_sets!$1:$1,0)+2),MATCH(M$1,[4]enemy_skill_sets!$1:$1,0)-MATCH($W$1,[4]enemy_skill_sets!$1:$1,0)+2,FALSE)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539" s="4">
        <f ca="1">VLOOKUP($L539,OFFSET([2]enemies!$A$1,0,0,COUNTA([2]enemies!$A:$A),MATCH(W$1,[2]enemies!$1:$1,0)-MATCH($L$1,[2]enemies!$1:$1,0)+1),MATCH(W$1,[2]enemies!$1:$1,0)-MATCH($L$1,[2]enemies!$1:$1,0)+1,FALSE)</f>
        <v>63</v>
      </c>
      <c r="X539" s="6">
        <v>0</v>
      </c>
      <c r="Y539" s="6">
        <v>100</v>
      </c>
      <c r="Z539" s="6">
        <v>0</v>
      </c>
      <c r="AA539" s="4">
        <f ca="1">VLOOKUP($L539,OFFSET([2]enemies!$A$1,0,0,COUNTA([2]enemies!$A:$A),MATCH(AA$1,[2]enemies!$1:$1,0)-MATCH($L$1,[2]enemies!$1:$1,0)+1),MATCH(AA$1,[2]enemies!$1:$1,0)-MATCH($L$1,[2]enemies!$1:$1,0)+1,FALSE)</f>
        <v>2</v>
      </c>
      <c r="AB539" s="52">
        <v>63</v>
      </c>
      <c r="AC539" s="4" t="str">
        <f ca="1">VLOOKUP($AB539,OFFSET([3]characters!$A$1,0,0,COUNTA([3]characters!$A:$A),MATCH(AC$1,[3]characters!$1:$1,0)-MATCH("character_id",[3]characters!$1:$1,0)+1),MATCH(AC$1,[3]characters!$1:$1,0)-MATCH("character_id",[3]characters!$1:$1,0)+1,FALSE)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539" s="4">
        <f ca="1">VLOOKUP($AB539,OFFSET([3]characters!$A$1,0,0,COUNTA([3]characters!$A:$A),MATCH(AD$1,[3]characters!$1:$1,0)-MATCH("character_id",[3]characters!$1:$1,0)+1),MATCH(AD$1,[3]characters!$1:$1,0)-MATCH("character_id",[3]characters!$1:$1,0)+1,FALSE)</f>
        <v>2</v>
      </c>
      <c r="AE539" s="4" t="str">
        <f ca="1">VLOOKUP($AB539,OFFSET([3]characters!$A$1,0,0,COUNTA([3]characters!$A:$A),MATCH(AE$1,[3]characters!$1:$1,0)-MATCH("character_id",[3]characters!$1:$1,0)+1),MATCH(AE$1,[3]characters!$1:$1,0)-MATCH("character_id",[3]characters!$1:$1,0)+1,FALSE)</f>
        <v>Drop1N</v>
      </c>
      <c r="AF539" s="7">
        <v>7</v>
      </c>
      <c r="AG539" s="26">
        <f t="shared" ca="1" si="575"/>
        <v>2</v>
      </c>
      <c r="AH539" s="8">
        <v>20</v>
      </c>
      <c r="AI539" s="7">
        <v>0</v>
      </c>
      <c r="AJ539" s="7">
        <v>0</v>
      </c>
      <c r="AK539" s="7">
        <v>0</v>
      </c>
      <c r="AL539" s="7">
        <v>0</v>
      </c>
      <c r="AM539" s="7">
        <v>1</v>
      </c>
    </row>
    <row r="540" spans="1:39" ht="14" x14ac:dyDescent="0.15">
      <c r="A540" s="18" t="str">
        <f t="shared" ca="1" si="560"/>
        <v>25_2-4/39&lt;lv48&gt;s3</v>
      </c>
      <c r="B540" s="50">
        <v>25</v>
      </c>
      <c r="C540" s="49">
        <v>2</v>
      </c>
      <c r="D540" s="2" t="str">
        <f t="shared" ref="D540:E566" si="588">B540&amp;"_"&amp;C540</f>
        <v>25_2</v>
      </c>
      <c r="E540" s="2" t="str">
        <f t="shared" si="588"/>
        <v>2_25_2</v>
      </c>
      <c r="F540" s="4" t="str">
        <f ca="1">VLOOKUP($D540,OFFSET([1]stages!$A$1,0,0,COUNTA([1]stages!$A:$A),MATCH(F$1,[1]stages!$2:$2,0)-MATCH($D$1,[1]stages!$2:$2,0)+1),MATCH(F$1,[1]stages!$2:$2,0)-MATCH($D$1,[1]stages!$2:$2,0)+1,FALSE)</f>
        <v>25-2．剣の舞</v>
      </c>
      <c r="G540" s="56">
        <v>4</v>
      </c>
      <c r="H540" s="17" t="str">
        <f t="shared" ref="H540:H566" si="589">B540&amp;"_"&amp;C540&amp;"-"&amp;G540</f>
        <v>25_2-4</v>
      </c>
      <c r="I540" s="17"/>
      <c r="J540" s="17"/>
      <c r="K540" s="65" t="s">
        <v>56</v>
      </c>
      <c r="L540" s="52">
        <v>39</v>
      </c>
      <c r="M540" s="21" t="str">
        <f ca="1">VLOOKUP($L540,OFFSET([2]enemies!$A$1,0,0,COUNTA([2]enemies!$A:$A),MATCH(M$1,[2]enemies!$1:$1,0)-MATCH($L$1,[2]enemies!$1:$1,0)+1),MATCH(M$1,[2]enemies!$1:$1,0)-MATCH($L$1,[2]enemies!$1:$1,0)+1,FALSE)</f>
        <v>マーロン</v>
      </c>
      <c r="N540" s="21" t="str">
        <f ca="1">VLOOKUP($L540,OFFSET([2]enemies!$A$1,0,0,COUNTA([2]enemies!$A:$A),MATCH(N$1,[2]enemies!$1:$1,0)-MATCH($L$1,[2]enemies!$1:$1,0)+1),MATCH(N$1,[2]enemies!$1:$1,0)-MATCH($L$1,[2]enemies!$1:$1,0)+1,FALSE)</f>
        <v>yellow</v>
      </c>
      <c r="O540" s="21" t="str">
        <f ca="1">VLOOKUP($L540,OFFSET([3]characters!$A$1,0,0,COUNTA([3]characters!$A:$A),MATCH(O$1,[3]characters!$1:$1,0)-MATCH($L$1,[3]characters!$1:$1,0)+1),MATCH(O$1,[3]characters!$1:$1,0)-MATCH($L$1,[3]characters!$1:$1,0)+1,FALSE)</f>
        <v>Drop1S</v>
      </c>
      <c r="P540" s="21" t="str">
        <f ca="1">VLOOKUP($L540,OFFSET([2]enemies!$A$1,0,0,COUNTA([2]enemies!$A:$A),MATCH(P$1,[2]enemies!$1:$1,0)-MATCH($L$1,[2]enemies!$1:$1,0)+1),MATCH(P$1,[2]enemies!$1:$1,0)-MATCH($L$1,[2]enemies!$1:$1,0)+1,FALSE)</f>
        <v>human</v>
      </c>
      <c r="Q540" s="21">
        <f ca="1">VLOOKUP($L540,OFFSET([2]enemies!$A$1,0,0,COUNTA([2]enemies!$A:$A),MATCH(Q$1,[2]enemies!$1:$1,0)-MATCH($L$1,[2]enemies!$1:$1,0)+1),MATCH(Q$1,[2]enemies!$1:$1,0)-MATCH($L$1,[2]enemies!$1:$1,0)+1,FALSE)</f>
        <v>15</v>
      </c>
      <c r="R540" s="53">
        <v>48</v>
      </c>
      <c r="S540" s="27">
        <v>1.1000000000000001</v>
      </c>
      <c r="T540" s="27">
        <v>1</v>
      </c>
      <c r="U540" s="5">
        <v>0</v>
      </c>
      <c r="V540" s="4" t="str">
        <f ca="1">VLOOKUP($W540,OFFSET([4]enemy_skill_sets!$B$1,0,0,COUNTA([4]enemy_skill_sets!$B:$B),MATCH(M$1,[4]enemy_skill_sets!$1:$1,0)-MATCH($W$1,[4]enemy_skill_sets!$1:$1,0)+2),MATCH(M$1,[4]enemy_skill_sets!$1:$1,0)-MATCH($W$1,[4]enemy_skill_sets!$1:$1,0)+2,FALSE)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540" s="4">
        <f ca="1">VLOOKUP($L540,OFFSET([2]enemies!$A$1,0,0,COUNTA([2]enemies!$A:$A),MATCH(W$1,[2]enemies!$1:$1,0)-MATCH($L$1,[2]enemies!$1:$1,0)+1),MATCH(W$1,[2]enemies!$1:$1,0)-MATCH($L$1,[2]enemies!$1:$1,0)+1,FALSE)</f>
        <v>39</v>
      </c>
      <c r="X540" s="6">
        <v>0</v>
      </c>
      <c r="Y540" s="6">
        <v>100</v>
      </c>
      <c r="Z540" s="6">
        <v>0</v>
      </c>
      <c r="AA540" s="4">
        <f ca="1">VLOOKUP($L540,OFFSET([2]enemies!$A$1,0,0,COUNTA([2]enemies!$A:$A),MATCH(AA$1,[2]enemies!$1:$1,0)-MATCH($L$1,[2]enemies!$1:$1,0)+1),MATCH(AA$1,[2]enemies!$1:$1,0)-MATCH($L$1,[2]enemies!$1:$1,0)+1,FALSE)</f>
        <v>3</v>
      </c>
      <c r="AB540" s="52">
        <v>39</v>
      </c>
      <c r="AC540" s="4" t="str">
        <f ca="1">VLOOKUP($AB540,OFFSET([3]characters!$A$1,0,0,COUNTA([3]characters!$A:$A),MATCH(AC$1,[3]characters!$1:$1,0)-MATCH("character_id",[3]characters!$1:$1,0)+1),MATCH(AC$1,[3]characters!$1:$1,0)-MATCH("character_id",[3]characters!$1:$1,0)+1,FALSE)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540" s="4">
        <f ca="1">VLOOKUP($AB540,OFFSET([3]characters!$A$1,0,0,COUNTA([3]characters!$A:$A),MATCH(AD$1,[3]characters!$1:$1,0)-MATCH("character_id",[3]characters!$1:$1,0)+1),MATCH(AD$1,[3]characters!$1:$1,0)-MATCH("character_id",[3]characters!$1:$1,0)+1,FALSE)</f>
        <v>2</v>
      </c>
      <c r="AE540" s="4" t="str">
        <f ca="1">VLOOKUP($AB540,OFFSET([3]characters!$A$1,0,0,COUNTA([3]characters!$A:$A),MATCH(AE$1,[3]characters!$1:$1,0)-MATCH("character_id",[3]characters!$1:$1,0)+1),MATCH(AE$1,[3]characters!$1:$1,0)-MATCH("character_id",[3]characters!$1:$1,0)+1,FALSE)</f>
        <v>Drop1S</v>
      </c>
      <c r="AF540" s="7">
        <v>5</v>
      </c>
      <c r="AG540" s="26">
        <f t="shared" ca="1" si="575"/>
        <v>2</v>
      </c>
      <c r="AH540" s="8">
        <v>20</v>
      </c>
      <c r="AI540" s="7">
        <v>0</v>
      </c>
      <c r="AJ540" s="7">
        <v>0</v>
      </c>
      <c r="AK540" s="7">
        <v>0</v>
      </c>
      <c r="AL540" s="7">
        <v>0</v>
      </c>
      <c r="AM540" s="7">
        <v>1</v>
      </c>
    </row>
    <row r="541" spans="1:39" ht="14" x14ac:dyDescent="0.15">
      <c r="A541" s="18" t="str">
        <f t="shared" ca="1" si="560"/>
        <v>25_2-4/53&lt;lv48&gt;s2</v>
      </c>
      <c r="B541" s="50">
        <v>25</v>
      </c>
      <c r="C541" s="49">
        <v>2</v>
      </c>
      <c r="D541" s="2" t="str">
        <f t="shared" si="588"/>
        <v>25_2</v>
      </c>
      <c r="E541" s="2" t="str">
        <f t="shared" si="588"/>
        <v>2_25_2</v>
      </c>
      <c r="F541" s="4" t="str">
        <f ca="1">VLOOKUP($D541,OFFSET([1]stages!$A$1,0,0,COUNTA([1]stages!$A:$A),MATCH(F$1,[1]stages!$2:$2,0)-MATCH($D$1,[1]stages!$2:$2,0)+1),MATCH(F$1,[1]stages!$2:$2,0)-MATCH($D$1,[1]stages!$2:$2,0)+1,FALSE)</f>
        <v>25-2．剣の舞</v>
      </c>
      <c r="G541" s="56">
        <v>4</v>
      </c>
      <c r="H541" s="17" t="str">
        <f t="shared" si="589"/>
        <v>25_2-4</v>
      </c>
      <c r="I541" s="17"/>
      <c r="J541" s="17"/>
      <c r="K541" s="65" t="s">
        <v>56</v>
      </c>
      <c r="L541" s="52">
        <v>53</v>
      </c>
      <c r="M541" s="21" t="str">
        <f ca="1">VLOOKUP($L541,OFFSET([2]enemies!$A$1,0,0,COUNTA([2]enemies!$A:$A),MATCH(M$1,[2]enemies!$1:$1,0)-MATCH($L$1,[2]enemies!$1:$1,0)+1),MATCH(M$1,[2]enemies!$1:$1,0)-MATCH($L$1,[2]enemies!$1:$1,0)+1,FALSE)</f>
        <v>ケンジ</v>
      </c>
      <c r="N541" s="21" t="str">
        <f ca="1">VLOOKUP($L541,OFFSET([2]enemies!$A$1,0,0,COUNTA([2]enemies!$A:$A),MATCH(N$1,[2]enemies!$1:$1,0)-MATCH($L$1,[2]enemies!$1:$1,0)+1),MATCH(N$1,[2]enemies!$1:$1,0)-MATCH($L$1,[2]enemies!$1:$1,0)+1,FALSE)</f>
        <v>blue</v>
      </c>
      <c r="O541" s="21" t="str">
        <f ca="1">VLOOKUP($L541,OFFSET([3]characters!$A$1,0,0,COUNTA([3]characters!$A:$A),MATCH(O$1,[3]characters!$1:$1,0)-MATCH($L$1,[3]characters!$1:$1,0)+1),MATCH(O$1,[3]characters!$1:$1,0)-MATCH($L$1,[3]characters!$1:$1,0)+1,FALSE)</f>
        <v>Drop1N</v>
      </c>
      <c r="P541" s="21" t="str">
        <f ca="1">VLOOKUP($L541,OFFSET([2]enemies!$A$1,0,0,COUNTA([2]enemies!$A:$A),MATCH(P$1,[2]enemies!$1:$1,0)-MATCH($L$1,[2]enemies!$1:$1,0)+1),MATCH(P$1,[2]enemies!$1:$1,0)-MATCH($L$1,[2]enemies!$1:$1,0)+1,FALSE)</f>
        <v>human</v>
      </c>
      <c r="Q541" s="21">
        <f ca="1">VLOOKUP($L541,OFFSET([2]enemies!$A$1,0,0,COUNTA([2]enemies!$A:$A),MATCH(Q$1,[2]enemies!$1:$1,0)-MATCH($L$1,[2]enemies!$1:$1,0)+1),MATCH(Q$1,[2]enemies!$1:$1,0)-MATCH($L$1,[2]enemies!$1:$1,0)+1,FALSE)</f>
        <v>15</v>
      </c>
      <c r="R541" s="53">
        <v>48</v>
      </c>
      <c r="S541" s="27">
        <v>1.1000000000000001</v>
      </c>
      <c r="T541" s="27">
        <v>1</v>
      </c>
      <c r="U541" s="5">
        <v>0</v>
      </c>
      <c r="V541" s="4" t="str">
        <f ca="1">VLOOKUP($W541,OFFSET([4]enemy_skill_sets!$B$1,0,0,COUNTA([4]enemy_skill_sets!$B:$B),MATCH(M$1,[4]enemy_skill_sets!$1:$1,0)-MATCH($W$1,[4]enemy_skill_sets!$1:$1,0)+2),MATCH(M$1,[4]enemy_skill_sets!$1:$1,0)-MATCH($W$1,[4]enemy_skill_sets!$1:$1,0)+2,FALSE)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541" s="4">
        <f ca="1">VLOOKUP($L541,OFFSET([2]enemies!$A$1,0,0,COUNTA([2]enemies!$A:$A),MATCH(W$1,[2]enemies!$1:$1,0)-MATCH($L$1,[2]enemies!$1:$1,0)+1),MATCH(W$1,[2]enemies!$1:$1,0)-MATCH($L$1,[2]enemies!$1:$1,0)+1,FALSE)</f>
        <v>53</v>
      </c>
      <c r="X541" s="6">
        <v>0</v>
      </c>
      <c r="Y541" s="6">
        <v>100</v>
      </c>
      <c r="Z541" s="6">
        <v>0</v>
      </c>
      <c r="AA541" s="4">
        <f ca="1">VLOOKUP($L541,OFFSET([2]enemies!$A$1,0,0,COUNTA([2]enemies!$A:$A),MATCH(AA$1,[2]enemies!$1:$1,0)-MATCH($L$1,[2]enemies!$1:$1,0)+1),MATCH(AA$1,[2]enemies!$1:$1,0)-MATCH($L$1,[2]enemies!$1:$1,0)+1,FALSE)</f>
        <v>2</v>
      </c>
      <c r="AB541" s="52">
        <v>53</v>
      </c>
      <c r="AC541" s="4" t="str">
        <f ca="1">VLOOKUP($AB541,OFFSET([3]characters!$A$1,0,0,COUNTA([3]characters!$A:$A),MATCH(AC$1,[3]characters!$1:$1,0)-MATCH("character_id",[3]characters!$1:$1,0)+1),MATCH(AC$1,[3]characters!$1:$1,0)-MATCH("character_id",[3]characters!$1:$1,0)+1,FALSE)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541" s="4">
        <f ca="1">VLOOKUP($AB541,OFFSET([3]characters!$A$1,0,0,COUNTA([3]characters!$A:$A),MATCH(AD$1,[3]characters!$1:$1,0)-MATCH("character_id",[3]characters!$1:$1,0)+1),MATCH(AD$1,[3]characters!$1:$1,0)-MATCH("character_id",[3]characters!$1:$1,0)+1,FALSE)</f>
        <v>2</v>
      </c>
      <c r="AE541" s="4" t="str">
        <f ca="1">VLOOKUP($AB541,OFFSET([3]characters!$A$1,0,0,COUNTA([3]characters!$A:$A),MATCH(AE$1,[3]characters!$1:$1,0)-MATCH("character_id",[3]characters!$1:$1,0)+1),MATCH(AE$1,[3]characters!$1:$1,0)-MATCH("character_id",[3]characters!$1:$1,0)+1,FALSE)</f>
        <v>Drop1N</v>
      </c>
      <c r="AF541" s="7">
        <v>7</v>
      </c>
      <c r="AG541" s="26">
        <f t="shared" ca="1" si="575"/>
        <v>2</v>
      </c>
      <c r="AH541" s="8">
        <v>20</v>
      </c>
      <c r="AI541" s="7">
        <v>0</v>
      </c>
      <c r="AJ541" s="7">
        <v>0</v>
      </c>
      <c r="AK541" s="7">
        <v>0</v>
      </c>
      <c r="AL541" s="7">
        <v>0</v>
      </c>
      <c r="AM541" s="7">
        <v>1</v>
      </c>
    </row>
    <row r="542" spans="1:39" ht="14" x14ac:dyDescent="0.15">
      <c r="A542" s="18" t="str">
        <f t="shared" ca="1" si="560"/>
        <v>25_2-4/55&lt;lv48&gt;s4</v>
      </c>
      <c r="B542" s="50">
        <v>25</v>
      </c>
      <c r="C542" s="49">
        <v>2</v>
      </c>
      <c r="D542" s="2" t="str">
        <f t="shared" si="588"/>
        <v>25_2</v>
      </c>
      <c r="E542" s="2" t="str">
        <f t="shared" si="588"/>
        <v>2_25_2</v>
      </c>
      <c r="F542" s="4" t="str">
        <f ca="1">VLOOKUP($D542,OFFSET([1]stages!$A$1,0,0,COUNTA([1]stages!$A:$A),MATCH(F$1,[1]stages!$2:$2,0)-MATCH($D$1,[1]stages!$2:$2,0)+1),MATCH(F$1,[1]stages!$2:$2,0)-MATCH($D$1,[1]stages!$2:$2,0)+1,FALSE)</f>
        <v>25-2．剣の舞</v>
      </c>
      <c r="G542" s="56">
        <v>4</v>
      </c>
      <c r="H542" s="17" t="str">
        <f t="shared" si="589"/>
        <v>25_2-4</v>
      </c>
      <c r="I542" s="17"/>
      <c r="J542" s="17"/>
      <c r="K542" s="65" t="s">
        <v>56</v>
      </c>
      <c r="L542" s="52">
        <v>55</v>
      </c>
      <c r="M542" s="21" t="str">
        <f ca="1">VLOOKUP($L542,OFFSET([2]enemies!$A$1,0,0,COUNTA([2]enemies!$A:$A),MATCH(M$1,[2]enemies!$1:$1,0)-MATCH($L$1,[2]enemies!$1:$1,0)+1),MATCH(M$1,[2]enemies!$1:$1,0)-MATCH($L$1,[2]enemies!$1:$1,0)+1,FALSE)</f>
        <v>マミコ</v>
      </c>
      <c r="N542" s="21" t="str">
        <f ca="1">VLOOKUP($L542,OFFSET([2]enemies!$A$1,0,0,COUNTA([2]enemies!$A:$A),MATCH(N$1,[2]enemies!$1:$1,0)-MATCH($L$1,[2]enemies!$1:$1,0)+1),MATCH(N$1,[2]enemies!$1:$1,0)-MATCH($L$1,[2]enemies!$1:$1,0)+1,FALSE)</f>
        <v>yellow</v>
      </c>
      <c r="O542" s="21" t="str">
        <f ca="1">VLOOKUP($L542,OFFSET([3]characters!$A$1,0,0,COUNTA([3]characters!$A:$A),MATCH(O$1,[3]characters!$1:$1,0)-MATCH($L$1,[3]characters!$1:$1,0)+1),MATCH(O$1,[3]characters!$1:$1,0)-MATCH($L$1,[3]characters!$1:$1,0)+1,FALSE)</f>
        <v>Drop1N</v>
      </c>
      <c r="P542" s="21" t="str">
        <f ca="1">VLOOKUP($L542,OFFSET([2]enemies!$A$1,0,0,COUNTA([2]enemies!$A:$A),MATCH(P$1,[2]enemies!$1:$1,0)-MATCH($L$1,[2]enemies!$1:$1,0)+1),MATCH(P$1,[2]enemies!$1:$1,0)-MATCH($L$1,[2]enemies!$1:$1,0)+1,FALSE)</f>
        <v>human</v>
      </c>
      <c r="Q542" s="21">
        <f ca="1">VLOOKUP($L542,OFFSET([2]enemies!$A$1,0,0,COUNTA([2]enemies!$A:$A),MATCH(Q$1,[2]enemies!$1:$1,0)-MATCH($L$1,[2]enemies!$1:$1,0)+1),MATCH(Q$1,[2]enemies!$1:$1,0)-MATCH($L$1,[2]enemies!$1:$1,0)+1,FALSE)</f>
        <v>15</v>
      </c>
      <c r="R542" s="53">
        <v>48</v>
      </c>
      <c r="S542" s="27">
        <v>1.1000000000000001</v>
      </c>
      <c r="T542" s="27">
        <v>1</v>
      </c>
      <c r="U542" s="5">
        <v>0</v>
      </c>
      <c r="V542" s="4" t="str">
        <f ca="1">VLOOKUP($W542,OFFSET([4]enemy_skill_sets!$B$1,0,0,COUNTA([4]enemy_skill_sets!$B:$B),MATCH(M$1,[4]enemy_skill_sets!$1:$1,0)-MATCH($W$1,[4]enemy_skill_sets!$1:$1,0)+2),MATCH(M$1,[4]enemy_skill_sets!$1:$1,0)-MATCH($W$1,[4]enemy_skill_sets!$1:$1,0)+2,FALSE)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542" s="4">
        <f ca="1">VLOOKUP($L542,OFFSET([2]enemies!$A$1,0,0,COUNTA([2]enemies!$A:$A),MATCH(W$1,[2]enemies!$1:$1,0)-MATCH($L$1,[2]enemies!$1:$1,0)+1),MATCH(W$1,[2]enemies!$1:$1,0)-MATCH($L$1,[2]enemies!$1:$1,0)+1,FALSE)</f>
        <v>55</v>
      </c>
      <c r="X542" s="6">
        <v>0</v>
      </c>
      <c r="Y542" s="6">
        <v>100</v>
      </c>
      <c r="Z542" s="6">
        <v>0</v>
      </c>
      <c r="AA542" s="4">
        <f ca="1">VLOOKUP($L542,OFFSET([2]enemies!$A$1,0,0,COUNTA([2]enemies!$A:$A),MATCH(AA$1,[2]enemies!$1:$1,0)-MATCH($L$1,[2]enemies!$1:$1,0)+1),MATCH(AA$1,[2]enemies!$1:$1,0)-MATCH($L$1,[2]enemies!$1:$1,0)+1,FALSE)</f>
        <v>4</v>
      </c>
      <c r="AB542" s="52">
        <v>55</v>
      </c>
      <c r="AC542" s="4" t="str">
        <f ca="1">VLOOKUP($AB542,OFFSET([3]characters!$A$1,0,0,COUNTA([3]characters!$A:$A),MATCH(AC$1,[3]characters!$1:$1,0)-MATCH("character_id",[3]characters!$1:$1,0)+1),MATCH(AC$1,[3]characters!$1:$1,0)-MATCH("character_id",[3]characters!$1:$1,0)+1,FALSE)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542" s="4">
        <f ca="1">VLOOKUP($AB542,OFFSET([3]characters!$A$1,0,0,COUNTA([3]characters!$A:$A),MATCH(AD$1,[3]characters!$1:$1,0)-MATCH("character_id",[3]characters!$1:$1,0)+1),MATCH(AD$1,[3]characters!$1:$1,0)-MATCH("character_id",[3]characters!$1:$1,0)+1,FALSE)</f>
        <v>2</v>
      </c>
      <c r="AE542" s="4" t="str">
        <f ca="1">VLOOKUP($AB542,OFFSET([3]characters!$A$1,0,0,COUNTA([3]characters!$A:$A),MATCH(AE$1,[3]characters!$1:$1,0)-MATCH("character_id",[3]characters!$1:$1,0)+1),MATCH(AE$1,[3]characters!$1:$1,0)-MATCH("character_id",[3]characters!$1:$1,0)+1,FALSE)</f>
        <v>Drop1N</v>
      </c>
      <c r="AF542" s="7">
        <v>7</v>
      </c>
      <c r="AG542" s="26">
        <f t="shared" ca="1" si="575"/>
        <v>2</v>
      </c>
      <c r="AH542" s="8">
        <v>20</v>
      </c>
      <c r="AI542" s="7">
        <v>0</v>
      </c>
      <c r="AJ542" s="7">
        <v>0</v>
      </c>
      <c r="AK542" s="7">
        <v>0</v>
      </c>
      <c r="AL542" s="7">
        <v>0</v>
      </c>
      <c r="AM542" s="7">
        <v>1</v>
      </c>
    </row>
    <row r="543" spans="1:39" ht="14" x14ac:dyDescent="0.15">
      <c r="A543" s="18" t="str">
        <f t="shared" ca="1" si="560"/>
        <v>25_2-4/364&lt;lv48&gt;s3</v>
      </c>
      <c r="B543" s="53">
        <v>25</v>
      </c>
      <c r="C543" s="51">
        <v>2</v>
      </c>
      <c r="D543" s="2" t="str">
        <f t="shared" ref="D543:D544" si="590">B543&amp;"_"&amp;C543</f>
        <v>25_2</v>
      </c>
      <c r="E543" s="2" t="str">
        <f t="shared" ref="E543:E544" si="591">C543&amp;"_"&amp;D543</f>
        <v>2_25_2</v>
      </c>
      <c r="F543" s="4" t="str">
        <f ca="1">VLOOKUP($D543,OFFSET([1]stages!$A$1,0,0,COUNTA([1]stages!$A:$A),MATCH(F$1,[1]stages!$2:$2,0)-MATCH($D$1,[1]stages!$2:$2,0)+1),MATCH(F$1,[1]stages!$2:$2,0)-MATCH($D$1,[1]stages!$2:$2,0)+1,FALSE)</f>
        <v>25-2．剣の舞</v>
      </c>
      <c r="G543" s="56">
        <v>4</v>
      </c>
      <c r="H543" s="17" t="str">
        <f t="shared" ref="H543:H544" si="592">B543&amp;"_"&amp;C543&amp;"-"&amp;G543</f>
        <v>25_2-4</v>
      </c>
      <c r="I543" s="17"/>
      <c r="J543" s="17"/>
      <c r="K543" s="65" t="s">
        <v>56</v>
      </c>
      <c r="L543" s="52">
        <v>364</v>
      </c>
      <c r="M543" s="21" t="str">
        <f ca="1">VLOOKUP($L543,OFFSET([2]enemies!$A$1,0,0,COUNTA([2]enemies!$A:$A),MATCH(M$1,[2]enemies!$1:$1,0)-MATCH($L$1,[2]enemies!$1:$1,0)+1),MATCH(M$1,[2]enemies!$1:$1,0)-MATCH($L$1,[2]enemies!$1:$1,0)+1,FALSE)</f>
        <v>ノエル</v>
      </c>
      <c r="N543" s="21" t="str">
        <f ca="1">VLOOKUP($L543,OFFSET([2]enemies!$A$1,0,0,COUNTA([2]enemies!$A:$A),MATCH(N$1,[2]enemies!$1:$1,0)-MATCH($L$1,[2]enemies!$1:$1,0)+1),MATCH(N$1,[2]enemies!$1:$1,0)-MATCH($L$1,[2]enemies!$1:$1,0)+1,FALSE)</f>
        <v>blue</v>
      </c>
      <c r="O543" s="21" t="str">
        <f ca="1">VLOOKUP($L543,OFFSET([3]characters!$A$1,0,0,COUNTA([3]characters!$A:$A),MATCH(O$1,[3]characters!$1:$1,0)-MATCH($L$1,[3]characters!$1:$1,0)+1),MATCH(O$1,[3]characters!$1:$1,0)-MATCH($L$1,[3]characters!$1:$1,0)+1,FALSE)</f>
        <v>Drop1S</v>
      </c>
      <c r="P543" s="21" t="str">
        <f ca="1">VLOOKUP($L543,OFFSET([2]enemies!$A$1,0,0,COUNTA([2]enemies!$A:$A),MATCH(P$1,[2]enemies!$1:$1,0)-MATCH($L$1,[2]enemies!$1:$1,0)+1),MATCH(P$1,[2]enemies!$1:$1,0)-MATCH($L$1,[2]enemies!$1:$1,0)+1,FALSE)</f>
        <v>animal</v>
      </c>
      <c r="Q543" s="21">
        <f ca="1">VLOOKUP($L543,OFFSET([2]enemies!$A$1,0,0,COUNTA([2]enemies!$A:$A),MATCH(Q$1,[2]enemies!$1:$1,0)-MATCH($L$1,[2]enemies!$1:$1,0)+1),MATCH(Q$1,[2]enemies!$1:$1,0)-MATCH($L$1,[2]enemies!$1:$1,0)+1,FALSE)</f>
        <v>15</v>
      </c>
      <c r="R543" s="53">
        <v>48</v>
      </c>
      <c r="S543" s="27">
        <v>1.1000000000000001</v>
      </c>
      <c r="T543" s="27">
        <v>1</v>
      </c>
      <c r="U543" s="5">
        <v>0</v>
      </c>
      <c r="V543" s="4" t="str">
        <f ca="1">VLOOKUP($W543,OFFSET([4]enemy_skill_sets!$B$1,0,0,COUNTA([4]enemy_skill_sets!$B:$B),MATCH(M$1,[4]enemy_skill_sets!$1:$1,0)-MATCH($W$1,[4]enemy_skill_sets!$1:$1,0)+2),MATCH(M$1,[4]enemy_skill_sets!$1:$1,0)-MATCH($W$1,[4]enemy_skill_sets!$1:$1,0)+2,FALSE)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43" s="64">
        <v>364</v>
      </c>
      <c r="X543" s="6">
        <v>0</v>
      </c>
      <c r="Y543" s="6">
        <v>100</v>
      </c>
      <c r="Z543" s="6">
        <v>0</v>
      </c>
      <c r="AA543" s="4">
        <f ca="1">VLOOKUP($L543,OFFSET([2]enemies!$A$1,0,0,COUNTA([2]enemies!$A:$A),MATCH(AA$1,[2]enemies!$1:$1,0)-MATCH($L$1,[2]enemies!$1:$1,0)+1),MATCH(AA$1,[2]enemies!$1:$1,0)-MATCH($L$1,[2]enemies!$1:$1,0)+1,FALSE)</f>
        <v>3</v>
      </c>
      <c r="AB543" s="52">
        <v>364</v>
      </c>
      <c r="AC543" s="4" t="str">
        <f ca="1">VLOOKUP($AB543,OFFSET([3]characters!$A$1,0,0,COUNTA([3]characters!$A:$A),MATCH(AC$1,[3]characters!$1:$1,0)-MATCH("character_id",[3]characters!$1:$1,0)+1),MATCH(AC$1,[3]characters!$1:$1,0)-MATCH("character_id",[3]characters!$1:$1,0)+1,FALSE)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43" s="4">
        <f ca="1">VLOOKUP($AB543,OFFSET([3]characters!$A$1,0,0,COUNTA([3]characters!$A:$A),MATCH(AD$1,[3]characters!$1:$1,0)-MATCH("character_id",[3]characters!$1:$1,0)+1),MATCH(AD$1,[3]characters!$1:$1,0)-MATCH("character_id",[3]characters!$1:$1,0)+1,FALSE)</f>
        <v>2</v>
      </c>
      <c r="AE543" s="4" t="str">
        <f ca="1">VLOOKUP($AB543,OFFSET([3]characters!$A$1,0,0,COUNTA([3]characters!$A:$A),MATCH(AE$1,[3]characters!$1:$1,0)-MATCH("character_id",[3]characters!$1:$1,0)+1),MATCH(AE$1,[3]characters!$1:$1,0)-MATCH("character_id",[3]characters!$1:$1,0)+1,FALSE)</f>
        <v>Drop1S</v>
      </c>
      <c r="AF543" s="7">
        <v>7</v>
      </c>
      <c r="AG543" s="26">
        <f t="shared" ca="1" si="575"/>
        <v>2</v>
      </c>
      <c r="AH543" s="8">
        <v>20</v>
      </c>
      <c r="AI543" s="7">
        <v>0</v>
      </c>
      <c r="AJ543" s="7">
        <v>0</v>
      </c>
      <c r="AK543" s="7">
        <v>0</v>
      </c>
      <c r="AL543" s="7">
        <v>0</v>
      </c>
      <c r="AM543" s="7">
        <v>1</v>
      </c>
    </row>
    <row r="544" spans="1:39" ht="14" x14ac:dyDescent="0.15">
      <c r="A544" s="18" t="str">
        <f t="shared" ca="1" si="560"/>
        <v>25_2-4/366&lt;lv48&gt;s3</v>
      </c>
      <c r="B544" s="53">
        <v>25</v>
      </c>
      <c r="C544" s="51">
        <v>2</v>
      </c>
      <c r="D544" s="2" t="str">
        <f t="shared" si="590"/>
        <v>25_2</v>
      </c>
      <c r="E544" s="2" t="str">
        <f t="shared" si="591"/>
        <v>2_25_2</v>
      </c>
      <c r="F544" s="4" t="str">
        <f ca="1">VLOOKUP($D544,OFFSET([1]stages!$A$1,0,0,COUNTA([1]stages!$A:$A),MATCH(F$1,[1]stages!$2:$2,0)-MATCH($D$1,[1]stages!$2:$2,0)+1),MATCH(F$1,[1]stages!$2:$2,0)-MATCH($D$1,[1]stages!$2:$2,0)+1,FALSE)</f>
        <v>25-2．剣の舞</v>
      </c>
      <c r="G544" s="56">
        <v>4</v>
      </c>
      <c r="H544" s="17" t="str">
        <f t="shared" si="592"/>
        <v>25_2-4</v>
      </c>
      <c r="I544" s="17"/>
      <c r="J544" s="17"/>
      <c r="K544" s="65" t="s">
        <v>56</v>
      </c>
      <c r="L544" s="52">
        <v>366</v>
      </c>
      <c r="M544" s="21" t="str">
        <f ca="1">VLOOKUP($L544,OFFSET([2]enemies!$A$1,0,0,COUNTA([2]enemies!$A:$A),MATCH(M$1,[2]enemies!$1:$1,0)-MATCH($L$1,[2]enemies!$1:$1,0)+1),MATCH(M$1,[2]enemies!$1:$1,0)-MATCH($L$1,[2]enemies!$1:$1,0)+1,FALSE)</f>
        <v>トト</v>
      </c>
      <c r="N544" s="21" t="str">
        <f ca="1">VLOOKUP($L544,OFFSET([2]enemies!$A$1,0,0,COUNTA([2]enemies!$A:$A),MATCH(N$1,[2]enemies!$1:$1,0)-MATCH($L$1,[2]enemies!$1:$1,0)+1),MATCH(N$1,[2]enemies!$1:$1,0)-MATCH($L$1,[2]enemies!$1:$1,0)+1,FALSE)</f>
        <v>yellow</v>
      </c>
      <c r="O544" s="21" t="str">
        <f ca="1">VLOOKUP($L544,OFFSET([3]characters!$A$1,0,0,COUNTA([3]characters!$A:$A),MATCH(O$1,[3]characters!$1:$1,0)-MATCH($L$1,[3]characters!$1:$1,0)+1),MATCH(O$1,[3]characters!$1:$1,0)-MATCH($L$1,[3]characters!$1:$1,0)+1,FALSE)</f>
        <v>Drop1S</v>
      </c>
      <c r="P544" s="21" t="str">
        <f ca="1">VLOOKUP($L544,OFFSET([2]enemies!$A$1,0,0,COUNTA([2]enemies!$A:$A),MATCH(P$1,[2]enemies!$1:$1,0)-MATCH($L$1,[2]enemies!$1:$1,0)+1),MATCH(P$1,[2]enemies!$1:$1,0)-MATCH($L$1,[2]enemies!$1:$1,0)+1,FALSE)</f>
        <v>animal</v>
      </c>
      <c r="Q544" s="21">
        <f ca="1">VLOOKUP($L544,OFFSET([2]enemies!$A$1,0,0,COUNTA([2]enemies!$A:$A),MATCH(Q$1,[2]enemies!$1:$1,0)-MATCH($L$1,[2]enemies!$1:$1,0)+1),MATCH(Q$1,[2]enemies!$1:$1,0)-MATCH($L$1,[2]enemies!$1:$1,0)+1,FALSE)</f>
        <v>15</v>
      </c>
      <c r="R544" s="53">
        <v>48</v>
      </c>
      <c r="S544" s="27">
        <v>1.1000000000000001</v>
      </c>
      <c r="T544" s="27">
        <v>1</v>
      </c>
      <c r="U544" s="5">
        <v>0</v>
      </c>
      <c r="V544" s="4" t="str">
        <f ca="1">VLOOKUP($W544,OFFSET([4]enemy_skill_sets!$B$1,0,0,COUNTA([4]enemy_skill_sets!$B:$B),MATCH(M$1,[4]enemy_skill_sets!$1:$1,0)-MATCH($W$1,[4]enemy_skill_sets!$1:$1,0)+2),MATCH(M$1,[4]enemy_skill_sets!$1:$1,0)-MATCH($W$1,[4]enemy_skill_sets!$1:$1,0)+2,FALSE)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544" s="64">
        <v>366</v>
      </c>
      <c r="X544" s="6">
        <v>0</v>
      </c>
      <c r="Y544" s="6">
        <v>100</v>
      </c>
      <c r="Z544" s="6">
        <v>0</v>
      </c>
      <c r="AA544" s="4">
        <f ca="1">VLOOKUP($L544,OFFSET([2]enemies!$A$1,0,0,COUNTA([2]enemies!$A:$A),MATCH(AA$1,[2]enemies!$1:$1,0)-MATCH($L$1,[2]enemies!$1:$1,0)+1),MATCH(AA$1,[2]enemies!$1:$1,0)-MATCH($L$1,[2]enemies!$1:$1,0)+1,FALSE)</f>
        <v>3</v>
      </c>
      <c r="AB544" s="52">
        <v>366</v>
      </c>
      <c r="AC544" s="4" t="str">
        <f ca="1">VLOOKUP($AB544,OFFSET([3]characters!$A$1,0,0,COUNTA([3]characters!$A:$A),MATCH(AC$1,[3]characters!$1:$1,0)-MATCH("character_id",[3]characters!$1:$1,0)+1),MATCH(AC$1,[3]characters!$1:$1,0)-MATCH("character_id",[3]characters!$1:$1,0)+1,FALSE)</f>
        <v>トト</v>
      </c>
      <c r="AD544" s="4">
        <f ca="1">VLOOKUP($AB544,OFFSET([3]characters!$A$1,0,0,COUNTA([3]characters!$A:$A),MATCH(AD$1,[3]characters!$1:$1,0)-MATCH("character_id",[3]characters!$1:$1,0)+1),MATCH(AD$1,[3]characters!$1:$1,0)-MATCH("character_id",[3]characters!$1:$1,0)+1,FALSE)</f>
        <v>2</v>
      </c>
      <c r="AE544" s="4" t="str">
        <f ca="1">VLOOKUP($AB544,OFFSET([3]characters!$A$1,0,0,COUNTA([3]characters!$A:$A),MATCH(AE$1,[3]characters!$1:$1,0)-MATCH("character_id",[3]characters!$1:$1,0)+1),MATCH(AE$1,[3]characters!$1:$1,0)-MATCH("character_id",[3]characters!$1:$1,0)+1,FALSE)</f>
        <v>Drop1S</v>
      </c>
      <c r="AF544" s="7">
        <v>7</v>
      </c>
      <c r="AG544" s="26">
        <f t="shared" ca="1" si="575"/>
        <v>2</v>
      </c>
      <c r="AH544" s="8">
        <v>20</v>
      </c>
      <c r="AI544" s="7">
        <v>0</v>
      </c>
      <c r="AJ544" s="7">
        <v>0</v>
      </c>
      <c r="AK544" s="7">
        <v>0</v>
      </c>
      <c r="AL544" s="7">
        <v>0</v>
      </c>
      <c r="AM544" s="7">
        <v>1</v>
      </c>
    </row>
    <row r="545" spans="1:39" ht="14" x14ac:dyDescent="0.15">
      <c r="A545" s="18" t="str">
        <f t="shared" ca="1" si="560"/>
        <v>25_2-4/352&lt;lv48&gt;s3</v>
      </c>
      <c r="B545" s="53">
        <v>25</v>
      </c>
      <c r="C545" s="51">
        <v>2</v>
      </c>
      <c r="D545" s="2" t="str">
        <f t="shared" ref="D545" si="593">B545&amp;"_"&amp;C545</f>
        <v>25_2</v>
      </c>
      <c r="E545" s="2" t="str">
        <f t="shared" ref="E545" si="594">C545&amp;"_"&amp;D545</f>
        <v>2_25_2</v>
      </c>
      <c r="F545" s="4" t="str">
        <f ca="1">VLOOKUP($D545,OFFSET([1]stages!$A$1,0,0,COUNTA([1]stages!$A:$A),MATCH(F$1,[1]stages!$2:$2,0)-MATCH($D$1,[1]stages!$2:$2,0)+1),MATCH(F$1,[1]stages!$2:$2,0)-MATCH($D$1,[1]stages!$2:$2,0)+1,FALSE)</f>
        <v>25-2．剣の舞</v>
      </c>
      <c r="G545" s="56">
        <v>4</v>
      </c>
      <c r="H545" s="17" t="str">
        <f t="shared" ref="H545" si="595">B545&amp;"_"&amp;C545&amp;"-"&amp;G545</f>
        <v>25_2-4</v>
      </c>
      <c r="I545" s="17"/>
      <c r="J545" s="17"/>
      <c r="K545" s="65" t="s">
        <v>56</v>
      </c>
      <c r="L545" s="52">
        <v>352</v>
      </c>
      <c r="M545" s="21" t="str">
        <f ca="1">VLOOKUP($L545,OFFSET([2]enemies!$A$1,0,0,COUNTA([2]enemies!$A:$A),MATCH(M$1,[2]enemies!$1:$1,0)-MATCH($L$1,[2]enemies!$1:$1,0)+1),MATCH(M$1,[2]enemies!$1:$1,0)-MATCH($L$1,[2]enemies!$1:$1,0)+1,FALSE)</f>
        <v>水のケロケロ</v>
      </c>
      <c r="N545" s="21" t="str">
        <f ca="1">VLOOKUP($L545,OFFSET([2]enemies!$A$1,0,0,COUNTA([2]enemies!$A:$A),MATCH(N$1,[2]enemies!$1:$1,0)-MATCH($L$1,[2]enemies!$1:$1,0)+1),MATCH(N$1,[2]enemies!$1:$1,0)-MATCH($L$1,[2]enemies!$1:$1,0)+1,FALSE)</f>
        <v>blue</v>
      </c>
      <c r="O545" s="21" t="str">
        <f ca="1">VLOOKUP($L545,OFFSET([3]characters!$A$1,0,0,COUNTA([3]characters!$A:$A),MATCH(O$1,[3]characters!$1:$1,0)-MATCH($L$1,[3]characters!$1:$1,0)+1),MATCH(O$1,[3]characters!$1:$1,0)-MATCH($L$1,[3]characters!$1:$1,0)+1,FALSE)</f>
        <v>Material</v>
      </c>
      <c r="P545" s="21" t="str">
        <f ca="1">VLOOKUP($L545,OFFSET([2]enemies!$A$1,0,0,COUNTA([2]enemies!$A:$A),MATCH(P$1,[2]enemies!$1:$1,0)-MATCH($L$1,[2]enemies!$1:$1,0)+1),MATCH(P$1,[2]enemies!$1:$1,0)-MATCH($L$1,[2]enemies!$1:$1,0)+1,FALSE)</f>
        <v>unknown</v>
      </c>
      <c r="Q545" s="21">
        <f ca="1">VLOOKUP($L545,OFFSET([2]enemies!$A$1,0,0,COUNTA([2]enemies!$A:$A),MATCH(Q$1,[2]enemies!$1:$1,0)-MATCH($L$1,[2]enemies!$1:$1,0)+1),MATCH(Q$1,[2]enemies!$1:$1,0)-MATCH($L$1,[2]enemies!$1:$1,0)+1,FALSE)</f>
        <v>15</v>
      </c>
      <c r="R545" s="53">
        <v>48</v>
      </c>
      <c r="S545" s="27">
        <v>1</v>
      </c>
      <c r="T545" s="27">
        <v>1</v>
      </c>
      <c r="U545" s="5">
        <v>0</v>
      </c>
      <c r="V545" s="4" t="str">
        <f ca="1">VLOOKUP($W545,OFFSET([4]enemy_skill_sets!$B$1,0,0,COUNTA([4]enemy_skill_sets!$B:$B),MATCH(M$1,[4]enemy_skill_sets!$1:$1,0)-MATCH($W$1,[4]enemy_skill_sets!$1:$1,0)+2),MATCH(M$1,[4]enemy_skill_sets!$1:$1,0)-MATCH($W$1,[4]enemy_skill_sets!$1:$1,0)+2,FALSE)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45" s="64">
        <v>352</v>
      </c>
      <c r="X545" s="6">
        <v>1</v>
      </c>
      <c r="Y545" s="6">
        <v>100</v>
      </c>
      <c r="Z545" s="6">
        <v>0</v>
      </c>
      <c r="AA545" s="4">
        <f ca="1">VLOOKUP($L545,OFFSET([2]enemies!$A$1,0,0,COUNTA([2]enemies!$A:$A),MATCH(AA$1,[2]enemies!$1:$1,0)-MATCH($L$1,[2]enemies!$1:$1,0)+1),MATCH(AA$1,[2]enemies!$1:$1,0)-MATCH($L$1,[2]enemies!$1:$1,0)+1,FALSE)</f>
        <v>3</v>
      </c>
      <c r="AB545" s="52">
        <v>352</v>
      </c>
      <c r="AC545" s="4" t="str">
        <f ca="1">VLOOKUP($AB545,OFFSET([3]characters!$A$1,0,0,COUNTA([3]characters!$A:$A),MATCH(AC$1,[3]characters!$1:$1,0)-MATCH("character_id",[3]characters!$1:$1,0)+1),MATCH(AC$1,[3]characters!$1:$1,0)-MATCH("character_id",[3]characters!$1:$1,0)+1,FALSE)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45" s="4">
        <f ca="1">VLOOKUP($AB545,OFFSET([3]characters!$A$1,0,0,COUNTA([3]characters!$A:$A),MATCH(AD$1,[3]characters!$1:$1,0)-MATCH("character_id",[3]characters!$1:$1,0)+1),MATCH(AD$1,[3]characters!$1:$1,0)-MATCH("character_id",[3]characters!$1:$1,0)+1,FALSE)</f>
        <v>2</v>
      </c>
      <c r="AE545" s="4" t="str">
        <f ca="1">VLOOKUP($AB545,OFFSET([3]characters!$A$1,0,0,COUNTA([3]characters!$A:$A),MATCH(AE$1,[3]characters!$1:$1,0)-MATCH("character_id",[3]characters!$1:$1,0)+1),MATCH(AE$1,[3]characters!$1:$1,0)-MATCH("character_id",[3]characters!$1:$1,0)+1,FALSE)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45" s="7">
        <v>10</v>
      </c>
      <c r="AG545" s="26">
        <f t="shared" ca="1" si="575"/>
        <v>2</v>
      </c>
      <c r="AH545" s="8">
        <v>100</v>
      </c>
      <c r="AI545" s="7">
        <v>0</v>
      </c>
      <c r="AJ545" s="7">
        <v>0</v>
      </c>
      <c r="AK545" s="7">
        <v>0</v>
      </c>
      <c r="AL545" s="7">
        <v>0</v>
      </c>
      <c r="AM545" s="7">
        <v>1</v>
      </c>
    </row>
    <row r="546" spans="1:39" ht="14" x14ac:dyDescent="0.15">
      <c r="A546" s="18" t="str">
        <f t="shared" ca="1" si="560"/>
        <v>25_2-5/133&lt;lv53&gt;s3</v>
      </c>
      <c r="B546" s="50">
        <v>25</v>
      </c>
      <c r="C546" s="49">
        <v>2</v>
      </c>
      <c r="D546" s="2" t="str">
        <f t="shared" si="588"/>
        <v>25_2</v>
      </c>
      <c r="E546" s="2" t="str">
        <f t="shared" si="588"/>
        <v>2_25_2</v>
      </c>
      <c r="F546" s="4" t="str">
        <f ca="1">VLOOKUP($D546,OFFSET([1]stages!$A$1,0,0,COUNTA([1]stages!$A:$A),MATCH(F$1,[1]stages!$2:$2,0)-MATCH($D$1,[1]stages!$2:$2,0)+1),MATCH(F$1,[1]stages!$2:$2,0)-MATCH($D$1,[1]stages!$2:$2,0)+1,FALSE)</f>
        <v>25-2．剣の舞</v>
      </c>
      <c r="G546" s="57">
        <v>5</v>
      </c>
      <c r="H546" s="17" t="str">
        <f t="shared" si="589"/>
        <v>25_2-5</v>
      </c>
      <c r="I546" s="17"/>
      <c r="J546" s="17"/>
      <c r="K546" s="65" t="s">
        <v>56</v>
      </c>
      <c r="L546" s="52">
        <v>133</v>
      </c>
      <c r="M546" s="21" t="str">
        <f ca="1">VLOOKUP($L546,OFFSET([2]enemies!$A$1,0,0,COUNTA([2]enemies!$A:$A),MATCH(M$1,[2]enemies!$1:$1,0)-MATCH($L$1,[2]enemies!$1:$1,0)+1),MATCH(M$1,[2]enemies!$1:$1,0)-MATCH($L$1,[2]enemies!$1:$1,0)+1,FALSE)</f>
        <v>迅雷の刀剣 ハヤト</v>
      </c>
      <c r="N546" s="21" t="str">
        <f ca="1">VLOOKUP($L546,OFFSET([2]enemies!$A$1,0,0,COUNTA([2]enemies!$A:$A),MATCH(N$1,[2]enemies!$1:$1,0)-MATCH($L$1,[2]enemies!$1:$1,0)+1),MATCH(N$1,[2]enemies!$1:$1,0)-MATCH($L$1,[2]enemies!$1:$1,0)+1,FALSE)</f>
        <v>yellow</v>
      </c>
      <c r="O546" s="21" t="str">
        <f ca="1">VLOOKUP($L546,OFFSET([3]characters!$A$1,0,0,COUNTA([3]characters!$A:$A),MATCH(O$1,[3]characters!$1:$1,0)-MATCH($L$1,[3]characters!$1:$1,0)+1),MATCH(O$1,[3]characters!$1:$1,0)-MATCH($L$1,[3]characters!$1:$1,0)+1,FALSE)</f>
        <v>PremiumW</v>
      </c>
      <c r="P546" s="21" t="str">
        <f ca="1">VLOOKUP($L546,OFFSET([2]enemies!$A$1,0,0,COUNTA([2]enemies!$A:$A),MATCH(P$1,[2]enemies!$1:$1,0)-MATCH($L$1,[2]enemies!$1:$1,0)+1),MATCH(P$1,[2]enemies!$1:$1,0)-MATCH($L$1,[2]enemies!$1:$1,0)+1,FALSE)</f>
        <v>human</v>
      </c>
      <c r="Q546" s="21">
        <f ca="1">VLOOKUP($L546,OFFSET([2]enemies!$A$1,0,0,COUNTA([2]enemies!$A:$A),MATCH(Q$1,[2]enemies!$1:$1,0)-MATCH($L$1,[2]enemies!$1:$1,0)+1),MATCH(Q$1,[2]enemies!$1:$1,0)-MATCH($L$1,[2]enemies!$1:$1,0)+1,FALSE)</f>
        <v>30</v>
      </c>
      <c r="R546" s="53">
        <v>53</v>
      </c>
      <c r="S546" s="27">
        <v>2.2999999999999998</v>
      </c>
      <c r="T546" s="27">
        <v>1.1000000000000001</v>
      </c>
      <c r="U546" s="5">
        <v>0</v>
      </c>
      <c r="V546" s="4" t="str">
        <f ca="1">VLOOKUP($W546,OFFSET([4]enemy_skill_sets!$B$1,0,0,COUNTA([4]enemy_skill_sets!$B:$B),MATCH(M$1,[4]enemy_skill_sets!$1:$1,0)-MATCH($W$1,[4]enemy_skill_sets!$1:$1,0)+2),MATCH(M$1,[4]enemy_skill_sets!$1:$1,0)-MATCH($W$1,[4]enemy_skill_sets!$1:$1,0)+2,FALSE)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546" s="64">
        <v>13301</v>
      </c>
      <c r="X546" s="6">
        <v>1</v>
      </c>
      <c r="Y546" s="6">
        <v>100</v>
      </c>
      <c r="Z546" s="6">
        <v>1</v>
      </c>
      <c r="AA546" s="4">
        <f ca="1">VLOOKUP($L546,OFFSET([2]enemies!$A$1,0,0,COUNTA([2]enemies!$A:$A),MATCH(AA$1,[2]enemies!$1:$1,0)-MATCH($L$1,[2]enemies!$1:$1,0)+1),MATCH(AA$1,[2]enemies!$1:$1,0)-MATCH($L$1,[2]enemies!$1:$1,0)+1,FALSE)</f>
        <v>3</v>
      </c>
      <c r="AB546" s="52">
        <v>132</v>
      </c>
      <c r="AC546" s="4" t="str">
        <f ca="1">VLOOKUP($AB546,OFFSET([3]characters!$A$1,0,0,COUNTA([3]characters!$A:$A),MATCH(AC$1,[3]characters!$1:$1,0)-MATCH("character_id",[3]characters!$1:$1,0)+1),MATCH(AC$1,[3]characters!$1:$1,0)-MATCH("character_id",[3]characters!$1:$1,0)+1,FALSE)</f>
        <v>鳥人ハヤト</v>
      </c>
      <c r="AD546" s="4">
        <f ca="1">VLOOKUP($AB546,OFFSET([3]characters!$A$1,0,0,COUNTA([3]characters!$A:$A),MATCH(AD$1,[3]characters!$1:$1,0)-MATCH("character_id",[3]characters!$1:$1,0)+1),MATCH(AD$1,[3]characters!$1:$1,0)-MATCH("character_id",[3]characters!$1:$1,0)+1,FALSE)</f>
        <v>3</v>
      </c>
      <c r="AE546" s="4" t="str">
        <f ca="1">VLOOKUP($AB546,OFFSET([3]characters!$A$1,0,0,COUNTA([3]characters!$A:$A),MATCH(AE$1,[3]characters!$1:$1,0)-MATCH("character_id",[3]characters!$1:$1,0)+1),MATCH(AE$1,[3]characters!$1:$1,0)-MATCH("character_id",[3]characters!$1:$1,0)+1,FALSE)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546" s="7">
        <v>1</v>
      </c>
      <c r="AG546" s="26">
        <f t="shared" ca="1" si="575"/>
        <v>3</v>
      </c>
      <c r="AH546" s="8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1</v>
      </c>
    </row>
    <row r="547" spans="1:39" ht="14" x14ac:dyDescent="0.15">
      <c r="A547" s="18" t="str">
        <f t="shared" ca="1" si="560"/>
        <v>25_2-5/53&lt;lv53&gt;s2</v>
      </c>
      <c r="B547" s="53">
        <v>25</v>
      </c>
      <c r="C547" s="51">
        <v>2</v>
      </c>
      <c r="D547" s="2" t="str">
        <f t="shared" ref="D547:E547" si="596">B547&amp;"_"&amp;C547</f>
        <v>25_2</v>
      </c>
      <c r="E547" s="2" t="str">
        <f t="shared" si="596"/>
        <v>2_25_2</v>
      </c>
      <c r="F547" s="4" t="str">
        <f ca="1">VLOOKUP($D547,OFFSET([1]stages!$A$1,0,0,COUNTA([1]stages!$A:$A),MATCH(F$1,[1]stages!$2:$2,0)-MATCH($D$1,[1]stages!$2:$2,0)+1),MATCH(F$1,[1]stages!$2:$2,0)-MATCH($D$1,[1]stages!$2:$2,0)+1,FALSE)</f>
        <v>25-2．剣の舞</v>
      </c>
      <c r="G547" s="57">
        <v>5</v>
      </c>
      <c r="H547" s="17" t="str">
        <f t="shared" ref="H547" si="597">B547&amp;"_"&amp;C547&amp;"-"&amp;G547</f>
        <v>25_2-5</v>
      </c>
      <c r="I547" s="17"/>
      <c r="J547" s="17"/>
      <c r="K547" s="65" t="s">
        <v>56</v>
      </c>
      <c r="L547" s="52">
        <v>53</v>
      </c>
      <c r="M547" s="21" t="str">
        <f ca="1">VLOOKUP($L547,OFFSET([2]enemies!$A$1,0,0,COUNTA([2]enemies!$A:$A),MATCH(M$1,[2]enemies!$1:$1,0)-MATCH($L$1,[2]enemies!$1:$1,0)+1),MATCH(M$1,[2]enemies!$1:$1,0)-MATCH($L$1,[2]enemies!$1:$1,0)+1,FALSE)</f>
        <v>ケンジ</v>
      </c>
      <c r="N547" s="21" t="str">
        <f ca="1">VLOOKUP($L547,OFFSET([2]enemies!$A$1,0,0,COUNTA([2]enemies!$A:$A),MATCH(N$1,[2]enemies!$1:$1,0)-MATCH($L$1,[2]enemies!$1:$1,0)+1),MATCH(N$1,[2]enemies!$1:$1,0)-MATCH($L$1,[2]enemies!$1:$1,0)+1,FALSE)</f>
        <v>blue</v>
      </c>
      <c r="O547" s="21" t="str">
        <f ca="1">VLOOKUP($L547,OFFSET([3]characters!$A$1,0,0,COUNTA([3]characters!$A:$A),MATCH(O$1,[3]characters!$1:$1,0)-MATCH($L$1,[3]characters!$1:$1,0)+1),MATCH(O$1,[3]characters!$1:$1,0)-MATCH($L$1,[3]characters!$1:$1,0)+1,FALSE)</f>
        <v>Drop1N</v>
      </c>
      <c r="P547" s="21" t="str">
        <f ca="1">VLOOKUP($L547,OFFSET([2]enemies!$A$1,0,0,COUNTA([2]enemies!$A:$A),MATCH(P$1,[2]enemies!$1:$1,0)-MATCH($L$1,[2]enemies!$1:$1,0)+1),MATCH(P$1,[2]enemies!$1:$1,0)-MATCH($L$1,[2]enemies!$1:$1,0)+1,FALSE)</f>
        <v>human</v>
      </c>
      <c r="Q547" s="21">
        <f ca="1">VLOOKUP($L547,OFFSET([2]enemies!$A$1,0,0,COUNTA([2]enemies!$A:$A),MATCH(Q$1,[2]enemies!$1:$1,0)-MATCH($L$1,[2]enemies!$1:$1,0)+1),MATCH(Q$1,[2]enemies!$1:$1,0)-MATCH($L$1,[2]enemies!$1:$1,0)+1,FALSE)</f>
        <v>15</v>
      </c>
      <c r="R547" s="53">
        <v>53</v>
      </c>
      <c r="S547" s="27">
        <v>3</v>
      </c>
      <c r="T547" s="27">
        <v>1</v>
      </c>
      <c r="U547" s="5">
        <v>0</v>
      </c>
      <c r="V547" s="4" t="str">
        <f ca="1">VLOOKUP($W547,OFFSET([4]enemy_skill_sets!$B$1,0,0,COUNTA([4]enemy_skill_sets!$B:$B),MATCH(M$1,[4]enemy_skill_sets!$1:$1,0)-MATCH($W$1,[4]enemy_skill_sets!$1:$1,0)+2),MATCH(M$1,[4]enemy_skill_sets!$1:$1,0)-MATCH($W$1,[4]enemy_skill_sets!$1:$1,0)+2,FALSE)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547" s="4">
        <f ca="1">VLOOKUP($L547,OFFSET([2]enemies!$A$1,0,0,COUNTA([2]enemies!$A:$A),MATCH(W$1,[2]enemies!$1:$1,0)-MATCH($L$1,[2]enemies!$1:$1,0)+1),MATCH(W$1,[2]enemies!$1:$1,0)-MATCH($L$1,[2]enemies!$1:$1,0)+1,FALSE)</f>
        <v>53</v>
      </c>
      <c r="X547" s="6">
        <v>2</v>
      </c>
      <c r="Y547" s="6">
        <v>100</v>
      </c>
      <c r="Z547" s="6">
        <v>0</v>
      </c>
      <c r="AA547" s="4">
        <f ca="1">VLOOKUP($L547,OFFSET([2]enemies!$A$1,0,0,COUNTA([2]enemies!$A:$A),MATCH(AA$1,[2]enemies!$1:$1,0)-MATCH($L$1,[2]enemies!$1:$1,0)+1),MATCH(AA$1,[2]enemies!$1:$1,0)-MATCH($L$1,[2]enemies!$1:$1,0)+1,FALSE)</f>
        <v>2</v>
      </c>
      <c r="AB547" s="52">
        <v>53</v>
      </c>
      <c r="AC547" s="4" t="str">
        <f ca="1">VLOOKUP($AB547,OFFSET([3]characters!$A$1,0,0,COUNTA([3]characters!$A:$A),MATCH(AC$1,[3]characters!$1:$1,0)-MATCH("character_id",[3]characters!$1:$1,0)+1),MATCH(AC$1,[3]characters!$1:$1,0)-MATCH("character_id",[3]characters!$1:$1,0)+1,FALSE)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547" s="4">
        <f ca="1">VLOOKUP($AB547,OFFSET([3]characters!$A$1,0,0,COUNTA([3]characters!$A:$A),MATCH(AD$1,[3]characters!$1:$1,0)-MATCH("character_id",[3]characters!$1:$1,0)+1),MATCH(AD$1,[3]characters!$1:$1,0)-MATCH("character_id",[3]characters!$1:$1,0)+1,FALSE)</f>
        <v>2</v>
      </c>
      <c r="AE547" s="4" t="str">
        <f ca="1">VLOOKUP($AB547,OFFSET([3]characters!$A$1,0,0,COUNTA([3]characters!$A:$A),MATCH(AE$1,[3]characters!$1:$1,0)-MATCH("character_id",[3]characters!$1:$1,0)+1),MATCH(AE$1,[3]characters!$1:$1,0)-MATCH("character_id",[3]characters!$1:$1,0)+1,FALSE)</f>
        <v>Drop1N</v>
      </c>
      <c r="AF547" s="7">
        <v>7</v>
      </c>
      <c r="AG547" s="26">
        <f t="shared" ca="1" si="575"/>
        <v>2</v>
      </c>
      <c r="AH547" s="8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1</v>
      </c>
    </row>
    <row r="548" spans="1:39" ht="14" x14ac:dyDescent="0.15">
      <c r="A548" s="18" t="str">
        <f t="shared" ca="1" si="560"/>
        <v>25_3-1/25&lt;lv50&gt;s3</v>
      </c>
      <c r="B548" s="50">
        <v>25</v>
      </c>
      <c r="C548" s="49">
        <v>3</v>
      </c>
      <c r="D548" s="2" t="str">
        <f t="shared" si="588"/>
        <v>25_3</v>
      </c>
      <c r="E548" s="2" t="str">
        <f t="shared" si="588"/>
        <v>3_25_3</v>
      </c>
      <c r="F548" s="4" t="str">
        <f ca="1">VLOOKUP($D548,OFFSET([1]stages!$A$1,0,0,COUNTA([1]stages!$A:$A),MATCH(F$1,[1]stages!$2:$2,0)-MATCH($D$1,[1]stages!$2:$2,0)+1),MATCH(F$1,[1]stages!$2:$2,0)-MATCH($D$1,[1]stages!$2:$2,0)+1,FALSE)</f>
        <v>25-3．暗闇との対話</v>
      </c>
      <c r="G548" s="54">
        <v>1</v>
      </c>
      <c r="H548" s="17" t="str">
        <f t="shared" si="589"/>
        <v>25_3-1</v>
      </c>
      <c r="I548" s="17"/>
      <c r="J548" s="17"/>
      <c r="K548" s="65" t="s">
        <v>56</v>
      </c>
      <c r="L548" s="52">
        <v>25</v>
      </c>
      <c r="M548" s="21" t="str">
        <f ca="1">VLOOKUP($L548,OFFSET([2]enemies!$A$1,0,0,COUNTA([2]enemies!$A:$A),MATCH(M$1,[2]enemies!$1:$1,0)-MATCH($L$1,[2]enemies!$1:$1,0)+1),MATCH(M$1,[2]enemies!$1:$1,0)-MATCH($L$1,[2]enemies!$1:$1,0)+1,FALSE)</f>
        <v>ハチ</v>
      </c>
      <c r="N548" s="21" t="str">
        <f ca="1">VLOOKUP($L548,OFFSET([2]enemies!$A$1,0,0,COUNTA([2]enemies!$A:$A),MATCH(N$1,[2]enemies!$1:$1,0)-MATCH($L$1,[2]enemies!$1:$1,0)+1),MATCH(N$1,[2]enemies!$1:$1,0)-MATCH($L$1,[2]enemies!$1:$1,0)+1,FALSE)</f>
        <v>blue</v>
      </c>
      <c r="O548" s="21" t="str">
        <f ca="1">VLOOKUP($L548,OFFSET([3]characters!$A$1,0,0,COUNTA([3]characters!$A:$A),MATCH(O$1,[3]characters!$1:$1,0)-MATCH($L$1,[3]characters!$1:$1,0)+1),MATCH(O$1,[3]characters!$1:$1,0)-MATCH($L$1,[3]characters!$1:$1,0)+1,FALSE)</f>
        <v>Drop1N</v>
      </c>
      <c r="P548" s="21" t="str">
        <f ca="1">VLOOKUP($L548,OFFSET([2]enemies!$A$1,0,0,COUNTA([2]enemies!$A:$A),MATCH(P$1,[2]enemies!$1:$1,0)-MATCH($L$1,[2]enemies!$1:$1,0)+1),MATCH(P$1,[2]enemies!$1:$1,0)-MATCH($L$1,[2]enemies!$1:$1,0)+1,FALSE)</f>
        <v>animal</v>
      </c>
      <c r="Q548" s="21">
        <f ca="1">VLOOKUP($L548,OFFSET([2]enemies!$A$1,0,0,COUNTA([2]enemies!$A:$A),MATCH(Q$1,[2]enemies!$1:$1,0)-MATCH($L$1,[2]enemies!$1:$1,0)+1),MATCH(Q$1,[2]enemies!$1:$1,0)-MATCH($L$1,[2]enemies!$1:$1,0)+1,FALSE)</f>
        <v>15</v>
      </c>
      <c r="R548" s="53">
        <v>50</v>
      </c>
      <c r="S548" s="27">
        <v>1</v>
      </c>
      <c r="T548" s="27">
        <v>1</v>
      </c>
      <c r="U548" s="5">
        <v>0</v>
      </c>
      <c r="V548" s="4" t="str">
        <f ca="1">VLOOKUP($W548,OFFSET([4]enemy_skill_sets!$B$1,0,0,COUNTA([4]enemy_skill_sets!$B:$B),MATCH(M$1,[4]enemy_skill_sets!$1:$1,0)-MATCH($W$1,[4]enemy_skill_sets!$1:$1,0)+2),MATCH(M$1,[4]enemy_skill_sets!$1:$1,0)-MATCH($W$1,[4]enemy_skill_sets!$1:$1,0)+2,FALSE)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48" s="4">
        <f ca="1">VLOOKUP($L548,OFFSET([2]enemies!$A$1,0,0,COUNTA([2]enemies!$A:$A),MATCH(W$1,[2]enemies!$1:$1,0)-MATCH($L$1,[2]enemies!$1:$1,0)+1),MATCH(W$1,[2]enemies!$1:$1,0)-MATCH($L$1,[2]enemies!$1:$1,0)+1,FALSE)</f>
        <v>0</v>
      </c>
      <c r="X548" s="6">
        <v>0</v>
      </c>
      <c r="Y548" s="6">
        <v>100</v>
      </c>
      <c r="Z548" s="6">
        <v>0</v>
      </c>
      <c r="AA548" s="4">
        <f ca="1">VLOOKUP($L548,OFFSET([2]enemies!$A$1,0,0,COUNTA([2]enemies!$A:$A),MATCH(AA$1,[2]enemies!$1:$1,0)-MATCH($L$1,[2]enemies!$1:$1,0)+1),MATCH(AA$1,[2]enemies!$1:$1,0)-MATCH($L$1,[2]enemies!$1:$1,0)+1,FALSE)</f>
        <v>3</v>
      </c>
      <c r="AB548" s="52">
        <v>13</v>
      </c>
      <c r="AC548" s="4" t="str">
        <f ca="1">VLOOKUP($AB548,OFFSET([3]characters!$A$1,0,0,COUNTA([3]characters!$A:$A),MATCH(AC$1,[3]characters!$1:$1,0)-MATCH("character_id",[3]characters!$1:$1,0)+1),MATCH(AC$1,[3]characters!$1:$1,0)-MATCH("character_id",[3]characters!$1:$1,0)+1,FALSE)</f>
        <v>ミミ</v>
      </c>
      <c r="AD548" s="4">
        <f ca="1">VLOOKUP($AB548,OFFSET([3]characters!$A$1,0,0,COUNTA([3]characters!$A:$A),MATCH(AD$1,[3]characters!$1:$1,0)-MATCH("character_id",[3]characters!$1:$1,0)+1),MATCH(AD$1,[3]characters!$1:$1,0)-MATCH("character_id",[3]characters!$1:$1,0)+1,FALSE)</f>
        <v>1</v>
      </c>
      <c r="AE548" s="4" t="str">
        <f ca="1">VLOOKUP($AB548,OFFSET([3]characters!$A$1,0,0,COUNTA([3]characters!$A:$A),MATCH(AE$1,[3]characters!$1:$1,0)-MATCH("character_id",[3]characters!$1:$1,0)+1),MATCH(AE$1,[3]characters!$1:$1,0)-MATCH("character_id",[3]characters!$1:$1,0)+1,FALSE)</f>
        <v>Drop1W</v>
      </c>
      <c r="AF548" s="7">
        <v>9</v>
      </c>
      <c r="AG548" s="26">
        <f t="shared" ca="1" si="575"/>
        <v>1</v>
      </c>
      <c r="AH548" s="8">
        <v>20</v>
      </c>
      <c r="AI548" s="7">
        <v>0</v>
      </c>
      <c r="AJ548" s="7">
        <v>0</v>
      </c>
      <c r="AK548" s="7">
        <v>0</v>
      </c>
      <c r="AL548" s="7">
        <v>0</v>
      </c>
      <c r="AM548" s="7">
        <v>1</v>
      </c>
    </row>
    <row r="549" spans="1:39" ht="14" x14ac:dyDescent="0.15">
      <c r="A549" s="18" t="str">
        <f t="shared" ca="1" si="560"/>
        <v>25_3-1/37&lt;lv50&gt;s3</v>
      </c>
      <c r="B549" s="50">
        <v>25</v>
      </c>
      <c r="C549" s="49">
        <v>3</v>
      </c>
      <c r="D549" s="2" t="str">
        <f t="shared" si="588"/>
        <v>25_3</v>
      </c>
      <c r="E549" s="2" t="str">
        <f t="shared" si="588"/>
        <v>3_25_3</v>
      </c>
      <c r="F549" s="4" t="str">
        <f ca="1">VLOOKUP($D549,OFFSET([1]stages!$A$1,0,0,COUNTA([1]stages!$A:$A),MATCH(F$1,[1]stages!$2:$2,0)-MATCH($D$1,[1]stages!$2:$2,0)+1),MATCH(F$1,[1]stages!$2:$2,0)-MATCH($D$1,[1]stages!$2:$2,0)+1,FALSE)</f>
        <v>25-3．暗闇との対話</v>
      </c>
      <c r="G549" s="54">
        <v>1</v>
      </c>
      <c r="H549" s="17" t="str">
        <f t="shared" si="589"/>
        <v>25_3-1</v>
      </c>
      <c r="I549" s="17"/>
      <c r="J549" s="17"/>
      <c r="K549" s="65" t="s">
        <v>56</v>
      </c>
      <c r="L549" s="52">
        <v>37</v>
      </c>
      <c r="M549" s="21" t="str">
        <f ca="1">VLOOKUP($L549,OFFSET([2]enemies!$A$1,0,0,COUNTA([2]enemies!$A:$A),MATCH(M$1,[2]enemies!$1:$1,0)-MATCH($L$1,[2]enemies!$1:$1,0)+1),MATCH(M$1,[2]enemies!$1:$1,0)-MATCH($L$1,[2]enemies!$1:$1,0)+1,FALSE)</f>
        <v>ガイル</v>
      </c>
      <c r="N549" s="21" t="str">
        <f ca="1">VLOOKUP($L549,OFFSET([2]enemies!$A$1,0,0,COUNTA([2]enemies!$A:$A),MATCH(N$1,[2]enemies!$1:$1,0)-MATCH($L$1,[2]enemies!$1:$1,0)+1),MATCH(N$1,[2]enemies!$1:$1,0)-MATCH($L$1,[2]enemies!$1:$1,0)+1,FALSE)</f>
        <v>blue</v>
      </c>
      <c r="O549" s="21" t="str">
        <f ca="1">VLOOKUP($L549,OFFSET([3]characters!$A$1,0,0,COUNTA([3]characters!$A:$A),MATCH(O$1,[3]characters!$1:$1,0)-MATCH($L$1,[3]characters!$1:$1,0)+1),MATCH(O$1,[3]characters!$1:$1,0)-MATCH($L$1,[3]characters!$1:$1,0)+1,FALSE)</f>
        <v>Drop1S</v>
      </c>
      <c r="P549" s="21" t="str">
        <f ca="1">VLOOKUP($L549,OFFSET([2]enemies!$A$1,0,0,COUNTA([2]enemies!$A:$A),MATCH(P$1,[2]enemies!$1:$1,0)-MATCH($L$1,[2]enemies!$1:$1,0)+1),MATCH(P$1,[2]enemies!$1:$1,0)-MATCH($L$1,[2]enemies!$1:$1,0)+1,FALSE)</f>
        <v>animal</v>
      </c>
      <c r="Q549" s="21">
        <f ca="1">VLOOKUP($L549,OFFSET([2]enemies!$A$1,0,0,COUNTA([2]enemies!$A:$A),MATCH(Q$1,[2]enemies!$1:$1,0)-MATCH($L$1,[2]enemies!$1:$1,0)+1),MATCH(Q$1,[2]enemies!$1:$1,0)-MATCH($L$1,[2]enemies!$1:$1,0)+1,FALSE)</f>
        <v>15</v>
      </c>
      <c r="R549" s="53">
        <v>50</v>
      </c>
      <c r="S549" s="27">
        <v>1</v>
      </c>
      <c r="T549" s="27">
        <v>1</v>
      </c>
      <c r="U549" s="5">
        <v>0</v>
      </c>
      <c r="V549" s="4" t="str">
        <f ca="1">VLOOKUP($W549,OFFSET([4]enemy_skill_sets!$B$1,0,0,COUNTA([4]enemy_skill_sets!$B:$B),MATCH(M$1,[4]enemy_skill_sets!$1:$1,0)-MATCH($W$1,[4]enemy_skill_sets!$1:$1,0)+2),MATCH(M$1,[4]enemy_skill_sets!$1:$1,0)-MATCH($W$1,[4]enemy_skill_sets!$1:$1,0)+2,FALSE)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549" s="4">
        <f ca="1">VLOOKUP($L549,OFFSET([2]enemies!$A$1,0,0,COUNTA([2]enemies!$A:$A),MATCH(W$1,[2]enemies!$1:$1,0)-MATCH($L$1,[2]enemies!$1:$1,0)+1),MATCH(W$1,[2]enemies!$1:$1,0)-MATCH($L$1,[2]enemies!$1:$1,0)+1,FALSE)</f>
        <v>37</v>
      </c>
      <c r="X549" s="6">
        <v>0</v>
      </c>
      <c r="Y549" s="6">
        <v>100</v>
      </c>
      <c r="Z549" s="6">
        <v>0</v>
      </c>
      <c r="AA549" s="4">
        <f ca="1">VLOOKUP($L549,OFFSET([2]enemies!$A$1,0,0,COUNTA([2]enemies!$A:$A),MATCH(AA$1,[2]enemies!$1:$1,0)-MATCH($L$1,[2]enemies!$1:$1,0)+1),MATCH(AA$1,[2]enemies!$1:$1,0)-MATCH($L$1,[2]enemies!$1:$1,0)+1,FALSE)</f>
        <v>3</v>
      </c>
      <c r="AB549" s="52">
        <v>47</v>
      </c>
      <c r="AC549" s="4" t="str">
        <f ca="1">VLOOKUP($AB549,OFFSET([3]characters!$A$1,0,0,COUNTA([3]characters!$A:$A),MATCH(AC$1,[3]characters!$1:$1,0)-MATCH("character_id",[3]characters!$1:$1,0)+1),MATCH(AC$1,[3]characters!$1:$1,0)-MATCH("character_id",[3]characters!$1:$1,0)+1,FALSE)</f>
        <v>ヒロ</v>
      </c>
      <c r="AD549" s="4">
        <f ca="1">VLOOKUP($AB549,OFFSET([3]characters!$A$1,0,0,COUNTA([3]characters!$A:$A),MATCH(AD$1,[3]characters!$1:$1,0)-MATCH("character_id",[3]characters!$1:$1,0)+1),MATCH(AD$1,[3]characters!$1:$1,0)-MATCH("character_id",[3]characters!$1:$1,0)+1,FALSE)</f>
        <v>2</v>
      </c>
      <c r="AE549" s="4" t="str">
        <f ca="1">VLOOKUP($AB549,OFFSET([3]characters!$A$1,0,0,COUNTA([3]characters!$A:$A),MATCH(AE$1,[3]characters!$1:$1,0)-MATCH("character_id",[3]characters!$1:$1,0)+1),MATCH(AE$1,[3]characters!$1:$1,0)-MATCH("character_id",[3]characters!$1:$1,0)+1,FALSE)</f>
        <v>Drop1N</v>
      </c>
      <c r="AF549" s="7">
        <v>7</v>
      </c>
      <c r="AG549" s="26">
        <f t="shared" ca="1" si="575"/>
        <v>2</v>
      </c>
      <c r="AH549" s="8">
        <v>20</v>
      </c>
      <c r="AI549" s="7">
        <v>0</v>
      </c>
      <c r="AJ549" s="7">
        <v>0</v>
      </c>
      <c r="AK549" s="7">
        <v>0</v>
      </c>
      <c r="AL549" s="7">
        <v>0</v>
      </c>
      <c r="AM549" s="7">
        <v>1</v>
      </c>
    </row>
    <row r="550" spans="1:39" ht="14" x14ac:dyDescent="0.15">
      <c r="A550" s="18" t="str">
        <f t="shared" ca="1" si="560"/>
        <v>25_3-1/45&lt;lv50&gt;s3</v>
      </c>
      <c r="B550" s="50">
        <v>25</v>
      </c>
      <c r="C550" s="49">
        <v>3</v>
      </c>
      <c r="D550" s="2" t="str">
        <f t="shared" si="588"/>
        <v>25_3</v>
      </c>
      <c r="E550" s="2" t="str">
        <f t="shared" si="588"/>
        <v>3_25_3</v>
      </c>
      <c r="F550" s="4" t="str">
        <f ca="1">VLOOKUP($D550,OFFSET([1]stages!$A$1,0,0,COUNTA([1]stages!$A:$A),MATCH(F$1,[1]stages!$2:$2,0)-MATCH($D$1,[1]stages!$2:$2,0)+1),MATCH(F$1,[1]stages!$2:$2,0)-MATCH($D$1,[1]stages!$2:$2,0)+1,FALSE)</f>
        <v>25-3．暗闇との対話</v>
      </c>
      <c r="G550" s="54">
        <v>1</v>
      </c>
      <c r="H550" s="17" t="str">
        <f t="shared" si="589"/>
        <v>25_3-1</v>
      </c>
      <c r="I550" s="17"/>
      <c r="J550" s="17"/>
      <c r="K550" s="65" t="s">
        <v>56</v>
      </c>
      <c r="L550" s="52">
        <v>45</v>
      </c>
      <c r="M550" s="21" t="str">
        <f ca="1">VLOOKUP($L550,OFFSET([2]enemies!$A$1,0,0,COUNTA([2]enemies!$A:$A),MATCH(M$1,[2]enemies!$1:$1,0)-MATCH($L$1,[2]enemies!$1:$1,0)+1),MATCH(M$1,[2]enemies!$1:$1,0)-MATCH($L$1,[2]enemies!$1:$1,0)+1,FALSE)</f>
        <v>ショウイン</v>
      </c>
      <c r="N550" s="21" t="str">
        <f ca="1">VLOOKUP($L550,OFFSET([2]enemies!$A$1,0,0,COUNTA([2]enemies!$A:$A),MATCH(N$1,[2]enemies!$1:$1,0)-MATCH($L$1,[2]enemies!$1:$1,0)+1),MATCH(N$1,[2]enemies!$1:$1,0)-MATCH($L$1,[2]enemies!$1:$1,0)+1,FALSE)</f>
        <v>blue</v>
      </c>
      <c r="O550" s="21" t="str">
        <f ca="1">VLOOKUP($L550,OFFSET([3]characters!$A$1,0,0,COUNTA([3]characters!$A:$A),MATCH(O$1,[3]characters!$1:$1,0)-MATCH($L$1,[3]characters!$1:$1,0)+1),MATCH(O$1,[3]characters!$1:$1,0)-MATCH($L$1,[3]characters!$1:$1,0)+1,FALSE)</f>
        <v>Drop1N</v>
      </c>
      <c r="P550" s="21" t="str">
        <f ca="1">VLOOKUP($L550,OFFSET([2]enemies!$A$1,0,0,COUNTA([2]enemies!$A:$A),MATCH(P$1,[2]enemies!$1:$1,0)-MATCH($L$1,[2]enemies!$1:$1,0)+1),MATCH(P$1,[2]enemies!$1:$1,0)-MATCH($L$1,[2]enemies!$1:$1,0)+1,FALSE)</f>
        <v>animal</v>
      </c>
      <c r="Q550" s="21">
        <f ca="1">VLOOKUP($L550,OFFSET([2]enemies!$A$1,0,0,COUNTA([2]enemies!$A:$A),MATCH(Q$1,[2]enemies!$1:$1,0)-MATCH($L$1,[2]enemies!$1:$1,0)+1),MATCH(Q$1,[2]enemies!$1:$1,0)-MATCH($L$1,[2]enemies!$1:$1,0)+1,FALSE)</f>
        <v>15</v>
      </c>
      <c r="R550" s="53">
        <v>50</v>
      </c>
      <c r="S550" s="27">
        <v>1</v>
      </c>
      <c r="T550" s="27">
        <v>1</v>
      </c>
      <c r="U550" s="5">
        <v>0</v>
      </c>
      <c r="V550" s="4" t="str">
        <f ca="1">VLOOKUP($W550,OFFSET([4]enemy_skill_sets!$B$1,0,0,COUNTA([4]enemy_skill_sets!$B:$B),MATCH(M$1,[4]enemy_skill_sets!$1:$1,0)-MATCH($W$1,[4]enemy_skill_sets!$1:$1,0)+2),MATCH(M$1,[4]enemy_skill_sets!$1:$1,0)-MATCH($W$1,[4]enemy_skill_sets!$1:$1,0)+2,FALSE)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50" s="4">
        <f ca="1">VLOOKUP($L550,OFFSET([2]enemies!$A$1,0,0,COUNTA([2]enemies!$A:$A),MATCH(W$1,[2]enemies!$1:$1,0)-MATCH($L$1,[2]enemies!$1:$1,0)+1),MATCH(W$1,[2]enemies!$1:$1,0)-MATCH($L$1,[2]enemies!$1:$1,0)+1,FALSE)</f>
        <v>0</v>
      </c>
      <c r="X550" s="6">
        <v>0</v>
      </c>
      <c r="Y550" s="6">
        <v>100</v>
      </c>
      <c r="Z550" s="6">
        <v>0</v>
      </c>
      <c r="AA550" s="4">
        <f ca="1">VLOOKUP($L550,OFFSET([2]enemies!$A$1,0,0,COUNTA([2]enemies!$A:$A),MATCH(AA$1,[2]enemies!$1:$1,0)-MATCH($L$1,[2]enemies!$1:$1,0)+1),MATCH(AA$1,[2]enemies!$1:$1,0)-MATCH($L$1,[2]enemies!$1:$1,0)+1,FALSE)</f>
        <v>3</v>
      </c>
      <c r="AB550" s="52">
        <v>63</v>
      </c>
      <c r="AC550" s="4" t="str">
        <f ca="1">VLOOKUP($AB550,OFFSET([3]characters!$A$1,0,0,COUNTA([3]characters!$A:$A),MATCH(AC$1,[3]characters!$1:$1,0)-MATCH("character_id",[3]characters!$1:$1,0)+1),MATCH(AC$1,[3]characters!$1:$1,0)-MATCH("character_id",[3]characters!$1:$1,0)+1,FALSE)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550" s="4">
        <f ca="1">VLOOKUP($AB550,OFFSET([3]characters!$A$1,0,0,COUNTA([3]characters!$A:$A),MATCH(AD$1,[3]characters!$1:$1,0)-MATCH("character_id",[3]characters!$1:$1,0)+1),MATCH(AD$1,[3]characters!$1:$1,0)-MATCH("character_id",[3]characters!$1:$1,0)+1,FALSE)</f>
        <v>2</v>
      </c>
      <c r="AE550" s="4" t="str">
        <f ca="1">VLOOKUP($AB550,OFFSET([3]characters!$A$1,0,0,COUNTA([3]characters!$A:$A),MATCH(AE$1,[3]characters!$1:$1,0)-MATCH("character_id",[3]characters!$1:$1,0)+1),MATCH(AE$1,[3]characters!$1:$1,0)-MATCH("character_id",[3]characters!$1:$1,0)+1,FALSE)</f>
        <v>Drop1N</v>
      </c>
      <c r="AF550" s="7">
        <v>7</v>
      </c>
      <c r="AG550" s="26">
        <f t="shared" ca="1" si="575"/>
        <v>2</v>
      </c>
      <c r="AH550" s="8">
        <v>20</v>
      </c>
      <c r="AI550" s="7">
        <v>0</v>
      </c>
      <c r="AJ550" s="7">
        <v>0</v>
      </c>
      <c r="AK550" s="7">
        <v>0</v>
      </c>
      <c r="AL550" s="7">
        <v>0</v>
      </c>
      <c r="AM550" s="7">
        <v>1</v>
      </c>
    </row>
    <row r="551" spans="1:39" ht="14" x14ac:dyDescent="0.15">
      <c r="A551" s="18" t="str">
        <f t="shared" ca="1" si="560"/>
        <v>25_3-1/61&lt;lv50&gt;s2</v>
      </c>
      <c r="B551" s="50">
        <v>25</v>
      </c>
      <c r="C551" s="49">
        <v>3</v>
      </c>
      <c r="D551" s="2" t="str">
        <f t="shared" si="588"/>
        <v>25_3</v>
      </c>
      <c r="E551" s="2" t="str">
        <f t="shared" si="588"/>
        <v>3_25_3</v>
      </c>
      <c r="F551" s="4" t="str">
        <f ca="1">VLOOKUP($D551,OFFSET([1]stages!$A$1,0,0,COUNTA([1]stages!$A:$A),MATCH(F$1,[1]stages!$2:$2,0)-MATCH($D$1,[1]stages!$2:$2,0)+1),MATCH(F$1,[1]stages!$2:$2,0)-MATCH($D$1,[1]stages!$2:$2,0)+1,FALSE)</f>
        <v>25-3．暗闇との対話</v>
      </c>
      <c r="G551" s="54">
        <v>1</v>
      </c>
      <c r="H551" s="17" t="str">
        <f t="shared" si="589"/>
        <v>25_3-1</v>
      </c>
      <c r="I551" s="17"/>
      <c r="J551" s="17"/>
      <c r="K551" s="65" t="s">
        <v>56</v>
      </c>
      <c r="L551" s="52">
        <v>61</v>
      </c>
      <c r="M551" s="21" t="str">
        <f ca="1">VLOOKUP($L551,OFFSET([2]enemies!$A$1,0,0,COUNTA([2]enemies!$A:$A),MATCH(M$1,[2]enemies!$1:$1,0)-MATCH($L$1,[2]enemies!$1:$1,0)+1),MATCH(M$1,[2]enemies!$1:$1,0)-MATCH($L$1,[2]enemies!$1:$1,0)+1,FALSE)</f>
        <v>クロウ</v>
      </c>
      <c r="N551" s="21" t="str">
        <f ca="1">VLOOKUP($L551,OFFSET([2]enemies!$A$1,0,0,COUNTA([2]enemies!$A:$A),MATCH(N$1,[2]enemies!$1:$1,0)-MATCH($L$1,[2]enemies!$1:$1,0)+1),MATCH(N$1,[2]enemies!$1:$1,0)-MATCH($L$1,[2]enemies!$1:$1,0)+1,FALSE)</f>
        <v>blue</v>
      </c>
      <c r="O551" s="21" t="str">
        <f ca="1">VLOOKUP($L551,OFFSET([3]characters!$A$1,0,0,COUNTA([3]characters!$A:$A),MATCH(O$1,[3]characters!$1:$1,0)-MATCH($L$1,[3]characters!$1:$1,0)+1),MATCH(O$1,[3]characters!$1:$1,0)-MATCH($L$1,[3]characters!$1:$1,0)+1,FALSE)</f>
        <v>Drop1N</v>
      </c>
      <c r="P551" s="21" t="str">
        <f ca="1">VLOOKUP($L551,OFFSET([2]enemies!$A$1,0,0,COUNTA([2]enemies!$A:$A),MATCH(P$1,[2]enemies!$1:$1,0)-MATCH($L$1,[2]enemies!$1:$1,0)+1),MATCH(P$1,[2]enemies!$1:$1,0)-MATCH($L$1,[2]enemies!$1:$1,0)+1,FALSE)</f>
        <v>animal</v>
      </c>
      <c r="Q551" s="21">
        <f ca="1">VLOOKUP($L551,OFFSET([2]enemies!$A$1,0,0,COUNTA([2]enemies!$A:$A),MATCH(Q$1,[2]enemies!$1:$1,0)-MATCH($L$1,[2]enemies!$1:$1,0)+1),MATCH(Q$1,[2]enemies!$1:$1,0)-MATCH($L$1,[2]enemies!$1:$1,0)+1,FALSE)</f>
        <v>15</v>
      </c>
      <c r="R551" s="53">
        <v>50</v>
      </c>
      <c r="S551" s="27">
        <v>1</v>
      </c>
      <c r="T551" s="27">
        <v>1</v>
      </c>
      <c r="U551" s="5">
        <v>0</v>
      </c>
      <c r="V551" s="4" t="str">
        <f ca="1">VLOOKUP($W551,OFFSET([4]enemy_skill_sets!$B$1,0,0,COUNTA([4]enemy_skill_sets!$B:$B),MATCH(M$1,[4]enemy_skill_sets!$1:$1,0)-MATCH($W$1,[4]enemy_skill_sets!$1:$1,0)+2),MATCH(M$1,[4]enemy_skill_sets!$1:$1,0)-MATCH($W$1,[4]enemy_skill_sets!$1:$1,0)+2,FALSE)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51" s="4">
        <f ca="1">VLOOKUP($L551,OFFSET([2]enemies!$A$1,0,0,COUNTA([2]enemies!$A:$A),MATCH(W$1,[2]enemies!$1:$1,0)-MATCH($L$1,[2]enemies!$1:$1,0)+1),MATCH(W$1,[2]enemies!$1:$1,0)-MATCH($L$1,[2]enemies!$1:$1,0)+1,FALSE)</f>
        <v>61</v>
      </c>
      <c r="X551" s="6">
        <v>0</v>
      </c>
      <c r="Y551" s="6">
        <v>100</v>
      </c>
      <c r="Z551" s="6">
        <v>0</v>
      </c>
      <c r="AA551" s="4">
        <f ca="1">VLOOKUP($L551,OFFSET([2]enemies!$A$1,0,0,COUNTA([2]enemies!$A:$A),MATCH(AA$1,[2]enemies!$1:$1,0)-MATCH($L$1,[2]enemies!$1:$1,0)+1),MATCH(AA$1,[2]enemies!$1:$1,0)-MATCH($L$1,[2]enemies!$1:$1,0)+1,FALSE)</f>
        <v>2</v>
      </c>
      <c r="AB551" s="52">
        <v>366</v>
      </c>
      <c r="AC551" s="4" t="str">
        <f ca="1">VLOOKUP($AB551,OFFSET([3]characters!$A$1,0,0,COUNTA([3]characters!$A:$A),MATCH(AC$1,[3]characters!$1:$1,0)-MATCH("character_id",[3]characters!$1:$1,0)+1),MATCH(AC$1,[3]characters!$1:$1,0)-MATCH("character_id",[3]characters!$1:$1,0)+1,FALSE)</f>
        <v>トト</v>
      </c>
      <c r="AD551" s="4">
        <f ca="1">VLOOKUP($AB551,OFFSET([3]characters!$A$1,0,0,COUNTA([3]characters!$A:$A),MATCH(AD$1,[3]characters!$1:$1,0)-MATCH("character_id",[3]characters!$1:$1,0)+1),MATCH(AD$1,[3]characters!$1:$1,0)-MATCH("character_id",[3]characters!$1:$1,0)+1,FALSE)</f>
        <v>2</v>
      </c>
      <c r="AE551" s="4" t="str">
        <f ca="1">VLOOKUP($AB551,OFFSET([3]characters!$A$1,0,0,COUNTA([3]characters!$A:$A),MATCH(AE$1,[3]characters!$1:$1,0)-MATCH("character_id",[3]characters!$1:$1,0)+1),MATCH(AE$1,[3]characters!$1:$1,0)-MATCH("character_id",[3]characters!$1:$1,0)+1,FALSE)</f>
        <v>Drop1S</v>
      </c>
      <c r="AF551" s="7">
        <v>5</v>
      </c>
      <c r="AG551" s="26">
        <f t="shared" ca="1" si="575"/>
        <v>2</v>
      </c>
      <c r="AH551" s="8">
        <v>20</v>
      </c>
      <c r="AI551" s="7">
        <v>0</v>
      </c>
      <c r="AJ551" s="7">
        <v>0</v>
      </c>
      <c r="AK551" s="7">
        <v>0</v>
      </c>
      <c r="AL551" s="7">
        <v>0</v>
      </c>
      <c r="AM551" s="7">
        <v>1</v>
      </c>
    </row>
    <row r="552" spans="1:39" ht="14" x14ac:dyDescent="0.15">
      <c r="A552" s="18" t="str">
        <f t="shared" ca="1" si="560"/>
        <v>25_3-1/17&lt;lv50&gt;s2</v>
      </c>
      <c r="B552" s="50">
        <v>25</v>
      </c>
      <c r="C552" s="49">
        <v>3</v>
      </c>
      <c r="D552" s="2" t="str">
        <f t="shared" si="588"/>
        <v>25_3</v>
      </c>
      <c r="E552" s="2" t="str">
        <f t="shared" si="588"/>
        <v>3_25_3</v>
      </c>
      <c r="F552" s="4" t="str">
        <f ca="1">VLOOKUP($D552,OFFSET([1]stages!$A$1,0,0,COUNTA([1]stages!$A:$A),MATCH(F$1,[1]stages!$2:$2,0)-MATCH($D$1,[1]stages!$2:$2,0)+1),MATCH(F$1,[1]stages!$2:$2,0)-MATCH($D$1,[1]stages!$2:$2,0)+1,FALSE)</f>
        <v>25-3．暗闇との対話</v>
      </c>
      <c r="G552" s="54">
        <v>1</v>
      </c>
      <c r="H552" s="17" t="str">
        <f t="shared" si="589"/>
        <v>25_3-1</v>
      </c>
      <c r="I552" s="17"/>
      <c r="J552" s="17"/>
      <c r="K552" s="65" t="s">
        <v>56</v>
      </c>
      <c r="L552" s="52">
        <v>17</v>
      </c>
      <c r="M552" s="21" t="str">
        <f ca="1">VLOOKUP($L552,OFFSET([2]enemies!$A$1,0,0,COUNTA([2]enemies!$A:$A),MATCH(M$1,[2]enemies!$1:$1,0)-MATCH($L$1,[2]enemies!$1:$1,0)+1),MATCH(M$1,[2]enemies!$1:$1,0)-MATCH($L$1,[2]enemies!$1:$1,0)+1,FALSE)</f>
        <v>リム</v>
      </c>
      <c r="N552" s="21" t="str">
        <f ca="1">VLOOKUP($L552,OFFSET([2]enemies!$A$1,0,0,COUNTA([2]enemies!$A:$A),MATCH(N$1,[2]enemies!$1:$1,0)-MATCH($L$1,[2]enemies!$1:$1,0)+1),MATCH(N$1,[2]enemies!$1:$1,0)-MATCH($L$1,[2]enemies!$1:$1,0)+1,FALSE)</f>
        <v>blue</v>
      </c>
      <c r="O552" s="21" t="str">
        <f ca="1">VLOOKUP($L552,OFFSET([3]characters!$A$1,0,0,COUNTA([3]characters!$A:$A),MATCH(O$1,[3]characters!$1:$1,0)-MATCH($L$1,[3]characters!$1:$1,0)+1),MATCH(O$1,[3]characters!$1:$1,0)-MATCH($L$1,[3]characters!$1:$1,0)+1,FALSE)</f>
        <v>Drop1W</v>
      </c>
      <c r="P552" s="21" t="str">
        <f ca="1">VLOOKUP($L552,OFFSET([2]enemies!$A$1,0,0,COUNTA([2]enemies!$A:$A),MATCH(P$1,[2]enemies!$1:$1,0)-MATCH($L$1,[2]enemies!$1:$1,0)+1),MATCH(P$1,[2]enemies!$1:$1,0)-MATCH($L$1,[2]enemies!$1:$1,0)+1,FALSE)</f>
        <v>human</v>
      </c>
      <c r="Q552" s="21">
        <f ca="1">VLOOKUP($L552,OFFSET([2]enemies!$A$1,0,0,COUNTA([2]enemies!$A:$A),MATCH(Q$1,[2]enemies!$1:$1,0)-MATCH($L$1,[2]enemies!$1:$1,0)+1),MATCH(Q$1,[2]enemies!$1:$1,0)-MATCH($L$1,[2]enemies!$1:$1,0)+1,FALSE)</f>
        <v>15</v>
      </c>
      <c r="R552" s="53">
        <v>50</v>
      </c>
      <c r="S552" s="27">
        <v>1</v>
      </c>
      <c r="T552" s="27">
        <v>1</v>
      </c>
      <c r="U552" s="5">
        <v>0</v>
      </c>
      <c r="V552" s="4" t="str">
        <f ca="1">VLOOKUP($W552,OFFSET([4]enemy_skill_sets!$B$1,0,0,COUNTA([4]enemy_skill_sets!$B:$B),MATCH(M$1,[4]enemy_skill_sets!$1:$1,0)-MATCH($W$1,[4]enemy_skill_sets!$1:$1,0)+2),MATCH(M$1,[4]enemy_skill_sets!$1:$1,0)-MATCH($W$1,[4]enemy_skill_sets!$1:$1,0)+2,FALSE)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52" s="4">
        <f ca="1">VLOOKUP($L552,OFFSET([2]enemies!$A$1,0,0,COUNTA([2]enemies!$A:$A),MATCH(W$1,[2]enemies!$1:$1,0)-MATCH($L$1,[2]enemies!$1:$1,0)+1),MATCH(W$1,[2]enemies!$1:$1,0)-MATCH($L$1,[2]enemies!$1:$1,0)+1,FALSE)</f>
        <v>0</v>
      </c>
      <c r="X552" s="6">
        <v>0</v>
      </c>
      <c r="Y552" s="6">
        <v>100</v>
      </c>
      <c r="Z552" s="6">
        <v>0</v>
      </c>
      <c r="AA552" s="4">
        <f ca="1">VLOOKUP($L552,OFFSET([2]enemies!$A$1,0,0,COUNTA([2]enemies!$A:$A),MATCH(AA$1,[2]enemies!$1:$1,0)-MATCH($L$1,[2]enemies!$1:$1,0)+1),MATCH(AA$1,[2]enemies!$1:$1,0)-MATCH($L$1,[2]enemies!$1:$1,0)+1,FALSE)</f>
        <v>2</v>
      </c>
      <c r="AB552" s="52">
        <v>39</v>
      </c>
      <c r="AC552" s="4" t="str">
        <f ca="1">VLOOKUP($AB552,OFFSET([3]characters!$A$1,0,0,COUNTA([3]characters!$A:$A),MATCH(AC$1,[3]characters!$1:$1,0)-MATCH("character_id",[3]characters!$1:$1,0)+1),MATCH(AC$1,[3]characters!$1:$1,0)-MATCH("character_id",[3]characters!$1:$1,0)+1,FALSE)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552" s="4">
        <f ca="1">VLOOKUP($AB552,OFFSET([3]characters!$A$1,0,0,COUNTA([3]characters!$A:$A),MATCH(AD$1,[3]characters!$1:$1,0)-MATCH("character_id",[3]characters!$1:$1,0)+1),MATCH(AD$1,[3]characters!$1:$1,0)-MATCH("character_id",[3]characters!$1:$1,0)+1,FALSE)</f>
        <v>2</v>
      </c>
      <c r="AE552" s="4" t="str">
        <f ca="1">VLOOKUP($AB552,OFFSET([3]characters!$A$1,0,0,COUNTA([3]characters!$A:$A),MATCH(AE$1,[3]characters!$1:$1,0)-MATCH("character_id",[3]characters!$1:$1,0)+1),MATCH(AE$1,[3]characters!$1:$1,0)-MATCH("character_id",[3]characters!$1:$1,0)+1,FALSE)</f>
        <v>Drop1S</v>
      </c>
      <c r="AF552" s="7">
        <v>5</v>
      </c>
      <c r="AG552" s="26">
        <f t="shared" ca="1" si="575"/>
        <v>2</v>
      </c>
      <c r="AH552" s="8">
        <v>20</v>
      </c>
      <c r="AI552" s="7">
        <v>0</v>
      </c>
      <c r="AJ552" s="7">
        <v>0</v>
      </c>
      <c r="AK552" s="7">
        <v>0</v>
      </c>
      <c r="AL552" s="7">
        <v>0</v>
      </c>
      <c r="AM552" s="7">
        <v>1</v>
      </c>
    </row>
    <row r="553" spans="1:39" ht="14" x14ac:dyDescent="0.15">
      <c r="A553" s="18" t="str">
        <f t="shared" ca="1" si="560"/>
        <v>25_3-1/53&lt;lv50&gt;s2</v>
      </c>
      <c r="B553" s="50">
        <v>25</v>
      </c>
      <c r="C553" s="49">
        <v>3</v>
      </c>
      <c r="D553" s="2" t="str">
        <f t="shared" si="588"/>
        <v>25_3</v>
      </c>
      <c r="E553" s="2" t="str">
        <f t="shared" si="588"/>
        <v>3_25_3</v>
      </c>
      <c r="F553" s="4" t="str">
        <f ca="1">VLOOKUP($D553,OFFSET([1]stages!$A$1,0,0,COUNTA([1]stages!$A:$A),MATCH(F$1,[1]stages!$2:$2,0)-MATCH($D$1,[1]stages!$2:$2,0)+1),MATCH(F$1,[1]stages!$2:$2,0)-MATCH($D$1,[1]stages!$2:$2,0)+1,FALSE)</f>
        <v>25-3．暗闇との対話</v>
      </c>
      <c r="G553" s="54">
        <v>1</v>
      </c>
      <c r="H553" s="17" t="str">
        <f t="shared" si="589"/>
        <v>25_3-1</v>
      </c>
      <c r="I553" s="17"/>
      <c r="J553" s="17"/>
      <c r="K553" s="65" t="s">
        <v>56</v>
      </c>
      <c r="L553" s="52">
        <v>53</v>
      </c>
      <c r="M553" s="21" t="str">
        <f ca="1">VLOOKUP($L553,OFFSET([2]enemies!$A$1,0,0,COUNTA([2]enemies!$A:$A),MATCH(M$1,[2]enemies!$1:$1,0)-MATCH($L$1,[2]enemies!$1:$1,0)+1),MATCH(M$1,[2]enemies!$1:$1,0)-MATCH($L$1,[2]enemies!$1:$1,0)+1,FALSE)</f>
        <v>ケンジ</v>
      </c>
      <c r="N553" s="21" t="str">
        <f ca="1">VLOOKUP($L553,OFFSET([2]enemies!$A$1,0,0,COUNTA([2]enemies!$A:$A),MATCH(N$1,[2]enemies!$1:$1,0)-MATCH($L$1,[2]enemies!$1:$1,0)+1),MATCH(N$1,[2]enemies!$1:$1,0)-MATCH($L$1,[2]enemies!$1:$1,0)+1,FALSE)</f>
        <v>blue</v>
      </c>
      <c r="O553" s="21" t="str">
        <f ca="1">VLOOKUP($L553,OFFSET([3]characters!$A$1,0,0,COUNTA([3]characters!$A:$A),MATCH(O$1,[3]characters!$1:$1,0)-MATCH($L$1,[3]characters!$1:$1,0)+1),MATCH(O$1,[3]characters!$1:$1,0)-MATCH($L$1,[3]characters!$1:$1,0)+1,FALSE)</f>
        <v>Drop1N</v>
      </c>
      <c r="P553" s="21" t="str">
        <f ca="1">VLOOKUP($L553,OFFSET([2]enemies!$A$1,0,0,COUNTA([2]enemies!$A:$A),MATCH(P$1,[2]enemies!$1:$1,0)-MATCH($L$1,[2]enemies!$1:$1,0)+1),MATCH(P$1,[2]enemies!$1:$1,0)-MATCH($L$1,[2]enemies!$1:$1,0)+1,FALSE)</f>
        <v>human</v>
      </c>
      <c r="Q553" s="21">
        <f ca="1">VLOOKUP($L553,OFFSET([2]enemies!$A$1,0,0,COUNTA([2]enemies!$A:$A),MATCH(Q$1,[2]enemies!$1:$1,0)-MATCH($L$1,[2]enemies!$1:$1,0)+1),MATCH(Q$1,[2]enemies!$1:$1,0)-MATCH($L$1,[2]enemies!$1:$1,0)+1,FALSE)</f>
        <v>15</v>
      </c>
      <c r="R553" s="53">
        <v>50</v>
      </c>
      <c r="S553" s="27">
        <v>1</v>
      </c>
      <c r="T553" s="27">
        <v>1</v>
      </c>
      <c r="U553" s="5">
        <v>0</v>
      </c>
      <c r="V553" s="4" t="str">
        <f ca="1">VLOOKUP($W553,OFFSET([4]enemy_skill_sets!$B$1,0,0,COUNTA([4]enemy_skill_sets!$B:$B),MATCH(M$1,[4]enemy_skill_sets!$1:$1,0)-MATCH($W$1,[4]enemy_skill_sets!$1:$1,0)+2),MATCH(M$1,[4]enemy_skill_sets!$1:$1,0)-MATCH($W$1,[4]enemy_skill_sets!$1:$1,0)+2,FALSE)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553" s="4">
        <f ca="1">VLOOKUP($L553,OFFSET([2]enemies!$A$1,0,0,COUNTA([2]enemies!$A:$A),MATCH(W$1,[2]enemies!$1:$1,0)-MATCH($L$1,[2]enemies!$1:$1,0)+1),MATCH(W$1,[2]enemies!$1:$1,0)-MATCH($L$1,[2]enemies!$1:$1,0)+1,FALSE)</f>
        <v>53</v>
      </c>
      <c r="X553" s="6">
        <v>0</v>
      </c>
      <c r="Y553" s="6">
        <v>100</v>
      </c>
      <c r="Z553" s="6">
        <v>0</v>
      </c>
      <c r="AA553" s="4">
        <f ca="1">VLOOKUP($L553,OFFSET([2]enemies!$A$1,0,0,COUNTA([2]enemies!$A:$A),MATCH(AA$1,[2]enemies!$1:$1,0)-MATCH($L$1,[2]enemies!$1:$1,0)+1),MATCH(AA$1,[2]enemies!$1:$1,0)-MATCH($L$1,[2]enemies!$1:$1,0)+1,FALSE)</f>
        <v>2</v>
      </c>
      <c r="AB553" s="52">
        <v>55</v>
      </c>
      <c r="AC553" s="4" t="str">
        <f ca="1">VLOOKUP($AB553,OFFSET([3]characters!$A$1,0,0,COUNTA([3]characters!$A:$A),MATCH(AC$1,[3]characters!$1:$1,0)-MATCH("character_id",[3]characters!$1:$1,0)+1),MATCH(AC$1,[3]characters!$1:$1,0)-MATCH("character_id",[3]characters!$1:$1,0)+1,FALSE)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553" s="4">
        <f ca="1">VLOOKUP($AB553,OFFSET([3]characters!$A$1,0,0,COUNTA([3]characters!$A:$A),MATCH(AD$1,[3]characters!$1:$1,0)-MATCH("character_id",[3]characters!$1:$1,0)+1),MATCH(AD$1,[3]characters!$1:$1,0)-MATCH("character_id",[3]characters!$1:$1,0)+1,FALSE)</f>
        <v>2</v>
      </c>
      <c r="AE553" s="4" t="str">
        <f ca="1">VLOOKUP($AB553,OFFSET([3]characters!$A$1,0,0,COUNTA([3]characters!$A:$A),MATCH(AE$1,[3]characters!$1:$1,0)-MATCH("character_id",[3]characters!$1:$1,0)+1),MATCH(AE$1,[3]characters!$1:$1,0)-MATCH("character_id",[3]characters!$1:$1,0)+1,FALSE)</f>
        <v>Drop1N</v>
      </c>
      <c r="AF553" s="7">
        <v>7</v>
      </c>
      <c r="AG553" s="26">
        <f t="shared" ca="1" si="575"/>
        <v>2</v>
      </c>
      <c r="AH553" s="8">
        <v>20</v>
      </c>
      <c r="AI553" s="7">
        <v>0</v>
      </c>
      <c r="AJ553" s="7">
        <v>0</v>
      </c>
      <c r="AK553" s="7">
        <v>0</v>
      </c>
      <c r="AL553" s="7">
        <v>0</v>
      </c>
      <c r="AM553" s="7">
        <v>1</v>
      </c>
    </row>
    <row r="554" spans="1:39" ht="14" x14ac:dyDescent="0.15">
      <c r="A554" s="18" t="str">
        <f t="shared" ca="1" si="560"/>
        <v>25_3-1/364&lt;lv50&gt;s3</v>
      </c>
      <c r="B554" s="53">
        <v>25</v>
      </c>
      <c r="C554" s="51">
        <v>3</v>
      </c>
      <c r="D554" s="2" t="str">
        <f t="shared" ref="D554" si="598">B554&amp;"_"&amp;C554</f>
        <v>25_3</v>
      </c>
      <c r="E554" s="2" t="str">
        <f t="shared" ref="E554" si="599">C554&amp;"_"&amp;D554</f>
        <v>3_25_3</v>
      </c>
      <c r="F554" s="4" t="str">
        <f ca="1">VLOOKUP($D554,OFFSET([1]stages!$A$1,0,0,COUNTA([1]stages!$A:$A),MATCH(F$1,[1]stages!$2:$2,0)-MATCH($D$1,[1]stages!$2:$2,0)+1),MATCH(F$1,[1]stages!$2:$2,0)-MATCH($D$1,[1]stages!$2:$2,0)+1,FALSE)</f>
        <v>25-3．暗闇との対話</v>
      </c>
      <c r="G554" s="54">
        <v>1</v>
      </c>
      <c r="H554" s="17" t="str">
        <f t="shared" ref="H554" si="600">B554&amp;"_"&amp;C554&amp;"-"&amp;G554</f>
        <v>25_3-1</v>
      </c>
      <c r="I554" s="17"/>
      <c r="J554" s="17"/>
      <c r="K554" s="65" t="s">
        <v>56</v>
      </c>
      <c r="L554" s="52">
        <v>364</v>
      </c>
      <c r="M554" s="21" t="str">
        <f ca="1">VLOOKUP($L554,OFFSET([2]enemies!$A$1,0,0,COUNTA([2]enemies!$A:$A),MATCH(M$1,[2]enemies!$1:$1,0)-MATCH($L$1,[2]enemies!$1:$1,0)+1),MATCH(M$1,[2]enemies!$1:$1,0)-MATCH($L$1,[2]enemies!$1:$1,0)+1,FALSE)</f>
        <v>ノエル</v>
      </c>
      <c r="N554" s="21" t="str">
        <f ca="1">VLOOKUP($L554,OFFSET([2]enemies!$A$1,0,0,COUNTA([2]enemies!$A:$A),MATCH(N$1,[2]enemies!$1:$1,0)-MATCH($L$1,[2]enemies!$1:$1,0)+1),MATCH(N$1,[2]enemies!$1:$1,0)-MATCH($L$1,[2]enemies!$1:$1,0)+1,FALSE)</f>
        <v>blue</v>
      </c>
      <c r="O554" s="21" t="str">
        <f ca="1">VLOOKUP($L554,OFFSET([3]characters!$A$1,0,0,COUNTA([3]characters!$A:$A),MATCH(O$1,[3]characters!$1:$1,0)-MATCH($L$1,[3]characters!$1:$1,0)+1),MATCH(O$1,[3]characters!$1:$1,0)-MATCH($L$1,[3]characters!$1:$1,0)+1,FALSE)</f>
        <v>Drop1S</v>
      </c>
      <c r="P554" s="21" t="str">
        <f ca="1">VLOOKUP($L554,OFFSET([2]enemies!$A$1,0,0,COUNTA([2]enemies!$A:$A),MATCH(P$1,[2]enemies!$1:$1,0)-MATCH($L$1,[2]enemies!$1:$1,0)+1),MATCH(P$1,[2]enemies!$1:$1,0)-MATCH($L$1,[2]enemies!$1:$1,0)+1,FALSE)</f>
        <v>animal</v>
      </c>
      <c r="Q554" s="21">
        <f ca="1">VLOOKUP($L554,OFFSET([2]enemies!$A$1,0,0,COUNTA([2]enemies!$A:$A),MATCH(Q$1,[2]enemies!$1:$1,0)-MATCH($L$1,[2]enemies!$1:$1,0)+1),MATCH(Q$1,[2]enemies!$1:$1,0)-MATCH($L$1,[2]enemies!$1:$1,0)+1,FALSE)</f>
        <v>15</v>
      </c>
      <c r="R554" s="53">
        <v>50</v>
      </c>
      <c r="S554" s="27">
        <v>1.2</v>
      </c>
      <c r="T554" s="27">
        <v>1</v>
      </c>
      <c r="U554" s="5">
        <v>0</v>
      </c>
      <c r="V554" s="4" t="str">
        <f ca="1">VLOOKUP($W554,OFFSET([4]enemy_skill_sets!$B$1,0,0,COUNTA([4]enemy_skill_sets!$B:$B),MATCH(M$1,[4]enemy_skill_sets!$1:$1,0)-MATCH($W$1,[4]enemy_skill_sets!$1:$1,0)+2),MATCH(M$1,[4]enemy_skill_sets!$1:$1,0)-MATCH($W$1,[4]enemy_skill_sets!$1:$1,0)+2,FALSE)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54" s="64">
        <v>364</v>
      </c>
      <c r="X554" s="6">
        <v>0</v>
      </c>
      <c r="Y554" s="6">
        <v>100</v>
      </c>
      <c r="Z554" s="6">
        <v>0</v>
      </c>
      <c r="AA554" s="4">
        <f ca="1">VLOOKUP($L554,OFFSET([2]enemies!$A$1,0,0,COUNTA([2]enemies!$A:$A),MATCH(AA$1,[2]enemies!$1:$1,0)-MATCH($L$1,[2]enemies!$1:$1,0)+1),MATCH(AA$1,[2]enemies!$1:$1,0)-MATCH($L$1,[2]enemies!$1:$1,0)+1,FALSE)</f>
        <v>3</v>
      </c>
      <c r="AB554" s="52">
        <v>364</v>
      </c>
      <c r="AC554" s="4" t="str">
        <f ca="1">VLOOKUP($AB554,OFFSET([3]characters!$A$1,0,0,COUNTA([3]characters!$A:$A),MATCH(AC$1,[3]characters!$1:$1,0)-MATCH("character_id",[3]characters!$1:$1,0)+1),MATCH(AC$1,[3]characters!$1:$1,0)-MATCH("character_id",[3]characters!$1:$1,0)+1,FALSE)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54" s="4">
        <f ca="1">VLOOKUP($AB554,OFFSET([3]characters!$A$1,0,0,COUNTA([3]characters!$A:$A),MATCH(AD$1,[3]characters!$1:$1,0)-MATCH("character_id",[3]characters!$1:$1,0)+1),MATCH(AD$1,[3]characters!$1:$1,0)-MATCH("character_id",[3]characters!$1:$1,0)+1,FALSE)</f>
        <v>2</v>
      </c>
      <c r="AE554" s="4" t="str">
        <f ca="1">VLOOKUP($AB554,OFFSET([3]characters!$A$1,0,0,COUNTA([3]characters!$A:$A),MATCH(AE$1,[3]characters!$1:$1,0)-MATCH("character_id",[3]characters!$1:$1,0)+1),MATCH(AE$1,[3]characters!$1:$1,0)-MATCH("character_id",[3]characters!$1:$1,0)+1,FALSE)</f>
        <v>Drop1S</v>
      </c>
      <c r="AF554" s="7">
        <v>7</v>
      </c>
      <c r="AG554" s="26">
        <f t="shared" ca="1" si="575"/>
        <v>2</v>
      </c>
      <c r="AH554" s="8">
        <v>20</v>
      </c>
      <c r="AI554" s="7">
        <v>0</v>
      </c>
      <c r="AJ554" s="7">
        <v>0</v>
      </c>
      <c r="AK554" s="7">
        <v>0</v>
      </c>
      <c r="AL554" s="7">
        <v>0</v>
      </c>
      <c r="AM554" s="7">
        <v>1</v>
      </c>
    </row>
    <row r="555" spans="1:39" ht="14" x14ac:dyDescent="0.15">
      <c r="A555" s="18" t="str">
        <f t="shared" ca="1" si="560"/>
        <v>25_3-1/352&lt;lv50&gt;s3</v>
      </c>
      <c r="B555" s="53">
        <v>25</v>
      </c>
      <c r="C555" s="51">
        <v>3</v>
      </c>
      <c r="D555" s="2" t="str">
        <f t="shared" ref="D555" si="601">B555&amp;"_"&amp;C555</f>
        <v>25_3</v>
      </c>
      <c r="E555" s="2" t="str">
        <f t="shared" ref="E555" si="602">C555&amp;"_"&amp;D555</f>
        <v>3_25_3</v>
      </c>
      <c r="F555" s="4" t="str">
        <f ca="1">VLOOKUP($D555,OFFSET([1]stages!$A$1,0,0,COUNTA([1]stages!$A:$A),MATCH(F$1,[1]stages!$2:$2,0)-MATCH($D$1,[1]stages!$2:$2,0)+1),MATCH(F$1,[1]stages!$2:$2,0)-MATCH($D$1,[1]stages!$2:$2,0)+1,FALSE)</f>
        <v>25-3．暗闇との対話</v>
      </c>
      <c r="G555" s="54">
        <v>1</v>
      </c>
      <c r="H555" s="17" t="str">
        <f t="shared" ref="H555" si="603">B555&amp;"_"&amp;C555&amp;"-"&amp;G555</f>
        <v>25_3-1</v>
      </c>
      <c r="I555" s="17"/>
      <c r="J555" s="17"/>
      <c r="K555" s="65" t="s">
        <v>56</v>
      </c>
      <c r="L555" s="52">
        <v>352</v>
      </c>
      <c r="M555" s="21" t="str">
        <f ca="1">VLOOKUP($L555,OFFSET([2]enemies!$A$1,0,0,COUNTA([2]enemies!$A:$A),MATCH(M$1,[2]enemies!$1:$1,0)-MATCH($L$1,[2]enemies!$1:$1,0)+1),MATCH(M$1,[2]enemies!$1:$1,0)-MATCH($L$1,[2]enemies!$1:$1,0)+1,FALSE)</f>
        <v>水のケロケロ</v>
      </c>
      <c r="N555" s="21" t="str">
        <f ca="1">VLOOKUP($L555,OFFSET([2]enemies!$A$1,0,0,COUNTA([2]enemies!$A:$A),MATCH(N$1,[2]enemies!$1:$1,0)-MATCH($L$1,[2]enemies!$1:$1,0)+1),MATCH(N$1,[2]enemies!$1:$1,0)-MATCH($L$1,[2]enemies!$1:$1,0)+1,FALSE)</f>
        <v>blue</v>
      </c>
      <c r="O555" s="21" t="str">
        <f ca="1">VLOOKUP($L555,OFFSET([3]characters!$A$1,0,0,COUNTA([3]characters!$A:$A),MATCH(O$1,[3]characters!$1:$1,0)-MATCH($L$1,[3]characters!$1:$1,0)+1),MATCH(O$1,[3]characters!$1:$1,0)-MATCH($L$1,[3]characters!$1:$1,0)+1,FALSE)</f>
        <v>Material</v>
      </c>
      <c r="P555" s="21" t="str">
        <f ca="1">VLOOKUP($L555,OFFSET([2]enemies!$A$1,0,0,COUNTA([2]enemies!$A:$A),MATCH(P$1,[2]enemies!$1:$1,0)-MATCH($L$1,[2]enemies!$1:$1,0)+1),MATCH(P$1,[2]enemies!$1:$1,0)-MATCH($L$1,[2]enemies!$1:$1,0)+1,FALSE)</f>
        <v>unknown</v>
      </c>
      <c r="Q555" s="21">
        <f ca="1">VLOOKUP($L555,OFFSET([2]enemies!$A$1,0,0,COUNTA([2]enemies!$A:$A),MATCH(Q$1,[2]enemies!$1:$1,0)-MATCH($L$1,[2]enemies!$1:$1,0)+1),MATCH(Q$1,[2]enemies!$1:$1,0)-MATCH($L$1,[2]enemies!$1:$1,0)+1,FALSE)</f>
        <v>15</v>
      </c>
      <c r="R555" s="53">
        <v>50</v>
      </c>
      <c r="S555" s="27">
        <v>1</v>
      </c>
      <c r="T555" s="27">
        <v>1</v>
      </c>
      <c r="U555" s="5">
        <v>0</v>
      </c>
      <c r="V555" s="4" t="str">
        <f ca="1">VLOOKUP($W555,OFFSET([4]enemy_skill_sets!$B$1,0,0,COUNTA([4]enemy_skill_sets!$B:$B),MATCH(M$1,[4]enemy_skill_sets!$1:$1,0)-MATCH($W$1,[4]enemy_skill_sets!$1:$1,0)+2),MATCH(M$1,[4]enemy_skill_sets!$1:$1,0)-MATCH($W$1,[4]enemy_skill_sets!$1:$1,0)+2,FALSE)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55" s="64">
        <v>352</v>
      </c>
      <c r="X555" s="6">
        <v>1</v>
      </c>
      <c r="Y555" s="6">
        <v>100</v>
      </c>
      <c r="Z555" s="6">
        <v>0</v>
      </c>
      <c r="AA555" s="4">
        <f ca="1">VLOOKUP($L555,OFFSET([2]enemies!$A$1,0,0,COUNTA([2]enemies!$A:$A),MATCH(AA$1,[2]enemies!$1:$1,0)-MATCH($L$1,[2]enemies!$1:$1,0)+1),MATCH(AA$1,[2]enemies!$1:$1,0)-MATCH($L$1,[2]enemies!$1:$1,0)+1,FALSE)</f>
        <v>3</v>
      </c>
      <c r="AB555" s="52">
        <v>352</v>
      </c>
      <c r="AC555" s="4" t="str">
        <f ca="1">VLOOKUP($AB555,OFFSET([3]characters!$A$1,0,0,COUNTA([3]characters!$A:$A),MATCH(AC$1,[3]characters!$1:$1,0)-MATCH("character_id",[3]characters!$1:$1,0)+1),MATCH(AC$1,[3]characters!$1:$1,0)-MATCH("character_id",[3]characters!$1:$1,0)+1,FALSE)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55" s="4">
        <f ca="1">VLOOKUP($AB555,OFFSET([3]characters!$A$1,0,0,COUNTA([3]characters!$A:$A),MATCH(AD$1,[3]characters!$1:$1,0)-MATCH("character_id",[3]characters!$1:$1,0)+1),MATCH(AD$1,[3]characters!$1:$1,0)-MATCH("character_id",[3]characters!$1:$1,0)+1,FALSE)</f>
        <v>2</v>
      </c>
      <c r="AE555" s="4" t="str">
        <f ca="1">VLOOKUP($AB555,OFFSET([3]characters!$A$1,0,0,COUNTA([3]characters!$A:$A),MATCH(AE$1,[3]characters!$1:$1,0)-MATCH("character_id",[3]characters!$1:$1,0)+1),MATCH(AE$1,[3]characters!$1:$1,0)-MATCH("character_id",[3]characters!$1:$1,0)+1,FALSE)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55" s="7">
        <v>10</v>
      </c>
      <c r="AG555" s="26">
        <f t="shared" ca="1" si="575"/>
        <v>2</v>
      </c>
      <c r="AH555" s="8">
        <v>100</v>
      </c>
      <c r="AI555" s="7">
        <v>0</v>
      </c>
      <c r="AJ555" s="7">
        <v>0</v>
      </c>
      <c r="AK555" s="7">
        <v>0</v>
      </c>
      <c r="AL555" s="7">
        <v>0</v>
      </c>
      <c r="AM555" s="7">
        <v>1</v>
      </c>
    </row>
    <row r="556" spans="1:39" ht="14" x14ac:dyDescent="0.15">
      <c r="A556" s="18" t="str">
        <f t="shared" ca="1" si="560"/>
        <v>25_3-2/13&lt;lv50&gt;s2</v>
      </c>
      <c r="B556" s="50">
        <v>25</v>
      </c>
      <c r="C556" s="49">
        <v>3</v>
      </c>
      <c r="D556" s="2" t="str">
        <f t="shared" si="588"/>
        <v>25_3</v>
      </c>
      <c r="E556" s="2" t="str">
        <f t="shared" si="588"/>
        <v>3_25_3</v>
      </c>
      <c r="F556" s="4" t="str">
        <f ca="1">VLOOKUP($D556,OFFSET([1]stages!$A$1,0,0,COUNTA([1]stages!$A:$A),MATCH(F$1,[1]stages!$2:$2,0)-MATCH($D$1,[1]stages!$2:$2,0)+1),MATCH(F$1,[1]stages!$2:$2,0)-MATCH($D$1,[1]stages!$2:$2,0)+1,FALSE)</f>
        <v>25-3．暗闇との対話</v>
      </c>
      <c r="G556" s="55">
        <v>2</v>
      </c>
      <c r="H556" s="17" t="str">
        <f t="shared" si="589"/>
        <v>25_3-2</v>
      </c>
      <c r="I556" s="17"/>
      <c r="J556" s="17"/>
      <c r="K556" s="65" t="s">
        <v>56</v>
      </c>
      <c r="L556" s="52">
        <v>13</v>
      </c>
      <c r="M556" s="21" t="str">
        <f ca="1">VLOOKUP($L556,OFFSET([2]enemies!$A$1,0,0,COUNTA([2]enemies!$A:$A),MATCH(M$1,[2]enemies!$1:$1,0)-MATCH($L$1,[2]enemies!$1:$1,0)+1),MATCH(M$1,[2]enemies!$1:$1,0)-MATCH($L$1,[2]enemies!$1:$1,0)+1,FALSE)</f>
        <v>ミミ</v>
      </c>
      <c r="N556" s="21" t="str">
        <f ca="1">VLOOKUP($L556,OFFSET([2]enemies!$A$1,0,0,COUNTA([2]enemies!$A:$A),MATCH(N$1,[2]enemies!$1:$1,0)-MATCH($L$1,[2]enemies!$1:$1,0)+1),MATCH(N$1,[2]enemies!$1:$1,0)-MATCH($L$1,[2]enemies!$1:$1,0)+1,FALSE)</f>
        <v>yellow</v>
      </c>
      <c r="O556" s="21" t="str">
        <f ca="1">VLOOKUP($L556,OFFSET([3]characters!$A$1,0,0,COUNTA([3]characters!$A:$A),MATCH(O$1,[3]characters!$1:$1,0)-MATCH($L$1,[3]characters!$1:$1,0)+1),MATCH(O$1,[3]characters!$1:$1,0)-MATCH($L$1,[3]characters!$1:$1,0)+1,FALSE)</f>
        <v>Drop1W</v>
      </c>
      <c r="P556" s="21" t="str">
        <f ca="1">VLOOKUP($L556,OFFSET([2]enemies!$A$1,0,0,COUNTA([2]enemies!$A:$A),MATCH(P$1,[2]enemies!$1:$1,0)-MATCH($L$1,[2]enemies!$1:$1,0)+1),MATCH(P$1,[2]enemies!$1:$1,0)-MATCH($L$1,[2]enemies!$1:$1,0)+1,FALSE)</f>
        <v>animal</v>
      </c>
      <c r="Q556" s="21">
        <f ca="1">VLOOKUP($L556,OFFSET([2]enemies!$A$1,0,0,COUNTA([2]enemies!$A:$A),MATCH(Q$1,[2]enemies!$1:$1,0)-MATCH($L$1,[2]enemies!$1:$1,0)+1),MATCH(Q$1,[2]enemies!$1:$1,0)-MATCH($L$1,[2]enemies!$1:$1,0)+1,FALSE)</f>
        <v>15</v>
      </c>
      <c r="R556" s="53">
        <v>50</v>
      </c>
      <c r="S556" s="27">
        <v>1</v>
      </c>
      <c r="T556" s="27">
        <v>1</v>
      </c>
      <c r="U556" s="5">
        <v>0</v>
      </c>
      <c r="V556" s="4" t="str">
        <f ca="1">VLOOKUP($W556,OFFSET([4]enemy_skill_sets!$B$1,0,0,COUNTA([4]enemy_skill_sets!$B:$B),MATCH(M$1,[4]enemy_skill_sets!$1:$1,0)-MATCH($W$1,[4]enemy_skill_sets!$1:$1,0)+2),MATCH(M$1,[4]enemy_skill_sets!$1:$1,0)-MATCH($W$1,[4]enemy_skill_sets!$1:$1,0)+2,FALSE)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56" s="4">
        <f ca="1">VLOOKUP($L556,OFFSET([2]enemies!$A$1,0,0,COUNTA([2]enemies!$A:$A),MATCH(W$1,[2]enemies!$1:$1,0)-MATCH($L$1,[2]enemies!$1:$1,0)+1),MATCH(W$1,[2]enemies!$1:$1,0)-MATCH($L$1,[2]enemies!$1:$1,0)+1,FALSE)</f>
        <v>0</v>
      </c>
      <c r="X556" s="6">
        <v>0</v>
      </c>
      <c r="Y556" s="6">
        <v>100</v>
      </c>
      <c r="Z556" s="6">
        <v>0</v>
      </c>
      <c r="AA556" s="4">
        <f ca="1">VLOOKUP($L556,OFFSET([2]enemies!$A$1,0,0,COUNTA([2]enemies!$A:$A),MATCH(AA$1,[2]enemies!$1:$1,0)-MATCH($L$1,[2]enemies!$1:$1,0)+1),MATCH(AA$1,[2]enemies!$1:$1,0)-MATCH($L$1,[2]enemies!$1:$1,0)+1,FALSE)</f>
        <v>2</v>
      </c>
      <c r="AB556" s="52">
        <v>25</v>
      </c>
      <c r="AC556" s="4" t="str">
        <f ca="1">VLOOKUP($AB556,OFFSET([3]characters!$A$1,0,0,COUNTA([3]characters!$A:$A),MATCH(AC$1,[3]characters!$1:$1,0)-MATCH("character_id",[3]characters!$1:$1,0)+1),MATCH(AC$1,[3]characters!$1:$1,0)-MATCH("character_id",[3]characters!$1:$1,0)+1,FALSE)</f>
        <v>ハチ</v>
      </c>
      <c r="AD556" s="4">
        <f ca="1">VLOOKUP($AB556,OFFSET([3]characters!$A$1,0,0,COUNTA([3]characters!$A:$A),MATCH(AD$1,[3]characters!$1:$1,0)-MATCH("character_id",[3]characters!$1:$1,0)+1),MATCH(AD$1,[3]characters!$1:$1,0)-MATCH("character_id",[3]characters!$1:$1,0)+1,FALSE)</f>
        <v>1</v>
      </c>
      <c r="AE556" s="4" t="str">
        <f ca="1">VLOOKUP($AB556,OFFSET([3]characters!$A$1,0,0,COUNTA([3]characters!$A:$A),MATCH(AE$1,[3]characters!$1:$1,0)-MATCH("character_id",[3]characters!$1:$1,0)+1),MATCH(AE$1,[3]characters!$1:$1,0)-MATCH("character_id",[3]characters!$1:$1,0)+1,FALSE)</f>
        <v>Drop1N</v>
      </c>
      <c r="AF556" s="7">
        <v>7</v>
      </c>
      <c r="AG556" s="26">
        <f t="shared" ca="1" si="575"/>
        <v>1</v>
      </c>
      <c r="AH556" s="8">
        <v>20</v>
      </c>
      <c r="AI556" s="7">
        <v>0</v>
      </c>
      <c r="AJ556" s="7">
        <v>0</v>
      </c>
      <c r="AK556" s="7">
        <v>0</v>
      </c>
      <c r="AL556" s="7">
        <v>0</v>
      </c>
      <c r="AM556" s="7">
        <v>1</v>
      </c>
    </row>
    <row r="557" spans="1:39" ht="14" x14ac:dyDescent="0.15">
      <c r="A557" s="18" t="str">
        <f t="shared" ca="1" si="560"/>
        <v>25_3-2/47&lt;lv50&gt;s1</v>
      </c>
      <c r="B557" s="50">
        <v>25</v>
      </c>
      <c r="C557" s="49">
        <v>3</v>
      </c>
      <c r="D557" s="2" t="str">
        <f t="shared" si="588"/>
        <v>25_3</v>
      </c>
      <c r="E557" s="2" t="str">
        <f t="shared" si="588"/>
        <v>3_25_3</v>
      </c>
      <c r="F557" s="4" t="str">
        <f ca="1">VLOOKUP($D557,OFFSET([1]stages!$A$1,0,0,COUNTA([1]stages!$A:$A),MATCH(F$1,[1]stages!$2:$2,0)-MATCH($D$1,[1]stages!$2:$2,0)+1),MATCH(F$1,[1]stages!$2:$2,0)-MATCH($D$1,[1]stages!$2:$2,0)+1,FALSE)</f>
        <v>25-3．暗闇との対話</v>
      </c>
      <c r="G557" s="55">
        <v>2</v>
      </c>
      <c r="H557" s="17" t="str">
        <f t="shared" si="589"/>
        <v>25_3-2</v>
      </c>
      <c r="I557" s="17"/>
      <c r="J557" s="17"/>
      <c r="K557" s="65" t="s">
        <v>56</v>
      </c>
      <c r="L557" s="52">
        <v>47</v>
      </c>
      <c r="M557" s="21" t="str">
        <f ca="1">VLOOKUP($L557,OFFSET([2]enemies!$A$1,0,0,COUNTA([2]enemies!$A:$A),MATCH(M$1,[2]enemies!$1:$1,0)-MATCH($L$1,[2]enemies!$1:$1,0)+1),MATCH(M$1,[2]enemies!$1:$1,0)-MATCH($L$1,[2]enemies!$1:$1,0)+1,FALSE)</f>
        <v>ヒロ</v>
      </c>
      <c r="N557" s="21" t="str">
        <f ca="1">VLOOKUP($L557,OFFSET([2]enemies!$A$1,0,0,COUNTA([2]enemies!$A:$A),MATCH(N$1,[2]enemies!$1:$1,0)-MATCH($L$1,[2]enemies!$1:$1,0)+1),MATCH(N$1,[2]enemies!$1:$1,0)-MATCH($L$1,[2]enemies!$1:$1,0)+1,FALSE)</f>
        <v>yellow</v>
      </c>
      <c r="O557" s="21" t="str">
        <f ca="1">VLOOKUP($L557,OFFSET([3]characters!$A$1,0,0,COUNTA([3]characters!$A:$A),MATCH(O$1,[3]characters!$1:$1,0)-MATCH($L$1,[3]characters!$1:$1,0)+1),MATCH(O$1,[3]characters!$1:$1,0)-MATCH($L$1,[3]characters!$1:$1,0)+1,FALSE)</f>
        <v>Drop1N</v>
      </c>
      <c r="P557" s="21" t="str">
        <f ca="1">VLOOKUP($L557,OFFSET([2]enemies!$A$1,0,0,COUNTA([2]enemies!$A:$A),MATCH(P$1,[2]enemies!$1:$1,0)-MATCH($L$1,[2]enemies!$1:$1,0)+1),MATCH(P$1,[2]enemies!$1:$1,0)-MATCH($L$1,[2]enemies!$1:$1,0)+1,FALSE)</f>
        <v>animal</v>
      </c>
      <c r="Q557" s="21">
        <f ca="1">VLOOKUP($L557,OFFSET([2]enemies!$A$1,0,0,COUNTA([2]enemies!$A:$A),MATCH(Q$1,[2]enemies!$1:$1,0)-MATCH($L$1,[2]enemies!$1:$1,0)+1),MATCH(Q$1,[2]enemies!$1:$1,0)-MATCH($L$1,[2]enemies!$1:$1,0)+1,FALSE)</f>
        <v>15</v>
      </c>
      <c r="R557" s="53">
        <v>50</v>
      </c>
      <c r="S557" s="27">
        <v>1</v>
      </c>
      <c r="T557" s="27">
        <v>1</v>
      </c>
      <c r="U557" s="5">
        <v>0</v>
      </c>
      <c r="V557" s="4" t="str">
        <f ca="1">VLOOKUP($W557,OFFSET([4]enemy_skill_sets!$B$1,0,0,COUNTA([4]enemy_skill_sets!$B:$B),MATCH(M$1,[4]enemy_skill_sets!$1:$1,0)-MATCH($W$1,[4]enemy_skill_sets!$1:$1,0)+2),MATCH(M$1,[4]enemy_skill_sets!$1:$1,0)-MATCH($W$1,[4]enemy_skill_sets!$1:$1,0)+2,FALSE)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57" s="4">
        <f ca="1">VLOOKUP($L557,OFFSET([2]enemies!$A$1,0,0,COUNTA([2]enemies!$A:$A),MATCH(W$1,[2]enemies!$1:$1,0)-MATCH($L$1,[2]enemies!$1:$1,0)+1),MATCH(W$1,[2]enemies!$1:$1,0)-MATCH($L$1,[2]enemies!$1:$1,0)+1,FALSE)</f>
        <v>0</v>
      </c>
      <c r="X557" s="6">
        <v>0</v>
      </c>
      <c r="Y557" s="6">
        <v>100</v>
      </c>
      <c r="Z557" s="6">
        <v>0</v>
      </c>
      <c r="AA557" s="4">
        <f ca="1">VLOOKUP($L557,OFFSET([2]enemies!$A$1,0,0,COUNTA([2]enemies!$A:$A),MATCH(AA$1,[2]enemies!$1:$1,0)-MATCH($L$1,[2]enemies!$1:$1,0)+1),MATCH(AA$1,[2]enemies!$1:$1,0)-MATCH($L$1,[2]enemies!$1:$1,0)+1,FALSE)</f>
        <v>1</v>
      </c>
      <c r="AB557" s="52">
        <v>37</v>
      </c>
      <c r="AC557" s="4" t="str">
        <f ca="1">VLOOKUP($AB557,OFFSET([3]characters!$A$1,0,0,COUNTA([3]characters!$A:$A),MATCH(AC$1,[3]characters!$1:$1,0)-MATCH("character_id",[3]characters!$1:$1,0)+1),MATCH(AC$1,[3]characters!$1:$1,0)-MATCH("character_id",[3]characters!$1:$1,0)+1,FALSE)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557" s="4">
        <f ca="1">VLOOKUP($AB557,OFFSET([3]characters!$A$1,0,0,COUNTA([3]characters!$A:$A),MATCH(AD$1,[3]characters!$1:$1,0)-MATCH("character_id",[3]characters!$1:$1,0)+1),MATCH(AD$1,[3]characters!$1:$1,0)-MATCH("character_id",[3]characters!$1:$1,0)+1,FALSE)</f>
        <v>2</v>
      </c>
      <c r="AE557" s="4" t="str">
        <f ca="1">VLOOKUP($AB557,OFFSET([3]characters!$A$1,0,0,COUNTA([3]characters!$A:$A),MATCH(AE$1,[3]characters!$1:$1,0)-MATCH("character_id",[3]characters!$1:$1,0)+1),MATCH(AE$1,[3]characters!$1:$1,0)-MATCH("character_id",[3]characters!$1:$1,0)+1,FALSE)</f>
        <v>Drop1S</v>
      </c>
      <c r="AF557" s="7">
        <v>5</v>
      </c>
      <c r="AG557" s="26">
        <f t="shared" ca="1" si="575"/>
        <v>2</v>
      </c>
      <c r="AH557" s="8">
        <v>20</v>
      </c>
      <c r="AI557" s="7">
        <v>0</v>
      </c>
      <c r="AJ557" s="7">
        <v>0</v>
      </c>
      <c r="AK557" s="7">
        <v>0</v>
      </c>
      <c r="AL557" s="7">
        <v>0</v>
      </c>
      <c r="AM557" s="7">
        <v>1</v>
      </c>
    </row>
    <row r="558" spans="1:39" ht="14" x14ac:dyDescent="0.15">
      <c r="A558" s="18" t="str">
        <f t="shared" ref="A558:A607" ca="1" si="604">B558&amp;"_"&amp;C558&amp;"-"&amp;G558&amp;"/"&amp;L558&amp;"&lt;lv"&amp;R558&amp;"&gt;s"&amp;AA558</f>
        <v>25_3-2/63&lt;lv50&gt;s2</v>
      </c>
      <c r="B558" s="50">
        <v>25</v>
      </c>
      <c r="C558" s="49">
        <v>3</v>
      </c>
      <c r="D558" s="2" t="str">
        <f t="shared" si="588"/>
        <v>25_3</v>
      </c>
      <c r="E558" s="2" t="str">
        <f t="shared" si="588"/>
        <v>3_25_3</v>
      </c>
      <c r="F558" s="4" t="str">
        <f ca="1">VLOOKUP($D558,OFFSET([1]stages!$A$1,0,0,COUNTA([1]stages!$A:$A),MATCH(F$1,[1]stages!$2:$2,0)-MATCH($D$1,[1]stages!$2:$2,0)+1),MATCH(F$1,[1]stages!$2:$2,0)-MATCH($D$1,[1]stages!$2:$2,0)+1,FALSE)</f>
        <v>25-3．暗闇との対話</v>
      </c>
      <c r="G558" s="55">
        <v>2</v>
      </c>
      <c r="H558" s="17" t="str">
        <f t="shared" si="589"/>
        <v>25_3-2</v>
      </c>
      <c r="I558" s="17"/>
      <c r="J558" s="17"/>
      <c r="K558" s="65" t="s">
        <v>56</v>
      </c>
      <c r="L558" s="52">
        <v>63</v>
      </c>
      <c r="M558" s="21" t="str">
        <f ca="1">VLOOKUP($L558,OFFSET([2]enemies!$A$1,0,0,COUNTA([2]enemies!$A:$A),MATCH(M$1,[2]enemies!$1:$1,0)-MATCH($L$1,[2]enemies!$1:$1,0)+1),MATCH(M$1,[2]enemies!$1:$1,0)-MATCH($L$1,[2]enemies!$1:$1,0)+1,FALSE)</f>
        <v>トニー</v>
      </c>
      <c r="N558" s="21" t="str">
        <f ca="1">VLOOKUP($L558,OFFSET([2]enemies!$A$1,0,0,COUNTA([2]enemies!$A:$A),MATCH(N$1,[2]enemies!$1:$1,0)-MATCH($L$1,[2]enemies!$1:$1,0)+1),MATCH(N$1,[2]enemies!$1:$1,0)-MATCH($L$1,[2]enemies!$1:$1,0)+1,FALSE)</f>
        <v>yellow</v>
      </c>
      <c r="O558" s="21" t="str">
        <f ca="1">VLOOKUP($L558,OFFSET([3]characters!$A$1,0,0,COUNTA([3]characters!$A:$A),MATCH(O$1,[3]characters!$1:$1,0)-MATCH($L$1,[3]characters!$1:$1,0)+1),MATCH(O$1,[3]characters!$1:$1,0)-MATCH($L$1,[3]characters!$1:$1,0)+1,FALSE)</f>
        <v>Drop1N</v>
      </c>
      <c r="P558" s="21" t="str">
        <f ca="1">VLOOKUP($L558,OFFSET([2]enemies!$A$1,0,0,COUNTA([2]enemies!$A:$A),MATCH(P$1,[2]enemies!$1:$1,0)-MATCH($L$1,[2]enemies!$1:$1,0)+1),MATCH(P$1,[2]enemies!$1:$1,0)-MATCH($L$1,[2]enemies!$1:$1,0)+1,FALSE)</f>
        <v>animal</v>
      </c>
      <c r="Q558" s="21">
        <f ca="1">VLOOKUP($L558,OFFSET([2]enemies!$A$1,0,0,COUNTA([2]enemies!$A:$A),MATCH(Q$1,[2]enemies!$1:$1,0)-MATCH($L$1,[2]enemies!$1:$1,0)+1),MATCH(Q$1,[2]enemies!$1:$1,0)-MATCH($L$1,[2]enemies!$1:$1,0)+1,FALSE)</f>
        <v>15</v>
      </c>
      <c r="R558" s="53">
        <v>50</v>
      </c>
      <c r="S558" s="27">
        <v>1</v>
      </c>
      <c r="T558" s="27">
        <v>1</v>
      </c>
      <c r="U558" s="5">
        <v>0</v>
      </c>
      <c r="V558" s="4" t="str">
        <f ca="1">VLOOKUP($W558,OFFSET([4]enemy_skill_sets!$B$1,0,0,COUNTA([4]enemy_skill_sets!$B:$B),MATCH(M$1,[4]enemy_skill_sets!$1:$1,0)-MATCH($W$1,[4]enemy_skill_sets!$1:$1,0)+2),MATCH(M$1,[4]enemy_skill_sets!$1:$1,0)-MATCH($W$1,[4]enemy_skill_sets!$1:$1,0)+2,FALSE)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558" s="4">
        <f ca="1">VLOOKUP($L558,OFFSET([2]enemies!$A$1,0,0,COUNTA([2]enemies!$A:$A),MATCH(W$1,[2]enemies!$1:$1,0)-MATCH($L$1,[2]enemies!$1:$1,0)+1),MATCH(W$1,[2]enemies!$1:$1,0)-MATCH($L$1,[2]enemies!$1:$1,0)+1,FALSE)</f>
        <v>63</v>
      </c>
      <c r="X558" s="6">
        <v>0</v>
      </c>
      <c r="Y558" s="6">
        <v>100</v>
      </c>
      <c r="Z558" s="6">
        <v>0</v>
      </c>
      <c r="AA558" s="4">
        <f ca="1">VLOOKUP($L558,OFFSET([2]enemies!$A$1,0,0,COUNTA([2]enemies!$A:$A),MATCH(AA$1,[2]enemies!$1:$1,0)-MATCH($L$1,[2]enemies!$1:$1,0)+1),MATCH(AA$1,[2]enemies!$1:$1,0)-MATCH($L$1,[2]enemies!$1:$1,0)+1,FALSE)</f>
        <v>2</v>
      </c>
      <c r="AB558" s="52">
        <v>45</v>
      </c>
      <c r="AC558" s="4" t="str">
        <f ca="1">VLOOKUP($AB558,OFFSET([3]characters!$A$1,0,0,COUNTA([3]characters!$A:$A),MATCH(AC$1,[3]characters!$1:$1,0)-MATCH("character_id",[3]characters!$1:$1,0)+1),MATCH(AC$1,[3]characters!$1:$1,0)-MATCH("character_id",[3]characters!$1:$1,0)+1,FALSE)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558" s="4">
        <f ca="1">VLOOKUP($AB558,OFFSET([3]characters!$A$1,0,0,COUNTA([3]characters!$A:$A),MATCH(AD$1,[3]characters!$1:$1,0)-MATCH("character_id",[3]characters!$1:$1,0)+1),MATCH(AD$1,[3]characters!$1:$1,0)-MATCH("character_id",[3]characters!$1:$1,0)+1,FALSE)</f>
        <v>2</v>
      </c>
      <c r="AE558" s="4" t="str">
        <f ca="1">VLOOKUP($AB558,OFFSET([3]characters!$A$1,0,0,COUNTA([3]characters!$A:$A),MATCH(AE$1,[3]characters!$1:$1,0)-MATCH("character_id",[3]characters!$1:$1,0)+1),MATCH(AE$1,[3]characters!$1:$1,0)-MATCH("character_id",[3]characters!$1:$1,0)+1,FALSE)</f>
        <v>Drop1N</v>
      </c>
      <c r="AF558" s="7">
        <v>7</v>
      </c>
      <c r="AG558" s="26">
        <f t="shared" ca="1" si="575"/>
        <v>2</v>
      </c>
      <c r="AH558" s="8">
        <v>20</v>
      </c>
      <c r="AI558" s="7">
        <v>0</v>
      </c>
      <c r="AJ558" s="7">
        <v>0</v>
      </c>
      <c r="AK558" s="7">
        <v>0</v>
      </c>
      <c r="AL558" s="7">
        <v>0</v>
      </c>
      <c r="AM558" s="7">
        <v>1</v>
      </c>
    </row>
    <row r="559" spans="1:39" ht="14" x14ac:dyDescent="0.15">
      <c r="A559" s="18" t="str">
        <f t="shared" ca="1" si="604"/>
        <v>25_3-2/19&lt;lv50&gt;s3</v>
      </c>
      <c r="B559" s="50">
        <v>25</v>
      </c>
      <c r="C559" s="49">
        <v>3</v>
      </c>
      <c r="D559" s="2" t="str">
        <f t="shared" si="588"/>
        <v>25_3</v>
      </c>
      <c r="E559" s="2" t="str">
        <f t="shared" si="588"/>
        <v>3_25_3</v>
      </c>
      <c r="F559" s="4" t="str">
        <f ca="1">VLOOKUP($D559,OFFSET([1]stages!$A$1,0,0,COUNTA([1]stages!$A:$A),MATCH(F$1,[1]stages!$2:$2,0)-MATCH($D$1,[1]stages!$2:$2,0)+1),MATCH(F$1,[1]stages!$2:$2,0)-MATCH($D$1,[1]stages!$2:$2,0)+1,FALSE)</f>
        <v>25-3．暗闇との対話</v>
      </c>
      <c r="G559" s="55">
        <v>2</v>
      </c>
      <c r="H559" s="17" t="str">
        <f t="shared" si="589"/>
        <v>25_3-2</v>
      </c>
      <c r="I559" s="17"/>
      <c r="J559" s="17"/>
      <c r="K559" s="65" t="s">
        <v>56</v>
      </c>
      <c r="L559" s="52">
        <v>19</v>
      </c>
      <c r="M559" s="21" t="str">
        <f ca="1">VLOOKUP($L559,OFFSET([2]enemies!$A$1,0,0,COUNTA([2]enemies!$A:$A),MATCH(M$1,[2]enemies!$1:$1,0)-MATCH($L$1,[2]enemies!$1:$1,0)+1),MATCH(M$1,[2]enemies!$1:$1,0)-MATCH($L$1,[2]enemies!$1:$1,0)+1,FALSE)</f>
        <v>ティンク</v>
      </c>
      <c r="N559" s="21" t="str">
        <f ca="1">VLOOKUP($L559,OFFSET([2]enemies!$A$1,0,0,COUNTA([2]enemies!$A:$A),MATCH(N$1,[2]enemies!$1:$1,0)-MATCH($L$1,[2]enemies!$1:$1,0)+1),MATCH(N$1,[2]enemies!$1:$1,0)-MATCH($L$1,[2]enemies!$1:$1,0)+1,FALSE)</f>
        <v>yellow</v>
      </c>
      <c r="O559" s="21" t="str">
        <f ca="1">VLOOKUP($L559,OFFSET([3]characters!$A$1,0,0,COUNTA([3]characters!$A:$A),MATCH(O$1,[3]characters!$1:$1,0)-MATCH($L$1,[3]characters!$1:$1,0)+1),MATCH(O$1,[3]characters!$1:$1,0)-MATCH($L$1,[3]characters!$1:$1,0)+1,FALSE)</f>
        <v>Drop1W</v>
      </c>
      <c r="P559" s="21" t="str">
        <f ca="1">VLOOKUP($L559,OFFSET([2]enemies!$A$1,0,0,COUNTA([2]enemies!$A:$A),MATCH(P$1,[2]enemies!$1:$1,0)-MATCH($L$1,[2]enemies!$1:$1,0)+1),MATCH(P$1,[2]enemies!$1:$1,0)-MATCH($L$1,[2]enemies!$1:$1,0)+1,FALSE)</f>
        <v>human</v>
      </c>
      <c r="Q559" s="21">
        <f ca="1">VLOOKUP($L559,OFFSET([2]enemies!$A$1,0,0,COUNTA([2]enemies!$A:$A),MATCH(Q$1,[2]enemies!$1:$1,0)-MATCH($L$1,[2]enemies!$1:$1,0)+1),MATCH(Q$1,[2]enemies!$1:$1,0)-MATCH($L$1,[2]enemies!$1:$1,0)+1,FALSE)</f>
        <v>15</v>
      </c>
      <c r="R559" s="53">
        <v>50</v>
      </c>
      <c r="S559" s="27">
        <v>1</v>
      </c>
      <c r="T559" s="27">
        <v>1</v>
      </c>
      <c r="U559" s="5">
        <v>0</v>
      </c>
      <c r="V559" s="4" t="str">
        <f ca="1">VLOOKUP($W559,OFFSET([4]enemy_skill_sets!$B$1,0,0,COUNTA([4]enemy_skill_sets!$B:$B),MATCH(M$1,[4]enemy_skill_sets!$1:$1,0)-MATCH($W$1,[4]enemy_skill_sets!$1:$1,0)+2),MATCH(M$1,[4]enemy_skill_sets!$1:$1,0)-MATCH($W$1,[4]enemy_skill_sets!$1:$1,0)+2,FALSE)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59" s="4">
        <f ca="1">VLOOKUP($L559,OFFSET([2]enemies!$A$1,0,0,COUNTA([2]enemies!$A:$A),MATCH(W$1,[2]enemies!$1:$1,0)-MATCH($L$1,[2]enemies!$1:$1,0)+1),MATCH(W$1,[2]enemies!$1:$1,0)-MATCH($L$1,[2]enemies!$1:$1,0)+1,FALSE)</f>
        <v>0</v>
      </c>
      <c r="X559" s="6">
        <v>0</v>
      </c>
      <c r="Y559" s="6">
        <v>100</v>
      </c>
      <c r="Z559" s="6">
        <v>0</v>
      </c>
      <c r="AA559" s="4">
        <f ca="1">VLOOKUP($L559,OFFSET([2]enemies!$A$1,0,0,COUNTA([2]enemies!$A:$A),MATCH(AA$1,[2]enemies!$1:$1,0)-MATCH($L$1,[2]enemies!$1:$1,0)+1),MATCH(AA$1,[2]enemies!$1:$1,0)-MATCH($L$1,[2]enemies!$1:$1,0)+1,FALSE)</f>
        <v>3</v>
      </c>
      <c r="AB559" s="52">
        <v>364</v>
      </c>
      <c r="AC559" s="4" t="str">
        <f ca="1">VLOOKUP($AB559,OFFSET([3]characters!$A$1,0,0,COUNTA([3]characters!$A:$A),MATCH(AC$1,[3]characters!$1:$1,0)-MATCH("character_id",[3]characters!$1:$1,0)+1),MATCH(AC$1,[3]characters!$1:$1,0)-MATCH("character_id",[3]characters!$1:$1,0)+1,FALSE)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59" s="4">
        <f ca="1">VLOOKUP($AB559,OFFSET([3]characters!$A$1,0,0,COUNTA([3]characters!$A:$A),MATCH(AD$1,[3]characters!$1:$1,0)-MATCH("character_id",[3]characters!$1:$1,0)+1),MATCH(AD$1,[3]characters!$1:$1,0)-MATCH("character_id",[3]characters!$1:$1,0)+1,FALSE)</f>
        <v>2</v>
      </c>
      <c r="AE559" s="4" t="str">
        <f ca="1">VLOOKUP($AB559,OFFSET([3]characters!$A$1,0,0,COUNTA([3]characters!$A:$A),MATCH(AE$1,[3]characters!$1:$1,0)-MATCH("character_id",[3]characters!$1:$1,0)+1),MATCH(AE$1,[3]characters!$1:$1,0)-MATCH("character_id",[3]characters!$1:$1,0)+1,FALSE)</f>
        <v>Drop1S</v>
      </c>
      <c r="AF559" s="7">
        <v>5</v>
      </c>
      <c r="AG559" s="26">
        <f t="shared" ca="1" si="575"/>
        <v>2</v>
      </c>
      <c r="AH559" s="8">
        <v>20</v>
      </c>
      <c r="AI559" s="7">
        <v>0</v>
      </c>
      <c r="AJ559" s="7">
        <v>0</v>
      </c>
      <c r="AK559" s="7">
        <v>0</v>
      </c>
      <c r="AL559" s="7">
        <v>0</v>
      </c>
      <c r="AM559" s="7">
        <v>1</v>
      </c>
    </row>
    <row r="560" spans="1:39" ht="14" x14ac:dyDescent="0.15">
      <c r="A560" s="18" t="str">
        <f t="shared" ca="1" si="604"/>
        <v>25_3-2/39&lt;lv50&gt;s3</v>
      </c>
      <c r="B560" s="50">
        <v>25</v>
      </c>
      <c r="C560" s="49">
        <v>3</v>
      </c>
      <c r="D560" s="2" t="str">
        <f t="shared" si="588"/>
        <v>25_3</v>
      </c>
      <c r="E560" s="2" t="str">
        <f t="shared" si="588"/>
        <v>3_25_3</v>
      </c>
      <c r="F560" s="4" t="str">
        <f ca="1">VLOOKUP($D560,OFFSET([1]stages!$A$1,0,0,COUNTA([1]stages!$A:$A),MATCH(F$1,[1]stages!$2:$2,0)-MATCH($D$1,[1]stages!$2:$2,0)+1),MATCH(F$1,[1]stages!$2:$2,0)-MATCH($D$1,[1]stages!$2:$2,0)+1,FALSE)</f>
        <v>25-3．暗闇との対話</v>
      </c>
      <c r="G560" s="55">
        <v>2</v>
      </c>
      <c r="H560" s="17" t="str">
        <f t="shared" si="589"/>
        <v>25_3-2</v>
      </c>
      <c r="I560" s="17"/>
      <c r="J560" s="17"/>
      <c r="K560" s="65" t="s">
        <v>56</v>
      </c>
      <c r="L560" s="52">
        <v>39</v>
      </c>
      <c r="M560" s="21" t="str">
        <f ca="1">VLOOKUP($L560,OFFSET([2]enemies!$A$1,0,0,COUNTA([2]enemies!$A:$A),MATCH(M$1,[2]enemies!$1:$1,0)-MATCH($L$1,[2]enemies!$1:$1,0)+1),MATCH(M$1,[2]enemies!$1:$1,0)-MATCH($L$1,[2]enemies!$1:$1,0)+1,FALSE)</f>
        <v>マーロン</v>
      </c>
      <c r="N560" s="21" t="str">
        <f ca="1">VLOOKUP($L560,OFFSET([2]enemies!$A$1,0,0,COUNTA([2]enemies!$A:$A),MATCH(N$1,[2]enemies!$1:$1,0)-MATCH($L$1,[2]enemies!$1:$1,0)+1),MATCH(N$1,[2]enemies!$1:$1,0)-MATCH($L$1,[2]enemies!$1:$1,0)+1,FALSE)</f>
        <v>yellow</v>
      </c>
      <c r="O560" s="21" t="str">
        <f ca="1">VLOOKUP($L560,OFFSET([3]characters!$A$1,0,0,COUNTA([3]characters!$A:$A),MATCH(O$1,[3]characters!$1:$1,0)-MATCH($L$1,[3]characters!$1:$1,0)+1),MATCH(O$1,[3]characters!$1:$1,0)-MATCH($L$1,[3]characters!$1:$1,0)+1,FALSE)</f>
        <v>Drop1S</v>
      </c>
      <c r="P560" s="21" t="str">
        <f ca="1">VLOOKUP($L560,OFFSET([2]enemies!$A$1,0,0,COUNTA([2]enemies!$A:$A),MATCH(P$1,[2]enemies!$1:$1,0)-MATCH($L$1,[2]enemies!$1:$1,0)+1),MATCH(P$1,[2]enemies!$1:$1,0)-MATCH($L$1,[2]enemies!$1:$1,0)+1,FALSE)</f>
        <v>human</v>
      </c>
      <c r="Q560" s="21">
        <f ca="1">VLOOKUP($L560,OFFSET([2]enemies!$A$1,0,0,COUNTA([2]enemies!$A:$A),MATCH(Q$1,[2]enemies!$1:$1,0)-MATCH($L$1,[2]enemies!$1:$1,0)+1),MATCH(Q$1,[2]enemies!$1:$1,0)-MATCH($L$1,[2]enemies!$1:$1,0)+1,FALSE)</f>
        <v>15</v>
      </c>
      <c r="R560" s="53">
        <v>50</v>
      </c>
      <c r="S560" s="27">
        <v>1</v>
      </c>
      <c r="T560" s="27">
        <v>1</v>
      </c>
      <c r="U560" s="5">
        <v>0</v>
      </c>
      <c r="V560" s="4" t="str">
        <f ca="1">VLOOKUP($W560,OFFSET([4]enemy_skill_sets!$B$1,0,0,COUNTA([4]enemy_skill_sets!$B:$B),MATCH(M$1,[4]enemy_skill_sets!$1:$1,0)-MATCH($W$1,[4]enemy_skill_sets!$1:$1,0)+2),MATCH(M$1,[4]enemy_skill_sets!$1:$1,0)-MATCH($W$1,[4]enemy_skill_sets!$1:$1,0)+2,FALSE)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560" s="4">
        <f ca="1">VLOOKUP($L560,OFFSET([2]enemies!$A$1,0,0,COUNTA([2]enemies!$A:$A),MATCH(W$1,[2]enemies!$1:$1,0)-MATCH($L$1,[2]enemies!$1:$1,0)+1),MATCH(W$1,[2]enemies!$1:$1,0)-MATCH($L$1,[2]enemies!$1:$1,0)+1,FALSE)</f>
        <v>39</v>
      </c>
      <c r="X560" s="6">
        <v>0</v>
      </c>
      <c r="Y560" s="6">
        <v>100</v>
      </c>
      <c r="Z560" s="6">
        <v>0</v>
      </c>
      <c r="AA560" s="4">
        <f ca="1">VLOOKUP($L560,OFFSET([2]enemies!$A$1,0,0,COUNTA([2]enemies!$A:$A),MATCH(AA$1,[2]enemies!$1:$1,0)-MATCH($L$1,[2]enemies!$1:$1,0)+1),MATCH(AA$1,[2]enemies!$1:$1,0)-MATCH($L$1,[2]enemies!$1:$1,0)+1,FALSE)</f>
        <v>3</v>
      </c>
      <c r="AB560" s="52">
        <v>17</v>
      </c>
      <c r="AC560" s="4" t="str">
        <f ca="1">VLOOKUP($AB560,OFFSET([3]characters!$A$1,0,0,COUNTA([3]characters!$A:$A),MATCH(AC$1,[3]characters!$1:$1,0)-MATCH("character_id",[3]characters!$1:$1,0)+1),MATCH(AC$1,[3]characters!$1:$1,0)-MATCH("character_id",[3]characters!$1:$1,0)+1,FALSE)</f>
        <v>リム</v>
      </c>
      <c r="AD560" s="4">
        <f ca="1">VLOOKUP($AB560,OFFSET([3]characters!$A$1,0,0,COUNTA([3]characters!$A:$A),MATCH(AD$1,[3]characters!$1:$1,0)-MATCH("character_id",[3]characters!$1:$1,0)+1),MATCH(AD$1,[3]characters!$1:$1,0)-MATCH("character_id",[3]characters!$1:$1,0)+1,FALSE)</f>
        <v>1</v>
      </c>
      <c r="AE560" s="4" t="str">
        <f ca="1">VLOOKUP($AB560,OFFSET([3]characters!$A$1,0,0,COUNTA([3]characters!$A:$A),MATCH(AE$1,[3]characters!$1:$1,0)-MATCH("character_id",[3]characters!$1:$1,0)+1),MATCH(AE$1,[3]characters!$1:$1,0)-MATCH("character_id",[3]characters!$1:$1,0)+1,FALSE)</f>
        <v>Drop1W</v>
      </c>
      <c r="AF560" s="7">
        <v>9</v>
      </c>
      <c r="AG560" s="26">
        <f t="shared" ca="1" si="575"/>
        <v>1</v>
      </c>
      <c r="AH560" s="8">
        <v>20</v>
      </c>
      <c r="AI560" s="7">
        <v>0</v>
      </c>
      <c r="AJ560" s="7">
        <v>0</v>
      </c>
      <c r="AK560" s="7">
        <v>0</v>
      </c>
      <c r="AL560" s="7">
        <v>0</v>
      </c>
      <c r="AM560" s="7">
        <v>1</v>
      </c>
    </row>
    <row r="561" spans="1:39" ht="14" x14ac:dyDescent="0.15">
      <c r="A561" s="18" t="str">
        <f t="shared" ca="1" si="604"/>
        <v>25_3-2/55&lt;lv50&gt;s4</v>
      </c>
      <c r="B561" s="50">
        <v>25</v>
      </c>
      <c r="C561" s="49">
        <v>3</v>
      </c>
      <c r="D561" s="2" t="str">
        <f t="shared" si="588"/>
        <v>25_3</v>
      </c>
      <c r="E561" s="2" t="str">
        <f t="shared" si="588"/>
        <v>3_25_3</v>
      </c>
      <c r="F561" s="4" t="str">
        <f ca="1">VLOOKUP($D561,OFFSET([1]stages!$A$1,0,0,COUNTA([1]stages!$A:$A),MATCH(F$1,[1]stages!$2:$2,0)-MATCH($D$1,[1]stages!$2:$2,0)+1),MATCH(F$1,[1]stages!$2:$2,0)-MATCH($D$1,[1]stages!$2:$2,0)+1,FALSE)</f>
        <v>25-3．暗闇との対話</v>
      </c>
      <c r="G561" s="55">
        <v>2</v>
      </c>
      <c r="H561" s="17" t="str">
        <f t="shared" si="589"/>
        <v>25_3-2</v>
      </c>
      <c r="I561" s="17"/>
      <c r="J561" s="17"/>
      <c r="K561" s="65" t="s">
        <v>56</v>
      </c>
      <c r="L561" s="52">
        <v>55</v>
      </c>
      <c r="M561" s="21" t="str">
        <f ca="1">VLOOKUP($L561,OFFSET([2]enemies!$A$1,0,0,COUNTA([2]enemies!$A:$A),MATCH(M$1,[2]enemies!$1:$1,0)-MATCH($L$1,[2]enemies!$1:$1,0)+1),MATCH(M$1,[2]enemies!$1:$1,0)-MATCH($L$1,[2]enemies!$1:$1,0)+1,FALSE)</f>
        <v>マミコ</v>
      </c>
      <c r="N561" s="21" t="str">
        <f ca="1">VLOOKUP($L561,OFFSET([2]enemies!$A$1,0,0,COUNTA([2]enemies!$A:$A),MATCH(N$1,[2]enemies!$1:$1,0)-MATCH($L$1,[2]enemies!$1:$1,0)+1),MATCH(N$1,[2]enemies!$1:$1,0)-MATCH($L$1,[2]enemies!$1:$1,0)+1,FALSE)</f>
        <v>yellow</v>
      </c>
      <c r="O561" s="21" t="str">
        <f ca="1">VLOOKUP($L561,OFFSET([3]characters!$A$1,0,0,COUNTA([3]characters!$A:$A),MATCH(O$1,[3]characters!$1:$1,0)-MATCH($L$1,[3]characters!$1:$1,0)+1),MATCH(O$1,[3]characters!$1:$1,0)-MATCH($L$1,[3]characters!$1:$1,0)+1,FALSE)</f>
        <v>Drop1N</v>
      </c>
      <c r="P561" s="21" t="str">
        <f ca="1">VLOOKUP($L561,OFFSET([2]enemies!$A$1,0,0,COUNTA([2]enemies!$A:$A),MATCH(P$1,[2]enemies!$1:$1,0)-MATCH($L$1,[2]enemies!$1:$1,0)+1),MATCH(P$1,[2]enemies!$1:$1,0)-MATCH($L$1,[2]enemies!$1:$1,0)+1,FALSE)</f>
        <v>human</v>
      </c>
      <c r="Q561" s="21">
        <f ca="1">VLOOKUP($L561,OFFSET([2]enemies!$A$1,0,0,COUNTA([2]enemies!$A:$A),MATCH(Q$1,[2]enemies!$1:$1,0)-MATCH($L$1,[2]enemies!$1:$1,0)+1),MATCH(Q$1,[2]enemies!$1:$1,0)-MATCH($L$1,[2]enemies!$1:$1,0)+1,FALSE)</f>
        <v>15</v>
      </c>
      <c r="R561" s="53">
        <v>50</v>
      </c>
      <c r="S561" s="27">
        <v>1</v>
      </c>
      <c r="T561" s="27">
        <v>1</v>
      </c>
      <c r="U561" s="5">
        <v>0</v>
      </c>
      <c r="V561" s="4" t="str">
        <f ca="1">VLOOKUP($W561,OFFSET([4]enemy_skill_sets!$B$1,0,0,COUNTA([4]enemy_skill_sets!$B:$B),MATCH(M$1,[4]enemy_skill_sets!$1:$1,0)-MATCH($W$1,[4]enemy_skill_sets!$1:$1,0)+2),MATCH(M$1,[4]enemy_skill_sets!$1:$1,0)-MATCH($W$1,[4]enemy_skill_sets!$1:$1,0)+2,FALSE)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561" s="4">
        <f ca="1">VLOOKUP($L561,OFFSET([2]enemies!$A$1,0,0,COUNTA([2]enemies!$A:$A),MATCH(W$1,[2]enemies!$1:$1,0)-MATCH($L$1,[2]enemies!$1:$1,0)+1),MATCH(W$1,[2]enemies!$1:$1,0)-MATCH($L$1,[2]enemies!$1:$1,0)+1,FALSE)</f>
        <v>55</v>
      </c>
      <c r="X561" s="6">
        <v>0</v>
      </c>
      <c r="Y561" s="6">
        <v>100</v>
      </c>
      <c r="Z561" s="6">
        <v>0</v>
      </c>
      <c r="AA561" s="4">
        <f ca="1">VLOOKUP($L561,OFFSET([2]enemies!$A$1,0,0,COUNTA([2]enemies!$A:$A),MATCH(AA$1,[2]enemies!$1:$1,0)-MATCH($L$1,[2]enemies!$1:$1,0)+1),MATCH(AA$1,[2]enemies!$1:$1,0)-MATCH($L$1,[2]enemies!$1:$1,0)+1,FALSE)</f>
        <v>4</v>
      </c>
      <c r="AB561" s="52">
        <v>53</v>
      </c>
      <c r="AC561" s="4" t="str">
        <f ca="1">VLOOKUP($AB561,OFFSET([3]characters!$A$1,0,0,COUNTA([3]characters!$A:$A),MATCH(AC$1,[3]characters!$1:$1,0)-MATCH("character_id",[3]characters!$1:$1,0)+1),MATCH(AC$1,[3]characters!$1:$1,0)-MATCH("character_id",[3]characters!$1:$1,0)+1,FALSE)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561" s="4">
        <f ca="1">VLOOKUP($AB561,OFFSET([3]characters!$A$1,0,0,COUNTA([3]characters!$A:$A),MATCH(AD$1,[3]characters!$1:$1,0)-MATCH("character_id",[3]characters!$1:$1,0)+1),MATCH(AD$1,[3]characters!$1:$1,0)-MATCH("character_id",[3]characters!$1:$1,0)+1,FALSE)</f>
        <v>2</v>
      </c>
      <c r="AE561" s="4" t="str">
        <f ca="1">VLOOKUP($AB561,OFFSET([3]characters!$A$1,0,0,COUNTA([3]characters!$A:$A),MATCH(AE$1,[3]characters!$1:$1,0)-MATCH("character_id",[3]characters!$1:$1,0)+1),MATCH(AE$1,[3]characters!$1:$1,0)-MATCH("character_id",[3]characters!$1:$1,0)+1,FALSE)</f>
        <v>Drop1N</v>
      </c>
      <c r="AF561" s="7">
        <v>7</v>
      </c>
      <c r="AG561" s="26">
        <f t="shared" ca="1" si="575"/>
        <v>2</v>
      </c>
      <c r="AH561" s="8">
        <v>20</v>
      </c>
      <c r="AI561" s="7">
        <v>0</v>
      </c>
      <c r="AJ561" s="7">
        <v>0</v>
      </c>
      <c r="AK561" s="7">
        <v>0</v>
      </c>
      <c r="AL561" s="7">
        <v>0</v>
      </c>
      <c r="AM561" s="7">
        <v>1</v>
      </c>
    </row>
    <row r="562" spans="1:39" ht="14" x14ac:dyDescent="0.15">
      <c r="A562" s="18" t="str">
        <f t="shared" ca="1" si="604"/>
        <v>25_3-2/366&lt;lv50&gt;s3</v>
      </c>
      <c r="B562" s="53">
        <v>25</v>
      </c>
      <c r="C562" s="51">
        <v>3</v>
      </c>
      <c r="D562" s="2" t="str">
        <f t="shared" ref="D562" si="605">B562&amp;"_"&amp;C562</f>
        <v>25_3</v>
      </c>
      <c r="E562" s="2" t="str">
        <f t="shared" ref="E562" si="606">C562&amp;"_"&amp;D562</f>
        <v>3_25_3</v>
      </c>
      <c r="F562" s="4" t="str">
        <f ca="1">VLOOKUP($D562,OFFSET([1]stages!$A$1,0,0,COUNTA([1]stages!$A:$A),MATCH(F$1,[1]stages!$2:$2,0)-MATCH($D$1,[1]stages!$2:$2,0)+1),MATCH(F$1,[1]stages!$2:$2,0)-MATCH($D$1,[1]stages!$2:$2,0)+1,FALSE)</f>
        <v>25-3．暗闇との対話</v>
      </c>
      <c r="G562" s="55">
        <v>2</v>
      </c>
      <c r="H562" s="17" t="str">
        <f t="shared" ref="H562" si="607">B562&amp;"_"&amp;C562&amp;"-"&amp;G562</f>
        <v>25_3-2</v>
      </c>
      <c r="I562" s="17"/>
      <c r="J562" s="17"/>
      <c r="K562" s="65" t="s">
        <v>56</v>
      </c>
      <c r="L562" s="52">
        <v>366</v>
      </c>
      <c r="M562" s="21" t="str">
        <f ca="1">VLOOKUP($L562,OFFSET([2]enemies!$A$1,0,0,COUNTA([2]enemies!$A:$A),MATCH(M$1,[2]enemies!$1:$1,0)-MATCH($L$1,[2]enemies!$1:$1,0)+1),MATCH(M$1,[2]enemies!$1:$1,0)-MATCH($L$1,[2]enemies!$1:$1,0)+1,FALSE)</f>
        <v>トト</v>
      </c>
      <c r="N562" s="21" t="str">
        <f ca="1">VLOOKUP($L562,OFFSET([2]enemies!$A$1,0,0,COUNTA([2]enemies!$A:$A),MATCH(N$1,[2]enemies!$1:$1,0)-MATCH($L$1,[2]enemies!$1:$1,0)+1),MATCH(N$1,[2]enemies!$1:$1,0)-MATCH($L$1,[2]enemies!$1:$1,0)+1,FALSE)</f>
        <v>yellow</v>
      </c>
      <c r="O562" s="21" t="str">
        <f ca="1">VLOOKUP($L562,OFFSET([3]characters!$A$1,0,0,COUNTA([3]characters!$A:$A),MATCH(O$1,[3]characters!$1:$1,0)-MATCH($L$1,[3]characters!$1:$1,0)+1),MATCH(O$1,[3]characters!$1:$1,0)-MATCH($L$1,[3]characters!$1:$1,0)+1,FALSE)</f>
        <v>Drop1S</v>
      </c>
      <c r="P562" s="21" t="str">
        <f ca="1">VLOOKUP($L562,OFFSET([2]enemies!$A$1,0,0,COUNTA([2]enemies!$A:$A),MATCH(P$1,[2]enemies!$1:$1,0)-MATCH($L$1,[2]enemies!$1:$1,0)+1),MATCH(P$1,[2]enemies!$1:$1,0)-MATCH($L$1,[2]enemies!$1:$1,0)+1,FALSE)</f>
        <v>animal</v>
      </c>
      <c r="Q562" s="21">
        <f ca="1">VLOOKUP($L562,OFFSET([2]enemies!$A$1,0,0,COUNTA([2]enemies!$A:$A),MATCH(Q$1,[2]enemies!$1:$1,0)-MATCH($L$1,[2]enemies!$1:$1,0)+1),MATCH(Q$1,[2]enemies!$1:$1,0)-MATCH($L$1,[2]enemies!$1:$1,0)+1,FALSE)</f>
        <v>15</v>
      </c>
      <c r="R562" s="53">
        <v>50</v>
      </c>
      <c r="S562" s="27">
        <v>1.2</v>
      </c>
      <c r="T562" s="27">
        <v>1</v>
      </c>
      <c r="U562" s="5">
        <v>0</v>
      </c>
      <c r="V562" s="4" t="str">
        <f ca="1">VLOOKUP($W562,OFFSET([4]enemy_skill_sets!$B$1,0,0,COUNTA([4]enemy_skill_sets!$B:$B),MATCH(M$1,[4]enemy_skill_sets!$1:$1,0)-MATCH($W$1,[4]enemy_skill_sets!$1:$1,0)+2),MATCH(M$1,[4]enemy_skill_sets!$1:$1,0)-MATCH($W$1,[4]enemy_skill_sets!$1:$1,0)+2,FALSE)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562" s="64">
        <v>366</v>
      </c>
      <c r="X562" s="6">
        <v>0</v>
      </c>
      <c r="Y562" s="6">
        <v>100</v>
      </c>
      <c r="Z562" s="6">
        <v>0</v>
      </c>
      <c r="AA562" s="4">
        <f ca="1">VLOOKUP($L562,OFFSET([2]enemies!$A$1,0,0,COUNTA([2]enemies!$A:$A),MATCH(AA$1,[2]enemies!$1:$1,0)-MATCH($L$1,[2]enemies!$1:$1,0)+1),MATCH(AA$1,[2]enemies!$1:$1,0)-MATCH($L$1,[2]enemies!$1:$1,0)+1,FALSE)</f>
        <v>3</v>
      </c>
      <c r="AB562" s="52">
        <v>366</v>
      </c>
      <c r="AC562" s="4" t="str">
        <f ca="1">VLOOKUP($AB562,OFFSET([3]characters!$A$1,0,0,COUNTA([3]characters!$A:$A),MATCH(AC$1,[3]characters!$1:$1,0)-MATCH("character_id",[3]characters!$1:$1,0)+1),MATCH(AC$1,[3]characters!$1:$1,0)-MATCH("character_id",[3]characters!$1:$1,0)+1,FALSE)</f>
        <v>トト</v>
      </c>
      <c r="AD562" s="4">
        <f ca="1">VLOOKUP($AB562,OFFSET([3]characters!$A$1,0,0,COUNTA([3]characters!$A:$A),MATCH(AD$1,[3]characters!$1:$1,0)-MATCH("character_id",[3]characters!$1:$1,0)+1),MATCH(AD$1,[3]characters!$1:$1,0)-MATCH("character_id",[3]characters!$1:$1,0)+1,FALSE)</f>
        <v>2</v>
      </c>
      <c r="AE562" s="4" t="str">
        <f ca="1">VLOOKUP($AB562,OFFSET([3]characters!$A$1,0,0,COUNTA([3]characters!$A:$A),MATCH(AE$1,[3]characters!$1:$1,0)-MATCH("character_id",[3]characters!$1:$1,0)+1),MATCH(AE$1,[3]characters!$1:$1,0)-MATCH("character_id",[3]characters!$1:$1,0)+1,FALSE)</f>
        <v>Drop1S</v>
      </c>
      <c r="AF562" s="7">
        <v>7</v>
      </c>
      <c r="AG562" s="26">
        <f t="shared" ca="1" si="575"/>
        <v>2</v>
      </c>
      <c r="AH562" s="8">
        <v>20</v>
      </c>
      <c r="AI562" s="7">
        <v>0</v>
      </c>
      <c r="AJ562" s="7">
        <v>0</v>
      </c>
      <c r="AK562" s="7">
        <v>0</v>
      </c>
      <c r="AL562" s="7">
        <v>0</v>
      </c>
      <c r="AM562" s="7">
        <v>1</v>
      </c>
    </row>
    <row r="563" spans="1:39" ht="14" x14ac:dyDescent="0.15">
      <c r="A563" s="18" t="str">
        <f t="shared" ca="1" si="604"/>
        <v>25_3-2/352&lt;lv50&gt;s3</v>
      </c>
      <c r="B563" s="53">
        <v>25</v>
      </c>
      <c r="C563" s="51">
        <v>3</v>
      </c>
      <c r="D563" s="2" t="str">
        <f t="shared" ref="D563" si="608">B563&amp;"_"&amp;C563</f>
        <v>25_3</v>
      </c>
      <c r="E563" s="2" t="str">
        <f t="shared" ref="E563" si="609">C563&amp;"_"&amp;D563</f>
        <v>3_25_3</v>
      </c>
      <c r="F563" s="4" t="str">
        <f ca="1">VLOOKUP($D563,OFFSET([1]stages!$A$1,0,0,COUNTA([1]stages!$A:$A),MATCH(F$1,[1]stages!$2:$2,0)-MATCH($D$1,[1]stages!$2:$2,0)+1),MATCH(F$1,[1]stages!$2:$2,0)-MATCH($D$1,[1]stages!$2:$2,0)+1,FALSE)</f>
        <v>25-3．暗闇との対話</v>
      </c>
      <c r="G563" s="55">
        <v>2</v>
      </c>
      <c r="H563" s="17" t="str">
        <f t="shared" ref="H563" si="610">B563&amp;"_"&amp;C563&amp;"-"&amp;G563</f>
        <v>25_3-2</v>
      </c>
      <c r="I563" s="17"/>
      <c r="J563" s="17"/>
      <c r="K563" s="65" t="s">
        <v>56</v>
      </c>
      <c r="L563" s="52">
        <v>352</v>
      </c>
      <c r="M563" s="21" t="str">
        <f ca="1">VLOOKUP($L563,OFFSET([2]enemies!$A$1,0,0,COUNTA([2]enemies!$A:$A),MATCH(M$1,[2]enemies!$1:$1,0)-MATCH($L$1,[2]enemies!$1:$1,0)+1),MATCH(M$1,[2]enemies!$1:$1,0)-MATCH($L$1,[2]enemies!$1:$1,0)+1,FALSE)</f>
        <v>水のケロケロ</v>
      </c>
      <c r="N563" s="21" t="str">
        <f ca="1">VLOOKUP($L563,OFFSET([2]enemies!$A$1,0,0,COUNTA([2]enemies!$A:$A),MATCH(N$1,[2]enemies!$1:$1,0)-MATCH($L$1,[2]enemies!$1:$1,0)+1),MATCH(N$1,[2]enemies!$1:$1,0)-MATCH($L$1,[2]enemies!$1:$1,0)+1,FALSE)</f>
        <v>blue</v>
      </c>
      <c r="O563" s="21" t="str">
        <f ca="1">VLOOKUP($L563,OFFSET([3]characters!$A$1,0,0,COUNTA([3]characters!$A:$A),MATCH(O$1,[3]characters!$1:$1,0)-MATCH($L$1,[3]characters!$1:$1,0)+1),MATCH(O$1,[3]characters!$1:$1,0)-MATCH($L$1,[3]characters!$1:$1,0)+1,FALSE)</f>
        <v>Material</v>
      </c>
      <c r="P563" s="21" t="str">
        <f ca="1">VLOOKUP($L563,OFFSET([2]enemies!$A$1,0,0,COUNTA([2]enemies!$A:$A),MATCH(P$1,[2]enemies!$1:$1,0)-MATCH($L$1,[2]enemies!$1:$1,0)+1),MATCH(P$1,[2]enemies!$1:$1,0)-MATCH($L$1,[2]enemies!$1:$1,0)+1,FALSE)</f>
        <v>unknown</v>
      </c>
      <c r="Q563" s="21">
        <f ca="1">VLOOKUP($L563,OFFSET([2]enemies!$A$1,0,0,COUNTA([2]enemies!$A:$A),MATCH(Q$1,[2]enemies!$1:$1,0)-MATCH($L$1,[2]enemies!$1:$1,0)+1),MATCH(Q$1,[2]enemies!$1:$1,0)-MATCH($L$1,[2]enemies!$1:$1,0)+1,FALSE)</f>
        <v>15</v>
      </c>
      <c r="R563" s="53">
        <v>50</v>
      </c>
      <c r="S563" s="27">
        <v>1</v>
      </c>
      <c r="T563" s="27">
        <v>1</v>
      </c>
      <c r="U563" s="5">
        <v>0</v>
      </c>
      <c r="V563" s="4" t="str">
        <f ca="1">VLOOKUP($W563,OFFSET([4]enemy_skill_sets!$B$1,0,0,COUNTA([4]enemy_skill_sets!$B:$B),MATCH(M$1,[4]enemy_skill_sets!$1:$1,0)-MATCH($W$1,[4]enemy_skill_sets!$1:$1,0)+2),MATCH(M$1,[4]enemy_skill_sets!$1:$1,0)-MATCH($W$1,[4]enemy_skill_sets!$1:$1,0)+2,FALSE)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63" s="64">
        <v>352</v>
      </c>
      <c r="X563" s="6">
        <v>0</v>
      </c>
      <c r="Y563" s="6">
        <v>100</v>
      </c>
      <c r="Z563" s="6">
        <v>0</v>
      </c>
      <c r="AA563" s="4">
        <f ca="1">VLOOKUP($L563,OFFSET([2]enemies!$A$1,0,0,COUNTA([2]enemies!$A:$A),MATCH(AA$1,[2]enemies!$1:$1,0)-MATCH($L$1,[2]enemies!$1:$1,0)+1),MATCH(AA$1,[2]enemies!$1:$1,0)-MATCH($L$1,[2]enemies!$1:$1,0)+1,FALSE)</f>
        <v>3</v>
      </c>
      <c r="AB563" s="52">
        <v>352</v>
      </c>
      <c r="AC563" s="4" t="str">
        <f ca="1">VLOOKUP($AB563,OFFSET([3]characters!$A$1,0,0,COUNTA([3]characters!$A:$A),MATCH(AC$1,[3]characters!$1:$1,0)-MATCH("character_id",[3]characters!$1:$1,0)+1),MATCH(AC$1,[3]characters!$1:$1,0)-MATCH("character_id",[3]characters!$1:$1,0)+1,FALSE)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63" s="4">
        <f ca="1">VLOOKUP($AB563,OFFSET([3]characters!$A$1,0,0,COUNTA([3]characters!$A:$A),MATCH(AD$1,[3]characters!$1:$1,0)-MATCH("character_id",[3]characters!$1:$1,0)+1),MATCH(AD$1,[3]characters!$1:$1,0)-MATCH("character_id",[3]characters!$1:$1,0)+1,FALSE)</f>
        <v>2</v>
      </c>
      <c r="AE563" s="4" t="str">
        <f ca="1">VLOOKUP($AB563,OFFSET([3]characters!$A$1,0,0,COUNTA([3]characters!$A:$A),MATCH(AE$1,[3]characters!$1:$1,0)-MATCH("character_id",[3]characters!$1:$1,0)+1),MATCH(AE$1,[3]characters!$1:$1,0)-MATCH("character_id",[3]characters!$1:$1,0)+1,FALSE)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63" s="7">
        <v>10</v>
      </c>
      <c r="AG563" s="26">
        <f t="shared" ca="1" si="575"/>
        <v>2</v>
      </c>
      <c r="AH563" s="8">
        <v>20</v>
      </c>
      <c r="AI563" s="7">
        <v>0</v>
      </c>
      <c r="AJ563" s="7">
        <v>0</v>
      </c>
      <c r="AK563" s="7">
        <v>0</v>
      </c>
      <c r="AL563" s="7">
        <v>0</v>
      </c>
      <c r="AM563" s="7">
        <v>1</v>
      </c>
    </row>
    <row r="564" spans="1:39" ht="14" x14ac:dyDescent="0.15">
      <c r="A564" s="18" t="str">
        <f t="shared" ca="1" si="604"/>
        <v>25_3-3/200&lt;lv50&gt;s2</v>
      </c>
      <c r="B564" s="50">
        <v>25</v>
      </c>
      <c r="C564" s="49">
        <v>3</v>
      </c>
      <c r="D564" s="2" t="str">
        <f t="shared" si="588"/>
        <v>25_3</v>
      </c>
      <c r="E564" s="2" t="str">
        <f t="shared" si="588"/>
        <v>3_25_3</v>
      </c>
      <c r="F564" s="4" t="str">
        <f ca="1">VLOOKUP($D564,OFFSET([1]stages!$A$1,0,0,COUNTA([1]stages!$A:$A),MATCH(F$1,[1]stages!$2:$2,0)-MATCH($D$1,[1]stages!$2:$2,0)+1),MATCH(F$1,[1]stages!$2:$2,0)-MATCH($D$1,[1]stages!$2:$2,0)+1,FALSE)</f>
        <v>25-3．暗闇との対話</v>
      </c>
      <c r="G564" s="54">
        <v>3</v>
      </c>
      <c r="H564" s="17" t="str">
        <f t="shared" si="589"/>
        <v>25_3-3</v>
      </c>
      <c r="I564" s="17"/>
      <c r="J564" s="17"/>
      <c r="K564" s="65" t="s">
        <v>56</v>
      </c>
      <c r="L564" s="52">
        <v>200</v>
      </c>
      <c r="M564" s="21" t="str">
        <f ca="1">VLOOKUP($L564,OFFSET([2]enemies!$A$1,0,0,COUNTA([2]enemies!$A:$A),MATCH(M$1,[2]enemies!$1:$1,0)-MATCH($L$1,[2]enemies!$1:$1,0)+1),MATCH(M$1,[2]enemies!$1:$1,0)-MATCH($L$1,[2]enemies!$1:$1,0)+1,FALSE)</f>
        <v>大剣士 ジークフリート</v>
      </c>
      <c r="N564" s="21" t="str">
        <f ca="1">VLOOKUP($L564,OFFSET([2]enemies!$A$1,0,0,COUNTA([2]enemies!$A:$A),MATCH(N$1,[2]enemies!$1:$1,0)-MATCH($L$1,[2]enemies!$1:$1,0)+1),MATCH(N$1,[2]enemies!$1:$1,0)-MATCH($L$1,[2]enemies!$1:$1,0)+1,FALSE)</f>
        <v>blue</v>
      </c>
      <c r="O564" s="21" t="str">
        <f ca="1">VLOOKUP($L564,OFFSET([3]characters!$A$1,0,0,COUNTA([3]characters!$A:$A),MATCH(O$1,[3]characters!$1:$1,0)-MATCH($L$1,[3]characters!$1:$1,0)+1),MATCH(O$1,[3]characters!$1:$1,0)-MATCH($L$1,[3]characters!$1:$1,0)+1,FALSE)</f>
        <v>PremiumN</v>
      </c>
      <c r="P564" s="21" t="str">
        <f ca="1">VLOOKUP($L564,OFFSET([2]enemies!$A$1,0,0,COUNTA([2]enemies!$A:$A),MATCH(P$1,[2]enemies!$1:$1,0)-MATCH($L$1,[2]enemies!$1:$1,0)+1),MATCH(P$1,[2]enemies!$1:$1,0)-MATCH($L$1,[2]enemies!$1:$1,0)+1,FALSE)</f>
        <v>human</v>
      </c>
      <c r="Q564" s="21">
        <f ca="1">VLOOKUP($L564,OFFSET([2]enemies!$A$1,0,0,COUNTA([2]enemies!$A:$A),MATCH(Q$1,[2]enemies!$1:$1,0)-MATCH($L$1,[2]enemies!$1:$1,0)+1),MATCH(Q$1,[2]enemies!$1:$1,0)-MATCH($L$1,[2]enemies!$1:$1,0)+1,FALSE)</f>
        <v>30</v>
      </c>
      <c r="R564" s="53">
        <v>50</v>
      </c>
      <c r="S564" s="27">
        <v>1.1000000000000001</v>
      </c>
      <c r="T564" s="27">
        <v>1</v>
      </c>
      <c r="U564" s="5">
        <v>0</v>
      </c>
      <c r="V564" s="4" t="str">
        <f ca="1">VLOOKUP($W564,OFFSET([4]enemy_skill_sets!$B$1,0,0,COUNTA([4]enemy_skill_sets!$B:$B),MATCH(M$1,[4]enemy_skill_sets!$1:$1,0)-MATCH($W$1,[4]enemy_skill_sets!$1:$1,0)+2),MATCH(M$1,[4]enemy_skill_sets!$1:$1,0)-MATCH($W$1,[4]enemy_skill_sets!$1:$1,0)+2,FALSE)</f>
        <v>緑属性ユニットを4ターンスリープ</v>
      </c>
      <c r="W564" s="64">
        <v>20001</v>
      </c>
      <c r="X564" s="6">
        <v>0</v>
      </c>
      <c r="Y564" s="6">
        <v>100</v>
      </c>
      <c r="Z564" s="6">
        <v>0</v>
      </c>
      <c r="AA564" s="4">
        <f ca="1">VLOOKUP($L564,OFFSET([2]enemies!$A$1,0,0,COUNTA([2]enemies!$A:$A),MATCH(AA$1,[2]enemies!$1:$1,0)-MATCH($L$1,[2]enemies!$1:$1,0)+1),MATCH(AA$1,[2]enemies!$1:$1,0)-MATCH($L$1,[2]enemies!$1:$1,0)+1,FALSE)</f>
        <v>2</v>
      </c>
      <c r="AB564" s="52">
        <v>199</v>
      </c>
      <c r="AC564" s="4" t="str">
        <f ca="1">VLOOKUP($AB564,OFFSET([3]characters!$A$1,0,0,COUNTA([3]characters!$A:$A),MATCH(AC$1,[3]characters!$1:$1,0)-MATCH("character_id",[3]characters!$1:$1,0)+1),MATCH(AC$1,[3]characters!$1:$1,0)-MATCH("character_id",[3]characters!$1:$1,0)+1,FALSE)</f>
        <v>ジークフリート</v>
      </c>
      <c r="AD564" s="4">
        <f ca="1">VLOOKUP($AB564,OFFSET([3]characters!$A$1,0,0,COUNTA([3]characters!$A:$A),MATCH(AD$1,[3]characters!$1:$1,0)-MATCH("character_id",[3]characters!$1:$1,0)+1),MATCH(AD$1,[3]characters!$1:$1,0)-MATCH("character_id",[3]characters!$1:$1,0)+1,FALSE)</f>
        <v>3</v>
      </c>
      <c r="AE564" s="4" t="str">
        <f ca="1">VLOOKUP($AB564,OFFSET([3]characters!$A$1,0,0,COUNTA([3]characters!$A:$A),MATCH(AE$1,[3]characters!$1:$1,0)-MATCH("character_id",[3]characters!$1:$1,0)+1),MATCH(AE$1,[3]characters!$1:$1,0)-MATCH("character_id",[3]characters!$1:$1,0)+1,FALSE)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564" s="7">
        <v>9</v>
      </c>
      <c r="AG564" s="26">
        <f t="shared" ca="1" si="575"/>
        <v>3</v>
      </c>
      <c r="AH564" s="8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1</v>
      </c>
    </row>
    <row r="565" spans="1:39" ht="14" x14ac:dyDescent="0.15">
      <c r="A565" s="18" t="str">
        <f t="shared" ca="1" si="604"/>
        <v>25_3-4/37&lt;lv50&gt;s3</v>
      </c>
      <c r="B565" s="50">
        <v>25</v>
      </c>
      <c r="C565" s="49">
        <v>3</v>
      </c>
      <c r="D565" s="2" t="str">
        <f t="shared" si="588"/>
        <v>25_3</v>
      </c>
      <c r="E565" s="2" t="str">
        <f t="shared" si="588"/>
        <v>3_25_3</v>
      </c>
      <c r="F565" s="4" t="str">
        <f ca="1">VLOOKUP($D565,OFFSET([1]stages!$A$1,0,0,COUNTA([1]stages!$A:$A),MATCH(F$1,[1]stages!$2:$2,0)-MATCH($D$1,[1]stages!$2:$2,0)+1),MATCH(F$1,[1]stages!$2:$2,0)-MATCH($D$1,[1]stages!$2:$2,0)+1,FALSE)</f>
        <v>25-3．暗闇との対話</v>
      </c>
      <c r="G565" s="56">
        <v>4</v>
      </c>
      <c r="H565" s="17" t="str">
        <f t="shared" si="589"/>
        <v>25_3-4</v>
      </c>
      <c r="I565" s="17"/>
      <c r="J565" s="17"/>
      <c r="K565" s="65" t="s">
        <v>56</v>
      </c>
      <c r="L565" s="52">
        <v>37</v>
      </c>
      <c r="M565" s="21" t="str">
        <f ca="1">VLOOKUP($L565,OFFSET([2]enemies!$A$1,0,0,COUNTA([2]enemies!$A:$A),MATCH(M$1,[2]enemies!$1:$1,0)-MATCH($L$1,[2]enemies!$1:$1,0)+1),MATCH(M$1,[2]enemies!$1:$1,0)-MATCH($L$1,[2]enemies!$1:$1,0)+1,FALSE)</f>
        <v>ガイル</v>
      </c>
      <c r="N565" s="21" t="str">
        <f ca="1">VLOOKUP($L565,OFFSET([2]enemies!$A$1,0,0,COUNTA([2]enemies!$A:$A),MATCH(N$1,[2]enemies!$1:$1,0)-MATCH($L$1,[2]enemies!$1:$1,0)+1),MATCH(N$1,[2]enemies!$1:$1,0)-MATCH($L$1,[2]enemies!$1:$1,0)+1,FALSE)</f>
        <v>blue</v>
      </c>
      <c r="O565" s="21" t="str">
        <f ca="1">VLOOKUP($L565,OFFSET([3]characters!$A$1,0,0,COUNTA([3]characters!$A:$A),MATCH(O$1,[3]characters!$1:$1,0)-MATCH($L$1,[3]characters!$1:$1,0)+1),MATCH(O$1,[3]characters!$1:$1,0)-MATCH($L$1,[3]characters!$1:$1,0)+1,FALSE)</f>
        <v>Drop1S</v>
      </c>
      <c r="P565" s="21" t="str">
        <f ca="1">VLOOKUP($L565,OFFSET([2]enemies!$A$1,0,0,COUNTA([2]enemies!$A:$A),MATCH(P$1,[2]enemies!$1:$1,0)-MATCH($L$1,[2]enemies!$1:$1,0)+1),MATCH(P$1,[2]enemies!$1:$1,0)-MATCH($L$1,[2]enemies!$1:$1,0)+1,FALSE)</f>
        <v>animal</v>
      </c>
      <c r="Q565" s="21">
        <f ca="1">VLOOKUP($L565,OFFSET([2]enemies!$A$1,0,0,COUNTA([2]enemies!$A:$A),MATCH(Q$1,[2]enemies!$1:$1,0)-MATCH($L$1,[2]enemies!$1:$1,0)+1),MATCH(Q$1,[2]enemies!$1:$1,0)-MATCH($L$1,[2]enemies!$1:$1,0)+1,FALSE)</f>
        <v>15</v>
      </c>
      <c r="R565" s="53">
        <v>50</v>
      </c>
      <c r="S565" s="27">
        <v>1.1000000000000001</v>
      </c>
      <c r="T565" s="27">
        <v>1</v>
      </c>
      <c r="U565" s="5">
        <v>0</v>
      </c>
      <c r="V565" s="4" t="str">
        <f ca="1">VLOOKUP($W565,OFFSET([4]enemy_skill_sets!$B$1,0,0,COUNTA([4]enemy_skill_sets!$B:$B),MATCH(M$1,[4]enemy_skill_sets!$1:$1,0)-MATCH($W$1,[4]enemy_skill_sets!$1:$1,0)+2),MATCH(M$1,[4]enemy_skill_sets!$1:$1,0)-MATCH($W$1,[4]enemy_skill_sets!$1:$1,0)+2,FALSE)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565" s="4">
        <f ca="1">VLOOKUP($L565,OFFSET([2]enemies!$A$1,0,0,COUNTA([2]enemies!$A:$A),MATCH(W$1,[2]enemies!$1:$1,0)-MATCH($L$1,[2]enemies!$1:$1,0)+1),MATCH(W$1,[2]enemies!$1:$1,0)-MATCH($L$1,[2]enemies!$1:$1,0)+1,FALSE)</f>
        <v>37</v>
      </c>
      <c r="X565" s="6">
        <v>0</v>
      </c>
      <c r="Y565" s="6">
        <v>100</v>
      </c>
      <c r="Z565" s="6">
        <v>0</v>
      </c>
      <c r="AA565" s="4">
        <f ca="1">VLOOKUP($L565,OFFSET([2]enemies!$A$1,0,0,COUNTA([2]enemies!$A:$A),MATCH(AA$1,[2]enemies!$1:$1,0)-MATCH($L$1,[2]enemies!$1:$1,0)+1),MATCH(AA$1,[2]enemies!$1:$1,0)-MATCH($L$1,[2]enemies!$1:$1,0)+1,FALSE)</f>
        <v>3</v>
      </c>
      <c r="AB565" s="52">
        <v>37</v>
      </c>
      <c r="AC565" s="4" t="str">
        <f ca="1">VLOOKUP($AB565,OFFSET([3]characters!$A$1,0,0,COUNTA([3]characters!$A:$A),MATCH(AC$1,[3]characters!$1:$1,0)-MATCH("character_id",[3]characters!$1:$1,0)+1),MATCH(AC$1,[3]characters!$1:$1,0)-MATCH("character_id",[3]characters!$1:$1,0)+1,FALSE)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565" s="4">
        <f ca="1">VLOOKUP($AB565,OFFSET([3]characters!$A$1,0,0,COUNTA([3]characters!$A:$A),MATCH(AD$1,[3]characters!$1:$1,0)-MATCH("character_id",[3]characters!$1:$1,0)+1),MATCH(AD$1,[3]characters!$1:$1,0)-MATCH("character_id",[3]characters!$1:$1,0)+1,FALSE)</f>
        <v>2</v>
      </c>
      <c r="AE565" s="4" t="str">
        <f ca="1">VLOOKUP($AB565,OFFSET([3]characters!$A$1,0,0,COUNTA([3]characters!$A:$A),MATCH(AE$1,[3]characters!$1:$1,0)-MATCH("character_id",[3]characters!$1:$1,0)+1),MATCH(AE$1,[3]characters!$1:$1,0)-MATCH("character_id",[3]characters!$1:$1,0)+1,FALSE)</f>
        <v>Drop1S</v>
      </c>
      <c r="AF565" s="7">
        <v>5</v>
      </c>
      <c r="AG565" s="26">
        <f t="shared" ca="1" si="575"/>
        <v>2</v>
      </c>
      <c r="AH565" s="8">
        <v>20</v>
      </c>
      <c r="AI565" s="7">
        <v>0</v>
      </c>
      <c r="AJ565" s="7">
        <v>0</v>
      </c>
      <c r="AK565" s="7">
        <v>0</v>
      </c>
      <c r="AL565" s="7">
        <v>0</v>
      </c>
      <c r="AM565" s="7">
        <v>1</v>
      </c>
    </row>
    <row r="566" spans="1:39" ht="14" x14ac:dyDescent="0.15">
      <c r="A566" s="18" t="str">
        <f t="shared" ca="1" si="604"/>
        <v>25_3-4/45&lt;lv50&gt;s3</v>
      </c>
      <c r="B566" s="50">
        <v>25</v>
      </c>
      <c r="C566" s="49">
        <v>3</v>
      </c>
      <c r="D566" s="2" t="str">
        <f t="shared" si="588"/>
        <v>25_3</v>
      </c>
      <c r="E566" s="2" t="str">
        <f t="shared" si="588"/>
        <v>3_25_3</v>
      </c>
      <c r="F566" s="4" t="str">
        <f ca="1">VLOOKUP($D566,OFFSET([1]stages!$A$1,0,0,COUNTA([1]stages!$A:$A),MATCH(F$1,[1]stages!$2:$2,0)-MATCH($D$1,[1]stages!$2:$2,0)+1),MATCH(F$1,[1]stages!$2:$2,0)-MATCH($D$1,[1]stages!$2:$2,0)+1,FALSE)</f>
        <v>25-3．暗闇との対話</v>
      </c>
      <c r="G566" s="56">
        <v>4</v>
      </c>
      <c r="H566" s="17" t="str">
        <f t="shared" si="589"/>
        <v>25_3-4</v>
      </c>
      <c r="I566" s="17"/>
      <c r="J566" s="17"/>
      <c r="K566" s="65" t="s">
        <v>56</v>
      </c>
      <c r="L566" s="52">
        <v>45</v>
      </c>
      <c r="M566" s="21" t="str">
        <f ca="1">VLOOKUP($L566,OFFSET([2]enemies!$A$1,0,0,COUNTA([2]enemies!$A:$A),MATCH(M$1,[2]enemies!$1:$1,0)-MATCH($L$1,[2]enemies!$1:$1,0)+1),MATCH(M$1,[2]enemies!$1:$1,0)-MATCH($L$1,[2]enemies!$1:$1,0)+1,FALSE)</f>
        <v>ショウイン</v>
      </c>
      <c r="N566" s="21" t="str">
        <f ca="1">VLOOKUP($L566,OFFSET([2]enemies!$A$1,0,0,COUNTA([2]enemies!$A:$A),MATCH(N$1,[2]enemies!$1:$1,0)-MATCH($L$1,[2]enemies!$1:$1,0)+1),MATCH(N$1,[2]enemies!$1:$1,0)-MATCH($L$1,[2]enemies!$1:$1,0)+1,FALSE)</f>
        <v>blue</v>
      </c>
      <c r="O566" s="21" t="str">
        <f ca="1">VLOOKUP($L566,OFFSET([3]characters!$A$1,0,0,COUNTA([3]characters!$A:$A),MATCH(O$1,[3]characters!$1:$1,0)-MATCH($L$1,[3]characters!$1:$1,0)+1),MATCH(O$1,[3]characters!$1:$1,0)-MATCH($L$1,[3]characters!$1:$1,0)+1,FALSE)</f>
        <v>Drop1N</v>
      </c>
      <c r="P566" s="21" t="str">
        <f ca="1">VLOOKUP($L566,OFFSET([2]enemies!$A$1,0,0,COUNTA([2]enemies!$A:$A),MATCH(P$1,[2]enemies!$1:$1,0)-MATCH($L$1,[2]enemies!$1:$1,0)+1),MATCH(P$1,[2]enemies!$1:$1,0)-MATCH($L$1,[2]enemies!$1:$1,0)+1,FALSE)</f>
        <v>animal</v>
      </c>
      <c r="Q566" s="21">
        <f ca="1">VLOOKUP($L566,OFFSET([2]enemies!$A$1,0,0,COUNTA([2]enemies!$A:$A),MATCH(Q$1,[2]enemies!$1:$1,0)-MATCH($L$1,[2]enemies!$1:$1,0)+1),MATCH(Q$1,[2]enemies!$1:$1,0)-MATCH($L$1,[2]enemies!$1:$1,0)+1,FALSE)</f>
        <v>15</v>
      </c>
      <c r="R566" s="53">
        <v>50</v>
      </c>
      <c r="S566" s="27">
        <v>1.1000000000000001</v>
      </c>
      <c r="T566" s="27">
        <v>1</v>
      </c>
      <c r="U566" s="5">
        <v>0</v>
      </c>
      <c r="V566" s="4" t="str">
        <f ca="1">VLOOKUP($W566,OFFSET([4]enemy_skill_sets!$B$1,0,0,COUNTA([4]enemy_skill_sets!$B:$B),MATCH(M$1,[4]enemy_skill_sets!$1:$1,0)-MATCH($W$1,[4]enemy_skill_sets!$1:$1,0)+2),MATCH(M$1,[4]enemy_skill_sets!$1:$1,0)-MATCH($W$1,[4]enemy_skill_sets!$1:$1,0)+2,FALSE)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66" s="4">
        <f ca="1">VLOOKUP($L566,OFFSET([2]enemies!$A$1,0,0,COUNTA([2]enemies!$A:$A),MATCH(W$1,[2]enemies!$1:$1,0)-MATCH($L$1,[2]enemies!$1:$1,0)+1),MATCH(W$1,[2]enemies!$1:$1,0)-MATCH($L$1,[2]enemies!$1:$1,0)+1,FALSE)</f>
        <v>0</v>
      </c>
      <c r="X566" s="6">
        <v>0</v>
      </c>
      <c r="Y566" s="6">
        <v>100</v>
      </c>
      <c r="Z566" s="6">
        <v>0</v>
      </c>
      <c r="AA566" s="4">
        <f ca="1">VLOOKUP($L566,OFFSET([2]enemies!$A$1,0,0,COUNTA([2]enemies!$A:$A),MATCH(AA$1,[2]enemies!$1:$1,0)-MATCH($L$1,[2]enemies!$1:$1,0)+1),MATCH(AA$1,[2]enemies!$1:$1,0)-MATCH($L$1,[2]enemies!$1:$1,0)+1,FALSE)</f>
        <v>3</v>
      </c>
      <c r="AB566" s="52">
        <v>45</v>
      </c>
      <c r="AC566" s="4" t="str">
        <f ca="1">VLOOKUP($AB566,OFFSET([3]characters!$A$1,0,0,COUNTA([3]characters!$A:$A),MATCH(AC$1,[3]characters!$1:$1,0)-MATCH("character_id",[3]characters!$1:$1,0)+1),MATCH(AC$1,[3]characters!$1:$1,0)-MATCH("character_id",[3]characters!$1:$1,0)+1,FALSE)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566" s="4">
        <f ca="1">VLOOKUP($AB566,OFFSET([3]characters!$A$1,0,0,COUNTA([3]characters!$A:$A),MATCH(AD$1,[3]characters!$1:$1,0)-MATCH("character_id",[3]characters!$1:$1,0)+1),MATCH(AD$1,[3]characters!$1:$1,0)-MATCH("character_id",[3]characters!$1:$1,0)+1,FALSE)</f>
        <v>2</v>
      </c>
      <c r="AE566" s="4" t="str">
        <f ca="1">VLOOKUP($AB566,OFFSET([3]characters!$A$1,0,0,COUNTA([3]characters!$A:$A),MATCH(AE$1,[3]characters!$1:$1,0)-MATCH("character_id",[3]characters!$1:$1,0)+1),MATCH(AE$1,[3]characters!$1:$1,0)-MATCH("character_id",[3]characters!$1:$1,0)+1,FALSE)</f>
        <v>Drop1N</v>
      </c>
      <c r="AF566" s="7">
        <v>7</v>
      </c>
      <c r="AG566" s="26">
        <f t="shared" ca="1" si="575"/>
        <v>2</v>
      </c>
      <c r="AH566" s="8">
        <v>20</v>
      </c>
      <c r="AI566" s="7">
        <v>0</v>
      </c>
      <c r="AJ566" s="7">
        <v>0</v>
      </c>
      <c r="AK566" s="7">
        <v>0</v>
      </c>
      <c r="AL566" s="7">
        <v>0</v>
      </c>
      <c r="AM566" s="7">
        <v>1</v>
      </c>
    </row>
    <row r="567" spans="1:39" ht="14" x14ac:dyDescent="0.15">
      <c r="A567" s="18" t="str">
        <f t="shared" ca="1" si="604"/>
        <v>25_3-4/47&lt;lv50&gt;s1</v>
      </c>
      <c r="B567" s="50">
        <v>25</v>
      </c>
      <c r="C567" s="49">
        <v>3</v>
      </c>
      <c r="D567" s="2" t="str">
        <f t="shared" ref="D567:E593" si="611">B567&amp;"_"&amp;C567</f>
        <v>25_3</v>
      </c>
      <c r="E567" s="2" t="str">
        <f t="shared" si="611"/>
        <v>3_25_3</v>
      </c>
      <c r="F567" s="4" t="str">
        <f ca="1">VLOOKUP($D567,OFFSET([1]stages!$A$1,0,0,COUNTA([1]stages!$A:$A),MATCH(F$1,[1]stages!$2:$2,0)-MATCH($D$1,[1]stages!$2:$2,0)+1),MATCH(F$1,[1]stages!$2:$2,0)-MATCH($D$1,[1]stages!$2:$2,0)+1,FALSE)</f>
        <v>25-3．暗闇との対話</v>
      </c>
      <c r="G567" s="56">
        <v>4</v>
      </c>
      <c r="H567" s="17" t="str">
        <f t="shared" ref="H567:H593" si="612">B567&amp;"_"&amp;C567&amp;"-"&amp;G567</f>
        <v>25_3-4</v>
      </c>
      <c r="I567" s="17"/>
      <c r="J567" s="17"/>
      <c r="K567" s="65" t="s">
        <v>56</v>
      </c>
      <c r="L567" s="52">
        <v>47</v>
      </c>
      <c r="M567" s="21" t="str">
        <f ca="1">VLOOKUP($L567,OFFSET([2]enemies!$A$1,0,0,COUNTA([2]enemies!$A:$A),MATCH(M$1,[2]enemies!$1:$1,0)-MATCH($L$1,[2]enemies!$1:$1,0)+1),MATCH(M$1,[2]enemies!$1:$1,0)-MATCH($L$1,[2]enemies!$1:$1,0)+1,FALSE)</f>
        <v>ヒロ</v>
      </c>
      <c r="N567" s="21" t="str">
        <f ca="1">VLOOKUP($L567,OFFSET([2]enemies!$A$1,0,0,COUNTA([2]enemies!$A:$A),MATCH(N$1,[2]enemies!$1:$1,0)-MATCH($L$1,[2]enemies!$1:$1,0)+1),MATCH(N$1,[2]enemies!$1:$1,0)-MATCH($L$1,[2]enemies!$1:$1,0)+1,FALSE)</f>
        <v>yellow</v>
      </c>
      <c r="O567" s="21" t="str">
        <f ca="1">VLOOKUP($L567,OFFSET([3]characters!$A$1,0,0,COUNTA([3]characters!$A:$A),MATCH(O$1,[3]characters!$1:$1,0)-MATCH($L$1,[3]characters!$1:$1,0)+1),MATCH(O$1,[3]characters!$1:$1,0)-MATCH($L$1,[3]characters!$1:$1,0)+1,FALSE)</f>
        <v>Drop1N</v>
      </c>
      <c r="P567" s="21" t="str">
        <f ca="1">VLOOKUP($L567,OFFSET([2]enemies!$A$1,0,0,COUNTA([2]enemies!$A:$A),MATCH(P$1,[2]enemies!$1:$1,0)-MATCH($L$1,[2]enemies!$1:$1,0)+1),MATCH(P$1,[2]enemies!$1:$1,0)-MATCH($L$1,[2]enemies!$1:$1,0)+1,FALSE)</f>
        <v>animal</v>
      </c>
      <c r="Q567" s="21">
        <f ca="1">VLOOKUP($L567,OFFSET([2]enemies!$A$1,0,0,COUNTA([2]enemies!$A:$A),MATCH(Q$1,[2]enemies!$1:$1,0)-MATCH($L$1,[2]enemies!$1:$1,0)+1),MATCH(Q$1,[2]enemies!$1:$1,0)-MATCH($L$1,[2]enemies!$1:$1,0)+1,FALSE)</f>
        <v>15</v>
      </c>
      <c r="R567" s="53">
        <v>50</v>
      </c>
      <c r="S567" s="27">
        <v>1.1000000000000001</v>
      </c>
      <c r="T567" s="27">
        <v>1</v>
      </c>
      <c r="U567" s="5">
        <v>0</v>
      </c>
      <c r="V567" s="4" t="str">
        <f ca="1">VLOOKUP($W567,OFFSET([4]enemy_skill_sets!$B$1,0,0,COUNTA([4]enemy_skill_sets!$B:$B),MATCH(M$1,[4]enemy_skill_sets!$1:$1,0)-MATCH($W$1,[4]enemy_skill_sets!$1:$1,0)+2),MATCH(M$1,[4]enemy_skill_sets!$1:$1,0)-MATCH($W$1,[4]enemy_skill_sets!$1:$1,0)+2,FALSE)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67" s="4">
        <f ca="1">VLOOKUP($L567,OFFSET([2]enemies!$A$1,0,0,COUNTA([2]enemies!$A:$A),MATCH(W$1,[2]enemies!$1:$1,0)-MATCH($L$1,[2]enemies!$1:$1,0)+1),MATCH(W$1,[2]enemies!$1:$1,0)-MATCH($L$1,[2]enemies!$1:$1,0)+1,FALSE)</f>
        <v>0</v>
      </c>
      <c r="X567" s="6">
        <v>0</v>
      </c>
      <c r="Y567" s="6">
        <v>100</v>
      </c>
      <c r="Z567" s="6">
        <v>0</v>
      </c>
      <c r="AA567" s="4">
        <f ca="1">VLOOKUP($L567,OFFSET([2]enemies!$A$1,0,0,COUNTA([2]enemies!$A:$A),MATCH(AA$1,[2]enemies!$1:$1,0)-MATCH($L$1,[2]enemies!$1:$1,0)+1),MATCH(AA$1,[2]enemies!$1:$1,0)-MATCH($L$1,[2]enemies!$1:$1,0)+1,FALSE)</f>
        <v>1</v>
      </c>
      <c r="AB567" s="52">
        <v>47</v>
      </c>
      <c r="AC567" s="4" t="str">
        <f ca="1">VLOOKUP($AB567,OFFSET([3]characters!$A$1,0,0,COUNTA([3]characters!$A:$A),MATCH(AC$1,[3]characters!$1:$1,0)-MATCH("character_id",[3]characters!$1:$1,0)+1),MATCH(AC$1,[3]characters!$1:$1,0)-MATCH("character_id",[3]characters!$1:$1,0)+1,FALSE)</f>
        <v>ヒロ</v>
      </c>
      <c r="AD567" s="4">
        <f ca="1">VLOOKUP($AB567,OFFSET([3]characters!$A$1,0,0,COUNTA([3]characters!$A:$A),MATCH(AD$1,[3]characters!$1:$1,0)-MATCH("character_id",[3]characters!$1:$1,0)+1),MATCH(AD$1,[3]characters!$1:$1,0)-MATCH("character_id",[3]characters!$1:$1,0)+1,FALSE)</f>
        <v>2</v>
      </c>
      <c r="AE567" s="4" t="str">
        <f ca="1">VLOOKUP($AB567,OFFSET([3]characters!$A$1,0,0,COUNTA([3]characters!$A:$A),MATCH(AE$1,[3]characters!$1:$1,0)-MATCH("character_id",[3]characters!$1:$1,0)+1),MATCH(AE$1,[3]characters!$1:$1,0)-MATCH("character_id",[3]characters!$1:$1,0)+1,FALSE)</f>
        <v>Drop1N</v>
      </c>
      <c r="AF567" s="7">
        <v>7</v>
      </c>
      <c r="AG567" s="26">
        <f t="shared" ca="1" si="575"/>
        <v>2</v>
      </c>
      <c r="AH567" s="8">
        <v>20</v>
      </c>
      <c r="AI567" s="7">
        <v>0</v>
      </c>
      <c r="AJ567" s="7">
        <v>0</v>
      </c>
      <c r="AK567" s="7">
        <v>0</v>
      </c>
      <c r="AL567" s="7">
        <v>0</v>
      </c>
      <c r="AM567" s="7">
        <v>1</v>
      </c>
    </row>
    <row r="568" spans="1:39" ht="14" x14ac:dyDescent="0.15">
      <c r="A568" s="18" t="str">
        <f t="shared" ca="1" si="604"/>
        <v>25_3-4/61&lt;lv50&gt;s2</v>
      </c>
      <c r="B568" s="50">
        <v>25</v>
      </c>
      <c r="C568" s="49">
        <v>3</v>
      </c>
      <c r="D568" s="2" t="str">
        <f t="shared" si="611"/>
        <v>25_3</v>
      </c>
      <c r="E568" s="2" t="str">
        <f t="shared" si="611"/>
        <v>3_25_3</v>
      </c>
      <c r="F568" s="4" t="str">
        <f ca="1">VLOOKUP($D568,OFFSET([1]stages!$A$1,0,0,COUNTA([1]stages!$A:$A),MATCH(F$1,[1]stages!$2:$2,0)-MATCH($D$1,[1]stages!$2:$2,0)+1),MATCH(F$1,[1]stages!$2:$2,0)-MATCH($D$1,[1]stages!$2:$2,0)+1,FALSE)</f>
        <v>25-3．暗闇との対話</v>
      </c>
      <c r="G568" s="56">
        <v>4</v>
      </c>
      <c r="H568" s="17" t="str">
        <f t="shared" si="612"/>
        <v>25_3-4</v>
      </c>
      <c r="I568" s="17"/>
      <c r="J568" s="17"/>
      <c r="K568" s="65" t="s">
        <v>56</v>
      </c>
      <c r="L568" s="52">
        <v>61</v>
      </c>
      <c r="M568" s="21" t="str">
        <f ca="1">VLOOKUP($L568,OFFSET([2]enemies!$A$1,0,0,COUNTA([2]enemies!$A:$A),MATCH(M$1,[2]enemies!$1:$1,0)-MATCH($L$1,[2]enemies!$1:$1,0)+1),MATCH(M$1,[2]enemies!$1:$1,0)-MATCH($L$1,[2]enemies!$1:$1,0)+1,FALSE)</f>
        <v>クロウ</v>
      </c>
      <c r="N568" s="21" t="str">
        <f ca="1">VLOOKUP($L568,OFFSET([2]enemies!$A$1,0,0,COUNTA([2]enemies!$A:$A),MATCH(N$1,[2]enemies!$1:$1,0)-MATCH($L$1,[2]enemies!$1:$1,0)+1),MATCH(N$1,[2]enemies!$1:$1,0)-MATCH($L$1,[2]enemies!$1:$1,0)+1,FALSE)</f>
        <v>blue</v>
      </c>
      <c r="O568" s="21" t="str">
        <f ca="1">VLOOKUP($L568,OFFSET([3]characters!$A$1,0,0,COUNTA([3]characters!$A:$A),MATCH(O$1,[3]characters!$1:$1,0)-MATCH($L$1,[3]characters!$1:$1,0)+1),MATCH(O$1,[3]characters!$1:$1,0)-MATCH($L$1,[3]characters!$1:$1,0)+1,FALSE)</f>
        <v>Drop1N</v>
      </c>
      <c r="P568" s="21" t="str">
        <f ca="1">VLOOKUP($L568,OFFSET([2]enemies!$A$1,0,0,COUNTA([2]enemies!$A:$A),MATCH(P$1,[2]enemies!$1:$1,0)-MATCH($L$1,[2]enemies!$1:$1,0)+1),MATCH(P$1,[2]enemies!$1:$1,0)-MATCH($L$1,[2]enemies!$1:$1,0)+1,FALSE)</f>
        <v>animal</v>
      </c>
      <c r="Q568" s="21">
        <f ca="1">VLOOKUP($L568,OFFSET([2]enemies!$A$1,0,0,COUNTA([2]enemies!$A:$A),MATCH(Q$1,[2]enemies!$1:$1,0)-MATCH($L$1,[2]enemies!$1:$1,0)+1),MATCH(Q$1,[2]enemies!$1:$1,0)-MATCH($L$1,[2]enemies!$1:$1,0)+1,FALSE)</f>
        <v>15</v>
      </c>
      <c r="R568" s="53">
        <v>50</v>
      </c>
      <c r="S568" s="27">
        <v>1.1000000000000001</v>
      </c>
      <c r="T568" s="27">
        <v>1</v>
      </c>
      <c r="U568" s="5">
        <v>0</v>
      </c>
      <c r="V568" s="4" t="str">
        <f ca="1">VLOOKUP($W568,OFFSET([4]enemy_skill_sets!$B$1,0,0,COUNTA([4]enemy_skill_sets!$B:$B),MATCH(M$1,[4]enemy_skill_sets!$1:$1,0)-MATCH($W$1,[4]enemy_skill_sets!$1:$1,0)+2),MATCH(M$1,[4]enemy_skill_sets!$1:$1,0)-MATCH($W$1,[4]enemy_skill_sets!$1:$1,0)+2,FALSE)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68" s="4">
        <f ca="1">VLOOKUP($L568,OFFSET([2]enemies!$A$1,0,0,COUNTA([2]enemies!$A:$A),MATCH(W$1,[2]enemies!$1:$1,0)-MATCH($L$1,[2]enemies!$1:$1,0)+1),MATCH(W$1,[2]enemies!$1:$1,0)-MATCH($L$1,[2]enemies!$1:$1,0)+1,FALSE)</f>
        <v>61</v>
      </c>
      <c r="X568" s="6">
        <v>0</v>
      </c>
      <c r="Y568" s="6">
        <v>100</v>
      </c>
      <c r="Z568" s="6">
        <v>0</v>
      </c>
      <c r="AA568" s="4">
        <f ca="1">VLOOKUP($L568,OFFSET([2]enemies!$A$1,0,0,COUNTA([2]enemies!$A:$A),MATCH(AA$1,[2]enemies!$1:$1,0)-MATCH($L$1,[2]enemies!$1:$1,0)+1),MATCH(AA$1,[2]enemies!$1:$1,0)-MATCH($L$1,[2]enemies!$1:$1,0)+1,FALSE)</f>
        <v>2</v>
      </c>
      <c r="AB568" s="52">
        <v>61</v>
      </c>
      <c r="AC568" s="4" t="str">
        <f ca="1">VLOOKUP($AB568,OFFSET([3]characters!$A$1,0,0,COUNTA([3]characters!$A:$A),MATCH(AC$1,[3]characters!$1:$1,0)-MATCH("character_id",[3]characters!$1:$1,0)+1),MATCH(AC$1,[3]characters!$1:$1,0)-MATCH("character_id",[3]characters!$1:$1,0)+1,FALSE)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568" s="4">
        <f ca="1">VLOOKUP($AB568,OFFSET([3]characters!$A$1,0,0,COUNTA([3]characters!$A:$A),MATCH(AD$1,[3]characters!$1:$1,0)-MATCH("character_id",[3]characters!$1:$1,0)+1),MATCH(AD$1,[3]characters!$1:$1,0)-MATCH("character_id",[3]characters!$1:$1,0)+1,FALSE)</f>
        <v>2</v>
      </c>
      <c r="AE568" s="4" t="str">
        <f ca="1">VLOOKUP($AB568,OFFSET([3]characters!$A$1,0,0,COUNTA([3]characters!$A:$A),MATCH(AE$1,[3]characters!$1:$1,0)-MATCH("character_id",[3]characters!$1:$1,0)+1),MATCH(AE$1,[3]characters!$1:$1,0)-MATCH("character_id",[3]characters!$1:$1,0)+1,FALSE)</f>
        <v>Drop1N</v>
      </c>
      <c r="AF568" s="7">
        <v>7</v>
      </c>
      <c r="AG568" s="26">
        <f t="shared" ca="1" si="575"/>
        <v>2</v>
      </c>
      <c r="AH568" s="8">
        <v>20</v>
      </c>
      <c r="AI568" s="7">
        <v>0</v>
      </c>
      <c r="AJ568" s="7">
        <v>0</v>
      </c>
      <c r="AK568" s="7">
        <v>0</v>
      </c>
      <c r="AL568" s="7">
        <v>0</v>
      </c>
      <c r="AM568" s="7">
        <v>1</v>
      </c>
    </row>
    <row r="569" spans="1:39" ht="14" x14ac:dyDescent="0.15">
      <c r="A569" s="18" t="str">
        <f t="shared" ca="1" si="604"/>
        <v>25_3-4/63&lt;lv50&gt;s2</v>
      </c>
      <c r="B569" s="50">
        <v>25</v>
      </c>
      <c r="C569" s="49">
        <v>3</v>
      </c>
      <c r="D569" s="2" t="str">
        <f t="shared" si="611"/>
        <v>25_3</v>
      </c>
      <c r="E569" s="2" t="str">
        <f t="shared" si="611"/>
        <v>3_25_3</v>
      </c>
      <c r="F569" s="4" t="str">
        <f ca="1">VLOOKUP($D569,OFFSET([1]stages!$A$1,0,0,COUNTA([1]stages!$A:$A),MATCH(F$1,[1]stages!$2:$2,0)-MATCH($D$1,[1]stages!$2:$2,0)+1),MATCH(F$1,[1]stages!$2:$2,0)-MATCH($D$1,[1]stages!$2:$2,0)+1,FALSE)</f>
        <v>25-3．暗闇との対話</v>
      </c>
      <c r="G569" s="56">
        <v>4</v>
      </c>
      <c r="H569" s="17" t="str">
        <f t="shared" si="612"/>
        <v>25_3-4</v>
      </c>
      <c r="I569" s="17"/>
      <c r="J569" s="17"/>
      <c r="K569" s="65" t="s">
        <v>56</v>
      </c>
      <c r="L569" s="52">
        <v>63</v>
      </c>
      <c r="M569" s="21" t="str">
        <f ca="1">VLOOKUP($L569,OFFSET([2]enemies!$A$1,0,0,COUNTA([2]enemies!$A:$A),MATCH(M$1,[2]enemies!$1:$1,0)-MATCH($L$1,[2]enemies!$1:$1,0)+1),MATCH(M$1,[2]enemies!$1:$1,0)-MATCH($L$1,[2]enemies!$1:$1,0)+1,FALSE)</f>
        <v>トニー</v>
      </c>
      <c r="N569" s="21" t="str">
        <f ca="1">VLOOKUP($L569,OFFSET([2]enemies!$A$1,0,0,COUNTA([2]enemies!$A:$A),MATCH(N$1,[2]enemies!$1:$1,0)-MATCH($L$1,[2]enemies!$1:$1,0)+1),MATCH(N$1,[2]enemies!$1:$1,0)-MATCH($L$1,[2]enemies!$1:$1,0)+1,FALSE)</f>
        <v>yellow</v>
      </c>
      <c r="O569" s="21" t="str">
        <f ca="1">VLOOKUP($L569,OFFSET([3]characters!$A$1,0,0,COUNTA([3]characters!$A:$A),MATCH(O$1,[3]characters!$1:$1,0)-MATCH($L$1,[3]characters!$1:$1,0)+1),MATCH(O$1,[3]characters!$1:$1,0)-MATCH($L$1,[3]characters!$1:$1,0)+1,FALSE)</f>
        <v>Drop1N</v>
      </c>
      <c r="P569" s="21" t="str">
        <f ca="1">VLOOKUP($L569,OFFSET([2]enemies!$A$1,0,0,COUNTA([2]enemies!$A:$A),MATCH(P$1,[2]enemies!$1:$1,0)-MATCH($L$1,[2]enemies!$1:$1,0)+1),MATCH(P$1,[2]enemies!$1:$1,0)-MATCH($L$1,[2]enemies!$1:$1,0)+1,FALSE)</f>
        <v>animal</v>
      </c>
      <c r="Q569" s="21">
        <f ca="1">VLOOKUP($L569,OFFSET([2]enemies!$A$1,0,0,COUNTA([2]enemies!$A:$A),MATCH(Q$1,[2]enemies!$1:$1,0)-MATCH($L$1,[2]enemies!$1:$1,0)+1),MATCH(Q$1,[2]enemies!$1:$1,0)-MATCH($L$1,[2]enemies!$1:$1,0)+1,FALSE)</f>
        <v>15</v>
      </c>
      <c r="R569" s="53">
        <v>50</v>
      </c>
      <c r="S569" s="27">
        <v>1.1000000000000001</v>
      </c>
      <c r="T569" s="27">
        <v>1</v>
      </c>
      <c r="U569" s="5">
        <v>0</v>
      </c>
      <c r="V569" s="4" t="str">
        <f ca="1">VLOOKUP($W569,OFFSET([4]enemy_skill_sets!$B$1,0,0,COUNTA([4]enemy_skill_sets!$B:$B),MATCH(M$1,[4]enemy_skill_sets!$1:$1,0)-MATCH($W$1,[4]enemy_skill_sets!$1:$1,0)+2),MATCH(M$1,[4]enemy_skill_sets!$1:$1,0)-MATCH($W$1,[4]enemy_skill_sets!$1:$1,0)+2,FALSE)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569" s="4">
        <f ca="1">VLOOKUP($L569,OFFSET([2]enemies!$A$1,0,0,COUNTA([2]enemies!$A:$A),MATCH(W$1,[2]enemies!$1:$1,0)-MATCH($L$1,[2]enemies!$1:$1,0)+1),MATCH(W$1,[2]enemies!$1:$1,0)-MATCH($L$1,[2]enemies!$1:$1,0)+1,FALSE)</f>
        <v>63</v>
      </c>
      <c r="X569" s="6">
        <v>0</v>
      </c>
      <c r="Y569" s="6">
        <v>100</v>
      </c>
      <c r="Z569" s="6">
        <v>0</v>
      </c>
      <c r="AA569" s="4">
        <f ca="1">VLOOKUP($L569,OFFSET([2]enemies!$A$1,0,0,COUNTA([2]enemies!$A:$A),MATCH(AA$1,[2]enemies!$1:$1,0)-MATCH($L$1,[2]enemies!$1:$1,0)+1),MATCH(AA$1,[2]enemies!$1:$1,0)-MATCH($L$1,[2]enemies!$1:$1,0)+1,FALSE)</f>
        <v>2</v>
      </c>
      <c r="AB569" s="52">
        <v>63</v>
      </c>
      <c r="AC569" s="4" t="str">
        <f ca="1">VLOOKUP($AB569,OFFSET([3]characters!$A$1,0,0,COUNTA([3]characters!$A:$A),MATCH(AC$1,[3]characters!$1:$1,0)-MATCH("character_id",[3]characters!$1:$1,0)+1),MATCH(AC$1,[3]characters!$1:$1,0)-MATCH("character_id",[3]characters!$1:$1,0)+1,FALSE)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569" s="4">
        <f ca="1">VLOOKUP($AB569,OFFSET([3]characters!$A$1,0,0,COUNTA([3]characters!$A:$A),MATCH(AD$1,[3]characters!$1:$1,0)-MATCH("character_id",[3]characters!$1:$1,0)+1),MATCH(AD$1,[3]characters!$1:$1,0)-MATCH("character_id",[3]characters!$1:$1,0)+1,FALSE)</f>
        <v>2</v>
      </c>
      <c r="AE569" s="4" t="str">
        <f ca="1">VLOOKUP($AB569,OFFSET([3]characters!$A$1,0,0,COUNTA([3]characters!$A:$A),MATCH(AE$1,[3]characters!$1:$1,0)-MATCH("character_id",[3]characters!$1:$1,0)+1),MATCH(AE$1,[3]characters!$1:$1,0)-MATCH("character_id",[3]characters!$1:$1,0)+1,FALSE)</f>
        <v>Drop1N</v>
      </c>
      <c r="AF569" s="7">
        <v>7</v>
      </c>
      <c r="AG569" s="26">
        <f t="shared" ca="1" si="575"/>
        <v>2</v>
      </c>
      <c r="AH569" s="8">
        <v>20</v>
      </c>
      <c r="AI569" s="7">
        <v>0</v>
      </c>
      <c r="AJ569" s="7">
        <v>0</v>
      </c>
      <c r="AK569" s="7">
        <v>0</v>
      </c>
      <c r="AL569" s="7">
        <v>0</v>
      </c>
      <c r="AM569" s="7">
        <v>1</v>
      </c>
    </row>
    <row r="570" spans="1:39" ht="14" x14ac:dyDescent="0.15">
      <c r="A570" s="18" t="str">
        <f t="shared" ca="1" si="604"/>
        <v>25_3-4/39&lt;lv50&gt;s3</v>
      </c>
      <c r="B570" s="50">
        <v>25</v>
      </c>
      <c r="C570" s="49">
        <v>3</v>
      </c>
      <c r="D570" s="2" t="str">
        <f t="shared" si="611"/>
        <v>25_3</v>
      </c>
      <c r="E570" s="2" t="str">
        <f t="shared" si="611"/>
        <v>3_25_3</v>
      </c>
      <c r="F570" s="4" t="str">
        <f ca="1">VLOOKUP($D570,OFFSET([1]stages!$A$1,0,0,COUNTA([1]stages!$A:$A),MATCH(F$1,[1]stages!$2:$2,0)-MATCH($D$1,[1]stages!$2:$2,0)+1),MATCH(F$1,[1]stages!$2:$2,0)-MATCH($D$1,[1]stages!$2:$2,0)+1,FALSE)</f>
        <v>25-3．暗闇との対話</v>
      </c>
      <c r="G570" s="56">
        <v>4</v>
      </c>
      <c r="H570" s="17" t="str">
        <f t="shared" si="612"/>
        <v>25_3-4</v>
      </c>
      <c r="I570" s="17"/>
      <c r="J570" s="17"/>
      <c r="K570" s="65" t="s">
        <v>56</v>
      </c>
      <c r="L570" s="52">
        <v>39</v>
      </c>
      <c r="M570" s="21" t="str">
        <f ca="1">VLOOKUP($L570,OFFSET([2]enemies!$A$1,0,0,COUNTA([2]enemies!$A:$A),MATCH(M$1,[2]enemies!$1:$1,0)-MATCH($L$1,[2]enemies!$1:$1,0)+1),MATCH(M$1,[2]enemies!$1:$1,0)-MATCH($L$1,[2]enemies!$1:$1,0)+1,FALSE)</f>
        <v>マーロン</v>
      </c>
      <c r="N570" s="21" t="str">
        <f ca="1">VLOOKUP($L570,OFFSET([2]enemies!$A$1,0,0,COUNTA([2]enemies!$A:$A),MATCH(N$1,[2]enemies!$1:$1,0)-MATCH($L$1,[2]enemies!$1:$1,0)+1),MATCH(N$1,[2]enemies!$1:$1,0)-MATCH($L$1,[2]enemies!$1:$1,0)+1,FALSE)</f>
        <v>yellow</v>
      </c>
      <c r="O570" s="21" t="str">
        <f ca="1">VLOOKUP($L570,OFFSET([3]characters!$A$1,0,0,COUNTA([3]characters!$A:$A),MATCH(O$1,[3]characters!$1:$1,0)-MATCH($L$1,[3]characters!$1:$1,0)+1),MATCH(O$1,[3]characters!$1:$1,0)-MATCH($L$1,[3]characters!$1:$1,0)+1,FALSE)</f>
        <v>Drop1S</v>
      </c>
      <c r="P570" s="21" t="str">
        <f ca="1">VLOOKUP($L570,OFFSET([2]enemies!$A$1,0,0,COUNTA([2]enemies!$A:$A),MATCH(P$1,[2]enemies!$1:$1,0)-MATCH($L$1,[2]enemies!$1:$1,0)+1),MATCH(P$1,[2]enemies!$1:$1,0)-MATCH($L$1,[2]enemies!$1:$1,0)+1,FALSE)</f>
        <v>human</v>
      </c>
      <c r="Q570" s="21">
        <f ca="1">VLOOKUP($L570,OFFSET([2]enemies!$A$1,0,0,COUNTA([2]enemies!$A:$A),MATCH(Q$1,[2]enemies!$1:$1,0)-MATCH($L$1,[2]enemies!$1:$1,0)+1),MATCH(Q$1,[2]enemies!$1:$1,0)-MATCH($L$1,[2]enemies!$1:$1,0)+1,FALSE)</f>
        <v>15</v>
      </c>
      <c r="R570" s="53">
        <v>50</v>
      </c>
      <c r="S570" s="27">
        <v>1.1000000000000001</v>
      </c>
      <c r="T570" s="27">
        <v>1</v>
      </c>
      <c r="U570" s="5">
        <v>0</v>
      </c>
      <c r="V570" s="4" t="str">
        <f ca="1">VLOOKUP($W570,OFFSET([4]enemy_skill_sets!$B$1,0,0,COUNTA([4]enemy_skill_sets!$B:$B),MATCH(M$1,[4]enemy_skill_sets!$1:$1,0)-MATCH($W$1,[4]enemy_skill_sets!$1:$1,0)+2),MATCH(M$1,[4]enemy_skill_sets!$1:$1,0)-MATCH($W$1,[4]enemy_skill_sets!$1:$1,0)+2,FALSE)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570" s="4">
        <f ca="1">VLOOKUP($L570,OFFSET([2]enemies!$A$1,0,0,COUNTA([2]enemies!$A:$A),MATCH(W$1,[2]enemies!$1:$1,0)-MATCH($L$1,[2]enemies!$1:$1,0)+1),MATCH(W$1,[2]enemies!$1:$1,0)-MATCH($L$1,[2]enemies!$1:$1,0)+1,FALSE)</f>
        <v>39</v>
      </c>
      <c r="X570" s="6">
        <v>0</v>
      </c>
      <c r="Y570" s="6">
        <v>100</v>
      </c>
      <c r="Z570" s="6">
        <v>0</v>
      </c>
      <c r="AA570" s="4">
        <f ca="1">VLOOKUP($L570,OFFSET([2]enemies!$A$1,0,0,COUNTA([2]enemies!$A:$A),MATCH(AA$1,[2]enemies!$1:$1,0)-MATCH($L$1,[2]enemies!$1:$1,0)+1),MATCH(AA$1,[2]enemies!$1:$1,0)-MATCH($L$1,[2]enemies!$1:$1,0)+1,FALSE)</f>
        <v>3</v>
      </c>
      <c r="AB570" s="52">
        <v>39</v>
      </c>
      <c r="AC570" s="4" t="str">
        <f ca="1">VLOOKUP($AB570,OFFSET([3]characters!$A$1,0,0,COUNTA([3]characters!$A:$A),MATCH(AC$1,[3]characters!$1:$1,0)-MATCH("character_id",[3]characters!$1:$1,0)+1),MATCH(AC$1,[3]characters!$1:$1,0)-MATCH("character_id",[3]characters!$1:$1,0)+1,FALSE)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570" s="4">
        <f ca="1">VLOOKUP($AB570,OFFSET([3]characters!$A$1,0,0,COUNTA([3]characters!$A:$A),MATCH(AD$1,[3]characters!$1:$1,0)-MATCH("character_id",[3]characters!$1:$1,0)+1),MATCH(AD$1,[3]characters!$1:$1,0)-MATCH("character_id",[3]characters!$1:$1,0)+1,FALSE)</f>
        <v>2</v>
      </c>
      <c r="AE570" s="4" t="str">
        <f ca="1">VLOOKUP($AB570,OFFSET([3]characters!$A$1,0,0,COUNTA([3]characters!$A:$A),MATCH(AE$1,[3]characters!$1:$1,0)-MATCH("character_id",[3]characters!$1:$1,0)+1),MATCH(AE$1,[3]characters!$1:$1,0)-MATCH("character_id",[3]characters!$1:$1,0)+1,FALSE)</f>
        <v>Drop1S</v>
      </c>
      <c r="AF570" s="7">
        <v>5</v>
      </c>
      <c r="AG570" s="26">
        <f t="shared" ca="1" si="575"/>
        <v>2</v>
      </c>
      <c r="AH570" s="8">
        <v>20</v>
      </c>
      <c r="AI570" s="7">
        <v>0</v>
      </c>
      <c r="AJ570" s="7">
        <v>0</v>
      </c>
      <c r="AK570" s="7">
        <v>0</v>
      </c>
      <c r="AL570" s="7">
        <v>0</v>
      </c>
      <c r="AM570" s="7">
        <v>1</v>
      </c>
    </row>
    <row r="571" spans="1:39" ht="14" x14ac:dyDescent="0.15">
      <c r="A571" s="18" t="str">
        <f t="shared" ca="1" si="604"/>
        <v>25_3-4/53&lt;lv50&gt;s2</v>
      </c>
      <c r="B571" s="50">
        <v>25</v>
      </c>
      <c r="C571" s="49">
        <v>3</v>
      </c>
      <c r="D571" s="2" t="str">
        <f t="shared" si="611"/>
        <v>25_3</v>
      </c>
      <c r="E571" s="2" t="str">
        <f t="shared" si="611"/>
        <v>3_25_3</v>
      </c>
      <c r="F571" s="4" t="str">
        <f ca="1">VLOOKUP($D571,OFFSET([1]stages!$A$1,0,0,COUNTA([1]stages!$A:$A),MATCH(F$1,[1]stages!$2:$2,0)-MATCH($D$1,[1]stages!$2:$2,0)+1),MATCH(F$1,[1]stages!$2:$2,0)-MATCH($D$1,[1]stages!$2:$2,0)+1,FALSE)</f>
        <v>25-3．暗闇との対話</v>
      </c>
      <c r="G571" s="56">
        <v>4</v>
      </c>
      <c r="H571" s="17" t="str">
        <f t="shared" si="612"/>
        <v>25_3-4</v>
      </c>
      <c r="I571" s="17"/>
      <c r="J571" s="17"/>
      <c r="K571" s="65" t="s">
        <v>56</v>
      </c>
      <c r="L571" s="52">
        <v>53</v>
      </c>
      <c r="M571" s="21" t="str">
        <f ca="1">VLOOKUP($L571,OFFSET([2]enemies!$A$1,0,0,COUNTA([2]enemies!$A:$A),MATCH(M$1,[2]enemies!$1:$1,0)-MATCH($L$1,[2]enemies!$1:$1,0)+1),MATCH(M$1,[2]enemies!$1:$1,0)-MATCH($L$1,[2]enemies!$1:$1,0)+1,FALSE)</f>
        <v>ケンジ</v>
      </c>
      <c r="N571" s="21" t="str">
        <f ca="1">VLOOKUP($L571,OFFSET([2]enemies!$A$1,0,0,COUNTA([2]enemies!$A:$A),MATCH(N$1,[2]enemies!$1:$1,0)-MATCH($L$1,[2]enemies!$1:$1,0)+1),MATCH(N$1,[2]enemies!$1:$1,0)-MATCH($L$1,[2]enemies!$1:$1,0)+1,FALSE)</f>
        <v>blue</v>
      </c>
      <c r="O571" s="21" t="str">
        <f ca="1">VLOOKUP($L571,OFFSET([3]characters!$A$1,0,0,COUNTA([3]characters!$A:$A),MATCH(O$1,[3]characters!$1:$1,0)-MATCH($L$1,[3]characters!$1:$1,0)+1),MATCH(O$1,[3]characters!$1:$1,0)-MATCH($L$1,[3]characters!$1:$1,0)+1,FALSE)</f>
        <v>Drop1N</v>
      </c>
      <c r="P571" s="21" t="str">
        <f ca="1">VLOOKUP($L571,OFFSET([2]enemies!$A$1,0,0,COUNTA([2]enemies!$A:$A),MATCH(P$1,[2]enemies!$1:$1,0)-MATCH($L$1,[2]enemies!$1:$1,0)+1),MATCH(P$1,[2]enemies!$1:$1,0)-MATCH($L$1,[2]enemies!$1:$1,0)+1,FALSE)</f>
        <v>human</v>
      </c>
      <c r="Q571" s="21">
        <f ca="1">VLOOKUP($L571,OFFSET([2]enemies!$A$1,0,0,COUNTA([2]enemies!$A:$A),MATCH(Q$1,[2]enemies!$1:$1,0)-MATCH($L$1,[2]enemies!$1:$1,0)+1),MATCH(Q$1,[2]enemies!$1:$1,0)-MATCH($L$1,[2]enemies!$1:$1,0)+1,FALSE)</f>
        <v>15</v>
      </c>
      <c r="R571" s="53">
        <v>50</v>
      </c>
      <c r="S571" s="27">
        <v>1.1000000000000001</v>
      </c>
      <c r="T571" s="27">
        <v>1</v>
      </c>
      <c r="U571" s="5">
        <v>0</v>
      </c>
      <c r="V571" s="4" t="str">
        <f ca="1">VLOOKUP($W571,OFFSET([4]enemy_skill_sets!$B$1,0,0,COUNTA([4]enemy_skill_sets!$B:$B),MATCH(M$1,[4]enemy_skill_sets!$1:$1,0)-MATCH($W$1,[4]enemy_skill_sets!$1:$1,0)+2),MATCH(M$1,[4]enemy_skill_sets!$1:$1,0)-MATCH($W$1,[4]enemy_skill_sets!$1:$1,0)+2,FALSE)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571" s="4">
        <f ca="1">VLOOKUP($L571,OFFSET([2]enemies!$A$1,0,0,COUNTA([2]enemies!$A:$A),MATCH(W$1,[2]enemies!$1:$1,0)-MATCH($L$1,[2]enemies!$1:$1,0)+1),MATCH(W$1,[2]enemies!$1:$1,0)-MATCH($L$1,[2]enemies!$1:$1,0)+1,FALSE)</f>
        <v>53</v>
      </c>
      <c r="X571" s="6">
        <v>0</v>
      </c>
      <c r="Y571" s="6">
        <v>100</v>
      </c>
      <c r="Z571" s="6">
        <v>0</v>
      </c>
      <c r="AA571" s="4">
        <f ca="1">VLOOKUP($L571,OFFSET([2]enemies!$A$1,0,0,COUNTA([2]enemies!$A:$A),MATCH(AA$1,[2]enemies!$1:$1,0)-MATCH($L$1,[2]enemies!$1:$1,0)+1),MATCH(AA$1,[2]enemies!$1:$1,0)-MATCH($L$1,[2]enemies!$1:$1,0)+1,FALSE)</f>
        <v>2</v>
      </c>
      <c r="AB571" s="52">
        <v>53</v>
      </c>
      <c r="AC571" s="4" t="str">
        <f ca="1">VLOOKUP($AB571,OFFSET([3]characters!$A$1,0,0,COUNTA([3]characters!$A:$A),MATCH(AC$1,[3]characters!$1:$1,0)-MATCH("character_id",[3]characters!$1:$1,0)+1),MATCH(AC$1,[3]characters!$1:$1,0)-MATCH("character_id",[3]characters!$1:$1,0)+1,FALSE)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571" s="4">
        <f ca="1">VLOOKUP($AB571,OFFSET([3]characters!$A$1,0,0,COUNTA([3]characters!$A:$A),MATCH(AD$1,[3]characters!$1:$1,0)-MATCH("character_id",[3]characters!$1:$1,0)+1),MATCH(AD$1,[3]characters!$1:$1,0)-MATCH("character_id",[3]characters!$1:$1,0)+1,FALSE)</f>
        <v>2</v>
      </c>
      <c r="AE571" s="4" t="str">
        <f ca="1">VLOOKUP($AB571,OFFSET([3]characters!$A$1,0,0,COUNTA([3]characters!$A:$A),MATCH(AE$1,[3]characters!$1:$1,0)-MATCH("character_id",[3]characters!$1:$1,0)+1),MATCH(AE$1,[3]characters!$1:$1,0)-MATCH("character_id",[3]characters!$1:$1,0)+1,FALSE)</f>
        <v>Drop1N</v>
      </c>
      <c r="AF571" s="7">
        <v>7</v>
      </c>
      <c r="AG571" s="26">
        <f t="shared" ca="1" si="575"/>
        <v>2</v>
      </c>
      <c r="AH571" s="8">
        <v>20</v>
      </c>
      <c r="AI571" s="7">
        <v>0</v>
      </c>
      <c r="AJ571" s="7">
        <v>0</v>
      </c>
      <c r="AK571" s="7">
        <v>0</v>
      </c>
      <c r="AL571" s="7">
        <v>0</v>
      </c>
      <c r="AM571" s="7">
        <v>1</v>
      </c>
    </row>
    <row r="572" spans="1:39" ht="14" x14ac:dyDescent="0.15">
      <c r="A572" s="18" t="str">
        <f t="shared" ca="1" si="604"/>
        <v>25_3-4/55&lt;lv50&gt;s4</v>
      </c>
      <c r="B572" s="50">
        <v>25</v>
      </c>
      <c r="C572" s="49">
        <v>3</v>
      </c>
      <c r="D572" s="2" t="str">
        <f t="shared" si="611"/>
        <v>25_3</v>
      </c>
      <c r="E572" s="2" t="str">
        <f t="shared" si="611"/>
        <v>3_25_3</v>
      </c>
      <c r="F572" s="4" t="str">
        <f ca="1">VLOOKUP($D572,OFFSET([1]stages!$A$1,0,0,COUNTA([1]stages!$A:$A),MATCH(F$1,[1]stages!$2:$2,0)-MATCH($D$1,[1]stages!$2:$2,0)+1),MATCH(F$1,[1]stages!$2:$2,0)-MATCH($D$1,[1]stages!$2:$2,0)+1,FALSE)</f>
        <v>25-3．暗闇との対話</v>
      </c>
      <c r="G572" s="56">
        <v>4</v>
      </c>
      <c r="H572" s="17" t="str">
        <f t="shared" si="612"/>
        <v>25_3-4</v>
      </c>
      <c r="I572" s="17"/>
      <c r="J572" s="17"/>
      <c r="K572" s="65" t="s">
        <v>56</v>
      </c>
      <c r="L572" s="52">
        <v>55</v>
      </c>
      <c r="M572" s="21" t="str">
        <f ca="1">VLOOKUP($L572,OFFSET([2]enemies!$A$1,0,0,COUNTA([2]enemies!$A:$A),MATCH(M$1,[2]enemies!$1:$1,0)-MATCH($L$1,[2]enemies!$1:$1,0)+1),MATCH(M$1,[2]enemies!$1:$1,0)-MATCH($L$1,[2]enemies!$1:$1,0)+1,FALSE)</f>
        <v>マミコ</v>
      </c>
      <c r="N572" s="21" t="str">
        <f ca="1">VLOOKUP($L572,OFFSET([2]enemies!$A$1,0,0,COUNTA([2]enemies!$A:$A),MATCH(N$1,[2]enemies!$1:$1,0)-MATCH($L$1,[2]enemies!$1:$1,0)+1),MATCH(N$1,[2]enemies!$1:$1,0)-MATCH($L$1,[2]enemies!$1:$1,0)+1,FALSE)</f>
        <v>yellow</v>
      </c>
      <c r="O572" s="21" t="str">
        <f ca="1">VLOOKUP($L572,OFFSET([3]characters!$A$1,0,0,COUNTA([3]characters!$A:$A),MATCH(O$1,[3]characters!$1:$1,0)-MATCH($L$1,[3]characters!$1:$1,0)+1),MATCH(O$1,[3]characters!$1:$1,0)-MATCH($L$1,[3]characters!$1:$1,0)+1,FALSE)</f>
        <v>Drop1N</v>
      </c>
      <c r="P572" s="21" t="str">
        <f ca="1">VLOOKUP($L572,OFFSET([2]enemies!$A$1,0,0,COUNTA([2]enemies!$A:$A),MATCH(P$1,[2]enemies!$1:$1,0)-MATCH($L$1,[2]enemies!$1:$1,0)+1),MATCH(P$1,[2]enemies!$1:$1,0)-MATCH($L$1,[2]enemies!$1:$1,0)+1,FALSE)</f>
        <v>human</v>
      </c>
      <c r="Q572" s="21">
        <f ca="1">VLOOKUP($L572,OFFSET([2]enemies!$A$1,0,0,COUNTA([2]enemies!$A:$A),MATCH(Q$1,[2]enemies!$1:$1,0)-MATCH($L$1,[2]enemies!$1:$1,0)+1),MATCH(Q$1,[2]enemies!$1:$1,0)-MATCH($L$1,[2]enemies!$1:$1,0)+1,FALSE)</f>
        <v>15</v>
      </c>
      <c r="R572" s="53">
        <v>50</v>
      </c>
      <c r="S572" s="27">
        <v>1.1000000000000001</v>
      </c>
      <c r="T572" s="27">
        <v>1</v>
      </c>
      <c r="U572" s="5">
        <v>0</v>
      </c>
      <c r="V572" s="4" t="str">
        <f ca="1">VLOOKUP($W572,OFFSET([4]enemy_skill_sets!$B$1,0,0,COUNTA([4]enemy_skill_sets!$B:$B),MATCH(M$1,[4]enemy_skill_sets!$1:$1,0)-MATCH($W$1,[4]enemy_skill_sets!$1:$1,0)+2),MATCH(M$1,[4]enemy_skill_sets!$1:$1,0)-MATCH($W$1,[4]enemy_skill_sets!$1:$1,0)+2,FALSE)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572" s="4">
        <f ca="1">VLOOKUP($L572,OFFSET([2]enemies!$A$1,0,0,COUNTA([2]enemies!$A:$A),MATCH(W$1,[2]enemies!$1:$1,0)-MATCH($L$1,[2]enemies!$1:$1,0)+1),MATCH(W$1,[2]enemies!$1:$1,0)-MATCH($L$1,[2]enemies!$1:$1,0)+1,FALSE)</f>
        <v>55</v>
      </c>
      <c r="X572" s="6">
        <v>0</v>
      </c>
      <c r="Y572" s="6">
        <v>100</v>
      </c>
      <c r="Z572" s="6">
        <v>0</v>
      </c>
      <c r="AA572" s="4">
        <f ca="1">VLOOKUP($L572,OFFSET([2]enemies!$A$1,0,0,COUNTA([2]enemies!$A:$A),MATCH(AA$1,[2]enemies!$1:$1,0)-MATCH($L$1,[2]enemies!$1:$1,0)+1),MATCH(AA$1,[2]enemies!$1:$1,0)-MATCH($L$1,[2]enemies!$1:$1,0)+1,FALSE)</f>
        <v>4</v>
      </c>
      <c r="AB572" s="52">
        <v>55</v>
      </c>
      <c r="AC572" s="4" t="str">
        <f ca="1">VLOOKUP($AB572,OFFSET([3]characters!$A$1,0,0,COUNTA([3]characters!$A:$A),MATCH(AC$1,[3]characters!$1:$1,0)-MATCH("character_id",[3]characters!$1:$1,0)+1),MATCH(AC$1,[3]characters!$1:$1,0)-MATCH("character_id",[3]characters!$1:$1,0)+1,FALSE)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572" s="4">
        <f ca="1">VLOOKUP($AB572,OFFSET([3]characters!$A$1,0,0,COUNTA([3]characters!$A:$A),MATCH(AD$1,[3]characters!$1:$1,0)-MATCH("character_id",[3]characters!$1:$1,0)+1),MATCH(AD$1,[3]characters!$1:$1,0)-MATCH("character_id",[3]characters!$1:$1,0)+1,FALSE)</f>
        <v>2</v>
      </c>
      <c r="AE572" s="4" t="str">
        <f ca="1">VLOOKUP($AB572,OFFSET([3]characters!$A$1,0,0,COUNTA([3]characters!$A:$A),MATCH(AE$1,[3]characters!$1:$1,0)-MATCH("character_id",[3]characters!$1:$1,0)+1),MATCH(AE$1,[3]characters!$1:$1,0)-MATCH("character_id",[3]characters!$1:$1,0)+1,FALSE)</f>
        <v>Drop1N</v>
      </c>
      <c r="AF572" s="7">
        <v>7</v>
      </c>
      <c r="AG572" s="26">
        <f t="shared" ca="1" si="575"/>
        <v>2</v>
      </c>
      <c r="AH572" s="8">
        <v>20</v>
      </c>
      <c r="AI572" s="7">
        <v>0</v>
      </c>
      <c r="AJ572" s="7">
        <v>0</v>
      </c>
      <c r="AK572" s="7">
        <v>0</v>
      </c>
      <c r="AL572" s="7">
        <v>0</v>
      </c>
      <c r="AM572" s="7">
        <v>1</v>
      </c>
    </row>
    <row r="573" spans="1:39" ht="14" x14ac:dyDescent="0.15">
      <c r="A573" s="18" t="str">
        <f t="shared" ca="1" si="604"/>
        <v>25_3-4/364&lt;lv50&gt;s3</v>
      </c>
      <c r="B573" s="53">
        <v>25</v>
      </c>
      <c r="C573" s="51">
        <v>3</v>
      </c>
      <c r="D573" s="2" t="str">
        <f t="shared" ref="D573:D574" si="613">B573&amp;"_"&amp;C573</f>
        <v>25_3</v>
      </c>
      <c r="E573" s="2" t="str">
        <f t="shared" ref="E573:E574" si="614">C573&amp;"_"&amp;D573</f>
        <v>3_25_3</v>
      </c>
      <c r="F573" s="4" t="str">
        <f ca="1">VLOOKUP($D573,OFFSET([1]stages!$A$1,0,0,COUNTA([1]stages!$A:$A),MATCH(F$1,[1]stages!$2:$2,0)-MATCH($D$1,[1]stages!$2:$2,0)+1),MATCH(F$1,[1]stages!$2:$2,0)-MATCH($D$1,[1]stages!$2:$2,0)+1,FALSE)</f>
        <v>25-3．暗闇との対話</v>
      </c>
      <c r="G573" s="56">
        <v>4</v>
      </c>
      <c r="H573" s="17" t="str">
        <f t="shared" ref="H573:H574" si="615">B573&amp;"_"&amp;C573&amp;"-"&amp;G573</f>
        <v>25_3-4</v>
      </c>
      <c r="I573" s="17"/>
      <c r="J573" s="17"/>
      <c r="K573" s="65" t="s">
        <v>56</v>
      </c>
      <c r="L573" s="52">
        <v>364</v>
      </c>
      <c r="M573" s="21" t="str">
        <f ca="1">VLOOKUP($L573,OFFSET([2]enemies!$A$1,0,0,COUNTA([2]enemies!$A:$A),MATCH(M$1,[2]enemies!$1:$1,0)-MATCH($L$1,[2]enemies!$1:$1,0)+1),MATCH(M$1,[2]enemies!$1:$1,0)-MATCH($L$1,[2]enemies!$1:$1,0)+1,FALSE)</f>
        <v>ノエル</v>
      </c>
      <c r="N573" s="21" t="str">
        <f ca="1">VLOOKUP($L573,OFFSET([2]enemies!$A$1,0,0,COUNTA([2]enemies!$A:$A),MATCH(N$1,[2]enemies!$1:$1,0)-MATCH($L$1,[2]enemies!$1:$1,0)+1),MATCH(N$1,[2]enemies!$1:$1,0)-MATCH($L$1,[2]enemies!$1:$1,0)+1,FALSE)</f>
        <v>blue</v>
      </c>
      <c r="O573" s="21" t="str">
        <f ca="1">VLOOKUP($L573,OFFSET([3]characters!$A$1,0,0,COUNTA([3]characters!$A:$A),MATCH(O$1,[3]characters!$1:$1,0)-MATCH($L$1,[3]characters!$1:$1,0)+1),MATCH(O$1,[3]characters!$1:$1,0)-MATCH($L$1,[3]characters!$1:$1,0)+1,FALSE)</f>
        <v>Drop1S</v>
      </c>
      <c r="P573" s="21" t="str">
        <f ca="1">VLOOKUP($L573,OFFSET([2]enemies!$A$1,0,0,COUNTA([2]enemies!$A:$A),MATCH(P$1,[2]enemies!$1:$1,0)-MATCH($L$1,[2]enemies!$1:$1,0)+1),MATCH(P$1,[2]enemies!$1:$1,0)-MATCH($L$1,[2]enemies!$1:$1,0)+1,FALSE)</f>
        <v>animal</v>
      </c>
      <c r="Q573" s="21">
        <f ca="1">VLOOKUP($L573,OFFSET([2]enemies!$A$1,0,0,COUNTA([2]enemies!$A:$A),MATCH(Q$1,[2]enemies!$1:$1,0)-MATCH($L$1,[2]enemies!$1:$1,0)+1),MATCH(Q$1,[2]enemies!$1:$1,0)-MATCH($L$1,[2]enemies!$1:$1,0)+1,FALSE)</f>
        <v>15</v>
      </c>
      <c r="R573" s="53">
        <v>50</v>
      </c>
      <c r="S573" s="27">
        <v>1.2</v>
      </c>
      <c r="T573" s="27">
        <v>1</v>
      </c>
      <c r="U573" s="5">
        <v>0</v>
      </c>
      <c r="V573" s="4" t="str">
        <f ca="1">VLOOKUP($W573,OFFSET([4]enemy_skill_sets!$B$1,0,0,COUNTA([4]enemy_skill_sets!$B:$B),MATCH(M$1,[4]enemy_skill_sets!$1:$1,0)-MATCH($W$1,[4]enemy_skill_sets!$1:$1,0)+2),MATCH(M$1,[4]enemy_skill_sets!$1:$1,0)-MATCH($W$1,[4]enemy_skill_sets!$1:$1,0)+2,FALSE)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73" s="64">
        <v>364</v>
      </c>
      <c r="X573" s="6">
        <v>0</v>
      </c>
      <c r="Y573" s="6">
        <v>100</v>
      </c>
      <c r="Z573" s="6">
        <v>0</v>
      </c>
      <c r="AA573" s="4">
        <f ca="1">VLOOKUP($L573,OFFSET([2]enemies!$A$1,0,0,COUNTA([2]enemies!$A:$A),MATCH(AA$1,[2]enemies!$1:$1,0)-MATCH($L$1,[2]enemies!$1:$1,0)+1),MATCH(AA$1,[2]enemies!$1:$1,0)-MATCH($L$1,[2]enemies!$1:$1,0)+1,FALSE)</f>
        <v>3</v>
      </c>
      <c r="AB573" s="52">
        <v>364</v>
      </c>
      <c r="AC573" s="4" t="str">
        <f ca="1">VLOOKUP($AB573,OFFSET([3]characters!$A$1,0,0,COUNTA([3]characters!$A:$A),MATCH(AC$1,[3]characters!$1:$1,0)-MATCH("character_id",[3]characters!$1:$1,0)+1),MATCH(AC$1,[3]characters!$1:$1,0)-MATCH("character_id",[3]characters!$1:$1,0)+1,FALSE)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73" s="4">
        <f ca="1">VLOOKUP($AB573,OFFSET([3]characters!$A$1,0,0,COUNTA([3]characters!$A:$A),MATCH(AD$1,[3]characters!$1:$1,0)-MATCH("character_id",[3]characters!$1:$1,0)+1),MATCH(AD$1,[3]characters!$1:$1,0)-MATCH("character_id",[3]characters!$1:$1,0)+1,FALSE)</f>
        <v>2</v>
      </c>
      <c r="AE573" s="4" t="str">
        <f ca="1">VLOOKUP($AB573,OFFSET([3]characters!$A$1,0,0,COUNTA([3]characters!$A:$A),MATCH(AE$1,[3]characters!$1:$1,0)-MATCH("character_id",[3]characters!$1:$1,0)+1),MATCH(AE$1,[3]characters!$1:$1,0)-MATCH("character_id",[3]characters!$1:$1,0)+1,FALSE)</f>
        <v>Drop1S</v>
      </c>
      <c r="AF573" s="7">
        <v>7</v>
      </c>
      <c r="AG573" s="26">
        <f t="shared" ca="1" si="575"/>
        <v>2</v>
      </c>
      <c r="AH573" s="8">
        <v>20</v>
      </c>
      <c r="AI573" s="7">
        <v>0</v>
      </c>
      <c r="AJ573" s="7">
        <v>0</v>
      </c>
      <c r="AK573" s="7">
        <v>0</v>
      </c>
      <c r="AL573" s="7">
        <v>0</v>
      </c>
      <c r="AM573" s="7">
        <v>1</v>
      </c>
    </row>
    <row r="574" spans="1:39" ht="14" x14ac:dyDescent="0.15">
      <c r="A574" s="18" t="str">
        <f t="shared" ca="1" si="604"/>
        <v>25_3-4/366&lt;lv50&gt;s3</v>
      </c>
      <c r="B574" s="53">
        <v>25</v>
      </c>
      <c r="C574" s="51">
        <v>3</v>
      </c>
      <c r="D574" s="2" t="str">
        <f t="shared" si="613"/>
        <v>25_3</v>
      </c>
      <c r="E574" s="2" t="str">
        <f t="shared" si="614"/>
        <v>3_25_3</v>
      </c>
      <c r="F574" s="4" t="str">
        <f ca="1">VLOOKUP($D574,OFFSET([1]stages!$A$1,0,0,COUNTA([1]stages!$A:$A),MATCH(F$1,[1]stages!$2:$2,0)-MATCH($D$1,[1]stages!$2:$2,0)+1),MATCH(F$1,[1]stages!$2:$2,0)-MATCH($D$1,[1]stages!$2:$2,0)+1,FALSE)</f>
        <v>25-3．暗闇との対話</v>
      </c>
      <c r="G574" s="56">
        <v>4</v>
      </c>
      <c r="H574" s="17" t="str">
        <f t="shared" si="615"/>
        <v>25_3-4</v>
      </c>
      <c r="I574" s="17"/>
      <c r="J574" s="17"/>
      <c r="K574" s="65" t="s">
        <v>56</v>
      </c>
      <c r="L574" s="52">
        <v>366</v>
      </c>
      <c r="M574" s="21" t="str">
        <f ca="1">VLOOKUP($L574,OFFSET([2]enemies!$A$1,0,0,COUNTA([2]enemies!$A:$A),MATCH(M$1,[2]enemies!$1:$1,0)-MATCH($L$1,[2]enemies!$1:$1,0)+1),MATCH(M$1,[2]enemies!$1:$1,0)-MATCH($L$1,[2]enemies!$1:$1,0)+1,FALSE)</f>
        <v>トト</v>
      </c>
      <c r="N574" s="21" t="str">
        <f ca="1">VLOOKUP($L574,OFFSET([2]enemies!$A$1,0,0,COUNTA([2]enemies!$A:$A),MATCH(N$1,[2]enemies!$1:$1,0)-MATCH($L$1,[2]enemies!$1:$1,0)+1),MATCH(N$1,[2]enemies!$1:$1,0)-MATCH($L$1,[2]enemies!$1:$1,0)+1,FALSE)</f>
        <v>yellow</v>
      </c>
      <c r="O574" s="21" t="str">
        <f ca="1">VLOOKUP($L574,OFFSET([3]characters!$A$1,0,0,COUNTA([3]characters!$A:$A),MATCH(O$1,[3]characters!$1:$1,0)-MATCH($L$1,[3]characters!$1:$1,0)+1),MATCH(O$1,[3]characters!$1:$1,0)-MATCH($L$1,[3]characters!$1:$1,0)+1,FALSE)</f>
        <v>Drop1S</v>
      </c>
      <c r="P574" s="21" t="str">
        <f ca="1">VLOOKUP($L574,OFFSET([2]enemies!$A$1,0,0,COUNTA([2]enemies!$A:$A),MATCH(P$1,[2]enemies!$1:$1,0)-MATCH($L$1,[2]enemies!$1:$1,0)+1),MATCH(P$1,[2]enemies!$1:$1,0)-MATCH($L$1,[2]enemies!$1:$1,0)+1,FALSE)</f>
        <v>animal</v>
      </c>
      <c r="Q574" s="21">
        <f ca="1">VLOOKUP($L574,OFFSET([2]enemies!$A$1,0,0,COUNTA([2]enemies!$A:$A),MATCH(Q$1,[2]enemies!$1:$1,0)-MATCH($L$1,[2]enemies!$1:$1,0)+1),MATCH(Q$1,[2]enemies!$1:$1,0)-MATCH($L$1,[2]enemies!$1:$1,0)+1,FALSE)</f>
        <v>15</v>
      </c>
      <c r="R574" s="53">
        <v>50</v>
      </c>
      <c r="S574" s="27">
        <v>1.2</v>
      </c>
      <c r="T574" s="27">
        <v>1</v>
      </c>
      <c r="U574" s="5">
        <v>0</v>
      </c>
      <c r="V574" s="4" t="str">
        <f ca="1">VLOOKUP($W574,OFFSET([4]enemy_skill_sets!$B$1,0,0,COUNTA([4]enemy_skill_sets!$B:$B),MATCH(M$1,[4]enemy_skill_sets!$1:$1,0)-MATCH($W$1,[4]enemy_skill_sets!$1:$1,0)+2),MATCH(M$1,[4]enemy_skill_sets!$1:$1,0)-MATCH($W$1,[4]enemy_skill_sets!$1:$1,0)+2,FALSE)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574" s="64">
        <v>366</v>
      </c>
      <c r="X574" s="6">
        <v>0</v>
      </c>
      <c r="Y574" s="6">
        <v>100</v>
      </c>
      <c r="Z574" s="6">
        <v>0</v>
      </c>
      <c r="AA574" s="4">
        <f ca="1">VLOOKUP($L574,OFFSET([2]enemies!$A$1,0,0,COUNTA([2]enemies!$A:$A),MATCH(AA$1,[2]enemies!$1:$1,0)-MATCH($L$1,[2]enemies!$1:$1,0)+1),MATCH(AA$1,[2]enemies!$1:$1,0)-MATCH($L$1,[2]enemies!$1:$1,0)+1,FALSE)</f>
        <v>3</v>
      </c>
      <c r="AB574" s="52">
        <v>366</v>
      </c>
      <c r="AC574" s="4" t="str">
        <f ca="1">VLOOKUP($AB574,OFFSET([3]characters!$A$1,0,0,COUNTA([3]characters!$A:$A),MATCH(AC$1,[3]characters!$1:$1,0)-MATCH("character_id",[3]characters!$1:$1,0)+1),MATCH(AC$1,[3]characters!$1:$1,0)-MATCH("character_id",[3]characters!$1:$1,0)+1,FALSE)</f>
        <v>トト</v>
      </c>
      <c r="AD574" s="4">
        <f ca="1">VLOOKUP($AB574,OFFSET([3]characters!$A$1,0,0,COUNTA([3]characters!$A:$A),MATCH(AD$1,[3]characters!$1:$1,0)-MATCH("character_id",[3]characters!$1:$1,0)+1),MATCH(AD$1,[3]characters!$1:$1,0)-MATCH("character_id",[3]characters!$1:$1,0)+1,FALSE)</f>
        <v>2</v>
      </c>
      <c r="AE574" s="4" t="str">
        <f ca="1">VLOOKUP($AB574,OFFSET([3]characters!$A$1,0,0,COUNTA([3]characters!$A:$A),MATCH(AE$1,[3]characters!$1:$1,0)-MATCH("character_id",[3]characters!$1:$1,0)+1),MATCH(AE$1,[3]characters!$1:$1,0)-MATCH("character_id",[3]characters!$1:$1,0)+1,FALSE)</f>
        <v>Drop1S</v>
      </c>
      <c r="AF574" s="7">
        <v>7</v>
      </c>
      <c r="AG574" s="26">
        <f t="shared" ca="1" si="575"/>
        <v>2</v>
      </c>
      <c r="AH574" s="8">
        <v>20</v>
      </c>
      <c r="AI574" s="7">
        <v>0</v>
      </c>
      <c r="AJ574" s="7">
        <v>0</v>
      </c>
      <c r="AK574" s="7">
        <v>0</v>
      </c>
      <c r="AL574" s="7">
        <v>0</v>
      </c>
      <c r="AM574" s="7">
        <v>1</v>
      </c>
    </row>
    <row r="575" spans="1:39" ht="14" x14ac:dyDescent="0.15">
      <c r="A575" s="18" t="str">
        <f t="shared" ca="1" si="604"/>
        <v>25_3-4/352&lt;lv50&gt;s3</v>
      </c>
      <c r="B575" s="53">
        <v>25</v>
      </c>
      <c r="C575" s="51">
        <v>3</v>
      </c>
      <c r="D575" s="2" t="str">
        <f t="shared" ref="D575" si="616">B575&amp;"_"&amp;C575</f>
        <v>25_3</v>
      </c>
      <c r="E575" s="2" t="str">
        <f t="shared" ref="E575" si="617">C575&amp;"_"&amp;D575</f>
        <v>3_25_3</v>
      </c>
      <c r="F575" s="4" t="str">
        <f ca="1">VLOOKUP($D575,OFFSET([1]stages!$A$1,0,0,COUNTA([1]stages!$A:$A),MATCH(F$1,[1]stages!$2:$2,0)-MATCH($D$1,[1]stages!$2:$2,0)+1),MATCH(F$1,[1]stages!$2:$2,0)-MATCH($D$1,[1]stages!$2:$2,0)+1,FALSE)</f>
        <v>25-3．暗闇との対話</v>
      </c>
      <c r="G575" s="56">
        <v>4</v>
      </c>
      <c r="H575" s="17" t="str">
        <f t="shared" ref="H575" si="618">B575&amp;"_"&amp;C575&amp;"-"&amp;G575</f>
        <v>25_3-4</v>
      </c>
      <c r="I575" s="17"/>
      <c r="J575" s="17"/>
      <c r="K575" s="65" t="s">
        <v>56</v>
      </c>
      <c r="L575" s="52">
        <v>352</v>
      </c>
      <c r="M575" s="21" t="str">
        <f ca="1">VLOOKUP($L575,OFFSET([2]enemies!$A$1,0,0,COUNTA([2]enemies!$A:$A),MATCH(M$1,[2]enemies!$1:$1,0)-MATCH($L$1,[2]enemies!$1:$1,0)+1),MATCH(M$1,[2]enemies!$1:$1,0)-MATCH($L$1,[2]enemies!$1:$1,0)+1,FALSE)</f>
        <v>水のケロケロ</v>
      </c>
      <c r="N575" s="21" t="str">
        <f ca="1">VLOOKUP($L575,OFFSET([2]enemies!$A$1,0,0,COUNTA([2]enemies!$A:$A),MATCH(N$1,[2]enemies!$1:$1,0)-MATCH($L$1,[2]enemies!$1:$1,0)+1),MATCH(N$1,[2]enemies!$1:$1,0)-MATCH($L$1,[2]enemies!$1:$1,0)+1,FALSE)</f>
        <v>blue</v>
      </c>
      <c r="O575" s="21" t="str">
        <f ca="1">VLOOKUP($L575,OFFSET([3]characters!$A$1,0,0,COUNTA([3]characters!$A:$A),MATCH(O$1,[3]characters!$1:$1,0)-MATCH($L$1,[3]characters!$1:$1,0)+1),MATCH(O$1,[3]characters!$1:$1,0)-MATCH($L$1,[3]characters!$1:$1,0)+1,FALSE)</f>
        <v>Material</v>
      </c>
      <c r="P575" s="21" t="str">
        <f ca="1">VLOOKUP($L575,OFFSET([2]enemies!$A$1,0,0,COUNTA([2]enemies!$A:$A),MATCH(P$1,[2]enemies!$1:$1,0)-MATCH($L$1,[2]enemies!$1:$1,0)+1),MATCH(P$1,[2]enemies!$1:$1,0)-MATCH($L$1,[2]enemies!$1:$1,0)+1,FALSE)</f>
        <v>unknown</v>
      </c>
      <c r="Q575" s="21">
        <f ca="1">VLOOKUP($L575,OFFSET([2]enemies!$A$1,0,0,COUNTA([2]enemies!$A:$A),MATCH(Q$1,[2]enemies!$1:$1,0)-MATCH($L$1,[2]enemies!$1:$1,0)+1),MATCH(Q$1,[2]enemies!$1:$1,0)-MATCH($L$1,[2]enemies!$1:$1,0)+1,FALSE)</f>
        <v>15</v>
      </c>
      <c r="R575" s="53">
        <v>50</v>
      </c>
      <c r="S575" s="27">
        <v>1</v>
      </c>
      <c r="T575" s="27">
        <v>1</v>
      </c>
      <c r="U575" s="5">
        <v>0</v>
      </c>
      <c r="V575" s="4" t="str">
        <f ca="1">VLOOKUP($W575,OFFSET([4]enemy_skill_sets!$B$1,0,0,COUNTA([4]enemy_skill_sets!$B:$B),MATCH(M$1,[4]enemy_skill_sets!$1:$1,0)-MATCH($W$1,[4]enemy_skill_sets!$1:$1,0)+2),MATCH(M$1,[4]enemy_skill_sets!$1:$1,0)-MATCH($W$1,[4]enemy_skill_sets!$1:$1,0)+2,FALSE)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75" s="64">
        <v>352</v>
      </c>
      <c r="X575" s="6">
        <v>0</v>
      </c>
      <c r="Y575" s="6">
        <v>100</v>
      </c>
      <c r="Z575" s="6">
        <v>0</v>
      </c>
      <c r="AA575" s="4">
        <f ca="1">VLOOKUP($L575,OFFSET([2]enemies!$A$1,0,0,COUNTA([2]enemies!$A:$A),MATCH(AA$1,[2]enemies!$1:$1,0)-MATCH($L$1,[2]enemies!$1:$1,0)+1),MATCH(AA$1,[2]enemies!$1:$1,0)-MATCH($L$1,[2]enemies!$1:$1,0)+1,FALSE)</f>
        <v>3</v>
      </c>
      <c r="AB575" s="52">
        <v>352</v>
      </c>
      <c r="AC575" s="4" t="str">
        <f ca="1">VLOOKUP($AB575,OFFSET([3]characters!$A$1,0,0,COUNTA([3]characters!$A:$A),MATCH(AC$1,[3]characters!$1:$1,0)-MATCH("character_id",[3]characters!$1:$1,0)+1),MATCH(AC$1,[3]characters!$1:$1,0)-MATCH("character_id",[3]characters!$1:$1,0)+1,FALSE)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75" s="4">
        <f ca="1">VLOOKUP($AB575,OFFSET([3]characters!$A$1,0,0,COUNTA([3]characters!$A:$A),MATCH(AD$1,[3]characters!$1:$1,0)-MATCH("character_id",[3]characters!$1:$1,0)+1),MATCH(AD$1,[3]characters!$1:$1,0)-MATCH("character_id",[3]characters!$1:$1,0)+1,FALSE)</f>
        <v>2</v>
      </c>
      <c r="AE575" s="4" t="str">
        <f ca="1">VLOOKUP($AB575,OFFSET([3]characters!$A$1,0,0,COUNTA([3]characters!$A:$A),MATCH(AE$1,[3]characters!$1:$1,0)-MATCH("character_id",[3]characters!$1:$1,0)+1),MATCH(AE$1,[3]characters!$1:$1,0)-MATCH("character_id",[3]characters!$1:$1,0)+1,FALSE)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75" s="7">
        <v>10</v>
      </c>
      <c r="AG575" s="26">
        <f t="shared" ca="1" si="575"/>
        <v>2</v>
      </c>
      <c r="AH575" s="8">
        <v>20</v>
      </c>
      <c r="AI575" s="7">
        <v>0</v>
      </c>
      <c r="AJ575" s="7">
        <v>0</v>
      </c>
      <c r="AK575" s="7">
        <v>0</v>
      </c>
      <c r="AL575" s="7">
        <v>0</v>
      </c>
      <c r="AM575" s="7">
        <v>1</v>
      </c>
    </row>
    <row r="576" spans="1:39" ht="14" x14ac:dyDescent="0.15">
      <c r="A576" s="18" t="str">
        <f t="shared" ca="1" si="604"/>
        <v>25_3-5/165&lt;lv55&gt;s3</v>
      </c>
      <c r="B576" s="50">
        <v>25</v>
      </c>
      <c r="C576" s="49">
        <v>3</v>
      </c>
      <c r="D576" s="2" t="str">
        <f t="shared" si="611"/>
        <v>25_3</v>
      </c>
      <c r="E576" s="2" t="str">
        <f t="shared" si="611"/>
        <v>3_25_3</v>
      </c>
      <c r="F576" s="4" t="str">
        <f ca="1">VLOOKUP($D576,OFFSET([1]stages!$A$1,0,0,COUNTA([1]stages!$A:$A),MATCH(F$1,[1]stages!$2:$2,0)-MATCH($D$1,[1]stages!$2:$2,0)+1),MATCH(F$1,[1]stages!$2:$2,0)-MATCH($D$1,[1]stages!$2:$2,0)+1,FALSE)</f>
        <v>25-3．暗闇との対話</v>
      </c>
      <c r="G576" s="57">
        <v>5</v>
      </c>
      <c r="H576" s="17" t="str">
        <f t="shared" si="612"/>
        <v>25_3-5</v>
      </c>
      <c r="I576" s="17"/>
      <c r="J576" s="17"/>
      <c r="K576" s="65">
        <v>165</v>
      </c>
      <c r="L576" s="52">
        <v>165</v>
      </c>
      <c r="M576" s="21" t="str">
        <f ca="1">VLOOKUP($L576,OFFSET([2]enemies!$A$1,0,0,COUNTA([2]enemies!$A:$A),MATCH(M$1,[2]enemies!$1:$1,0)-MATCH($L$1,[2]enemies!$1:$1,0)+1),MATCH(M$1,[2]enemies!$1:$1,0)-MATCH($L$1,[2]enemies!$1:$1,0)+1,FALSE)</f>
        <v>イブとたったひとりのトモダチ</v>
      </c>
      <c r="N576" s="21" t="str">
        <f ca="1">VLOOKUP($L576,OFFSET([2]enemies!$A$1,0,0,COUNTA([2]enemies!$A:$A),MATCH(N$1,[2]enemies!$1:$1,0)-MATCH($L$1,[2]enemies!$1:$1,0)+1),MATCH(N$1,[2]enemies!$1:$1,0)-MATCH($L$1,[2]enemies!$1:$1,0)+1,FALSE)</f>
        <v>yellow</v>
      </c>
      <c r="O576" s="21" t="str">
        <f ca="1">VLOOKUP($L576,OFFSET([3]characters!$A$1,0,0,COUNTA([3]characters!$A:$A),MATCH(O$1,[3]characters!$1:$1,0)-MATCH($L$1,[3]characters!$1:$1,0)+1),MATCH(O$1,[3]characters!$1:$1,0)-MATCH($L$1,[3]characters!$1:$1,0)+1,FALSE)</f>
        <v>PremiumW</v>
      </c>
      <c r="P576" s="21" t="str">
        <f ca="1">VLOOKUP($L576,OFFSET([2]enemies!$A$1,0,0,COUNTA([2]enemies!$A:$A),MATCH(P$1,[2]enemies!$1:$1,0)-MATCH($L$1,[2]enemies!$1:$1,0)+1),MATCH(P$1,[2]enemies!$1:$1,0)-MATCH($L$1,[2]enemies!$1:$1,0)+1,FALSE)</f>
        <v>human</v>
      </c>
      <c r="Q576" s="21">
        <f ca="1">VLOOKUP($L576,OFFSET([2]enemies!$A$1,0,0,COUNTA([2]enemies!$A:$A),MATCH(Q$1,[2]enemies!$1:$1,0)-MATCH($L$1,[2]enemies!$1:$1,0)+1),MATCH(Q$1,[2]enemies!$1:$1,0)-MATCH($L$1,[2]enemies!$1:$1,0)+1,FALSE)</f>
        <v>30</v>
      </c>
      <c r="R576" s="53">
        <v>55</v>
      </c>
      <c r="S576" s="27">
        <v>1.4</v>
      </c>
      <c r="T576" s="27">
        <v>1.2</v>
      </c>
      <c r="U576" s="5">
        <v>0</v>
      </c>
      <c r="V576" s="4" t="str">
        <f ca="1">VLOOKUP($W576,OFFSET([4]enemy_skill_sets!$B$1,0,0,COUNTA([4]enemy_skill_sets!$B:$B),MATCH(M$1,[4]enemy_skill_sets!$1:$1,0)-MATCH($W$1,[4]enemy_skill_sets!$1:$1,0)+2),MATCH(M$1,[4]enemy_skill_sets!$1:$1,0)-MATCH($W$1,[4]enemy_skill_sets!$1:$1,0)+2,FALSE)</f>
        <v>お邪魔パネル出現</v>
      </c>
      <c r="W576" s="75">
        <v>16501</v>
      </c>
      <c r="X576" s="6">
        <v>1</v>
      </c>
      <c r="Y576" s="6">
        <v>100</v>
      </c>
      <c r="Z576" s="6">
        <v>1</v>
      </c>
      <c r="AA576" s="4">
        <f ca="1">VLOOKUP($L576,OFFSET([2]enemies!$A$1,0,0,COUNTA([2]enemies!$A:$A),MATCH(AA$1,[2]enemies!$1:$1,0)-MATCH($L$1,[2]enemies!$1:$1,0)+1),MATCH(AA$1,[2]enemies!$1:$1,0)-MATCH($L$1,[2]enemies!$1:$1,0)+1,FALSE)</f>
        <v>3</v>
      </c>
      <c r="AB576" s="52">
        <v>164</v>
      </c>
      <c r="AC576" s="4" t="str">
        <f ca="1">VLOOKUP($AB576,OFFSET([3]characters!$A$1,0,0,COUNTA([3]characters!$A:$A),MATCH(AC$1,[3]characters!$1:$1,0)-MATCH("character_id",[3]characters!$1:$1,0)+1),MATCH(AC$1,[3]characters!$1:$1,0)-MATCH("character_id",[3]characters!$1:$1,0)+1,FALSE)</f>
        <v>イブとトモダチ</v>
      </c>
      <c r="AD576" s="4">
        <f ca="1">VLOOKUP($AB576,OFFSET([3]characters!$A$1,0,0,COUNTA([3]characters!$A:$A),MATCH(AD$1,[3]characters!$1:$1,0)-MATCH("character_id",[3]characters!$1:$1,0)+1),MATCH(AD$1,[3]characters!$1:$1,0)-MATCH("character_id",[3]characters!$1:$1,0)+1,FALSE)</f>
        <v>3</v>
      </c>
      <c r="AE576" s="4" t="str">
        <f ca="1">VLOOKUP($AB576,OFFSET([3]characters!$A$1,0,0,COUNTA([3]characters!$A:$A),MATCH(AE$1,[3]characters!$1:$1,0)-MATCH("character_id",[3]characters!$1:$1,0)+1),MATCH(AE$1,[3]characters!$1:$1,0)-MATCH("character_id",[3]characters!$1:$1,0)+1,FALSE)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576" s="7">
        <v>1</v>
      </c>
      <c r="AG576" s="26">
        <f t="shared" ca="1" si="575"/>
        <v>3</v>
      </c>
      <c r="AH576" s="8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1</v>
      </c>
    </row>
    <row r="577" spans="1:39" ht="14" x14ac:dyDescent="0.15">
      <c r="A577" s="18" t="str">
        <f t="shared" ca="1" si="604"/>
        <v>25_4-1/13&lt;lv52&gt;s2</v>
      </c>
      <c r="B577" s="50">
        <v>25</v>
      </c>
      <c r="C577" s="49">
        <v>4</v>
      </c>
      <c r="D577" s="2" t="str">
        <f t="shared" si="611"/>
        <v>25_4</v>
      </c>
      <c r="E577" s="2" t="str">
        <f t="shared" si="611"/>
        <v>4_25_4</v>
      </c>
      <c r="F577" s="4" t="str">
        <f ca="1">VLOOKUP($D577,OFFSET([1]stages!$A$1,0,0,COUNTA([1]stages!$A:$A),MATCH(F$1,[1]stages!$2:$2,0)-MATCH($D$1,[1]stages!$2:$2,0)+1),MATCH(F$1,[1]stages!$2:$2,0)-MATCH($D$1,[1]stages!$2:$2,0)+1,FALSE)</f>
        <v>25-4．許されぬ休息</v>
      </c>
      <c r="G577" s="54">
        <v>1</v>
      </c>
      <c r="H577" s="17" t="str">
        <f t="shared" si="612"/>
        <v>25_4-1</v>
      </c>
      <c r="I577" s="17"/>
      <c r="J577" s="17"/>
      <c r="K577" s="65" t="s">
        <v>56</v>
      </c>
      <c r="L577" s="52">
        <v>13</v>
      </c>
      <c r="M577" s="21" t="str">
        <f ca="1">VLOOKUP($L577,OFFSET([2]enemies!$A$1,0,0,COUNTA([2]enemies!$A:$A),MATCH(M$1,[2]enemies!$1:$1,0)-MATCH($L$1,[2]enemies!$1:$1,0)+1),MATCH(M$1,[2]enemies!$1:$1,0)-MATCH($L$1,[2]enemies!$1:$1,0)+1,FALSE)</f>
        <v>ミミ</v>
      </c>
      <c r="N577" s="21" t="str">
        <f ca="1">VLOOKUP($L577,OFFSET([2]enemies!$A$1,0,0,COUNTA([2]enemies!$A:$A),MATCH(N$1,[2]enemies!$1:$1,0)-MATCH($L$1,[2]enemies!$1:$1,0)+1),MATCH(N$1,[2]enemies!$1:$1,0)-MATCH($L$1,[2]enemies!$1:$1,0)+1,FALSE)</f>
        <v>yellow</v>
      </c>
      <c r="O577" s="21" t="str">
        <f ca="1">VLOOKUP($L577,OFFSET([3]characters!$A$1,0,0,COUNTA([3]characters!$A:$A),MATCH(O$1,[3]characters!$1:$1,0)-MATCH($L$1,[3]characters!$1:$1,0)+1),MATCH(O$1,[3]characters!$1:$1,0)-MATCH($L$1,[3]characters!$1:$1,0)+1,FALSE)</f>
        <v>Drop1W</v>
      </c>
      <c r="P577" s="21" t="str">
        <f ca="1">VLOOKUP($L577,OFFSET([2]enemies!$A$1,0,0,COUNTA([2]enemies!$A:$A),MATCH(P$1,[2]enemies!$1:$1,0)-MATCH($L$1,[2]enemies!$1:$1,0)+1),MATCH(P$1,[2]enemies!$1:$1,0)-MATCH($L$1,[2]enemies!$1:$1,0)+1,FALSE)</f>
        <v>animal</v>
      </c>
      <c r="Q577" s="21">
        <f ca="1">VLOOKUP($L577,OFFSET([2]enemies!$A$1,0,0,COUNTA([2]enemies!$A:$A),MATCH(Q$1,[2]enemies!$1:$1,0)-MATCH($L$1,[2]enemies!$1:$1,0)+1),MATCH(Q$1,[2]enemies!$1:$1,0)-MATCH($L$1,[2]enemies!$1:$1,0)+1,FALSE)</f>
        <v>15</v>
      </c>
      <c r="R577" s="53">
        <v>52</v>
      </c>
      <c r="S577" s="27">
        <v>1</v>
      </c>
      <c r="T577" s="27">
        <v>1</v>
      </c>
      <c r="U577" s="5">
        <v>0</v>
      </c>
      <c r="V577" s="4" t="str">
        <f ca="1">VLOOKUP($W577,OFFSET([4]enemy_skill_sets!$B$1,0,0,COUNTA([4]enemy_skill_sets!$B:$B),MATCH(M$1,[4]enemy_skill_sets!$1:$1,0)-MATCH($W$1,[4]enemy_skill_sets!$1:$1,0)+2),MATCH(M$1,[4]enemy_skill_sets!$1:$1,0)-MATCH($W$1,[4]enemy_skill_sets!$1:$1,0)+2,FALSE)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77" s="4">
        <f ca="1">VLOOKUP($L577,OFFSET([2]enemies!$A$1,0,0,COUNTA([2]enemies!$A:$A),MATCH(W$1,[2]enemies!$1:$1,0)-MATCH($L$1,[2]enemies!$1:$1,0)+1),MATCH(W$1,[2]enemies!$1:$1,0)-MATCH($L$1,[2]enemies!$1:$1,0)+1,FALSE)</f>
        <v>0</v>
      </c>
      <c r="X577" s="6">
        <v>0</v>
      </c>
      <c r="Y577" s="6">
        <v>100</v>
      </c>
      <c r="Z577" s="6">
        <v>0</v>
      </c>
      <c r="AA577" s="4">
        <f ca="1">VLOOKUP($L577,OFFSET([2]enemies!$A$1,0,0,COUNTA([2]enemies!$A:$A),MATCH(AA$1,[2]enemies!$1:$1,0)-MATCH($L$1,[2]enemies!$1:$1,0)+1),MATCH(AA$1,[2]enemies!$1:$1,0)-MATCH($L$1,[2]enemies!$1:$1,0)+1,FALSE)</f>
        <v>2</v>
      </c>
      <c r="AB577" s="52">
        <v>13</v>
      </c>
      <c r="AC577" s="4" t="str">
        <f ca="1">VLOOKUP($AB577,OFFSET([3]characters!$A$1,0,0,COUNTA([3]characters!$A:$A),MATCH(AC$1,[3]characters!$1:$1,0)-MATCH("character_id",[3]characters!$1:$1,0)+1),MATCH(AC$1,[3]characters!$1:$1,0)-MATCH("character_id",[3]characters!$1:$1,0)+1,FALSE)</f>
        <v>ミミ</v>
      </c>
      <c r="AD577" s="4">
        <f ca="1">VLOOKUP($AB577,OFFSET([3]characters!$A$1,0,0,COUNTA([3]characters!$A:$A),MATCH(AD$1,[3]characters!$1:$1,0)-MATCH("character_id",[3]characters!$1:$1,0)+1),MATCH(AD$1,[3]characters!$1:$1,0)-MATCH("character_id",[3]characters!$1:$1,0)+1,FALSE)</f>
        <v>1</v>
      </c>
      <c r="AE577" s="4" t="str">
        <f ca="1">VLOOKUP($AB577,OFFSET([3]characters!$A$1,0,0,COUNTA([3]characters!$A:$A),MATCH(AE$1,[3]characters!$1:$1,0)-MATCH("character_id",[3]characters!$1:$1,0)+1),MATCH(AE$1,[3]characters!$1:$1,0)-MATCH("character_id",[3]characters!$1:$1,0)+1,FALSE)</f>
        <v>Drop1W</v>
      </c>
      <c r="AF577" s="7">
        <v>9</v>
      </c>
      <c r="AG577" s="26">
        <f t="shared" ca="1" si="575"/>
        <v>1</v>
      </c>
      <c r="AH577" s="8">
        <v>20</v>
      </c>
      <c r="AI577" s="7">
        <v>0</v>
      </c>
      <c r="AJ577" s="7">
        <v>0</v>
      </c>
      <c r="AK577" s="7">
        <v>0</v>
      </c>
      <c r="AL577" s="7">
        <v>0</v>
      </c>
      <c r="AM577" s="7">
        <v>1</v>
      </c>
    </row>
    <row r="578" spans="1:39" ht="14" x14ac:dyDescent="0.15">
      <c r="A578" s="18" t="str">
        <f t="shared" ca="1" si="604"/>
        <v>25_4-1/47&lt;lv52&gt;s1</v>
      </c>
      <c r="B578" s="50">
        <v>25</v>
      </c>
      <c r="C578" s="49">
        <v>4</v>
      </c>
      <c r="D578" s="2" t="str">
        <f t="shared" si="611"/>
        <v>25_4</v>
      </c>
      <c r="E578" s="2" t="str">
        <f t="shared" si="611"/>
        <v>4_25_4</v>
      </c>
      <c r="F578" s="4" t="str">
        <f ca="1">VLOOKUP($D578,OFFSET([1]stages!$A$1,0,0,COUNTA([1]stages!$A:$A),MATCH(F$1,[1]stages!$2:$2,0)-MATCH($D$1,[1]stages!$2:$2,0)+1),MATCH(F$1,[1]stages!$2:$2,0)-MATCH($D$1,[1]stages!$2:$2,0)+1,FALSE)</f>
        <v>25-4．許されぬ休息</v>
      </c>
      <c r="G578" s="54">
        <v>1</v>
      </c>
      <c r="H578" s="17" t="str">
        <f t="shared" si="612"/>
        <v>25_4-1</v>
      </c>
      <c r="I578" s="17"/>
      <c r="J578" s="17"/>
      <c r="K578" s="65" t="s">
        <v>56</v>
      </c>
      <c r="L578" s="52">
        <v>47</v>
      </c>
      <c r="M578" s="21" t="str">
        <f ca="1">VLOOKUP($L578,OFFSET([2]enemies!$A$1,0,0,COUNTA([2]enemies!$A:$A),MATCH(M$1,[2]enemies!$1:$1,0)-MATCH($L$1,[2]enemies!$1:$1,0)+1),MATCH(M$1,[2]enemies!$1:$1,0)-MATCH($L$1,[2]enemies!$1:$1,0)+1,FALSE)</f>
        <v>ヒロ</v>
      </c>
      <c r="N578" s="21" t="str">
        <f ca="1">VLOOKUP($L578,OFFSET([2]enemies!$A$1,0,0,COUNTA([2]enemies!$A:$A),MATCH(N$1,[2]enemies!$1:$1,0)-MATCH($L$1,[2]enemies!$1:$1,0)+1),MATCH(N$1,[2]enemies!$1:$1,0)-MATCH($L$1,[2]enemies!$1:$1,0)+1,FALSE)</f>
        <v>yellow</v>
      </c>
      <c r="O578" s="21" t="str">
        <f ca="1">VLOOKUP($L578,OFFSET([3]characters!$A$1,0,0,COUNTA([3]characters!$A:$A),MATCH(O$1,[3]characters!$1:$1,0)-MATCH($L$1,[3]characters!$1:$1,0)+1),MATCH(O$1,[3]characters!$1:$1,0)-MATCH($L$1,[3]characters!$1:$1,0)+1,FALSE)</f>
        <v>Drop1N</v>
      </c>
      <c r="P578" s="21" t="str">
        <f ca="1">VLOOKUP($L578,OFFSET([2]enemies!$A$1,0,0,COUNTA([2]enemies!$A:$A),MATCH(P$1,[2]enemies!$1:$1,0)-MATCH($L$1,[2]enemies!$1:$1,0)+1),MATCH(P$1,[2]enemies!$1:$1,0)-MATCH($L$1,[2]enemies!$1:$1,0)+1,FALSE)</f>
        <v>animal</v>
      </c>
      <c r="Q578" s="21">
        <f ca="1">VLOOKUP($L578,OFFSET([2]enemies!$A$1,0,0,COUNTA([2]enemies!$A:$A),MATCH(Q$1,[2]enemies!$1:$1,0)-MATCH($L$1,[2]enemies!$1:$1,0)+1),MATCH(Q$1,[2]enemies!$1:$1,0)-MATCH($L$1,[2]enemies!$1:$1,0)+1,FALSE)</f>
        <v>15</v>
      </c>
      <c r="R578" s="53">
        <v>52</v>
      </c>
      <c r="S578" s="27">
        <v>1</v>
      </c>
      <c r="T578" s="27">
        <v>1</v>
      </c>
      <c r="U578" s="5">
        <v>0</v>
      </c>
      <c r="V578" s="4" t="str">
        <f ca="1">VLOOKUP($W578,OFFSET([4]enemy_skill_sets!$B$1,0,0,COUNTA([4]enemy_skill_sets!$B:$B),MATCH(M$1,[4]enemy_skill_sets!$1:$1,0)-MATCH($W$1,[4]enemy_skill_sets!$1:$1,0)+2),MATCH(M$1,[4]enemy_skill_sets!$1:$1,0)-MATCH($W$1,[4]enemy_skill_sets!$1:$1,0)+2,FALSE)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78" s="4">
        <f ca="1">VLOOKUP($L578,OFFSET([2]enemies!$A$1,0,0,COUNTA([2]enemies!$A:$A),MATCH(W$1,[2]enemies!$1:$1,0)-MATCH($L$1,[2]enemies!$1:$1,0)+1),MATCH(W$1,[2]enemies!$1:$1,0)-MATCH($L$1,[2]enemies!$1:$1,0)+1,FALSE)</f>
        <v>0</v>
      </c>
      <c r="X578" s="6">
        <v>0</v>
      </c>
      <c r="Y578" s="6">
        <v>100</v>
      </c>
      <c r="Z578" s="6">
        <v>0</v>
      </c>
      <c r="AA578" s="4">
        <f ca="1">VLOOKUP($L578,OFFSET([2]enemies!$A$1,0,0,COUNTA([2]enemies!$A:$A),MATCH(AA$1,[2]enemies!$1:$1,0)-MATCH($L$1,[2]enemies!$1:$1,0)+1),MATCH(AA$1,[2]enemies!$1:$1,0)-MATCH($L$1,[2]enemies!$1:$1,0)+1,FALSE)</f>
        <v>1</v>
      </c>
      <c r="AB578" s="52">
        <v>47</v>
      </c>
      <c r="AC578" s="4" t="str">
        <f ca="1">VLOOKUP($AB578,OFFSET([3]characters!$A$1,0,0,COUNTA([3]characters!$A:$A),MATCH(AC$1,[3]characters!$1:$1,0)-MATCH("character_id",[3]characters!$1:$1,0)+1),MATCH(AC$1,[3]characters!$1:$1,0)-MATCH("character_id",[3]characters!$1:$1,0)+1,FALSE)</f>
        <v>ヒロ</v>
      </c>
      <c r="AD578" s="4">
        <f ca="1">VLOOKUP($AB578,OFFSET([3]characters!$A$1,0,0,COUNTA([3]characters!$A:$A),MATCH(AD$1,[3]characters!$1:$1,0)-MATCH("character_id",[3]characters!$1:$1,0)+1),MATCH(AD$1,[3]characters!$1:$1,0)-MATCH("character_id",[3]characters!$1:$1,0)+1,FALSE)</f>
        <v>2</v>
      </c>
      <c r="AE578" s="4" t="str">
        <f ca="1">VLOOKUP($AB578,OFFSET([3]characters!$A$1,0,0,COUNTA([3]characters!$A:$A),MATCH(AE$1,[3]characters!$1:$1,0)-MATCH("character_id",[3]characters!$1:$1,0)+1),MATCH(AE$1,[3]characters!$1:$1,0)-MATCH("character_id",[3]characters!$1:$1,0)+1,FALSE)</f>
        <v>Drop1N</v>
      </c>
      <c r="AF578" s="7">
        <v>7</v>
      </c>
      <c r="AG578" s="26">
        <f t="shared" ca="1" si="575"/>
        <v>2</v>
      </c>
      <c r="AH578" s="8">
        <v>20</v>
      </c>
      <c r="AI578" s="7">
        <v>0</v>
      </c>
      <c r="AJ578" s="7">
        <v>0</v>
      </c>
      <c r="AK578" s="7">
        <v>0</v>
      </c>
      <c r="AL578" s="7">
        <v>0</v>
      </c>
      <c r="AM578" s="7">
        <v>1</v>
      </c>
    </row>
    <row r="579" spans="1:39" ht="14" x14ac:dyDescent="0.15">
      <c r="A579" s="18" t="str">
        <f t="shared" ca="1" si="604"/>
        <v>25_4-1/63&lt;lv52&gt;s2</v>
      </c>
      <c r="B579" s="50">
        <v>25</v>
      </c>
      <c r="C579" s="49">
        <v>4</v>
      </c>
      <c r="D579" s="2" t="str">
        <f t="shared" si="611"/>
        <v>25_4</v>
      </c>
      <c r="E579" s="2" t="str">
        <f t="shared" si="611"/>
        <v>4_25_4</v>
      </c>
      <c r="F579" s="4" t="str">
        <f ca="1">VLOOKUP($D579,OFFSET([1]stages!$A$1,0,0,COUNTA([1]stages!$A:$A),MATCH(F$1,[1]stages!$2:$2,0)-MATCH($D$1,[1]stages!$2:$2,0)+1),MATCH(F$1,[1]stages!$2:$2,0)-MATCH($D$1,[1]stages!$2:$2,0)+1,FALSE)</f>
        <v>25-4．許されぬ休息</v>
      </c>
      <c r="G579" s="54">
        <v>1</v>
      </c>
      <c r="H579" s="17" t="str">
        <f t="shared" si="612"/>
        <v>25_4-1</v>
      </c>
      <c r="I579" s="17"/>
      <c r="J579" s="17"/>
      <c r="K579" s="65" t="s">
        <v>56</v>
      </c>
      <c r="L579" s="52">
        <v>63</v>
      </c>
      <c r="M579" s="21" t="str">
        <f ca="1">VLOOKUP($L579,OFFSET([2]enemies!$A$1,0,0,COUNTA([2]enemies!$A:$A),MATCH(M$1,[2]enemies!$1:$1,0)-MATCH($L$1,[2]enemies!$1:$1,0)+1),MATCH(M$1,[2]enemies!$1:$1,0)-MATCH($L$1,[2]enemies!$1:$1,0)+1,FALSE)</f>
        <v>トニー</v>
      </c>
      <c r="N579" s="21" t="str">
        <f ca="1">VLOOKUP($L579,OFFSET([2]enemies!$A$1,0,0,COUNTA([2]enemies!$A:$A),MATCH(N$1,[2]enemies!$1:$1,0)-MATCH($L$1,[2]enemies!$1:$1,0)+1),MATCH(N$1,[2]enemies!$1:$1,0)-MATCH($L$1,[2]enemies!$1:$1,0)+1,FALSE)</f>
        <v>yellow</v>
      </c>
      <c r="O579" s="21" t="str">
        <f ca="1">VLOOKUP($L579,OFFSET([3]characters!$A$1,0,0,COUNTA([3]characters!$A:$A),MATCH(O$1,[3]characters!$1:$1,0)-MATCH($L$1,[3]characters!$1:$1,0)+1),MATCH(O$1,[3]characters!$1:$1,0)-MATCH($L$1,[3]characters!$1:$1,0)+1,FALSE)</f>
        <v>Drop1N</v>
      </c>
      <c r="P579" s="21" t="str">
        <f ca="1">VLOOKUP($L579,OFFSET([2]enemies!$A$1,0,0,COUNTA([2]enemies!$A:$A),MATCH(P$1,[2]enemies!$1:$1,0)-MATCH($L$1,[2]enemies!$1:$1,0)+1),MATCH(P$1,[2]enemies!$1:$1,0)-MATCH($L$1,[2]enemies!$1:$1,0)+1,FALSE)</f>
        <v>animal</v>
      </c>
      <c r="Q579" s="21">
        <f ca="1">VLOOKUP($L579,OFFSET([2]enemies!$A$1,0,0,COUNTA([2]enemies!$A:$A),MATCH(Q$1,[2]enemies!$1:$1,0)-MATCH($L$1,[2]enemies!$1:$1,0)+1),MATCH(Q$1,[2]enemies!$1:$1,0)-MATCH($L$1,[2]enemies!$1:$1,0)+1,FALSE)</f>
        <v>15</v>
      </c>
      <c r="R579" s="53">
        <v>52</v>
      </c>
      <c r="S579" s="27">
        <v>1</v>
      </c>
      <c r="T579" s="27">
        <v>1</v>
      </c>
      <c r="U579" s="5">
        <v>0</v>
      </c>
      <c r="V579" s="4" t="str">
        <f ca="1">VLOOKUP($W579,OFFSET([4]enemy_skill_sets!$B$1,0,0,COUNTA([4]enemy_skill_sets!$B:$B),MATCH(M$1,[4]enemy_skill_sets!$1:$1,0)-MATCH($W$1,[4]enemy_skill_sets!$1:$1,0)+2),MATCH(M$1,[4]enemy_skill_sets!$1:$1,0)-MATCH($W$1,[4]enemy_skill_sets!$1:$1,0)+2,FALSE)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579" s="4">
        <f ca="1">VLOOKUP($L579,OFFSET([2]enemies!$A$1,0,0,COUNTA([2]enemies!$A:$A),MATCH(W$1,[2]enemies!$1:$1,0)-MATCH($L$1,[2]enemies!$1:$1,0)+1),MATCH(W$1,[2]enemies!$1:$1,0)-MATCH($L$1,[2]enemies!$1:$1,0)+1,FALSE)</f>
        <v>63</v>
      </c>
      <c r="X579" s="6">
        <v>0</v>
      </c>
      <c r="Y579" s="6">
        <v>100</v>
      </c>
      <c r="Z579" s="6">
        <v>0</v>
      </c>
      <c r="AA579" s="4">
        <f ca="1">VLOOKUP($L579,OFFSET([2]enemies!$A$1,0,0,COUNTA([2]enemies!$A:$A),MATCH(AA$1,[2]enemies!$1:$1,0)-MATCH($L$1,[2]enemies!$1:$1,0)+1),MATCH(AA$1,[2]enemies!$1:$1,0)-MATCH($L$1,[2]enemies!$1:$1,0)+1,FALSE)</f>
        <v>2</v>
      </c>
      <c r="AB579" s="52">
        <v>63</v>
      </c>
      <c r="AC579" s="4" t="str">
        <f ca="1">VLOOKUP($AB579,OFFSET([3]characters!$A$1,0,0,COUNTA([3]characters!$A:$A),MATCH(AC$1,[3]characters!$1:$1,0)-MATCH("character_id",[3]characters!$1:$1,0)+1),MATCH(AC$1,[3]characters!$1:$1,0)-MATCH("character_id",[3]characters!$1:$1,0)+1,FALSE)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579" s="4">
        <f ca="1">VLOOKUP($AB579,OFFSET([3]characters!$A$1,0,0,COUNTA([3]characters!$A:$A),MATCH(AD$1,[3]characters!$1:$1,0)-MATCH("character_id",[3]characters!$1:$1,0)+1),MATCH(AD$1,[3]characters!$1:$1,0)-MATCH("character_id",[3]characters!$1:$1,0)+1,FALSE)</f>
        <v>2</v>
      </c>
      <c r="AE579" s="4" t="str">
        <f ca="1">VLOOKUP($AB579,OFFSET([3]characters!$A$1,0,0,COUNTA([3]characters!$A:$A),MATCH(AE$1,[3]characters!$1:$1,0)-MATCH("character_id",[3]characters!$1:$1,0)+1),MATCH(AE$1,[3]characters!$1:$1,0)-MATCH("character_id",[3]characters!$1:$1,0)+1,FALSE)</f>
        <v>Drop1N</v>
      </c>
      <c r="AF579" s="7">
        <v>7</v>
      </c>
      <c r="AG579" s="26">
        <f t="shared" ref="AG579:AG642" ca="1" si="619">AD579</f>
        <v>2</v>
      </c>
      <c r="AH579" s="8">
        <v>20</v>
      </c>
      <c r="AI579" s="7">
        <v>0</v>
      </c>
      <c r="AJ579" s="7">
        <v>0</v>
      </c>
      <c r="AK579" s="7">
        <v>0</v>
      </c>
      <c r="AL579" s="7">
        <v>0</v>
      </c>
      <c r="AM579" s="7">
        <v>1</v>
      </c>
    </row>
    <row r="580" spans="1:39" ht="14" x14ac:dyDescent="0.15">
      <c r="A580" s="18" t="str">
        <f t="shared" ca="1" si="604"/>
        <v>25_4-1/19&lt;lv52&gt;s3</v>
      </c>
      <c r="B580" s="50">
        <v>25</v>
      </c>
      <c r="C580" s="49">
        <v>4</v>
      </c>
      <c r="D580" s="2" t="str">
        <f t="shared" si="611"/>
        <v>25_4</v>
      </c>
      <c r="E580" s="2" t="str">
        <f t="shared" si="611"/>
        <v>4_25_4</v>
      </c>
      <c r="F580" s="4" t="str">
        <f ca="1">VLOOKUP($D580,OFFSET([1]stages!$A$1,0,0,COUNTA([1]stages!$A:$A),MATCH(F$1,[1]stages!$2:$2,0)-MATCH($D$1,[1]stages!$2:$2,0)+1),MATCH(F$1,[1]stages!$2:$2,0)-MATCH($D$1,[1]stages!$2:$2,0)+1,FALSE)</f>
        <v>25-4．許されぬ休息</v>
      </c>
      <c r="G580" s="54">
        <v>1</v>
      </c>
      <c r="H580" s="17" t="str">
        <f t="shared" si="612"/>
        <v>25_4-1</v>
      </c>
      <c r="I580" s="17"/>
      <c r="J580" s="17"/>
      <c r="K580" s="65" t="s">
        <v>56</v>
      </c>
      <c r="L580" s="52">
        <v>19</v>
      </c>
      <c r="M580" s="21" t="str">
        <f ca="1">VLOOKUP($L580,OFFSET([2]enemies!$A$1,0,0,COUNTA([2]enemies!$A:$A),MATCH(M$1,[2]enemies!$1:$1,0)-MATCH($L$1,[2]enemies!$1:$1,0)+1),MATCH(M$1,[2]enemies!$1:$1,0)-MATCH($L$1,[2]enemies!$1:$1,0)+1,FALSE)</f>
        <v>ティンク</v>
      </c>
      <c r="N580" s="21" t="str">
        <f ca="1">VLOOKUP($L580,OFFSET([2]enemies!$A$1,0,0,COUNTA([2]enemies!$A:$A),MATCH(N$1,[2]enemies!$1:$1,0)-MATCH($L$1,[2]enemies!$1:$1,0)+1),MATCH(N$1,[2]enemies!$1:$1,0)-MATCH($L$1,[2]enemies!$1:$1,0)+1,FALSE)</f>
        <v>yellow</v>
      </c>
      <c r="O580" s="21" t="str">
        <f ca="1">VLOOKUP($L580,OFFSET([3]characters!$A$1,0,0,COUNTA([3]characters!$A:$A),MATCH(O$1,[3]characters!$1:$1,0)-MATCH($L$1,[3]characters!$1:$1,0)+1),MATCH(O$1,[3]characters!$1:$1,0)-MATCH($L$1,[3]characters!$1:$1,0)+1,FALSE)</f>
        <v>Drop1W</v>
      </c>
      <c r="P580" s="21" t="str">
        <f ca="1">VLOOKUP($L580,OFFSET([2]enemies!$A$1,0,0,COUNTA([2]enemies!$A:$A),MATCH(P$1,[2]enemies!$1:$1,0)-MATCH($L$1,[2]enemies!$1:$1,0)+1),MATCH(P$1,[2]enemies!$1:$1,0)-MATCH($L$1,[2]enemies!$1:$1,0)+1,FALSE)</f>
        <v>human</v>
      </c>
      <c r="Q580" s="21">
        <f ca="1">VLOOKUP($L580,OFFSET([2]enemies!$A$1,0,0,COUNTA([2]enemies!$A:$A),MATCH(Q$1,[2]enemies!$1:$1,0)-MATCH($L$1,[2]enemies!$1:$1,0)+1),MATCH(Q$1,[2]enemies!$1:$1,0)-MATCH($L$1,[2]enemies!$1:$1,0)+1,FALSE)</f>
        <v>15</v>
      </c>
      <c r="R580" s="53">
        <v>52</v>
      </c>
      <c r="S580" s="27">
        <v>1</v>
      </c>
      <c r="T580" s="27">
        <v>1</v>
      </c>
      <c r="U580" s="5">
        <v>0</v>
      </c>
      <c r="V580" s="4" t="str">
        <f ca="1">VLOOKUP($W580,OFFSET([4]enemy_skill_sets!$B$1,0,0,COUNTA([4]enemy_skill_sets!$B:$B),MATCH(M$1,[4]enemy_skill_sets!$1:$1,0)-MATCH($W$1,[4]enemy_skill_sets!$1:$1,0)+2),MATCH(M$1,[4]enemy_skill_sets!$1:$1,0)-MATCH($W$1,[4]enemy_skill_sets!$1:$1,0)+2,FALSE)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80" s="4">
        <f ca="1">VLOOKUP($L580,OFFSET([2]enemies!$A$1,0,0,COUNTA([2]enemies!$A:$A),MATCH(W$1,[2]enemies!$1:$1,0)-MATCH($L$1,[2]enemies!$1:$1,0)+1),MATCH(W$1,[2]enemies!$1:$1,0)-MATCH($L$1,[2]enemies!$1:$1,0)+1,FALSE)</f>
        <v>0</v>
      </c>
      <c r="X580" s="6">
        <v>0</v>
      </c>
      <c r="Y580" s="6">
        <v>100</v>
      </c>
      <c r="Z580" s="6">
        <v>0</v>
      </c>
      <c r="AA580" s="4">
        <f ca="1">VLOOKUP($L580,OFFSET([2]enemies!$A$1,0,0,COUNTA([2]enemies!$A:$A),MATCH(AA$1,[2]enemies!$1:$1,0)-MATCH($L$1,[2]enemies!$1:$1,0)+1),MATCH(AA$1,[2]enemies!$1:$1,0)-MATCH($L$1,[2]enemies!$1:$1,0)+1,FALSE)</f>
        <v>3</v>
      </c>
      <c r="AB580" s="52">
        <v>19</v>
      </c>
      <c r="AC580" s="4" t="str">
        <f ca="1">VLOOKUP($AB580,OFFSET([3]characters!$A$1,0,0,COUNTA([3]characters!$A:$A),MATCH(AC$1,[3]characters!$1:$1,0)-MATCH("character_id",[3]characters!$1:$1,0)+1),MATCH(AC$1,[3]characters!$1:$1,0)-MATCH("character_id",[3]characters!$1:$1,0)+1,FALSE)</f>
        <v>ティンク</v>
      </c>
      <c r="AD580" s="4">
        <f ca="1">VLOOKUP($AB580,OFFSET([3]characters!$A$1,0,0,COUNTA([3]characters!$A:$A),MATCH(AD$1,[3]characters!$1:$1,0)-MATCH("character_id",[3]characters!$1:$1,0)+1),MATCH(AD$1,[3]characters!$1:$1,0)-MATCH("character_id",[3]characters!$1:$1,0)+1,FALSE)</f>
        <v>1</v>
      </c>
      <c r="AE580" s="4" t="str">
        <f ca="1">VLOOKUP($AB580,OFFSET([3]characters!$A$1,0,0,COUNTA([3]characters!$A:$A),MATCH(AE$1,[3]characters!$1:$1,0)-MATCH("character_id",[3]characters!$1:$1,0)+1),MATCH(AE$1,[3]characters!$1:$1,0)-MATCH("character_id",[3]characters!$1:$1,0)+1,FALSE)</f>
        <v>Drop1W</v>
      </c>
      <c r="AF580" s="7">
        <v>9</v>
      </c>
      <c r="AG580" s="26">
        <f t="shared" ca="1" si="619"/>
        <v>1</v>
      </c>
      <c r="AH580" s="8">
        <v>20</v>
      </c>
      <c r="AI580" s="7">
        <v>0</v>
      </c>
      <c r="AJ580" s="7">
        <v>0</v>
      </c>
      <c r="AK580" s="7">
        <v>0</v>
      </c>
      <c r="AL580" s="7">
        <v>0</v>
      </c>
      <c r="AM580" s="7">
        <v>1</v>
      </c>
    </row>
    <row r="581" spans="1:39" ht="14" x14ac:dyDescent="0.15">
      <c r="A581" s="18" t="str">
        <f t="shared" ca="1" si="604"/>
        <v>25_4-1/39&lt;lv52&gt;s3</v>
      </c>
      <c r="B581" s="50">
        <v>25</v>
      </c>
      <c r="C581" s="49">
        <v>4</v>
      </c>
      <c r="D581" s="2" t="str">
        <f t="shared" si="611"/>
        <v>25_4</v>
      </c>
      <c r="E581" s="2" t="str">
        <f t="shared" si="611"/>
        <v>4_25_4</v>
      </c>
      <c r="F581" s="4" t="str">
        <f ca="1">VLOOKUP($D581,OFFSET([1]stages!$A$1,0,0,COUNTA([1]stages!$A:$A),MATCH(F$1,[1]stages!$2:$2,0)-MATCH($D$1,[1]stages!$2:$2,0)+1),MATCH(F$1,[1]stages!$2:$2,0)-MATCH($D$1,[1]stages!$2:$2,0)+1,FALSE)</f>
        <v>25-4．許されぬ休息</v>
      </c>
      <c r="G581" s="54">
        <v>1</v>
      </c>
      <c r="H581" s="17" t="str">
        <f t="shared" si="612"/>
        <v>25_4-1</v>
      </c>
      <c r="I581" s="17"/>
      <c r="J581" s="17"/>
      <c r="K581" s="65" t="s">
        <v>56</v>
      </c>
      <c r="L581" s="52">
        <v>39</v>
      </c>
      <c r="M581" s="21" t="str">
        <f ca="1">VLOOKUP($L581,OFFSET([2]enemies!$A$1,0,0,COUNTA([2]enemies!$A:$A),MATCH(M$1,[2]enemies!$1:$1,0)-MATCH($L$1,[2]enemies!$1:$1,0)+1),MATCH(M$1,[2]enemies!$1:$1,0)-MATCH($L$1,[2]enemies!$1:$1,0)+1,FALSE)</f>
        <v>マーロン</v>
      </c>
      <c r="N581" s="21" t="str">
        <f ca="1">VLOOKUP($L581,OFFSET([2]enemies!$A$1,0,0,COUNTA([2]enemies!$A:$A),MATCH(N$1,[2]enemies!$1:$1,0)-MATCH($L$1,[2]enemies!$1:$1,0)+1),MATCH(N$1,[2]enemies!$1:$1,0)-MATCH($L$1,[2]enemies!$1:$1,0)+1,FALSE)</f>
        <v>yellow</v>
      </c>
      <c r="O581" s="21" t="str">
        <f ca="1">VLOOKUP($L581,OFFSET([3]characters!$A$1,0,0,COUNTA([3]characters!$A:$A),MATCH(O$1,[3]characters!$1:$1,0)-MATCH($L$1,[3]characters!$1:$1,0)+1),MATCH(O$1,[3]characters!$1:$1,0)-MATCH($L$1,[3]characters!$1:$1,0)+1,FALSE)</f>
        <v>Drop1S</v>
      </c>
      <c r="P581" s="21" t="str">
        <f ca="1">VLOOKUP($L581,OFFSET([2]enemies!$A$1,0,0,COUNTA([2]enemies!$A:$A),MATCH(P$1,[2]enemies!$1:$1,0)-MATCH($L$1,[2]enemies!$1:$1,0)+1),MATCH(P$1,[2]enemies!$1:$1,0)-MATCH($L$1,[2]enemies!$1:$1,0)+1,FALSE)</f>
        <v>human</v>
      </c>
      <c r="Q581" s="21">
        <f ca="1">VLOOKUP($L581,OFFSET([2]enemies!$A$1,0,0,COUNTA([2]enemies!$A:$A),MATCH(Q$1,[2]enemies!$1:$1,0)-MATCH($L$1,[2]enemies!$1:$1,0)+1),MATCH(Q$1,[2]enemies!$1:$1,0)-MATCH($L$1,[2]enemies!$1:$1,0)+1,FALSE)</f>
        <v>15</v>
      </c>
      <c r="R581" s="53">
        <v>52</v>
      </c>
      <c r="S581" s="27">
        <v>1</v>
      </c>
      <c r="T581" s="27">
        <v>1</v>
      </c>
      <c r="U581" s="5">
        <v>0</v>
      </c>
      <c r="V581" s="4" t="str">
        <f ca="1">VLOOKUP($W581,OFFSET([4]enemy_skill_sets!$B$1,0,0,COUNTA([4]enemy_skill_sets!$B:$B),MATCH(M$1,[4]enemy_skill_sets!$1:$1,0)-MATCH($W$1,[4]enemy_skill_sets!$1:$1,0)+2),MATCH(M$1,[4]enemy_skill_sets!$1:$1,0)-MATCH($W$1,[4]enemy_skill_sets!$1:$1,0)+2,FALSE)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581" s="4">
        <f ca="1">VLOOKUP($L581,OFFSET([2]enemies!$A$1,0,0,COUNTA([2]enemies!$A:$A),MATCH(W$1,[2]enemies!$1:$1,0)-MATCH($L$1,[2]enemies!$1:$1,0)+1),MATCH(W$1,[2]enemies!$1:$1,0)-MATCH($L$1,[2]enemies!$1:$1,0)+1,FALSE)</f>
        <v>39</v>
      </c>
      <c r="X581" s="6">
        <v>0</v>
      </c>
      <c r="Y581" s="6">
        <v>100</v>
      </c>
      <c r="Z581" s="6">
        <v>0</v>
      </c>
      <c r="AA581" s="4">
        <f ca="1">VLOOKUP($L581,OFFSET([2]enemies!$A$1,0,0,COUNTA([2]enemies!$A:$A),MATCH(AA$1,[2]enemies!$1:$1,0)-MATCH($L$1,[2]enemies!$1:$1,0)+1),MATCH(AA$1,[2]enemies!$1:$1,0)-MATCH($L$1,[2]enemies!$1:$1,0)+1,FALSE)</f>
        <v>3</v>
      </c>
      <c r="AB581" s="52">
        <v>39</v>
      </c>
      <c r="AC581" s="4" t="str">
        <f ca="1">VLOOKUP($AB581,OFFSET([3]characters!$A$1,0,0,COUNTA([3]characters!$A:$A),MATCH(AC$1,[3]characters!$1:$1,0)-MATCH("character_id",[3]characters!$1:$1,0)+1),MATCH(AC$1,[3]characters!$1:$1,0)-MATCH("character_id",[3]characters!$1:$1,0)+1,FALSE)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581" s="4">
        <f ca="1">VLOOKUP($AB581,OFFSET([3]characters!$A$1,0,0,COUNTA([3]characters!$A:$A),MATCH(AD$1,[3]characters!$1:$1,0)-MATCH("character_id",[3]characters!$1:$1,0)+1),MATCH(AD$1,[3]characters!$1:$1,0)-MATCH("character_id",[3]characters!$1:$1,0)+1,FALSE)</f>
        <v>2</v>
      </c>
      <c r="AE581" s="4" t="str">
        <f ca="1">VLOOKUP($AB581,OFFSET([3]characters!$A$1,0,0,COUNTA([3]characters!$A:$A),MATCH(AE$1,[3]characters!$1:$1,0)-MATCH("character_id",[3]characters!$1:$1,0)+1),MATCH(AE$1,[3]characters!$1:$1,0)-MATCH("character_id",[3]characters!$1:$1,0)+1,FALSE)</f>
        <v>Drop1S</v>
      </c>
      <c r="AF581" s="7">
        <v>5</v>
      </c>
      <c r="AG581" s="26">
        <f t="shared" ca="1" si="619"/>
        <v>2</v>
      </c>
      <c r="AH581" s="8">
        <v>20</v>
      </c>
      <c r="AI581" s="7">
        <v>0</v>
      </c>
      <c r="AJ581" s="7">
        <v>0</v>
      </c>
      <c r="AK581" s="7">
        <v>0</v>
      </c>
      <c r="AL581" s="7">
        <v>0</v>
      </c>
      <c r="AM581" s="7">
        <v>1</v>
      </c>
    </row>
    <row r="582" spans="1:39" ht="14" x14ac:dyDescent="0.15">
      <c r="A582" s="18" t="str">
        <f t="shared" ca="1" si="604"/>
        <v>25_4-1/55&lt;lv52&gt;s4</v>
      </c>
      <c r="B582" s="50">
        <v>25</v>
      </c>
      <c r="C582" s="49">
        <v>4</v>
      </c>
      <c r="D582" s="2" t="str">
        <f t="shared" si="611"/>
        <v>25_4</v>
      </c>
      <c r="E582" s="2" t="str">
        <f t="shared" si="611"/>
        <v>4_25_4</v>
      </c>
      <c r="F582" s="4" t="str">
        <f ca="1">VLOOKUP($D582,OFFSET([1]stages!$A$1,0,0,COUNTA([1]stages!$A:$A),MATCH(F$1,[1]stages!$2:$2,0)-MATCH($D$1,[1]stages!$2:$2,0)+1),MATCH(F$1,[1]stages!$2:$2,0)-MATCH($D$1,[1]stages!$2:$2,0)+1,FALSE)</f>
        <v>25-4．許されぬ休息</v>
      </c>
      <c r="G582" s="54">
        <v>1</v>
      </c>
      <c r="H582" s="17" t="str">
        <f t="shared" si="612"/>
        <v>25_4-1</v>
      </c>
      <c r="I582" s="17"/>
      <c r="J582" s="17"/>
      <c r="K582" s="65" t="s">
        <v>56</v>
      </c>
      <c r="L582" s="52">
        <v>55</v>
      </c>
      <c r="M582" s="21" t="str">
        <f ca="1">VLOOKUP($L582,OFFSET([2]enemies!$A$1,0,0,COUNTA([2]enemies!$A:$A),MATCH(M$1,[2]enemies!$1:$1,0)-MATCH($L$1,[2]enemies!$1:$1,0)+1),MATCH(M$1,[2]enemies!$1:$1,0)-MATCH($L$1,[2]enemies!$1:$1,0)+1,FALSE)</f>
        <v>マミコ</v>
      </c>
      <c r="N582" s="21" t="str">
        <f ca="1">VLOOKUP($L582,OFFSET([2]enemies!$A$1,0,0,COUNTA([2]enemies!$A:$A),MATCH(N$1,[2]enemies!$1:$1,0)-MATCH($L$1,[2]enemies!$1:$1,0)+1),MATCH(N$1,[2]enemies!$1:$1,0)-MATCH($L$1,[2]enemies!$1:$1,0)+1,FALSE)</f>
        <v>yellow</v>
      </c>
      <c r="O582" s="21" t="str">
        <f ca="1">VLOOKUP($L582,OFFSET([3]characters!$A$1,0,0,COUNTA([3]characters!$A:$A),MATCH(O$1,[3]characters!$1:$1,0)-MATCH($L$1,[3]characters!$1:$1,0)+1),MATCH(O$1,[3]characters!$1:$1,0)-MATCH($L$1,[3]characters!$1:$1,0)+1,FALSE)</f>
        <v>Drop1N</v>
      </c>
      <c r="P582" s="21" t="str">
        <f ca="1">VLOOKUP($L582,OFFSET([2]enemies!$A$1,0,0,COUNTA([2]enemies!$A:$A),MATCH(P$1,[2]enemies!$1:$1,0)-MATCH($L$1,[2]enemies!$1:$1,0)+1),MATCH(P$1,[2]enemies!$1:$1,0)-MATCH($L$1,[2]enemies!$1:$1,0)+1,FALSE)</f>
        <v>human</v>
      </c>
      <c r="Q582" s="21">
        <f ca="1">VLOOKUP($L582,OFFSET([2]enemies!$A$1,0,0,COUNTA([2]enemies!$A:$A),MATCH(Q$1,[2]enemies!$1:$1,0)-MATCH($L$1,[2]enemies!$1:$1,0)+1),MATCH(Q$1,[2]enemies!$1:$1,0)-MATCH($L$1,[2]enemies!$1:$1,0)+1,FALSE)</f>
        <v>15</v>
      </c>
      <c r="R582" s="53">
        <v>52</v>
      </c>
      <c r="S582" s="27">
        <v>1</v>
      </c>
      <c r="T582" s="27">
        <v>1</v>
      </c>
      <c r="U582" s="5">
        <v>0</v>
      </c>
      <c r="V582" s="4" t="str">
        <f ca="1">VLOOKUP($W582,OFFSET([4]enemy_skill_sets!$B$1,0,0,COUNTA([4]enemy_skill_sets!$B:$B),MATCH(M$1,[4]enemy_skill_sets!$1:$1,0)-MATCH($W$1,[4]enemy_skill_sets!$1:$1,0)+2),MATCH(M$1,[4]enemy_skill_sets!$1:$1,0)-MATCH($W$1,[4]enemy_skill_sets!$1:$1,0)+2,FALSE)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582" s="4">
        <f ca="1">VLOOKUP($L582,OFFSET([2]enemies!$A$1,0,0,COUNTA([2]enemies!$A:$A),MATCH(W$1,[2]enemies!$1:$1,0)-MATCH($L$1,[2]enemies!$1:$1,0)+1),MATCH(W$1,[2]enemies!$1:$1,0)-MATCH($L$1,[2]enemies!$1:$1,0)+1,FALSE)</f>
        <v>55</v>
      </c>
      <c r="X582" s="6">
        <v>0</v>
      </c>
      <c r="Y582" s="6">
        <v>100</v>
      </c>
      <c r="Z582" s="6">
        <v>0</v>
      </c>
      <c r="AA582" s="4">
        <f ca="1">VLOOKUP($L582,OFFSET([2]enemies!$A$1,0,0,COUNTA([2]enemies!$A:$A),MATCH(AA$1,[2]enemies!$1:$1,0)-MATCH($L$1,[2]enemies!$1:$1,0)+1),MATCH(AA$1,[2]enemies!$1:$1,0)-MATCH($L$1,[2]enemies!$1:$1,0)+1,FALSE)</f>
        <v>4</v>
      </c>
      <c r="AB582" s="52">
        <v>55</v>
      </c>
      <c r="AC582" s="4" t="str">
        <f ca="1">VLOOKUP($AB582,OFFSET([3]characters!$A$1,0,0,COUNTA([3]characters!$A:$A),MATCH(AC$1,[3]characters!$1:$1,0)-MATCH("character_id",[3]characters!$1:$1,0)+1),MATCH(AC$1,[3]characters!$1:$1,0)-MATCH("character_id",[3]characters!$1:$1,0)+1,FALSE)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582" s="4">
        <f ca="1">VLOOKUP($AB582,OFFSET([3]characters!$A$1,0,0,COUNTA([3]characters!$A:$A),MATCH(AD$1,[3]characters!$1:$1,0)-MATCH("character_id",[3]characters!$1:$1,0)+1),MATCH(AD$1,[3]characters!$1:$1,0)-MATCH("character_id",[3]characters!$1:$1,0)+1,FALSE)</f>
        <v>2</v>
      </c>
      <c r="AE582" s="4" t="str">
        <f ca="1">VLOOKUP($AB582,OFFSET([3]characters!$A$1,0,0,COUNTA([3]characters!$A:$A),MATCH(AE$1,[3]characters!$1:$1,0)-MATCH("character_id",[3]characters!$1:$1,0)+1),MATCH(AE$1,[3]characters!$1:$1,0)-MATCH("character_id",[3]characters!$1:$1,0)+1,FALSE)</f>
        <v>Drop1N</v>
      </c>
      <c r="AF582" s="7">
        <v>7</v>
      </c>
      <c r="AG582" s="26">
        <f t="shared" ca="1" si="619"/>
        <v>2</v>
      </c>
      <c r="AH582" s="8">
        <v>20</v>
      </c>
      <c r="AI582" s="7">
        <v>0</v>
      </c>
      <c r="AJ582" s="7">
        <v>0</v>
      </c>
      <c r="AK582" s="7">
        <v>0</v>
      </c>
      <c r="AL582" s="7">
        <v>0</v>
      </c>
      <c r="AM582" s="7">
        <v>1</v>
      </c>
    </row>
    <row r="583" spans="1:39" ht="14" x14ac:dyDescent="0.15">
      <c r="A583" s="18" t="str">
        <f t="shared" ca="1" si="604"/>
        <v>25_4-1/366&lt;lv52&gt;s3</v>
      </c>
      <c r="B583" s="53">
        <v>25</v>
      </c>
      <c r="C583" s="51">
        <v>4</v>
      </c>
      <c r="D583" s="2" t="str">
        <f t="shared" ref="D583" si="620">B583&amp;"_"&amp;C583</f>
        <v>25_4</v>
      </c>
      <c r="E583" s="2" t="str">
        <f t="shared" ref="E583" si="621">C583&amp;"_"&amp;D583</f>
        <v>4_25_4</v>
      </c>
      <c r="F583" s="4" t="str">
        <f ca="1">VLOOKUP($D583,OFFSET([1]stages!$A$1,0,0,COUNTA([1]stages!$A:$A),MATCH(F$1,[1]stages!$2:$2,0)-MATCH($D$1,[1]stages!$2:$2,0)+1),MATCH(F$1,[1]stages!$2:$2,0)-MATCH($D$1,[1]stages!$2:$2,0)+1,FALSE)</f>
        <v>25-4．許されぬ休息</v>
      </c>
      <c r="G583" s="54">
        <v>1</v>
      </c>
      <c r="H583" s="17" t="str">
        <f t="shared" ref="H583" si="622">B583&amp;"_"&amp;C583&amp;"-"&amp;G583</f>
        <v>25_4-1</v>
      </c>
      <c r="I583" s="17"/>
      <c r="J583" s="17"/>
      <c r="K583" s="65" t="s">
        <v>56</v>
      </c>
      <c r="L583" s="52">
        <v>366</v>
      </c>
      <c r="M583" s="21" t="str">
        <f ca="1">VLOOKUP($L583,OFFSET([2]enemies!$A$1,0,0,COUNTA([2]enemies!$A:$A),MATCH(M$1,[2]enemies!$1:$1,0)-MATCH($L$1,[2]enemies!$1:$1,0)+1),MATCH(M$1,[2]enemies!$1:$1,0)-MATCH($L$1,[2]enemies!$1:$1,0)+1,FALSE)</f>
        <v>トト</v>
      </c>
      <c r="N583" s="21" t="str">
        <f ca="1">VLOOKUP($L583,OFFSET([2]enemies!$A$1,0,0,COUNTA([2]enemies!$A:$A),MATCH(N$1,[2]enemies!$1:$1,0)-MATCH($L$1,[2]enemies!$1:$1,0)+1),MATCH(N$1,[2]enemies!$1:$1,0)-MATCH($L$1,[2]enemies!$1:$1,0)+1,FALSE)</f>
        <v>yellow</v>
      </c>
      <c r="O583" s="21" t="str">
        <f ca="1">VLOOKUP($L583,OFFSET([3]characters!$A$1,0,0,COUNTA([3]characters!$A:$A),MATCH(O$1,[3]characters!$1:$1,0)-MATCH($L$1,[3]characters!$1:$1,0)+1),MATCH(O$1,[3]characters!$1:$1,0)-MATCH($L$1,[3]characters!$1:$1,0)+1,FALSE)</f>
        <v>Drop1S</v>
      </c>
      <c r="P583" s="21" t="str">
        <f ca="1">VLOOKUP($L583,OFFSET([2]enemies!$A$1,0,0,COUNTA([2]enemies!$A:$A),MATCH(P$1,[2]enemies!$1:$1,0)-MATCH($L$1,[2]enemies!$1:$1,0)+1),MATCH(P$1,[2]enemies!$1:$1,0)-MATCH($L$1,[2]enemies!$1:$1,0)+1,FALSE)</f>
        <v>animal</v>
      </c>
      <c r="Q583" s="21">
        <f ca="1">VLOOKUP($L583,OFFSET([2]enemies!$A$1,0,0,COUNTA([2]enemies!$A:$A),MATCH(Q$1,[2]enemies!$1:$1,0)-MATCH($L$1,[2]enemies!$1:$1,0)+1),MATCH(Q$1,[2]enemies!$1:$1,0)-MATCH($L$1,[2]enemies!$1:$1,0)+1,FALSE)</f>
        <v>15</v>
      </c>
      <c r="R583" s="53">
        <v>52</v>
      </c>
      <c r="S583" s="27">
        <v>1</v>
      </c>
      <c r="T583" s="27">
        <v>1</v>
      </c>
      <c r="U583" s="5">
        <v>0</v>
      </c>
      <c r="V583" s="4" t="str">
        <f ca="1">VLOOKUP($W583,OFFSET([4]enemy_skill_sets!$B$1,0,0,COUNTA([4]enemy_skill_sets!$B:$B),MATCH(M$1,[4]enemy_skill_sets!$1:$1,0)-MATCH($W$1,[4]enemy_skill_sets!$1:$1,0)+2),MATCH(M$1,[4]enemy_skill_sets!$1:$1,0)-MATCH($W$1,[4]enemy_skill_sets!$1:$1,0)+2,FALSE)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583" s="64">
        <v>366</v>
      </c>
      <c r="X583" s="6">
        <v>0</v>
      </c>
      <c r="Y583" s="6">
        <v>100</v>
      </c>
      <c r="Z583" s="6">
        <v>0</v>
      </c>
      <c r="AA583" s="4">
        <f ca="1">VLOOKUP($L583,OFFSET([2]enemies!$A$1,0,0,COUNTA([2]enemies!$A:$A),MATCH(AA$1,[2]enemies!$1:$1,0)-MATCH($L$1,[2]enemies!$1:$1,0)+1),MATCH(AA$1,[2]enemies!$1:$1,0)-MATCH($L$1,[2]enemies!$1:$1,0)+1,FALSE)</f>
        <v>3</v>
      </c>
      <c r="AB583" s="52">
        <v>366</v>
      </c>
      <c r="AC583" s="4" t="str">
        <f ca="1">VLOOKUP($AB583,OFFSET([3]characters!$A$1,0,0,COUNTA([3]characters!$A:$A),MATCH(AC$1,[3]characters!$1:$1,0)-MATCH("character_id",[3]characters!$1:$1,0)+1),MATCH(AC$1,[3]characters!$1:$1,0)-MATCH("character_id",[3]characters!$1:$1,0)+1,FALSE)</f>
        <v>トト</v>
      </c>
      <c r="AD583" s="4">
        <f ca="1">VLOOKUP($AB583,OFFSET([3]characters!$A$1,0,0,COUNTA([3]characters!$A:$A),MATCH(AD$1,[3]characters!$1:$1,0)-MATCH("character_id",[3]characters!$1:$1,0)+1),MATCH(AD$1,[3]characters!$1:$1,0)-MATCH("character_id",[3]characters!$1:$1,0)+1,FALSE)</f>
        <v>2</v>
      </c>
      <c r="AE583" s="4" t="str">
        <f ca="1">VLOOKUP($AB583,OFFSET([3]characters!$A$1,0,0,COUNTA([3]characters!$A:$A),MATCH(AE$1,[3]characters!$1:$1,0)-MATCH("character_id",[3]characters!$1:$1,0)+1),MATCH(AE$1,[3]characters!$1:$1,0)-MATCH("character_id",[3]characters!$1:$1,0)+1,FALSE)</f>
        <v>Drop1S</v>
      </c>
      <c r="AF583" s="7">
        <v>7</v>
      </c>
      <c r="AG583" s="26">
        <f t="shared" ca="1" si="619"/>
        <v>2</v>
      </c>
      <c r="AH583" s="8">
        <v>20</v>
      </c>
      <c r="AI583" s="7">
        <v>0</v>
      </c>
      <c r="AJ583" s="7">
        <v>0</v>
      </c>
      <c r="AK583" s="7">
        <v>0</v>
      </c>
      <c r="AL583" s="7">
        <v>0</v>
      </c>
      <c r="AM583" s="7">
        <v>1</v>
      </c>
    </row>
    <row r="584" spans="1:39" ht="14" x14ac:dyDescent="0.15">
      <c r="A584" s="18" t="str">
        <f t="shared" ca="1" si="604"/>
        <v>25_4-1/352&lt;lv52&gt;s3</v>
      </c>
      <c r="B584" s="53">
        <v>25</v>
      </c>
      <c r="C584" s="51">
        <v>4</v>
      </c>
      <c r="D584" s="2" t="str">
        <f t="shared" ref="D584" si="623">B584&amp;"_"&amp;C584</f>
        <v>25_4</v>
      </c>
      <c r="E584" s="2" t="str">
        <f t="shared" ref="E584" si="624">C584&amp;"_"&amp;D584</f>
        <v>4_25_4</v>
      </c>
      <c r="F584" s="4" t="str">
        <f ca="1">VLOOKUP($D584,OFFSET([1]stages!$A$1,0,0,COUNTA([1]stages!$A:$A),MATCH(F$1,[1]stages!$2:$2,0)-MATCH($D$1,[1]stages!$2:$2,0)+1),MATCH(F$1,[1]stages!$2:$2,0)-MATCH($D$1,[1]stages!$2:$2,0)+1,FALSE)</f>
        <v>25-4．許されぬ休息</v>
      </c>
      <c r="G584" s="54">
        <v>1</v>
      </c>
      <c r="H584" s="17" t="str">
        <f t="shared" ref="H584" si="625">B584&amp;"_"&amp;C584&amp;"-"&amp;G584</f>
        <v>25_4-1</v>
      </c>
      <c r="I584" s="17"/>
      <c r="J584" s="17"/>
      <c r="K584" s="65" t="s">
        <v>56</v>
      </c>
      <c r="L584" s="52">
        <v>352</v>
      </c>
      <c r="M584" s="21" t="str">
        <f ca="1">VLOOKUP($L584,OFFSET([2]enemies!$A$1,0,0,COUNTA([2]enemies!$A:$A),MATCH(M$1,[2]enemies!$1:$1,0)-MATCH($L$1,[2]enemies!$1:$1,0)+1),MATCH(M$1,[2]enemies!$1:$1,0)-MATCH($L$1,[2]enemies!$1:$1,0)+1,FALSE)</f>
        <v>水のケロケロ</v>
      </c>
      <c r="N584" s="21" t="str">
        <f ca="1">VLOOKUP($L584,OFFSET([2]enemies!$A$1,0,0,COUNTA([2]enemies!$A:$A),MATCH(N$1,[2]enemies!$1:$1,0)-MATCH($L$1,[2]enemies!$1:$1,0)+1),MATCH(N$1,[2]enemies!$1:$1,0)-MATCH($L$1,[2]enemies!$1:$1,0)+1,FALSE)</f>
        <v>blue</v>
      </c>
      <c r="O584" s="21" t="str">
        <f ca="1">VLOOKUP($L584,OFFSET([3]characters!$A$1,0,0,COUNTA([3]characters!$A:$A),MATCH(O$1,[3]characters!$1:$1,0)-MATCH($L$1,[3]characters!$1:$1,0)+1),MATCH(O$1,[3]characters!$1:$1,0)-MATCH($L$1,[3]characters!$1:$1,0)+1,FALSE)</f>
        <v>Material</v>
      </c>
      <c r="P584" s="21" t="str">
        <f ca="1">VLOOKUP($L584,OFFSET([2]enemies!$A$1,0,0,COUNTA([2]enemies!$A:$A),MATCH(P$1,[2]enemies!$1:$1,0)-MATCH($L$1,[2]enemies!$1:$1,0)+1),MATCH(P$1,[2]enemies!$1:$1,0)-MATCH($L$1,[2]enemies!$1:$1,0)+1,FALSE)</f>
        <v>unknown</v>
      </c>
      <c r="Q584" s="21">
        <f ca="1">VLOOKUP($L584,OFFSET([2]enemies!$A$1,0,0,COUNTA([2]enemies!$A:$A),MATCH(Q$1,[2]enemies!$1:$1,0)-MATCH($L$1,[2]enemies!$1:$1,0)+1),MATCH(Q$1,[2]enemies!$1:$1,0)-MATCH($L$1,[2]enemies!$1:$1,0)+1,FALSE)</f>
        <v>15</v>
      </c>
      <c r="R584" s="53">
        <v>52</v>
      </c>
      <c r="S584" s="27">
        <v>1</v>
      </c>
      <c r="T584" s="27">
        <v>1</v>
      </c>
      <c r="U584" s="5">
        <v>0</v>
      </c>
      <c r="V584" s="4" t="str">
        <f ca="1">VLOOKUP($W584,OFFSET([4]enemy_skill_sets!$B$1,0,0,COUNTA([4]enemy_skill_sets!$B:$B),MATCH(M$1,[4]enemy_skill_sets!$1:$1,0)-MATCH($W$1,[4]enemy_skill_sets!$1:$1,0)+2),MATCH(M$1,[4]enemy_skill_sets!$1:$1,0)-MATCH($W$1,[4]enemy_skill_sets!$1:$1,0)+2,FALSE)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84" s="64">
        <v>352</v>
      </c>
      <c r="X584" s="6">
        <v>0</v>
      </c>
      <c r="Y584" s="6">
        <v>100</v>
      </c>
      <c r="Z584" s="6">
        <v>0</v>
      </c>
      <c r="AA584" s="4">
        <f ca="1">VLOOKUP($L584,OFFSET([2]enemies!$A$1,0,0,COUNTA([2]enemies!$A:$A),MATCH(AA$1,[2]enemies!$1:$1,0)-MATCH($L$1,[2]enemies!$1:$1,0)+1),MATCH(AA$1,[2]enemies!$1:$1,0)-MATCH($L$1,[2]enemies!$1:$1,0)+1,FALSE)</f>
        <v>3</v>
      </c>
      <c r="AB584" s="52">
        <v>352</v>
      </c>
      <c r="AC584" s="4" t="str">
        <f ca="1">VLOOKUP($AB584,OFFSET([3]characters!$A$1,0,0,COUNTA([3]characters!$A:$A),MATCH(AC$1,[3]characters!$1:$1,0)-MATCH("character_id",[3]characters!$1:$1,0)+1),MATCH(AC$1,[3]characters!$1:$1,0)-MATCH("character_id",[3]characters!$1:$1,0)+1,FALSE)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84" s="4">
        <f ca="1">VLOOKUP($AB584,OFFSET([3]characters!$A$1,0,0,COUNTA([3]characters!$A:$A),MATCH(AD$1,[3]characters!$1:$1,0)-MATCH("character_id",[3]characters!$1:$1,0)+1),MATCH(AD$1,[3]characters!$1:$1,0)-MATCH("character_id",[3]characters!$1:$1,0)+1,FALSE)</f>
        <v>2</v>
      </c>
      <c r="AE584" s="4" t="str">
        <f ca="1">VLOOKUP($AB584,OFFSET([3]characters!$A$1,0,0,COUNTA([3]characters!$A:$A),MATCH(AE$1,[3]characters!$1:$1,0)-MATCH("character_id",[3]characters!$1:$1,0)+1),MATCH(AE$1,[3]characters!$1:$1,0)-MATCH("character_id",[3]characters!$1:$1,0)+1,FALSE)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84" s="7">
        <v>10</v>
      </c>
      <c r="AG584" s="26">
        <f t="shared" ca="1" si="619"/>
        <v>2</v>
      </c>
      <c r="AH584" s="8">
        <v>20</v>
      </c>
      <c r="AI584" s="7">
        <v>0</v>
      </c>
      <c r="AJ584" s="7">
        <v>0</v>
      </c>
      <c r="AK584" s="7">
        <v>0</v>
      </c>
      <c r="AL584" s="7">
        <v>0</v>
      </c>
      <c r="AM584" s="7">
        <v>1</v>
      </c>
    </row>
    <row r="585" spans="1:39" ht="14" x14ac:dyDescent="0.15">
      <c r="A585" s="18" t="str">
        <f t="shared" ca="1" si="604"/>
        <v>25_4-2/25&lt;lv52&gt;s3</v>
      </c>
      <c r="B585" s="50">
        <v>25</v>
      </c>
      <c r="C585" s="49">
        <v>4</v>
      </c>
      <c r="D585" s="2" t="str">
        <f t="shared" si="611"/>
        <v>25_4</v>
      </c>
      <c r="E585" s="2" t="str">
        <f t="shared" si="611"/>
        <v>4_25_4</v>
      </c>
      <c r="F585" s="4" t="str">
        <f ca="1">VLOOKUP($D585,OFFSET([1]stages!$A$1,0,0,COUNTA([1]stages!$A:$A),MATCH(F$1,[1]stages!$2:$2,0)-MATCH($D$1,[1]stages!$2:$2,0)+1),MATCH(F$1,[1]stages!$2:$2,0)-MATCH($D$1,[1]stages!$2:$2,0)+1,FALSE)</f>
        <v>25-4．許されぬ休息</v>
      </c>
      <c r="G585" s="55">
        <v>2</v>
      </c>
      <c r="H585" s="17" t="str">
        <f t="shared" si="612"/>
        <v>25_4-2</v>
      </c>
      <c r="I585" s="17"/>
      <c r="J585" s="17"/>
      <c r="K585" s="65" t="s">
        <v>56</v>
      </c>
      <c r="L585" s="52">
        <v>25</v>
      </c>
      <c r="M585" s="21" t="str">
        <f ca="1">VLOOKUP($L585,OFFSET([2]enemies!$A$1,0,0,COUNTA([2]enemies!$A:$A),MATCH(M$1,[2]enemies!$1:$1,0)-MATCH($L$1,[2]enemies!$1:$1,0)+1),MATCH(M$1,[2]enemies!$1:$1,0)-MATCH($L$1,[2]enemies!$1:$1,0)+1,FALSE)</f>
        <v>ハチ</v>
      </c>
      <c r="N585" s="21" t="str">
        <f ca="1">VLOOKUP($L585,OFFSET([2]enemies!$A$1,0,0,COUNTA([2]enemies!$A:$A),MATCH(N$1,[2]enemies!$1:$1,0)-MATCH($L$1,[2]enemies!$1:$1,0)+1),MATCH(N$1,[2]enemies!$1:$1,0)-MATCH($L$1,[2]enemies!$1:$1,0)+1,FALSE)</f>
        <v>blue</v>
      </c>
      <c r="O585" s="21" t="str">
        <f ca="1">VLOOKUP($L585,OFFSET([3]characters!$A$1,0,0,COUNTA([3]characters!$A:$A),MATCH(O$1,[3]characters!$1:$1,0)-MATCH($L$1,[3]characters!$1:$1,0)+1),MATCH(O$1,[3]characters!$1:$1,0)-MATCH($L$1,[3]characters!$1:$1,0)+1,FALSE)</f>
        <v>Drop1N</v>
      </c>
      <c r="P585" s="21" t="str">
        <f ca="1">VLOOKUP($L585,OFFSET([2]enemies!$A$1,0,0,COUNTA([2]enemies!$A:$A),MATCH(P$1,[2]enemies!$1:$1,0)-MATCH($L$1,[2]enemies!$1:$1,0)+1),MATCH(P$1,[2]enemies!$1:$1,0)-MATCH($L$1,[2]enemies!$1:$1,0)+1,FALSE)</f>
        <v>animal</v>
      </c>
      <c r="Q585" s="21">
        <f ca="1">VLOOKUP($L585,OFFSET([2]enemies!$A$1,0,0,COUNTA([2]enemies!$A:$A),MATCH(Q$1,[2]enemies!$1:$1,0)-MATCH($L$1,[2]enemies!$1:$1,0)+1),MATCH(Q$1,[2]enemies!$1:$1,0)-MATCH($L$1,[2]enemies!$1:$1,0)+1,FALSE)</f>
        <v>15</v>
      </c>
      <c r="R585" s="53">
        <v>52</v>
      </c>
      <c r="S585" s="27">
        <v>1</v>
      </c>
      <c r="T585" s="27">
        <v>1</v>
      </c>
      <c r="U585" s="5">
        <v>0</v>
      </c>
      <c r="V585" s="4" t="str">
        <f ca="1">VLOOKUP($W585,OFFSET([4]enemy_skill_sets!$B$1,0,0,COUNTA([4]enemy_skill_sets!$B:$B),MATCH(M$1,[4]enemy_skill_sets!$1:$1,0)-MATCH($W$1,[4]enemy_skill_sets!$1:$1,0)+2),MATCH(M$1,[4]enemy_skill_sets!$1:$1,0)-MATCH($W$1,[4]enemy_skill_sets!$1:$1,0)+2,FALSE)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85" s="4">
        <f ca="1">VLOOKUP($L585,OFFSET([2]enemies!$A$1,0,0,COUNTA([2]enemies!$A:$A),MATCH(W$1,[2]enemies!$1:$1,0)-MATCH($L$1,[2]enemies!$1:$1,0)+1),MATCH(W$1,[2]enemies!$1:$1,0)-MATCH($L$1,[2]enemies!$1:$1,0)+1,FALSE)</f>
        <v>0</v>
      </c>
      <c r="X585" s="6">
        <v>0</v>
      </c>
      <c r="Y585" s="6">
        <v>100</v>
      </c>
      <c r="Z585" s="6">
        <v>0</v>
      </c>
      <c r="AA585" s="4">
        <f ca="1">VLOOKUP($L585,OFFSET([2]enemies!$A$1,0,0,COUNTA([2]enemies!$A:$A),MATCH(AA$1,[2]enemies!$1:$1,0)-MATCH($L$1,[2]enemies!$1:$1,0)+1),MATCH(AA$1,[2]enemies!$1:$1,0)-MATCH($L$1,[2]enemies!$1:$1,0)+1,FALSE)</f>
        <v>3</v>
      </c>
      <c r="AB585" s="52">
        <v>25</v>
      </c>
      <c r="AC585" s="4" t="str">
        <f ca="1">VLOOKUP($AB585,OFFSET([3]characters!$A$1,0,0,COUNTA([3]characters!$A:$A),MATCH(AC$1,[3]characters!$1:$1,0)-MATCH("character_id",[3]characters!$1:$1,0)+1),MATCH(AC$1,[3]characters!$1:$1,0)-MATCH("character_id",[3]characters!$1:$1,0)+1,FALSE)</f>
        <v>ハチ</v>
      </c>
      <c r="AD585" s="4">
        <f ca="1">VLOOKUP($AB585,OFFSET([3]characters!$A$1,0,0,COUNTA([3]characters!$A:$A),MATCH(AD$1,[3]characters!$1:$1,0)-MATCH("character_id",[3]characters!$1:$1,0)+1),MATCH(AD$1,[3]characters!$1:$1,0)-MATCH("character_id",[3]characters!$1:$1,0)+1,FALSE)</f>
        <v>1</v>
      </c>
      <c r="AE585" s="4" t="str">
        <f ca="1">VLOOKUP($AB585,OFFSET([3]characters!$A$1,0,0,COUNTA([3]characters!$A:$A),MATCH(AE$1,[3]characters!$1:$1,0)-MATCH("character_id",[3]characters!$1:$1,0)+1),MATCH(AE$1,[3]characters!$1:$1,0)-MATCH("character_id",[3]characters!$1:$1,0)+1,FALSE)</f>
        <v>Drop1N</v>
      </c>
      <c r="AF585" s="7">
        <v>7</v>
      </c>
      <c r="AG585" s="26">
        <f t="shared" ca="1" si="619"/>
        <v>1</v>
      </c>
      <c r="AH585" s="8">
        <v>20</v>
      </c>
      <c r="AI585" s="7">
        <v>0</v>
      </c>
      <c r="AJ585" s="7">
        <v>0</v>
      </c>
      <c r="AK585" s="7">
        <v>0</v>
      </c>
      <c r="AL585" s="7">
        <v>0</v>
      </c>
      <c r="AM585" s="7">
        <v>1</v>
      </c>
    </row>
    <row r="586" spans="1:39" ht="14" x14ac:dyDescent="0.15">
      <c r="A586" s="18" t="str">
        <f t="shared" ca="1" si="604"/>
        <v>25_4-2/37&lt;lv52&gt;s3</v>
      </c>
      <c r="B586" s="50">
        <v>25</v>
      </c>
      <c r="C586" s="49">
        <v>4</v>
      </c>
      <c r="D586" s="2" t="str">
        <f t="shared" si="611"/>
        <v>25_4</v>
      </c>
      <c r="E586" s="2" t="str">
        <f t="shared" si="611"/>
        <v>4_25_4</v>
      </c>
      <c r="F586" s="4" t="str">
        <f ca="1">VLOOKUP($D586,OFFSET([1]stages!$A$1,0,0,COUNTA([1]stages!$A:$A),MATCH(F$1,[1]stages!$2:$2,0)-MATCH($D$1,[1]stages!$2:$2,0)+1),MATCH(F$1,[1]stages!$2:$2,0)-MATCH($D$1,[1]stages!$2:$2,0)+1,FALSE)</f>
        <v>25-4．許されぬ休息</v>
      </c>
      <c r="G586" s="55">
        <v>2</v>
      </c>
      <c r="H586" s="17" t="str">
        <f t="shared" si="612"/>
        <v>25_4-2</v>
      </c>
      <c r="I586" s="17"/>
      <c r="J586" s="17"/>
      <c r="K586" s="65" t="s">
        <v>56</v>
      </c>
      <c r="L586" s="52">
        <v>37</v>
      </c>
      <c r="M586" s="21" t="str">
        <f ca="1">VLOOKUP($L586,OFFSET([2]enemies!$A$1,0,0,COUNTA([2]enemies!$A:$A),MATCH(M$1,[2]enemies!$1:$1,0)-MATCH($L$1,[2]enemies!$1:$1,0)+1),MATCH(M$1,[2]enemies!$1:$1,0)-MATCH($L$1,[2]enemies!$1:$1,0)+1,FALSE)</f>
        <v>ガイル</v>
      </c>
      <c r="N586" s="21" t="str">
        <f ca="1">VLOOKUP($L586,OFFSET([2]enemies!$A$1,0,0,COUNTA([2]enemies!$A:$A),MATCH(N$1,[2]enemies!$1:$1,0)-MATCH($L$1,[2]enemies!$1:$1,0)+1),MATCH(N$1,[2]enemies!$1:$1,0)-MATCH($L$1,[2]enemies!$1:$1,0)+1,FALSE)</f>
        <v>blue</v>
      </c>
      <c r="O586" s="21" t="str">
        <f ca="1">VLOOKUP($L586,OFFSET([3]characters!$A$1,0,0,COUNTA([3]characters!$A:$A),MATCH(O$1,[3]characters!$1:$1,0)-MATCH($L$1,[3]characters!$1:$1,0)+1),MATCH(O$1,[3]characters!$1:$1,0)-MATCH($L$1,[3]characters!$1:$1,0)+1,FALSE)</f>
        <v>Drop1S</v>
      </c>
      <c r="P586" s="21" t="str">
        <f ca="1">VLOOKUP($L586,OFFSET([2]enemies!$A$1,0,0,COUNTA([2]enemies!$A:$A),MATCH(P$1,[2]enemies!$1:$1,0)-MATCH($L$1,[2]enemies!$1:$1,0)+1),MATCH(P$1,[2]enemies!$1:$1,0)-MATCH($L$1,[2]enemies!$1:$1,0)+1,FALSE)</f>
        <v>animal</v>
      </c>
      <c r="Q586" s="21">
        <f ca="1">VLOOKUP($L586,OFFSET([2]enemies!$A$1,0,0,COUNTA([2]enemies!$A:$A),MATCH(Q$1,[2]enemies!$1:$1,0)-MATCH($L$1,[2]enemies!$1:$1,0)+1),MATCH(Q$1,[2]enemies!$1:$1,0)-MATCH($L$1,[2]enemies!$1:$1,0)+1,FALSE)</f>
        <v>15</v>
      </c>
      <c r="R586" s="53">
        <v>52</v>
      </c>
      <c r="S586" s="27">
        <v>1</v>
      </c>
      <c r="T586" s="27">
        <v>1</v>
      </c>
      <c r="U586" s="5">
        <v>0</v>
      </c>
      <c r="V586" s="4" t="str">
        <f ca="1">VLOOKUP($W586,OFFSET([4]enemy_skill_sets!$B$1,0,0,COUNTA([4]enemy_skill_sets!$B:$B),MATCH(M$1,[4]enemy_skill_sets!$1:$1,0)-MATCH($W$1,[4]enemy_skill_sets!$1:$1,0)+2),MATCH(M$1,[4]enemy_skill_sets!$1:$1,0)-MATCH($W$1,[4]enemy_skill_sets!$1:$1,0)+2,FALSE)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586" s="4">
        <f ca="1">VLOOKUP($L586,OFFSET([2]enemies!$A$1,0,0,COUNTA([2]enemies!$A:$A),MATCH(W$1,[2]enemies!$1:$1,0)-MATCH($L$1,[2]enemies!$1:$1,0)+1),MATCH(W$1,[2]enemies!$1:$1,0)-MATCH($L$1,[2]enemies!$1:$1,0)+1,FALSE)</f>
        <v>37</v>
      </c>
      <c r="X586" s="6">
        <v>0</v>
      </c>
      <c r="Y586" s="6">
        <v>100</v>
      </c>
      <c r="Z586" s="6">
        <v>0</v>
      </c>
      <c r="AA586" s="4">
        <f ca="1">VLOOKUP($L586,OFFSET([2]enemies!$A$1,0,0,COUNTA([2]enemies!$A:$A),MATCH(AA$1,[2]enemies!$1:$1,0)-MATCH($L$1,[2]enemies!$1:$1,0)+1),MATCH(AA$1,[2]enemies!$1:$1,0)-MATCH($L$1,[2]enemies!$1:$1,0)+1,FALSE)</f>
        <v>3</v>
      </c>
      <c r="AB586" s="52">
        <v>37</v>
      </c>
      <c r="AC586" s="4" t="str">
        <f ca="1">VLOOKUP($AB586,OFFSET([3]characters!$A$1,0,0,COUNTA([3]characters!$A:$A),MATCH(AC$1,[3]characters!$1:$1,0)-MATCH("character_id",[3]characters!$1:$1,0)+1),MATCH(AC$1,[3]characters!$1:$1,0)-MATCH("character_id",[3]characters!$1:$1,0)+1,FALSE)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586" s="4">
        <f ca="1">VLOOKUP($AB586,OFFSET([3]characters!$A$1,0,0,COUNTA([3]characters!$A:$A),MATCH(AD$1,[3]characters!$1:$1,0)-MATCH("character_id",[3]characters!$1:$1,0)+1),MATCH(AD$1,[3]characters!$1:$1,0)-MATCH("character_id",[3]characters!$1:$1,0)+1,FALSE)</f>
        <v>2</v>
      </c>
      <c r="AE586" s="4" t="str">
        <f ca="1">VLOOKUP($AB586,OFFSET([3]characters!$A$1,0,0,COUNTA([3]characters!$A:$A),MATCH(AE$1,[3]characters!$1:$1,0)-MATCH("character_id",[3]characters!$1:$1,0)+1),MATCH(AE$1,[3]characters!$1:$1,0)-MATCH("character_id",[3]characters!$1:$1,0)+1,FALSE)</f>
        <v>Drop1S</v>
      </c>
      <c r="AF586" s="7">
        <v>5</v>
      </c>
      <c r="AG586" s="26">
        <f t="shared" ca="1" si="619"/>
        <v>2</v>
      </c>
      <c r="AH586" s="8">
        <v>20</v>
      </c>
      <c r="AI586" s="7">
        <v>0</v>
      </c>
      <c r="AJ586" s="7">
        <v>0</v>
      </c>
      <c r="AK586" s="7">
        <v>0</v>
      </c>
      <c r="AL586" s="7">
        <v>0</v>
      </c>
      <c r="AM586" s="7">
        <v>1</v>
      </c>
    </row>
    <row r="587" spans="1:39" ht="14" x14ac:dyDescent="0.15">
      <c r="A587" s="18" t="str">
        <f t="shared" ca="1" si="604"/>
        <v>25_4-2/45&lt;lv52&gt;s3</v>
      </c>
      <c r="B587" s="50">
        <v>25</v>
      </c>
      <c r="C587" s="49">
        <v>4</v>
      </c>
      <c r="D587" s="2" t="str">
        <f t="shared" si="611"/>
        <v>25_4</v>
      </c>
      <c r="E587" s="2" t="str">
        <f t="shared" si="611"/>
        <v>4_25_4</v>
      </c>
      <c r="F587" s="4" t="str">
        <f ca="1">VLOOKUP($D587,OFFSET([1]stages!$A$1,0,0,COUNTA([1]stages!$A:$A),MATCH(F$1,[1]stages!$2:$2,0)-MATCH($D$1,[1]stages!$2:$2,0)+1),MATCH(F$1,[1]stages!$2:$2,0)-MATCH($D$1,[1]stages!$2:$2,0)+1,FALSE)</f>
        <v>25-4．許されぬ休息</v>
      </c>
      <c r="G587" s="55">
        <v>2</v>
      </c>
      <c r="H587" s="17" t="str">
        <f t="shared" si="612"/>
        <v>25_4-2</v>
      </c>
      <c r="I587" s="17"/>
      <c r="J587" s="17"/>
      <c r="K587" s="65" t="s">
        <v>56</v>
      </c>
      <c r="L587" s="52">
        <v>45</v>
      </c>
      <c r="M587" s="21" t="str">
        <f ca="1">VLOOKUP($L587,OFFSET([2]enemies!$A$1,0,0,COUNTA([2]enemies!$A:$A),MATCH(M$1,[2]enemies!$1:$1,0)-MATCH($L$1,[2]enemies!$1:$1,0)+1),MATCH(M$1,[2]enemies!$1:$1,0)-MATCH($L$1,[2]enemies!$1:$1,0)+1,FALSE)</f>
        <v>ショウイン</v>
      </c>
      <c r="N587" s="21" t="str">
        <f ca="1">VLOOKUP($L587,OFFSET([2]enemies!$A$1,0,0,COUNTA([2]enemies!$A:$A),MATCH(N$1,[2]enemies!$1:$1,0)-MATCH($L$1,[2]enemies!$1:$1,0)+1),MATCH(N$1,[2]enemies!$1:$1,0)-MATCH($L$1,[2]enemies!$1:$1,0)+1,FALSE)</f>
        <v>blue</v>
      </c>
      <c r="O587" s="21" t="str">
        <f ca="1">VLOOKUP($L587,OFFSET([3]characters!$A$1,0,0,COUNTA([3]characters!$A:$A),MATCH(O$1,[3]characters!$1:$1,0)-MATCH($L$1,[3]characters!$1:$1,0)+1),MATCH(O$1,[3]characters!$1:$1,0)-MATCH($L$1,[3]characters!$1:$1,0)+1,FALSE)</f>
        <v>Drop1N</v>
      </c>
      <c r="P587" s="21" t="str">
        <f ca="1">VLOOKUP($L587,OFFSET([2]enemies!$A$1,0,0,COUNTA([2]enemies!$A:$A),MATCH(P$1,[2]enemies!$1:$1,0)-MATCH($L$1,[2]enemies!$1:$1,0)+1),MATCH(P$1,[2]enemies!$1:$1,0)-MATCH($L$1,[2]enemies!$1:$1,0)+1,FALSE)</f>
        <v>animal</v>
      </c>
      <c r="Q587" s="21">
        <f ca="1">VLOOKUP($L587,OFFSET([2]enemies!$A$1,0,0,COUNTA([2]enemies!$A:$A),MATCH(Q$1,[2]enemies!$1:$1,0)-MATCH($L$1,[2]enemies!$1:$1,0)+1),MATCH(Q$1,[2]enemies!$1:$1,0)-MATCH($L$1,[2]enemies!$1:$1,0)+1,FALSE)</f>
        <v>15</v>
      </c>
      <c r="R587" s="53">
        <v>52</v>
      </c>
      <c r="S587" s="27">
        <v>1</v>
      </c>
      <c r="T587" s="27">
        <v>1</v>
      </c>
      <c r="U587" s="5">
        <v>0</v>
      </c>
      <c r="V587" s="4" t="str">
        <f ca="1">VLOOKUP($W587,OFFSET([4]enemy_skill_sets!$B$1,0,0,COUNTA([4]enemy_skill_sets!$B:$B),MATCH(M$1,[4]enemy_skill_sets!$1:$1,0)-MATCH($W$1,[4]enemy_skill_sets!$1:$1,0)+2),MATCH(M$1,[4]enemy_skill_sets!$1:$1,0)-MATCH($W$1,[4]enemy_skill_sets!$1:$1,0)+2,FALSE)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87" s="4">
        <f ca="1">VLOOKUP($L587,OFFSET([2]enemies!$A$1,0,0,COUNTA([2]enemies!$A:$A),MATCH(W$1,[2]enemies!$1:$1,0)-MATCH($L$1,[2]enemies!$1:$1,0)+1),MATCH(W$1,[2]enemies!$1:$1,0)-MATCH($L$1,[2]enemies!$1:$1,0)+1,FALSE)</f>
        <v>0</v>
      </c>
      <c r="X587" s="6">
        <v>0</v>
      </c>
      <c r="Y587" s="6">
        <v>100</v>
      </c>
      <c r="Z587" s="6">
        <v>0</v>
      </c>
      <c r="AA587" s="4">
        <f ca="1">VLOOKUP($L587,OFFSET([2]enemies!$A$1,0,0,COUNTA([2]enemies!$A:$A),MATCH(AA$1,[2]enemies!$1:$1,0)-MATCH($L$1,[2]enemies!$1:$1,0)+1),MATCH(AA$1,[2]enemies!$1:$1,0)-MATCH($L$1,[2]enemies!$1:$1,0)+1,FALSE)</f>
        <v>3</v>
      </c>
      <c r="AB587" s="52">
        <v>45</v>
      </c>
      <c r="AC587" s="4" t="str">
        <f ca="1">VLOOKUP($AB587,OFFSET([3]characters!$A$1,0,0,COUNTA([3]characters!$A:$A),MATCH(AC$1,[3]characters!$1:$1,0)-MATCH("character_id",[3]characters!$1:$1,0)+1),MATCH(AC$1,[3]characters!$1:$1,0)-MATCH("character_id",[3]characters!$1:$1,0)+1,FALSE)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587" s="4">
        <f ca="1">VLOOKUP($AB587,OFFSET([3]characters!$A$1,0,0,COUNTA([3]characters!$A:$A),MATCH(AD$1,[3]characters!$1:$1,0)-MATCH("character_id",[3]characters!$1:$1,0)+1),MATCH(AD$1,[3]characters!$1:$1,0)-MATCH("character_id",[3]characters!$1:$1,0)+1,FALSE)</f>
        <v>2</v>
      </c>
      <c r="AE587" s="4" t="str">
        <f ca="1">VLOOKUP($AB587,OFFSET([3]characters!$A$1,0,0,COUNTA([3]characters!$A:$A),MATCH(AE$1,[3]characters!$1:$1,0)-MATCH("character_id",[3]characters!$1:$1,0)+1),MATCH(AE$1,[3]characters!$1:$1,0)-MATCH("character_id",[3]characters!$1:$1,0)+1,FALSE)</f>
        <v>Drop1N</v>
      </c>
      <c r="AF587" s="7">
        <v>7</v>
      </c>
      <c r="AG587" s="26">
        <f t="shared" ca="1" si="619"/>
        <v>2</v>
      </c>
      <c r="AH587" s="8">
        <v>20</v>
      </c>
      <c r="AI587" s="7">
        <v>0</v>
      </c>
      <c r="AJ587" s="7">
        <v>0</v>
      </c>
      <c r="AK587" s="7">
        <v>0</v>
      </c>
      <c r="AL587" s="7">
        <v>0</v>
      </c>
      <c r="AM587" s="7">
        <v>1</v>
      </c>
    </row>
    <row r="588" spans="1:39" ht="14" x14ac:dyDescent="0.15">
      <c r="A588" s="18" t="str">
        <f t="shared" ca="1" si="604"/>
        <v>25_4-2/61&lt;lv52&gt;s2</v>
      </c>
      <c r="B588" s="50">
        <v>25</v>
      </c>
      <c r="C588" s="49">
        <v>4</v>
      </c>
      <c r="D588" s="2" t="str">
        <f t="shared" si="611"/>
        <v>25_4</v>
      </c>
      <c r="E588" s="2" t="str">
        <f t="shared" si="611"/>
        <v>4_25_4</v>
      </c>
      <c r="F588" s="4" t="str">
        <f ca="1">VLOOKUP($D588,OFFSET([1]stages!$A$1,0,0,COUNTA([1]stages!$A:$A),MATCH(F$1,[1]stages!$2:$2,0)-MATCH($D$1,[1]stages!$2:$2,0)+1),MATCH(F$1,[1]stages!$2:$2,0)-MATCH($D$1,[1]stages!$2:$2,0)+1,FALSE)</f>
        <v>25-4．許されぬ休息</v>
      </c>
      <c r="G588" s="55">
        <v>2</v>
      </c>
      <c r="H588" s="17" t="str">
        <f t="shared" si="612"/>
        <v>25_4-2</v>
      </c>
      <c r="I588" s="17"/>
      <c r="J588" s="17"/>
      <c r="K588" s="65" t="s">
        <v>56</v>
      </c>
      <c r="L588" s="52">
        <v>61</v>
      </c>
      <c r="M588" s="21" t="str">
        <f ca="1">VLOOKUP($L588,OFFSET([2]enemies!$A$1,0,0,COUNTA([2]enemies!$A:$A),MATCH(M$1,[2]enemies!$1:$1,0)-MATCH($L$1,[2]enemies!$1:$1,0)+1),MATCH(M$1,[2]enemies!$1:$1,0)-MATCH($L$1,[2]enemies!$1:$1,0)+1,FALSE)</f>
        <v>クロウ</v>
      </c>
      <c r="N588" s="21" t="str">
        <f ca="1">VLOOKUP($L588,OFFSET([2]enemies!$A$1,0,0,COUNTA([2]enemies!$A:$A),MATCH(N$1,[2]enemies!$1:$1,0)-MATCH($L$1,[2]enemies!$1:$1,0)+1),MATCH(N$1,[2]enemies!$1:$1,0)-MATCH($L$1,[2]enemies!$1:$1,0)+1,FALSE)</f>
        <v>blue</v>
      </c>
      <c r="O588" s="21" t="str">
        <f ca="1">VLOOKUP($L588,OFFSET([3]characters!$A$1,0,0,COUNTA([3]characters!$A:$A),MATCH(O$1,[3]characters!$1:$1,0)-MATCH($L$1,[3]characters!$1:$1,0)+1),MATCH(O$1,[3]characters!$1:$1,0)-MATCH($L$1,[3]characters!$1:$1,0)+1,FALSE)</f>
        <v>Drop1N</v>
      </c>
      <c r="P588" s="21" t="str">
        <f ca="1">VLOOKUP($L588,OFFSET([2]enemies!$A$1,0,0,COUNTA([2]enemies!$A:$A),MATCH(P$1,[2]enemies!$1:$1,0)-MATCH($L$1,[2]enemies!$1:$1,0)+1),MATCH(P$1,[2]enemies!$1:$1,0)-MATCH($L$1,[2]enemies!$1:$1,0)+1,FALSE)</f>
        <v>animal</v>
      </c>
      <c r="Q588" s="21">
        <f ca="1">VLOOKUP($L588,OFFSET([2]enemies!$A$1,0,0,COUNTA([2]enemies!$A:$A),MATCH(Q$1,[2]enemies!$1:$1,0)-MATCH($L$1,[2]enemies!$1:$1,0)+1),MATCH(Q$1,[2]enemies!$1:$1,0)-MATCH($L$1,[2]enemies!$1:$1,0)+1,FALSE)</f>
        <v>15</v>
      </c>
      <c r="R588" s="53">
        <v>52</v>
      </c>
      <c r="S588" s="27">
        <v>1</v>
      </c>
      <c r="T588" s="27">
        <v>1</v>
      </c>
      <c r="U588" s="5">
        <v>0</v>
      </c>
      <c r="V588" s="4" t="str">
        <f ca="1">VLOOKUP($W588,OFFSET([4]enemy_skill_sets!$B$1,0,0,COUNTA([4]enemy_skill_sets!$B:$B),MATCH(M$1,[4]enemy_skill_sets!$1:$1,0)-MATCH($W$1,[4]enemy_skill_sets!$1:$1,0)+2),MATCH(M$1,[4]enemy_skill_sets!$1:$1,0)-MATCH($W$1,[4]enemy_skill_sets!$1:$1,0)+2,FALSE)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88" s="4">
        <f ca="1">VLOOKUP($L588,OFFSET([2]enemies!$A$1,0,0,COUNTA([2]enemies!$A:$A),MATCH(W$1,[2]enemies!$1:$1,0)-MATCH($L$1,[2]enemies!$1:$1,0)+1),MATCH(W$1,[2]enemies!$1:$1,0)-MATCH($L$1,[2]enemies!$1:$1,0)+1,FALSE)</f>
        <v>61</v>
      </c>
      <c r="X588" s="6">
        <v>0</v>
      </c>
      <c r="Y588" s="6">
        <v>100</v>
      </c>
      <c r="Z588" s="6">
        <v>0</v>
      </c>
      <c r="AA588" s="4">
        <f ca="1">VLOOKUP($L588,OFFSET([2]enemies!$A$1,0,0,COUNTA([2]enemies!$A:$A),MATCH(AA$1,[2]enemies!$1:$1,0)-MATCH($L$1,[2]enemies!$1:$1,0)+1),MATCH(AA$1,[2]enemies!$1:$1,0)-MATCH($L$1,[2]enemies!$1:$1,0)+1,FALSE)</f>
        <v>2</v>
      </c>
      <c r="AB588" s="52">
        <v>61</v>
      </c>
      <c r="AC588" s="4" t="str">
        <f ca="1">VLOOKUP($AB588,OFFSET([3]characters!$A$1,0,0,COUNTA([3]characters!$A:$A),MATCH(AC$1,[3]characters!$1:$1,0)-MATCH("character_id",[3]characters!$1:$1,0)+1),MATCH(AC$1,[3]characters!$1:$1,0)-MATCH("character_id",[3]characters!$1:$1,0)+1,FALSE)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588" s="4">
        <f ca="1">VLOOKUP($AB588,OFFSET([3]characters!$A$1,0,0,COUNTA([3]characters!$A:$A),MATCH(AD$1,[3]characters!$1:$1,0)-MATCH("character_id",[3]characters!$1:$1,0)+1),MATCH(AD$1,[3]characters!$1:$1,0)-MATCH("character_id",[3]characters!$1:$1,0)+1,FALSE)</f>
        <v>2</v>
      </c>
      <c r="AE588" s="4" t="str">
        <f ca="1">VLOOKUP($AB588,OFFSET([3]characters!$A$1,0,0,COUNTA([3]characters!$A:$A),MATCH(AE$1,[3]characters!$1:$1,0)-MATCH("character_id",[3]characters!$1:$1,0)+1),MATCH(AE$1,[3]characters!$1:$1,0)-MATCH("character_id",[3]characters!$1:$1,0)+1,FALSE)</f>
        <v>Drop1N</v>
      </c>
      <c r="AF588" s="7">
        <v>7</v>
      </c>
      <c r="AG588" s="26">
        <f t="shared" ca="1" si="619"/>
        <v>2</v>
      </c>
      <c r="AH588" s="8">
        <v>20</v>
      </c>
      <c r="AI588" s="7">
        <v>0</v>
      </c>
      <c r="AJ588" s="7">
        <v>0</v>
      </c>
      <c r="AK588" s="7">
        <v>0</v>
      </c>
      <c r="AL588" s="7">
        <v>0</v>
      </c>
      <c r="AM588" s="7">
        <v>1</v>
      </c>
    </row>
    <row r="589" spans="1:39" ht="14" x14ac:dyDescent="0.15">
      <c r="A589" s="18" t="str">
        <f t="shared" ca="1" si="604"/>
        <v>25_4-2/17&lt;lv52&gt;s2</v>
      </c>
      <c r="B589" s="50">
        <v>25</v>
      </c>
      <c r="C589" s="49">
        <v>4</v>
      </c>
      <c r="D589" s="2" t="str">
        <f t="shared" si="611"/>
        <v>25_4</v>
      </c>
      <c r="E589" s="2" t="str">
        <f t="shared" si="611"/>
        <v>4_25_4</v>
      </c>
      <c r="F589" s="4" t="str">
        <f ca="1">VLOOKUP($D589,OFFSET([1]stages!$A$1,0,0,COUNTA([1]stages!$A:$A),MATCH(F$1,[1]stages!$2:$2,0)-MATCH($D$1,[1]stages!$2:$2,0)+1),MATCH(F$1,[1]stages!$2:$2,0)-MATCH($D$1,[1]stages!$2:$2,0)+1,FALSE)</f>
        <v>25-4．許されぬ休息</v>
      </c>
      <c r="G589" s="55">
        <v>2</v>
      </c>
      <c r="H589" s="17" t="str">
        <f t="shared" si="612"/>
        <v>25_4-2</v>
      </c>
      <c r="I589" s="17"/>
      <c r="J589" s="17"/>
      <c r="K589" s="65" t="s">
        <v>56</v>
      </c>
      <c r="L589" s="52">
        <v>17</v>
      </c>
      <c r="M589" s="21" t="str">
        <f ca="1">VLOOKUP($L589,OFFSET([2]enemies!$A$1,0,0,COUNTA([2]enemies!$A:$A),MATCH(M$1,[2]enemies!$1:$1,0)-MATCH($L$1,[2]enemies!$1:$1,0)+1),MATCH(M$1,[2]enemies!$1:$1,0)-MATCH($L$1,[2]enemies!$1:$1,0)+1,FALSE)</f>
        <v>リム</v>
      </c>
      <c r="N589" s="21" t="str">
        <f ca="1">VLOOKUP($L589,OFFSET([2]enemies!$A$1,0,0,COUNTA([2]enemies!$A:$A),MATCH(N$1,[2]enemies!$1:$1,0)-MATCH($L$1,[2]enemies!$1:$1,0)+1),MATCH(N$1,[2]enemies!$1:$1,0)-MATCH($L$1,[2]enemies!$1:$1,0)+1,FALSE)</f>
        <v>blue</v>
      </c>
      <c r="O589" s="21" t="str">
        <f ca="1">VLOOKUP($L589,OFFSET([3]characters!$A$1,0,0,COUNTA([3]characters!$A:$A),MATCH(O$1,[3]characters!$1:$1,0)-MATCH($L$1,[3]characters!$1:$1,0)+1),MATCH(O$1,[3]characters!$1:$1,0)-MATCH($L$1,[3]characters!$1:$1,0)+1,FALSE)</f>
        <v>Drop1W</v>
      </c>
      <c r="P589" s="21" t="str">
        <f ca="1">VLOOKUP($L589,OFFSET([2]enemies!$A$1,0,0,COUNTA([2]enemies!$A:$A),MATCH(P$1,[2]enemies!$1:$1,0)-MATCH($L$1,[2]enemies!$1:$1,0)+1),MATCH(P$1,[2]enemies!$1:$1,0)-MATCH($L$1,[2]enemies!$1:$1,0)+1,FALSE)</f>
        <v>human</v>
      </c>
      <c r="Q589" s="21">
        <f ca="1">VLOOKUP($L589,OFFSET([2]enemies!$A$1,0,0,COUNTA([2]enemies!$A:$A),MATCH(Q$1,[2]enemies!$1:$1,0)-MATCH($L$1,[2]enemies!$1:$1,0)+1),MATCH(Q$1,[2]enemies!$1:$1,0)-MATCH($L$1,[2]enemies!$1:$1,0)+1,FALSE)</f>
        <v>15</v>
      </c>
      <c r="R589" s="53">
        <v>52</v>
      </c>
      <c r="S589" s="27">
        <v>1</v>
      </c>
      <c r="T589" s="27">
        <v>1</v>
      </c>
      <c r="U589" s="5">
        <v>0</v>
      </c>
      <c r="V589" s="4" t="str">
        <f ca="1">VLOOKUP($W589,OFFSET([4]enemy_skill_sets!$B$1,0,0,COUNTA([4]enemy_skill_sets!$B:$B),MATCH(M$1,[4]enemy_skill_sets!$1:$1,0)-MATCH($W$1,[4]enemy_skill_sets!$1:$1,0)+2),MATCH(M$1,[4]enemy_skill_sets!$1:$1,0)-MATCH($W$1,[4]enemy_skill_sets!$1:$1,0)+2,FALSE)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89" s="4">
        <f ca="1">VLOOKUP($L589,OFFSET([2]enemies!$A$1,0,0,COUNTA([2]enemies!$A:$A),MATCH(W$1,[2]enemies!$1:$1,0)-MATCH($L$1,[2]enemies!$1:$1,0)+1),MATCH(W$1,[2]enemies!$1:$1,0)-MATCH($L$1,[2]enemies!$1:$1,0)+1,FALSE)</f>
        <v>0</v>
      </c>
      <c r="X589" s="6">
        <v>0</v>
      </c>
      <c r="Y589" s="6">
        <v>100</v>
      </c>
      <c r="Z589" s="6">
        <v>0</v>
      </c>
      <c r="AA589" s="4">
        <f ca="1">VLOOKUP($L589,OFFSET([2]enemies!$A$1,0,0,COUNTA([2]enemies!$A:$A),MATCH(AA$1,[2]enemies!$1:$1,0)-MATCH($L$1,[2]enemies!$1:$1,0)+1),MATCH(AA$1,[2]enemies!$1:$1,0)-MATCH($L$1,[2]enemies!$1:$1,0)+1,FALSE)</f>
        <v>2</v>
      </c>
      <c r="AB589" s="52">
        <v>17</v>
      </c>
      <c r="AC589" s="4" t="str">
        <f ca="1">VLOOKUP($AB589,OFFSET([3]characters!$A$1,0,0,COUNTA([3]characters!$A:$A),MATCH(AC$1,[3]characters!$1:$1,0)-MATCH("character_id",[3]characters!$1:$1,0)+1),MATCH(AC$1,[3]characters!$1:$1,0)-MATCH("character_id",[3]characters!$1:$1,0)+1,FALSE)</f>
        <v>リム</v>
      </c>
      <c r="AD589" s="4">
        <f ca="1">VLOOKUP($AB589,OFFSET([3]characters!$A$1,0,0,COUNTA([3]characters!$A:$A),MATCH(AD$1,[3]characters!$1:$1,0)-MATCH("character_id",[3]characters!$1:$1,0)+1),MATCH(AD$1,[3]characters!$1:$1,0)-MATCH("character_id",[3]characters!$1:$1,0)+1,FALSE)</f>
        <v>1</v>
      </c>
      <c r="AE589" s="4" t="str">
        <f ca="1">VLOOKUP($AB589,OFFSET([3]characters!$A$1,0,0,COUNTA([3]characters!$A:$A),MATCH(AE$1,[3]characters!$1:$1,0)-MATCH("character_id",[3]characters!$1:$1,0)+1),MATCH(AE$1,[3]characters!$1:$1,0)-MATCH("character_id",[3]characters!$1:$1,0)+1,FALSE)</f>
        <v>Drop1W</v>
      </c>
      <c r="AF589" s="7">
        <v>9</v>
      </c>
      <c r="AG589" s="26">
        <f t="shared" ca="1" si="619"/>
        <v>1</v>
      </c>
      <c r="AH589" s="8">
        <v>20</v>
      </c>
      <c r="AI589" s="7">
        <v>0</v>
      </c>
      <c r="AJ589" s="7">
        <v>0</v>
      </c>
      <c r="AK589" s="7">
        <v>0</v>
      </c>
      <c r="AL589" s="7">
        <v>0</v>
      </c>
      <c r="AM589" s="7">
        <v>1</v>
      </c>
    </row>
    <row r="590" spans="1:39" ht="14" x14ac:dyDescent="0.15">
      <c r="A590" s="18" t="str">
        <f t="shared" ca="1" si="604"/>
        <v>25_4-2/53&lt;lv52&gt;s2</v>
      </c>
      <c r="B590" s="50">
        <v>25</v>
      </c>
      <c r="C590" s="49">
        <v>4</v>
      </c>
      <c r="D590" s="2" t="str">
        <f t="shared" si="611"/>
        <v>25_4</v>
      </c>
      <c r="E590" s="2" t="str">
        <f t="shared" si="611"/>
        <v>4_25_4</v>
      </c>
      <c r="F590" s="4" t="str">
        <f ca="1">VLOOKUP($D590,OFFSET([1]stages!$A$1,0,0,COUNTA([1]stages!$A:$A),MATCH(F$1,[1]stages!$2:$2,0)-MATCH($D$1,[1]stages!$2:$2,0)+1),MATCH(F$1,[1]stages!$2:$2,0)-MATCH($D$1,[1]stages!$2:$2,0)+1,FALSE)</f>
        <v>25-4．許されぬ休息</v>
      </c>
      <c r="G590" s="55">
        <v>2</v>
      </c>
      <c r="H590" s="17" t="str">
        <f t="shared" si="612"/>
        <v>25_4-2</v>
      </c>
      <c r="I590" s="17"/>
      <c r="J590" s="17"/>
      <c r="K590" s="65" t="s">
        <v>56</v>
      </c>
      <c r="L590" s="52">
        <v>53</v>
      </c>
      <c r="M590" s="21" t="str">
        <f ca="1">VLOOKUP($L590,OFFSET([2]enemies!$A$1,0,0,COUNTA([2]enemies!$A:$A),MATCH(M$1,[2]enemies!$1:$1,0)-MATCH($L$1,[2]enemies!$1:$1,0)+1),MATCH(M$1,[2]enemies!$1:$1,0)-MATCH($L$1,[2]enemies!$1:$1,0)+1,FALSE)</f>
        <v>ケンジ</v>
      </c>
      <c r="N590" s="21" t="str">
        <f ca="1">VLOOKUP($L590,OFFSET([2]enemies!$A$1,0,0,COUNTA([2]enemies!$A:$A),MATCH(N$1,[2]enemies!$1:$1,0)-MATCH($L$1,[2]enemies!$1:$1,0)+1),MATCH(N$1,[2]enemies!$1:$1,0)-MATCH($L$1,[2]enemies!$1:$1,0)+1,FALSE)</f>
        <v>blue</v>
      </c>
      <c r="O590" s="21" t="str">
        <f ca="1">VLOOKUP($L590,OFFSET([3]characters!$A$1,0,0,COUNTA([3]characters!$A:$A),MATCH(O$1,[3]characters!$1:$1,0)-MATCH($L$1,[3]characters!$1:$1,0)+1),MATCH(O$1,[3]characters!$1:$1,0)-MATCH($L$1,[3]characters!$1:$1,0)+1,FALSE)</f>
        <v>Drop1N</v>
      </c>
      <c r="P590" s="21" t="str">
        <f ca="1">VLOOKUP($L590,OFFSET([2]enemies!$A$1,0,0,COUNTA([2]enemies!$A:$A),MATCH(P$1,[2]enemies!$1:$1,0)-MATCH($L$1,[2]enemies!$1:$1,0)+1),MATCH(P$1,[2]enemies!$1:$1,0)-MATCH($L$1,[2]enemies!$1:$1,0)+1,FALSE)</f>
        <v>human</v>
      </c>
      <c r="Q590" s="21">
        <f ca="1">VLOOKUP($L590,OFFSET([2]enemies!$A$1,0,0,COUNTA([2]enemies!$A:$A),MATCH(Q$1,[2]enemies!$1:$1,0)-MATCH($L$1,[2]enemies!$1:$1,0)+1),MATCH(Q$1,[2]enemies!$1:$1,0)-MATCH($L$1,[2]enemies!$1:$1,0)+1,FALSE)</f>
        <v>15</v>
      </c>
      <c r="R590" s="53">
        <v>52</v>
      </c>
      <c r="S590" s="27">
        <v>1</v>
      </c>
      <c r="T590" s="27">
        <v>1</v>
      </c>
      <c r="U590" s="5">
        <v>0</v>
      </c>
      <c r="V590" s="4" t="str">
        <f ca="1">VLOOKUP($W590,OFFSET([4]enemy_skill_sets!$B$1,0,0,COUNTA([4]enemy_skill_sets!$B:$B),MATCH(M$1,[4]enemy_skill_sets!$1:$1,0)-MATCH($W$1,[4]enemy_skill_sets!$1:$1,0)+2),MATCH(M$1,[4]enemy_skill_sets!$1:$1,0)-MATCH($W$1,[4]enemy_skill_sets!$1:$1,0)+2,FALSE)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590" s="4">
        <f ca="1">VLOOKUP($L590,OFFSET([2]enemies!$A$1,0,0,COUNTA([2]enemies!$A:$A),MATCH(W$1,[2]enemies!$1:$1,0)-MATCH($L$1,[2]enemies!$1:$1,0)+1),MATCH(W$1,[2]enemies!$1:$1,0)-MATCH($L$1,[2]enemies!$1:$1,0)+1,FALSE)</f>
        <v>53</v>
      </c>
      <c r="X590" s="6">
        <v>0</v>
      </c>
      <c r="Y590" s="6">
        <v>100</v>
      </c>
      <c r="Z590" s="6">
        <v>0</v>
      </c>
      <c r="AA590" s="4">
        <f ca="1">VLOOKUP($L590,OFFSET([2]enemies!$A$1,0,0,COUNTA([2]enemies!$A:$A),MATCH(AA$1,[2]enemies!$1:$1,0)-MATCH($L$1,[2]enemies!$1:$1,0)+1),MATCH(AA$1,[2]enemies!$1:$1,0)-MATCH($L$1,[2]enemies!$1:$1,0)+1,FALSE)</f>
        <v>2</v>
      </c>
      <c r="AB590" s="52">
        <v>53</v>
      </c>
      <c r="AC590" s="4" t="str">
        <f ca="1">VLOOKUP($AB590,OFFSET([3]characters!$A$1,0,0,COUNTA([3]characters!$A:$A),MATCH(AC$1,[3]characters!$1:$1,0)-MATCH("character_id",[3]characters!$1:$1,0)+1),MATCH(AC$1,[3]characters!$1:$1,0)-MATCH("character_id",[3]characters!$1:$1,0)+1,FALSE)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590" s="4">
        <f ca="1">VLOOKUP($AB590,OFFSET([3]characters!$A$1,0,0,COUNTA([3]characters!$A:$A),MATCH(AD$1,[3]characters!$1:$1,0)-MATCH("character_id",[3]characters!$1:$1,0)+1),MATCH(AD$1,[3]characters!$1:$1,0)-MATCH("character_id",[3]characters!$1:$1,0)+1,FALSE)</f>
        <v>2</v>
      </c>
      <c r="AE590" s="4" t="str">
        <f ca="1">VLOOKUP($AB590,OFFSET([3]characters!$A$1,0,0,COUNTA([3]characters!$A:$A),MATCH(AE$1,[3]characters!$1:$1,0)-MATCH("character_id",[3]characters!$1:$1,0)+1),MATCH(AE$1,[3]characters!$1:$1,0)-MATCH("character_id",[3]characters!$1:$1,0)+1,FALSE)</f>
        <v>Drop1N</v>
      </c>
      <c r="AF590" s="7">
        <v>7</v>
      </c>
      <c r="AG590" s="26">
        <f t="shared" ca="1" si="619"/>
        <v>2</v>
      </c>
      <c r="AH590" s="8">
        <v>20</v>
      </c>
      <c r="AI590" s="7">
        <v>0</v>
      </c>
      <c r="AJ590" s="7">
        <v>0</v>
      </c>
      <c r="AK590" s="7">
        <v>0</v>
      </c>
      <c r="AL590" s="7">
        <v>0</v>
      </c>
      <c r="AM590" s="7">
        <v>1</v>
      </c>
    </row>
    <row r="591" spans="1:39" ht="14" x14ac:dyDescent="0.15">
      <c r="A591" s="18" t="str">
        <f t="shared" ca="1" si="604"/>
        <v>25_4-2/364&lt;lv52&gt;s3</v>
      </c>
      <c r="B591" s="53">
        <v>25</v>
      </c>
      <c r="C591" s="51">
        <v>4</v>
      </c>
      <c r="D591" s="2" t="str">
        <f t="shared" ref="D591" si="626">B591&amp;"_"&amp;C591</f>
        <v>25_4</v>
      </c>
      <c r="E591" s="2" t="str">
        <f t="shared" ref="E591" si="627">C591&amp;"_"&amp;D591</f>
        <v>4_25_4</v>
      </c>
      <c r="F591" s="4" t="str">
        <f ca="1">VLOOKUP($D591,OFFSET([1]stages!$A$1,0,0,COUNTA([1]stages!$A:$A),MATCH(F$1,[1]stages!$2:$2,0)-MATCH($D$1,[1]stages!$2:$2,0)+1),MATCH(F$1,[1]stages!$2:$2,0)-MATCH($D$1,[1]stages!$2:$2,0)+1,FALSE)</f>
        <v>25-4．許されぬ休息</v>
      </c>
      <c r="G591" s="55">
        <v>2</v>
      </c>
      <c r="H591" s="17" t="str">
        <f t="shared" ref="H591" si="628">B591&amp;"_"&amp;C591&amp;"-"&amp;G591</f>
        <v>25_4-2</v>
      </c>
      <c r="I591" s="17"/>
      <c r="J591" s="17"/>
      <c r="K591" s="65" t="s">
        <v>56</v>
      </c>
      <c r="L591" s="52">
        <v>364</v>
      </c>
      <c r="M591" s="21" t="str">
        <f ca="1">VLOOKUP($L591,OFFSET([2]enemies!$A$1,0,0,COUNTA([2]enemies!$A:$A),MATCH(M$1,[2]enemies!$1:$1,0)-MATCH($L$1,[2]enemies!$1:$1,0)+1),MATCH(M$1,[2]enemies!$1:$1,0)-MATCH($L$1,[2]enemies!$1:$1,0)+1,FALSE)</f>
        <v>ノエル</v>
      </c>
      <c r="N591" s="21" t="str">
        <f ca="1">VLOOKUP($L591,OFFSET([2]enemies!$A$1,0,0,COUNTA([2]enemies!$A:$A),MATCH(N$1,[2]enemies!$1:$1,0)-MATCH($L$1,[2]enemies!$1:$1,0)+1),MATCH(N$1,[2]enemies!$1:$1,0)-MATCH($L$1,[2]enemies!$1:$1,0)+1,FALSE)</f>
        <v>blue</v>
      </c>
      <c r="O591" s="21" t="str">
        <f ca="1">VLOOKUP($L591,OFFSET([3]characters!$A$1,0,0,COUNTA([3]characters!$A:$A),MATCH(O$1,[3]characters!$1:$1,0)-MATCH($L$1,[3]characters!$1:$1,0)+1),MATCH(O$1,[3]characters!$1:$1,0)-MATCH($L$1,[3]characters!$1:$1,0)+1,FALSE)</f>
        <v>Drop1S</v>
      </c>
      <c r="P591" s="21" t="str">
        <f ca="1">VLOOKUP($L591,OFFSET([2]enemies!$A$1,0,0,COUNTA([2]enemies!$A:$A),MATCH(P$1,[2]enemies!$1:$1,0)-MATCH($L$1,[2]enemies!$1:$1,0)+1),MATCH(P$1,[2]enemies!$1:$1,0)-MATCH($L$1,[2]enemies!$1:$1,0)+1,FALSE)</f>
        <v>animal</v>
      </c>
      <c r="Q591" s="21">
        <f ca="1">VLOOKUP($L591,OFFSET([2]enemies!$A$1,0,0,COUNTA([2]enemies!$A:$A),MATCH(Q$1,[2]enemies!$1:$1,0)-MATCH($L$1,[2]enemies!$1:$1,0)+1),MATCH(Q$1,[2]enemies!$1:$1,0)-MATCH($L$1,[2]enemies!$1:$1,0)+1,FALSE)</f>
        <v>15</v>
      </c>
      <c r="R591" s="53">
        <v>52</v>
      </c>
      <c r="S591" s="27">
        <v>1</v>
      </c>
      <c r="T591" s="27">
        <v>1</v>
      </c>
      <c r="U591" s="5">
        <v>0</v>
      </c>
      <c r="V591" s="4" t="str">
        <f ca="1">VLOOKUP($W591,OFFSET([4]enemy_skill_sets!$B$1,0,0,COUNTA([4]enemy_skill_sets!$B:$B),MATCH(M$1,[4]enemy_skill_sets!$1:$1,0)-MATCH($W$1,[4]enemy_skill_sets!$1:$1,0)+2),MATCH(M$1,[4]enemy_skill_sets!$1:$1,0)-MATCH($W$1,[4]enemy_skill_sets!$1:$1,0)+2,FALSE)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591" s="64">
        <v>364</v>
      </c>
      <c r="X591" s="6">
        <v>0</v>
      </c>
      <c r="Y591" s="6">
        <v>100</v>
      </c>
      <c r="Z591" s="6">
        <v>0</v>
      </c>
      <c r="AA591" s="4">
        <f ca="1">VLOOKUP($L591,OFFSET([2]enemies!$A$1,0,0,COUNTA([2]enemies!$A:$A),MATCH(AA$1,[2]enemies!$1:$1,0)-MATCH($L$1,[2]enemies!$1:$1,0)+1),MATCH(AA$1,[2]enemies!$1:$1,0)-MATCH($L$1,[2]enemies!$1:$1,0)+1,FALSE)</f>
        <v>3</v>
      </c>
      <c r="AB591" s="52">
        <v>364</v>
      </c>
      <c r="AC591" s="4" t="str">
        <f ca="1">VLOOKUP($AB591,OFFSET([3]characters!$A$1,0,0,COUNTA([3]characters!$A:$A),MATCH(AC$1,[3]characters!$1:$1,0)-MATCH("character_id",[3]characters!$1:$1,0)+1),MATCH(AC$1,[3]characters!$1:$1,0)-MATCH("character_id",[3]characters!$1:$1,0)+1,FALSE)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591" s="4">
        <f ca="1">VLOOKUP($AB591,OFFSET([3]characters!$A$1,0,0,COUNTA([3]characters!$A:$A),MATCH(AD$1,[3]characters!$1:$1,0)-MATCH("character_id",[3]characters!$1:$1,0)+1),MATCH(AD$1,[3]characters!$1:$1,0)-MATCH("character_id",[3]characters!$1:$1,0)+1,FALSE)</f>
        <v>2</v>
      </c>
      <c r="AE591" s="4" t="str">
        <f ca="1">VLOOKUP($AB591,OFFSET([3]characters!$A$1,0,0,COUNTA([3]characters!$A:$A),MATCH(AE$1,[3]characters!$1:$1,0)-MATCH("character_id",[3]characters!$1:$1,0)+1),MATCH(AE$1,[3]characters!$1:$1,0)-MATCH("character_id",[3]characters!$1:$1,0)+1,FALSE)</f>
        <v>Drop1S</v>
      </c>
      <c r="AF591" s="7">
        <v>7</v>
      </c>
      <c r="AG591" s="26">
        <f t="shared" ca="1" si="619"/>
        <v>2</v>
      </c>
      <c r="AH591" s="8">
        <v>20</v>
      </c>
      <c r="AI591" s="7">
        <v>0</v>
      </c>
      <c r="AJ591" s="7">
        <v>0</v>
      </c>
      <c r="AK591" s="7">
        <v>0</v>
      </c>
      <c r="AL591" s="7">
        <v>0</v>
      </c>
      <c r="AM591" s="7">
        <v>1</v>
      </c>
    </row>
    <row r="592" spans="1:39" ht="14" x14ac:dyDescent="0.15">
      <c r="A592" s="18" t="str">
        <f t="shared" ca="1" si="604"/>
        <v>25_4-2/352&lt;lv52&gt;s3</v>
      </c>
      <c r="B592" s="53">
        <v>25</v>
      </c>
      <c r="C592" s="51">
        <v>4</v>
      </c>
      <c r="D592" s="2" t="str">
        <f t="shared" ref="D592" si="629">B592&amp;"_"&amp;C592</f>
        <v>25_4</v>
      </c>
      <c r="E592" s="2" t="str">
        <f t="shared" ref="E592" si="630">C592&amp;"_"&amp;D592</f>
        <v>4_25_4</v>
      </c>
      <c r="F592" s="4" t="str">
        <f ca="1">VLOOKUP($D592,OFFSET([1]stages!$A$1,0,0,COUNTA([1]stages!$A:$A),MATCH(F$1,[1]stages!$2:$2,0)-MATCH($D$1,[1]stages!$2:$2,0)+1),MATCH(F$1,[1]stages!$2:$2,0)-MATCH($D$1,[1]stages!$2:$2,0)+1,FALSE)</f>
        <v>25-4．許されぬ休息</v>
      </c>
      <c r="G592" s="55">
        <v>2</v>
      </c>
      <c r="H592" s="17" t="str">
        <f t="shared" ref="H592" si="631">B592&amp;"_"&amp;C592&amp;"-"&amp;G592</f>
        <v>25_4-2</v>
      </c>
      <c r="I592" s="17"/>
      <c r="J592" s="17"/>
      <c r="K592" s="65" t="s">
        <v>56</v>
      </c>
      <c r="L592" s="52">
        <v>352</v>
      </c>
      <c r="M592" s="21" t="str">
        <f ca="1">VLOOKUP($L592,OFFSET([2]enemies!$A$1,0,0,COUNTA([2]enemies!$A:$A),MATCH(M$1,[2]enemies!$1:$1,0)-MATCH($L$1,[2]enemies!$1:$1,0)+1),MATCH(M$1,[2]enemies!$1:$1,0)-MATCH($L$1,[2]enemies!$1:$1,0)+1,FALSE)</f>
        <v>水のケロケロ</v>
      </c>
      <c r="N592" s="21" t="str">
        <f ca="1">VLOOKUP($L592,OFFSET([2]enemies!$A$1,0,0,COUNTA([2]enemies!$A:$A),MATCH(N$1,[2]enemies!$1:$1,0)-MATCH($L$1,[2]enemies!$1:$1,0)+1),MATCH(N$1,[2]enemies!$1:$1,0)-MATCH($L$1,[2]enemies!$1:$1,0)+1,FALSE)</f>
        <v>blue</v>
      </c>
      <c r="O592" s="21" t="str">
        <f ca="1">VLOOKUP($L592,OFFSET([3]characters!$A$1,0,0,COUNTA([3]characters!$A:$A),MATCH(O$1,[3]characters!$1:$1,0)-MATCH($L$1,[3]characters!$1:$1,0)+1),MATCH(O$1,[3]characters!$1:$1,0)-MATCH($L$1,[3]characters!$1:$1,0)+1,FALSE)</f>
        <v>Material</v>
      </c>
      <c r="P592" s="21" t="str">
        <f ca="1">VLOOKUP($L592,OFFSET([2]enemies!$A$1,0,0,COUNTA([2]enemies!$A:$A),MATCH(P$1,[2]enemies!$1:$1,0)-MATCH($L$1,[2]enemies!$1:$1,0)+1),MATCH(P$1,[2]enemies!$1:$1,0)-MATCH($L$1,[2]enemies!$1:$1,0)+1,FALSE)</f>
        <v>unknown</v>
      </c>
      <c r="Q592" s="21">
        <f ca="1">VLOOKUP($L592,OFFSET([2]enemies!$A$1,0,0,COUNTA([2]enemies!$A:$A),MATCH(Q$1,[2]enemies!$1:$1,0)-MATCH($L$1,[2]enemies!$1:$1,0)+1),MATCH(Q$1,[2]enemies!$1:$1,0)-MATCH($L$1,[2]enemies!$1:$1,0)+1,FALSE)</f>
        <v>15</v>
      </c>
      <c r="R592" s="53">
        <v>52</v>
      </c>
      <c r="S592" s="27">
        <v>1</v>
      </c>
      <c r="T592" s="27">
        <v>1</v>
      </c>
      <c r="U592" s="5">
        <v>0</v>
      </c>
      <c r="V592" s="4" t="str">
        <f ca="1">VLOOKUP($W592,OFFSET([4]enemy_skill_sets!$B$1,0,0,COUNTA([4]enemy_skill_sets!$B:$B),MATCH(M$1,[4]enemy_skill_sets!$1:$1,0)-MATCH($W$1,[4]enemy_skill_sets!$1:$1,0)+2),MATCH(M$1,[4]enemy_skill_sets!$1:$1,0)-MATCH($W$1,[4]enemy_skill_sets!$1:$1,0)+2,FALSE)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592" s="64">
        <v>352</v>
      </c>
      <c r="X592" s="6">
        <v>1</v>
      </c>
      <c r="Y592" s="6">
        <v>100</v>
      </c>
      <c r="Z592" s="6">
        <v>0</v>
      </c>
      <c r="AA592" s="4">
        <f ca="1">VLOOKUP($L592,OFFSET([2]enemies!$A$1,0,0,COUNTA([2]enemies!$A:$A),MATCH(AA$1,[2]enemies!$1:$1,0)-MATCH($L$1,[2]enemies!$1:$1,0)+1),MATCH(AA$1,[2]enemies!$1:$1,0)-MATCH($L$1,[2]enemies!$1:$1,0)+1,FALSE)</f>
        <v>3</v>
      </c>
      <c r="AB592" s="52">
        <v>352</v>
      </c>
      <c r="AC592" s="4" t="str">
        <f ca="1">VLOOKUP($AB592,OFFSET([3]characters!$A$1,0,0,COUNTA([3]characters!$A:$A),MATCH(AC$1,[3]characters!$1:$1,0)-MATCH("character_id",[3]characters!$1:$1,0)+1),MATCH(AC$1,[3]characters!$1:$1,0)-MATCH("character_id",[3]characters!$1:$1,0)+1,FALSE)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592" s="4">
        <f ca="1">VLOOKUP($AB592,OFFSET([3]characters!$A$1,0,0,COUNTA([3]characters!$A:$A),MATCH(AD$1,[3]characters!$1:$1,0)-MATCH("character_id",[3]characters!$1:$1,0)+1),MATCH(AD$1,[3]characters!$1:$1,0)-MATCH("character_id",[3]characters!$1:$1,0)+1,FALSE)</f>
        <v>2</v>
      </c>
      <c r="AE592" s="4" t="str">
        <f ca="1">VLOOKUP($AB592,OFFSET([3]characters!$A$1,0,0,COUNTA([3]characters!$A:$A),MATCH(AE$1,[3]characters!$1:$1,0)-MATCH("character_id",[3]characters!$1:$1,0)+1),MATCH(AE$1,[3]characters!$1:$1,0)-MATCH("character_id",[3]characters!$1:$1,0)+1,FALSE)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592" s="7">
        <v>10</v>
      </c>
      <c r="AG592" s="26">
        <f t="shared" ca="1" si="619"/>
        <v>2</v>
      </c>
      <c r="AH592" s="8">
        <v>100</v>
      </c>
      <c r="AI592" s="7">
        <v>0</v>
      </c>
      <c r="AJ592" s="7">
        <v>0</v>
      </c>
      <c r="AK592" s="7">
        <v>0</v>
      </c>
      <c r="AL592" s="7">
        <v>0</v>
      </c>
      <c r="AM592" s="7">
        <v>1</v>
      </c>
    </row>
    <row r="593" spans="1:39" ht="14" x14ac:dyDescent="0.15">
      <c r="A593" s="18" t="str">
        <f t="shared" ca="1" si="604"/>
        <v>25_4-3/139&lt;lv52&gt;s2</v>
      </c>
      <c r="B593" s="50">
        <v>25</v>
      </c>
      <c r="C593" s="49">
        <v>4</v>
      </c>
      <c r="D593" s="2" t="str">
        <f t="shared" si="611"/>
        <v>25_4</v>
      </c>
      <c r="E593" s="2" t="str">
        <f t="shared" si="611"/>
        <v>4_25_4</v>
      </c>
      <c r="F593" s="4" t="str">
        <f ca="1">VLOOKUP($D593,OFFSET([1]stages!$A$1,0,0,COUNTA([1]stages!$A:$A),MATCH(F$1,[1]stages!$2:$2,0)-MATCH($D$1,[1]stages!$2:$2,0)+1),MATCH(F$1,[1]stages!$2:$2,0)-MATCH($D$1,[1]stages!$2:$2,0)+1,FALSE)</f>
        <v>25-4．許されぬ休息</v>
      </c>
      <c r="G593" s="56">
        <v>3</v>
      </c>
      <c r="H593" s="17" t="str">
        <f t="shared" si="612"/>
        <v>25_4-3</v>
      </c>
      <c r="I593" s="17"/>
      <c r="J593" s="17"/>
      <c r="K593" s="65" t="s">
        <v>56</v>
      </c>
      <c r="L593" s="52">
        <v>139</v>
      </c>
      <c r="M593" s="21" t="str">
        <f ca="1">VLOOKUP($L593,OFFSET([2]enemies!$A$1,0,0,COUNTA([2]enemies!$A:$A),MATCH(M$1,[2]enemies!$1:$1,0)-MATCH($L$1,[2]enemies!$1:$1,0)+1),MATCH(M$1,[2]enemies!$1:$1,0)-MATCH($L$1,[2]enemies!$1:$1,0)+1,FALSE)</f>
        <v>蒼昇刃姫 トモエ</v>
      </c>
      <c r="N593" s="21" t="str">
        <f ca="1">VLOOKUP($L593,OFFSET([2]enemies!$A$1,0,0,COUNTA([2]enemies!$A:$A),MATCH(N$1,[2]enemies!$1:$1,0)-MATCH($L$1,[2]enemies!$1:$1,0)+1),MATCH(N$1,[2]enemies!$1:$1,0)-MATCH($L$1,[2]enemies!$1:$1,0)+1,FALSE)</f>
        <v>blue</v>
      </c>
      <c r="O593" s="21" t="str">
        <f ca="1">VLOOKUP($L593,OFFSET([3]characters!$A$1,0,0,COUNTA([3]characters!$A:$A),MATCH(O$1,[3]characters!$1:$1,0)-MATCH($L$1,[3]characters!$1:$1,0)+1),MATCH(O$1,[3]characters!$1:$1,0)-MATCH($L$1,[3]characters!$1:$1,0)+1,FALSE)</f>
        <v>PremiumW</v>
      </c>
      <c r="P593" s="21" t="str">
        <f ca="1">VLOOKUP($L593,OFFSET([2]enemies!$A$1,0,0,COUNTA([2]enemies!$A:$A),MATCH(P$1,[2]enemies!$1:$1,0)-MATCH($L$1,[2]enemies!$1:$1,0)+1),MATCH(P$1,[2]enemies!$1:$1,0)-MATCH($L$1,[2]enemies!$1:$1,0)+1,FALSE)</f>
        <v>human</v>
      </c>
      <c r="Q593" s="21">
        <f ca="1">VLOOKUP($L593,OFFSET([2]enemies!$A$1,0,0,COUNTA([2]enemies!$A:$A),MATCH(Q$1,[2]enemies!$1:$1,0)-MATCH($L$1,[2]enemies!$1:$1,0)+1),MATCH(Q$1,[2]enemies!$1:$1,0)-MATCH($L$1,[2]enemies!$1:$1,0)+1,FALSE)</f>
        <v>30</v>
      </c>
      <c r="R593" s="53">
        <v>52</v>
      </c>
      <c r="S593" s="27">
        <v>1.7</v>
      </c>
      <c r="T593" s="27">
        <v>1.7</v>
      </c>
      <c r="U593" s="5">
        <v>0</v>
      </c>
      <c r="V593" s="4" t="str">
        <f ca="1">VLOOKUP($W593,OFFSET([4]enemy_skill_sets!$B$1,0,0,COUNTA([4]enemy_skill_sets!$B:$B),MATCH(M$1,[4]enemy_skill_sets!$1:$1,0)-MATCH($W$1,[4]enemy_skill_sets!$1:$1,0)+2),MATCH(M$1,[4]enemy_skill_sets!$1:$1,0)-MATCH($W$1,[4]enemy_skill_sets!$1:$1,0)+2,FALSE)</f>
        <v>攻撃力×1.5倍の攻撃</v>
      </c>
      <c r="W593" s="4">
        <f ca="1">VLOOKUP($L593,OFFSET([2]enemies!$A$1,0,0,COUNTA([2]enemies!$A:$A),MATCH(W$1,[2]enemies!$1:$1,0)-MATCH($L$1,[2]enemies!$1:$1,0)+1),MATCH(W$1,[2]enemies!$1:$1,0)-MATCH($L$1,[2]enemies!$1:$1,0)+1,FALSE)</f>
        <v>139</v>
      </c>
      <c r="X593" s="6">
        <v>1</v>
      </c>
      <c r="Y593" s="6">
        <v>100</v>
      </c>
      <c r="Z593" s="6">
        <v>0</v>
      </c>
      <c r="AA593" s="4">
        <f ca="1">VLOOKUP($L593,OFFSET([2]enemies!$A$1,0,0,COUNTA([2]enemies!$A:$A),MATCH(AA$1,[2]enemies!$1:$1,0)-MATCH($L$1,[2]enemies!$1:$1,0)+1),MATCH(AA$1,[2]enemies!$1:$1,0)-MATCH($L$1,[2]enemies!$1:$1,0)+1,FALSE)</f>
        <v>2</v>
      </c>
      <c r="AB593" s="52">
        <v>138</v>
      </c>
      <c r="AC593" s="4" t="str">
        <f ca="1">VLOOKUP($AB593,OFFSET([3]characters!$A$1,0,0,COUNTA([3]characters!$A:$A),MATCH(AC$1,[3]characters!$1:$1,0)-MATCH("character_id",[3]characters!$1:$1,0)+1),MATCH(AC$1,[3]characters!$1:$1,0)-MATCH("character_id",[3]characters!$1:$1,0)+1,FALSE)</f>
        <v>蒼薙のトモエ</v>
      </c>
      <c r="AD593" s="4">
        <f ca="1">VLOOKUP($AB593,OFFSET([3]characters!$A$1,0,0,COUNTA([3]characters!$A:$A),MATCH(AD$1,[3]characters!$1:$1,0)-MATCH("character_id",[3]characters!$1:$1,0)+1),MATCH(AD$1,[3]characters!$1:$1,0)-MATCH("character_id",[3]characters!$1:$1,0)+1,FALSE)</f>
        <v>3</v>
      </c>
      <c r="AE593" s="4" t="str">
        <f ca="1">VLOOKUP($AB593,OFFSET([3]characters!$A$1,0,0,COUNTA([3]characters!$A:$A),MATCH(AE$1,[3]characters!$1:$1,0)-MATCH("character_id",[3]characters!$1:$1,0)+1),MATCH(AE$1,[3]characters!$1:$1,0)-MATCH("character_id",[3]characters!$1:$1,0)+1,FALSE)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593" s="7">
        <v>1</v>
      </c>
      <c r="AG593" s="26">
        <f t="shared" ca="1" si="619"/>
        <v>3</v>
      </c>
      <c r="AH593" s="8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1</v>
      </c>
    </row>
    <row r="594" spans="1:39" ht="14" x14ac:dyDescent="0.15">
      <c r="A594" s="18" t="str">
        <f t="shared" ca="1" si="604"/>
        <v>25_4-4/37&lt;lv52&gt;s3</v>
      </c>
      <c r="B594" s="50">
        <v>25</v>
      </c>
      <c r="C594" s="49">
        <v>4</v>
      </c>
      <c r="D594" s="2" t="str">
        <f t="shared" ref="D594:E623" si="632">B594&amp;"_"&amp;C594</f>
        <v>25_4</v>
      </c>
      <c r="E594" s="2" t="str">
        <f t="shared" si="632"/>
        <v>4_25_4</v>
      </c>
      <c r="F594" s="4" t="str">
        <f ca="1">VLOOKUP($D594,OFFSET([1]stages!$A$1,0,0,COUNTA([1]stages!$A:$A),MATCH(F$1,[1]stages!$2:$2,0)-MATCH($D$1,[1]stages!$2:$2,0)+1),MATCH(F$1,[1]stages!$2:$2,0)-MATCH($D$1,[1]stages!$2:$2,0)+1,FALSE)</f>
        <v>25-4．許されぬ休息</v>
      </c>
      <c r="G594" s="57">
        <v>4</v>
      </c>
      <c r="H594" s="17" t="str">
        <f t="shared" ref="H594:H623" si="633">B594&amp;"_"&amp;C594&amp;"-"&amp;G594</f>
        <v>25_4-4</v>
      </c>
      <c r="I594" s="17"/>
      <c r="J594" s="17"/>
      <c r="K594" s="65" t="s">
        <v>56</v>
      </c>
      <c r="L594" s="52">
        <v>37</v>
      </c>
      <c r="M594" s="21" t="str">
        <f ca="1">VLOOKUP($L594,OFFSET([2]enemies!$A$1,0,0,COUNTA([2]enemies!$A:$A),MATCH(M$1,[2]enemies!$1:$1,0)-MATCH($L$1,[2]enemies!$1:$1,0)+1),MATCH(M$1,[2]enemies!$1:$1,0)-MATCH($L$1,[2]enemies!$1:$1,0)+1,FALSE)</f>
        <v>ガイル</v>
      </c>
      <c r="N594" s="21" t="str">
        <f ca="1">VLOOKUP($L594,OFFSET([2]enemies!$A$1,0,0,COUNTA([2]enemies!$A:$A),MATCH(N$1,[2]enemies!$1:$1,0)-MATCH($L$1,[2]enemies!$1:$1,0)+1),MATCH(N$1,[2]enemies!$1:$1,0)-MATCH($L$1,[2]enemies!$1:$1,0)+1,FALSE)</f>
        <v>blue</v>
      </c>
      <c r="O594" s="21" t="str">
        <f ca="1">VLOOKUP($L594,OFFSET([3]characters!$A$1,0,0,COUNTA([3]characters!$A:$A),MATCH(O$1,[3]characters!$1:$1,0)-MATCH($L$1,[3]characters!$1:$1,0)+1),MATCH(O$1,[3]characters!$1:$1,0)-MATCH($L$1,[3]characters!$1:$1,0)+1,FALSE)</f>
        <v>Drop1S</v>
      </c>
      <c r="P594" s="21" t="str">
        <f ca="1">VLOOKUP($L594,OFFSET([2]enemies!$A$1,0,0,COUNTA([2]enemies!$A:$A),MATCH(P$1,[2]enemies!$1:$1,0)-MATCH($L$1,[2]enemies!$1:$1,0)+1),MATCH(P$1,[2]enemies!$1:$1,0)-MATCH($L$1,[2]enemies!$1:$1,0)+1,FALSE)</f>
        <v>animal</v>
      </c>
      <c r="Q594" s="21">
        <f ca="1">VLOOKUP($L594,OFFSET([2]enemies!$A$1,0,0,COUNTA([2]enemies!$A:$A),MATCH(Q$1,[2]enemies!$1:$1,0)-MATCH($L$1,[2]enemies!$1:$1,0)+1),MATCH(Q$1,[2]enemies!$1:$1,0)-MATCH($L$1,[2]enemies!$1:$1,0)+1,FALSE)</f>
        <v>15</v>
      </c>
      <c r="R594" s="53">
        <v>52</v>
      </c>
      <c r="S594" s="27">
        <v>1.1000000000000001</v>
      </c>
      <c r="T594" s="27">
        <v>1</v>
      </c>
      <c r="U594" s="5">
        <v>0</v>
      </c>
      <c r="V594" s="4" t="str">
        <f ca="1">VLOOKUP($W594,OFFSET([4]enemy_skill_sets!$B$1,0,0,COUNTA([4]enemy_skill_sets!$B:$B),MATCH(M$1,[4]enemy_skill_sets!$1:$1,0)-MATCH($W$1,[4]enemy_skill_sets!$1:$1,0)+2),MATCH(M$1,[4]enemy_skill_sets!$1:$1,0)-MATCH($W$1,[4]enemy_skill_sets!$1:$1,0)+2,FALSE)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594" s="4">
        <f ca="1">VLOOKUP($L594,OFFSET([2]enemies!$A$1,0,0,COUNTA([2]enemies!$A:$A),MATCH(W$1,[2]enemies!$1:$1,0)-MATCH($L$1,[2]enemies!$1:$1,0)+1),MATCH(W$1,[2]enemies!$1:$1,0)-MATCH($L$1,[2]enemies!$1:$1,0)+1,FALSE)</f>
        <v>37</v>
      </c>
      <c r="X594" s="6">
        <v>0</v>
      </c>
      <c r="Y594" s="6">
        <v>100</v>
      </c>
      <c r="Z594" s="6">
        <v>0</v>
      </c>
      <c r="AA594" s="4">
        <f ca="1">VLOOKUP($L594,OFFSET([2]enemies!$A$1,0,0,COUNTA([2]enemies!$A:$A),MATCH(AA$1,[2]enemies!$1:$1,0)-MATCH($L$1,[2]enemies!$1:$1,0)+1),MATCH(AA$1,[2]enemies!$1:$1,0)-MATCH($L$1,[2]enemies!$1:$1,0)+1,FALSE)</f>
        <v>3</v>
      </c>
      <c r="AB594" s="52">
        <v>37</v>
      </c>
      <c r="AC594" s="4" t="str">
        <f ca="1">VLOOKUP($AB594,OFFSET([3]characters!$A$1,0,0,COUNTA([3]characters!$A:$A),MATCH(AC$1,[3]characters!$1:$1,0)-MATCH("character_id",[3]characters!$1:$1,0)+1),MATCH(AC$1,[3]characters!$1:$1,0)-MATCH("character_id",[3]characters!$1:$1,0)+1,FALSE)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594" s="4">
        <f ca="1">VLOOKUP($AB594,OFFSET([3]characters!$A$1,0,0,COUNTA([3]characters!$A:$A),MATCH(AD$1,[3]characters!$1:$1,0)-MATCH("character_id",[3]characters!$1:$1,0)+1),MATCH(AD$1,[3]characters!$1:$1,0)-MATCH("character_id",[3]characters!$1:$1,0)+1,FALSE)</f>
        <v>2</v>
      </c>
      <c r="AE594" s="4" t="str">
        <f ca="1">VLOOKUP($AB594,OFFSET([3]characters!$A$1,0,0,COUNTA([3]characters!$A:$A),MATCH(AE$1,[3]characters!$1:$1,0)-MATCH("character_id",[3]characters!$1:$1,0)+1),MATCH(AE$1,[3]characters!$1:$1,0)-MATCH("character_id",[3]characters!$1:$1,0)+1,FALSE)</f>
        <v>Drop1S</v>
      </c>
      <c r="AF594" s="7">
        <v>5</v>
      </c>
      <c r="AG594" s="26">
        <f t="shared" ca="1" si="619"/>
        <v>2</v>
      </c>
      <c r="AH594" s="8">
        <v>20</v>
      </c>
      <c r="AI594" s="7">
        <v>0</v>
      </c>
      <c r="AJ594" s="7">
        <v>0</v>
      </c>
      <c r="AK594" s="7">
        <v>0</v>
      </c>
      <c r="AL594" s="7">
        <v>0</v>
      </c>
      <c r="AM594" s="7">
        <v>1</v>
      </c>
    </row>
    <row r="595" spans="1:39" ht="14" x14ac:dyDescent="0.15">
      <c r="A595" s="18" t="str">
        <f t="shared" ca="1" si="604"/>
        <v>25_4-4/45&lt;lv52&gt;s3</v>
      </c>
      <c r="B595" s="50">
        <v>25</v>
      </c>
      <c r="C595" s="49">
        <v>4</v>
      </c>
      <c r="D595" s="2" t="str">
        <f t="shared" si="632"/>
        <v>25_4</v>
      </c>
      <c r="E595" s="2" t="str">
        <f t="shared" si="632"/>
        <v>4_25_4</v>
      </c>
      <c r="F595" s="4" t="str">
        <f ca="1">VLOOKUP($D595,OFFSET([1]stages!$A$1,0,0,COUNTA([1]stages!$A:$A),MATCH(F$1,[1]stages!$2:$2,0)-MATCH($D$1,[1]stages!$2:$2,0)+1),MATCH(F$1,[1]stages!$2:$2,0)-MATCH($D$1,[1]stages!$2:$2,0)+1,FALSE)</f>
        <v>25-4．許されぬ休息</v>
      </c>
      <c r="G595" s="57">
        <v>4</v>
      </c>
      <c r="H595" s="17" t="str">
        <f t="shared" si="633"/>
        <v>25_4-4</v>
      </c>
      <c r="I595" s="17"/>
      <c r="J595" s="17"/>
      <c r="K595" s="65" t="s">
        <v>56</v>
      </c>
      <c r="L595" s="52">
        <v>45</v>
      </c>
      <c r="M595" s="21" t="str">
        <f ca="1">VLOOKUP($L595,OFFSET([2]enemies!$A$1,0,0,COUNTA([2]enemies!$A:$A),MATCH(M$1,[2]enemies!$1:$1,0)-MATCH($L$1,[2]enemies!$1:$1,0)+1),MATCH(M$1,[2]enemies!$1:$1,0)-MATCH($L$1,[2]enemies!$1:$1,0)+1,FALSE)</f>
        <v>ショウイン</v>
      </c>
      <c r="N595" s="21" t="str">
        <f ca="1">VLOOKUP($L595,OFFSET([2]enemies!$A$1,0,0,COUNTA([2]enemies!$A:$A),MATCH(N$1,[2]enemies!$1:$1,0)-MATCH($L$1,[2]enemies!$1:$1,0)+1),MATCH(N$1,[2]enemies!$1:$1,0)-MATCH($L$1,[2]enemies!$1:$1,0)+1,FALSE)</f>
        <v>blue</v>
      </c>
      <c r="O595" s="21" t="str">
        <f ca="1">VLOOKUP($L595,OFFSET([3]characters!$A$1,0,0,COUNTA([3]characters!$A:$A),MATCH(O$1,[3]characters!$1:$1,0)-MATCH($L$1,[3]characters!$1:$1,0)+1),MATCH(O$1,[3]characters!$1:$1,0)-MATCH($L$1,[3]characters!$1:$1,0)+1,FALSE)</f>
        <v>Drop1N</v>
      </c>
      <c r="P595" s="21" t="str">
        <f ca="1">VLOOKUP($L595,OFFSET([2]enemies!$A$1,0,0,COUNTA([2]enemies!$A:$A),MATCH(P$1,[2]enemies!$1:$1,0)-MATCH($L$1,[2]enemies!$1:$1,0)+1),MATCH(P$1,[2]enemies!$1:$1,0)-MATCH($L$1,[2]enemies!$1:$1,0)+1,FALSE)</f>
        <v>animal</v>
      </c>
      <c r="Q595" s="21">
        <f ca="1">VLOOKUP($L595,OFFSET([2]enemies!$A$1,0,0,COUNTA([2]enemies!$A:$A),MATCH(Q$1,[2]enemies!$1:$1,0)-MATCH($L$1,[2]enemies!$1:$1,0)+1),MATCH(Q$1,[2]enemies!$1:$1,0)-MATCH($L$1,[2]enemies!$1:$1,0)+1,FALSE)</f>
        <v>15</v>
      </c>
      <c r="R595" s="53">
        <v>52</v>
      </c>
      <c r="S595" s="27">
        <v>1.1000000000000001</v>
      </c>
      <c r="T595" s="27">
        <v>1</v>
      </c>
      <c r="U595" s="5">
        <v>0</v>
      </c>
      <c r="V595" s="4" t="str">
        <f ca="1">VLOOKUP($W595,OFFSET([4]enemy_skill_sets!$B$1,0,0,COUNTA([4]enemy_skill_sets!$B:$B),MATCH(M$1,[4]enemy_skill_sets!$1:$1,0)-MATCH($W$1,[4]enemy_skill_sets!$1:$1,0)+2),MATCH(M$1,[4]enemy_skill_sets!$1:$1,0)-MATCH($W$1,[4]enemy_skill_sets!$1:$1,0)+2,FALSE)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95" s="4">
        <f ca="1">VLOOKUP($L595,OFFSET([2]enemies!$A$1,0,0,COUNTA([2]enemies!$A:$A),MATCH(W$1,[2]enemies!$1:$1,0)-MATCH($L$1,[2]enemies!$1:$1,0)+1),MATCH(W$1,[2]enemies!$1:$1,0)-MATCH($L$1,[2]enemies!$1:$1,0)+1,FALSE)</f>
        <v>0</v>
      </c>
      <c r="X595" s="6">
        <v>0</v>
      </c>
      <c r="Y595" s="6">
        <v>100</v>
      </c>
      <c r="Z595" s="6">
        <v>0</v>
      </c>
      <c r="AA595" s="4">
        <f ca="1">VLOOKUP($L595,OFFSET([2]enemies!$A$1,0,0,COUNTA([2]enemies!$A:$A),MATCH(AA$1,[2]enemies!$1:$1,0)-MATCH($L$1,[2]enemies!$1:$1,0)+1),MATCH(AA$1,[2]enemies!$1:$1,0)-MATCH($L$1,[2]enemies!$1:$1,0)+1,FALSE)</f>
        <v>3</v>
      </c>
      <c r="AB595" s="52">
        <v>45</v>
      </c>
      <c r="AC595" s="4" t="str">
        <f ca="1">VLOOKUP($AB595,OFFSET([3]characters!$A$1,0,0,COUNTA([3]characters!$A:$A),MATCH(AC$1,[3]characters!$1:$1,0)-MATCH("character_id",[3]characters!$1:$1,0)+1),MATCH(AC$1,[3]characters!$1:$1,0)-MATCH("character_id",[3]characters!$1:$1,0)+1,FALSE)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595" s="4">
        <f ca="1">VLOOKUP($AB595,OFFSET([3]characters!$A$1,0,0,COUNTA([3]characters!$A:$A),MATCH(AD$1,[3]characters!$1:$1,0)-MATCH("character_id",[3]characters!$1:$1,0)+1),MATCH(AD$1,[3]characters!$1:$1,0)-MATCH("character_id",[3]characters!$1:$1,0)+1,FALSE)</f>
        <v>2</v>
      </c>
      <c r="AE595" s="4" t="str">
        <f ca="1">VLOOKUP($AB595,OFFSET([3]characters!$A$1,0,0,COUNTA([3]characters!$A:$A),MATCH(AE$1,[3]characters!$1:$1,0)-MATCH("character_id",[3]characters!$1:$1,0)+1),MATCH(AE$1,[3]characters!$1:$1,0)-MATCH("character_id",[3]characters!$1:$1,0)+1,FALSE)</f>
        <v>Drop1N</v>
      </c>
      <c r="AF595" s="7">
        <v>7</v>
      </c>
      <c r="AG595" s="26">
        <f t="shared" ca="1" si="619"/>
        <v>2</v>
      </c>
      <c r="AH595" s="8">
        <v>20</v>
      </c>
      <c r="AI595" s="7">
        <v>0</v>
      </c>
      <c r="AJ595" s="7">
        <v>0</v>
      </c>
      <c r="AK595" s="7">
        <v>0</v>
      </c>
      <c r="AL595" s="7">
        <v>0</v>
      </c>
      <c r="AM595" s="7">
        <v>1</v>
      </c>
    </row>
    <row r="596" spans="1:39" ht="14" x14ac:dyDescent="0.15">
      <c r="A596" s="18" t="str">
        <f t="shared" ca="1" si="604"/>
        <v>25_4-4/47&lt;lv52&gt;s1</v>
      </c>
      <c r="B596" s="50">
        <v>25</v>
      </c>
      <c r="C596" s="49">
        <v>4</v>
      </c>
      <c r="D596" s="2" t="str">
        <f t="shared" si="632"/>
        <v>25_4</v>
      </c>
      <c r="E596" s="2" t="str">
        <f t="shared" si="632"/>
        <v>4_25_4</v>
      </c>
      <c r="F596" s="4" t="str">
        <f ca="1">VLOOKUP($D596,OFFSET([1]stages!$A$1,0,0,COUNTA([1]stages!$A:$A),MATCH(F$1,[1]stages!$2:$2,0)-MATCH($D$1,[1]stages!$2:$2,0)+1),MATCH(F$1,[1]stages!$2:$2,0)-MATCH($D$1,[1]stages!$2:$2,0)+1,FALSE)</f>
        <v>25-4．許されぬ休息</v>
      </c>
      <c r="G596" s="57">
        <v>4</v>
      </c>
      <c r="H596" s="17" t="str">
        <f t="shared" si="633"/>
        <v>25_4-4</v>
      </c>
      <c r="I596" s="17"/>
      <c r="J596" s="17"/>
      <c r="K596" s="65" t="s">
        <v>56</v>
      </c>
      <c r="L596" s="52">
        <v>47</v>
      </c>
      <c r="M596" s="21" t="str">
        <f ca="1">VLOOKUP($L596,OFFSET([2]enemies!$A$1,0,0,COUNTA([2]enemies!$A:$A),MATCH(M$1,[2]enemies!$1:$1,0)-MATCH($L$1,[2]enemies!$1:$1,0)+1),MATCH(M$1,[2]enemies!$1:$1,0)-MATCH($L$1,[2]enemies!$1:$1,0)+1,FALSE)</f>
        <v>ヒロ</v>
      </c>
      <c r="N596" s="21" t="str">
        <f ca="1">VLOOKUP($L596,OFFSET([2]enemies!$A$1,0,0,COUNTA([2]enemies!$A:$A),MATCH(N$1,[2]enemies!$1:$1,0)-MATCH($L$1,[2]enemies!$1:$1,0)+1),MATCH(N$1,[2]enemies!$1:$1,0)-MATCH($L$1,[2]enemies!$1:$1,0)+1,FALSE)</f>
        <v>yellow</v>
      </c>
      <c r="O596" s="21" t="str">
        <f ca="1">VLOOKUP($L596,OFFSET([3]characters!$A$1,0,0,COUNTA([3]characters!$A:$A),MATCH(O$1,[3]characters!$1:$1,0)-MATCH($L$1,[3]characters!$1:$1,0)+1),MATCH(O$1,[3]characters!$1:$1,0)-MATCH($L$1,[3]characters!$1:$1,0)+1,FALSE)</f>
        <v>Drop1N</v>
      </c>
      <c r="P596" s="21" t="str">
        <f ca="1">VLOOKUP($L596,OFFSET([2]enemies!$A$1,0,0,COUNTA([2]enemies!$A:$A),MATCH(P$1,[2]enemies!$1:$1,0)-MATCH($L$1,[2]enemies!$1:$1,0)+1),MATCH(P$1,[2]enemies!$1:$1,0)-MATCH($L$1,[2]enemies!$1:$1,0)+1,FALSE)</f>
        <v>animal</v>
      </c>
      <c r="Q596" s="21">
        <f ca="1">VLOOKUP($L596,OFFSET([2]enemies!$A$1,0,0,COUNTA([2]enemies!$A:$A),MATCH(Q$1,[2]enemies!$1:$1,0)-MATCH($L$1,[2]enemies!$1:$1,0)+1),MATCH(Q$1,[2]enemies!$1:$1,0)-MATCH($L$1,[2]enemies!$1:$1,0)+1,FALSE)</f>
        <v>15</v>
      </c>
      <c r="R596" s="53">
        <v>52</v>
      </c>
      <c r="S596" s="27">
        <v>1.1000000000000001</v>
      </c>
      <c r="T596" s="27">
        <v>1</v>
      </c>
      <c r="U596" s="5">
        <v>0</v>
      </c>
      <c r="V596" s="4" t="str">
        <f ca="1">VLOOKUP($W596,OFFSET([4]enemy_skill_sets!$B$1,0,0,COUNTA([4]enemy_skill_sets!$B:$B),MATCH(M$1,[4]enemy_skill_sets!$1:$1,0)-MATCH($W$1,[4]enemy_skill_sets!$1:$1,0)+2),MATCH(M$1,[4]enemy_skill_sets!$1:$1,0)-MATCH($W$1,[4]enemy_skill_sets!$1:$1,0)+2,FALSE)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596" s="4">
        <f ca="1">VLOOKUP($L596,OFFSET([2]enemies!$A$1,0,0,COUNTA([2]enemies!$A:$A),MATCH(W$1,[2]enemies!$1:$1,0)-MATCH($L$1,[2]enemies!$1:$1,0)+1),MATCH(W$1,[2]enemies!$1:$1,0)-MATCH($L$1,[2]enemies!$1:$1,0)+1,FALSE)</f>
        <v>0</v>
      </c>
      <c r="X596" s="6">
        <v>0</v>
      </c>
      <c r="Y596" s="6">
        <v>100</v>
      </c>
      <c r="Z596" s="6">
        <v>0</v>
      </c>
      <c r="AA596" s="4">
        <f ca="1">VLOOKUP($L596,OFFSET([2]enemies!$A$1,0,0,COUNTA([2]enemies!$A:$A),MATCH(AA$1,[2]enemies!$1:$1,0)-MATCH($L$1,[2]enemies!$1:$1,0)+1),MATCH(AA$1,[2]enemies!$1:$1,0)-MATCH($L$1,[2]enemies!$1:$1,0)+1,FALSE)</f>
        <v>1</v>
      </c>
      <c r="AB596" s="52">
        <v>47</v>
      </c>
      <c r="AC596" s="4" t="str">
        <f ca="1">VLOOKUP($AB596,OFFSET([3]characters!$A$1,0,0,COUNTA([3]characters!$A:$A),MATCH(AC$1,[3]characters!$1:$1,0)-MATCH("character_id",[3]characters!$1:$1,0)+1),MATCH(AC$1,[3]characters!$1:$1,0)-MATCH("character_id",[3]characters!$1:$1,0)+1,FALSE)</f>
        <v>ヒロ</v>
      </c>
      <c r="AD596" s="4">
        <f ca="1">VLOOKUP($AB596,OFFSET([3]characters!$A$1,0,0,COUNTA([3]characters!$A:$A),MATCH(AD$1,[3]characters!$1:$1,0)-MATCH("character_id",[3]characters!$1:$1,0)+1),MATCH(AD$1,[3]characters!$1:$1,0)-MATCH("character_id",[3]characters!$1:$1,0)+1,FALSE)</f>
        <v>2</v>
      </c>
      <c r="AE596" s="4" t="str">
        <f ca="1">VLOOKUP($AB596,OFFSET([3]characters!$A$1,0,0,COUNTA([3]characters!$A:$A),MATCH(AE$1,[3]characters!$1:$1,0)-MATCH("character_id",[3]characters!$1:$1,0)+1),MATCH(AE$1,[3]characters!$1:$1,0)-MATCH("character_id",[3]characters!$1:$1,0)+1,FALSE)</f>
        <v>Drop1N</v>
      </c>
      <c r="AF596" s="7">
        <v>7</v>
      </c>
      <c r="AG596" s="26">
        <f t="shared" ca="1" si="619"/>
        <v>2</v>
      </c>
      <c r="AH596" s="8">
        <v>20</v>
      </c>
      <c r="AI596" s="7">
        <v>0</v>
      </c>
      <c r="AJ596" s="7">
        <v>0</v>
      </c>
      <c r="AK596" s="7">
        <v>0</v>
      </c>
      <c r="AL596" s="7">
        <v>0</v>
      </c>
      <c r="AM596" s="7">
        <v>1</v>
      </c>
    </row>
    <row r="597" spans="1:39" ht="14" x14ac:dyDescent="0.15">
      <c r="A597" s="18" t="str">
        <f t="shared" ca="1" si="604"/>
        <v>25_4-4/61&lt;lv52&gt;s2</v>
      </c>
      <c r="B597" s="50">
        <v>25</v>
      </c>
      <c r="C597" s="49">
        <v>4</v>
      </c>
      <c r="D597" s="2" t="str">
        <f t="shared" si="632"/>
        <v>25_4</v>
      </c>
      <c r="E597" s="2" t="str">
        <f t="shared" si="632"/>
        <v>4_25_4</v>
      </c>
      <c r="F597" s="4" t="str">
        <f ca="1">VLOOKUP($D597,OFFSET([1]stages!$A$1,0,0,COUNTA([1]stages!$A:$A),MATCH(F$1,[1]stages!$2:$2,0)-MATCH($D$1,[1]stages!$2:$2,0)+1),MATCH(F$1,[1]stages!$2:$2,0)-MATCH($D$1,[1]stages!$2:$2,0)+1,FALSE)</f>
        <v>25-4．許されぬ休息</v>
      </c>
      <c r="G597" s="57">
        <v>4</v>
      </c>
      <c r="H597" s="17" t="str">
        <f t="shared" si="633"/>
        <v>25_4-4</v>
      </c>
      <c r="I597" s="17"/>
      <c r="J597" s="17"/>
      <c r="K597" s="65" t="s">
        <v>56</v>
      </c>
      <c r="L597" s="52">
        <v>61</v>
      </c>
      <c r="M597" s="21" t="str">
        <f ca="1">VLOOKUP($L597,OFFSET([2]enemies!$A$1,0,0,COUNTA([2]enemies!$A:$A),MATCH(M$1,[2]enemies!$1:$1,0)-MATCH($L$1,[2]enemies!$1:$1,0)+1),MATCH(M$1,[2]enemies!$1:$1,0)-MATCH($L$1,[2]enemies!$1:$1,0)+1,FALSE)</f>
        <v>クロウ</v>
      </c>
      <c r="N597" s="21" t="str">
        <f ca="1">VLOOKUP($L597,OFFSET([2]enemies!$A$1,0,0,COUNTA([2]enemies!$A:$A),MATCH(N$1,[2]enemies!$1:$1,0)-MATCH($L$1,[2]enemies!$1:$1,0)+1),MATCH(N$1,[2]enemies!$1:$1,0)-MATCH($L$1,[2]enemies!$1:$1,0)+1,FALSE)</f>
        <v>blue</v>
      </c>
      <c r="O597" s="21" t="str">
        <f ca="1">VLOOKUP($L597,OFFSET([3]characters!$A$1,0,0,COUNTA([3]characters!$A:$A),MATCH(O$1,[3]characters!$1:$1,0)-MATCH($L$1,[3]characters!$1:$1,0)+1),MATCH(O$1,[3]characters!$1:$1,0)-MATCH($L$1,[3]characters!$1:$1,0)+1,FALSE)</f>
        <v>Drop1N</v>
      </c>
      <c r="P597" s="21" t="str">
        <f ca="1">VLOOKUP($L597,OFFSET([2]enemies!$A$1,0,0,COUNTA([2]enemies!$A:$A),MATCH(P$1,[2]enemies!$1:$1,0)-MATCH($L$1,[2]enemies!$1:$1,0)+1),MATCH(P$1,[2]enemies!$1:$1,0)-MATCH($L$1,[2]enemies!$1:$1,0)+1,FALSE)</f>
        <v>animal</v>
      </c>
      <c r="Q597" s="21">
        <f ca="1">VLOOKUP($L597,OFFSET([2]enemies!$A$1,0,0,COUNTA([2]enemies!$A:$A),MATCH(Q$1,[2]enemies!$1:$1,0)-MATCH($L$1,[2]enemies!$1:$1,0)+1),MATCH(Q$1,[2]enemies!$1:$1,0)-MATCH($L$1,[2]enemies!$1:$1,0)+1,FALSE)</f>
        <v>15</v>
      </c>
      <c r="R597" s="53">
        <v>52</v>
      </c>
      <c r="S597" s="27">
        <v>1.1000000000000001</v>
      </c>
      <c r="T597" s="27">
        <v>1</v>
      </c>
      <c r="U597" s="5">
        <v>0</v>
      </c>
      <c r="V597" s="4" t="str">
        <f ca="1">VLOOKUP($W597,OFFSET([4]enemy_skill_sets!$B$1,0,0,COUNTA([4]enemy_skill_sets!$B:$B),MATCH(M$1,[4]enemy_skill_sets!$1:$1,0)-MATCH($W$1,[4]enemy_skill_sets!$1:$1,0)+2),MATCH(M$1,[4]enemy_skill_sets!$1:$1,0)-MATCH($W$1,[4]enemy_skill_sets!$1:$1,0)+2,FALSE)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597" s="4">
        <f ca="1">VLOOKUP($L597,OFFSET([2]enemies!$A$1,0,0,COUNTA([2]enemies!$A:$A),MATCH(W$1,[2]enemies!$1:$1,0)-MATCH($L$1,[2]enemies!$1:$1,0)+1),MATCH(W$1,[2]enemies!$1:$1,0)-MATCH($L$1,[2]enemies!$1:$1,0)+1,FALSE)</f>
        <v>61</v>
      </c>
      <c r="X597" s="6">
        <v>0</v>
      </c>
      <c r="Y597" s="6">
        <v>100</v>
      </c>
      <c r="Z597" s="6">
        <v>0</v>
      </c>
      <c r="AA597" s="4">
        <f ca="1">VLOOKUP($L597,OFFSET([2]enemies!$A$1,0,0,COUNTA([2]enemies!$A:$A),MATCH(AA$1,[2]enemies!$1:$1,0)-MATCH($L$1,[2]enemies!$1:$1,0)+1),MATCH(AA$1,[2]enemies!$1:$1,0)-MATCH($L$1,[2]enemies!$1:$1,0)+1,FALSE)</f>
        <v>2</v>
      </c>
      <c r="AB597" s="52">
        <v>61</v>
      </c>
      <c r="AC597" s="4" t="str">
        <f ca="1">VLOOKUP($AB597,OFFSET([3]characters!$A$1,0,0,COUNTA([3]characters!$A:$A),MATCH(AC$1,[3]characters!$1:$1,0)-MATCH("character_id",[3]characters!$1:$1,0)+1),MATCH(AC$1,[3]characters!$1:$1,0)-MATCH("character_id",[3]characters!$1:$1,0)+1,FALSE)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597" s="4">
        <f ca="1">VLOOKUP($AB597,OFFSET([3]characters!$A$1,0,0,COUNTA([3]characters!$A:$A),MATCH(AD$1,[3]characters!$1:$1,0)-MATCH("character_id",[3]characters!$1:$1,0)+1),MATCH(AD$1,[3]characters!$1:$1,0)-MATCH("character_id",[3]characters!$1:$1,0)+1,FALSE)</f>
        <v>2</v>
      </c>
      <c r="AE597" s="4" t="str">
        <f ca="1">VLOOKUP($AB597,OFFSET([3]characters!$A$1,0,0,COUNTA([3]characters!$A:$A),MATCH(AE$1,[3]characters!$1:$1,0)-MATCH("character_id",[3]characters!$1:$1,0)+1),MATCH(AE$1,[3]characters!$1:$1,0)-MATCH("character_id",[3]characters!$1:$1,0)+1,FALSE)</f>
        <v>Drop1N</v>
      </c>
      <c r="AF597" s="7">
        <v>7</v>
      </c>
      <c r="AG597" s="26">
        <f t="shared" ca="1" si="619"/>
        <v>2</v>
      </c>
      <c r="AH597" s="8">
        <v>20</v>
      </c>
      <c r="AI597" s="7">
        <v>0</v>
      </c>
      <c r="AJ597" s="7">
        <v>0</v>
      </c>
      <c r="AK597" s="7">
        <v>0</v>
      </c>
      <c r="AL597" s="7">
        <v>0</v>
      </c>
      <c r="AM597" s="7">
        <v>1</v>
      </c>
    </row>
    <row r="598" spans="1:39" ht="14" x14ac:dyDescent="0.15">
      <c r="A598" s="18" t="str">
        <f t="shared" ca="1" si="604"/>
        <v>25_4-4/63&lt;lv52&gt;s2</v>
      </c>
      <c r="B598" s="50">
        <v>25</v>
      </c>
      <c r="C598" s="49">
        <v>4</v>
      </c>
      <c r="D598" s="2" t="str">
        <f t="shared" si="632"/>
        <v>25_4</v>
      </c>
      <c r="E598" s="2" t="str">
        <f t="shared" si="632"/>
        <v>4_25_4</v>
      </c>
      <c r="F598" s="4" t="str">
        <f ca="1">VLOOKUP($D598,OFFSET([1]stages!$A$1,0,0,COUNTA([1]stages!$A:$A),MATCH(F$1,[1]stages!$2:$2,0)-MATCH($D$1,[1]stages!$2:$2,0)+1),MATCH(F$1,[1]stages!$2:$2,0)-MATCH($D$1,[1]stages!$2:$2,0)+1,FALSE)</f>
        <v>25-4．許されぬ休息</v>
      </c>
      <c r="G598" s="57">
        <v>4</v>
      </c>
      <c r="H598" s="17" t="str">
        <f t="shared" si="633"/>
        <v>25_4-4</v>
      </c>
      <c r="I598" s="17"/>
      <c r="J598" s="17"/>
      <c r="K598" s="65" t="s">
        <v>56</v>
      </c>
      <c r="L598" s="52">
        <v>63</v>
      </c>
      <c r="M598" s="21" t="str">
        <f ca="1">VLOOKUP($L598,OFFSET([2]enemies!$A$1,0,0,COUNTA([2]enemies!$A:$A),MATCH(M$1,[2]enemies!$1:$1,0)-MATCH($L$1,[2]enemies!$1:$1,0)+1),MATCH(M$1,[2]enemies!$1:$1,0)-MATCH($L$1,[2]enemies!$1:$1,0)+1,FALSE)</f>
        <v>トニー</v>
      </c>
      <c r="N598" s="21" t="str">
        <f ca="1">VLOOKUP($L598,OFFSET([2]enemies!$A$1,0,0,COUNTA([2]enemies!$A:$A),MATCH(N$1,[2]enemies!$1:$1,0)-MATCH($L$1,[2]enemies!$1:$1,0)+1),MATCH(N$1,[2]enemies!$1:$1,0)-MATCH($L$1,[2]enemies!$1:$1,0)+1,FALSE)</f>
        <v>yellow</v>
      </c>
      <c r="O598" s="21" t="str">
        <f ca="1">VLOOKUP($L598,OFFSET([3]characters!$A$1,0,0,COUNTA([3]characters!$A:$A),MATCH(O$1,[3]characters!$1:$1,0)-MATCH($L$1,[3]characters!$1:$1,0)+1),MATCH(O$1,[3]characters!$1:$1,0)-MATCH($L$1,[3]characters!$1:$1,0)+1,FALSE)</f>
        <v>Drop1N</v>
      </c>
      <c r="P598" s="21" t="str">
        <f ca="1">VLOOKUP($L598,OFFSET([2]enemies!$A$1,0,0,COUNTA([2]enemies!$A:$A),MATCH(P$1,[2]enemies!$1:$1,0)-MATCH($L$1,[2]enemies!$1:$1,0)+1),MATCH(P$1,[2]enemies!$1:$1,0)-MATCH($L$1,[2]enemies!$1:$1,0)+1,FALSE)</f>
        <v>animal</v>
      </c>
      <c r="Q598" s="21">
        <f ca="1">VLOOKUP($L598,OFFSET([2]enemies!$A$1,0,0,COUNTA([2]enemies!$A:$A),MATCH(Q$1,[2]enemies!$1:$1,0)-MATCH($L$1,[2]enemies!$1:$1,0)+1),MATCH(Q$1,[2]enemies!$1:$1,0)-MATCH($L$1,[2]enemies!$1:$1,0)+1,FALSE)</f>
        <v>15</v>
      </c>
      <c r="R598" s="53">
        <v>52</v>
      </c>
      <c r="S598" s="27">
        <v>1.1000000000000001</v>
      </c>
      <c r="T598" s="27">
        <v>1</v>
      </c>
      <c r="U598" s="5">
        <v>0</v>
      </c>
      <c r="V598" s="4" t="str">
        <f ca="1">VLOOKUP($W598,OFFSET([4]enemy_skill_sets!$B$1,0,0,COUNTA([4]enemy_skill_sets!$B:$B),MATCH(M$1,[4]enemy_skill_sets!$1:$1,0)-MATCH($W$1,[4]enemy_skill_sets!$1:$1,0)+2),MATCH(M$1,[4]enemy_skill_sets!$1:$1,0)-MATCH($W$1,[4]enemy_skill_sets!$1:$1,0)+2,FALSE)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598" s="4">
        <f ca="1">VLOOKUP($L598,OFFSET([2]enemies!$A$1,0,0,COUNTA([2]enemies!$A:$A),MATCH(W$1,[2]enemies!$1:$1,0)-MATCH($L$1,[2]enemies!$1:$1,0)+1),MATCH(W$1,[2]enemies!$1:$1,0)-MATCH($L$1,[2]enemies!$1:$1,0)+1,FALSE)</f>
        <v>63</v>
      </c>
      <c r="X598" s="6">
        <v>0</v>
      </c>
      <c r="Y598" s="6">
        <v>100</v>
      </c>
      <c r="Z598" s="6">
        <v>0</v>
      </c>
      <c r="AA598" s="4">
        <f ca="1">VLOOKUP($L598,OFFSET([2]enemies!$A$1,0,0,COUNTA([2]enemies!$A:$A),MATCH(AA$1,[2]enemies!$1:$1,0)-MATCH($L$1,[2]enemies!$1:$1,0)+1),MATCH(AA$1,[2]enemies!$1:$1,0)-MATCH($L$1,[2]enemies!$1:$1,0)+1,FALSE)</f>
        <v>2</v>
      </c>
      <c r="AB598" s="52">
        <v>63</v>
      </c>
      <c r="AC598" s="4" t="str">
        <f ca="1">VLOOKUP($AB598,OFFSET([3]characters!$A$1,0,0,COUNTA([3]characters!$A:$A),MATCH(AC$1,[3]characters!$1:$1,0)-MATCH("character_id",[3]characters!$1:$1,0)+1),MATCH(AC$1,[3]characters!$1:$1,0)-MATCH("character_id",[3]characters!$1:$1,0)+1,FALSE)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598" s="4">
        <f ca="1">VLOOKUP($AB598,OFFSET([3]characters!$A$1,0,0,COUNTA([3]characters!$A:$A),MATCH(AD$1,[3]characters!$1:$1,0)-MATCH("character_id",[3]characters!$1:$1,0)+1),MATCH(AD$1,[3]characters!$1:$1,0)-MATCH("character_id",[3]characters!$1:$1,0)+1,FALSE)</f>
        <v>2</v>
      </c>
      <c r="AE598" s="4" t="str">
        <f ca="1">VLOOKUP($AB598,OFFSET([3]characters!$A$1,0,0,COUNTA([3]characters!$A:$A),MATCH(AE$1,[3]characters!$1:$1,0)-MATCH("character_id",[3]characters!$1:$1,0)+1),MATCH(AE$1,[3]characters!$1:$1,0)-MATCH("character_id",[3]characters!$1:$1,0)+1,FALSE)</f>
        <v>Drop1N</v>
      </c>
      <c r="AF598" s="7">
        <v>7</v>
      </c>
      <c r="AG598" s="26">
        <f t="shared" ca="1" si="619"/>
        <v>2</v>
      </c>
      <c r="AH598" s="8">
        <v>20</v>
      </c>
      <c r="AI598" s="7">
        <v>0</v>
      </c>
      <c r="AJ598" s="7">
        <v>0</v>
      </c>
      <c r="AK598" s="7">
        <v>0</v>
      </c>
      <c r="AL598" s="7">
        <v>0</v>
      </c>
      <c r="AM598" s="7">
        <v>1</v>
      </c>
    </row>
    <row r="599" spans="1:39" ht="14" x14ac:dyDescent="0.15">
      <c r="A599" s="18" t="str">
        <f t="shared" ca="1" si="604"/>
        <v>25_4-4/39&lt;lv52&gt;s3</v>
      </c>
      <c r="B599" s="50">
        <v>25</v>
      </c>
      <c r="C599" s="49">
        <v>4</v>
      </c>
      <c r="D599" s="2" t="str">
        <f t="shared" si="632"/>
        <v>25_4</v>
      </c>
      <c r="E599" s="2" t="str">
        <f t="shared" si="632"/>
        <v>4_25_4</v>
      </c>
      <c r="F599" s="4" t="str">
        <f ca="1">VLOOKUP($D599,OFFSET([1]stages!$A$1,0,0,COUNTA([1]stages!$A:$A),MATCH(F$1,[1]stages!$2:$2,0)-MATCH($D$1,[1]stages!$2:$2,0)+1),MATCH(F$1,[1]stages!$2:$2,0)-MATCH($D$1,[1]stages!$2:$2,0)+1,FALSE)</f>
        <v>25-4．許されぬ休息</v>
      </c>
      <c r="G599" s="57">
        <v>4</v>
      </c>
      <c r="H599" s="17" t="str">
        <f t="shared" si="633"/>
        <v>25_4-4</v>
      </c>
      <c r="I599" s="17"/>
      <c r="J599" s="17"/>
      <c r="K599" s="65" t="s">
        <v>56</v>
      </c>
      <c r="L599" s="52">
        <v>39</v>
      </c>
      <c r="M599" s="21" t="str">
        <f ca="1">VLOOKUP($L599,OFFSET([2]enemies!$A$1,0,0,COUNTA([2]enemies!$A:$A),MATCH(M$1,[2]enemies!$1:$1,0)-MATCH($L$1,[2]enemies!$1:$1,0)+1),MATCH(M$1,[2]enemies!$1:$1,0)-MATCH($L$1,[2]enemies!$1:$1,0)+1,FALSE)</f>
        <v>マーロン</v>
      </c>
      <c r="N599" s="21" t="str">
        <f ca="1">VLOOKUP($L599,OFFSET([2]enemies!$A$1,0,0,COUNTA([2]enemies!$A:$A),MATCH(N$1,[2]enemies!$1:$1,0)-MATCH($L$1,[2]enemies!$1:$1,0)+1),MATCH(N$1,[2]enemies!$1:$1,0)-MATCH($L$1,[2]enemies!$1:$1,0)+1,FALSE)</f>
        <v>yellow</v>
      </c>
      <c r="O599" s="21" t="str">
        <f ca="1">VLOOKUP($L599,OFFSET([3]characters!$A$1,0,0,COUNTA([3]characters!$A:$A),MATCH(O$1,[3]characters!$1:$1,0)-MATCH($L$1,[3]characters!$1:$1,0)+1),MATCH(O$1,[3]characters!$1:$1,0)-MATCH($L$1,[3]characters!$1:$1,0)+1,FALSE)</f>
        <v>Drop1S</v>
      </c>
      <c r="P599" s="21" t="str">
        <f ca="1">VLOOKUP($L599,OFFSET([2]enemies!$A$1,0,0,COUNTA([2]enemies!$A:$A),MATCH(P$1,[2]enemies!$1:$1,0)-MATCH($L$1,[2]enemies!$1:$1,0)+1),MATCH(P$1,[2]enemies!$1:$1,0)-MATCH($L$1,[2]enemies!$1:$1,0)+1,FALSE)</f>
        <v>human</v>
      </c>
      <c r="Q599" s="21">
        <f ca="1">VLOOKUP($L599,OFFSET([2]enemies!$A$1,0,0,COUNTA([2]enemies!$A:$A),MATCH(Q$1,[2]enemies!$1:$1,0)-MATCH($L$1,[2]enemies!$1:$1,0)+1),MATCH(Q$1,[2]enemies!$1:$1,0)-MATCH($L$1,[2]enemies!$1:$1,0)+1,FALSE)</f>
        <v>15</v>
      </c>
      <c r="R599" s="53">
        <v>52</v>
      </c>
      <c r="S599" s="27">
        <v>1.1000000000000001</v>
      </c>
      <c r="T599" s="27">
        <v>1</v>
      </c>
      <c r="U599" s="5">
        <v>0</v>
      </c>
      <c r="V599" s="4" t="str">
        <f ca="1">VLOOKUP($W599,OFFSET([4]enemy_skill_sets!$B$1,0,0,COUNTA([4]enemy_skill_sets!$B:$B),MATCH(M$1,[4]enemy_skill_sets!$1:$1,0)-MATCH($W$1,[4]enemy_skill_sets!$1:$1,0)+2),MATCH(M$1,[4]enemy_skill_sets!$1:$1,0)-MATCH($W$1,[4]enemy_skill_sets!$1:$1,0)+2,FALSE)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599" s="4">
        <f ca="1">VLOOKUP($L599,OFFSET([2]enemies!$A$1,0,0,COUNTA([2]enemies!$A:$A),MATCH(W$1,[2]enemies!$1:$1,0)-MATCH($L$1,[2]enemies!$1:$1,0)+1),MATCH(W$1,[2]enemies!$1:$1,0)-MATCH($L$1,[2]enemies!$1:$1,0)+1,FALSE)</f>
        <v>39</v>
      </c>
      <c r="X599" s="6">
        <v>0</v>
      </c>
      <c r="Y599" s="6">
        <v>100</v>
      </c>
      <c r="Z599" s="6">
        <v>0</v>
      </c>
      <c r="AA599" s="4">
        <f ca="1">VLOOKUP($L599,OFFSET([2]enemies!$A$1,0,0,COUNTA([2]enemies!$A:$A),MATCH(AA$1,[2]enemies!$1:$1,0)-MATCH($L$1,[2]enemies!$1:$1,0)+1),MATCH(AA$1,[2]enemies!$1:$1,0)-MATCH($L$1,[2]enemies!$1:$1,0)+1,FALSE)</f>
        <v>3</v>
      </c>
      <c r="AB599" s="52">
        <v>39</v>
      </c>
      <c r="AC599" s="4" t="str">
        <f ca="1">VLOOKUP($AB599,OFFSET([3]characters!$A$1,0,0,COUNTA([3]characters!$A:$A),MATCH(AC$1,[3]characters!$1:$1,0)-MATCH("character_id",[3]characters!$1:$1,0)+1),MATCH(AC$1,[3]characters!$1:$1,0)-MATCH("character_id",[3]characters!$1:$1,0)+1,FALSE)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599" s="4">
        <f ca="1">VLOOKUP($AB599,OFFSET([3]characters!$A$1,0,0,COUNTA([3]characters!$A:$A),MATCH(AD$1,[3]characters!$1:$1,0)-MATCH("character_id",[3]characters!$1:$1,0)+1),MATCH(AD$1,[3]characters!$1:$1,0)-MATCH("character_id",[3]characters!$1:$1,0)+1,FALSE)</f>
        <v>2</v>
      </c>
      <c r="AE599" s="4" t="str">
        <f ca="1">VLOOKUP($AB599,OFFSET([3]characters!$A$1,0,0,COUNTA([3]characters!$A:$A),MATCH(AE$1,[3]characters!$1:$1,0)-MATCH("character_id",[3]characters!$1:$1,0)+1),MATCH(AE$1,[3]characters!$1:$1,0)-MATCH("character_id",[3]characters!$1:$1,0)+1,FALSE)</f>
        <v>Drop1S</v>
      </c>
      <c r="AF599" s="7">
        <v>5</v>
      </c>
      <c r="AG599" s="26">
        <f t="shared" ca="1" si="619"/>
        <v>2</v>
      </c>
      <c r="AH599" s="8">
        <v>20</v>
      </c>
      <c r="AI599" s="7">
        <v>0</v>
      </c>
      <c r="AJ599" s="7">
        <v>0</v>
      </c>
      <c r="AK599" s="7">
        <v>0</v>
      </c>
      <c r="AL599" s="7">
        <v>0</v>
      </c>
      <c r="AM599" s="7">
        <v>1</v>
      </c>
    </row>
    <row r="600" spans="1:39" ht="14" x14ac:dyDescent="0.15">
      <c r="A600" s="18" t="str">
        <f t="shared" ca="1" si="604"/>
        <v>25_4-4/53&lt;lv52&gt;s2</v>
      </c>
      <c r="B600" s="50">
        <v>25</v>
      </c>
      <c r="C600" s="49">
        <v>4</v>
      </c>
      <c r="D600" s="2" t="str">
        <f t="shared" si="632"/>
        <v>25_4</v>
      </c>
      <c r="E600" s="2" t="str">
        <f t="shared" si="632"/>
        <v>4_25_4</v>
      </c>
      <c r="F600" s="4" t="str">
        <f ca="1">VLOOKUP($D600,OFFSET([1]stages!$A$1,0,0,COUNTA([1]stages!$A:$A),MATCH(F$1,[1]stages!$2:$2,0)-MATCH($D$1,[1]stages!$2:$2,0)+1),MATCH(F$1,[1]stages!$2:$2,0)-MATCH($D$1,[1]stages!$2:$2,0)+1,FALSE)</f>
        <v>25-4．許されぬ休息</v>
      </c>
      <c r="G600" s="57">
        <v>4</v>
      </c>
      <c r="H600" s="17" t="str">
        <f t="shared" si="633"/>
        <v>25_4-4</v>
      </c>
      <c r="I600" s="17"/>
      <c r="J600" s="17"/>
      <c r="K600" s="65" t="s">
        <v>56</v>
      </c>
      <c r="L600" s="52">
        <v>53</v>
      </c>
      <c r="M600" s="21" t="str">
        <f ca="1">VLOOKUP($L600,OFFSET([2]enemies!$A$1,0,0,COUNTA([2]enemies!$A:$A),MATCH(M$1,[2]enemies!$1:$1,0)-MATCH($L$1,[2]enemies!$1:$1,0)+1),MATCH(M$1,[2]enemies!$1:$1,0)-MATCH($L$1,[2]enemies!$1:$1,0)+1,FALSE)</f>
        <v>ケンジ</v>
      </c>
      <c r="N600" s="21" t="str">
        <f ca="1">VLOOKUP($L600,OFFSET([2]enemies!$A$1,0,0,COUNTA([2]enemies!$A:$A),MATCH(N$1,[2]enemies!$1:$1,0)-MATCH($L$1,[2]enemies!$1:$1,0)+1),MATCH(N$1,[2]enemies!$1:$1,0)-MATCH($L$1,[2]enemies!$1:$1,0)+1,FALSE)</f>
        <v>blue</v>
      </c>
      <c r="O600" s="21" t="str">
        <f ca="1">VLOOKUP($L600,OFFSET([3]characters!$A$1,0,0,COUNTA([3]characters!$A:$A),MATCH(O$1,[3]characters!$1:$1,0)-MATCH($L$1,[3]characters!$1:$1,0)+1),MATCH(O$1,[3]characters!$1:$1,0)-MATCH($L$1,[3]characters!$1:$1,0)+1,FALSE)</f>
        <v>Drop1N</v>
      </c>
      <c r="P600" s="21" t="str">
        <f ca="1">VLOOKUP($L600,OFFSET([2]enemies!$A$1,0,0,COUNTA([2]enemies!$A:$A),MATCH(P$1,[2]enemies!$1:$1,0)-MATCH($L$1,[2]enemies!$1:$1,0)+1),MATCH(P$1,[2]enemies!$1:$1,0)-MATCH($L$1,[2]enemies!$1:$1,0)+1,FALSE)</f>
        <v>human</v>
      </c>
      <c r="Q600" s="21">
        <f ca="1">VLOOKUP($L600,OFFSET([2]enemies!$A$1,0,0,COUNTA([2]enemies!$A:$A),MATCH(Q$1,[2]enemies!$1:$1,0)-MATCH($L$1,[2]enemies!$1:$1,0)+1),MATCH(Q$1,[2]enemies!$1:$1,0)-MATCH($L$1,[2]enemies!$1:$1,0)+1,FALSE)</f>
        <v>15</v>
      </c>
      <c r="R600" s="53">
        <v>52</v>
      </c>
      <c r="S600" s="27">
        <v>1.1000000000000001</v>
      </c>
      <c r="T600" s="27">
        <v>1</v>
      </c>
      <c r="U600" s="5">
        <v>0</v>
      </c>
      <c r="V600" s="4" t="str">
        <f ca="1">VLOOKUP($W600,OFFSET([4]enemy_skill_sets!$B$1,0,0,COUNTA([4]enemy_skill_sets!$B:$B),MATCH(M$1,[4]enemy_skill_sets!$1:$1,0)-MATCH($W$1,[4]enemy_skill_sets!$1:$1,0)+2),MATCH(M$1,[4]enemy_skill_sets!$1:$1,0)-MATCH($W$1,[4]enemy_skill_sets!$1:$1,0)+2,FALSE)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600" s="4">
        <f ca="1">VLOOKUP($L600,OFFSET([2]enemies!$A$1,0,0,COUNTA([2]enemies!$A:$A),MATCH(W$1,[2]enemies!$1:$1,0)-MATCH($L$1,[2]enemies!$1:$1,0)+1),MATCH(W$1,[2]enemies!$1:$1,0)-MATCH($L$1,[2]enemies!$1:$1,0)+1,FALSE)</f>
        <v>53</v>
      </c>
      <c r="X600" s="6">
        <v>0</v>
      </c>
      <c r="Y600" s="6">
        <v>100</v>
      </c>
      <c r="Z600" s="6">
        <v>0</v>
      </c>
      <c r="AA600" s="4">
        <f ca="1">VLOOKUP($L600,OFFSET([2]enemies!$A$1,0,0,COUNTA([2]enemies!$A:$A),MATCH(AA$1,[2]enemies!$1:$1,0)-MATCH($L$1,[2]enemies!$1:$1,0)+1),MATCH(AA$1,[2]enemies!$1:$1,0)-MATCH($L$1,[2]enemies!$1:$1,0)+1,FALSE)</f>
        <v>2</v>
      </c>
      <c r="AB600" s="52">
        <v>53</v>
      </c>
      <c r="AC600" s="4" t="str">
        <f ca="1">VLOOKUP($AB600,OFFSET([3]characters!$A$1,0,0,COUNTA([3]characters!$A:$A),MATCH(AC$1,[3]characters!$1:$1,0)-MATCH("character_id",[3]characters!$1:$1,0)+1),MATCH(AC$1,[3]characters!$1:$1,0)-MATCH("character_id",[3]characters!$1:$1,0)+1,FALSE)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600" s="4">
        <f ca="1">VLOOKUP($AB600,OFFSET([3]characters!$A$1,0,0,COUNTA([3]characters!$A:$A),MATCH(AD$1,[3]characters!$1:$1,0)-MATCH("character_id",[3]characters!$1:$1,0)+1),MATCH(AD$1,[3]characters!$1:$1,0)-MATCH("character_id",[3]characters!$1:$1,0)+1,FALSE)</f>
        <v>2</v>
      </c>
      <c r="AE600" s="4" t="str">
        <f ca="1">VLOOKUP($AB600,OFFSET([3]characters!$A$1,0,0,COUNTA([3]characters!$A:$A),MATCH(AE$1,[3]characters!$1:$1,0)-MATCH("character_id",[3]characters!$1:$1,0)+1),MATCH(AE$1,[3]characters!$1:$1,0)-MATCH("character_id",[3]characters!$1:$1,0)+1,FALSE)</f>
        <v>Drop1N</v>
      </c>
      <c r="AF600" s="7">
        <v>7</v>
      </c>
      <c r="AG600" s="26">
        <f t="shared" ca="1" si="619"/>
        <v>2</v>
      </c>
      <c r="AH600" s="8">
        <v>20</v>
      </c>
      <c r="AI600" s="7">
        <v>0</v>
      </c>
      <c r="AJ600" s="7">
        <v>0</v>
      </c>
      <c r="AK600" s="7">
        <v>0</v>
      </c>
      <c r="AL600" s="7">
        <v>0</v>
      </c>
      <c r="AM600" s="7">
        <v>1</v>
      </c>
    </row>
    <row r="601" spans="1:39" ht="14" x14ac:dyDescent="0.15">
      <c r="A601" s="18" t="str">
        <f t="shared" ca="1" si="604"/>
        <v>25_4-4/55&lt;lv52&gt;s4</v>
      </c>
      <c r="B601" s="50">
        <v>25</v>
      </c>
      <c r="C601" s="49">
        <v>4</v>
      </c>
      <c r="D601" s="2" t="str">
        <f t="shared" si="632"/>
        <v>25_4</v>
      </c>
      <c r="E601" s="2" t="str">
        <f t="shared" si="632"/>
        <v>4_25_4</v>
      </c>
      <c r="F601" s="4" t="str">
        <f ca="1">VLOOKUP($D601,OFFSET([1]stages!$A$1,0,0,COUNTA([1]stages!$A:$A),MATCH(F$1,[1]stages!$2:$2,0)-MATCH($D$1,[1]stages!$2:$2,0)+1),MATCH(F$1,[1]stages!$2:$2,0)-MATCH($D$1,[1]stages!$2:$2,0)+1,FALSE)</f>
        <v>25-4．許されぬ休息</v>
      </c>
      <c r="G601" s="57">
        <v>4</v>
      </c>
      <c r="H601" s="17" t="str">
        <f t="shared" si="633"/>
        <v>25_4-4</v>
      </c>
      <c r="I601" s="17"/>
      <c r="J601" s="17"/>
      <c r="K601" s="65" t="s">
        <v>56</v>
      </c>
      <c r="L601" s="52">
        <v>55</v>
      </c>
      <c r="M601" s="21" t="str">
        <f ca="1">VLOOKUP($L601,OFFSET([2]enemies!$A$1,0,0,COUNTA([2]enemies!$A:$A),MATCH(M$1,[2]enemies!$1:$1,0)-MATCH($L$1,[2]enemies!$1:$1,0)+1),MATCH(M$1,[2]enemies!$1:$1,0)-MATCH($L$1,[2]enemies!$1:$1,0)+1,FALSE)</f>
        <v>マミコ</v>
      </c>
      <c r="N601" s="21" t="str">
        <f ca="1">VLOOKUP($L601,OFFSET([2]enemies!$A$1,0,0,COUNTA([2]enemies!$A:$A),MATCH(N$1,[2]enemies!$1:$1,0)-MATCH($L$1,[2]enemies!$1:$1,0)+1),MATCH(N$1,[2]enemies!$1:$1,0)-MATCH($L$1,[2]enemies!$1:$1,0)+1,FALSE)</f>
        <v>yellow</v>
      </c>
      <c r="O601" s="21" t="str">
        <f ca="1">VLOOKUP($L601,OFFSET([3]characters!$A$1,0,0,COUNTA([3]characters!$A:$A),MATCH(O$1,[3]characters!$1:$1,0)-MATCH($L$1,[3]characters!$1:$1,0)+1),MATCH(O$1,[3]characters!$1:$1,0)-MATCH($L$1,[3]characters!$1:$1,0)+1,FALSE)</f>
        <v>Drop1N</v>
      </c>
      <c r="P601" s="21" t="str">
        <f ca="1">VLOOKUP($L601,OFFSET([2]enemies!$A$1,0,0,COUNTA([2]enemies!$A:$A),MATCH(P$1,[2]enemies!$1:$1,0)-MATCH($L$1,[2]enemies!$1:$1,0)+1),MATCH(P$1,[2]enemies!$1:$1,0)-MATCH($L$1,[2]enemies!$1:$1,0)+1,FALSE)</f>
        <v>human</v>
      </c>
      <c r="Q601" s="21">
        <f ca="1">VLOOKUP($L601,OFFSET([2]enemies!$A$1,0,0,COUNTA([2]enemies!$A:$A),MATCH(Q$1,[2]enemies!$1:$1,0)-MATCH($L$1,[2]enemies!$1:$1,0)+1),MATCH(Q$1,[2]enemies!$1:$1,0)-MATCH($L$1,[2]enemies!$1:$1,0)+1,FALSE)</f>
        <v>15</v>
      </c>
      <c r="R601" s="53">
        <v>52</v>
      </c>
      <c r="S601" s="27">
        <v>1.1000000000000001</v>
      </c>
      <c r="T601" s="27">
        <v>1</v>
      </c>
      <c r="U601" s="5">
        <v>0</v>
      </c>
      <c r="V601" s="4" t="str">
        <f ca="1">VLOOKUP($W601,OFFSET([4]enemy_skill_sets!$B$1,0,0,COUNTA([4]enemy_skill_sets!$B:$B),MATCH(M$1,[4]enemy_skill_sets!$1:$1,0)-MATCH($W$1,[4]enemy_skill_sets!$1:$1,0)+2),MATCH(M$1,[4]enemy_skill_sets!$1:$1,0)-MATCH($W$1,[4]enemy_skill_sets!$1:$1,0)+2,FALSE)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601" s="4">
        <f ca="1">VLOOKUP($L601,OFFSET([2]enemies!$A$1,0,0,COUNTA([2]enemies!$A:$A),MATCH(W$1,[2]enemies!$1:$1,0)-MATCH($L$1,[2]enemies!$1:$1,0)+1),MATCH(W$1,[2]enemies!$1:$1,0)-MATCH($L$1,[2]enemies!$1:$1,0)+1,FALSE)</f>
        <v>55</v>
      </c>
      <c r="X601" s="6">
        <v>0</v>
      </c>
      <c r="Y601" s="6">
        <v>100</v>
      </c>
      <c r="Z601" s="6">
        <v>0</v>
      </c>
      <c r="AA601" s="4">
        <f ca="1">VLOOKUP($L601,OFFSET([2]enemies!$A$1,0,0,COUNTA([2]enemies!$A:$A),MATCH(AA$1,[2]enemies!$1:$1,0)-MATCH($L$1,[2]enemies!$1:$1,0)+1),MATCH(AA$1,[2]enemies!$1:$1,0)-MATCH($L$1,[2]enemies!$1:$1,0)+1,FALSE)</f>
        <v>4</v>
      </c>
      <c r="AB601" s="52">
        <v>55</v>
      </c>
      <c r="AC601" s="4" t="str">
        <f ca="1">VLOOKUP($AB601,OFFSET([3]characters!$A$1,0,0,COUNTA([3]characters!$A:$A),MATCH(AC$1,[3]characters!$1:$1,0)-MATCH("character_id",[3]characters!$1:$1,0)+1),MATCH(AC$1,[3]characters!$1:$1,0)-MATCH("character_id",[3]characters!$1:$1,0)+1,FALSE)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601" s="4">
        <f ca="1">VLOOKUP($AB601,OFFSET([3]characters!$A$1,0,0,COUNTA([3]characters!$A:$A),MATCH(AD$1,[3]characters!$1:$1,0)-MATCH("character_id",[3]characters!$1:$1,0)+1),MATCH(AD$1,[3]characters!$1:$1,0)-MATCH("character_id",[3]characters!$1:$1,0)+1,FALSE)</f>
        <v>2</v>
      </c>
      <c r="AE601" s="4" t="str">
        <f ca="1">VLOOKUP($AB601,OFFSET([3]characters!$A$1,0,0,COUNTA([3]characters!$A:$A),MATCH(AE$1,[3]characters!$1:$1,0)-MATCH("character_id",[3]characters!$1:$1,0)+1),MATCH(AE$1,[3]characters!$1:$1,0)-MATCH("character_id",[3]characters!$1:$1,0)+1,FALSE)</f>
        <v>Drop1N</v>
      </c>
      <c r="AF601" s="7">
        <v>7</v>
      </c>
      <c r="AG601" s="26">
        <f t="shared" ca="1" si="619"/>
        <v>2</v>
      </c>
      <c r="AH601" s="8">
        <v>20</v>
      </c>
      <c r="AI601" s="7">
        <v>0</v>
      </c>
      <c r="AJ601" s="7">
        <v>0</v>
      </c>
      <c r="AK601" s="7">
        <v>0</v>
      </c>
      <c r="AL601" s="7">
        <v>0</v>
      </c>
      <c r="AM601" s="7">
        <v>1</v>
      </c>
    </row>
    <row r="602" spans="1:39" ht="14" x14ac:dyDescent="0.15">
      <c r="A602" s="18" t="str">
        <f t="shared" ca="1" si="604"/>
        <v>25_4-4/364&lt;lv52&gt;s3</v>
      </c>
      <c r="B602" s="53">
        <v>25</v>
      </c>
      <c r="C602" s="51">
        <v>4</v>
      </c>
      <c r="D602" s="2" t="str">
        <f t="shared" ref="D602:D603" si="634">B602&amp;"_"&amp;C602</f>
        <v>25_4</v>
      </c>
      <c r="E602" s="2" t="str">
        <f t="shared" ref="E602:E603" si="635">C602&amp;"_"&amp;D602</f>
        <v>4_25_4</v>
      </c>
      <c r="F602" s="4" t="str">
        <f ca="1">VLOOKUP($D602,OFFSET([1]stages!$A$1,0,0,COUNTA([1]stages!$A:$A),MATCH(F$1,[1]stages!$2:$2,0)-MATCH($D$1,[1]stages!$2:$2,0)+1),MATCH(F$1,[1]stages!$2:$2,0)-MATCH($D$1,[1]stages!$2:$2,0)+1,FALSE)</f>
        <v>25-4．許されぬ休息</v>
      </c>
      <c r="G602" s="57">
        <v>4</v>
      </c>
      <c r="H602" s="17" t="str">
        <f t="shared" ref="H602:H603" si="636">B602&amp;"_"&amp;C602&amp;"-"&amp;G602</f>
        <v>25_4-4</v>
      </c>
      <c r="I602" s="17"/>
      <c r="J602" s="17"/>
      <c r="K602" s="65" t="s">
        <v>56</v>
      </c>
      <c r="L602" s="52">
        <v>364</v>
      </c>
      <c r="M602" s="21" t="str">
        <f ca="1">VLOOKUP($L602,OFFSET([2]enemies!$A$1,0,0,COUNTA([2]enemies!$A:$A),MATCH(M$1,[2]enemies!$1:$1,0)-MATCH($L$1,[2]enemies!$1:$1,0)+1),MATCH(M$1,[2]enemies!$1:$1,0)-MATCH($L$1,[2]enemies!$1:$1,0)+1,FALSE)</f>
        <v>ノエル</v>
      </c>
      <c r="N602" s="21" t="str">
        <f ca="1">VLOOKUP($L602,OFFSET([2]enemies!$A$1,0,0,COUNTA([2]enemies!$A:$A),MATCH(N$1,[2]enemies!$1:$1,0)-MATCH($L$1,[2]enemies!$1:$1,0)+1),MATCH(N$1,[2]enemies!$1:$1,0)-MATCH($L$1,[2]enemies!$1:$1,0)+1,FALSE)</f>
        <v>blue</v>
      </c>
      <c r="O602" s="21" t="str">
        <f ca="1">VLOOKUP($L602,OFFSET([3]characters!$A$1,0,0,COUNTA([3]characters!$A:$A),MATCH(O$1,[3]characters!$1:$1,0)-MATCH($L$1,[3]characters!$1:$1,0)+1),MATCH(O$1,[3]characters!$1:$1,0)-MATCH($L$1,[3]characters!$1:$1,0)+1,FALSE)</f>
        <v>Drop1S</v>
      </c>
      <c r="P602" s="21" t="str">
        <f ca="1">VLOOKUP($L602,OFFSET([2]enemies!$A$1,0,0,COUNTA([2]enemies!$A:$A),MATCH(P$1,[2]enemies!$1:$1,0)-MATCH($L$1,[2]enemies!$1:$1,0)+1),MATCH(P$1,[2]enemies!$1:$1,0)-MATCH($L$1,[2]enemies!$1:$1,0)+1,FALSE)</f>
        <v>animal</v>
      </c>
      <c r="Q602" s="21">
        <f ca="1">VLOOKUP($L602,OFFSET([2]enemies!$A$1,0,0,COUNTA([2]enemies!$A:$A),MATCH(Q$1,[2]enemies!$1:$1,0)-MATCH($L$1,[2]enemies!$1:$1,0)+1),MATCH(Q$1,[2]enemies!$1:$1,0)-MATCH($L$1,[2]enemies!$1:$1,0)+1,FALSE)</f>
        <v>15</v>
      </c>
      <c r="R602" s="53">
        <v>52</v>
      </c>
      <c r="S602" s="27">
        <v>1.1000000000000001</v>
      </c>
      <c r="T602" s="27">
        <v>1</v>
      </c>
      <c r="U602" s="5">
        <v>0</v>
      </c>
      <c r="V602" s="4" t="str">
        <f ca="1">VLOOKUP($W602,OFFSET([4]enemy_skill_sets!$B$1,0,0,COUNTA([4]enemy_skill_sets!$B:$B),MATCH(M$1,[4]enemy_skill_sets!$1:$1,0)-MATCH($W$1,[4]enemy_skill_sets!$1:$1,0)+2),MATCH(M$1,[4]enemy_skill_sets!$1:$1,0)-MATCH($W$1,[4]enemy_skill_sets!$1:$1,0)+2,FALSE)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602" s="64">
        <v>364</v>
      </c>
      <c r="X602" s="6">
        <v>0</v>
      </c>
      <c r="Y602" s="6">
        <v>100</v>
      </c>
      <c r="Z602" s="6">
        <v>0</v>
      </c>
      <c r="AA602" s="4">
        <f ca="1">VLOOKUP($L602,OFFSET([2]enemies!$A$1,0,0,COUNTA([2]enemies!$A:$A),MATCH(AA$1,[2]enemies!$1:$1,0)-MATCH($L$1,[2]enemies!$1:$1,0)+1),MATCH(AA$1,[2]enemies!$1:$1,0)-MATCH($L$1,[2]enemies!$1:$1,0)+1,FALSE)</f>
        <v>3</v>
      </c>
      <c r="AB602" s="52">
        <v>364</v>
      </c>
      <c r="AC602" s="4" t="str">
        <f ca="1">VLOOKUP($AB602,OFFSET([3]characters!$A$1,0,0,COUNTA([3]characters!$A:$A),MATCH(AC$1,[3]characters!$1:$1,0)-MATCH("character_id",[3]characters!$1:$1,0)+1),MATCH(AC$1,[3]characters!$1:$1,0)-MATCH("character_id",[3]characters!$1:$1,0)+1,FALSE)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602" s="4">
        <f ca="1">VLOOKUP($AB602,OFFSET([3]characters!$A$1,0,0,COUNTA([3]characters!$A:$A),MATCH(AD$1,[3]characters!$1:$1,0)-MATCH("character_id",[3]characters!$1:$1,0)+1),MATCH(AD$1,[3]characters!$1:$1,0)-MATCH("character_id",[3]characters!$1:$1,0)+1,FALSE)</f>
        <v>2</v>
      </c>
      <c r="AE602" s="4" t="str">
        <f ca="1">VLOOKUP($AB602,OFFSET([3]characters!$A$1,0,0,COUNTA([3]characters!$A:$A),MATCH(AE$1,[3]characters!$1:$1,0)-MATCH("character_id",[3]characters!$1:$1,0)+1),MATCH(AE$1,[3]characters!$1:$1,0)-MATCH("character_id",[3]characters!$1:$1,0)+1,FALSE)</f>
        <v>Drop1S</v>
      </c>
      <c r="AF602" s="7">
        <v>7</v>
      </c>
      <c r="AG602" s="26">
        <f t="shared" ca="1" si="619"/>
        <v>2</v>
      </c>
      <c r="AH602" s="8">
        <v>20</v>
      </c>
      <c r="AI602" s="7">
        <v>0</v>
      </c>
      <c r="AJ602" s="7">
        <v>0</v>
      </c>
      <c r="AK602" s="7">
        <v>0</v>
      </c>
      <c r="AL602" s="7">
        <v>0</v>
      </c>
      <c r="AM602" s="7">
        <v>1</v>
      </c>
    </row>
    <row r="603" spans="1:39" ht="14" x14ac:dyDescent="0.15">
      <c r="A603" s="18" t="str">
        <f t="shared" ca="1" si="604"/>
        <v>25_4-4/366&lt;lv52&gt;s3</v>
      </c>
      <c r="B603" s="53">
        <v>25</v>
      </c>
      <c r="C603" s="51">
        <v>4</v>
      </c>
      <c r="D603" s="2" t="str">
        <f t="shared" si="634"/>
        <v>25_4</v>
      </c>
      <c r="E603" s="2" t="str">
        <f t="shared" si="635"/>
        <v>4_25_4</v>
      </c>
      <c r="F603" s="4" t="str">
        <f ca="1">VLOOKUP($D603,OFFSET([1]stages!$A$1,0,0,COUNTA([1]stages!$A:$A),MATCH(F$1,[1]stages!$2:$2,0)-MATCH($D$1,[1]stages!$2:$2,0)+1),MATCH(F$1,[1]stages!$2:$2,0)-MATCH($D$1,[1]stages!$2:$2,0)+1,FALSE)</f>
        <v>25-4．許されぬ休息</v>
      </c>
      <c r="G603" s="57">
        <v>4</v>
      </c>
      <c r="H603" s="17" t="str">
        <f t="shared" si="636"/>
        <v>25_4-4</v>
      </c>
      <c r="I603" s="17"/>
      <c r="J603" s="17"/>
      <c r="K603" s="65" t="s">
        <v>56</v>
      </c>
      <c r="L603" s="52">
        <v>366</v>
      </c>
      <c r="M603" s="21" t="str">
        <f ca="1">VLOOKUP($L603,OFFSET([2]enemies!$A$1,0,0,COUNTA([2]enemies!$A:$A),MATCH(M$1,[2]enemies!$1:$1,0)-MATCH($L$1,[2]enemies!$1:$1,0)+1),MATCH(M$1,[2]enemies!$1:$1,0)-MATCH($L$1,[2]enemies!$1:$1,0)+1,FALSE)</f>
        <v>トト</v>
      </c>
      <c r="N603" s="21" t="str">
        <f ca="1">VLOOKUP($L603,OFFSET([2]enemies!$A$1,0,0,COUNTA([2]enemies!$A:$A),MATCH(N$1,[2]enemies!$1:$1,0)-MATCH($L$1,[2]enemies!$1:$1,0)+1),MATCH(N$1,[2]enemies!$1:$1,0)-MATCH($L$1,[2]enemies!$1:$1,0)+1,FALSE)</f>
        <v>yellow</v>
      </c>
      <c r="O603" s="21" t="str">
        <f ca="1">VLOOKUP($L603,OFFSET([3]characters!$A$1,0,0,COUNTA([3]characters!$A:$A),MATCH(O$1,[3]characters!$1:$1,0)-MATCH($L$1,[3]characters!$1:$1,0)+1),MATCH(O$1,[3]characters!$1:$1,0)-MATCH($L$1,[3]characters!$1:$1,0)+1,FALSE)</f>
        <v>Drop1S</v>
      </c>
      <c r="P603" s="21" t="str">
        <f ca="1">VLOOKUP($L603,OFFSET([2]enemies!$A$1,0,0,COUNTA([2]enemies!$A:$A),MATCH(P$1,[2]enemies!$1:$1,0)-MATCH($L$1,[2]enemies!$1:$1,0)+1),MATCH(P$1,[2]enemies!$1:$1,0)-MATCH($L$1,[2]enemies!$1:$1,0)+1,FALSE)</f>
        <v>animal</v>
      </c>
      <c r="Q603" s="21">
        <f ca="1">VLOOKUP($L603,OFFSET([2]enemies!$A$1,0,0,COUNTA([2]enemies!$A:$A),MATCH(Q$1,[2]enemies!$1:$1,0)-MATCH($L$1,[2]enemies!$1:$1,0)+1),MATCH(Q$1,[2]enemies!$1:$1,0)-MATCH($L$1,[2]enemies!$1:$1,0)+1,FALSE)</f>
        <v>15</v>
      </c>
      <c r="R603" s="53">
        <v>52</v>
      </c>
      <c r="S603" s="27">
        <v>1.1000000000000001</v>
      </c>
      <c r="T603" s="27">
        <v>1</v>
      </c>
      <c r="U603" s="5">
        <v>0</v>
      </c>
      <c r="V603" s="4" t="str">
        <f ca="1">VLOOKUP($W603,OFFSET([4]enemy_skill_sets!$B$1,0,0,COUNTA([4]enemy_skill_sets!$B:$B),MATCH(M$1,[4]enemy_skill_sets!$1:$1,0)-MATCH($W$1,[4]enemy_skill_sets!$1:$1,0)+2),MATCH(M$1,[4]enemy_skill_sets!$1:$1,0)-MATCH($W$1,[4]enemy_skill_sets!$1:$1,0)+2,FALSE)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603" s="64">
        <v>366</v>
      </c>
      <c r="X603" s="6">
        <v>0</v>
      </c>
      <c r="Y603" s="6">
        <v>100</v>
      </c>
      <c r="Z603" s="6">
        <v>0</v>
      </c>
      <c r="AA603" s="4">
        <f ca="1">VLOOKUP($L603,OFFSET([2]enemies!$A$1,0,0,COUNTA([2]enemies!$A:$A),MATCH(AA$1,[2]enemies!$1:$1,0)-MATCH($L$1,[2]enemies!$1:$1,0)+1),MATCH(AA$1,[2]enemies!$1:$1,0)-MATCH($L$1,[2]enemies!$1:$1,0)+1,FALSE)</f>
        <v>3</v>
      </c>
      <c r="AB603" s="52">
        <v>366</v>
      </c>
      <c r="AC603" s="4" t="str">
        <f ca="1">VLOOKUP($AB603,OFFSET([3]characters!$A$1,0,0,COUNTA([3]characters!$A:$A),MATCH(AC$1,[3]characters!$1:$1,0)-MATCH("character_id",[3]characters!$1:$1,0)+1),MATCH(AC$1,[3]characters!$1:$1,0)-MATCH("character_id",[3]characters!$1:$1,0)+1,FALSE)</f>
        <v>トト</v>
      </c>
      <c r="AD603" s="4">
        <f ca="1">VLOOKUP($AB603,OFFSET([3]characters!$A$1,0,0,COUNTA([3]characters!$A:$A),MATCH(AD$1,[3]characters!$1:$1,0)-MATCH("character_id",[3]characters!$1:$1,0)+1),MATCH(AD$1,[3]characters!$1:$1,0)-MATCH("character_id",[3]characters!$1:$1,0)+1,FALSE)</f>
        <v>2</v>
      </c>
      <c r="AE603" s="4" t="str">
        <f ca="1">VLOOKUP($AB603,OFFSET([3]characters!$A$1,0,0,COUNTA([3]characters!$A:$A),MATCH(AE$1,[3]characters!$1:$1,0)-MATCH("character_id",[3]characters!$1:$1,0)+1),MATCH(AE$1,[3]characters!$1:$1,0)-MATCH("character_id",[3]characters!$1:$1,0)+1,FALSE)</f>
        <v>Drop1S</v>
      </c>
      <c r="AF603" s="7">
        <v>7</v>
      </c>
      <c r="AG603" s="26">
        <f t="shared" ca="1" si="619"/>
        <v>2</v>
      </c>
      <c r="AH603" s="8">
        <v>20</v>
      </c>
      <c r="AI603" s="7">
        <v>0</v>
      </c>
      <c r="AJ603" s="7">
        <v>0</v>
      </c>
      <c r="AK603" s="7">
        <v>0</v>
      </c>
      <c r="AL603" s="7">
        <v>0</v>
      </c>
      <c r="AM603" s="7">
        <v>1</v>
      </c>
    </row>
    <row r="604" spans="1:39" ht="14" x14ac:dyDescent="0.15">
      <c r="A604" s="18" t="str">
        <f t="shared" ca="1" si="604"/>
        <v>25_4-4/352&lt;lv52&gt;s3</v>
      </c>
      <c r="B604" s="53">
        <v>25</v>
      </c>
      <c r="C604" s="51">
        <v>4</v>
      </c>
      <c r="D604" s="2" t="str">
        <f t="shared" ref="D604" si="637">B604&amp;"_"&amp;C604</f>
        <v>25_4</v>
      </c>
      <c r="E604" s="2" t="str">
        <f t="shared" ref="E604" si="638">C604&amp;"_"&amp;D604</f>
        <v>4_25_4</v>
      </c>
      <c r="F604" s="4" t="str">
        <f ca="1">VLOOKUP($D604,OFFSET([1]stages!$A$1,0,0,COUNTA([1]stages!$A:$A),MATCH(F$1,[1]stages!$2:$2,0)-MATCH($D$1,[1]stages!$2:$2,0)+1),MATCH(F$1,[1]stages!$2:$2,0)-MATCH($D$1,[1]stages!$2:$2,0)+1,FALSE)</f>
        <v>25-4．許されぬ休息</v>
      </c>
      <c r="G604" s="57">
        <v>4</v>
      </c>
      <c r="H604" s="17" t="str">
        <f t="shared" ref="H604" si="639">B604&amp;"_"&amp;C604&amp;"-"&amp;G604</f>
        <v>25_4-4</v>
      </c>
      <c r="I604" s="17"/>
      <c r="J604" s="17"/>
      <c r="K604" s="65" t="s">
        <v>56</v>
      </c>
      <c r="L604" s="52">
        <v>352</v>
      </c>
      <c r="M604" s="21" t="str">
        <f ca="1">VLOOKUP($L604,OFFSET([2]enemies!$A$1,0,0,COUNTA([2]enemies!$A:$A),MATCH(M$1,[2]enemies!$1:$1,0)-MATCH($L$1,[2]enemies!$1:$1,0)+1),MATCH(M$1,[2]enemies!$1:$1,0)-MATCH($L$1,[2]enemies!$1:$1,0)+1,FALSE)</f>
        <v>水のケロケロ</v>
      </c>
      <c r="N604" s="21" t="str">
        <f ca="1">VLOOKUP($L604,OFFSET([2]enemies!$A$1,0,0,COUNTA([2]enemies!$A:$A),MATCH(N$1,[2]enemies!$1:$1,0)-MATCH($L$1,[2]enemies!$1:$1,0)+1),MATCH(N$1,[2]enemies!$1:$1,0)-MATCH($L$1,[2]enemies!$1:$1,0)+1,FALSE)</f>
        <v>blue</v>
      </c>
      <c r="O604" s="21" t="str">
        <f ca="1">VLOOKUP($L604,OFFSET([3]characters!$A$1,0,0,COUNTA([3]characters!$A:$A),MATCH(O$1,[3]characters!$1:$1,0)-MATCH($L$1,[3]characters!$1:$1,0)+1),MATCH(O$1,[3]characters!$1:$1,0)-MATCH($L$1,[3]characters!$1:$1,0)+1,FALSE)</f>
        <v>Material</v>
      </c>
      <c r="P604" s="21" t="str">
        <f ca="1">VLOOKUP($L604,OFFSET([2]enemies!$A$1,0,0,COUNTA([2]enemies!$A:$A),MATCH(P$1,[2]enemies!$1:$1,0)-MATCH($L$1,[2]enemies!$1:$1,0)+1),MATCH(P$1,[2]enemies!$1:$1,0)-MATCH($L$1,[2]enemies!$1:$1,0)+1,FALSE)</f>
        <v>unknown</v>
      </c>
      <c r="Q604" s="21">
        <f ca="1">VLOOKUP($L604,OFFSET([2]enemies!$A$1,0,0,COUNTA([2]enemies!$A:$A),MATCH(Q$1,[2]enemies!$1:$1,0)-MATCH($L$1,[2]enemies!$1:$1,0)+1),MATCH(Q$1,[2]enemies!$1:$1,0)-MATCH($L$1,[2]enemies!$1:$1,0)+1,FALSE)</f>
        <v>15</v>
      </c>
      <c r="R604" s="53">
        <v>52</v>
      </c>
      <c r="S604" s="27">
        <v>1</v>
      </c>
      <c r="T604" s="27">
        <v>1</v>
      </c>
      <c r="U604" s="5">
        <v>0</v>
      </c>
      <c r="V604" s="4" t="str">
        <f ca="1">VLOOKUP($W604,OFFSET([4]enemy_skill_sets!$B$1,0,0,COUNTA([4]enemy_skill_sets!$B:$B),MATCH(M$1,[4]enemy_skill_sets!$1:$1,0)-MATCH($W$1,[4]enemy_skill_sets!$1:$1,0)+2),MATCH(M$1,[4]enemy_skill_sets!$1:$1,0)-MATCH($W$1,[4]enemy_skill_sets!$1:$1,0)+2,FALSE)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604" s="64">
        <v>352</v>
      </c>
      <c r="X604" s="6">
        <v>0</v>
      </c>
      <c r="Y604" s="6">
        <v>100</v>
      </c>
      <c r="Z604" s="6">
        <v>0</v>
      </c>
      <c r="AA604" s="4">
        <f ca="1">VLOOKUP($L604,OFFSET([2]enemies!$A$1,0,0,COUNTA([2]enemies!$A:$A),MATCH(AA$1,[2]enemies!$1:$1,0)-MATCH($L$1,[2]enemies!$1:$1,0)+1),MATCH(AA$1,[2]enemies!$1:$1,0)-MATCH($L$1,[2]enemies!$1:$1,0)+1,FALSE)</f>
        <v>3</v>
      </c>
      <c r="AB604" s="52">
        <v>352</v>
      </c>
      <c r="AC604" s="4" t="str">
        <f ca="1">VLOOKUP($AB604,OFFSET([3]characters!$A$1,0,0,COUNTA([3]characters!$A:$A),MATCH(AC$1,[3]characters!$1:$1,0)-MATCH("character_id",[3]characters!$1:$1,0)+1),MATCH(AC$1,[3]characters!$1:$1,0)-MATCH("character_id",[3]characters!$1:$1,0)+1,FALSE)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604" s="4">
        <f ca="1">VLOOKUP($AB604,OFFSET([3]characters!$A$1,0,0,COUNTA([3]characters!$A:$A),MATCH(AD$1,[3]characters!$1:$1,0)-MATCH("character_id",[3]characters!$1:$1,0)+1),MATCH(AD$1,[3]characters!$1:$1,0)-MATCH("character_id",[3]characters!$1:$1,0)+1,FALSE)</f>
        <v>2</v>
      </c>
      <c r="AE604" s="4" t="str">
        <f ca="1">VLOOKUP($AB604,OFFSET([3]characters!$A$1,0,0,COUNTA([3]characters!$A:$A),MATCH(AE$1,[3]characters!$1:$1,0)-MATCH("character_id",[3]characters!$1:$1,0)+1),MATCH(AE$1,[3]characters!$1:$1,0)-MATCH("character_id",[3]characters!$1:$1,0)+1,FALSE)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04" s="7">
        <v>10</v>
      </c>
      <c r="AG604" s="26">
        <f t="shared" ca="1" si="619"/>
        <v>2</v>
      </c>
      <c r="AH604" s="8">
        <v>20</v>
      </c>
      <c r="AI604" s="7">
        <v>0</v>
      </c>
      <c r="AJ604" s="7">
        <v>0</v>
      </c>
      <c r="AK604" s="7">
        <v>0</v>
      </c>
      <c r="AL604" s="7">
        <v>0</v>
      </c>
      <c r="AM604" s="7">
        <v>1</v>
      </c>
    </row>
    <row r="605" spans="1:39" ht="14" x14ac:dyDescent="0.15">
      <c r="A605" s="18" t="str">
        <f t="shared" ca="1" si="604"/>
        <v>25_4-5/146&lt;lv52&gt;s3</v>
      </c>
      <c r="B605" s="50">
        <v>25</v>
      </c>
      <c r="C605" s="49">
        <v>4</v>
      </c>
      <c r="D605" s="2" t="str">
        <f t="shared" si="632"/>
        <v>25_4</v>
      </c>
      <c r="E605" s="2" t="str">
        <f t="shared" si="632"/>
        <v>4_25_4</v>
      </c>
      <c r="F605" s="4" t="str">
        <f ca="1">VLOOKUP($D605,OFFSET([1]stages!$A$1,0,0,COUNTA([1]stages!$A:$A),MATCH(F$1,[1]stages!$2:$2,0)-MATCH($D$1,[1]stages!$2:$2,0)+1),MATCH(F$1,[1]stages!$2:$2,0)-MATCH($D$1,[1]stages!$2:$2,0)+1,FALSE)</f>
        <v>25-4．許されぬ休息</v>
      </c>
      <c r="G605" s="54">
        <v>5</v>
      </c>
      <c r="H605" s="17" t="str">
        <f t="shared" si="633"/>
        <v>25_4-5</v>
      </c>
      <c r="I605" s="17"/>
      <c r="J605" s="17"/>
      <c r="K605" s="65" t="s">
        <v>56</v>
      </c>
      <c r="L605" s="52">
        <v>146</v>
      </c>
      <c r="M605" s="21" t="str">
        <f ca="1">VLOOKUP($L605,OFFSET([2]enemies!$A$1,0,0,COUNTA([2]enemies!$A:$A),MATCH(M$1,[2]enemies!$1:$1,0)-MATCH($L$1,[2]enemies!$1:$1,0)+1),MATCH(M$1,[2]enemies!$1:$1,0)-MATCH($L$1,[2]enemies!$1:$1,0)+1,FALSE)</f>
        <v>マーメイド</v>
      </c>
      <c r="N605" s="21" t="str">
        <f ca="1">VLOOKUP($L605,OFFSET([2]enemies!$A$1,0,0,COUNTA([2]enemies!$A:$A),MATCH(N$1,[2]enemies!$1:$1,0)-MATCH($L$1,[2]enemies!$1:$1,0)+1),MATCH(N$1,[2]enemies!$1:$1,0)-MATCH($L$1,[2]enemies!$1:$1,0)+1,FALSE)</f>
        <v>blue</v>
      </c>
      <c r="O605" s="21" t="str">
        <f ca="1">VLOOKUP($L605,OFFSET([3]characters!$A$1,0,0,COUNTA([3]characters!$A:$A),MATCH(O$1,[3]characters!$1:$1,0)-MATCH($L$1,[3]characters!$1:$1,0)+1),MATCH(O$1,[3]characters!$1:$1,0)-MATCH($L$1,[3]characters!$1:$1,0)+1,FALSE)</f>
        <v>PremiumW</v>
      </c>
      <c r="P605" s="21" t="str">
        <f ca="1">VLOOKUP($L605,OFFSET([2]enemies!$A$1,0,0,COUNTA([2]enemies!$A:$A),MATCH(P$1,[2]enemies!$1:$1,0)-MATCH($L$1,[2]enemies!$1:$1,0)+1),MATCH(P$1,[2]enemies!$1:$1,0)-MATCH($L$1,[2]enemies!$1:$1,0)+1,FALSE)</f>
        <v>human</v>
      </c>
      <c r="Q605" s="21">
        <f ca="1">VLOOKUP($L605,OFFSET([2]enemies!$A$1,0,0,COUNTA([2]enemies!$A:$A),MATCH(Q$1,[2]enemies!$1:$1,0)-MATCH($L$1,[2]enemies!$1:$1,0)+1),MATCH(Q$1,[2]enemies!$1:$1,0)-MATCH($L$1,[2]enemies!$1:$1,0)+1,FALSE)</f>
        <v>20</v>
      </c>
      <c r="R605" s="53">
        <v>52</v>
      </c>
      <c r="S605" s="27">
        <v>1.5</v>
      </c>
      <c r="T605" s="27">
        <v>1</v>
      </c>
      <c r="U605" s="5">
        <v>0</v>
      </c>
      <c r="V605" s="4" t="str">
        <f ca="1">VLOOKUP($W605,OFFSET([4]enemy_skill_sets!$B$1,0,0,COUNTA([4]enemy_skill_sets!$B:$B),MATCH(M$1,[4]enemy_skill_sets!$1:$1,0)-MATCH($W$1,[4]enemy_skill_sets!$1:$1,0)+2),MATCH(M$1,[4]enemy_skill_sets!$1:$1,0)-MATCH($W$1,[4]enemy_skill_sets!$1:$1,0)+2,FALSE)</f>
        <v>ハートパネルで回復できない</v>
      </c>
      <c r="W605" s="4">
        <f ca="1">VLOOKUP($L605,OFFSET([2]enemies!$A$1,0,0,COUNTA([2]enemies!$A:$A),MATCH(W$1,[2]enemies!$1:$1,0)-MATCH($L$1,[2]enemies!$1:$1,0)+1),MATCH(W$1,[2]enemies!$1:$1,0)-MATCH($L$1,[2]enemies!$1:$1,0)+1,FALSE)</f>
        <v>146</v>
      </c>
      <c r="X605" s="6">
        <v>1</v>
      </c>
      <c r="Y605" s="6">
        <v>100</v>
      </c>
      <c r="Z605" s="6">
        <v>1</v>
      </c>
      <c r="AA605" s="4">
        <f ca="1">VLOOKUP($L605,OFFSET([2]enemies!$A$1,0,0,COUNTA([2]enemies!$A:$A),MATCH(AA$1,[2]enemies!$1:$1,0)-MATCH($L$1,[2]enemies!$1:$1,0)+1),MATCH(AA$1,[2]enemies!$1:$1,0)-MATCH($L$1,[2]enemies!$1:$1,0)+1,FALSE)</f>
        <v>3</v>
      </c>
      <c r="AB605" s="52">
        <v>146</v>
      </c>
      <c r="AC605" s="4" t="str">
        <f ca="1">VLOOKUP($AB605,OFFSET([3]characters!$A$1,0,0,COUNTA([3]characters!$A:$A),MATCH(AC$1,[3]characters!$1:$1,0)-MATCH("character_id",[3]characters!$1:$1,0)+1),MATCH(AC$1,[3]characters!$1:$1,0)-MATCH("character_id",[3]characters!$1:$1,0)+1,FALSE)</f>
        <v>マーメイド</v>
      </c>
      <c r="AD605" s="4">
        <f ca="1">VLOOKUP($AB605,OFFSET([3]characters!$A$1,0,0,COUNTA([3]characters!$A:$A),MATCH(AD$1,[3]characters!$1:$1,0)-MATCH("character_id",[3]characters!$1:$1,0)+1),MATCH(AD$1,[3]characters!$1:$1,0)-MATCH("character_id",[3]characters!$1:$1,0)+1,FALSE)</f>
        <v>3</v>
      </c>
      <c r="AE605" s="4" t="str">
        <f ca="1">VLOOKUP($AB605,OFFSET([3]characters!$A$1,0,0,COUNTA([3]characters!$A:$A),MATCH(AE$1,[3]characters!$1:$1,0)-MATCH("character_id",[3]characters!$1:$1,0)+1),MATCH(AE$1,[3]characters!$1:$1,0)-MATCH("character_id",[3]characters!$1:$1,0)+1,FALSE)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605" s="7">
        <v>1</v>
      </c>
      <c r="AG605" s="26">
        <f t="shared" ca="1" si="619"/>
        <v>3</v>
      </c>
      <c r="AH605" s="8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1</v>
      </c>
    </row>
    <row r="606" spans="1:39" ht="14" x14ac:dyDescent="0.15">
      <c r="A606" s="18" t="str">
        <f t="shared" ca="1" si="604"/>
        <v>25_4-5/156&lt;lv52&gt;s2</v>
      </c>
      <c r="B606" s="53">
        <v>25</v>
      </c>
      <c r="C606" s="51">
        <v>4</v>
      </c>
      <c r="D606" s="2" t="str">
        <f t="shared" ref="D606:E606" si="640">B606&amp;"_"&amp;C606</f>
        <v>25_4</v>
      </c>
      <c r="E606" s="2" t="str">
        <f t="shared" si="640"/>
        <v>4_25_4</v>
      </c>
      <c r="F606" s="4" t="str">
        <f ca="1">VLOOKUP($D606,OFFSET([1]stages!$A$1,0,0,COUNTA([1]stages!$A:$A),MATCH(F$1,[1]stages!$2:$2,0)-MATCH($D$1,[1]stages!$2:$2,0)+1),MATCH(F$1,[1]stages!$2:$2,0)-MATCH($D$1,[1]stages!$2:$2,0)+1,FALSE)</f>
        <v>25-4．許されぬ休息</v>
      </c>
      <c r="G606" s="54">
        <v>5</v>
      </c>
      <c r="H606" s="17" t="str">
        <f t="shared" ref="H606" si="641">B606&amp;"_"&amp;C606&amp;"-"&amp;G606</f>
        <v>25_4-5</v>
      </c>
      <c r="I606" s="17"/>
      <c r="J606" s="17"/>
      <c r="K606" s="65" t="s">
        <v>56</v>
      </c>
      <c r="L606" s="52">
        <v>156</v>
      </c>
      <c r="M606" s="21" t="str">
        <f ca="1">VLOOKUP($L606,OFFSET([2]enemies!$A$1,0,0,COUNTA([2]enemies!$A:$A),MATCH(M$1,[2]enemies!$1:$1,0)-MATCH($L$1,[2]enemies!$1:$1,0)+1),MATCH(M$1,[2]enemies!$1:$1,0)-MATCH($L$1,[2]enemies!$1:$1,0)+1,FALSE)</f>
        <v>踊り子 エレナ</v>
      </c>
      <c r="N606" s="21" t="str">
        <f ca="1">VLOOKUP($L606,OFFSET([2]enemies!$A$1,0,0,COUNTA([2]enemies!$A:$A),MATCH(N$1,[2]enemies!$1:$1,0)-MATCH($L$1,[2]enemies!$1:$1,0)+1),MATCH(N$1,[2]enemies!$1:$1,0)-MATCH($L$1,[2]enemies!$1:$1,0)+1,FALSE)</f>
        <v>yellow</v>
      </c>
      <c r="O606" s="21" t="str">
        <f ca="1">VLOOKUP($L606,OFFSET([3]characters!$A$1,0,0,COUNTA([3]characters!$A:$A),MATCH(O$1,[3]characters!$1:$1,0)-MATCH($L$1,[3]characters!$1:$1,0)+1),MATCH(O$1,[3]characters!$1:$1,0)-MATCH($L$1,[3]characters!$1:$1,0)+1,FALSE)</f>
        <v>PremiumW</v>
      </c>
      <c r="P606" s="21" t="str">
        <f ca="1">VLOOKUP($L606,OFFSET([2]enemies!$A$1,0,0,COUNTA([2]enemies!$A:$A),MATCH(P$1,[2]enemies!$1:$1,0)-MATCH($L$1,[2]enemies!$1:$1,0)+1),MATCH(P$1,[2]enemies!$1:$1,0)-MATCH($L$1,[2]enemies!$1:$1,0)+1,FALSE)</f>
        <v>human</v>
      </c>
      <c r="Q606" s="21">
        <f ca="1">VLOOKUP($L606,OFFSET([2]enemies!$A$1,0,0,COUNTA([2]enemies!$A:$A),MATCH(Q$1,[2]enemies!$1:$1,0)-MATCH($L$1,[2]enemies!$1:$1,0)+1),MATCH(Q$1,[2]enemies!$1:$1,0)-MATCH($L$1,[2]enemies!$1:$1,0)+1,FALSE)</f>
        <v>20</v>
      </c>
      <c r="R606" s="53">
        <v>52</v>
      </c>
      <c r="S606" s="27">
        <v>2</v>
      </c>
      <c r="T606" s="27">
        <v>1</v>
      </c>
      <c r="U606" s="5">
        <v>0</v>
      </c>
      <c r="V606" s="4" t="str">
        <f ca="1">VLOOKUP($W606,OFFSET([4]enemy_skill_sets!$B$1,0,0,COUNTA([4]enemy_skill_sets!$B:$B),MATCH(M$1,[4]enemy_skill_sets!$1:$1,0)-MATCH($W$1,[4]enemy_skill_sets!$1:$1,0)+2),MATCH(M$1,[4]enemy_skill_sets!$1:$1,0)-MATCH($W$1,[4]enemy_skill_sets!$1:$1,0)+2,FALSE)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06" s="64">
        <v>15601</v>
      </c>
      <c r="X606" s="6">
        <v>1</v>
      </c>
      <c r="Y606" s="6">
        <v>100</v>
      </c>
      <c r="Z606" s="6">
        <v>1</v>
      </c>
      <c r="AA606" s="4">
        <f ca="1">VLOOKUP($L606,OFFSET([2]enemies!$A$1,0,0,COUNTA([2]enemies!$A:$A),MATCH(AA$1,[2]enemies!$1:$1,0)-MATCH($L$1,[2]enemies!$1:$1,0)+1),MATCH(AA$1,[2]enemies!$1:$1,0)-MATCH($L$1,[2]enemies!$1:$1,0)+1,FALSE)</f>
        <v>2</v>
      </c>
      <c r="AB606" s="52">
        <v>196</v>
      </c>
      <c r="AC606" s="4" t="str">
        <f ca="1">VLOOKUP($AB606,OFFSET([3]characters!$A$1,0,0,COUNTA([3]characters!$A:$A),MATCH(AC$1,[3]characters!$1:$1,0)-MATCH("character_id",[3]characters!$1:$1,0)+1),MATCH(AC$1,[3]characters!$1:$1,0)-MATCH("character_id",[3]characters!$1:$1,0)+1,FALSE)</f>
        <v>アキレス</v>
      </c>
      <c r="AD606" s="4">
        <f ca="1">VLOOKUP($AB606,OFFSET([3]characters!$A$1,0,0,COUNTA([3]characters!$A:$A),MATCH(AD$1,[3]characters!$1:$1,0)-MATCH("character_id",[3]characters!$1:$1,0)+1),MATCH(AD$1,[3]characters!$1:$1,0)-MATCH("character_id",[3]characters!$1:$1,0)+1,FALSE)</f>
        <v>3</v>
      </c>
      <c r="AE606" s="4" t="str">
        <f ca="1">VLOOKUP($AB606,OFFSET([3]characters!$A$1,0,0,COUNTA([3]characters!$A:$A),MATCH(AE$1,[3]characters!$1:$1,0)-MATCH("character_id",[3]characters!$1:$1,0)+1),MATCH(AE$1,[3]characters!$1:$1,0)-MATCH("character_id",[3]characters!$1:$1,0)+1,FALSE)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606" s="7">
        <v>1</v>
      </c>
      <c r="AG606" s="26">
        <f t="shared" ca="1" si="619"/>
        <v>3</v>
      </c>
      <c r="AH606" s="8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1</v>
      </c>
    </row>
    <row r="607" spans="1:39" ht="14" x14ac:dyDescent="0.15">
      <c r="A607" s="18" t="str">
        <f t="shared" ca="1" si="604"/>
        <v>25_5-1/25&lt;lv52&gt;s3</v>
      </c>
      <c r="B607" s="50">
        <v>25</v>
      </c>
      <c r="C607" s="49">
        <v>5</v>
      </c>
      <c r="D607" s="2" t="str">
        <f t="shared" si="632"/>
        <v>25_5</v>
      </c>
      <c r="E607" s="2" t="str">
        <f t="shared" si="632"/>
        <v>5_25_5</v>
      </c>
      <c r="F607" s="4" t="str">
        <f ca="1">VLOOKUP($D607,OFFSET([1]stages!$A$1,0,0,COUNTA([1]stages!$A:$A),MATCH(F$1,[1]stages!$2:$2,0)-MATCH($D$1,[1]stages!$2:$2,0)+1),MATCH(F$1,[1]stages!$2:$2,0)-MATCH($D$1,[1]stages!$2:$2,0)+1,FALSE)</f>
        <v>25-5．君はサディスティック</v>
      </c>
      <c r="G607" s="55">
        <v>1</v>
      </c>
      <c r="H607" s="17" t="str">
        <f t="shared" si="633"/>
        <v>25_5-1</v>
      </c>
      <c r="I607" s="17"/>
      <c r="J607" s="17"/>
      <c r="K607" s="65" t="s">
        <v>56</v>
      </c>
      <c r="L607" s="52">
        <v>25</v>
      </c>
      <c r="M607" s="21" t="str">
        <f ca="1">VLOOKUP($L607,OFFSET([2]enemies!$A$1,0,0,COUNTA([2]enemies!$A:$A),MATCH(M$1,[2]enemies!$1:$1,0)-MATCH($L$1,[2]enemies!$1:$1,0)+1),MATCH(M$1,[2]enemies!$1:$1,0)-MATCH($L$1,[2]enemies!$1:$1,0)+1,FALSE)</f>
        <v>ハチ</v>
      </c>
      <c r="N607" s="21" t="str">
        <f ca="1">VLOOKUP($L607,OFFSET([2]enemies!$A$1,0,0,COUNTA([2]enemies!$A:$A),MATCH(N$1,[2]enemies!$1:$1,0)-MATCH($L$1,[2]enemies!$1:$1,0)+1),MATCH(N$1,[2]enemies!$1:$1,0)-MATCH($L$1,[2]enemies!$1:$1,0)+1,FALSE)</f>
        <v>blue</v>
      </c>
      <c r="O607" s="21" t="str">
        <f ca="1">VLOOKUP($L607,OFFSET([3]characters!$A$1,0,0,COUNTA([3]characters!$A:$A),MATCH(O$1,[3]characters!$1:$1,0)-MATCH($L$1,[3]characters!$1:$1,0)+1),MATCH(O$1,[3]characters!$1:$1,0)-MATCH($L$1,[3]characters!$1:$1,0)+1,FALSE)</f>
        <v>Drop1N</v>
      </c>
      <c r="P607" s="21" t="str">
        <f ca="1">VLOOKUP($L607,OFFSET([2]enemies!$A$1,0,0,COUNTA([2]enemies!$A:$A),MATCH(P$1,[2]enemies!$1:$1,0)-MATCH($L$1,[2]enemies!$1:$1,0)+1),MATCH(P$1,[2]enemies!$1:$1,0)-MATCH($L$1,[2]enemies!$1:$1,0)+1,FALSE)</f>
        <v>animal</v>
      </c>
      <c r="Q607" s="21">
        <f ca="1">VLOOKUP($L607,OFFSET([2]enemies!$A$1,0,0,COUNTA([2]enemies!$A:$A),MATCH(Q$1,[2]enemies!$1:$1,0)-MATCH($L$1,[2]enemies!$1:$1,0)+1),MATCH(Q$1,[2]enemies!$1:$1,0)-MATCH($L$1,[2]enemies!$1:$1,0)+1,FALSE)</f>
        <v>15</v>
      </c>
      <c r="R607" s="53">
        <v>52</v>
      </c>
      <c r="S607" s="27">
        <v>1</v>
      </c>
      <c r="T607" s="27">
        <v>1</v>
      </c>
      <c r="U607" s="5">
        <v>0</v>
      </c>
      <c r="V607" s="4" t="str">
        <f ca="1">VLOOKUP($W607,OFFSET([4]enemy_skill_sets!$B$1,0,0,COUNTA([4]enemy_skill_sets!$B:$B),MATCH(M$1,[4]enemy_skill_sets!$1:$1,0)-MATCH($W$1,[4]enemy_skill_sets!$1:$1,0)+2),MATCH(M$1,[4]enemy_skill_sets!$1:$1,0)-MATCH($W$1,[4]enemy_skill_sets!$1:$1,0)+2,FALSE)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07" s="4">
        <f ca="1">VLOOKUP($L607,OFFSET([2]enemies!$A$1,0,0,COUNTA([2]enemies!$A:$A),MATCH(W$1,[2]enemies!$1:$1,0)-MATCH($L$1,[2]enemies!$1:$1,0)+1),MATCH(W$1,[2]enemies!$1:$1,0)-MATCH($L$1,[2]enemies!$1:$1,0)+1,FALSE)</f>
        <v>0</v>
      </c>
      <c r="X607" s="6">
        <v>0</v>
      </c>
      <c r="Y607" s="6">
        <v>100</v>
      </c>
      <c r="Z607" s="6">
        <v>0</v>
      </c>
      <c r="AA607" s="4">
        <f ca="1">VLOOKUP($L607,OFFSET([2]enemies!$A$1,0,0,COUNTA([2]enemies!$A:$A),MATCH(AA$1,[2]enemies!$1:$1,0)-MATCH($L$1,[2]enemies!$1:$1,0)+1),MATCH(AA$1,[2]enemies!$1:$1,0)-MATCH($L$1,[2]enemies!$1:$1,0)+1,FALSE)</f>
        <v>3</v>
      </c>
      <c r="AB607" s="52">
        <v>25</v>
      </c>
      <c r="AC607" s="4" t="str">
        <f ca="1">VLOOKUP($AB607,OFFSET([3]characters!$A$1,0,0,COUNTA([3]characters!$A:$A),MATCH(AC$1,[3]characters!$1:$1,0)-MATCH("character_id",[3]characters!$1:$1,0)+1),MATCH(AC$1,[3]characters!$1:$1,0)-MATCH("character_id",[3]characters!$1:$1,0)+1,FALSE)</f>
        <v>ハチ</v>
      </c>
      <c r="AD607" s="4">
        <f ca="1">VLOOKUP($AB607,OFFSET([3]characters!$A$1,0,0,COUNTA([3]characters!$A:$A),MATCH(AD$1,[3]characters!$1:$1,0)-MATCH("character_id",[3]characters!$1:$1,0)+1),MATCH(AD$1,[3]characters!$1:$1,0)-MATCH("character_id",[3]characters!$1:$1,0)+1,FALSE)</f>
        <v>1</v>
      </c>
      <c r="AE607" s="4" t="str">
        <f ca="1">VLOOKUP($AB607,OFFSET([3]characters!$A$1,0,0,COUNTA([3]characters!$A:$A),MATCH(AE$1,[3]characters!$1:$1,0)-MATCH("character_id",[3]characters!$1:$1,0)+1),MATCH(AE$1,[3]characters!$1:$1,0)-MATCH("character_id",[3]characters!$1:$1,0)+1,FALSE)</f>
        <v>Drop1N</v>
      </c>
      <c r="AF607" s="7">
        <v>7</v>
      </c>
      <c r="AG607" s="26">
        <f t="shared" ca="1" si="619"/>
        <v>1</v>
      </c>
      <c r="AH607" s="8">
        <v>20</v>
      </c>
      <c r="AI607" s="7">
        <v>0</v>
      </c>
      <c r="AJ607" s="7">
        <v>0</v>
      </c>
      <c r="AK607" s="7">
        <v>0</v>
      </c>
      <c r="AL607" s="7">
        <v>0</v>
      </c>
      <c r="AM607" s="7">
        <v>1</v>
      </c>
    </row>
    <row r="608" spans="1:39" ht="14" x14ac:dyDescent="0.15">
      <c r="A608" s="18" t="str">
        <f t="shared" ref="A608:A672" ca="1" si="642">B608&amp;"_"&amp;C608&amp;"-"&amp;G608&amp;"/"&amp;L608&amp;"&lt;lv"&amp;R608&amp;"&gt;s"&amp;AA608</f>
        <v>25_5-1/37&lt;lv52&gt;s3</v>
      </c>
      <c r="B608" s="50">
        <v>25</v>
      </c>
      <c r="C608" s="49">
        <v>5</v>
      </c>
      <c r="D608" s="2" t="str">
        <f t="shared" si="632"/>
        <v>25_5</v>
      </c>
      <c r="E608" s="2" t="str">
        <f t="shared" si="632"/>
        <v>5_25_5</v>
      </c>
      <c r="F608" s="4" t="str">
        <f ca="1">VLOOKUP($D608,OFFSET([1]stages!$A$1,0,0,COUNTA([1]stages!$A:$A),MATCH(F$1,[1]stages!$2:$2,0)-MATCH($D$1,[1]stages!$2:$2,0)+1),MATCH(F$1,[1]stages!$2:$2,0)-MATCH($D$1,[1]stages!$2:$2,0)+1,FALSE)</f>
        <v>25-5．君はサディスティック</v>
      </c>
      <c r="G608" s="55">
        <v>1</v>
      </c>
      <c r="H608" s="17" t="str">
        <f t="shared" si="633"/>
        <v>25_5-1</v>
      </c>
      <c r="I608" s="17"/>
      <c r="J608" s="17"/>
      <c r="K608" s="65" t="s">
        <v>56</v>
      </c>
      <c r="L608" s="52">
        <v>37</v>
      </c>
      <c r="M608" s="21" t="str">
        <f ca="1">VLOOKUP($L608,OFFSET([2]enemies!$A$1,0,0,COUNTA([2]enemies!$A:$A),MATCH(M$1,[2]enemies!$1:$1,0)-MATCH($L$1,[2]enemies!$1:$1,0)+1),MATCH(M$1,[2]enemies!$1:$1,0)-MATCH($L$1,[2]enemies!$1:$1,0)+1,FALSE)</f>
        <v>ガイル</v>
      </c>
      <c r="N608" s="21" t="str">
        <f ca="1">VLOOKUP($L608,OFFSET([2]enemies!$A$1,0,0,COUNTA([2]enemies!$A:$A),MATCH(N$1,[2]enemies!$1:$1,0)-MATCH($L$1,[2]enemies!$1:$1,0)+1),MATCH(N$1,[2]enemies!$1:$1,0)-MATCH($L$1,[2]enemies!$1:$1,0)+1,FALSE)</f>
        <v>blue</v>
      </c>
      <c r="O608" s="21" t="str">
        <f ca="1">VLOOKUP($L608,OFFSET([3]characters!$A$1,0,0,COUNTA([3]characters!$A:$A),MATCH(O$1,[3]characters!$1:$1,0)-MATCH($L$1,[3]characters!$1:$1,0)+1),MATCH(O$1,[3]characters!$1:$1,0)-MATCH($L$1,[3]characters!$1:$1,0)+1,FALSE)</f>
        <v>Drop1S</v>
      </c>
      <c r="P608" s="21" t="str">
        <f ca="1">VLOOKUP($L608,OFFSET([2]enemies!$A$1,0,0,COUNTA([2]enemies!$A:$A),MATCH(P$1,[2]enemies!$1:$1,0)-MATCH($L$1,[2]enemies!$1:$1,0)+1),MATCH(P$1,[2]enemies!$1:$1,0)-MATCH($L$1,[2]enemies!$1:$1,0)+1,FALSE)</f>
        <v>animal</v>
      </c>
      <c r="Q608" s="21">
        <f ca="1">VLOOKUP($L608,OFFSET([2]enemies!$A$1,0,0,COUNTA([2]enemies!$A:$A),MATCH(Q$1,[2]enemies!$1:$1,0)-MATCH($L$1,[2]enemies!$1:$1,0)+1),MATCH(Q$1,[2]enemies!$1:$1,0)-MATCH($L$1,[2]enemies!$1:$1,0)+1,FALSE)</f>
        <v>15</v>
      </c>
      <c r="R608" s="53">
        <v>52</v>
      </c>
      <c r="S608" s="27">
        <v>1</v>
      </c>
      <c r="T608" s="27">
        <v>1</v>
      </c>
      <c r="U608" s="5">
        <v>0</v>
      </c>
      <c r="V608" s="4" t="str">
        <f ca="1">VLOOKUP($W608,OFFSET([4]enemy_skill_sets!$B$1,0,0,COUNTA([4]enemy_skill_sets!$B:$B),MATCH(M$1,[4]enemy_skill_sets!$1:$1,0)-MATCH($W$1,[4]enemy_skill_sets!$1:$1,0)+2),MATCH(M$1,[4]enemy_skill_sets!$1:$1,0)-MATCH($W$1,[4]enemy_skill_sets!$1:$1,0)+2,FALSE)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608" s="4">
        <f ca="1">VLOOKUP($L608,OFFSET([2]enemies!$A$1,0,0,COUNTA([2]enemies!$A:$A),MATCH(W$1,[2]enemies!$1:$1,0)-MATCH($L$1,[2]enemies!$1:$1,0)+1),MATCH(W$1,[2]enemies!$1:$1,0)-MATCH($L$1,[2]enemies!$1:$1,0)+1,FALSE)</f>
        <v>37</v>
      </c>
      <c r="X608" s="6">
        <v>0</v>
      </c>
      <c r="Y608" s="6">
        <v>100</v>
      </c>
      <c r="Z608" s="6">
        <v>0</v>
      </c>
      <c r="AA608" s="4">
        <f ca="1">VLOOKUP($L608,OFFSET([2]enemies!$A$1,0,0,COUNTA([2]enemies!$A:$A),MATCH(AA$1,[2]enemies!$1:$1,0)-MATCH($L$1,[2]enemies!$1:$1,0)+1),MATCH(AA$1,[2]enemies!$1:$1,0)-MATCH($L$1,[2]enemies!$1:$1,0)+1,FALSE)</f>
        <v>3</v>
      </c>
      <c r="AB608" s="52">
        <v>37</v>
      </c>
      <c r="AC608" s="4" t="str">
        <f ca="1">VLOOKUP($AB608,OFFSET([3]characters!$A$1,0,0,COUNTA([3]characters!$A:$A),MATCH(AC$1,[3]characters!$1:$1,0)-MATCH("character_id",[3]characters!$1:$1,0)+1),MATCH(AC$1,[3]characters!$1:$1,0)-MATCH("character_id",[3]characters!$1:$1,0)+1,FALSE)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608" s="4">
        <f ca="1">VLOOKUP($AB608,OFFSET([3]characters!$A$1,0,0,COUNTA([3]characters!$A:$A),MATCH(AD$1,[3]characters!$1:$1,0)-MATCH("character_id",[3]characters!$1:$1,0)+1),MATCH(AD$1,[3]characters!$1:$1,0)-MATCH("character_id",[3]characters!$1:$1,0)+1,FALSE)</f>
        <v>2</v>
      </c>
      <c r="AE608" s="4" t="str">
        <f ca="1">VLOOKUP($AB608,OFFSET([3]characters!$A$1,0,0,COUNTA([3]characters!$A:$A),MATCH(AE$1,[3]characters!$1:$1,0)-MATCH("character_id",[3]characters!$1:$1,0)+1),MATCH(AE$1,[3]characters!$1:$1,0)-MATCH("character_id",[3]characters!$1:$1,0)+1,FALSE)</f>
        <v>Drop1S</v>
      </c>
      <c r="AF608" s="7">
        <v>5</v>
      </c>
      <c r="AG608" s="26">
        <f t="shared" ca="1" si="619"/>
        <v>2</v>
      </c>
      <c r="AH608" s="8">
        <v>20</v>
      </c>
      <c r="AI608" s="7">
        <v>0</v>
      </c>
      <c r="AJ608" s="7">
        <v>0</v>
      </c>
      <c r="AK608" s="7">
        <v>0</v>
      </c>
      <c r="AL608" s="7">
        <v>0</v>
      </c>
      <c r="AM608" s="7">
        <v>1</v>
      </c>
    </row>
    <row r="609" spans="1:39" ht="14" x14ac:dyDescent="0.15">
      <c r="A609" s="18" t="str">
        <f t="shared" ca="1" si="642"/>
        <v>25_5-1/45&lt;lv52&gt;s3</v>
      </c>
      <c r="B609" s="50">
        <v>25</v>
      </c>
      <c r="C609" s="49">
        <v>5</v>
      </c>
      <c r="D609" s="2" t="str">
        <f t="shared" si="632"/>
        <v>25_5</v>
      </c>
      <c r="E609" s="2" t="str">
        <f t="shared" si="632"/>
        <v>5_25_5</v>
      </c>
      <c r="F609" s="4" t="str">
        <f ca="1">VLOOKUP($D609,OFFSET([1]stages!$A$1,0,0,COUNTA([1]stages!$A:$A),MATCH(F$1,[1]stages!$2:$2,0)-MATCH($D$1,[1]stages!$2:$2,0)+1),MATCH(F$1,[1]stages!$2:$2,0)-MATCH($D$1,[1]stages!$2:$2,0)+1,FALSE)</f>
        <v>25-5．君はサディスティック</v>
      </c>
      <c r="G609" s="55">
        <v>1</v>
      </c>
      <c r="H609" s="17" t="str">
        <f t="shared" si="633"/>
        <v>25_5-1</v>
      </c>
      <c r="I609" s="17"/>
      <c r="J609" s="17"/>
      <c r="K609" s="65" t="s">
        <v>56</v>
      </c>
      <c r="L609" s="52">
        <v>45</v>
      </c>
      <c r="M609" s="21" t="str">
        <f ca="1">VLOOKUP($L609,OFFSET([2]enemies!$A$1,0,0,COUNTA([2]enemies!$A:$A),MATCH(M$1,[2]enemies!$1:$1,0)-MATCH($L$1,[2]enemies!$1:$1,0)+1),MATCH(M$1,[2]enemies!$1:$1,0)-MATCH($L$1,[2]enemies!$1:$1,0)+1,FALSE)</f>
        <v>ショウイン</v>
      </c>
      <c r="N609" s="21" t="str">
        <f ca="1">VLOOKUP($L609,OFFSET([2]enemies!$A$1,0,0,COUNTA([2]enemies!$A:$A),MATCH(N$1,[2]enemies!$1:$1,0)-MATCH($L$1,[2]enemies!$1:$1,0)+1),MATCH(N$1,[2]enemies!$1:$1,0)-MATCH($L$1,[2]enemies!$1:$1,0)+1,FALSE)</f>
        <v>blue</v>
      </c>
      <c r="O609" s="21" t="str">
        <f ca="1">VLOOKUP($L609,OFFSET([3]characters!$A$1,0,0,COUNTA([3]characters!$A:$A),MATCH(O$1,[3]characters!$1:$1,0)-MATCH($L$1,[3]characters!$1:$1,0)+1),MATCH(O$1,[3]characters!$1:$1,0)-MATCH($L$1,[3]characters!$1:$1,0)+1,FALSE)</f>
        <v>Drop1N</v>
      </c>
      <c r="P609" s="21" t="str">
        <f ca="1">VLOOKUP($L609,OFFSET([2]enemies!$A$1,0,0,COUNTA([2]enemies!$A:$A),MATCH(P$1,[2]enemies!$1:$1,0)-MATCH($L$1,[2]enemies!$1:$1,0)+1),MATCH(P$1,[2]enemies!$1:$1,0)-MATCH($L$1,[2]enemies!$1:$1,0)+1,FALSE)</f>
        <v>animal</v>
      </c>
      <c r="Q609" s="21">
        <f ca="1">VLOOKUP($L609,OFFSET([2]enemies!$A$1,0,0,COUNTA([2]enemies!$A:$A),MATCH(Q$1,[2]enemies!$1:$1,0)-MATCH($L$1,[2]enemies!$1:$1,0)+1),MATCH(Q$1,[2]enemies!$1:$1,0)-MATCH($L$1,[2]enemies!$1:$1,0)+1,FALSE)</f>
        <v>15</v>
      </c>
      <c r="R609" s="53">
        <v>52</v>
      </c>
      <c r="S609" s="27">
        <v>1</v>
      </c>
      <c r="T609" s="27">
        <v>1</v>
      </c>
      <c r="U609" s="5">
        <v>0</v>
      </c>
      <c r="V609" s="4" t="str">
        <f ca="1">VLOOKUP($W609,OFFSET([4]enemy_skill_sets!$B$1,0,0,COUNTA([4]enemy_skill_sets!$B:$B),MATCH(M$1,[4]enemy_skill_sets!$1:$1,0)-MATCH($W$1,[4]enemy_skill_sets!$1:$1,0)+2),MATCH(M$1,[4]enemy_skill_sets!$1:$1,0)-MATCH($W$1,[4]enemy_skill_sets!$1:$1,0)+2,FALSE)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09" s="4">
        <f ca="1">VLOOKUP($L609,OFFSET([2]enemies!$A$1,0,0,COUNTA([2]enemies!$A:$A),MATCH(W$1,[2]enemies!$1:$1,0)-MATCH($L$1,[2]enemies!$1:$1,0)+1),MATCH(W$1,[2]enemies!$1:$1,0)-MATCH($L$1,[2]enemies!$1:$1,0)+1,FALSE)</f>
        <v>0</v>
      </c>
      <c r="X609" s="6">
        <v>0</v>
      </c>
      <c r="Y609" s="6">
        <v>100</v>
      </c>
      <c r="Z609" s="6">
        <v>0</v>
      </c>
      <c r="AA609" s="4">
        <f ca="1">VLOOKUP($L609,OFFSET([2]enemies!$A$1,0,0,COUNTA([2]enemies!$A:$A),MATCH(AA$1,[2]enemies!$1:$1,0)-MATCH($L$1,[2]enemies!$1:$1,0)+1),MATCH(AA$1,[2]enemies!$1:$1,0)-MATCH($L$1,[2]enemies!$1:$1,0)+1,FALSE)</f>
        <v>3</v>
      </c>
      <c r="AB609" s="52">
        <v>45</v>
      </c>
      <c r="AC609" s="4" t="str">
        <f ca="1">VLOOKUP($AB609,OFFSET([3]characters!$A$1,0,0,COUNTA([3]characters!$A:$A),MATCH(AC$1,[3]characters!$1:$1,0)-MATCH("character_id",[3]characters!$1:$1,0)+1),MATCH(AC$1,[3]characters!$1:$1,0)-MATCH("character_id",[3]characters!$1:$1,0)+1,FALSE)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609" s="4">
        <f ca="1">VLOOKUP($AB609,OFFSET([3]characters!$A$1,0,0,COUNTA([3]characters!$A:$A),MATCH(AD$1,[3]characters!$1:$1,0)-MATCH("character_id",[3]characters!$1:$1,0)+1),MATCH(AD$1,[3]characters!$1:$1,0)-MATCH("character_id",[3]characters!$1:$1,0)+1,FALSE)</f>
        <v>2</v>
      </c>
      <c r="AE609" s="4" t="str">
        <f ca="1">VLOOKUP($AB609,OFFSET([3]characters!$A$1,0,0,COUNTA([3]characters!$A:$A),MATCH(AE$1,[3]characters!$1:$1,0)-MATCH("character_id",[3]characters!$1:$1,0)+1),MATCH(AE$1,[3]characters!$1:$1,0)-MATCH("character_id",[3]characters!$1:$1,0)+1,FALSE)</f>
        <v>Drop1N</v>
      </c>
      <c r="AF609" s="7">
        <v>7</v>
      </c>
      <c r="AG609" s="26">
        <f t="shared" ca="1" si="619"/>
        <v>2</v>
      </c>
      <c r="AH609" s="8">
        <v>20</v>
      </c>
      <c r="AI609" s="7">
        <v>0</v>
      </c>
      <c r="AJ609" s="7">
        <v>0</v>
      </c>
      <c r="AK609" s="7">
        <v>0</v>
      </c>
      <c r="AL609" s="7">
        <v>0</v>
      </c>
      <c r="AM609" s="7">
        <v>1</v>
      </c>
    </row>
    <row r="610" spans="1:39" ht="14" x14ac:dyDescent="0.15">
      <c r="A610" s="18" t="str">
        <f t="shared" ca="1" si="642"/>
        <v>25_5-1/61&lt;lv52&gt;s2</v>
      </c>
      <c r="B610" s="50">
        <v>25</v>
      </c>
      <c r="C610" s="49">
        <v>5</v>
      </c>
      <c r="D610" s="2" t="str">
        <f t="shared" si="632"/>
        <v>25_5</v>
      </c>
      <c r="E610" s="2" t="str">
        <f t="shared" si="632"/>
        <v>5_25_5</v>
      </c>
      <c r="F610" s="4" t="str">
        <f ca="1">VLOOKUP($D610,OFFSET([1]stages!$A$1,0,0,COUNTA([1]stages!$A:$A),MATCH(F$1,[1]stages!$2:$2,0)-MATCH($D$1,[1]stages!$2:$2,0)+1),MATCH(F$1,[1]stages!$2:$2,0)-MATCH($D$1,[1]stages!$2:$2,0)+1,FALSE)</f>
        <v>25-5．君はサディスティック</v>
      </c>
      <c r="G610" s="55">
        <v>1</v>
      </c>
      <c r="H610" s="17" t="str">
        <f t="shared" si="633"/>
        <v>25_5-1</v>
      </c>
      <c r="I610" s="17"/>
      <c r="J610" s="17"/>
      <c r="K610" s="65" t="s">
        <v>56</v>
      </c>
      <c r="L610" s="52">
        <v>61</v>
      </c>
      <c r="M610" s="21" t="str">
        <f ca="1">VLOOKUP($L610,OFFSET([2]enemies!$A$1,0,0,COUNTA([2]enemies!$A:$A),MATCH(M$1,[2]enemies!$1:$1,0)-MATCH($L$1,[2]enemies!$1:$1,0)+1),MATCH(M$1,[2]enemies!$1:$1,0)-MATCH($L$1,[2]enemies!$1:$1,0)+1,FALSE)</f>
        <v>クロウ</v>
      </c>
      <c r="N610" s="21" t="str">
        <f ca="1">VLOOKUP($L610,OFFSET([2]enemies!$A$1,0,0,COUNTA([2]enemies!$A:$A),MATCH(N$1,[2]enemies!$1:$1,0)-MATCH($L$1,[2]enemies!$1:$1,0)+1),MATCH(N$1,[2]enemies!$1:$1,0)-MATCH($L$1,[2]enemies!$1:$1,0)+1,FALSE)</f>
        <v>blue</v>
      </c>
      <c r="O610" s="21" t="str">
        <f ca="1">VLOOKUP($L610,OFFSET([3]characters!$A$1,0,0,COUNTA([3]characters!$A:$A),MATCH(O$1,[3]characters!$1:$1,0)-MATCH($L$1,[3]characters!$1:$1,0)+1),MATCH(O$1,[3]characters!$1:$1,0)-MATCH($L$1,[3]characters!$1:$1,0)+1,FALSE)</f>
        <v>Drop1N</v>
      </c>
      <c r="P610" s="21" t="str">
        <f ca="1">VLOOKUP($L610,OFFSET([2]enemies!$A$1,0,0,COUNTA([2]enemies!$A:$A),MATCH(P$1,[2]enemies!$1:$1,0)-MATCH($L$1,[2]enemies!$1:$1,0)+1),MATCH(P$1,[2]enemies!$1:$1,0)-MATCH($L$1,[2]enemies!$1:$1,0)+1,FALSE)</f>
        <v>animal</v>
      </c>
      <c r="Q610" s="21">
        <f ca="1">VLOOKUP($L610,OFFSET([2]enemies!$A$1,0,0,COUNTA([2]enemies!$A:$A),MATCH(Q$1,[2]enemies!$1:$1,0)-MATCH($L$1,[2]enemies!$1:$1,0)+1),MATCH(Q$1,[2]enemies!$1:$1,0)-MATCH($L$1,[2]enemies!$1:$1,0)+1,FALSE)</f>
        <v>15</v>
      </c>
      <c r="R610" s="53">
        <v>52</v>
      </c>
      <c r="S610" s="27">
        <v>1</v>
      </c>
      <c r="T610" s="27">
        <v>1</v>
      </c>
      <c r="U610" s="5">
        <v>0</v>
      </c>
      <c r="V610" s="4" t="str">
        <f ca="1">VLOOKUP($W610,OFFSET([4]enemy_skill_sets!$B$1,0,0,COUNTA([4]enemy_skill_sets!$B:$B),MATCH(M$1,[4]enemy_skill_sets!$1:$1,0)-MATCH($W$1,[4]enemy_skill_sets!$1:$1,0)+2),MATCH(M$1,[4]enemy_skill_sets!$1:$1,0)-MATCH($W$1,[4]enemy_skill_sets!$1:$1,0)+2,FALSE)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10" s="4">
        <f ca="1">VLOOKUP($L610,OFFSET([2]enemies!$A$1,0,0,COUNTA([2]enemies!$A:$A),MATCH(W$1,[2]enemies!$1:$1,0)-MATCH($L$1,[2]enemies!$1:$1,0)+1),MATCH(W$1,[2]enemies!$1:$1,0)-MATCH($L$1,[2]enemies!$1:$1,0)+1,FALSE)</f>
        <v>61</v>
      </c>
      <c r="X610" s="6">
        <v>0</v>
      </c>
      <c r="Y610" s="6">
        <v>100</v>
      </c>
      <c r="Z610" s="6">
        <v>0</v>
      </c>
      <c r="AA610" s="4">
        <f ca="1">VLOOKUP($L610,OFFSET([2]enemies!$A$1,0,0,COUNTA([2]enemies!$A:$A),MATCH(AA$1,[2]enemies!$1:$1,0)-MATCH($L$1,[2]enemies!$1:$1,0)+1),MATCH(AA$1,[2]enemies!$1:$1,0)-MATCH($L$1,[2]enemies!$1:$1,0)+1,FALSE)</f>
        <v>2</v>
      </c>
      <c r="AB610" s="52">
        <v>61</v>
      </c>
      <c r="AC610" s="4" t="str">
        <f ca="1">VLOOKUP($AB610,OFFSET([3]characters!$A$1,0,0,COUNTA([3]characters!$A:$A),MATCH(AC$1,[3]characters!$1:$1,0)-MATCH("character_id",[3]characters!$1:$1,0)+1),MATCH(AC$1,[3]characters!$1:$1,0)-MATCH("character_id",[3]characters!$1:$1,0)+1,FALSE)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610" s="4">
        <f ca="1">VLOOKUP($AB610,OFFSET([3]characters!$A$1,0,0,COUNTA([3]characters!$A:$A),MATCH(AD$1,[3]characters!$1:$1,0)-MATCH("character_id",[3]characters!$1:$1,0)+1),MATCH(AD$1,[3]characters!$1:$1,0)-MATCH("character_id",[3]characters!$1:$1,0)+1,FALSE)</f>
        <v>2</v>
      </c>
      <c r="AE610" s="4" t="str">
        <f ca="1">VLOOKUP($AB610,OFFSET([3]characters!$A$1,0,0,COUNTA([3]characters!$A:$A),MATCH(AE$1,[3]characters!$1:$1,0)-MATCH("character_id",[3]characters!$1:$1,0)+1),MATCH(AE$1,[3]characters!$1:$1,0)-MATCH("character_id",[3]characters!$1:$1,0)+1,FALSE)</f>
        <v>Drop1N</v>
      </c>
      <c r="AF610" s="7">
        <v>7</v>
      </c>
      <c r="AG610" s="26">
        <f t="shared" ca="1" si="619"/>
        <v>2</v>
      </c>
      <c r="AH610" s="8">
        <v>20</v>
      </c>
      <c r="AI610" s="7">
        <v>0</v>
      </c>
      <c r="AJ610" s="7">
        <v>0</v>
      </c>
      <c r="AK610" s="7">
        <v>0</v>
      </c>
      <c r="AL610" s="7">
        <v>0</v>
      </c>
      <c r="AM610" s="7">
        <v>1</v>
      </c>
    </row>
    <row r="611" spans="1:39" ht="14" x14ac:dyDescent="0.15">
      <c r="A611" s="18" t="str">
        <f t="shared" ca="1" si="642"/>
        <v>25_5-1/17&lt;lv52&gt;s2</v>
      </c>
      <c r="B611" s="50">
        <v>25</v>
      </c>
      <c r="C611" s="49">
        <v>5</v>
      </c>
      <c r="D611" s="2" t="str">
        <f t="shared" si="632"/>
        <v>25_5</v>
      </c>
      <c r="E611" s="2" t="str">
        <f t="shared" si="632"/>
        <v>5_25_5</v>
      </c>
      <c r="F611" s="4" t="str">
        <f ca="1">VLOOKUP($D611,OFFSET([1]stages!$A$1,0,0,COUNTA([1]stages!$A:$A),MATCH(F$1,[1]stages!$2:$2,0)-MATCH($D$1,[1]stages!$2:$2,0)+1),MATCH(F$1,[1]stages!$2:$2,0)-MATCH($D$1,[1]stages!$2:$2,0)+1,FALSE)</f>
        <v>25-5．君はサディスティック</v>
      </c>
      <c r="G611" s="55">
        <v>1</v>
      </c>
      <c r="H611" s="17" t="str">
        <f t="shared" si="633"/>
        <v>25_5-1</v>
      </c>
      <c r="I611" s="17"/>
      <c r="J611" s="17"/>
      <c r="K611" s="65" t="s">
        <v>56</v>
      </c>
      <c r="L611" s="52">
        <v>17</v>
      </c>
      <c r="M611" s="21" t="str">
        <f ca="1">VLOOKUP($L611,OFFSET([2]enemies!$A$1,0,0,COUNTA([2]enemies!$A:$A),MATCH(M$1,[2]enemies!$1:$1,0)-MATCH($L$1,[2]enemies!$1:$1,0)+1),MATCH(M$1,[2]enemies!$1:$1,0)-MATCH($L$1,[2]enemies!$1:$1,0)+1,FALSE)</f>
        <v>リム</v>
      </c>
      <c r="N611" s="21" t="str">
        <f ca="1">VLOOKUP($L611,OFFSET([2]enemies!$A$1,0,0,COUNTA([2]enemies!$A:$A),MATCH(N$1,[2]enemies!$1:$1,0)-MATCH($L$1,[2]enemies!$1:$1,0)+1),MATCH(N$1,[2]enemies!$1:$1,0)-MATCH($L$1,[2]enemies!$1:$1,0)+1,FALSE)</f>
        <v>blue</v>
      </c>
      <c r="O611" s="21" t="str">
        <f ca="1">VLOOKUP($L611,OFFSET([3]characters!$A$1,0,0,COUNTA([3]characters!$A:$A),MATCH(O$1,[3]characters!$1:$1,0)-MATCH($L$1,[3]characters!$1:$1,0)+1),MATCH(O$1,[3]characters!$1:$1,0)-MATCH($L$1,[3]characters!$1:$1,0)+1,FALSE)</f>
        <v>Drop1W</v>
      </c>
      <c r="P611" s="21" t="str">
        <f ca="1">VLOOKUP($L611,OFFSET([2]enemies!$A$1,0,0,COUNTA([2]enemies!$A:$A),MATCH(P$1,[2]enemies!$1:$1,0)-MATCH($L$1,[2]enemies!$1:$1,0)+1),MATCH(P$1,[2]enemies!$1:$1,0)-MATCH($L$1,[2]enemies!$1:$1,0)+1,FALSE)</f>
        <v>human</v>
      </c>
      <c r="Q611" s="21">
        <f ca="1">VLOOKUP($L611,OFFSET([2]enemies!$A$1,0,0,COUNTA([2]enemies!$A:$A),MATCH(Q$1,[2]enemies!$1:$1,0)-MATCH($L$1,[2]enemies!$1:$1,0)+1),MATCH(Q$1,[2]enemies!$1:$1,0)-MATCH($L$1,[2]enemies!$1:$1,0)+1,FALSE)</f>
        <v>15</v>
      </c>
      <c r="R611" s="53">
        <v>52</v>
      </c>
      <c r="S611" s="27">
        <v>1</v>
      </c>
      <c r="T611" s="27">
        <v>1</v>
      </c>
      <c r="U611" s="5">
        <v>0</v>
      </c>
      <c r="V611" s="4" t="str">
        <f ca="1">VLOOKUP($W611,OFFSET([4]enemy_skill_sets!$B$1,0,0,COUNTA([4]enemy_skill_sets!$B:$B),MATCH(M$1,[4]enemy_skill_sets!$1:$1,0)-MATCH($W$1,[4]enemy_skill_sets!$1:$1,0)+2),MATCH(M$1,[4]enemy_skill_sets!$1:$1,0)-MATCH($W$1,[4]enemy_skill_sets!$1:$1,0)+2,FALSE)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11" s="4">
        <f ca="1">VLOOKUP($L611,OFFSET([2]enemies!$A$1,0,0,COUNTA([2]enemies!$A:$A),MATCH(W$1,[2]enemies!$1:$1,0)-MATCH($L$1,[2]enemies!$1:$1,0)+1),MATCH(W$1,[2]enemies!$1:$1,0)-MATCH($L$1,[2]enemies!$1:$1,0)+1,FALSE)</f>
        <v>0</v>
      </c>
      <c r="X611" s="6">
        <v>0</v>
      </c>
      <c r="Y611" s="6">
        <v>100</v>
      </c>
      <c r="Z611" s="6">
        <v>0</v>
      </c>
      <c r="AA611" s="4">
        <f ca="1">VLOOKUP($L611,OFFSET([2]enemies!$A$1,0,0,COUNTA([2]enemies!$A:$A),MATCH(AA$1,[2]enemies!$1:$1,0)-MATCH($L$1,[2]enemies!$1:$1,0)+1),MATCH(AA$1,[2]enemies!$1:$1,0)-MATCH($L$1,[2]enemies!$1:$1,0)+1,FALSE)</f>
        <v>2</v>
      </c>
      <c r="AB611" s="52">
        <v>17</v>
      </c>
      <c r="AC611" s="4" t="str">
        <f ca="1">VLOOKUP($AB611,OFFSET([3]characters!$A$1,0,0,COUNTA([3]characters!$A:$A),MATCH(AC$1,[3]characters!$1:$1,0)-MATCH("character_id",[3]characters!$1:$1,0)+1),MATCH(AC$1,[3]characters!$1:$1,0)-MATCH("character_id",[3]characters!$1:$1,0)+1,FALSE)</f>
        <v>リム</v>
      </c>
      <c r="AD611" s="4">
        <f ca="1">VLOOKUP($AB611,OFFSET([3]characters!$A$1,0,0,COUNTA([3]characters!$A:$A),MATCH(AD$1,[3]characters!$1:$1,0)-MATCH("character_id",[3]characters!$1:$1,0)+1),MATCH(AD$1,[3]characters!$1:$1,0)-MATCH("character_id",[3]characters!$1:$1,0)+1,FALSE)</f>
        <v>1</v>
      </c>
      <c r="AE611" s="4" t="str">
        <f ca="1">VLOOKUP($AB611,OFFSET([3]characters!$A$1,0,0,COUNTA([3]characters!$A:$A),MATCH(AE$1,[3]characters!$1:$1,0)-MATCH("character_id",[3]characters!$1:$1,0)+1),MATCH(AE$1,[3]characters!$1:$1,0)-MATCH("character_id",[3]characters!$1:$1,0)+1,FALSE)</f>
        <v>Drop1W</v>
      </c>
      <c r="AF611" s="7">
        <v>9</v>
      </c>
      <c r="AG611" s="26">
        <f t="shared" ca="1" si="619"/>
        <v>1</v>
      </c>
      <c r="AH611" s="8">
        <v>20</v>
      </c>
      <c r="AI611" s="7">
        <v>0</v>
      </c>
      <c r="AJ611" s="7">
        <v>0</v>
      </c>
      <c r="AK611" s="7">
        <v>0</v>
      </c>
      <c r="AL611" s="7">
        <v>0</v>
      </c>
      <c r="AM611" s="7">
        <v>1</v>
      </c>
    </row>
    <row r="612" spans="1:39" ht="14" x14ac:dyDescent="0.15">
      <c r="A612" s="18" t="str">
        <f t="shared" ca="1" si="642"/>
        <v>25_5-1/53&lt;lv52&gt;s2</v>
      </c>
      <c r="B612" s="50">
        <v>25</v>
      </c>
      <c r="C612" s="49">
        <v>5</v>
      </c>
      <c r="D612" s="2" t="str">
        <f t="shared" si="632"/>
        <v>25_5</v>
      </c>
      <c r="E612" s="2" t="str">
        <f t="shared" si="632"/>
        <v>5_25_5</v>
      </c>
      <c r="F612" s="4" t="str">
        <f ca="1">VLOOKUP($D612,OFFSET([1]stages!$A$1,0,0,COUNTA([1]stages!$A:$A),MATCH(F$1,[1]stages!$2:$2,0)-MATCH($D$1,[1]stages!$2:$2,0)+1),MATCH(F$1,[1]stages!$2:$2,0)-MATCH($D$1,[1]stages!$2:$2,0)+1,FALSE)</f>
        <v>25-5．君はサディスティック</v>
      </c>
      <c r="G612" s="55">
        <v>1</v>
      </c>
      <c r="H612" s="17" t="str">
        <f t="shared" si="633"/>
        <v>25_5-1</v>
      </c>
      <c r="I612" s="17"/>
      <c r="J612" s="17"/>
      <c r="K612" s="65" t="s">
        <v>56</v>
      </c>
      <c r="L612" s="52">
        <v>53</v>
      </c>
      <c r="M612" s="21" t="str">
        <f ca="1">VLOOKUP($L612,OFFSET([2]enemies!$A$1,0,0,COUNTA([2]enemies!$A:$A),MATCH(M$1,[2]enemies!$1:$1,0)-MATCH($L$1,[2]enemies!$1:$1,0)+1),MATCH(M$1,[2]enemies!$1:$1,0)-MATCH($L$1,[2]enemies!$1:$1,0)+1,FALSE)</f>
        <v>ケンジ</v>
      </c>
      <c r="N612" s="21" t="str">
        <f ca="1">VLOOKUP($L612,OFFSET([2]enemies!$A$1,0,0,COUNTA([2]enemies!$A:$A),MATCH(N$1,[2]enemies!$1:$1,0)-MATCH($L$1,[2]enemies!$1:$1,0)+1),MATCH(N$1,[2]enemies!$1:$1,0)-MATCH($L$1,[2]enemies!$1:$1,0)+1,FALSE)</f>
        <v>blue</v>
      </c>
      <c r="O612" s="21" t="str">
        <f ca="1">VLOOKUP($L612,OFFSET([3]characters!$A$1,0,0,COUNTA([3]characters!$A:$A),MATCH(O$1,[3]characters!$1:$1,0)-MATCH($L$1,[3]characters!$1:$1,0)+1),MATCH(O$1,[3]characters!$1:$1,0)-MATCH($L$1,[3]characters!$1:$1,0)+1,FALSE)</f>
        <v>Drop1N</v>
      </c>
      <c r="P612" s="21" t="str">
        <f ca="1">VLOOKUP($L612,OFFSET([2]enemies!$A$1,0,0,COUNTA([2]enemies!$A:$A),MATCH(P$1,[2]enemies!$1:$1,0)-MATCH($L$1,[2]enemies!$1:$1,0)+1),MATCH(P$1,[2]enemies!$1:$1,0)-MATCH($L$1,[2]enemies!$1:$1,0)+1,FALSE)</f>
        <v>human</v>
      </c>
      <c r="Q612" s="21">
        <f ca="1">VLOOKUP($L612,OFFSET([2]enemies!$A$1,0,0,COUNTA([2]enemies!$A:$A),MATCH(Q$1,[2]enemies!$1:$1,0)-MATCH($L$1,[2]enemies!$1:$1,0)+1),MATCH(Q$1,[2]enemies!$1:$1,0)-MATCH($L$1,[2]enemies!$1:$1,0)+1,FALSE)</f>
        <v>15</v>
      </c>
      <c r="R612" s="53">
        <v>52</v>
      </c>
      <c r="S612" s="27">
        <v>1</v>
      </c>
      <c r="T612" s="27">
        <v>1</v>
      </c>
      <c r="U612" s="5">
        <v>0</v>
      </c>
      <c r="V612" s="4" t="str">
        <f ca="1">VLOOKUP($W612,OFFSET([4]enemy_skill_sets!$B$1,0,0,COUNTA([4]enemy_skill_sets!$B:$B),MATCH(M$1,[4]enemy_skill_sets!$1:$1,0)-MATCH($W$1,[4]enemy_skill_sets!$1:$1,0)+2),MATCH(M$1,[4]enemy_skill_sets!$1:$1,0)-MATCH($W$1,[4]enemy_skill_sets!$1:$1,0)+2,FALSE)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612" s="4">
        <f ca="1">VLOOKUP($L612,OFFSET([2]enemies!$A$1,0,0,COUNTA([2]enemies!$A:$A),MATCH(W$1,[2]enemies!$1:$1,0)-MATCH($L$1,[2]enemies!$1:$1,0)+1),MATCH(W$1,[2]enemies!$1:$1,0)-MATCH($L$1,[2]enemies!$1:$1,0)+1,FALSE)</f>
        <v>53</v>
      </c>
      <c r="X612" s="6">
        <v>0</v>
      </c>
      <c r="Y612" s="6">
        <v>100</v>
      </c>
      <c r="Z612" s="6">
        <v>0</v>
      </c>
      <c r="AA612" s="4">
        <f ca="1">VLOOKUP($L612,OFFSET([2]enemies!$A$1,0,0,COUNTA([2]enemies!$A:$A),MATCH(AA$1,[2]enemies!$1:$1,0)-MATCH($L$1,[2]enemies!$1:$1,0)+1),MATCH(AA$1,[2]enemies!$1:$1,0)-MATCH($L$1,[2]enemies!$1:$1,0)+1,FALSE)</f>
        <v>2</v>
      </c>
      <c r="AB612" s="52">
        <v>53</v>
      </c>
      <c r="AC612" s="4" t="str">
        <f ca="1">VLOOKUP($AB612,OFFSET([3]characters!$A$1,0,0,COUNTA([3]characters!$A:$A),MATCH(AC$1,[3]characters!$1:$1,0)-MATCH("character_id",[3]characters!$1:$1,0)+1),MATCH(AC$1,[3]characters!$1:$1,0)-MATCH("character_id",[3]characters!$1:$1,0)+1,FALSE)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612" s="4">
        <f ca="1">VLOOKUP($AB612,OFFSET([3]characters!$A$1,0,0,COUNTA([3]characters!$A:$A),MATCH(AD$1,[3]characters!$1:$1,0)-MATCH("character_id",[3]characters!$1:$1,0)+1),MATCH(AD$1,[3]characters!$1:$1,0)-MATCH("character_id",[3]characters!$1:$1,0)+1,FALSE)</f>
        <v>2</v>
      </c>
      <c r="AE612" s="4" t="str">
        <f ca="1">VLOOKUP($AB612,OFFSET([3]characters!$A$1,0,0,COUNTA([3]characters!$A:$A),MATCH(AE$1,[3]characters!$1:$1,0)-MATCH("character_id",[3]characters!$1:$1,0)+1),MATCH(AE$1,[3]characters!$1:$1,0)-MATCH("character_id",[3]characters!$1:$1,0)+1,FALSE)</f>
        <v>Drop1N</v>
      </c>
      <c r="AF612" s="7">
        <v>7</v>
      </c>
      <c r="AG612" s="26">
        <f t="shared" ca="1" si="619"/>
        <v>2</v>
      </c>
      <c r="AH612" s="8">
        <v>20</v>
      </c>
      <c r="AI612" s="7">
        <v>0</v>
      </c>
      <c r="AJ612" s="7">
        <v>0</v>
      </c>
      <c r="AK612" s="7">
        <v>0</v>
      </c>
      <c r="AL612" s="7">
        <v>0</v>
      </c>
      <c r="AM612" s="7">
        <v>1</v>
      </c>
    </row>
    <row r="613" spans="1:39" ht="14" x14ac:dyDescent="0.15">
      <c r="A613" s="18" t="str">
        <f t="shared" ca="1" si="642"/>
        <v>25_5-1/364&lt;lv52&gt;s3</v>
      </c>
      <c r="B613" s="53">
        <v>25</v>
      </c>
      <c r="C613" s="51">
        <v>5</v>
      </c>
      <c r="D613" s="2" t="str">
        <f t="shared" ref="D613" si="643">B613&amp;"_"&amp;C613</f>
        <v>25_5</v>
      </c>
      <c r="E613" s="2" t="str">
        <f t="shared" ref="E613" si="644">C613&amp;"_"&amp;D613</f>
        <v>5_25_5</v>
      </c>
      <c r="F613" s="4" t="str">
        <f ca="1">VLOOKUP($D613,OFFSET([1]stages!$A$1,0,0,COUNTA([1]stages!$A:$A),MATCH(F$1,[1]stages!$2:$2,0)-MATCH($D$1,[1]stages!$2:$2,0)+1),MATCH(F$1,[1]stages!$2:$2,0)-MATCH($D$1,[1]stages!$2:$2,0)+1,FALSE)</f>
        <v>25-5．君はサディスティック</v>
      </c>
      <c r="G613" s="55">
        <v>1</v>
      </c>
      <c r="H613" s="17" t="str">
        <f t="shared" ref="H613" si="645">B613&amp;"_"&amp;C613&amp;"-"&amp;G613</f>
        <v>25_5-1</v>
      </c>
      <c r="I613" s="17"/>
      <c r="J613" s="17"/>
      <c r="K613" s="65" t="s">
        <v>56</v>
      </c>
      <c r="L613" s="52">
        <v>364</v>
      </c>
      <c r="M613" s="21" t="str">
        <f ca="1">VLOOKUP($L613,OFFSET([2]enemies!$A$1,0,0,COUNTA([2]enemies!$A:$A),MATCH(M$1,[2]enemies!$1:$1,0)-MATCH($L$1,[2]enemies!$1:$1,0)+1),MATCH(M$1,[2]enemies!$1:$1,0)-MATCH($L$1,[2]enemies!$1:$1,0)+1,FALSE)</f>
        <v>ノエル</v>
      </c>
      <c r="N613" s="21" t="str">
        <f ca="1">VLOOKUP($L613,OFFSET([2]enemies!$A$1,0,0,COUNTA([2]enemies!$A:$A),MATCH(N$1,[2]enemies!$1:$1,0)-MATCH($L$1,[2]enemies!$1:$1,0)+1),MATCH(N$1,[2]enemies!$1:$1,0)-MATCH($L$1,[2]enemies!$1:$1,0)+1,FALSE)</f>
        <v>blue</v>
      </c>
      <c r="O613" s="21" t="str">
        <f ca="1">VLOOKUP($L613,OFFSET([3]characters!$A$1,0,0,COUNTA([3]characters!$A:$A),MATCH(O$1,[3]characters!$1:$1,0)-MATCH($L$1,[3]characters!$1:$1,0)+1),MATCH(O$1,[3]characters!$1:$1,0)-MATCH($L$1,[3]characters!$1:$1,0)+1,FALSE)</f>
        <v>Drop1S</v>
      </c>
      <c r="P613" s="21" t="str">
        <f ca="1">VLOOKUP($L613,OFFSET([2]enemies!$A$1,0,0,COUNTA([2]enemies!$A:$A),MATCH(P$1,[2]enemies!$1:$1,0)-MATCH($L$1,[2]enemies!$1:$1,0)+1),MATCH(P$1,[2]enemies!$1:$1,0)-MATCH($L$1,[2]enemies!$1:$1,0)+1,FALSE)</f>
        <v>animal</v>
      </c>
      <c r="Q613" s="21">
        <f ca="1">VLOOKUP($L613,OFFSET([2]enemies!$A$1,0,0,COUNTA([2]enemies!$A:$A),MATCH(Q$1,[2]enemies!$1:$1,0)-MATCH($L$1,[2]enemies!$1:$1,0)+1),MATCH(Q$1,[2]enemies!$1:$1,0)-MATCH($L$1,[2]enemies!$1:$1,0)+1,FALSE)</f>
        <v>15</v>
      </c>
      <c r="R613" s="53">
        <v>52</v>
      </c>
      <c r="S613" s="27">
        <v>1</v>
      </c>
      <c r="T613" s="27">
        <v>1</v>
      </c>
      <c r="U613" s="5">
        <v>0</v>
      </c>
      <c r="V613" s="4" t="str">
        <f ca="1">VLOOKUP($W613,OFFSET([4]enemy_skill_sets!$B$1,0,0,COUNTA([4]enemy_skill_sets!$B:$B),MATCH(M$1,[4]enemy_skill_sets!$1:$1,0)-MATCH($W$1,[4]enemy_skill_sets!$1:$1,0)+2),MATCH(M$1,[4]enemy_skill_sets!$1:$1,0)-MATCH($W$1,[4]enemy_skill_sets!$1:$1,0)+2,FALSE)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613" s="64">
        <v>364</v>
      </c>
      <c r="X613" s="6">
        <v>0</v>
      </c>
      <c r="Y613" s="6">
        <v>100</v>
      </c>
      <c r="Z613" s="6">
        <v>0</v>
      </c>
      <c r="AA613" s="4">
        <f ca="1">VLOOKUP($L613,OFFSET([2]enemies!$A$1,0,0,COUNTA([2]enemies!$A:$A),MATCH(AA$1,[2]enemies!$1:$1,0)-MATCH($L$1,[2]enemies!$1:$1,0)+1),MATCH(AA$1,[2]enemies!$1:$1,0)-MATCH($L$1,[2]enemies!$1:$1,0)+1,FALSE)</f>
        <v>3</v>
      </c>
      <c r="AB613" s="52">
        <v>364</v>
      </c>
      <c r="AC613" s="4" t="str">
        <f ca="1">VLOOKUP($AB613,OFFSET([3]characters!$A$1,0,0,COUNTA([3]characters!$A:$A),MATCH(AC$1,[3]characters!$1:$1,0)-MATCH("character_id",[3]characters!$1:$1,0)+1),MATCH(AC$1,[3]characters!$1:$1,0)-MATCH("character_id",[3]characters!$1:$1,0)+1,FALSE)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613" s="4">
        <f ca="1">VLOOKUP($AB613,OFFSET([3]characters!$A$1,0,0,COUNTA([3]characters!$A:$A),MATCH(AD$1,[3]characters!$1:$1,0)-MATCH("character_id",[3]characters!$1:$1,0)+1),MATCH(AD$1,[3]characters!$1:$1,0)-MATCH("character_id",[3]characters!$1:$1,0)+1,FALSE)</f>
        <v>2</v>
      </c>
      <c r="AE613" s="4" t="str">
        <f ca="1">VLOOKUP($AB613,OFFSET([3]characters!$A$1,0,0,COUNTA([3]characters!$A:$A),MATCH(AE$1,[3]characters!$1:$1,0)-MATCH("character_id",[3]characters!$1:$1,0)+1),MATCH(AE$1,[3]characters!$1:$1,0)-MATCH("character_id",[3]characters!$1:$1,0)+1,FALSE)</f>
        <v>Drop1S</v>
      </c>
      <c r="AF613" s="7">
        <v>7</v>
      </c>
      <c r="AG613" s="26">
        <f t="shared" ca="1" si="619"/>
        <v>2</v>
      </c>
      <c r="AH613" s="8">
        <v>20</v>
      </c>
      <c r="AI613" s="7">
        <v>0</v>
      </c>
      <c r="AJ613" s="7">
        <v>0</v>
      </c>
      <c r="AK613" s="7">
        <v>0</v>
      </c>
      <c r="AL613" s="7">
        <v>0</v>
      </c>
      <c r="AM613" s="7">
        <v>1</v>
      </c>
    </row>
    <row r="614" spans="1:39" ht="14" x14ac:dyDescent="0.15">
      <c r="A614" s="18" t="str">
        <f t="shared" ca="1" si="642"/>
        <v>25_5-1/352&lt;lv52&gt;s3</v>
      </c>
      <c r="B614" s="53">
        <v>25</v>
      </c>
      <c r="C614" s="51">
        <v>5</v>
      </c>
      <c r="D614" s="2" t="str">
        <f t="shared" ref="D614" si="646">B614&amp;"_"&amp;C614</f>
        <v>25_5</v>
      </c>
      <c r="E614" s="2" t="str">
        <f t="shared" ref="E614" si="647">C614&amp;"_"&amp;D614</f>
        <v>5_25_5</v>
      </c>
      <c r="F614" s="4" t="str">
        <f ca="1">VLOOKUP($D614,OFFSET([1]stages!$A$1,0,0,COUNTA([1]stages!$A:$A),MATCH(F$1,[1]stages!$2:$2,0)-MATCH($D$1,[1]stages!$2:$2,0)+1),MATCH(F$1,[1]stages!$2:$2,0)-MATCH($D$1,[1]stages!$2:$2,0)+1,FALSE)</f>
        <v>25-5．君はサディスティック</v>
      </c>
      <c r="G614" s="55">
        <v>1</v>
      </c>
      <c r="H614" s="17" t="str">
        <f t="shared" ref="H614" si="648">B614&amp;"_"&amp;C614&amp;"-"&amp;G614</f>
        <v>25_5-1</v>
      </c>
      <c r="I614" s="17"/>
      <c r="J614" s="17"/>
      <c r="K614" s="65" t="s">
        <v>56</v>
      </c>
      <c r="L614" s="52">
        <v>352</v>
      </c>
      <c r="M614" s="21" t="str">
        <f ca="1">VLOOKUP($L614,OFFSET([2]enemies!$A$1,0,0,COUNTA([2]enemies!$A:$A),MATCH(M$1,[2]enemies!$1:$1,0)-MATCH($L$1,[2]enemies!$1:$1,0)+1),MATCH(M$1,[2]enemies!$1:$1,0)-MATCH($L$1,[2]enemies!$1:$1,0)+1,FALSE)</f>
        <v>水のケロケロ</v>
      </c>
      <c r="N614" s="21" t="str">
        <f ca="1">VLOOKUP($L614,OFFSET([2]enemies!$A$1,0,0,COUNTA([2]enemies!$A:$A),MATCH(N$1,[2]enemies!$1:$1,0)-MATCH($L$1,[2]enemies!$1:$1,0)+1),MATCH(N$1,[2]enemies!$1:$1,0)-MATCH($L$1,[2]enemies!$1:$1,0)+1,FALSE)</f>
        <v>blue</v>
      </c>
      <c r="O614" s="21" t="str">
        <f ca="1">VLOOKUP($L614,OFFSET([3]characters!$A$1,0,0,COUNTA([3]characters!$A:$A),MATCH(O$1,[3]characters!$1:$1,0)-MATCH($L$1,[3]characters!$1:$1,0)+1),MATCH(O$1,[3]characters!$1:$1,0)-MATCH($L$1,[3]characters!$1:$1,0)+1,FALSE)</f>
        <v>Material</v>
      </c>
      <c r="P614" s="21" t="str">
        <f ca="1">VLOOKUP($L614,OFFSET([2]enemies!$A$1,0,0,COUNTA([2]enemies!$A:$A),MATCH(P$1,[2]enemies!$1:$1,0)-MATCH($L$1,[2]enemies!$1:$1,0)+1),MATCH(P$1,[2]enemies!$1:$1,0)-MATCH($L$1,[2]enemies!$1:$1,0)+1,FALSE)</f>
        <v>unknown</v>
      </c>
      <c r="Q614" s="21">
        <f ca="1">VLOOKUP($L614,OFFSET([2]enemies!$A$1,0,0,COUNTA([2]enemies!$A:$A),MATCH(Q$1,[2]enemies!$1:$1,0)-MATCH($L$1,[2]enemies!$1:$1,0)+1),MATCH(Q$1,[2]enemies!$1:$1,0)-MATCH($L$1,[2]enemies!$1:$1,0)+1,FALSE)</f>
        <v>15</v>
      </c>
      <c r="R614" s="53">
        <v>52</v>
      </c>
      <c r="S614" s="27">
        <v>1</v>
      </c>
      <c r="T614" s="27">
        <v>1</v>
      </c>
      <c r="U614" s="5">
        <v>0</v>
      </c>
      <c r="V614" s="4" t="str">
        <f ca="1">VLOOKUP($W614,OFFSET([4]enemy_skill_sets!$B$1,0,0,COUNTA([4]enemy_skill_sets!$B:$B),MATCH(M$1,[4]enemy_skill_sets!$1:$1,0)-MATCH($W$1,[4]enemy_skill_sets!$1:$1,0)+2),MATCH(M$1,[4]enemy_skill_sets!$1:$1,0)-MATCH($W$1,[4]enemy_skill_sets!$1:$1,0)+2,FALSE)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614" s="64">
        <v>352</v>
      </c>
      <c r="X614" s="6">
        <v>0</v>
      </c>
      <c r="Y614" s="6">
        <v>100</v>
      </c>
      <c r="Z614" s="6">
        <v>0</v>
      </c>
      <c r="AA614" s="4">
        <f ca="1">VLOOKUP($L614,OFFSET([2]enemies!$A$1,0,0,COUNTA([2]enemies!$A:$A),MATCH(AA$1,[2]enemies!$1:$1,0)-MATCH($L$1,[2]enemies!$1:$1,0)+1),MATCH(AA$1,[2]enemies!$1:$1,0)-MATCH($L$1,[2]enemies!$1:$1,0)+1,FALSE)</f>
        <v>3</v>
      </c>
      <c r="AB614" s="52">
        <v>352</v>
      </c>
      <c r="AC614" s="4" t="str">
        <f ca="1">VLOOKUP($AB614,OFFSET([3]characters!$A$1,0,0,COUNTA([3]characters!$A:$A),MATCH(AC$1,[3]characters!$1:$1,0)-MATCH("character_id",[3]characters!$1:$1,0)+1),MATCH(AC$1,[3]characters!$1:$1,0)-MATCH("character_id",[3]characters!$1:$1,0)+1,FALSE)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614" s="4">
        <f ca="1">VLOOKUP($AB614,OFFSET([3]characters!$A$1,0,0,COUNTA([3]characters!$A:$A),MATCH(AD$1,[3]characters!$1:$1,0)-MATCH("character_id",[3]characters!$1:$1,0)+1),MATCH(AD$1,[3]characters!$1:$1,0)-MATCH("character_id",[3]characters!$1:$1,0)+1,FALSE)</f>
        <v>2</v>
      </c>
      <c r="AE614" s="4" t="str">
        <f ca="1">VLOOKUP($AB614,OFFSET([3]characters!$A$1,0,0,COUNTA([3]characters!$A:$A),MATCH(AE$1,[3]characters!$1:$1,0)-MATCH("character_id",[3]characters!$1:$1,0)+1),MATCH(AE$1,[3]characters!$1:$1,0)-MATCH("character_id",[3]characters!$1:$1,0)+1,FALSE)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14" s="7">
        <v>10</v>
      </c>
      <c r="AG614" s="26">
        <f t="shared" ca="1" si="619"/>
        <v>2</v>
      </c>
      <c r="AH614" s="8">
        <v>20</v>
      </c>
      <c r="AI614" s="7">
        <v>0</v>
      </c>
      <c r="AJ614" s="7">
        <v>0</v>
      </c>
      <c r="AK614" s="7">
        <v>0</v>
      </c>
      <c r="AL614" s="7">
        <v>0</v>
      </c>
      <c r="AM614" s="7">
        <v>1</v>
      </c>
    </row>
    <row r="615" spans="1:39" ht="14" x14ac:dyDescent="0.15">
      <c r="A615" s="18" t="str">
        <f t="shared" ca="1" si="642"/>
        <v>25_5-2/13&lt;lv52&gt;s2</v>
      </c>
      <c r="B615" s="50">
        <v>25</v>
      </c>
      <c r="C615" s="49">
        <v>5</v>
      </c>
      <c r="D615" s="2" t="str">
        <f t="shared" si="632"/>
        <v>25_5</v>
      </c>
      <c r="E615" s="2" t="str">
        <f t="shared" si="632"/>
        <v>5_25_5</v>
      </c>
      <c r="F615" s="4" t="str">
        <f ca="1">VLOOKUP($D615,OFFSET([1]stages!$A$1,0,0,COUNTA([1]stages!$A:$A),MATCH(F$1,[1]stages!$2:$2,0)-MATCH($D$1,[1]stages!$2:$2,0)+1),MATCH(F$1,[1]stages!$2:$2,0)-MATCH($D$1,[1]stages!$2:$2,0)+1,FALSE)</f>
        <v>25-5．君はサディスティック</v>
      </c>
      <c r="G615" s="56">
        <v>2</v>
      </c>
      <c r="H615" s="17" t="str">
        <f t="shared" si="633"/>
        <v>25_5-2</v>
      </c>
      <c r="I615" s="17"/>
      <c r="J615" s="17"/>
      <c r="K615" s="65" t="s">
        <v>56</v>
      </c>
      <c r="L615" s="52">
        <v>13</v>
      </c>
      <c r="M615" s="21" t="str">
        <f ca="1">VLOOKUP($L615,OFFSET([2]enemies!$A$1,0,0,COUNTA([2]enemies!$A:$A),MATCH(M$1,[2]enemies!$1:$1,0)-MATCH($L$1,[2]enemies!$1:$1,0)+1),MATCH(M$1,[2]enemies!$1:$1,0)-MATCH($L$1,[2]enemies!$1:$1,0)+1,FALSE)</f>
        <v>ミミ</v>
      </c>
      <c r="N615" s="21" t="str">
        <f ca="1">VLOOKUP($L615,OFFSET([2]enemies!$A$1,0,0,COUNTA([2]enemies!$A:$A),MATCH(N$1,[2]enemies!$1:$1,0)-MATCH($L$1,[2]enemies!$1:$1,0)+1),MATCH(N$1,[2]enemies!$1:$1,0)-MATCH($L$1,[2]enemies!$1:$1,0)+1,FALSE)</f>
        <v>yellow</v>
      </c>
      <c r="O615" s="21" t="str">
        <f ca="1">VLOOKUP($L615,OFFSET([3]characters!$A$1,0,0,COUNTA([3]characters!$A:$A),MATCH(O$1,[3]characters!$1:$1,0)-MATCH($L$1,[3]characters!$1:$1,0)+1),MATCH(O$1,[3]characters!$1:$1,0)-MATCH($L$1,[3]characters!$1:$1,0)+1,FALSE)</f>
        <v>Drop1W</v>
      </c>
      <c r="P615" s="21" t="str">
        <f ca="1">VLOOKUP($L615,OFFSET([2]enemies!$A$1,0,0,COUNTA([2]enemies!$A:$A),MATCH(P$1,[2]enemies!$1:$1,0)-MATCH($L$1,[2]enemies!$1:$1,0)+1),MATCH(P$1,[2]enemies!$1:$1,0)-MATCH($L$1,[2]enemies!$1:$1,0)+1,FALSE)</f>
        <v>animal</v>
      </c>
      <c r="Q615" s="21">
        <f ca="1">VLOOKUP($L615,OFFSET([2]enemies!$A$1,0,0,COUNTA([2]enemies!$A:$A),MATCH(Q$1,[2]enemies!$1:$1,0)-MATCH($L$1,[2]enemies!$1:$1,0)+1),MATCH(Q$1,[2]enemies!$1:$1,0)-MATCH($L$1,[2]enemies!$1:$1,0)+1,FALSE)</f>
        <v>15</v>
      </c>
      <c r="R615" s="53">
        <v>52</v>
      </c>
      <c r="S615" s="27">
        <v>1</v>
      </c>
      <c r="T615" s="27">
        <v>1</v>
      </c>
      <c r="U615" s="5">
        <v>0</v>
      </c>
      <c r="V615" s="4" t="str">
        <f ca="1">VLOOKUP($W615,OFFSET([4]enemy_skill_sets!$B$1,0,0,COUNTA([4]enemy_skill_sets!$B:$B),MATCH(M$1,[4]enemy_skill_sets!$1:$1,0)-MATCH($W$1,[4]enemy_skill_sets!$1:$1,0)+2),MATCH(M$1,[4]enemy_skill_sets!$1:$1,0)-MATCH($W$1,[4]enemy_skill_sets!$1:$1,0)+2,FALSE)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15" s="4">
        <f ca="1">VLOOKUP($L615,OFFSET([2]enemies!$A$1,0,0,COUNTA([2]enemies!$A:$A),MATCH(W$1,[2]enemies!$1:$1,0)-MATCH($L$1,[2]enemies!$1:$1,0)+1),MATCH(W$1,[2]enemies!$1:$1,0)-MATCH($L$1,[2]enemies!$1:$1,0)+1,FALSE)</f>
        <v>0</v>
      </c>
      <c r="X615" s="6">
        <v>0</v>
      </c>
      <c r="Y615" s="6">
        <v>100</v>
      </c>
      <c r="Z615" s="6">
        <v>0</v>
      </c>
      <c r="AA615" s="4">
        <f ca="1">VLOOKUP($L615,OFFSET([2]enemies!$A$1,0,0,COUNTA([2]enemies!$A:$A),MATCH(AA$1,[2]enemies!$1:$1,0)-MATCH($L$1,[2]enemies!$1:$1,0)+1),MATCH(AA$1,[2]enemies!$1:$1,0)-MATCH($L$1,[2]enemies!$1:$1,0)+1,FALSE)</f>
        <v>2</v>
      </c>
      <c r="AB615" s="52">
        <v>13</v>
      </c>
      <c r="AC615" s="4" t="str">
        <f ca="1">VLOOKUP($AB615,OFFSET([3]characters!$A$1,0,0,COUNTA([3]characters!$A:$A),MATCH(AC$1,[3]characters!$1:$1,0)-MATCH("character_id",[3]characters!$1:$1,0)+1),MATCH(AC$1,[3]characters!$1:$1,0)-MATCH("character_id",[3]characters!$1:$1,0)+1,FALSE)</f>
        <v>ミミ</v>
      </c>
      <c r="AD615" s="4">
        <f ca="1">VLOOKUP($AB615,OFFSET([3]characters!$A$1,0,0,COUNTA([3]characters!$A:$A),MATCH(AD$1,[3]characters!$1:$1,0)-MATCH("character_id",[3]characters!$1:$1,0)+1),MATCH(AD$1,[3]characters!$1:$1,0)-MATCH("character_id",[3]characters!$1:$1,0)+1,FALSE)</f>
        <v>1</v>
      </c>
      <c r="AE615" s="4" t="str">
        <f ca="1">VLOOKUP($AB615,OFFSET([3]characters!$A$1,0,0,COUNTA([3]characters!$A:$A),MATCH(AE$1,[3]characters!$1:$1,0)-MATCH("character_id",[3]characters!$1:$1,0)+1),MATCH(AE$1,[3]characters!$1:$1,0)-MATCH("character_id",[3]characters!$1:$1,0)+1,FALSE)</f>
        <v>Drop1W</v>
      </c>
      <c r="AF615" s="7">
        <v>9</v>
      </c>
      <c r="AG615" s="26">
        <f t="shared" ca="1" si="619"/>
        <v>1</v>
      </c>
      <c r="AH615" s="8">
        <v>20</v>
      </c>
      <c r="AI615" s="7">
        <v>0</v>
      </c>
      <c r="AJ615" s="7">
        <v>0</v>
      </c>
      <c r="AK615" s="7">
        <v>0</v>
      </c>
      <c r="AL615" s="7">
        <v>0</v>
      </c>
      <c r="AM615" s="7">
        <v>1</v>
      </c>
    </row>
    <row r="616" spans="1:39" ht="14" x14ac:dyDescent="0.15">
      <c r="A616" s="18" t="str">
        <f t="shared" ca="1" si="642"/>
        <v>25_5-2/47&lt;lv52&gt;s1</v>
      </c>
      <c r="B616" s="50">
        <v>25</v>
      </c>
      <c r="C616" s="49">
        <v>5</v>
      </c>
      <c r="D616" s="2" t="str">
        <f t="shared" si="632"/>
        <v>25_5</v>
      </c>
      <c r="E616" s="2" t="str">
        <f t="shared" si="632"/>
        <v>5_25_5</v>
      </c>
      <c r="F616" s="4" t="str">
        <f ca="1">VLOOKUP($D616,OFFSET([1]stages!$A$1,0,0,COUNTA([1]stages!$A:$A),MATCH(F$1,[1]stages!$2:$2,0)-MATCH($D$1,[1]stages!$2:$2,0)+1),MATCH(F$1,[1]stages!$2:$2,0)-MATCH($D$1,[1]stages!$2:$2,0)+1,FALSE)</f>
        <v>25-5．君はサディスティック</v>
      </c>
      <c r="G616" s="56">
        <v>2</v>
      </c>
      <c r="H616" s="17" t="str">
        <f t="shared" si="633"/>
        <v>25_5-2</v>
      </c>
      <c r="I616" s="17"/>
      <c r="J616" s="17"/>
      <c r="K616" s="65" t="s">
        <v>56</v>
      </c>
      <c r="L616" s="52">
        <v>47</v>
      </c>
      <c r="M616" s="21" t="str">
        <f ca="1">VLOOKUP($L616,OFFSET([2]enemies!$A$1,0,0,COUNTA([2]enemies!$A:$A),MATCH(M$1,[2]enemies!$1:$1,0)-MATCH($L$1,[2]enemies!$1:$1,0)+1),MATCH(M$1,[2]enemies!$1:$1,0)-MATCH($L$1,[2]enemies!$1:$1,0)+1,FALSE)</f>
        <v>ヒロ</v>
      </c>
      <c r="N616" s="21" t="str">
        <f ca="1">VLOOKUP($L616,OFFSET([2]enemies!$A$1,0,0,COUNTA([2]enemies!$A:$A),MATCH(N$1,[2]enemies!$1:$1,0)-MATCH($L$1,[2]enemies!$1:$1,0)+1),MATCH(N$1,[2]enemies!$1:$1,0)-MATCH($L$1,[2]enemies!$1:$1,0)+1,FALSE)</f>
        <v>yellow</v>
      </c>
      <c r="O616" s="21" t="str">
        <f ca="1">VLOOKUP($L616,OFFSET([3]characters!$A$1,0,0,COUNTA([3]characters!$A:$A),MATCH(O$1,[3]characters!$1:$1,0)-MATCH($L$1,[3]characters!$1:$1,0)+1),MATCH(O$1,[3]characters!$1:$1,0)-MATCH($L$1,[3]characters!$1:$1,0)+1,FALSE)</f>
        <v>Drop1N</v>
      </c>
      <c r="P616" s="21" t="str">
        <f ca="1">VLOOKUP($L616,OFFSET([2]enemies!$A$1,0,0,COUNTA([2]enemies!$A:$A),MATCH(P$1,[2]enemies!$1:$1,0)-MATCH($L$1,[2]enemies!$1:$1,0)+1),MATCH(P$1,[2]enemies!$1:$1,0)-MATCH($L$1,[2]enemies!$1:$1,0)+1,FALSE)</f>
        <v>animal</v>
      </c>
      <c r="Q616" s="21">
        <f ca="1">VLOOKUP($L616,OFFSET([2]enemies!$A$1,0,0,COUNTA([2]enemies!$A:$A),MATCH(Q$1,[2]enemies!$1:$1,0)-MATCH($L$1,[2]enemies!$1:$1,0)+1),MATCH(Q$1,[2]enemies!$1:$1,0)-MATCH($L$1,[2]enemies!$1:$1,0)+1,FALSE)</f>
        <v>15</v>
      </c>
      <c r="R616" s="53">
        <v>52</v>
      </c>
      <c r="S616" s="27">
        <v>1</v>
      </c>
      <c r="T616" s="27">
        <v>1</v>
      </c>
      <c r="U616" s="5">
        <v>0</v>
      </c>
      <c r="V616" s="4" t="str">
        <f ca="1">VLOOKUP($W616,OFFSET([4]enemy_skill_sets!$B$1,0,0,COUNTA([4]enemy_skill_sets!$B:$B),MATCH(M$1,[4]enemy_skill_sets!$1:$1,0)-MATCH($W$1,[4]enemy_skill_sets!$1:$1,0)+2),MATCH(M$1,[4]enemy_skill_sets!$1:$1,0)-MATCH($W$1,[4]enemy_skill_sets!$1:$1,0)+2,FALSE)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16" s="4">
        <f ca="1">VLOOKUP($L616,OFFSET([2]enemies!$A$1,0,0,COUNTA([2]enemies!$A:$A),MATCH(W$1,[2]enemies!$1:$1,0)-MATCH($L$1,[2]enemies!$1:$1,0)+1),MATCH(W$1,[2]enemies!$1:$1,0)-MATCH($L$1,[2]enemies!$1:$1,0)+1,FALSE)</f>
        <v>0</v>
      </c>
      <c r="X616" s="6">
        <v>0</v>
      </c>
      <c r="Y616" s="6">
        <v>100</v>
      </c>
      <c r="Z616" s="6">
        <v>0</v>
      </c>
      <c r="AA616" s="4">
        <f ca="1">VLOOKUP($L616,OFFSET([2]enemies!$A$1,0,0,COUNTA([2]enemies!$A:$A),MATCH(AA$1,[2]enemies!$1:$1,0)-MATCH($L$1,[2]enemies!$1:$1,0)+1),MATCH(AA$1,[2]enemies!$1:$1,0)-MATCH($L$1,[2]enemies!$1:$1,0)+1,FALSE)</f>
        <v>1</v>
      </c>
      <c r="AB616" s="52">
        <v>47</v>
      </c>
      <c r="AC616" s="4" t="str">
        <f ca="1">VLOOKUP($AB616,OFFSET([3]characters!$A$1,0,0,COUNTA([3]characters!$A:$A),MATCH(AC$1,[3]characters!$1:$1,0)-MATCH("character_id",[3]characters!$1:$1,0)+1),MATCH(AC$1,[3]characters!$1:$1,0)-MATCH("character_id",[3]characters!$1:$1,0)+1,FALSE)</f>
        <v>ヒロ</v>
      </c>
      <c r="AD616" s="4">
        <f ca="1">VLOOKUP($AB616,OFFSET([3]characters!$A$1,0,0,COUNTA([3]characters!$A:$A),MATCH(AD$1,[3]characters!$1:$1,0)-MATCH("character_id",[3]characters!$1:$1,0)+1),MATCH(AD$1,[3]characters!$1:$1,0)-MATCH("character_id",[3]characters!$1:$1,0)+1,FALSE)</f>
        <v>2</v>
      </c>
      <c r="AE616" s="4" t="str">
        <f ca="1">VLOOKUP($AB616,OFFSET([3]characters!$A$1,0,0,COUNTA([3]characters!$A:$A),MATCH(AE$1,[3]characters!$1:$1,0)-MATCH("character_id",[3]characters!$1:$1,0)+1),MATCH(AE$1,[3]characters!$1:$1,0)-MATCH("character_id",[3]characters!$1:$1,0)+1,FALSE)</f>
        <v>Drop1N</v>
      </c>
      <c r="AF616" s="7">
        <v>7</v>
      </c>
      <c r="AG616" s="26">
        <f t="shared" ca="1" si="619"/>
        <v>2</v>
      </c>
      <c r="AH616" s="8">
        <v>20</v>
      </c>
      <c r="AI616" s="7">
        <v>0</v>
      </c>
      <c r="AJ616" s="7">
        <v>0</v>
      </c>
      <c r="AK616" s="7">
        <v>0</v>
      </c>
      <c r="AL616" s="7">
        <v>0</v>
      </c>
      <c r="AM616" s="7">
        <v>1</v>
      </c>
    </row>
    <row r="617" spans="1:39" ht="14" x14ac:dyDescent="0.15">
      <c r="A617" s="18" t="str">
        <f t="shared" ca="1" si="642"/>
        <v>25_5-2/63&lt;lv52&gt;s2</v>
      </c>
      <c r="B617" s="50">
        <v>25</v>
      </c>
      <c r="C617" s="49">
        <v>5</v>
      </c>
      <c r="D617" s="2" t="str">
        <f t="shared" si="632"/>
        <v>25_5</v>
      </c>
      <c r="E617" s="2" t="str">
        <f t="shared" si="632"/>
        <v>5_25_5</v>
      </c>
      <c r="F617" s="4" t="str">
        <f ca="1">VLOOKUP($D617,OFFSET([1]stages!$A$1,0,0,COUNTA([1]stages!$A:$A),MATCH(F$1,[1]stages!$2:$2,0)-MATCH($D$1,[1]stages!$2:$2,0)+1),MATCH(F$1,[1]stages!$2:$2,0)-MATCH($D$1,[1]stages!$2:$2,0)+1,FALSE)</f>
        <v>25-5．君はサディスティック</v>
      </c>
      <c r="G617" s="56">
        <v>2</v>
      </c>
      <c r="H617" s="17" t="str">
        <f t="shared" si="633"/>
        <v>25_5-2</v>
      </c>
      <c r="I617" s="17"/>
      <c r="J617" s="17"/>
      <c r="K617" s="65" t="s">
        <v>56</v>
      </c>
      <c r="L617" s="52">
        <v>63</v>
      </c>
      <c r="M617" s="21" t="str">
        <f ca="1">VLOOKUP($L617,OFFSET([2]enemies!$A$1,0,0,COUNTA([2]enemies!$A:$A),MATCH(M$1,[2]enemies!$1:$1,0)-MATCH($L$1,[2]enemies!$1:$1,0)+1),MATCH(M$1,[2]enemies!$1:$1,0)-MATCH($L$1,[2]enemies!$1:$1,0)+1,FALSE)</f>
        <v>トニー</v>
      </c>
      <c r="N617" s="21" t="str">
        <f ca="1">VLOOKUP($L617,OFFSET([2]enemies!$A$1,0,0,COUNTA([2]enemies!$A:$A),MATCH(N$1,[2]enemies!$1:$1,0)-MATCH($L$1,[2]enemies!$1:$1,0)+1),MATCH(N$1,[2]enemies!$1:$1,0)-MATCH($L$1,[2]enemies!$1:$1,0)+1,FALSE)</f>
        <v>yellow</v>
      </c>
      <c r="O617" s="21" t="str">
        <f ca="1">VLOOKUP($L617,OFFSET([3]characters!$A$1,0,0,COUNTA([3]characters!$A:$A),MATCH(O$1,[3]characters!$1:$1,0)-MATCH($L$1,[3]characters!$1:$1,0)+1),MATCH(O$1,[3]characters!$1:$1,0)-MATCH($L$1,[3]characters!$1:$1,0)+1,FALSE)</f>
        <v>Drop1N</v>
      </c>
      <c r="P617" s="21" t="str">
        <f ca="1">VLOOKUP($L617,OFFSET([2]enemies!$A$1,0,0,COUNTA([2]enemies!$A:$A),MATCH(P$1,[2]enemies!$1:$1,0)-MATCH($L$1,[2]enemies!$1:$1,0)+1),MATCH(P$1,[2]enemies!$1:$1,0)-MATCH($L$1,[2]enemies!$1:$1,0)+1,FALSE)</f>
        <v>animal</v>
      </c>
      <c r="Q617" s="21">
        <f ca="1">VLOOKUP($L617,OFFSET([2]enemies!$A$1,0,0,COUNTA([2]enemies!$A:$A),MATCH(Q$1,[2]enemies!$1:$1,0)-MATCH($L$1,[2]enemies!$1:$1,0)+1),MATCH(Q$1,[2]enemies!$1:$1,0)-MATCH($L$1,[2]enemies!$1:$1,0)+1,FALSE)</f>
        <v>15</v>
      </c>
      <c r="R617" s="53">
        <v>52</v>
      </c>
      <c r="S617" s="27">
        <v>1</v>
      </c>
      <c r="T617" s="27">
        <v>1</v>
      </c>
      <c r="U617" s="5">
        <v>0</v>
      </c>
      <c r="V617" s="4" t="str">
        <f ca="1">VLOOKUP($W617,OFFSET([4]enemy_skill_sets!$B$1,0,0,COUNTA([4]enemy_skill_sets!$B:$B),MATCH(M$1,[4]enemy_skill_sets!$1:$1,0)-MATCH($W$1,[4]enemy_skill_sets!$1:$1,0)+2),MATCH(M$1,[4]enemy_skill_sets!$1:$1,0)-MATCH($W$1,[4]enemy_skill_sets!$1:$1,0)+2,FALSE)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617" s="4">
        <f ca="1">VLOOKUP($L617,OFFSET([2]enemies!$A$1,0,0,COUNTA([2]enemies!$A:$A),MATCH(W$1,[2]enemies!$1:$1,0)-MATCH($L$1,[2]enemies!$1:$1,0)+1),MATCH(W$1,[2]enemies!$1:$1,0)-MATCH($L$1,[2]enemies!$1:$1,0)+1,FALSE)</f>
        <v>63</v>
      </c>
      <c r="X617" s="6">
        <v>0</v>
      </c>
      <c r="Y617" s="6">
        <v>100</v>
      </c>
      <c r="Z617" s="6">
        <v>0</v>
      </c>
      <c r="AA617" s="4">
        <f ca="1">VLOOKUP($L617,OFFSET([2]enemies!$A$1,0,0,COUNTA([2]enemies!$A:$A),MATCH(AA$1,[2]enemies!$1:$1,0)-MATCH($L$1,[2]enemies!$1:$1,0)+1),MATCH(AA$1,[2]enemies!$1:$1,0)-MATCH($L$1,[2]enemies!$1:$1,0)+1,FALSE)</f>
        <v>2</v>
      </c>
      <c r="AB617" s="52">
        <v>63</v>
      </c>
      <c r="AC617" s="4" t="str">
        <f ca="1">VLOOKUP($AB617,OFFSET([3]characters!$A$1,0,0,COUNTA([3]characters!$A:$A),MATCH(AC$1,[3]characters!$1:$1,0)-MATCH("character_id",[3]characters!$1:$1,0)+1),MATCH(AC$1,[3]characters!$1:$1,0)-MATCH("character_id",[3]characters!$1:$1,0)+1,FALSE)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617" s="4">
        <f ca="1">VLOOKUP($AB617,OFFSET([3]characters!$A$1,0,0,COUNTA([3]characters!$A:$A),MATCH(AD$1,[3]characters!$1:$1,0)-MATCH("character_id",[3]characters!$1:$1,0)+1),MATCH(AD$1,[3]characters!$1:$1,0)-MATCH("character_id",[3]characters!$1:$1,0)+1,FALSE)</f>
        <v>2</v>
      </c>
      <c r="AE617" s="4" t="str">
        <f ca="1">VLOOKUP($AB617,OFFSET([3]characters!$A$1,0,0,COUNTA([3]characters!$A:$A),MATCH(AE$1,[3]characters!$1:$1,0)-MATCH("character_id",[3]characters!$1:$1,0)+1),MATCH(AE$1,[3]characters!$1:$1,0)-MATCH("character_id",[3]characters!$1:$1,0)+1,FALSE)</f>
        <v>Drop1N</v>
      </c>
      <c r="AF617" s="7">
        <v>7</v>
      </c>
      <c r="AG617" s="26">
        <f t="shared" ca="1" si="619"/>
        <v>2</v>
      </c>
      <c r="AH617" s="8">
        <v>20</v>
      </c>
      <c r="AI617" s="7">
        <v>0</v>
      </c>
      <c r="AJ617" s="7">
        <v>0</v>
      </c>
      <c r="AK617" s="7">
        <v>0</v>
      </c>
      <c r="AL617" s="7">
        <v>0</v>
      </c>
      <c r="AM617" s="7">
        <v>1</v>
      </c>
    </row>
    <row r="618" spans="1:39" ht="14" x14ac:dyDescent="0.15">
      <c r="A618" s="18" t="str">
        <f t="shared" ca="1" si="642"/>
        <v>25_5-2/19&lt;lv52&gt;s3</v>
      </c>
      <c r="B618" s="50">
        <v>25</v>
      </c>
      <c r="C618" s="49">
        <v>5</v>
      </c>
      <c r="D618" s="2" t="str">
        <f t="shared" si="632"/>
        <v>25_5</v>
      </c>
      <c r="E618" s="2" t="str">
        <f t="shared" si="632"/>
        <v>5_25_5</v>
      </c>
      <c r="F618" s="4" t="str">
        <f ca="1">VLOOKUP($D618,OFFSET([1]stages!$A$1,0,0,COUNTA([1]stages!$A:$A),MATCH(F$1,[1]stages!$2:$2,0)-MATCH($D$1,[1]stages!$2:$2,0)+1),MATCH(F$1,[1]stages!$2:$2,0)-MATCH($D$1,[1]stages!$2:$2,0)+1,FALSE)</f>
        <v>25-5．君はサディスティック</v>
      </c>
      <c r="G618" s="56">
        <v>2</v>
      </c>
      <c r="H618" s="17" t="str">
        <f t="shared" si="633"/>
        <v>25_5-2</v>
      </c>
      <c r="I618" s="17"/>
      <c r="J618" s="17"/>
      <c r="K618" s="65" t="s">
        <v>56</v>
      </c>
      <c r="L618" s="52">
        <v>19</v>
      </c>
      <c r="M618" s="21" t="str">
        <f ca="1">VLOOKUP($L618,OFFSET([2]enemies!$A$1,0,0,COUNTA([2]enemies!$A:$A),MATCH(M$1,[2]enemies!$1:$1,0)-MATCH($L$1,[2]enemies!$1:$1,0)+1),MATCH(M$1,[2]enemies!$1:$1,0)-MATCH($L$1,[2]enemies!$1:$1,0)+1,FALSE)</f>
        <v>ティンク</v>
      </c>
      <c r="N618" s="21" t="str">
        <f ca="1">VLOOKUP($L618,OFFSET([2]enemies!$A$1,0,0,COUNTA([2]enemies!$A:$A),MATCH(N$1,[2]enemies!$1:$1,0)-MATCH($L$1,[2]enemies!$1:$1,0)+1),MATCH(N$1,[2]enemies!$1:$1,0)-MATCH($L$1,[2]enemies!$1:$1,0)+1,FALSE)</f>
        <v>yellow</v>
      </c>
      <c r="O618" s="21" t="str">
        <f ca="1">VLOOKUP($L618,OFFSET([3]characters!$A$1,0,0,COUNTA([3]characters!$A:$A),MATCH(O$1,[3]characters!$1:$1,0)-MATCH($L$1,[3]characters!$1:$1,0)+1),MATCH(O$1,[3]characters!$1:$1,0)-MATCH($L$1,[3]characters!$1:$1,0)+1,FALSE)</f>
        <v>Drop1W</v>
      </c>
      <c r="P618" s="21" t="str">
        <f ca="1">VLOOKUP($L618,OFFSET([2]enemies!$A$1,0,0,COUNTA([2]enemies!$A:$A),MATCH(P$1,[2]enemies!$1:$1,0)-MATCH($L$1,[2]enemies!$1:$1,0)+1),MATCH(P$1,[2]enemies!$1:$1,0)-MATCH($L$1,[2]enemies!$1:$1,0)+1,FALSE)</f>
        <v>human</v>
      </c>
      <c r="Q618" s="21">
        <f ca="1">VLOOKUP($L618,OFFSET([2]enemies!$A$1,0,0,COUNTA([2]enemies!$A:$A),MATCH(Q$1,[2]enemies!$1:$1,0)-MATCH($L$1,[2]enemies!$1:$1,0)+1),MATCH(Q$1,[2]enemies!$1:$1,0)-MATCH($L$1,[2]enemies!$1:$1,0)+1,FALSE)</f>
        <v>15</v>
      </c>
      <c r="R618" s="53">
        <v>52</v>
      </c>
      <c r="S618" s="27">
        <v>1</v>
      </c>
      <c r="T618" s="27">
        <v>1</v>
      </c>
      <c r="U618" s="5">
        <v>0</v>
      </c>
      <c r="V618" s="4" t="str">
        <f ca="1">VLOOKUP($W618,OFFSET([4]enemy_skill_sets!$B$1,0,0,COUNTA([4]enemy_skill_sets!$B:$B),MATCH(M$1,[4]enemy_skill_sets!$1:$1,0)-MATCH($W$1,[4]enemy_skill_sets!$1:$1,0)+2),MATCH(M$1,[4]enemy_skill_sets!$1:$1,0)-MATCH($W$1,[4]enemy_skill_sets!$1:$1,0)+2,FALSE)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18" s="4">
        <f ca="1">VLOOKUP($L618,OFFSET([2]enemies!$A$1,0,0,COUNTA([2]enemies!$A:$A),MATCH(W$1,[2]enemies!$1:$1,0)-MATCH($L$1,[2]enemies!$1:$1,0)+1),MATCH(W$1,[2]enemies!$1:$1,0)-MATCH($L$1,[2]enemies!$1:$1,0)+1,FALSE)</f>
        <v>0</v>
      </c>
      <c r="X618" s="6">
        <v>0</v>
      </c>
      <c r="Y618" s="6">
        <v>100</v>
      </c>
      <c r="Z618" s="6">
        <v>0</v>
      </c>
      <c r="AA618" s="4">
        <f ca="1">VLOOKUP($L618,OFFSET([2]enemies!$A$1,0,0,COUNTA([2]enemies!$A:$A),MATCH(AA$1,[2]enemies!$1:$1,0)-MATCH($L$1,[2]enemies!$1:$1,0)+1),MATCH(AA$1,[2]enemies!$1:$1,0)-MATCH($L$1,[2]enemies!$1:$1,0)+1,FALSE)</f>
        <v>3</v>
      </c>
      <c r="AB618" s="52">
        <v>19</v>
      </c>
      <c r="AC618" s="4" t="str">
        <f ca="1">VLOOKUP($AB618,OFFSET([3]characters!$A$1,0,0,COUNTA([3]characters!$A:$A),MATCH(AC$1,[3]characters!$1:$1,0)-MATCH("character_id",[3]characters!$1:$1,0)+1),MATCH(AC$1,[3]characters!$1:$1,0)-MATCH("character_id",[3]characters!$1:$1,0)+1,FALSE)</f>
        <v>ティンク</v>
      </c>
      <c r="AD618" s="4">
        <f ca="1">VLOOKUP($AB618,OFFSET([3]characters!$A$1,0,0,COUNTA([3]characters!$A:$A),MATCH(AD$1,[3]characters!$1:$1,0)-MATCH("character_id",[3]characters!$1:$1,0)+1),MATCH(AD$1,[3]characters!$1:$1,0)-MATCH("character_id",[3]characters!$1:$1,0)+1,FALSE)</f>
        <v>1</v>
      </c>
      <c r="AE618" s="4" t="str">
        <f ca="1">VLOOKUP($AB618,OFFSET([3]characters!$A$1,0,0,COUNTA([3]characters!$A:$A),MATCH(AE$1,[3]characters!$1:$1,0)-MATCH("character_id",[3]characters!$1:$1,0)+1),MATCH(AE$1,[3]characters!$1:$1,0)-MATCH("character_id",[3]characters!$1:$1,0)+1,FALSE)</f>
        <v>Drop1W</v>
      </c>
      <c r="AF618" s="7">
        <v>9</v>
      </c>
      <c r="AG618" s="26">
        <f t="shared" ca="1" si="619"/>
        <v>1</v>
      </c>
      <c r="AH618" s="8">
        <v>20</v>
      </c>
      <c r="AI618" s="7">
        <v>0</v>
      </c>
      <c r="AJ618" s="7">
        <v>0</v>
      </c>
      <c r="AK618" s="7">
        <v>0</v>
      </c>
      <c r="AL618" s="7">
        <v>0</v>
      </c>
      <c r="AM618" s="7">
        <v>1</v>
      </c>
    </row>
    <row r="619" spans="1:39" ht="14" x14ac:dyDescent="0.15">
      <c r="A619" s="18" t="str">
        <f t="shared" ca="1" si="642"/>
        <v>25_5-2/39&lt;lv52&gt;s3</v>
      </c>
      <c r="B619" s="50">
        <v>25</v>
      </c>
      <c r="C619" s="49">
        <v>5</v>
      </c>
      <c r="D619" s="2" t="str">
        <f t="shared" si="632"/>
        <v>25_5</v>
      </c>
      <c r="E619" s="2" t="str">
        <f t="shared" si="632"/>
        <v>5_25_5</v>
      </c>
      <c r="F619" s="4" t="str">
        <f ca="1">VLOOKUP($D619,OFFSET([1]stages!$A$1,0,0,COUNTA([1]stages!$A:$A),MATCH(F$1,[1]stages!$2:$2,0)-MATCH($D$1,[1]stages!$2:$2,0)+1),MATCH(F$1,[1]stages!$2:$2,0)-MATCH($D$1,[1]stages!$2:$2,0)+1,FALSE)</f>
        <v>25-5．君はサディスティック</v>
      </c>
      <c r="G619" s="56">
        <v>2</v>
      </c>
      <c r="H619" s="17" t="str">
        <f t="shared" si="633"/>
        <v>25_5-2</v>
      </c>
      <c r="I619" s="17"/>
      <c r="J619" s="17"/>
      <c r="K619" s="65" t="s">
        <v>56</v>
      </c>
      <c r="L619" s="52">
        <v>39</v>
      </c>
      <c r="M619" s="21" t="str">
        <f ca="1">VLOOKUP($L619,OFFSET([2]enemies!$A$1,0,0,COUNTA([2]enemies!$A:$A),MATCH(M$1,[2]enemies!$1:$1,0)-MATCH($L$1,[2]enemies!$1:$1,0)+1),MATCH(M$1,[2]enemies!$1:$1,0)-MATCH($L$1,[2]enemies!$1:$1,0)+1,FALSE)</f>
        <v>マーロン</v>
      </c>
      <c r="N619" s="21" t="str">
        <f ca="1">VLOOKUP($L619,OFFSET([2]enemies!$A$1,0,0,COUNTA([2]enemies!$A:$A),MATCH(N$1,[2]enemies!$1:$1,0)-MATCH($L$1,[2]enemies!$1:$1,0)+1),MATCH(N$1,[2]enemies!$1:$1,0)-MATCH($L$1,[2]enemies!$1:$1,0)+1,FALSE)</f>
        <v>yellow</v>
      </c>
      <c r="O619" s="21" t="str">
        <f ca="1">VLOOKUP($L619,OFFSET([3]characters!$A$1,0,0,COUNTA([3]characters!$A:$A),MATCH(O$1,[3]characters!$1:$1,0)-MATCH($L$1,[3]characters!$1:$1,0)+1),MATCH(O$1,[3]characters!$1:$1,0)-MATCH($L$1,[3]characters!$1:$1,0)+1,FALSE)</f>
        <v>Drop1S</v>
      </c>
      <c r="P619" s="21" t="str">
        <f ca="1">VLOOKUP($L619,OFFSET([2]enemies!$A$1,0,0,COUNTA([2]enemies!$A:$A),MATCH(P$1,[2]enemies!$1:$1,0)-MATCH($L$1,[2]enemies!$1:$1,0)+1),MATCH(P$1,[2]enemies!$1:$1,0)-MATCH($L$1,[2]enemies!$1:$1,0)+1,FALSE)</f>
        <v>human</v>
      </c>
      <c r="Q619" s="21">
        <f ca="1">VLOOKUP($L619,OFFSET([2]enemies!$A$1,0,0,COUNTA([2]enemies!$A:$A),MATCH(Q$1,[2]enemies!$1:$1,0)-MATCH($L$1,[2]enemies!$1:$1,0)+1),MATCH(Q$1,[2]enemies!$1:$1,0)-MATCH($L$1,[2]enemies!$1:$1,0)+1,FALSE)</f>
        <v>15</v>
      </c>
      <c r="R619" s="53">
        <v>52</v>
      </c>
      <c r="S619" s="27">
        <v>1</v>
      </c>
      <c r="T619" s="27">
        <v>1</v>
      </c>
      <c r="U619" s="5">
        <v>0</v>
      </c>
      <c r="V619" s="4" t="str">
        <f ca="1">VLOOKUP($W619,OFFSET([4]enemy_skill_sets!$B$1,0,0,COUNTA([4]enemy_skill_sets!$B:$B),MATCH(M$1,[4]enemy_skill_sets!$1:$1,0)-MATCH($W$1,[4]enemy_skill_sets!$1:$1,0)+2),MATCH(M$1,[4]enemy_skill_sets!$1:$1,0)-MATCH($W$1,[4]enemy_skill_sets!$1:$1,0)+2,FALSE)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619" s="4">
        <f ca="1">VLOOKUP($L619,OFFSET([2]enemies!$A$1,0,0,COUNTA([2]enemies!$A:$A),MATCH(W$1,[2]enemies!$1:$1,0)-MATCH($L$1,[2]enemies!$1:$1,0)+1),MATCH(W$1,[2]enemies!$1:$1,0)-MATCH($L$1,[2]enemies!$1:$1,0)+1,FALSE)</f>
        <v>39</v>
      </c>
      <c r="X619" s="6">
        <v>0</v>
      </c>
      <c r="Y619" s="6">
        <v>100</v>
      </c>
      <c r="Z619" s="6">
        <v>0</v>
      </c>
      <c r="AA619" s="4">
        <f ca="1">VLOOKUP($L619,OFFSET([2]enemies!$A$1,0,0,COUNTA([2]enemies!$A:$A),MATCH(AA$1,[2]enemies!$1:$1,0)-MATCH($L$1,[2]enemies!$1:$1,0)+1),MATCH(AA$1,[2]enemies!$1:$1,0)-MATCH($L$1,[2]enemies!$1:$1,0)+1,FALSE)</f>
        <v>3</v>
      </c>
      <c r="AB619" s="52">
        <v>39</v>
      </c>
      <c r="AC619" s="4" t="str">
        <f ca="1">VLOOKUP($AB619,OFFSET([3]characters!$A$1,0,0,COUNTA([3]characters!$A:$A),MATCH(AC$1,[3]characters!$1:$1,0)-MATCH("character_id",[3]characters!$1:$1,0)+1),MATCH(AC$1,[3]characters!$1:$1,0)-MATCH("character_id",[3]characters!$1:$1,0)+1,FALSE)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619" s="4">
        <f ca="1">VLOOKUP($AB619,OFFSET([3]characters!$A$1,0,0,COUNTA([3]characters!$A:$A),MATCH(AD$1,[3]characters!$1:$1,0)-MATCH("character_id",[3]characters!$1:$1,0)+1),MATCH(AD$1,[3]characters!$1:$1,0)-MATCH("character_id",[3]characters!$1:$1,0)+1,FALSE)</f>
        <v>2</v>
      </c>
      <c r="AE619" s="4" t="str">
        <f ca="1">VLOOKUP($AB619,OFFSET([3]characters!$A$1,0,0,COUNTA([3]characters!$A:$A),MATCH(AE$1,[3]characters!$1:$1,0)-MATCH("character_id",[3]characters!$1:$1,0)+1),MATCH(AE$1,[3]characters!$1:$1,0)-MATCH("character_id",[3]characters!$1:$1,0)+1,FALSE)</f>
        <v>Drop1S</v>
      </c>
      <c r="AF619" s="7">
        <v>5</v>
      </c>
      <c r="AG619" s="26">
        <f t="shared" ca="1" si="619"/>
        <v>2</v>
      </c>
      <c r="AH619" s="8">
        <v>20</v>
      </c>
      <c r="AI619" s="7">
        <v>0</v>
      </c>
      <c r="AJ619" s="7">
        <v>0</v>
      </c>
      <c r="AK619" s="7">
        <v>0</v>
      </c>
      <c r="AL619" s="7">
        <v>0</v>
      </c>
      <c r="AM619" s="7">
        <v>1</v>
      </c>
    </row>
    <row r="620" spans="1:39" ht="14" x14ac:dyDescent="0.15">
      <c r="A620" s="18" t="str">
        <f t="shared" ca="1" si="642"/>
        <v>25_5-2/55&lt;lv52&gt;s4</v>
      </c>
      <c r="B620" s="50">
        <v>25</v>
      </c>
      <c r="C620" s="49">
        <v>5</v>
      </c>
      <c r="D620" s="2" t="str">
        <f t="shared" si="632"/>
        <v>25_5</v>
      </c>
      <c r="E620" s="2" t="str">
        <f t="shared" si="632"/>
        <v>5_25_5</v>
      </c>
      <c r="F620" s="4" t="str">
        <f ca="1">VLOOKUP($D620,OFFSET([1]stages!$A$1,0,0,COUNTA([1]stages!$A:$A),MATCH(F$1,[1]stages!$2:$2,0)-MATCH($D$1,[1]stages!$2:$2,0)+1),MATCH(F$1,[1]stages!$2:$2,0)-MATCH($D$1,[1]stages!$2:$2,0)+1,FALSE)</f>
        <v>25-5．君はサディスティック</v>
      </c>
      <c r="G620" s="56">
        <v>2</v>
      </c>
      <c r="H620" s="17" t="str">
        <f t="shared" si="633"/>
        <v>25_5-2</v>
      </c>
      <c r="I620" s="17"/>
      <c r="J620" s="17"/>
      <c r="K620" s="65" t="s">
        <v>56</v>
      </c>
      <c r="L620" s="52">
        <v>55</v>
      </c>
      <c r="M620" s="21" t="str">
        <f ca="1">VLOOKUP($L620,OFFSET([2]enemies!$A$1,0,0,COUNTA([2]enemies!$A:$A),MATCH(M$1,[2]enemies!$1:$1,0)-MATCH($L$1,[2]enemies!$1:$1,0)+1),MATCH(M$1,[2]enemies!$1:$1,0)-MATCH($L$1,[2]enemies!$1:$1,0)+1,FALSE)</f>
        <v>マミコ</v>
      </c>
      <c r="N620" s="21" t="str">
        <f ca="1">VLOOKUP($L620,OFFSET([2]enemies!$A$1,0,0,COUNTA([2]enemies!$A:$A),MATCH(N$1,[2]enemies!$1:$1,0)-MATCH($L$1,[2]enemies!$1:$1,0)+1),MATCH(N$1,[2]enemies!$1:$1,0)-MATCH($L$1,[2]enemies!$1:$1,0)+1,FALSE)</f>
        <v>yellow</v>
      </c>
      <c r="O620" s="21" t="str">
        <f ca="1">VLOOKUP($L620,OFFSET([3]characters!$A$1,0,0,COUNTA([3]characters!$A:$A),MATCH(O$1,[3]characters!$1:$1,0)-MATCH($L$1,[3]characters!$1:$1,0)+1),MATCH(O$1,[3]characters!$1:$1,0)-MATCH($L$1,[3]characters!$1:$1,0)+1,FALSE)</f>
        <v>Drop1N</v>
      </c>
      <c r="P620" s="21" t="str">
        <f ca="1">VLOOKUP($L620,OFFSET([2]enemies!$A$1,0,0,COUNTA([2]enemies!$A:$A),MATCH(P$1,[2]enemies!$1:$1,0)-MATCH($L$1,[2]enemies!$1:$1,0)+1),MATCH(P$1,[2]enemies!$1:$1,0)-MATCH($L$1,[2]enemies!$1:$1,0)+1,FALSE)</f>
        <v>human</v>
      </c>
      <c r="Q620" s="21">
        <f ca="1">VLOOKUP($L620,OFFSET([2]enemies!$A$1,0,0,COUNTA([2]enemies!$A:$A),MATCH(Q$1,[2]enemies!$1:$1,0)-MATCH($L$1,[2]enemies!$1:$1,0)+1),MATCH(Q$1,[2]enemies!$1:$1,0)-MATCH($L$1,[2]enemies!$1:$1,0)+1,FALSE)</f>
        <v>15</v>
      </c>
      <c r="R620" s="53">
        <v>52</v>
      </c>
      <c r="S620" s="27">
        <v>1</v>
      </c>
      <c r="T620" s="27">
        <v>1</v>
      </c>
      <c r="U620" s="5">
        <v>0</v>
      </c>
      <c r="V620" s="4" t="str">
        <f ca="1">VLOOKUP($W620,OFFSET([4]enemy_skill_sets!$B$1,0,0,COUNTA([4]enemy_skill_sets!$B:$B),MATCH(M$1,[4]enemy_skill_sets!$1:$1,0)-MATCH($W$1,[4]enemy_skill_sets!$1:$1,0)+2),MATCH(M$1,[4]enemy_skill_sets!$1:$1,0)-MATCH($W$1,[4]enemy_skill_sets!$1:$1,0)+2,FALSE)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620" s="4">
        <f ca="1">VLOOKUP($L620,OFFSET([2]enemies!$A$1,0,0,COUNTA([2]enemies!$A:$A),MATCH(W$1,[2]enemies!$1:$1,0)-MATCH($L$1,[2]enemies!$1:$1,0)+1),MATCH(W$1,[2]enemies!$1:$1,0)-MATCH($L$1,[2]enemies!$1:$1,0)+1,FALSE)</f>
        <v>55</v>
      </c>
      <c r="X620" s="6">
        <v>0</v>
      </c>
      <c r="Y620" s="6">
        <v>100</v>
      </c>
      <c r="Z620" s="6">
        <v>0</v>
      </c>
      <c r="AA620" s="4">
        <f ca="1">VLOOKUP($L620,OFFSET([2]enemies!$A$1,0,0,COUNTA([2]enemies!$A:$A),MATCH(AA$1,[2]enemies!$1:$1,0)-MATCH($L$1,[2]enemies!$1:$1,0)+1),MATCH(AA$1,[2]enemies!$1:$1,0)-MATCH($L$1,[2]enemies!$1:$1,0)+1,FALSE)</f>
        <v>4</v>
      </c>
      <c r="AB620" s="52">
        <v>55</v>
      </c>
      <c r="AC620" s="4" t="str">
        <f ca="1">VLOOKUP($AB620,OFFSET([3]characters!$A$1,0,0,COUNTA([3]characters!$A:$A),MATCH(AC$1,[3]characters!$1:$1,0)-MATCH("character_id",[3]characters!$1:$1,0)+1),MATCH(AC$1,[3]characters!$1:$1,0)-MATCH("character_id",[3]characters!$1:$1,0)+1,FALSE)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620" s="4">
        <f ca="1">VLOOKUP($AB620,OFFSET([3]characters!$A$1,0,0,COUNTA([3]characters!$A:$A),MATCH(AD$1,[3]characters!$1:$1,0)-MATCH("character_id",[3]characters!$1:$1,0)+1),MATCH(AD$1,[3]characters!$1:$1,0)-MATCH("character_id",[3]characters!$1:$1,0)+1,FALSE)</f>
        <v>2</v>
      </c>
      <c r="AE620" s="4" t="str">
        <f ca="1">VLOOKUP($AB620,OFFSET([3]characters!$A$1,0,0,COUNTA([3]characters!$A:$A),MATCH(AE$1,[3]characters!$1:$1,0)-MATCH("character_id",[3]characters!$1:$1,0)+1),MATCH(AE$1,[3]characters!$1:$1,0)-MATCH("character_id",[3]characters!$1:$1,0)+1,FALSE)</f>
        <v>Drop1N</v>
      </c>
      <c r="AF620" s="7">
        <v>7</v>
      </c>
      <c r="AG620" s="26">
        <f t="shared" ca="1" si="619"/>
        <v>2</v>
      </c>
      <c r="AH620" s="8">
        <v>20</v>
      </c>
      <c r="AI620" s="7">
        <v>0</v>
      </c>
      <c r="AJ620" s="7">
        <v>0</v>
      </c>
      <c r="AK620" s="7">
        <v>0</v>
      </c>
      <c r="AL620" s="7">
        <v>0</v>
      </c>
      <c r="AM620" s="7">
        <v>1</v>
      </c>
    </row>
    <row r="621" spans="1:39" ht="14" x14ac:dyDescent="0.15">
      <c r="A621" s="18" t="str">
        <f t="shared" ca="1" si="642"/>
        <v>25_5-2/366&lt;lv52&gt;s3</v>
      </c>
      <c r="B621" s="53">
        <v>25</v>
      </c>
      <c r="C621" s="51">
        <v>5</v>
      </c>
      <c r="D621" s="2" t="str">
        <f t="shared" ref="D621" si="649">B621&amp;"_"&amp;C621</f>
        <v>25_5</v>
      </c>
      <c r="E621" s="2" t="str">
        <f t="shared" ref="E621" si="650">C621&amp;"_"&amp;D621</f>
        <v>5_25_5</v>
      </c>
      <c r="F621" s="4" t="str">
        <f ca="1">VLOOKUP($D621,OFFSET([1]stages!$A$1,0,0,COUNTA([1]stages!$A:$A),MATCH(F$1,[1]stages!$2:$2,0)-MATCH($D$1,[1]stages!$2:$2,0)+1),MATCH(F$1,[1]stages!$2:$2,0)-MATCH($D$1,[1]stages!$2:$2,0)+1,FALSE)</f>
        <v>25-5．君はサディスティック</v>
      </c>
      <c r="G621" s="56">
        <v>2</v>
      </c>
      <c r="H621" s="17" t="str">
        <f t="shared" ref="H621" si="651">B621&amp;"_"&amp;C621&amp;"-"&amp;G621</f>
        <v>25_5-2</v>
      </c>
      <c r="I621" s="17"/>
      <c r="J621" s="17"/>
      <c r="K621" s="65" t="s">
        <v>56</v>
      </c>
      <c r="L621" s="52">
        <v>366</v>
      </c>
      <c r="M621" s="21" t="str">
        <f ca="1">VLOOKUP($L621,OFFSET([2]enemies!$A$1,0,0,COUNTA([2]enemies!$A:$A),MATCH(M$1,[2]enemies!$1:$1,0)-MATCH($L$1,[2]enemies!$1:$1,0)+1),MATCH(M$1,[2]enemies!$1:$1,0)-MATCH($L$1,[2]enemies!$1:$1,0)+1,FALSE)</f>
        <v>トト</v>
      </c>
      <c r="N621" s="21" t="str">
        <f ca="1">VLOOKUP($L621,OFFSET([2]enemies!$A$1,0,0,COUNTA([2]enemies!$A:$A),MATCH(N$1,[2]enemies!$1:$1,0)-MATCH($L$1,[2]enemies!$1:$1,0)+1),MATCH(N$1,[2]enemies!$1:$1,0)-MATCH($L$1,[2]enemies!$1:$1,0)+1,FALSE)</f>
        <v>yellow</v>
      </c>
      <c r="O621" s="21" t="str">
        <f ca="1">VLOOKUP($L621,OFFSET([3]characters!$A$1,0,0,COUNTA([3]characters!$A:$A),MATCH(O$1,[3]characters!$1:$1,0)-MATCH($L$1,[3]characters!$1:$1,0)+1),MATCH(O$1,[3]characters!$1:$1,0)-MATCH($L$1,[3]characters!$1:$1,0)+1,FALSE)</f>
        <v>Drop1S</v>
      </c>
      <c r="P621" s="21" t="str">
        <f ca="1">VLOOKUP($L621,OFFSET([2]enemies!$A$1,0,0,COUNTA([2]enemies!$A:$A),MATCH(P$1,[2]enemies!$1:$1,0)-MATCH($L$1,[2]enemies!$1:$1,0)+1),MATCH(P$1,[2]enemies!$1:$1,0)-MATCH($L$1,[2]enemies!$1:$1,0)+1,FALSE)</f>
        <v>animal</v>
      </c>
      <c r="Q621" s="21">
        <f ca="1">VLOOKUP($L621,OFFSET([2]enemies!$A$1,0,0,COUNTA([2]enemies!$A:$A),MATCH(Q$1,[2]enemies!$1:$1,0)-MATCH($L$1,[2]enemies!$1:$1,0)+1),MATCH(Q$1,[2]enemies!$1:$1,0)-MATCH($L$1,[2]enemies!$1:$1,0)+1,FALSE)</f>
        <v>15</v>
      </c>
      <c r="R621" s="53">
        <v>52</v>
      </c>
      <c r="S621" s="27">
        <v>1</v>
      </c>
      <c r="T621" s="27">
        <v>1</v>
      </c>
      <c r="U621" s="5">
        <v>0</v>
      </c>
      <c r="V621" s="4" t="str">
        <f ca="1">VLOOKUP($W621,OFFSET([4]enemy_skill_sets!$B$1,0,0,COUNTA([4]enemy_skill_sets!$B:$B),MATCH(M$1,[4]enemy_skill_sets!$1:$1,0)-MATCH($W$1,[4]enemy_skill_sets!$1:$1,0)+2),MATCH(M$1,[4]enemy_skill_sets!$1:$1,0)-MATCH($W$1,[4]enemy_skill_sets!$1:$1,0)+2,FALSE)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621" s="64">
        <v>366</v>
      </c>
      <c r="X621" s="6">
        <v>0</v>
      </c>
      <c r="Y621" s="6">
        <v>100</v>
      </c>
      <c r="Z621" s="6">
        <v>0</v>
      </c>
      <c r="AA621" s="4">
        <f ca="1">VLOOKUP($L621,OFFSET([2]enemies!$A$1,0,0,COUNTA([2]enemies!$A:$A),MATCH(AA$1,[2]enemies!$1:$1,0)-MATCH($L$1,[2]enemies!$1:$1,0)+1),MATCH(AA$1,[2]enemies!$1:$1,0)-MATCH($L$1,[2]enemies!$1:$1,0)+1,FALSE)</f>
        <v>3</v>
      </c>
      <c r="AB621" s="52">
        <v>366</v>
      </c>
      <c r="AC621" s="4" t="str">
        <f ca="1">VLOOKUP($AB621,OFFSET([3]characters!$A$1,0,0,COUNTA([3]characters!$A:$A),MATCH(AC$1,[3]characters!$1:$1,0)-MATCH("character_id",[3]characters!$1:$1,0)+1),MATCH(AC$1,[3]characters!$1:$1,0)-MATCH("character_id",[3]characters!$1:$1,0)+1,FALSE)</f>
        <v>トト</v>
      </c>
      <c r="AD621" s="4">
        <f ca="1">VLOOKUP($AB621,OFFSET([3]characters!$A$1,0,0,COUNTA([3]characters!$A:$A),MATCH(AD$1,[3]characters!$1:$1,0)-MATCH("character_id",[3]characters!$1:$1,0)+1),MATCH(AD$1,[3]characters!$1:$1,0)-MATCH("character_id",[3]characters!$1:$1,0)+1,FALSE)</f>
        <v>2</v>
      </c>
      <c r="AE621" s="4" t="str">
        <f ca="1">VLOOKUP($AB621,OFFSET([3]characters!$A$1,0,0,COUNTA([3]characters!$A:$A),MATCH(AE$1,[3]characters!$1:$1,0)-MATCH("character_id",[3]characters!$1:$1,0)+1),MATCH(AE$1,[3]characters!$1:$1,0)-MATCH("character_id",[3]characters!$1:$1,0)+1,FALSE)</f>
        <v>Drop1S</v>
      </c>
      <c r="AF621" s="7">
        <v>7</v>
      </c>
      <c r="AG621" s="26">
        <f t="shared" ca="1" si="619"/>
        <v>2</v>
      </c>
      <c r="AH621" s="8">
        <v>20</v>
      </c>
      <c r="AI621" s="7">
        <v>0</v>
      </c>
      <c r="AJ621" s="7">
        <v>0</v>
      </c>
      <c r="AK621" s="7">
        <v>0</v>
      </c>
      <c r="AL621" s="7">
        <v>0</v>
      </c>
      <c r="AM621" s="7">
        <v>1</v>
      </c>
    </row>
    <row r="622" spans="1:39" ht="14" x14ac:dyDescent="0.15">
      <c r="A622" s="18" t="str">
        <f t="shared" ca="1" si="642"/>
        <v>25_5-2/352&lt;lv52&gt;s3</v>
      </c>
      <c r="B622" s="53">
        <v>25</v>
      </c>
      <c r="C622" s="51">
        <v>5</v>
      </c>
      <c r="D622" s="2" t="str">
        <f t="shared" ref="D622" si="652">B622&amp;"_"&amp;C622</f>
        <v>25_5</v>
      </c>
      <c r="E622" s="2" t="str">
        <f t="shared" ref="E622" si="653">C622&amp;"_"&amp;D622</f>
        <v>5_25_5</v>
      </c>
      <c r="F622" s="4" t="str">
        <f ca="1">VLOOKUP($D622,OFFSET([1]stages!$A$1,0,0,COUNTA([1]stages!$A:$A),MATCH(F$1,[1]stages!$2:$2,0)-MATCH($D$1,[1]stages!$2:$2,0)+1),MATCH(F$1,[1]stages!$2:$2,0)-MATCH($D$1,[1]stages!$2:$2,0)+1,FALSE)</f>
        <v>25-5．君はサディスティック</v>
      </c>
      <c r="G622" s="56">
        <v>2</v>
      </c>
      <c r="H622" s="17" t="str">
        <f t="shared" ref="H622" si="654">B622&amp;"_"&amp;C622&amp;"-"&amp;G622</f>
        <v>25_5-2</v>
      </c>
      <c r="I622" s="17"/>
      <c r="J622" s="17"/>
      <c r="K622" s="65" t="s">
        <v>56</v>
      </c>
      <c r="L622" s="52">
        <v>352</v>
      </c>
      <c r="M622" s="21" t="str">
        <f ca="1">VLOOKUP($L622,OFFSET([2]enemies!$A$1,0,0,COUNTA([2]enemies!$A:$A),MATCH(M$1,[2]enemies!$1:$1,0)-MATCH($L$1,[2]enemies!$1:$1,0)+1),MATCH(M$1,[2]enemies!$1:$1,0)-MATCH($L$1,[2]enemies!$1:$1,0)+1,FALSE)</f>
        <v>水のケロケロ</v>
      </c>
      <c r="N622" s="21" t="str">
        <f ca="1">VLOOKUP($L622,OFFSET([2]enemies!$A$1,0,0,COUNTA([2]enemies!$A:$A),MATCH(N$1,[2]enemies!$1:$1,0)-MATCH($L$1,[2]enemies!$1:$1,0)+1),MATCH(N$1,[2]enemies!$1:$1,0)-MATCH($L$1,[2]enemies!$1:$1,0)+1,FALSE)</f>
        <v>blue</v>
      </c>
      <c r="O622" s="21" t="str">
        <f ca="1">VLOOKUP($L622,OFFSET([3]characters!$A$1,0,0,COUNTA([3]characters!$A:$A),MATCH(O$1,[3]characters!$1:$1,0)-MATCH($L$1,[3]characters!$1:$1,0)+1),MATCH(O$1,[3]characters!$1:$1,0)-MATCH($L$1,[3]characters!$1:$1,0)+1,FALSE)</f>
        <v>Material</v>
      </c>
      <c r="P622" s="21" t="str">
        <f ca="1">VLOOKUP($L622,OFFSET([2]enemies!$A$1,0,0,COUNTA([2]enemies!$A:$A),MATCH(P$1,[2]enemies!$1:$1,0)-MATCH($L$1,[2]enemies!$1:$1,0)+1),MATCH(P$1,[2]enemies!$1:$1,0)-MATCH($L$1,[2]enemies!$1:$1,0)+1,FALSE)</f>
        <v>unknown</v>
      </c>
      <c r="Q622" s="21">
        <f ca="1">VLOOKUP($L622,OFFSET([2]enemies!$A$1,0,0,COUNTA([2]enemies!$A:$A),MATCH(Q$1,[2]enemies!$1:$1,0)-MATCH($L$1,[2]enemies!$1:$1,0)+1),MATCH(Q$1,[2]enemies!$1:$1,0)-MATCH($L$1,[2]enemies!$1:$1,0)+1,FALSE)</f>
        <v>15</v>
      </c>
      <c r="R622" s="53">
        <v>52</v>
      </c>
      <c r="S622" s="27">
        <v>1</v>
      </c>
      <c r="T622" s="27">
        <v>1</v>
      </c>
      <c r="U622" s="5">
        <v>0</v>
      </c>
      <c r="V622" s="4" t="str">
        <f ca="1">VLOOKUP($W622,OFFSET([4]enemy_skill_sets!$B$1,0,0,COUNTA([4]enemy_skill_sets!$B:$B),MATCH(M$1,[4]enemy_skill_sets!$1:$1,0)-MATCH($W$1,[4]enemy_skill_sets!$1:$1,0)+2),MATCH(M$1,[4]enemy_skill_sets!$1:$1,0)-MATCH($W$1,[4]enemy_skill_sets!$1:$1,0)+2,FALSE)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622" s="64">
        <v>352</v>
      </c>
      <c r="X622" s="6">
        <v>0</v>
      </c>
      <c r="Y622" s="6">
        <v>100</v>
      </c>
      <c r="Z622" s="6">
        <v>0</v>
      </c>
      <c r="AA622" s="4">
        <f ca="1">VLOOKUP($L622,OFFSET([2]enemies!$A$1,0,0,COUNTA([2]enemies!$A:$A),MATCH(AA$1,[2]enemies!$1:$1,0)-MATCH($L$1,[2]enemies!$1:$1,0)+1),MATCH(AA$1,[2]enemies!$1:$1,0)-MATCH($L$1,[2]enemies!$1:$1,0)+1,FALSE)</f>
        <v>3</v>
      </c>
      <c r="AB622" s="52">
        <v>352</v>
      </c>
      <c r="AC622" s="4" t="str">
        <f ca="1">VLOOKUP($AB622,OFFSET([3]characters!$A$1,0,0,COUNTA([3]characters!$A:$A),MATCH(AC$1,[3]characters!$1:$1,0)-MATCH("character_id",[3]characters!$1:$1,0)+1),MATCH(AC$1,[3]characters!$1:$1,0)-MATCH("character_id",[3]characters!$1:$1,0)+1,FALSE)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622" s="4">
        <f ca="1">VLOOKUP($AB622,OFFSET([3]characters!$A$1,0,0,COUNTA([3]characters!$A:$A),MATCH(AD$1,[3]characters!$1:$1,0)-MATCH("character_id",[3]characters!$1:$1,0)+1),MATCH(AD$1,[3]characters!$1:$1,0)-MATCH("character_id",[3]characters!$1:$1,0)+1,FALSE)</f>
        <v>2</v>
      </c>
      <c r="AE622" s="4" t="str">
        <f ca="1">VLOOKUP($AB622,OFFSET([3]characters!$A$1,0,0,COUNTA([3]characters!$A:$A),MATCH(AE$1,[3]characters!$1:$1,0)-MATCH("character_id",[3]characters!$1:$1,0)+1),MATCH(AE$1,[3]characters!$1:$1,0)-MATCH("character_id",[3]characters!$1:$1,0)+1,FALSE)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22" s="7">
        <v>10</v>
      </c>
      <c r="AG622" s="26">
        <f t="shared" ca="1" si="619"/>
        <v>2</v>
      </c>
      <c r="AH622" s="8">
        <v>20</v>
      </c>
      <c r="AI622" s="7">
        <v>0</v>
      </c>
      <c r="AJ622" s="7">
        <v>0</v>
      </c>
      <c r="AK622" s="7">
        <v>0</v>
      </c>
      <c r="AL622" s="7">
        <v>0</v>
      </c>
      <c r="AM622" s="7">
        <v>1</v>
      </c>
    </row>
    <row r="623" spans="1:39" ht="14" x14ac:dyDescent="0.15">
      <c r="A623" s="18" t="str">
        <f t="shared" si="642"/>
        <v>25_5-3/149&lt;lv52&gt;s1</v>
      </c>
      <c r="B623" s="50">
        <v>25</v>
      </c>
      <c r="C623" s="49">
        <v>5</v>
      </c>
      <c r="D623" s="2" t="str">
        <f t="shared" si="632"/>
        <v>25_5</v>
      </c>
      <c r="E623" s="2" t="str">
        <f t="shared" si="632"/>
        <v>5_25_5</v>
      </c>
      <c r="F623" s="4" t="str">
        <f ca="1">VLOOKUP($D623,OFFSET([1]stages!$A$1,0,0,COUNTA([1]stages!$A:$A),MATCH(F$1,[1]stages!$2:$2,0)-MATCH($D$1,[1]stages!$2:$2,0)+1),MATCH(F$1,[1]stages!$2:$2,0)-MATCH($D$1,[1]stages!$2:$2,0)+1,FALSE)</f>
        <v>25-5．君はサディスティック</v>
      </c>
      <c r="G623" s="57">
        <v>3</v>
      </c>
      <c r="H623" s="17" t="str">
        <f t="shared" si="633"/>
        <v>25_5-3</v>
      </c>
      <c r="I623" s="17"/>
      <c r="J623" s="17"/>
      <c r="K623" s="65" t="s">
        <v>56</v>
      </c>
      <c r="L623" s="52">
        <v>149</v>
      </c>
      <c r="M623" s="21" t="str">
        <f ca="1">VLOOKUP($L623,OFFSET([2]enemies!$A$1,0,0,COUNTA([2]enemies!$A:$A),MATCH(M$1,[2]enemies!$1:$1,0)-MATCH($L$1,[2]enemies!$1:$1,0)+1),MATCH(M$1,[2]enemies!$1:$1,0)-MATCH($L$1,[2]enemies!$1:$1,0)+1,FALSE)</f>
        <v>雷撃蹴技を極めし者 シンデレラ</v>
      </c>
      <c r="N623" s="21" t="str">
        <f ca="1">VLOOKUP($L623,OFFSET([2]enemies!$A$1,0,0,COUNTA([2]enemies!$A:$A),MATCH(N$1,[2]enemies!$1:$1,0)-MATCH($L$1,[2]enemies!$1:$1,0)+1),MATCH(N$1,[2]enemies!$1:$1,0)-MATCH($L$1,[2]enemies!$1:$1,0)+1,FALSE)</f>
        <v>yellow</v>
      </c>
      <c r="O623" s="21" t="str">
        <f ca="1">VLOOKUP($L623,OFFSET([3]characters!$A$1,0,0,COUNTA([3]characters!$A:$A),MATCH(O$1,[3]characters!$1:$1,0)-MATCH($L$1,[3]characters!$1:$1,0)+1),MATCH(O$1,[3]characters!$1:$1,0)-MATCH($L$1,[3]characters!$1:$1,0)+1,FALSE)</f>
        <v>PremiumW</v>
      </c>
      <c r="P623" s="21" t="str">
        <f ca="1">VLOOKUP($L623,OFFSET([2]enemies!$A$1,0,0,COUNTA([2]enemies!$A:$A),MATCH(P$1,[2]enemies!$1:$1,0)-MATCH($L$1,[2]enemies!$1:$1,0)+1),MATCH(P$1,[2]enemies!$1:$1,0)-MATCH($L$1,[2]enemies!$1:$1,0)+1,FALSE)</f>
        <v>human</v>
      </c>
      <c r="Q623" s="21">
        <f ca="1">VLOOKUP($L623,OFFSET([2]enemies!$A$1,0,0,COUNTA([2]enemies!$A:$A),MATCH(Q$1,[2]enemies!$1:$1,0)-MATCH($L$1,[2]enemies!$1:$1,0)+1),MATCH(Q$1,[2]enemies!$1:$1,0)-MATCH($L$1,[2]enemies!$1:$1,0)+1,FALSE)</f>
        <v>30</v>
      </c>
      <c r="R623" s="53">
        <v>52</v>
      </c>
      <c r="S623" s="27">
        <v>1.5</v>
      </c>
      <c r="T623" s="27">
        <v>1</v>
      </c>
      <c r="U623" s="5">
        <v>0</v>
      </c>
      <c r="V623" s="4" t="str">
        <f ca="1">VLOOKUP($W623,OFFSET([4]enemy_skill_sets!$B$1,0,0,COUNTA([4]enemy_skill_sets!$B:$B),MATCH(M$1,[4]enemy_skill_sets!$1:$1,0)-MATCH($W$1,[4]enemy_skill_sets!$1:$1,0)+2),MATCH(M$1,[4]enemy_skill_sets!$1:$1,0)-MATCH($W$1,[4]enemy_skill_sets!$1:$1,0)+2,FALSE)</f>
        <v>ガラスの靴に夢中だ</v>
      </c>
      <c r="W623" s="4">
        <f ca="1">VLOOKUP($L623,OFFSET([2]enemies!$A$1,0,0,COUNTA([2]enemies!$A:$A),MATCH(W$1,[2]enemies!$1:$1,0)-MATCH($L$1,[2]enemies!$1:$1,0)+1),MATCH(W$1,[2]enemies!$1:$1,0)-MATCH($L$1,[2]enemies!$1:$1,0)+1,FALSE)</f>
        <v>149</v>
      </c>
      <c r="X623" s="6">
        <v>1</v>
      </c>
      <c r="Y623" s="6">
        <v>100</v>
      </c>
      <c r="Z623" s="6">
        <v>1</v>
      </c>
      <c r="AA623" s="64">
        <v>1</v>
      </c>
      <c r="AB623" s="52">
        <v>149</v>
      </c>
      <c r="AC623" s="4" t="str">
        <f ca="1">VLOOKUP($AB623,OFFSET([3]characters!$A$1,0,0,COUNTA([3]characters!$A:$A),MATCH(AC$1,[3]characters!$1:$1,0)-MATCH("character_id",[3]characters!$1:$1,0)+1),MATCH(AC$1,[3]characters!$1:$1,0)-MATCH("character_id",[3]characters!$1:$1,0)+1,FALSE)</f>
        <v>雷撃蹴技を極めし者 シンデレラ</v>
      </c>
      <c r="AD623" s="4">
        <f ca="1">VLOOKUP($AB623,OFFSET([3]characters!$A$1,0,0,COUNTA([3]characters!$A:$A),MATCH(AD$1,[3]characters!$1:$1,0)-MATCH("character_id",[3]characters!$1:$1,0)+1),MATCH(AD$1,[3]characters!$1:$1,0)-MATCH("character_id",[3]characters!$1:$1,0)+1,FALSE)</f>
        <v>4</v>
      </c>
      <c r="AE623" s="4" t="str">
        <f ca="1">VLOOKUP($AB623,OFFSET([3]characters!$A$1,0,0,COUNTA([3]characters!$A:$A),MATCH(AE$1,[3]characters!$1:$1,0)-MATCH("character_id",[3]characters!$1:$1,0)+1),MATCH(AE$1,[3]characters!$1:$1,0)-MATCH("character_id",[3]characters!$1:$1,0)+1,FALSE)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623" s="7">
        <v>1</v>
      </c>
      <c r="AG623" s="26">
        <f t="shared" ca="1" si="619"/>
        <v>4</v>
      </c>
      <c r="AH623" s="8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1</v>
      </c>
    </row>
    <row r="624" spans="1:39" ht="14" x14ac:dyDescent="0.15">
      <c r="A624" s="18" t="str">
        <f t="shared" ca="1" si="642"/>
        <v>25_5-3/26&lt;lv52&gt;s3</v>
      </c>
      <c r="B624" s="53">
        <v>25</v>
      </c>
      <c r="C624" s="51">
        <v>5</v>
      </c>
      <c r="D624" s="2" t="str">
        <f t="shared" ref="D624" si="655">B624&amp;"_"&amp;C624</f>
        <v>25_5</v>
      </c>
      <c r="E624" s="2" t="str">
        <f t="shared" ref="E624" si="656">C624&amp;"_"&amp;D624</f>
        <v>5_25_5</v>
      </c>
      <c r="F624" s="4" t="str">
        <f ca="1">VLOOKUP($D624,OFFSET([1]stages!$A$1,0,0,COUNTA([1]stages!$A:$A),MATCH(F$1,[1]stages!$2:$2,0)-MATCH($D$1,[1]stages!$2:$2,0)+1),MATCH(F$1,[1]stages!$2:$2,0)-MATCH($D$1,[1]stages!$2:$2,0)+1,FALSE)</f>
        <v>25-5．君はサディスティック</v>
      </c>
      <c r="G624" s="57">
        <v>3</v>
      </c>
      <c r="H624" s="17" t="str">
        <f t="shared" ref="H624" si="657">B624&amp;"_"&amp;C624&amp;"-"&amp;G624</f>
        <v>25_5-3</v>
      </c>
      <c r="I624" s="17"/>
      <c r="J624" s="17"/>
      <c r="K624" s="65" t="s">
        <v>56</v>
      </c>
      <c r="L624" s="52">
        <v>26</v>
      </c>
      <c r="M624" s="21" t="str">
        <f ca="1">VLOOKUP($L624,OFFSET([2]enemies!$A$1,0,0,COUNTA([2]enemies!$A:$A),MATCH(M$1,[2]enemies!$1:$1,0)-MATCH($L$1,[2]enemies!$1:$1,0)+1),MATCH(M$1,[2]enemies!$1:$1,0)-MATCH($L$1,[2]enemies!$1:$1,0)+1,FALSE)</f>
        <v>勇犬 ハチ</v>
      </c>
      <c r="N624" s="21" t="str">
        <f ca="1">VLOOKUP($L624,OFFSET([2]enemies!$A$1,0,0,COUNTA([2]enemies!$A:$A),MATCH(N$1,[2]enemies!$1:$1,0)-MATCH($L$1,[2]enemies!$1:$1,0)+1),MATCH(N$1,[2]enemies!$1:$1,0)-MATCH($L$1,[2]enemies!$1:$1,0)+1,FALSE)</f>
        <v>blue</v>
      </c>
      <c r="O624" s="21" t="str">
        <f ca="1">VLOOKUP($L624,OFFSET([3]characters!$A$1,0,0,COUNTA([3]characters!$A:$A),MATCH(O$1,[3]characters!$1:$1,0)-MATCH($L$1,[3]characters!$1:$1,0)+1),MATCH(O$1,[3]characters!$1:$1,0)-MATCH($L$1,[3]characters!$1:$1,0)+1,FALSE)</f>
        <v>Drop1N</v>
      </c>
      <c r="P624" s="21" t="str">
        <f ca="1">VLOOKUP($L624,OFFSET([2]enemies!$A$1,0,0,COUNTA([2]enemies!$A:$A),MATCH(P$1,[2]enemies!$1:$1,0)-MATCH($L$1,[2]enemies!$1:$1,0)+1),MATCH(P$1,[2]enemies!$1:$1,0)-MATCH($L$1,[2]enemies!$1:$1,0)+1,FALSE)</f>
        <v>animal</v>
      </c>
      <c r="Q624" s="21">
        <f ca="1">VLOOKUP($L624,OFFSET([2]enemies!$A$1,0,0,COUNTA([2]enemies!$A:$A),MATCH(Q$1,[2]enemies!$1:$1,0)-MATCH($L$1,[2]enemies!$1:$1,0)+1),MATCH(Q$1,[2]enemies!$1:$1,0)-MATCH($L$1,[2]enemies!$1:$1,0)+1,FALSE)</f>
        <v>15</v>
      </c>
      <c r="R624" s="53">
        <v>52</v>
      </c>
      <c r="S624" s="27">
        <v>2</v>
      </c>
      <c r="T624" s="27">
        <v>1</v>
      </c>
      <c r="U624" s="5">
        <v>0</v>
      </c>
      <c r="V624" s="4" t="str">
        <f ca="1">VLOOKUP($W624,OFFSET([4]enemy_skill_sets!$B$1,0,0,COUNTA([4]enemy_skill_sets!$B:$B),MATCH(M$1,[4]enemy_skill_sets!$1:$1,0)-MATCH($W$1,[4]enemy_skill_sets!$1:$1,0)+2),MATCH(M$1,[4]enemy_skill_sets!$1:$1,0)-MATCH($W$1,[4]enemy_skill_sets!$1:$1,0)+2,FALSE)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24" s="4">
        <f ca="1">VLOOKUP($L624,OFFSET([2]enemies!$A$1,0,0,COUNTA([2]enemies!$A:$A),MATCH(W$1,[2]enemies!$1:$1,0)-MATCH($L$1,[2]enemies!$1:$1,0)+1),MATCH(W$1,[2]enemies!$1:$1,0)-MATCH($L$1,[2]enemies!$1:$1,0)+1,FALSE)</f>
        <v>0</v>
      </c>
      <c r="X624" s="6">
        <v>2</v>
      </c>
      <c r="Y624" s="6">
        <v>100</v>
      </c>
      <c r="Z624" s="6">
        <v>0</v>
      </c>
      <c r="AA624" s="4">
        <f ca="1">VLOOKUP($L624,OFFSET([2]enemies!$A$1,0,0,COUNTA([2]enemies!$A:$A),MATCH(AA$1,[2]enemies!$1:$1,0)-MATCH($L$1,[2]enemies!$1:$1,0)+1),MATCH(AA$1,[2]enemies!$1:$1,0)-MATCH($L$1,[2]enemies!$1:$1,0)+1,FALSE)</f>
        <v>3</v>
      </c>
      <c r="AB624" s="52">
        <v>25</v>
      </c>
      <c r="AC624" s="4" t="str">
        <f ca="1">VLOOKUP($AB624,OFFSET([3]characters!$A$1,0,0,COUNTA([3]characters!$A:$A),MATCH(AC$1,[3]characters!$1:$1,0)-MATCH("character_id",[3]characters!$1:$1,0)+1),MATCH(AC$1,[3]characters!$1:$1,0)-MATCH("character_id",[3]characters!$1:$1,0)+1,FALSE)</f>
        <v>ハチ</v>
      </c>
      <c r="AD624" s="4">
        <f ca="1">VLOOKUP($AB624,OFFSET([3]characters!$A$1,0,0,COUNTA([3]characters!$A:$A),MATCH(AD$1,[3]characters!$1:$1,0)-MATCH("character_id",[3]characters!$1:$1,0)+1),MATCH(AD$1,[3]characters!$1:$1,0)-MATCH("character_id",[3]characters!$1:$1,0)+1,FALSE)</f>
        <v>1</v>
      </c>
      <c r="AE624" s="4" t="str">
        <f ca="1">VLOOKUP($AB624,OFFSET([3]characters!$A$1,0,0,COUNTA([3]characters!$A:$A),MATCH(AE$1,[3]characters!$1:$1,0)-MATCH("character_id",[3]characters!$1:$1,0)+1),MATCH(AE$1,[3]characters!$1:$1,0)-MATCH("character_id",[3]characters!$1:$1,0)+1,FALSE)</f>
        <v>Drop1N</v>
      </c>
      <c r="AF624" s="7">
        <v>7</v>
      </c>
      <c r="AG624" s="26">
        <f t="shared" ca="1" si="619"/>
        <v>1</v>
      </c>
      <c r="AH624" s="8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1</v>
      </c>
    </row>
    <row r="625" spans="1:39" ht="14" x14ac:dyDescent="0.15">
      <c r="A625" s="18" t="str">
        <f t="shared" ca="1" si="642"/>
        <v>25_5-4/37&lt;lv52&gt;s3</v>
      </c>
      <c r="B625" s="50">
        <v>25</v>
      </c>
      <c r="C625" s="49">
        <v>5</v>
      </c>
      <c r="D625" s="2" t="str">
        <f t="shared" ref="D625:E657" si="658">B625&amp;"_"&amp;C625</f>
        <v>25_5</v>
      </c>
      <c r="E625" s="2" t="str">
        <f t="shared" si="658"/>
        <v>5_25_5</v>
      </c>
      <c r="F625" s="4" t="str">
        <f ca="1">VLOOKUP($D625,OFFSET([1]stages!$A$1,0,0,COUNTA([1]stages!$A:$A),MATCH(F$1,[1]stages!$2:$2,0)-MATCH($D$1,[1]stages!$2:$2,0)+1),MATCH(F$1,[1]stages!$2:$2,0)-MATCH($D$1,[1]stages!$2:$2,0)+1,FALSE)</f>
        <v>25-5．君はサディスティック</v>
      </c>
      <c r="G625" s="54">
        <v>4</v>
      </c>
      <c r="H625" s="17" t="str">
        <f t="shared" ref="H625:H657" si="659">B625&amp;"_"&amp;C625&amp;"-"&amp;G625</f>
        <v>25_5-4</v>
      </c>
      <c r="I625" s="17"/>
      <c r="J625" s="17"/>
      <c r="K625" s="65" t="s">
        <v>56</v>
      </c>
      <c r="L625" s="52">
        <v>37</v>
      </c>
      <c r="M625" s="21" t="str">
        <f ca="1">VLOOKUP($L625,OFFSET([2]enemies!$A$1,0,0,COUNTA([2]enemies!$A:$A),MATCH(M$1,[2]enemies!$1:$1,0)-MATCH($L$1,[2]enemies!$1:$1,0)+1),MATCH(M$1,[2]enemies!$1:$1,0)-MATCH($L$1,[2]enemies!$1:$1,0)+1,FALSE)</f>
        <v>ガイル</v>
      </c>
      <c r="N625" s="21" t="str">
        <f ca="1">VLOOKUP($L625,OFFSET([2]enemies!$A$1,0,0,COUNTA([2]enemies!$A:$A),MATCH(N$1,[2]enemies!$1:$1,0)-MATCH($L$1,[2]enemies!$1:$1,0)+1),MATCH(N$1,[2]enemies!$1:$1,0)-MATCH($L$1,[2]enemies!$1:$1,0)+1,FALSE)</f>
        <v>blue</v>
      </c>
      <c r="O625" s="21" t="str">
        <f ca="1">VLOOKUP($L625,OFFSET([3]characters!$A$1,0,0,COUNTA([3]characters!$A:$A),MATCH(O$1,[3]characters!$1:$1,0)-MATCH($L$1,[3]characters!$1:$1,0)+1),MATCH(O$1,[3]characters!$1:$1,0)-MATCH($L$1,[3]characters!$1:$1,0)+1,FALSE)</f>
        <v>Drop1S</v>
      </c>
      <c r="P625" s="21" t="str">
        <f ca="1">VLOOKUP($L625,OFFSET([2]enemies!$A$1,0,0,COUNTA([2]enemies!$A:$A),MATCH(P$1,[2]enemies!$1:$1,0)-MATCH($L$1,[2]enemies!$1:$1,0)+1),MATCH(P$1,[2]enemies!$1:$1,0)-MATCH($L$1,[2]enemies!$1:$1,0)+1,FALSE)</f>
        <v>animal</v>
      </c>
      <c r="Q625" s="21">
        <f ca="1">VLOOKUP($L625,OFFSET([2]enemies!$A$1,0,0,COUNTA([2]enemies!$A:$A),MATCH(Q$1,[2]enemies!$1:$1,0)-MATCH($L$1,[2]enemies!$1:$1,0)+1),MATCH(Q$1,[2]enemies!$1:$1,0)-MATCH($L$1,[2]enemies!$1:$1,0)+1,FALSE)</f>
        <v>15</v>
      </c>
      <c r="R625" s="53">
        <v>52</v>
      </c>
      <c r="S625" s="27">
        <v>1</v>
      </c>
      <c r="T625" s="27">
        <v>1</v>
      </c>
      <c r="U625" s="5">
        <v>0</v>
      </c>
      <c r="V625" s="4" t="str">
        <f ca="1">VLOOKUP($W625,OFFSET([4]enemy_skill_sets!$B$1,0,0,COUNTA([4]enemy_skill_sets!$B:$B),MATCH(M$1,[4]enemy_skill_sets!$1:$1,0)-MATCH($W$1,[4]enemy_skill_sets!$1:$1,0)+2),MATCH(M$1,[4]enemy_skill_sets!$1:$1,0)-MATCH($W$1,[4]enemy_skill_sets!$1:$1,0)+2,FALSE)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625" s="4">
        <f ca="1">VLOOKUP($L625,OFFSET([2]enemies!$A$1,0,0,COUNTA([2]enemies!$A:$A),MATCH(W$1,[2]enemies!$1:$1,0)-MATCH($L$1,[2]enemies!$1:$1,0)+1),MATCH(W$1,[2]enemies!$1:$1,0)-MATCH($L$1,[2]enemies!$1:$1,0)+1,FALSE)</f>
        <v>37</v>
      </c>
      <c r="X625" s="6">
        <v>0</v>
      </c>
      <c r="Y625" s="6">
        <v>100</v>
      </c>
      <c r="Z625" s="6">
        <v>0</v>
      </c>
      <c r="AA625" s="4">
        <f ca="1">VLOOKUP($L625,OFFSET([2]enemies!$A$1,0,0,COUNTA([2]enemies!$A:$A),MATCH(AA$1,[2]enemies!$1:$1,0)-MATCH($L$1,[2]enemies!$1:$1,0)+1),MATCH(AA$1,[2]enemies!$1:$1,0)-MATCH($L$1,[2]enemies!$1:$1,0)+1,FALSE)</f>
        <v>3</v>
      </c>
      <c r="AB625" s="52">
        <v>37</v>
      </c>
      <c r="AC625" s="4" t="str">
        <f ca="1">VLOOKUP($AB625,OFFSET([3]characters!$A$1,0,0,COUNTA([3]characters!$A:$A),MATCH(AC$1,[3]characters!$1:$1,0)-MATCH("character_id",[3]characters!$1:$1,0)+1),MATCH(AC$1,[3]characters!$1:$1,0)-MATCH("character_id",[3]characters!$1:$1,0)+1,FALSE)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625" s="4">
        <f ca="1">VLOOKUP($AB625,OFFSET([3]characters!$A$1,0,0,COUNTA([3]characters!$A:$A),MATCH(AD$1,[3]characters!$1:$1,0)-MATCH("character_id",[3]characters!$1:$1,0)+1),MATCH(AD$1,[3]characters!$1:$1,0)-MATCH("character_id",[3]characters!$1:$1,0)+1,FALSE)</f>
        <v>2</v>
      </c>
      <c r="AE625" s="4" t="str">
        <f ca="1">VLOOKUP($AB625,OFFSET([3]characters!$A$1,0,0,COUNTA([3]characters!$A:$A),MATCH(AE$1,[3]characters!$1:$1,0)-MATCH("character_id",[3]characters!$1:$1,0)+1),MATCH(AE$1,[3]characters!$1:$1,0)-MATCH("character_id",[3]characters!$1:$1,0)+1,FALSE)</f>
        <v>Drop1S</v>
      </c>
      <c r="AF625" s="7">
        <v>5</v>
      </c>
      <c r="AG625" s="26">
        <f t="shared" ca="1" si="619"/>
        <v>2</v>
      </c>
      <c r="AH625" s="8">
        <v>20</v>
      </c>
      <c r="AI625" s="7">
        <v>0</v>
      </c>
      <c r="AJ625" s="7">
        <v>0</v>
      </c>
      <c r="AK625" s="7">
        <v>0</v>
      </c>
      <c r="AL625" s="7">
        <v>0</v>
      </c>
      <c r="AM625" s="7">
        <v>1</v>
      </c>
    </row>
    <row r="626" spans="1:39" ht="14" x14ac:dyDescent="0.15">
      <c r="A626" s="18" t="str">
        <f t="shared" ca="1" si="642"/>
        <v>25_5-4/45&lt;lv52&gt;s3</v>
      </c>
      <c r="B626" s="50">
        <v>25</v>
      </c>
      <c r="C626" s="49">
        <v>5</v>
      </c>
      <c r="D626" s="2" t="str">
        <f t="shared" si="658"/>
        <v>25_5</v>
      </c>
      <c r="E626" s="2" t="str">
        <f t="shared" si="658"/>
        <v>5_25_5</v>
      </c>
      <c r="F626" s="4" t="str">
        <f ca="1">VLOOKUP($D626,OFFSET([1]stages!$A$1,0,0,COUNTA([1]stages!$A:$A),MATCH(F$1,[1]stages!$2:$2,0)-MATCH($D$1,[1]stages!$2:$2,0)+1),MATCH(F$1,[1]stages!$2:$2,0)-MATCH($D$1,[1]stages!$2:$2,0)+1,FALSE)</f>
        <v>25-5．君はサディスティック</v>
      </c>
      <c r="G626" s="54">
        <v>4</v>
      </c>
      <c r="H626" s="17" t="str">
        <f t="shared" si="659"/>
        <v>25_5-4</v>
      </c>
      <c r="I626" s="17"/>
      <c r="J626" s="17"/>
      <c r="K626" s="65" t="s">
        <v>56</v>
      </c>
      <c r="L626" s="52">
        <v>45</v>
      </c>
      <c r="M626" s="21" t="str">
        <f ca="1">VLOOKUP($L626,OFFSET([2]enemies!$A$1,0,0,COUNTA([2]enemies!$A:$A),MATCH(M$1,[2]enemies!$1:$1,0)-MATCH($L$1,[2]enemies!$1:$1,0)+1),MATCH(M$1,[2]enemies!$1:$1,0)-MATCH($L$1,[2]enemies!$1:$1,0)+1,FALSE)</f>
        <v>ショウイン</v>
      </c>
      <c r="N626" s="21" t="str">
        <f ca="1">VLOOKUP($L626,OFFSET([2]enemies!$A$1,0,0,COUNTA([2]enemies!$A:$A),MATCH(N$1,[2]enemies!$1:$1,0)-MATCH($L$1,[2]enemies!$1:$1,0)+1),MATCH(N$1,[2]enemies!$1:$1,0)-MATCH($L$1,[2]enemies!$1:$1,0)+1,FALSE)</f>
        <v>blue</v>
      </c>
      <c r="O626" s="21" t="str">
        <f ca="1">VLOOKUP($L626,OFFSET([3]characters!$A$1,0,0,COUNTA([3]characters!$A:$A),MATCH(O$1,[3]characters!$1:$1,0)-MATCH($L$1,[3]characters!$1:$1,0)+1),MATCH(O$1,[3]characters!$1:$1,0)-MATCH($L$1,[3]characters!$1:$1,0)+1,FALSE)</f>
        <v>Drop1N</v>
      </c>
      <c r="P626" s="21" t="str">
        <f ca="1">VLOOKUP($L626,OFFSET([2]enemies!$A$1,0,0,COUNTA([2]enemies!$A:$A),MATCH(P$1,[2]enemies!$1:$1,0)-MATCH($L$1,[2]enemies!$1:$1,0)+1),MATCH(P$1,[2]enemies!$1:$1,0)-MATCH($L$1,[2]enemies!$1:$1,0)+1,FALSE)</f>
        <v>animal</v>
      </c>
      <c r="Q626" s="21">
        <f ca="1">VLOOKUP($L626,OFFSET([2]enemies!$A$1,0,0,COUNTA([2]enemies!$A:$A),MATCH(Q$1,[2]enemies!$1:$1,0)-MATCH($L$1,[2]enemies!$1:$1,0)+1),MATCH(Q$1,[2]enemies!$1:$1,0)-MATCH($L$1,[2]enemies!$1:$1,0)+1,FALSE)</f>
        <v>15</v>
      </c>
      <c r="R626" s="53">
        <v>52</v>
      </c>
      <c r="S626" s="27">
        <v>1</v>
      </c>
      <c r="T626" s="27">
        <v>1</v>
      </c>
      <c r="U626" s="5">
        <v>0</v>
      </c>
      <c r="V626" s="4" t="str">
        <f ca="1">VLOOKUP($W626,OFFSET([4]enemy_skill_sets!$B$1,0,0,COUNTA([4]enemy_skill_sets!$B:$B),MATCH(M$1,[4]enemy_skill_sets!$1:$1,0)-MATCH($W$1,[4]enemy_skill_sets!$1:$1,0)+2),MATCH(M$1,[4]enemy_skill_sets!$1:$1,0)-MATCH($W$1,[4]enemy_skill_sets!$1:$1,0)+2,FALSE)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26" s="4">
        <f ca="1">VLOOKUP($L626,OFFSET([2]enemies!$A$1,0,0,COUNTA([2]enemies!$A:$A),MATCH(W$1,[2]enemies!$1:$1,0)-MATCH($L$1,[2]enemies!$1:$1,0)+1),MATCH(W$1,[2]enemies!$1:$1,0)-MATCH($L$1,[2]enemies!$1:$1,0)+1,FALSE)</f>
        <v>0</v>
      </c>
      <c r="X626" s="6">
        <v>0</v>
      </c>
      <c r="Y626" s="6">
        <v>100</v>
      </c>
      <c r="Z626" s="6">
        <v>0</v>
      </c>
      <c r="AA626" s="4">
        <f ca="1">VLOOKUP($L626,OFFSET([2]enemies!$A$1,0,0,COUNTA([2]enemies!$A:$A),MATCH(AA$1,[2]enemies!$1:$1,0)-MATCH($L$1,[2]enemies!$1:$1,0)+1),MATCH(AA$1,[2]enemies!$1:$1,0)-MATCH($L$1,[2]enemies!$1:$1,0)+1,FALSE)</f>
        <v>3</v>
      </c>
      <c r="AB626" s="52">
        <v>45</v>
      </c>
      <c r="AC626" s="4" t="str">
        <f ca="1">VLOOKUP($AB626,OFFSET([3]characters!$A$1,0,0,COUNTA([3]characters!$A:$A),MATCH(AC$1,[3]characters!$1:$1,0)-MATCH("character_id",[3]characters!$1:$1,0)+1),MATCH(AC$1,[3]characters!$1:$1,0)-MATCH("character_id",[3]characters!$1:$1,0)+1,FALSE)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626" s="4">
        <f ca="1">VLOOKUP($AB626,OFFSET([3]characters!$A$1,0,0,COUNTA([3]characters!$A:$A),MATCH(AD$1,[3]characters!$1:$1,0)-MATCH("character_id",[3]characters!$1:$1,0)+1),MATCH(AD$1,[3]characters!$1:$1,0)-MATCH("character_id",[3]characters!$1:$1,0)+1,FALSE)</f>
        <v>2</v>
      </c>
      <c r="AE626" s="4" t="str">
        <f ca="1">VLOOKUP($AB626,OFFSET([3]characters!$A$1,0,0,COUNTA([3]characters!$A:$A),MATCH(AE$1,[3]characters!$1:$1,0)-MATCH("character_id",[3]characters!$1:$1,0)+1),MATCH(AE$1,[3]characters!$1:$1,0)-MATCH("character_id",[3]characters!$1:$1,0)+1,FALSE)</f>
        <v>Drop1N</v>
      </c>
      <c r="AF626" s="7">
        <v>7</v>
      </c>
      <c r="AG626" s="26">
        <f t="shared" ca="1" si="619"/>
        <v>2</v>
      </c>
      <c r="AH626" s="8">
        <v>20</v>
      </c>
      <c r="AI626" s="7">
        <v>0</v>
      </c>
      <c r="AJ626" s="7">
        <v>0</v>
      </c>
      <c r="AK626" s="7">
        <v>0</v>
      </c>
      <c r="AL626" s="7">
        <v>0</v>
      </c>
      <c r="AM626" s="7">
        <v>1</v>
      </c>
    </row>
    <row r="627" spans="1:39" ht="14" x14ac:dyDescent="0.15">
      <c r="A627" s="18" t="str">
        <f t="shared" ca="1" si="642"/>
        <v>25_5-4/47&lt;lv52&gt;s1</v>
      </c>
      <c r="B627" s="50">
        <v>25</v>
      </c>
      <c r="C627" s="49">
        <v>5</v>
      </c>
      <c r="D627" s="2" t="str">
        <f t="shared" si="658"/>
        <v>25_5</v>
      </c>
      <c r="E627" s="2" t="str">
        <f t="shared" si="658"/>
        <v>5_25_5</v>
      </c>
      <c r="F627" s="4" t="str">
        <f ca="1">VLOOKUP($D627,OFFSET([1]stages!$A$1,0,0,COUNTA([1]stages!$A:$A),MATCH(F$1,[1]stages!$2:$2,0)-MATCH($D$1,[1]stages!$2:$2,0)+1),MATCH(F$1,[1]stages!$2:$2,0)-MATCH($D$1,[1]stages!$2:$2,0)+1,FALSE)</f>
        <v>25-5．君はサディスティック</v>
      </c>
      <c r="G627" s="54">
        <v>4</v>
      </c>
      <c r="H627" s="17" t="str">
        <f t="shared" si="659"/>
        <v>25_5-4</v>
      </c>
      <c r="I627" s="17"/>
      <c r="J627" s="17"/>
      <c r="K627" s="65" t="s">
        <v>56</v>
      </c>
      <c r="L627" s="52">
        <v>47</v>
      </c>
      <c r="M627" s="21" t="str">
        <f ca="1">VLOOKUP($L627,OFFSET([2]enemies!$A$1,0,0,COUNTA([2]enemies!$A:$A),MATCH(M$1,[2]enemies!$1:$1,0)-MATCH($L$1,[2]enemies!$1:$1,0)+1),MATCH(M$1,[2]enemies!$1:$1,0)-MATCH($L$1,[2]enemies!$1:$1,0)+1,FALSE)</f>
        <v>ヒロ</v>
      </c>
      <c r="N627" s="21" t="str">
        <f ca="1">VLOOKUP($L627,OFFSET([2]enemies!$A$1,0,0,COUNTA([2]enemies!$A:$A),MATCH(N$1,[2]enemies!$1:$1,0)-MATCH($L$1,[2]enemies!$1:$1,0)+1),MATCH(N$1,[2]enemies!$1:$1,0)-MATCH($L$1,[2]enemies!$1:$1,0)+1,FALSE)</f>
        <v>yellow</v>
      </c>
      <c r="O627" s="21" t="str">
        <f ca="1">VLOOKUP($L627,OFFSET([3]characters!$A$1,0,0,COUNTA([3]characters!$A:$A),MATCH(O$1,[3]characters!$1:$1,0)-MATCH($L$1,[3]characters!$1:$1,0)+1),MATCH(O$1,[3]characters!$1:$1,0)-MATCH($L$1,[3]characters!$1:$1,0)+1,FALSE)</f>
        <v>Drop1N</v>
      </c>
      <c r="P627" s="21" t="str">
        <f ca="1">VLOOKUP($L627,OFFSET([2]enemies!$A$1,0,0,COUNTA([2]enemies!$A:$A),MATCH(P$1,[2]enemies!$1:$1,0)-MATCH($L$1,[2]enemies!$1:$1,0)+1),MATCH(P$1,[2]enemies!$1:$1,0)-MATCH($L$1,[2]enemies!$1:$1,0)+1,FALSE)</f>
        <v>animal</v>
      </c>
      <c r="Q627" s="21">
        <f ca="1">VLOOKUP($L627,OFFSET([2]enemies!$A$1,0,0,COUNTA([2]enemies!$A:$A),MATCH(Q$1,[2]enemies!$1:$1,0)-MATCH($L$1,[2]enemies!$1:$1,0)+1),MATCH(Q$1,[2]enemies!$1:$1,0)-MATCH($L$1,[2]enemies!$1:$1,0)+1,FALSE)</f>
        <v>15</v>
      </c>
      <c r="R627" s="53">
        <v>52</v>
      </c>
      <c r="S627" s="27">
        <v>1</v>
      </c>
      <c r="T627" s="27">
        <v>1</v>
      </c>
      <c r="U627" s="5">
        <v>0</v>
      </c>
      <c r="V627" s="4" t="str">
        <f ca="1">VLOOKUP($W627,OFFSET([4]enemy_skill_sets!$B$1,0,0,COUNTA([4]enemy_skill_sets!$B:$B),MATCH(M$1,[4]enemy_skill_sets!$1:$1,0)-MATCH($W$1,[4]enemy_skill_sets!$1:$1,0)+2),MATCH(M$1,[4]enemy_skill_sets!$1:$1,0)-MATCH($W$1,[4]enemy_skill_sets!$1:$1,0)+2,FALSE)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27" s="4">
        <f ca="1">VLOOKUP($L627,OFFSET([2]enemies!$A$1,0,0,COUNTA([2]enemies!$A:$A),MATCH(W$1,[2]enemies!$1:$1,0)-MATCH($L$1,[2]enemies!$1:$1,0)+1),MATCH(W$1,[2]enemies!$1:$1,0)-MATCH($L$1,[2]enemies!$1:$1,0)+1,FALSE)</f>
        <v>0</v>
      </c>
      <c r="X627" s="6">
        <v>0</v>
      </c>
      <c r="Y627" s="6">
        <v>100</v>
      </c>
      <c r="Z627" s="6">
        <v>0</v>
      </c>
      <c r="AA627" s="4">
        <f ca="1">VLOOKUP($L627,OFFSET([2]enemies!$A$1,0,0,COUNTA([2]enemies!$A:$A),MATCH(AA$1,[2]enemies!$1:$1,0)-MATCH($L$1,[2]enemies!$1:$1,0)+1),MATCH(AA$1,[2]enemies!$1:$1,0)-MATCH($L$1,[2]enemies!$1:$1,0)+1,FALSE)</f>
        <v>1</v>
      </c>
      <c r="AB627" s="52">
        <v>47</v>
      </c>
      <c r="AC627" s="4" t="str">
        <f ca="1">VLOOKUP($AB627,OFFSET([3]characters!$A$1,0,0,COUNTA([3]characters!$A:$A),MATCH(AC$1,[3]characters!$1:$1,0)-MATCH("character_id",[3]characters!$1:$1,0)+1),MATCH(AC$1,[3]characters!$1:$1,0)-MATCH("character_id",[3]characters!$1:$1,0)+1,FALSE)</f>
        <v>ヒロ</v>
      </c>
      <c r="AD627" s="4">
        <f ca="1">VLOOKUP($AB627,OFFSET([3]characters!$A$1,0,0,COUNTA([3]characters!$A:$A),MATCH(AD$1,[3]characters!$1:$1,0)-MATCH("character_id",[3]characters!$1:$1,0)+1),MATCH(AD$1,[3]characters!$1:$1,0)-MATCH("character_id",[3]characters!$1:$1,0)+1,FALSE)</f>
        <v>2</v>
      </c>
      <c r="AE627" s="4" t="str">
        <f ca="1">VLOOKUP($AB627,OFFSET([3]characters!$A$1,0,0,COUNTA([3]characters!$A:$A),MATCH(AE$1,[3]characters!$1:$1,0)-MATCH("character_id",[3]characters!$1:$1,0)+1),MATCH(AE$1,[3]characters!$1:$1,0)-MATCH("character_id",[3]characters!$1:$1,0)+1,FALSE)</f>
        <v>Drop1N</v>
      </c>
      <c r="AF627" s="7">
        <v>7</v>
      </c>
      <c r="AG627" s="26">
        <f t="shared" ca="1" si="619"/>
        <v>2</v>
      </c>
      <c r="AH627" s="8">
        <v>20</v>
      </c>
      <c r="AI627" s="7">
        <v>0</v>
      </c>
      <c r="AJ627" s="7">
        <v>0</v>
      </c>
      <c r="AK627" s="7">
        <v>0</v>
      </c>
      <c r="AL627" s="7">
        <v>0</v>
      </c>
      <c r="AM627" s="7">
        <v>1</v>
      </c>
    </row>
    <row r="628" spans="1:39" ht="14" x14ac:dyDescent="0.15">
      <c r="A628" s="18" t="str">
        <f t="shared" ca="1" si="642"/>
        <v>25_5-4/61&lt;lv52&gt;s2</v>
      </c>
      <c r="B628" s="50">
        <v>25</v>
      </c>
      <c r="C628" s="49">
        <v>5</v>
      </c>
      <c r="D628" s="2" t="str">
        <f t="shared" si="658"/>
        <v>25_5</v>
      </c>
      <c r="E628" s="2" t="str">
        <f t="shared" si="658"/>
        <v>5_25_5</v>
      </c>
      <c r="F628" s="4" t="str">
        <f ca="1">VLOOKUP($D628,OFFSET([1]stages!$A$1,0,0,COUNTA([1]stages!$A:$A),MATCH(F$1,[1]stages!$2:$2,0)-MATCH($D$1,[1]stages!$2:$2,0)+1),MATCH(F$1,[1]stages!$2:$2,0)-MATCH($D$1,[1]stages!$2:$2,0)+1,FALSE)</f>
        <v>25-5．君はサディスティック</v>
      </c>
      <c r="G628" s="54">
        <v>4</v>
      </c>
      <c r="H628" s="17" t="str">
        <f t="shared" si="659"/>
        <v>25_5-4</v>
      </c>
      <c r="I628" s="17"/>
      <c r="J628" s="17"/>
      <c r="K628" s="65" t="s">
        <v>56</v>
      </c>
      <c r="L628" s="52">
        <v>61</v>
      </c>
      <c r="M628" s="21" t="str">
        <f ca="1">VLOOKUP($L628,OFFSET([2]enemies!$A$1,0,0,COUNTA([2]enemies!$A:$A),MATCH(M$1,[2]enemies!$1:$1,0)-MATCH($L$1,[2]enemies!$1:$1,0)+1),MATCH(M$1,[2]enemies!$1:$1,0)-MATCH($L$1,[2]enemies!$1:$1,0)+1,FALSE)</f>
        <v>クロウ</v>
      </c>
      <c r="N628" s="21" t="str">
        <f ca="1">VLOOKUP($L628,OFFSET([2]enemies!$A$1,0,0,COUNTA([2]enemies!$A:$A),MATCH(N$1,[2]enemies!$1:$1,0)-MATCH($L$1,[2]enemies!$1:$1,0)+1),MATCH(N$1,[2]enemies!$1:$1,0)-MATCH($L$1,[2]enemies!$1:$1,0)+1,FALSE)</f>
        <v>blue</v>
      </c>
      <c r="O628" s="21" t="str">
        <f ca="1">VLOOKUP($L628,OFFSET([3]characters!$A$1,0,0,COUNTA([3]characters!$A:$A),MATCH(O$1,[3]characters!$1:$1,0)-MATCH($L$1,[3]characters!$1:$1,0)+1),MATCH(O$1,[3]characters!$1:$1,0)-MATCH($L$1,[3]characters!$1:$1,0)+1,FALSE)</f>
        <v>Drop1N</v>
      </c>
      <c r="P628" s="21" t="str">
        <f ca="1">VLOOKUP($L628,OFFSET([2]enemies!$A$1,0,0,COUNTA([2]enemies!$A:$A),MATCH(P$1,[2]enemies!$1:$1,0)-MATCH($L$1,[2]enemies!$1:$1,0)+1),MATCH(P$1,[2]enemies!$1:$1,0)-MATCH($L$1,[2]enemies!$1:$1,0)+1,FALSE)</f>
        <v>animal</v>
      </c>
      <c r="Q628" s="21">
        <f ca="1">VLOOKUP($L628,OFFSET([2]enemies!$A$1,0,0,COUNTA([2]enemies!$A:$A),MATCH(Q$1,[2]enemies!$1:$1,0)-MATCH($L$1,[2]enemies!$1:$1,0)+1),MATCH(Q$1,[2]enemies!$1:$1,0)-MATCH($L$1,[2]enemies!$1:$1,0)+1,FALSE)</f>
        <v>15</v>
      </c>
      <c r="R628" s="53">
        <v>52</v>
      </c>
      <c r="S628" s="27">
        <v>1</v>
      </c>
      <c r="T628" s="27">
        <v>1</v>
      </c>
      <c r="U628" s="5">
        <v>0</v>
      </c>
      <c r="V628" s="4" t="str">
        <f ca="1">VLOOKUP($W628,OFFSET([4]enemy_skill_sets!$B$1,0,0,COUNTA([4]enemy_skill_sets!$B:$B),MATCH(M$1,[4]enemy_skill_sets!$1:$1,0)-MATCH($W$1,[4]enemy_skill_sets!$1:$1,0)+2),MATCH(M$1,[4]enemy_skill_sets!$1:$1,0)-MATCH($W$1,[4]enemy_skill_sets!$1:$1,0)+2,FALSE)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28" s="4">
        <f ca="1">VLOOKUP($L628,OFFSET([2]enemies!$A$1,0,0,COUNTA([2]enemies!$A:$A),MATCH(W$1,[2]enemies!$1:$1,0)-MATCH($L$1,[2]enemies!$1:$1,0)+1),MATCH(W$1,[2]enemies!$1:$1,0)-MATCH($L$1,[2]enemies!$1:$1,0)+1,FALSE)</f>
        <v>61</v>
      </c>
      <c r="X628" s="6">
        <v>0</v>
      </c>
      <c r="Y628" s="6">
        <v>100</v>
      </c>
      <c r="Z628" s="6">
        <v>0</v>
      </c>
      <c r="AA628" s="4">
        <f ca="1">VLOOKUP($L628,OFFSET([2]enemies!$A$1,0,0,COUNTA([2]enemies!$A:$A),MATCH(AA$1,[2]enemies!$1:$1,0)-MATCH($L$1,[2]enemies!$1:$1,0)+1),MATCH(AA$1,[2]enemies!$1:$1,0)-MATCH($L$1,[2]enemies!$1:$1,0)+1,FALSE)</f>
        <v>2</v>
      </c>
      <c r="AB628" s="52">
        <v>61</v>
      </c>
      <c r="AC628" s="4" t="str">
        <f ca="1">VLOOKUP($AB628,OFFSET([3]characters!$A$1,0,0,COUNTA([3]characters!$A:$A),MATCH(AC$1,[3]characters!$1:$1,0)-MATCH("character_id",[3]characters!$1:$1,0)+1),MATCH(AC$1,[3]characters!$1:$1,0)-MATCH("character_id",[3]characters!$1:$1,0)+1,FALSE)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628" s="4">
        <f ca="1">VLOOKUP($AB628,OFFSET([3]characters!$A$1,0,0,COUNTA([3]characters!$A:$A),MATCH(AD$1,[3]characters!$1:$1,0)-MATCH("character_id",[3]characters!$1:$1,0)+1),MATCH(AD$1,[3]characters!$1:$1,0)-MATCH("character_id",[3]characters!$1:$1,0)+1,FALSE)</f>
        <v>2</v>
      </c>
      <c r="AE628" s="4" t="str">
        <f ca="1">VLOOKUP($AB628,OFFSET([3]characters!$A$1,0,0,COUNTA([3]characters!$A:$A),MATCH(AE$1,[3]characters!$1:$1,0)-MATCH("character_id",[3]characters!$1:$1,0)+1),MATCH(AE$1,[3]characters!$1:$1,0)-MATCH("character_id",[3]characters!$1:$1,0)+1,FALSE)</f>
        <v>Drop1N</v>
      </c>
      <c r="AF628" s="7">
        <v>7</v>
      </c>
      <c r="AG628" s="26">
        <f t="shared" ca="1" si="619"/>
        <v>2</v>
      </c>
      <c r="AH628" s="8">
        <v>20</v>
      </c>
      <c r="AI628" s="7">
        <v>0</v>
      </c>
      <c r="AJ628" s="7">
        <v>0</v>
      </c>
      <c r="AK628" s="7">
        <v>0</v>
      </c>
      <c r="AL628" s="7">
        <v>0</v>
      </c>
      <c r="AM628" s="7">
        <v>1</v>
      </c>
    </row>
    <row r="629" spans="1:39" ht="14" x14ac:dyDescent="0.15">
      <c r="A629" s="18" t="str">
        <f t="shared" ca="1" si="642"/>
        <v>25_5-4/63&lt;lv52&gt;s2</v>
      </c>
      <c r="B629" s="50">
        <v>25</v>
      </c>
      <c r="C629" s="49">
        <v>5</v>
      </c>
      <c r="D629" s="2" t="str">
        <f t="shared" si="658"/>
        <v>25_5</v>
      </c>
      <c r="E629" s="2" t="str">
        <f t="shared" si="658"/>
        <v>5_25_5</v>
      </c>
      <c r="F629" s="4" t="str">
        <f ca="1">VLOOKUP($D629,OFFSET([1]stages!$A$1,0,0,COUNTA([1]stages!$A:$A),MATCH(F$1,[1]stages!$2:$2,0)-MATCH($D$1,[1]stages!$2:$2,0)+1),MATCH(F$1,[1]stages!$2:$2,0)-MATCH($D$1,[1]stages!$2:$2,0)+1,FALSE)</f>
        <v>25-5．君はサディスティック</v>
      </c>
      <c r="G629" s="54">
        <v>4</v>
      </c>
      <c r="H629" s="17" t="str">
        <f t="shared" si="659"/>
        <v>25_5-4</v>
      </c>
      <c r="I629" s="17"/>
      <c r="J629" s="17"/>
      <c r="K629" s="65" t="s">
        <v>56</v>
      </c>
      <c r="L629" s="52">
        <v>63</v>
      </c>
      <c r="M629" s="21" t="str">
        <f ca="1">VLOOKUP($L629,OFFSET([2]enemies!$A$1,0,0,COUNTA([2]enemies!$A:$A),MATCH(M$1,[2]enemies!$1:$1,0)-MATCH($L$1,[2]enemies!$1:$1,0)+1),MATCH(M$1,[2]enemies!$1:$1,0)-MATCH($L$1,[2]enemies!$1:$1,0)+1,FALSE)</f>
        <v>トニー</v>
      </c>
      <c r="N629" s="21" t="str">
        <f ca="1">VLOOKUP($L629,OFFSET([2]enemies!$A$1,0,0,COUNTA([2]enemies!$A:$A),MATCH(N$1,[2]enemies!$1:$1,0)-MATCH($L$1,[2]enemies!$1:$1,0)+1),MATCH(N$1,[2]enemies!$1:$1,0)-MATCH($L$1,[2]enemies!$1:$1,0)+1,FALSE)</f>
        <v>yellow</v>
      </c>
      <c r="O629" s="21" t="str">
        <f ca="1">VLOOKUP($L629,OFFSET([3]characters!$A$1,0,0,COUNTA([3]characters!$A:$A),MATCH(O$1,[3]characters!$1:$1,0)-MATCH($L$1,[3]characters!$1:$1,0)+1),MATCH(O$1,[3]characters!$1:$1,0)-MATCH($L$1,[3]characters!$1:$1,0)+1,FALSE)</f>
        <v>Drop1N</v>
      </c>
      <c r="P629" s="21" t="str">
        <f ca="1">VLOOKUP($L629,OFFSET([2]enemies!$A$1,0,0,COUNTA([2]enemies!$A:$A),MATCH(P$1,[2]enemies!$1:$1,0)-MATCH($L$1,[2]enemies!$1:$1,0)+1),MATCH(P$1,[2]enemies!$1:$1,0)-MATCH($L$1,[2]enemies!$1:$1,0)+1,FALSE)</f>
        <v>animal</v>
      </c>
      <c r="Q629" s="21">
        <f ca="1">VLOOKUP($L629,OFFSET([2]enemies!$A$1,0,0,COUNTA([2]enemies!$A:$A),MATCH(Q$1,[2]enemies!$1:$1,0)-MATCH($L$1,[2]enemies!$1:$1,0)+1),MATCH(Q$1,[2]enemies!$1:$1,0)-MATCH($L$1,[2]enemies!$1:$1,0)+1,FALSE)</f>
        <v>15</v>
      </c>
      <c r="R629" s="53">
        <v>52</v>
      </c>
      <c r="S629" s="27">
        <v>1</v>
      </c>
      <c r="T629" s="27">
        <v>1</v>
      </c>
      <c r="U629" s="5">
        <v>0</v>
      </c>
      <c r="V629" s="4" t="str">
        <f ca="1">VLOOKUP($W629,OFFSET([4]enemy_skill_sets!$B$1,0,0,COUNTA([4]enemy_skill_sets!$B:$B),MATCH(M$1,[4]enemy_skill_sets!$1:$1,0)-MATCH($W$1,[4]enemy_skill_sets!$1:$1,0)+2),MATCH(M$1,[4]enemy_skill_sets!$1:$1,0)-MATCH($W$1,[4]enemy_skill_sets!$1:$1,0)+2,FALSE)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629" s="4">
        <f ca="1">VLOOKUP($L629,OFFSET([2]enemies!$A$1,0,0,COUNTA([2]enemies!$A:$A),MATCH(W$1,[2]enemies!$1:$1,0)-MATCH($L$1,[2]enemies!$1:$1,0)+1),MATCH(W$1,[2]enemies!$1:$1,0)-MATCH($L$1,[2]enemies!$1:$1,0)+1,FALSE)</f>
        <v>63</v>
      </c>
      <c r="X629" s="6">
        <v>0</v>
      </c>
      <c r="Y629" s="6">
        <v>100</v>
      </c>
      <c r="Z629" s="6">
        <v>0</v>
      </c>
      <c r="AA629" s="4">
        <f ca="1">VLOOKUP($L629,OFFSET([2]enemies!$A$1,0,0,COUNTA([2]enemies!$A:$A),MATCH(AA$1,[2]enemies!$1:$1,0)-MATCH($L$1,[2]enemies!$1:$1,0)+1),MATCH(AA$1,[2]enemies!$1:$1,0)-MATCH($L$1,[2]enemies!$1:$1,0)+1,FALSE)</f>
        <v>2</v>
      </c>
      <c r="AB629" s="52">
        <v>63</v>
      </c>
      <c r="AC629" s="4" t="str">
        <f ca="1">VLOOKUP($AB629,OFFSET([3]characters!$A$1,0,0,COUNTA([3]characters!$A:$A),MATCH(AC$1,[3]characters!$1:$1,0)-MATCH("character_id",[3]characters!$1:$1,0)+1),MATCH(AC$1,[3]characters!$1:$1,0)-MATCH("character_id",[3]characters!$1:$1,0)+1,FALSE)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629" s="4">
        <f ca="1">VLOOKUP($AB629,OFFSET([3]characters!$A$1,0,0,COUNTA([3]characters!$A:$A),MATCH(AD$1,[3]characters!$1:$1,0)-MATCH("character_id",[3]characters!$1:$1,0)+1),MATCH(AD$1,[3]characters!$1:$1,0)-MATCH("character_id",[3]characters!$1:$1,0)+1,FALSE)</f>
        <v>2</v>
      </c>
      <c r="AE629" s="4" t="str">
        <f ca="1">VLOOKUP($AB629,OFFSET([3]characters!$A$1,0,0,COUNTA([3]characters!$A:$A),MATCH(AE$1,[3]characters!$1:$1,0)-MATCH("character_id",[3]characters!$1:$1,0)+1),MATCH(AE$1,[3]characters!$1:$1,0)-MATCH("character_id",[3]characters!$1:$1,0)+1,FALSE)</f>
        <v>Drop1N</v>
      </c>
      <c r="AF629" s="7">
        <v>7</v>
      </c>
      <c r="AG629" s="26">
        <f t="shared" ca="1" si="619"/>
        <v>2</v>
      </c>
      <c r="AH629" s="8">
        <v>20</v>
      </c>
      <c r="AI629" s="7">
        <v>0</v>
      </c>
      <c r="AJ629" s="7">
        <v>0</v>
      </c>
      <c r="AK629" s="7">
        <v>0</v>
      </c>
      <c r="AL629" s="7">
        <v>0</v>
      </c>
      <c r="AM629" s="7">
        <v>1</v>
      </c>
    </row>
    <row r="630" spans="1:39" ht="14" x14ac:dyDescent="0.15">
      <c r="A630" s="18" t="str">
        <f t="shared" ca="1" si="642"/>
        <v>25_5-4/39&lt;lv52&gt;s3</v>
      </c>
      <c r="B630" s="50">
        <v>25</v>
      </c>
      <c r="C630" s="49">
        <v>5</v>
      </c>
      <c r="D630" s="2" t="str">
        <f t="shared" si="658"/>
        <v>25_5</v>
      </c>
      <c r="E630" s="2" t="str">
        <f t="shared" si="658"/>
        <v>5_25_5</v>
      </c>
      <c r="F630" s="4" t="str">
        <f ca="1">VLOOKUP($D630,OFFSET([1]stages!$A$1,0,0,COUNTA([1]stages!$A:$A),MATCH(F$1,[1]stages!$2:$2,0)-MATCH($D$1,[1]stages!$2:$2,0)+1),MATCH(F$1,[1]stages!$2:$2,0)-MATCH($D$1,[1]stages!$2:$2,0)+1,FALSE)</f>
        <v>25-5．君はサディスティック</v>
      </c>
      <c r="G630" s="54">
        <v>4</v>
      </c>
      <c r="H630" s="17" t="str">
        <f t="shared" si="659"/>
        <v>25_5-4</v>
      </c>
      <c r="I630" s="17"/>
      <c r="J630" s="17"/>
      <c r="K630" s="65" t="s">
        <v>56</v>
      </c>
      <c r="L630" s="52">
        <v>39</v>
      </c>
      <c r="M630" s="21" t="str">
        <f ca="1">VLOOKUP($L630,OFFSET([2]enemies!$A$1,0,0,COUNTA([2]enemies!$A:$A),MATCH(M$1,[2]enemies!$1:$1,0)-MATCH($L$1,[2]enemies!$1:$1,0)+1),MATCH(M$1,[2]enemies!$1:$1,0)-MATCH($L$1,[2]enemies!$1:$1,0)+1,FALSE)</f>
        <v>マーロン</v>
      </c>
      <c r="N630" s="21" t="str">
        <f ca="1">VLOOKUP($L630,OFFSET([2]enemies!$A$1,0,0,COUNTA([2]enemies!$A:$A),MATCH(N$1,[2]enemies!$1:$1,0)-MATCH($L$1,[2]enemies!$1:$1,0)+1),MATCH(N$1,[2]enemies!$1:$1,0)-MATCH($L$1,[2]enemies!$1:$1,0)+1,FALSE)</f>
        <v>yellow</v>
      </c>
      <c r="O630" s="21" t="str">
        <f ca="1">VLOOKUP($L630,OFFSET([3]characters!$A$1,0,0,COUNTA([3]characters!$A:$A),MATCH(O$1,[3]characters!$1:$1,0)-MATCH($L$1,[3]characters!$1:$1,0)+1),MATCH(O$1,[3]characters!$1:$1,0)-MATCH($L$1,[3]characters!$1:$1,0)+1,FALSE)</f>
        <v>Drop1S</v>
      </c>
      <c r="P630" s="21" t="str">
        <f ca="1">VLOOKUP($L630,OFFSET([2]enemies!$A$1,0,0,COUNTA([2]enemies!$A:$A),MATCH(P$1,[2]enemies!$1:$1,0)-MATCH($L$1,[2]enemies!$1:$1,0)+1),MATCH(P$1,[2]enemies!$1:$1,0)-MATCH($L$1,[2]enemies!$1:$1,0)+1,FALSE)</f>
        <v>human</v>
      </c>
      <c r="Q630" s="21">
        <f ca="1">VLOOKUP($L630,OFFSET([2]enemies!$A$1,0,0,COUNTA([2]enemies!$A:$A),MATCH(Q$1,[2]enemies!$1:$1,0)-MATCH($L$1,[2]enemies!$1:$1,0)+1),MATCH(Q$1,[2]enemies!$1:$1,0)-MATCH($L$1,[2]enemies!$1:$1,0)+1,FALSE)</f>
        <v>15</v>
      </c>
      <c r="R630" s="53">
        <v>52</v>
      </c>
      <c r="S630" s="27">
        <v>1</v>
      </c>
      <c r="T630" s="27">
        <v>1</v>
      </c>
      <c r="U630" s="5">
        <v>0</v>
      </c>
      <c r="V630" s="4" t="str">
        <f ca="1">VLOOKUP($W630,OFFSET([4]enemy_skill_sets!$B$1,0,0,COUNTA([4]enemy_skill_sets!$B:$B),MATCH(M$1,[4]enemy_skill_sets!$1:$1,0)-MATCH($W$1,[4]enemy_skill_sets!$1:$1,0)+2),MATCH(M$1,[4]enemy_skill_sets!$1:$1,0)-MATCH($W$1,[4]enemy_skill_sets!$1:$1,0)+2,FALSE)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630" s="4">
        <f ca="1">VLOOKUP($L630,OFFSET([2]enemies!$A$1,0,0,COUNTA([2]enemies!$A:$A),MATCH(W$1,[2]enemies!$1:$1,0)-MATCH($L$1,[2]enemies!$1:$1,0)+1),MATCH(W$1,[2]enemies!$1:$1,0)-MATCH($L$1,[2]enemies!$1:$1,0)+1,FALSE)</f>
        <v>39</v>
      </c>
      <c r="X630" s="6">
        <v>0</v>
      </c>
      <c r="Y630" s="6">
        <v>100</v>
      </c>
      <c r="Z630" s="6">
        <v>0</v>
      </c>
      <c r="AA630" s="4">
        <f ca="1">VLOOKUP($L630,OFFSET([2]enemies!$A$1,0,0,COUNTA([2]enemies!$A:$A),MATCH(AA$1,[2]enemies!$1:$1,0)-MATCH($L$1,[2]enemies!$1:$1,0)+1),MATCH(AA$1,[2]enemies!$1:$1,0)-MATCH($L$1,[2]enemies!$1:$1,0)+1,FALSE)</f>
        <v>3</v>
      </c>
      <c r="AB630" s="52">
        <v>39</v>
      </c>
      <c r="AC630" s="4" t="str">
        <f ca="1">VLOOKUP($AB630,OFFSET([3]characters!$A$1,0,0,COUNTA([3]characters!$A:$A),MATCH(AC$1,[3]characters!$1:$1,0)-MATCH("character_id",[3]characters!$1:$1,0)+1),MATCH(AC$1,[3]characters!$1:$1,0)-MATCH("character_id",[3]characters!$1:$1,0)+1,FALSE)</f>
        <v>マーロン</v>
      </c>
      <c r="AD630" s="4">
        <f ca="1">VLOOKUP($AB630,OFFSET([3]characters!$A$1,0,0,COUNTA([3]characters!$A:$A),MATCH(AD$1,[3]characters!$1:$1,0)-MATCH("character_id",[3]characters!$1:$1,0)+1),MATCH(AD$1,[3]characters!$1:$1,0)-MATCH("character_id",[3]characters!$1:$1,0)+1,FALSE)</f>
        <v>2</v>
      </c>
      <c r="AE630" s="4" t="str">
        <f ca="1">VLOOKUP($AB630,OFFSET([3]characters!$A$1,0,0,COUNTA([3]characters!$A:$A),MATCH(AE$1,[3]characters!$1:$1,0)-MATCH("character_id",[3]characters!$1:$1,0)+1),MATCH(AE$1,[3]characters!$1:$1,0)-MATCH("character_id",[3]characters!$1:$1,0)+1,FALSE)</f>
        <v>Drop1S</v>
      </c>
      <c r="AF630" s="7">
        <v>5</v>
      </c>
      <c r="AG630" s="26">
        <f t="shared" ca="1" si="619"/>
        <v>2</v>
      </c>
      <c r="AH630" s="8">
        <v>20</v>
      </c>
      <c r="AI630" s="7">
        <v>0</v>
      </c>
      <c r="AJ630" s="7">
        <v>0</v>
      </c>
      <c r="AK630" s="7">
        <v>0</v>
      </c>
      <c r="AL630" s="7">
        <v>0</v>
      </c>
      <c r="AM630" s="7">
        <v>1</v>
      </c>
    </row>
    <row r="631" spans="1:39" ht="14" x14ac:dyDescent="0.15">
      <c r="A631" s="18" t="str">
        <f t="shared" ca="1" si="642"/>
        <v>25_5-4/53&lt;lv52&gt;s2</v>
      </c>
      <c r="B631" s="50">
        <v>25</v>
      </c>
      <c r="C631" s="49">
        <v>5</v>
      </c>
      <c r="D631" s="2" t="str">
        <f t="shared" si="658"/>
        <v>25_5</v>
      </c>
      <c r="E631" s="2" t="str">
        <f t="shared" si="658"/>
        <v>5_25_5</v>
      </c>
      <c r="F631" s="4" t="str">
        <f ca="1">VLOOKUP($D631,OFFSET([1]stages!$A$1,0,0,COUNTA([1]stages!$A:$A),MATCH(F$1,[1]stages!$2:$2,0)-MATCH($D$1,[1]stages!$2:$2,0)+1),MATCH(F$1,[1]stages!$2:$2,0)-MATCH($D$1,[1]stages!$2:$2,0)+1,FALSE)</f>
        <v>25-5．君はサディスティック</v>
      </c>
      <c r="G631" s="54">
        <v>4</v>
      </c>
      <c r="H631" s="17" t="str">
        <f t="shared" si="659"/>
        <v>25_5-4</v>
      </c>
      <c r="I631" s="17"/>
      <c r="J631" s="17"/>
      <c r="K631" s="65" t="s">
        <v>56</v>
      </c>
      <c r="L631" s="52">
        <v>53</v>
      </c>
      <c r="M631" s="21" t="str">
        <f ca="1">VLOOKUP($L631,OFFSET([2]enemies!$A$1,0,0,COUNTA([2]enemies!$A:$A),MATCH(M$1,[2]enemies!$1:$1,0)-MATCH($L$1,[2]enemies!$1:$1,0)+1),MATCH(M$1,[2]enemies!$1:$1,0)-MATCH($L$1,[2]enemies!$1:$1,0)+1,FALSE)</f>
        <v>ケンジ</v>
      </c>
      <c r="N631" s="21" t="str">
        <f ca="1">VLOOKUP($L631,OFFSET([2]enemies!$A$1,0,0,COUNTA([2]enemies!$A:$A),MATCH(N$1,[2]enemies!$1:$1,0)-MATCH($L$1,[2]enemies!$1:$1,0)+1),MATCH(N$1,[2]enemies!$1:$1,0)-MATCH($L$1,[2]enemies!$1:$1,0)+1,FALSE)</f>
        <v>blue</v>
      </c>
      <c r="O631" s="21" t="str">
        <f ca="1">VLOOKUP($L631,OFFSET([3]characters!$A$1,0,0,COUNTA([3]characters!$A:$A),MATCH(O$1,[3]characters!$1:$1,0)-MATCH($L$1,[3]characters!$1:$1,0)+1),MATCH(O$1,[3]characters!$1:$1,0)-MATCH($L$1,[3]characters!$1:$1,0)+1,FALSE)</f>
        <v>Drop1N</v>
      </c>
      <c r="P631" s="21" t="str">
        <f ca="1">VLOOKUP($L631,OFFSET([2]enemies!$A$1,0,0,COUNTA([2]enemies!$A:$A),MATCH(P$1,[2]enemies!$1:$1,0)-MATCH($L$1,[2]enemies!$1:$1,0)+1),MATCH(P$1,[2]enemies!$1:$1,0)-MATCH($L$1,[2]enemies!$1:$1,0)+1,FALSE)</f>
        <v>human</v>
      </c>
      <c r="Q631" s="21">
        <f ca="1">VLOOKUP($L631,OFFSET([2]enemies!$A$1,0,0,COUNTA([2]enemies!$A:$A),MATCH(Q$1,[2]enemies!$1:$1,0)-MATCH($L$1,[2]enemies!$1:$1,0)+1),MATCH(Q$1,[2]enemies!$1:$1,0)-MATCH($L$1,[2]enemies!$1:$1,0)+1,FALSE)</f>
        <v>15</v>
      </c>
      <c r="R631" s="53">
        <v>52</v>
      </c>
      <c r="S631" s="27">
        <v>1</v>
      </c>
      <c r="T631" s="27">
        <v>1</v>
      </c>
      <c r="U631" s="5">
        <v>0</v>
      </c>
      <c r="V631" s="4" t="str">
        <f ca="1">VLOOKUP($W631,OFFSET([4]enemy_skill_sets!$B$1,0,0,COUNTA([4]enemy_skill_sets!$B:$B),MATCH(M$1,[4]enemy_skill_sets!$1:$1,0)-MATCH($W$1,[4]enemy_skill_sets!$1:$1,0)+2),MATCH(M$1,[4]enemy_skill_sets!$1:$1,0)-MATCH($W$1,[4]enemy_skill_sets!$1:$1,0)+2,FALSE)</f>
        <v>効いてしまうと２ターン行動できない</v>
      </c>
      <c r="W631" s="4">
        <f ca="1">VLOOKUP($L631,OFFSET([2]enemies!$A$1,0,0,COUNTA([2]enemies!$A:$A),MATCH(W$1,[2]enemies!$1:$1,0)-MATCH($L$1,[2]enemies!$1:$1,0)+1),MATCH(W$1,[2]enemies!$1:$1,0)-MATCH($L$1,[2]enemies!$1:$1,0)+1,FALSE)</f>
        <v>53</v>
      </c>
      <c r="X631" s="6">
        <v>0</v>
      </c>
      <c r="Y631" s="6">
        <v>100</v>
      </c>
      <c r="Z631" s="6">
        <v>0</v>
      </c>
      <c r="AA631" s="4">
        <f ca="1">VLOOKUP($L631,OFFSET([2]enemies!$A$1,0,0,COUNTA([2]enemies!$A:$A),MATCH(AA$1,[2]enemies!$1:$1,0)-MATCH($L$1,[2]enemies!$1:$1,0)+1),MATCH(AA$1,[2]enemies!$1:$1,0)-MATCH($L$1,[2]enemies!$1:$1,0)+1,FALSE)</f>
        <v>2</v>
      </c>
      <c r="AB631" s="52">
        <v>53</v>
      </c>
      <c r="AC631" s="4" t="str">
        <f ca="1">VLOOKUP($AB631,OFFSET([3]characters!$A$1,0,0,COUNTA([3]characters!$A:$A),MATCH(AC$1,[3]characters!$1:$1,0)-MATCH("character_id",[3]characters!$1:$1,0)+1),MATCH(AC$1,[3]characters!$1:$1,0)-MATCH("character_id",[3]characters!$1:$1,0)+1,FALSE)</f>
        <v>ケンジ</v>
      </c>
      <c r="AD631" s="4">
        <f ca="1">VLOOKUP($AB631,OFFSET([3]characters!$A$1,0,0,COUNTA([3]characters!$A:$A),MATCH(AD$1,[3]characters!$1:$1,0)-MATCH("character_id",[3]characters!$1:$1,0)+1),MATCH(AD$1,[3]characters!$1:$1,0)-MATCH("character_id",[3]characters!$1:$1,0)+1,FALSE)</f>
        <v>2</v>
      </c>
      <c r="AE631" s="4" t="str">
        <f ca="1">VLOOKUP($AB631,OFFSET([3]characters!$A$1,0,0,COUNTA([3]characters!$A:$A),MATCH(AE$1,[3]characters!$1:$1,0)-MATCH("character_id",[3]characters!$1:$1,0)+1),MATCH(AE$1,[3]characters!$1:$1,0)-MATCH("character_id",[3]characters!$1:$1,0)+1,FALSE)</f>
        <v>Drop1N</v>
      </c>
      <c r="AF631" s="7">
        <v>7</v>
      </c>
      <c r="AG631" s="26">
        <f t="shared" ca="1" si="619"/>
        <v>2</v>
      </c>
      <c r="AH631" s="8">
        <v>20</v>
      </c>
      <c r="AI631" s="7">
        <v>0</v>
      </c>
      <c r="AJ631" s="7">
        <v>0</v>
      </c>
      <c r="AK631" s="7">
        <v>0</v>
      </c>
      <c r="AL631" s="7">
        <v>0</v>
      </c>
      <c r="AM631" s="7">
        <v>1</v>
      </c>
    </row>
    <row r="632" spans="1:39" ht="14" x14ac:dyDescent="0.15">
      <c r="A632" s="18" t="str">
        <f t="shared" ca="1" si="642"/>
        <v>25_5-4/55&lt;lv52&gt;s4</v>
      </c>
      <c r="B632" s="50">
        <v>25</v>
      </c>
      <c r="C632" s="49">
        <v>5</v>
      </c>
      <c r="D632" s="2" t="str">
        <f t="shared" si="658"/>
        <v>25_5</v>
      </c>
      <c r="E632" s="2" t="str">
        <f t="shared" si="658"/>
        <v>5_25_5</v>
      </c>
      <c r="F632" s="4" t="str">
        <f ca="1">VLOOKUP($D632,OFFSET([1]stages!$A$1,0,0,COUNTA([1]stages!$A:$A),MATCH(F$1,[1]stages!$2:$2,0)-MATCH($D$1,[1]stages!$2:$2,0)+1),MATCH(F$1,[1]stages!$2:$2,0)-MATCH($D$1,[1]stages!$2:$2,0)+1,FALSE)</f>
        <v>25-5．君はサディスティック</v>
      </c>
      <c r="G632" s="54">
        <v>4</v>
      </c>
      <c r="H632" s="17" t="str">
        <f t="shared" si="659"/>
        <v>25_5-4</v>
      </c>
      <c r="I632" s="17"/>
      <c r="J632" s="17"/>
      <c r="K632" s="65" t="s">
        <v>56</v>
      </c>
      <c r="L632" s="52">
        <v>55</v>
      </c>
      <c r="M632" s="21" t="str">
        <f ca="1">VLOOKUP($L632,OFFSET([2]enemies!$A$1,0,0,COUNTA([2]enemies!$A:$A),MATCH(M$1,[2]enemies!$1:$1,0)-MATCH($L$1,[2]enemies!$1:$1,0)+1),MATCH(M$1,[2]enemies!$1:$1,0)-MATCH($L$1,[2]enemies!$1:$1,0)+1,FALSE)</f>
        <v>マミコ</v>
      </c>
      <c r="N632" s="21" t="str">
        <f ca="1">VLOOKUP($L632,OFFSET([2]enemies!$A$1,0,0,COUNTA([2]enemies!$A:$A),MATCH(N$1,[2]enemies!$1:$1,0)-MATCH($L$1,[2]enemies!$1:$1,0)+1),MATCH(N$1,[2]enemies!$1:$1,0)-MATCH($L$1,[2]enemies!$1:$1,0)+1,FALSE)</f>
        <v>yellow</v>
      </c>
      <c r="O632" s="21" t="str">
        <f ca="1">VLOOKUP($L632,OFFSET([3]characters!$A$1,0,0,COUNTA([3]characters!$A:$A),MATCH(O$1,[3]characters!$1:$1,0)-MATCH($L$1,[3]characters!$1:$1,0)+1),MATCH(O$1,[3]characters!$1:$1,0)-MATCH($L$1,[3]characters!$1:$1,0)+1,FALSE)</f>
        <v>Drop1N</v>
      </c>
      <c r="P632" s="21" t="str">
        <f ca="1">VLOOKUP($L632,OFFSET([2]enemies!$A$1,0,0,COUNTA([2]enemies!$A:$A),MATCH(P$1,[2]enemies!$1:$1,0)-MATCH($L$1,[2]enemies!$1:$1,0)+1),MATCH(P$1,[2]enemies!$1:$1,0)-MATCH($L$1,[2]enemies!$1:$1,0)+1,FALSE)</f>
        <v>human</v>
      </c>
      <c r="Q632" s="21">
        <f ca="1">VLOOKUP($L632,OFFSET([2]enemies!$A$1,0,0,COUNTA([2]enemies!$A:$A),MATCH(Q$1,[2]enemies!$1:$1,0)-MATCH($L$1,[2]enemies!$1:$1,0)+1),MATCH(Q$1,[2]enemies!$1:$1,0)-MATCH($L$1,[2]enemies!$1:$1,0)+1,FALSE)</f>
        <v>15</v>
      </c>
      <c r="R632" s="53">
        <v>52</v>
      </c>
      <c r="S632" s="27">
        <v>1</v>
      </c>
      <c r="T632" s="27">
        <v>1</v>
      </c>
      <c r="U632" s="5">
        <v>0</v>
      </c>
      <c r="V632" s="4" t="str">
        <f ca="1">VLOOKUP($W632,OFFSET([4]enemy_skill_sets!$B$1,0,0,COUNTA([4]enemy_skill_sets!$B:$B),MATCH(M$1,[4]enemy_skill_sets!$1:$1,0)-MATCH($W$1,[4]enemy_skill_sets!$1:$1,0)+2),MATCH(M$1,[4]enemy_skill_sets!$1:$1,0)-MATCH($W$1,[4]enemy_skill_sets!$1:$1,0)+2,FALSE)</f>
        <v>2ターンスキルが使えない！</v>
      </c>
      <c r="W632" s="4">
        <f ca="1">VLOOKUP($L632,OFFSET([2]enemies!$A$1,0,0,COUNTA([2]enemies!$A:$A),MATCH(W$1,[2]enemies!$1:$1,0)-MATCH($L$1,[2]enemies!$1:$1,0)+1),MATCH(W$1,[2]enemies!$1:$1,0)-MATCH($L$1,[2]enemies!$1:$1,0)+1,FALSE)</f>
        <v>55</v>
      </c>
      <c r="X632" s="6">
        <v>0</v>
      </c>
      <c r="Y632" s="6">
        <v>100</v>
      </c>
      <c r="Z632" s="6">
        <v>0</v>
      </c>
      <c r="AA632" s="4">
        <f ca="1">VLOOKUP($L632,OFFSET([2]enemies!$A$1,0,0,COUNTA([2]enemies!$A:$A),MATCH(AA$1,[2]enemies!$1:$1,0)-MATCH($L$1,[2]enemies!$1:$1,0)+1),MATCH(AA$1,[2]enemies!$1:$1,0)-MATCH($L$1,[2]enemies!$1:$1,0)+1,FALSE)</f>
        <v>4</v>
      </c>
      <c r="AB632" s="52">
        <v>55</v>
      </c>
      <c r="AC632" s="4" t="str">
        <f ca="1">VLOOKUP($AB632,OFFSET([3]characters!$A$1,0,0,COUNTA([3]characters!$A:$A),MATCH(AC$1,[3]characters!$1:$1,0)-MATCH("character_id",[3]characters!$1:$1,0)+1),MATCH(AC$1,[3]characters!$1:$1,0)-MATCH("character_id",[3]characters!$1:$1,0)+1,FALSE)</f>
        <v>マミコ</v>
      </c>
      <c r="AD632" s="4">
        <f ca="1">VLOOKUP($AB632,OFFSET([3]characters!$A$1,0,0,COUNTA([3]characters!$A:$A),MATCH(AD$1,[3]characters!$1:$1,0)-MATCH("character_id",[3]characters!$1:$1,0)+1),MATCH(AD$1,[3]characters!$1:$1,0)-MATCH("character_id",[3]characters!$1:$1,0)+1,FALSE)</f>
        <v>2</v>
      </c>
      <c r="AE632" s="4" t="str">
        <f ca="1">VLOOKUP($AB632,OFFSET([3]characters!$A$1,0,0,COUNTA([3]characters!$A:$A),MATCH(AE$1,[3]characters!$1:$1,0)-MATCH("character_id",[3]characters!$1:$1,0)+1),MATCH(AE$1,[3]characters!$1:$1,0)-MATCH("character_id",[3]characters!$1:$1,0)+1,FALSE)</f>
        <v>Drop1N</v>
      </c>
      <c r="AF632" s="7">
        <v>7</v>
      </c>
      <c r="AG632" s="26">
        <f t="shared" ca="1" si="619"/>
        <v>2</v>
      </c>
      <c r="AH632" s="8">
        <v>20</v>
      </c>
      <c r="AI632" s="7">
        <v>0</v>
      </c>
      <c r="AJ632" s="7">
        <v>0</v>
      </c>
      <c r="AK632" s="7">
        <v>0</v>
      </c>
      <c r="AL632" s="7">
        <v>0</v>
      </c>
      <c r="AM632" s="7">
        <v>1</v>
      </c>
    </row>
    <row r="633" spans="1:39" ht="14" x14ac:dyDescent="0.15">
      <c r="A633" s="18" t="str">
        <f t="shared" ca="1" si="642"/>
        <v>25_5-4/364&lt;lv52&gt;s3</v>
      </c>
      <c r="B633" s="53">
        <v>25</v>
      </c>
      <c r="C633" s="51">
        <v>5</v>
      </c>
      <c r="D633" s="2" t="str">
        <f t="shared" ref="D633:D634" si="660">B633&amp;"_"&amp;C633</f>
        <v>25_5</v>
      </c>
      <c r="E633" s="2" t="str">
        <f t="shared" ref="E633:E634" si="661">C633&amp;"_"&amp;D633</f>
        <v>5_25_5</v>
      </c>
      <c r="F633" s="4" t="str">
        <f ca="1">VLOOKUP($D633,OFFSET([1]stages!$A$1,0,0,COUNTA([1]stages!$A:$A),MATCH(F$1,[1]stages!$2:$2,0)-MATCH($D$1,[1]stages!$2:$2,0)+1),MATCH(F$1,[1]stages!$2:$2,0)-MATCH($D$1,[1]stages!$2:$2,0)+1,FALSE)</f>
        <v>25-5．君はサディスティック</v>
      </c>
      <c r="G633" s="54">
        <v>4</v>
      </c>
      <c r="H633" s="17" t="str">
        <f t="shared" ref="H633:H634" si="662">B633&amp;"_"&amp;C633&amp;"-"&amp;G633</f>
        <v>25_5-4</v>
      </c>
      <c r="I633" s="17"/>
      <c r="J633" s="17"/>
      <c r="K633" s="65" t="s">
        <v>56</v>
      </c>
      <c r="L633" s="52">
        <v>364</v>
      </c>
      <c r="M633" s="21" t="str">
        <f ca="1">VLOOKUP($L633,OFFSET([2]enemies!$A$1,0,0,COUNTA([2]enemies!$A:$A),MATCH(M$1,[2]enemies!$1:$1,0)-MATCH($L$1,[2]enemies!$1:$1,0)+1),MATCH(M$1,[2]enemies!$1:$1,0)-MATCH($L$1,[2]enemies!$1:$1,0)+1,FALSE)</f>
        <v>ノエル</v>
      </c>
      <c r="N633" s="21" t="str">
        <f ca="1">VLOOKUP($L633,OFFSET([2]enemies!$A$1,0,0,COUNTA([2]enemies!$A:$A),MATCH(N$1,[2]enemies!$1:$1,0)-MATCH($L$1,[2]enemies!$1:$1,0)+1),MATCH(N$1,[2]enemies!$1:$1,0)-MATCH($L$1,[2]enemies!$1:$1,0)+1,FALSE)</f>
        <v>blue</v>
      </c>
      <c r="O633" s="21" t="str">
        <f ca="1">VLOOKUP($L633,OFFSET([3]characters!$A$1,0,0,COUNTA([3]characters!$A:$A),MATCH(O$1,[3]characters!$1:$1,0)-MATCH($L$1,[3]characters!$1:$1,0)+1),MATCH(O$1,[3]characters!$1:$1,0)-MATCH($L$1,[3]characters!$1:$1,0)+1,FALSE)</f>
        <v>Drop1S</v>
      </c>
      <c r="P633" s="21" t="str">
        <f ca="1">VLOOKUP($L633,OFFSET([2]enemies!$A$1,0,0,COUNTA([2]enemies!$A:$A),MATCH(P$1,[2]enemies!$1:$1,0)-MATCH($L$1,[2]enemies!$1:$1,0)+1),MATCH(P$1,[2]enemies!$1:$1,0)-MATCH($L$1,[2]enemies!$1:$1,0)+1,FALSE)</f>
        <v>animal</v>
      </c>
      <c r="Q633" s="21">
        <f ca="1">VLOOKUP($L633,OFFSET([2]enemies!$A$1,0,0,COUNTA([2]enemies!$A:$A),MATCH(Q$1,[2]enemies!$1:$1,0)-MATCH($L$1,[2]enemies!$1:$1,0)+1),MATCH(Q$1,[2]enemies!$1:$1,0)-MATCH($L$1,[2]enemies!$1:$1,0)+1,FALSE)</f>
        <v>15</v>
      </c>
      <c r="R633" s="53">
        <v>52</v>
      </c>
      <c r="S633" s="27">
        <v>1</v>
      </c>
      <c r="T633" s="27">
        <v>1</v>
      </c>
      <c r="U633" s="5">
        <v>0</v>
      </c>
      <c r="V633" s="4" t="str">
        <f ca="1">VLOOKUP($W633,OFFSET([4]enemy_skill_sets!$B$1,0,0,COUNTA([4]enemy_skill_sets!$B:$B),MATCH(M$1,[4]enemy_skill_sets!$1:$1,0)-MATCH($W$1,[4]enemy_skill_sets!$1:$1,0)+2),MATCH(M$1,[4]enemy_skill_sets!$1:$1,0)-MATCH($W$1,[4]enemy_skill_sets!$1:$1,0)+2,FALSE)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633" s="64">
        <v>364</v>
      </c>
      <c r="X633" s="6">
        <v>0</v>
      </c>
      <c r="Y633" s="6">
        <v>100</v>
      </c>
      <c r="Z633" s="6">
        <v>0</v>
      </c>
      <c r="AA633" s="4">
        <f ca="1">VLOOKUP($L633,OFFSET([2]enemies!$A$1,0,0,COUNTA([2]enemies!$A:$A),MATCH(AA$1,[2]enemies!$1:$1,0)-MATCH($L$1,[2]enemies!$1:$1,0)+1),MATCH(AA$1,[2]enemies!$1:$1,0)-MATCH($L$1,[2]enemies!$1:$1,0)+1,FALSE)</f>
        <v>3</v>
      </c>
      <c r="AB633" s="52">
        <v>364</v>
      </c>
      <c r="AC633" s="4" t="str">
        <f ca="1">VLOOKUP($AB633,OFFSET([3]characters!$A$1,0,0,COUNTA([3]characters!$A:$A),MATCH(AC$1,[3]characters!$1:$1,0)-MATCH("character_id",[3]characters!$1:$1,0)+1),MATCH(AC$1,[3]characters!$1:$1,0)-MATCH("character_id",[3]characters!$1:$1,0)+1,FALSE)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633" s="4">
        <f ca="1">VLOOKUP($AB633,OFFSET([3]characters!$A$1,0,0,COUNTA([3]characters!$A:$A),MATCH(AD$1,[3]characters!$1:$1,0)-MATCH("character_id",[3]characters!$1:$1,0)+1),MATCH(AD$1,[3]characters!$1:$1,0)-MATCH("character_id",[3]characters!$1:$1,0)+1,FALSE)</f>
        <v>2</v>
      </c>
      <c r="AE633" s="4" t="str">
        <f ca="1">VLOOKUP($AB633,OFFSET([3]characters!$A$1,0,0,COUNTA([3]characters!$A:$A),MATCH(AE$1,[3]characters!$1:$1,0)-MATCH("character_id",[3]characters!$1:$1,0)+1),MATCH(AE$1,[3]characters!$1:$1,0)-MATCH("character_id",[3]characters!$1:$1,0)+1,FALSE)</f>
        <v>Drop1S</v>
      </c>
      <c r="AF633" s="7">
        <v>7</v>
      </c>
      <c r="AG633" s="26">
        <f t="shared" ca="1" si="619"/>
        <v>2</v>
      </c>
      <c r="AH633" s="8">
        <v>20</v>
      </c>
      <c r="AI633" s="7">
        <v>0</v>
      </c>
      <c r="AJ633" s="7">
        <v>0</v>
      </c>
      <c r="AK633" s="7">
        <v>0</v>
      </c>
      <c r="AL633" s="7">
        <v>0</v>
      </c>
      <c r="AM633" s="7">
        <v>1</v>
      </c>
    </row>
    <row r="634" spans="1:39" ht="14" x14ac:dyDescent="0.15">
      <c r="A634" s="18" t="str">
        <f t="shared" ca="1" si="642"/>
        <v>25_5-4/366&lt;lv52&gt;s3</v>
      </c>
      <c r="B634" s="53">
        <v>25</v>
      </c>
      <c r="C634" s="51">
        <v>5</v>
      </c>
      <c r="D634" s="2" t="str">
        <f t="shared" si="660"/>
        <v>25_5</v>
      </c>
      <c r="E634" s="2" t="str">
        <f t="shared" si="661"/>
        <v>5_25_5</v>
      </c>
      <c r="F634" s="4" t="str">
        <f ca="1">VLOOKUP($D634,OFFSET([1]stages!$A$1,0,0,COUNTA([1]stages!$A:$A),MATCH(F$1,[1]stages!$2:$2,0)-MATCH($D$1,[1]stages!$2:$2,0)+1),MATCH(F$1,[1]stages!$2:$2,0)-MATCH($D$1,[1]stages!$2:$2,0)+1,FALSE)</f>
        <v>25-5．君はサディスティック</v>
      </c>
      <c r="G634" s="54">
        <v>4</v>
      </c>
      <c r="H634" s="17" t="str">
        <f t="shared" si="662"/>
        <v>25_5-4</v>
      </c>
      <c r="I634" s="17"/>
      <c r="J634" s="17"/>
      <c r="K634" s="65" t="s">
        <v>56</v>
      </c>
      <c r="L634" s="52">
        <v>366</v>
      </c>
      <c r="M634" s="21" t="str">
        <f ca="1">VLOOKUP($L634,OFFSET([2]enemies!$A$1,0,0,COUNTA([2]enemies!$A:$A),MATCH(M$1,[2]enemies!$1:$1,0)-MATCH($L$1,[2]enemies!$1:$1,0)+1),MATCH(M$1,[2]enemies!$1:$1,0)-MATCH($L$1,[2]enemies!$1:$1,0)+1,FALSE)</f>
        <v>トト</v>
      </c>
      <c r="N634" s="21" t="str">
        <f ca="1">VLOOKUP($L634,OFFSET([2]enemies!$A$1,0,0,COUNTA([2]enemies!$A:$A),MATCH(N$1,[2]enemies!$1:$1,0)-MATCH($L$1,[2]enemies!$1:$1,0)+1),MATCH(N$1,[2]enemies!$1:$1,0)-MATCH($L$1,[2]enemies!$1:$1,0)+1,FALSE)</f>
        <v>yellow</v>
      </c>
      <c r="O634" s="21" t="str">
        <f ca="1">VLOOKUP($L634,OFFSET([3]characters!$A$1,0,0,COUNTA([3]characters!$A:$A),MATCH(O$1,[3]characters!$1:$1,0)-MATCH($L$1,[3]characters!$1:$1,0)+1),MATCH(O$1,[3]characters!$1:$1,0)-MATCH($L$1,[3]characters!$1:$1,0)+1,FALSE)</f>
        <v>Drop1S</v>
      </c>
      <c r="P634" s="21" t="str">
        <f ca="1">VLOOKUP($L634,OFFSET([2]enemies!$A$1,0,0,COUNTA([2]enemies!$A:$A),MATCH(P$1,[2]enemies!$1:$1,0)-MATCH($L$1,[2]enemies!$1:$1,0)+1),MATCH(P$1,[2]enemies!$1:$1,0)-MATCH($L$1,[2]enemies!$1:$1,0)+1,FALSE)</f>
        <v>animal</v>
      </c>
      <c r="Q634" s="21">
        <f ca="1">VLOOKUP($L634,OFFSET([2]enemies!$A$1,0,0,COUNTA([2]enemies!$A:$A),MATCH(Q$1,[2]enemies!$1:$1,0)-MATCH($L$1,[2]enemies!$1:$1,0)+1),MATCH(Q$1,[2]enemies!$1:$1,0)-MATCH($L$1,[2]enemies!$1:$1,0)+1,FALSE)</f>
        <v>15</v>
      </c>
      <c r="R634" s="53">
        <v>52</v>
      </c>
      <c r="S634" s="27">
        <v>1</v>
      </c>
      <c r="T634" s="27">
        <v>1</v>
      </c>
      <c r="U634" s="5">
        <v>0</v>
      </c>
      <c r="V634" s="4" t="str">
        <f ca="1">VLOOKUP($W634,OFFSET([4]enemy_skill_sets!$B$1,0,0,COUNTA([4]enemy_skill_sets!$B:$B),MATCH(M$1,[4]enemy_skill_sets!$1:$1,0)-MATCH($W$1,[4]enemy_skill_sets!$1:$1,0)+2),MATCH(M$1,[4]enemy_skill_sets!$1:$1,0)-MATCH($W$1,[4]enemy_skill_sets!$1:$1,0)+2,FALSE)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634" s="64">
        <v>366</v>
      </c>
      <c r="X634" s="6">
        <v>0</v>
      </c>
      <c r="Y634" s="6">
        <v>100</v>
      </c>
      <c r="Z634" s="6">
        <v>0</v>
      </c>
      <c r="AA634" s="4">
        <f ca="1">VLOOKUP($L634,OFFSET([2]enemies!$A$1,0,0,COUNTA([2]enemies!$A:$A),MATCH(AA$1,[2]enemies!$1:$1,0)-MATCH($L$1,[2]enemies!$1:$1,0)+1),MATCH(AA$1,[2]enemies!$1:$1,0)-MATCH($L$1,[2]enemies!$1:$1,0)+1,FALSE)</f>
        <v>3</v>
      </c>
      <c r="AB634" s="52">
        <v>366</v>
      </c>
      <c r="AC634" s="4" t="str">
        <f ca="1">VLOOKUP($AB634,OFFSET([3]characters!$A$1,0,0,COUNTA([3]characters!$A:$A),MATCH(AC$1,[3]characters!$1:$1,0)-MATCH("character_id",[3]characters!$1:$1,0)+1),MATCH(AC$1,[3]characters!$1:$1,0)-MATCH("character_id",[3]characters!$1:$1,0)+1,FALSE)</f>
        <v>トト</v>
      </c>
      <c r="AD634" s="4">
        <f ca="1">VLOOKUP($AB634,OFFSET([3]characters!$A$1,0,0,COUNTA([3]characters!$A:$A),MATCH(AD$1,[3]characters!$1:$1,0)-MATCH("character_id",[3]characters!$1:$1,0)+1),MATCH(AD$1,[3]characters!$1:$1,0)-MATCH("character_id",[3]characters!$1:$1,0)+1,FALSE)</f>
        <v>2</v>
      </c>
      <c r="AE634" s="4" t="str">
        <f ca="1">VLOOKUP($AB634,OFFSET([3]characters!$A$1,0,0,COUNTA([3]characters!$A:$A),MATCH(AE$1,[3]characters!$1:$1,0)-MATCH("character_id",[3]characters!$1:$1,0)+1),MATCH(AE$1,[3]characters!$1:$1,0)-MATCH("character_id",[3]characters!$1:$1,0)+1,FALSE)</f>
        <v>Drop1S</v>
      </c>
      <c r="AF634" s="7">
        <v>7</v>
      </c>
      <c r="AG634" s="26">
        <f t="shared" ca="1" si="619"/>
        <v>2</v>
      </c>
      <c r="AH634" s="8">
        <v>20</v>
      </c>
      <c r="AI634" s="7">
        <v>0</v>
      </c>
      <c r="AJ634" s="7">
        <v>0</v>
      </c>
      <c r="AK634" s="7">
        <v>0</v>
      </c>
      <c r="AL634" s="7">
        <v>0</v>
      </c>
      <c r="AM634" s="7">
        <v>1</v>
      </c>
    </row>
    <row r="635" spans="1:39" ht="14" x14ac:dyDescent="0.15">
      <c r="A635" s="18" t="str">
        <f t="shared" ca="1" si="642"/>
        <v>25_5-4/352&lt;lv52&gt;s3</v>
      </c>
      <c r="B635" s="53">
        <v>25</v>
      </c>
      <c r="C635" s="51">
        <v>5</v>
      </c>
      <c r="D635" s="2" t="str">
        <f t="shared" ref="D635" si="663">B635&amp;"_"&amp;C635</f>
        <v>25_5</v>
      </c>
      <c r="E635" s="2" t="str">
        <f t="shared" ref="E635" si="664">C635&amp;"_"&amp;D635</f>
        <v>5_25_5</v>
      </c>
      <c r="F635" s="4" t="str">
        <f ca="1">VLOOKUP($D635,OFFSET([1]stages!$A$1,0,0,COUNTA([1]stages!$A:$A),MATCH(F$1,[1]stages!$2:$2,0)-MATCH($D$1,[1]stages!$2:$2,0)+1),MATCH(F$1,[1]stages!$2:$2,0)-MATCH($D$1,[1]stages!$2:$2,0)+1,FALSE)</f>
        <v>25-5．君はサディスティック</v>
      </c>
      <c r="G635" s="54">
        <v>4</v>
      </c>
      <c r="H635" s="17" t="str">
        <f t="shared" ref="H635" si="665">B635&amp;"_"&amp;C635&amp;"-"&amp;G635</f>
        <v>25_5-4</v>
      </c>
      <c r="I635" s="17"/>
      <c r="J635" s="17"/>
      <c r="K635" s="65" t="s">
        <v>56</v>
      </c>
      <c r="L635" s="52">
        <v>352</v>
      </c>
      <c r="M635" s="21" t="str">
        <f ca="1">VLOOKUP($L635,OFFSET([2]enemies!$A$1,0,0,COUNTA([2]enemies!$A:$A),MATCH(M$1,[2]enemies!$1:$1,0)-MATCH($L$1,[2]enemies!$1:$1,0)+1),MATCH(M$1,[2]enemies!$1:$1,0)-MATCH($L$1,[2]enemies!$1:$1,0)+1,FALSE)</f>
        <v>水のケロケロ</v>
      </c>
      <c r="N635" s="21" t="str">
        <f ca="1">VLOOKUP($L635,OFFSET([2]enemies!$A$1,0,0,COUNTA([2]enemies!$A:$A),MATCH(N$1,[2]enemies!$1:$1,0)-MATCH($L$1,[2]enemies!$1:$1,0)+1),MATCH(N$1,[2]enemies!$1:$1,0)-MATCH($L$1,[2]enemies!$1:$1,0)+1,FALSE)</f>
        <v>blue</v>
      </c>
      <c r="O635" s="21" t="str">
        <f ca="1">VLOOKUP($L635,OFFSET([3]characters!$A$1,0,0,COUNTA([3]characters!$A:$A),MATCH(O$1,[3]characters!$1:$1,0)-MATCH($L$1,[3]characters!$1:$1,0)+1),MATCH(O$1,[3]characters!$1:$1,0)-MATCH($L$1,[3]characters!$1:$1,0)+1,FALSE)</f>
        <v>Material</v>
      </c>
      <c r="P635" s="21" t="str">
        <f ca="1">VLOOKUP($L635,OFFSET([2]enemies!$A$1,0,0,COUNTA([2]enemies!$A:$A),MATCH(P$1,[2]enemies!$1:$1,0)-MATCH($L$1,[2]enemies!$1:$1,0)+1),MATCH(P$1,[2]enemies!$1:$1,0)-MATCH($L$1,[2]enemies!$1:$1,0)+1,FALSE)</f>
        <v>unknown</v>
      </c>
      <c r="Q635" s="21">
        <f ca="1">VLOOKUP($L635,OFFSET([2]enemies!$A$1,0,0,COUNTA([2]enemies!$A:$A),MATCH(Q$1,[2]enemies!$1:$1,0)-MATCH($L$1,[2]enemies!$1:$1,0)+1),MATCH(Q$1,[2]enemies!$1:$1,0)-MATCH($L$1,[2]enemies!$1:$1,0)+1,FALSE)</f>
        <v>15</v>
      </c>
      <c r="R635" s="53">
        <v>52</v>
      </c>
      <c r="S635" s="27">
        <v>1</v>
      </c>
      <c r="T635" s="27">
        <v>1</v>
      </c>
      <c r="U635" s="5">
        <v>0</v>
      </c>
      <c r="V635" s="4" t="str">
        <f ca="1">VLOOKUP($W635,OFFSET([4]enemy_skill_sets!$B$1,0,0,COUNTA([4]enemy_skill_sets!$B:$B),MATCH(M$1,[4]enemy_skill_sets!$1:$1,0)-MATCH($W$1,[4]enemy_skill_sets!$1:$1,0)+2),MATCH(M$1,[4]enemy_skill_sets!$1:$1,0)-MATCH($W$1,[4]enemy_skill_sets!$1:$1,0)+2,FALSE)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635" s="64">
        <v>352</v>
      </c>
      <c r="X635" s="6">
        <v>1</v>
      </c>
      <c r="Y635" s="6">
        <v>100</v>
      </c>
      <c r="Z635" s="6">
        <v>0</v>
      </c>
      <c r="AA635" s="4">
        <f ca="1">VLOOKUP($L635,OFFSET([2]enemies!$A$1,0,0,COUNTA([2]enemies!$A:$A),MATCH(AA$1,[2]enemies!$1:$1,0)-MATCH($L$1,[2]enemies!$1:$1,0)+1),MATCH(AA$1,[2]enemies!$1:$1,0)-MATCH($L$1,[2]enemies!$1:$1,0)+1,FALSE)</f>
        <v>3</v>
      </c>
      <c r="AB635" s="52">
        <v>352</v>
      </c>
      <c r="AC635" s="4" t="str">
        <f ca="1">VLOOKUP($AB635,OFFSET([3]characters!$A$1,0,0,COUNTA([3]characters!$A:$A),MATCH(AC$1,[3]characters!$1:$1,0)-MATCH("character_id",[3]characters!$1:$1,0)+1),MATCH(AC$1,[3]characters!$1:$1,0)-MATCH("character_id",[3]characters!$1:$1,0)+1,FALSE)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635" s="4">
        <f ca="1">VLOOKUP($AB635,OFFSET([3]characters!$A$1,0,0,COUNTA([3]characters!$A:$A),MATCH(AD$1,[3]characters!$1:$1,0)-MATCH("character_id",[3]characters!$1:$1,0)+1),MATCH(AD$1,[3]characters!$1:$1,0)-MATCH("character_id",[3]characters!$1:$1,0)+1,FALSE)</f>
        <v>2</v>
      </c>
      <c r="AE635" s="4" t="str">
        <f ca="1">VLOOKUP($AB635,OFFSET([3]characters!$A$1,0,0,COUNTA([3]characters!$A:$A),MATCH(AE$1,[3]characters!$1:$1,0)-MATCH("character_id",[3]characters!$1:$1,0)+1),MATCH(AE$1,[3]characters!$1:$1,0)-MATCH("character_id",[3]characters!$1:$1,0)+1,FALSE)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35" s="7">
        <v>10</v>
      </c>
      <c r="AG635" s="26">
        <f t="shared" ca="1" si="619"/>
        <v>2</v>
      </c>
      <c r="AH635" s="8">
        <v>100</v>
      </c>
      <c r="AI635" s="7">
        <v>0</v>
      </c>
      <c r="AJ635" s="7">
        <v>0</v>
      </c>
      <c r="AK635" s="7">
        <v>0</v>
      </c>
      <c r="AL635" s="7">
        <v>0</v>
      </c>
      <c r="AM635" s="7">
        <v>1</v>
      </c>
    </row>
    <row r="636" spans="1:39" ht="14" x14ac:dyDescent="0.15">
      <c r="A636" s="18" t="str">
        <f t="shared" ca="1" si="642"/>
        <v>25_5-5/163&lt;lv59&gt;s2</v>
      </c>
      <c r="B636" s="50">
        <v>25</v>
      </c>
      <c r="C636" s="49">
        <v>5</v>
      </c>
      <c r="D636" s="2" t="str">
        <f t="shared" si="658"/>
        <v>25_5</v>
      </c>
      <c r="E636" s="2" t="str">
        <f t="shared" si="658"/>
        <v>5_25_5</v>
      </c>
      <c r="F636" s="4" t="str">
        <f ca="1">VLOOKUP($D636,OFFSET([1]stages!$A$1,0,0,COUNTA([1]stages!$A:$A),MATCH(F$1,[1]stages!$2:$2,0)-MATCH($D$1,[1]stages!$2:$2,0)+1),MATCH(F$1,[1]stages!$2:$2,0)-MATCH($D$1,[1]stages!$2:$2,0)+1,FALSE)</f>
        <v>25-5．君はサディスティック</v>
      </c>
      <c r="G636" s="55">
        <v>5</v>
      </c>
      <c r="H636" s="17" t="str">
        <f t="shared" si="659"/>
        <v>25_5-5</v>
      </c>
      <c r="I636" s="17"/>
      <c r="J636" s="17"/>
      <c r="K636" s="65">
        <v>163</v>
      </c>
      <c r="L636" s="52">
        <v>163</v>
      </c>
      <c r="M636" s="21" t="str">
        <f ca="1">VLOOKUP($L636,OFFSET([2]enemies!$A$1,0,0,COUNTA([2]enemies!$A:$A),MATCH(M$1,[2]enemies!$1:$1,0)-MATCH($L$1,[2]enemies!$1:$1,0)+1),MATCH(M$1,[2]enemies!$1:$1,0)-MATCH($L$1,[2]enemies!$1:$1,0)+1,FALSE)</f>
        <v>冷酷な狂嬢 クララ</v>
      </c>
      <c r="N636" s="21" t="str">
        <f ca="1">VLOOKUP($L636,OFFSET([2]enemies!$A$1,0,0,COUNTA([2]enemies!$A:$A),MATCH(N$1,[2]enemies!$1:$1,0)-MATCH($L$1,[2]enemies!$1:$1,0)+1),MATCH(N$1,[2]enemies!$1:$1,0)-MATCH($L$1,[2]enemies!$1:$1,0)+1,FALSE)</f>
        <v>blue</v>
      </c>
      <c r="O636" s="21" t="str">
        <f ca="1">VLOOKUP($L636,OFFSET([3]characters!$A$1,0,0,COUNTA([3]characters!$A:$A),MATCH(O$1,[3]characters!$1:$1,0)-MATCH($L$1,[3]characters!$1:$1,0)+1),MATCH(O$1,[3]characters!$1:$1,0)-MATCH($L$1,[3]characters!$1:$1,0)+1,FALSE)</f>
        <v>PremiumW</v>
      </c>
      <c r="P636" s="21" t="str">
        <f ca="1">VLOOKUP($L636,OFFSET([2]enemies!$A$1,0,0,COUNTA([2]enemies!$A:$A),MATCH(P$1,[2]enemies!$1:$1,0)-MATCH($L$1,[2]enemies!$1:$1,0)+1),MATCH(P$1,[2]enemies!$1:$1,0)-MATCH($L$1,[2]enemies!$1:$1,0)+1,FALSE)</f>
        <v>human</v>
      </c>
      <c r="Q636" s="21">
        <f ca="1">VLOOKUP($L636,OFFSET([2]enemies!$A$1,0,0,COUNTA([2]enemies!$A:$A),MATCH(Q$1,[2]enemies!$1:$1,0)-MATCH($L$1,[2]enemies!$1:$1,0)+1),MATCH(Q$1,[2]enemies!$1:$1,0)-MATCH($L$1,[2]enemies!$1:$1,0)+1,FALSE)</f>
        <v>30</v>
      </c>
      <c r="R636" s="53">
        <v>59</v>
      </c>
      <c r="S636" s="27">
        <v>1.4</v>
      </c>
      <c r="T636" s="27">
        <v>1.1000000000000001</v>
      </c>
      <c r="U636" s="5">
        <v>0</v>
      </c>
      <c r="V636" s="4" t="str">
        <f ca="1">VLOOKUP($W636,OFFSET([4]enemy_skill_sets!$B$1,0,0,COUNTA([4]enemy_skill_sets!$B:$B),MATCH(M$1,[4]enemy_skill_sets!$1:$1,0)-MATCH($W$1,[4]enemy_skill_sets!$1:$1,0)+2),MATCH(M$1,[4]enemy_skill_sets!$1:$1,0)-MATCH($W$1,[4]enemy_skill_sets!$1:$1,0)+2,FALSE)</f>
        <v>全体攻撃</v>
      </c>
      <c r="W636" s="75">
        <v>16301</v>
      </c>
      <c r="X636" s="6">
        <v>1</v>
      </c>
      <c r="Y636" s="6">
        <v>100</v>
      </c>
      <c r="Z636" s="6">
        <v>1</v>
      </c>
      <c r="AA636" s="4">
        <f ca="1">VLOOKUP($L636,OFFSET([2]enemies!$A$1,0,0,COUNTA([2]enemies!$A:$A),MATCH(AA$1,[2]enemies!$1:$1,0)-MATCH($L$1,[2]enemies!$1:$1,0)+1),MATCH(AA$1,[2]enemies!$1:$1,0)-MATCH($L$1,[2]enemies!$1:$1,0)+1,FALSE)</f>
        <v>2</v>
      </c>
      <c r="AB636" s="52">
        <v>162</v>
      </c>
      <c r="AC636" s="4" t="str">
        <f ca="1">VLOOKUP($AB636,OFFSET([3]characters!$A$1,0,0,COUNTA([3]characters!$A:$A),MATCH(AC$1,[3]characters!$1:$1,0)-MATCH("character_id",[3]characters!$1:$1,0)+1),MATCH(AC$1,[3]characters!$1:$1,0)-MATCH("character_id",[3]characters!$1:$1,0)+1,FALSE)</f>
        <v>狂女 クララ</v>
      </c>
      <c r="AD636" s="4">
        <f ca="1">VLOOKUP($AB636,OFFSET([3]characters!$A$1,0,0,COUNTA([3]characters!$A:$A),MATCH(AD$1,[3]characters!$1:$1,0)-MATCH("character_id",[3]characters!$1:$1,0)+1),MATCH(AD$1,[3]characters!$1:$1,0)-MATCH("character_id",[3]characters!$1:$1,0)+1,FALSE)</f>
        <v>3</v>
      </c>
      <c r="AE636" s="4" t="str">
        <f ca="1">VLOOKUP($AB636,OFFSET([3]characters!$A$1,0,0,COUNTA([3]characters!$A:$A),MATCH(AE$1,[3]characters!$1:$1,0)-MATCH("character_id",[3]characters!$1:$1,0)+1),MATCH(AE$1,[3]characters!$1:$1,0)-MATCH("character_id",[3]characters!$1:$1,0)+1,FALSE)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636" s="7">
        <v>1</v>
      </c>
      <c r="AG636" s="26">
        <f t="shared" ca="1" si="619"/>
        <v>3</v>
      </c>
      <c r="AH636" s="8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1</v>
      </c>
    </row>
    <row r="637" spans="1:39" ht="14" x14ac:dyDescent="0.15">
      <c r="A637" s="18" t="str">
        <f t="shared" ca="1" si="642"/>
        <v>25_6-1/342&lt;lv1&gt;s3</v>
      </c>
      <c r="B637" s="53">
        <v>25</v>
      </c>
      <c r="C637" s="51">
        <v>6</v>
      </c>
      <c r="D637" s="2" t="str">
        <f t="shared" si="658"/>
        <v>25_6</v>
      </c>
      <c r="E637" s="2" t="str">
        <f t="shared" si="658"/>
        <v>6_25_6</v>
      </c>
      <c r="F637" s="4" t="str">
        <f ca="1">VLOOKUP($D637,OFFSET([1]stages!$A$1,0,0,COUNTA([1]stages!$A:$A),MATCH(F$1,[1]stages!$2:$2,0)-MATCH($D$1,[1]stages!$2:$2,0)+1),MATCH(F$1,[1]stages!$2:$2,0)-MATCH($D$1,[1]stages!$2:$2,0)+1,FALSE)</f>
        <v>25-6．【1回のみ】ボーナスステージ</v>
      </c>
      <c r="G637" s="51">
        <v>1</v>
      </c>
      <c r="H637" s="17" t="str">
        <f t="shared" si="659"/>
        <v>25_6-1</v>
      </c>
      <c r="I637" s="17"/>
      <c r="J637" s="17"/>
      <c r="K637" s="65" t="s">
        <v>56</v>
      </c>
      <c r="L637" s="52">
        <v>342</v>
      </c>
      <c r="M637" s="21" t="str">
        <f ca="1">VLOOKUP($L637,OFFSET([2]enemies!$A$1,0,0,COUNTA([2]enemies!$A:$A),MATCH(M$1,[2]enemies!$1:$1,0)-MATCH($L$1,[2]enemies!$1:$1,0)+1),MATCH(M$1,[2]enemies!$1:$1,0)-MATCH($L$1,[2]enemies!$1:$1,0)+1,FALSE)</f>
        <v>水のメタルダック</v>
      </c>
      <c r="N637" s="21" t="str">
        <f ca="1">VLOOKUP($L637,OFFSET([2]enemies!$A$1,0,0,COUNTA([2]enemies!$A:$A),MATCH(N$1,[2]enemies!$1:$1,0)-MATCH($L$1,[2]enemies!$1:$1,0)+1),MATCH(N$1,[2]enemies!$1:$1,0)-MATCH($L$1,[2]enemies!$1:$1,0)+1,FALSE)</f>
        <v>blue</v>
      </c>
      <c r="O637" s="21" t="str">
        <f ca="1">VLOOKUP($L637,OFFSET([3]characters!$A$1,0,0,COUNTA([3]characters!$A:$A),MATCH(O$1,[3]characters!$1:$1,0)-MATCH($L$1,[3]characters!$1:$1,0)+1),MATCH(O$1,[3]characters!$1:$1,0)-MATCH($L$1,[3]characters!$1:$1,0)+1,FALSE)</f>
        <v>Material</v>
      </c>
      <c r="P637" s="21" t="str">
        <f ca="1">VLOOKUP($L637,OFFSET([2]enemies!$A$1,0,0,COUNTA([2]enemies!$A:$A),MATCH(P$1,[2]enemies!$1:$1,0)-MATCH($L$1,[2]enemies!$1:$1,0)+1),MATCH(P$1,[2]enemies!$1:$1,0)-MATCH($L$1,[2]enemies!$1:$1,0)+1,FALSE)</f>
        <v>unknown</v>
      </c>
      <c r="Q637" s="21">
        <f ca="1">VLOOKUP($L637,OFFSET([2]enemies!$A$1,0,0,COUNTA([2]enemies!$A:$A),MATCH(Q$1,[2]enemies!$1:$1,0)-MATCH($L$1,[2]enemies!$1:$1,0)+1),MATCH(Q$1,[2]enemies!$1:$1,0)-MATCH($L$1,[2]enemies!$1:$1,0)+1,FALSE)</f>
        <v>20</v>
      </c>
      <c r="R637" s="53">
        <v>1</v>
      </c>
      <c r="S637" s="27">
        <v>1</v>
      </c>
      <c r="T637" s="27">
        <v>1</v>
      </c>
      <c r="U637" s="5">
        <v>0</v>
      </c>
      <c r="V637" s="4" t="str">
        <f ca="1">VLOOKUP($W637,OFFSET([4]enemy_skill_sets!$B$1,0,0,COUNTA([4]enemy_skill_sets!$B:$B),MATCH(M$1,[4]enemy_skill_sets!$1:$1,0)-MATCH($W$1,[4]enemy_skill_sets!$1:$1,0)+2),MATCH(M$1,[4]enemy_skill_sets!$1:$1,0)-MATCH($W$1,[4]enemy_skill_sets!$1:$1,0)+2,FALSE)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37" s="4">
        <f ca="1">VLOOKUP($L637,OFFSET([2]enemies!$A$1,0,0,COUNTA([2]enemies!$A:$A),MATCH(W$1,[2]enemies!$1:$1,0)-MATCH($L$1,[2]enemies!$1:$1,0)+1),MATCH(W$1,[2]enemies!$1:$1,0)-MATCH($L$1,[2]enemies!$1:$1,0)+1,FALSE)</f>
        <v>0</v>
      </c>
      <c r="X637" s="6">
        <v>0</v>
      </c>
      <c r="Y637" s="6">
        <v>100</v>
      </c>
      <c r="Z637" s="6">
        <v>0</v>
      </c>
      <c r="AA637" s="4">
        <f ca="1">VLOOKUP($L637,OFFSET([2]enemies!$A$1,0,0,COUNTA([2]enemies!$A:$A),MATCH(AA$1,[2]enemies!$1:$1,0)-MATCH($L$1,[2]enemies!$1:$1,0)+1),MATCH(AA$1,[2]enemies!$1:$1,0)-MATCH($L$1,[2]enemies!$1:$1,0)+1,FALSE)</f>
        <v>3</v>
      </c>
      <c r="AB637" s="52">
        <v>342</v>
      </c>
      <c r="AC637" s="4" t="str">
        <f ca="1">VLOOKUP($AB637,OFFSET([3]characters!$A$1,0,0,COUNTA([3]characters!$A:$A),MATCH(AC$1,[3]characters!$1:$1,0)-MATCH("character_id",[3]characters!$1:$1,0)+1),MATCH(AC$1,[3]characters!$1:$1,0)-MATCH("character_id",[3]characters!$1:$1,0)+1,FALSE)</f>
        <v>水のメタルダック</v>
      </c>
      <c r="AD637" s="4">
        <f ca="1">VLOOKUP($AB637,OFFSET([3]characters!$A$1,0,0,COUNTA([3]characters!$A:$A),MATCH(AD$1,[3]characters!$1:$1,0)-MATCH("character_id",[3]characters!$1:$1,0)+1),MATCH(AD$1,[3]characters!$1:$1,0)-MATCH("character_id",[3]characters!$1:$1,0)+1,FALSE)</f>
        <v>5</v>
      </c>
      <c r="AE637" s="4" t="str">
        <f ca="1">VLOOKUP($AB637,OFFSET([3]characters!$A$1,0,0,COUNTA([3]characters!$A:$A),MATCH(AE$1,[3]characters!$1:$1,0)-MATCH("character_id",[3]characters!$1:$1,0)+1),MATCH(AE$1,[3]characters!$1:$1,0)-MATCH("character_id",[3]characters!$1:$1,0)+1,FALSE)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37" s="7">
        <v>1</v>
      </c>
      <c r="AG637" s="26">
        <f t="shared" ca="1" si="619"/>
        <v>5</v>
      </c>
      <c r="AH637" s="8">
        <v>100</v>
      </c>
      <c r="AI637" s="7">
        <v>0</v>
      </c>
      <c r="AJ637" s="7">
        <v>0</v>
      </c>
      <c r="AK637" s="7">
        <v>0</v>
      </c>
      <c r="AL637" s="7">
        <v>0</v>
      </c>
      <c r="AM637" s="7">
        <v>1</v>
      </c>
    </row>
    <row r="638" spans="1:39" ht="14" x14ac:dyDescent="0.15">
      <c r="A638" s="18" t="str">
        <f t="shared" ca="1" si="642"/>
        <v>25_6-2/346&lt;lv1&gt;s3</v>
      </c>
      <c r="B638" s="53">
        <v>25</v>
      </c>
      <c r="C638" s="51">
        <v>6</v>
      </c>
      <c r="D638" s="2" t="str">
        <f t="shared" si="658"/>
        <v>25_6</v>
      </c>
      <c r="E638" s="2" t="str">
        <f t="shared" si="658"/>
        <v>6_25_6</v>
      </c>
      <c r="F638" s="4" t="str">
        <f ca="1">VLOOKUP($D638,OFFSET([1]stages!$A$1,0,0,COUNTA([1]stages!$A:$A),MATCH(F$1,[1]stages!$2:$2,0)-MATCH($D$1,[1]stages!$2:$2,0)+1),MATCH(F$1,[1]stages!$2:$2,0)-MATCH($D$1,[1]stages!$2:$2,0)+1,FALSE)</f>
        <v>25-6．【1回のみ】ボーナスステージ</v>
      </c>
      <c r="G638" s="51">
        <v>2</v>
      </c>
      <c r="H638" s="17" t="str">
        <f t="shared" si="659"/>
        <v>25_6-2</v>
      </c>
      <c r="I638" s="17"/>
      <c r="J638" s="17"/>
      <c r="K638" s="65" t="s">
        <v>56</v>
      </c>
      <c r="L638" s="63">
        <v>346</v>
      </c>
      <c r="M638" s="21" t="str">
        <f ca="1">VLOOKUP($L638,OFFSET([2]enemies!$A$1,0,0,COUNTA([2]enemies!$A:$A),MATCH(M$1,[2]enemies!$1:$1,0)-MATCH($L$1,[2]enemies!$1:$1,0)+1),MATCH(M$1,[2]enemies!$1:$1,0)-MATCH($L$1,[2]enemies!$1:$1,0)+1,FALSE)</f>
        <v>雷のメタルダック</v>
      </c>
      <c r="N638" s="21" t="str">
        <f ca="1">VLOOKUP($L638,OFFSET([2]enemies!$A$1,0,0,COUNTA([2]enemies!$A:$A),MATCH(N$1,[2]enemies!$1:$1,0)-MATCH($L$1,[2]enemies!$1:$1,0)+1),MATCH(N$1,[2]enemies!$1:$1,0)-MATCH($L$1,[2]enemies!$1:$1,0)+1,FALSE)</f>
        <v>yellow</v>
      </c>
      <c r="O638" s="21" t="str">
        <f ca="1">VLOOKUP($L638,OFFSET([3]characters!$A$1,0,0,COUNTA([3]characters!$A:$A),MATCH(O$1,[3]characters!$1:$1,0)-MATCH($L$1,[3]characters!$1:$1,0)+1),MATCH(O$1,[3]characters!$1:$1,0)-MATCH($L$1,[3]characters!$1:$1,0)+1,FALSE)</f>
        <v>Material</v>
      </c>
      <c r="P638" s="21" t="str">
        <f ca="1">VLOOKUP($L638,OFFSET([2]enemies!$A$1,0,0,COUNTA([2]enemies!$A:$A),MATCH(P$1,[2]enemies!$1:$1,0)-MATCH($L$1,[2]enemies!$1:$1,0)+1),MATCH(P$1,[2]enemies!$1:$1,0)-MATCH($L$1,[2]enemies!$1:$1,0)+1,FALSE)</f>
        <v>unknown</v>
      </c>
      <c r="Q638" s="21">
        <f ca="1">VLOOKUP($L638,OFFSET([2]enemies!$A$1,0,0,COUNTA([2]enemies!$A:$A),MATCH(Q$1,[2]enemies!$1:$1,0)-MATCH($L$1,[2]enemies!$1:$1,0)+1),MATCH(Q$1,[2]enemies!$1:$1,0)-MATCH($L$1,[2]enemies!$1:$1,0)+1,FALSE)</f>
        <v>20</v>
      </c>
      <c r="R638" s="53">
        <v>1</v>
      </c>
      <c r="S638" s="27">
        <v>1</v>
      </c>
      <c r="T638" s="27">
        <v>1</v>
      </c>
      <c r="U638" s="5">
        <v>0</v>
      </c>
      <c r="V638" s="4" t="str">
        <f ca="1">VLOOKUP($W638,OFFSET([4]enemy_skill_sets!$B$1,0,0,COUNTA([4]enemy_skill_sets!$B:$B),MATCH(M$1,[4]enemy_skill_sets!$1:$1,0)-MATCH($W$1,[4]enemy_skill_sets!$1:$1,0)+2),MATCH(M$1,[4]enemy_skill_sets!$1:$1,0)-MATCH($W$1,[4]enemy_skill_sets!$1:$1,0)+2,FALSE)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38" s="4">
        <f ca="1">VLOOKUP($L638,OFFSET([2]enemies!$A$1,0,0,COUNTA([2]enemies!$A:$A),MATCH(W$1,[2]enemies!$1:$1,0)-MATCH($L$1,[2]enemies!$1:$1,0)+1),MATCH(W$1,[2]enemies!$1:$1,0)-MATCH($L$1,[2]enemies!$1:$1,0)+1,FALSE)</f>
        <v>0</v>
      </c>
      <c r="X638" s="6">
        <v>0</v>
      </c>
      <c r="Y638" s="6">
        <v>100</v>
      </c>
      <c r="Z638" s="6">
        <v>0</v>
      </c>
      <c r="AA638" s="4">
        <f ca="1">VLOOKUP($L638,OFFSET([2]enemies!$A$1,0,0,COUNTA([2]enemies!$A:$A),MATCH(AA$1,[2]enemies!$1:$1,0)-MATCH($L$1,[2]enemies!$1:$1,0)+1),MATCH(AA$1,[2]enemies!$1:$1,0)-MATCH($L$1,[2]enemies!$1:$1,0)+1,FALSE)</f>
        <v>3</v>
      </c>
      <c r="AB638" s="63">
        <v>346</v>
      </c>
      <c r="AC638" s="4" t="str">
        <f ca="1">VLOOKUP($AB638,OFFSET([3]characters!$A$1,0,0,COUNTA([3]characters!$A:$A),MATCH(AC$1,[3]characters!$1:$1,0)-MATCH("character_id",[3]characters!$1:$1,0)+1),MATCH(AC$1,[3]characters!$1:$1,0)-MATCH("character_id",[3]characters!$1:$1,0)+1,FALSE)</f>
        <v>雷のメタルダック</v>
      </c>
      <c r="AD638" s="4">
        <f ca="1">VLOOKUP($AB638,OFFSET([3]characters!$A$1,0,0,COUNTA([3]characters!$A:$A),MATCH(AD$1,[3]characters!$1:$1,0)-MATCH("character_id",[3]characters!$1:$1,0)+1),MATCH(AD$1,[3]characters!$1:$1,0)-MATCH("character_id",[3]characters!$1:$1,0)+1,FALSE)</f>
        <v>5</v>
      </c>
      <c r="AE638" s="4" t="str">
        <f ca="1">VLOOKUP($AB638,OFFSET([3]characters!$A$1,0,0,COUNTA([3]characters!$A:$A),MATCH(AE$1,[3]characters!$1:$1,0)-MATCH("character_id",[3]characters!$1:$1,0)+1),MATCH(AE$1,[3]characters!$1:$1,0)-MATCH("character_id",[3]characters!$1:$1,0)+1,FALSE)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38" s="7">
        <v>1</v>
      </c>
      <c r="AG638" s="26">
        <f t="shared" ca="1" si="619"/>
        <v>5</v>
      </c>
      <c r="AH638" s="8">
        <v>100</v>
      </c>
      <c r="AI638" s="7">
        <v>0</v>
      </c>
      <c r="AJ638" s="7">
        <v>0</v>
      </c>
      <c r="AK638" s="7">
        <v>0</v>
      </c>
      <c r="AL638" s="7">
        <v>0</v>
      </c>
      <c r="AM638" s="7">
        <v>1</v>
      </c>
    </row>
    <row r="639" spans="1:39" ht="14" x14ac:dyDescent="0.15">
      <c r="A639" s="18" t="str">
        <f t="shared" ca="1" si="642"/>
        <v>25_6-3/119&lt;lv1&gt;s3</v>
      </c>
      <c r="B639" s="53">
        <v>25</v>
      </c>
      <c r="C639" s="51">
        <v>6</v>
      </c>
      <c r="D639" s="2" t="str">
        <f t="shared" si="658"/>
        <v>25_6</v>
      </c>
      <c r="E639" s="2" t="str">
        <f t="shared" si="658"/>
        <v>6_25_6</v>
      </c>
      <c r="F639" s="4" t="str">
        <f ca="1">VLOOKUP($D639,OFFSET([1]stages!$A$1,0,0,COUNTA([1]stages!$A:$A),MATCH(F$1,[1]stages!$2:$2,0)-MATCH($D$1,[1]stages!$2:$2,0)+1),MATCH(F$1,[1]stages!$2:$2,0)-MATCH($D$1,[1]stages!$2:$2,0)+1,FALSE)</f>
        <v>25-6．【1回のみ】ボーナスステージ</v>
      </c>
      <c r="G639" s="51">
        <v>3</v>
      </c>
      <c r="H639" s="17" t="str">
        <f t="shared" si="659"/>
        <v>25_6-3</v>
      </c>
      <c r="I639" s="17"/>
      <c r="J639" s="17"/>
      <c r="K639" s="65" t="s">
        <v>56</v>
      </c>
      <c r="L639" s="52">
        <v>119</v>
      </c>
      <c r="M639" s="21" t="str">
        <f ca="1">VLOOKUP($L639,OFFSET([2]enemies!$A$1,0,0,COUNTA([2]enemies!$A:$A),MATCH(M$1,[2]enemies!$1:$1,0)-MATCH($L$1,[2]enemies!$1:$1,0)+1),MATCH(M$1,[2]enemies!$1:$1,0)-MATCH($L$1,[2]enemies!$1:$1,0)+1,FALSE)</f>
        <v>ゴールドダック</v>
      </c>
      <c r="N639" s="21" t="str">
        <f ca="1">VLOOKUP($L639,OFFSET([2]enemies!$A$1,0,0,COUNTA([2]enemies!$A:$A),MATCH(N$1,[2]enemies!$1:$1,0)-MATCH($L$1,[2]enemies!$1:$1,0)+1),MATCH(N$1,[2]enemies!$1:$1,0)-MATCH($L$1,[2]enemies!$1:$1,0)+1,FALSE)</f>
        <v>yellow</v>
      </c>
      <c r="O639" s="21" t="str">
        <f ca="1">VLOOKUP($L639,OFFSET([3]characters!$A$1,0,0,COUNTA([3]characters!$A:$A),MATCH(O$1,[3]characters!$1:$1,0)-MATCH($L$1,[3]characters!$1:$1,0)+1),MATCH(O$1,[3]characters!$1:$1,0)-MATCH($L$1,[3]characters!$1:$1,0)+1,FALSE)</f>
        <v>Material</v>
      </c>
      <c r="P639" s="21" t="str">
        <f ca="1">VLOOKUP($L639,OFFSET([2]enemies!$A$1,0,0,COUNTA([2]enemies!$A:$A),MATCH(P$1,[2]enemies!$1:$1,0)-MATCH($L$1,[2]enemies!$1:$1,0)+1),MATCH(P$1,[2]enemies!$1:$1,0)-MATCH($L$1,[2]enemies!$1:$1,0)+1,FALSE)</f>
        <v>unknown</v>
      </c>
      <c r="Q639" s="21">
        <f ca="1">VLOOKUP($L639,OFFSET([2]enemies!$A$1,0,0,COUNTA([2]enemies!$A:$A),MATCH(Q$1,[2]enemies!$1:$1,0)-MATCH($L$1,[2]enemies!$1:$1,0)+1),MATCH(Q$1,[2]enemies!$1:$1,0)-MATCH($L$1,[2]enemies!$1:$1,0)+1,FALSE)</f>
        <v>20</v>
      </c>
      <c r="R639" s="53">
        <v>1</v>
      </c>
      <c r="S639" s="27">
        <v>1</v>
      </c>
      <c r="T639" s="27">
        <v>1</v>
      </c>
      <c r="U639" s="5">
        <v>0</v>
      </c>
      <c r="V639" s="4" t="str">
        <f ca="1">VLOOKUP($W639,OFFSET([4]enemy_skill_sets!$B$1,0,0,COUNTA([4]enemy_skill_sets!$B:$B),MATCH(M$1,[4]enemy_skill_sets!$1:$1,0)-MATCH($W$1,[4]enemy_skill_sets!$1:$1,0)+2),MATCH(M$1,[4]enemy_skill_sets!$1:$1,0)-MATCH($W$1,[4]enemy_skill_sets!$1:$1,0)+2,FALSE)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39" s="4">
        <f ca="1">VLOOKUP($L639,OFFSET([2]enemies!$A$1,0,0,COUNTA([2]enemies!$A:$A),MATCH(W$1,[2]enemies!$1:$1,0)-MATCH($L$1,[2]enemies!$1:$1,0)+1),MATCH(W$1,[2]enemies!$1:$1,0)-MATCH($L$1,[2]enemies!$1:$1,0)+1,FALSE)</f>
        <v>0</v>
      </c>
      <c r="X639" s="6">
        <v>0</v>
      </c>
      <c r="Y639" s="6">
        <v>100</v>
      </c>
      <c r="Z639" s="6">
        <v>0</v>
      </c>
      <c r="AA639" s="4">
        <f ca="1">VLOOKUP($L639,OFFSET([2]enemies!$A$1,0,0,COUNTA([2]enemies!$A:$A),MATCH(AA$1,[2]enemies!$1:$1,0)-MATCH($L$1,[2]enemies!$1:$1,0)+1),MATCH(AA$1,[2]enemies!$1:$1,0)-MATCH($L$1,[2]enemies!$1:$1,0)+1,FALSE)</f>
        <v>3</v>
      </c>
      <c r="AB639" s="52">
        <v>119</v>
      </c>
      <c r="AC639" s="4" t="str">
        <f ca="1">VLOOKUP($AB639,OFFSET([3]characters!$A$1,0,0,COUNTA([3]characters!$A:$A),MATCH(AC$1,[3]characters!$1:$1,0)-MATCH("character_id",[3]characters!$1:$1,0)+1),MATCH(AC$1,[3]characters!$1:$1,0)-MATCH("character_id",[3]characters!$1:$1,0)+1,FALSE)</f>
        <v>ゴールドダック</v>
      </c>
      <c r="AD639" s="4">
        <f ca="1">VLOOKUP($AB639,OFFSET([3]characters!$A$1,0,0,COUNTA([3]characters!$A:$A),MATCH(AD$1,[3]characters!$1:$1,0)-MATCH("character_id",[3]characters!$1:$1,0)+1),MATCH(AD$1,[3]characters!$1:$1,0)-MATCH("character_id",[3]characters!$1:$1,0)+1,FALSE)</f>
        <v>5</v>
      </c>
      <c r="AE639" s="4" t="str">
        <f ca="1">VLOOKUP($AB639,OFFSET([3]characters!$A$1,0,0,COUNTA([3]characters!$A:$A),MATCH(AE$1,[3]characters!$1:$1,0)-MATCH("character_id",[3]characters!$1:$1,0)+1),MATCH(AE$1,[3]characters!$1:$1,0)-MATCH("character_id",[3]characters!$1:$1,0)+1,FALSE)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39" s="7">
        <v>1</v>
      </c>
      <c r="AG639" s="26">
        <f t="shared" ca="1" si="619"/>
        <v>5</v>
      </c>
      <c r="AH639" s="8">
        <v>100</v>
      </c>
      <c r="AI639" s="7">
        <v>0</v>
      </c>
      <c r="AJ639" s="7">
        <v>0</v>
      </c>
      <c r="AK639" s="7">
        <v>0</v>
      </c>
      <c r="AL639" s="7">
        <v>0</v>
      </c>
      <c r="AM639" s="7">
        <v>1</v>
      </c>
    </row>
    <row r="640" spans="1:39" ht="14" x14ac:dyDescent="0.15">
      <c r="A640" s="18" t="str">
        <f t="shared" ca="1" si="642"/>
        <v>25_6-4/346&lt;lv1&gt;s3</v>
      </c>
      <c r="B640" s="53">
        <v>25</v>
      </c>
      <c r="C640" s="51">
        <v>6</v>
      </c>
      <c r="D640" s="2" t="str">
        <f t="shared" si="658"/>
        <v>25_6</v>
      </c>
      <c r="E640" s="2" t="str">
        <f t="shared" si="658"/>
        <v>6_25_6</v>
      </c>
      <c r="F640" s="4" t="str">
        <f ca="1">VLOOKUP($D640,OFFSET([1]stages!$A$1,0,0,COUNTA([1]stages!$A:$A),MATCH(F$1,[1]stages!$2:$2,0)-MATCH($D$1,[1]stages!$2:$2,0)+1),MATCH(F$1,[1]stages!$2:$2,0)-MATCH($D$1,[1]stages!$2:$2,0)+1,FALSE)</f>
        <v>25-6．【1回のみ】ボーナスステージ</v>
      </c>
      <c r="G640" s="51">
        <v>4</v>
      </c>
      <c r="H640" s="17" t="str">
        <f t="shared" si="659"/>
        <v>25_6-4</v>
      </c>
      <c r="I640" s="17"/>
      <c r="J640" s="17"/>
      <c r="K640" s="65" t="s">
        <v>56</v>
      </c>
      <c r="L640" s="63">
        <v>346</v>
      </c>
      <c r="M640" s="21" t="str">
        <f ca="1">VLOOKUP($L640,OFFSET([2]enemies!$A$1,0,0,COUNTA([2]enemies!$A:$A),MATCH(M$1,[2]enemies!$1:$1,0)-MATCH($L$1,[2]enemies!$1:$1,0)+1),MATCH(M$1,[2]enemies!$1:$1,0)-MATCH($L$1,[2]enemies!$1:$1,0)+1,FALSE)</f>
        <v>雷のメタルダック</v>
      </c>
      <c r="N640" s="21" t="str">
        <f ca="1">VLOOKUP($L640,OFFSET([2]enemies!$A$1,0,0,COUNTA([2]enemies!$A:$A),MATCH(N$1,[2]enemies!$1:$1,0)-MATCH($L$1,[2]enemies!$1:$1,0)+1),MATCH(N$1,[2]enemies!$1:$1,0)-MATCH($L$1,[2]enemies!$1:$1,0)+1,FALSE)</f>
        <v>yellow</v>
      </c>
      <c r="O640" s="21" t="str">
        <f ca="1">VLOOKUP($L640,OFFSET([3]characters!$A$1,0,0,COUNTA([3]characters!$A:$A),MATCH(O$1,[3]characters!$1:$1,0)-MATCH($L$1,[3]characters!$1:$1,0)+1),MATCH(O$1,[3]characters!$1:$1,0)-MATCH($L$1,[3]characters!$1:$1,0)+1,FALSE)</f>
        <v>Material</v>
      </c>
      <c r="P640" s="21" t="str">
        <f ca="1">VLOOKUP($L640,OFFSET([2]enemies!$A$1,0,0,COUNTA([2]enemies!$A:$A),MATCH(P$1,[2]enemies!$1:$1,0)-MATCH($L$1,[2]enemies!$1:$1,0)+1),MATCH(P$1,[2]enemies!$1:$1,0)-MATCH($L$1,[2]enemies!$1:$1,0)+1,FALSE)</f>
        <v>unknown</v>
      </c>
      <c r="Q640" s="21">
        <f ca="1">VLOOKUP($L640,OFFSET([2]enemies!$A$1,0,0,COUNTA([2]enemies!$A:$A),MATCH(Q$1,[2]enemies!$1:$1,0)-MATCH($L$1,[2]enemies!$1:$1,0)+1),MATCH(Q$1,[2]enemies!$1:$1,0)-MATCH($L$1,[2]enemies!$1:$1,0)+1,FALSE)</f>
        <v>20</v>
      </c>
      <c r="R640" s="53">
        <v>1</v>
      </c>
      <c r="S640" s="27">
        <v>1</v>
      </c>
      <c r="T640" s="27">
        <v>1</v>
      </c>
      <c r="U640" s="5">
        <v>0</v>
      </c>
      <c r="V640" s="4" t="str">
        <f ca="1">VLOOKUP($W640,OFFSET([4]enemy_skill_sets!$B$1,0,0,COUNTA([4]enemy_skill_sets!$B:$B),MATCH(M$1,[4]enemy_skill_sets!$1:$1,0)-MATCH($W$1,[4]enemy_skill_sets!$1:$1,0)+2),MATCH(M$1,[4]enemy_skill_sets!$1:$1,0)-MATCH($W$1,[4]enemy_skill_sets!$1:$1,0)+2,FALSE)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0" s="4">
        <f ca="1">VLOOKUP($L640,OFFSET([2]enemies!$A$1,0,0,COUNTA([2]enemies!$A:$A),MATCH(W$1,[2]enemies!$1:$1,0)-MATCH($L$1,[2]enemies!$1:$1,0)+1),MATCH(W$1,[2]enemies!$1:$1,0)-MATCH($L$1,[2]enemies!$1:$1,0)+1,FALSE)</f>
        <v>0</v>
      </c>
      <c r="X640" s="6">
        <v>1</v>
      </c>
      <c r="Y640" s="6">
        <v>100</v>
      </c>
      <c r="Z640" s="6">
        <v>0</v>
      </c>
      <c r="AA640" s="4">
        <f ca="1">VLOOKUP($L640,OFFSET([2]enemies!$A$1,0,0,COUNTA([2]enemies!$A:$A),MATCH(AA$1,[2]enemies!$1:$1,0)-MATCH($L$1,[2]enemies!$1:$1,0)+1),MATCH(AA$1,[2]enemies!$1:$1,0)-MATCH($L$1,[2]enemies!$1:$1,0)+1,FALSE)</f>
        <v>3</v>
      </c>
      <c r="AB640" s="63">
        <v>346</v>
      </c>
      <c r="AC640" s="4" t="str">
        <f ca="1">VLOOKUP($AB640,OFFSET([3]characters!$A$1,0,0,COUNTA([3]characters!$A:$A),MATCH(AC$1,[3]characters!$1:$1,0)-MATCH("character_id",[3]characters!$1:$1,0)+1),MATCH(AC$1,[3]characters!$1:$1,0)-MATCH("character_id",[3]characters!$1:$1,0)+1,FALSE)</f>
        <v>雷のメタルダック</v>
      </c>
      <c r="AD640" s="4">
        <f ca="1">VLOOKUP($AB640,OFFSET([3]characters!$A$1,0,0,COUNTA([3]characters!$A:$A),MATCH(AD$1,[3]characters!$1:$1,0)-MATCH("character_id",[3]characters!$1:$1,0)+1),MATCH(AD$1,[3]characters!$1:$1,0)-MATCH("character_id",[3]characters!$1:$1,0)+1,FALSE)</f>
        <v>5</v>
      </c>
      <c r="AE640" s="4" t="str">
        <f ca="1">VLOOKUP($AB640,OFFSET([3]characters!$A$1,0,0,COUNTA([3]characters!$A:$A),MATCH(AE$1,[3]characters!$1:$1,0)-MATCH("character_id",[3]characters!$1:$1,0)+1),MATCH(AE$1,[3]characters!$1:$1,0)-MATCH("character_id",[3]characters!$1:$1,0)+1,FALSE)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40" s="7">
        <v>1</v>
      </c>
      <c r="AG640" s="26">
        <f t="shared" ca="1" si="619"/>
        <v>5</v>
      </c>
      <c r="AH640" s="8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1</v>
      </c>
    </row>
    <row r="641" spans="1:39" ht="14" x14ac:dyDescent="0.15">
      <c r="A641" s="18" t="str">
        <f t="shared" ca="1" si="642"/>
        <v>25_6-4/342&lt;lv1&gt;s3</v>
      </c>
      <c r="B641" s="53">
        <v>25</v>
      </c>
      <c r="C641" s="51">
        <v>6</v>
      </c>
      <c r="D641" s="2" t="str">
        <f t="shared" si="658"/>
        <v>25_6</v>
      </c>
      <c r="E641" s="2" t="str">
        <f t="shared" si="658"/>
        <v>6_25_6</v>
      </c>
      <c r="F641" s="4" t="str">
        <f ca="1">VLOOKUP($D641,OFFSET([1]stages!$A$1,0,0,COUNTA([1]stages!$A:$A),MATCH(F$1,[1]stages!$2:$2,0)-MATCH($D$1,[1]stages!$2:$2,0)+1),MATCH(F$1,[1]stages!$2:$2,0)-MATCH($D$1,[1]stages!$2:$2,0)+1,FALSE)</f>
        <v>25-6．【1回のみ】ボーナスステージ</v>
      </c>
      <c r="G641" s="51">
        <v>4</v>
      </c>
      <c r="H641" s="17" t="str">
        <f t="shared" si="659"/>
        <v>25_6-4</v>
      </c>
      <c r="I641" s="17"/>
      <c r="J641" s="17"/>
      <c r="K641" s="65" t="s">
        <v>56</v>
      </c>
      <c r="L641" s="63">
        <v>342</v>
      </c>
      <c r="M641" s="21" t="str">
        <f ca="1">VLOOKUP($L641,OFFSET([2]enemies!$A$1,0,0,COUNTA([2]enemies!$A:$A),MATCH(M$1,[2]enemies!$1:$1,0)-MATCH($L$1,[2]enemies!$1:$1,0)+1),MATCH(M$1,[2]enemies!$1:$1,0)-MATCH($L$1,[2]enemies!$1:$1,0)+1,FALSE)</f>
        <v>水のメタルダック</v>
      </c>
      <c r="N641" s="21" t="str">
        <f ca="1">VLOOKUP($L641,OFFSET([2]enemies!$A$1,0,0,COUNTA([2]enemies!$A:$A),MATCH(N$1,[2]enemies!$1:$1,0)-MATCH($L$1,[2]enemies!$1:$1,0)+1),MATCH(N$1,[2]enemies!$1:$1,0)-MATCH($L$1,[2]enemies!$1:$1,0)+1,FALSE)</f>
        <v>blue</v>
      </c>
      <c r="O641" s="21" t="str">
        <f ca="1">VLOOKUP($L641,OFFSET([3]characters!$A$1,0,0,COUNTA([3]characters!$A:$A),MATCH(O$1,[3]characters!$1:$1,0)-MATCH($L$1,[3]characters!$1:$1,0)+1),MATCH(O$1,[3]characters!$1:$1,0)-MATCH($L$1,[3]characters!$1:$1,0)+1,FALSE)</f>
        <v>Material</v>
      </c>
      <c r="P641" s="21" t="str">
        <f ca="1">VLOOKUP($L641,OFFSET([2]enemies!$A$1,0,0,COUNTA([2]enemies!$A:$A),MATCH(P$1,[2]enemies!$1:$1,0)-MATCH($L$1,[2]enemies!$1:$1,0)+1),MATCH(P$1,[2]enemies!$1:$1,0)-MATCH($L$1,[2]enemies!$1:$1,0)+1,FALSE)</f>
        <v>unknown</v>
      </c>
      <c r="Q641" s="21">
        <f ca="1">VLOOKUP($L641,OFFSET([2]enemies!$A$1,0,0,COUNTA([2]enemies!$A:$A),MATCH(Q$1,[2]enemies!$1:$1,0)-MATCH($L$1,[2]enemies!$1:$1,0)+1),MATCH(Q$1,[2]enemies!$1:$1,0)-MATCH($L$1,[2]enemies!$1:$1,0)+1,FALSE)</f>
        <v>20</v>
      </c>
      <c r="R641" s="53">
        <v>1</v>
      </c>
      <c r="S641" s="27">
        <v>1</v>
      </c>
      <c r="T641" s="27">
        <v>1</v>
      </c>
      <c r="U641" s="5">
        <v>0</v>
      </c>
      <c r="V641" s="4" t="str">
        <f ca="1">VLOOKUP($W641,OFFSET([4]enemy_skill_sets!$B$1,0,0,COUNTA([4]enemy_skill_sets!$B:$B),MATCH(M$1,[4]enemy_skill_sets!$1:$1,0)-MATCH($W$1,[4]enemy_skill_sets!$1:$1,0)+2),MATCH(M$1,[4]enemy_skill_sets!$1:$1,0)-MATCH($W$1,[4]enemy_skill_sets!$1:$1,0)+2,FALSE)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1" s="4">
        <f ca="1">VLOOKUP($L641,OFFSET([2]enemies!$A$1,0,0,COUNTA([2]enemies!$A:$A),MATCH(W$1,[2]enemies!$1:$1,0)-MATCH($L$1,[2]enemies!$1:$1,0)+1),MATCH(W$1,[2]enemies!$1:$1,0)-MATCH($L$1,[2]enemies!$1:$1,0)+1,FALSE)</f>
        <v>0</v>
      </c>
      <c r="X641" s="6">
        <v>1</v>
      </c>
      <c r="Y641" s="6">
        <v>100</v>
      </c>
      <c r="Z641" s="6">
        <v>0</v>
      </c>
      <c r="AA641" s="4">
        <f ca="1">VLOOKUP($L641,OFFSET([2]enemies!$A$1,0,0,COUNTA([2]enemies!$A:$A),MATCH(AA$1,[2]enemies!$1:$1,0)-MATCH($L$1,[2]enemies!$1:$1,0)+1),MATCH(AA$1,[2]enemies!$1:$1,0)-MATCH($L$1,[2]enemies!$1:$1,0)+1,FALSE)</f>
        <v>3</v>
      </c>
      <c r="AB641" s="63">
        <v>342</v>
      </c>
      <c r="AC641" s="4" t="str">
        <f ca="1">VLOOKUP($AB641,OFFSET([3]characters!$A$1,0,0,COUNTA([3]characters!$A:$A),MATCH(AC$1,[3]characters!$1:$1,0)-MATCH("character_id",[3]characters!$1:$1,0)+1),MATCH(AC$1,[3]characters!$1:$1,0)-MATCH("character_id",[3]characters!$1:$1,0)+1,FALSE)</f>
        <v>水のメタルダック</v>
      </c>
      <c r="AD641" s="4">
        <f ca="1">VLOOKUP($AB641,OFFSET([3]characters!$A$1,0,0,COUNTA([3]characters!$A:$A),MATCH(AD$1,[3]characters!$1:$1,0)-MATCH("character_id",[3]characters!$1:$1,0)+1),MATCH(AD$1,[3]characters!$1:$1,0)-MATCH("character_id",[3]characters!$1:$1,0)+1,FALSE)</f>
        <v>5</v>
      </c>
      <c r="AE641" s="4" t="str">
        <f ca="1">VLOOKUP($AB641,OFFSET([3]characters!$A$1,0,0,COUNTA([3]characters!$A:$A),MATCH(AE$1,[3]characters!$1:$1,0)-MATCH("character_id",[3]characters!$1:$1,0)+1),MATCH(AE$1,[3]characters!$1:$1,0)-MATCH("character_id",[3]characters!$1:$1,0)+1,FALSE)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41" s="7">
        <v>1</v>
      </c>
      <c r="AG641" s="26">
        <f t="shared" ca="1" si="619"/>
        <v>5</v>
      </c>
      <c r="AH641" s="8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1</v>
      </c>
    </row>
    <row r="642" spans="1:39" ht="14" x14ac:dyDescent="0.15">
      <c r="A642" s="18" t="str">
        <f t="shared" ca="1" si="642"/>
        <v>25_6-4/120&lt;lv1&gt;s4</v>
      </c>
      <c r="B642" s="53">
        <v>25</v>
      </c>
      <c r="C642" s="51">
        <v>6</v>
      </c>
      <c r="D642" s="2" t="str">
        <f t="shared" si="658"/>
        <v>25_6</v>
      </c>
      <c r="E642" s="2" t="str">
        <f t="shared" si="658"/>
        <v>6_25_6</v>
      </c>
      <c r="F642" s="4" t="str">
        <f ca="1">VLOOKUP($D642,OFFSET([1]stages!$A$1,0,0,COUNTA([1]stages!$A:$A),MATCH(F$1,[1]stages!$2:$2,0)-MATCH($D$1,[1]stages!$2:$2,0)+1),MATCH(F$1,[1]stages!$2:$2,0)-MATCH($D$1,[1]stages!$2:$2,0)+1,FALSE)</f>
        <v>25-6．【1回のみ】ボーナスステージ</v>
      </c>
      <c r="G642" s="51">
        <v>4</v>
      </c>
      <c r="H642" s="17" t="str">
        <f t="shared" si="659"/>
        <v>25_6-4</v>
      </c>
      <c r="I642" s="17"/>
      <c r="J642" s="17"/>
      <c r="K642" s="65" t="s">
        <v>56</v>
      </c>
      <c r="L642" s="63">
        <v>120</v>
      </c>
      <c r="M642" s="21" t="str">
        <f ca="1">VLOOKUP($L642,OFFSET([2]enemies!$A$1,0,0,COUNTA([2]enemies!$A:$A),MATCH(M$1,[2]enemies!$1:$1,0)-MATCH($L$1,[2]enemies!$1:$1,0)+1),MATCH(M$1,[2]enemies!$1:$1,0)-MATCH($L$1,[2]enemies!$1:$1,0)+1,FALSE)</f>
        <v>ゴールドキング</v>
      </c>
      <c r="N642" s="21" t="str">
        <f ca="1">VLOOKUP($L642,OFFSET([2]enemies!$A$1,0,0,COUNTA([2]enemies!$A:$A),MATCH(N$1,[2]enemies!$1:$1,0)-MATCH($L$1,[2]enemies!$1:$1,0)+1),MATCH(N$1,[2]enemies!$1:$1,0)-MATCH($L$1,[2]enemies!$1:$1,0)+1,FALSE)</f>
        <v>yellow</v>
      </c>
      <c r="O642" s="21" t="str">
        <f ca="1">VLOOKUP($L642,OFFSET([3]characters!$A$1,0,0,COUNTA([3]characters!$A:$A),MATCH(O$1,[3]characters!$1:$1,0)-MATCH($L$1,[3]characters!$1:$1,0)+1),MATCH(O$1,[3]characters!$1:$1,0)-MATCH($L$1,[3]characters!$1:$1,0)+1,FALSE)</f>
        <v>Material</v>
      </c>
      <c r="P642" s="21" t="str">
        <f ca="1">VLOOKUP($L642,OFFSET([2]enemies!$A$1,0,0,COUNTA([2]enemies!$A:$A),MATCH(P$1,[2]enemies!$1:$1,0)-MATCH($L$1,[2]enemies!$1:$1,0)+1),MATCH(P$1,[2]enemies!$1:$1,0)-MATCH($L$1,[2]enemies!$1:$1,0)+1,FALSE)</f>
        <v>unknown</v>
      </c>
      <c r="Q642" s="21">
        <f ca="1">VLOOKUP($L642,OFFSET([2]enemies!$A$1,0,0,COUNTA([2]enemies!$A:$A),MATCH(Q$1,[2]enemies!$1:$1,0)-MATCH($L$1,[2]enemies!$1:$1,0)+1),MATCH(Q$1,[2]enemies!$1:$1,0)-MATCH($L$1,[2]enemies!$1:$1,0)+1,FALSE)</f>
        <v>20</v>
      </c>
      <c r="R642" s="53">
        <v>1</v>
      </c>
      <c r="S642" s="27">
        <v>1</v>
      </c>
      <c r="T642" s="27">
        <v>1</v>
      </c>
      <c r="U642" s="5">
        <v>0</v>
      </c>
      <c r="V642" s="4" t="str">
        <f ca="1">VLOOKUP($W642,OFFSET([4]enemy_skill_sets!$B$1,0,0,COUNTA([4]enemy_skill_sets!$B:$B),MATCH(M$1,[4]enemy_skill_sets!$1:$1,0)-MATCH($W$1,[4]enemy_skill_sets!$1:$1,0)+2),MATCH(M$1,[4]enemy_skill_sets!$1:$1,0)-MATCH($W$1,[4]enemy_skill_sets!$1:$1,0)+2,FALSE)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2" s="4">
        <f ca="1">VLOOKUP($L642,OFFSET([2]enemies!$A$1,0,0,COUNTA([2]enemies!$A:$A),MATCH(W$1,[2]enemies!$1:$1,0)-MATCH($L$1,[2]enemies!$1:$1,0)+1),MATCH(W$1,[2]enemies!$1:$1,0)-MATCH($L$1,[2]enemies!$1:$1,0)+1,FALSE)</f>
        <v>0</v>
      </c>
      <c r="X642" s="6">
        <v>1</v>
      </c>
      <c r="Y642" s="6">
        <v>100</v>
      </c>
      <c r="Z642" s="6">
        <v>1</v>
      </c>
      <c r="AA642" s="4">
        <f ca="1">VLOOKUP($L642,OFFSET([2]enemies!$A$1,0,0,COUNTA([2]enemies!$A:$A),MATCH(AA$1,[2]enemies!$1:$1,0)-MATCH($L$1,[2]enemies!$1:$1,0)+1),MATCH(AA$1,[2]enemies!$1:$1,0)-MATCH($L$1,[2]enemies!$1:$1,0)+1,FALSE)</f>
        <v>4</v>
      </c>
      <c r="AB642" s="63">
        <v>120</v>
      </c>
      <c r="AC642" s="4" t="str">
        <f ca="1">VLOOKUP($AB642,OFFSET([3]characters!$A$1,0,0,COUNTA([3]characters!$A:$A),MATCH(AC$1,[3]characters!$1:$1,0)-MATCH("character_id",[3]characters!$1:$1,0)+1),MATCH(AC$1,[3]characters!$1:$1,0)-MATCH("character_id",[3]characters!$1:$1,0)+1,FALSE)</f>
        <v>ゴールドキング</v>
      </c>
      <c r="AD642" s="4">
        <f ca="1">VLOOKUP($AB642,OFFSET([3]characters!$A$1,0,0,COUNTA([3]characters!$A:$A),MATCH(AD$1,[3]characters!$1:$1,0)-MATCH("character_id",[3]characters!$1:$1,0)+1),MATCH(AD$1,[3]characters!$1:$1,0)-MATCH("character_id",[3]characters!$1:$1,0)+1,FALSE)</f>
        <v>6</v>
      </c>
      <c r="AE642" s="4" t="str">
        <f ca="1">VLOOKUP($AB642,OFFSET([3]characters!$A$1,0,0,COUNTA([3]characters!$A:$A),MATCH(AE$1,[3]characters!$1:$1,0)-MATCH("character_id",[3]characters!$1:$1,0)+1),MATCH(AE$1,[3]characters!$1:$1,0)-MATCH("character_id",[3]characters!$1:$1,0)+1,FALSE)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42" s="7">
        <v>1</v>
      </c>
      <c r="AG642" s="26">
        <f t="shared" ca="1" si="619"/>
        <v>6</v>
      </c>
      <c r="AH642" s="8">
        <v>100</v>
      </c>
      <c r="AI642" s="7">
        <v>0</v>
      </c>
      <c r="AJ642" s="7">
        <v>0</v>
      </c>
      <c r="AK642" s="7">
        <v>0</v>
      </c>
      <c r="AL642" s="7">
        <v>0</v>
      </c>
      <c r="AM642" s="7">
        <v>1</v>
      </c>
    </row>
    <row r="643" spans="1:39" ht="14" x14ac:dyDescent="0.15">
      <c r="A643" s="18" t="str">
        <f t="shared" ca="1" si="642"/>
        <v>25_6-5/347&lt;lv1&gt;s4</v>
      </c>
      <c r="B643" s="53">
        <v>25</v>
      </c>
      <c r="C643" s="51">
        <v>6</v>
      </c>
      <c r="D643" s="2" t="str">
        <f t="shared" si="658"/>
        <v>25_6</v>
      </c>
      <c r="E643" s="2" t="str">
        <f t="shared" si="658"/>
        <v>6_25_6</v>
      </c>
      <c r="F643" s="4" t="str">
        <f ca="1">VLOOKUP($D643,OFFSET([1]stages!$A$1,0,0,COUNTA([1]stages!$A:$A),MATCH(F$1,[1]stages!$2:$2,0)-MATCH($D$1,[1]stages!$2:$2,0)+1),MATCH(F$1,[1]stages!$2:$2,0)-MATCH($D$1,[1]stages!$2:$2,0)+1,FALSE)</f>
        <v>25-6．【1回のみ】ボーナスステージ</v>
      </c>
      <c r="G643" s="51">
        <v>5</v>
      </c>
      <c r="H643" s="17" t="str">
        <f t="shared" si="659"/>
        <v>25_6-5</v>
      </c>
      <c r="I643" s="17"/>
      <c r="J643" s="17"/>
      <c r="K643" s="65" t="s">
        <v>56</v>
      </c>
      <c r="L643" s="52">
        <v>347</v>
      </c>
      <c r="M643" s="21" t="str">
        <f ca="1">VLOOKUP($L643,OFFSET([2]enemies!$A$1,0,0,COUNTA([2]enemies!$A:$A),MATCH(M$1,[2]enemies!$1:$1,0)-MATCH($L$1,[2]enemies!$1:$1,0)+1),MATCH(M$1,[2]enemies!$1:$1,0)-MATCH($L$1,[2]enemies!$1:$1,0)+1,FALSE)</f>
        <v>雷のメタルジェントル</v>
      </c>
      <c r="N643" s="21" t="str">
        <f ca="1">VLOOKUP($L643,OFFSET([2]enemies!$A$1,0,0,COUNTA([2]enemies!$A:$A),MATCH(N$1,[2]enemies!$1:$1,0)-MATCH($L$1,[2]enemies!$1:$1,0)+1),MATCH(N$1,[2]enemies!$1:$1,0)-MATCH($L$1,[2]enemies!$1:$1,0)+1,FALSE)</f>
        <v>yellow</v>
      </c>
      <c r="O643" s="21" t="str">
        <f ca="1">VLOOKUP($L643,OFFSET([3]characters!$A$1,0,0,COUNTA([3]characters!$A:$A),MATCH(O$1,[3]characters!$1:$1,0)-MATCH($L$1,[3]characters!$1:$1,0)+1),MATCH(O$1,[3]characters!$1:$1,0)-MATCH($L$1,[3]characters!$1:$1,0)+1,FALSE)</f>
        <v>Material</v>
      </c>
      <c r="P643" s="21" t="str">
        <f ca="1">VLOOKUP($L643,OFFSET([2]enemies!$A$1,0,0,COUNTA([2]enemies!$A:$A),MATCH(P$1,[2]enemies!$1:$1,0)-MATCH($L$1,[2]enemies!$1:$1,0)+1),MATCH(P$1,[2]enemies!$1:$1,0)-MATCH($L$1,[2]enemies!$1:$1,0)+1,FALSE)</f>
        <v>unknown</v>
      </c>
      <c r="Q643" s="21">
        <f ca="1">VLOOKUP($L643,OFFSET([2]enemies!$A$1,0,0,COUNTA([2]enemies!$A:$A),MATCH(Q$1,[2]enemies!$1:$1,0)-MATCH($L$1,[2]enemies!$1:$1,0)+1),MATCH(Q$1,[2]enemies!$1:$1,0)-MATCH($L$1,[2]enemies!$1:$1,0)+1,FALSE)</f>
        <v>20</v>
      </c>
      <c r="R643" s="53">
        <v>1</v>
      </c>
      <c r="S643" s="27">
        <v>1</v>
      </c>
      <c r="T643" s="27">
        <v>1</v>
      </c>
      <c r="U643" s="5">
        <v>0</v>
      </c>
      <c r="V643" s="4" t="str">
        <f ca="1">VLOOKUP($W643,OFFSET([4]enemy_skill_sets!$B$1,0,0,COUNTA([4]enemy_skill_sets!$B:$B),MATCH(M$1,[4]enemy_skill_sets!$1:$1,0)-MATCH($W$1,[4]enemy_skill_sets!$1:$1,0)+2),MATCH(M$1,[4]enemy_skill_sets!$1:$1,0)-MATCH($W$1,[4]enemy_skill_sets!$1:$1,0)+2,FALSE)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3" s="4">
        <f ca="1">VLOOKUP($L643,OFFSET([2]enemies!$A$1,0,0,COUNTA([2]enemies!$A:$A),MATCH(W$1,[2]enemies!$1:$1,0)-MATCH($L$1,[2]enemies!$1:$1,0)+1),MATCH(W$1,[2]enemies!$1:$1,0)-MATCH($L$1,[2]enemies!$1:$1,0)+1,FALSE)</f>
        <v>0</v>
      </c>
      <c r="X643" s="6">
        <v>1</v>
      </c>
      <c r="Y643" s="6">
        <v>100</v>
      </c>
      <c r="Z643" s="6">
        <v>0</v>
      </c>
      <c r="AA643" s="4">
        <f ca="1">VLOOKUP($L643,OFFSET([2]enemies!$A$1,0,0,COUNTA([2]enemies!$A:$A),MATCH(AA$1,[2]enemies!$1:$1,0)-MATCH($L$1,[2]enemies!$1:$1,0)+1),MATCH(AA$1,[2]enemies!$1:$1,0)-MATCH($L$1,[2]enemies!$1:$1,0)+1,FALSE)</f>
        <v>4</v>
      </c>
      <c r="AB643" s="52">
        <v>347</v>
      </c>
      <c r="AC643" s="4" t="str">
        <f ca="1">VLOOKUP($AB643,OFFSET([3]characters!$A$1,0,0,COUNTA([3]characters!$A:$A),MATCH(AC$1,[3]characters!$1:$1,0)-MATCH("character_id",[3]characters!$1:$1,0)+1),MATCH(AC$1,[3]characters!$1:$1,0)-MATCH("character_id",[3]characters!$1:$1,0)+1,FALSE)</f>
        <v>雷のメタルジェントル</v>
      </c>
      <c r="AD643" s="4">
        <f ca="1">VLOOKUP($AB643,OFFSET([3]characters!$A$1,0,0,COUNTA([3]characters!$A:$A),MATCH(AD$1,[3]characters!$1:$1,0)-MATCH("character_id",[3]characters!$1:$1,0)+1),MATCH(AD$1,[3]characters!$1:$1,0)-MATCH("character_id",[3]characters!$1:$1,0)+1,FALSE)</f>
        <v>6</v>
      </c>
      <c r="AE643" s="4" t="str">
        <f ca="1">VLOOKUP($AB643,OFFSET([3]characters!$A$1,0,0,COUNTA([3]characters!$A:$A),MATCH(AE$1,[3]characters!$1:$1,0)-MATCH("character_id",[3]characters!$1:$1,0)+1),MATCH(AE$1,[3]characters!$1:$1,0)-MATCH("character_id",[3]characters!$1:$1,0)+1,FALSE)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43" s="7">
        <v>1</v>
      </c>
      <c r="AG643" s="26">
        <f t="shared" ref="AG643:AG706" ca="1" si="666">AD643</f>
        <v>6</v>
      </c>
      <c r="AH643" s="8">
        <v>100</v>
      </c>
      <c r="AI643" s="7">
        <v>0</v>
      </c>
      <c r="AJ643" s="7">
        <v>0</v>
      </c>
      <c r="AK643" s="7">
        <v>0</v>
      </c>
      <c r="AL643" s="7">
        <v>0</v>
      </c>
      <c r="AM643" s="7">
        <v>1</v>
      </c>
    </row>
    <row r="644" spans="1:39" ht="14" x14ac:dyDescent="0.15">
      <c r="A644" s="18" t="str">
        <f t="shared" ref="A644" ca="1" si="667">B644&amp;"_"&amp;C644&amp;"-"&amp;G644&amp;"/"&amp;L644&amp;"&lt;lv"&amp;R644&amp;"&gt;s"&amp;AA644</f>
        <v>25_6-5/343&lt;lv1&gt;s4</v>
      </c>
      <c r="B644" s="53">
        <v>25</v>
      </c>
      <c r="C644" s="51">
        <v>6</v>
      </c>
      <c r="D644" s="2" t="str">
        <f t="shared" ref="D644" si="668">B644&amp;"_"&amp;C644</f>
        <v>25_6</v>
      </c>
      <c r="E644" s="2" t="str">
        <f t="shared" ref="E644" si="669">C644&amp;"_"&amp;D644</f>
        <v>6_25_6</v>
      </c>
      <c r="F644" s="4" t="str">
        <f ca="1">VLOOKUP($D644,OFFSET([1]stages!$A$1,0,0,COUNTA([1]stages!$A:$A),MATCH(F$1,[1]stages!$2:$2,0)-MATCH($D$1,[1]stages!$2:$2,0)+1),MATCH(F$1,[1]stages!$2:$2,0)-MATCH($D$1,[1]stages!$2:$2,0)+1,FALSE)</f>
        <v>25-6．【1回のみ】ボーナスステージ</v>
      </c>
      <c r="G644" s="51">
        <v>5</v>
      </c>
      <c r="H644" s="17" t="str">
        <f t="shared" si="659"/>
        <v>25_6-5</v>
      </c>
      <c r="I644" s="17"/>
      <c r="J644" s="17"/>
      <c r="K644" s="65" t="s">
        <v>56</v>
      </c>
      <c r="L644" s="52">
        <v>343</v>
      </c>
      <c r="M644" s="21" t="str">
        <f ca="1">VLOOKUP($L644,OFFSET([2]enemies!$A$1,0,0,COUNTA([2]enemies!$A:$A),MATCH(M$1,[2]enemies!$1:$1,0)-MATCH($L$1,[2]enemies!$1:$1,0)+1),MATCH(M$1,[2]enemies!$1:$1,0)-MATCH($L$1,[2]enemies!$1:$1,0)+1,FALSE)</f>
        <v>水のメタルジェントル</v>
      </c>
      <c r="N644" s="21" t="str">
        <f ca="1">VLOOKUP($L644,OFFSET([2]enemies!$A$1,0,0,COUNTA([2]enemies!$A:$A),MATCH(N$1,[2]enemies!$1:$1,0)-MATCH($L$1,[2]enemies!$1:$1,0)+1),MATCH(N$1,[2]enemies!$1:$1,0)-MATCH($L$1,[2]enemies!$1:$1,0)+1,FALSE)</f>
        <v>blue</v>
      </c>
      <c r="O644" s="21" t="str">
        <f ca="1">VLOOKUP($L644,OFFSET([3]characters!$A$1,0,0,COUNTA([3]characters!$A:$A),MATCH(O$1,[3]characters!$1:$1,0)-MATCH($L$1,[3]characters!$1:$1,0)+1),MATCH(O$1,[3]characters!$1:$1,0)-MATCH($L$1,[3]characters!$1:$1,0)+1,FALSE)</f>
        <v>Material</v>
      </c>
      <c r="P644" s="21" t="str">
        <f ca="1">VLOOKUP($L644,OFFSET([2]enemies!$A$1,0,0,COUNTA([2]enemies!$A:$A),MATCH(P$1,[2]enemies!$1:$1,0)-MATCH($L$1,[2]enemies!$1:$1,0)+1),MATCH(P$1,[2]enemies!$1:$1,0)-MATCH($L$1,[2]enemies!$1:$1,0)+1,FALSE)</f>
        <v>unknown</v>
      </c>
      <c r="Q644" s="21">
        <f ca="1">VLOOKUP($L644,OFFSET([2]enemies!$A$1,0,0,COUNTA([2]enemies!$A:$A),MATCH(Q$1,[2]enemies!$1:$1,0)-MATCH($L$1,[2]enemies!$1:$1,0)+1),MATCH(Q$1,[2]enemies!$1:$1,0)-MATCH($L$1,[2]enemies!$1:$1,0)+1,FALSE)</f>
        <v>20</v>
      </c>
      <c r="R644" s="53">
        <v>1</v>
      </c>
      <c r="S644" s="27">
        <v>1</v>
      </c>
      <c r="T644" s="27">
        <v>1</v>
      </c>
      <c r="U644" s="5">
        <v>0</v>
      </c>
      <c r="V644" s="4" t="str">
        <f ca="1">VLOOKUP($W644,OFFSET([4]enemy_skill_sets!$B$1,0,0,COUNTA([4]enemy_skill_sets!$B:$B),MATCH(M$1,[4]enemy_skill_sets!$1:$1,0)-MATCH($W$1,[4]enemy_skill_sets!$1:$1,0)+2),MATCH(M$1,[4]enemy_skill_sets!$1:$1,0)-MATCH($W$1,[4]enemy_skill_sets!$1:$1,0)+2,FALSE)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4" s="4">
        <f ca="1">VLOOKUP($L644,OFFSET([2]enemies!$A$1,0,0,COUNTA([2]enemies!$A:$A),MATCH(W$1,[2]enemies!$1:$1,0)-MATCH($L$1,[2]enemies!$1:$1,0)+1),MATCH(W$1,[2]enemies!$1:$1,0)-MATCH($L$1,[2]enemies!$1:$1,0)+1,FALSE)</f>
        <v>0</v>
      </c>
      <c r="X644" s="6">
        <v>1</v>
      </c>
      <c r="Y644" s="6">
        <v>100</v>
      </c>
      <c r="Z644" s="6">
        <v>0</v>
      </c>
      <c r="AA644" s="4">
        <f ca="1">VLOOKUP($L644,OFFSET([2]enemies!$A$1,0,0,COUNTA([2]enemies!$A:$A),MATCH(AA$1,[2]enemies!$1:$1,0)-MATCH($L$1,[2]enemies!$1:$1,0)+1),MATCH(AA$1,[2]enemies!$1:$1,0)-MATCH($L$1,[2]enemies!$1:$1,0)+1,FALSE)</f>
        <v>4</v>
      </c>
      <c r="AB644" s="52">
        <v>343</v>
      </c>
      <c r="AC644" s="4" t="str">
        <f ca="1">VLOOKUP($AB644,OFFSET([3]characters!$A$1,0,0,COUNTA([3]characters!$A:$A),MATCH(AC$1,[3]characters!$1:$1,0)-MATCH("character_id",[3]characters!$1:$1,0)+1),MATCH(AC$1,[3]characters!$1:$1,0)-MATCH("character_id",[3]characters!$1:$1,0)+1,FALSE)</f>
        <v>水のメタルジェントル</v>
      </c>
      <c r="AD644" s="4">
        <f ca="1">VLOOKUP($AB644,OFFSET([3]characters!$A$1,0,0,COUNTA([3]characters!$A:$A),MATCH(AD$1,[3]characters!$1:$1,0)-MATCH("character_id",[3]characters!$1:$1,0)+1),MATCH(AD$1,[3]characters!$1:$1,0)-MATCH("character_id",[3]characters!$1:$1,0)+1,FALSE)</f>
        <v>6</v>
      </c>
      <c r="AE644" s="4" t="str">
        <f ca="1">VLOOKUP($AB644,OFFSET([3]characters!$A$1,0,0,COUNTA([3]characters!$A:$A),MATCH(AE$1,[3]characters!$1:$1,0)-MATCH("character_id",[3]characters!$1:$1,0)+1),MATCH(AE$1,[3]characters!$1:$1,0)-MATCH("character_id",[3]characters!$1:$1,0)+1,FALSE)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44" s="7">
        <v>1</v>
      </c>
      <c r="AG644" s="26">
        <f t="shared" ca="1" si="666"/>
        <v>6</v>
      </c>
      <c r="AH644" s="8">
        <v>100</v>
      </c>
      <c r="AI644" s="7">
        <v>0</v>
      </c>
      <c r="AJ644" s="7">
        <v>0</v>
      </c>
      <c r="AK644" s="7">
        <v>0</v>
      </c>
      <c r="AL644" s="7">
        <v>0</v>
      </c>
      <c r="AM644" s="7">
        <v>1</v>
      </c>
    </row>
    <row r="645" spans="1:39" ht="14" x14ac:dyDescent="0.15">
      <c r="A645" s="18" t="str">
        <f t="shared" ca="1" si="642"/>
        <v>26_1-1/9&lt;lv50&gt;s2</v>
      </c>
      <c r="B645" s="50">
        <v>26</v>
      </c>
      <c r="C645" s="49">
        <v>1</v>
      </c>
      <c r="D645" s="2" t="str">
        <f t="shared" si="658"/>
        <v>26_1</v>
      </c>
      <c r="E645" s="2" t="str">
        <f t="shared" si="658"/>
        <v>1_26_1</v>
      </c>
      <c r="F645" s="4" t="str">
        <f ca="1">VLOOKUP($D645,OFFSET([1]stages!$A$1,0,0,COUNTA([1]stages!$A:$A),MATCH(F$1,[1]stages!$2:$2,0)-MATCH($D$1,[1]stages!$2:$2,0)+1),MATCH(F$1,[1]stages!$2:$2,0)-MATCH($D$1,[1]stages!$2:$2,0)+1,FALSE)</f>
        <v>26-1．無愛想なフロント</v>
      </c>
      <c r="G645" s="56">
        <v>1</v>
      </c>
      <c r="H645" s="17" t="str">
        <f t="shared" si="659"/>
        <v>26_1-1</v>
      </c>
      <c r="I645" s="17"/>
      <c r="J645" s="17"/>
      <c r="K645" s="65" t="s">
        <v>56</v>
      </c>
      <c r="L645" s="52">
        <v>9</v>
      </c>
      <c r="M645" s="21" t="str">
        <f ca="1">VLOOKUP($L645,OFFSET([2]enemies!$A$1,0,0,COUNTA([2]enemies!$A:$A),MATCH(M$1,[2]enemies!$1:$1,0)-MATCH($L$1,[2]enemies!$1:$1,0)+1),MATCH(M$1,[2]enemies!$1:$1,0)-MATCH($L$1,[2]enemies!$1:$1,0)+1,FALSE)</f>
        <v>ブレット</v>
      </c>
      <c r="N645" s="21" t="str">
        <f ca="1">VLOOKUP($L645,OFFSET([2]enemies!$A$1,0,0,COUNTA([2]enemies!$A:$A),MATCH(N$1,[2]enemies!$1:$1,0)-MATCH($L$1,[2]enemies!$1:$1,0)+1),MATCH(N$1,[2]enemies!$1:$1,0)-MATCH($L$1,[2]enemies!$1:$1,0)+1,FALSE)</f>
        <v>red</v>
      </c>
      <c r="O645" s="21" t="str">
        <f ca="1">VLOOKUP($L645,OFFSET([3]characters!$A$1,0,0,COUNTA([3]characters!$A:$A),MATCH(O$1,[3]characters!$1:$1,0)-MATCH($L$1,[3]characters!$1:$1,0)+1),MATCH(O$1,[3]characters!$1:$1,0)-MATCH($L$1,[3]characters!$1:$1,0)+1,FALSE)</f>
        <v>Drop1W</v>
      </c>
      <c r="P645" s="21" t="str">
        <f ca="1">VLOOKUP($L645,OFFSET([2]enemies!$A$1,0,0,COUNTA([2]enemies!$A:$A),MATCH(P$1,[2]enemies!$1:$1,0)-MATCH($L$1,[2]enemies!$1:$1,0)+1),MATCH(P$1,[2]enemies!$1:$1,0)-MATCH($L$1,[2]enemies!$1:$1,0)+1,FALSE)</f>
        <v>animal</v>
      </c>
      <c r="Q645" s="21">
        <f ca="1">VLOOKUP($L645,OFFSET([2]enemies!$A$1,0,0,COUNTA([2]enemies!$A:$A),MATCH(Q$1,[2]enemies!$1:$1,0)-MATCH($L$1,[2]enemies!$1:$1,0)+1),MATCH(Q$1,[2]enemies!$1:$1,0)-MATCH($L$1,[2]enemies!$1:$1,0)+1,FALSE)</f>
        <v>15</v>
      </c>
      <c r="R645" s="53">
        <v>50</v>
      </c>
      <c r="S645" s="27">
        <v>1</v>
      </c>
      <c r="T645" s="27">
        <v>1</v>
      </c>
      <c r="U645" s="5">
        <v>0</v>
      </c>
      <c r="V645" s="4" t="str">
        <f ca="1">VLOOKUP($W645,OFFSET([4]enemy_skill_sets!$B$1,0,0,COUNTA([4]enemy_skill_sets!$B:$B),MATCH(M$1,[4]enemy_skill_sets!$1:$1,0)-MATCH($W$1,[4]enemy_skill_sets!$1:$1,0)+2),MATCH(M$1,[4]enemy_skill_sets!$1:$1,0)-MATCH($W$1,[4]enemy_skill_sets!$1:$1,0)+2,FALSE)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5" s="4">
        <f ca="1">VLOOKUP($L645,OFFSET([2]enemies!$A$1,0,0,COUNTA([2]enemies!$A:$A),MATCH(W$1,[2]enemies!$1:$1,0)-MATCH($L$1,[2]enemies!$1:$1,0)+1),MATCH(W$1,[2]enemies!$1:$1,0)-MATCH($L$1,[2]enemies!$1:$1,0)+1,FALSE)</f>
        <v>0</v>
      </c>
      <c r="X645" s="6">
        <v>0</v>
      </c>
      <c r="Y645" s="6">
        <v>100</v>
      </c>
      <c r="Z645" s="6">
        <v>0</v>
      </c>
      <c r="AA645" s="4">
        <f ca="1">VLOOKUP($L645,OFFSET([2]enemies!$A$1,0,0,COUNTA([2]enemies!$A:$A),MATCH(AA$1,[2]enemies!$1:$1,0)-MATCH($L$1,[2]enemies!$1:$1,0)+1),MATCH(AA$1,[2]enemies!$1:$1,0)-MATCH($L$1,[2]enemies!$1:$1,0)+1,FALSE)</f>
        <v>2</v>
      </c>
      <c r="AB645" s="52">
        <v>9</v>
      </c>
      <c r="AC645" s="4" t="str">
        <f ca="1">VLOOKUP($AB645,OFFSET([3]characters!$A$1,0,0,COUNTA([3]characters!$A:$A),MATCH(AC$1,[3]characters!$1:$1,0)-MATCH("character_id",[3]characters!$1:$1,0)+1),MATCH(AC$1,[3]characters!$1:$1,0)-MATCH("character_id",[3]characters!$1:$1,0)+1,FALSE)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645" s="4">
        <f ca="1">VLOOKUP($AB645,OFFSET([3]characters!$A$1,0,0,COUNTA([3]characters!$A:$A),MATCH(AD$1,[3]characters!$1:$1,0)-MATCH("character_id",[3]characters!$1:$1,0)+1),MATCH(AD$1,[3]characters!$1:$1,0)-MATCH("character_id",[3]characters!$1:$1,0)+1,FALSE)</f>
        <v>1</v>
      </c>
      <c r="AE645" s="4" t="str">
        <f ca="1">VLOOKUP($AB645,OFFSET([3]characters!$A$1,0,0,COUNTA([3]characters!$A:$A),MATCH(AE$1,[3]characters!$1:$1,0)-MATCH("character_id",[3]characters!$1:$1,0)+1),MATCH(AE$1,[3]characters!$1:$1,0)-MATCH("character_id",[3]characters!$1:$1,0)+1,FALSE)</f>
        <v>Drop1W</v>
      </c>
      <c r="AF645" s="7">
        <v>9</v>
      </c>
      <c r="AG645" s="26">
        <f t="shared" ca="1" si="666"/>
        <v>1</v>
      </c>
      <c r="AH645" s="8">
        <v>20</v>
      </c>
      <c r="AI645" s="7">
        <v>0</v>
      </c>
      <c r="AJ645" s="7">
        <v>0</v>
      </c>
      <c r="AK645" s="7">
        <v>0</v>
      </c>
      <c r="AL645" s="7">
        <v>0</v>
      </c>
      <c r="AM645" s="7">
        <v>1</v>
      </c>
    </row>
    <row r="646" spans="1:39" ht="14" x14ac:dyDescent="0.15">
      <c r="A646" s="18" t="str">
        <f t="shared" ca="1" si="642"/>
        <v>26_1-1/11&lt;lv50&gt;s3</v>
      </c>
      <c r="B646" s="50">
        <v>26</v>
      </c>
      <c r="C646" s="49">
        <v>1</v>
      </c>
      <c r="D646" s="2" t="str">
        <f t="shared" si="658"/>
        <v>26_1</v>
      </c>
      <c r="E646" s="2" t="str">
        <f t="shared" si="658"/>
        <v>1_26_1</v>
      </c>
      <c r="F646" s="4" t="str">
        <f ca="1">VLOOKUP($D646,OFFSET([1]stages!$A$1,0,0,COUNTA([1]stages!$A:$A),MATCH(F$1,[1]stages!$2:$2,0)-MATCH($D$1,[1]stages!$2:$2,0)+1),MATCH(F$1,[1]stages!$2:$2,0)-MATCH($D$1,[1]stages!$2:$2,0)+1,FALSE)</f>
        <v>26-1．無愛想なフロント</v>
      </c>
      <c r="G646" s="56">
        <v>1</v>
      </c>
      <c r="H646" s="17" t="str">
        <f t="shared" si="659"/>
        <v>26_1-1</v>
      </c>
      <c r="I646" s="17"/>
      <c r="J646" s="17"/>
      <c r="K646" s="65" t="s">
        <v>56</v>
      </c>
      <c r="L646" s="52">
        <v>11</v>
      </c>
      <c r="M646" s="21" t="str">
        <f ca="1">VLOOKUP($L646,OFFSET([2]enemies!$A$1,0,0,COUNTA([2]enemies!$A:$A),MATCH(M$1,[2]enemies!$1:$1,0)-MATCH($L$1,[2]enemies!$1:$1,0)+1),MATCH(M$1,[2]enemies!$1:$1,0)-MATCH($L$1,[2]enemies!$1:$1,0)+1,FALSE)</f>
        <v>マグリット</v>
      </c>
      <c r="N646" s="21" t="str">
        <f ca="1">VLOOKUP($L646,OFFSET([2]enemies!$A$1,0,0,COUNTA([2]enemies!$A:$A),MATCH(N$1,[2]enemies!$1:$1,0)-MATCH($L$1,[2]enemies!$1:$1,0)+1),MATCH(N$1,[2]enemies!$1:$1,0)-MATCH($L$1,[2]enemies!$1:$1,0)+1,FALSE)</f>
        <v>green</v>
      </c>
      <c r="O646" s="21" t="str">
        <f ca="1">VLOOKUP($L646,OFFSET([3]characters!$A$1,0,0,COUNTA([3]characters!$A:$A),MATCH(O$1,[3]characters!$1:$1,0)-MATCH($L$1,[3]characters!$1:$1,0)+1),MATCH(O$1,[3]characters!$1:$1,0)-MATCH($L$1,[3]characters!$1:$1,0)+1,FALSE)</f>
        <v>Drop1W</v>
      </c>
      <c r="P646" s="21" t="str">
        <f ca="1">VLOOKUP($L646,OFFSET([2]enemies!$A$1,0,0,COUNTA([2]enemies!$A:$A),MATCH(P$1,[2]enemies!$1:$1,0)-MATCH($L$1,[2]enemies!$1:$1,0)+1),MATCH(P$1,[2]enemies!$1:$1,0)-MATCH($L$1,[2]enemies!$1:$1,0)+1,FALSE)</f>
        <v>animal</v>
      </c>
      <c r="Q646" s="21">
        <f ca="1">VLOOKUP($L646,OFFSET([2]enemies!$A$1,0,0,COUNTA([2]enemies!$A:$A),MATCH(Q$1,[2]enemies!$1:$1,0)-MATCH($L$1,[2]enemies!$1:$1,0)+1),MATCH(Q$1,[2]enemies!$1:$1,0)-MATCH($L$1,[2]enemies!$1:$1,0)+1,FALSE)</f>
        <v>15</v>
      </c>
      <c r="R646" s="53">
        <v>50</v>
      </c>
      <c r="S646" s="27">
        <v>1</v>
      </c>
      <c r="T646" s="27">
        <v>1</v>
      </c>
      <c r="U646" s="5">
        <v>0</v>
      </c>
      <c r="V646" s="4" t="str">
        <f ca="1">VLOOKUP($W646,OFFSET([4]enemy_skill_sets!$B$1,0,0,COUNTA([4]enemy_skill_sets!$B:$B),MATCH(M$1,[4]enemy_skill_sets!$1:$1,0)-MATCH($W$1,[4]enemy_skill_sets!$1:$1,0)+2),MATCH(M$1,[4]enemy_skill_sets!$1:$1,0)-MATCH($W$1,[4]enemy_skill_sets!$1:$1,0)+2,FALSE)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6" s="4">
        <f ca="1">VLOOKUP($L646,OFFSET([2]enemies!$A$1,0,0,COUNTA([2]enemies!$A:$A),MATCH(W$1,[2]enemies!$1:$1,0)-MATCH($L$1,[2]enemies!$1:$1,0)+1),MATCH(W$1,[2]enemies!$1:$1,0)-MATCH($L$1,[2]enemies!$1:$1,0)+1,FALSE)</f>
        <v>0</v>
      </c>
      <c r="X646" s="6">
        <v>0</v>
      </c>
      <c r="Y646" s="6">
        <v>100</v>
      </c>
      <c r="Z646" s="6">
        <v>0</v>
      </c>
      <c r="AA646" s="4">
        <f ca="1">VLOOKUP($L646,OFFSET([2]enemies!$A$1,0,0,COUNTA([2]enemies!$A:$A),MATCH(AA$1,[2]enemies!$1:$1,0)-MATCH($L$1,[2]enemies!$1:$1,0)+1),MATCH(AA$1,[2]enemies!$1:$1,0)-MATCH($L$1,[2]enemies!$1:$1,0)+1,FALSE)</f>
        <v>3</v>
      </c>
      <c r="AB646" s="52">
        <v>11</v>
      </c>
      <c r="AC646" s="4" t="str">
        <f ca="1">VLOOKUP($AB646,OFFSET([3]characters!$A$1,0,0,COUNTA([3]characters!$A:$A),MATCH(AC$1,[3]characters!$1:$1,0)-MATCH("character_id",[3]characters!$1:$1,0)+1),MATCH(AC$1,[3]characters!$1:$1,0)-MATCH("character_id",[3]characters!$1:$1,0)+1,FALSE)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646" s="4">
        <f ca="1">VLOOKUP($AB646,OFFSET([3]characters!$A$1,0,0,COUNTA([3]characters!$A:$A),MATCH(AD$1,[3]characters!$1:$1,0)-MATCH("character_id",[3]characters!$1:$1,0)+1),MATCH(AD$1,[3]characters!$1:$1,0)-MATCH("character_id",[3]characters!$1:$1,0)+1,FALSE)</f>
        <v>1</v>
      </c>
      <c r="AE646" s="4" t="str">
        <f ca="1">VLOOKUP($AB646,OFFSET([3]characters!$A$1,0,0,COUNTA([3]characters!$A:$A),MATCH(AE$1,[3]characters!$1:$1,0)-MATCH("character_id",[3]characters!$1:$1,0)+1),MATCH(AE$1,[3]characters!$1:$1,0)-MATCH("character_id",[3]characters!$1:$1,0)+1,FALSE)</f>
        <v>Drop1W</v>
      </c>
      <c r="AF646" s="7">
        <v>9</v>
      </c>
      <c r="AG646" s="26">
        <f t="shared" ca="1" si="666"/>
        <v>1</v>
      </c>
      <c r="AH646" s="8">
        <v>20</v>
      </c>
      <c r="AI646" s="7">
        <v>0</v>
      </c>
      <c r="AJ646" s="7">
        <v>0</v>
      </c>
      <c r="AK646" s="7">
        <v>0</v>
      </c>
      <c r="AL646" s="7">
        <v>0</v>
      </c>
      <c r="AM646" s="7">
        <v>1</v>
      </c>
    </row>
    <row r="647" spans="1:39" ht="14" x14ac:dyDescent="0.15">
      <c r="A647" s="18" t="str">
        <f t="shared" ca="1" si="642"/>
        <v>26_1-1/13&lt;lv50&gt;s2</v>
      </c>
      <c r="B647" s="50">
        <v>26</v>
      </c>
      <c r="C647" s="49">
        <v>1</v>
      </c>
      <c r="D647" s="2" t="str">
        <f t="shared" si="658"/>
        <v>26_1</v>
      </c>
      <c r="E647" s="2" t="str">
        <f t="shared" si="658"/>
        <v>1_26_1</v>
      </c>
      <c r="F647" s="4" t="str">
        <f ca="1">VLOOKUP($D647,OFFSET([1]stages!$A$1,0,0,COUNTA([1]stages!$A:$A),MATCH(F$1,[1]stages!$2:$2,0)-MATCH($D$1,[1]stages!$2:$2,0)+1),MATCH(F$1,[1]stages!$2:$2,0)-MATCH($D$1,[1]stages!$2:$2,0)+1,FALSE)</f>
        <v>26-1．無愛想なフロント</v>
      </c>
      <c r="G647" s="56">
        <v>1</v>
      </c>
      <c r="H647" s="17" t="str">
        <f t="shared" si="659"/>
        <v>26_1-1</v>
      </c>
      <c r="I647" s="17"/>
      <c r="J647" s="17"/>
      <c r="K647" s="65" t="s">
        <v>56</v>
      </c>
      <c r="L647" s="52">
        <v>13</v>
      </c>
      <c r="M647" s="21" t="str">
        <f ca="1">VLOOKUP($L647,OFFSET([2]enemies!$A$1,0,0,COUNTA([2]enemies!$A:$A),MATCH(M$1,[2]enemies!$1:$1,0)-MATCH($L$1,[2]enemies!$1:$1,0)+1),MATCH(M$1,[2]enemies!$1:$1,0)-MATCH($L$1,[2]enemies!$1:$1,0)+1,FALSE)</f>
        <v>ミミ</v>
      </c>
      <c r="N647" s="21" t="str">
        <f ca="1">VLOOKUP($L647,OFFSET([2]enemies!$A$1,0,0,COUNTA([2]enemies!$A:$A),MATCH(N$1,[2]enemies!$1:$1,0)-MATCH($L$1,[2]enemies!$1:$1,0)+1),MATCH(N$1,[2]enemies!$1:$1,0)-MATCH($L$1,[2]enemies!$1:$1,0)+1,FALSE)</f>
        <v>yellow</v>
      </c>
      <c r="O647" s="21" t="str">
        <f ca="1">VLOOKUP($L647,OFFSET([3]characters!$A$1,0,0,COUNTA([3]characters!$A:$A),MATCH(O$1,[3]characters!$1:$1,0)-MATCH($L$1,[3]characters!$1:$1,0)+1),MATCH(O$1,[3]characters!$1:$1,0)-MATCH($L$1,[3]characters!$1:$1,0)+1,FALSE)</f>
        <v>Drop1W</v>
      </c>
      <c r="P647" s="21" t="str">
        <f ca="1">VLOOKUP($L647,OFFSET([2]enemies!$A$1,0,0,COUNTA([2]enemies!$A:$A),MATCH(P$1,[2]enemies!$1:$1,0)-MATCH($L$1,[2]enemies!$1:$1,0)+1),MATCH(P$1,[2]enemies!$1:$1,0)-MATCH($L$1,[2]enemies!$1:$1,0)+1,FALSE)</f>
        <v>animal</v>
      </c>
      <c r="Q647" s="21">
        <f ca="1">VLOOKUP($L647,OFFSET([2]enemies!$A$1,0,0,COUNTA([2]enemies!$A:$A),MATCH(Q$1,[2]enemies!$1:$1,0)-MATCH($L$1,[2]enemies!$1:$1,0)+1),MATCH(Q$1,[2]enemies!$1:$1,0)-MATCH($L$1,[2]enemies!$1:$1,0)+1,FALSE)</f>
        <v>15</v>
      </c>
      <c r="R647" s="53">
        <v>50</v>
      </c>
      <c r="S647" s="27">
        <v>1</v>
      </c>
      <c r="T647" s="27">
        <v>1</v>
      </c>
      <c r="U647" s="5">
        <v>0</v>
      </c>
      <c r="V647" s="4" t="str">
        <f ca="1">VLOOKUP($W647,OFFSET([4]enemy_skill_sets!$B$1,0,0,COUNTA([4]enemy_skill_sets!$B:$B),MATCH(M$1,[4]enemy_skill_sets!$1:$1,0)-MATCH($W$1,[4]enemy_skill_sets!$1:$1,0)+2),MATCH(M$1,[4]enemy_skill_sets!$1:$1,0)-MATCH($W$1,[4]enemy_skill_sets!$1:$1,0)+2,FALSE)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7" s="4">
        <f ca="1">VLOOKUP($L647,OFFSET([2]enemies!$A$1,0,0,COUNTA([2]enemies!$A:$A),MATCH(W$1,[2]enemies!$1:$1,0)-MATCH($L$1,[2]enemies!$1:$1,0)+1),MATCH(W$1,[2]enemies!$1:$1,0)-MATCH($L$1,[2]enemies!$1:$1,0)+1,FALSE)</f>
        <v>0</v>
      </c>
      <c r="X647" s="6">
        <v>0</v>
      </c>
      <c r="Y647" s="6">
        <v>100</v>
      </c>
      <c r="Z647" s="6">
        <v>0</v>
      </c>
      <c r="AA647" s="4">
        <f ca="1">VLOOKUP($L647,OFFSET([2]enemies!$A$1,0,0,COUNTA([2]enemies!$A:$A),MATCH(AA$1,[2]enemies!$1:$1,0)-MATCH($L$1,[2]enemies!$1:$1,0)+1),MATCH(AA$1,[2]enemies!$1:$1,0)-MATCH($L$1,[2]enemies!$1:$1,0)+1,FALSE)</f>
        <v>2</v>
      </c>
      <c r="AB647" s="52">
        <v>13</v>
      </c>
      <c r="AC647" s="4" t="str">
        <f ca="1">VLOOKUP($AB647,OFFSET([3]characters!$A$1,0,0,COUNTA([3]characters!$A:$A),MATCH(AC$1,[3]characters!$1:$1,0)-MATCH("character_id",[3]characters!$1:$1,0)+1),MATCH(AC$1,[3]characters!$1:$1,0)-MATCH("character_id",[3]characters!$1:$1,0)+1,FALSE)</f>
        <v>ミミ</v>
      </c>
      <c r="AD647" s="4">
        <f ca="1">VLOOKUP($AB647,OFFSET([3]characters!$A$1,0,0,COUNTA([3]characters!$A:$A),MATCH(AD$1,[3]characters!$1:$1,0)-MATCH("character_id",[3]characters!$1:$1,0)+1),MATCH(AD$1,[3]characters!$1:$1,0)-MATCH("character_id",[3]characters!$1:$1,0)+1,FALSE)</f>
        <v>1</v>
      </c>
      <c r="AE647" s="4" t="str">
        <f ca="1">VLOOKUP($AB647,OFFSET([3]characters!$A$1,0,0,COUNTA([3]characters!$A:$A),MATCH(AE$1,[3]characters!$1:$1,0)-MATCH("character_id",[3]characters!$1:$1,0)+1),MATCH(AE$1,[3]characters!$1:$1,0)-MATCH("character_id",[3]characters!$1:$1,0)+1,FALSE)</f>
        <v>Drop1W</v>
      </c>
      <c r="AF647" s="7">
        <v>9</v>
      </c>
      <c r="AG647" s="26">
        <f t="shared" ca="1" si="666"/>
        <v>1</v>
      </c>
      <c r="AH647" s="8">
        <v>20</v>
      </c>
      <c r="AI647" s="7">
        <v>0</v>
      </c>
      <c r="AJ647" s="7">
        <v>0</v>
      </c>
      <c r="AK647" s="7">
        <v>0</v>
      </c>
      <c r="AL647" s="7">
        <v>0</v>
      </c>
      <c r="AM647" s="7">
        <v>1</v>
      </c>
    </row>
    <row r="648" spans="1:39" ht="14" x14ac:dyDescent="0.15">
      <c r="A648" s="18" t="str">
        <f t="shared" ca="1" si="642"/>
        <v>26_1-1/23&lt;lv50&gt;s4</v>
      </c>
      <c r="B648" s="50">
        <v>26</v>
      </c>
      <c r="C648" s="49">
        <v>1</v>
      </c>
      <c r="D648" s="2" t="str">
        <f t="shared" si="658"/>
        <v>26_1</v>
      </c>
      <c r="E648" s="2" t="str">
        <f t="shared" si="658"/>
        <v>1_26_1</v>
      </c>
      <c r="F648" s="4" t="str">
        <f ca="1">VLOOKUP($D648,OFFSET([1]stages!$A$1,0,0,COUNTA([1]stages!$A:$A),MATCH(F$1,[1]stages!$2:$2,0)-MATCH($D$1,[1]stages!$2:$2,0)+1),MATCH(F$1,[1]stages!$2:$2,0)-MATCH($D$1,[1]stages!$2:$2,0)+1,FALSE)</f>
        <v>26-1．無愛想なフロント</v>
      </c>
      <c r="G648" s="56">
        <v>1</v>
      </c>
      <c r="H648" s="17" t="str">
        <f t="shared" si="659"/>
        <v>26_1-1</v>
      </c>
      <c r="I648" s="17"/>
      <c r="J648" s="17"/>
      <c r="K648" s="65" t="s">
        <v>56</v>
      </c>
      <c r="L648" s="52">
        <v>23</v>
      </c>
      <c r="M648" s="21" t="str">
        <f ca="1">VLOOKUP($L648,OFFSET([2]enemies!$A$1,0,0,COUNTA([2]enemies!$A:$A),MATCH(M$1,[2]enemies!$1:$1,0)-MATCH($L$1,[2]enemies!$1:$1,0)+1),MATCH(M$1,[2]enemies!$1:$1,0)-MATCH($L$1,[2]enemies!$1:$1,0)+1,FALSE)</f>
        <v>ミール</v>
      </c>
      <c r="N648" s="21" t="str">
        <f ca="1">VLOOKUP($L648,OFFSET([2]enemies!$A$1,0,0,COUNTA([2]enemies!$A:$A),MATCH(N$1,[2]enemies!$1:$1,0)-MATCH($L$1,[2]enemies!$1:$1,0)+1),MATCH(N$1,[2]enemies!$1:$1,0)-MATCH($L$1,[2]enemies!$1:$1,0)+1,FALSE)</f>
        <v>green</v>
      </c>
      <c r="O648" s="21" t="str">
        <f ca="1">VLOOKUP($L648,OFFSET([3]characters!$A$1,0,0,COUNTA([3]characters!$A:$A),MATCH(O$1,[3]characters!$1:$1,0)-MATCH($L$1,[3]characters!$1:$1,0)+1),MATCH(O$1,[3]characters!$1:$1,0)-MATCH($L$1,[3]characters!$1:$1,0)+1,FALSE)</f>
        <v>Drop1N</v>
      </c>
      <c r="P648" s="21" t="str">
        <f ca="1">VLOOKUP($L648,OFFSET([2]enemies!$A$1,0,0,COUNTA([2]enemies!$A:$A),MATCH(P$1,[2]enemies!$1:$1,0)-MATCH($L$1,[2]enemies!$1:$1,0)+1),MATCH(P$1,[2]enemies!$1:$1,0)-MATCH($L$1,[2]enemies!$1:$1,0)+1,FALSE)</f>
        <v>animal</v>
      </c>
      <c r="Q648" s="21">
        <f ca="1">VLOOKUP($L648,OFFSET([2]enemies!$A$1,0,0,COUNTA([2]enemies!$A:$A),MATCH(Q$1,[2]enemies!$1:$1,0)-MATCH($L$1,[2]enemies!$1:$1,0)+1),MATCH(Q$1,[2]enemies!$1:$1,0)-MATCH($L$1,[2]enemies!$1:$1,0)+1,FALSE)</f>
        <v>15</v>
      </c>
      <c r="R648" s="53">
        <v>50</v>
      </c>
      <c r="S648" s="27">
        <v>1</v>
      </c>
      <c r="T648" s="27">
        <v>1</v>
      </c>
      <c r="U648" s="5">
        <v>0</v>
      </c>
      <c r="V648" s="4" t="str">
        <f ca="1">VLOOKUP($W648,OFFSET([4]enemy_skill_sets!$B$1,0,0,COUNTA([4]enemy_skill_sets!$B:$B),MATCH(M$1,[4]enemy_skill_sets!$1:$1,0)-MATCH($W$1,[4]enemy_skill_sets!$1:$1,0)+2),MATCH(M$1,[4]enemy_skill_sets!$1:$1,0)-MATCH($W$1,[4]enemy_skill_sets!$1:$1,0)+2,FALSE)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8" s="4">
        <f ca="1">VLOOKUP($L648,OFFSET([2]enemies!$A$1,0,0,COUNTA([2]enemies!$A:$A),MATCH(W$1,[2]enemies!$1:$1,0)-MATCH($L$1,[2]enemies!$1:$1,0)+1),MATCH(W$1,[2]enemies!$1:$1,0)-MATCH($L$1,[2]enemies!$1:$1,0)+1,FALSE)</f>
        <v>0</v>
      </c>
      <c r="X648" s="6">
        <v>0</v>
      </c>
      <c r="Y648" s="6">
        <v>100</v>
      </c>
      <c r="Z648" s="6">
        <v>0</v>
      </c>
      <c r="AA648" s="4">
        <f ca="1">VLOOKUP($L648,OFFSET([2]enemies!$A$1,0,0,COUNTA([2]enemies!$A:$A),MATCH(AA$1,[2]enemies!$1:$1,0)-MATCH($L$1,[2]enemies!$1:$1,0)+1),MATCH(AA$1,[2]enemies!$1:$1,0)-MATCH($L$1,[2]enemies!$1:$1,0)+1,FALSE)</f>
        <v>4</v>
      </c>
      <c r="AB648" s="52">
        <v>23</v>
      </c>
      <c r="AC648" s="4" t="str">
        <f ca="1">VLOOKUP($AB648,OFFSET([3]characters!$A$1,0,0,COUNTA([3]characters!$A:$A),MATCH(AC$1,[3]characters!$1:$1,0)-MATCH("character_id",[3]characters!$1:$1,0)+1),MATCH(AC$1,[3]characters!$1:$1,0)-MATCH("character_id",[3]characters!$1:$1,0)+1,FALSE)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648" s="4">
        <f ca="1">VLOOKUP($AB648,OFFSET([3]characters!$A$1,0,0,COUNTA([3]characters!$A:$A),MATCH(AD$1,[3]characters!$1:$1,0)-MATCH("character_id",[3]characters!$1:$1,0)+1),MATCH(AD$1,[3]characters!$1:$1,0)-MATCH("character_id",[3]characters!$1:$1,0)+1,FALSE)</f>
        <v>1</v>
      </c>
      <c r="AE648" s="4" t="str">
        <f ca="1">VLOOKUP($AB648,OFFSET([3]characters!$A$1,0,0,COUNTA([3]characters!$A:$A),MATCH(AE$1,[3]characters!$1:$1,0)-MATCH("character_id",[3]characters!$1:$1,0)+1),MATCH(AE$1,[3]characters!$1:$1,0)-MATCH("character_id",[3]characters!$1:$1,0)+1,FALSE)</f>
        <v>Drop1N</v>
      </c>
      <c r="AF648" s="7">
        <v>7</v>
      </c>
      <c r="AG648" s="26">
        <f t="shared" ca="1" si="666"/>
        <v>1</v>
      </c>
      <c r="AH648" s="8">
        <v>20</v>
      </c>
      <c r="AI648" s="7">
        <v>0</v>
      </c>
      <c r="AJ648" s="7">
        <v>0</v>
      </c>
      <c r="AK648" s="7">
        <v>0</v>
      </c>
      <c r="AL648" s="7">
        <v>0</v>
      </c>
      <c r="AM648" s="7">
        <v>1</v>
      </c>
    </row>
    <row r="649" spans="1:39" ht="14" x14ac:dyDescent="0.15">
      <c r="A649" s="18" t="str">
        <f t="shared" ca="1" si="642"/>
        <v>26_1-1/25&lt;lv50&gt;s3</v>
      </c>
      <c r="B649" s="50">
        <v>26</v>
      </c>
      <c r="C649" s="49">
        <v>1</v>
      </c>
      <c r="D649" s="2" t="str">
        <f t="shared" si="658"/>
        <v>26_1</v>
      </c>
      <c r="E649" s="2" t="str">
        <f t="shared" si="658"/>
        <v>1_26_1</v>
      </c>
      <c r="F649" s="4" t="str">
        <f ca="1">VLOOKUP($D649,OFFSET([1]stages!$A$1,0,0,COUNTA([1]stages!$A:$A),MATCH(F$1,[1]stages!$2:$2,0)-MATCH($D$1,[1]stages!$2:$2,0)+1),MATCH(F$1,[1]stages!$2:$2,0)-MATCH($D$1,[1]stages!$2:$2,0)+1,FALSE)</f>
        <v>26-1．無愛想なフロント</v>
      </c>
      <c r="G649" s="56">
        <v>1</v>
      </c>
      <c r="H649" s="17" t="str">
        <f t="shared" si="659"/>
        <v>26_1-1</v>
      </c>
      <c r="I649" s="17"/>
      <c r="J649" s="17"/>
      <c r="K649" s="65" t="s">
        <v>56</v>
      </c>
      <c r="L649" s="52">
        <v>25</v>
      </c>
      <c r="M649" s="21" t="str">
        <f ca="1">VLOOKUP($L649,OFFSET([2]enemies!$A$1,0,0,COUNTA([2]enemies!$A:$A),MATCH(M$1,[2]enemies!$1:$1,0)-MATCH($L$1,[2]enemies!$1:$1,0)+1),MATCH(M$1,[2]enemies!$1:$1,0)-MATCH($L$1,[2]enemies!$1:$1,0)+1,FALSE)</f>
        <v>ハチ</v>
      </c>
      <c r="N649" s="21" t="str">
        <f ca="1">VLOOKUP($L649,OFFSET([2]enemies!$A$1,0,0,COUNTA([2]enemies!$A:$A),MATCH(N$1,[2]enemies!$1:$1,0)-MATCH($L$1,[2]enemies!$1:$1,0)+1),MATCH(N$1,[2]enemies!$1:$1,0)-MATCH($L$1,[2]enemies!$1:$1,0)+1,FALSE)</f>
        <v>blue</v>
      </c>
      <c r="O649" s="21" t="str">
        <f ca="1">VLOOKUP($L649,OFFSET([3]characters!$A$1,0,0,COUNTA([3]characters!$A:$A),MATCH(O$1,[3]characters!$1:$1,0)-MATCH($L$1,[3]characters!$1:$1,0)+1),MATCH(O$1,[3]characters!$1:$1,0)-MATCH($L$1,[3]characters!$1:$1,0)+1,FALSE)</f>
        <v>Drop1N</v>
      </c>
      <c r="P649" s="21" t="str">
        <f ca="1">VLOOKUP($L649,OFFSET([2]enemies!$A$1,0,0,COUNTA([2]enemies!$A:$A),MATCH(P$1,[2]enemies!$1:$1,0)-MATCH($L$1,[2]enemies!$1:$1,0)+1),MATCH(P$1,[2]enemies!$1:$1,0)-MATCH($L$1,[2]enemies!$1:$1,0)+1,FALSE)</f>
        <v>animal</v>
      </c>
      <c r="Q649" s="21">
        <f ca="1">VLOOKUP($L649,OFFSET([2]enemies!$A$1,0,0,COUNTA([2]enemies!$A:$A),MATCH(Q$1,[2]enemies!$1:$1,0)-MATCH($L$1,[2]enemies!$1:$1,0)+1),MATCH(Q$1,[2]enemies!$1:$1,0)-MATCH($L$1,[2]enemies!$1:$1,0)+1,FALSE)</f>
        <v>15</v>
      </c>
      <c r="R649" s="53">
        <v>50</v>
      </c>
      <c r="S649" s="27">
        <v>1</v>
      </c>
      <c r="T649" s="27">
        <v>1</v>
      </c>
      <c r="U649" s="5">
        <v>0</v>
      </c>
      <c r="V649" s="4" t="str">
        <f ca="1">VLOOKUP($W649,OFFSET([4]enemy_skill_sets!$B$1,0,0,COUNTA([4]enemy_skill_sets!$B:$B),MATCH(M$1,[4]enemy_skill_sets!$1:$1,0)-MATCH($W$1,[4]enemy_skill_sets!$1:$1,0)+2),MATCH(M$1,[4]enemy_skill_sets!$1:$1,0)-MATCH($W$1,[4]enemy_skill_sets!$1:$1,0)+2,FALSE)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49" s="4">
        <f ca="1">VLOOKUP($L649,OFFSET([2]enemies!$A$1,0,0,COUNTA([2]enemies!$A:$A),MATCH(W$1,[2]enemies!$1:$1,0)-MATCH($L$1,[2]enemies!$1:$1,0)+1),MATCH(W$1,[2]enemies!$1:$1,0)-MATCH($L$1,[2]enemies!$1:$1,0)+1,FALSE)</f>
        <v>0</v>
      </c>
      <c r="X649" s="6">
        <v>0</v>
      </c>
      <c r="Y649" s="6">
        <v>100</v>
      </c>
      <c r="Z649" s="6">
        <v>0</v>
      </c>
      <c r="AA649" s="4">
        <f ca="1">VLOOKUP($L649,OFFSET([2]enemies!$A$1,0,0,COUNTA([2]enemies!$A:$A),MATCH(AA$1,[2]enemies!$1:$1,0)-MATCH($L$1,[2]enemies!$1:$1,0)+1),MATCH(AA$1,[2]enemies!$1:$1,0)-MATCH($L$1,[2]enemies!$1:$1,0)+1,FALSE)</f>
        <v>3</v>
      </c>
      <c r="AB649" s="52">
        <v>25</v>
      </c>
      <c r="AC649" s="4" t="str">
        <f ca="1">VLOOKUP($AB649,OFFSET([3]characters!$A$1,0,0,COUNTA([3]characters!$A:$A),MATCH(AC$1,[3]characters!$1:$1,0)-MATCH("character_id",[3]characters!$1:$1,0)+1),MATCH(AC$1,[3]characters!$1:$1,0)-MATCH("character_id",[3]characters!$1:$1,0)+1,FALSE)</f>
        <v>ハチ</v>
      </c>
      <c r="AD649" s="4">
        <f ca="1">VLOOKUP($AB649,OFFSET([3]characters!$A$1,0,0,COUNTA([3]characters!$A:$A),MATCH(AD$1,[3]characters!$1:$1,0)-MATCH("character_id",[3]characters!$1:$1,0)+1),MATCH(AD$1,[3]characters!$1:$1,0)-MATCH("character_id",[3]characters!$1:$1,0)+1,FALSE)</f>
        <v>1</v>
      </c>
      <c r="AE649" s="4" t="str">
        <f ca="1">VLOOKUP($AB649,OFFSET([3]characters!$A$1,0,0,COUNTA([3]characters!$A:$A),MATCH(AE$1,[3]characters!$1:$1,0)-MATCH("character_id",[3]characters!$1:$1,0)+1),MATCH(AE$1,[3]characters!$1:$1,0)-MATCH("character_id",[3]characters!$1:$1,0)+1,FALSE)</f>
        <v>Drop1N</v>
      </c>
      <c r="AF649" s="7">
        <v>7</v>
      </c>
      <c r="AG649" s="26">
        <f t="shared" ca="1" si="666"/>
        <v>1</v>
      </c>
      <c r="AH649" s="8">
        <v>20</v>
      </c>
      <c r="AI649" s="7">
        <v>0</v>
      </c>
      <c r="AJ649" s="7">
        <v>0</v>
      </c>
      <c r="AK649" s="7">
        <v>0</v>
      </c>
      <c r="AL649" s="7">
        <v>0</v>
      </c>
      <c r="AM649" s="7">
        <v>1</v>
      </c>
    </row>
    <row r="650" spans="1:39" ht="14" x14ac:dyDescent="0.15">
      <c r="A650" s="18" t="str">
        <f t="shared" ca="1" si="642"/>
        <v>26_1-1/348&lt;lv50&gt;s3</v>
      </c>
      <c r="B650" s="53">
        <v>26</v>
      </c>
      <c r="C650" s="51">
        <v>1</v>
      </c>
      <c r="D650" s="2" t="str">
        <f t="shared" ref="D650" si="670">B650&amp;"_"&amp;C650</f>
        <v>26_1</v>
      </c>
      <c r="E650" s="2" t="str">
        <f t="shared" ref="E650" si="671">C650&amp;"_"&amp;D650</f>
        <v>1_26_1</v>
      </c>
      <c r="F650" s="4" t="str">
        <f ca="1">VLOOKUP($D650,OFFSET([1]stages!$A$1,0,0,COUNTA([1]stages!$A:$A),MATCH(F$1,[1]stages!$2:$2,0)-MATCH($D$1,[1]stages!$2:$2,0)+1),MATCH(F$1,[1]stages!$2:$2,0)-MATCH($D$1,[1]stages!$2:$2,0)+1,FALSE)</f>
        <v>26-1．無愛想なフロント</v>
      </c>
      <c r="G650" s="56">
        <v>1</v>
      </c>
      <c r="H650" s="17" t="str">
        <f t="shared" ref="H650" si="672">B650&amp;"_"&amp;C650&amp;"-"&amp;G650</f>
        <v>26_1-1</v>
      </c>
      <c r="I650" s="17"/>
      <c r="J650" s="17"/>
      <c r="K650" s="65" t="s">
        <v>56</v>
      </c>
      <c r="L650" s="52">
        <v>348</v>
      </c>
      <c r="M650" s="21" t="str">
        <f ca="1">VLOOKUP($L650,OFFSET([2]enemies!$A$1,0,0,COUNTA([2]enemies!$A:$A),MATCH(M$1,[2]enemies!$1:$1,0)-MATCH($L$1,[2]enemies!$1:$1,0)+1),MATCH(M$1,[2]enemies!$1:$1,0)-MATCH($L$1,[2]enemies!$1:$1,0)+1,FALSE)</f>
        <v>炎のケロケロ</v>
      </c>
      <c r="N650" s="21" t="str">
        <f ca="1">VLOOKUP($L650,OFFSET([2]enemies!$A$1,0,0,COUNTA([2]enemies!$A:$A),MATCH(N$1,[2]enemies!$1:$1,0)-MATCH($L$1,[2]enemies!$1:$1,0)+1),MATCH(N$1,[2]enemies!$1:$1,0)-MATCH($L$1,[2]enemies!$1:$1,0)+1,FALSE)</f>
        <v>red</v>
      </c>
      <c r="O650" s="21" t="str">
        <f ca="1">VLOOKUP($L650,OFFSET([3]characters!$A$1,0,0,COUNTA([3]characters!$A:$A),MATCH(O$1,[3]characters!$1:$1,0)-MATCH($L$1,[3]characters!$1:$1,0)+1),MATCH(O$1,[3]characters!$1:$1,0)-MATCH($L$1,[3]characters!$1:$1,0)+1,FALSE)</f>
        <v>Material</v>
      </c>
      <c r="P650" s="21" t="str">
        <f ca="1">VLOOKUP($L650,OFFSET([2]enemies!$A$1,0,0,COUNTA([2]enemies!$A:$A),MATCH(P$1,[2]enemies!$1:$1,0)-MATCH($L$1,[2]enemies!$1:$1,0)+1),MATCH(P$1,[2]enemies!$1:$1,0)-MATCH($L$1,[2]enemies!$1:$1,0)+1,FALSE)</f>
        <v>unknown</v>
      </c>
      <c r="Q650" s="21">
        <f ca="1">VLOOKUP($L650,OFFSET([2]enemies!$A$1,0,0,COUNTA([2]enemies!$A:$A),MATCH(Q$1,[2]enemies!$1:$1,0)-MATCH($L$1,[2]enemies!$1:$1,0)+1),MATCH(Q$1,[2]enemies!$1:$1,0)-MATCH($L$1,[2]enemies!$1:$1,0)+1,FALSE)</f>
        <v>15</v>
      </c>
      <c r="R650" s="53">
        <v>50</v>
      </c>
      <c r="S650" s="27">
        <v>1</v>
      </c>
      <c r="T650" s="27">
        <v>1</v>
      </c>
      <c r="U650" s="5">
        <v>0</v>
      </c>
      <c r="V650" s="4" t="str">
        <f ca="1">VLOOKUP($W650,OFFSET([4]enemy_skill_sets!$B$1,0,0,COUNTA([4]enemy_skill_sets!$B:$B),MATCH(M$1,[4]enemy_skill_sets!$1:$1,0)-MATCH($W$1,[4]enemy_skill_sets!$1:$1,0)+2),MATCH(M$1,[4]enemy_skill_sets!$1:$1,0)-MATCH($W$1,[4]enemy_skill_sets!$1:$1,0)+2,FALSE)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650" s="64">
        <v>348</v>
      </c>
      <c r="X650" s="6">
        <v>0</v>
      </c>
      <c r="Y650" s="6">
        <v>100</v>
      </c>
      <c r="Z650" s="6">
        <v>0</v>
      </c>
      <c r="AA650" s="4">
        <f ca="1">VLOOKUP($L650,OFFSET([2]enemies!$A$1,0,0,COUNTA([2]enemies!$A:$A),MATCH(AA$1,[2]enemies!$1:$1,0)-MATCH($L$1,[2]enemies!$1:$1,0)+1),MATCH(AA$1,[2]enemies!$1:$1,0)-MATCH($L$1,[2]enemies!$1:$1,0)+1,FALSE)</f>
        <v>3</v>
      </c>
      <c r="AB650" s="52">
        <v>348</v>
      </c>
      <c r="AC650" s="4" t="str">
        <f ca="1">VLOOKUP($AB650,OFFSET([3]characters!$A$1,0,0,COUNTA([3]characters!$A:$A),MATCH(AC$1,[3]characters!$1:$1,0)-MATCH("character_id",[3]characters!$1:$1,0)+1),MATCH(AC$1,[3]characters!$1:$1,0)-MATCH("character_id",[3]characters!$1:$1,0)+1,FALSE)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650" s="4">
        <f ca="1">VLOOKUP($AB650,OFFSET([3]characters!$A$1,0,0,COUNTA([3]characters!$A:$A),MATCH(AD$1,[3]characters!$1:$1,0)-MATCH("character_id",[3]characters!$1:$1,0)+1),MATCH(AD$1,[3]characters!$1:$1,0)-MATCH("character_id",[3]characters!$1:$1,0)+1,FALSE)</f>
        <v>2</v>
      </c>
      <c r="AE650" s="4" t="str">
        <f ca="1">VLOOKUP($AB650,OFFSET([3]characters!$A$1,0,0,COUNTA([3]characters!$A:$A),MATCH(AE$1,[3]characters!$1:$1,0)-MATCH("character_id",[3]characters!$1:$1,0)+1),MATCH(AE$1,[3]characters!$1:$1,0)-MATCH("character_id",[3]characters!$1:$1,0)+1,FALSE)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50" s="7">
        <v>10</v>
      </c>
      <c r="AG650" s="26">
        <f t="shared" ca="1" si="666"/>
        <v>2</v>
      </c>
      <c r="AH650" s="8">
        <v>20</v>
      </c>
      <c r="AI650" s="7">
        <v>0</v>
      </c>
      <c r="AJ650" s="7">
        <v>0</v>
      </c>
      <c r="AK650" s="7">
        <v>0</v>
      </c>
      <c r="AL650" s="7">
        <v>0</v>
      </c>
      <c r="AM650" s="7">
        <v>1</v>
      </c>
    </row>
    <row r="651" spans="1:39" ht="14" x14ac:dyDescent="0.15">
      <c r="A651" s="18" t="str">
        <f t="shared" ca="1" si="642"/>
        <v>26_1-1/350&lt;lv50&gt;s3</v>
      </c>
      <c r="B651" s="53">
        <v>26</v>
      </c>
      <c r="C651" s="51">
        <v>1</v>
      </c>
      <c r="D651" s="2" t="str">
        <f t="shared" ref="D651" si="673">B651&amp;"_"&amp;C651</f>
        <v>26_1</v>
      </c>
      <c r="E651" s="2" t="str">
        <f t="shared" ref="E651" si="674">C651&amp;"_"&amp;D651</f>
        <v>1_26_1</v>
      </c>
      <c r="F651" s="4" t="str">
        <f ca="1">VLOOKUP($D651,OFFSET([1]stages!$A$1,0,0,COUNTA([1]stages!$A:$A),MATCH(F$1,[1]stages!$2:$2,0)-MATCH($D$1,[1]stages!$2:$2,0)+1),MATCH(F$1,[1]stages!$2:$2,0)-MATCH($D$1,[1]stages!$2:$2,0)+1,FALSE)</f>
        <v>26-1．無愛想なフロント</v>
      </c>
      <c r="G651" s="56">
        <v>1</v>
      </c>
      <c r="H651" s="17" t="str">
        <f t="shared" ref="H651" si="675">B651&amp;"_"&amp;C651&amp;"-"&amp;G651</f>
        <v>26_1-1</v>
      </c>
      <c r="I651" s="17"/>
      <c r="J651" s="17"/>
      <c r="K651" s="65" t="s">
        <v>56</v>
      </c>
      <c r="L651" s="52">
        <v>350</v>
      </c>
      <c r="M651" s="21" t="str">
        <f ca="1">VLOOKUP($L651,OFFSET([2]enemies!$A$1,0,0,COUNTA([2]enemies!$A:$A),MATCH(M$1,[2]enemies!$1:$1,0)-MATCH($L$1,[2]enemies!$1:$1,0)+1),MATCH(M$1,[2]enemies!$1:$1,0)-MATCH($L$1,[2]enemies!$1:$1,0)+1,FALSE)</f>
        <v>森のケロケロ</v>
      </c>
      <c r="N651" s="21" t="str">
        <f ca="1">VLOOKUP($L651,OFFSET([2]enemies!$A$1,0,0,COUNTA([2]enemies!$A:$A),MATCH(N$1,[2]enemies!$1:$1,0)-MATCH($L$1,[2]enemies!$1:$1,0)+1),MATCH(N$1,[2]enemies!$1:$1,0)-MATCH($L$1,[2]enemies!$1:$1,0)+1,FALSE)</f>
        <v>green</v>
      </c>
      <c r="O651" s="21" t="str">
        <f ca="1">VLOOKUP($L651,OFFSET([3]characters!$A$1,0,0,COUNTA([3]characters!$A:$A),MATCH(O$1,[3]characters!$1:$1,0)-MATCH($L$1,[3]characters!$1:$1,0)+1),MATCH(O$1,[3]characters!$1:$1,0)-MATCH($L$1,[3]characters!$1:$1,0)+1,FALSE)</f>
        <v>Material</v>
      </c>
      <c r="P651" s="21" t="str">
        <f ca="1">VLOOKUP($L651,OFFSET([2]enemies!$A$1,0,0,COUNTA([2]enemies!$A:$A),MATCH(P$1,[2]enemies!$1:$1,0)-MATCH($L$1,[2]enemies!$1:$1,0)+1),MATCH(P$1,[2]enemies!$1:$1,0)-MATCH($L$1,[2]enemies!$1:$1,0)+1,FALSE)</f>
        <v>unknown</v>
      </c>
      <c r="Q651" s="21">
        <f ca="1">VLOOKUP($L651,OFFSET([2]enemies!$A$1,0,0,COUNTA([2]enemies!$A:$A),MATCH(Q$1,[2]enemies!$1:$1,0)-MATCH($L$1,[2]enemies!$1:$1,0)+1),MATCH(Q$1,[2]enemies!$1:$1,0)-MATCH($L$1,[2]enemies!$1:$1,0)+1,FALSE)</f>
        <v>15</v>
      </c>
      <c r="R651" s="53">
        <v>50</v>
      </c>
      <c r="S651" s="27">
        <v>1</v>
      </c>
      <c r="T651" s="27">
        <v>1</v>
      </c>
      <c r="U651" s="5">
        <v>0</v>
      </c>
      <c r="V651" s="4" t="str">
        <f ca="1">VLOOKUP($W651,OFFSET([4]enemy_skill_sets!$B$1,0,0,COUNTA([4]enemy_skill_sets!$B:$B),MATCH(M$1,[4]enemy_skill_sets!$1:$1,0)-MATCH($W$1,[4]enemy_skill_sets!$1:$1,0)+2),MATCH(M$1,[4]enemy_skill_sets!$1:$1,0)-MATCH($W$1,[4]enemy_skill_sets!$1:$1,0)+2,FALSE)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651" s="64">
        <v>350</v>
      </c>
      <c r="X651" s="6">
        <v>0</v>
      </c>
      <c r="Y651" s="6">
        <v>100</v>
      </c>
      <c r="Z651" s="6">
        <v>0</v>
      </c>
      <c r="AA651" s="4">
        <f ca="1">VLOOKUP($L651,OFFSET([2]enemies!$A$1,0,0,COUNTA([2]enemies!$A:$A),MATCH(AA$1,[2]enemies!$1:$1,0)-MATCH($L$1,[2]enemies!$1:$1,0)+1),MATCH(AA$1,[2]enemies!$1:$1,0)-MATCH($L$1,[2]enemies!$1:$1,0)+1,FALSE)</f>
        <v>3</v>
      </c>
      <c r="AB651" s="52">
        <v>350</v>
      </c>
      <c r="AC651" s="4" t="str">
        <f ca="1">VLOOKUP($AB651,OFFSET([3]characters!$A$1,0,0,COUNTA([3]characters!$A:$A),MATCH(AC$1,[3]characters!$1:$1,0)-MATCH("character_id",[3]characters!$1:$1,0)+1),MATCH(AC$1,[3]characters!$1:$1,0)-MATCH("character_id",[3]characters!$1:$1,0)+1,FALSE)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651" s="4">
        <f ca="1">VLOOKUP($AB651,OFFSET([3]characters!$A$1,0,0,COUNTA([3]characters!$A:$A),MATCH(AD$1,[3]characters!$1:$1,0)-MATCH("character_id",[3]characters!$1:$1,0)+1),MATCH(AD$1,[3]characters!$1:$1,0)-MATCH("character_id",[3]characters!$1:$1,0)+1,FALSE)</f>
        <v>2</v>
      </c>
      <c r="AE651" s="4" t="str">
        <f ca="1">VLOOKUP($AB651,OFFSET([3]characters!$A$1,0,0,COUNTA([3]characters!$A:$A),MATCH(AE$1,[3]characters!$1:$1,0)-MATCH("character_id",[3]characters!$1:$1,0)+1),MATCH(AE$1,[3]characters!$1:$1,0)-MATCH("character_id",[3]characters!$1:$1,0)+1,FALSE)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51" s="7">
        <v>10</v>
      </c>
      <c r="AG651" s="26">
        <f t="shared" ca="1" si="666"/>
        <v>2</v>
      </c>
      <c r="AH651" s="8">
        <v>20</v>
      </c>
      <c r="AI651" s="7">
        <v>0</v>
      </c>
      <c r="AJ651" s="7">
        <v>0</v>
      </c>
      <c r="AK651" s="7">
        <v>0</v>
      </c>
      <c r="AL651" s="7">
        <v>0</v>
      </c>
      <c r="AM651" s="7">
        <v>1</v>
      </c>
    </row>
    <row r="652" spans="1:39" ht="14" x14ac:dyDescent="0.15">
      <c r="A652" s="18" t="str">
        <f t="shared" ca="1" si="642"/>
        <v>26_1-2/33&lt;lv50&gt;s2</v>
      </c>
      <c r="B652" s="50">
        <v>26</v>
      </c>
      <c r="C652" s="49">
        <v>1</v>
      </c>
      <c r="D652" s="2" t="str">
        <f t="shared" si="658"/>
        <v>26_1</v>
      </c>
      <c r="E652" s="2" t="str">
        <f t="shared" si="658"/>
        <v>1_26_1</v>
      </c>
      <c r="F652" s="4" t="str">
        <f ca="1">VLOOKUP($D652,OFFSET([1]stages!$A$1,0,0,COUNTA([1]stages!$A:$A),MATCH(F$1,[1]stages!$2:$2,0)-MATCH($D$1,[1]stages!$2:$2,0)+1),MATCH(F$1,[1]stages!$2:$2,0)-MATCH($D$1,[1]stages!$2:$2,0)+1,FALSE)</f>
        <v>26-1．無愛想なフロント</v>
      </c>
      <c r="G652" s="57">
        <v>2</v>
      </c>
      <c r="H652" s="17" t="str">
        <f t="shared" si="659"/>
        <v>26_1-2</v>
      </c>
      <c r="I652" s="17"/>
      <c r="J652" s="17"/>
      <c r="K652" s="65" t="s">
        <v>56</v>
      </c>
      <c r="L652" s="52">
        <v>33</v>
      </c>
      <c r="M652" s="21" t="str">
        <f ca="1">VLOOKUP($L652,OFFSET([2]enemies!$A$1,0,0,COUNTA([2]enemies!$A:$A),MATCH(M$1,[2]enemies!$1:$1,0)-MATCH($L$1,[2]enemies!$1:$1,0)+1),MATCH(M$1,[2]enemies!$1:$1,0)-MATCH($L$1,[2]enemies!$1:$1,0)+1,FALSE)</f>
        <v>ゴクウ</v>
      </c>
      <c r="N652" s="21" t="str">
        <f ca="1">VLOOKUP($L652,OFFSET([2]enemies!$A$1,0,0,COUNTA([2]enemies!$A:$A),MATCH(N$1,[2]enemies!$1:$1,0)-MATCH($L$1,[2]enemies!$1:$1,0)+1),MATCH(N$1,[2]enemies!$1:$1,0)-MATCH($L$1,[2]enemies!$1:$1,0)+1,FALSE)</f>
        <v>red</v>
      </c>
      <c r="O652" s="21" t="str">
        <f ca="1">VLOOKUP($L652,OFFSET([3]characters!$A$1,0,0,COUNTA([3]characters!$A:$A),MATCH(O$1,[3]characters!$1:$1,0)-MATCH($L$1,[3]characters!$1:$1,0)+1),MATCH(O$1,[3]characters!$1:$1,0)-MATCH($L$1,[3]characters!$1:$1,0)+1,FALSE)</f>
        <v>Drop1S</v>
      </c>
      <c r="P652" s="21" t="str">
        <f ca="1">VLOOKUP($L652,OFFSET([2]enemies!$A$1,0,0,COUNTA([2]enemies!$A:$A),MATCH(P$1,[2]enemies!$1:$1,0)-MATCH($L$1,[2]enemies!$1:$1,0)+1),MATCH(P$1,[2]enemies!$1:$1,0)-MATCH($L$1,[2]enemies!$1:$1,0)+1,FALSE)</f>
        <v>animal</v>
      </c>
      <c r="Q652" s="21">
        <f ca="1">VLOOKUP($L652,OFFSET([2]enemies!$A$1,0,0,COUNTA([2]enemies!$A:$A),MATCH(Q$1,[2]enemies!$1:$1,0)-MATCH($L$1,[2]enemies!$1:$1,0)+1),MATCH(Q$1,[2]enemies!$1:$1,0)-MATCH($L$1,[2]enemies!$1:$1,0)+1,FALSE)</f>
        <v>15</v>
      </c>
      <c r="R652" s="53">
        <v>50</v>
      </c>
      <c r="S652" s="27">
        <v>1</v>
      </c>
      <c r="T652" s="27">
        <v>1</v>
      </c>
      <c r="U652" s="5">
        <v>0</v>
      </c>
      <c r="V652" s="4" t="str">
        <f ca="1">VLOOKUP($W652,OFFSET([4]enemy_skill_sets!$B$1,0,0,COUNTA([4]enemy_skill_sets!$B:$B),MATCH(M$1,[4]enemy_skill_sets!$1:$1,0)-MATCH($W$1,[4]enemy_skill_sets!$1:$1,0)+2),MATCH(M$1,[4]enemy_skill_sets!$1:$1,0)-MATCH($W$1,[4]enemy_skill_sets!$1:$1,0)+2,FALSE)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652" s="4">
        <f ca="1">VLOOKUP($L652,OFFSET([2]enemies!$A$1,0,0,COUNTA([2]enemies!$A:$A),MATCH(W$1,[2]enemies!$1:$1,0)-MATCH($L$1,[2]enemies!$1:$1,0)+1),MATCH(W$1,[2]enemies!$1:$1,0)-MATCH($L$1,[2]enemies!$1:$1,0)+1,FALSE)</f>
        <v>33</v>
      </c>
      <c r="X652" s="6">
        <v>0</v>
      </c>
      <c r="Y652" s="6">
        <v>100</v>
      </c>
      <c r="Z652" s="6">
        <v>0</v>
      </c>
      <c r="AA652" s="4">
        <f ca="1">VLOOKUP($L652,OFFSET([2]enemies!$A$1,0,0,COUNTA([2]enemies!$A:$A),MATCH(AA$1,[2]enemies!$1:$1,0)-MATCH($L$1,[2]enemies!$1:$1,0)+1),MATCH(AA$1,[2]enemies!$1:$1,0)-MATCH($L$1,[2]enemies!$1:$1,0)+1,FALSE)</f>
        <v>2</v>
      </c>
      <c r="AB652" s="52">
        <v>33</v>
      </c>
      <c r="AC652" s="4" t="str">
        <f ca="1">VLOOKUP($AB652,OFFSET([3]characters!$A$1,0,0,COUNTA([3]characters!$A:$A),MATCH(AC$1,[3]characters!$1:$1,0)-MATCH("character_id",[3]characters!$1:$1,0)+1),MATCH(AC$1,[3]characters!$1:$1,0)-MATCH("character_id",[3]characters!$1:$1,0)+1,FALSE)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652" s="4">
        <f ca="1">VLOOKUP($AB652,OFFSET([3]characters!$A$1,0,0,COUNTA([3]characters!$A:$A),MATCH(AD$1,[3]characters!$1:$1,0)-MATCH("character_id",[3]characters!$1:$1,0)+1),MATCH(AD$1,[3]characters!$1:$1,0)-MATCH("character_id",[3]characters!$1:$1,0)+1,FALSE)</f>
        <v>2</v>
      </c>
      <c r="AE652" s="4" t="str">
        <f ca="1">VLOOKUP($AB652,OFFSET([3]characters!$A$1,0,0,COUNTA([3]characters!$A:$A),MATCH(AE$1,[3]characters!$1:$1,0)-MATCH("character_id",[3]characters!$1:$1,0)+1),MATCH(AE$1,[3]characters!$1:$1,0)-MATCH("character_id",[3]characters!$1:$1,0)+1,FALSE)</f>
        <v>Drop1S</v>
      </c>
      <c r="AF652" s="7">
        <v>5</v>
      </c>
      <c r="AG652" s="26">
        <f t="shared" ca="1" si="666"/>
        <v>2</v>
      </c>
      <c r="AH652" s="8">
        <v>20</v>
      </c>
      <c r="AI652" s="7">
        <v>0</v>
      </c>
      <c r="AJ652" s="7">
        <v>0</v>
      </c>
      <c r="AK652" s="7">
        <v>0</v>
      </c>
      <c r="AL652" s="7">
        <v>0</v>
      </c>
      <c r="AM652" s="7">
        <v>1</v>
      </c>
    </row>
    <row r="653" spans="1:39" ht="14" x14ac:dyDescent="0.15">
      <c r="A653" s="18" t="str">
        <f t="shared" ca="1" si="642"/>
        <v>26_1-2/37&lt;lv50&gt;s3</v>
      </c>
      <c r="B653" s="50">
        <v>26</v>
      </c>
      <c r="C653" s="49">
        <v>1</v>
      </c>
      <c r="D653" s="2" t="str">
        <f t="shared" si="658"/>
        <v>26_1</v>
      </c>
      <c r="E653" s="2" t="str">
        <f t="shared" si="658"/>
        <v>1_26_1</v>
      </c>
      <c r="F653" s="4" t="str">
        <f ca="1">VLOOKUP($D653,OFFSET([1]stages!$A$1,0,0,COUNTA([1]stages!$A:$A),MATCH(F$1,[1]stages!$2:$2,0)-MATCH($D$1,[1]stages!$2:$2,0)+1),MATCH(F$1,[1]stages!$2:$2,0)-MATCH($D$1,[1]stages!$2:$2,0)+1,FALSE)</f>
        <v>26-1．無愛想なフロント</v>
      </c>
      <c r="G653" s="57">
        <v>2</v>
      </c>
      <c r="H653" s="17" t="str">
        <f t="shared" si="659"/>
        <v>26_1-2</v>
      </c>
      <c r="I653" s="17"/>
      <c r="J653" s="17"/>
      <c r="K653" s="65" t="s">
        <v>56</v>
      </c>
      <c r="L653" s="52">
        <v>37</v>
      </c>
      <c r="M653" s="21" t="str">
        <f ca="1">VLOOKUP($L653,OFFSET([2]enemies!$A$1,0,0,COUNTA([2]enemies!$A:$A),MATCH(M$1,[2]enemies!$1:$1,0)-MATCH($L$1,[2]enemies!$1:$1,0)+1),MATCH(M$1,[2]enemies!$1:$1,0)-MATCH($L$1,[2]enemies!$1:$1,0)+1,FALSE)</f>
        <v>ガイル</v>
      </c>
      <c r="N653" s="21" t="str">
        <f ca="1">VLOOKUP($L653,OFFSET([2]enemies!$A$1,0,0,COUNTA([2]enemies!$A:$A),MATCH(N$1,[2]enemies!$1:$1,0)-MATCH($L$1,[2]enemies!$1:$1,0)+1),MATCH(N$1,[2]enemies!$1:$1,0)-MATCH($L$1,[2]enemies!$1:$1,0)+1,FALSE)</f>
        <v>blue</v>
      </c>
      <c r="O653" s="21" t="str">
        <f ca="1">VLOOKUP($L653,OFFSET([3]characters!$A$1,0,0,COUNTA([3]characters!$A:$A),MATCH(O$1,[3]characters!$1:$1,0)-MATCH($L$1,[3]characters!$1:$1,0)+1),MATCH(O$1,[3]characters!$1:$1,0)-MATCH($L$1,[3]characters!$1:$1,0)+1,FALSE)</f>
        <v>Drop1S</v>
      </c>
      <c r="P653" s="21" t="str">
        <f ca="1">VLOOKUP($L653,OFFSET([2]enemies!$A$1,0,0,COUNTA([2]enemies!$A:$A),MATCH(P$1,[2]enemies!$1:$1,0)-MATCH($L$1,[2]enemies!$1:$1,0)+1),MATCH(P$1,[2]enemies!$1:$1,0)-MATCH($L$1,[2]enemies!$1:$1,0)+1,FALSE)</f>
        <v>animal</v>
      </c>
      <c r="Q653" s="21">
        <f ca="1">VLOOKUP($L653,OFFSET([2]enemies!$A$1,0,0,COUNTA([2]enemies!$A:$A),MATCH(Q$1,[2]enemies!$1:$1,0)-MATCH($L$1,[2]enemies!$1:$1,0)+1),MATCH(Q$1,[2]enemies!$1:$1,0)-MATCH($L$1,[2]enemies!$1:$1,0)+1,FALSE)</f>
        <v>15</v>
      </c>
      <c r="R653" s="53">
        <v>50</v>
      </c>
      <c r="S653" s="27">
        <v>1</v>
      </c>
      <c r="T653" s="27">
        <v>1</v>
      </c>
      <c r="U653" s="5">
        <v>0</v>
      </c>
      <c r="V653" s="4" t="str">
        <f ca="1">VLOOKUP($W653,OFFSET([4]enemy_skill_sets!$B$1,0,0,COUNTA([4]enemy_skill_sets!$B:$B),MATCH(M$1,[4]enemy_skill_sets!$1:$1,0)-MATCH($W$1,[4]enemy_skill_sets!$1:$1,0)+2),MATCH(M$1,[4]enemy_skill_sets!$1:$1,0)-MATCH($W$1,[4]enemy_skill_sets!$1:$1,0)+2,FALSE)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653" s="4">
        <f ca="1">VLOOKUP($L653,OFFSET([2]enemies!$A$1,0,0,COUNTA([2]enemies!$A:$A),MATCH(W$1,[2]enemies!$1:$1,0)-MATCH($L$1,[2]enemies!$1:$1,0)+1),MATCH(W$1,[2]enemies!$1:$1,0)-MATCH($L$1,[2]enemies!$1:$1,0)+1,FALSE)</f>
        <v>37</v>
      </c>
      <c r="X653" s="6">
        <v>0</v>
      </c>
      <c r="Y653" s="6">
        <v>100</v>
      </c>
      <c r="Z653" s="6">
        <v>0</v>
      </c>
      <c r="AA653" s="4">
        <f ca="1">VLOOKUP($L653,OFFSET([2]enemies!$A$1,0,0,COUNTA([2]enemies!$A:$A),MATCH(AA$1,[2]enemies!$1:$1,0)-MATCH($L$1,[2]enemies!$1:$1,0)+1),MATCH(AA$1,[2]enemies!$1:$1,0)-MATCH($L$1,[2]enemies!$1:$1,0)+1,FALSE)</f>
        <v>3</v>
      </c>
      <c r="AB653" s="52">
        <v>37</v>
      </c>
      <c r="AC653" s="4" t="str">
        <f ca="1">VLOOKUP($AB653,OFFSET([3]characters!$A$1,0,0,COUNTA([3]characters!$A:$A),MATCH(AC$1,[3]characters!$1:$1,0)-MATCH("character_id",[3]characters!$1:$1,0)+1),MATCH(AC$1,[3]characters!$1:$1,0)-MATCH("character_id",[3]characters!$1:$1,0)+1,FALSE)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653" s="4">
        <f ca="1">VLOOKUP($AB653,OFFSET([3]characters!$A$1,0,0,COUNTA([3]characters!$A:$A),MATCH(AD$1,[3]characters!$1:$1,0)-MATCH("character_id",[3]characters!$1:$1,0)+1),MATCH(AD$1,[3]characters!$1:$1,0)-MATCH("character_id",[3]characters!$1:$1,0)+1,FALSE)</f>
        <v>2</v>
      </c>
      <c r="AE653" s="4" t="str">
        <f ca="1">VLOOKUP($AB653,OFFSET([3]characters!$A$1,0,0,COUNTA([3]characters!$A:$A),MATCH(AE$1,[3]characters!$1:$1,0)-MATCH("character_id",[3]characters!$1:$1,0)+1),MATCH(AE$1,[3]characters!$1:$1,0)-MATCH("character_id",[3]characters!$1:$1,0)+1,FALSE)</f>
        <v>Drop1S</v>
      </c>
      <c r="AF653" s="7">
        <v>5</v>
      </c>
      <c r="AG653" s="26">
        <f t="shared" ca="1" si="666"/>
        <v>2</v>
      </c>
      <c r="AH653" s="8">
        <v>20</v>
      </c>
      <c r="AI653" s="7">
        <v>0</v>
      </c>
      <c r="AJ653" s="7">
        <v>0</v>
      </c>
      <c r="AK653" s="7">
        <v>0</v>
      </c>
      <c r="AL653" s="7">
        <v>0</v>
      </c>
      <c r="AM653" s="7">
        <v>1</v>
      </c>
    </row>
    <row r="654" spans="1:39" ht="14" x14ac:dyDescent="0.15">
      <c r="A654" s="18" t="str">
        <f t="shared" ca="1" si="642"/>
        <v>26_1-2/45&lt;lv50&gt;s3</v>
      </c>
      <c r="B654" s="50">
        <v>26</v>
      </c>
      <c r="C654" s="49">
        <v>1</v>
      </c>
      <c r="D654" s="2" t="str">
        <f t="shared" si="658"/>
        <v>26_1</v>
      </c>
      <c r="E654" s="2" t="str">
        <f t="shared" si="658"/>
        <v>1_26_1</v>
      </c>
      <c r="F654" s="4" t="str">
        <f ca="1">VLOOKUP($D654,OFFSET([1]stages!$A$1,0,0,COUNTA([1]stages!$A:$A),MATCH(F$1,[1]stages!$2:$2,0)-MATCH($D$1,[1]stages!$2:$2,0)+1),MATCH(F$1,[1]stages!$2:$2,0)-MATCH($D$1,[1]stages!$2:$2,0)+1,FALSE)</f>
        <v>26-1．無愛想なフロント</v>
      </c>
      <c r="G654" s="57">
        <v>2</v>
      </c>
      <c r="H654" s="17" t="str">
        <f t="shared" si="659"/>
        <v>26_1-2</v>
      </c>
      <c r="I654" s="17"/>
      <c r="J654" s="17"/>
      <c r="K654" s="65" t="s">
        <v>56</v>
      </c>
      <c r="L654" s="52">
        <v>45</v>
      </c>
      <c r="M654" s="21" t="str">
        <f ca="1">VLOOKUP($L654,OFFSET([2]enemies!$A$1,0,0,COUNTA([2]enemies!$A:$A),MATCH(M$1,[2]enemies!$1:$1,0)-MATCH($L$1,[2]enemies!$1:$1,0)+1),MATCH(M$1,[2]enemies!$1:$1,0)-MATCH($L$1,[2]enemies!$1:$1,0)+1,FALSE)</f>
        <v>ショウイン</v>
      </c>
      <c r="N654" s="21" t="str">
        <f ca="1">VLOOKUP($L654,OFFSET([2]enemies!$A$1,0,0,COUNTA([2]enemies!$A:$A),MATCH(N$1,[2]enemies!$1:$1,0)-MATCH($L$1,[2]enemies!$1:$1,0)+1),MATCH(N$1,[2]enemies!$1:$1,0)-MATCH($L$1,[2]enemies!$1:$1,0)+1,FALSE)</f>
        <v>blue</v>
      </c>
      <c r="O654" s="21" t="str">
        <f ca="1">VLOOKUP($L654,OFFSET([3]characters!$A$1,0,0,COUNTA([3]characters!$A:$A),MATCH(O$1,[3]characters!$1:$1,0)-MATCH($L$1,[3]characters!$1:$1,0)+1),MATCH(O$1,[3]characters!$1:$1,0)-MATCH($L$1,[3]characters!$1:$1,0)+1,FALSE)</f>
        <v>Drop1N</v>
      </c>
      <c r="P654" s="21" t="str">
        <f ca="1">VLOOKUP($L654,OFFSET([2]enemies!$A$1,0,0,COUNTA([2]enemies!$A:$A),MATCH(P$1,[2]enemies!$1:$1,0)-MATCH($L$1,[2]enemies!$1:$1,0)+1),MATCH(P$1,[2]enemies!$1:$1,0)-MATCH($L$1,[2]enemies!$1:$1,0)+1,FALSE)</f>
        <v>animal</v>
      </c>
      <c r="Q654" s="21">
        <f ca="1">VLOOKUP($L654,OFFSET([2]enemies!$A$1,0,0,COUNTA([2]enemies!$A:$A),MATCH(Q$1,[2]enemies!$1:$1,0)-MATCH($L$1,[2]enemies!$1:$1,0)+1),MATCH(Q$1,[2]enemies!$1:$1,0)-MATCH($L$1,[2]enemies!$1:$1,0)+1,FALSE)</f>
        <v>15</v>
      </c>
      <c r="R654" s="53">
        <v>50</v>
      </c>
      <c r="S654" s="27">
        <v>1</v>
      </c>
      <c r="T654" s="27">
        <v>1</v>
      </c>
      <c r="U654" s="5">
        <v>0</v>
      </c>
      <c r="V654" s="4" t="str">
        <f ca="1">VLOOKUP($W654,OFFSET([4]enemy_skill_sets!$B$1,0,0,COUNTA([4]enemy_skill_sets!$B:$B),MATCH(M$1,[4]enemy_skill_sets!$1:$1,0)-MATCH($W$1,[4]enemy_skill_sets!$1:$1,0)+2),MATCH(M$1,[4]enemy_skill_sets!$1:$1,0)-MATCH($W$1,[4]enemy_skill_sets!$1:$1,0)+2,FALSE)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54" s="4">
        <f ca="1">VLOOKUP($L654,OFFSET([2]enemies!$A$1,0,0,COUNTA([2]enemies!$A:$A),MATCH(W$1,[2]enemies!$1:$1,0)-MATCH($L$1,[2]enemies!$1:$1,0)+1),MATCH(W$1,[2]enemies!$1:$1,0)-MATCH($L$1,[2]enemies!$1:$1,0)+1,FALSE)</f>
        <v>0</v>
      </c>
      <c r="X654" s="6">
        <v>0</v>
      </c>
      <c r="Y654" s="6">
        <v>100</v>
      </c>
      <c r="Z654" s="6">
        <v>0</v>
      </c>
      <c r="AA654" s="4">
        <f ca="1">VLOOKUP($L654,OFFSET([2]enemies!$A$1,0,0,COUNTA([2]enemies!$A:$A),MATCH(AA$1,[2]enemies!$1:$1,0)-MATCH($L$1,[2]enemies!$1:$1,0)+1),MATCH(AA$1,[2]enemies!$1:$1,0)-MATCH($L$1,[2]enemies!$1:$1,0)+1,FALSE)</f>
        <v>3</v>
      </c>
      <c r="AB654" s="52">
        <v>45</v>
      </c>
      <c r="AC654" s="4" t="str">
        <f ca="1">VLOOKUP($AB654,OFFSET([3]characters!$A$1,0,0,COUNTA([3]characters!$A:$A),MATCH(AC$1,[3]characters!$1:$1,0)-MATCH("character_id",[3]characters!$1:$1,0)+1),MATCH(AC$1,[3]characters!$1:$1,0)-MATCH("character_id",[3]characters!$1:$1,0)+1,FALSE)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654" s="4">
        <f ca="1">VLOOKUP($AB654,OFFSET([3]characters!$A$1,0,0,COUNTA([3]characters!$A:$A),MATCH(AD$1,[3]characters!$1:$1,0)-MATCH("character_id",[3]characters!$1:$1,0)+1),MATCH(AD$1,[3]characters!$1:$1,0)-MATCH("character_id",[3]characters!$1:$1,0)+1,FALSE)</f>
        <v>2</v>
      </c>
      <c r="AE654" s="4" t="str">
        <f ca="1">VLOOKUP($AB654,OFFSET([3]characters!$A$1,0,0,COUNTA([3]characters!$A:$A),MATCH(AE$1,[3]characters!$1:$1,0)-MATCH("character_id",[3]characters!$1:$1,0)+1),MATCH(AE$1,[3]characters!$1:$1,0)-MATCH("character_id",[3]characters!$1:$1,0)+1,FALSE)</f>
        <v>Drop1N</v>
      </c>
      <c r="AF654" s="7">
        <v>7</v>
      </c>
      <c r="AG654" s="26">
        <f t="shared" ca="1" si="666"/>
        <v>2</v>
      </c>
      <c r="AH654" s="8">
        <v>20</v>
      </c>
      <c r="AI654" s="7">
        <v>0</v>
      </c>
      <c r="AJ654" s="7">
        <v>0</v>
      </c>
      <c r="AK654" s="7">
        <v>0</v>
      </c>
      <c r="AL654" s="7">
        <v>0</v>
      </c>
      <c r="AM654" s="7">
        <v>1</v>
      </c>
    </row>
    <row r="655" spans="1:39" ht="14" x14ac:dyDescent="0.15">
      <c r="A655" s="18" t="str">
        <f t="shared" ca="1" si="642"/>
        <v>26_1-2/47&lt;lv50&gt;s1</v>
      </c>
      <c r="B655" s="50">
        <v>26</v>
      </c>
      <c r="C655" s="49">
        <v>1</v>
      </c>
      <c r="D655" s="2" t="str">
        <f t="shared" si="658"/>
        <v>26_1</v>
      </c>
      <c r="E655" s="2" t="str">
        <f t="shared" si="658"/>
        <v>1_26_1</v>
      </c>
      <c r="F655" s="4" t="str">
        <f ca="1">VLOOKUP($D655,OFFSET([1]stages!$A$1,0,0,COUNTA([1]stages!$A:$A),MATCH(F$1,[1]stages!$2:$2,0)-MATCH($D$1,[1]stages!$2:$2,0)+1),MATCH(F$1,[1]stages!$2:$2,0)-MATCH($D$1,[1]stages!$2:$2,0)+1,FALSE)</f>
        <v>26-1．無愛想なフロント</v>
      </c>
      <c r="G655" s="57">
        <v>2</v>
      </c>
      <c r="H655" s="17" t="str">
        <f t="shared" si="659"/>
        <v>26_1-2</v>
      </c>
      <c r="I655" s="17"/>
      <c r="J655" s="17"/>
      <c r="K655" s="65" t="s">
        <v>56</v>
      </c>
      <c r="L655" s="52">
        <v>47</v>
      </c>
      <c r="M655" s="21" t="str">
        <f ca="1">VLOOKUP($L655,OFFSET([2]enemies!$A$1,0,0,COUNTA([2]enemies!$A:$A),MATCH(M$1,[2]enemies!$1:$1,0)-MATCH($L$1,[2]enemies!$1:$1,0)+1),MATCH(M$1,[2]enemies!$1:$1,0)-MATCH($L$1,[2]enemies!$1:$1,0)+1,FALSE)</f>
        <v>ヒロ</v>
      </c>
      <c r="N655" s="21" t="str">
        <f ca="1">VLOOKUP($L655,OFFSET([2]enemies!$A$1,0,0,COUNTA([2]enemies!$A:$A),MATCH(N$1,[2]enemies!$1:$1,0)-MATCH($L$1,[2]enemies!$1:$1,0)+1),MATCH(N$1,[2]enemies!$1:$1,0)-MATCH($L$1,[2]enemies!$1:$1,0)+1,FALSE)</f>
        <v>yellow</v>
      </c>
      <c r="O655" s="21" t="str">
        <f ca="1">VLOOKUP($L655,OFFSET([3]characters!$A$1,0,0,COUNTA([3]characters!$A:$A),MATCH(O$1,[3]characters!$1:$1,0)-MATCH($L$1,[3]characters!$1:$1,0)+1),MATCH(O$1,[3]characters!$1:$1,0)-MATCH($L$1,[3]characters!$1:$1,0)+1,FALSE)</f>
        <v>Drop1N</v>
      </c>
      <c r="P655" s="21" t="str">
        <f ca="1">VLOOKUP($L655,OFFSET([2]enemies!$A$1,0,0,COUNTA([2]enemies!$A:$A),MATCH(P$1,[2]enemies!$1:$1,0)-MATCH($L$1,[2]enemies!$1:$1,0)+1),MATCH(P$1,[2]enemies!$1:$1,0)-MATCH($L$1,[2]enemies!$1:$1,0)+1,FALSE)</f>
        <v>animal</v>
      </c>
      <c r="Q655" s="21">
        <f ca="1">VLOOKUP($L655,OFFSET([2]enemies!$A$1,0,0,COUNTA([2]enemies!$A:$A),MATCH(Q$1,[2]enemies!$1:$1,0)-MATCH($L$1,[2]enemies!$1:$1,0)+1),MATCH(Q$1,[2]enemies!$1:$1,0)-MATCH($L$1,[2]enemies!$1:$1,0)+1,FALSE)</f>
        <v>15</v>
      </c>
      <c r="R655" s="53">
        <v>50</v>
      </c>
      <c r="S655" s="27">
        <v>1</v>
      </c>
      <c r="T655" s="27">
        <v>1</v>
      </c>
      <c r="U655" s="5">
        <v>0</v>
      </c>
      <c r="V655" s="4" t="str">
        <f ca="1">VLOOKUP($W655,OFFSET([4]enemy_skill_sets!$B$1,0,0,COUNTA([4]enemy_skill_sets!$B:$B),MATCH(M$1,[4]enemy_skill_sets!$1:$1,0)-MATCH($W$1,[4]enemy_skill_sets!$1:$1,0)+2),MATCH(M$1,[4]enemy_skill_sets!$1:$1,0)-MATCH($W$1,[4]enemy_skill_sets!$1:$1,0)+2,FALSE)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55" s="4">
        <f ca="1">VLOOKUP($L655,OFFSET([2]enemies!$A$1,0,0,COUNTA([2]enemies!$A:$A),MATCH(W$1,[2]enemies!$1:$1,0)-MATCH($L$1,[2]enemies!$1:$1,0)+1),MATCH(W$1,[2]enemies!$1:$1,0)-MATCH($L$1,[2]enemies!$1:$1,0)+1,FALSE)</f>
        <v>0</v>
      </c>
      <c r="X655" s="6">
        <v>0</v>
      </c>
      <c r="Y655" s="6">
        <v>100</v>
      </c>
      <c r="Z655" s="6">
        <v>0</v>
      </c>
      <c r="AA655" s="4">
        <f ca="1">VLOOKUP($L655,OFFSET([2]enemies!$A$1,0,0,COUNTA([2]enemies!$A:$A),MATCH(AA$1,[2]enemies!$1:$1,0)-MATCH($L$1,[2]enemies!$1:$1,0)+1),MATCH(AA$1,[2]enemies!$1:$1,0)-MATCH($L$1,[2]enemies!$1:$1,0)+1,FALSE)</f>
        <v>1</v>
      </c>
      <c r="AB655" s="52">
        <v>47</v>
      </c>
      <c r="AC655" s="4" t="str">
        <f ca="1">VLOOKUP($AB655,OFFSET([3]characters!$A$1,0,0,COUNTA([3]characters!$A:$A),MATCH(AC$1,[3]characters!$1:$1,0)-MATCH("character_id",[3]characters!$1:$1,0)+1),MATCH(AC$1,[3]characters!$1:$1,0)-MATCH("character_id",[3]characters!$1:$1,0)+1,FALSE)</f>
        <v>ヒロ</v>
      </c>
      <c r="AD655" s="4">
        <f ca="1">VLOOKUP($AB655,OFFSET([3]characters!$A$1,0,0,COUNTA([3]characters!$A:$A),MATCH(AD$1,[3]characters!$1:$1,0)-MATCH("character_id",[3]characters!$1:$1,0)+1),MATCH(AD$1,[3]characters!$1:$1,0)-MATCH("character_id",[3]characters!$1:$1,0)+1,FALSE)</f>
        <v>2</v>
      </c>
      <c r="AE655" s="4" t="str">
        <f ca="1">VLOOKUP($AB655,OFFSET([3]characters!$A$1,0,0,COUNTA([3]characters!$A:$A),MATCH(AE$1,[3]characters!$1:$1,0)-MATCH("character_id",[3]characters!$1:$1,0)+1),MATCH(AE$1,[3]characters!$1:$1,0)-MATCH("character_id",[3]characters!$1:$1,0)+1,FALSE)</f>
        <v>Drop1N</v>
      </c>
      <c r="AF655" s="7">
        <v>7</v>
      </c>
      <c r="AG655" s="26">
        <f t="shared" ca="1" si="666"/>
        <v>2</v>
      </c>
      <c r="AH655" s="8">
        <v>20</v>
      </c>
      <c r="AI655" s="7">
        <v>0</v>
      </c>
      <c r="AJ655" s="7">
        <v>0</v>
      </c>
      <c r="AK655" s="7">
        <v>0</v>
      </c>
      <c r="AL655" s="7">
        <v>0</v>
      </c>
      <c r="AM655" s="7">
        <v>1</v>
      </c>
    </row>
    <row r="656" spans="1:39" ht="14" x14ac:dyDescent="0.15">
      <c r="A656" s="18" t="str">
        <f t="shared" ca="1" si="642"/>
        <v>26_1-2/57&lt;lv50&gt;s2</v>
      </c>
      <c r="B656" s="50">
        <v>26</v>
      </c>
      <c r="C656" s="49">
        <v>1</v>
      </c>
      <c r="D656" s="2" t="str">
        <f t="shared" si="658"/>
        <v>26_1</v>
      </c>
      <c r="E656" s="2" t="str">
        <f t="shared" si="658"/>
        <v>1_26_1</v>
      </c>
      <c r="F656" s="4" t="str">
        <f ca="1">VLOOKUP($D656,OFFSET([1]stages!$A$1,0,0,COUNTA([1]stages!$A:$A),MATCH(F$1,[1]stages!$2:$2,0)-MATCH($D$1,[1]stages!$2:$2,0)+1),MATCH(F$1,[1]stages!$2:$2,0)-MATCH($D$1,[1]stages!$2:$2,0)+1,FALSE)</f>
        <v>26-1．無愛想なフロント</v>
      </c>
      <c r="G656" s="57">
        <v>2</v>
      </c>
      <c r="H656" s="17" t="str">
        <f t="shared" si="659"/>
        <v>26_1-2</v>
      </c>
      <c r="I656" s="17"/>
      <c r="J656" s="17"/>
      <c r="K656" s="65" t="s">
        <v>56</v>
      </c>
      <c r="L656" s="52">
        <v>57</v>
      </c>
      <c r="M656" s="21" t="str">
        <f ca="1">VLOOKUP($L656,OFFSET([2]enemies!$A$1,0,0,COUNTA([2]enemies!$A:$A),MATCH(M$1,[2]enemies!$1:$1,0)-MATCH($L$1,[2]enemies!$1:$1,0)+1),MATCH(M$1,[2]enemies!$1:$1,0)-MATCH($L$1,[2]enemies!$1:$1,0)+1,FALSE)</f>
        <v>チェン・リー</v>
      </c>
      <c r="N656" s="21" t="str">
        <f ca="1">VLOOKUP($L656,OFFSET([2]enemies!$A$1,0,0,COUNTA([2]enemies!$A:$A),MATCH(N$1,[2]enemies!$1:$1,0)-MATCH($L$1,[2]enemies!$1:$1,0)+1),MATCH(N$1,[2]enemies!$1:$1,0)-MATCH($L$1,[2]enemies!$1:$1,0)+1,FALSE)</f>
        <v>red</v>
      </c>
      <c r="O656" s="21" t="str">
        <f ca="1">VLOOKUP($L656,OFFSET([3]characters!$A$1,0,0,COUNTA([3]characters!$A:$A),MATCH(O$1,[3]characters!$1:$1,0)-MATCH($L$1,[3]characters!$1:$1,0)+1),MATCH(O$1,[3]characters!$1:$1,0)-MATCH($L$1,[3]characters!$1:$1,0)+1,FALSE)</f>
        <v>Drop1N</v>
      </c>
      <c r="P656" s="21" t="str">
        <f ca="1">VLOOKUP($L656,OFFSET([2]enemies!$A$1,0,0,COUNTA([2]enemies!$A:$A),MATCH(P$1,[2]enemies!$1:$1,0)-MATCH($L$1,[2]enemies!$1:$1,0)+1),MATCH(P$1,[2]enemies!$1:$1,0)-MATCH($L$1,[2]enemies!$1:$1,0)+1,FALSE)</f>
        <v>animal</v>
      </c>
      <c r="Q656" s="21">
        <f ca="1">VLOOKUP($L656,OFFSET([2]enemies!$A$1,0,0,COUNTA([2]enemies!$A:$A),MATCH(Q$1,[2]enemies!$1:$1,0)-MATCH($L$1,[2]enemies!$1:$1,0)+1),MATCH(Q$1,[2]enemies!$1:$1,0)-MATCH($L$1,[2]enemies!$1:$1,0)+1,FALSE)</f>
        <v>15</v>
      </c>
      <c r="R656" s="53">
        <v>50</v>
      </c>
      <c r="S656" s="27">
        <v>1</v>
      </c>
      <c r="T656" s="27">
        <v>1</v>
      </c>
      <c r="U656" s="5">
        <v>0</v>
      </c>
      <c r="V656" s="4" t="str">
        <f ca="1">VLOOKUP($W656,OFFSET([4]enemy_skill_sets!$B$1,0,0,COUNTA([4]enemy_skill_sets!$B:$B),MATCH(M$1,[4]enemy_skill_sets!$1:$1,0)-MATCH($W$1,[4]enemy_skill_sets!$1:$1,0)+2),MATCH(M$1,[4]enemy_skill_sets!$1:$1,0)-MATCH($W$1,[4]enemy_skill_sets!$1:$1,0)+2,FALSE)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656" s="4">
        <f ca="1">VLOOKUP($L656,OFFSET([2]enemies!$A$1,0,0,COUNTA([2]enemies!$A:$A),MATCH(W$1,[2]enemies!$1:$1,0)-MATCH($L$1,[2]enemies!$1:$1,0)+1),MATCH(W$1,[2]enemies!$1:$1,0)-MATCH($L$1,[2]enemies!$1:$1,0)+1,FALSE)</f>
        <v>57</v>
      </c>
      <c r="X656" s="6">
        <v>0</v>
      </c>
      <c r="Y656" s="6">
        <v>100</v>
      </c>
      <c r="Z656" s="6">
        <v>0</v>
      </c>
      <c r="AA656" s="4">
        <f ca="1">VLOOKUP($L656,OFFSET([2]enemies!$A$1,0,0,COUNTA([2]enemies!$A:$A),MATCH(AA$1,[2]enemies!$1:$1,0)-MATCH($L$1,[2]enemies!$1:$1,0)+1),MATCH(AA$1,[2]enemies!$1:$1,0)-MATCH($L$1,[2]enemies!$1:$1,0)+1,FALSE)</f>
        <v>2</v>
      </c>
      <c r="AB656" s="52">
        <v>57</v>
      </c>
      <c r="AC656" s="4" t="str">
        <f ca="1">VLOOKUP($AB656,OFFSET([3]characters!$A$1,0,0,COUNTA([3]characters!$A:$A),MATCH(AC$1,[3]characters!$1:$1,0)-MATCH("character_id",[3]characters!$1:$1,0)+1),MATCH(AC$1,[3]characters!$1:$1,0)-MATCH("character_id",[3]characters!$1:$1,0)+1,FALSE)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656" s="4">
        <f ca="1">VLOOKUP($AB656,OFFSET([3]characters!$A$1,0,0,COUNTA([3]characters!$A:$A),MATCH(AD$1,[3]characters!$1:$1,0)-MATCH("character_id",[3]characters!$1:$1,0)+1),MATCH(AD$1,[3]characters!$1:$1,0)-MATCH("character_id",[3]characters!$1:$1,0)+1,FALSE)</f>
        <v>2</v>
      </c>
      <c r="AE656" s="4" t="str">
        <f ca="1">VLOOKUP($AB656,OFFSET([3]characters!$A$1,0,0,COUNTA([3]characters!$A:$A),MATCH(AE$1,[3]characters!$1:$1,0)-MATCH("character_id",[3]characters!$1:$1,0)+1),MATCH(AE$1,[3]characters!$1:$1,0)-MATCH("character_id",[3]characters!$1:$1,0)+1,FALSE)</f>
        <v>Drop1N</v>
      </c>
      <c r="AF656" s="7">
        <v>7</v>
      </c>
      <c r="AG656" s="26">
        <f t="shared" ca="1" si="666"/>
        <v>2</v>
      </c>
      <c r="AH656" s="8">
        <v>20</v>
      </c>
      <c r="AI656" s="7">
        <v>0</v>
      </c>
      <c r="AJ656" s="7">
        <v>0</v>
      </c>
      <c r="AK656" s="7">
        <v>0</v>
      </c>
      <c r="AL656" s="7">
        <v>0</v>
      </c>
      <c r="AM656" s="7">
        <v>1</v>
      </c>
    </row>
    <row r="657" spans="1:39" ht="14" x14ac:dyDescent="0.15">
      <c r="A657" s="18" t="str">
        <f t="shared" ca="1" si="642"/>
        <v>26_1-2/59&lt;lv50&gt;s2</v>
      </c>
      <c r="B657" s="50">
        <v>26</v>
      </c>
      <c r="C657" s="49">
        <v>1</v>
      </c>
      <c r="D657" s="2" t="str">
        <f t="shared" si="658"/>
        <v>26_1</v>
      </c>
      <c r="E657" s="2" t="str">
        <f t="shared" si="658"/>
        <v>1_26_1</v>
      </c>
      <c r="F657" s="4" t="str">
        <f ca="1">VLOOKUP($D657,OFFSET([1]stages!$A$1,0,0,COUNTA([1]stages!$A:$A),MATCH(F$1,[1]stages!$2:$2,0)-MATCH($D$1,[1]stages!$2:$2,0)+1),MATCH(F$1,[1]stages!$2:$2,0)-MATCH($D$1,[1]stages!$2:$2,0)+1,FALSE)</f>
        <v>26-1．無愛想なフロント</v>
      </c>
      <c r="G657" s="57">
        <v>2</v>
      </c>
      <c r="H657" s="17" t="str">
        <f t="shared" si="659"/>
        <v>26_1-2</v>
      </c>
      <c r="I657" s="17"/>
      <c r="J657" s="17"/>
      <c r="K657" s="65" t="s">
        <v>56</v>
      </c>
      <c r="L657" s="52">
        <v>59</v>
      </c>
      <c r="M657" s="21" t="str">
        <f ca="1">VLOOKUP($L657,OFFSET([2]enemies!$A$1,0,0,COUNTA([2]enemies!$A:$A),MATCH(M$1,[2]enemies!$1:$1,0)-MATCH($L$1,[2]enemies!$1:$1,0)+1),MATCH(M$1,[2]enemies!$1:$1,0)-MATCH($L$1,[2]enemies!$1:$1,0)+1,FALSE)</f>
        <v>マーチ</v>
      </c>
      <c r="N657" s="21" t="str">
        <f ca="1">VLOOKUP($L657,OFFSET([2]enemies!$A$1,0,0,COUNTA([2]enemies!$A:$A),MATCH(N$1,[2]enemies!$1:$1,0)-MATCH($L$1,[2]enemies!$1:$1,0)+1),MATCH(N$1,[2]enemies!$1:$1,0)-MATCH($L$1,[2]enemies!$1:$1,0)+1,FALSE)</f>
        <v>green</v>
      </c>
      <c r="O657" s="21" t="str">
        <f ca="1">VLOOKUP($L657,OFFSET([3]characters!$A$1,0,0,COUNTA([3]characters!$A:$A),MATCH(O$1,[3]characters!$1:$1,0)-MATCH($L$1,[3]characters!$1:$1,0)+1),MATCH(O$1,[3]characters!$1:$1,0)-MATCH($L$1,[3]characters!$1:$1,0)+1,FALSE)</f>
        <v>Drop1N</v>
      </c>
      <c r="P657" s="21" t="str">
        <f ca="1">VLOOKUP($L657,OFFSET([2]enemies!$A$1,0,0,COUNTA([2]enemies!$A:$A),MATCH(P$1,[2]enemies!$1:$1,0)-MATCH($L$1,[2]enemies!$1:$1,0)+1),MATCH(P$1,[2]enemies!$1:$1,0)-MATCH($L$1,[2]enemies!$1:$1,0)+1,FALSE)</f>
        <v>animal</v>
      </c>
      <c r="Q657" s="21">
        <f ca="1">VLOOKUP($L657,OFFSET([2]enemies!$A$1,0,0,COUNTA([2]enemies!$A:$A),MATCH(Q$1,[2]enemies!$1:$1,0)-MATCH($L$1,[2]enemies!$1:$1,0)+1),MATCH(Q$1,[2]enemies!$1:$1,0)-MATCH($L$1,[2]enemies!$1:$1,0)+1,FALSE)</f>
        <v>15</v>
      </c>
      <c r="R657" s="53">
        <v>50</v>
      </c>
      <c r="S657" s="27">
        <v>1</v>
      </c>
      <c r="T657" s="27">
        <v>1</v>
      </c>
      <c r="U657" s="5">
        <v>0</v>
      </c>
      <c r="V657" s="4" t="str">
        <f ca="1">VLOOKUP($W657,OFFSET([4]enemy_skill_sets!$B$1,0,0,COUNTA([4]enemy_skill_sets!$B:$B),MATCH(M$1,[4]enemy_skill_sets!$1:$1,0)-MATCH($W$1,[4]enemy_skill_sets!$1:$1,0)+2),MATCH(M$1,[4]enemy_skill_sets!$1:$1,0)-MATCH($W$1,[4]enemy_skill_sets!$1:$1,0)+2,FALSE)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57" s="4">
        <f ca="1">VLOOKUP($L657,OFFSET([2]enemies!$A$1,0,0,COUNTA([2]enemies!$A:$A),MATCH(W$1,[2]enemies!$1:$1,0)-MATCH($L$1,[2]enemies!$1:$1,0)+1),MATCH(W$1,[2]enemies!$1:$1,0)-MATCH($L$1,[2]enemies!$1:$1,0)+1,FALSE)</f>
        <v>59</v>
      </c>
      <c r="X657" s="6">
        <v>0</v>
      </c>
      <c r="Y657" s="6">
        <v>100</v>
      </c>
      <c r="Z657" s="6">
        <v>0</v>
      </c>
      <c r="AA657" s="4">
        <f ca="1">VLOOKUP($L657,OFFSET([2]enemies!$A$1,0,0,COUNTA([2]enemies!$A:$A),MATCH(AA$1,[2]enemies!$1:$1,0)-MATCH($L$1,[2]enemies!$1:$1,0)+1),MATCH(AA$1,[2]enemies!$1:$1,0)-MATCH($L$1,[2]enemies!$1:$1,0)+1,FALSE)</f>
        <v>2</v>
      </c>
      <c r="AB657" s="52">
        <v>59</v>
      </c>
      <c r="AC657" s="4" t="str">
        <f ca="1">VLOOKUP($AB657,OFFSET([3]characters!$A$1,0,0,COUNTA([3]characters!$A:$A),MATCH(AC$1,[3]characters!$1:$1,0)-MATCH("character_id",[3]characters!$1:$1,0)+1),MATCH(AC$1,[3]characters!$1:$1,0)-MATCH("character_id",[3]characters!$1:$1,0)+1,FALSE)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657" s="4">
        <f ca="1">VLOOKUP($AB657,OFFSET([3]characters!$A$1,0,0,COUNTA([3]characters!$A:$A),MATCH(AD$1,[3]characters!$1:$1,0)-MATCH("character_id",[3]characters!$1:$1,0)+1),MATCH(AD$1,[3]characters!$1:$1,0)-MATCH("character_id",[3]characters!$1:$1,0)+1,FALSE)</f>
        <v>2</v>
      </c>
      <c r="AE657" s="4" t="str">
        <f ca="1">VLOOKUP($AB657,OFFSET([3]characters!$A$1,0,0,COUNTA([3]characters!$A:$A),MATCH(AE$1,[3]characters!$1:$1,0)-MATCH("character_id",[3]characters!$1:$1,0)+1),MATCH(AE$1,[3]characters!$1:$1,0)-MATCH("character_id",[3]characters!$1:$1,0)+1,FALSE)</f>
        <v>Drop1N</v>
      </c>
      <c r="AF657" s="7">
        <v>7</v>
      </c>
      <c r="AG657" s="26">
        <f t="shared" ca="1" si="666"/>
        <v>2</v>
      </c>
      <c r="AH657" s="8">
        <v>20</v>
      </c>
      <c r="AI657" s="7">
        <v>0</v>
      </c>
      <c r="AJ657" s="7">
        <v>0</v>
      </c>
      <c r="AK657" s="7">
        <v>0</v>
      </c>
      <c r="AL657" s="7">
        <v>0</v>
      </c>
      <c r="AM657" s="7">
        <v>1</v>
      </c>
    </row>
    <row r="658" spans="1:39" ht="14" x14ac:dyDescent="0.15">
      <c r="A658" s="18" t="str">
        <f t="shared" ca="1" si="642"/>
        <v>26_1-2/61&lt;lv50&gt;s2</v>
      </c>
      <c r="B658" s="50">
        <v>26</v>
      </c>
      <c r="C658" s="49">
        <v>1</v>
      </c>
      <c r="D658" s="2" t="str">
        <f t="shared" ref="D658:E710" si="676">B658&amp;"_"&amp;C658</f>
        <v>26_1</v>
      </c>
      <c r="E658" s="2" t="str">
        <f t="shared" si="676"/>
        <v>1_26_1</v>
      </c>
      <c r="F658" s="4" t="str">
        <f ca="1">VLOOKUP($D658,OFFSET([1]stages!$A$1,0,0,COUNTA([1]stages!$A:$A),MATCH(F$1,[1]stages!$2:$2,0)-MATCH($D$1,[1]stages!$2:$2,0)+1),MATCH(F$1,[1]stages!$2:$2,0)-MATCH($D$1,[1]stages!$2:$2,0)+1,FALSE)</f>
        <v>26-1．無愛想なフロント</v>
      </c>
      <c r="G658" s="57">
        <v>2</v>
      </c>
      <c r="H658" s="17" t="str">
        <f t="shared" ref="H658:H710" si="677">B658&amp;"_"&amp;C658&amp;"-"&amp;G658</f>
        <v>26_1-2</v>
      </c>
      <c r="I658" s="17"/>
      <c r="J658" s="17"/>
      <c r="K658" s="65" t="s">
        <v>56</v>
      </c>
      <c r="L658" s="52">
        <v>61</v>
      </c>
      <c r="M658" s="21" t="str">
        <f ca="1">VLOOKUP($L658,OFFSET([2]enemies!$A$1,0,0,COUNTA([2]enemies!$A:$A),MATCH(M$1,[2]enemies!$1:$1,0)-MATCH($L$1,[2]enemies!$1:$1,0)+1),MATCH(M$1,[2]enemies!$1:$1,0)-MATCH($L$1,[2]enemies!$1:$1,0)+1,FALSE)</f>
        <v>クロウ</v>
      </c>
      <c r="N658" s="21" t="str">
        <f ca="1">VLOOKUP($L658,OFFSET([2]enemies!$A$1,0,0,COUNTA([2]enemies!$A:$A),MATCH(N$1,[2]enemies!$1:$1,0)-MATCH($L$1,[2]enemies!$1:$1,0)+1),MATCH(N$1,[2]enemies!$1:$1,0)-MATCH($L$1,[2]enemies!$1:$1,0)+1,FALSE)</f>
        <v>blue</v>
      </c>
      <c r="O658" s="21" t="str">
        <f ca="1">VLOOKUP($L658,OFFSET([3]characters!$A$1,0,0,COUNTA([3]characters!$A:$A),MATCH(O$1,[3]characters!$1:$1,0)-MATCH($L$1,[3]characters!$1:$1,0)+1),MATCH(O$1,[3]characters!$1:$1,0)-MATCH($L$1,[3]characters!$1:$1,0)+1,FALSE)</f>
        <v>Drop1N</v>
      </c>
      <c r="P658" s="21" t="str">
        <f ca="1">VLOOKUP($L658,OFFSET([2]enemies!$A$1,0,0,COUNTA([2]enemies!$A:$A),MATCH(P$1,[2]enemies!$1:$1,0)-MATCH($L$1,[2]enemies!$1:$1,0)+1),MATCH(P$1,[2]enemies!$1:$1,0)-MATCH($L$1,[2]enemies!$1:$1,0)+1,FALSE)</f>
        <v>animal</v>
      </c>
      <c r="Q658" s="21">
        <f ca="1">VLOOKUP($L658,OFFSET([2]enemies!$A$1,0,0,COUNTA([2]enemies!$A:$A),MATCH(Q$1,[2]enemies!$1:$1,0)-MATCH($L$1,[2]enemies!$1:$1,0)+1),MATCH(Q$1,[2]enemies!$1:$1,0)-MATCH($L$1,[2]enemies!$1:$1,0)+1,FALSE)</f>
        <v>15</v>
      </c>
      <c r="R658" s="53">
        <v>50</v>
      </c>
      <c r="S658" s="27">
        <v>1</v>
      </c>
      <c r="T658" s="27">
        <v>1</v>
      </c>
      <c r="U658" s="5">
        <v>0</v>
      </c>
      <c r="V658" s="4" t="str">
        <f ca="1">VLOOKUP($W658,OFFSET([4]enemy_skill_sets!$B$1,0,0,COUNTA([4]enemy_skill_sets!$B:$B),MATCH(M$1,[4]enemy_skill_sets!$1:$1,0)-MATCH($W$1,[4]enemy_skill_sets!$1:$1,0)+2),MATCH(M$1,[4]enemy_skill_sets!$1:$1,0)-MATCH($W$1,[4]enemy_skill_sets!$1:$1,0)+2,FALSE)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58" s="4">
        <f ca="1">VLOOKUP($L658,OFFSET([2]enemies!$A$1,0,0,COUNTA([2]enemies!$A:$A),MATCH(W$1,[2]enemies!$1:$1,0)-MATCH($L$1,[2]enemies!$1:$1,0)+1),MATCH(W$1,[2]enemies!$1:$1,0)-MATCH($L$1,[2]enemies!$1:$1,0)+1,FALSE)</f>
        <v>61</v>
      </c>
      <c r="X658" s="6">
        <v>0</v>
      </c>
      <c r="Y658" s="6">
        <v>100</v>
      </c>
      <c r="Z658" s="6">
        <v>0</v>
      </c>
      <c r="AA658" s="4">
        <f ca="1">VLOOKUP($L658,OFFSET([2]enemies!$A$1,0,0,COUNTA([2]enemies!$A:$A),MATCH(AA$1,[2]enemies!$1:$1,0)-MATCH($L$1,[2]enemies!$1:$1,0)+1),MATCH(AA$1,[2]enemies!$1:$1,0)-MATCH($L$1,[2]enemies!$1:$1,0)+1,FALSE)</f>
        <v>2</v>
      </c>
      <c r="AB658" s="52">
        <v>61</v>
      </c>
      <c r="AC658" s="4" t="str">
        <f ca="1">VLOOKUP($AB658,OFFSET([3]characters!$A$1,0,0,COUNTA([3]characters!$A:$A),MATCH(AC$1,[3]characters!$1:$1,0)-MATCH("character_id",[3]characters!$1:$1,0)+1),MATCH(AC$1,[3]characters!$1:$1,0)-MATCH("character_id",[3]characters!$1:$1,0)+1,FALSE)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658" s="4">
        <f ca="1">VLOOKUP($AB658,OFFSET([3]characters!$A$1,0,0,COUNTA([3]characters!$A:$A),MATCH(AD$1,[3]characters!$1:$1,0)-MATCH("character_id",[3]characters!$1:$1,0)+1),MATCH(AD$1,[3]characters!$1:$1,0)-MATCH("character_id",[3]characters!$1:$1,0)+1,FALSE)</f>
        <v>2</v>
      </c>
      <c r="AE658" s="4" t="str">
        <f ca="1">VLOOKUP($AB658,OFFSET([3]characters!$A$1,0,0,COUNTA([3]characters!$A:$A),MATCH(AE$1,[3]characters!$1:$1,0)-MATCH("character_id",[3]characters!$1:$1,0)+1),MATCH(AE$1,[3]characters!$1:$1,0)-MATCH("character_id",[3]characters!$1:$1,0)+1,FALSE)</f>
        <v>Drop1N</v>
      </c>
      <c r="AF658" s="7">
        <v>7</v>
      </c>
      <c r="AG658" s="26">
        <f t="shared" ca="1" si="666"/>
        <v>2</v>
      </c>
      <c r="AH658" s="8">
        <v>20</v>
      </c>
      <c r="AI658" s="7">
        <v>0</v>
      </c>
      <c r="AJ658" s="7">
        <v>0</v>
      </c>
      <c r="AK658" s="7">
        <v>0</v>
      </c>
      <c r="AL658" s="7">
        <v>0</v>
      </c>
      <c r="AM658" s="7">
        <v>1</v>
      </c>
    </row>
    <row r="659" spans="1:39" ht="14" x14ac:dyDescent="0.15">
      <c r="A659" s="18" t="str">
        <f t="shared" ca="1" si="642"/>
        <v>26_1-2/63&lt;lv50&gt;s2</v>
      </c>
      <c r="B659" s="50">
        <v>26</v>
      </c>
      <c r="C659" s="49">
        <v>1</v>
      </c>
      <c r="D659" s="2" t="str">
        <f t="shared" si="676"/>
        <v>26_1</v>
      </c>
      <c r="E659" s="2" t="str">
        <f t="shared" si="676"/>
        <v>1_26_1</v>
      </c>
      <c r="F659" s="4" t="str">
        <f ca="1">VLOOKUP($D659,OFFSET([1]stages!$A$1,0,0,COUNTA([1]stages!$A:$A),MATCH(F$1,[1]stages!$2:$2,0)-MATCH($D$1,[1]stages!$2:$2,0)+1),MATCH(F$1,[1]stages!$2:$2,0)-MATCH($D$1,[1]stages!$2:$2,0)+1,FALSE)</f>
        <v>26-1．無愛想なフロント</v>
      </c>
      <c r="G659" s="57">
        <v>2</v>
      </c>
      <c r="H659" s="17" t="str">
        <f t="shared" si="677"/>
        <v>26_1-2</v>
      </c>
      <c r="I659" s="17"/>
      <c r="J659" s="17"/>
      <c r="K659" s="65" t="s">
        <v>56</v>
      </c>
      <c r="L659" s="52">
        <v>63</v>
      </c>
      <c r="M659" s="21" t="str">
        <f ca="1">VLOOKUP($L659,OFFSET([2]enemies!$A$1,0,0,COUNTA([2]enemies!$A:$A),MATCH(M$1,[2]enemies!$1:$1,0)-MATCH($L$1,[2]enemies!$1:$1,0)+1),MATCH(M$1,[2]enemies!$1:$1,0)-MATCH($L$1,[2]enemies!$1:$1,0)+1,FALSE)</f>
        <v>トニー</v>
      </c>
      <c r="N659" s="21" t="str">
        <f ca="1">VLOOKUP($L659,OFFSET([2]enemies!$A$1,0,0,COUNTA([2]enemies!$A:$A),MATCH(N$1,[2]enemies!$1:$1,0)-MATCH($L$1,[2]enemies!$1:$1,0)+1),MATCH(N$1,[2]enemies!$1:$1,0)-MATCH($L$1,[2]enemies!$1:$1,0)+1,FALSE)</f>
        <v>yellow</v>
      </c>
      <c r="O659" s="21" t="str">
        <f ca="1">VLOOKUP($L659,OFFSET([3]characters!$A$1,0,0,COUNTA([3]characters!$A:$A),MATCH(O$1,[3]characters!$1:$1,0)-MATCH($L$1,[3]characters!$1:$1,0)+1),MATCH(O$1,[3]characters!$1:$1,0)-MATCH($L$1,[3]characters!$1:$1,0)+1,FALSE)</f>
        <v>Drop1N</v>
      </c>
      <c r="P659" s="21" t="str">
        <f ca="1">VLOOKUP($L659,OFFSET([2]enemies!$A$1,0,0,COUNTA([2]enemies!$A:$A),MATCH(P$1,[2]enemies!$1:$1,0)-MATCH($L$1,[2]enemies!$1:$1,0)+1),MATCH(P$1,[2]enemies!$1:$1,0)-MATCH($L$1,[2]enemies!$1:$1,0)+1,FALSE)</f>
        <v>animal</v>
      </c>
      <c r="Q659" s="21">
        <f ca="1">VLOOKUP($L659,OFFSET([2]enemies!$A$1,0,0,COUNTA([2]enemies!$A:$A),MATCH(Q$1,[2]enemies!$1:$1,0)-MATCH($L$1,[2]enemies!$1:$1,0)+1),MATCH(Q$1,[2]enemies!$1:$1,0)-MATCH($L$1,[2]enemies!$1:$1,0)+1,FALSE)</f>
        <v>15</v>
      </c>
      <c r="R659" s="53">
        <v>50</v>
      </c>
      <c r="S659" s="27">
        <v>1</v>
      </c>
      <c r="T659" s="27">
        <v>1</v>
      </c>
      <c r="U659" s="5">
        <v>0</v>
      </c>
      <c r="V659" s="4" t="str">
        <f ca="1">VLOOKUP($W659,OFFSET([4]enemy_skill_sets!$B$1,0,0,COUNTA([4]enemy_skill_sets!$B:$B),MATCH(M$1,[4]enemy_skill_sets!$1:$1,0)-MATCH($W$1,[4]enemy_skill_sets!$1:$1,0)+2),MATCH(M$1,[4]enemy_skill_sets!$1:$1,0)-MATCH($W$1,[4]enemy_skill_sets!$1:$1,0)+2,FALSE)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659" s="4">
        <f ca="1">VLOOKUP($L659,OFFSET([2]enemies!$A$1,0,0,COUNTA([2]enemies!$A:$A),MATCH(W$1,[2]enemies!$1:$1,0)-MATCH($L$1,[2]enemies!$1:$1,0)+1),MATCH(W$1,[2]enemies!$1:$1,0)-MATCH($L$1,[2]enemies!$1:$1,0)+1,FALSE)</f>
        <v>63</v>
      </c>
      <c r="X659" s="6">
        <v>0</v>
      </c>
      <c r="Y659" s="6">
        <v>100</v>
      </c>
      <c r="Z659" s="6">
        <v>0</v>
      </c>
      <c r="AA659" s="4">
        <f ca="1">VLOOKUP($L659,OFFSET([2]enemies!$A$1,0,0,COUNTA([2]enemies!$A:$A),MATCH(AA$1,[2]enemies!$1:$1,0)-MATCH($L$1,[2]enemies!$1:$1,0)+1),MATCH(AA$1,[2]enemies!$1:$1,0)-MATCH($L$1,[2]enemies!$1:$1,0)+1,FALSE)</f>
        <v>2</v>
      </c>
      <c r="AB659" s="52">
        <v>63</v>
      </c>
      <c r="AC659" s="4" t="str">
        <f ca="1">VLOOKUP($AB659,OFFSET([3]characters!$A$1,0,0,COUNTA([3]characters!$A:$A),MATCH(AC$1,[3]characters!$1:$1,0)-MATCH("character_id",[3]characters!$1:$1,0)+1),MATCH(AC$1,[3]characters!$1:$1,0)-MATCH("character_id",[3]characters!$1:$1,0)+1,FALSE)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659" s="4">
        <f ca="1">VLOOKUP($AB659,OFFSET([3]characters!$A$1,0,0,COUNTA([3]characters!$A:$A),MATCH(AD$1,[3]characters!$1:$1,0)-MATCH("character_id",[3]characters!$1:$1,0)+1),MATCH(AD$1,[3]characters!$1:$1,0)-MATCH("character_id",[3]characters!$1:$1,0)+1,FALSE)</f>
        <v>2</v>
      </c>
      <c r="AE659" s="4" t="str">
        <f ca="1">VLOOKUP($AB659,OFFSET([3]characters!$A$1,0,0,COUNTA([3]characters!$A:$A),MATCH(AE$1,[3]characters!$1:$1,0)-MATCH("character_id",[3]characters!$1:$1,0)+1),MATCH(AE$1,[3]characters!$1:$1,0)-MATCH("character_id",[3]characters!$1:$1,0)+1,FALSE)</f>
        <v>Drop1N</v>
      </c>
      <c r="AF659" s="7">
        <v>7</v>
      </c>
      <c r="AG659" s="26">
        <f t="shared" ca="1" si="666"/>
        <v>2</v>
      </c>
      <c r="AH659" s="8">
        <v>20</v>
      </c>
      <c r="AI659" s="7">
        <v>0</v>
      </c>
      <c r="AJ659" s="7">
        <v>0</v>
      </c>
      <c r="AK659" s="7">
        <v>0</v>
      </c>
      <c r="AL659" s="7">
        <v>0</v>
      </c>
      <c r="AM659" s="7">
        <v>1</v>
      </c>
    </row>
    <row r="660" spans="1:39" ht="14" x14ac:dyDescent="0.15">
      <c r="A660" s="18" t="str">
        <f t="shared" ca="1" si="642"/>
        <v>26_1-2/360&lt;lv50&gt;s3</v>
      </c>
      <c r="B660" s="53">
        <v>26</v>
      </c>
      <c r="C660" s="51">
        <v>1</v>
      </c>
      <c r="D660" s="2" t="str">
        <f t="shared" si="676"/>
        <v>26_1</v>
      </c>
      <c r="E660" s="2" t="str">
        <f t="shared" si="676"/>
        <v>1_26_1</v>
      </c>
      <c r="F660" s="4" t="str">
        <f ca="1">VLOOKUP($D660,OFFSET([1]stages!$A$1,0,0,COUNTA([1]stages!$A:$A),MATCH(F$1,[1]stages!$2:$2,0)-MATCH($D$1,[1]stages!$2:$2,0)+1),MATCH(F$1,[1]stages!$2:$2,0)-MATCH($D$1,[1]stages!$2:$2,0)+1,FALSE)</f>
        <v>26-1．無愛想なフロント</v>
      </c>
      <c r="G660" s="57">
        <v>2</v>
      </c>
      <c r="H660" s="17" t="str">
        <f t="shared" si="677"/>
        <v>26_1-2</v>
      </c>
      <c r="I660" s="17"/>
      <c r="J660" s="17"/>
      <c r="K660" s="65" t="s">
        <v>56</v>
      </c>
      <c r="L660" s="52">
        <v>360</v>
      </c>
      <c r="M660" s="21" t="str">
        <f ca="1">VLOOKUP($L660,OFFSET([2]enemies!$A$1,0,0,COUNTA([2]enemies!$A:$A),MATCH(M$1,[2]enemies!$1:$1,0)-MATCH($L$1,[2]enemies!$1:$1,0)+1),MATCH(M$1,[2]enemies!$1:$1,0)-MATCH($L$1,[2]enemies!$1:$1,0)+1,FALSE)</f>
        <v>ガンテツ</v>
      </c>
      <c r="N660" s="21" t="str">
        <f ca="1">VLOOKUP($L660,OFFSET([2]enemies!$A$1,0,0,COUNTA([2]enemies!$A:$A),MATCH(N$1,[2]enemies!$1:$1,0)-MATCH($L$1,[2]enemies!$1:$1,0)+1),MATCH(N$1,[2]enemies!$1:$1,0)-MATCH($L$1,[2]enemies!$1:$1,0)+1,FALSE)</f>
        <v>red</v>
      </c>
      <c r="O660" s="21" t="str">
        <f ca="1">VLOOKUP($L660,OFFSET([3]characters!$A$1,0,0,COUNTA([3]characters!$A:$A),MATCH(O$1,[3]characters!$1:$1,0)-MATCH($L$1,[3]characters!$1:$1,0)+1),MATCH(O$1,[3]characters!$1:$1,0)-MATCH($L$1,[3]characters!$1:$1,0)+1,FALSE)</f>
        <v>Drop1S</v>
      </c>
      <c r="P660" s="21" t="str">
        <f ca="1">VLOOKUP($L660,OFFSET([2]enemies!$A$1,0,0,COUNTA([2]enemies!$A:$A),MATCH(P$1,[2]enemies!$1:$1,0)-MATCH($L$1,[2]enemies!$1:$1,0)+1),MATCH(P$1,[2]enemies!$1:$1,0)-MATCH($L$1,[2]enemies!$1:$1,0)+1,FALSE)</f>
        <v>animal</v>
      </c>
      <c r="Q660" s="21">
        <f ca="1">VLOOKUP($L660,OFFSET([2]enemies!$A$1,0,0,COUNTA([2]enemies!$A:$A),MATCH(Q$1,[2]enemies!$1:$1,0)-MATCH($L$1,[2]enemies!$1:$1,0)+1),MATCH(Q$1,[2]enemies!$1:$1,0)-MATCH($L$1,[2]enemies!$1:$1,0)+1,FALSE)</f>
        <v>15</v>
      </c>
      <c r="R660" s="53">
        <v>50</v>
      </c>
      <c r="S660" s="27">
        <v>1</v>
      </c>
      <c r="T660" s="27">
        <v>1</v>
      </c>
      <c r="U660" s="5">
        <v>0</v>
      </c>
      <c r="V660" s="4" t="str">
        <f ca="1">VLOOKUP($W660,OFFSET([4]enemy_skill_sets!$B$1,0,0,COUNTA([4]enemy_skill_sets!$B:$B),MATCH(M$1,[4]enemy_skill_sets!$1:$1,0)-MATCH($W$1,[4]enemy_skill_sets!$1:$1,0)+2),MATCH(M$1,[4]enemy_skill_sets!$1:$1,0)-MATCH($W$1,[4]enemy_skill_sets!$1:$1,0)+2,FALSE)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660" s="76">
        <v>360</v>
      </c>
      <c r="X660" s="6">
        <v>0</v>
      </c>
      <c r="Y660" s="6">
        <v>100</v>
      </c>
      <c r="Z660" s="6">
        <v>0</v>
      </c>
      <c r="AA660" s="4">
        <f ca="1">VLOOKUP($L660,OFFSET([2]enemies!$A$1,0,0,COUNTA([2]enemies!$A:$A),MATCH(AA$1,[2]enemies!$1:$1,0)-MATCH($L$1,[2]enemies!$1:$1,0)+1),MATCH(AA$1,[2]enemies!$1:$1,0)-MATCH($L$1,[2]enemies!$1:$1,0)+1,FALSE)</f>
        <v>3</v>
      </c>
      <c r="AB660" s="52">
        <v>360</v>
      </c>
      <c r="AC660" s="4" t="str">
        <f ca="1">VLOOKUP($AB660,OFFSET([3]characters!$A$1,0,0,COUNTA([3]characters!$A:$A),MATCH(AC$1,[3]characters!$1:$1,0)-MATCH("character_id",[3]characters!$1:$1,0)+1),MATCH(AC$1,[3]characters!$1:$1,0)-MATCH("character_id",[3]characters!$1:$1,0)+1,FALSE)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660" s="4">
        <f ca="1">VLOOKUP($AB660,OFFSET([3]characters!$A$1,0,0,COUNTA([3]characters!$A:$A),MATCH(AD$1,[3]characters!$1:$1,0)-MATCH("character_id",[3]characters!$1:$1,0)+1),MATCH(AD$1,[3]characters!$1:$1,0)-MATCH("character_id",[3]characters!$1:$1,0)+1,FALSE)</f>
        <v>2</v>
      </c>
      <c r="AE660" s="4" t="str">
        <f ca="1">VLOOKUP($AB660,OFFSET([3]characters!$A$1,0,0,COUNTA([3]characters!$A:$A),MATCH(AE$1,[3]characters!$1:$1,0)-MATCH("character_id",[3]characters!$1:$1,0)+1),MATCH(AE$1,[3]characters!$1:$1,0)-MATCH("character_id",[3]characters!$1:$1,0)+1,FALSE)</f>
        <v>Drop1S</v>
      </c>
      <c r="AF660" s="7">
        <v>7</v>
      </c>
      <c r="AG660" s="26">
        <f t="shared" ca="1" si="666"/>
        <v>2</v>
      </c>
      <c r="AH660" s="8">
        <v>20</v>
      </c>
      <c r="AI660" s="7">
        <v>0</v>
      </c>
      <c r="AJ660" s="7">
        <v>0</v>
      </c>
      <c r="AK660" s="7">
        <v>0</v>
      </c>
      <c r="AL660" s="7">
        <v>0</v>
      </c>
      <c r="AM660" s="7">
        <v>1</v>
      </c>
    </row>
    <row r="661" spans="1:39" ht="14" x14ac:dyDescent="0.15">
      <c r="A661" s="18" t="str">
        <f t="shared" ca="1" si="642"/>
        <v>26_1-2/362&lt;lv50&gt;s3</v>
      </c>
      <c r="B661" s="53">
        <v>26</v>
      </c>
      <c r="C661" s="51">
        <v>1</v>
      </c>
      <c r="D661" s="2" t="str">
        <f t="shared" si="676"/>
        <v>26_1</v>
      </c>
      <c r="E661" s="2" t="str">
        <f t="shared" si="676"/>
        <v>1_26_1</v>
      </c>
      <c r="F661" s="4" t="str">
        <f ca="1">VLOOKUP($D661,OFFSET([1]stages!$A$1,0,0,COUNTA([1]stages!$A:$A),MATCH(F$1,[1]stages!$2:$2,0)-MATCH($D$1,[1]stages!$2:$2,0)+1),MATCH(F$1,[1]stages!$2:$2,0)-MATCH($D$1,[1]stages!$2:$2,0)+1,FALSE)</f>
        <v>26-1．無愛想なフロント</v>
      </c>
      <c r="G661" s="57">
        <v>2</v>
      </c>
      <c r="H661" s="17" t="str">
        <f t="shared" si="677"/>
        <v>26_1-2</v>
      </c>
      <c r="I661" s="17"/>
      <c r="J661" s="17"/>
      <c r="K661" s="65" t="s">
        <v>56</v>
      </c>
      <c r="L661" s="52">
        <v>362</v>
      </c>
      <c r="M661" s="21" t="str">
        <f ca="1">VLOOKUP($L661,OFFSET([2]enemies!$A$1,0,0,COUNTA([2]enemies!$A:$A),MATCH(M$1,[2]enemies!$1:$1,0)-MATCH($L$1,[2]enemies!$1:$1,0)+1),MATCH(M$1,[2]enemies!$1:$1,0)-MATCH($L$1,[2]enemies!$1:$1,0)+1,FALSE)</f>
        <v>ゆらら</v>
      </c>
      <c r="N661" s="21" t="str">
        <f ca="1">VLOOKUP($L661,OFFSET([2]enemies!$A$1,0,0,COUNTA([2]enemies!$A:$A),MATCH(N$1,[2]enemies!$1:$1,0)-MATCH($L$1,[2]enemies!$1:$1,0)+1),MATCH(N$1,[2]enemies!$1:$1,0)-MATCH($L$1,[2]enemies!$1:$1,0)+1,FALSE)</f>
        <v>green</v>
      </c>
      <c r="O661" s="21" t="str">
        <f ca="1">VLOOKUP($L661,OFFSET([3]characters!$A$1,0,0,COUNTA([3]characters!$A:$A),MATCH(O$1,[3]characters!$1:$1,0)-MATCH($L$1,[3]characters!$1:$1,0)+1),MATCH(O$1,[3]characters!$1:$1,0)-MATCH($L$1,[3]characters!$1:$1,0)+1,FALSE)</f>
        <v>Drop1S</v>
      </c>
      <c r="P661" s="21" t="str">
        <f ca="1">VLOOKUP($L661,OFFSET([2]enemies!$A$1,0,0,COUNTA([2]enemies!$A:$A),MATCH(P$1,[2]enemies!$1:$1,0)-MATCH($L$1,[2]enemies!$1:$1,0)+1),MATCH(P$1,[2]enemies!$1:$1,0)-MATCH($L$1,[2]enemies!$1:$1,0)+1,FALSE)</f>
        <v>animal</v>
      </c>
      <c r="Q661" s="21">
        <f ca="1">VLOOKUP($L661,OFFSET([2]enemies!$A$1,0,0,COUNTA([2]enemies!$A:$A),MATCH(Q$1,[2]enemies!$1:$1,0)-MATCH($L$1,[2]enemies!$1:$1,0)+1),MATCH(Q$1,[2]enemies!$1:$1,0)-MATCH($L$1,[2]enemies!$1:$1,0)+1,FALSE)</f>
        <v>15</v>
      </c>
      <c r="R661" s="53">
        <v>50</v>
      </c>
      <c r="S661" s="27">
        <v>1</v>
      </c>
      <c r="T661" s="27">
        <v>1</v>
      </c>
      <c r="U661" s="5">
        <v>0</v>
      </c>
      <c r="V661" s="4" t="str">
        <f ca="1">VLOOKUP($W661,OFFSET([4]enemy_skill_sets!$B$1,0,0,COUNTA([4]enemy_skill_sets!$B:$B),MATCH(M$1,[4]enemy_skill_sets!$1:$1,0)-MATCH($W$1,[4]enemy_skill_sets!$1:$1,0)+2),MATCH(M$1,[4]enemy_skill_sets!$1:$1,0)-MATCH($W$1,[4]enemy_skill_sets!$1:$1,0)+2,FALSE)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661" s="64">
        <v>362</v>
      </c>
      <c r="X661" s="6">
        <v>0</v>
      </c>
      <c r="Y661" s="6">
        <v>100</v>
      </c>
      <c r="Z661" s="6">
        <v>0</v>
      </c>
      <c r="AA661" s="4">
        <f ca="1">VLOOKUP($L661,OFFSET([2]enemies!$A$1,0,0,COUNTA([2]enemies!$A:$A),MATCH(AA$1,[2]enemies!$1:$1,0)-MATCH($L$1,[2]enemies!$1:$1,0)+1),MATCH(AA$1,[2]enemies!$1:$1,0)-MATCH($L$1,[2]enemies!$1:$1,0)+1,FALSE)</f>
        <v>3</v>
      </c>
      <c r="AB661" s="52">
        <v>362</v>
      </c>
      <c r="AC661" s="4" t="str">
        <f ca="1">VLOOKUP($AB661,OFFSET([3]characters!$A$1,0,0,COUNTA([3]characters!$A:$A),MATCH(AC$1,[3]characters!$1:$1,0)-MATCH("character_id",[3]characters!$1:$1,0)+1),MATCH(AC$1,[3]characters!$1:$1,0)-MATCH("character_id",[3]characters!$1:$1,0)+1,FALSE)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661" s="4">
        <f ca="1">VLOOKUP($AB661,OFFSET([3]characters!$A$1,0,0,COUNTA([3]characters!$A:$A),MATCH(AD$1,[3]characters!$1:$1,0)-MATCH("character_id",[3]characters!$1:$1,0)+1),MATCH(AD$1,[3]characters!$1:$1,0)-MATCH("character_id",[3]characters!$1:$1,0)+1,FALSE)</f>
        <v>2</v>
      </c>
      <c r="AE661" s="4" t="str">
        <f ca="1">VLOOKUP($AB661,OFFSET([3]characters!$A$1,0,0,COUNTA([3]characters!$A:$A),MATCH(AE$1,[3]characters!$1:$1,0)-MATCH("character_id",[3]characters!$1:$1,0)+1),MATCH(AE$1,[3]characters!$1:$1,0)-MATCH("character_id",[3]characters!$1:$1,0)+1,FALSE)</f>
        <v>Drop1S</v>
      </c>
      <c r="AF661" s="7">
        <v>7</v>
      </c>
      <c r="AG661" s="26">
        <f t="shared" ca="1" si="666"/>
        <v>2</v>
      </c>
      <c r="AH661" s="8">
        <v>20</v>
      </c>
      <c r="AI661" s="7">
        <v>0</v>
      </c>
      <c r="AJ661" s="7">
        <v>0</v>
      </c>
      <c r="AK661" s="7">
        <v>0</v>
      </c>
      <c r="AL661" s="7">
        <v>0</v>
      </c>
      <c r="AM661" s="7">
        <v>1</v>
      </c>
    </row>
    <row r="662" spans="1:39" ht="14" x14ac:dyDescent="0.15">
      <c r="A662" s="18" t="str">
        <f t="shared" ca="1" si="642"/>
        <v>26_1-2/364&lt;lv50&gt;s3</v>
      </c>
      <c r="B662" s="53">
        <v>26</v>
      </c>
      <c r="C662" s="51">
        <v>1</v>
      </c>
      <c r="D662" s="2" t="str">
        <f t="shared" ref="D662:D663" si="678">B662&amp;"_"&amp;C662</f>
        <v>26_1</v>
      </c>
      <c r="E662" s="2" t="str">
        <f t="shared" ref="E662:E663" si="679">C662&amp;"_"&amp;D662</f>
        <v>1_26_1</v>
      </c>
      <c r="F662" s="4" t="str">
        <f ca="1">VLOOKUP($D662,OFFSET([1]stages!$A$1,0,0,COUNTA([1]stages!$A:$A),MATCH(F$1,[1]stages!$2:$2,0)-MATCH($D$1,[1]stages!$2:$2,0)+1),MATCH(F$1,[1]stages!$2:$2,0)-MATCH($D$1,[1]stages!$2:$2,0)+1,FALSE)</f>
        <v>26-1．無愛想なフロント</v>
      </c>
      <c r="G662" s="57">
        <v>2</v>
      </c>
      <c r="H662" s="17" t="str">
        <f t="shared" ref="H662:H663" si="680">B662&amp;"_"&amp;C662&amp;"-"&amp;G662</f>
        <v>26_1-2</v>
      </c>
      <c r="I662" s="17"/>
      <c r="J662" s="17"/>
      <c r="K662" s="65" t="s">
        <v>56</v>
      </c>
      <c r="L662" s="52">
        <v>364</v>
      </c>
      <c r="M662" s="21" t="str">
        <f ca="1">VLOOKUP($L662,OFFSET([2]enemies!$A$1,0,0,COUNTA([2]enemies!$A:$A),MATCH(M$1,[2]enemies!$1:$1,0)-MATCH($L$1,[2]enemies!$1:$1,0)+1),MATCH(M$1,[2]enemies!$1:$1,0)-MATCH($L$1,[2]enemies!$1:$1,0)+1,FALSE)</f>
        <v>ノエル</v>
      </c>
      <c r="N662" s="21" t="str">
        <f ca="1">VLOOKUP($L662,OFFSET([2]enemies!$A$1,0,0,COUNTA([2]enemies!$A:$A),MATCH(N$1,[2]enemies!$1:$1,0)-MATCH($L$1,[2]enemies!$1:$1,0)+1),MATCH(N$1,[2]enemies!$1:$1,0)-MATCH($L$1,[2]enemies!$1:$1,0)+1,FALSE)</f>
        <v>blue</v>
      </c>
      <c r="O662" s="21" t="str">
        <f ca="1">VLOOKUP($L662,OFFSET([3]characters!$A$1,0,0,COUNTA([3]characters!$A:$A),MATCH(O$1,[3]characters!$1:$1,0)-MATCH($L$1,[3]characters!$1:$1,0)+1),MATCH(O$1,[3]characters!$1:$1,0)-MATCH($L$1,[3]characters!$1:$1,0)+1,FALSE)</f>
        <v>Drop1S</v>
      </c>
      <c r="P662" s="21" t="str">
        <f ca="1">VLOOKUP($L662,OFFSET([2]enemies!$A$1,0,0,COUNTA([2]enemies!$A:$A),MATCH(P$1,[2]enemies!$1:$1,0)-MATCH($L$1,[2]enemies!$1:$1,0)+1),MATCH(P$1,[2]enemies!$1:$1,0)-MATCH($L$1,[2]enemies!$1:$1,0)+1,FALSE)</f>
        <v>animal</v>
      </c>
      <c r="Q662" s="21">
        <f ca="1">VLOOKUP($L662,OFFSET([2]enemies!$A$1,0,0,COUNTA([2]enemies!$A:$A),MATCH(Q$1,[2]enemies!$1:$1,0)-MATCH($L$1,[2]enemies!$1:$1,0)+1),MATCH(Q$1,[2]enemies!$1:$1,0)-MATCH($L$1,[2]enemies!$1:$1,0)+1,FALSE)</f>
        <v>15</v>
      </c>
      <c r="R662" s="53">
        <v>50</v>
      </c>
      <c r="S662" s="27">
        <v>1</v>
      </c>
      <c r="T662" s="27">
        <v>1</v>
      </c>
      <c r="U662" s="5">
        <v>0</v>
      </c>
      <c r="V662" s="4" t="str">
        <f ca="1">VLOOKUP($W662,OFFSET([4]enemy_skill_sets!$B$1,0,0,COUNTA([4]enemy_skill_sets!$B:$B),MATCH(M$1,[4]enemy_skill_sets!$1:$1,0)-MATCH($W$1,[4]enemy_skill_sets!$1:$1,0)+2),MATCH(M$1,[4]enemy_skill_sets!$1:$1,0)-MATCH($W$1,[4]enemy_skill_sets!$1:$1,0)+2,FALSE)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662" s="64">
        <v>364</v>
      </c>
      <c r="X662" s="6">
        <v>0</v>
      </c>
      <c r="Y662" s="6">
        <v>100</v>
      </c>
      <c r="Z662" s="6">
        <v>0</v>
      </c>
      <c r="AA662" s="4">
        <f ca="1">VLOOKUP($L662,OFFSET([2]enemies!$A$1,0,0,COUNTA([2]enemies!$A:$A),MATCH(AA$1,[2]enemies!$1:$1,0)-MATCH($L$1,[2]enemies!$1:$1,0)+1),MATCH(AA$1,[2]enemies!$1:$1,0)-MATCH($L$1,[2]enemies!$1:$1,0)+1,FALSE)</f>
        <v>3</v>
      </c>
      <c r="AB662" s="52">
        <v>364</v>
      </c>
      <c r="AC662" s="4" t="str">
        <f ca="1">VLOOKUP($AB662,OFFSET([3]characters!$A$1,0,0,COUNTA([3]characters!$A:$A),MATCH(AC$1,[3]characters!$1:$1,0)-MATCH("character_id",[3]characters!$1:$1,0)+1),MATCH(AC$1,[3]characters!$1:$1,0)-MATCH("character_id",[3]characters!$1:$1,0)+1,FALSE)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662" s="4">
        <f ca="1">VLOOKUP($AB662,OFFSET([3]characters!$A$1,0,0,COUNTA([3]characters!$A:$A),MATCH(AD$1,[3]characters!$1:$1,0)-MATCH("character_id",[3]characters!$1:$1,0)+1),MATCH(AD$1,[3]characters!$1:$1,0)-MATCH("character_id",[3]characters!$1:$1,0)+1,FALSE)</f>
        <v>2</v>
      </c>
      <c r="AE662" s="4" t="str">
        <f ca="1">VLOOKUP($AB662,OFFSET([3]characters!$A$1,0,0,COUNTA([3]characters!$A:$A),MATCH(AE$1,[3]characters!$1:$1,0)-MATCH("character_id",[3]characters!$1:$1,0)+1),MATCH(AE$1,[3]characters!$1:$1,0)-MATCH("character_id",[3]characters!$1:$1,0)+1,FALSE)</f>
        <v>Drop1S</v>
      </c>
      <c r="AF662" s="7">
        <v>7</v>
      </c>
      <c r="AG662" s="26">
        <f t="shared" ca="1" si="666"/>
        <v>2</v>
      </c>
      <c r="AH662" s="8">
        <v>20</v>
      </c>
      <c r="AI662" s="7">
        <v>0</v>
      </c>
      <c r="AJ662" s="7">
        <v>0</v>
      </c>
      <c r="AK662" s="7">
        <v>0</v>
      </c>
      <c r="AL662" s="7">
        <v>0</v>
      </c>
      <c r="AM662" s="7">
        <v>1</v>
      </c>
    </row>
    <row r="663" spans="1:39" ht="14" x14ac:dyDescent="0.15">
      <c r="A663" s="18" t="str">
        <f t="shared" ca="1" si="642"/>
        <v>26_1-2/366&lt;lv50&gt;s3</v>
      </c>
      <c r="B663" s="53">
        <v>26</v>
      </c>
      <c r="C663" s="51">
        <v>1</v>
      </c>
      <c r="D663" s="2" t="str">
        <f t="shared" si="678"/>
        <v>26_1</v>
      </c>
      <c r="E663" s="2" t="str">
        <f t="shared" si="679"/>
        <v>1_26_1</v>
      </c>
      <c r="F663" s="4" t="str">
        <f ca="1">VLOOKUP($D663,OFFSET([1]stages!$A$1,0,0,COUNTA([1]stages!$A:$A),MATCH(F$1,[1]stages!$2:$2,0)-MATCH($D$1,[1]stages!$2:$2,0)+1),MATCH(F$1,[1]stages!$2:$2,0)-MATCH($D$1,[1]stages!$2:$2,0)+1,FALSE)</f>
        <v>26-1．無愛想なフロント</v>
      </c>
      <c r="G663" s="57">
        <v>2</v>
      </c>
      <c r="H663" s="17" t="str">
        <f t="shared" si="680"/>
        <v>26_1-2</v>
      </c>
      <c r="I663" s="17"/>
      <c r="J663" s="17"/>
      <c r="K663" s="65" t="s">
        <v>56</v>
      </c>
      <c r="L663" s="52">
        <v>366</v>
      </c>
      <c r="M663" s="21" t="str">
        <f ca="1">VLOOKUP($L663,OFFSET([2]enemies!$A$1,0,0,COUNTA([2]enemies!$A:$A),MATCH(M$1,[2]enemies!$1:$1,0)-MATCH($L$1,[2]enemies!$1:$1,0)+1),MATCH(M$1,[2]enemies!$1:$1,0)-MATCH($L$1,[2]enemies!$1:$1,0)+1,FALSE)</f>
        <v>トト</v>
      </c>
      <c r="N663" s="21" t="str">
        <f ca="1">VLOOKUP($L663,OFFSET([2]enemies!$A$1,0,0,COUNTA([2]enemies!$A:$A),MATCH(N$1,[2]enemies!$1:$1,0)-MATCH($L$1,[2]enemies!$1:$1,0)+1),MATCH(N$1,[2]enemies!$1:$1,0)-MATCH($L$1,[2]enemies!$1:$1,0)+1,FALSE)</f>
        <v>yellow</v>
      </c>
      <c r="O663" s="21" t="str">
        <f ca="1">VLOOKUP($L663,OFFSET([3]characters!$A$1,0,0,COUNTA([3]characters!$A:$A),MATCH(O$1,[3]characters!$1:$1,0)-MATCH($L$1,[3]characters!$1:$1,0)+1),MATCH(O$1,[3]characters!$1:$1,0)-MATCH($L$1,[3]characters!$1:$1,0)+1,FALSE)</f>
        <v>Drop1S</v>
      </c>
      <c r="P663" s="21" t="str">
        <f ca="1">VLOOKUP($L663,OFFSET([2]enemies!$A$1,0,0,COUNTA([2]enemies!$A:$A),MATCH(P$1,[2]enemies!$1:$1,0)-MATCH($L$1,[2]enemies!$1:$1,0)+1),MATCH(P$1,[2]enemies!$1:$1,0)-MATCH($L$1,[2]enemies!$1:$1,0)+1,FALSE)</f>
        <v>animal</v>
      </c>
      <c r="Q663" s="21">
        <f ca="1">VLOOKUP($L663,OFFSET([2]enemies!$A$1,0,0,COUNTA([2]enemies!$A:$A),MATCH(Q$1,[2]enemies!$1:$1,0)-MATCH($L$1,[2]enemies!$1:$1,0)+1),MATCH(Q$1,[2]enemies!$1:$1,0)-MATCH($L$1,[2]enemies!$1:$1,0)+1,FALSE)</f>
        <v>15</v>
      </c>
      <c r="R663" s="53">
        <v>50</v>
      </c>
      <c r="S663" s="27">
        <v>1</v>
      </c>
      <c r="T663" s="27">
        <v>1</v>
      </c>
      <c r="U663" s="5">
        <v>0</v>
      </c>
      <c r="V663" s="4" t="str">
        <f ca="1">VLOOKUP($W663,OFFSET([4]enemy_skill_sets!$B$1,0,0,COUNTA([4]enemy_skill_sets!$B:$B),MATCH(M$1,[4]enemy_skill_sets!$1:$1,0)-MATCH($W$1,[4]enemy_skill_sets!$1:$1,0)+2),MATCH(M$1,[4]enemy_skill_sets!$1:$1,0)-MATCH($W$1,[4]enemy_skill_sets!$1:$1,0)+2,FALSE)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663" s="64">
        <v>366</v>
      </c>
      <c r="X663" s="6">
        <v>0</v>
      </c>
      <c r="Y663" s="6">
        <v>100</v>
      </c>
      <c r="Z663" s="6">
        <v>0</v>
      </c>
      <c r="AA663" s="4">
        <f ca="1">VLOOKUP($L663,OFFSET([2]enemies!$A$1,0,0,COUNTA([2]enemies!$A:$A),MATCH(AA$1,[2]enemies!$1:$1,0)-MATCH($L$1,[2]enemies!$1:$1,0)+1),MATCH(AA$1,[2]enemies!$1:$1,0)-MATCH($L$1,[2]enemies!$1:$1,0)+1,FALSE)</f>
        <v>3</v>
      </c>
      <c r="AB663" s="52">
        <v>366</v>
      </c>
      <c r="AC663" s="4" t="str">
        <f ca="1">VLOOKUP($AB663,OFFSET([3]characters!$A$1,0,0,COUNTA([3]characters!$A:$A),MATCH(AC$1,[3]characters!$1:$1,0)-MATCH("character_id",[3]characters!$1:$1,0)+1),MATCH(AC$1,[3]characters!$1:$1,0)-MATCH("character_id",[3]characters!$1:$1,0)+1,FALSE)</f>
        <v>トト</v>
      </c>
      <c r="AD663" s="4">
        <f ca="1">VLOOKUP($AB663,OFFSET([3]characters!$A$1,0,0,COUNTA([3]characters!$A:$A),MATCH(AD$1,[3]characters!$1:$1,0)-MATCH("character_id",[3]characters!$1:$1,0)+1),MATCH(AD$1,[3]characters!$1:$1,0)-MATCH("character_id",[3]characters!$1:$1,0)+1,FALSE)</f>
        <v>2</v>
      </c>
      <c r="AE663" s="4" t="str">
        <f ca="1">VLOOKUP($AB663,OFFSET([3]characters!$A$1,0,0,COUNTA([3]characters!$A:$A),MATCH(AE$1,[3]characters!$1:$1,0)-MATCH("character_id",[3]characters!$1:$1,0)+1),MATCH(AE$1,[3]characters!$1:$1,0)-MATCH("character_id",[3]characters!$1:$1,0)+1,FALSE)</f>
        <v>Drop1S</v>
      </c>
      <c r="AF663" s="7">
        <v>7</v>
      </c>
      <c r="AG663" s="26">
        <f t="shared" ca="1" si="666"/>
        <v>2</v>
      </c>
      <c r="AH663" s="8">
        <v>20</v>
      </c>
      <c r="AI663" s="7">
        <v>0</v>
      </c>
      <c r="AJ663" s="7">
        <v>0</v>
      </c>
      <c r="AK663" s="7">
        <v>0</v>
      </c>
      <c r="AL663" s="7">
        <v>0</v>
      </c>
      <c r="AM663" s="7">
        <v>1</v>
      </c>
    </row>
    <row r="664" spans="1:39" ht="14" x14ac:dyDescent="0.15">
      <c r="A664" s="18" t="str">
        <f t="shared" ca="1" si="642"/>
        <v>26_1-2/352&lt;lv50&gt;s3</v>
      </c>
      <c r="B664" s="53">
        <v>26</v>
      </c>
      <c r="C664" s="51">
        <v>1</v>
      </c>
      <c r="D664" s="2" t="str">
        <f t="shared" ref="D664" si="681">B664&amp;"_"&amp;C664</f>
        <v>26_1</v>
      </c>
      <c r="E664" s="2" t="str">
        <f t="shared" ref="E664" si="682">C664&amp;"_"&amp;D664</f>
        <v>1_26_1</v>
      </c>
      <c r="F664" s="4" t="str">
        <f ca="1">VLOOKUP($D664,OFFSET([1]stages!$A$1,0,0,COUNTA([1]stages!$A:$A),MATCH(F$1,[1]stages!$2:$2,0)-MATCH($D$1,[1]stages!$2:$2,0)+1),MATCH(F$1,[1]stages!$2:$2,0)-MATCH($D$1,[1]stages!$2:$2,0)+1,FALSE)</f>
        <v>26-1．無愛想なフロント</v>
      </c>
      <c r="G664" s="57">
        <v>2</v>
      </c>
      <c r="H664" s="17" t="str">
        <f t="shared" ref="H664" si="683">B664&amp;"_"&amp;C664&amp;"-"&amp;G664</f>
        <v>26_1-2</v>
      </c>
      <c r="I664" s="17"/>
      <c r="J664" s="17"/>
      <c r="K664" s="65" t="s">
        <v>56</v>
      </c>
      <c r="L664" s="52">
        <v>352</v>
      </c>
      <c r="M664" s="21" t="str">
        <f ca="1">VLOOKUP($L664,OFFSET([2]enemies!$A$1,0,0,COUNTA([2]enemies!$A:$A),MATCH(M$1,[2]enemies!$1:$1,0)-MATCH($L$1,[2]enemies!$1:$1,0)+1),MATCH(M$1,[2]enemies!$1:$1,0)-MATCH($L$1,[2]enemies!$1:$1,0)+1,FALSE)</f>
        <v>水のケロケロ</v>
      </c>
      <c r="N664" s="21" t="str">
        <f ca="1">VLOOKUP($L664,OFFSET([2]enemies!$A$1,0,0,COUNTA([2]enemies!$A:$A),MATCH(N$1,[2]enemies!$1:$1,0)-MATCH($L$1,[2]enemies!$1:$1,0)+1),MATCH(N$1,[2]enemies!$1:$1,0)-MATCH($L$1,[2]enemies!$1:$1,0)+1,FALSE)</f>
        <v>blue</v>
      </c>
      <c r="O664" s="21" t="str">
        <f ca="1">VLOOKUP($L664,OFFSET([3]characters!$A$1,0,0,COUNTA([3]characters!$A:$A),MATCH(O$1,[3]characters!$1:$1,0)-MATCH($L$1,[3]characters!$1:$1,0)+1),MATCH(O$1,[3]characters!$1:$1,0)-MATCH($L$1,[3]characters!$1:$1,0)+1,FALSE)</f>
        <v>Material</v>
      </c>
      <c r="P664" s="21" t="str">
        <f ca="1">VLOOKUP($L664,OFFSET([2]enemies!$A$1,0,0,COUNTA([2]enemies!$A:$A),MATCH(P$1,[2]enemies!$1:$1,0)-MATCH($L$1,[2]enemies!$1:$1,0)+1),MATCH(P$1,[2]enemies!$1:$1,0)-MATCH($L$1,[2]enemies!$1:$1,0)+1,FALSE)</f>
        <v>unknown</v>
      </c>
      <c r="Q664" s="21">
        <f ca="1">VLOOKUP($L664,OFFSET([2]enemies!$A$1,0,0,COUNTA([2]enemies!$A:$A),MATCH(Q$1,[2]enemies!$1:$1,0)-MATCH($L$1,[2]enemies!$1:$1,0)+1),MATCH(Q$1,[2]enemies!$1:$1,0)-MATCH($L$1,[2]enemies!$1:$1,0)+1,FALSE)</f>
        <v>15</v>
      </c>
      <c r="R664" s="53">
        <v>50</v>
      </c>
      <c r="S664" s="27">
        <v>1</v>
      </c>
      <c r="T664" s="27">
        <v>1</v>
      </c>
      <c r="U664" s="5">
        <v>0</v>
      </c>
      <c r="V664" s="4" t="str">
        <f ca="1">VLOOKUP($W664,OFFSET([4]enemy_skill_sets!$B$1,0,0,COUNTA([4]enemy_skill_sets!$B:$B),MATCH(M$1,[4]enemy_skill_sets!$1:$1,0)-MATCH($W$1,[4]enemy_skill_sets!$1:$1,0)+2),MATCH(M$1,[4]enemy_skill_sets!$1:$1,0)-MATCH($W$1,[4]enemy_skill_sets!$1:$1,0)+2,FALSE)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664" s="64">
        <v>352</v>
      </c>
      <c r="X664" s="6">
        <v>0</v>
      </c>
      <c r="Y664" s="6">
        <v>100</v>
      </c>
      <c r="Z664" s="6">
        <v>0</v>
      </c>
      <c r="AA664" s="4">
        <f ca="1">VLOOKUP($L664,OFFSET([2]enemies!$A$1,0,0,COUNTA([2]enemies!$A:$A),MATCH(AA$1,[2]enemies!$1:$1,0)-MATCH($L$1,[2]enemies!$1:$1,0)+1),MATCH(AA$1,[2]enemies!$1:$1,0)-MATCH($L$1,[2]enemies!$1:$1,0)+1,FALSE)</f>
        <v>3</v>
      </c>
      <c r="AB664" s="52">
        <v>352</v>
      </c>
      <c r="AC664" s="4" t="str">
        <f ca="1">VLOOKUP($AB664,OFFSET([3]characters!$A$1,0,0,COUNTA([3]characters!$A:$A),MATCH(AC$1,[3]characters!$1:$1,0)-MATCH("character_id",[3]characters!$1:$1,0)+1),MATCH(AC$1,[3]characters!$1:$1,0)-MATCH("character_id",[3]characters!$1:$1,0)+1,FALSE)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664" s="4">
        <f ca="1">VLOOKUP($AB664,OFFSET([3]characters!$A$1,0,0,COUNTA([3]characters!$A:$A),MATCH(AD$1,[3]characters!$1:$1,0)-MATCH("character_id",[3]characters!$1:$1,0)+1),MATCH(AD$1,[3]characters!$1:$1,0)-MATCH("character_id",[3]characters!$1:$1,0)+1,FALSE)</f>
        <v>2</v>
      </c>
      <c r="AE664" s="4" t="str">
        <f ca="1">VLOOKUP($AB664,OFFSET([3]characters!$A$1,0,0,COUNTA([3]characters!$A:$A),MATCH(AE$1,[3]characters!$1:$1,0)-MATCH("character_id",[3]characters!$1:$1,0)+1),MATCH(AE$1,[3]characters!$1:$1,0)-MATCH("character_id",[3]characters!$1:$1,0)+1,FALSE)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64" s="7">
        <v>10</v>
      </c>
      <c r="AG664" s="26">
        <f t="shared" ca="1" si="666"/>
        <v>2</v>
      </c>
      <c r="AH664" s="8">
        <v>20</v>
      </c>
      <c r="AI664" s="7">
        <v>0</v>
      </c>
      <c r="AJ664" s="7">
        <v>0</v>
      </c>
      <c r="AK664" s="7">
        <v>0</v>
      </c>
      <c r="AL664" s="7">
        <v>0</v>
      </c>
      <c r="AM664" s="7">
        <v>1</v>
      </c>
    </row>
    <row r="665" spans="1:39" ht="14" x14ac:dyDescent="0.15">
      <c r="A665" s="18" t="str">
        <f t="shared" ca="1" si="642"/>
        <v>26_1-2/354&lt;lv50&gt;s3</v>
      </c>
      <c r="B665" s="53">
        <v>26</v>
      </c>
      <c r="C665" s="51">
        <v>1</v>
      </c>
      <c r="D665" s="2" t="str">
        <f t="shared" ref="D665" si="684">B665&amp;"_"&amp;C665</f>
        <v>26_1</v>
      </c>
      <c r="E665" s="2" t="str">
        <f t="shared" ref="E665" si="685">C665&amp;"_"&amp;D665</f>
        <v>1_26_1</v>
      </c>
      <c r="F665" s="4" t="str">
        <f ca="1">VLOOKUP($D665,OFFSET([1]stages!$A$1,0,0,COUNTA([1]stages!$A:$A),MATCH(F$1,[1]stages!$2:$2,0)-MATCH($D$1,[1]stages!$2:$2,0)+1),MATCH(F$1,[1]stages!$2:$2,0)-MATCH($D$1,[1]stages!$2:$2,0)+1,FALSE)</f>
        <v>26-1．無愛想なフロント</v>
      </c>
      <c r="G665" s="57">
        <v>2</v>
      </c>
      <c r="H665" s="17" t="str">
        <f t="shared" ref="H665" si="686">B665&amp;"_"&amp;C665&amp;"-"&amp;G665</f>
        <v>26_1-2</v>
      </c>
      <c r="I665" s="17"/>
      <c r="J665" s="17"/>
      <c r="K665" s="65" t="s">
        <v>56</v>
      </c>
      <c r="L665" s="52">
        <v>354</v>
      </c>
      <c r="M665" s="21" t="str">
        <f ca="1">VLOOKUP($L665,OFFSET([2]enemies!$A$1,0,0,COUNTA([2]enemies!$A:$A),MATCH(M$1,[2]enemies!$1:$1,0)-MATCH($L$1,[2]enemies!$1:$1,0)+1),MATCH(M$1,[2]enemies!$1:$1,0)-MATCH($L$1,[2]enemies!$1:$1,0)+1,FALSE)</f>
        <v>雷のケロケロ</v>
      </c>
      <c r="N665" s="21" t="str">
        <f ca="1">VLOOKUP($L665,OFFSET([2]enemies!$A$1,0,0,COUNTA([2]enemies!$A:$A),MATCH(N$1,[2]enemies!$1:$1,0)-MATCH($L$1,[2]enemies!$1:$1,0)+1),MATCH(N$1,[2]enemies!$1:$1,0)-MATCH($L$1,[2]enemies!$1:$1,0)+1,FALSE)</f>
        <v>yellow</v>
      </c>
      <c r="O665" s="21" t="str">
        <f ca="1">VLOOKUP($L665,OFFSET([3]characters!$A$1,0,0,COUNTA([3]characters!$A:$A),MATCH(O$1,[3]characters!$1:$1,0)-MATCH($L$1,[3]characters!$1:$1,0)+1),MATCH(O$1,[3]characters!$1:$1,0)-MATCH($L$1,[3]characters!$1:$1,0)+1,FALSE)</f>
        <v>Material</v>
      </c>
      <c r="P665" s="21" t="str">
        <f ca="1">VLOOKUP($L665,OFFSET([2]enemies!$A$1,0,0,COUNTA([2]enemies!$A:$A),MATCH(P$1,[2]enemies!$1:$1,0)-MATCH($L$1,[2]enemies!$1:$1,0)+1),MATCH(P$1,[2]enemies!$1:$1,0)-MATCH($L$1,[2]enemies!$1:$1,0)+1,FALSE)</f>
        <v>unknown</v>
      </c>
      <c r="Q665" s="21">
        <f ca="1">VLOOKUP($L665,OFFSET([2]enemies!$A$1,0,0,COUNTA([2]enemies!$A:$A),MATCH(Q$1,[2]enemies!$1:$1,0)-MATCH($L$1,[2]enemies!$1:$1,0)+1),MATCH(Q$1,[2]enemies!$1:$1,0)-MATCH($L$1,[2]enemies!$1:$1,0)+1,FALSE)</f>
        <v>15</v>
      </c>
      <c r="R665" s="53">
        <v>50</v>
      </c>
      <c r="S665" s="27">
        <v>1</v>
      </c>
      <c r="T665" s="27">
        <v>1</v>
      </c>
      <c r="U665" s="5">
        <v>0</v>
      </c>
      <c r="V665" s="4" t="str">
        <f ca="1">VLOOKUP($W665,OFFSET([4]enemy_skill_sets!$B$1,0,0,COUNTA([4]enemy_skill_sets!$B:$B),MATCH(M$1,[4]enemy_skill_sets!$1:$1,0)-MATCH($W$1,[4]enemy_skill_sets!$1:$1,0)+2),MATCH(M$1,[4]enemy_skill_sets!$1:$1,0)-MATCH($W$1,[4]enemy_skill_sets!$1:$1,0)+2,FALSE)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665" s="64">
        <v>354</v>
      </c>
      <c r="X665" s="6">
        <v>0</v>
      </c>
      <c r="Y665" s="6">
        <v>100</v>
      </c>
      <c r="Z665" s="6">
        <v>0</v>
      </c>
      <c r="AA665" s="4">
        <f ca="1">VLOOKUP($L665,OFFSET([2]enemies!$A$1,0,0,COUNTA([2]enemies!$A:$A),MATCH(AA$1,[2]enemies!$1:$1,0)-MATCH($L$1,[2]enemies!$1:$1,0)+1),MATCH(AA$1,[2]enemies!$1:$1,0)-MATCH($L$1,[2]enemies!$1:$1,0)+1,FALSE)</f>
        <v>3</v>
      </c>
      <c r="AB665" s="52">
        <v>354</v>
      </c>
      <c r="AC665" s="4" t="str">
        <f ca="1">VLOOKUP($AB665,OFFSET([3]characters!$A$1,0,0,COUNTA([3]characters!$A:$A),MATCH(AC$1,[3]characters!$1:$1,0)-MATCH("character_id",[3]characters!$1:$1,0)+1),MATCH(AC$1,[3]characters!$1:$1,0)-MATCH("character_id",[3]characters!$1:$1,0)+1,FALSE)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665" s="4">
        <f ca="1">VLOOKUP($AB665,OFFSET([3]characters!$A$1,0,0,COUNTA([3]characters!$A:$A),MATCH(AD$1,[3]characters!$1:$1,0)-MATCH("character_id",[3]characters!$1:$1,0)+1),MATCH(AD$1,[3]characters!$1:$1,0)-MATCH("character_id",[3]characters!$1:$1,0)+1,FALSE)</f>
        <v>2</v>
      </c>
      <c r="AE665" s="4" t="str">
        <f ca="1">VLOOKUP($AB665,OFFSET([3]characters!$A$1,0,0,COUNTA([3]characters!$A:$A),MATCH(AE$1,[3]characters!$1:$1,0)-MATCH("character_id",[3]characters!$1:$1,0)+1),MATCH(AE$1,[3]characters!$1:$1,0)-MATCH("character_id",[3]characters!$1:$1,0)+1,FALSE)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65" s="7">
        <v>10</v>
      </c>
      <c r="AG665" s="26">
        <f t="shared" ca="1" si="666"/>
        <v>2</v>
      </c>
      <c r="AH665" s="8">
        <v>20</v>
      </c>
      <c r="AI665" s="7">
        <v>0</v>
      </c>
      <c r="AJ665" s="7">
        <v>0</v>
      </c>
      <c r="AK665" s="7">
        <v>0</v>
      </c>
      <c r="AL665" s="7">
        <v>0</v>
      </c>
      <c r="AM665" s="7">
        <v>1</v>
      </c>
    </row>
    <row r="666" spans="1:39" ht="14" x14ac:dyDescent="0.15">
      <c r="A666" s="18" t="str">
        <f t="shared" ca="1" si="642"/>
        <v>26_1-3/9&lt;lv50&gt;s2</v>
      </c>
      <c r="B666" s="50">
        <v>26</v>
      </c>
      <c r="C666" s="49">
        <v>1</v>
      </c>
      <c r="D666" s="2" t="str">
        <f t="shared" si="676"/>
        <v>26_1</v>
      </c>
      <c r="E666" s="2" t="str">
        <f t="shared" si="676"/>
        <v>1_26_1</v>
      </c>
      <c r="F666" s="4" t="str">
        <f ca="1">VLOOKUP($D666,OFFSET([1]stages!$A$1,0,0,COUNTA([1]stages!$A:$A),MATCH(F$1,[1]stages!$2:$2,0)-MATCH($D$1,[1]stages!$2:$2,0)+1),MATCH(F$1,[1]stages!$2:$2,0)-MATCH($D$1,[1]stages!$2:$2,0)+1,FALSE)</f>
        <v>26-1．無愛想なフロント</v>
      </c>
      <c r="G666" s="54">
        <v>3</v>
      </c>
      <c r="H666" s="17" t="str">
        <f t="shared" si="677"/>
        <v>26_1-3</v>
      </c>
      <c r="I666" s="17"/>
      <c r="J666" s="17"/>
      <c r="K666" s="65" t="s">
        <v>56</v>
      </c>
      <c r="L666" s="52">
        <v>9</v>
      </c>
      <c r="M666" s="21" t="str">
        <f ca="1">VLOOKUP($L666,OFFSET([2]enemies!$A$1,0,0,COUNTA([2]enemies!$A:$A),MATCH(M$1,[2]enemies!$1:$1,0)-MATCH($L$1,[2]enemies!$1:$1,0)+1),MATCH(M$1,[2]enemies!$1:$1,0)-MATCH($L$1,[2]enemies!$1:$1,0)+1,FALSE)</f>
        <v>ブレット</v>
      </c>
      <c r="N666" s="21" t="str">
        <f ca="1">VLOOKUP($L666,OFFSET([2]enemies!$A$1,0,0,COUNTA([2]enemies!$A:$A),MATCH(N$1,[2]enemies!$1:$1,0)-MATCH($L$1,[2]enemies!$1:$1,0)+1),MATCH(N$1,[2]enemies!$1:$1,0)-MATCH($L$1,[2]enemies!$1:$1,0)+1,FALSE)</f>
        <v>red</v>
      </c>
      <c r="O666" s="21" t="str">
        <f ca="1">VLOOKUP($L666,OFFSET([3]characters!$A$1,0,0,COUNTA([3]characters!$A:$A),MATCH(O$1,[3]characters!$1:$1,0)-MATCH($L$1,[3]characters!$1:$1,0)+1),MATCH(O$1,[3]characters!$1:$1,0)-MATCH($L$1,[3]characters!$1:$1,0)+1,FALSE)</f>
        <v>Drop1W</v>
      </c>
      <c r="P666" s="21" t="str">
        <f ca="1">VLOOKUP($L666,OFFSET([2]enemies!$A$1,0,0,COUNTA([2]enemies!$A:$A),MATCH(P$1,[2]enemies!$1:$1,0)-MATCH($L$1,[2]enemies!$1:$1,0)+1),MATCH(P$1,[2]enemies!$1:$1,0)-MATCH($L$1,[2]enemies!$1:$1,0)+1,FALSE)</f>
        <v>animal</v>
      </c>
      <c r="Q666" s="21">
        <f ca="1">VLOOKUP($L666,OFFSET([2]enemies!$A$1,0,0,COUNTA([2]enemies!$A:$A),MATCH(Q$1,[2]enemies!$1:$1,0)-MATCH($L$1,[2]enemies!$1:$1,0)+1),MATCH(Q$1,[2]enemies!$1:$1,0)-MATCH($L$1,[2]enemies!$1:$1,0)+1,FALSE)</f>
        <v>15</v>
      </c>
      <c r="R666" s="53">
        <v>50</v>
      </c>
      <c r="S666" s="27">
        <v>1</v>
      </c>
      <c r="T666" s="27">
        <v>1</v>
      </c>
      <c r="U666" s="5">
        <v>0</v>
      </c>
      <c r="V666" s="4" t="str">
        <f ca="1">VLOOKUP($W666,OFFSET([4]enemy_skill_sets!$B$1,0,0,COUNTA([4]enemy_skill_sets!$B:$B),MATCH(M$1,[4]enemy_skill_sets!$1:$1,0)-MATCH($W$1,[4]enemy_skill_sets!$1:$1,0)+2),MATCH(M$1,[4]enemy_skill_sets!$1:$1,0)-MATCH($W$1,[4]enemy_skill_sets!$1:$1,0)+2,FALSE)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66" s="4">
        <f ca="1">VLOOKUP($L666,OFFSET([2]enemies!$A$1,0,0,COUNTA([2]enemies!$A:$A),MATCH(W$1,[2]enemies!$1:$1,0)-MATCH($L$1,[2]enemies!$1:$1,0)+1),MATCH(W$1,[2]enemies!$1:$1,0)-MATCH($L$1,[2]enemies!$1:$1,0)+1,FALSE)</f>
        <v>0</v>
      </c>
      <c r="X666" s="6">
        <v>0</v>
      </c>
      <c r="Y666" s="6">
        <v>100</v>
      </c>
      <c r="Z666" s="6">
        <v>0</v>
      </c>
      <c r="AA666" s="4">
        <f ca="1">VLOOKUP($L666,OFFSET([2]enemies!$A$1,0,0,COUNTA([2]enemies!$A:$A),MATCH(AA$1,[2]enemies!$1:$1,0)-MATCH($L$1,[2]enemies!$1:$1,0)+1),MATCH(AA$1,[2]enemies!$1:$1,0)-MATCH($L$1,[2]enemies!$1:$1,0)+1,FALSE)</f>
        <v>2</v>
      </c>
      <c r="AB666" s="52">
        <v>9</v>
      </c>
      <c r="AC666" s="4" t="str">
        <f ca="1">VLOOKUP($AB666,OFFSET([3]characters!$A$1,0,0,COUNTA([3]characters!$A:$A),MATCH(AC$1,[3]characters!$1:$1,0)-MATCH("character_id",[3]characters!$1:$1,0)+1),MATCH(AC$1,[3]characters!$1:$1,0)-MATCH("character_id",[3]characters!$1:$1,0)+1,FALSE)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666" s="4">
        <f ca="1">VLOOKUP($AB666,OFFSET([3]characters!$A$1,0,0,COUNTA([3]characters!$A:$A),MATCH(AD$1,[3]characters!$1:$1,0)-MATCH("character_id",[3]characters!$1:$1,0)+1),MATCH(AD$1,[3]characters!$1:$1,0)-MATCH("character_id",[3]characters!$1:$1,0)+1,FALSE)</f>
        <v>1</v>
      </c>
      <c r="AE666" s="4" t="str">
        <f ca="1">VLOOKUP($AB666,OFFSET([3]characters!$A$1,0,0,COUNTA([3]characters!$A:$A),MATCH(AE$1,[3]characters!$1:$1,0)-MATCH("character_id",[3]characters!$1:$1,0)+1),MATCH(AE$1,[3]characters!$1:$1,0)-MATCH("character_id",[3]characters!$1:$1,0)+1,FALSE)</f>
        <v>Drop1W</v>
      </c>
      <c r="AF666" s="7">
        <v>9</v>
      </c>
      <c r="AG666" s="26">
        <f t="shared" ca="1" si="666"/>
        <v>1</v>
      </c>
      <c r="AH666" s="8">
        <v>20</v>
      </c>
      <c r="AI666" s="7">
        <v>0</v>
      </c>
      <c r="AJ666" s="7">
        <v>0</v>
      </c>
      <c r="AK666" s="7">
        <v>0</v>
      </c>
      <c r="AL666" s="7">
        <v>0</v>
      </c>
      <c r="AM666" s="7">
        <v>1</v>
      </c>
    </row>
    <row r="667" spans="1:39" ht="14" x14ac:dyDescent="0.15">
      <c r="A667" s="18" t="str">
        <f t="shared" ca="1" si="642"/>
        <v>26_1-3/11&lt;lv50&gt;s3</v>
      </c>
      <c r="B667" s="50">
        <v>26</v>
      </c>
      <c r="C667" s="49">
        <v>1</v>
      </c>
      <c r="D667" s="2" t="str">
        <f t="shared" si="676"/>
        <v>26_1</v>
      </c>
      <c r="E667" s="2" t="str">
        <f t="shared" si="676"/>
        <v>1_26_1</v>
      </c>
      <c r="F667" s="4" t="str">
        <f ca="1">VLOOKUP($D667,OFFSET([1]stages!$A$1,0,0,COUNTA([1]stages!$A:$A),MATCH(F$1,[1]stages!$2:$2,0)-MATCH($D$1,[1]stages!$2:$2,0)+1),MATCH(F$1,[1]stages!$2:$2,0)-MATCH($D$1,[1]stages!$2:$2,0)+1,FALSE)</f>
        <v>26-1．無愛想なフロント</v>
      </c>
      <c r="G667" s="54">
        <v>3</v>
      </c>
      <c r="H667" s="17" t="str">
        <f t="shared" si="677"/>
        <v>26_1-3</v>
      </c>
      <c r="I667" s="17"/>
      <c r="J667" s="17"/>
      <c r="K667" s="65" t="s">
        <v>56</v>
      </c>
      <c r="L667" s="52">
        <v>11</v>
      </c>
      <c r="M667" s="21" t="str">
        <f ca="1">VLOOKUP($L667,OFFSET([2]enemies!$A$1,0,0,COUNTA([2]enemies!$A:$A),MATCH(M$1,[2]enemies!$1:$1,0)-MATCH($L$1,[2]enemies!$1:$1,0)+1),MATCH(M$1,[2]enemies!$1:$1,0)-MATCH($L$1,[2]enemies!$1:$1,0)+1,FALSE)</f>
        <v>マグリット</v>
      </c>
      <c r="N667" s="21" t="str">
        <f ca="1">VLOOKUP($L667,OFFSET([2]enemies!$A$1,0,0,COUNTA([2]enemies!$A:$A),MATCH(N$1,[2]enemies!$1:$1,0)-MATCH($L$1,[2]enemies!$1:$1,0)+1),MATCH(N$1,[2]enemies!$1:$1,0)-MATCH($L$1,[2]enemies!$1:$1,0)+1,FALSE)</f>
        <v>green</v>
      </c>
      <c r="O667" s="21" t="str">
        <f ca="1">VLOOKUP($L667,OFFSET([3]characters!$A$1,0,0,COUNTA([3]characters!$A:$A),MATCH(O$1,[3]characters!$1:$1,0)-MATCH($L$1,[3]characters!$1:$1,0)+1),MATCH(O$1,[3]characters!$1:$1,0)-MATCH($L$1,[3]characters!$1:$1,0)+1,FALSE)</f>
        <v>Drop1W</v>
      </c>
      <c r="P667" s="21" t="str">
        <f ca="1">VLOOKUP($L667,OFFSET([2]enemies!$A$1,0,0,COUNTA([2]enemies!$A:$A),MATCH(P$1,[2]enemies!$1:$1,0)-MATCH($L$1,[2]enemies!$1:$1,0)+1),MATCH(P$1,[2]enemies!$1:$1,0)-MATCH($L$1,[2]enemies!$1:$1,0)+1,FALSE)</f>
        <v>animal</v>
      </c>
      <c r="Q667" s="21">
        <f ca="1">VLOOKUP($L667,OFFSET([2]enemies!$A$1,0,0,COUNTA([2]enemies!$A:$A),MATCH(Q$1,[2]enemies!$1:$1,0)-MATCH($L$1,[2]enemies!$1:$1,0)+1),MATCH(Q$1,[2]enemies!$1:$1,0)-MATCH($L$1,[2]enemies!$1:$1,0)+1,FALSE)</f>
        <v>15</v>
      </c>
      <c r="R667" s="53">
        <v>50</v>
      </c>
      <c r="S667" s="27">
        <v>1</v>
      </c>
      <c r="T667" s="27">
        <v>1</v>
      </c>
      <c r="U667" s="5">
        <v>0</v>
      </c>
      <c r="V667" s="4" t="str">
        <f ca="1">VLOOKUP($W667,OFFSET([4]enemy_skill_sets!$B$1,0,0,COUNTA([4]enemy_skill_sets!$B:$B),MATCH(M$1,[4]enemy_skill_sets!$1:$1,0)-MATCH($W$1,[4]enemy_skill_sets!$1:$1,0)+2),MATCH(M$1,[4]enemy_skill_sets!$1:$1,0)-MATCH($W$1,[4]enemy_skill_sets!$1:$1,0)+2,FALSE)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67" s="4">
        <f ca="1">VLOOKUP($L667,OFFSET([2]enemies!$A$1,0,0,COUNTA([2]enemies!$A:$A),MATCH(W$1,[2]enemies!$1:$1,0)-MATCH($L$1,[2]enemies!$1:$1,0)+1),MATCH(W$1,[2]enemies!$1:$1,0)-MATCH($L$1,[2]enemies!$1:$1,0)+1,FALSE)</f>
        <v>0</v>
      </c>
      <c r="X667" s="6">
        <v>0</v>
      </c>
      <c r="Y667" s="6">
        <v>100</v>
      </c>
      <c r="Z667" s="6">
        <v>0</v>
      </c>
      <c r="AA667" s="4">
        <f ca="1">VLOOKUP($L667,OFFSET([2]enemies!$A$1,0,0,COUNTA([2]enemies!$A:$A),MATCH(AA$1,[2]enemies!$1:$1,0)-MATCH($L$1,[2]enemies!$1:$1,0)+1),MATCH(AA$1,[2]enemies!$1:$1,0)-MATCH($L$1,[2]enemies!$1:$1,0)+1,FALSE)</f>
        <v>3</v>
      </c>
      <c r="AB667" s="52">
        <v>11</v>
      </c>
      <c r="AC667" s="4" t="str">
        <f ca="1">VLOOKUP($AB667,OFFSET([3]characters!$A$1,0,0,COUNTA([3]characters!$A:$A),MATCH(AC$1,[3]characters!$1:$1,0)-MATCH("character_id",[3]characters!$1:$1,0)+1),MATCH(AC$1,[3]characters!$1:$1,0)-MATCH("character_id",[3]characters!$1:$1,0)+1,FALSE)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667" s="4">
        <f ca="1">VLOOKUP($AB667,OFFSET([3]characters!$A$1,0,0,COUNTA([3]characters!$A:$A),MATCH(AD$1,[3]characters!$1:$1,0)-MATCH("character_id",[3]characters!$1:$1,0)+1),MATCH(AD$1,[3]characters!$1:$1,0)-MATCH("character_id",[3]characters!$1:$1,0)+1,FALSE)</f>
        <v>1</v>
      </c>
      <c r="AE667" s="4" t="str">
        <f ca="1">VLOOKUP($AB667,OFFSET([3]characters!$A$1,0,0,COUNTA([3]characters!$A:$A),MATCH(AE$1,[3]characters!$1:$1,0)-MATCH("character_id",[3]characters!$1:$1,0)+1),MATCH(AE$1,[3]characters!$1:$1,0)-MATCH("character_id",[3]characters!$1:$1,0)+1,FALSE)</f>
        <v>Drop1W</v>
      </c>
      <c r="AF667" s="7">
        <v>9</v>
      </c>
      <c r="AG667" s="26">
        <f t="shared" ca="1" si="666"/>
        <v>1</v>
      </c>
      <c r="AH667" s="8">
        <v>20</v>
      </c>
      <c r="AI667" s="7">
        <v>0</v>
      </c>
      <c r="AJ667" s="7">
        <v>0</v>
      </c>
      <c r="AK667" s="7">
        <v>0</v>
      </c>
      <c r="AL667" s="7">
        <v>0</v>
      </c>
      <c r="AM667" s="7">
        <v>1</v>
      </c>
    </row>
    <row r="668" spans="1:39" ht="14" x14ac:dyDescent="0.15">
      <c r="A668" s="18" t="str">
        <f t="shared" ca="1" si="642"/>
        <v>26_1-3/13&lt;lv50&gt;s2</v>
      </c>
      <c r="B668" s="50">
        <v>26</v>
      </c>
      <c r="C668" s="49">
        <v>1</v>
      </c>
      <c r="D668" s="2" t="str">
        <f t="shared" si="676"/>
        <v>26_1</v>
      </c>
      <c r="E668" s="2" t="str">
        <f t="shared" si="676"/>
        <v>1_26_1</v>
      </c>
      <c r="F668" s="4" t="str">
        <f ca="1">VLOOKUP($D668,OFFSET([1]stages!$A$1,0,0,COUNTA([1]stages!$A:$A),MATCH(F$1,[1]stages!$2:$2,0)-MATCH($D$1,[1]stages!$2:$2,0)+1),MATCH(F$1,[1]stages!$2:$2,0)-MATCH($D$1,[1]stages!$2:$2,0)+1,FALSE)</f>
        <v>26-1．無愛想なフロント</v>
      </c>
      <c r="G668" s="54">
        <v>3</v>
      </c>
      <c r="H668" s="17" t="str">
        <f t="shared" si="677"/>
        <v>26_1-3</v>
      </c>
      <c r="I668" s="17"/>
      <c r="J668" s="17"/>
      <c r="K668" s="65" t="s">
        <v>56</v>
      </c>
      <c r="L668" s="52">
        <v>13</v>
      </c>
      <c r="M668" s="21" t="str">
        <f ca="1">VLOOKUP($L668,OFFSET([2]enemies!$A$1,0,0,COUNTA([2]enemies!$A:$A),MATCH(M$1,[2]enemies!$1:$1,0)-MATCH($L$1,[2]enemies!$1:$1,0)+1),MATCH(M$1,[2]enemies!$1:$1,0)-MATCH($L$1,[2]enemies!$1:$1,0)+1,FALSE)</f>
        <v>ミミ</v>
      </c>
      <c r="N668" s="21" t="str">
        <f ca="1">VLOOKUP($L668,OFFSET([2]enemies!$A$1,0,0,COUNTA([2]enemies!$A:$A),MATCH(N$1,[2]enemies!$1:$1,0)-MATCH($L$1,[2]enemies!$1:$1,0)+1),MATCH(N$1,[2]enemies!$1:$1,0)-MATCH($L$1,[2]enemies!$1:$1,0)+1,FALSE)</f>
        <v>yellow</v>
      </c>
      <c r="O668" s="21" t="str">
        <f ca="1">VLOOKUP($L668,OFFSET([3]characters!$A$1,0,0,COUNTA([3]characters!$A:$A),MATCH(O$1,[3]characters!$1:$1,0)-MATCH($L$1,[3]characters!$1:$1,0)+1),MATCH(O$1,[3]characters!$1:$1,0)-MATCH($L$1,[3]characters!$1:$1,0)+1,FALSE)</f>
        <v>Drop1W</v>
      </c>
      <c r="P668" s="21" t="str">
        <f ca="1">VLOOKUP($L668,OFFSET([2]enemies!$A$1,0,0,COUNTA([2]enemies!$A:$A),MATCH(P$1,[2]enemies!$1:$1,0)-MATCH($L$1,[2]enemies!$1:$1,0)+1),MATCH(P$1,[2]enemies!$1:$1,0)-MATCH($L$1,[2]enemies!$1:$1,0)+1,FALSE)</f>
        <v>animal</v>
      </c>
      <c r="Q668" s="21">
        <f ca="1">VLOOKUP($L668,OFFSET([2]enemies!$A$1,0,0,COUNTA([2]enemies!$A:$A),MATCH(Q$1,[2]enemies!$1:$1,0)-MATCH($L$1,[2]enemies!$1:$1,0)+1),MATCH(Q$1,[2]enemies!$1:$1,0)-MATCH($L$1,[2]enemies!$1:$1,0)+1,FALSE)</f>
        <v>15</v>
      </c>
      <c r="R668" s="53">
        <v>50</v>
      </c>
      <c r="S668" s="27">
        <v>1</v>
      </c>
      <c r="T668" s="27">
        <v>1</v>
      </c>
      <c r="U668" s="5">
        <v>0</v>
      </c>
      <c r="V668" s="4" t="str">
        <f ca="1">VLOOKUP($W668,OFFSET([4]enemy_skill_sets!$B$1,0,0,COUNTA([4]enemy_skill_sets!$B:$B),MATCH(M$1,[4]enemy_skill_sets!$1:$1,0)-MATCH($W$1,[4]enemy_skill_sets!$1:$1,0)+2),MATCH(M$1,[4]enemy_skill_sets!$1:$1,0)-MATCH($W$1,[4]enemy_skill_sets!$1:$1,0)+2,FALSE)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68" s="4">
        <f ca="1">VLOOKUP($L668,OFFSET([2]enemies!$A$1,0,0,COUNTA([2]enemies!$A:$A),MATCH(W$1,[2]enemies!$1:$1,0)-MATCH($L$1,[2]enemies!$1:$1,0)+1),MATCH(W$1,[2]enemies!$1:$1,0)-MATCH($L$1,[2]enemies!$1:$1,0)+1,FALSE)</f>
        <v>0</v>
      </c>
      <c r="X668" s="6">
        <v>0</v>
      </c>
      <c r="Y668" s="6">
        <v>100</v>
      </c>
      <c r="Z668" s="6">
        <v>0</v>
      </c>
      <c r="AA668" s="4">
        <f ca="1">VLOOKUP($L668,OFFSET([2]enemies!$A$1,0,0,COUNTA([2]enemies!$A:$A),MATCH(AA$1,[2]enemies!$1:$1,0)-MATCH($L$1,[2]enemies!$1:$1,0)+1),MATCH(AA$1,[2]enemies!$1:$1,0)-MATCH($L$1,[2]enemies!$1:$1,0)+1,FALSE)</f>
        <v>2</v>
      </c>
      <c r="AB668" s="52">
        <v>13</v>
      </c>
      <c r="AC668" s="4" t="str">
        <f ca="1">VLOOKUP($AB668,OFFSET([3]characters!$A$1,0,0,COUNTA([3]characters!$A:$A),MATCH(AC$1,[3]characters!$1:$1,0)-MATCH("character_id",[3]characters!$1:$1,0)+1),MATCH(AC$1,[3]characters!$1:$1,0)-MATCH("character_id",[3]characters!$1:$1,0)+1,FALSE)</f>
        <v>ミミ</v>
      </c>
      <c r="AD668" s="4">
        <f ca="1">VLOOKUP($AB668,OFFSET([3]characters!$A$1,0,0,COUNTA([3]characters!$A:$A),MATCH(AD$1,[3]characters!$1:$1,0)-MATCH("character_id",[3]characters!$1:$1,0)+1),MATCH(AD$1,[3]characters!$1:$1,0)-MATCH("character_id",[3]characters!$1:$1,0)+1,FALSE)</f>
        <v>1</v>
      </c>
      <c r="AE668" s="4" t="str">
        <f ca="1">VLOOKUP($AB668,OFFSET([3]characters!$A$1,0,0,COUNTA([3]characters!$A:$A),MATCH(AE$1,[3]characters!$1:$1,0)-MATCH("character_id",[3]characters!$1:$1,0)+1),MATCH(AE$1,[3]characters!$1:$1,0)-MATCH("character_id",[3]characters!$1:$1,0)+1,FALSE)</f>
        <v>Drop1W</v>
      </c>
      <c r="AF668" s="7">
        <v>9</v>
      </c>
      <c r="AG668" s="26">
        <f t="shared" ca="1" si="666"/>
        <v>1</v>
      </c>
      <c r="AH668" s="8">
        <v>20</v>
      </c>
      <c r="AI668" s="7">
        <v>0</v>
      </c>
      <c r="AJ668" s="7">
        <v>0</v>
      </c>
      <c r="AK668" s="7">
        <v>0</v>
      </c>
      <c r="AL668" s="7">
        <v>0</v>
      </c>
      <c r="AM668" s="7">
        <v>1</v>
      </c>
    </row>
    <row r="669" spans="1:39" ht="14" x14ac:dyDescent="0.15">
      <c r="A669" s="18" t="str">
        <f t="shared" ca="1" si="642"/>
        <v>26_1-3/23&lt;lv50&gt;s4</v>
      </c>
      <c r="B669" s="50">
        <v>26</v>
      </c>
      <c r="C669" s="49">
        <v>1</v>
      </c>
      <c r="D669" s="2" t="str">
        <f t="shared" si="676"/>
        <v>26_1</v>
      </c>
      <c r="E669" s="2" t="str">
        <f t="shared" si="676"/>
        <v>1_26_1</v>
      </c>
      <c r="F669" s="4" t="str">
        <f ca="1">VLOOKUP($D669,OFFSET([1]stages!$A$1,0,0,COUNTA([1]stages!$A:$A),MATCH(F$1,[1]stages!$2:$2,0)-MATCH($D$1,[1]stages!$2:$2,0)+1),MATCH(F$1,[1]stages!$2:$2,0)-MATCH($D$1,[1]stages!$2:$2,0)+1,FALSE)</f>
        <v>26-1．無愛想なフロント</v>
      </c>
      <c r="G669" s="54">
        <v>3</v>
      </c>
      <c r="H669" s="17" t="str">
        <f t="shared" si="677"/>
        <v>26_1-3</v>
      </c>
      <c r="I669" s="17"/>
      <c r="J669" s="17"/>
      <c r="K669" s="65" t="s">
        <v>56</v>
      </c>
      <c r="L669" s="52">
        <v>23</v>
      </c>
      <c r="M669" s="21" t="str">
        <f ca="1">VLOOKUP($L669,OFFSET([2]enemies!$A$1,0,0,COUNTA([2]enemies!$A:$A),MATCH(M$1,[2]enemies!$1:$1,0)-MATCH($L$1,[2]enemies!$1:$1,0)+1),MATCH(M$1,[2]enemies!$1:$1,0)-MATCH($L$1,[2]enemies!$1:$1,0)+1,FALSE)</f>
        <v>ミール</v>
      </c>
      <c r="N669" s="21" t="str">
        <f ca="1">VLOOKUP($L669,OFFSET([2]enemies!$A$1,0,0,COUNTA([2]enemies!$A:$A),MATCH(N$1,[2]enemies!$1:$1,0)-MATCH($L$1,[2]enemies!$1:$1,0)+1),MATCH(N$1,[2]enemies!$1:$1,0)-MATCH($L$1,[2]enemies!$1:$1,0)+1,FALSE)</f>
        <v>green</v>
      </c>
      <c r="O669" s="21" t="str">
        <f ca="1">VLOOKUP($L669,OFFSET([3]characters!$A$1,0,0,COUNTA([3]characters!$A:$A),MATCH(O$1,[3]characters!$1:$1,0)-MATCH($L$1,[3]characters!$1:$1,0)+1),MATCH(O$1,[3]characters!$1:$1,0)-MATCH($L$1,[3]characters!$1:$1,0)+1,FALSE)</f>
        <v>Drop1N</v>
      </c>
      <c r="P669" s="21" t="str">
        <f ca="1">VLOOKUP($L669,OFFSET([2]enemies!$A$1,0,0,COUNTA([2]enemies!$A:$A),MATCH(P$1,[2]enemies!$1:$1,0)-MATCH($L$1,[2]enemies!$1:$1,0)+1),MATCH(P$1,[2]enemies!$1:$1,0)-MATCH($L$1,[2]enemies!$1:$1,0)+1,FALSE)</f>
        <v>animal</v>
      </c>
      <c r="Q669" s="21">
        <f ca="1">VLOOKUP($L669,OFFSET([2]enemies!$A$1,0,0,COUNTA([2]enemies!$A:$A),MATCH(Q$1,[2]enemies!$1:$1,0)-MATCH($L$1,[2]enemies!$1:$1,0)+1),MATCH(Q$1,[2]enemies!$1:$1,0)-MATCH($L$1,[2]enemies!$1:$1,0)+1,FALSE)</f>
        <v>15</v>
      </c>
      <c r="R669" s="53">
        <v>50</v>
      </c>
      <c r="S669" s="27">
        <v>1</v>
      </c>
      <c r="T669" s="27">
        <v>1</v>
      </c>
      <c r="U669" s="5">
        <v>0</v>
      </c>
      <c r="V669" s="4" t="str">
        <f ca="1">VLOOKUP($W669,OFFSET([4]enemy_skill_sets!$B$1,0,0,COUNTA([4]enemy_skill_sets!$B:$B),MATCH(M$1,[4]enemy_skill_sets!$1:$1,0)-MATCH($W$1,[4]enemy_skill_sets!$1:$1,0)+2),MATCH(M$1,[4]enemy_skill_sets!$1:$1,0)-MATCH($W$1,[4]enemy_skill_sets!$1:$1,0)+2,FALSE)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69" s="4">
        <f ca="1">VLOOKUP($L669,OFFSET([2]enemies!$A$1,0,0,COUNTA([2]enemies!$A:$A),MATCH(W$1,[2]enemies!$1:$1,0)-MATCH($L$1,[2]enemies!$1:$1,0)+1),MATCH(W$1,[2]enemies!$1:$1,0)-MATCH($L$1,[2]enemies!$1:$1,0)+1,FALSE)</f>
        <v>0</v>
      </c>
      <c r="X669" s="6">
        <v>0</v>
      </c>
      <c r="Y669" s="6">
        <v>100</v>
      </c>
      <c r="Z669" s="6">
        <v>0</v>
      </c>
      <c r="AA669" s="4">
        <f ca="1">VLOOKUP($L669,OFFSET([2]enemies!$A$1,0,0,COUNTA([2]enemies!$A:$A),MATCH(AA$1,[2]enemies!$1:$1,0)-MATCH($L$1,[2]enemies!$1:$1,0)+1),MATCH(AA$1,[2]enemies!$1:$1,0)-MATCH($L$1,[2]enemies!$1:$1,0)+1,FALSE)</f>
        <v>4</v>
      </c>
      <c r="AB669" s="52">
        <v>23</v>
      </c>
      <c r="AC669" s="4" t="str">
        <f ca="1">VLOOKUP($AB669,OFFSET([3]characters!$A$1,0,0,COUNTA([3]characters!$A:$A),MATCH(AC$1,[3]characters!$1:$1,0)-MATCH("character_id",[3]characters!$1:$1,0)+1),MATCH(AC$1,[3]characters!$1:$1,0)-MATCH("character_id",[3]characters!$1:$1,0)+1,FALSE)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669" s="4">
        <f ca="1">VLOOKUP($AB669,OFFSET([3]characters!$A$1,0,0,COUNTA([3]characters!$A:$A),MATCH(AD$1,[3]characters!$1:$1,0)-MATCH("character_id",[3]characters!$1:$1,0)+1),MATCH(AD$1,[3]characters!$1:$1,0)-MATCH("character_id",[3]characters!$1:$1,0)+1,FALSE)</f>
        <v>1</v>
      </c>
      <c r="AE669" s="4" t="str">
        <f ca="1">VLOOKUP($AB669,OFFSET([3]characters!$A$1,0,0,COUNTA([3]characters!$A:$A),MATCH(AE$1,[3]characters!$1:$1,0)-MATCH("character_id",[3]characters!$1:$1,0)+1),MATCH(AE$1,[3]characters!$1:$1,0)-MATCH("character_id",[3]characters!$1:$1,0)+1,FALSE)</f>
        <v>Drop1N</v>
      </c>
      <c r="AF669" s="7">
        <v>7</v>
      </c>
      <c r="AG669" s="26">
        <f t="shared" ca="1" si="666"/>
        <v>1</v>
      </c>
      <c r="AH669" s="8">
        <v>20</v>
      </c>
      <c r="AI669" s="7">
        <v>0</v>
      </c>
      <c r="AJ669" s="7">
        <v>0</v>
      </c>
      <c r="AK669" s="7">
        <v>0</v>
      </c>
      <c r="AL669" s="7">
        <v>0</v>
      </c>
      <c r="AM669" s="7">
        <v>1</v>
      </c>
    </row>
    <row r="670" spans="1:39" ht="14" x14ac:dyDescent="0.15">
      <c r="A670" s="18" t="str">
        <f t="shared" ca="1" si="642"/>
        <v>26_1-3/25&lt;lv50&gt;s3</v>
      </c>
      <c r="B670" s="50">
        <v>26</v>
      </c>
      <c r="C670" s="49">
        <v>1</v>
      </c>
      <c r="D670" s="2" t="str">
        <f t="shared" si="676"/>
        <v>26_1</v>
      </c>
      <c r="E670" s="2" t="str">
        <f t="shared" si="676"/>
        <v>1_26_1</v>
      </c>
      <c r="F670" s="4" t="str">
        <f ca="1">VLOOKUP($D670,OFFSET([1]stages!$A$1,0,0,COUNTA([1]stages!$A:$A),MATCH(F$1,[1]stages!$2:$2,0)-MATCH($D$1,[1]stages!$2:$2,0)+1),MATCH(F$1,[1]stages!$2:$2,0)-MATCH($D$1,[1]stages!$2:$2,0)+1,FALSE)</f>
        <v>26-1．無愛想なフロント</v>
      </c>
      <c r="G670" s="54">
        <v>3</v>
      </c>
      <c r="H670" s="17" t="str">
        <f t="shared" si="677"/>
        <v>26_1-3</v>
      </c>
      <c r="I670" s="17"/>
      <c r="J670" s="17"/>
      <c r="K670" s="65" t="s">
        <v>56</v>
      </c>
      <c r="L670" s="52">
        <v>25</v>
      </c>
      <c r="M670" s="21" t="str">
        <f ca="1">VLOOKUP($L670,OFFSET([2]enemies!$A$1,0,0,COUNTA([2]enemies!$A:$A),MATCH(M$1,[2]enemies!$1:$1,0)-MATCH($L$1,[2]enemies!$1:$1,0)+1),MATCH(M$1,[2]enemies!$1:$1,0)-MATCH($L$1,[2]enemies!$1:$1,0)+1,FALSE)</f>
        <v>ハチ</v>
      </c>
      <c r="N670" s="21" t="str">
        <f ca="1">VLOOKUP($L670,OFFSET([2]enemies!$A$1,0,0,COUNTA([2]enemies!$A:$A),MATCH(N$1,[2]enemies!$1:$1,0)-MATCH($L$1,[2]enemies!$1:$1,0)+1),MATCH(N$1,[2]enemies!$1:$1,0)-MATCH($L$1,[2]enemies!$1:$1,0)+1,FALSE)</f>
        <v>blue</v>
      </c>
      <c r="O670" s="21" t="str">
        <f ca="1">VLOOKUP($L670,OFFSET([3]characters!$A$1,0,0,COUNTA([3]characters!$A:$A),MATCH(O$1,[3]characters!$1:$1,0)-MATCH($L$1,[3]characters!$1:$1,0)+1),MATCH(O$1,[3]characters!$1:$1,0)-MATCH($L$1,[3]characters!$1:$1,0)+1,FALSE)</f>
        <v>Drop1N</v>
      </c>
      <c r="P670" s="21" t="str">
        <f ca="1">VLOOKUP($L670,OFFSET([2]enemies!$A$1,0,0,COUNTA([2]enemies!$A:$A),MATCH(P$1,[2]enemies!$1:$1,0)-MATCH($L$1,[2]enemies!$1:$1,0)+1),MATCH(P$1,[2]enemies!$1:$1,0)-MATCH($L$1,[2]enemies!$1:$1,0)+1,FALSE)</f>
        <v>animal</v>
      </c>
      <c r="Q670" s="21">
        <f ca="1">VLOOKUP($L670,OFFSET([2]enemies!$A$1,0,0,COUNTA([2]enemies!$A:$A),MATCH(Q$1,[2]enemies!$1:$1,0)-MATCH($L$1,[2]enemies!$1:$1,0)+1),MATCH(Q$1,[2]enemies!$1:$1,0)-MATCH($L$1,[2]enemies!$1:$1,0)+1,FALSE)</f>
        <v>15</v>
      </c>
      <c r="R670" s="53">
        <v>50</v>
      </c>
      <c r="S670" s="27">
        <v>1</v>
      </c>
      <c r="T670" s="27">
        <v>1</v>
      </c>
      <c r="U670" s="5">
        <v>0</v>
      </c>
      <c r="V670" s="4" t="str">
        <f ca="1">VLOOKUP($W670,OFFSET([4]enemy_skill_sets!$B$1,0,0,COUNTA([4]enemy_skill_sets!$B:$B),MATCH(M$1,[4]enemy_skill_sets!$1:$1,0)-MATCH($W$1,[4]enemy_skill_sets!$1:$1,0)+2),MATCH(M$1,[4]enemy_skill_sets!$1:$1,0)-MATCH($W$1,[4]enemy_skill_sets!$1:$1,0)+2,FALSE)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70" s="4">
        <f ca="1">VLOOKUP($L670,OFFSET([2]enemies!$A$1,0,0,COUNTA([2]enemies!$A:$A),MATCH(W$1,[2]enemies!$1:$1,0)-MATCH($L$1,[2]enemies!$1:$1,0)+1),MATCH(W$1,[2]enemies!$1:$1,0)-MATCH($L$1,[2]enemies!$1:$1,0)+1,FALSE)</f>
        <v>0</v>
      </c>
      <c r="X670" s="6">
        <v>0</v>
      </c>
      <c r="Y670" s="6">
        <v>100</v>
      </c>
      <c r="Z670" s="6">
        <v>0</v>
      </c>
      <c r="AA670" s="4">
        <f ca="1">VLOOKUP($L670,OFFSET([2]enemies!$A$1,0,0,COUNTA([2]enemies!$A:$A),MATCH(AA$1,[2]enemies!$1:$1,0)-MATCH($L$1,[2]enemies!$1:$1,0)+1),MATCH(AA$1,[2]enemies!$1:$1,0)-MATCH($L$1,[2]enemies!$1:$1,0)+1,FALSE)</f>
        <v>3</v>
      </c>
      <c r="AB670" s="52">
        <v>25</v>
      </c>
      <c r="AC670" s="4" t="str">
        <f ca="1">VLOOKUP($AB670,OFFSET([3]characters!$A$1,0,0,COUNTA([3]characters!$A:$A),MATCH(AC$1,[3]characters!$1:$1,0)-MATCH("character_id",[3]characters!$1:$1,0)+1),MATCH(AC$1,[3]characters!$1:$1,0)-MATCH("character_id",[3]characters!$1:$1,0)+1,FALSE)</f>
        <v>ハチ</v>
      </c>
      <c r="AD670" s="4">
        <f ca="1">VLOOKUP($AB670,OFFSET([3]characters!$A$1,0,0,COUNTA([3]characters!$A:$A),MATCH(AD$1,[3]characters!$1:$1,0)-MATCH("character_id",[3]characters!$1:$1,0)+1),MATCH(AD$1,[3]characters!$1:$1,0)-MATCH("character_id",[3]characters!$1:$1,0)+1,FALSE)</f>
        <v>1</v>
      </c>
      <c r="AE670" s="4" t="str">
        <f ca="1">VLOOKUP($AB670,OFFSET([3]characters!$A$1,0,0,COUNTA([3]characters!$A:$A),MATCH(AE$1,[3]characters!$1:$1,0)-MATCH("character_id",[3]characters!$1:$1,0)+1),MATCH(AE$1,[3]characters!$1:$1,0)-MATCH("character_id",[3]characters!$1:$1,0)+1,FALSE)</f>
        <v>Drop1N</v>
      </c>
      <c r="AF670" s="7">
        <v>7</v>
      </c>
      <c r="AG670" s="26">
        <f t="shared" ca="1" si="666"/>
        <v>1</v>
      </c>
      <c r="AH670" s="8">
        <v>20</v>
      </c>
      <c r="AI670" s="7">
        <v>0</v>
      </c>
      <c r="AJ670" s="7">
        <v>0</v>
      </c>
      <c r="AK670" s="7">
        <v>0</v>
      </c>
      <c r="AL670" s="7">
        <v>0</v>
      </c>
      <c r="AM670" s="7">
        <v>1</v>
      </c>
    </row>
    <row r="671" spans="1:39" ht="14" x14ac:dyDescent="0.15">
      <c r="A671" s="18" t="str">
        <f t="shared" ca="1" si="642"/>
        <v>26_1-3/33&lt;lv50&gt;s2</v>
      </c>
      <c r="B671" s="50">
        <v>26</v>
      </c>
      <c r="C671" s="49">
        <v>1</v>
      </c>
      <c r="D671" s="2" t="str">
        <f t="shared" si="676"/>
        <v>26_1</v>
      </c>
      <c r="E671" s="2" t="str">
        <f t="shared" si="676"/>
        <v>1_26_1</v>
      </c>
      <c r="F671" s="4" t="str">
        <f ca="1">VLOOKUP($D671,OFFSET([1]stages!$A$1,0,0,COUNTA([1]stages!$A:$A),MATCH(F$1,[1]stages!$2:$2,0)-MATCH($D$1,[1]stages!$2:$2,0)+1),MATCH(F$1,[1]stages!$2:$2,0)-MATCH($D$1,[1]stages!$2:$2,0)+1,FALSE)</f>
        <v>26-1．無愛想なフロント</v>
      </c>
      <c r="G671" s="54">
        <v>3</v>
      </c>
      <c r="H671" s="17" t="str">
        <f t="shared" si="677"/>
        <v>26_1-3</v>
      </c>
      <c r="I671" s="17"/>
      <c r="J671" s="17"/>
      <c r="K671" s="65" t="s">
        <v>56</v>
      </c>
      <c r="L671" s="52">
        <v>33</v>
      </c>
      <c r="M671" s="21" t="str">
        <f ca="1">VLOOKUP($L671,OFFSET([2]enemies!$A$1,0,0,COUNTA([2]enemies!$A:$A),MATCH(M$1,[2]enemies!$1:$1,0)-MATCH($L$1,[2]enemies!$1:$1,0)+1),MATCH(M$1,[2]enemies!$1:$1,0)-MATCH($L$1,[2]enemies!$1:$1,0)+1,FALSE)</f>
        <v>ゴクウ</v>
      </c>
      <c r="N671" s="21" t="str">
        <f ca="1">VLOOKUP($L671,OFFSET([2]enemies!$A$1,0,0,COUNTA([2]enemies!$A:$A),MATCH(N$1,[2]enemies!$1:$1,0)-MATCH($L$1,[2]enemies!$1:$1,0)+1),MATCH(N$1,[2]enemies!$1:$1,0)-MATCH($L$1,[2]enemies!$1:$1,0)+1,FALSE)</f>
        <v>red</v>
      </c>
      <c r="O671" s="21" t="str">
        <f ca="1">VLOOKUP($L671,OFFSET([3]characters!$A$1,0,0,COUNTA([3]characters!$A:$A),MATCH(O$1,[3]characters!$1:$1,0)-MATCH($L$1,[3]characters!$1:$1,0)+1),MATCH(O$1,[3]characters!$1:$1,0)-MATCH($L$1,[3]characters!$1:$1,0)+1,FALSE)</f>
        <v>Drop1S</v>
      </c>
      <c r="P671" s="21" t="str">
        <f ca="1">VLOOKUP($L671,OFFSET([2]enemies!$A$1,0,0,COUNTA([2]enemies!$A:$A),MATCH(P$1,[2]enemies!$1:$1,0)-MATCH($L$1,[2]enemies!$1:$1,0)+1),MATCH(P$1,[2]enemies!$1:$1,0)-MATCH($L$1,[2]enemies!$1:$1,0)+1,FALSE)</f>
        <v>animal</v>
      </c>
      <c r="Q671" s="21">
        <f ca="1">VLOOKUP($L671,OFFSET([2]enemies!$A$1,0,0,COUNTA([2]enemies!$A:$A),MATCH(Q$1,[2]enemies!$1:$1,0)-MATCH($L$1,[2]enemies!$1:$1,0)+1),MATCH(Q$1,[2]enemies!$1:$1,0)-MATCH($L$1,[2]enemies!$1:$1,0)+1,FALSE)</f>
        <v>15</v>
      </c>
      <c r="R671" s="53">
        <v>50</v>
      </c>
      <c r="S671" s="27">
        <v>1</v>
      </c>
      <c r="T671" s="27">
        <v>1</v>
      </c>
      <c r="U671" s="5">
        <v>0</v>
      </c>
      <c r="V671" s="4" t="str">
        <f ca="1">VLOOKUP($W671,OFFSET([4]enemy_skill_sets!$B$1,0,0,COUNTA([4]enemy_skill_sets!$B:$B),MATCH(M$1,[4]enemy_skill_sets!$1:$1,0)-MATCH($W$1,[4]enemy_skill_sets!$1:$1,0)+2),MATCH(M$1,[4]enemy_skill_sets!$1:$1,0)-MATCH($W$1,[4]enemy_skill_sets!$1:$1,0)+2,FALSE)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671" s="4">
        <f ca="1">VLOOKUP($L671,OFFSET([2]enemies!$A$1,0,0,COUNTA([2]enemies!$A:$A),MATCH(W$1,[2]enemies!$1:$1,0)-MATCH($L$1,[2]enemies!$1:$1,0)+1),MATCH(W$1,[2]enemies!$1:$1,0)-MATCH($L$1,[2]enemies!$1:$1,0)+1,FALSE)</f>
        <v>33</v>
      </c>
      <c r="X671" s="6">
        <v>0</v>
      </c>
      <c r="Y671" s="6">
        <v>100</v>
      </c>
      <c r="Z671" s="6">
        <v>0</v>
      </c>
      <c r="AA671" s="4">
        <f ca="1">VLOOKUP($L671,OFFSET([2]enemies!$A$1,0,0,COUNTA([2]enemies!$A:$A),MATCH(AA$1,[2]enemies!$1:$1,0)-MATCH($L$1,[2]enemies!$1:$1,0)+1),MATCH(AA$1,[2]enemies!$1:$1,0)-MATCH($L$1,[2]enemies!$1:$1,0)+1,FALSE)</f>
        <v>2</v>
      </c>
      <c r="AB671" s="52">
        <v>33</v>
      </c>
      <c r="AC671" s="4" t="str">
        <f ca="1">VLOOKUP($AB671,OFFSET([3]characters!$A$1,0,0,COUNTA([3]characters!$A:$A),MATCH(AC$1,[3]characters!$1:$1,0)-MATCH("character_id",[3]characters!$1:$1,0)+1),MATCH(AC$1,[3]characters!$1:$1,0)-MATCH("character_id",[3]characters!$1:$1,0)+1,FALSE)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671" s="4">
        <f ca="1">VLOOKUP($AB671,OFFSET([3]characters!$A$1,0,0,COUNTA([3]characters!$A:$A),MATCH(AD$1,[3]characters!$1:$1,0)-MATCH("character_id",[3]characters!$1:$1,0)+1),MATCH(AD$1,[3]characters!$1:$1,0)-MATCH("character_id",[3]characters!$1:$1,0)+1,FALSE)</f>
        <v>2</v>
      </c>
      <c r="AE671" s="4" t="str">
        <f ca="1">VLOOKUP($AB671,OFFSET([3]characters!$A$1,0,0,COUNTA([3]characters!$A:$A),MATCH(AE$1,[3]characters!$1:$1,0)-MATCH("character_id",[3]characters!$1:$1,0)+1),MATCH(AE$1,[3]characters!$1:$1,0)-MATCH("character_id",[3]characters!$1:$1,0)+1,FALSE)</f>
        <v>Drop1S</v>
      </c>
      <c r="AF671" s="7">
        <v>5</v>
      </c>
      <c r="AG671" s="26">
        <f t="shared" ca="1" si="666"/>
        <v>2</v>
      </c>
      <c r="AH671" s="8">
        <v>20</v>
      </c>
      <c r="AI671" s="7">
        <v>0</v>
      </c>
      <c r="AJ671" s="7">
        <v>0</v>
      </c>
      <c r="AK671" s="7">
        <v>0</v>
      </c>
      <c r="AL671" s="7">
        <v>0</v>
      </c>
      <c r="AM671" s="7">
        <v>1</v>
      </c>
    </row>
    <row r="672" spans="1:39" ht="14" x14ac:dyDescent="0.15">
      <c r="A672" s="18" t="str">
        <f t="shared" ca="1" si="642"/>
        <v>26_1-3/37&lt;lv50&gt;s3</v>
      </c>
      <c r="B672" s="50">
        <v>26</v>
      </c>
      <c r="C672" s="49">
        <v>1</v>
      </c>
      <c r="D672" s="2" t="str">
        <f t="shared" si="676"/>
        <v>26_1</v>
      </c>
      <c r="E672" s="2" t="str">
        <f t="shared" si="676"/>
        <v>1_26_1</v>
      </c>
      <c r="F672" s="4" t="str">
        <f ca="1">VLOOKUP($D672,OFFSET([1]stages!$A$1,0,0,COUNTA([1]stages!$A:$A),MATCH(F$1,[1]stages!$2:$2,0)-MATCH($D$1,[1]stages!$2:$2,0)+1),MATCH(F$1,[1]stages!$2:$2,0)-MATCH($D$1,[1]stages!$2:$2,0)+1,FALSE)</f>
        <v>26-1．無愛想なフロント</v>
      </c>
      <c r="G672" s="54">
        <v>3</v>
      </c>
      <c r="H672" s="17" t="str">
        <f t="shared" si="677"/>
        <v>26_1-3</v>
      </c>
      <c r="I672" s="17"/>
      <c r="J672" s="17"/>
      <c r="K672" s="65" t="s">
        <v>56</v>
      </c>
      <c r="L672" s="52">
        <v>37</v>
      </c>
      <c r="M672" s="21" t="str">
        <f ca="1">VLOOKUP($L672,OFFSET([2]enemies!$A$1,0,0,COUNTA([2]enemies!$A:$A),MATCH(M$1,[2]enemies!$1:$1,0)-MATCH($L$1,[2]enemies!$1:$1,0)+1),MATCH(M$1,[2]enemies!$1:$1,0)-MATCH($L$1,[2]enemies!$1:$1,0)+1,FALSE)</f>
        <v>ガイル</v>
      </c>
      <c r="N672" s="21" t="str">
        <f ca="1">VLOOKUP($L672,OFFSET([2]enemies!$A$1,0,0,COUNTA([2]enemies!$A:$A),MATCH(N$1,[2]enemies!$1:$1,0)-MATCH($L$1,[2]enemies!$1:$1,0)+1),MATCH(N$1,[2]enemies!$1:$1,0)-MATCH($L$1,[2]enemies!$1:$1,0)+1,FALSE)</f>
        <v>blue</v>
      </c>
      <c r="O672" s="21" t="str">
        <f ca="1">VLOOKUP($L672,OFFSET([3]characters!$A$1,0,0,COUNTA([3]characters!$A:$A),MATCH(O$1,[3]characters!$1:$1,0)-MATCH($L$1,[3]characters!$1:$1,0)+1),MATCH(O$1,[3]characters!$1:$1,0)-MATCH($L$1,[3]characters!$1:$1,0)+1,FALSE)</f>
        <v>Drop1S</v>
      </c>
      <c r="P672" s="21" t="str">
        <f ca="1">VLOOKUP($L672,OFFSET([2]enemies!$A$1,0,0,COUNTA([2]enemies!$A:$A),MATCH(P$1,[2]enemies!$1:$1,0)-MATCH($L$1,[2]enemies!$1:$1,0)+1),MATCH(P$1,[2]enemies!$1:$1,0)-MATCH($L$1,[2]enemies!$1:$1,0)+1,FALSE)</f>
        <v>animal</v>
      </c>
      <c r="Q672" s="21">
        <f ca="1">VLOOKUP($L672,OFFSET([2]enemies!$A$1,0,0,COUNTA([2]enemies!$A:$A),MATCH(Q$1,[2]enemies!$1:$1,0)-MATCH($L$1,[2]enemies!$1:$1,0)+1),MATCH(Q$1,[2]enemies!$1:$1,0)-MATCH($L$1,[2]enemies!$1:$1,0)+1,FALSE)</f>
        <v>15</v>
      </c>
      <c r="R672" s="53">
        <v>50</v>
      </c>
      <c r="S672" s="27">
        <v>1</v>
      </c>
      <c r="T672" s="27">
        <v>1</v>
      </c>
      <c r="U672" s="5">
        <v>0</v>
      </c>
      <c r="V672" s="4" t="str">
        <f ca="1">VLOOKUP($W672,OFFSET([4]enemy_skill_sets!$B$1,0,0,COUNTA([4]enemy_skill_sets!$B:$B),MATCH(M$1,[4]enemy_skill_sets!$1:$1,0)-MATCH($W$1,[4]enemy_skill_sets!$1:$1,0)+2),MATCH(M$1,[4]enemy_skill_sets!$1:$1,0)-MATCH($W$1,[4]enemy_skill_sets!$1:$1,0)+2,FALSE)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672" s="4">
        <f ca="1">VLOOKUP($L672,OFFSET([2]enemies!$A$1,0,0,COUNTA([2]enemies!$A:$A),MATCH(W$1,[2]enemies!$1:$1,0)-MATCH($L$1,[2]enemies!$1:$1,0)+1),MATCH(W$1,[2]enemies!$1:$1,0)-MATCH($L$1,[2]enemies!$1:$1,0)+1,FALSE)</f>
        <v>37</v>
      </c>
      <c r="X672" s="6">
        <v>0</v>
      </c>
      <c r="Y672" s="6">
        <v>100</v>
      </c>
      <c r="Z672" s="6">
        <v>0</v>
      </c>
      <c r="AA672" s="4">
        <f ca="1">VLOOKUP($L672,OFFSET([2]enemies!$A$1,0,0,COUNTA([2]enemies!$A:$A),MATCH(AA$1,[2]enemies!$1:$1,0)-MATCH($L$1,[2]enemies!$1:$1,0)+1),MATCH(AA$1,[2]enemies!$1:$1,0)-MATCH($L$1,[2]enemies!$1:$1,0)+1,FALSE)</f>
        <v>3</v>
      </c>
      <c r="AB672" s="52">
        <v>37</v>
      </c>
      <c r="AC672" s="4" t="str">
        <f ca="1">VLOOKUP($AB672,OFFSET([3]characters!$A$1,0,0,COUNTA([3]characters!$A:$A),MATCH(AC$1,[3]characters!$1:$1,0)-MATCH("character_id",[3]characters!$1:$1,0)+1),MATCH(AC$1,[3]characters!$1:$1,0)-MATCH("character_id",[3]characters!$1:$1,0)+1,FALSE)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672" s="4">
        <f ca="1">VLOOKUP($AB672,OFFSET([3]characters!$A$1,0,0,COUNTA([3]characters!$A:$A),MATCH(AD$1,[3]characters!$1:$1,0)-MATCH("character_id",[3]characters!$1:$1,0)+1),MATCH(AD$1,[3]characters!$1:$1,0)-MATCH("character_id",[3]characters!$1:$1,0)+1,FALSE)</f>
        <v>2</v>
      </c>
      <c r="AE672" s="4" t="str">
        <f ca="1">VLOOKUP($AB672,OFFSET([3]characters!$A$1,0,0,COUNTA([3]characters!$A:$A),MATCH(AE$1,[3]characters!$1:$1,0)-MATCH("character_id",[3]characters!$1:$1,0)+1),MATCH(AE$1,[3]characters!$1:$1,0)-MATCH("character_id",[3]characters!$1:$1,0)+1,FALSE)</f>
        <v>Drop1S</v>
      </c>
      <c r="AF672" s="7">
        <v>5</v>
      </c>
      <c r="AG672" s="26">
        <f t="shared" ca="1" si="666"/>
        <v>2</v>
      </c>
      <c r="AH672" s="8">
        <v>20</v>
      </c>
      <c r="AI672" s="7">
        <v>0</v>
      </c>
      <c r="AJ672" s="7">
        <v>0</v>
      </c>
      <c r="AK672" s="7">
        <v>0</v>
      </c>
      <c r="AL672" s="7">
        <v>0</v>
      </c>
      <c r="AM672" s="7">
        <v>1</v>
      </c>
    </row>
    <row r="673" spans="1:39" ht="14" x14ac:dyDescent="0.15">
      <c r="A673" s="18" t="str">
        <f t="shared" ref="A673:A736" ca="1" si="687">B673&amp;"_"&amp;C673&amp;"-"&amp;G673&amp;"/"&amp;L673&amp;"&lt;lv"&amp;R673&amp;"&gt;s"&amp;AA673</f>
        <v>26_1-3/45&lt;lv50&gt;s3</v>
      </c>
      <c r="B673" s="50">
        <v>26</v>
      </c>
      <c r="C673" s="49">
        <v>1</v>
      </c>
      <c r="D673" s="2" t="str">
        <f t="shared" si="676"/>
        <v>26_1</v>
      </c>
      <c r="E673" s="2" t="str">
        <f t="shared" si="676"/>
        <v>1_26_1</v>
      </c>
      <c r="F673" s="4" t="str">
        <f ca="1">VLOOKUP($D673,OFFSET([1]stages!$A$1,0,0,COUNTA([1]stages!$A:$A),MATCH(F$1,[1]stages!$2:$2,0)-MATCH($D$1,[1]stages!$2:$2,0)+1),MATCH(F$1,[1]stages!$2:$2,0)-MATCH($D$1,[1]stages!$2:$2,0)+1,FALSE)</f>
        <v>26-1．無愛想なフロント</v>
      </c>
      <c r="G673" s="54">
        <v>3</v>
      </c>
      <c r="H673" s="17" t="str">
        <f t="shared" si="677"/>
        <v>26_1-3</v>
      </c>
      <c r="I673" s="17"/>
      <c r="J673" s="17"/>
      <c r="K673" s="65" t="s">
        <v>56</v>
      </c>
      <c r="L673" s="52">
        <v>45</v>
      </c>
      <c r="M673" s="21" t="str">
        <f ca="1">VLOOKUP($L673,OFFSET([2]enemies!$A$1,0,0,COUNTA([2]enemies!$A:$A),MATCH(M$1,[2]enemies!$1:$1,0)-MATCH($L$1,[2]enemies!$1:$1,0)+1),MATCH(M$1,[2]enemies!$1:$1,0)-MATCH($L$1,[2]enemies!$1:$1,0)+1,FALSE)</f>
        <v>ショウイン</v>
      </c>
      <c r="N673" s="21" t="str">
        <f ca="1">VLOOKUP($L673,OFFSET([2]enemies!$A$1,0,0,COUNTA([2]enemies!$A:$A),MATCH(N$1,[2]enemies!$1:$1,0)-MATCH($L$1,[2]enemies!$1:$1,0)+1),MATCH(N$1,[2]enemies!$1:$1,0)-MATCH($L$1,[2]enemies!$1:$1,0)+1,FALSE)</f>
        <v>blue</v>
      </c>
      <c r="O673" s="21" t="str">
        <f ca="1">VLOOKUP($L673,OFFSET([3]characters!$A$1,0,0,COUNTA([3]characters!$A:$A),MATCH(O$1,[3]characters!$1:$1,0)-MATCH($L$1,[3]characters!$1:$1,0)+1),MATCH(O$1,[3]characters!$1:$1,0)-MATCH($L$1,[3]characters!$1:$1,0)+1,FALSE)</f>
        <v>Drop1N</v>
      </c>
      <c r="P673" s="21" t="str">
        <f ca="1">VLOOKUP($L673,OFFSET([2]enemies!$A$1,0,0,COUNTA([2]enemies!$A:$A),MATCH(P$1,[2]enemies!$1:$1,0)-MATCH($L$1,[2]enemies!$1:$1,0)+1),MATCH(P$1,[2]enemies!$1:$1,0)-MATCH($L$1,[2]enemies!$1:$1,0)+1,FALSE)</f>
        <v>animal</v>
      </c>
      <c r="Q673" s="21">
        <f ca="1">VLOOKUP($L673,OFFSET([2]enemies!$A$1,0,0,COUNTA([2]enemies!$A:$A),MATCH(Q$1,[2]enemies!$1:$1,0)-MATCH($L$1,[2]enemies!$1:$1,0)+1),MATCH(Q$1,[2]enemies!$1:$1,0)-MATCH($L$1,[2]enemies!$1:$1,0)+1,FALSE)</f>
        <v>15</v>
      </c>
      <c r="R673" s="53">
        <v>50</v>
      </c>
      <c r="S673" s="27">
        <v>1</v>
      </c>
      <c r="T673" s="27">
        <v>1</v>
      </c>
      <c r="U673" s="5">
        <v>0</v>
      </c>
      <c r="V673" s="4" t="str">
        <f ca="1">VLOOKUP($W673,OFFSET([4]enemy_skill_sets!$B$1,0,0,COUNTA([4]enemy_skill_sets!$B:$B),MATCH(M$1,[4]enemy_skill_sets!$1:$1,0)-MATCH($W$1,[4]enemy_skill_sets!$1:$1,0)+2),MATCH(M$1,[4]enemy_skill_sets!$1:$1,0)-MATCH($W$1,[4]enemy_skill_sets!$1:$1,0)+2,FALSE)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73" s="4">
        <f ca="1">VLOOKUP($L673,OFFSET([2]enemies!$A$1,0,0,COUNTA([2]enemies!$A:$A),MATCH(W$1,[2]enemies!$1:$1,0)-MATCH($L$1,[2]enemies!$1:$1,0)+1),MATCH(W$1,[2]enemies!$1:$1,0)-MATCH($L$1,[2]enemies!$1:$1,0)+1,FALSE)</f>
        <v>0</v>
      </c>
      <c r="X673" s="6">
        <v>0</v>
      </c>
      <c r="Y673" s="6">
        <v>100</v>
      </c>
      <c r="Z673" s="6">
        <v>0</v>
      </c>
      <c r="AA673" s="4">
        <f ca="1">VLOOKUP($L673,OFFSET([2]enemies!$A$1,0,0,COUNTA([2]enemies!$A:$A),MATCH(AA$1,[2]enemies!$1:$1,0)-MATCH($L$1,[2]enemies!$1:$1,0)+1),MATCH(AA$1,[2]enemies!$1:$1,0)-MATCH($L$1,[2]enemies!$1:$1,0)+1,FALSE)</f>
        <v>3</v>
      </c>
      <c r="AB673" s="52">
        <v>45</v>
      </c>
      <c r="AC673" s="4" t="str">
        <f ca="1">VLOOKUP($AB673,OFFSET([3]characters!$A$1,0,0,COUNTA([3]characters!$A:$A),MATCH(AC$1,[3]characters!$1:$1,0)-MATCH("character_id",[3]characters!$1:$1,0)+1),MATCH(AC$1,[3]characters!$1:$1,0)-MATCH("character_id",[3]characters!$1:$1,0)+1,FALSE)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673" s="4">
        <f ca="1">VLOOKUP($AB673,OFFSET([3]characters!$A$1,0,0,COUNTA([3]characters!$A:$A),MATCH(AD$1,[3]characters!$1:$1,0)-MATCH("character_id",[3]characters!$1:$1,0)+1),MATCH(AD$1,[3]characters!$1:$1,0)-MATCH("character_id",[3]characters!$1:$1,0)+1,FALSE)</f>
        <v>2</v>
      </c>
      <c r="AE673" s="4" t="str">
        <f ca="1">VLOOKUP($AB673,OFFSET([3]characters!$A$1,0,0,COUNTA([3]characters!$A:$A),MATCH(AE$1,[3]characters!$1:$1,0)-MATCH("character_id",[3]characters!$1:$1,0)+1),MATCH(AE$1,[3]characters!$1:$1,0)-MATCH("character_id",[3]characters!$1:$1,0)+1,FALSE)</f>
        <v>Drop1N</v>
      </c>
      <c r="AF673" s="7">
        <v>7</v>
      </c>
      <c r="AG673" s="26">
        <f t="shared" ca="1" si="666"/>
        <v>2</v>
      </c>
      <c r="AH673" s="8">
        <v>20</v>
      </c>
      <c r="AI673" s="7">
        <v>0</v>
      </c>
      <c r="AJ673" s="7">
        <v>0</v>
      </c>
      <c r="AK673" s="7">
        <v>0</v>
      </c>
      <c r="AL673" s="7">
        <v>0</v>
      </c>
      <c r="AM673" s="7">
        <v>1</v>
      </c>
    </row>
    <row r="674" spans="1:39" ht="14" x14ac:dyDescent="0.15">
      <c r="A674" s="18" t="str">
        <f t="shared" ca="1" si="687"/>
        <v>26_1-3/47&lt;lv50&gt;s1</v>
      </c>
      <c r="B674" s="50">
        <v>26</v>
      </c>
      <c r="C674" s="49">
        <v>1</v>
      </c>
      <c r="D674" s="2" t="str">
        <f t="shared" si="676"/>
        <v>26_1</v>
      </c>
      <c r="E674" s="2" t="str">
        <f t="shared" si="676"/>
        <v>1_26_1</v>
      </c>
      <c r="F674" s="4" t="str">
        <f ca="1">VLOOKUP($D674,OFFSET([1]stages!$A$1,0,0,COUNTA([1]stages!$A:$A),MATCH(F$1,[1]stages!$2:$2,0)-MATCH($D$1,[1]stages!$2:$2,0)+1),MATCH(F$1,[1]stages!$2:$2,0)-MATCH($D$1,[1]stages!$2:$2,0)+1,FALSE)</f>
        <v>26-1．無愛想なフロント</v>
      </c>
      <c r="G674" s="54">
        <v>3</v>
      </c>
      <c r="H674" s="17" t="str">
        <f t="shared" si="677"/>
        <v>26_1-3</v>
      </c>
      <c r="I674" s="17"/>
      <c r="J674" s="17"/>
      <c r="K674" s="65" t="s">
        <v>56</v>
      </c>
      <c r="L674" s="52">
        <v>47</v>
      </c>
      <c r="M674" s="21" t="str">
        <f ca="1">VLOOKUP($L674,OFFSET([2]enemies!$A$1,0,0,COUNTA([2]enemies!$A:$A),MATCH(M$1,[2]enemies!$1:$1,0)-MATCH($L$1,[2]enemies!$1:$1,0)+1),MATCH(M$1,[2]enemies!$1:$1,0)-MATCH($L$1,[2]enemies!$1:$1,0)+1,FALSE)</f>
        <v>ヒロ</v>
      </c>
      <c r="N674" s="21" t="str">
        <f ca="1">VLOOKUP($L674,OFFSET([2]enemies!$A$1,0,0,COUNTA([2]enemies!$A:$A),MATCH(N$1,[2]enemies!$1:$1,0)-MATCH($L$1,[2]enemies!$1:$1,0)+1),MATCH(N$1,[2]enemies!$1:$1,0)-MATCH($L$1,[2]enemies!$1:$1,0)+1,FALSE)</f>
        <v>yellow</v>
      </c>
      <c r="O674" s="21" t="str">
        <f ca="1">VLOOKUP($L674,OFFSET([3]characters!$A$1,0,0,COUNTA([3]characters!$A:$A),MATCH(O$1,[3]characters!$1:$1,0)-MATCH($L$1,[3]characters!$1:$1,0)+1),MATCH(O$1,[3]characters!$1:$1,0)-MATCH($L$1,[3]characters!$1:$1,0)+1,FALSE)</f>
        <v>Drop1N</v>
      </c>
      <c r="P674" s="21" t="str">
        <f ca="1">VLOOKUP($L674,OFFSET([2]enemies!$A$1,0,0,COUNTA([2]enemies!$A:$A),MATCH(P$1,[2]enemies!$1:$1,0)-MATCH($L$1,[2]enemies!$1:$1,0)+1),MATCH(P$1,[2]enemies!$1:$1,0)-MATCH($L$1,[2]enemies!$1:$1,0)+1,FALSE)</f>
        <v>animal</v>
      </c>
      <c r="Q674" s="21">
        <f ca="1">VLOOKUP($L674,OFFSET([2]enemies!$A$1,0,0,COUNTA([2]enemies!$A:$A),MATCH(Q$1,[2]enemies!$1:$1,0)-MATCH($L$1,[2]enemies!$1:$1,0)+1),MATCH(Q$1,[2]enemies!$1:$1,0)-MATCH($L$1,[2]enemies!$1:$1,0)+1,FALSE)</f>
        <v>15</v>
      </c>
      <c r="R674" s="53">
        <v>50</v>
      </c>
      <c r="S674" s="27">
        <v>1</v>
      </c>
      <c r="T674" s="27">
        <v>1</v>
      </c>
      <c r="U674" s="5">
        <v>0</v>
      </c>
      <c r="V674" s="4" t="str">
        <f ca="1">VLOOKUP($W674,OFFSET([4]enemy_skill_sets!$B$1,0,0,COUNTA([4]enemy_skill_sets!$B:$B),MATCH(M$1,[4]enemy_skill_sets!$1:$1,0)-MATCH($W$1,[4]enemy_skill_sets!$1:$1,0)+2),MATCH(M$1,[4]enemy_skill_sets!$1:$1,0)-MATCH($W$1,[4]enemy_skill_sets!$1:$1,0)+2,FALSE)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74" s="4">
        <f ca="1">VLOOKUP($L674,OFFSET([2]enemies!$A$1,0,0,COUNTA([2]enemies!$A:$A),MATCH(W$1,[2]enemies!$1:$1,0)-MATCH($L$1,[2]enemies!$1:$1,0)+1),MATCH(W$1,[2]enemies!$1:$1,0)-MATCH($L$1,[2]enemies!$1:$1,0)+1,FALSE)</f>
        <v>0</v>
      </c>
      <c r="X674" s="6">
        <v>0</v>
      </c>
      <c r="Y674" s="6">
        <v>100</v>
      </c>
      <c r="Z674" s="6">
        <v>0</v>
      </c>
      <c r="AA674" s="4">
        <f ca="1">VLOOKUP($L674,OFFSET([2]enemies!$A$1,0,0,COUNTA([2]enemies!$A:$A),MATCH(AA$1,[2]enemies!$1:$1,0)-MATCH($L$1,[2]enemies!$1:$1,0)+1),MATCH(AA$1,[2]enemies!$1:$1,0)-MATCH($L$1,[2]enemies!$1:$1,0)+1,FALSE)</f>
        <v>1</v>
      </c>
      <c r="AB674" s="52">
        <v>47</v>
      </c>
      <c r="AC674" s="4" t="str">
        <f ca="1">VLOOKUP($AB674,OFFSET([3]characters!$A$1,0,0,COUNTA([3]characters!$A:$A),MATCH(AC$1,[3]characters!$1:$1,0)-MATCH("character_id",[3]characters!$1:$1,0)+1),MATCH(AC$1,[3]characters!$1:$1,0)-MATCH("character_id",[3]characters!$1:$1,0)+1,FALSE)</f>
        <v>ヒロ</v>
      </c>
      <c r="AD674" s="4">
        <f ca="1">VLOOKUP($AB674,OFFSET([3]characters!$A$1,0,0,COUNTA([3]characters!$A:$A),MATCH(AD$1,[3]characters!$1:$1,0)-MATCH("character_id",[3]characters!$1:$1,0)+1),MATCH(AD$1,[3]characters!$1:$1,0)-MATCH("character_id",[3]characters!$1:$1,0)+1,FALSE)</f>
        <v>2</v>
      </c>
      <c r="AE674" s="4" t="str">
        <f ca="1">VLOOKUP($AB674,OFFSET([3]characters!$A$1,0,0,COUNTA([3]characters!$A:$A),MATCH(AE$1,[3]characters!$1:$1,0)-MATCH("character_id",[3]characters!$1:$1,0)+1),MATCH(AE$1,[3]characters!$1:$1,0)-MATCH("character_id",[3]characters!$1:$1,0)+1,FALSE)</f>
        <v>Drop1N</v>
      </c>
      <c r="AF674" s="7">
        <v>7</v>
      </c>
      <c r="AG674" s="26">
        <f t="shared" ca="1" si="666"/>
        <v>2</v>
      </c>
      <c r="AH674" s="8">
        <v>20</v>
      </c>
      <c r="AI674" s="7">
        <v>0</v>
      </c>
      <c r="AJ674" s="7">
        <v>0</v>
      </c>
      <c r="AK674" s="7">
        <v>0</v>
      </c>
      <c r="AL674" s="7">
        <v>0</v>
      </c>
      <c r="AM674" s="7">
        <v>1</v>
      </c>
    </row>
    <row r="675" spans="1:39" ht="14" x14ac:dyDescent="0.15">
      <c r="A675" s="18" t="str">
        <f t="shared" ca="1" si="687"/>
        <v>26_1-3/57&lt;lv50&gt;s2</v>
      </c>
      <c r="B675" s="50">
        <v>26</v>
      </c>
      <c r="C675" s="49">
        <v>1</v>
      </c>
      <c r="D675" s="2" t="str">
        <f t="shared" si="676"/>
        <v>26_1</v>
      </c>
      <c r="E675" s="2" t="str">
        <f t="shared" si="676"/>
        <v>1_26_1</v>
      </c>
      <c r="F675" s="4" t="str">
        <f ca="1">VLOOKUP($D675,OFFSET([1]stages!$A$1,0,0,COUNTA([1]stages!$A:$A),MATCH(F$1,[1]stages!$2:$2,0)-MATCH($D$1,[1]stages!$2:$2,0)+1),MATCH(F$1,[1]stages!$2:$2,0)-MATCH($D$1,[1]stages!$2:$2,0)+1,FALSE)</f>
        <v>26-1．無愛想なフロント</v>
      </c>
      <c r="G675" s="54">
        <v>3</v>
      </c>
      <c r="H675" s="17" t="str">
        <f t="shared" si="677"/>
        <v>26_1-3</v>
      </c>
      <c r="I675" s="17"/>
      <c r="J675" s="17"/>
      <c r="K675" s="65" t="s">
        <v>56</v>
      </c>
      <c r="L675" s="52">
        <v>57</v>
      </c>
      <c r="M675" s="21" t="str">
        <f ca="1">VLOOKUP($L675,OFFSET([2]enemies!$A$1,0,0,COUNTA([2]enemies!$A:$A),MATCH(M$1,[2]enemies!$1:$1,0)-MATCH($L$1,[2]enemies!$1:$1,0)+1),MATCH(M$1,[2]enemies!$1:$1,0)-MATCH($L$1,[2]enemies!$1:$1,0)+1,FALSE)</f>
        <v>チェン・リー</v>
      </c>
      <c r="N675" s="21" t="str">
        <f ca="1">VLOOKUP($L675,OFFSET([2]enemies!$A$1,0,0,COUNTA([2]enemies!$A:$A),MATCH(N$1,[2]enemies!$1:$1,0)-MATCH($L$1,[2]enemies!$1:$1,0)+1),MATCH(N$1,[2]enemies!$1:$1,0)-MATCH($L$1,[2]enemies!$1:$1,0)+1,FALSE)</f>
        <v>red</v>
      </c>
      <c r="O675" s="21" t="str">
        <f ca="1">VLOOKUP($L675,OFFSET([3]characters!$A$1,0,0,COUNTA([3]characters!$A:$A),MATCH(O$1,[3]characters!$1:$1,0)-MATCH($L$1,[3]characters!$1:$1,0)+1),MATCH(O$1,[3]characters!$1:$1,0)-MATCH($L$1,[3]characters!$1:$1,0)+1,FALSE)</f>
        <v>Drop1N</v>
      </c>
      <c r="P675" s="21" t="str">
        <f ca="1">VLOOKUP($L675,OFFSET([2]enemies!$A$1,0,0,COUNTA([2]enemies!$A:$A),MATCH(P$1,[2]enemies!$1:$1,0)-MATCH($L$1,[2]enemies!$1:$1,0)+1),MATCH(P$1,[2]enemies!$1:$1,0)-MATCH($L$1,[2]enemies!$1:$1,0)+1,FALSE)</f>
        <v>animal</v>
      </c>
      <c r="Q675" s="21">
        <f ca="1">VLOOKUP($L675,OFFSET([2]enemies!$A$1,0,0,COUNTA([2]enemies!$A:$A),MATCH(Q$1,[2]enemies!$1:$1,0)-MATCH($L$1,[2]enemies!$1:$1,0)+1),MATCH(Q$1,[2]enemies!$1:$1,0)-MATCH($L$1,[2]enemies!$1:$1,0)+1,FALSE)</f>
        <v>15</v>
      </c>
      <c r="R675" s="53">
        <v>50</v>
      </c>
      <c r="S675" s="27">
        <v>1</v>
      </c>
      <c r="T675" s="27">
        <v>1</v>
      </c>
      <c r="U675" s="5">
        <v>0</v>
      </c>
      <c r="V675" s="4" t="str">
        <f ca="1">VLOOKUP($W675,OFFSET([4]enemy_skill_sets!$B$1,0,0,COUNTA([4]enemy_skill_sets!$B:$B),MATCH(M$1,[4]enemy_skill_sets!$1:$1,0)-MATCH($W$1,[4]enemy_skill_sets!$1:$1,0)+2),MATCH(M$1,[4]enemy_skill_sets!$1:$1,0)-MATCH($W$1,[4]enemy_skill_sets!$1:$1,0)+2,FALSE)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675" s="4">
        <f ca="1">VLOOKUP($L675,OFFSET([2]enemies!$A$1,0,0,COUNTA([2]enemies!$A:$A),MATCH(W$1,[2]enemies!$1:$1,0)-MATCH($L$1,[2]enemies!$1:$1,0)+1),MATCH(W$1,[2]enemies!$1:$1,0)-MATCH($L$1,[2]enemies!$1:$1,0)+1,FALSE)</f>
        <v>57</v>
      </c>
      <c r="X675" s="6">
        <v>0</v>
      </c>
      <c r="Y675" s="6">
        <v>100</v>
      </c>
      <c r="Z675" s="6">
        <v>0</v>
      </c>
      <c r="AA675" s="4">
        <f ca="1">VLOOKUP($L675,OFFSET([2]enemies!$A$1,0,0,COUNTA([2]enemies!$A:$A),MATCH(AA$1,[2]enemies!$1:$1,0)-MATCH($L$1,[2]enemies!$1:$1,0)+1),MATCH(AA$1,[2]enemies!$1:$1,0)-MATCH($L$1,[2]enemies!$1:$1,0)+1,FALSE)</f>
        <v>2</v>
      </c>
      <c r="AB675" s="52">
        <v>57</v>
      </c>
      <c r="AC675" s="4" t="str">
        <f ca="1">VLOOKUP($AB675,OFFSET([3]characters!$A$1,0,0,COUNTA([3]characters!$A:$A),MATCH(AC$1,[3]characters!$1:$1,0)-MATCH("character_id",[3]characters!$1:$1,0)+1),MATCH(AC$1,[3]characters!$1:$1,0)-MATCH("character_id",[3]characters!$1:$1,0)+1,FALSE)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675" s="4">
        <f ca="1">VLOOKUP($AB675,OFFSET([3]characters!$A$1,0,0,COUNTA([3]characters!$A:$A),MATCH(AD$1,[3]characters!$1:$1,0)-MATCH("character_id",[3]characters!$1:$1,0)+1),MATCH(AD$1,[3]characters!$1:$1,0)-MATCH("character_id",[3]characters!$1:$1,0)+1,FALSE)</f>
        <v>2</v>
      </c>
      <c r="AE675" s="4" t="str">
        <f ca="1">VLOOKUP($AB675,OFFSET([3]characters!$A$1,0,0,COUNTA([3]characters!$A:$A),MATCH(AE$1,[3]characters!$1:$1,0)-MATCH("character_id",[3]characters!$1:$1,0)+1),MATCH(AE$1,[3]characters!$1:$1,0)-MATCH("character_id",[3]characters!$1:$1,0)+1,FALSE)</f>
        <v>Drop1N</v>
      </c>
      <c r="AF675" s="7">
        <v>7</v>
      </c>
      <c r="AG675" s="26">
        <f t="shared" ca="1" si="666"/>
        <v>2</v>
      </c>
      <c r="AH675" s="8">
        <v>20</v>
      </c>
      <c r="AI675" s="7">
        <v>0</v>
      </c>
      <c r="AJ675" s="7">
        <v>0</v>
      </c>
      <c r="AK675" s="7">
        <v>0</v>
      </c>
      <c r="AL675" s="7">
        <v>0</v>
      </c>
      <c r="AM675" s="7">
        <v>1</v>
      </c>
    </row>
    <row r="676" spans="1:39" ht="14" x14ac:dyDescent="0.15">
      <c r="A676" s="18" t="str">
        <f t="shared" ca="1" si="687"/>
        <v>26_1-3/59&lt;lv50&gt;s2</v>
      </c>
      <c r="B676" s="50">
        <v>26</v>
      </c>
      <c r="C676" s="49">
        <v>1</v>
      </c>
      <c r="D676" s="2" t="str">
        <f t="shared" si="676"/>
        <v>26_1</v>
      </c>
      <c r="E676" s="2" t="str">
        <f t="shared" si="676"/>
        <v>1_26_1</v>
      </c>
      <c r="F676" s="4" t="str">
        <f ca="1">VLOOKUP($D676,OFFSET([1]stages!$A$1,0,0,COUNTA([1]stages!$A:$A),MATCH(F$1,[1]stages!$2:$2,0)-MATCH($D$1,[1]stages!$2:$2,0)+1),MATCH(F$1,[1]stages!$2:$2,0)-MATCH($D$1,[1]stages!$2:$2,0)+1,FALSE)</f>
        <v>26-1．無愛想なフロント</v>
      </c>
      <c r="G676" s="54">
        <v>3</v>
      </c>
      <c r="H676" s="17" t="str">
        <f t="shared" si="677"/>
        <v>26_1-3</v>
      </c>
      <c r="I676" s="17"/>
      <c r="J676" s="17"/>
      <c r="K676" s="65" t="s">
        <v>56</v>
      </c>
      <c r="L676" s="52">
        <v>59</v>
      </c>
      <c r="M676" s="21" t="str">
        <f ca="1">VLOOKUP($L676,OFFSET([2]enemies!$A$1,0,0,COUNTA([2]enemies!$A:$A),MATCH(M$1,[2]enemies!$1:$1,0)-MATCH($L$1,[2]enemies!$1:$1,0)+1),MATCH(M$1,[2]enemies!$1:$1,0)-MATCH($L$1,[2]enemies!$1:$1,0)+1,FALSE)</f>
        <v>マーチ</v>
      </c>
      <c r="N676" s="21" t="str">
        <f ca="1">VLOOKUP($L676,OFFSET([2]enemies!$A$1,0,0,COUNTA([2]enemies!$A:$A),MATCH(N$1,[2]enemies!$1:$1,0)-MATCH($L$1,[2]enemies!$1:$1,0)+1),MATCH(N$1,[2]enemies!$1:$1,0)-MATCH($L$1,[2]enemies!$1:$1,0)+1,FALSE)</f>
        <v>green</v>
      </c>
      <c r="O676" s="21" t="str">
        <f ca="1">VLOOKUP($L676,OFFSET([3]characters!$A$1,0,0,COUNTA([3]characters!$A:$A),MATCH(O$1,[3]characters!$1:$1,0)-MATCH($L$1,[3]characters!$1:$1,0)+1),MATCH(O$1,[3]characters!$1:$1,0)-MATCH($L$1,[3]characters!$1:$1,0)+1,FALSE)</f>
        <v>Drop1N</v>
      </c>
      <c r="P676" s="21" t="str">
        <f ca="1">VLOOKUP($L676,OFFSET([2]enemies!$A$1,0,0,COUNTA([2]enemies!$A:$A),MATCH(P$1,[2]enemies!$1:$1,0)-MATCH($L$1,[2]enemies!$1:$1,0)+1),MATCH(P$1,[2]enemies!$1:$1,0)-MATCH($L$1,[2]enemies!$1:$1,0)+1,FALSE)</f>
        <v>animal</v>
      </c>
      <c r="Q676" s="21">
        <f ca="1">VLOOKUP($L676,OFFSET([2]enemies!$A$1,0,0,COUNTA([2]enemies!$A:$A),MATCH(Q$1,[2]enemies!$1:$1,0)-MATCH($L$1,[2]enemies!$1:$1,0)+1),MATCH(Q$1,[2]enemies!$1:$1,0)-MATCH($L$1,[2]enemies!$1:$1,0)+1,FALSE)</f>
        <v>15</v>
      </c>
      <c r="R676" s="53">
        <v>50</v>
      </c>
      <c r="S676" s="27">
        <v>1</v>
      </c>
      <c r="T676" s="27">
        <v>1</v>
      </c>
      <c r="U676" s="5">
        <v>0</v>
      </c>
      <c r="V676" s="4" t="str">
        <f ca="1">VLOOKUP($W676,OFFSET([4]enemy_skill_sets!$B$1,0,0,COUNTA([4]enemy_skill_sets!$B:$B),MATCH(M$1,[4]enemy_skill_sets!$1:$1,0)-MATCH($W$1,[4]enemy_skill_sets!$1:$1,0)+2),MATCH(M$1,[4]enemy_skill_sets!$1:$1,0)-MATCH($W$1,[4]enemy_skill_sets!$1:$1,0)+2,FALSE)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76" s="4">
        <f ca="1">VLOOKUP($L676,OFFSET([2]enemies!$A$1,0,0,COUNTA([2]enemies!$A:$A),MATCH(W$1,[2]enemies!$1:$1,0)-MATCH($L$1,[2]enemies!$1:$1,0)+1),MATCH(W$1,[2]enemies!$1:$1,0)-MATCH($L$1,[2]enemies!$1:$1,0)+1,FALSE)</f>
        <v>59</v>
      </c>
      <c r="X676" s="6">
        <v>0</v>
      </c>
      <c r="Y676" s="6">
        <v>100</v>
      </c>
      <c r="Z676" s="6">
        <v>0</v>
      </c>
      <c r="AA676" s="4">
        <f ca="1">VLOOKUP($L676,OFFSET([2]enemies!$A$1,0,0,COUNTA([2]enemies!$A:$A),MATCH(AA$1,[2]enemies!$1:$1,0)-MATCH($L$1,[2]enemies!$1:$1,0)+1),MATCH(AA$1,[2]enemies!$1:$1,0)-MATCH($L$1,[2]enemies!$1:$1,0)+1,FALSE)</f>
        <v>2</v>
      </c>
      <c r="AB676" s="52">
        <v>59</v>
      </c>
      <c r="AC676" s="4" t="str">
        <f ca="1">VLOOKUP($AB676,OFFSET([3]characters!$A$1,0,0,COUNTA([3]characters!$A:$A),MATCH(AC$1,[3]characters!$1:$1,0)-MATCH("character_id",[3]characters!$1:$1,0)+1),MATCH(AC$1,[3]characters!$1:$1,0)-MATCH("character_id",[3]characters!$1:$1,0)+1,FALSE)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676" s="4">
        <f ca="1">VLOOKUP($AB676,OFFSET([3]characters!$A$1,0,0,COUNTA([3]characters!$A:$A),MATCH(AD$1,[3]characters!$1:$1,0)-MATCH("character_id",[3]characters!$1:$1,0)+1),MATCH(AD$1,[3]characters!$1:$1,0)-MATCH("character_id",[3]characters!$1:$1,0)+1,FALSE)</f>
        <v>2</v>
      </c>
      <c r="AE676" s="4" t="str">
        <f ca="1">VLOOKUP($AB676,OFFSET([3]characters!$A$1,0,0,COUNTA([3]characters!$A:$A),MATCH(AE$1,[3]characters!$1:$1,0)-MATCH("character_id",[3]characters!$1:$1,0)+1),MATCH(AE$1,[3]characters!$1:$1,0)-MATCH("character_id",[3]characters!$1:$1,0)+1,FALSE)</f>
        <v>Drop1N</v>
      </c>
      <c r="AF676" s="7">
        <v>7</v>
      </c>
      <c r="AG676" s="26">
        <f t="shared" ca="1" si="666"/>
        <v>2</v>
      </c>
      <c r="AH676" s="8">
        <v>20</v>
      </c>
      <c r="AI676" s="7">
        <v>0</v>
      </c>
      <c r="AJ676" s="7">
        <v>0</v>
      </c>
      <c r="AK676" s="7">
        <v>0</v>
      </c>
      <c r="AL676" s="7">
        <v>0</v>
      </c>
      <c r="AM676" s="7">
        <v>1</v>
      </c>
    </row>
    <row r="677" spans="1:39" ht="14" x14ac:dyDescent="0.15">
      <c r="A677" s="18" t="str">
        <f t="shared" ca="1" si="687"/>
        <v>26_1-3/61&lt;lv50&gt;s2</v>
      </c>
      <c r="B677" s="50">
        <v>26</v>
      </c>
      <c r="C677" s="49">
        <v>1</v>
      </c>
      <c r="D677" s="2" t="str">
        <f t="shared" si="676"/>
        <v>26_1</v>
      </c>
      <c r="E677" s="2" t="str">
        <f t="shared" si="676"/>
        <v>1_26_1</v>
      </c>
      <c r="F677" s="4" t="str">
        <f ca="1">VLOOKUP($D677,OFFSET([1]stages!$A$1,0,0,COUNTA([1]stages!$A:$A),MATCH(F$1,[1]stages!$2:$2,0)-MATCH($D$1,[1]stages!$2:$2,0)+1),MATCH(F$1,[1]stages!$2:$2,0)-MATCH($D$1,[1]stages!$2:$2,0)+1,FALSE)</f>
        <v>26-1．無愛想なフロント</v>
      </c>
      <c r="G677" s="54">
        <v>3</v>
      </c>
      <c r="H677" s="17" t="str">
        <f t="shared" si="677"/>
        <v>26_1-3</v>
      </c>
      <c r="I677" s="17"/>
      <c r="J677" s="17"/>
      <c r="K677" s="65" t="s">
        <v>56</v>
      </c>
      <c r="L677" s="52">
        <v>61</v>
      </c>
      <c r="M677" s="21" t="str">
        <f ca="1">VLOOKUP($L677,OFFSET([2]enemies!$A$1,0,0,COUNTA([2]enemies!$A:$A),MATCH(M$1,[2]enemies!$1:$1,0)-MATCH($L$1,[2]enemies!$1:$1,0)+1),MATCH(M$1,[2]enemies!$1:$1,0)-MATCH($L$1,[2]enemies!$1:$1,0)+1,FALSE)</f>
        <v>クロウ</v>
      </c>
      <c r="N677" s="21" t="str">
        <f ca="1">VLOOKUP($L677,OFFSET([2]enemies!$A$1,0,0,COUNTA([2]enemies!$A:$A),MATCH(N$1,[2]enemies!$1:$1,0)-MATCH($L$1,[2]enemies!$1:$1,0)+1),MATCH(N$1,[2]enemies!$1:$1,0)-MATCH($L$1,[2]enemies!$1:$1,0)+1,FALSE)</f>
        <v>blue</v>
      </c>
      <c r="O677" s="21" t="str">
        <f ca="1">VLOOKUP($L677,OFFSET([3]characters!$A$1,0,0,COUNTA([3]characters!$A:$A),MATCH(O$1,[3]characters!$1:$1,0)-MATCH($L$1,[3]characters!$1:$1,0)+1),MATCH(O$1,[3]characters!$1:$1,0)-MATCH($L$1,[3]characters!$1:$1,0)+1,FALSE)</f>
        <v>Drop1N</v>
      </c>
      <c r="P677" s="21" t="str">
        <f ca="1">VLOOKUP($L677,OFFSET([2]enemies!$A$1,0,0,COUNTA([2]enemies!$A:$A),MATCH(P$1,[2]enemies!$1:$1,0)-MATCH($L$1,[2]enemies!$1:$1,0)+1),MATCH(P$1,[2]enemies!$1:$1,0)-MATCH($L$1,[2]enemies!$1:$1,0)+1,FALSE)</f>
        <v>animal</v>
      </c>
      <c r="Q677" s="21">
        <f ca="1">VLOOKUP($L677,OFFSET([2]enemies!$A$1,0,0,COUNTA([2]enemies!$A:$A),MATCH(Q$1,[2]enemies!$1:$1,0)-MATCH($L$1,[2]enemies!$1:$1,0)+1),MATCH(Q$1,[2]enemies!$1:$1,0)-MATCH($L$1,[2]enemies!$1:$1,0)+1,FALSE)</f>
        <v>15</v>
      </c>
      <c r="R677" s="53">
        <v>50</v>
      </c>
      <c r="S677" s="27">
        <v>1</v>
      </c>
      <c r="T677" s="27">
        <v>1</v>
      </c>
      <c r="U677" s="5">
        <v>0</v>
      </c>
      <c r="V677" s="4" t="str">
        <f ca="1">VLOOKUP($W677,OFFSET([4]enemy_skill_sets!$B$1,0,0,COUNTA([4]enemy_skill_sets!$B:$B),MATCH(M$1,[4]enemy_skill_sets!$1:$1,0)-MATCH($W$1,[4]enemy_skill_sets!$1:$1,0)+2),MATCH(M$1,[4]enemy_skill_sets!$1:$1,0)-MATCH($W$1,[4]enemy_skill_sets!$1:$1,0)+2,FALSE)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77" s="4">
        <f ca="1">VLOOKUP($L677,OFFSET([2]enemies!$A$1,0,0,COUNTA([2]enemies!$A:$A),MATCH(W$1,[2]enemies!$1:$1,0)-MATCH($L$1,[2]enemies!$1:$1,0)+1),MATCH(W$1,[2]enemies!$1:$1,0)-MATCH($L$1,[2]enemies!$1:$1,0)+1,FALSE)</f>
        <v>61</v>
      </c>
      <c r="X677" s="6">
        <v>0</v>
      </c>
      <c r="Y677" s="6">
        <v>100</v>
      </c>
      <c r="Z677" s="6">
        <v>0</v>
      </c>
      <c r="AA677" s="4">
        <f ca="1">VLOOKUP($L677,OFFSET([2]enemies!$A$1,0,0,COUNTA([2]enemies!$A:$A),MATCH(AA$1,[2]enemies!$1:$1,0)-MATCH($L$1,[2]enemies!$1:$1,0)+1),MATCH(AA$1,[2]enemies!$1:$1,0)-MATCH($L$1,[2]enemies!$1:$1,0)+1,FALSE)</f>
        <v>2</v>
      </c>
      <c r="AB677" s="52">
        <v>61</v>
      </c>
      <c r="AC677" s="4" t="str">
        <f ca="1">VLOOKUP($AB677,OFFSET([3]characters!$A$1,0,0,COUNTA([3]characters!$A:$A),MATCH(AC$1,[3]characters!$1:$1,0)-MATCH("character_id",[3]characters!$1:$1,0)+1),MATCH(AC$1,[3]characters!$1:$1,0)-MATCH("character_id",[3]characters!$1:$1,0)+1,FALSE)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677" s="4">
        <f ca="1">VLOOKUP($AB677,OFFSET([3]characters!$A$1,0,0,COUNTA([3]characters!$A:$A),MATCH(AD$1,[3]characters!$1:$1,0)-MATCH("character_id",[3]characters!$1:$1,0)+1),MATCH(AD$1,[3]characters!$1:$1,0)-MATCH("character_id",[3]characters!$1:$1,0)+1,FALSE)</f>
        <v>2</v>
      </c>
      <c r="AE677" s="4" t="str">
        <f ca="1">VLOOKUP($AB677,OFFSET([3]characters!$A$1,0,0,COUNTA([3]characters!$A:$A),MATCH(AE$1,[3]characters!$1:$1,0)-MATCH("character_id",[3]characters!$1:$1,0)+1),MATCH(AE$1,[3]characters!$1:$1,0)-MATCH("character_id",[3]characters!$1:$1,0)+1,FALSE)</f>
        <v>Drop1N</v>
      </c>
      <c r="AF677" s="7">
        <v>7</v>
      </c>
      <c r="AG677" s="26">
        <f t="shared" ca="1" si="666"/>
        <v>2</v>
      </c>
      <c r="AH677" s="8">
        <v>20</v>
      </c>
      <c r="AI677" s="7">
        <v>0</v>
      </c>
      <c r="AJ677" s="7">
        <v>0</v>
      </c>
      <c r="AK677" s="7">
        <v>0</v>
      </c>
      <c r="AL677" s="7">
        <v>0</v>
      </c>
      <c r="AM677" s="7">
        <v>1</v>
      </c>
    </row>
    <row r="678" spans="1:39" ht="14" x14ac:dyDescent="0.15">
      <c r="A678" s="18" t="str">
        <f t="shared" ca="1" si="687"/>
        <v>26_1-3/63&lt;lv50&gt;s2</v>
      </c>
      <c r="B678" s="50">
        <v>26</v>
      </c>
      <c r="C678" s="49">
        <v>1</v>
      </c>
      <c r="D678" s="2" t="str">
        <f t="shared" si="676"/>
        <v>26_1</v>
      </c>
      <c r="E678" s="2" t="str">
        <f t="shared" si="676"/>
        <v>1_26_1</v>
      </c>
      <c r="F678" s="4" t="str">
        <f ca="1">VLOOKUP($D678,OFFSET([1]stages!$A$1,0,0,COUNTA([1]stages!$A:$A),MATCH(F$1,[1]stages!$2:$2,0)-MATCH($D$1,[1]stages!$2:$2,0)+1),MATCH(F$1,[1]stages!$2:$2,0)-MATCH($D$1,[1]stages!$2:$2,0)+1,FALSE)</f>
        <v>26-1．無愛想なフロント</v>
      </c>
      <c r="G678" s="54">
        <v>3</v>
      </c>
      <c r="H678" s="17" t="str">
        <f t="shared" si="677"/>
        <v>26_1-3</v>
      </c>
      <c r="I678" s="17"/>
      <c r="J678" s="17"/>
      <c r="K678" s="65" t="s">
        <v>56</v>
      </c>
      <c r="L678" s="52">
        <v>63</v>
      </c>
      <c r="M678" s="21" t="str">
        <f ca="1">VLOOKUP($L678,OFFSET([2]enemies!$A$1,0,0,COUNTA([2]enemies!$A:$A),MATCH(M$1,[2]enemies!$1:$1,0)-MATCH($L$1,[2]enemies!$1:$1,0)+1),MATCH(M$1,[2]enemies!$1:$1,0)-MATCH($L$1,[2]enemies!$1:$1,0)+1,FALSE)</f>
        <v>トニー</v>
      </c>
      <c r="N678" s="21" t="str">
        <f ca="1">VLOOKUP($L678,OFFSET([2]enemies!$A$1,0,0,COUNTA([2]enemies!$A:$A),MATCH(N$1,[2]enemies!$1:$1,0)-MATCH($L$1,[2]enemies!$1:$1,0)+1),MATCH(N$1,[2]enemies!$1:$1,0)-MATCH($L$1,[2]enemies!$1:$1,0)+1,FALSE)</f>
        <v>yellow</v>
      </c>
      <c r="O678" s="21" t="str">
        <f ca="1">VLOOKUP($L678,OFFSET([3]characters!$A$1,0,0,COUNTA([3]characters!$A:$A),MATCH(O$1,[3]characters!$1:$1,0)-MATCH($L$1,[3]characters!$1:$1,0)+1),MATCH(O$1,[3]characters!$1:$1,0)-MATCH($L$1,[3]characters!$1:$1,0)+1,FALSE)</f>
        <v>Drop1N</v>
      </c>
      <c r="P678" s="21" t="str">
        <f ca="1">VLOOKUP($L678,OFFSET([2]enemies!$A$1,0,0,COUNTA([2]enemies!$A:$A),MATCH(P$1,[2]enemies!$1:$1,0)-MATCH($L$1,[2]enemies!$1:$1,0)+1),MATCH(P$1,[2]enemies!$1:$1,0)-MATCH($L$1,[2]enemies!$1:$1,0)+1,FALSE)</f>
        <v>animal</v>
      </c>
      <c r="Q678" s="21">
        <f ca="1">VLOOKUP($L678,OFFSET([2]enemies!$A$1,0,0,COUNTA([2]enemies!$A:$A),MATCH(Q$1,[2]enemies!$1:$1,0)-MATCH($L$1,[2]enemies!$1:$1,0)+1),MATCH(Q$1,[2]enemies!$1:$1,0)-MATCH($L$1,[2]enemies!$1:$1,0)+1,FALSE)</f>
        <v>15</v>
      </c>
      <c r="R678" s="53">
        <v>50</v>
      </c>
      <c r="S678" s="27">
        <v>1</v>
      </c>
      <c r="T678" s="27">
        <v>1</v>
      </c>
      <c r="U678" s="5">
        <v>0</v>
      </c>
      <c r="V678" s="4" t="str">
        <f ca="1">VLOOKUP($W678,OFFSET([4]enemy_skill_sets!$B$1,0,0,COUNTA([4]enemy_skill_sets!$B:$B),MATCH(M$1,[4]enemy_skill_sets!$1:$1,0)-MATCH($W$1,[4]enemy_skill_sets!$1:$1,0)+2),MATCH(M$1,[4]enemy_skill_sets!$1:$1,0)-MATCH($W$1,[4]enemy_skill_sets!$1:$1,0)+2,FALSE)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678" s="4">
        <f ca="1">VLOOKUP($L678,OFFSET([2]enemies!$A$1,0,0,COUNTA([2]enemies!$A:$A),MATCH(W$1,[2]enemies!$1:$1,0)-MATCH($L$1,[2]enemies!$1:$1,0)+1),MATCH(W$1,[2]enemies!$1:$1,0)-MATCH($L$1,[2]enemies!$1:$1,0)+1,FALSE)</f>
        <v>63</v>
      </c>
      <c r="X678" s="6">
        <v>0</v>
      </c>
      <c r="Y678" s="6">
        <v>100</v>
      </c>
      <c r="Z678" s="6">
        <v>0</v>
      </c>
      <c r="AA678" s="4">
        <f ca="1">VLOOKUP($L678,OFFSET([2]enemies!$A$1,0,0,COUNTA([2]enemies!$A:$A),MATCH(AA$1,[2]enemies!$1:$1,0)-MATCH($L$1,[2]enemies!$1:$1,0)+1),MATCH(AA$1,[2]enemies!$1:$1,0)-MATCH($L$1,[2]enemies!$1:$1,0)+1,FALSE)</f>
        <v>2</v>
      </c>
      <c r="AB678" s="52">
        <v>63</v>
      </c>
      <c r="AC678" s="4" t="str">
        <f ca="1">VLOOKUP($AB678,OFFSET([3]characters!$A$1,0,0,COUNTA([3]characters!$A:$A),MATCH(AC$1,[3]characters!$1:$1,0)-MATCH("character_id",[3]characters!$1:$1,0)+1),MATCH(AC$1,[3]characters!$1:$1,0)-MATCH("character_id",[3]characters!$1:$1,0)+1,FALSE)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678" s="4">
        <f ca="1">VLOOKUP($AB678,OFFSET([3]characters!$A$1,0,0,COUNTA([3]characters!$A:$A),MATCH(AD$1,[3]characters!$1:$1,0)-MATCH("character_id",[3]characters!$1:$1,0)+1),MATCH(AD$1,[3]characters!$1:$1,0)-MATCH("character_id",[3]characters!$1:$1,0)+1,FALSE)</f>
        <v>2</v>
      </c>
      <c r="AE678" s="4" t="str">
        <f ca="1">VLOOKUP($AB678,OFFSET([3]characters!$A$1,0,0,COUNTA([3]characters!$A:$A),MATCH(AE$1,[3]characters!$1:$1,0)-MATCH("character_id",[3]characters!$1:$1,0)+1),MATCH(AE$1,[3]characters!$1:$1,0)-MATCH("character_id",[3]characters!$1:$1,0)+1,FALSE)</f>
        <v>Drop1N</v>
      </c>
      <c r="AF678" s="7">
        <v>7</v>
      </c>
      <c r="AG678" s="26">
        <f t="shared" ca="1" si="666"/>
        <v>2</v>
      </c>
      <c r="AH678" s="8">
        <v>20</v>
      </c>
      <c r="AI678" s="7">
        <v>0</v>
      </c>
      <c r="AJ678" s="7">
        <v>0</v>
      </c>
      <c r="AK678" s="7">
        <v>0</v>
      </c>
      <c r="AL678" s="7">
        <v>0</v>
      </c>
      <c r="AM678" s="7">
        <v>1</v>
      </c>
    </row>
    <row r="679" spans="1:39" ht="14" x14ac:dyDescent="0.15">
      <c r="A679" s="18" t="str">
        <f t="shared" ca="1" si="687"/>
        <v>26_1-3/360&lt;lv50&gt;s3</v>
      </c>
      <c r="B679" s="53">
        <v>26</v>
      </c>
      <c r="C679" s="51">
        <v>1</v>
      </c>
      <c r="D679" s="2" t="str">
        <f t="shared" ref="D679:D682" si="688">B679&amp;"_"&amp;C679</f>
        <v>26_1</v>
      </c>
      <c r="E679" s="2" t="str">
        <f t="shared" ref="E679:E682" si="689">C679&amp;"_"&amp;D679</f>
        <v>1_26_1</v>
      </c>
      <c r="F679" s="4" t="str">
        <f ca="1">VLOOKUP($D679,OFFSET([1]stages!$A$1,0,0,COUNTA([1]stages!$A:$A),MATCH(F$1,[1]stages!$2:$2,0)-MATCH($D$1,[1]stages!$2:$2,0)+1),MATCH(F$1,[1]stages!$2:$2,0)-MATCH($D$1,[1]stages!$2:$2,0)+1,FALSE)</f>
        <v>26-1．無愛想なフロント</v>
      </c>
      <c r="G679" s="54">
        <v>3</v>
      </c>
      <c r="H679" s="17" t="str">
        <f t="shared" ref="H679:H682" si="690">B679&amp;"_"&amp;C679&amp;"-"&amp;G679</f>
        <v>26_1-3</v>
      </c>
      <c r="I679" s="17"/>
      <c r="J679" s="17"/>
      <c r="K679" s="65" t="s">
        <v>56</v>
      </c>
      <c r="L679" s="52">
        <v>360</v>
      </c>
      <c r="M679" s="21" t="str">
        <f ca="1">VLOOKUP($L679,OFFSET([2]enemies!$A$1,0,0,COUNTA([2]enemies!$A:$A),MATCH(M$1,[2]enemies!$1:$1,0)-MATCH($L$1,[2]enemies!$1:$1,0)+1),MATCH(M$1,[2]enemies!$1:$1,0)-MATCH($L$1,[2]enemies!$1:$1,0)+1,FALSE)</f>
        <v>ガンテツ</v>
      </c>
      <c r="N679" s="21" t="str">
        <f ca="1">VLOOKUP($L679,OFFSET([2]enemies!$A$1,0,0,COUNTA([2]enemies!$A:$A),MATCH(N$1,[2]enemies!$1:$1,0)-MATCH($L$1,[2]enemies!$1:$1,0)+1),MATCH(N$1,[2]enemies!$1:$1,0)-MATCH($L$1,[2]enemies!$1:$1,0)+1,FALSE)</f>
        <v>red</v>
      </c>
      <c r="O679" s="21" t="str">
        <f ca="1">VLOOKUP($L679,OFFSET([3]characters!$A$1,0,0,COUNTA([3]characters!$A:$A),MATCH(O$1,[3]characters!$1:$1,0)-MATCH($L$1,[3]characters!$1:$1,0)+1),MATCH(O$1,[3]characters!$1:$1,0)-MATCH($L$1,[3]characters!$1:$1,0)+1,FALSE)</f>
        <v>Drop1S</v>
      </c>
      <c r="P679" s="21" t="str">
        <f ca="1">VLOOKUP($L679,OFFSET([2]enemies!$A$1,0,0,COUNTA([2]enemies!$A:$A),MATCH(P$1,[2]enemies!$1:$1,0)-MATCH($L$1,[2]enemies!$1:$1,0)+1),MATCH(P$1,[2]enemies!$1:$1,0)-MATCH($L$1,[2]enemies!$1:$1,0)+1,FALSE)</f>
        <v>animal</v>
      </c>
      <c r="Q679" s="21">
        <f ca="1">VLOOKUP($L679,OFFSET([2]enemies!$A$1,0,0,COUNTA([2]enemies!$A:$A),MATCH(Q$1,[2]enemies!$1:$1,0)-MATCH($L$1,[2]enemies!$1:$1,0)+1),MATCH(Q$1,[2]enemies!$1:$1,0)-MATCH($L$1,[2]enemies!$1:$1,0)+1,FALSE)</f>
        <v>15</v>
      </c>
      <c r="R679" s="53">
        <v>50</v>
      </c>
      <c r="S679" s="27">
        <v>1</v>
      </c>
      <c r="T679" s="27">
        <v>1</v>
      </c>
      <c r="U679" s="5">
        <v>0</v>
      </c>
      <c r="V679" s="4" t="str">
        <f ca="1">VLOOKUP($W679,OFFSET([4]enemy_skill_sets!$B$1,0,0,COUNTA([4]enemy_skill_sets!$B:$B),MATCH(M$1,[4]enemy_skill_sets!$1:$1,0)-MATCH($W$1,[4]enemy_skill_sets!$1:$1,0)+2),MATCH(M$1,[4]enemy_skill_sets!$1:$1,0)-MATCH($W$1,[4]enemy_skill_sets!$1:$1,0)+2,FALSE)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679" s="76">
        <v>360</v>
      </c>
      <c r="X679" s="6">
        <v>0</v>
      </c>
      <c r="Y679" s="6">
        <v>100</v>
      </c>
      <c r="Z679" s="6">
        <v>0</v>
      </c>
      <c r="AA679" s="4">
        <f ca="1">VLOOKUP($L679,OFFSET([2]enemies!$A$1,0,0,COUNTA([2]enemies!$A:$A),MATCH(AA$1,[2]enemies!$1:$1,0)-MATCH($L$1,[2]enemies!$1:$1,0)+1),MATCH(AA$1,[2]enemies!$1:$1,0)-MATCH($L$1,[2]enemies!$1:$1,0)+1,FALSE)</f>
        <v>3</v>
      </c>
      <c r="AB679" s="52">
        <v>360</v>
      </c>
      <c r="AC679" s="4" t="str">
        <f ca="1">VLOOKUP($AB679,OFFSET([3]characters!$A$1,0,0,COUNTA([3]characters!$A:$A),MATCH(AC$1,[3]characters!$1:$1,0)-MATCH("character_id",[3]characters!$1:$1,0)+1),MATCH(AC$1,[3]characters!$1:$1,0)-MATCH("character_id",[3]characters!$1:$1,0)+1,FALSE)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679" s="4">
        <f ca="1">VLOOKUP($AB679,OFFSET([3]characters!$A$1,0,0,COUNTA([3]characters!$A:$A),MATCH(AD$1,[3]characters!$1:$1,0)-MATCH("character_id",[3]characters!$1:$1,0)+1),MATCH(AD$1,[3]characters!$1:$1,0)-MATCH("character_id",[3]characters!$1:$1,0)+1,FALSE)</f>
        <v>2</v>
      </c>
      <c r="AE679" s="4" t="str">
        <f ca="1">VLOOKUP($AB679,OFFSET([3]characters!$A$1,0,0,COUNTA([3]characters!$A:$A),MATCH(AE$1,[3]characters!$1:$1,0)-MATCH("character_id",[3]characters!$1:$1,0)+1),MATCH(AE$1,[3]characters!$1:$1,0)-MATCH("character_id",[3]characters!$1:$1,0)+1,FALSE)</f>
        <v>Drop1S</v>
      </c>
      <c r="AF679" s="7">
        <v>7</v>
      </c>
      <c r="AG679" s="26">
        <f t="shared" ca="1" si="666"/>
        <v>2</v>
      </c>
      <c r="AH679" s="8">
        <v>20</v>
      </c>
      <c r="AI679" s="7">
        <v>0</v>
      </c>
      <c r="AJ679" s="7">
        <v>0</v>
      </c>
      <c r="AK679" s="7">
        <v>0</v>
      </c>
      <c r="AL679" s="7">
        <v>0</v>
      </c>
      <c r="AM679" s="7">
        <v>1</v>
      </c>
    </row>
    <row r="680" spans="1:39" ht="14" x14ac:dyDescent="0.15">
      <c r="A680" s="18" t="str">
        <f t="shared" ca="1" si="687"/>
        <v>26_1-3/362&lt;lv50&gt;s3</v>
      </c>
      <c r="B680" s="53">
        <v>26</v>
      </c>
      <c r="C680" s="51">
        <v>1</v>
      </c>
      <c r="D680" s="2" t="str">
        <f t="shared" si="688"/>
        <v>26_1</v>
      </c>
      <c r="E680" s="2" t="str">
        <f t="shared" si="689"/>
        <v>1_26_1</v>
      </c>
      <c r="F680" s="4" t="str">
        <f ca="1">VLOOKUP($D680,OFFSET([1]stages!$A$1,0,0,COUNTA([1]stages!$A:$A),MATCH(F$1,[1]stages!$2:$2,0)-MATCH($D$1,[1]stages!$2:$2,0)+1),MATCH(F$1,[1]stages!$2:$2,0)-MATCH($D$1,[1]stages!$2:$2,0)+1,FALSE)</f>
        <v>26-1．無愛想なフロント</v>
      </c>
      <c r="G680" s="54">
        <v>3</v>
      </c>
      <c r="H680" s="17" t="str">
        <f t="shared" si="690"/>
        <v>26_1-3</v>
      </c>
      <c r="I680" s="17"/>
      <c r="J680" s="17"/>
      <c r="K680" s="65" t="s">
        <v>56</v>
      </c>
      <c r="L680" s="52">
        <v>362</v>
      </c>
      <c r="M680" s="21" t="str">
        <f ca="1">VLOOKUP($L680,OFFSET([2]enemies!$A$1,0,0,COUNTA([2]enemies!$A:$A),MATCH(M$1,[2]enemies!$1:$1,0)-MATCH($L$1,[2]enemies!$1:$1,0)+1),MATCH(M$1,[2]enemies!$1:$1,0)-MATCH($L$1,[2]enemies!$1:$1,0)+1,FALSE)</f>
        <v>ゆらら</v>
      </c>
      <c r="N680" s="21" t="str">
        <f ca="1">VLOOKUP($L680,OFFSET([2]enemies!$A$1,0,0,COUNTA([2]enemies!$A:$A),MATCH(N$1,[2]enemies!$1:$1,0)-MATCH($L$1,[2]enemies!$1:$1,0)+1),MATCH(N$1,[2]enemies!$1:$1,0)-MATCH($L$1,[2]enemies!$1:$1,0)+1,FALSE)</f>
        <v>green</v>
      </c>
      <c r="O680" s="21" t="str">
        <f ca="1">VLOOKUP($L680,OFFSET([3]characters!$A$1,0,0,COUNTA([3]characters!$A:$A),MATCH(O$1,[3]characters!$1:$1,0)-MATCH($L$1,[3]characters!$1:$1,0)+1),MATCH(O$1,[3]characters!$1:$1,0)-MATCH($L$1,[3]characters!$1:$1,0)+1,FALSE)</f>
        <v>Drop1S</v>
      </c>
      <c r="P680" s="21" t="str">
        <f ca="1">VLOOKUP($L680,OFFSET([2]enemies!$A$1,0,0,COUNTA([2]enemies!$A:$A),MATCH(P$1,[2]enemies!$1:$1,0)-MATCH($L$1,[2]enemies!$1:$1,0)+1),MATCH(P$1,[2]enemies!$1:$1,0)-MATCH($L$1,[2]enemies!$1:$1,0)+1,FALSE)</f>
        <v>animal</v>
      </c>
      <c r="Q680" s="21">
        <f ca="1">VLOOKUP($L680,OFFSET([2]enemies!$A$1,0,0,COUNTA([2]enemies!$A:$A),MATCH(Q$1,[2]enemies!$1:$1,0)-MATCH($L$1,[2]enemies!$1:$1,0)+1),MATCH(Q$1,[2]enemies!$1:$1,0)-MATCH($L$1,[2]enemies!$1:$1,0)+1,FALSE)</f>
        <v>15</v>
      </c>
      <c r="R680" s="53">
        <v>50</v>
      </c>
      <c r="S680" s="27">
        <v>1</v>
      </c>
      <c r="T680" s="27">
        <v>1</v>
      </c>
      <c r="U680" s="5">
        <v>0</v>
      </c>
      <c r="V680" s="4" t="str">
        <f ca="1">VLOOKUP($W680,OFFSET([4]enemy_skill_sets!$B$1,0,0,COUNTA([4]enemy_skill_sets!$B:$B),MATCH(M$1,[4]enemy_skill_sets!$1:$1,0)-MATCH($W$1,[4]enemy_skill_sets!$1:$1,0)+2),MATCH(M$1,[4]enemy_skill_sets!$1:$1,0)-MATCH($W$1,[4]enemy_skill_sets!$1:$1,0)+2,FALSE)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680" s="64">
        <v>362</v>
      </c>
      <c r="X680" s="6">
        <v>0</v>
      </c>
      <c r="Y680" s="6">
        <v>100</v>
      </c>
      <c r="Z680" s="6">
        <v>0</v>
      </c>
      <c r="AA680" s="4">
        <f ca="1">VLOOKUP($L680,OFFSET([2]enemies!$A$1,0,0,COUNTA([2]enemies!$A:$A),MATCH(AA$1,[2]enemies!$1:$1,0)-MATCH($L$1,[2]enemies!$1:$1,0)+1),MATCH(AA$1,[2]enemies!$1:$1,0)-MATCH($L$1,[2]enemies!$1:$1,0)+1,FALSE)</f>
        <v>3</v>
      </c>
      <c r="AB680" s="52">
        <v>362</v>
      </c>
      <c r="AC680" s="4" t="str">
        <f ca="1">VLOOKUP($AB680,OFFSET([3]characters!$A$1,0,0,COUNTA([3]characters!$A:$A),MATCH(AC$1,[3]characters!$1:$1,0)-MATCH("character_id",[3]characters!$1:$1,0)+1),MATCH(AC$1,[3]characters!$1:$1,0)-MATCH("character_id",[3]characters!$1:$1,0)+1,FALSE)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680" s="4">
        <f ca="1">VLOOKUP($AB680,OFFSET([3]characters!$A$1,0,0,COUNTA([3]characters!$A:$A),MATCH(AD$1,[3]characters!$1:$1,0)-MATCH("character_id",[3]characters!$1:$1,0)+1),MATCH(AD$1,[3]characters!$1:$1,0)-MATCH("character_id",[3]characters!$1:$1,0)+1,FALSE)</f>
        <v>2</v>
      </c>
      <c r="AE680" s="4" t="str">
        <f ca="1">VLOOKUP($AB680,OFFSET([3]characters!$A$1,0,0,COUNTA([3]characters!$A:$A),MATCH(AE$1,[3]characters!$1:$1,0)-MATCH("character_id",[3]characters!$1:$1,0)+1),MATCH(AE$1,[3]characters!$1:$1,0)-MATCH("character_id",[3]characters!$1:$1,0)+1,FALSE)</f>
        <v>Drop1S</v>
      </c>
      <c r="AF680" s="7">
        <v>7</v>
      </c>
      <c r="AG680" s="26">
        <f t="shared" ca="1" si="666"/>
        <v>2</v>
      </c>
      <c r="AH680" s="8">
        <v>20</v>
      </c>
      <c r="AI680" s="7">
        <v>0</v>
      </c>
      <c r="AJ680" s="7">
        <v>0</v>
      </c>
      <c r="AK680" s="7">
        <v>0</v>
      </c>
      <c r="AL680" s="7">
        <v>0</v>
      </c>
      <c r="AM680" s="7">
        <v>1</v>
      </c>
    </row>
    <row r="681" spans="1:39" ht="14" x14ac:dyDescent="0.15">
      <c r="A681" s="18" t="str">
        <f t="shared" ca="1" si="687"/>
        <v>26_1-3/364&lt;lv50&gt;s3</v>
      </c>
      <c r="B681" s="53">
        <v>26</v>
      </c>
      <c r="C681" s="51">
        <v>1</v>
      </c>
      <c r="D681" s="2" t="str">
        <f t="shared" si="688"/>
        <v>26_1</v>
      </c>
      <c r="E681" s="2" t="str">
        <f t="shared" si="689"/>
        <v>1_26_1</v>
      </c>
      <c r="F681" s="4" t="str">
        <f ca="1">VLOOKUP($D681,OFFSET([1]stages!$A$1,0,0,COUNTA([1]stages!$A:$A),MATCH(F$1,[1]stages!$2:$2,0)-MATCH($D$1,[1]stages!$2:$2,0)+1),MATCH(F$1,[1]stages!$2:$2,0)-MATCH($D$1,[1]stages!$2:$2,0)+1,FALSE)</f>
        <v>26-1．無愛想なフロント</v>
      </c>
      <c r="G681" s="54">
        <v>3</v>
      </c>
      <c r="H681" s="17" t="str">
        <f t="shared" si="690"/>
        <v>26_1-3</v>
      </c>
      <c r="I681" s="17"/>
      <c r="J681" s="17"/>
      <c r="K681" s="65" t="s">
        <v>56</v>
      </c>
      <c r="L681" s="52">
        <v>364</v>
      </c>
      <c r="M681" s="21" t="str">
        <f ca="1">VLOOKUP($L681,OFFSET([2]enemies!$A$1,0,0,COUNTA([2]enemies!$A:$A),MATCH(M$1,[2]enemies!$1:$1,0)-MATCH($L$1,[2]enemies!$1:$1,0)+1),MATCH(M$1,[2]enemies!$1:$1,0)-MATCH($L$1,[2]enemies!$1:$1,0)+1,FALSE)</f>
        <v>ノエル</v>
      </c>
      <c r="N681" s="21" t="str">
        <f ca="1">VLOOKUP($L681,OFFSET([2]enemies!$A$1,0,0,COUNTA([2]enemies!$A:$A),MATCH(N$1,[2]enemies!$1:$1,0)-MATCH($L$1,[2]enemies!$1:$1,0)+1),MATCH(N$1,[2]enemies!$1:$1,0)-MATCH($L$1,[2]enemies!$1:$1,0)+1,FALSE)</f>
        <v>blue</v>
      </c>
      <c r="O681" s="21" t="str">
        <f ca="1">VLOOKUP($L681,OFFSET([3]characters!$A$1,0,0,COUNTA([3]characters!$A:$A),MATCH(O$1,[3]characters!$1:$1,0)-MATCH($L$1,[3]characters!$1:$1,0)+1),MATCH(O$1,[3]characters!$1:$1,0)-MATCH($L$1,[3]characters!$1:$1,0)+1,FALSE)</f>
        <v>Drop1S</v>
      </c>
      <c r="P681" s="21" t="str">
        <f ca="1">VLOOKUP($L681,OFFSET([2]enemies!$A$1,0,0,COUNTA([2]enemies!$A:$A),MATCH(P$1,[2]enemies!$1:$1,0)-MATCH($L$1,[2]enemies!$1:$1,0)+1),MATCH(P$1,[2]enemies!$1:$1,0)-MATCH($L$1,[2]enemies!$1:$1,0)+1,FALSE)</f>
        <v>animal</v>
      </c>
      <c r="Q681" s="21">
        <f ca="1">VLOOKUP($L681,OFFSET([2]enemies!$A$1,0,0,COUNTA([2]enemies!$A:$A),MATCH(Q$1,[2]enemies!$1:$1,0)-MATCH($L$1,[2]enemies!$1:$1,0)+1),MATCH(Q$1,[2]enemies!$1:$1,0)-MATCH($L$1,[2]enemies!$1:$1,0)+1,FALSE)</f>
        <v>15</v>
      </c>
      <c r="R681" s="53">
        <v>50</v>
      </c>
      <c r="S681" s="27">
        <v>1</v>
      </c>
      <c r="T681" s="27">
        <v>1</v>
      </c>
      <c r="U681" s="5">
        <v>0</v>
      </c>
      <c r="V681" s="4" t="str">
        <f ca="1">VLOOKUP($W681,OFFSET([4]enemy_skill_sets!$B$1,0,0,COUNTA([4]enemy_skill_sets!$B:$B),MATCH(M$1,[4]enemy_skill_sets!$1:$1,0)-MATCH($W$1,[4]enemy_skill_sets!$1:$1,0)+2),MATCH(M$1,[4]enemy_skill_sets!$1:$1,0)-MATCH($W$1,[4]enemy_skill_sets!$1:$1,0)+2,FALSE)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681" s="64">
        <v>364</v>
      </c>
      <c r="X681" s="6">
        <v>0</v>
      </c>
      <c r="Y681" s="6">
        <v>100</v>
      </c>
      <c r="Z681" s="6">
        <v>0</v>
      </c>
      <c r="AA681" s="4">
        <f ca="1">VLOOKUP($L681,OFFSET([2]enemies!$A$1,0,0,COUNTA([2]enemies!$A:$A),MATCH(AA$1,[2]enemies!$1:$1,0)-MATCH($L$1,[2]enemies!$1:$1,0)+1),MATCH(AA$1,[2]enemies!$1:$1,0)-MATCH($L$1,[2]enemies!$1:$1,0)+1,FALSE)</f>
        <v>3</v>
      </c>
      <c r="AB681" s="52">
        <v>364</v>
      </c>
      <c r="AC681" s="4" t="str">
        <f ca="1">VLOOKUP($AB681,OFFSET([3]characters!$A$1,0,0,COUNTA([3]characters!$A:$A),MATCH(AC$1,[3]characters!$1:$1,0)-MATCH("character_id",[3]characters!$1:$1,0)+1),MATCH(AC$1,[3]characters!$1:$1,0)-MATCH("character_id",[3]characters!$1:$1,0)+1,FALSE)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681" s="4">
        <f ca="1">VLOOKUP($AB681,OFFSET([3]characters!$A$1,0,0,COUNTA([3]characters!$A:$A),MATCH(AD$1,[3]characters!$1:$1,0)-MATCH("character_id",[3]characters!$1:$1,0)+1),MATCH(AD$1,[3]characters!$1:$1,0)-MATCH("character_id",[3]characters!$1:$1,0)+1,FALSE)</f>
        <v>2</v>
      </c>
      <c r="AE681" s="4" t="str">
        <f ca="1">VLOOKUP($AB681,OFFSET([3]characters!$A$1,0,0,COUNTA([3]characters!$A:$A),MATCH(AE$1,[3]characters!$1:$1,0)-MATCH("character_id",[3]characters!$1:$1,0)+1),MATCH(AE$1,[3]characters!$1:$1,0)-MATCH("character_id",[3]characters!$1:$1,0)+1,FALSE)</f>
        <v>Drop1S</v>
      </c>
      <c r="AF681" s="7">
        <v>7</v>
      </c>
      <c r="AG681" s="26">
        <f t="shared" ca="1" si="666"/>
        <v>2</v>
      </c>
      <c r="AH681" s="8">
        <v>20</v>
      </c>
      <c r="AI681" s="7">
        <v>0</v>
      </c>
      <c r="AJ681" s="7">
        <v>0</v>
      </c>
      <c r="AK681" s="7">
        <v>0</v>
      </c>
      <c r="AL681" s="7">
        <v>0</v>
      </c>
      <c r="AM681" s="7">
        <v>1</v>
      </c>
    </row>
    <row r="682" spans="1:39" ht="14" x14ac:dyDescent="0.15">
      <c r="A682" s="18" t="str">
        <f t="shared" ca="1" si="687"/>
        <v>26_1-3/366&lt;lv50&gt;s3</v>
      </c>
      <c r="B682" s="53">
        <v>26</v>
      </c>
      <c r="C682" s="51">
        <v>1</v>
      </c>
      <c r="D682" s="2" t="str">
        <f t="shared" si="688"/>
        <v>26_1</v>
      </c>
      <c r="E682" s="2" t="str">
        <f t="shared" si="689"/>
        <v>1_26_1</v>
      </c>
      <c r="F682" s="4" t="str">
        <f ca="1">VLOOKUP($D682,OFFSET([1]stages!$A$1,0,0,COUNTA([1]stages!$A:$A),MATCH(F$1,[1]stages!$2:$2,0)-MATCH($D$1,[1]stages!$2:$2,0)+1),MATCH(F$1,[1]stages!$2:$2,0)-MATCH($D$1,[1]stages!$2:$2,0)+1,FALSE)</f>
        <v>26-1．無愛想なフロント</v>
      </c>
      <c r="G682" s="54">
        <v>3</v>
      </c>
      <c r="H682" s="17" t="str">
        <f t="shared" si="690"/>
        <v>26_1-3</v>
      </c>
      <c r="I682" s="17"/>
      <c r="J682" s="17"/>
      <c r="K682" s="65" t="s">
        <v>56</v>
      </c>
      <c r="L682" s="52">
        <v>366</v>
      </c>
      <c r="M682" s="21" t="str">
        <f ca="1">VLOOKUP($L682,OFFSET([2]enemies!$A$1,0,0,COUNTA([2]enemies!$A:$A),MATCH(M$1,[2]enemies!$1:$1,0)-MATCH($L$1,[2]enemies!$1:$1,0)+1),MATCH(M$1,[2]enemies!$1:$1,0)-MATCH($L$1,[2]enemies!$1:$1,0)+1,FALSE)</f>
        <v>トト</v>
      </c>
      <c r="N682" s="21" t="str">
        <f ca="1">VLOOKUP($L682,OFFSET([2]enemies!$A$1,0,0,COUNTA([2]enemies!$A:$A),MATCH(N$1,[2]enemies!$1:$1,0)-MATCH($L$1,[2]enemies!$1:$1,0)+1),MATCH(N$1,[2]enemies!$1:$1,0)-MATCH($L$1,[2]enemies!$1:$1,0)+1,FALSE)</f>
        <v>yellow</v>
      </c>
      <c r="O682" s="21" t="str">
        <f ca="1">VLOOKUP($L682,OFFSET([3]characters!$A$1,0,0,COUNTA([3]characters!$A:$A),MATCH(O$1,[3]characters!$1:$1,0)-MATCH($L$1,[3]characters!$1:$1,0)+1),MATCH(O$1,[3]characters!$1:$1,0)-MATCH($L$1,[3]characters!$1:$1,0)+1,FALSE)</f>
        <v>Drop1S</v>
      </c>
      <c r="P682" s="21" t="str">
        <f ca="1">VLOOKUP($L682,OFFSET([2]enemies!$A$1,0,0,COUNTA([2]enemies!$A:$A),MATCH(P$1,[2]enemies!$1:$1,0)-MATCH($L$1,[2]enemies!$1:$1,0)+1),MATCH(P$1,[2]enemies!$1:$1,0)-MATCH($L$1,[2]enemies!$1:$1,0)+1,FALSE)</f>
        <v>animal</v>
      </c>
      <c r="Q682" s="21">
        <f ca="1">VLOOKUP($L682,OFFSET([2]enemies!$A$1,0,0,COUNTA([2]enemies!$A:$A),MATCH(Q$1,[2]enemies!$1:$1,0)-MATCH($L$1,[2]enemies!$1:$1,0)+1),MATCH(Q$1,[2]enemies!$1:$1,0)-MATCH($L$1,[2]enemies!$1:$1,0)+1,FALSE)</f>
        <v>15</v>
      </c>
      <c r="R682" s="53">
        <v>50</v>
      </c>
      <c r="S682" s="27">
        <v>1</v>
      </c>
      <c r="T682" s="27">
        <v>1</v>
      </c>
      <c r="U682" s="5">
        <v>0</v>
      </c>
      <c r="V682" s="4" t="str">
        <f ca="1">VLOOKUP($W682,OFFSET([4]enemy_skill_sets!$B$1,0,0,COUNTA([4]enemy_skill_sets!$B:$B),MATCH(M$1,[4]enemy_skill_sets!$1:$1,0)-MATCH($W$1,[4]enemy_skill_sets!$1:$1,0)+2),MATCH(M$1,[4]enemy_skill_sets!$1:$1,0)-MATCH($W$1,[4]enemy_skill_sets!$1:$1,0)+2,FALSE)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682" s="64">
        <v>366</v>
      </c>
      <c r="X682" s="6">
        <v>0</v>
      </c>
      <c r="Y682" s="6">
        <v>100</v>
      </c>
      <c r="Z682" s="6">
        <v>0</v>
      </c>
      <c r="AA682" s="4">
        <f ca="1">VLOOKUP($L682,OFFSET([2]enemies!$A$1,0,0,COUNTA([2]enemies!$A:$A),MATCH(AA$1,[2]enemies!$1:$1,0)-MATCH($L$1,[2]enemies!$1:$1,0)+1),MATCH(AA$1,[2]enemies!$1:$1,0)-MATCH($L$1,[2]enemies!$1:$1,0)+1,FALSE)</f>
        <v>3</v>
      </c>
      <c r="AB682" s="52">
        <v>366</v>
      </c>
      <c r="AC682" s="4" t="str">
        <f ca="1">VLOOKUP($AB682,OFFSET([3]characters!$A$1,0,0,COUNTA([3]characters!$A:$A),MATCH(AC$1,[3]characters!$1:$1,0)-MATCH("character_id",[3]characters!$1:$1,0)+1),MATCH(AC$1,[3]characters!$1:$1,0)-MATCH("character_id",[3]characters!$1:$1,0)+1,FALSE)</f>
        <v>トト</v>
      </c>
      <c r="AD682" s="4">
        <f ca="1">VLOOKUP($AB682,OFFSET([3]characters!$A$1,0,0,COUNTA([3]characters!$A:$A),MATCH(AD$1,[3]characters!$1:$1,0)-MATCH("character_id",[3]characters!$1:$1,0)+1),MATCH(AD$1,[3]characters!$1:$1,0)-MATCH("character_id",[3]characters!$1:$1,0)+1,FALSE)</f>
        <v>2</v>
      </c>
      <c r="AE682" s="4" t="str">
        <f ca="1">VLOOKUP($AB682,OFFSET([3]characters!$A$1,0,0,COUNTA([3]characters!$A:$A),MATCH(AE$1,[3]characters!$1:$1,0)-MATCH("character_id",[3]characters!$1:$1,0)+1),MATCH(AE$1,[3]characters!$1:$1,0)-MATCH("character_id",[3]characters!$1:$1,0)+1,FALSE)</f>
        <v>Drop1S</v>
      </c>
      <c r="AF682" s="7">
        <v>7</v>
      </c>
      <c r="AG682" s="26">
        <f t="shared" ca="1" si="666"/>
        <v>2</v>
      </c>
      <c r="AH682" s="8">
        <v>20</v>
      </c>
      <c r="AI682" s="7">
        <v>0</v>
      </c>
      <c r="AJ682" s="7">
        <v>0</v>
      </c>
      <c r="AK682" s="7">
        <v>0</v>
      </c>
      <c r="AL682" s="7">
        <v>0</v>
      </c>
      <c r="AM682" s="7">
        <v>1</v>
      </c>
    </row>
    <row r="683" spans="1:39" ht="14" x14ac:dyDescent="0.15">
      <c r="A683" s="18" t="str">
        <f t="shared" ca="1" si="687"/>
        <v>26_1-3/348&lt;lv50&gt;s3</v>
      </c>
      <c r="B683" s="53">
        <v>26</v>
      </c>
      <c r="C683" s="51">
        <v>1</v>
      </c>
      <c r="D683" s="2" t="str">
        <f t="shared" ref="D683:D684" si="691">B683&amp;"_"&amp;C683</f>
        <v>26_1</v>
      </c>
      <c r="E683" s="2" t="str">
        <f t="shared" ref="E683:E684" si="692">C683&amp;"_"&amp;D683</f>
        <v>1_26_1</v>
      </c>
      <c r="F683" s="4" t="str">
        <f ca="1">VLOOKUP($D683,OFFSET([1]stages!$A$1,0,0,COUNTA([1]stages!$A:$A),MATCH(F$1,[1]stages!$2:$2,0)-MATCH($D$1,[1]stages!$2:$2,0)+1),MATCH(F$1,[1]stages!$2:$2,0)-MATCH($D$1,[1]stages!$2:$2,0)+1,FALSE)</f>
        <v>26-1．無愛想なフロント</v>
      </c>
      <c r="G683" s="54">
        <v>3</v>
      </c>
      <c r="H683" s="17" t="str">
        <f t="shared" ref="H683:H684" si="693">B683&amp;"_"&amp;C683&amp;"-"&amp;G683</f>
        <v>26_1-3</v>
      </c>
      <c r="I683" s="17"/>
      <c r="J683" s="17"/>
      <c r="K683" s="65" t="s">
        <v>56</v>
      </c>
      <c r="L683" s="52">
        <v>348</v>
      </c>
      <c r="M683" s="21" t="str">
        <f ca="1">VLOOKUP($L683,OFFSET([2]enemies!$A$1,0,0,COUNTA([2]enemies!$A:$A),MATCH(M$1,[2]enemies!$1:$1,0)-MATCH($L$1,[2]enemies!$1:$1,0)+1),MATCH(M$1,[2]enemies!$1:$1,0)-MATCH($L$1,[2]enemies!$1:$1,0)+1,FALSE)</f>
        <v>炎のケロケロ</v>
      </c>
      <c r="N683" s="21" t="str">
        <f ca="1">VLOOKUP($L683,OFFSET([2]enemies!$A$1,0,0,COUNTA([2]enemies!$A:$A),MATCH(N$1,[2]enemies!$1:$1,0)-MATCH($L$1,[2]enemies!$1:$1,0)+1),MATCH(N$1,[2]enemies!$1:$1,0)-MATCH($L$1,[2]enemies!$1:$1,0)+1,FALSE)</f>
        <v>red</v>
      </c>
      <c r="O683" s="21" t="str">
        <f ca="1">VLOOKUP($L683,OFFSET([3]characters!$A$1,0,0,COUNTA([3]characters!$A:$A),MATCH(O$1,[3]characters!$1:$1,0)-MATCH($L$1,[3]characters!$1:$1,0)+1),MATCH(O$1,[3]characters!$1:$1,0)-MATCH($L$1,[3]characters!$1:$1,0)+1,FALSE)</f>
        <v>Material</v>
      </c>
      <c r="P683" s="21" t="str">
        <f ca="1">VLOOKUP($L683,OFFSET([2]enemies!$A$1,0,0,COUNTA([2]enemies!$A:$A),MATCH(P$1,[2]enemies!$1:$1,0)-MATCH($L$1,[2]enemies!$1:$1,0)+1),MATCH(P$1,[2]enemies!$1:$1,0)-MATCH($L$1,[2]enemies!$1:$1,0)+1,FALSE)</f>
        <v>unknown</v>
      </c>
      <c r="Q683" s="21">
        <f ca="1">VLOOKUP($L683,OFFSET([2]enemies!$A$1,0,0,COUNTA([2]enemies!$A:$A),MATCH(Q$1,[2]enemies!$1:$1,0)-MATCH($L$1,[2]enemies!$1:$1,0)+1),MATCH(Q$1,[2]enemies!$1:$1,0)-MATCH($L$1,[2]enemies!$1:$1,0)+1,FALSE)</f>
        <v>15</v>
      </c>
      <c r="R683" s="53">
        <v>50</v>
      </c>
      <c r="S683" s="27">
        <v>1</v>
      </c>
      <c r="T683" s="27">
        <v>1</v>
      </c>
      <c r="U683" s="5">
        <v>0</v>
      </c>
      <c r="V683" s="4" t="str">
        <f ca="1">VLOOKUP($W683,OFFSET([4]enemy_skill_sets!$B$1,0,0,COUNTA([4]enemy_skill_sets!$B:$B),MATCH(M$1,[4]enemy_skill_sets!$1:$1,0)-MATCH($W$1,[4]enemy_skill_sets!$1:$1,0)+2),MATCH(M$1,[4]enemy_skill_sets!$1:$1,0)-MATCH($W$1,[4]enemy_skill_sets!$1:$1,0)+2,FALSE)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683" s="64">
        <v>348</v>
      </c>
      <c r="X683" s="6">
        <v>1</v>
      </c>
      <c r="Y683" s="6">
        <v>100</v>
      </c>
      <c r="Z683" s="6">
        <v>0</v>
      </c>
      <c r="AA683" s="4">
        <f ca="1">VLOOKUP($L683,OFFSET([2]enemies!$A$1,0,0,COUNTA([2]enemies!$A:$A),MATCH(AA$1,[2]enemies!$1:$1,0)-MATCH($L$1,[2]enemies!$1:$1,0)+1),MATCH(AA$1,[2]enemies!$1:$1,0)-MATCH($L$1,[2]enemies!$1:$1,0)+1,FALSE)</f>
        <v>3</v>
      </c>
      <c r="AB683" s="52">
        <v>348</v>
      </c>
      <c r="AC683" s="4" t="str">
        <f ca="1">VLOOKUP($AB683,OFFSET([3]characters!$A$1,0,0,COUNTA([3]characters!$A:$A),MATCH(AC$1,[3]characters!$1:$1,0)-MATCH("character_id",[3]characters!$1:$1,0)+1),MATCH(AC$1,[3]characters!$1:$1,0)-MATCH("character_id",[3]characters!$1:$1,0)+1,FALSE)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683" s="4">
        <f ca="1">VLOOKUP($AB683,OFFSET([3]characters!$A$1,0,0,COUNTA([3]characters!$A:$A),MATCH(AD$1,[3]characters!$1:$1,0)-MATCH("character_id",[3]characters!$1:$1,0)+1),MATCH(AD$1,[3]characters!$1:$1,0)-MATCH("character_id",[3]characters!$1:$1,0)+1,FALSE)</f>
        <v>2</v>
      </c>
      <c r="AE683" s="4" t="str">
        <f ca="1">VLOOKUP($AB683,OFFSET([3]characters!$A$1,0,0,COUNTA([3]characters!$A:$A),MATCH(AE$1,[3]characters!$1:$1,0)-MATCH("character_id",[3]characters!$1:$1,0)+1),MATCH(AE$1,[3]characters!$1:$1,0)-MATCH("character_id",[3]characters!$1:$1,0)+1,FALSE)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83" s="7">
        <v>10</v>
      </c>
      <c r="AG683" s="26">
        <f t="shared" ca="1" si="666"/>
        <v>2</v>
      </c>
      <c r="AH683" s="8">
        <v>100</v>
      </c>
      <c r="AI683" s="7">
        <v>0</v>
      </c>
      <c r="AJ683" s="7">
        <v>0</v>
      </c>
      <c r="AK683" s="7">
        <v>0</v>
      </c>
      <c r="AL683" s="7">
        <v>0</v>
      </c>
      <c r="AM683" s="7">
        <v>1</v>
      </c>
    </row>
    <row r="684" spans="1:39" ht="14" x14ac:dyDescent="0.15">
      <c r="A684" s="18" t="str">
        <f t="shared" ca="1" si="687"/>
        <v>26_1-3/352&lt;lv50&gt;s3</v>
      </c>
      <c r="B684" s="53">
        <v>26</v>
      </c>
      <c r="C684" s="51">
        <v>1</v>
      </c>
      <c r="D684" s="2" t="str">
        <f t="shared" si="691"/>
        <v>26_1</v>
      </c>
      <c r="E684" s="2" t="str">
        <f t="shared" si="692"/>
        <v>1_26_1</v>
      </c>
      <c r="F684" s="4" t="str">
        <f ca="1">VLOOKUP($D684,OFFSET([1]stages!$A$1,0,0,COUNTA([1]stages!$A:$A),MATCH(F$1,[1]stages!$2:$2,0)-MATCH($D$1,[1]stages!$2:$2,0)+1),MATCH(F$1,[1]stages!$2:$2,0)-MATCH($D$1,[1]stages!$2:$2,0)+1,FALSE)</f>
        <v>26-1．無愛想なフロント</v>
      </c>
      <c r="G684" s="54">
        <v>3</v>
      </c>
      <c r="H684" s="17" t="str">
        <f t="shared" si="693"/>
        <v>26_1-3</v>
      </c>
      <c r="I684" s="17"/>
      <c r="J684" s="17"/>
      <c r="K684" s="65" t="s">
        <v>56</v>
      </c>
      <c r="L684" s="52">
        <v>352</v>
      </c>
      <c r="M684" s="21" t="str">
        <f ca="1">VLOOKUP($L684,OFFSET([2]enemies!$A$1,0,0,COUNTA([2]enemies!$A:$A),MATCH(M$1,[2]enemies!$1:$1,0)-MATCH($L$1,[2]enemies!$1:$1,0)+1),MATCH(M$1,[2]enemies!$1:$1,0)-MATCH($L$1,[2]enemies!$1:$1,0)+1,FALSE)</f>
        <v>水のケロケロ</v>
      </c>
      <c r="N684" s="21" t="str">
        <f ca="1">VLOOKUP($L684,OFFSET([2]enemies!$A$1,0,0,COUNTA([2]enemies!$A:$A),MATCH(N$1,[2]enemies!$1:$1,0)-MATCH($L$1,[2]enemies!$1:$1,0)+1),MATCH(N$1,[2]enemies!$1:$1,0)-MATCH($L$1,[2]enemies!$1:$1,0)+1,FALSE)</f>
        <v>blue</v>
      </c>
      <c r="O684" s="21" t="str">
        <f ca="1">VLOOKUP($L684,OFFSET([3]characters!$A$1,0,0,COUNTA([3]characters!$A:$A),MATCH(O$1,[3]characters!$1:$1,0)-MATCH($L$1,[3]characters!$1:$1,0)+1),MATCH(O$1,[3]characters!$1:$1,0)-MATCH($L$1,[3]characters!$1:$1,0)+1,FALSE)</f>
        <v>Material</v>
      </c>
      <c r="P684" s="21" t="str">
        <f ca="1">VLOOKUP($L684,OFFSET([2]enemies!$A$1,0,0,COUNTA([2]enemies!$A:$A),MATCH(P$1,[2]enemies!$1:$1,0)-MATCH($L$1,[2]enemies!$1:$1,0)+1),MATCH(P$1,[2]enemies!$1:$1,0)-MATCH($L$1,[2]enemies!$1:$1,0)+1,FALSE)</f>
        <v>unknown</v>
      </c>
      <c r="Q684" s="21">
        <f ca="1">VLOOKUP($L684,OFFSET([2]enemies!$A$1,0,0,COUNTA([2]enemies!$A:$A),MATCH(Q$1,[2]enemies!$1:$1,0)-MATCH($L$1,[2]enemies!$1:$1,0)+1),MATCH(Q$1,[2]enemies!$1:$1,0)-MATCH($L$1,[2]enemies!$1:$1,0)+1,FALSE)</f>
        <v>15</v>
      </c>
      <c r="R684" s="53">
        <v>50</v>
      </c>
      <c r="S684" s="27">
        <v>1</v>
      </c>
      <c r="T684" s="27">
        <v>1</v>
      </c>
      <c r="U684" s="5">
        <v>0</v>
      </c>
      <c r="V684" s="4" t="str">
        <f ca="1">VLOOKUP($W684,OFFSET([4]enemy_skill_sets!$B$1,0,0,COUNTA([4]enemy_skill_sets!$B:$B),MATCH(M$1,[4]enemy_skill_sets!$1:$1,0)-MATCH($W$1,[4]enemy_skill_sets!$1:$1,0)+2),MATCH(M$1,[4]enemy_skill_sets!$1:$1,0)-MATCH($W$1,[4]enemy_skill_sets!$1:$1,0)+2,FALSE)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684" s="64">
        <v>352</v>
      </c>
      <c r="X684" s="6">
        <v>0</v>
      </c>
      <c r="Y684" s="6">
        <v>100</v>
      </c>
      <c r="Z684" s="6">
        <v>0</v>
      </c>
      <c r="AA684" s="4">
        <f ca="1">VLOOKUP($L684,OFFSET([2]enemies!$A$1,0,0,COUNTA([2]enemies!$A:$A),MATCH(AA$1,[2]enemies!$1:$1,0)-MATCH($L$1,[2]enemies!$1:$1,0)+1),MATCH(AA$1,[2]enemies!$1:$1,0)-MATCH($L$1,[2]enemies!$1:$1,0)+1,FALSE)</f>
        <v>3</v>
      </c>
      <c r="AB684" s="52">
        <v>352</v>
      </c>
      <c r="AC684" s="4" t="str">
        <f ca="1">VLOOKUP($AB684,OFFSET([3]characters!$A$1,0,0,COUNTA([3]characters!$A:$A),MATCH(AC$1,[3]characters!$1:$1,0)-MATCH("character_id",[3]characters!$1:$1,0)+1),MATCH(AC$1,[3]characters!$1:$1,0)-MATCH("character_id",[3]characters!$1:$1,0)+1,FALSE)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684" s="4">
        <f ca="1">VLOOKUP($AB684,OFFSET([3]characters!$A$1,0,0,COUNTA([3]characters!$A:$A),MATCH(AD$1,[3]characters!$1:$1,0)-MATCH("character_id",[3]characters!$1:$1,0)+1),MATCH(AD$1,[3]characters!$1:$1,0)-MATCH("character_id",[3]characters!$1:$1,0)+1,FALSE)</f>
        <v>2</v>
      </c>
      <c r="AE684" s="4" t="str">
        <f ca="1">VLOOKUP($AB684,OFFSET([3]characters!$A$1,0,0,COUNTA([3]characters!$A:$A),MATCH(AE$1,[3]characters!$1:$1,0)-MATCH("character_id",[3]characters!$1:$1,0)+1),MATCH(AE$1,[3]characters!$1:$1,0)-MATCH("character_id",[3]characters!$1:$1,0)+1,FALSE)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684" s="7">
        <v>10</v>
      </c>
      <c r="AG684" s="26">
        <f t="shared" ca="1" si="666"/>
        <v>2</v>
      </c>
      <c r="AH684" s="8">
        <v>20</v>
      </c>
      <c r="AI684" s="7">
        <v>0</v>
      </c>
      <c r="AJ684" s="7">
        <v>0</v>
      </c>
      <c r="AK684" s="7">
        <v>0</v>
      </c>
      <c r="AL684" s="7">
        <v>0</v>
      </c>
      <c r="AM684" s="7">
        <v>1</v>
      </c>
    </row>
    <row r="685" spans="1:39" ht="14" x14ac:dyDescent="0.15">
      <c r="A685" s="18" t="str">
        <f t="shared" ca="1" si="687"/>
        <v>26_1-4/9&lt;lv50&gt;s2</v>
      </c>
      <c r="B685" s="50">
        <v>26</v>
      </c>
      <c r="C685" s="49">
        <v>1</v>
      </c>
      <c r="D685" s="2" t="str">
        <f t="shared" si="676"/>
        <v>26_1</v>
      </c>
      <c r="E685" s="2" t="str">
        <f t="shared" si="676"/>
        <v>1_26_1</v>
      </c>
      <c r="F685" s="4" t="str">
        <f ca="1">VLOOKUP($D685,OFFSET([1]stages!$A$1,0,0,COUNTA([1]stages!$A:$A),MATCH(F$1,[1]stages!$2:$2,0)-MATCH($D$1,[1]stages!$2:$2,0)+1),MATCH(F$1,[1]stages!$2:$2,0)-MATCH($D$1,[1]stages!$2:$2,0)+1,FALSE)</f>
        <v>26-1．無愛想なフロント</v>
      </c>
      <c r="G685" s="55">
        <v>4</v>
      </c>
      <c r="H685" s="17" t="str">
        <f t="shared" si="677"/>
        <v>26_1-4</v>
      </c>
      <c r="I685" s="17"/>
      <c r="J685" s="17"/>
      <c r="K685" s="65" t="s">
        <v>56</v>
      </c>
      <c r="L685" s="52">
        <v>9</v>
      </c>
      <c r="M685" s="21" t="str">
        <f ca="1">VLOOKUP($L685,OFFSET([2]enemies!$A$1,0,0,COUNTA([2]enemies!$A:$A),MATCH(M$1,[2]enemies!$1:$1,0)-MATCH($L$1,[2]enemies!$1:$1,0)+1),MATCH(M$1,[2]enemies!$1:$1,0)-MATCH($L$1,[2]enemies!$1:$1,0)+1,FALSE)</f>
        <v>ブレット</v>
      </c>
      <c r="N685" s="21" t="str">
        <f ca="1">VLOOKUP($L685,OFFSET([2]enemies!$A$1,0,0,COUNTA([2]enemies!$A:$A),MATCH(N$1,[2]enemies!$1:$1,0)-MATCH($L$1,[2]enemies!$1:$1,0)+1),MATCH(N$1,[2]enemies!$1:$1,0)-MATCH($L$1,[2]enemies!$1:$1,0)+1,FALSE)</f>
        <v>red</v>
      </c>
      <c r="O685" s="21" t="str">
        <f ca="1">VLOOKUP($L685,OFFSET([3]characters!$A$1,0,0,COUNTA([3]characters!$A:$A),MATCH(O$1,[3]characters!$1:$1,0)-MATCH($L$1,[3]characters!$1:$1,0)+1),MATCH(O$1,[3]characters!$1:$1,0)-MATCH($L$1,[3]characters!$1:$1,0)+1,FALSE)</f>
        <v>Drop1W</v>
      </c>
      <c r="P685" s="21" t="str">
        <f ca="1">VLOOKUP($L685,OFFSET([2]enemies!$A$1,0,0,COUNTA([2]enemies!$A:$A),MATCH(P$1,[2]enemies!$1:$1,0)-MATCH($L$1,[2]enemies!$1:$1,0)+1),MATCH(P$1,[2]enemies!$1:$1,0)-MATCH($L$1,[2]enemies!$1:$1,0)+1,FALSE)</f>
        <v>animal</v>
      </c>
      <c r="Q685" s="21">
        <f ca="1">VLOOKUP($L685,OFFSET([2]enemies!$A$1,0,0,COUNTA([2]enemies!$A:$A),MATCH(Q$1,[2]enemies!$1:$1,0)-MATCH($L$1,[2]enemies!$1:$1,0)+1),MATCH(Q$1,[2]enemies!$1:$1,0)-MATCH($L$1,[2]enemies!$1:$1,0)+1,FALSE)</f>
        <v>15</v>
      </c>
      <c r="R685" s="53">
        <v>50</v>
      </c>
      <c r="S685" s="27">
        <v>1</v>
      </c>
      <c r="T685" s="27">
        <v>1</v>
      </c>
      <c r="U685" s="5">
        <v>0</v>
      </c>
      <c r="V685" s="4" t="str">
        <f ca="1">VLOOKUP($W685,OFFSET([4]enemy_skill_sets!$B$1,0,0,COUNTA([4]enemy_skill_sets!$B:$B),MATCH(M$1,[4]enemy_skill_sets!$1:$1,0)-MATCH($W$1,[4]enemy_skill_sets!$1:$1,0)+2),MATCH(M$1,[4]enemy_skill_sets!$1:$1,0)-MATCH($W$1,[4]enemy_skill_sets!$1:$1,0)+2,FALSE)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85" s="4">
        <f ca="1">VLOOKUP($L685,OFFSET([2]enemies!$A$1,0,0,COUNTA([2]enemies!$A:$A),MATCH(W$1,[2]enemies!$1:$1,0)-MATCH($L$1,[2]enemies!$1:$1,0)+1),MATCH(W$1,[2]enemies!$1:$1,0)-MATCH($L$1,[2]enemies!$1:$1,0)+1,FALSE)</f>
        <v>0</v>
      </c>
      <c r="X685" s="6">
        <v>0</v>
      </c>
      <c r="Y685" s="6">
        <v>100</v>
      </c>
      <c r="Z685" s="6">
        <v>0</v>
      </c>
      <c r="AA685" s="4">
        <f ca="1">VLOOKUP($L685,OFFSET([2]enemies!$A$1,0,0,COUNTA([2]enemies!$A:$A),MATCH(AA$1,[2]enemies!$1:$1,0)-MATCH($L$1,[2]enemies!$1:$1,0)+1),MATCH(AA$1,[2]enemies!$1:$1,0)-MATCH($L$1,[2]enemies!$1:$1,0)+1,FALSE)</f>
        <v>2</v>
      </c>
      <c r="AB685" s="52">
        <v>9</v>
      </c>
      <c r="AC685" s="4" t="str">
        <f ca="1">VLOOKUP($AB685,OFFSET([3]characters!$A$1,0,0,COUNTA([3]characters!$A:$A),MATCH(AC$1,[3]characters!$1:$1,0)-MATCH("character_id",[3]characters!$1:$1,0)+1),MATCH(AC$1,[3]characters!$1:$1,0)-MATCH("character_id",[3]characters!$1:$1,0)+1,FALSE)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685" s="4">
        <f ca="1">VLOOKUP($AB685,OFFSET([3]characters!$A$1,0,0,COUNTA([3]characters!$A:$A),MATCH(AD$1,[3]characters!$1:$1,0)-MATCH("character_id",[3]characters!$1:$1,0)+1),MATCH(AD$1,[3]characters!$1:$1,0)-MATCH("character_id",[3]characters!$1:$1,0)+1,FALSE)</f>
        <v>1</v>
      </c>
      <c r="AE685" s="4" t="str">
        <f ca="1">VLOOKUP($AB685,OFFSET([3]characters!$A$1,0,0,COUNTA([3]characters!$A:$A),MATCH(AE$1,[3]characters!$1:$1,0)-MATCH("character_id",[3]characters!$1:$1,0)+1),MATCH(AE$1,[3]characters!$1:$1,0)-MATCH("character_id",[3]characters!$1:$1,0)+1,FALSE)</f>
        <v>Drop1W</v>
      </c>
      <c r="AF685" s="7">
        <v>9</v>
      </c>
      <c r="AG685" s="26">
        <f t="shared" ca="1" si="666"/>
        <v>1</v>
      </c>
      <c r="AH685" s="8">
        <v>20</v>
      </c>
      <c r="AI685" s="7">
        <v>0</v>
      </c>
      <c r="AJ685" s="7">
        <v>0</v>
      </c>
      <c r="AK685" s="7">
        <v>0</v>
      </c>
      <c r="AL685" s="7">
        <v>0</v>
      </c>
      <c r="AM685" s="7">
        <v>1</v>
      </c>
    </row>
    <row r="686" spans="1:39" ht="14" x14ac:dyDescent="0.15">
      <c r="A686" s="18" t="str">
        <f t="shared" ca="1" si="687"/>
        <v>26_1-4/11&lt;lv50&gt;s3</v>
      </c>
      <c r="B686" s="50">
        <v>26</v>
      </c>
      <c r="C686" s="49">
        <v>1</v>
      </c>
      <c r="D686" s="2" t="str">
        <f t="shared" si="676"/>
        <v>26_1</v>
      </c>
      <c r="E686" s="2" t="str">
        <f t="shared" si="676"/>
        <v>1_26_1</v>
      </c>
      <c r="F686" s="4" t="str">
        <f ca="1">VLOOKUP($D686,OFFSET([1]stages!$A$1,0,0,COUNTA([1]stages!$A:$A),MATCH(F$1,[1]stages!$2:$2,0)-MATCH($D$1,[1]stages!$2:$2,0)+1),MATCH(F$1,[1]stages!$2:$2,0)-MATCH($D$1,[1]stages!$2:$2,0)+1,FALSE)</f>
        <v>26-1．無愛想なフロント</v>
      </c>
      <c r="G686" s="55">
        <v>4</v>
      </c>
      <c r="H686" s="17" t="str">
        <f t="shared" si="677"/>
        <v>26_1-4</v>
      </c>
      <c r="I686" s="17"/>
      <c r="J686" s="17"/>
      <c r="K686" s="65" t="s">
        <v>56</v>
      </c>
      <c r="L686" s="52">
        <v>11</v>
      </c>
      <c r="M686" s="21" t="str">
        <f ca="1">VLOOKUP($L686,OFFSET([2]enemies!$A$1,0,0,COUNTA([2]enemies!$A:$A),MATCH(M$1,[2]enemies!$1:$1,0)-MATCH($L$1,[2]enemies!$1:$1,0)+1),MATCH(M$1,[2]enemies!$1:$1,0)-MATCH($L$1,[2]enemies!$1:$1,0)+1,FALSE)</f>
        <v>マグリット</v>
      </c>
      <c r="N686" s="21" t="str">
        <f ca="1">VLOOKUP($L686,OFFSET([2]enemies!$A$1,0,0,COUNTA([2]enemies!$A:$A),MATCH(N$1,[2]enemies!$1:$1,0)-MATCH($L$1,[2]enemies!$1:$1,0)+1),MATCH(N$1,[2]enemies!$1:$1,0)-MATCH($L$1,[2]enemies!$1:$1,0)+1,FALSE)</f>
        <v>green</v>
      </c>
      <c r="O686" s="21" t="str">
        <f ca="1">VLOOKUP($L686,OFFSET([3]characters!$A$1,0,0,COUNTA([3]characters!$A:$A),MATCH(O$1,[3]characters!$1:$1,0)-MATCH($L$1,[3]characters!$1:$1,0)+1),MATCH(O$1,[3]characters!$1:$1,0)-MATCH($L$1,[3]characters!$1:$1,0)+1,FALSE)</f>
        <v>Drop1W</v>
      </c>
      <c r="P686" s="21" t="str">
        <f ca="1">VLOOKUP($L686,OFFSET([2]enemies!$A$1,0,0,COUNTA([2]enemies!$A:$A),MATCH(P$1,[2]enemies!$1:$1,0)-MATCH($L$1,[2]enemies!$1:$1,0)+1),MATCH(P$1,[2]enemies!$1:$1,0)-MATCH($L$1,[2]enemies!$1:$1,0)+1,FALSE)</f>
        <v>animal</v>
      </c>
      <c r="Q686" s="21">
        <f ca="1">VLOOKUP($L686,OFFSET([2]enemies!$A$1,0,0,COUNTA([2]enemies!$A:$A),MATCH(Q$1,[2]enemies!$1:$1,0)-MATCH($L$1,[2]enemies!$1:$1,0)+1),MATCH(Q$1,[2]enemies!$1:$1,0)-MATCH($L$1,[2]enemies!$1:$1,0)+1,FALSE)</f>
        <v>15</v>
      </c>
      <c r="R686" s="53">
        <v>50</v>
      </c>
      <c r="S686" s="27">
        <v>1</v>
      </c>
      <c r="T686" s="27">
        <v>1</v>
      </c>
      <c r="U686" s="5">
        <v>0</v>
      </c>
      <c r="V686" s="4" t="str">
        <f ca="1">VLOOKUP($W686,OFFSET([4]enemy_skill_sets!$B$1,0,0,COUNTA([4]enemy_skill_sets!$B:$B),MATCH(M$1,[4]enemy_skill_sets!$1:$1,0)-MATCH($W$1,[4]enemy_skill_sets!$1:$1,0)+2),MATCH(M$1,[4]enemy_skill_sets!$1:$1,0)-MATCH($W$1,[4]enemy_skill_sets!$1:$1,0)+2,FALSE)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86" s="4">
        <f ca="1">VLOOKUP($L686,OFFSET([2]enemies!$A$1,0,0,COUNTA([2]enemies!$A:$A),MATCH(W$1,[2]enemies!$1:$1,0)-MATCH($L$1,[2]enemies!$1:$1,0)+1),MATCH(W$1,[2]enemies!$1:$1,0)-MATCH($L$1,[2]enemies!$1:$1,0)+1,FALSE)</f>
        <v>0</v>
      </c>
      <c r="X686" s="6">
        <v>0</v>
      </c>
      <c r="Y686" s="6">
        <v>100</v>
      </c>
      <c r="Z686" s="6">
        <v>0</v>
      </c>
      <c r="AA686" s="4">
        <f ca="1">VLOOKUP($L686,OFFSET([2]enemies!$A$1,0,0,COUNTA([2]enemies!$A:$A),MATCH(AA$1,[2]enemies!$1:$1,0)-MATCH($L$1,[2]enemies!$1:$1,0)+1),MATCH(AA$1,[2]enemies!$1:$1,0)-MATCH($L$1,[2]enemies!$1:$1,0)+1,FALSE)</f>
        <v>3</v>
      </c>
      <c r="AB686" s="52">
        <v>11</v>
      </c>
      <c r="AC686" s="4" t="str">
        <f ca="1">VLOOKUP($AB686,OFFSET([3]characters!$A$1,0,0,COUNTA([3]characters!$A:$A),MATCH(AC$1,[3]characters!$1:$1,0)-MATCH("character_id",[3]characters!$1:$1,0)+1),MATCH(AC$1,[3]characters!$1:$1,0)-MATCH("character_id",[3]characters!$1:$1,0)+1,FALSE)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686" s="4">
        <f ca="1">VLOOKUP($AB686,OFFSET([3]characters!$A$1,0,0,COUNTA([3]characters!$A:$A),MATCH(AD$1,[3]characters!$1:$1,0)-MATCH("character_id",[3]characters!$1:$1,0)+1),MATCH(AD$1,[3]characters!$1:$1,0)-MATCH("character_id",[3]characters!$1:$1,0)+1,FALSE)</f>
        <v>1</v>
      </c>
      <c r="AE686" s="4" t="str">
        <f ca="1">VLOOKUP($AB686,OFFSET([3]characters!$A$1,0,0,COUNTA([3]characters!$A:$A),MATCH(AE$1,[3]characters!$1:$1,0)-MATCH("character_id",[3]characters!$1:$1,0)+1),MATCH(AE$1,[3]characters!$1:$1,0)-MATCH("character_id",[3]characters!$1:$1,0)+1,FALSE)</f>
        <v>Drop1W</v>
      </c>
      <c r="AF686" s="7">
        <v>9</v>
      </c>
      <c r="AG686" s="26">
        <f t="shared" ca="1" si="666"/>
        <v>1</v>
      </c>
      <c r="AH686" s="8">
        <v>20</v>
      </c>
      <c r="AI686" s="7">
        <v>0</v>
      </c>
      <c r="AJ686" s="7">
        <v>0</v>
      </c>
      <c r="AK686" s="7">
        <v>0</v>
      </c>
      <c r="AL686" s="7">
        <v>0</v>
      </c>
      <c r="AM686" s="7">
        <v>1</v>
      </c>
    </row>
    <row r="687" spans="1:39" ht="14" x14ac:dyDescent="0.15">
      <c r="A687" s="18" t="str">
        <f t="shared" ca="1" si="687"/>
        <v>26_1-4/13&lt;lv50&gt;s2</v>
      </c>
      <c r="B687" s="50">
        <v>26</v>
      </c>
      <c r="C687" s="49">
        <v>1</v>
      </c>
      <c r="D687" s="2" t="str">
        <f t="shared" si="676"/>
        <v>26_1</v>
      </c>
      <c r="E687" s="2" t="str">
        <f t="shared" si="676"/>
        <v>1_26_1</v>
      </c>
      <c r="F687" s="4" t="str">
        <f ca="1">VLOOKUP($D687,OFFSET([1]stages!$A$1,0,0,COUNTA([1]stages!$A:$A),MATCH(F$1,[1]stages!$2:$2,0)-MATCH($D$1,[1]stages!$2:$2,0)+1),MATCH(F$1,[1]stages!$2:$2,0)-MATCH($D$1,[1]stages!$2:$2,0)+1,FALSE)</f>
        <v>26-1．無愛想なフロント</v>
      </c>
      <c r="G687" s="55">
        <v>4</v>
      </c>
      <c r="H687" s="17" t="str">
        <f t="shared" si="677"/>
        <v>26_1-4</v>
      </c>
      <c r="I687" s="17"/>
      <c r="J687" s="17"/>
      <c r="K687" s="65" t="s">
        <v>56</v>
      </c>
      <c r="L687" s="52">
        <v>13</v>
      </c>
      <c r="M687" s="21" t="str">
        <f ca="1">VLOOKUP($L687,OFFSET([2]enemies!$A$1,0,0,COUNTA([2]enemies!$A:$A),MATCH(M$1,[2]enemies!$1:$1,0)-MATCH($L$1,[2]enemies!$1:$1,0)+1),MATCH(M$1,[2]enemies!$1:$1,0)-MATCH($L$1,[2]enemies!$1:$1,0)+1,FALSE)</f>
        <v>ミミ</v>
      </c>
      <c r="N687" s="21" t="str">
        <f ca="1">VLOOKUP($L687,OFFSET([2]enemies!$A$1,0,0,COUNTA([2]enemies!$A:$A),MATCH(N$1,[2]enemies!$1:$1,0)-MATCH($L$1,[2]enemies!$1:$1,0)+1),MATCH(N$1,[2]enemies!$1:$1,0)-MATCH($L$1,[2]enemies!$1:$1,0)+1,FALSE)</f>
        <v>yellow</v>
      </c>
      <c r="O687" s="21" t="str">
        <f ca="1">VLOOKUP($L687,OFFSET([3]characters!$A$1,0,0,COUNTA([3]characters!$A:$A),MATCH(O$1,[3]characters!$1:$1,0)-MATCH($L$1,[3]characters!$1:$1,0)+1),MATCH(O$1,[3]characters!$1:$1,0)-MATCH($L$1,[3]characters!$1:$1,0)+1,FALSE)</f>
        <v>Drop1W</v>
      </c>
      <c r="P687" s="21" t="str">
        <f ca="1">VLOOKUP($L687,OFFSET([2]enemies!$A$1,0,0,COUNTA([2]enemies!$A:$A),MATCH(P$1,[2]enemies!$1:$1,0)-MATCH($L$1,[2]enemies!$1:$1,0)+1),MATCH(P$1,[2]enemies!$1:$1,0)-MATCH($L$1,[2]enemies!$1:$1,0)+1,FALSE)</f>
        <v>animal</v>
      </c>
      <c r="Q687" s="21">
        <f ca="1">VLOOKUP($L687,OFFSET([2]enemies!$A$1,0,0,COUNTA([2]enemies!$A:$A),MATCH(Q$1,[2]enemies!$1:$1,0)-MATCH($L$1,[2]enemies!$1:$1,0)+1),MATCH(Q$1,[2]enemies!$1:$1,0)-MATCH($L$1,[2]enemies!$1:$1,0)+1,FALSE)</f>
        <v>15</v>
      </c>
      <c r="R687" s="53">
        <v>50</v>
      </c>
      <c r="S687" s="27">
        <v>1</v>
      </c>
      <c r="T687" s="27">
        <v>1</v>
      </c>
      <c r="U687" s="5">
        <v>0</v>
      </c>
      <c r="V687" s="4" t="str">
        <f ca="1">VLOOKUP($W687,OFFSET([4]enemy_skill_sets!$B$1,0,0,COUNTA([4]enemy_skill_sets!$B:$B),MATCH(M$1,[4]enemy_skill_sets!$1:$1,0)-MATCH($W$1,[4]enemy_skill_sets!$1:$1,0)+2),MATCH(M$1,[4]enemy_skill_sets!$1:$1,0)-MATCH($W$1,[4]enemy_skill_sets!$1:$1,0)+2,FALSE)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87" s="4">
        <f ca="1">VLOOKUP($L687,OFFSET([2]enemies!$A$1,0,0,COUNTA([2]enemies!$A:$A),MATCH(W$1,[2]enemies!$1:$1,0)-MATCH($L$1,[2]enemies!$1:$1,0)+1),MATCH(W$1,[2]enemies!$1:$1,0)-MATCH($L$1,[2]enemies!$1:$1,0)+1,FALSE)</f>
        <v>0</v>
      </c>
      <c r="X687" s="6">
        <v>0</v>
      </c>
      <c r="Y687" s="6">
        <v>100</v>
      </c>
      <c r="Z687" s="6">
        <v>0</v>
      </c>
      <c r="AA687" s="4">
        <f ca="1">VLOOKUP($L687,OFFSET([2]enemies!$A$1,0,0,COUNTA([2]enemies!$A:$A),MATCH(AA$1,[2]enemies!$1:$1,0)-MATCH($L$1,[2]enemies!$1:$1,0)+1),MATCH(AA$1,[2]enemies!$1:$1,0)-MATCH($L$1,[2]enemies!$1:$1,0)+1,FALSE)</f>
        <v>2</v>
      </c>
      <c r="AB687" s="52">
        <v>13</v>
      </c>
      <c r="AC687" s="4" t="str">
        <f ca="1">VLOOKUP($AB687,OFFSET([3]characters!$A$1,0,0,COUNTA([3]characters!$A:$A),MATCH(AC$1,[3]characters!$1:$1,0)-MATCH("character_id",[3]characters!$1:$1,0)+1),MATCH(AC$1,[3]characters!$1:$1,0)-MATCH("character_id",[3]characters!$1:$1,0)+1,FALSE)</f>
        <v>ミミ</v>
      </c>
      <c r="AD687" s="4">
        <f ca="1">VLOOKUP($AB687,OFFSET([3]characters!$A$1,0,0,COUNTA([3]characters!$A:$A),MATCH(AD$1,[3]characters!$1:$1,0)-MATCH("character_id",[3]characters!$1:$1,0)+1),MATCH(AD$1,[3]characters!$1:$1,0)-MATCH("character_id",[3]characters!$1:$1,0)+1,FALSE)</f>
        <v>1</v>
      </c>
      <c r="AE687" s="4" t="str">
        <f ca="1">VLOOKUP($AB687,OFFSET([3]characters!$A$1,0,0,COUNTA([3]characters!$A:$A),MATCH(AE$1,[3]characters!$1:$1,0)-MATCH("character_id",[3]characters!$1:$1,0)+1),MATCH(AE$1,[3]characters!$1:$1,0)-MATCH("character_id",[3]characters!$1:$1,0)+1,FALSE)</f>
        <v>Drop1W</v>
      </c>
      <c r="AF687" s="7">
        <v>9</v>
      </c>
      <c r="AG687" s="26">
        <f t="shared" ca="1" si="666"/>
        <v>1</v>
      </c>
      <c r="AH687" s="8">
        <v>20</v>
      </c>
      <c r="AI687" s="7">
        <v>0</v>
      </c>
      <c r="AJ687" s="7">
        <v>0</v>
      </c>
      <c r="AK687" s="7">
        <v>0</v>
      </c>
      <c r="AL687" s="7">
        <v>0</v>
      </c>
      <c r="AM687" s="7">
        <v>1</v>
      </c>
    </row>
    <row r="688" spans="1:39" ht="14" x14ac:dyDescent="0.15">
      <c r="A688" s="18" t="str">
        <f t="shared" ca="1" si="687"/>
        <v>26_1-4/23&lt;lv50&gt;s4</v>
      </c>
      <c r="B688" s="50">
        <v>26</v>
      </c>
      <c r="C688" s="49">
        <v>1</v>
      </c>
      <c r="D688" s="2" t="str">
        <f t="shared" si="676"/>
        <v>26_1</v>
      </c>
      <c r="E688" s="2" t="str">
        <f t="shared" si="676"/>
        <v>1_26_1</v>
      </c>
      <c r="F688" s="4" t="str">
        <f ca="1">VLOOKUP($D688,OFFSET([1]stages!$A$1,0,0,COUNTA([1]stages!$A:$A),MATCH(F$1,[1]stages!$2:$2,0)-MATCH($D$1,[1]stages!$2:$2,0)+1),MATCH(F$1,[1]stages!$2:$2,0)-MATCH($D$1,[1]stages!$2:$2,0)+1,FALSE)</f>
        <v>26-1．無愛想なフロント</v>
      </c>
      <c r="G688" s="55">
        <v>4</v>
      </c>
      <c r="H688" s="17" t="str">
        <f t="shared" si="677"/>
        <v>26_1-4</v>
      </c>
      <c r="I688" s="17"/>
      <c r="J688" s="17"/>
      <c r="K688" s="65" t="s">
        <v>56</v>
      </c>
      <c r="L688" s="52">
        <v>23</v>
      </c>
      <c r="M688" s="21" t="str">
        <f ca="1">VLOOKUP($L688,OFFSET([2]enemies!$A$1,0,0,COUNTA([2]enemies!$A:$A),MATCH(M$1,[2]enemies!$1:$1,0)-MATCH($L$1,[2]enemies!$1:$1,0)+1),MATCH(M$1,[2]enemies!$1:$1,0)-MATCH($L$1,[2]enemies!$1:$1,0)+1,FALSE)</f>
        <v>ミール</v>
      </c>
      <c r="N688" s="21" t="str">
        <f ca="1">VLOOKUP($L688,OFFSET([2]enemies!$A$1,0,0,COUNTA([2]enemies!$A:$A),MATCH(N$1,[2]enemies!$1:$1,0)-MATCH($L$1,[2]enemies!$1:$1,0)+1),MATCH(N$1,[2]enemies!$1:$1,0)-MATCH($L$1,[2]enemies!$1:$1,0)+1,FALSE)</f>
        <v>green</v>
      </c>
      <c r="O688" s="21" t="str">
        <f ca="1">VLOOKUP($L688,OFFSET([3]characters!$A$1,0,0,COUNTA([3]characters!$A:$A),MATCH(O$1,[3]characters!$1:$1,0)-MATCH($L$1,[3]characters!$1:$1,0)+1),MATCH(O$1,[3]characters!$1:$1,0)-MATCH($L$1,[3]characters!$1:$1,0)+1,FALSE)</f>
        <v>Drop1N</v>
      </c>
      <c r="P688" s="21" t="str">
        <f ca="1">VLOOKUP($L688,OFFSET([2]enemies!$A$1,0,0,COUNTA([2]enemies!$A:$A),MATCH(P$1,[2]enemies!$1:$1,0)-MATCH($L$1,[2]enemies!$1:$1,0)+1),MATCH(P$1,[2]enemies!$1:$1,0)-MATCH($L$1,[2]enemies!$1:$1,0)+1,FALSE)</f>
        <v>animal</v>
      </c>
      <c r="Q688" s="21">
        <f ca="1">VLOOKUP($L688,OFFSET([2]enemies!$A$1,0,0,COUNTA([2]enemies!$A:$A),MATCH(Q$1,[2]enemies!$1:$1,0)-MATCH($L$1,[2]enemies!$1:$1,0)+1),MATCH(Q$1,[2]enemies!$1:$1,0)-MATCH($L$1,[2]enemies!$1:$1,0)+1,FALSE)</f>
        <v>15</v>
      </c>
      <c r="R688" s="53">
        <v>50</v>
      </c>
      <c r="S688" s="27">
        <v>1</v>
      </c>
      <c r="T688" s="27">
        <v>1</v>
      </c>
      <c r="U688" s="5">
        <v>0</v>
      </c>
      <c r="V688" s="4" t="str">
        <f ca="1">VLOOKUP($W688,OFFSET([4]enemy_skill_sets!$B$1,0,0,COUNTA([4]enemy_skill_sets!$B:$B),MATCH(M$1,[4]enemy_skill_sets!$1:$1,0)-MATCH($W$1,[4]enemy_skill_sets!$1:$1,0)+2),MATCH(M$1,[4]enemy_skill_sets!$1:$1,0)-MATCH($W$1,[4]enemy_skill_sets!$1:$1,0)+2,FALSE)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88" s="4">
        <f ca="1">VLOOKUP($L688,OFFSET([2]enemies!$A$1,0,0,COUNTA([2]enemies!$A:$A),MATCH(W$1,[2]enemies!$1:$1,0)-MATCH($L$1,[2]enemies!$1:$1,0)+1),MATCH(W$1,[2]enemies!$1:$1,0)-MATCH($L$1,[2]enemies!$1:$1,0)+1,FALSE)</f>
        <v>0</v>
      </c>
      <c r="X688" s="6">
        <v>0</v>
      </c>
      <c r="Y688" s="6">
        <v>100</v>
      </c>
      <c r="Z688" s="6">
        <v>0</v>
      </c>
      <c r="AA688" s="4">
        <f ca="1">VLOOKUP($L688,OFFSET([2]enemies!$A$1,0,0,COUNTA([2]enemies!$A:$A),MATCH(AA$1,[2]enemies!$1:$1,0)-MATCH($L$1,[2]enemies!$1:$1,0)+1),MATCH(AA$1,[2]enemies!$1:$1,0)-MATCH($L$1,[2]enemies!$1:$1,0)+1,FALSE)</f>
        <v>4</v>
      </c>
      <c r="AB688" s="52">
        <v>23</v>
      </c>
      <c r="AC688" s="4" t="str">
        <f ca="1">VLOOKUP($AB688,OFFSET([3]characters!$A$1,0,0,COUNTA([3]characters!$A:$A),MATCH(AC$1,[3]characters!$1:$1,0)-MATCH("character_id",[3]characters!$1:$1,0)+1),MATCH(AC$1,[3]characters!$1:$1,0)-MATCH("character_id",[3]characters!$1:$1,0)+1,FALSE)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688" s="4">
        <f ca="1">VLOOKUP($AB688,OFFSET([3]characters!$A$1,0,0,COUNTA([3]characters!$A:$A),MATCH(AD$1,[3]characters!$1:$1,0)-MATCH("character_id",[3]characters!$1:$1,0)+1),MATCH(AD$1,[3]characters!$1:$1,0)-MATCH("character_id",[3]characters!$1:$1,0)+1,FALSE)</f>
        <v>1</v>
      </c>
      <c r="AE688" s="4" t="str">
        <f ca="1">VLOOKUP($AB688,OFFSET([3]characters!$A$1,0,0,COUNTA([3]characters!$A:$A),MATCH(AE$1,[3]characters!$1:$1,0)-MATCH("character_id",[3]characters!$1:$1,0)+1),MATCH(AE$1,[3]characters!$1:$1,0)-MATCH("character_id",[3]characters!$1:$1,0)+1,FALSE)</f>
        <v>Drop1N</v>
      </c>
      <c r="AF688" s="7">
        <v>7</v>
      </c>
      <c r="AG688" s="26">
        <f t="shared" ca="1" si="666"/>
        <v>1</v>
      </c>
      <c r="AH688" s="8">
        <v>20</v>
      </c>
      <c r="AI688" s="7">
        <v>0</v>
      </c>
      <c r="AJ688" s="7">
        <v>0</v>
      </c>
      <c r="AK688" s="7">
        <v>0</v>
      </c>
      <c r="AL688" s="7">
        <v>0</v>
      </c>
      <c r="AM688" s="7">
        <v>1</v>
      </c>
    </row>
    <row r="689" spans="1:39" ht="14" x14ac:dyDescent="0.15">
      <c r="A689" s="18" t="str">
        <f t="shared" ca="1" si="687"/>
        <v>26_1-4/25&lt;lv50&gt;s3</v>
      </c>
      <c r="B689" s="50">
        <v>26</v>
      </c>
      <c r="C689" s="49">
        <v>1</v>
      </c>
      <c r="D689" s="2" t="str">
        <f t="shared" si="676"/>
        <v>26_1</v>
      </c>
      <c r="E689" s="2" t="str">
        <f t="shared" si="676"/>
        <v>1_26_1</v>
      </c>
      <c r="F689" s="4" t="str">
        <f ca="1">VLOOKUP($D689,OFFSET([1]stages!$A$1,0,0,COUNTA([1]stages!$A:$A),MATCH(F$1,[1]stages!$2:$2,0)-MATCH($D$1,[1]stages!$2:$2,0)+1),MATCH(F$1,[1]stages!$2:$2,0)-MATCH($D$1,[1]stages!$2:$2,0)+1,FALSE)</f>
        <v>26-1．無愛想なフロント</v>
      </c>
      <c r="G689" s="55">
        <v>4</v>
      </c>
      <c r="H689" s="17" t="str">
        <f t="shared" si="677"/>
        <v>26_1-4</v>
      </c>
      <c r="I689" s="17"/>
      <c r="J689" s="17"/>
      <c r="K689" s="65" t="s">
        <v>56</v>
      </c>
      <c r="L689" s="52">
        <v>25</v>
      </c>
      <c r="M689" s="21" t="str">
        <f ca="1">VLOOKUP($L689,OFFSET([2]enemies!$A$1,0,0,COUNTA([2]enemies!$A:$A),MATCH(M$1,[2]enemies!$1:$1,0)-MATCH($L$1,[2]enemies!$1:$1,0)+1),MATCH(M$1,[2]enemies!$1:$1,0)-MATCH($L$1,[2]enemies!$1:$1,0)+1,FALSE)</f>
        <v>ハチ</v>
      </c>
      <c r="N689" s="21" t="str">
        <f ca="1">VLOOKUP($L689,OFFSET([2]enemies!$A$1,0,0,COUNTA([2]enemies!$A:$A),MATCH(N$1,[2]enemies!$1:$1,0)-MATCH($L$1,[2]enemies!$1:$1,0)+1),MATCH(N$1,[2]enemies!$1:$1,0)-MATCH($L$1,[2]enemies!$1:$1,0)+1,FALSE)</f>
        <v>blue</v>
      </c>
      <c r="O689" s="21" t="str">
        <f ca="1">VLOOKUP($L689,OFFSET([3]characters!$A$1,0,0,COUNTA([3]characters!$A:$A),MATCH(O$1,[3]characters!$1:$1,0)-MATCH($L$1,[3]characters!$1:$1,0)+1),MATCH(O$1,[3]characters!$1:$1,0)-MATCH($L$1,[3]characters!$1:$1,0)+1,FALSE)</f>
        <v>Drop1N</v>
      </c>
      <c r="P689" s="21" t="str">
        <f ca="1">VLOOKUP($L689,OFFSET([2]enemies!$A$1,0,0,COUNTA([2]enemies!$A:$A),MATCH(P$1,[2]enemies!$1:$1,0)-MATCH($L$1,[2]enemies!$1:$1,0)+1),MATCH(P$1,[2]enemies!$1:$1,0)-MATCH($L$1,[2]enemies!$1:$1,0)+1,FALSE)</f>
        <v>animal</v>
      </c>
      <c r="Q689" s="21">
        <f ca="1">VLOOKUP($L689,OFFSET([2]enemies!$A$1,0,0,COUNTA([2]enemies!$A:$A),MATCH(Q$1,[2]enemies!$1:$1,0)-MATCH($L$1,[2]enemies!$1:$1,0)+1),MATCH(Q$1,[2]enemies!$1:$1,0)-MATCH($L$1,[2]enemies!$1:$1,0)+1,FALSE)</f>
        <v>15</v>
      </c>
      <c r="R689" s="53">
        <v>50</v>
      </c>
      <c r="S689" s="27">
        <v>1</v>
      </c>
      <c r="T689" s="27">
        <v>1</v>
      </c>
      <c r="U689" s="5">
        <v>0</v>
      </c>
      <c r="V689" s="4" t="str">
        <f ca="1">VLOOKUP($W689,OFFSET([4]enemy_skill_sets!$B$1,0,0,COUNTA([4]enemy_skill_sets!$B:$B),MATCH(M$1,[4]enemy_skill_sets!$1:$1,0)-MATCH($W$1,[4]enemy_skill_sets!$1:$1,0)+2),MATCH(M$1,[4]enemy_skill_sets!$1:$1,0)-MATCH($W$1,[4]enemy_skill_sets!$1:$1,0)+2,FALSE)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89" s="4">
        <f ca="1">VLOOKUP($L689,OFFSET([2]enemies!$A$1,0,0,COUNTA([2]enemies!$A:$A),MATCH(W$1,[2]enemies!$1:$1,0)-MATCH($L$1,[2]enemies!$1:$1,0)+1),MATCH(W$1,[2]enemies!$1:$1,0)-MATCH($L$1,[2]enemies!$1:$1,0)+1,FALSE)</f>
        <v>0</v>
      </c>
      <c r="X689" s="6">
        <v>0</v>
      </c>
      <c r="Y689" s="6">
        <v>100</v>
      </c>
      <c r="Z689" s="6">
        <v>0</v>
      </c>
      <c r="AA689" s="4">
        <f ca="1">VLOOKUP($L689,OFFSET([2]enemies!$A$1,0,0,COUNTA([2]enemies!$A:$A),MATCH(AA$1,[2]enemies!$1:$1,0)-MATCH($L$1,[2]enemies!$1:$1,0)+1),MATCH(AA$1,[2]enemies!$1:$1,0)-MATCH($L$1,[2]enemies!$1:$1,0)+1,FALSE)</f>
        <v>3</v>
      </c>
      <c r="AB689" s="52">
        <v>25</v>
      </c>
      <c r="AC689" s="4" t="str">
        <f ca="1">VLOOKUP($AB689,OFFSET([3]characters!$A$1,0,0,COUNTA([3]characters!$A:$A),MATCH(AC$1,[3]characters!$1:$1,0)-MATCH("character_id",[3]characters!$1:$1,0)+1),MATCH(AC$1,[3]characters!$1:$1,0)-MATCH("character_id",[3]characters!$1:$1,0)+1,FALSE)</f>
        <v>ハチ</v>
      </c>
      <c r="AD689" s="4">
        <f ca="1">VLOOKUP($AB689,OFFSET([3]characters!$A$1,0,0,COUNTA([3]characters!$A:$A),MATCH(AD$1,[3]characters!$1:$1,0)-MATCH("character_id",[3]characters!$1:$1,0)+1),MATCH(AD$1,[3]characters!$1:$1,0)-MATCH("character_id",[3]characters!$1:$1,0)+1,FALSE)</f>
        <v>1</v>
      </c>
      <c r="AE689" s="4" t="str">
        <f ca="1">VLOOKUP($AB689,OFFSET([3]characters!$A$1,0,0,COUNTA([3]characters!$A:$A),MATCH(AE$1,[3]characters!$1:$1,0)-MATCH("character_id",[3]characters!$1:$1,0)+1),MATCH(AE$1,[3]characters!$1:$1,0)-MATCH("character_id",[3]characters!$1:$1,0)+1,FALSE)</f>
        <v>Drop1N</v>
      </c>
      <c r="AF689" s="7">
        <v>7</v>
      </c>
      <c r="AG689" s="26">
        <f t="shared" ca="1" si="666"/>
        <v>1</v>
      </c>
      <c r="AH689" s="8">
        <v>20</v>
      </c>
      <c r="AI689" s="7">
        <v>0</v>
      </c>
      <c r="AJ689" s="7">
        <v>0</v>
      </c>
      <c r="AK689" s="7">
        <v>0</v>
      </c>
      <c r="AL689" s="7">
        <v>0</v>
      </c>
      <c r="AM689" s="7">
        <v>1</v>
      </c>
    </row>
    <row r="690" spans="1:39" ht="14" x14ac:dyDescent="0.15">
      <c r="A690" s="18" t="str">
        <f t="shared" ca="1" si="687"/>
        <v>26_1-4/33&lt;lv50&gt;s2</v>
      </c>
      <c r="B690" s="50">
        <v>26</v>
      </c>
      <c r="C690" s="49">
        <v>1</v>
      </c>
      <c r="D690" s="2" t="str">
        <f t="shared" si="676"/>
        <v>26_1</v>
      </c>
      <c r="E690" s="2" t="str">
        <f t="shared" si="676"/>
        <v>1_26_1</v>
      </c>
      <c r="F690" s="4" t="str">
        <f ca="1">VLOOKUP($D690,OFFSET([1]stages!$A$1,0,0,COUNTA([1]stages!$A:$A),MATCH(F$1,[1]stages!$2:$2,0)-MATCH($D$1,[1]stages!$2:$2,0)+1),MATCH(F$1,[1]stages!$2:$2,0)-MATCH($D$1,[1]stages!$2:$2,0)+1,FALSE)</f>
        <v>26-1．無愛想なフロント</v>
      </c>
      <c r="G690" s="55">
        <v>4</v>
      </c>
      <c r="H690" s="17" t="str">
        <f t="shared" si="677"/>
        <v>26_1-4</v>
      </c>
      <c r="I690" s="17"/>
      <c r="J690" s="17"/>
      <c r="K690" s="65" t="s">
        <v>56</v>
      </c>
      <c r="L690" s="52">
        <v>33</v>
      </c>
      <c r="M690" s="21" t="str">
        <f ca="1">VLOOKUP($L690,OFFSET([2]enemies!$A$1,0,0,COUNTA([2]enemies!$A:$A),MATCH(M$1,[2]enemies!$1:$1,0)-MATCH($L$1,[2]enemies!$1:$1,0)+1),MATCH(M$1,[2]enemies!$1:$1,0)-MATCH($L$1,[2]enemies!$1:$1,0)+1,FALSE)</f>
        <v>ゴクウ</v>
      </c>
      <c r="N690" s="21" t="str">
        <f ca="1">VLOOKUP($L690,OFFSET([2]enemies!$A$1,0,0,COUNTA([2]enemies!$A:$A),MATCH(N$1,[2]enemies!$1:$1,0)-MATCH($L$1,[2]enemies!$1:$1,0)+1),MATCH(N$1,[2]enemies!$1:$1,0)-MATCH($L$1,[2]enemies!$1:$1,0)+1,FALSE)</f>
        <v>red</v>
      </c>
      <c r="O690" s="21" t="str">
        <f ca="1">VLOOKUP($L690,OFFSET([3]characters!$A$1,0,0,COUNTA([3]characters!$A:$A),MATCH(O$1,[3]characters!$1:$1,0)-MATCH($L$1,[3]characters!$1:$1,0)+1),MATCH(O$1,[3]characters!$1:$1,0)-MATCH($L$1,[3]characters!$1:$1,0)+1,FALSE)</f>
        <v>Drop1S</v>
      </c>
      <c r="P690" s="21" t="str">
        <f ca="1">VLOOKUP($L690,OFFSET([2]enemies!$A$1,0,0,COUNTA([2]enemies!$A:$A),MATCH(P$1,[2]enemies!$1:$1,0)-MATCH($L$1,[2]enemies!$1:$1,0)+1),MATCH(P$1,[2]enemies!$1:$1,0)-MATCH($L$1,[2]enemies!$1:$1,0)+1,FALSE)</f>
        <v>animal</v>
      </c>
      <c r="Q690" s="21">
        <f ca="1">VLOOKUP($L690,OFFSET([2]enemies!$A$1,0,0,COUNTA([2]enemies!$A:$A),MATCH(Q$1,[2]enemies!$1:$1,0)-MATCH($L$1,[2]enemies!$1:$1,0)+1),MATCH(Q$1,[2]enemies!$1:$1,0)-MATCH($L$1,[2]enemies!$1:$1,0)+1,FALSE)</f>
        <v>15</v>
      </c>
      <c r="R690" s="53">
        <v>50</v>
      </c>
      <c r="S690" s="27">
        <v>1</v>
      </c>
      <c r="T690" s="27">
        <v>1</v>
      </c>
      <c r="U690" s="5">
        <v>0</v>
      </c>
      <c r="V690" s="4" t="str">
        <f ca="1">VLOOKUP($W690,OFFSET([4]enemy_skill_sets!$B$1,0,0,COUNTA([4]enemy_skill_sets!$B:$B),MATCH(M$1,[4]enemy_skill_sets!$1:$1,0)-MATCH($W$1,[4]enemy_skill_sets!$1:$1,0)+2),MATCH(M$1,[4]enemy_skill_sets!$1:$1,0)-MATCH($W$1,[4]enemy_skill_sets!$1:$1,0)+2,FALSE)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690" s="4">
        <f ca="1">VLOOKUP($L690,OFFSET([2]enemies!$A$1,0,0,COUNTA([2]enemies!$A:$A),MATCH(W$1,[2]enemies!$1:$1,0)-MATCH($L$1,[2]enemies!$1:$1,0)+1),MATCH(W$1,[2]enemies!$1:$1,0)-MATCH($L$1,[2]enemies!$1:$1,0)+1,FALSE)</f>
        <v>33</v>
      </c>
      <c r="X690" s="6">
        <v>0</v>
      </c>
      <c r="Y690" s="6">
        <v>100</v>
      </c>
      <c r="Z690" s="6">
        <v>0</v>
      </c>
      <c r="AA690" s="4">
        <f ca="1">VLOOKUP($L690,OFFSET([2]enemies!$A$1,0,0,COUNTA([2]enemies!$A:$A),MATCH(AA$1,[2]enemies!$1:$1,0)-MATCH($L$1,[2]enemies!$1:$1,0)+1),MATCH(AA$1,[2]enemies!$1:$1,0)-MATCH($L$1,[2]enemies!$1:$1,0)+1,FALSE)</f>
        <v>2</v>
      </c>
      <c r="AB690" s="52">
        <v>33</v>
      </c>
      <c r="AC690" s="4" t="str">
        <f ca="1">VLOOKUP($AB690,OFFSET([3]characters!$A$1,0,0,COUNTA([3]characters!$A:$A),MATCH(AC$1,[3]characters!$1:$1,0)-MATCH("character_id",[3]characters!$1:$1,0)+1),MATCH(AC$1,[3]characters!$1:$1,0)-MATCH("character_id",[3]characters!$1:$1,0)+1,FALSE)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690" s="4">
        <f ca="1">VLOOKUP($AB690,OFFSET([3]characters!$A$1,0,0,COUNTA([3]characters!$A:$A),MATCH(AD$1,[3]characters!$1:$1,0)-MATCH("character_id",[3]characters!$1:$1,0)+1),MATCH(AD$1,[3]characters!$1:$1,0)-MATCH("character_id",[3]characters!$1:$1,0)+1,FALSE)</f>
        <v>2</v>
      </c>
      <c r="AE690" s="4" t="str">
        <f ca="1">VLOOKUP($AB690,OFFSET([3]characters!$A$1,0,0,COUNTA([3]characters!$A:$A),MATCH(AE$1,[3]characters!$1:$1,0)-MATCH("character_id",[3]characters!$1:$1,0)+1),MATCH(AE$1,[3]characters!$1:$1,0)-MATCH("character_id",[3]characters!$1:$1,0)+1,FALSE)</f>
        <v>Drop1S</v>
      </c>
      <c r="AF690" s="7">
        <v>5</v>
      </c>
      <c r="AG690" s="26">
        <f t="shared" ca="1" si="666"/>
        <v>2</v>
      </c>
      <c r="AH690" s="8">
        <v>20</v>
      </c>
      <c r="AI690" s="7">
        <v>0</v>
      </c>
      <c r="AJ690" s="7">
        <v>0</v>
      </c>
      <c r="AK690" s="7">
        <v>0</v>
      </c>
      <c r="AL690" s="7">
        <v>0</v>
      </c>
      <c r="AM690" s="7">
        <v>1</v>
      </c>
    </row>
    <row r="691" spans="1:39" ht="14" x14ac:dyDescent="0.15">
      <c r="A691" s="18" t="str">
        <f t="shared" ca="1" si="687"/>
        <v>26_1-4/37&lt;lv50&gt;s3</v>
      </c>
      <c r="B691" s="50">
        <v>26</v>
      </c>
      <c r="C691" s="49">
        <v>1</v>
      </c>
      <c r="D691" s="2" t="str">
        <f t="shared" si="676"/>
        <v>26_1</v>
      </c>
      <c r="E691" s="2" t="str">
        <f t="shared" si="676"/>
        <v>1_26_1</v>
      </c>
      <c r="F691" s="4" t="str">
        <f ca="1">VLOOKUP($D691,OFFSET([1]stages!$A$1,0,0,COUNTA([1]stages!$A:$A),MATCH(F$1,[1]stages!$2:$2,0)-MATCH($D$1,[1]stages!$2:$2,0)+1),MATCH(F$1,[1]stages!$2:$2,0)-MATCH($D$1,[1]stages!$2:$2,0)+1,FALSE)</f>
        <v>26-1．無愛想なフロント</v>
      </c>
      <c r="G691" s="55">
        <v>4</v>
      </c>
      <c r="H691" s="17" t="str">
        <f t="shared" si="677"/>
        <v>26_1-4</v>
      </c>
      <c r="I691" s="17"/>
      <c r="J691" s="17"/>
      <c r="K691" s="65" t="s">
        <v>56</v>
      </c>
      <c r="L691" s="52">
        <v>37</v>
      </c>
      <c r="M691" s="21" t="str">
        <f ca="1">VLOOKUP($L691,OFFSET([2]enemies!$A$1,0,0,COUNTA([2]enemies!$A:$A),MATCH(M$1,[2]enemies!$1:$1,0)-MATCH($L$1,[2]enemies!$1:$1,0)+1),MATCH(M$1,[2]enemies!$1:$1,0)-MATCH($L$1,[2]enemies!$1:$1,0)+1,FALSE)</f>
        <v>ガイル</v>
      </c>
      <c r="N691" s="21" t="str">
        <f ca="1">VLOOKUP($L691,OFFSET([2]enemies!$A$1,0,0,COUNTA([2]enemies!$A:$A),MATCH(N$1,[2]enemies!$1:$1,0)-MATCH($L$1,[2]enemies!$1:$1,0)+1),MATCH(N$1,[2]enemies!$1:$1,0)-MATCH($L$1,[2]enemies!$1:$1,0)+1,FALSE)</f>
        <v>blue</v>
      </c>
      <c r="O691" s="21" t="str">
        <f ca="1">VLOOKUP($L691,OFFSET([3]characters!$A$1,0,0,COUNTA([3]characters!$A:$A),MATCH(O$1,[3]characters!$1:$1,0)-MATCH($L$1,[3]characters!$1:$1,0)+1),MATCH(O$1,[3]characters!$1:$1,0)-MATCH($L$1,[3]characters!$1:$1,0)+1,FALSE)</f>
        <v>Drop1S</v>
      </c>
      <c r="P691" s="21" t="str">
        <f ca="1">VLOOKUP($L691,OFFSET([2]enemies!$A$1,0,0,COUNTA([2]enemies!$A:$A),MATCH(P$1,[2]enemies!$1:$1,0)-MATCH($L$1,[2]enemies!$1:$1,0)+1),MATCH(P$1,[2]enemies!$1:$1,0)-MATCH($L$1,[2]enemies!$1:$1,0)+1,FALSE)</f>
        <v>animal</v>
      </c>
      <c r="Q691" s="21">
        <f ca="1">VLOOKUP($L691,OFFSET([2]enemies!$A$1,0,0,COUNTA([2]enemies!$A:$A),MATCH(Q$1,[2]enemies!$1:$1,0)-MATCH($L$1,[2]enemies!$1:$1,0)+1),MATCH(Q$1,[2]enemies!$1:$1,0)-MATCH($L$1,[2]enemies!$1:$1,0)+1,FALSE)</f>
        <v>15</v>
      </c>
      <c r="R691" s="53">
        <v>50</v>
      </c>
      <c r="S691" s="27">
        <v>1</v>
      </c>
      <c r="T691" s="27">
        <v>1</v>
      </c>
      <c r="U691" s="5">
        <v>0</v>
      </c>
      <c r="V691" s="4" t="str">
        <f ca="1">VLOOKUP($W691,OFFSET([4]enemy_skill_sets!$B$1,0,0,COUNTA([4]enemy_skill_sets!$B:$B),MATCH(M$1,[4]enemy_skill_sets!$1:$1,0)-MATCH($W$1,[4]enemy_skill_sets!$1:$1,0)+2),MATCH(M$1,[4]enemy_skill_sets!$1:$1,0)-MATCH($W$1,[4]enemy_skill_sets!$1:$1,0)+2,FALSE)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691" s="4">
        <f ca="1">VLOOKUP($L691,OFFSET([2]enemies!$A$1,0,0,COUNTA([2]enemies!$A:$A),MATCH(W$1,[2]enemies!$1:$1,0)-MATCH($L$1,[2]enemies!$1:$1,0)+1),MATCH(W$1,[2]enemies!$1:$1,0)-MATCH($L$1,[2]enemies!$1:$1,0)+1,FALSE)</f>
        <v>37</v>
      </c>
      <c r="X691" s="6">
        <v>0</v>
      </c>
      <c r="Y691" s="6">
        <v>100</v>
      </c>
      <c r="Z691" s="6">
        <v>0</v>
      </c>
      <c r="AA691" s="4">
        <f ca="1">VLOOKUP($L691,OFFSET([2]enemies!$A$1,0,0,COUNTA([2]enemies!$A:$A),MATCH(AA$1,[2]enemies!$1:$1,0)-MATCH($L$1,[2]enemies!$1:$1,0)+1),MATCH(AA$1,[2]enemies!$1:$1,0)-MATCH($L$1,[2]enemies!$1:$1,0)+1,FALSE)</f>
        <v>3</v>
      </c>
      <c r="AB691" s="52">
        <v>37</v>
      </c>
      <c r="AC691" s="4" t="str">
        <f ca="1">VLOOKUP($AB691,OFFSET([3]characters!$A$1,0,0,COUNTA([3]characters!$A:$A),MATCH(AC$1,[3]characters!$1:$1,0)-MATCH("character_id",[3]characters!$1:$1,0)+1),MATCH(AC$1,[3]characters!$1:$1,0)-MATCH("character_id",[3]characters!$1:$1,0)+1,FALSE)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691" s="4">
        <f ca="1">VLOOKUP($AB691,OFFSET([3]characters!$A$1,0,0,COUNTA([3]characters!$A:$A),MATCH(AD$1,[3]characters!$1:$1,0)-MATCH("character_id",[3]characters!$1:$1,0)+1),MATCH(AD$1,[3]characters!$1:$1,0)-MATCH("character_id",[3]characters!$1:$1,0)+1,FALSE)</f>
        <v>2</v>
      </c>
      <c r="AE691" s="4" t="str">
        <f ca="1">VLOOKUP($AB691,OFFSET([3]characters!$A$1,0,0,COUNTA([3]characters!$A:$A),MATCH(AE$1,[3]characters!$1:$1,0)-MATCH("character_id",[3]characters!$1:$1,0)+1),MATCH(AE$1,[3]characters!$1:$1,0)-MATCH("character_id",[3]characters!$1:$1,0)+1,FALSE)</f>
        <v>Drop1S</v>
      </c>
      <c r="AF691" s="7">
        <v>5</v>
      </c>
      <c r="AG691" s="26">
        <f t="shared" ca="1" si="666"/>
        <v>2</v>
      </c>
      <c r="AH691" s="8">
        <v>20</v>
      </c>
      <c r="AI691" s="7">
        <v>0</v>
      </c>
      <c r="AJ691" s="7">
        <v>0</v>
      </c>
      <c r="AK691" s="7">
        <v>0</v>
      </c>
      <c r="AL691" s="7">
        <v>0</v>
      </c>
      <c r="AM691" s="7">
        <v>1</v>
      </c>
    </row>
    <row r="692" spans="1:39" ht="14" x14ac:dyDescent="0.15">
      <c r="A692" s="18" t="str">
        <f t="shared" ca="1" si="687"/>
        <v>26_1-4/45&lt;lv50&gt;s3</v>
      </c>
      <c r="B692" s="50">
        <v>26</v>
      </c>
      <c r="C692" s="49">
        <v>1</v>
      </c>
      <c r="D692" s="2" t="str">
        <f t="shared" si="676"/>
        <v>26_1</v>
      </c>
      <c r="E692" s="2" t="str">
        <f t="shared" si="676"/>
        <v>1_26_1</v>
      </c>
      <c r="F692" s="4" t="str">
        <f ca="1">VLOOKUP($D692,OFFSET([1]stages!$A$1,0,0,COUNTA([1]stages!$A:$A),MATCH(F$1,[1]stages!$2:$2,0)-MATCH($D$1,[1]stages!$2:$2,0)+1),MATCH(F$1,[1]stages!$2:$2,0)-MATCH($D$1,[1]stages!$2:$2,0)+1,FALSE)</f>
        <v>26-1．無愛想なフロント</v>
      </c>
      <c r="G692" s="55">
        <v>4</v>
      </c>
      <c r="H692" s="17" t="str">
        <f t="shared" si="677"/>
        <v>26_1-4</v>
      </c>
      <c r="I692" s="17"/>
      <c r="J692" s="17"/>
      <c r="K692" s="65" t="s">
        <v>56</v>
      </c>
      <c r="L692" s="52">
        <v>45</v>
      </c>
      <c r="M692" s="21" t="str">
        <f ca="1">VLOOKUP($L692,OFFSET([2]enemies!$A$1,0,0,COUNTA([2]enemies!$A:$A),MATCH(M$1,[2]enemies!$1:$1,0)-MATCH($L$1,[2]enemies!$1:$1,0)+1),MATCH(M$1,[2]enemies!$1:$1,0)-MATCH($L$1,[2]enemies!$1:$1,0)+1,FALSE)</f>
        <v>ショウイン</v>
      </c>
      <c r="N692" s="21" t="str">
        <f ca="1">VLOOKUP($L692,OFFSET([2]enemies!$A$1,0,0,COUNTA([2]enemies!$A:$A),MATCH(N$1,[2]enemies!$1:$1,0)-MATCH($L$1,[2]enemies!$1:$1,0)+1),MATCH(N$1,[2]enemies!$1:$1,0)-MATCH($L$1,[2]enemies!$1:$1,0)+1,FALSE)</f>
        <v>blue</v>
      </c>
      <c r="O692" s="21" t="str">
        <f ca="1">VLOOKUP($L692,OFFSET([3]characters!$A$1,0,0,COUNTA([3]characters!$A:$A),MATCH(O$1,[3]characters!$1:$1,0)-MATCH($L$1,[3]characters!$1:$1,0)+1),MATCH(O$1,[3]characters!$1:$1,0)-MATCH($L$1,[3]characters!$1:$1,0)+1,FALSE)</f>
        <v>Drop1N</v>
      </c>
      <c r="P692" s="21" t="str">
        <f ca="1">VLOOKUP($L692,OFFSET([2]enemies!$A$1,0,0,COUNTA([2]enemies!$A:$A),MATCH(P$1,[2]enemies!$1:$1,0)-MATCH($L$1,[2]enemies!$1:$1,0)+1),MATCH(P$1,[2]enemies!$1:$1,0)-MATCH($L$1,[2]enemies!$1:$1,0)+1,FALSE)</f>
        <v>animal</v>
      </c>
      <c r="Q692" s="21">
        <f ca="1">VLOOKUP($L692,OFFSET([2]enemies!$A$1,0,0,COUNTA([2]enemies!$A:$A),MATCH(Q$1,[2]enemies!$1:$1,0)-MATCH($L$1,[2]enemies!$1:$1,0)+1),MATCH(Q$1,[2]enemies!$1:$1,0)-MATCH($L$1,[2]enemies!$1:$1,0)+1,FALSE)</f>
        <v>15</v>
      </c>
      <c r="R692" s="53">
        <v>50</v>
      </c>
      <c r="S692" s="27">
        <v>1</v>
      </c>
      <c r="T692" s="27">
        <v>1</v>
      </c>
      <c r="U692" s="5">
        <v>0</v>
      </c>
      <c r="V692" s="4" t="str">
        <f ca="1">VLOOKUP($W692,OFFSET([4]enemy_skill_sets!$B$1,0,0,COUNTA([4]enemy_skill_sets!$B:$B),MATCH(M$1,[4]enemy_skill_sets!$1:$1,0)-MATCH($W$1,[4]enemy_skill_sets!$1:$1,0)+2),MATCH(M$1,[4]enemy_skill_sets!$1:$1,0)-MATCH($W$1,[4]enemy_skill_sets!$1:$1,0)+2,FALSE)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92" s="4">
        <f ca="1">VLOOKUP($L692,OFFSET([2]enemies!$A$1,0,0,COUNTA([2]enemies!$A:$A),MATCH(W$1,[2]enemies!$1:$1,0)-MATCH($L$1,[2]enemies!$1:$1,0)+1),MATCH(W$1,[2]enemies!$1:$1,0)-MATCH($L$1,[2]enemies!$1:$1,0)+1,FALSE)</f>
        <v>0</v>
      </c>
      <c r="X692" s="6">
        <v>0</v>
      </c>
      <c r="Y692" s="6">
        <v>100</v>
      </c>
      <c r="Z692" s="6">
        <v>0</v>
      </c>
      <c r="AA692" s="4">
        <f ca="1">VLOOKUP($L692,OFFSET([2]enemies!$A$1,0,0,COUNTA([2]enemies!$A:$A),MATCH(AA$1,[2]enemies!$1:$1,0)-MATCH($L$1,[2]enemies!$1:$1,0)+1),MATCH(AA$1,[2]enemies!$1:$1,0)-MATCH($L$1,[2]enemies!$1:$1,0)+1,FALSE)</f>
        <v>3</v>
      </c>
      <c r="AB692" s="52">
        <v>45</v>
      </c>
      <c r="AC692" s="4" t="str">
        <f ca="1">VLOOKUP($AB692,OFFSET([3]characters!$A$1,0,0,COUNTA([3]characters!$A:$A),MATCH(AC$1,[3]characters!$1:$1,0)-MATCH("character_id",[3]characters!$1:$1,0)+1),MATCH(AC$1,[3]characters!$1:$1,0)-MATCH("character_id",[3]characters!$1:$1,0)+1,FALSE)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692" s="4">
        <f ca="1">VLOOKUP($AB692,OFFSET([3]characters!$A$1,0,0,COUNTA([3]characters!$A:$A),MATCH(AD$1,[3]characters!$1:$1,0)-MATCH("character_id",[3]characters!$1:$1,0)+1),MATCH(AD$1,[3]characters!$1:$1,0)-MATCH("character_id",[3]characters!$1:$1,0)+1,FALSE)</f>
        <v>2</v>
      </c>
      <c r="AE692" s="4" t="str">
        <f ca="1">VLOOKUP($AB692,OFFSET([3]characters!$A$1,0,0,COUNTA([3]characters!$A:$A),MATCH(AE$1,[3]characters!$1:$1,0)-MATCH("character_id",[3]characters!$1:$1,0)+1),MATCH(AE$1,[3]characters!$1:$1,0)-MATCH("character_id",[3]characters!$1:$1,0)+1,FALSE)</f>
        <v>Drop1N</v>
      </c>
      <c r="AF692" s="7">
        <v>7</v>
      </c>
      <c r="AG692" s="26">
        <f t="shared" ca="1" si="666"/>
        <v>2</v>
      </c>
      <c r="AH692" s="8">
        <v>20</v>
      </c>
      <c r="AI692" s="7">
        <v>0</v>
      </c>
      <c r="AJ692" s="7">
        <v>0</v>
      </c>
      <c r="AK692" s="7">
        <v>0</v>
      </c>
      <c r="AL692" s="7">
        <v>0</v>
      </c>
      <c r="AM692" s="7">
        <v>1</v>
      </c>
    </row>
    <row r="693" spans="1:39" ht="14" x14ac:dyDescent="0.15">
      <c r="A693" s="18" t="str">
        <f t="shared" ca="1" si="687"/>
        <v>26_1-4/47&lt;lv50&gt;s1</v>
      </c>
      <c r="B693" s="50">
        <v>26</v>
      </c>
      <c r="C693" s="49">
        <v>1</v>
      </c>
      <c r="D693" s="2" t="str">
        <f t="shared" si="676"/>
        <v>26_1</v>
      </c>
      <c r="E693" s="2" t="str">
        <f t="shared" si="676"/>
        <v>1_26_1</v>
      </c>
      <c r="F693" s="4" t="str">
        <f ca="1">VLOOKUP($D693,OFFSET([1]stages!$A$1,0,0,COUNTA([1]stages!$A:$A),MATCH(F$1,[1]stages!$2:$2,0)-MATCH($D$1,[1]stages!$2:$2,0)+1),MATCH(F$1,[1]stages!$2:$2,0)-MATCH($D$1,[1]stages!$2:$2,0)+1,FALSE)</f>
        <v>26-1．無愛想なフロント</v>
      </c>
      <c r="G693" s="55">
        <v>4</v>
      </c>
      <c r="H693" s="17" t="str">
        <f t="shared" si="677"/>
        <v>26_1-4</v>
      </c>
      <c r="I693" s="17"/>
      <c r="J693" s="17"/>
      <c r="K693" s="65" t="s">
        <v>56</v>
      </c>
      <c r="L693" s="52">
        <v>47</v>
      </c>
      <c r="M693" s="21" t="str">
        <f ca="1">VLOOKUP($L693,OFFSET([2]enemies!$A$1,0,0,COUNTA([2]enemies!$A:$A),MATCH(M$1,[2]enemies!$1:$1,0)-MATCH($L$1,[2]enemies!$1:$1,0)+1),MATCH(M$1,[2]enemies!$1:$1,0)-MATCH($L$1,[2]enemies!$1:$1,0)+1,FALSE)</f>
        <v>ヒロ</v>
      </c>
      <c r="N693" s="21" t="str">
        <f ca="1">VLOOKUP($L693,OFFSET([2]enemies!$A$1,0,0,COUNTA([2]enemies!$A:$A),MATCH(N$1,[2]enemies!$1:$1,0)-MATCH($L$1,[2]enemies!$1:$1,0)+1),MATCH(N$1,[2]enemies!$1:$1,0)-MATCH($L$1,[2]enemies!$1:$1,0)+1,FALSE)</f>
        <v>yellow</v>
      </c>
      <c r="O693" s="21" t="str">
        <f ca="1">VLOOKUP($L693,OFFSET([3]characters!$A$1,0,0,COUNTA([3]characters!$A:$A),MATCH(O$1,[3]characters!$1:$1,0)-MATCH($L$1,[3]characters!$1:$1,0)+1),MATCH(O$1,[3]characters!$1:$1,0)-MATCH($L$1,[3]characters!$1:$1,0)+1,FALSE)</f>
        <v>Drop1N</v>
      </c>
      <c r="P693" s="21" t="str">
        <f ca="1">VLOOKUP($L693,OFFSET([2]enemies!$A$1,0,0,COUNTA([2]enemies!$A:$A),MATCH(P$1,[2]enemies!$1:$1,0)-MATCH($L$1,[2]enemies!$1:$1,0)+1),MATCH(P$1,[2]enemies!$1:$1,0)-MATCH($L$1,[2]enemies!$1:$1,0)+1,FALSE)</f>
        <v>animal</v>
      </c>
      <c r="Q693" s="21">
        <f ca="1">VLOOKUP($L693,OFFSET([2]enemies!$A$1,0,0,COUNTA([2]enemies!$A:$A),MATCH(Q$1,[2]enemies!$1:$1,0)-MATCH($L$1,[2]enemies!$1:$1,0)+1),MATCH(Q$1,[2]enemies!$1:$1,0)-MATCH($L$1,[2]enemies!$1:$1,0)+1,FALSE)</f>
        <v>15</v>
      </c>
      <c r="R693" s="53">
        <v>50</v>
      </c>
      <c r="S693" s="27">
        <v>1</v>
      </c>
      <c r="T693" s="27">
        <v>1</v>
      </c>
      <c r="U693" s="5">
        <v>0</v>
      </c>
      <c r="V693" s="4" t="str">
        <f ca="1">VLOOKUP($W693,OFFSET([4]enemy_skill_sets!$B$1,0,0,COUNTA([4]enemy_skill_sets!$B:$B),MATCH(M$1,[4]enemy_skill_sets!$1:$1,0)-MATCH($W$1,[4]enemy_skill_sets!$1:$1,0)+2),MATCH(M$1,[4]enemy_skill_sets!$1:$1,0)-MATCH($W$1,[4]enemy_skill_sets!$1:$1,0)+2,FALSE)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693" s="4">
        <f ca="1">VLOOKUP($L693,OFFSET([2]enemies!$A$1,0,0,COUNTA([2]enemies!$A:$A),MATCH(W$1,[2]enemies!$1:$1,0)-MATCH($L$1,[2]enemies!$1:$1,0)+1),MATCH(W$1,[2]enemies!$1:$1,0)-MATCH($L$1,[2]enemies!$1:$1,0)+1,FALSE)</f>
        <v>0</v>
      </c>
      <c r="X693" s="6">
        <v>0</v>
      </c>
      <c r="Y693" s="6">
        <v>100</v>
      </c>
      <c r="Z693" s="6">
        <v>0</v>
      </c>
      <c r="AA693" s="4">
        <f ca="1">VLOOKUP($L693,OFFSET([2]enemies!$A$1,0,0,COUNTA([2]enemies!$A:$A),MATCH(AA$1,[2]enemies!$1:$1,0)-MATCH($L$1,[2]enemies!$1:$1,0)+1),MATCH(AA$1,[2]enemies!$1:$1,0)-MATCH($L$1,[2]enemies!$1:$1,0)+1,FALSE)</f>
        <v>1</v>
      </c>
      <c r="AB693" s="52">
        <v>47</v>
      </c>
      <c r="AC693" s="4" t="str">
        <f ca="1">VLOOKUP($AB693,OFFSET([3]characters!$A$1,0,0,COUNTA([3]characters!$A:$A),MATCH(AC$1,[3]characters!$1:$1,0)-MATCH("character_id",[3]characters!$1:$1,0)+1),MATCH(AC$1,[3]characters!$1:$1,0)-MATCH("character_id",[3]characters!$1:$1,0)+1,FALSE)</f>
        <v>ヒロ</v>
      </c>
      <c r="AD693" s="4">
        <f ca="1">VLOOKUP($AB693,OFFSET([3]characters!$A$1,0,0,COUNTA([3]characters!$A:$A),MATCH(AD$1,[3]characters!$1:$1,0)-MATCH("character_id",[3]characters!$1:$1,0)+1),MATCH(AD$1,[3]characters!$1:$1,0)-MATCH("character_id",[3]characters!$1:$1,0)+1,FALSE)</f>
        <v>2</v>
      </c>
      <c r="AE693" s="4" t="str">
        <f ca="1">VLOOKUP($AB693,OFFSET([3]characters!$A$1,0,0,COUNTA([3]characters!$A:$A),MATCH(AE$1,[3]characters!$1:$1,0)-MATCH("character_id",[3]characters!$1:$1,0)+1),MATCH(AE$1,[3]characters!$1:$1,0)-MATCH("character_id",[3]characters!$1:$1,0)+1,FALSE)</f>
        <v>Drop1N</v>
      </c>
      <c r="AF693" s="7">
        <v>7</v>
      </c>
      <c r="AG693" s="26">
        <f t="shared" ca="1" si="666"/>
        <v>2</v>
      </c>
      <c r="AH693" s="8">
        <v>20</v>
      </c>
      <c r="AI693" s="7">
        <v>0</v>
      </c>
      <c r="AJ693" s="7">
        <v>0</v>
      </c>
      <c r="AK693" s="7">
        <v>0</v>
      </c>
      <c r="AL693" s="7">
        <v>0</v>
      </c>
      <c r="AM693" s="7">
        <v>1</v>
      </c>
    </row>
    <row r="694" spans="1:39" ht="14" x14ac:dyDescent="0.15">
      <c r="A694" s="18" t="str">
        <f t="shared" ca="1" si="687"/>
        <v>26_1-4/57&lt;lv50&gt;s2</v>
      </c>
      <c r="B694" s="50">
        <v>26</v>
      </c>
      <c r="C694" s="49">
        <v>1</v>
      </c>
      <c r="D694" s="2" t="str">
        <f t="shared" si="676"/>
        <v>26_1</v>
      </c>
      <c r="E694" s="2" t="str">
        <f t="shared" si="676"/>
        <v>1_26_1</v>
      </c>
      <c r="F694" s="4" t="str">
        <f ca="1">VLOOKUP($D694,OFFSET([1]stages!$A$1,0,0,COUNTA([1]stages!$A:$A),MATCH(F$1,[1]stages!$2:$2,0)-MATCH($D$1,[1]stages!$2:$2,0)+1),MATCH(F$1,[1]stages!$2:$2,0)-MATCH($D$1,[1]stages!$2:$2,0)+1,FALSE)</f>
        <v>26-1．無愛想なフロント</v>
      </c>
      <c r="G694" s="55">
        <v>4</v>
      </c>
      <c r="H694" s="17" t="str">
        <f t="shared" si="677"/>
        <v>26_1-4</v>
      </c>
      <c r="I694" s="17"/>
      <c r="J694" s="17"/>
      <c r="K694" s="65" t="s">
        <v>56</v>
      </c>
      <c r="L694" s="52">
        <v>57</v>
      </c>
      <c r="M694" s="21" t="str">
        <f ca="1">VLOOKUP($L694,OFFSET([2]enemies!$A$1,0,0,COUNTA([2]enemies!$A:$A),MATCH(M$1,[2]enemies!$1:$1,0)-MATCH($L$1,[2]enemies!$1:$1,0)+1),MATCH(M$1,[2]enemies!$1:$1,0)-MATCH($L$1,[2]enemies!$1:$1,0)+1,FALSE)</f>
        <v>チェン・リー</v>
      </c>
      <c r="N694" s="21" t="str">
        <f ca="1">VLOOKUP($L694,OFFSET([2]enemies!$A$1,0,0,COUNTA([2]enemies!$A:$A),MATCH(N$1,[2]enemies!$1:$1,0)-MATCH($L$1,[2]enemies!$1:$1,0)+1),MATCH(N$1,[2]enemies!$1:$1,0)-MATCH($L$1,[2]enemies!$1:$1,0)+1,FALSE)</f>
        <v>red</v>
      </c>
      <c r="O694" s="21" t="str">
        <f ca="1">VLOOKUP($L694,OFFSET([3]characters!$A$1,0,0,COUNTA([3]characters!$A:$A),MATCH(O$1,[3]characters!$1:$1,0)-MATCH($L$1,[3]characters!$1:$1,0)+1),MATCH(O$1,[3]characters!$1:$1,0)-MATCH($L$1,[3]characters!$1:$1,0)+1,FALSE)</f>
        <v>Drop1N</v>
      </c>
      <c r="P694" s="21" t="str">
        <f ca="1">VLOOKUP($L694,OFFSET([2]enemies!$A$1,0,0,COUNTA([2]enemies!$A:$A),MATCH(P$1,[2]enemies!$1:$1,0)-MATCH($L$1,[2]enemies!$1:$1,0)+1),MATCH(P$1,[2]enemies!$1:$1,0)-MATCH($L$1,[2]enemies!$1:$1,0)+1,FALSE)</f>
        <v>animal</v>
      </c>
      <c r="Q694" s="21">
        <f ca="1">VLOOKUP($L694,OFFSET([2]enemies!$A$1,0,0,COUNTA([2]enemies!$A:$A),MATCH(Q$1,[2]enemies!$1:$1,0)-MATCH($L$1,[2]enemies!$1:$1,0)+1),MATCH(Q$1,[2]enemies!$1:$1,0)-MATCH($L$1,[2]enemies!$1:$1,0)+1,FALSE)</f>
        <v>15</v>
      </c>
      <c r="R694" s="53">
        <v>50</v>
      </c>
      <c r="S694" s="27">
        <v>1</v>
      </c>
      <c r="T694" s="27">
        <v>1</v>
      </c>
      <c r="U694" s="5">
        <v>0</v>
      </c>
      <c r="V694" s="4" t="str">
        <f ca="1">VLOOKUP($W694,OFFSET([4]enemy_skill_sets!$B$1,0,0,COUNTA([4]enemy_skill_sets!$B:$B),MATCH(M$1,[4]enemy_skill_sets!$1:$1,0)-MATCH($W$1,[4]enemy_skill_sets!$1:$1,0)+2),MATCH(M$1,[4]enemy_skill_sets!$1:$1,0)-MATCH($W$1,[4]enemy_skill_sets!$1:$1,0)+2,FALSE)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694" s="4">
        <f ca="1">VLOOKUP($L694,OFFSET([2]enemies!$A$1,0,0,COUNTA([2]enemies!$A:$A),MATCH(W$1,[2]enemies!$1:$1,0)-MATCH($L$1,[2]enemies!$1:$1,0)+1),MATCH(W$1,[2]enemies!$1:$1,0)-MATCH($L$1,[2]enemies!$1:$1,0)+1,FALSE)</f>
        <v>57</v>
      </c>
      <c r="X694" s="6">
        <v>0</v>
      </c>
      <c r="Y694" s="6">
        <v>100</v>
      </c>
      <c r="Z694" s="6">
        <v>0</v>
      </c>
      <c r="AA694" s="4">
        <f ca="1">VLOOKUP($L694,OFFSET([2]enemies!$A$1,0,0,COUNTA([2]enemies!$A:$A),MATCH(AA$1,[2]enemies!$1:$1,0)-MATCH($L$1,[2]enemies!$1:$1,0)+1),MATCH(AA$1,[2]enemies!$1:$1,0)-MATCH($L$1,[2]enemies!$1:$1,0)+1,FALSE)</f>
        <v>2</v>
      </c>
      <c r="AB694" s="52">
        <v>57</v>
      </c>
      <c r="AC694" s="4" t="str">
        <f ca="1">VLOOKUP($AB694,OFFSET([3]characters!$A$1,0,0,COUNTA([3]characters!$A:$A),MATCH(AC$1,[3]characters!$1:$1,0)-MATCH("character_id",[3]characters!$1:$1,0)+1),MATCH(AC$1,[3]characters!$1:$1,0)-MATCH("character_id",[3]characters!$1:$1,0)+1,FALSE)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694" s="4">
        <f ca="1">VLOOKUP($AB694,OFFSET([3]characters!$A$1,0,0,COUNTA([3]characters!$A:$A),MATCH(AD$1,[3]characters!$1:$1,0)-MATCH("character_id",[3]characters!$1:$1,0)+1),MATCH(AD$1,[3]characters!$1:$1,0)-MATCH("character_id",[3]characters!$1:$1,0)+1,FALSE)</f>
        <v>2</v>
      </c>
      <c r="AE694" s="4" t="str">
        <f ca="1">VLOOKUP($AB694,OFFSET([3]characters!$A$1,0,0,COUNTA([3]characters!$A:$A),MATCH(AE$1,[3]characters!$1:$1,0)-MATCH("character_id",[3]characters!$1:$1,0)+1),MATCH(AE$1,[3]characters!$1:$1,0)-MATCH("character_id",[3]characters!$1:$1,0)+1,FALSE)</f>
        <v>Drop1N</v>
      </c>
      <c r="AF694" s="7">
        <v>7</v>
      </c>
      <c r="AG694" s="26">
        <f t="shared" ca="1" si="666"/>
        <v>2</v>
      </c>
      <c r="AH694" s="8">
        <v>20</v>
      </c>
      <c r="AI694" s="7">
        <v>0</v>
      </c>
      <c r="AJ694" s="7">
        <v>0</v>
      </c>
      <c r="AK694" s="7">
        <v>0</v>
      </c>
      <c r="AL694" s="7">
        <v>0</v>
      </c>
      <c r="AM694" s="7">
        <v>1</v>
      </c>
    </row>
    <row r="695" spans="1:39" ht="14" x14ac:dyDescent="0.15">
      <c r="A695" s="18" t="str">
        <f t="shared" ca="1" si="687"/>
        <v>26_1-4/59&lt;lv50&gt;s2</v>
      </c>
      <c r="B695" s="50">
        <v>26</v>
      </c>
      <c r="C695" s="49">
        <v>1</v>
      </c>
      <c r="D695" s="2" t="str">
        <f t="shared" si="676"/>
        <v>26_1</v>
      </c>
      <c r="E695" s="2" t="str">
        <f t="shared" si="676"/>
        <v>1_26_1</v>
      </c>
      <c r="F695" s="4" t="str">
        <f ca="1">VLOOKUP($D695,OFFSET([1]stages!$A$1,0,0,COUNTA([1]stages!$A:$A),MATCH(F$1,[1]stages!$2:$2,0)-MATCH($D$1,[1]stages!$2:$2,0)+1),MATCH(F$1,[1]stages!$2:$2,0)-MATCH($D$1,[1]stages!$2:$2,0)+1,FALSE)</f>
        <v>26-1．無愛想なフロント</v>
      </c>
      <c r="G695" s="55">
        <v>4</v>
      </c>
      <c r="H695" s="17" t="str">
        <f t="shared" si="677"/>
        <v>26_1-4</v>
      </c>
      <c r="I695" s="17"/>
      <c r="J695" s="17"/>
      <c r="K695" s="65" t="s">
        <v>56</v>
      </c>
      <c r="L695" s="52">
        <v>59</v>
      </c>
      <c r="M695" s="21" t="str">
        <f ca="1">VLOOKUP($L695,OFFSET([2]enemies!$A$1,0,0,COUNTA([2]enemies!$A:$A),MATCH(M$1,[2]enemies!$1:$1,0)-MATCH($L$1,[2]enemies!$1:$1,0)+1),MATCH(M$1,[2]enemies!$1:$1,0)-MATCH($L$1,[2]enemies!$1:$1,0)+1,FALSE)</f>
        <v>マーチ</v>
      </c>
      <c r="N695" s="21" t="str">
        <f ca="1">VLOOKUP($L695,OFFSET([2]enemies!$A$1,0,0,COUNTA([2]enemies!$A:$A),MATCH(N$1,[2]enemies!$1:$1,0)-MATCH($L$1,[2]enemies!$1:$1,0)+1),MATCH(N$1,[2]enemies!$1:$1,0)-MATCH($L$1,[2]enemies!$1:$1,0)+1,FALSE)</f>
        <v>green</v>
      </c>
      <c r="O695" s="21" t="str">
        <f ca="1">VLOOKUP($L695,OFFSET([3]characters!$A$1,0,0,COUNTA([3]characters!$A:$A),MATCH(O$1,[3]characters!$1:$1,0)-MATCH($L$1,[3]characters!$1:$1,0)+1),MATCH(O$1,[3]characters!$1:$1,0)-MATCH($L$1,[3]characters!$1:$1,0)+1,FALSE)</f>
        <v>Drop1N</v>
      </c>
      <c r="P695" s="21" t="str">
        <f ca="1">VLOOKUP($L695,OFFSET([2]enemies!$A$1,0,0,COUNTA([2]enemies!$A:$A),MATCH(P$1,[2]enemies!$1:$1,0)-MATCH($L$1,[2]enemies!$1:$1,0)+1),MATCH(P$1,[2]enemies!$1:$1,0)-MATCH($L$1,[2]enemies!$1:$1,0)+1,FALSE)</f>
        <v>animal</v>
      </c>
      <c r="Q695" s="21">
        <f ca="1">VLOOKUP($L695,OFFSET([2]enemies!$A$1,0,0,COUNTA([2]enemies!$A:$A),MATCH(Q$1,[2]enemies!$1:$1,0)-MATCH($L$1,[2]enemies!$1:$1,0)+1),MATCH(Q$1,[2]enemies!$1:$1,0)-MATCH($L$1,[2]enemies!$1:$1,0)+1,FALSE)</f>
        <v>15</v>
      </c>
      <c r="R695" s="53">
        <v>50</v>
      </c>
      <c r="S695" s="27">
        <v>1</v>
      </c>
      <c r="T695" s="27">
        <v>1</v>
      </c>
      <c r="U695" s="5">
        <v>0</v>
      </c>
      <c r="V695" s="4" t="str">
        <f ca="1">VLOOKUP($W695,OFFSET([4]enemy_skill_sets!$B$1,0,0,COUNTA([4]enemy_skill_sets!$B:$B),MATCH(M$1,[4]enemy_skill_sets!$1:$1,0)-MATCH($W$1,[4]enemy_skill_sets!$1:$1,0)+2),MATCH(M$1,[4]enemy_skill_sets!$1:$1,0)-MATCH($W$1,[4]enemy_skill_sets!$1:$1,0)+2,FALSE)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95" s="4">
        <f ca="1">VLOOKUP($L695,OFFSET([2]enemies!$A$1,0,0,COUNTA([2]enemies!$A:$A),MATCH(W$1,[2]enemies!$1:$1,0)-MATCH($L$1,[2]enemies!$1:$1,0)+1),MATCH(W$1,[2]enemies!$1:$1,0)-MATCH($L$1,[2]enemies!$1:$1,0)+1,FALSE)</f>
        <v>59</v>
      </c>
      <c r="X695" s="6">
        <v>0</v>
      </c>
      <c r="Y695" s="6">
        <v>100</v>
      </c>
      <c r="Z695" s="6">
        <v>0</v>
      </c>
      <c r="AA695" s="4">
        <f ca="1">VLOOKUP($L695,OFFSET([2]enemies!$A$1,0,0,COUNTA([2]enemies!$A:$A),MATCH(AA$1,[2]enemies!$1:$1,0)-MATCH($L$1,[2]enemies!$1:$1,0)+1),MATCH(AA$1,[2]enemies!$1:$1,0)-MATCH($L$1,[2]enemies!$1:$1,0)+1,FALSE)</f>
        <v>2</v>
      </c>
      <c r="AB695" s="52">
        <v>59</v>
      </c>
      <c r="AC695" s="4" t="str">
        <f ca="1">VLOOKUP($AB695,OFFSET([3]characters!$A$1,0,0,COUNTA([3]characters!$A:$A),MATCH(AC$1,[3]characters!$1:$1,0)-MATCH("character_id",[3]characters!$1:$1,0)+1),MATCH(AC$1,[3]characters!$1:$1,0)-MATCH("character_id",[3]characters!$1:$1,0)+1,FALSE)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695" s="4">
        <f ca="1">VLOOKUP($AB695,OFFSET([3]characters!$A$1,0,0,COUNTA([3]characters!$A:$A),MATCH(AD$1,[3]characters!$1:$1,0)-MATCH("character_id",[3]characters!$1:$1,0)+1),MATCH(AD$1,[3]characters!$1:$1,0)-MATCH("character_id",[3]characters!$1:$1,0)+1,FALSE)</f>
        <v>2</v>
      </c>
      <c r="AE695" s="4" t="str">
        <f ca="1">VLOOKUP($AB695,OFFSET([3]characters!$A$1,0,0,COUNTA([3]characters!$A:$A),MATCH(AE$1,[3]characters!$1:$1,0)-MATCH("character_id",[3]characters!$1:$1,0)+1),MATCH(AE$1,[3]characters!$1:$1,0)-MATCH("character_id",[3]characters!$1:$1,0)+1,FALSE)</f>
        <v>Drop1N</v>
      </c>
      <c r="AF695" s="7">
        <v>7</v>
      </c>
      <c r="AG695" s="26">
        <f t="shared" ca="1" si="666"/>
        <v>2</v>
      </c>
      <c r="AH695" s="8">
        <v>20</v>
      </c>
      <c r="AI695" s="7">
        <v>0</v>
      </c>
      <c r="AJ695" s="7">
        <v>0</v>
      </c>
      <c r="AK695" s="7">
        <v>0</v>
      </c>
      <c r="AL695" s="7">
        <v>0</v>
      </c>
      <c r="AM695" s="7">
        <v>1</v>
      </c>
    </row>
    <row r="696" spans="1:39" ht="14" x14ac:dyDescent="0.15">
      <c r="A696" s="18" t="str">
        <f t="shared" ca="1" si="687"/>
        <v>26_1-4/61&lt;lv50&gt;s2</v>
      </c>
      <c r="B696" s="50">
        <v>26</v>
      </c>
      <c r="C696" s="49">
        <v>1</v>
      </c>
      <c r="D696" s="2" t="str">
        <f t="shared" si="676"/>
        <v>26_1</v>
      </c>
      <c r="E696" s="2" t="str">
        <f t="shared" si="676"/>
        <v>1_26_1</v>
      </c>
      <c r="F696" s="4" t="str">
        <f ca="1">VLOOKUP($D696,OFFSET([1]stages!$A$1,0,0,COUNTA([1]stages!$A:$A),MATCH(F$1,[1]stages!$2:$2,0)-MATCH($D$1,[1]stages!$2:$2,0)+1),MATCH(F$1,[1]stages!$2:$2,0)-MATCH($D$1,[1]stages!$2:$2,0)+1,FALSE)</f>
        <v>26-1．無愛想なフロント</v>
      </c>
      <c r="G696" s="55">
        <v>4</v>
      </c>
      <c r="H696" s="17" t="str">
        <f t="shared" si="677"/>
        <v>26_1-4</v>
      </c>
      <c r="I696" s="17"/>
      <c r="J696" s="17"/>
      <c r="K696" s="65" t="s">
        <v>56</v>
      </c>
      <c r="L696" s="52">
        <v>61</v>
      </c>
      <c r="M696" s="21" t="str">
        <f ca="1">VLOOKUP($L696,OFFSET([2]enemies!$A$1,0,0,COUNTA([2]enemies!$A:$A),MATCH(M$1,[2]enemies!$1:$1,0)-MATCH($L$1,[2]enemies!$1:$1,0)+1),MATCH(M$1,[2]enemies!$1:$1,0)-MATCH($L$1,[2]enemies!$1:$1,0)+1,FALSE)</f>
        <v>クロウ</v>
      </c>
      <c r="N696" s="21" t="str">
        <f ca="1">VLOOKUP($L696,OFFSET([2]enemies!$A$1,0,0,COUNTA([2]enemies!$A:$A),MATCH(N$1,[2]enemies!$1:$1,0)-MATCH($L$1,[2]enemies!$1:$1,0)+1),MATCH(N$1,[2]enemies!$1:$1,0)-MATCH($L$1,[2]enemies!$1:$1,0)+1,FALSE)</f>
        <v>blue</v>
      </c>
      <c r="O696" s="21" t="str">
        <f ca="1">VLOOKUP($L696,OFFSET([3]characters!$A$1,0,0,COUNTA([3]characters!$A:$A),MATCH(O$1,[3]characters!$1:$1,0)-MATCH($L$1,[3]characters!$1:$1,0)+1),MATCH(O$1,[3]characters!$1:$1,0)-MATCH($L$1,[3]characters!$1:$1,0)+1,FALSE)</f>
        <v>Drop1N</v>
      </c>
      <c r="P696" s="21" t="str">
        <f ca="1">VLOOKUP($L696,OFFSET([2]enemies!$A$1,0,0,COUNTA([2]enemies!$A:$A),MATCH(P$1,[2]enemies!$1:$1,0)-MATCH($L$1,[2]enemies!$1:$1,0)+1),MATCH(P$1,[2]enemies!$1:$1,0)-MATCH($L$1,[2]enemies!$1:$1,0)+1,FALSE)</f>
        <v>animal</v>
      </c>
      <c r="Q696" s="21">
        <f ca="1">VLOOKUP($L696,OFFSET([2]enemies!$A$1,0,0,COUNTA([2]enemies!$A:$A),MATCH(Q$1,[2]enemies!$1:$1,0)-MATCH($L$1,[2]enemies!$1:$1,0)+1),MATCH(Q$1,[2]enemies!$1:$1,0)-MATCH($L$1,[2]enemies!$1:$1,0)+1,FALSE)</f>
        <v>15</v>
      </c>
      <c r="R696" s="53">
        <v>50</v>
      </c>
      <c r="S696" s="27">
        <v>1</v>
      </c>
      <c r="T696" s="27">
        <v>1</v>
      </c>
      <c r="U696" s="5">
        <v>0</v>
      </c>
      <c r="V696" s="4" t="str">
        <f ca="1">VLOOKUP($W696,OFFSET([4]enemy_skill_sets!$B$1,0,0,COUNTA([4]enemy_skill_sets!$B:$B),MATCH(M$1,[4]enemy_skill_sets!$1:$1,0)-MATCH($W$1,[4]enemy_skill_sets!$1:$1,0)+2),MATCH(M$1,[4]enemy_skill_sets!$1:$1,0)-MATCH($W$1,[4]enemy_skill_sets!$1:$1,0)+2,FALSE)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696" s="4">
        <f ca="1">VLOOKUP($L696,OFFSET([2]enemies!$A$1,0,0,COUNTA([2]enemies!$A:$A),MATCH(W$1,[2]enemies!$1:$1,0)-MATCH($L$1,[2]enemies!$1:$1,0)+1),MATCH(W$1,[2]enemies!$1:$1,0)-MATCH($L$1,[2]enemies!$1:$1,0)+1,FALSE)</f>
        <v>61</v>
      </c>
      <c r="X696" s="6">
        <v>0</v>
      </c>
      <c r="Y696" s="6">
        <v>100</v>
      </c>
      <c r="Z696" s="6">
        <v>0</v>
      </c>
      <c r="AA696" s="4">
        <f ca="1">VLOOKUP($L696,OFFSET([2]enemies!$A$1,0,0,COUNTA([2]enemies!$A:$A),MATCH(AA$1,[2]enemies!$1:$1,0)-MATCH($L$1,[2]enemies!$1:$1,0)+1),MATCH(AA$1,[2]enemies!$1:$1,0)-MATCH($L$1,[2]enemies!$1:$1,0)+1,FALSE)</f>
        <v>2</v>
      </c>
      <c r="AB696" s="52">
        <v>61</v>
      </c>
      <c r="AC696" s="4" t="str">
        <f ca="1">VLOOKUP($AB696,OFFSET([3]characters!$A$1,0,0,COUNTA([3]characters!$A:$A),MATCH(AC$1,[3]characters!$1:$1,0)-MATCH("character_id",[3]characters!$1:$1,0)+1),MATCH(AC$1,[3]characters!$1:$1,0)-MATCH("character_id",[3]characters!$1:$1,0)+1,FALSE)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696" s="4">
        <f ca="1">VLOOKUP($AB696,OFFSET([3]characters!$A$1,0,0,COUNTA([3]characters!$A:$A),MATCH(AD$1,[3]characters!$1:$1,0)-MATCH("character_id",[3]characters!$1:$1,0)+1),MATCH(AD$1,[3]characters!$1:$1,0)-MATCH("character_id",[3]characters!$1:$1,0)+1,FALSE)</f>
        <v>2</v>
      </c>
      <c r="AE696" s="4" t="str">
        <f ca="1">VLOOKUP($AB696,OFFSET([3]characters!$A$1,0,0,COUNTA([3]characters!$A:$A),MATCH(AE$1,[3]characters!$1:$1,0)-MATCH("character_id",[3]characters!$1:$1,0)+1),MATCH(AE$1,[3]characters!$1:$1,0)-MATCH("character_id",[3]characters!$1:$1,0)+1,FALSE)</f>
        <v>Drop1N</v>
      </c>
      <c r="AF696" s="7">
        <v>7</v>
      </c>
      <c r="AG696" s="26">
        <f t="shared" ca="1" si="666"/>
        <v>2</v>
      </c>
      <c r="AH696" s="8">
        <v>20</v>
      </c>
      <c r="AI696" s="7">
        <v>0</v>
      </c>
      <c r="AJ696" s="7">
        <v>0</v>
      </c>
      <c r="AK696" s="7">
        <v>0</v>
      </c>
      <c r="AL696" s="7">
        <v>0</v>
      </c>
      <c r="AM696" s="7">
        <v>1</v>
      </c>
    </row>
    <row r="697" spans="1:39" ht="14" x14ac:dyDescent="0.15">
      <c r="A697" s="18" t="str">
        <f t="shared" ca="1" si="687"/>
        <v>26_1-4/63&lt;lv50&gt;s2</v>
      </c>
      <c r="B697" s="50">
        <v>26</v>
      </c>
      <c r="C697" s="49">
        <v>1</v>
      </c>
      <c r="D697" s="2" t="str">
        <f t="shared" si="676"/>
        <v>26_1</v>
      </c>
      <c r="E697" s="2" t="str">
        <f t="shared" si="676"/>
        <v>1_26_1</v>
      </c>
      <c r="F697" s="4" t="str">
        <f ca="1">VLOOKUP($D697,OFFSET([1]stages!$A$1,0,0,COUNTA([1]stages!$A:$A),MATCH(F$1,[1]stages!$2:$2,0)-MATCH($D$1,[1]stages!$2:$2,0)+1),MATCH(F$1,[1]stages!$2:$2,0)-MATCH($D$1,[1]stages!$2:$2,0)+1,FALSE)</f>
        <v>26-1．無愛想なフロント</v>
      </c>
      <c r="G697" s="55">
        <v>4</v>
      </c>
      <c r="H697" s="17" t="str">
        <f t="shared" si="677"/>
        <v>26_1-4</v>
      </c>
      <c r="I697" s="17"/>
      <c r="J697" s="17"/>
      <c r="K697" s="65" t="s">
        <v>56</v>
      </c>
      <c r="L697" s="52">
        <v>63</v>
      </c>
      <c r="M697" s="21" t="str">
        <f ca="1">VLOOKUP($L697,OFFSET([2]enemies!$A$1,0,0,COUNTA([2]enemies!$A:$A),MATCH(M$1,[2]enemies!$1:$1,0)-MATCH($L$1,[2]enemies!$1:$1,0)+1),MATCH(M$1,[2]enemies!$1:$1,0)-MATCH($L$1,[2]enemies!$1:$1,0)+1,FALSE)</f>
        <v>トニー</v>
      </c>
      <c r="N697" s="21" t="str">
        <f ca="1">VLOOKUP($L697,OFFSET([2]enemies!$A$1,0,0,COUNTA([2]enemies!$A:$A),MATCH(N$1,[2]enemies!$1:$1,0)-MATCH($L$1,[2]enemies!$1:$1,0)+1),MATCH(N$1,[2]enemies!$1:$1,0)-MATCH($L$1,[2]enemies!$1:$1,0)+1,FALSE)</f>
        <v>yellow</v>
      </c>
      <c r="O697" s="21" t="str">
        <f ca="1">VLOOKUP($L697,OFFSET([3]characters!$A$1,0,0,COUNTA([3]characters!$A:$A),MATCH(O$1,[3]characters!$1:$1,0)-MATCH($L$1,[3]characters!$1:$1,0)+1),MATCH(O$1,[3]characters!$1:$1,0)-MATCH($L$1,[3]characters!$1:$1,0)+1,FALSE)</f>
        <v>Drop1N</v>
      </c>
      <c r="P697" s="21" t="str">
        <f ca="1">VLOOKUP($L697,OFFSET([2]enemies!$A$1,0,0,COUNTA([2]enemies!$A:$A),MATCH(P$1,[2]enemies!$1:$1,0)-MATCH($L$1,[2]enemies!$1:$1,0)+1),MATCH(P$1,[2]enemies!$1:$1,0)-MATCH($L$1,[2]enemies!$1:$1,0)+1,FALSE)</f>
        <v>animal</v>
      </c>
      <c r="Q697" s="21">
        <f ca="1">VLOOKUP($L697,OFFSET([2]enemies!$A$1,0,0,COUNTA([2]enemies!$A:$A),MATCH(Q$1,[2]enemies!$1:$1,0)-MATCH($L$1,[2]enemies!$1:$1,0)+1),MATCH(Q$1,[2]enemies!$1:$1,0)-MATCH($L$1,[2]enemies!$1:$1,0)+1,FALSE)</f>
        <v>15</v>
      </c>
      <c r="R697" s="53">
        <v>50</v>
      </c>
      <c r="S697" s="27">
        <v>1</v>
      </c>
      <c r="T697" s="27">
        <v>1</v>
      </c>
      <c r="U697" s="5">
        <v>0</v>
      </c>
      <c r="V697" s="4" t="str">
        <f ca="1">VLOOKUP($W697,OFFSET([4]enemy_skill_sets!$B$1,0,0,COUNTA([4]enemy_skill_sets!$B:$B),MATCH(M$1,[4]enemy_skill_sets!$1:$1,0)-MATCH($W$1,[4]enemy_skill_sets!$1:$1,0)+2),MATCH(M$1,[4]enemy_skill_sets!$1:$1,0)-MATCH($W$1,[4]enemy_skill_sets!$1:$1,0)+2,FALSE)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697" s="4">
        <f ca="1">VLOOKUP($L697,OFFSET([2]enemies!$A$1,0,0,COUNTA([2]enemies!$A:$A),MATCH(W$1,[2]enemies!$1:$1,0)-MATCH($L$1,[2]enemies!$1:$1,0)+1),MATCH(W$1,[2]enemies!$1:$1,0)-MATCH($L$1,[2]enemies!$1:$1,0)+1,FALSE)</f>
        <v>63</v>
      </c>
      <c r="X697" s="6">
        <v>0</v>
      </c>
      <c r="Y697" s="6">
        <v>100</v>
      </c>
      <c r="Z697" s="6">
        <v>0</v>
      </c>
      <c r="AA697" s="4">
        <f ca="1">VLOOKUP($L697,OFFSET([2]enemies!$A$1,0,0,COUNTA([2]enemies!$A:$A),MATCH(AA$1,[2]enemies!$1:$1,0)-MATCH($L$1,[2]enemies!$1:$1,0)+1),MATCH(AA$1,[2]enemies!$1:$1,0)-MATCH($L$1,[2]enemies!$1:$1,0)+1,FALSE)</f>
        <v>2</v>
      </c>
      <c r="AB697" s="52">
        <v>63</v>
      </c>
      <c r="AC697" s="4" t="str">
        <f ca="1">VLOOKUP($AB697,OFFSET([3]characters!$A$1,0,0,COUNTA([3]characters!$A:$A),MATCH(AC$1,[3]characters!$1:$1,0)-MATCH("character_id",[3]characters!$1:$1,0)+1),MATCH(AC$1,[3]characters!$1:$1,0)-MATCH("character_id",[3]characters!$1:$1,0)+1,FALSE)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697" s="4">
        <f ca="1">VLOOKUP($AB697,OFFSET([3]characters!$A$1,0,0,COUNTA([3]characters!$A:$A),MATCH(AD$1,[3]characters!$1:$1,0)-MATCH("character_id",[3]characters!$1:$1,0)+1),MATCH(AD$1,[3]characters!$1:$1,0)-MATCH("character_id",[3]characters!$1:$1,0)+1,FALSE)</f>
        <v>2</v>
      </c>
      <c r="AE697" s="4" t="str">
        <f ca="1">VLOOKUP($AB697,OFFSET([3]characters!$A$1,0,0,COUNTA([3]characters!$A:$A),MATCH(AE$1,[3]characters!$1:$1,0)-MATCH("character_id",[3]characters!$1:$1,0)+1),MATCH(AE$1,[3]characters!$1:$1,0)-MATCH("character_id",[3]characters!$1:$1,0)+1,FALSE)</f>
        <v>Drop1N</v>
      </c>
      <c r="AF697" s="7">
        <v>7</v>
      </c>
      <c r="AG697" s="26">
        <f t="shared" ca="1" si="666"/>
        <v>2</v>
      </c>
      <c r="AH697" s="8">
        <v>20</v>
      </c>
      <c r="AI697" s="7">
        <v>0</v>
      </c>
      <c r="AJ697" s="7">
        <v>0</v>
      </c>
      <c r="AK697" s="7">
        <v>0</v>
      </c>
      <c r="AL697" s="7">
        <v>0</v>
      </c>
      <c r="AM697" s="7">
        <v>1</v>
      </c>
    </row>
    <row r="698" spans="1:39" ht="14" x14ac:dyDescent="0.15">
      <c r="A698" s="18" t="str">
        <f t="shared" ca="1" si="687"/>
        <v>26_1-4/360&lt;lv50&gt;s3</v>
      </c>
      <c r="B698" s="53">
        <v>26</v>
      </c>
      <c r="C698" s="51">
        <v>1</v>
      </c>
      <c r="D698" s="2" t="str">
        <f t="shared" ref="D698:D701" si="694">B698&amp;"_"&amp;C698</f>
        <v>26_1</v>
      </c>
      <c r="E698" s="2" t="str">
        <f t="shared" ref="E698:E701" si="695">C698&amp;"_"&amp;D698</f>
        <v>1_26_1</v>
      </c>
      <c r="F698" s="4" t="str">
        <f ca="1">VLOOKUP($D698,OFFSET([1]stages!$A$1,0,0,COUNTA([1]stages!$A:$A),MATCH(F$1,[1]stages!$2:$2,0)-MATCH($D$1,[1]stages!$2:$2,0)+1),MATCH(F$1,[1]stages!$2:$2,0)-MATCH($D$1,[1]stages!$2:$2,0)+1,FALSE)</f>
        <v>26-1．無愛想なフロント</v>
      </c>
      <c r="G698" s="55">
        <v>4</v>
      </c>
      <c r="H698" s="17" t="str">
        <f t="shared" ref="H698:H701" si="696">B698&amp;"_"&amp;C698&amp;"-"&amp;G698</f>
        <v>26_1-4</v>
      </c>
      <c r="I698" s="17"/>
      <c r="J698" s="17"/>
      <c r="K698" s="65" t="s">
        <v>56</v>
      </c>
      <c r="L698" s="52">
        <v>360</v>
      </c>
      <c r="M698" s="21" t="str">
        <f ca="1">VLOOKUP($L698,OFFSET([2]enemies!$A$1,0,0,COUNTA([2]enemies!$A:$A),MATCH(M$1,[2]enemies!$1:$1,0)-MATCH($L$1,[2]enemies!$1:$1,0)+1),MATCH(M$1,[2]enemies!$1:$1,0)-MATCH($L$1,[2]enemies!$1:$1,0)+1,FALSE)</f>
        <v>ガンテツ</v>
      </c>
      <c r="N698" s="21" t="str">
        <f ca="1">VLOOKUP($L698,OFFSET([2]enemies!$A$1,0,0,COUNTA([2]enemies!$A:$A),MATCH(N$1,[2]enemies!$1:$1,0)-MATCH($L$1,[2]enemies!$1:$1,0)+1),MATCH(N$1,[2]enemies!$1:$1,0)-MATCH($L$1,[2]enemies!$1:$1,0)+1,FALSE)</f>
        <v>red</v>
      </c>
      <c r="O698" s="21" t="str">
        <f ca="1">VLOOKUP($L698,OFFSET([3]characters!$A$1,0,0,COUNTA([3]characters!$A:$A),MATCH(O$1,[3]characters!$1:$1,0)-MATCH($L$1,[3]characters!$1:$1,0)+1),MATCH(O$1,[3]characters!$1:$1,0)-MATCH($L$1,[3]characters!$1:$1,0)+1,FALSE)</f>
        <v>Drop1S</v>
      </c>
      <c r="P698" s="21" t="str">
        <f ca="1">VLOOKUP($L698,OFFSET([2]enemies!$A$1,0,0,COUNTA([2]enemies!$A:$A),MATCH(P$1,[2]enemies!$1:$1,0)-MATCH($L$1,[2]enemies!$1:$1,0)+1),MATCH(P$1,[2]enemies!$1:$1,0)-MATCH($L$1,[2]enemies!$1:$1,0)+1,FALSE)</f>
        <v>animal</v>
      </c>
      <c r="Q698" s="21">
        <f ca="1">VLOOKUP($L698,OFFSET([2]enemies!$A$1,0,0,COUNTA([2]enemies!$A:$A),MATCH(Q$1,[2]enemies!$1:$1,0)-MATCH($L$1,[2]enemies!$1:$1,0)+1),MATCH(Q$1,[2]enemies!$1:$1,0)-MATCH($L$1,[2]enemies!$1:$1,0)+1,FALSE)</f>
        <v>15</v>
      </c>
      <c r="R698" s="53">
        <v>50</v>
      </c>
      <c r="S698" s="27">
        <v>1</v>
      </c>
      <c r="T698" s="27">
        <v>1</v>
      </c>
      <c r="U698" s="5">
        <v>0</v>
      </c>
      <c r="V698" s="4" t="str">
        <f ca="1">VLOOKUP($W698,OFFSET([4]enemy_skill_sets!$B$1,0,0,COUNTA([4]enemy_skill_sets!$B:$B),MATCH(M$1,[4]enemy_skill_sets!$1:$1,0)-MATCH($W$1,[4]enemy_skill_sets!$1:$1,0)+2),MATCH(M$1,[4]enemy_skill_sets!$1:$1,0)-MATCH($W$1,[4]enemy_skill_sets!$1:$1,0)+2,FALSE)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698" s="76">
        <v>360</v>
      </c>
      <c r="X698" s="6">
        <v>0</v>
      </c>
      <c r="Y698" s="6">
        <v>100</v>
      </c>
      <c r="Z698" s="6">
        <v>0</v>
      </c>
      <c r="AA698" s="4">
        <f ca="1">VLOOKUP($L698,OFFSET([2]enemies!$A$1,0,0,COUNTA([2]enemies!$A:$A),MATCH(AA$1,[2]enemies!$1:$1,0)-MATCH($L$1,[2]enemies!$1:$1,0)+1),MATCH(AA$1,[2]enemies!$1:$1,0)-MATCH($L$1,[2]enemies!$1:$1,0)+1,FALSE)</f>
        <v>3</v>
      </c>
      <c r="AB698" s="52">
        <v>360</v>
      </c>
      <c r="AC698" s="4" t="str">
        <f ca="1">VLOOKUP($AB698,OFFSET([3]characters!$A$1,0,0,COUNTA([3]characters!$A:$A),MATCH(AC$1,[3]characters!$1:$1,0)-MATCH("character_id",[3]characters!$1:$1,0)+1),MATCH(AC$1,[3]characters!$1:$1,0)-MATCH("character_id",[3]characters!$1:$1,0)+1,FALSE)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698" s="4">
        <f ca="1">VLOOKUP($AB698,OFFSET([3]characters!$A$1,0,0,COUNTA([3]characters!$A:$A),MATCH(AD$1,[3]characters!$1:$1,0)-MATCH("character_id",[3]characters!$1:$1,0)+1),MATCH(AD$1,[3]characters!$1:$1,0)-MATCH("character_id",[3]characters!$1:$1,0)+1,FALSE)</f>
        <v>2</v>
      </c>
      <c r="AE698" s="4" t="str">
        <f ca="1">VLOOKUP($AB698,OFFSET([3]characters!$A$1,0,0,COUNTA([3]characters!$A:$A),MATCH(AE$1,[3]characters!$1:$1,0)-MATCH("character_id",[3]characters!$1:$1,0)+1),MATCH(AE$1,[3]characters!$1:$1,0)-MATCH("character_id",[3]characters!$1:$1,0)+1,FALSE)</f>
        <v>Drop1S</v>
      </c>
      <c r="AF698" s="7">
        <v>7</v>
      </c>
      <c r="AG698" s="26">
        <f t="shared" ca="1" si="666"/>
        <v>2</v>
      </c>
      <c r="AH698" s="8">
        <v>20</v>
      </c>
      <c r="AI698" s="7">
        <v>0</v>
      </c>
      <c r="AJ698" s="7">
        <v>0</v>
      </c>
      <c r="AK698" s="7">
        <v>0</v>
      </c>
      <c r="AL698" s="7">
        <v>0</v>
      </c>
      <c r="AM698" s="7">
        <v>1</v>
      </c>
    </row>
    <row r="699" spans="1:39" ht="14" x14ac:dyDescent="0.15">
      <c r="A699" s="18" t="str">
        <f t="shared" ca="1" si="687"/>
        <v>26_1-4/362&lt;lv50&gt;s3</v>
      </c>
      <c r="B699" s="53">
        <v>26</v>
      </c>
      <c r="C699" s="51">
        <v>1</v>
      </c>
      <c r="D699" s="2" t="str">
        <f t="shared" si="694"/>
        <v>26_1</v>
      </c>
      <c r="E699" s="2" t="str">
        <f t="shared" si="695"/>
        <v>1_26_1</v>
      </c>
      <c r="F699" s="4" t="str">
        <f ca="1">VLOOKUP($D699,OFFSET([1]stages!$A$1,0,0,COUNTA([1]stages!$A:$A),MATCH(F$1,[1]stages!$2:$2,0)-MATCH($D$1,[1]stages!$2:$2,0)+1),MATCH(F$1,[1]stages!$2:$2,0)-MATCH($D$1,[1]stages!$2:$2,0)+1,FALSE)</f>
        <v>26-1．無愛想なフロント</v>
      </c>
      <c r="G699" s="55">
        <v>4</v>
      </c>
      <c r="H699" s="17" t="str">
        <f t="shared" si="696"/>
        <v>26_1-4</v>
      </c>
      <c r="I699" s="17"/>
      <c r="J699" s="17"/>
      <c r="K699" s="65" t="s">
        <v>56</v>
      </c>
      <c r="L699" s="52">
        <v>362</v>
      </c>
      <c r="M699" s="21" t="str">
        <f ca="1">VLOOKUP($L699,OFFSET([2]enemies!$A$1,0,0,COUNTA([2]enemies!$A:$A),MATCH(M$1,[2]enemies!$1:$1,0)-MATCH($L$1,[2]enemies!$1:$1,0)+1),MATCH(M$1,[2]enemies!$1:$1,0)-MATCH($L$1,[2]enemies!$1:$1,0)+1,FALSE)</f>
        <v>ゆらら</v>
      </c>
      <c r="N699" s="21" t="str">
        <f ca="1">VLOOKUP($L699,OFFSET([2]enemies!$A$1,0,0,COUNTA([2]enemies!$A:$A),MATCH(N$1,[2]enemies!$1:$1,0)-MATCH($L$1,[2]enemies!$1:$1,0)+1),MATCH(N$1,[2]enemies!$1:$1,0)-MATCH($L$1,[2]enemies!$1:$1,0)+1,FALSE)</f>
        <v>green</v>
      </c>
      <c r="O699" s="21" t="str">
        <f ca="1">VLOOKUP($L699,OFFSET([3]characters!$A$1,0,0,COUNTA([3]characters!$A:$A),MATCH(O$1,[3]characters!$1:$1,0)-MATCH($L$1,[3]characters!$1:$1,0)+1),MATCH(O$1,[3]characters!$1:$1,0)-MATCH($L$1,[3]characters!$1:$1,0)+1,FALSE)</f>
        <v>Drop1S</v>
      </c>
      <c r="P699" s="21" t="str">
        <f ca="1">VLOOKUP($L699,OFFSET([2]enemies!$A$1,0,0,COUNTA([2]enemies!$A:$A),MATCH(P$1,[2]enemies!$1:$1,0)-MATCH($L$1,[2]enemies!$1:$1,0)+1),MATCH(P$1,[2]enemies!$1:$1,0)-MATCH($L$1,[2]enemies!$1:$1,0)+1,FALSE)</f>
        <v>animal</v>
      </c>
      <c r="Q699" s="21">
        <f ca="1">VLOOKUP($L699,OFFSET([2]enemies!$A$1,0,0,COUNTA([2]enemies!$A:$A),MATCH(Q$1,[2]enemies!$1:$1,0)-MATCH($L$1,[2]enemies!$1:$1,0)+1),MATCH(Q$1,[2]enemies!$1:$1,0)-MATCH($L$1,[2]enemies!$1:$1,0)+1,FALSE)</f>
        <v>15</v>
      </c>
      <c r="R699" s="53">
        <v>50</v>
      </c>
      <c r="S699" s="27">
        <v>1</v>
      </c>
      <c r="T699" s="27">
        <v>1</v>
      </c>
      <c r="U699" s="5">
        <v>0</v>
      </c>
      <c r="V699" s="4" t="str">
        <f ca="1">VLOOKUP($W699,OFFSET([4]enemy_skill_sets!$B$1,0,0,COUNTA([4]enemy_skill_sets!$B:$B),MATCH(M$1,[4]enemy_skill_sets!$1:$1,0)-MATCH($W$1,[4]enemy_skill_sets!$1:$1,0)+2),MATCH(M$1,[4]enemy_skill_sets!$1:$1,0)-MATCH($W$1,[4]enemy_skill_sets!$1:$1,0)+2,FALSE)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699" s="64">
        <v>362</v>
      </c>
      <c r="X699" s="6">
        <v>0</v>
      </c>
      <c r="Y699" s="6">
        <v>100</v>
      </c>
      <c r="Z699" s="6">
        <v>0</v>
      </c>
      <c r="AA699" s="4">
        <f ca="1">VLOOKUP($L699,OFFSET([2]enemies!$A$1,0,0,COUNTA([2]enemies!$A:$A),MATCH(AA$1,[2]enemies!$1:$1,0)-MATCH($L$1,[2]enemies!$1:$1,0)+1),MATCH(AA$1,[2]enemies!$1:$1,0)-MATCH($L$1,[2]enemies!$1:$1,0)+1,FALSE)</f>
        <v>3</v>
      </c>
      <c r="AB699" s="52">
        <v>362</v>
      </c>
      <c r="AC699" s="4" t="str">
        <f ca="1">VLOOKUP($AB699,OFFSET([3]characters!$A$1,0,0,COUNTA([3]characters!$A:$A),MATCH(AC$1,[3]characters!$1:$1,0)-MATCH("character_id",[3]characters!$1:$1,0)+1),MATCH(AC$1,[3]characters!$1:$1,0)-MATCH("character_id",[3]characters!$1:$1,0)+1,FALSE)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699" s="4">
        <f ca="1">VLOOKUP($AB699,OFFSET([3]characters!$A$1,0,0,COUNTA([3]characters!$A:$A),MATCH(AD$1,[3]characters!$1:$1,0)-MATCH("character_id",[3]characters!$1:$1,0)+1),MATCH(AD$1,[3]characters!$1:$1,0)-MATCH("character_id",[3]characters!$1:$1,0)+1,FALSE)</f>
        <v>2</v>
      </c>
      <c r="AE699" s="4" t="str">
        <f ca="1">VLOOKUP($AB699,OFFSET([3]characters!$A$1,0,0,COUNTA([3]characters!$A:$A),MATCH(AE$1,[3]characters!$1:$1,0)-MATCH("character_id",[3]characters!$1:$1,0)+1),MATCH(AE$1,[3]characters!$1:$1,0)-MATCH("character_id",[3]characters!$1:$1,0)+1,FALSE)</f>
        <v>Drop1S</v>
      </c>
      <c r="AF699" s="7">
        <v>7</v>
      </c>
      <c r="AG699" s="26">
        <f t="shared" ca="1" si="666"/>
        <v>2</v>
      </c>
      <c r="AH699" s="8">
        <v>20</v>
      </c>
      <c r="AI699" s="7">
        <v>0</v>
      </c>
      <c r="AJ699" s="7">
        <v>0</v>
      </c>
      <c r="AK699" s="7">
        <v>0</v>
      </c>
      <c r="AL699" s="7">
        <v>0</v>
      </c>
      <c r="AM699" s="7">
        <v>1</v>
      </c>
    </row>
    <row r="700" spans="1:39" ht="14" x14ac:dyDescent="0.15">
      <c r="A700" s="18" t="str">
        <f t="shared" ca="1" si="687"/>
        <v>26_1-4/364&lt;lv50&gt;s3</v>
      </c>
      <c r="B700" s="53">
        <v>26</v>
      </c>
      <c r="C700" s="51">
        <v>1</v>
      </c>
      <c r="D700" s="2" t="str">
        <f t="shared" si="694"/>
        <v>26_1</v>
      </c>
      <c r="E700" s="2" t="str">
        <f t="shared" si="695"/>
        <v>1_26_1</v>
      </c>
      <c r="F700" s="4" t="str">
        <f ca="1">VLOOKUP($D700,OFFSET([1]stages!$A$1,0,0,COUNTA([1]stages!$A:$A),MATCH(F$1,[1]stages!$2:$2,0)-MATCH($D$1,[1]stages!$2:$2,0)+1),MATCH(F$1,[1]stages!$2:$2,0)-MATCH($D$1,[1]stages!$2:$2,0)+1,FALSE)</f>
        <v>26-1．無愛想なフロント</v>
      </c>
      <c r="G700" s="55">
        <v>4</v>
      </c>
      <c r="H700" s="17" t="str">
        <f t="shared" si="696"/>
        <v>26_1-4</v>
      </c>
      <c r="I700" s="17"/>
      <c r="J700" s="17"/>
      <c r="K700" s="65" t="s">
        <v>56</v>
      </c>
      <c r="L700" s="52">
        <v>364</v>
      </c>
      <c r="M700" s="21" t="str">
        <f ca="1">VLOOKUP($L700,OFFSET([2]enemies!$A$1,0,0,COUNTA([2]enemies!$A:$A),MATCH(M$1,[2]enemies!$1:$1,0)-MATCH($L$1,[2]enemies!$1:$1,0)+1),MATCH(M$1,[2]enemies!$1:$1,0)-MATCH($L$1,[2]enemies!$1:$1,0)+1,FALSE)</f>
        <v>ノエル</v>
      </c>
      <c r="N700" s="21" t="str">
        <f ca="1">VLOOKUP($L700,OFFSET([2]enemies!$A$1,0,0,COUNTA([2]enemies!$A:$A),MATCH(N$1,[2]enemies!$1:$1,0)-MATCH($L$1,[2]enemies!$1:$1,0)+1),MATCH(N$1,[2]enemies!$1:$1,0)-MATCH($L$1,[2]enemies!$1:$1,0)+1,FALSE)</f>
        <v>blue</v>
      </c>
      <c r="O700" s="21" t="str">
        <f ca="1">VLOOKUP($L700,OFFSET([3]characters!$A$1,0,0,COUNTA([3]characters!$A:$A),MATCH(O$1,[3]characters!$1:$1,0)-MATCH($L$1,[3]characters!$1:$1,0)+1),MATCH(O$1,[3]characters!$1:$1,0)-MATCH($L$1,[3]characters!$1:$1,0)+1,FALSE)</f>
        <v>Drop1S</v>
      </c>
      <c r="P700" s="21" t="str">
        <f ca="1">VLOOKUP($L700,OFFSET([2]enemies!$A$1,0,0,COUNTA([2]enemies!$A:$A),MATCH(P$1,[2]enemies!$1:$1,0)-MATCH($L$1,[2]enemies!$1:$1,0)+1),MATCH(P$1,[2]enemies!$1:$1,0)-MATCH($L$1,[2]enemies!$1:$1,0)+1,FALSE)</f>
        <v>animal</v>
      </c>
      <c r="Q700" s="21">
        <f ca="1">VLOOKUP($L700,OFFSET([2]enemies!$A$1,0,0,COUNTA([2]enemies!$A:$A),MATCH(Q$1,[2]enemies!$1:$1,0)-MATCH($L$1,[2]enemies!$1:$1,0)+1),MATCH(Q$1,[2]enemies!$1:$1,0)-MATCH($L$1,[2]enemies!$1:$1,0)+1,FALSE)</f>
        <v>15</v>
      </c>
      <c r="R700" s="53">
        <v>50</v>
      </c>
      <c r="S700" s="27">
        <v>1</v>
      </c>
      <c r="T700" s="27">
        <v>1</v>
      </c>
      <c r="U700" s="5">
        <v>0</v>
      </c>
      <c r="V700" s="4" t="str">
        <f ca="1">VLOOKUP($W700,OFFSET([4]enemy_skill_sets!$B$1,0,0,COUNTA([4]enemy_skill_sets!$B:$B),MATCH(M$1,[4]enemy_skill_sets!$1:$1,0)-MATCH($W$1,[4]enemy_skill_sets!$1:$1,0)+2),MATCH(M$1,[4]enemy_skill_sets!$1:$1,0)-MATCH($W$1,[4]enemy_skill_sets!$1:$1,0)+2,FALSE)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700" s="64">
        <v>364</v>
      </c>
      <c r="X700" s="6">
        <v>0</v>
      </c>
      <c r="Y700" s="6">
        <v>100</v>
      </c>
      <c r="Z700" s="6">
        <v>0</v>
      </c>
      <c r="AA700" s="4">
        <f ca="1">VLOOKUP($L700,OFFSET([2]enemies!$A$1,0,0,COUNTA([2]enemies!$A:$A),MATCH(AA$1,[2]enemies!$1:$1,0)-MATCH($L$1,[2]enemies!$1:$1,0)+1),MATCH(AA$1,[2]enemies!$1:$1,0)-MATCH($L$1,[2]enemies!$1:$1,0)+1,FALSE)</f>
        <v>3</v>
      </c>
      <c r="AB700" s="52">
        <v>364</v>
      </c>
      <c r="AC700" s="4" t="str">
        <f ca="1">VLOOKUP($AB700,OFFSET([3]characters!$A$1,0,0,COUNTA([3]characters!$A:$A),MATCH(AC$1,[3]characters!$1:$1,0)-MATCH("character_id",[3]characters!$1:$1,0)+1),MATCH(AC$1,[3]characters!$1:$1,0)-MATCH("character_id",[3]characters!$1:$1,0)+1,FALSE)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700" s="4">
        <f ca="1">VLOOKUP($AB700,OFFSET([3]characters!$A$1,0,0,COUNTA([3]characters!$A:$A),MATCH(AD$1,[3]characters!$1:$1,0)-MATCH("character_id",[3]characters!$1:$1,0)+1),MATCH(AD$1,[3]characters!$1:$1,0)-MATCH("character_id",[3]characters!$1:$1,0)+1,FALSE)</f>
        <v>2</v>
      </c>
      <c r="AE700" s="4" t="str">
        <f ca="1">VLOOKUP($AB700,OFFSET([3]characters!$A$1,0,0,COUNTA([3]characters!$A:$A),MATCH(AE$1,[3]characters!$1:$1,0)-MATCH("character_id",[3]characters!$1:$1,0)+1),MATCH(AE$1,[3]characters!$1:$1,0)-MATCH("character_id",[3]characters!$1:$1,0)+1,FALSE)</f>
        <v>Drop1S</v>
      </c>
      <c r="AF700" s="7">
        <v>7</v>
      </c>
      <c r="AG700" s="26">
        <f t="shared" ca="1" si="666"/>
        <v>2</v>
      </c>
      <c r="AH700" s="8">
        <v>20</v>
      </c>
      <c r="AI700" s="7">
        <v>0</v>
      </c>
      <c r="AJ700" s="7">
        <v>0</v>
      </c>
      <c r="AK700" s="7">
        <v>0</v>
      </c>
      <c r="AL700" s="7">
        <v>0</v>
      </c>
      <c r="AM700" s="7">
        <v>1</v>
      </c>
    </row>
    <row r="701" spans="1:39" ht="14" x14ac:dyDescent="0.15">
      <c r="A701" s="18" t="str">
        <f t="shared" ca="1" si="687"/>
        <v>26_1-4/366&lt;lv50&gt;s3</v>
      </c>
      <c r="B701" s="53">
        <v>26</v>
      </c>
      <c r="C701" s="51">
        <v>1</v>
      </c>
      <c r="D701" s="2" t="str">
        <f t="shared" si="694"/>
        <v>26_1</v>
      </c>
      <c r="E701" s="2" t="str">
        <f t="shared" si="695"/>
        <v>1_26_1</v>
      </c>
      <c r="F701" s="4" t="str">
        <f ca="1">VLOOKUP($D701,OFFSET([1]stages!$A$1,0,0,COUNTA([1]stages!$A:$A),MATCH(F$1,[1]stages!$2:$2,0)-MATCH($D$1,[1]stages!$2:$2,0)+1),MATCH(F$1,[1]stages!$2:$2,0)-MATCH($D$1,[1]stages!$2:$2,0)+1,FALSE)</f>
        <v>26-1．無愛想なフロント</v>
      </c>
      <c r="G701" s="55">
        <v>4</v>
      </c>
      <c r="H701" s="17" t="str">
        <f t="shared" si="696"/>
        <v>26_1-4</v>
      </c>
      <c r="I701" s="17"/>
      <c r="J701" s="17"/>
      <c r="K701" s="65" t="s">
        <v>56</v>
      </c>
      <c r="L701" s="52">
        <v>366</v>
      </c>
      <c r="M701" s="21" t="str">
        <f ca="1">VLOOKUP($L701,OFFSET([2]enemies!$A$1,0,0,COUNTA([2]enemies!$A:$A),MATCH(M$1,[2]enemies!$1:$1,0)-MATCH($L$1,[2]enemies!$1:$1,0)+1),MATCH(M$1,[2]enemies!$1:$1,0)-MATCH($L$1,[2]enemies!$1:$1,0)+1,FALSE)</f>
        <v>トト</v>
      </c>
      <c r="N701" s="21" t="str">
        <f ca="1">VLOOKUP($L701,OFFSET([2]enemies!$A$1,0,0,COUNTA([2]enemies!$A:$A),MATCH(N$1,[2]enemies!$1:$1,0)-MATCH($L$1,[2]enemies!$1:$1,0)+1),MATCH(N$1,[2]enemies!$1:$1,0)-MATCH($L$1,[2]enemies!$1:$1,0)+1,FALSE)</f>
        <v>yellow</v>
      </c>
      <c r="O701" s="21" t="str">
        <f ca="1">VLOOKUP($L701,OFFSET([3]characters!$A$1,0,0,COUNTA([3]characters!$A:$A),MATCH(O$1,[3]characters!$1:$1,0)-MATCH($L$1,[3]characters!$1:$1,0)+1),MATCH(O$1,[3]characters!$1:$1,0)-MATCH($L$1,[3]characters!$1:$1,0)+1,FALSE)</f>
        <v>Drop1S</v>
      </c>
      <c r="P701" s="21" t="str">
        <f ca="1">VLOOKUP($L701,OFFSET([2]enemies!$A$1,0,0,COUNTA([2]enemies!$A:$A),MATCH(P$1,[2]enemies!$1:$1,0)-MATCH($L$1,[2]enemies!$1:$1,0)+1),MATCH(P$1,[2]enemies!$1:$1,0)-MATCH($L$1,[2]enemies!$1:$1,0)+1,FALSE)</f>
        <v>animal</v>
      </c>
      <c r="Q701" s="21">
        <f ca="1">VLOOKUP($L701,OFFSET([2]enemies!$A$1,0,0,COUNTA([2]enemies!$A:$A),MATCH(Q$1,[2]enemies!$1:$1,0)-MATCH($L$1,[2]enemies!$1:$1,0)+1),MATCH(Q$1,[2]enemies!$1:$1,0)-MATCH($L$1,[2]enemies!$1:$1,0)+1,FALSE)</f>
        <v>15</v>
      </c>
      <c r="R701" s="53">
        <v>50</v>
      </c>
      <c r="S701" s="27">
        <v>1</v>
      </c>
      <c r="T701" s="27">
        <v>1</v>
      </c>
      <c r="U701" s="5">
        <v>0</v>
      </c>
      <c r="V701" s="4" t="str">
        <f ca="1">VLOOKUP($W701,OFFSET([4]enemy_skill_sets!$B$1,0,0,COUNTA([4]enemy_skill_sets!$B:$B),MATCH(M$1,[4]enemy_skill_sets!$1:$1,0)-MATCH($W$1,[4]enemy_skill_sets!$1:$1,0)+2),MATCH(M$1,[4]enemy_skill_sets!$1:$1,0)-MATCH($W$1,[4]enemy_skill_sets!$1:$1,0)+2,FALSE)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701" s="64">
        <v>366</v>
      </c>
      <c r="X701" s="6">
        <v>0</v>
      </c>
      <c r="Y701" s="6">
        <v>100</v>
      </c>
      <c r="Z701" s="6">
        <v>0</v>
      </c>
      <c r="AA701" s="4">
        <f ca="1">VLOOKUP($L701,OFFSET([2]enemies!$A$1,0,0,COUNTA([2]enemies!$A:$A),MATCH(AA$1,[2]enemies!$1:$1,0)-MATCH($L$1,[2]enemies!$1:$1,0)+1),MATCH(AA$1,[2]enemies!$1:$1,0)-MATCH($L$1,[2]enemies!$1:$1,0)+1,FALSE)</f>
        <v>3</v>
      </c>
      <c r="AB701" s="52">
        <v>366</v>
      </c>
      <c r="AC701" s="4" t="str">
        <f ca="1">VLOOKUP($AB701,OFFSET([3]characters!$A$1,0,0,COUNTA([3]characters!$A:$A),MATCH(AC$1,[3]characters!$1:$1,0)-MATCH("character_id",[3]characters!$1:$1,0)+1),MATCH(AC$1,[3]characters!$1:$1,0)-MATCH("character_id",[3]characters!$1:$1,0)+1,FALSE)</f>
        <v>トト</v>
      </c>
      <c r="AD701" s="4">
        <f ca="1">VLOOKUP($AB701,OFFSET([3]characters!$A$1,0,0,COUNTA([3]characters!$A:$A),MATCH(AD$1,[3]characters!$1:$1,0)-MATCH("character_id",[3]characters!$1:$1,0)+1),MATCH(AD$1,[3]characters!$1:$1,0)-MATCH("character_id",[3]characters!$1:$1,0)+1,FALSE)</f>
        <v>2</v>
      </c>
      <c r="AE701" s="4" t="str">
        <f ca="1">VLOOKUP($AB701,OFFSET([3]characters!$A$1,0,0,COUNTA([3]characters!$A:$A),MATCH(AE$1,[3]characters!$1:$1,0)-MATCH("character_id",[3]characters!$1:$1,0)+1),MATCH(AE$1,[3]characters!$1:$1,0)-MATCH("character_id",[3]characters!$1:$1,0)+1,FALSE)</f>
        <v>Drop1S</v>
      </c>
      <c r="AF701" s="7">
        <v>7</v>
      </c>
      <c r="AG701" s="26">
        <f t="shared" ca="1" si="666"/>
        <v>2</v>
      </c>
      <c r="AH701" s="8">
        <v>20</v>
      </c>
      <c r="AI701" s="7">
        <v>0</v>
      </c>
      <c r="AJ701" s="7">
        <v>0</v>
      </c>
      <c r="AK701" s="7">
        <v>0</v>
      </c>
      <c r="AL701" s="7">
        <v>0</v>
      </c>
      <c r="AM701" s="7">
        <v>1</v>
      </c>
    </row>
    <row r="702" spans="1:39" ht="14" x14ac:dyDescent="0.15">
      <c r="A702" s="18" t="str">
        <f t="shared" ca="1" si="687"/>
        <v>26_1-4/350&lt;lv50&gt;s3</v>
      </c>
      <c r="B702" s="53">
        <v>26</v>
      </c>
      <c r="C702" s="51">
        <v>1</v>
      </c>
      <c r="D702" s="2" t="str">
        <f t="shared" ref="D702:D703" si="697">B702&amp;"_"&amp;C702</f>
        <v>26_1</v>
      </c>
      <c r="E702" s="2" t="str">
        <f t="shared" ref="E702:E703" si="698">C702&amp;"_"&amp;D702</f>
        <v>1_26_1</v>
      </c>
      <c r="F702" s="4" t="str">
        <f ca="1">VLOOKUP($D702,OFFSET([1]stages!$A$1,0,0,COUNTA([1]stages!$A:$A),MATCH(F$1,[1]stages!$2:$2,0)-MATCH($D$1,[1]stages!$2:$2,0)+1),MATCH(F$1,[1]stages!$2:$2,0)-MATCH($D$1,[1]stages!$2:$2,0)+1,FALSE)</f>
        <v>26-1．無愛想なフロント</v>
      </c>
      <c r="G702" s="55">
        <v>4</v>
      </c>
      <c r="H702" s="17" t="str">
        <f t="shared" ref="H702:H703" si="699">B702&amp;"_"&amp;C702&amp;"-"&amp;G702</f>
        <v>26_1-4</v>
      </c>
      <c r="I702" s="17"/>
      <c r="J702" s="17"/>
      <c r="K702" s="65" t="s">
        <v>56</v>
      </c>
      <c r="L702" s="52">
        <v>350</v>
      </c>
      <c r="M702" s="21" t="str">
        <f ca="1">VLOOKUP($L702,OFFSET([2]enemies!$A$1,0,0,COUNTA([2]enemies!$A:$A),MATCH(M$1,[2]enemies!$1:$1,0)-MATCH($L$1,[2]enemies!$1:$1,0)+1),MATCH(M$1,[2]enemies!$1:$1,0)-MATCH($L$1,[2]enemies!$1:$1,0)+1,FALSE)</f>
        <v>森のケロケロ</v>
      </c>
      <c r="N702" s="21" t="str">
        <f ca="1">VLOOKUP($L702,OFFSET([2]enemies!$A$1,0,0,COUNTA([2]enemies!$A:$A),MATCH(N$1,[2]enemies!$1:$1,0)-MATCH($L$1,[2]enemies!$1:$1,0)+1),MATCH(N$1,[2]enemies!$1:$1,0)-MATCH($L$1,[2]enemies!$1:$1,0)+1,FALSE)</f>
        <v>green</v>
      </c>
      <c r="O702" s="21" t="str">
        <f ca="1">VLOOKUP($L702,OFFSET([3]characters!$A$1,0,0,COUNTA([3]characters!$A:$A),MATCH(O$1,[3]characters!$1:$1,0)-MATCH($L$1,[3]characters!$1:$1,0)+1),MATCH(O$1,[3]characters!$1:$1,0)-MATCH($L$1,[3]characters!$1:$1,0)+1,FALSE)</f>
        <v>Material</v>
      </c>
      <c r="P702" s="21" t="str">
        <f ca="1">VLOOKUP($L702,OFFSET([2]enemies!$A$1,0,0,COUNTA([2]enemies!$A:$A),MATCH(P$1,[2]enemies!$1:$1,0)-MATCH($L$1,[2]enemies!$1:$1,0)+1),MATCH(P$1,[2]enemies!$1:$1,0)-MATCH($L$1,[2]enemies!$1:$1,0)+1,FALSE)</f>
        <v>unknown</v>
      </c>
      <c r="Q702" s="21">
        <f ca="1">VLOOKUP($L702,OFFSET([2]enemies!$A$1,0,0,COUNTA([2]enemies!$A:$A),MATCH(Q$1,[2]enemies!$1:$1,0)-MATCH($L$1,[2]enemies!$1:$1,0)+1),MATCH(Q$1,[2]enemies!$1:$1,0)-MATCH($L$1,[2]enemies!$1:$1,0)+1,FALSE)</f>
        <v>15</v>
      </c>
      <c r="R702" s="53">
        <v>50</v>
      </c>
      <c r="S702" s="27">
        <v>1</v>
      </c>
      <c r="T702" s="27">
        <v>1</v>
      </c>
      <c r="U702" s="5">
        <v>0</v>
      </c>
      <c r="V702" s="4" t="str">
        <f ca="1">VLOOKUP($W702,OFFSET([4]enemy_skill_sets!$B$1,0,0,COUNTA([4]enemy_skill_sets!$B:$B),MATCH(M$1,[4]enemy_skill_sets!$1:$1,0)-MATCH($W$1,[4]enemy_skill_sets!$1:$1,0)+2),MATCH(M$1,[4]enemy_skill_sets!$1:$1,0)-MATCH($W$1,[4]enemy_skill_sets!$1:$1,0)+2,FALSE)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702" s="64">
        <v>350</v>
      </c>
      <c r="X702" s="6">
        <v>0</v>
      </c>
      <c r="Y702" s="6">
        <v>100</v>
      </c>
      <c r="Z702" s="6">
        <v>0</v>
      </c>
      <c r="AA702" s="4">
        <f ca="1">VLOOKUP($L702,OFFSET([2]enemies!$A$1,0,0,COUNTA([2]enemies!$A:$A),MATCH(AA$1,[2]enemies!$1:$1,0)-MATCH($L$1,[2]enemies!$1:$1,0)+1),MATCH(AA$1,[2]enemies!$1:$1,0)-MATCH($L$1,[2]enemies!$1:$1,0)+1,FALSE)</f>
        <v>3</v>
      </c>
      <c r="AB702" s="52">
        <v>350</v>
      </c>
      <c r="AC702" s="4" t="str">
        <f ca="1">VLOOKUP($AB702,OFFSET([3]characters!$A$1,0,0,COUNTA([3]characters!$A:$A),MATCH(AC$1,[3]characters!$1:$1,0)-MATCH("character_id",[3]characters!$1:$1,0)+1),MATCH(AC$1,[3]characters!$1:$1,0)-MATCH("character_id",[3]characters!$1:$1,0)+1,FALSE)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702" s="4">
        <f ca="1">VLOOKUP($AB702,OFFSET([3]characters!$A$1,0,0,COUNTA([3]characters!$A:$A),MATCH(AD$1,[3]characters!$1:$1,0)-MATCH("character_id",[3]characters!$1:$1,0)+1),MATCH(AD$1,[3]characters!$1:$1,0)-MATCH("character_id",[3]characters!$1:$1,0)+1,FALSE)</f>
        <v>2</v>
      </c>
      <c r="AE702" s="4" t="str">
        <f ca="1">VLOOKUP($AB702,OFFSET([3]characters!$A$1,0,0,COUNTA([3]characters!$A:$A),MATCH(AE$1,[3]characters!$1:$1,0)-MATCH("character_id",[3]characters!$1:$1,0)+1),MATCH(AE$1,[3]characters!$1:$1,0)-MATCH("character_id",[3]characters!$1:$1,0)+1,FALSE)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02" s="7">
        <v>10</v>
      </c>
      <c r="AG702" s="26">
        <f t="shared" ca="1" si="666"/>
        <v>2</v>
      </c>
      <c r="AH702" s="8">
        <v>20</v>
      </c>
      <c r="AI702" s="7">
        <v>0</v>
      </c>
      <c r="AJ702" s="7">
        <v>0</v>
      </c>
      <c r="AK702" s="7">
        <v>0</v>
      </c>
      <c r="AL702" s="7">
        <v>0</v>
      </c>
      <c r="AM702" s="7">
        <v>1</v>
      </c>
    </row>
    <row r="703" spans="1:39" ht="14" x14ac:dyDescent="0.15">
      <c r="A703" s="18" t="str">
        <f t="shared" ca="1" si="687"/>
        <v>26_1-4/354&lt;lv50&gt;s3</v>
      </c>
      <c r="B703" s="53">
        <v>26</v>
      </c>
      <c r="C703" s="51">
        <v>1</v>
      </c>
      <c r="D703" s="2" t="str">
        <f t="shared" si="697"/>
        <v>26_1</v>
      </c>
      <c r="E703" s="2" t="str">
        <f t="shared" si="698"/>
        <v>1_26_1</v>
      </c>
      <c r="F703" s="4" t="str">
        <f ca="1">VLOOKUP($D703,OFFSET([1]stages!$A$1,0,0,COUNTA([1]stages!$A:$A),MATCH(F$1,[1]stages!$2:$2,0)-MATCH($D$1,[1]stages!$2:$2,0)+1),MATCH(F$1,[1]stages!$2:$2,0)-MATCH($D$1,[1]stages!$2:$2,0)+1,FALSE)</f>
        <v>26-1．無愛想なフロント</v>
      </c>
      <c r="G703" s="55">
        <v>4</v>
      </c>
      <c r="H703" s="17" t="str">
        <f t="shared" si="699"/>
        <v>26_1-4</v>
      </c>
      <c r="I703" s="17"/>
      <c r="J703" s="17"/>
      <c r="K703" s="65" t="s">
        <v>56</v>
      </c>
      <c r="L703" s="52">
        <v>354</v>
      </c>
      <c r="M703" s="21" t="str">
        <f ca="1">VLOOKUP($L703,OFFSET([2]enemies!$A$1,0,0,COUNTA([2]enemies!$A:$A),MATCH(M$1,[2]enemies!$1:$1,0)-MATCH($L$1,[2]enemies!$1:$1,0)+1),MATCH(M$1,[2]enemies!$1:$1,0)-MATCH($L$1,[2]enemies!$1:$1,0)+1,FALSE)</f>
        <v>雷のケロケロ</v>
      </c>
      <c r="N703" s="21" t="str">
        <f ca="1">VLOOKUP($L703,OFFSET([2]enemies!$A$1,0,0,COUNTA([2]enemies!$A:$A),MATCH(N$1,[2]enemies!$1:$1,0)-MATCH($L$1,[2]enemies!$1:$1,0)+1),MATCH(N$1,[2]enemies!$1:$1,0)-MATCH($L$1,[2]enemies!$1:$1,0)+1,FALSE)</f>
        <v>yellow</v>
      </c>
      <c r="O703" s="21" t="str">
        <f ca="1">VLOOKUP($L703,OFFSET([3]characters!$A$1,0,0,COUNTA([3]characters!$A:$A),MATCH(O$1,[3]characters!$1:$1,0)-MATCH($L$1,[3]characters!$1:$1,0)+1),MATCH(O$1,[3]characters!$1:$1,0)-MATCH($L$1,[3]characters!$1:$1,0)+1,FALSE)</f>
        <v>Material</v>
      </c>
      <c r="P703" s="21" t="str">
        <f ca="1">VLOOKUP($L703,OFFSET([2]enemies!$A$1,0,0,COUNTA([2]enemies!$A:$A),MATCH(P$1,[2]enemies!$1:$1,0)-MATCH($L$1,[2]enemies!$1:$1,0)+1),MATCH(P$1,[2]enemies!$1:$1,0)-MATCH($L$1,[2]enemies!$1:$1,0)+1,FALSE)</f>
        <v>unknown</v>
      </c>
      <c r="Q703" s="21">
        <f ca="1">VLOOKUP($L703,OFFSET([2]enemies!$A$1,0,0,COUNTA([2]enemies!$A:$A),MATCH(Q$1,[2]enemies!$1:$1,0)-MATCH($L$1,[2]enemies!$1:$1,0)+1),MATCH(Q$1,[2]enemies!$1:$1,0)-MATCH($L$1,[2]enemies!$1:$1,0)+1,FALSE)</f>
        <v>15</v>
      </c>
      <c r="R703" s="53">
        <v>50</v>
      </c>
      <c r="S703" s="27">
        <v>1</v>
      </c>
      <c r="T703" s="27">
        <v>1</v>
      </c>
      <c r="U703" s="5">
        <v>0</v>
      </c>
      <c r="V703" s="4" t="str">
        <f ca="1">VLOOKUP($W703,OFFSET([4]enemy_skill_sets!$B$1,0,0,COUNTA([4]enemy_skill_sets!$B:$B),MATCH(M$1,[4]enemy_skill_sets!$1:$1,0)-MATCH($W$1,[4]enemy_skill_sets!$1:$1,0)+2),MATCH(M$1,[4]enemy_skill_sets!$1:$1,0)-MATCH($W$1,[4]enemy_skill_sets!$1:$1,0)+2,FALSE)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703" s="64">
        <v>354</v>
      </c>
      <c r="X703" s="6">
        <v>0</v>
      </c>
      <c r="Y703" s="6">
        <v>100</v>
      </c>
      <c r="Z703" s="6">
        <v>0</v>
      </c>
      <c r="AA703" s="4">
        <f ca="1">VLOOKUP($L703,OFFSET([2]enemies!$A$1,0,0,COUNTA([2]enemies!$A:$A),MATCH(AA$1,[2]enemies!$1:$1,0)-MATCH($L$1,[2]enemies!$1:$1,0)+1),MATCH(AA$1,[2]enemies!$1:$1,0)-MATCH($L$1,[2]enemies!$1:$1,0)+1,FALSE)</f>
        <v>3</v>
      </c>
      <c r="AB703" s="52">
        <v>354</v>
      </c>
      <c r="AC703" s="4" t="str">
        <f ca="1">VLOOKUP($AB703,OFFSET([3]characters!$A$1,0,0,COUNTA([3]characters!$A:$A),MATCH(AC$1,[3]characters!$1:$1,0)-MATCH("character_id",[3]characters!$1:$1,0)+1),MATCH(AC$1,[3]characters!$1:$1,0)-MATCH("character_id",[3]characters!$1:$1,0)+1,FALSE)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703" s="4">
        <f ca="1">VLOOKUP($AB703,OFFSET([3]characters!$A$1,0,0,COUNTA([3]characters!$A:$A),MATCH(AD$1,[3]characters!$1:$1,0)-MATCH("character_id",[3]characters!$1:$1,0)+1),MATCH(AD$1,[3]characters!$1:$1,0)-MATCH("character_id",[3]characters!$1:$1,0)+1,FALSE)</f>
        <v>2</v>
      </c>
      <c r="AE703" s="4" t="str">
        <f ca="1">VLOOKUP($AB703,OFFSET([3]characters!$A$1,0,0,COUNTA([3]characters!$A:$A),MATCH(AE$1,[3]characters!$1:$1,0)-MATCH("character_id",[3]characters!$1:$1,0)+1),MATCH(AE$1,[3]characters!$1:$1,0)-MATCH("character_id",[3]characters!$1:$1,0)+1,FALSE)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03" s="7">
        <v>10</v>
      </c>
      <c r="AG703" s="26">
        <f t="shared" ca="1" si="666"/>
        <v>2</v>
      </c>
      <c r="AH703" s="8">
        <v>20</v>
      </c>
      <c r="AI703" s="7">
        <v>0</v>
      </c>
      <c r="AJ703" s="7">
        <v>0</v>
      </c>
      <c r="AK703" s="7">
        <v>0</v>
      </c>
      <c r="AL703" s="7">
        <v>0</v>
      </c>
      <c r="AM703" s="7">
        <v>1</v>
      </c>
    </row>
    <row r="704" spans="1:39" ht="14" x14ac:dyDescent="0.15">
      <c r="A704" s="18" t="str">
        <f t="shared" ca="1" si="687"/>
        <v>26_1-5/250&lt;lv55&gt;s2</v>
      </c>
      <c r="B704" s="50">
        <v>26</v>
      </c>
      <c r="C704" s="49">
        <v>1</v>
      </c>
      <c r="D704" s="2" t="str">
        <f t="shared" si="676"/>
        <v>26_1</v>
      </c>
      <c r="E704" s="2" t="str">
        <f t="shared" si="676"/>
        <v>1_26_1</v>
      </c>
      <c r="F704" s="4" t="str">
        <f ca="1">VLOOKUP($D704,OFFSET([1]stages!$A$1,0,0,COUNTA([1]stages!$A:$A),MATCH(F$1,[1]stages!$2:$2,0)-MATCH($D$1,[1]stages!$2:$2,0)+1),MATCH(F$1,[1]stages!$2:$2,0)-MATCH($D$1,[1]stages!$2:$2,0)+1,FALSE)</f>
        <v>26-1．無愛想なフロント</v>
      </c>
      <c r="G704" s="56">
        <v>5</v>
      </c>
      <c r="H704" s="17" t="str">
        <f t="shared" si="677"/>
        <v>26_1-5</v>
      </c>
      <c r="I704" s="17"/>
      <c r="J704" s="17"/>
      <c r="K704" s="65" t="s">
        <v>56</v>
      </c>
      <c r="L704" s="52">
        <v>250</v>
      </c>
      <c r="M704" s="21" t="str">
        <f ca="1">VLOOKUP($L704,OFFSET([2]enemies!$A$1,0,0,COUNTA([2]enemies!$A:$A),MATCH(M$1,[2]enemies!$1:$1,0)-MATCH($L$1,[2]enemies!$1:$1,0)+1),MATCH(M$1,[2]enemies!$1:$1,0)-MATCH($L$1,[2]enemies!$1:$1,0)+1,FALSE)</f>
        <v>マンモン</v>
      </c>
      <c r="N704" s="21" t="str">
        <f ca="1">VLOOKUP($L704,OFFSET([2]enemies!$A$1,0,0,COUNTA([2]enemies!$A:$A),MATCH(N$1,[2]enemies!$1:$1,0)-MATCH($L$1,[2]enemies!$1:$1,0)+1),MATCH(N$1,[2]enemies!$1:$1,0)-MATCH($L$1,[2]enemies!$1:$1,0)+1,FALSE)</f>
        <v>red</v>
      </c>
      <c r="O704" s="21" t="str">
        <f ca="1">VLOOKUP($L704,OFFSET([3]characters!$A$1,0,0,COUNTA([3]characters!$A:$A),MATCH(O$1,[3]characters!$1:$1,0)-MATCH($L$1,[3]characters!$1:$1,0)+1),MATCH(O$1,[3]characters!$1:$1,0)-MATCH($L$1,[3]characters!$1:$1,0)+1,FALSE)</f>
        <v>PremiumS</v>
      </c>
      <c r="P704" s="21" t="str">
        <f ca="1">VLOOKUP($L704,OFFSET([2]enemies!$A$1,0,0,COUNTA([2]enemies!$A:$A),MATCH(P$1,[2]enemies!$1:$1,0)-MATCH($L$1,[2]enemies!$1:$1,0)+1),MATCH(P$1,[2]enemies!$1:$1,0)-MATCH($L$1,[2]enemies!$1:$1,0)+1,FALSE)</f>
        <v>god</v>
      </c>
      <c r="Q704" s="21">
        <f ca="1">VLOOKUP($L704,OFFSET([2]enemies!$A$1,0,0,COUNTA([2]enemies!$A:$A),MATCH(Q$1,[2]enemies!$1:$1,0)-MATCH($L$1,[2]enemies!$1:$1,0)+1),MATCH(Q$1,[2]enemies!$1:$1,0)-MATCH($L$1,[2]enemies!$1:$1,0)+1,FALSE)</f>
        <v>20</v>
      </c>
      <c r="R704" s="53">
        <v>55</v>
      </c>
      <c r="S704" s="27">
        <v>2.5</v>
      </c>
      <c r="T704" s="27">
        <v>1.1000000000000001</v>
      </c>
      <c r="U704" s="5">
        <v>0</v>
      </c>
      <c r="V704" s="4" t="str">
        <f ca="1">VLOOKUP($W704,OFFSET([4]enemy_skill_sets!$B$1,0,0,COUNTA([4]enemy_skill_sets!$B:$B),MATCH(M$1,[4]enemy_skill_sets!$1:$1,0)-MATCH($W$1,[4]enemy_skill_sets!$1:$1,0)+2),MATCH(M$1,[4]enemy_skill_sets!$1:$1,0)-MATCH($W$1,[4]enemy_skill_sets!$1:$1,0)+2,FALSE)</f>
        <v>5回連続攻撃</v>
      </c>
      <c r="W704" s="64">
        <v>25001</v>
      </c>
      <c r="X704" s="6">
        <v>1</v>
      </c>
      <c r="Y704" s="6">
        <v>100</v>
      </c>
      <c r="Z704" s="6">
        <v>1</v>
      </c>
      <c r="AA704" s="4">
        <f ca="1">VLOOKUP($L704,OFFSET([2]enemies!$A$1,0,0,COUNTA([2]enemies!$A:$A),MATCH(AA$1,[2]enemies!$1:$1,0)-MATCH($L$1,[2]enemies!$1:$1,0)+1),MATCH(AA$1,[2]enemies!$1:$1,0)-MATCH($L$1,[2]enemies!$1:$1,0)+1,FALSE)</f>
        <v>2</v>
      </c>
      <c r="AB704" s="52">
        <v>250</v>
      </c>
      <c r="AC704" s="4" t="str">
        <f ca="1">VLOOKUP($AB704,OFFSET([3]characters!$A$1,0,0,COUNTA([3]characters!$A:$A),MATCH(AC$1,[3]characters!$1:$1,0)-MATCH("character_id",[3]characters!$1:$1,0)+1),MATCH(AC$1,[3]characters!$1:$1,0)-MATCH("character_id",[3]characters!$1:$1,0)+1,FALSE)</f>
        <v>マンモン</v>
      </c>
      <c r="AD704" s="4">
        <f ca="1">VLOOKUP($AB704,OFFSET([3]characters!$A$1,0,0,COUNTA([3]characters!$A:$A),MATCH(AD$1,[3]characters!$1:$1,0)-MATCH("character_id",[3]characters!$1:$1,0)+1),MATCH(AD$1,[3]characters!$1:$1,0)-MATCH("character_id",[3]characters!$1:$1,0)+1,FALSE)</f>
        <v>3</v>
      </c>
      <c r="AE704" s="4" t="str">
        <f ca="1">VLOOKUP($AB704,OFFSET([3]characters!$A$1,0,0,COUNTA([3]characters!$A:$A),MATCH(AE$1,[3]characters!$1:$1,0)-MATCH("character_id",[3]characters!$1:$1,0)+1),MATCH(AE$1,[3]characters!$1:$1,0)-MATCH("character_id",[3]characters!$1:$1,0)+1,FALSE)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704" s="7">
        <v>1</v>
      </c>
      <c r="AG704" s="26">
        <f t="shared" ca="1" si="666"/>
        <v>3</v>
      </c>
      <c r="AH704" s="8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1</v>
      </c>
    </row>
    <row r="705" spans="1:39" ht="14" x14ac:dyDescent="0.15">
      <c r="A705" s="18" t="str">
        <f t="shared" ca="1" si="687"/>
        <v>26_1-5/208&lt;lv55&gt;s2</v>
      </c>
      <c r="B705" s="53">
        <v>26</v>
      </c>
      <c r="C705" s="51">
        <v>1</v>
      </c>
      <c r="D705" s="2" t="str">
        <f t="shared" ref="D705:E705" si="700">B705&amp;"_"&amp;C705</f>
        <v>26_1</v>
      </c>
      <c r="E705" s="2" t="str">
        <f t="shared" si="700"/>
        <v>1_26_1</v>
      </c>
      <c r="F705" s="4" t="str">
        <f ca="1">VLOOKUP($D705,OFFSET([1]stages!$A$1,0,0,COUNTA([1]stages!$A:$A),MATCH(F$1,[1]stages!$2:$2,0)-MATCH($D$1,[1]stages!$2:$2,0)+1),MATCH(F$1,[1]stages!$2:$2,0)-MATCH($D$1,[1]stages!$2:$2,0)+1,FALSE)</f>
        <v>26-1．無愛想なフロント</v>
      </c>
      <c r="G705" s="56">
        <v>5</v>
      </c>
      <c r="H705" s="17" t="str">
        <f t="shared" ref="H705" si="701">B705&amp;"_"&amp;C705&amp;"-"&amp;G705</f>
        <v>26_1-5</v>
      </c>
      <c r="I705" s="17"/>
      <c r="J705" s="17"/>
      <c r="K705" s="65" t="s">
        <v>56</v>
      </c>
      <c r="L705" s="52">
        <v>208</v>
      </c>
      <c r="M705" s="21" t="str">
        <f ca="1">VLOOKUP($L705,OFFSET([2]enemies!$A$1,0,0,COUNTA([2]enemies!$A:$A),MATCH(M$1,[2]enemies!$1:$1,0)-MATCH($L$1,[2]enemies!$1:$1,0)+1),MATCH(M$1,[2]enemies!$1:$1,0)-MATCH($L$1,[2]enemies!$1:$1,0)+1,FALSE)</f>
        <v>テティス</v>
      </c>
      <c r="N705" s="21" t="str">
        <f ca="1">VLOOKUP($L705,OFFSET([2]enemies!$A$1,0,0,COUNTA([2]enemies!$A:$A),MATCH(N$1,[2]enemies!$1:$1,0)-MATCH($L$1,[2]enemies!$1:$1,0)+1),MATCH(N$1,[2]enemies!$1:$1,0)-MATCH($L$1,[2]enemies!$1:$1,0)+1,FALSE)</f>
        <v>blue</v>
      </c>
      <c r="O705" s="21" t="str">
        <f ca="1">VLOOKUP($L705,OFFSET([3]characters!$A$1,0,0,COUNTA([3]characters!$A:$A),MATCH(O$1,[3]characters!$1:$1,0)-MATCH($L$1,[3]characters!$1:$1,0)+1),MATCH(O$1,[3]characters!$1:$1,0)-MATCH($L$1,[3]characters!$1:$1,0)+1,FALSE)</f>
        <v>PremiumN</v>
      </c>
      <c r="P705" s="21" t="str">
        <f ca="1">VLOOKUP($L705,OFFSET([2]enemies!$A$1,0,0,COUNTA([2]enemies!$A:$A),MATCH(P$1,[2]enemies!$1:$1,0)-MATCH($L$1,[2]enemies!$1:$1,0)+1),MATCH(P$1,[2]enemies!$1:$1,0)-MATCH($L$1,[2]enemies!$1:$1,0)+1,FALSE)</f>
        <v>god</v>
      </c>
      <c r="Q705" s="21">
        <f ca="1">VLOOKUP($L705,OFFSET([2]enemies!$A$1,0,0,COUNTA([2]enemies!$A:$A),MATCH(Q$1,[2]enemies!$1:$1,0)-MATCH($L$1,[2]enemies!$1:$1,0)+1),MATCH(Q$1,[2]enemies!$1:$1,0)-MATCH($L$1,[2]enemies!$1:$1,0)+1,FALSE)</f>
        <v>20</v>
      </c>
      <c r="R705" s="53">
        <v>55</v>
      </c>
      <c r="S705" s="27">
        <v>1.3</v>
      </c>
      <c r="T705" s="27">
        <v>1.1000000000000001</v>
      </c>
      <c r="U705" s="5">
        <v>0</v>
      </c>
      <c r="V705" s="4" t="str">
        <f ca="1">VLOOKUP($W705,OFFSET([4]enemy_skill_sets!$B$1,0,0,COUNTA([4]enemy_skill_sets!$B:$B),MATCH(M$1,[4]enemy_skill_sets!$1:$1,0)-MATCH($W$1,[4]enemy_skill_sets!$1:$1,0)+2),MATCH(M$1,[4]enemy_skill_sets!$1:$1,0)-MATCH($W$1,[4]enemy_skill_sets!$1:$1,0)+2,FALSE)</f>
        <v>黄属性ユニットの攻撃を3ターンカウンター</v>
      </c>
      <c r="W705" s="75">
        <v>20801</v>
      </c>
      <c r="X705" s="6">
        <v>1</v>
      </c>
      <c r="Y705" s="6">
        <v>100</v>
      </c>
      <c r="Z705" s="6">
        <v>1</v>
      </c>
      <c r="AA705" s="4">
        <f ca="1">VLOOKUP($L705,OFFSET([2]enemies!$A$1,0,0,COUNTA([2]enemies!$A:$A),MATCH(AA$1,[2]enemies!$1:$1,0)-MATCH($L$1,[2]enemies!$1:$1,0)+1),MATCH(AA$1,[2]enemies!$1:$1,0)-MATCH($L$1,[2]enemies!$1:$1,0)+1,FALSE)</f>
        <v>2</v>
      </c>
      <c r="AB705" s="52">
        <v>208</v>
      </c>
      <c r="AC705" s="4" t="str">
        <f ca="1">VLOOKUP($AB705,OFFSET([3]characters!$A$1,0,0,COUNTA([3]characters!$A:$A),MATCH(AC$1,[3]characters!$1:$1,0)-MATCH("character_id",[3]characters!$1:$1,0)+1),MATCH(AC$1,[3]characters!$1:$1,0)-MATCH("character_id",[3]characters!$1:$1,0)+1,FALSE)</f>
        <v>テティス</v>
      </c>
      <c r="AD705" s="4">
        <f ca="1">VLOOKUP($AB705,OFFSET([3]characters!$A$1,0,0,COUNTA([3]characters!$A:$A),MATCH(AD$1,[3]characters!$1:$1,0)-MATCH("character_id",[3]characters!$1:$1,0)+1),MATCH(AD$1,[3]characters!$1:$1,0)-MATCH("character_id",[3]characters!$1:$1,0)+1,FALSE)</f>
        <v>3</v>
      </c>
      <c r="AE705" s="4" t="str">
        <f ca="1">VLOOKUP($AB705,OFFSET([3]characters!$A$1,0,0,COUNTA([3]characters!$A:$A),MATCH(AE$1,[3]characters!$1:$1,0)-MATCH("character_id",[3]characters!$1:$1,0)+1),MATCH(AE$1,[3]characters!$1:$1,0)-MATCH("character_id",[3]characters!$1:$1,0)+1,FALSE)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705" s="7">
        <v>1</v>
      </c>
      <c r="AG705" s="26">
        <f t="shared" ca="1" si="666"/>
        <v>3</v>
      </c>
      <c r="AH705" s="8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1</v>
      </c>
    </row>
    <row r="706" spans="1:39" ht="14" x14ac:dyDescent="0.15">
      <c r="A706" s="18" t="str">
        <f t="shared" ca="1" si="687"/>
        <v>26_2-1/9&lt;lv52&gt;s2</v>
      </c>
      <c r="B706" s="50">
        <v>26</v>
      </c>
      <c r="C706" s="49">
        <v>2</v>
      </c>
      <c r="D706" s="2" t="str">
        <f t="shared" si="676"/>
        <v>26_2</v>
      </c>
      <c r="E706" s="2" t="str">
        <f t="shared" si="676"/>
        <v>2_26_2</v>
      </c>
      <c r="F706" s="4" t="str">
        <f ca="1">VLOOKUP($D706,OFFSET([1]stages!$A$1,0,0,COUNTA([1]stages!$A:$A),MATCH(F$1,[1]stages!$2:$2,0)-MATCH($D$1,[1]stages!$2:$2,0)+1),MATCH(F$1,[1]stages!$2:$2,0)-MATCH($D$1,[1]stages!$2:$2,0)+1,FALSE)</f>
        <v>26-2．フロアジャック</v>
      </c>
      <c r="G706" s="57">
        <v>1</v>
      </c>
      <c r="H706" s="17" t="str">
        <f t="shared" si="677"/>
        <v>26_2-1</v>
      </c>
      <c r="I706" s="17"/>
      <c r="J706" s="17"/>
      <c r="K706" s="65" t="s">
        <v>56</v>
      </c>
      <c r="L706" s="52">
        <v>9</v>
      </c>
      <c r="M706" s="21" t="str">
        <f ca="1">VLOOKUP($L706,OFFSET([2]enemies!$A$1,0,0,COUNTA([2]enemies!$A:$A),MATCH(M$1,[2]enemies!$1:$1,0)-MATCH($L$1,[2]enemies!$1:$1,0)+1),MATCH(M$1,[2]enemies!$1:$1,0)-MATCH($L$1,[2]enemies!$1:$1,0)+1,FALSE)</f>
        <v>ブレット</v>
      </c>
      <c r="N706" s="21" t="str">
        <f ca="1">VLOOKUP($L706,OFFSET([2]enemies!$A$1,0,0,COUNTA([2]enemies!$A:$A),MATCH(N$1,[2]enemies!$1:$1,0)-MATCH($L$1,[2]enemies!$1:$1,0)+1),MATCH(N$1,[2]enemies!$1:$1,0)-MATCH($L$1,[2]enemies!$1:$1,0)+1,FALSE)</f>
        <v>red</v>
      </c>
      <c r="O706" s="21" t="str">
        <f ca="1">VLOOKUP($L706,OFFSET([3]characters!$A$1,0,0,COUNTA([3]characters!$A:$A),MATCH(O$1,[3]characters!$1:$1,0)-MATCH($L$1,[3]characters!$1:$1,0)+1),MATCH(O$1,[3]characters!$1:$1,0)-MATCH($L$1,[3]characters!$1:$1,0)+1,FALSE)</f>
        <v>Drop1W</v>
      </c>
      <c r="P706" s="21" t="str">
        <f ca="1">VLOOKUP($L706,OFFSET([2]enemies!$A$1,0,0,COUNTA([2]enemies!$A:$A),MATCH(P$1,[2]enemies!$1:$1,0)-MATCH($L$1,[2]enemies!$1:$1,0)+1),MATCH(P$1,[2]enemies!$1:$1,0)-MATCH($L$1,[2]enemies!$1:$1,0)+1,FALSE)</f>
        <v>animal</v>
      </c>
      <c r="Q706" s="21">
        <f ca="1">VLOOKUP($L706,OFFSET([2]enemies!$A$1,0,0,COUNTA([2]enemies!$A:$A),MATCH(Q$1,[2]enemies!$1:$1,0)-MATCH($L$1,[2]enemies!$1:$1,0)+1),MATCH(Q$1,[2]enemies!$1:$1,0)-MATCH($L$1,[2]enemies!$1:$1,0)+1,FALSE)</f>
        <v>15</v>
      </c>
      <c r="R706" s="53">
        <v>52</v>
      </c>
      <c r="S706" s="27">
        <v>1</v>
      </c>
      <c r="T706" s="27">
        <v>1</v>
      </c>
      <c r="U706" s="5">
        <v>0</v>
      </c>
      <c r="V706" s="4" t="str">
        <f ca="1">VLOOKUP($W706,OFFSET([4]enemy_skill_sets!$B$1,0,0,COUNTA([4]enemy_skill_sets!$B:$B),MATCH(M$1,[4]enemy_skill_sets!$1:$1,0)-MATCH($W$1,[4]enemy_skill_sets!$1:$1,0)+2),MATCH(M$1,[4]enemy_skill_sets!$1:$1,0)-MATCH($W$1,[4]enemy_skill_sets!$1:$1,0)+2,FALSE)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06" s="4">
        <f ca="1">VLOOKUP($L706,OFFSET([2]enemies!$A$1,0,0,COUNTA([2]enemies!$A:$A),MATCH(W$1,[2]enemies!$1:$1,0)-MATCH($L$1,[2]enemies!$1:$1,0)+1),MATCH(W$1,[2]enemies!$1:$1,0)-MATCH($L$1,[2]enemies!$1:$1,0)+1,FALSE)</f>
        <v>0</v>
      </c>
      <c r="X706" s="6">
        <v>0</v>
      </c>
      <c r="Y706" s="6">
        <v>100</v>
      </c>
      <c r="Z706" s="6">
        <v>0</v>
      </c>
      <c r="AA706" s="4">
        <f ca="1">VLOOKUP($L706,OFFSET([2]enemies!$A$1,0,0,COUNTA([2]enemies!$A:$A),MATCH(AA$1,[2]enemies!$1:$1,0)-MATCH($L$1,[2]enemies!$1:$1,0)+1),MATCH(AA$1,[2]enemies!$1:$1,0)-MATCH($L$1,[2]enemies!$1:$1,0)+1,FALSE)</f>
        <v>2</v>
      </c>
      <c r="AB706" s="52">
        <v>9</v>
      </c>
      <c r="AC706" s="4" t="str">
        <f ca="1">VLOOKUP($AB706,OFFSET([3]characters!$A$1,0,0,COUNTA([3]characters!$A:$A),MATCH(AC$1,[3]characters!$1:$1,0)-MATCH("character_id",[3]characters!$1:$1,0)+1),MATCH(AC$1,[3]characters!$1:$1,0)-MATCH("character_id",[3]characters!$1:$1,0)+1,FALSE)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706" s="4">
        <f ca="1">VLOOKUP($AB706,OFFSET([3]characters!$A$1,0,0,COUNTA([3]characters!$A:$A),MATCH(AD$1,[3]characters!$1:$1,0)-MATCH("character_id",[3]characters!$1:$1,0)+1),MATCH(AD$1,[3]characters!$1:$1,0)-MATCH("character_id",[3]characters!$1:$1,0)+1,FALSE)</f>
        <v>1</v>
      </c>
      <c r="AE706" s="4" t="str">
        <f ca="1">VLOOKUP($AB706,OFFSET([3]characters!$A$1,0,0,COUNTA([3]characters!$A:$A),MATCH(AE$1,[3]characters!$1:$1,0)-MATCH("character_id",[3]characters!$1:$1,0)+1),MATCH(AE$1,[3]characters!$1:$1,0)-MATCH("character_id",[3]characters!$1:$1,0)+1,FALSE)</f>
        <v>Drop1W</v>
      </c>
      <c r="AF706" s="7">
        <v>9</v>
      </c>
      <c r="AG706" s="26">
        <f t="shared" ca="1" si="666"/>
        <v>1</v>
      </c>
      <c r="AH706" s="8">
        <v>20</v>
      </c>
      <c r="AI706" s="7">
        <v>0</v>
      </c>
      <c r="AJ706" s="7">
        <v>0</v>
      </c>
      <c r="AK706" s="7">
        <v>0</v>
      </c>
      <c r="AL706" s="7">
        <v>0</v>
      </c>
      <c r="AM706" s="7">
        <v>1</v>
      </c>
    </row>
    <row r="707" spans="1:39" ht="14" x14ac:dyDescent="0.15">
      <c r="A707" s="18" t="str">
        <f t="shared" ca="1" si="687"/>
        <v>26_2-1/11&lt;lv52&gt;s3</v>
      </c>
      <c r="B707" s="50">
        <v>26</v>
      </c>
      <c r="C707" s="49">
        <v>2</v>
      </c>
      <c r="D707" s="2" t="str">
        <f t="shared" si="676"/>
        <v>26_2</v>
      </c>
      <c r="E707" s="2" t="str">
        <f t="shared" si="676"/>
        <v>2_26_2</v>
      </c>
      <c r="F707" s="4" t="str">
        <f ca="1">VLOOKUP($D707,OFFSET([1]stages!$A$1,0,0,COUNTA([1]stages!$A:$A),MATCH(F$1,[1]stages!$2:$2,0)-MATCH($D$1,[1]stages!$2:$2,0)+1),MATCH(F$1,[1]stages!$2:$2,0)-MATCH($D$1,[1]stages!$2:$2,0)+1,FALSE)</f>
        <v>26-2．フロアジャック</v>
      </c>
      <c r="G707" s="57">
        <v>1</v>
      </c>
      <c r="H707" s="17" t="str">
        <f t="shared" si="677"/>
        <v>26_2-1</v>
      </c>
      <c r="I707" s="17"/>
      <c r="J707" s="17"/>
      <c r="K707" s="65" t="s">
        <v>56</v>
      </c>
      <c r="L707" s="52">
        <v>11</v>
      </c>
      <c r="M707" s="21" t="str">
        <f ca="1">VLOOKUP($L707,OFFSET([2]enemies!$A$1,0,0,COUNTA([2]enemies!$A:$A),MATCH(M$1,[2]enemies!$1:$1,0)-MATCH($L$1,[2]enemies!$1:$1,0)+1),MATCH(M$1,[2]enemies!$1:$1,0)-MATCH($L$1,[2]enemies!$1:$1,0)+1,FALSE)</f>
        <v>マグリット</v>
      </c>
      <c r="N707" s="21" t="str">
        <f ca="1">VLOOKUP($L707,OFFSET([2]enemies!$A$1,0,0,COUNTA([2]enemies!$A:$A),MATCH(N$1,[2]enemies!$1:$1,0)-MATCH($L$1,[2]enemies!$1:$1,0)+1),MATCH(N$1,[2]enemies!$1:$1,0)-MATCH($L$1,[2]enemies!$1:$1,0)+1,FALSE)</f>
        <v>green</v>
      </c>
      <c r="O707" s="21" t="str">
        <f ca="1">VLOOKUP($L707,OFFSET([3]characters!$A$1,0,0,COUNTA([3]characters!$A:$A),MATCH(O$1,[3]characters!$1:$1,0)-MATCH($L$1,[3]characters!$1:$1,0)+1),MATCH(O$1,[3]characters!$1:$1,0)-MATCH($L$1,[3]characters!$1:$1,0)+1,FALSE)</f>
        <v>Drop1W</v>
      </c>
      <c r="P707" s="21" t="str">
        <f ca="1">VLOOKUP($L707,OFFSET([2]enemies!$A$1,0,0,COUNTA([2]enemies!$A:$A),MATCH(P$1,[2]enemies!$1:$1,0)-MATCH($L$1,[2]enemies!$1:$1,0)+1),MATCH(P$1,[2]enemies!$1:$1,0)-MATCH($L$1,[2]enemies!$1:$1,0)+1,FALSE)</f>
        <v>animal</v>
      </c>
      <c r="Q707" s="21">
        <f ca="1">VLOOKUP($L707,OFFSET([2]enemies!$A$1,0,0,COUNTA([2]enemies!$A:$A),MATCH(Q$1,[2]enemies!$1:$1,0)-MATCH($L$1,[2]enemies!$1:$1,0)+1),MATCH(Q$1,[2]enemies!$1:$1,0)-MATCH($L$1,[2]enemies!$1:$1,0)+1,FALSE)</f>
        <v>15</v>
      </c>
      <c r="R707" s="53">
        <v>52</v>
      </c>
      <c r="S707" s="27">
        <v>1</v>
      </c>
      <c r="T707" s="27">
        <v>1</v>
      </c>
      <c r="U707" s="5">
        <v>0</v>
      </c>
      <c r="V707" s="4" t="str">
        <f ca="1">VLOOKUP($W707,OFFSET([4]enemy_skill_sets!$B$1,0,0,COUNTA([4]enemy_skill_sets!$B:$B),MATCH(M$1,[4]enemy_skill_sets!$1:$1,0)-MATCH($W$1,[4]enemy_skill_sets!$1:$1,0)+2),MATCH(M$1,[4]enemy_skill_sets!$1:$1,0)-MATCH($W$1,[4]enemy_skill_sets!$1:$1,0)+2,FALSE)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07" s="4">
        <f ca="1">VLOOKUP($L707,OFFSET([2]enemies!$A$1,0,0,COUNTA([2]enemies!$A:$A),MATCH(W$1,[2]enemies!$1:$1,0)-MATCH($L$1,[2]enemies!$1:$1,0)+1),MATCH(W$1,[2]enemies!$1:$1,0)-MATCH($L$1,[2]enemies!$1:$1,0)+1,FALSE)</f>
        <v>0</v>
      </c>
      <c r="X707" s="6">
        <v>0</v>
      </c>
      <c r="Y707" s="6">
        <v>100</v>
      </c>
      <c r="Z707" s="6">
        <v>0</v>
      </c>
      <c r="AA707" s="4">
        <f ca="1">VLOOKUP($L707,OFFSET([2]enemies!$A$1,0,0,COUNTA([2]enemies!$A:$A),MATCH(AA$1,[2]enemies!$1:$1,0)-MATCH($L$1,[2]enemies!$1:$1,0)+1),MATCH(AA$1,[2]enemies!$1:$1,0)-MATCH($L$1,[2]enemies!$1:$1,0)+1,FALSE)</f>
        <v>3</v>
      </c>
      <c r="AB707" s="52">
        <v>11</v>
      </c>
      <c r="AC707" s="4" t="str">
        <f ca="1">VLOOKUP($AB707,OFFSET([3]characters!$A$1,0,0,COUNTA([3]characters!$A:$A),MATCH(AC$1,[3]characters!$1:$1,0)-MATCH("character_id",[3]characters!$1:$1,0)+1),MATCH(AC$1,[3]characters!$1:$1,0)-MATCH("character_id",[3]characters!$1:$1,0)+1,FALSE)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707" s="4">
        <f ca="1">VLOOKUP($AB707,OFFSET([3]characters!$A$1,0,0,COUNTA([3]characters!$A:$A),MATCH(AD$1,[3]characters!$1:$1,0)-MATCH("character_id",[3]characters!$1:$1,0)+1),MATCH(AD$1,[3]characters!$1:$1,0)-MATCH("character_id",[3]characters!$1:$1,0)+1,FALSE)</f>
        <v>1</v>
      </c>
      <c r="AE707" s="4" t="str">
        <f ca="1">VLOOKUP($AB707,OFFSET([3]characters!$A$1,0,0,COUNTA([3]characters!$A:$A),MATCH(AE$1,[3]characters!$1:$1,0)-MATCH("character_id",[3]characters!$1:$1,0)+1),MATCH(AE$1,[3]characters!$1:$1,0)-MATCH("character_id",[3]characters!$1:$1,0)+1,FALSE)</f>
        <v>Drop1W</v>
      </c>
      <c r="AF707" s="7">
        <v>9</v>
      </c>
      <c r="AG707" s="26">
        <f t="shared" ref="AG707:AG770" ca="1" si="702">AD707</f>
        <v>1</v>
      </c>
      <c r="AH707" s="8">
        <v>20</v>
      </c>
      <c r="AI707" s="7">
        <v>0</v>
      </c>
      <c r="AJ707" s="7">
        <v>0</v>
      </c>
      <c r="AK707" s="7">
        <v>0</v>
      </c>
      <c r="AL707" s="7">
        <v>0</v>
      </c>
      <c r="AM707" s="7">
        <v>1</v>
      </c>
    </row>
    <row r="708" spans="1:39" ht="14" x14ac:dyDescent="0.15">
      <c r="A708" s="18" t="str">
        <f t="shared" ca="1" si="687"/>
        <v>26_2-1/13&lt;lv52&gt;s2</v>
      </c>
      <c r="B708" s="50">
        <v>26</v>
      </c>
      <c r="C708" s="49">
        <v>2</v>
      </c>
      <c r="D708" s="2" t="str">
        <f t="shared" si="676"/>
        <v>26_2</v>
      </c>
      <c r="E708" s="2" t="str">
        <f t="shared" si="676"/>
        <v>2_26_2</v>
      </c>
      <c r="F708" s="4" t="str">
        <f ca="1">VLOOKUP($D708,OFFSET([1]stages!$A$1,0,0,COUNTA([1]stages!$A:$A),MATCH(F$1,[1]stages!$2:$2,0)-MATCH($D$1,[1]stages!$2:$2,0)+1),MATCH(F$1,[1]stages!$2:$2,0)-MATCH($D$1,[1]stages!$2:$2,0)+1,FALSE)</f>
        <v>26-2．フロアジャック</v>
      </c>
      <c r="G708" s="57">
        <v>1</v>
      </c>
      <c r="H708" s="17" t="str">
        <f t="shared" si="677"/>
        <v>26_2-1</v>
      </c>
      <c r="I708" s="17"/>
      <c r="J708" s="17"/>
      <c r="K708" s="65" t="s">
        <v>56</v>
      </c>
      <c r="L708" s="52">
        <v>13</v>
      </c>
      <c r="M708" s="21" t="str">
        <f ca="1">VLOOKUP($L708,OFFSET([2]enemies!$A$1,0,0,COUNTA([2]enemies!$A:$A),MATCH(M$1,[2]enemies!$1:$1,0)-MATCH($L$1,[2]enemies!$1:$1,0)+1),MATCH(M$1,[2]enemies!$1:$1,0)-MATCH($L$1,[2]enemies!$1:$1,0)+1,FALSE)</f>
        <v>ミミ</v>
      </c>
      <c r="N708" s="21" t="str">
        <f ca="1">VLOOKUP($L708,OFFSET([2]enemies!$A$1,0,0,COUNTA([2]enemies!$A:$A),MATCH(N$1,[2]enemies!$1:$1,0)-MATCH($L$1,[2]enemies!$1:$1,0)+1),MATCH(N$1,[2]enemies!$1:$1,0)-MATCH($L$1,[2]enemies!$1:$1,0)+1,FALSE)</f>
        <v>yellow</v>
      </c>
      <c r="O708" s="21" t="str">
        <f ca="1">VLOOKUP($L708,OFFSET([3]characters!$A$1,0,0,COUNTA([3]characters!$A:$A),MATCH(O$1,[3]characters!$1:$1,0)-MATCH($L$1,[3]characters!$1:$1,0)+1),MATCH(O$1,[3]characters!$1:$1,0)-MATCH($L$1,[3]characters!$1:$1,0)+1,FALSE)</f>
        <v>Drop1W</v>
      </c>
      <c r="P708" s="21" t="str">
        <f ca="1">VLOOKUP($L708,OFFSET([2]enemies!$A$1,0,0,COUNTA([2]enemies!$A:$A),MATCH(P$1,[2]enemies!$1:$1,0)-MATCH($L$1,[2]enemies!$1:$1,0)+1),MATCH(P$1,[2]enemies!$1:$1,0)-MATCH($L$1,[2]enemies!$1:$1,0)+1,FALSE)</f>
        <v>animal</v>
      </c>
      <c r="Q708" s="21">
        <f ca="1">VLOOKUP($L708,OFFSET([2]enemies!$A$1,0,0,COUNTA([2]enemies!$A:$A),MATCH(Q$1,[2]enemies!$1:$1,0)-MATCH($L$1,[2]enemies!$1:$1,0)+1),MATCH(Q$1,[2]enemies!$1:$1,0)-MATCH($L$1,[2]enemies!$1:$1,0)+1,FALSE)</f>
        <v>15</v>
      </c>
      <c r="R708" s="53">
        <v>52</v>
      </c>
      <c r="S708" s="27">
        <v>1</v>
      </c>
      <c r="T708" s="27">
        <v>1</v>
      </c>
      <c r="U708" s="5">
        <v>0</v>
      </c>
      <c r="V708" s="4" t="str">
        <f ca="1">VLOOKUP($W708,OFFSET([4]enemy_skill_sets!$B$1,0,0,COUNTA([4]enemy_skill_sets!$B:$B),MATCH(M$1,[4]enemy_skill_sets!$1:$1,0)-MATCH($W$1,[4]enemy_skill_sets!$1:$1,0)+2),MATCH(M$1,[4]enemy_skill_sets!$1:$1,0)-MATCH($W$1,[4]enemy_skill_sets!$1:$1,0)+2,FALSE)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08" s="4">
        <f ca="1">VLOOKUP($L708,OFFSET([2]enemies!$A$1,0,0,COUNTA([2]enemies!$A:$A),MATCH(W$1,[2]enemies!$1:$1,0)-MATCH($L$1,[2]enemies!$1:$1,0)+1),MATCH(W$1,[2]enemies!$1:$1,0)-MATCH($L$1,[2]enemies!$1:$1,0)+1,FALSE)</f>
        <v>0</v>
      </c>
      <c r="X708" s="6">
        <v>0</v>
      </c>
      <c r="Y708" s="6">
        <v>100</v>
      </c>
      <c r="Z708" s="6">
        <v>0</v>
      </c>
      <c r="AA708" s="4">
        <f ca="1">VLOOKUP($L708,OFFSET([2]enemies!$A$1,0,0,COUNTA([2]enemies!$A:$A),MATCH(AA$1,[2]enemies!$1:$1,0)-MATCH($L$1,[2]enemies!$1:$1,0)+1),MATCH(AA$1,[2]enemies!$1:$1,0)-MATCH($L$1,[2]enemies!$1:$1,0)+1,FALSE)</f>
        <v>2</v>
      </c>
      <c r="AB708" s="52">
        <v>13</v>
      </c>
      <c r="AC708" s="4" t="str">
        <f ca="1">VLOOKUP($AB708,OFFSET([3]characters!$A$1,0,0,COUNTA([3]characters!$A:$A),MATCH(AC$1,[3]characters!$1:$1,0)-MATCH("character_id",[3]characters!$1:$1,0)+1),MATCH(AC$1,[3]characters!$1:$1,0)-MATCH("character_id",[3]characters!$1:$1,0)+1,FALSE)</f>
        <v>ミミ</v>
      </c>
      <c r="AD708" s="4">
        <f ca="1">VLOOKUP($AB708,OFFSET([3]characters!$A$1,0,0,COUNTA([3]characters!$A:$A),MATCH(AD$1,[3]characters!$1:$1,0)-MATCH("character_id",[3]characters!$1:$1,0)+1),MATCH(AD$1,[3]characters!$1:$1,0)-MATCH("character_id",[3]characters!$1:$1,0)+1,FALSE)</f>
        <v>1</v>
      </c>
      <c r="AE708" s="4" t="str">
        <f ca="1">VLOOKUP($AB708,OFFSET([3]characters!$A$1,0,0,COUNTA([3]characters!$A:$A),MATCH(AE$1,[3]characters!$1:$1,0)-MATCH("character_id",[3]characters!$1:$1,0)+1),MATCH(AE$1,[3]characters!$1:$1,0)-MATCH("character_id",[3]characters!$1:$1,0)+1,FALSE)</f>
        <v>Drop1W</v>
      </c>
      <c r="AF708" s="7">
        <v>9</v>
      </c>
      <c r="AG708" s="26">
        <f t="shared" ca="1" si="702"/>
        <v>1</v>
      </c>
      <c r="AH708" s="8">
        <v>20</v>
      </c>
      <c r="AI708" s="7">
        <v>0</v>
      </c>
      <c r="AJ708" s="7">
        <v>0</v>
      </c>
      <c r="AK708" s="7">
        <v>0</v>
      </c>
      <c r="AL708" s="7">
        <v>0</v>
      </c>
      <c r="AM708" s="7">
        <v>1</v>
      </c>
    </row>
    <row r="709" spans="1:39" ht="14" x14ac:dyDescent="0.15">
      <c r="A709" s="18" t="str">
        <f t="shared" ca="1" si="687"/>
        <v>26_2-1/23&lt;lv52&gt;s4</v>
      </c>
      <c r="B709" s="50">
        <v>26</v>
      </c>
      <c r="C709" s="49">
        <v>2</v>
      </c>
      <c r="D709" s="2" t="str">
        <f t="shared" si="676"/>
        <v>26_2</v>
      </c>
      <c r="E709" s="2" t="str">
        <f t="shared" si="676"/>
        <v>2_26_2</v>
      </c>
      <c r="F709" s="4" t="str">
        <f ca="1">VLOOKUP($D709,OFFSET([1]stages!$A$1,0,0,COUNTA([1]stages!$A:$A),MATCH(F$1,[1]stages!$2:$2,0)-MATCH($D$1,[1]stages!$2:$2,0)+1),MATCH(F$1,[1]stages!$2:$2,0)-MATCH($D$1,[1]stages!$2:$2,0)+1,FALSE)</f>
        <v>26-2．フロアジャック</v>
      </c>
      <c r="G709" s="57">
        <v>1</v>
      </c>
      <c r="H709" s="17" t="str">
        <f t="shared" si="677"/>
        <v>26_2-1</v>
      </c>
      <c r="I709" s="17"/>
      <c r="J709" s="17"/>
      <c r="K709" s="65" t="s">
        <v>56</v>
      </c>
      <c r="L709" s="52">
        <v>23</v>
      </c>
      <c r="M709" s="21" t="str">
        <f ca="1">VLOOKUP($L709,OFFSET([2]enemies!$A$1,0,0,COUNTA([2]enemies!$A:$A),MATCH(M$1,[2]enemies!$1:$1,0)-MATCH($L$1,[2]enemies!$1:$1,0)+1),MATCH(M$1,[2]enemies!$1:$1,0)-MATCH($L$1,[2]enemies!$1:$1,0)+1,FALSE)</f>
        <v>ミール</v>
      </c>
      <c r="N709" s="21" t="str">
        <f ca="1">VLOOKUP($L709,OFFSET([2]enemies!$A$1,0,0,COUNTA([2]enemies!$A:$A),MATCH(N$1,[2]enemies!$1:$1,0)-MATCH($L$1,[2]enemies!$1:$1,0)+1),MATCH(N$1,[2]enemies!$1:$1,0)-MATCH($L$1,[2]enemies!$1:$1,0)+1,FALSE)</f>
        <v>green</v>
      </c>
      <c r="O709" s="21" t="str">
        <f ca="1">VLOOKUP($L709,OFFSET([3]characters!$A$1,0,0,COUNTA([3]characters!$A:$A),MATCH(O$1,[3]characters!$1:$1,0)-MATCH($L$1,[3]characters!$1:$1,0)+1),MATCH(O$1,[3]characters!$1:$1,0)-MATCH($L$1,[3]characters!$1:$1,0)+1,FALSE)</f>
        <v>Drop1N</v>
      </c>
      <c r="P709" s="21" t="str">
        <f ca="1">VLOOKUP($L709,OFFSET([2]enemies!$A$1,0,0,COUNTA([2]enemies!$A:$A),MATCH(P$1,[2]enemies!$1:$1,0)-MATCH($L$1,[2]enemies!$1:$1,0)+1),MATCH(P$1,[2]enemies!$1:$1,0)-MATCH($L$1,[2]enemies!$1:$1,0)+1,FALSE)</f>
        <v>animal</v>
      </c>
      <c r="Q709" s="21">
        <f ca="1">VLOOKUP($L709,OFFSET([2]enemies!$A$1,0,0,COUNTA([2]enemies!$A:$A),MATCH(Q$1,[2]enemies!$1:$1,0)-MATCH($L$1,[2]enemies!$1:$1,0)+1),MATCH(Q$1,[2]enemies!$1:$1,0)-MATCH($L$1,[2]enemies!$1:$1,0)+1,FALSE)</f>
        <v>15</v>
      </c>
      <c r="R709" s="53">
        <v>52</v>
      </c>
      <c r="S709" s="27">
        <v>1</v>
      </c>
      <c r="T709" s="27">
        <v>1</v>
      </c>
      <c r="U709" s="5">
        <v>0</v>
      </c>
      <c r="V709" s="4" t="str">
        <f ca="1">VLOOKUP($W709,OFFSET([4]enemy_skill_sets!$B$1,0,0,COUNTA([4]enemy_skill_sets!$B:$B),MATCH(M$1,[4]enemy_skill_sets!$1:$1,0)-MATCH($W$1,[4]enemy_skill_sets!$1:$1,0)+2),MATCH(M$1,[4]enemy_skill_sets!$1:$1,0)-MATCH($W$1,[4]enemy_skill_sets!$1:$1,0)+2,FALSE)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09" s="4">
        <f ca="1">VLOOKUP($L709,OFFSET([2]enemies!$A$1,0,0,COUNTA([2]enemies!$A:$A),MATCH(W$1,[2]enemies!$1:$1,0)-MATCH($L$1,[2]enemies!$1:$1,0)+1),MATCH(W$1,[2]enemies!$1:$1,0)-MATCH($L$1,[2]enemies!$1:$1,0)+1,FALSE)</f>
        <v>0</v>
      </c>
      <c r="X709" s="6">
        <v>0</v>
      </c>
      <c r="Y709" s="6">
        <v>100</v>
      </c>
      <c r="Z709" s="6">
        <v>0</v>
      </c>
      <c r="AA709" s="4">
        <f ca="1">VLOOKUP($L709,OFFSET([2]enemies!$A$1,0,0,COUNTA([2]enemies!$A:$A),MATCH(AA$1,[2]enemies!$1:$1,0)-MATCH($L$1,[2]enemies!$1:$1,0)+1),MATCH(AA$1,[2]enemies!$1:$1,0)-MATCH($L$1,[2]enemies!$1:$1,0)+1,FALSE)</f>
        <v>4</v>
      </c>
      <c r="AB709" s="52">
        <v>23</v>
      </c>
      <c r="AC709" s="4" t="str">
        <f ca="1">VLOOKUP($AB709,OFFSET([3]characters!$A$1,0,0,COUNTA([3]characters!$A:$A),MATCH(AC$1,[3]characters!$1:$1,0)-MATCH("character_id",[3]characters!$1:$1,0)+1),MATCH(AC$1,[3]characters!$1:$1,0)-MATCH("character_id",[3]characters!$1:$1,0)+1,FALSE)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709" s="4">
        <f ca="1">VLOOKUP($AB709,OFFSET([3]characters!$A$1,0,0,COUNTA([3]characters!$A:$A),MATCH(AD$1,[3]characters!$1:$1,0)-MATCH("character_id",[3]characters!$1:$1,0)+1),MATCH(AD$1,[3]characters!$1:$1,0)-MATCH("character_id",[3]characters!$1:$1,0)+1,FALSE)</f>
        <v>1</v>
      </c>
      <c r="AE709" s="4" t="str">
        <f ca="1">VLOOKUP($AB709,OFFSET([3]characters!$A$1,0,0,COUNTA([3]characters!$A:$A),MATCH(AE$1,[3]characters!$1:$1,0)-MATCH("character_id",[3]characters!$1:$1,0)+1),MATCH(AE$1,[3]characters!$1:$1,0)-MATCH("character_id",[3]characters!$1:$1,0)+1,FALSE)</f>
        <v>Drop1N</v>
      </c>
      <c r="AF709" s="7">
        <v>7</v>
      </c>
      <c r="AG709" s="26">
        <f t="shared" ca="1" si="702"/>
        <v>1</v>
      </c>
      <c r="AH709" s="8">
        <v>20</v>
      </c>
      <c r="AI709" s="7">
        <v>0</v>
      </c>
      <c r="AJ709" s="7">
        <v>0</v>
      </c>
      <c r="AK709" s="7">
        <v>0</v>
      </c>
      <c r="AL709" s="7">
        <v>0</v>
      </c>
      <c r="AM709" s="7">
        <v>1</v>
      </c>
    </row>
    <row r="710" spans="1:39" ht="14" x14ac:dyDescent="0.15">
      <c r="A710" s="18" t="str">
        <f t="shared" ca="1" si="687"/>
        <v>26_2-1/25&lt;lv52&gt;s3</v>
      </c>
      <c r="B710" s="50">
        <v>26</v>
      </c>
      <c r="C710" s="49">
        <v>2</v>
      </c>
      <c r="D710" s="2" t="str">
        <f t="shared" si="676"/>
        <v>26_2</v>
      </c>
      <c r="E710" s="2" t="str">
        <f t="shared" si="676"/>
        <v>2_26_2</v>
      </c>
      <c r="F710" s="4" t="str">
        <f ca="1">VLOOKUP($D710,OFFSET([1]stages!$A$1,0,0,COUNTA([1]stages!$A:$A),MATCH(F$1,[1]stages!$2:$2,0)-MATCH($D$1,[1]stages!$2:$2,0)+1),MATCH(F$1,[1]stages!$2:$2,0)-MATCH($D$1,[1]stages!$2:$2,0)+1,FALSE)</f>
        <v>26-2．フロアジャック</v>
      </c>
      <c r="G710" s="57">
        <v>1</v>
      </c>
      <c r="H710" s="17" t="str">
        <f t="shared" si="677"/>
        <v>26_2-1</v>
      </c>
      <c r="I710" s="17"/>
      <c r="J710" s="17"/>
      <c r="K710" s="65" t="s">
        <v>56</v>
      </c>
      <c r="L710" s="52">
        <v>25</v>
      </c>
      <c r="M710" s="21" t="str">
        <f ca="1">VLOOKUP($L710,OFFSET([2]enemies!$A$1,0,0,COUNTA([2]enemies!$A:$A),MATCH(M$1,[2]enemies!$1:$1,0)-MATCH($L$1,[2]enemies!$1:$1,0)+1),MATCH(M$1,[2]enemies!$1:$1,0)-MATCH($L$1,[2]enemies!$1:$1,0)+1,FALSE)</f>
        <v>ハチ</v>
      </c>
      <c r="N710" s="21" t="str">
        <f ca="1">VLOOKUP($L710,OFFSET([2]enemies!$A$1,0,0,COUNTA([2]enemies!$A:$A),MATCH(N$1,[2]enemies!$1:$1,0)-MATCH($L$1,[2]enemies!$1:$1,0)+1),MATCH(N$1,[2]enemies!$1:$1,0)-MATCH($L$1,[2]enemies!$1:$1,0)+1,FALSE)</f>
        <v>blue</v>
      </c>
      <c r="O710" s="21" t="str">
        <f ca="1">VLOOKUP($L710,OFFSET([3]characters!$A$1,0,0,COUNTA([3]characters!$A:$A),MATCH(O$1,[3]characters!$1:$1,0)-MATCH($L$1,[3]characters!$1:$1,0)+1),MATCH(O$1,[3]characters!$1:$1,0)-MATCH($L$1,[3]characters!$1:$1,0)+1,FALSE)</f>
        <v>Drop1N</v>
      </c>
      <c r="P710" s="21" t="str">
        <f ca="1">VLOOKUP($L710,OFFSET([2]enemies!$A$1,0,0,COUNTA([2]enemies!$A:$A),MATCH(P$1,[2]enemies!$1:$1,0)-MATCH($L$1,[2]enemies!$1:$1,0)+1),MATCH(P$1,[2]enemies!$1:$1,0)-MATCH($L$1,[2]enemies!$1:$1,0)+1,FALSE)</f>
        <v>animal</v>
      </c>
      <c r="Q710" s="21">
        <f ca="1">VLOOKUP($L710,OFFSET([2]enemies!$A$1,0,0,COUNTA([2]enemies!$A:$A),MATCH(Q$1,[2]enemies!$1:$1,0)-MATCH($L$1,[2]enemies!$1:$1,0)+1),MATCH(Q$1,[2]enemies!$1:$1,0)-MATCH($L$1,[2]enemies!$1:$1,0)+1,FALSE)</f>
        <v>15</v>
      </c>
      <c r="R710" s="53">
        <v>52</v>
      </c>
      <c r="S710" s="27">
        <v>1</v>
      </c>
      <c r="T710" s="27">
        <v>1</v>
      </c>
      <c r="U710" s="5">
        <v>0</v>
      </c>
      <c r="V710" s="4" t="str">
        <f ca="1">VLOOKUP($W710,OFFSET([4]enemy_skill_sets!$B$1,0,0,COUNTA([4]enemy_skill_sets!$B:$B),MATCH(M$1,[4]enemy_skill_sets!$1:$1,0)-MATCH($W$1,[4]enemy_skill_sets!$1:$1,0)+2),MATCH(M$1,[4]enemy_skill_sets!$1:$1,0)-MATCH($W$1,[4]enemy_skill_sets!$1:$1,0)+2,FALSE)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10" s="4">
        <f ca="1">VLOOKUP($L710,OFFSET([2]enemies!$A$1,0,0,COUNTA([2]enemies!$A:$A),MATCH(W$1,[2]enemies!$1:$1,0)-MATCH($L$1,[2]enemies!$1:$1,0)+1),MATCH(W$1,[2]enemies!$1:$1,0)-MATCH($L$1,[2]enemies!$1:$1,0)+1,FALSE)</f>
        <v>0</v>
      </c>
      <c r="X710" s="6">
        <v>0</v>
      </c>
      <c r="Y710" s="6">
        <v>100</v>
      </c>
      <c r="Z710" s="6">
        <v>0</v>
      </c>
      <c r="AA710" s="4">
        <f ca="1">VLOOKUP($L710,OFFSET([2]enemies!$A$1,0,0,COUNTA([2]enemies!$A:$A),MATCH(AA$1,[2]enemies!$1:$1,0)-MATCH($L$1,[2]enemies!$1:$1,0)+1),MATCH(AA$1,[2]enemies!$1:$1,0)-MATCH($L$1,[2]enemies!$1:$1,0)+1,FALSE)</f>
        <v>3</v>
      </c>
      <c r="AB710" s="52">
        <v>25</v>
      </c>
      <c r="AC710" s="4" t="str">
        <f ca="1">VLOOKUP($AB710,OFFSET([3]characters!$A$1,0,0,COUNTA([3]characters!$A:$A),MATCH(AC$1,[3]characters!$1:$1,0)-MATCH("character_id",[3]characters!$1:$1,0)+1),MATCH(AC$1,[3]characters!$1:$1,0)-MATCH("character_id",[3]characters!$1:$1,0)+1,FALSE)</f>
        <v>ハチ</v>
      </c>
      <c r="AD710" s="4">
        <f ca="1">VLOOKUP($AB710,OFFSET([3]characters!$A$1,0,0,COUNTA([3]characters!$A:$A),MATCH(AD$1,[3]characters!$1:$1,0)-MATCH("character_id",[3]characters!$1:$1,0)+1),MATCH(AD$1,[3]characters!$1:$1,0)-MATCH("character_id",[3]characters!$1:$1,0)+1,FALSE)</f>
        <v>1</v>
      </c>
      <c r="AE710" s="4" t="str">
        <f ca="1">VLOOKUP($AB710,OFFSET([3]characters!$A$1,0,0,COUNTA([3]characters!$A:$A),MATCH(AE$1,[3]characters!$1:$1,0)-MATCH("character_id",[3]characters!$1:$1,0)+1),MATCH(AE$1,[3]characters!$1:$1,0)-MATCH("character_id",[3]characters!$1:$1,0)+1,FALSE)</f>
        <v>Drop1N</v>
      </c>
      <c r="AF710" s="7">
        <v>7</v>
      </c>
      <c r="AG710" s="26">
        <f t="shared" ca="1" si="702"/>
        <v>1</v>
      </c>
      <c r="AH710" s="8">
        <v>20</v>
      </c>
      <c r="AI710" s="7">
        <v>0</v>
      </c>
      <c r="AJ710" s="7">
        <v>0</v>
      </c>
      <c r="AK710" s="7">
        <v>0</v>
      </c>
      <c r="AL710" s="7">
        <v>0</v>
      </c>
      <c r="AM710" s="7">
        <v>1</v>
      </c>
    </row>
    <row r="711" spans="1:39" ht="14" x14ac:dyDescent="0.15">
      <c r="A711" s="18" t="str">
        <f t="shared" ca="1" si="687"/>
        <v>26_2-1/348&lt;lv52&gt;s3</v>
      </c>
      <c r="B711" s="53">
        <v>26</v>
      </c>
      <c r="C711" s="51">
        <v>2</v>
      </c>
      <c r="D711" s="2" t="str">
        <f t="shared" ref="D711:D712" si="703">B711&amp;"_"&amp;C711</f>
        <v>26_2</v>
      </c>
      <c r="E711" s="2" t="str">
        <f t="shared" ref="E711:E712" si="704">C711&amp;"_"&amp;D711</f>
        <v>2_26_2</v>
      </c>
      <c r="F711" s="4" t="str">
        <f ca="1">VLOOKUP($D711,OFFSET([1]stages!$A$1,0,0,COUNTA([1]stages!$A:$A),MATCH(F$1,[1]stages!$2:$2,0)-MATCH($D$1,[1]stages!$2:$2,0)+1),MATCH(F$1,[1]stages!$2:$2,0)-MATCH($D$1,[1]stages!$2:$2,0)+1,FALSE)</f>
        <v>26-2．フロアジャック</v>
      </c>
      <c r="G711" s="57">
        <v>1</v>
      </c>
      <c r="H711" s="17" t="str">
        <f t="shared" ref="H711:H712" si="705">B711&amp;"_"&amp;C711&amp;"-"&amp;G711</f>
        <v>26_2-1</v>
      </c>
      <c r="I711" s="17"/>
      <c r="J711" s="17"/>
      <c r="K711" s="65" t="s">
        <v>56</v>
      </c>
      <c r="L711" s="52">
        <v>348</v>
      </c>
      <c r="M711" s="21" t="str">
        <f ca="1">VLOOKUP($L711,OFFSET([2]enemies!$A$1,0,0,COUNTA([2]enemies!$A:$A),MATCH(M$1,[2]enemies!$1:$1,0)-MATCH($L$1,[2]enemies!$1:$1,0)+1),MATCH(M$1,[2]enemies!$1:$1,0)-MATCH($L$1,[2]enemies!$1:$1,0)+1,FALSE)</f>
        <v>炎のケロケロ</v>
      </c>
      <c r="N711" s="21" t="str">
        <f ca="1">VLOOKUP($L711,OFFSET([2]enemies!$A$1,0,0,COUNTA([2]enemies!$A:$A),MATCH(N$1,[2]enemies!$1:$1,0)-MATCH($L$1,[2]enemies!$1:$1,0)+1),MATCH(N$1,[2]enemies!$1:$1,0)-MATCH($L$1,[2]enemies!$1:$1,0)+1,FALSE)</f>
        <v>red</v>
      </c>
      <c r="O711" s="21" t="str">
        <f ca="1">VLOOKUP($L711,OFFSET([3]characters!$A$1,0,0,COUNTA([3]characters!$A:$A),MATCH(O$1,[3]characters!$1:$1,0)-MATCH($L$1,[3]characters!$1:$1,0)+1),MATCH(O$1,[3]characters!$1:$1,0)-MATCH($L$1,[3]characters!$1:$1,0)+1,FALSE)</f>
        <v>Material</v>
      </c>
      <c r="P711" s="21" t="str">
        <f ca="1">VLOOKUP($L711,OFFSET([2]enemies!$A$1,0,0,COUNTA([2]enemies!$A:$A),MATCH(P$1,[2]enemies!$1:$1,0)-MATCH($L$1,[2]enemies!$1:$1,0)+1),MATCH(P$1,[2]enemies!$1:$1,0)-MATCH($L$1,[2]enemies!$1:$1,0)+1,FALSE)</f>
        <v>unknown</v>
      </c>
      <c r="Q711" s="21">
        <f ca="1">VLOOKUP($L711,OFFSET([2]enemies!$A$1,0,0,COUNTA([2]enemies!$A:$A),MATCH(Q$1,[2]enemies!$1:$1,0)-MATCH($L$1,[2]enemies!$1:$1,0)+1),MATCH(Q$1,[2]enemies!$1:$1,0)-MATCH($L$1,[2]enemies!$1:$1,0)+1,FALSE)</f>
        <v>15</v>
      </c>
      <c r="R711" s="53">
        <v>52</v>
      </c>
      <c r="S711" s="27">
        <v>1</v>
      </c>
      <c r="T711" s="27">
        <v>1</v>
      </c>
      <c r="U711" s="5">
        <v>0</v>
      </c>
      <c r="V711" s="4" t="str">
        <f ca="1">VLOOKUP($W711,OFFSET([4]enemy_skill_sets!$B$1,0,0,COUNTA([4]enemy_skill_sets!$B:$B),MATCH(M$1,[4]enemy_skill_sets!$1:$1,0)-MATCH($W$1,[4]enemy_skill_sets!$1:$1,0)+2),MATCH(M$1,[4]enemy_skill_sets!$1:$1,0)-MATCH($W$1,[4]enemy_skill_sets!$1:$1,0)+2,FALSE)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711" s="64">
        <v>348</v>
      </c>
      <c r="X711" s="6">
        <v>0</v>
      </c>
      <c r="Y711" s="6">
        <v>100</v>
      </c>
      <c r="Z711" s="6">
        <v>0</v>
      </c>
      <c r="AA711" s="4">
        <f ca="1">VLOOKUP($L711,OFFSET([2]enemies!$A$1,0,0,COUNTA([2]enemies!$A:$A),MATCH(AA$1,[2]enemies!$1:$1,0)-MATCH($L$1,[2]enemies!$1:$1,0)+1),MATCH(AA$1,[2]enemies!$1:$1,0)-MATCH($L$1,[2]enemies!$1:$1,0)+1,FALSE)</f>
        <v>3</v>
      </c>
      <c r="AB711" s="52">
        <v>348</v>
      </c>
      <c r="AC711" s="4" t="str">
        <f ca="1">VLOOKUP($AB711,OFFSET([3]characters!$A$1,0,0,COUNTA([3]characters!$A:$A),MATCH(AC$1,[3]characters!$1:$1,0)-MATCH("character_id",[3]characters!$1:$1,0)+1),MATCH(AC$1,[3]characters!$1:$1,0)-MATCH("character_id",[3]characters!$1:$1,0)+1,FALSE)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711" s="4">
        <f ca="1">VLOOKUP($AB711,OFFSET([3]characters!$A$1,0,0,COUNTA([3]characters!$A:$A),MATCH(AD$1,[3]characters!$1:$1,0)-MATCH("character_id",[3]characters!$1:$1,0)+1),MATCH(AD$1,[3]characters!$1:$1,0)-MATCH("character_id",[3]characters!$1:$1,0)+1,FALSE)</f>
        <v>2</v>
      </c>
      <c r="AE711" s="4" t="str">
        <f ca="1">VLOOKUP($AB711,OFFSET([3]characters!$A$1,0,0,COUNTA([3]characters!$A:$A),MATCH(AE$1,[3]characters!$1:$1,0)-MATCH("character_id",[3]characters!$1:$1,0)+1),MATCH(AE$1,[3]characters!$1:$1,0)-MATCH("character_id",[3]characters!$1:$1,0)+1,FALSE)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11" s="7">
        <v>10</v>
      </c>
      <c r="AG711" s="26">
        <f t="shared" ca="1" si="702"/>
        <v>2</v>
      </c>
      <c r="AH711" s="8">
        <v>20</v>
      </c>
      <c r="AI711" s="7">
        <v>0</v>
      </c>
      <c r="AJ711" s="7">
        <v>0</v>
      </c>
      <c r="AK711" s="7">
        <v>0</v>
      </c>
      <c r="AL711" s="7">
        <v>0</v>
      </c>
      <c r="AM711" s="7">
        <v>1</v>
      </c>
    </row>
    <row r="712" spans="1:39" ht="14" x14ac:dyDescent="0.15">
      <c r="A712" s="18" t="str">
        <f t="shared" ca="1" si="687"/>
        <v>26_2-1/350&lt;lv52&gt;s3</v>
      </c>
      <c r="B712" s="53">
        <v>26</v>
      </c>
      <c r="C712" s="51">
        <v>2</v>
      </c>
      <c r="D712" s="2" t="str">
        <f t="shared" si="703"/>
        <v>26_2</v>
      </c>
      <c r="E712" s="2" t="str">
        <f t="shared" si="704"/>
        <v>2_26_2</v>
      </c>
      <c r="F712" s="4" t="str">
        <f ca="1">VLOOKUP($D712,OFFSET([1]stages!$A$1,0,0,COUNTA([1]stages!$A:$A),MATCH(F$1,[1]stages!$2:$2,0)-MATCH($D$1,[1]stages!$2:$2,0)+1),MATCH(F$1,[1]stages!$2:$2,0)-MATCH($D$1,[1]stages!$2:$2,0)+1,FALSE)</f>
        <v>26-2．フロアジャック</v>
      </c>
      <c r="G712" s="57">
        <v>1</v>
      </c>
      <c r="H712" s="17" t="str">
        <f t="shared" si="705"/>
        <v>26_2-1</v>
      </c>
      <c r="I712" s="17"/>
      <c r="J712" s="17"/>
      <c r="K712" s="65" t="s">
        <v>56</v>
      </c>
      <c r="L712" s="52">
        <v>350</v>
      </c>
      <c r="M712" s="21" t="str">
        <f ca="1">VLOOKUP($L712,OFFSET([2]enemies!$A$1,0,0,COUNTA([2]enemies!$A:$A),MATCH(M$1,[2]enemies!$1:$1,0)-MATCH($L$1,[2]enemies!$1:$1,0)+1),MATCH(M$1,[2]enemies!$1:$1,0)-MATCH($L$1,[2]enemies!$1:$1,0)+1,FALSE)</f>
        <v>森のケロケロ</v>
      </c>
      <c r="N712" s="21" t="str">
        <f ca="1">VLOOKUP($L712,OFFSET([2]enemies!$A$1,0,0,COUNTA([2]enemies!$A:$A),MATCH(N$1,[2]enemies!$1:$1,0)-MATCH($L$1,[2]enemies!$1:$1,0)+1),MATCH(N$1,[2]enemies!$1:$1,0)-MATCH($L$1,[2]enemies!$1:$1,0)+1,FALSE)</f>
        <v>green</v>
      </c>
      <c r="O712" s="21" t="str">
        <f ca="1">VLOOKUP($L712,OFFSET([3]characters!$A$1,0,0,COUNTA([3]characters!$A:$A),MATCH(O$1,[3]characters!$1:$1,0)-MATCH($L$1,[3]characters!$1:$1,0)+1),MATCH(O$1,[3]characters!$1:$1,0)-MATCH($L$1,[3]characters!$1:$1,0)+1,FALSE)</f>
        <v>Material</v>
      </c>
      <c r="P712" s="21" t="str">
        <f ca="1">VLOOKUP($L712,OFFSET([2]enemies!$A$1,0,0,COUNTA([2]enemies!$A:$A),MATCH(P$1,[2]enemies!$1:$1,0)-MATCH($L$1,[2]enemies!$1:$1,0)+1),MATCH(P$1,[2]enemies!$1:$1,0)-MATCH($L$1,[2]enemies!$1:$1,0)+1,FALSE)</f>
        <v>unknown</v>
      </c>
      <c r="Q712" s="21">
        <f ca="1">VLOOKUP($L712,OFFSET([2]enemies!$A$1,0,0,COUNTA([2]enemies!$A:$A),MATCH(Q$1,[2]enemies!$1:$1,0)-MATCH($L$1,[2]enemies!$1:$1,0)+1),MATCH(Q$1,[2]enemies!$1:$1,0)-MATCH($L$1,[2]enemies!$1:$1,0)+1,FALSE)</f>
        <v>15</v>
      </c>
      <c r="R712" s="53">
        <v>52</v>
      </c>
      <c r="S712" s="27">
        <v>1</v>
      </c>
      <c r="T712" s="27">
        <v>1</v>
      </c>
      <c r="U712" s="5">
        <v>0</v>
      </c>
      <c r="V712" s="4" t="str">
        <f ca="1">VLOOKUP($W712,OFFSET([4]enemy_skill_sets!$B$1,0,0,COUNTA([4]enemy_skill_sets!$B:$B),MATCH(M$1,[4]enemy_skill_sets!$1:$1,0)-MATCH($W$1,[4]enemy_skill_sets!$1:$1,0)+2),MATCH(M$1,[4]enemy_skill_sets!$1:$1,0)-MATCH($W$1,[4]enemy_skill_sets!$1:$1,0)+2,FALSE)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712" s="64">
        <v>350</v>
      </c>
      <c r="X712" s="6">
        <v>0</v>
      </c>
      <c r="Y712" s="6">
        <v>100</v>
      </c>
      <c r="Z712" s="6">
        <v>0</v>
      </c>
      <c r="AA712" s="4">
        <f ca="1">VLOOKUP($L712,OFFSET([2]enemies!$A$1,0,0,COUNTA([2]enemies!$A:$A),MATCH(AA$1,[2]enemies!$1:$1,0)-MATCH($L$1,[2]enemies!$1:$1,0)+1),MATCH(AA$1,[2]enemies!$1:$1,0)-MATCH($L$1,[2]enemies!$1:$1,0)+1,FALSE)</f>
        <v>3</v>
      </c>
      <c r="AB712" s="52">
        <v>350</v>
      </c>
      <c r="AC712" s="4" t="str">
        <f ca="1">VLOOKUP($AB712,OFFSET([3]characters!$A$1,0,0,COUNTA([3]characters!$A:$A),MATCH(AC$1,[3]characters!$1:$1,0)-MATCH("character_id",[3]characters!$1:$1,0)+1),MATCH(AC$1,[3]characters!$1:$1,0)-MATCH("character_id",[3]characters!$1:$1,0)+1,FALSE)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712" s="4">
        <f ca="1">VLOOKUP($AB712,OFFSET([3]characters!$A$1,0,0,COUNTA([3]characters!$A:$A),MATCH(AD$1,[3]characters!$1:$1,0)-MATCH("character_id",[3]characters!$1:$1,0)+1),MATCH(AD$1,[3]characters!$1:$1,0)-MATCH("character_id",[3]characters!$1:$1,0)+1,FALSE)</f>
        <v>2</v>
      </c>
      <c r="AE712" s="4" t="str">
        <f ca="1">VLOOKUP($AB712,OFFSET([3]characters!$A$1,0,0,COUNTA([3]characters!$A:$A),MATCH(AE$1,[3]characters!$1:$1,0)-MATCH("character_id",[3]characters!$1:$1,0)+1),MATCH(AE$1,[3]characters!$1:$1,0)-MATCH("character_id",[3]characters!$1:$1,0)+1,FALSE)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12" s="7">
        <v>10</v>
      </c>
      <c r="AG712" s="26">
        <f t="shared" ca="1" si="702"/>
        <v>2</v>
      </c>
      <c r="AH712" s="8">
        <v>20</v>
      </c>
      <c r="AI712" s="7">
        <v>0</v>
      </c>
      <c r="AJ712" s="7">
        <v>0</v>
      </c>
      <c r="AK712" s="7">
        <v>0</v>
      </c>
      <c r="AL712" s="7">
        <v>0</v>
      </c>
      <c r="AM712" s="7">
        <v>1</v>
      </c>
    </row>
    <row r="713" spans="1:39" ht="14" x14ac:dyDescent="0.15">
      <c r="A713" s="18" t="str">
        <f t="shared" ca="1" si="687"/>
        <v>26_2-2/33&lt;lv52&gt;s2</v>
      </c>
      <c r="B713" s="50">
        <v>26</v>
      </c>
      <c r="C713" s="49">
        <v>2</v>
      </c>
      <c r="D713" s="2" t="str">
        <f t="shared" ref="D713:E758" si="706">B713&amp;"_"&amp;C713</f>
        <v>26_2</v>
      </c>
      <c r="E713" s="2" t="str">
        <f t="shared" si="706"/>
        <v>2_26_2</v>
      </c>
      <c r="F713" s="4" t="str">
        <f ca="1">VLOOKUP($D713,OFFSET([1]stages!$A$1,0,0,COUNTA([1]stages!$A:$A),MATCH(F$1,[1]stages!$2:$2,0)-MATCH($D$1,[1]stages!$2:$2,0)+1),MATCH(F$1,[1]stages!$2:$2,0)-MATCH($D$1,[1]stages!$2:$2,0)+1,FALSE)</f>
        <v>26-2．フロアジャック</v>
      </c>
      <c r="G713" s="54">
        <v>2</v>
      </c>
      <c r="H713" s="17" t="str">
        <f t="shared" ref="H713:H758" si="707">B713&amp;"_"&amp;C713&amp;"-"&amp;G713</f>
        <v>26_2-2</v>
      </c>
      <c r="I713" s="17"/>
      <c r="J713" s="17"/>
      <c r="K713" s="65" t="s">
        <v>56</v>
      </c>
      <c r="L713" s="52">
        <v>33</v>
      </c>
      <c r="M713" s="21" t="str">
        <f ca="1">VLOOKUP($L713,OFFSET([2]enemies!$A$1,0,0,COUNTA([2]enemies!$A:$A),MATCH(M$1,[2]enemies!$1:$1,0)-MATCH($L$1,[2]enemies!$1:$1,0)+1),MATCH(M$1,[2]enemies!$1:$1,0)-MATCH($L$1,[2]enemies!$1:$1,0)+1,FALSE)</f>
        <v>ゴクウ</v>
      </c>
      <c r="N713" s="21" t="str">
        <f ca="1">VLOOKUP($L713,OFFSET([2]enemies!$A$1,0,0,COUNTA([2]enemies!$A:$A),MATCH(N$1,[2]enemies!$1:$1,0)-MATCH($L$1,[2]enemies!$1:$1,0)+1),MATCH(N$1,[2]enemies!$1:$1,0)-MATCH($L$1,[2]enemies!$1:$1,0)+1,FALSE)</f>
        <v>red</v>
      </c>
      <c r="O713" s="21" t="str">
        <f ca="1">VLOOKUP($L713,OFFSET([3]characters!$A$1,0,0,COUNTA([3]characters!$A:$A),MATCH(O$1,[3]characters!$1:$1,0)-MATCH($L$1,[3]characters!$1:$1,0)+1),MATCH(O$1,[3]characters!$1:$1,0)-MATCH($L$1,[3]characters!$1:$1,0)+1,FALSE)</f>
        <v>Drop1S</v>
      </c>
      <c r="P713" s="21" t="str">
        <f ca="1">VLOOKUP($L713,OFFSET([2]enemies!$A$1,0,0,COUNTA([2]enemies!$A:$A),MATCH(P$1,[2]enemies!$1:$1,0)-MATCH($L$1,[2]enemies!$1:$1,0)+1),MATCH(P$1,[2]enemies!$1:$1,0)-MATCH($L$1,[2]enemies!$1:$1,0)+1,FALSE)</f>
        <v>animal</v>
      </c>
      <c r="Q713" s="21">
        <f ca="1">VLOOKUP($L713,OFFSET([2]enemies!$A$1,0,0,COUNTA([2]enemies!$A:$A),MATCH(Q$1,[2]enemies!$1:$1,0)-MATCH($L$1,[2]enemies!$1:$1,0)+1),MATCH(Q$1,[2]enemies!$1:$1,0)-MATCH($L$1,[2]enemies!$1:$1,0)+1,FALSE)</f>
        <v>15</v>
      </c>
      <c r="R713" s="53">
        <v>52</v>
      </c>
      <c r="S713" s="27">
        <v>1</v>
      </c>
      <c r="T713" s="27">
        <v>1</v>
      </c>
      <c r="U713" s="5">
        <v>0</v>
      </c>
      <c r="V713" s="4" t="str">
        <f ca="1">VLOOKUP($W713,OFFSET([4]enemy_skill_sets!$B$1,0,0,COUNTA([4]enemy_skill_sets!$B:$B),MATCH(M$1,[4]enemy_skill_sets!$1:$1,0)-MATCH($W$1,[4]enemy_skill_sets!$1:$1,0)+2),MATCH(M$1,[4]enemy_skill_sets!$1:$1,0)-MATCH($W$1,[4]enemy_skill_sets!$1:$1,0)+2,FALSE)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713" s="4">
        <f ca="1">VLOOKUP($L713,OFFSET([2]enemies!$A$1,0,0,COUNTA([2]enemies!$A:$A),MATCH(W$1,[2]enemies!$1:$1,0)-MATCH($L$1,[2]enemies!$1:$1,0)+1),MATCH(W$1,[2]enemies!$1:$1,0)-MATCH($L$1,[2]enemies!$1:$1,0)+1,FALSE)</f>
        <v>33</v>
      </c>
      <c r="X713" s="6">
        <v>0</v>
      </c>
      <c r="Y713" s="6">
        <v>100</v>
      </c>
      <c r="Z713" s="6">
        <v>0</v>
      </c>
      <c r="AA713" s="4">
        <f ca="1">VLOOKUP($L713,OFFSET([2]enemies!$A$1,0,0,COUNTA([2]enemies!$A:$A),MATCH(AA$1,[2]enemies!$1:$1,0)-MATCH($L$1,[2]enemies!$1:$1,0)+1),MATCH(AA$1,[2]enemies!$1:$1,0)-MATCH($L$1,[2]enemies!$1:$1,0)+1,FALSE)</f>
        <v>2</v>
      </c>
      <c r="AB713" s="52">
        <v>33</v>
      </c>
      <c r="AC713" s="4" t="str">
        <f ca="1">VLOOKUP($AB713,OFFSET([3]characters!$A$1,0,0,COUNTA([3]characters!$A:$A),MATCH(AC$1,[3]characters!$1:$1,0)-MATCH("character_id",[3]characters!$1:$1,0)+1),MATCH(AC$1,[3]characters!$1:$1,0)-MATCH("character_id",[3]characters!$1:$1,0)+1,FALSE)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713" s="4">
        <f ca="1">VLOOKUP($AB713,OFFSET([3]characters!$A$1,0,0,COUNTA([3]characters!$A:$A),MATCH(AD$1,[3]characters!$1:$1,0)-MATCH("character_id",[3]characters!$1:$1,0)+1),MATCH(AD$1,[3]characters!$1:$1,0)-MATCH("character_id",[3]characters!$1:$1,0)+1,FALSE)</f>
        <v>2</v>
      </c>
      <c r="AE713" s="4" t="str">
        <f ca="1">VLOOKUP($AB713,OFFSET([3]characters!$A$1,0,0,COUNTA([3]characters!$A:$A),MATCH(AE$1,[3]characters!$1:$1,0)-MATCH("character_id",[3]characters!$1:$1,0)+1),MATCH(AE$1,[3]characters!$1:$1,0)-MATCH("character_id",[3]characters!$1:$1,0)+1,FALSE)</f>
        <v>Drop1S</v>
      </c>
      <c r="AF713" s="7">
        <v>5</v>
      </c>
      <c r="AG713" s="26">
        <f t="shared" ca="1" si="702"/>
        <v>2</v>
      </c>
      <c r="AH713" s="8">
        <v>20</v>
      </c>
      <c r="AI713" s="7">
        <v>0</v>
      </c>
      <c r="AJ713" s="7">
        <v>0</v>
      </c>
      <c r="AK713" s="7">
        <v>0</v>
      </c>
      <c r="AL713" s="7">
        <v>0</v>
      </c>
      <c r="AM713" s="7">
        <v>1</v>
      </c>
    </row>
    <row r="714" spans="1:39" ht="14" x14ac:dyDescent="0.15">
      <c r="A714" s="18" t="str">
        <f t="shared" ca="1" si="687"/>
        <v>26_2-2/37&lt;lv52&gt;s3</v>
      </c>
      <c r="B714" s="50">
        <v>26</v>
      </c>
      <c r="C714" s="49">
        <v>2</v>
      </c>
      <c r="D714" s="2" t="str">
        <f t="shared" si="706"/>
        <v>26_2</v>
      </c>
      <c r="E714" s="2" t="str">
        <f t="shared" si="706"/>
        <v>2_26_2</v>
      </c>
      <c r="F714" s="4" t="str">
        <f ca="1">VLOOKUP($D714,OFFSET([1]stages!$A$1,0,0,COUNTA([1]stages!$A:$A),MATCH(F$1,[1]stages!$2:$2,0)-MATCH($D$1,[1]stages!$2:$2,0)+1),MATCH(F$1,[1]stages!$2:$2,0)-MATCH($D$1,[1]stages!$2:$2,0)+1,FALSE)</f>
        <v>26-2．フロアジャック</v>
      </c>
      <c r="G714" s="54">
        <v>2</v>
      </c>
      <c r="H714" s="17" t="str">
        <f t="shared" si="707"/>
        <v>26_2-2</v>
      </c>
      <c r="I714" s="17"/>
      <c r="J714" s="17"/>
      <c r="K714" s="65" t="s">
        <v>56</v>
      </c>
      <c r="L714" s="52">
        <v>37</v>
      </c>
      <c r="M714" s="21" t="str">
        <f ca="1">VLOOKUP($L714,OFFSET([2]enemies!$A$1,0,0,COUNTA([2]enemies!$A:$A),MATCH(M$1,[2]enemies!$1:$1,0)-MATCH($L$1,[2]enemies!$1:$1,0)+1),MATCH(M$1,[2]enemies!$1:$1,0)-MATCH($L$1,[2]enemies!$1:$1,0)+1,FALSE)</f>
        <v>ガイル</v>
      </c>
      <c r="N714" s="21" t="str">
        <f ca="1">VLOOKUP($L714,OFFSET([2]enemies!$A$1,0,0,COUNTA([2]enemies!$A:$A),MATCH(N$1,[2]enemies!$1:$1,0)-MATCH($L$1,[2]enemies!$1:$1,0)+1),MATCH(N$1,[2]enemies!$1:$1,0)-MATCH($L$1,[2]enemies!$1:$1,0)+1,FALSE)</f>
        <v>blue</v>
      </c>
      <c r="O714" s="21" t="str">
        <f ca="1">VLOOKUP($L714,OFFSET([3]characters!$A$1,0,0,COUNTA([3]characters!$A:$A),MATCH(O$1,[3]characters!$1:$1,0)-MATCH($L$1,[3]characters!$1:$1,0)+1),MATCH(O$1,[3]characters!$1:$1,0)-MATCH($L$1,[3]characters!$1:$1,0)+1,FALSE)</f>
        <v>Drop1S</v>
      </c>
      <c r="P714" s="21" t="str">
        <f ca="1">VLOOKUP($L714,OFFSET([2]enemies!$A$1,0,0,COUNTA([2]enemies!$A:$A),MATCH(P$1,[2]enemies!$1:$1,0)-MATCH($L$1,[2]enemies!$1:$1,0)+1),MATCH(P$1,[2]enemies!$1:$1,0)-MATCH($L$1,[2]enemies!$1:$1,0)+1,FALSE)</f>
        <v>animal</v>
      </c>
      <c r="Q714" s="21">
        <f ca="1">VLOOKUP($L714,OFFSET([2]enemies!$A$1,0,0,COUNTA([2]enemies!$A:$A),MATCH(Q$1,[2]enemies!$1:$1,0)-MATCH($L$1,[2]enemies!$1:$1,0)+1),MATCH(Q$1,[2]enemies!$1:$1,0)-MATCH($L$1,[2]enemies!$1:$1,0)+1,FALSE)</f>
        <v>15</v>
      </c>
      <c r="R714" s="53">
        <v>52</v>
      </c>
      <c r="S714" s="27">
        <v>1</v>
      </c>
      <c r="T714" s="27">
        <v>1</v>
      </c>
      <c r="U714" s="5">
        <v>0</v>
      </c>
      <c r="V714" s="4" t="str">
        <f ca="1">VLOOKUP($W714,OFFSET([4]enemy_skill_sets!$B$1,0,0,COUNTA([4]enemy_skill_sets!$B:$B),MATCH(M$1,[4]enemy_skill_sets!$1:$1,0)-MATCH($W$1,[4]enemy_skill_sets!$1:$1,0)+2),MATCH(M$1,[4]enemy_skill_sets!$1:$1,0)-MATCH($W$1,[4]enemy_skill_sets!$1:$1,0)+2,FALSE)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714" s="4">
        <f ca="1">VLOOKUP($L714,OFFSET([2]enemies!$A$1,0,0,COUNTA([2]enemies!$A:$A),MATCH(W$1,[2]enemies!$1:$1,0)-MATCH($L$1,[2]enemies!$1:$1,0)+1),MATCH(W$1,[2]enemies!$1:$1,0)-MATCH($L$1,[2]enemies!$1:$1,0)+1,FALSE)</f>
        <v>37</v>
      </c>
      <c r="X714" s="6">
        <v>0</v>
      </c>
      <c r="Y714" s="6">
        <v>100</v>
      </c>
      <c r="Z714" s="6">
        <v>0</v>
      </c>
      <c r="AA714" s="4">
        <f ca="1">VLOOKUP($L714,OFFSET([2]enemies!$A$1,0,0,COUNTA([2]enemies!$A:$A),MATCH(AA$1,[2]enemies!$1:$1,0)-MATCH($L$1,[2]enemies!$1:$1,0)+1),MATCH(AA$1,[2]enemies!$1:$1,0)-MATCH($L$1,[2]enemies!$1:$1,0)+1,FALSE)</f>
        <v>3</v>
      </c>
      <c r="AB714" s="52">
        <v>37</v>
      </c>
      <c r="AC714" s="4" t="str">
        <f ca="1">VLOOKUP($AB714,OFFSET([3]characters!$A$1,0,0,COUNTA([3]characters!$A:$A),MATCH(AC$1,[3]characters!$1:$1,0)-MATCH("character_id",[3]characters!$1:$1,0)+1),MATCH(AC$1,[3]characters!$1:$1,0)-MATCH("character_id",[3]characters!$1:$1,0)+1,FALSE)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714" s="4">
        <f ca="1">VLOOKUP($AB714,OFFSET([3]characters!$A$1,0,0,COUNTA([3]characters!$A:$A),MATCH(AD$1,[3]characters!$1:$1,0)-MATCH("character_id",[3]characters!$1:$1,0)+1),MATCH(AD$1,[3]characters!$1:$1,0)-MATCH("character_id",[3]characters!$1:$1,0)+1,FALSE)</f>
        <v>2</v>
      </c>
      <c r="AE714" s="4" t="str">
        <f ca="1">VLOOKUP($AB714,OFFSET([3]characters!$A$1,0,0,COUNTA([3]characters!$A:$A),MATCH(AE$1,[3]characters!$1:$1,0)-MATCH("character_id",[3]characters!$1:$1,0)+1),MATCH(AE$1,[3]characters!$1:$1,0)-MATCH("character_id",[3]characters!$1:$1,0)+1,FALSE)</f>
        <v>Drop1S</v>
      </c>
      <c r="AF714" s="7">
        <v>5</v>
      </c>
      <c r="AG714" s="26">
        <f t="shared" ca="1" si="702"/>
        <v>2</v>
      </c>
      <c r="AH714" s="8">
        <v>20</v>
      </c>
      <c r="AI714" s="7">
        <v>0</v>
      </c>
      <c r="AJ714" s="7">
        <v>0</v>
      </c>
      <c r="AK714" s="7">
        <v>0</v>
      </c>
      <c r="AL714" s="7">
        <v>0</v>
      </c>
      <c r="AM714" s="7">
        <v>1</v>
      </c>
    </row>
    <row r="715" spans="1:39" ht="14" x14ac:dyDescent="0.15">
      <c r="A715" s="18" t="str">
        <f t="shared" ca="1" si="687"/>
        <v>26_2-2/45&lt;lv52&gt;s3</v>
      </c>
      <c r="B715" s="50">
        <v>26</v>
      </c>
      <c r="C715" s="49">
        <v>2</v>
      </c>
      <c r="D715" s="2" t="str">
        <f t="shared" si="706"/>
        <v>26_2</v>
      </c>
      <c r="E715" s="2" t="str">
        <f t="shared" si="706"/>
        <v>2_26_2</v>
      </c>
      <c r="F715" s="4" t="str">
        <f ca="1">VLOOKUP($D715,OFFSET([1]stages!$A$1,0,0,COUNTA([1]stages!$A:$A),MATCH(F$1,[1]stages!$2:$2,0)-MATCH($D$1,[1]stages!$2:$2,0)+1),MATCH(F$1,[1]stages!$2:$2,0)-MATCH($D$1,[1]stages!$2:$2,0)+1,FALSE)</f>
        <v>26-2．フロアジャック</v>
      </c>
      <c r="G715" s="54">
        <v>2</v>
      </c>
      <c r="H715" s="17" t="str">
        <f t="shared" si="707"/>
        <v>26_2-2</v>
      </c>
      <c r="I715" s="17"/>
      <c r="J715" s="17"/>
      <c r="K715" s="65" t="s">
        <v>56</v>
      </c>
      <c r="L715" s="52">
        <v>45</v>
      </c>
      <c r="M715" s="21" t="str">
        <f ca="1">VLOOKUP($L715,OFFSET([2]enemies!$A$1,0,0,COUNTA([2]enemies!$A:$A),MATCH(M$1,[2]enemies!$1:$1,0)-MATCH($L$1,[2]enemies!$1:$1,0)+1),MATCH(M$1,[2]enemies!$1:$1,0)-MATCH($L$1,[2]enemies!$1:$1,0)+1,FALSE)</f>
        <v>ショウイン</v>
      </c>
      <c r="N715" s="21" t="str">
        <f ca="1">VLOOKUP($L715,OFFSET([2]enemies!$A$1,0,0,COUNTA([2]enemies!$A:$A),MATCH(N$1,[2]enemies!$1:$1,0)-MATCH($L$1,[2]enemies!$1:$1,0)+1),MATCH(N$1,[2]enemies!$1:$1,0)-MATCH($L$1,[2]enemies!$1:$1,0)+1,FALSE)</f>
        <v>blue</v>
      </c>
      <c r="O715" s="21" t="str">
        <f ca="1">VLOOKUP($L715,OFFSET([3]characters!$A$1,0,0,COUNTA([3]characters!$A:$A),MATCH(O$1,[3]characters!$1:$1,0)-MATCH($L$1,[3]characters!$1:$1,0)+1),MATCH(O$1,[3]characters!$1:$1,0)-MATCH($L$1,[3]characters!$1:$1,0)+1,FALSE)</f>
        <v>Drop1N</v>
      </c>
      <c r="P715" s="21" t="str">
        <f ca="1">VLOOKUP($L715,OFFSET([2]enemies!$A$1,0,0,COUNTA([2]enemies!$A:$A),MATCH(P$1,[2]enemies!$1:$1,0)-MATCH($L$1,[2]enemies!$1:$1,0)+1),MATCH(P$1,[2]enemies!$1:$1,0)-MATCH($L$1,[2]enemies!$1:$1,0)+1,FALSE)</f>
        <v>animal</v>
      </c>
      <c r="Q715" s="21">
        <f ca="1">VLOOKUP($L715,OFFSET([2]enemies!$A$1,0,0,COUNTA([2]enemies!$A:$A),MATCH(Q$1,[2]enemies!$1:$1,0)-MATCH($L$1,[2]enemies!$1:$1,0)+1),MATCH(Q$1,[2]enemies!$1:$1,0)-MATCH($L$1,[2]enemies!$1:$1,0)+1,FALSE)</f>
        <v>15</v>
      </c>
      <c r="R715" s="53">
        <v>52</v>
      </c>
      <c r="S715" s="27">
        <v>1</v>
      </c>
      <c r="T715" s="27">
        <v>1</v>
      </c>
      <c r="U715" s="5">
        <v>0</v>
      </c>
      <c r="V715" s="4" t="str">
        <f ca="1">VLOOKUP($W715,OFFSET([4]enemy_skill_sets!$B$1,0,0,COUNTA([4]enemy_skill_sets!$B:$B),MATCH(M$1,[4]enemy_skill_sets!$1:$1,0)-MATCH($W$1,[4]enemy_skill_sets!$1:$1,0)+2),MATCH(M$1,[4]enemy_skill_sets!$1:$1,0)-MATCH($W$1,[4]enemy_skill_sets!$1:$1,0)+2,FALSE)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15" s="4">
        <f ca="1">VLOOKUP($L715,OFFSET([2]enemies!$A$1,0,0,COUNTA([2]enemies!$A:$A),MATCH(W$1,[2]enemies!$1:$1,0)-MATCH($L$1,[2]enemies!$1:$1,0)+1),MATCH(W$1,[2]enemies!$1:$1,0)-MATCH($L$1,[2]enemies!$1:$1,0)+1,FALSE)</f>
        <v>0</v>
      </c>
      <c r="X715" s="6">
        <v>0</v>
      </c>
      <c r="Y715" s="6">
        <v>100</v>
      </c>
      <c r="Z715" s="6">
        <v>0</v>
      </c>
      <c r="AA715" s="4">
        <f ca="1">VLOOKUP($L715,OFFSET([2]enemies!$A$1,0,0,COUNTA([2]enemies!$A:$A),MATCH(AA$1,[2]enemies!$1:$1,0)-MATCH($L$1,[2]enemies!$1:$1,0)+1),MATCH(AA$1,[2]enemies!$1:$1,0)-MATCH($L$1,[2]enemies!$1:$1,0)+1,FALSE)</f>
        <v>3</v>
      </c>
      <c r="AB715" s="52">
        <v>45</v>
      </c>
      <c r="AC715" s="4" t="str">
        <f ca="1">VLOOKUP($AB715,OFFSET([3]characters!$A$1,0,0,COUNTA([3]characters!$A:$A),MATCH(AC$1,[3]characters!$1:$1,0)-MATCH("character_id",[3]characters!$1:$1,0)+1),MATCH(AC$1,[3]characters!$1:$1,0)-MATCH("character_id",[3]characters!$1:$1,0)+1,FALSE)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715" s="4">
        <f ca="1">VLOOKUP($AB715,OFFSET([3]characters!$A$1,0,0,COUNTA([3]characters!$A:$A),MATCH(AD$1,[3]characters!$1:$1,0)-MATCH("character_id",[3]characters!$1:$1,0)+1),MATCH(AD$1,[3]characters!$1:$1,0)-MATCH("character_id",[3]characters!$1:$1,0)+1,FALSE)</f>
        <v>2</v>
      </c>
      <c r="AE715" s="4" t="str">
        <f ca="1">VLOOKUP($AB715,OFFSET([3]characters!$A$1,0,0,COUNTA([3]characters!$A:$A),MATCH(AE$1,[3]characters!$1:$1,0)-MATCH("character_id",[3]characters!$1:$1,0)+1),MATCH(AE$1,[3]characters!$1:$1,0)-MATCH("character_id",[3]characters!$1:$1,0)+1,FALSE)</f>
        <v>Drop1N</v>
      </c>
      <c r="AF715" s="7">
        <v>7</v>
      </c>
      <c r="AG715" s="26">
        <f t="shared" ca="1" si="702"/>
        <v>2</v>
      </c>
      <c r="AH715" s="8">
        <v>20</v>
      </c>
      <c r="AI715" s="7">
        <v>0</v>
      </c>
      <c r="AJ715" s="7">
        <v>0</v>
      </c>
      <c r="AK715" s="7">
        <v>0</v>
      </c>
      <c r="AL715" s="7">
        <v>0</v>
      </c>
      <c r="AM715" s="7">
        <v>1</v>
      </c>
    </row>
    <row r="716" spans="1:39" ht="14" x14ac:dyDescent="0.15">
      <c r="A716" s="18" t="str">
        <f t="shared" ca="1" si="687"/>
        <v>26_2-2/47&lt;lv52&gt;s1</v>
      </c>
      <c r="B716" s="50">
        <v>26</v>
      </c>
      <c r="C716" s="49">
        <v>2</v>
      </c>
      <c r="D716" s="2" t="str">
        <f t="shared" si="706"/>
        <v>26_2</v>
      </c>
      <c r="E716" s="2" t="str">
        <f t="shared" si="706"/>
        <v>2_26_2</v>
      </c>
      <c r="F716" s="4" t="str">
        <f ca="1">VLOOKUP($D716,OFFSET([1]stages!$A$1,0,0,COUNTA([1]stages!$A:$A),MATCH(F$1,[1]stages!$2:$2,0)-MATCH($D$1,[1]stages!$2:$2,0)+1),MATCH(F$1,[1]stages!$2:$2,0)-MATCH($D$1,[1]stages!$2:$2,0)+1,FALSE)</f>
        <v>26-2．フロアジャック</v>
      </c>
      <c r="G716" s="54">
        <v>2</v>
      </c>
      <c r="H716" s="17" t="str">
        <f t="shared" si="707"/>
        <v>26_2-2</v>
      </c>
      <c r="I716" s="17"/>
      <c r="J716" s="17"/>
      <c r="K716" s="65" t="s">
        <v>56</v>
      </c>
      <c r="L716" s="52">
        <v>47</v>
      </c>
      <c r="M716" s="21" t="str">
        <f ca="1">VLOOKUP($L716,OFFSET([2]enemies!$A$1,0,0,COUNTA([2]enemies!$A:$A),MATCH(M$1,[2]enemies!$1:$1,0)-MATCH($L$1,[2]enemies!$1:$1,0)+1),MATCH(M$1,[2]enemies!$1:$1,0)-MATCH($L$1,[2]enemies!$1:$1,0)+1,FALSE)</f>
        <v>ヒロ</v>
      </c>
      <c r="N716" s="21" t="str">
        <f ca="1">VLOOKUP($L716,OFFSET([2]enemies!$A$1,0,0,COUNTA([2]enemies!$A:$A),MATCH(N$1,[2]enemies!$1:$1,0)-MATCH($L$1,[2]enemies!$1:$1,0)+1),MATCH(N$1,[2]enemies!$1:$1,0)-MATCH($L$1,[2]enemies!$1:$1,0)+1,FALSE)</f>
        <v>yellow</v>
      </c>
      <c r="O716" s="21" t="str">
        <f ca="1">VLOOKUP($L716,OFFSET([3]characters!$A$1,0,0,COUNTA([3]characters!$A:$A),MATCH(O$1,[3]characters!$1:$1,0)-MATCH($L$1,[3]characters!$1:$1,0)+1),MATCH(O$1,[3]characters!$1:$1,0)-MATCH($L$1,[3]characters!$1:$1,0)+1,FALSE)</f>
        <v>Drop1N</v>
      </c>
      <c r="P716" s="21" t="str">
        <f ca="1">VLOOKUP($L716,OFFSET([2]enemies!$A$1,0,0,COUNTA([2]enemies!$A:$A),MATCH(P$1,[2]enemies!$1:$1,0)-MATCH($L$1,[2]enemies!$1:$1,0)+1),MATCH(P$1,[2]enemies!$1:$1,0)-MATCH($L$1,[2]enemies!$1:$1,0)+1,FALSE)</f>
        <v>animal</v>
      </c>
      <c r="Q716" s="21">
        <f ca="1">VLOOKUP($L716,OFFSET([2]enemies!$A$1,0,0,COUNTA([2]enemies!$A:$A),MATCH(Q$1,[2]enemies!$1:$1,0)-MATCH($L$1,[2]enemies!$1:$1,0)+1),MATCH(Q$1,[2]enemies!$1:$1,0)-MATCH($L$1,[2]enemies!$1:$1,0)+1,FALSE)</f>
        <v>15</v>
      </c>
      <c r="R716" s="53">
        <v>52</v>
      </c>
      <c r="S716" s="27">
        <v>1</v>
      </c>
      <c r="T716" s="27">
        <v>1</v>
      </c>
      <c r="U716" s="5">
        <v>0</v>
      </c>
      <c r="V716" s="4" t="str">
        <f ca="1">VLOOKUP($W716,OFFSET([4]enemy_skill_sets!$B$1,0,0,COUNTA([4]enemy_skill_sets!$B:$B),MATCH(M$1,[4]enemy_skill_sets!$1:$1,0)-MATCH($W$1,[4]enemy_skill_sets!$1:$1,0)+2),MATCH(M$1,[4]enemy_skill_sets!$1:$1,0)-MATCH($W$1,[4]enemy_skill_sets!$1:$1,0)+2,FALSE)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16" s="4">
        <f ca="1">VLOOKUP($L716,OFFSET([2]enemies!$A$1,0,0,COUNTA([2]enemies!$A:$A),MATCH(W$1,[2]enemies!$1:$1,0)-MATCH($L$1,[2]enemies!$1:$1,0)+1),MATCH(W$1,[2]enemies!$1:$1,0)-MATCH($L$1,[2]enemies!$1:$1,0)+1,FALSE)</f>
        <v>0</v>
      </c>
      <c r="X716" s="6">
        <v>0</v>
      </c>
      <c r="Y716" s="6">
        <v>100</v>
      </c>
      <c r="Z716" s="6">
        <v>0</v>
      </c>
      <c r="AA716" s="4">
        <f ca="1">VLOOKUP($L716,OFFSET([2]enemies!$A$1,0,0,COUNTA([2]enemies!$A:$A),MATCH(AA$1,[2]enemies!$1:$1,0)-MATCH($L$1,[2]enemies!$1:$1,0)+1),MATCH(AA$1,[2]enemies!$1:$1,0)-MATCH($L$1,[2]enemies!$1:$1,0)+1,FALSE)</f>
        <v>1</v>
      </c>
      <c r="AB716" s="52">
        <v>47</v>
      </c>
      <c r="AC716" s="4" t="str">
        <f ca="1">VLOOKUP($AB716,OFFSET([3]characters!$A$1,0,0,COUNTA([3]characters!$A:$A),MATCH(AC$1,[3]characters!$1:$1,0)-MATCH("character_id",[3]characters!$1:$1,0)+1),MATCH(AC$1,[3]characters!$1:$1,0)-MATCH("character_id",[3]characters!$1:$1,0)+1,FALSE)</f>
        <v>ヒロ</v>
      </c>
      <c r="AD716" s="4">
        <f ca="1">VLOOKUP($AB716,OFFSET([3]characters!$A$1,0,0,COUNTA([3]characters!$A:$A),MATCH(AD$1,[3]characters!$1:$1,0)-MATCH("character_id",[3]characters!$1:$1,0)+1),MATCH(AD$1,[3]characters!$1:$1,0)-MATCH("character_id",[3]characters!$1:$1,0)+1,FALSE)</f>
        <v>2</v>
      </c>
      <c r="AE716" s="4" t="str">
        <f ca="1">VLOOKUP($AB716,OFFSET([3]characters!$A$1,0,0,COUNTA([3]characters!$A:$A),MATCH(AE$1,[3]characters!$1:$1,0)-MATCH("character_id",[3]characters!$1:$1,0)+1),MATCH(AE$1,[3]characters!$1:$1,0)-MATCH("character_id",[3]characters!$1:$1,0)+1,FALSE)</f>
        <v>Drop1N</v>
      </c>
      <c r="AF716" s="7">
        <v>7</v>
      </c>
      <c r="AG716" s="26">
        <f t="shared" ca="1" si="702"/>
        <v>2</v>
      </c>
      <c r="AH716" s="8">
        <v>20</v>
      </c>
      <c r="AI716" s="7">
        <v>0</v>
      </c>
      <c r="AJ716" s="7">
        <v>0</v>
      </c>
      <c r="AK716" s="7">
        <v>0</v>
      </c>
      <c r="AL716" s="7">
        <v>0</v>
      </c>
      <c r="AM716" s="7">
        <v>1</v>
      </c>
    </row>
    <row r="717" spans="1:39" ht="14" x14ac:dyDescent="0.15">
      <c r="A717" s="18" t="str">
        <f t="shared" ca="1" si="687"/>
        <v>26_2-2/57&lt;lv52&gt;s2</v>
      </c>
      <c r="B717" s="50">
        <v>26</v>
      </c>
      <c r="C717" s="49">
        <v>2</v>
      </c>
      <c r="D717" s="2" t="str">
        <f t="shared" si="706"/>
        <v>26_2</v>
      </c>
      <c r="E717" s="2" t="str">
        <f t="shared" si="706"/>
        <v>2_26_2</v>
      </c>
      <c r="F717" s="4" t="str">
        <f ca="1">VLOOKUP($D717,OFFSET([1]stages!$A$1,0,0,COUNTA([1]stages!$A:$A),MATCH(F$1,[1]stages!$2:$2,0)-MATCH($D$1,[1]stages!$2:$2,0)+1),MATCH(F$1,[1]stages!$2:$2,0)-MATCH($D$1,[1]stages!$2:$2,0)+1,FALSE)</f>
        <v>26-2．フロアジャック</v>
      </c>
      <c r="G717" s="54">
        <v>2</v>
      </c>
      <c r="H717" s="17" t="str">
        <f t="shared" si="707"/>
        <v>26_2-2</v>
      </c>
      <c r="I717" s="17"/>
      <c r="J717" s="17"/>
      <c r="K717" s="65" t="s">
        <v>56</v>
      </c>
      <c r="L717" s="52">
        <v>57</v>
      </c>
      <c r="M717" s="21" t="str">
        <f ca="1">VLOOKUP($L717,OFFSET([2]enemies!$A$1,0,0,COUNTA([2]enemies!$A:$A),MATCH(M$1,[2]enemies!$1:$1,0)-MATCH($L$1,[2]enemies!$1:$1,0)+1),MATCH(M$1,[2]enemies!$1:$1,0)-MATCH($L$1,[2]enemies!$1:$1,0)+1,FALSE)</f>
        <v>チェン・リー</v>
      </c>
      <c r="N717" s="21" t="str">
        <f ca="1">VLOOKUP($L717,OFFSET([2]enemies!$A$1,0,0,COUNTA([2]enemies!$A:$A),MATCH(N$1,[2]enemies!$1:$1,0)-MATCH($L$1,[2]enemies!$1:$1,0)+1),MATCH(N$1,[2]enemies!$1:$1,0)-MATCH($L$1,[2]enemies!$1:$1,0)+1,FALSE)</f>
        <v>red</v>
      </c>
      <c r="O717" s="21" t="str">
        <f ca="1">VLOOKUP($L717,OFFSET([3]characters!$A$1,0,0,COUNTA([3]characters!$A:$A),MATCH(O$1,[3]characters!$1:$1,0)-MATCH($L$1,[3]characters!$1:$1,0)+1),MATCH(O$1,[3]characters!$1:$1,0)-MATCH($L$1,[3]characters!$1:$1,0)+1,FALSE)</f>
        <v>Drop1N</v>
      </c>
      <c r="P717" s="21" t="str">
        <f ca="1">VLOOKUP($L717,OFFSET([2]enemies!$A$1,0,0,COUNTA([2]enemies!$A:$A),MATCH(P$1,[2]enemies!$1:$1,0)-MATCH($L$1,[2]enemies!$1:$1,0)+1),MATCH(P$1,[2]enemies!$1:$1,0)-MATCH($L$1,[2]enemies!$1:$1,0)+1,FALSE)</f>
        <v>animal</v>
      </c>
      <c r="Q717" s="21">
        <f ca="1">VLOOKUP($L717,OFFSET([2]enemies!$A$1,0,0,COUNTA([2]enemies!$A:$A),MATCH(Q$1,[2]enemies!$1:$1,0)-MATCH($L$1,[2]enemies!$1:$1,0)+1),MATCH(Q$1,[2]enemies!$1:$1,0)-MATCH($L$1,[2]enemies!$1:$1,0)+1,FALSE)</f>
        <v>15</v>
      </c>
      <c r="R717" s="53">
        <v>52</v>
      </c>
      <c r="S717" s="27">
        <v>1</v>
      </c>
      <c r="T717" s="27">
        <v>1</v>
      </c>
      <c r="U717" s="5">
        <v>0</v>
      </c>
      <c r="V717" s="4" t="str">
        <f ca="1">VLOOKUP($W717,OFFSET([4]enemy_skill_sets!$B$1,0,0,COUNTA([4]enemy_skill_sets!$B:$B),MATCH(M$1,[4]enemy_skill_sets!$1:$1,0)-MATCH($W$1,[4]enemy_skill_sets!$1:$1,0)+2),MATCH(M$1,[4]enemy_skill_sets!$1:$1,0)-MATCH($W$1,[4]enemy_skill_sets!$1:$1,0)+2,FALSE)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717" s="4">
        <f ca="1">VLOOKUP($L717,OFFSET([2]enemies!$A$1,0,0,COUNTA([2]enemies!$A:$A),MATCH(W$1,[2]enemies!$1:$1,0)-MATCH($L$1,[2]enemies!$1:$1,0)+1),MATCH(W$1,[2]enemies!$1:$1,0)-MATCH($L$1,[2]enemies!$1:$1,0)+1,FALSE)</f>
        <v>57</v>
      </c>
      <c r="X717" s="6">
        <v>0</v>
      </c>
      <c r="Y717" s="6">
        <v>100</v>
      </c>
      <c r="Z717" s="6">
        <v>0</v>
      </c>
      <c r="AA717" s="4">
        <f ca="1">VLOOKUP($L717,OFFSET([2]enemies!$A$1,0,0,COUNTA([2]enemies!$A:$A),MATCH(AA$1,[2]enemies!$1:$1,0)-MATCH($L$1,[2]enemies!$1:$1,0)+1),MATCH(AA$1,[2]enemies!$1:$1,0)-MATCH($L$1,[2]enemies!$1:$1,0)+1,FALSE)</f>
        <v>2</v>
      </c>
      <c r="AB717" s="52">
        <v>57</v>
      </c>
      <c r="AC717" s="4" t="str">
        <f ca="1">VLOOKUP($AB717,OFFSET([3]characters!$A$1,0,0,COUNTA([3]characters!$A:$A),MATCH(AC$1,[3]characters!$1:$1,0)-MATCH("character_id",[3]characters!$1:$1,0)+1),MATCH(AC$1,[3]characters!$1:$1,0)-MATCH("character_id",[3]characters!$1:$1,0)+1,FALSE)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717" s="4">
        <f ca="1">VLOOKUP($AB717,OFFSET([3]characters!$A$1,0,0,COUNTA([3]characters!$A:$A),MATCH(AD$1,[3]characters!$1:$1,0)-MATCH("character_id",[3]characters!$1:$1,0)+1),MATCH(AD$1,[3]characters!$1:$1,0)-MATCH("character_id",[3]characters!$1:$1,0)+1,FALSE)</f>
        <v>2</v>
      </c>
      <c r="AE717" s="4" t="str">
        <f ca="1">VLOOKUP($AB717,OFFSET([3]characters!$A$1,0,0,COUNTA([3]characters!$A:$A),MATCH(AE$1,[3]characters!$1:$1,0)-MATCH("character_id",[3]characters!$1:$1,0)+1),MATCH(AE$1,[3]characters!$1:$1,0)-MATCH("character_id",[3]characters!$1:$1,0)+1,FALSE)</f>
        <v>Drop1N</v>
      </c>
      <c r="AF717" s="7">
        <v>7</v>
      </c>
      <c r="AG717" s="26">
        <f t="shared" ca="1" si="702"/>
        <v>2</v>
      </c>
      <c r="AH717" s="8">
        <v>20</v>
      </c>
      <c r="AI717" s="7">
        <v>0</v>
      </c>
      <c r="AJ717" s="7">
        <v>0</v>
      </c>
      <c r="AK717" s="7">
        <v>0</v>
      </c>
      <c r="AL717" s="7">
        <v>0</v>
      </c>
      <c r="AM717" s="7">
        <v>1</v>
      </c>
    </row>
    <row r="718" spans="1:39" ht="14" x14ac:dyDescent="0.15">
      <c r="A718" s="18" t="str">
        <f t="shared" ca="1" si="687"/>
        <v>26_2-2/59&lt;lv52&gt;s2</v>
      </c>
      <c r="B718" s="50">
        <v>26</v>
      </c>
      <c r="C718" s="49">
        <v>2</v>
      </c>
      <c r="D718" s="2" t="str">
        <f t="shared" si="706"/>
        <v>26_2</v>
      </c>
      <c r="E718" s="2" t="str">
        <f t="shared" si="706"/>
        <v>2_26_2</v>
      </c>
      <c r="F718" s="4" t="str">
        <f ca="1">VLOOKUP($D718,OFFSET([1]stages!$A$1,0,0,COUNTA([1]stages!$A:$A),MATCH(F$1,[1]stages!$2:$2,0)-MATCH($D$1,[1]stages!$2:$2,0)+1),MATCH(F$1,[1]stages!$2:$2,0)-MATCH($D$1,[1]stages!$2:$2,0)+1,FALSE)</f>
        <v>26-2．フロアジャック</v>
      </c>
      <c r="G718" s="54">
        <v>2</v>
      </c>
      <c r="H718" s="17" t="str">
        <f t="shared" si="707"/>
        <v>26_2-2</v>
      </c>
      <c r="I718" s="17"/>
      <c r="J718" s="17"/>
      <c r="K718" s="65" t="s">
        <v>56</v>
      </c>
      <c r="L718" s="52">
        <v>59</v>
      </c>
      <c r="M718" s="21" t="str">
        <f ca="1">VLOOKUP($L718,OFFSET([2]enemies!$A$1,0,0,COUNTA([2]enemies!$A:$A),MATCH(M$1,[2]enemies!$1:$1,0)-MATCH($L$1,[2]enemies!$1:$1,0)+1),MATCH(M$1,[2]enemies!$1:$1,0)-MATCH($L$1,[2]enemies!$1:$1,0)+1,FALSE)</f>
        <v>マーチ</v>
      </c>
      <c r="N718" s="21" t="str">
        <f ca="1">VLOOKUP($L718,OFFSET([2]enemies!$A$1,0,0,COUNTA([2]enemies!$A:$A),MATCH(N$1,[2]enemies!$1:$1,0)-MATCH($L$1,[2]enemies!$1:$1,0)+1),MATCH(N$1,[2]enemies!$1:$1,0)-MATCH($L$1,[2]enemies!$1:$1,0)+1,FALSE)</f>
        <v>green</v>
      </c>
      <c r="O718" s="21" t="str">
        <f ca="1">VLOOKUP($L718,OFFSET([3]characters!$A$1,0,0,COUNTA([3]characters!$A:$A),MATCH(O$1,[3]characters!$1:$1,0)-MATCH($L$1,[3]characters!$1:$1,0)+1),MATCH(O$1,[3]characters!$1:$1,0)-MATCH($L$1,[3]characters!$1:$1,0)+1,FALSE)</f>
        <v>Drop1N</v>
      </c>
      <c r="P718" s="21" t="str">
        <f ca="1">VLOOKUP($L718,OFFSET([2]enemies!$A$1,0,0,COUNTA([2]enemies!$A:$A),MATCH(P$1,[2]enemies!$1:$1,0)-MATCH($L$1,[2]enemies!$1:$1,0)+1),MATCH(P$1,[2]enemies!$1:$1,0)-MATCH($L$1,[2]enemies!$1:$1,0)+1,FALSE)</f>
        <v>animal</v>
      </c>
      <c r="Q718" s="21">
        <f ca="1">VLOOKUP($L718,OFFSET([2]enemies!$A$1,0,0,COUNTA([2]enemies!$A:$A),MATCH(Q$1,[2]enemies!$1:$1,0)-MATCH($L$1,[2]enemies!$1:$1,0)+1),MATCH(Q$1,[2]enemies!$1:$1,0)-MATCH($L$1,[2]enemies!$1:$1,0)+1,FALSE)</f>
        <v>15</v>
      </c>
      <c r="R718" s="53">
        <v>52</v>
      </c>
      <c r="S718" s="27">
        <v>1</v>
      </c>
      <c r="T718" s="27">
        <v>1</v>
      </c>
      <c r="U718" s="5">
        <v>0</v>
      </c>
      <c r="V718" s="4" t="str">
        <f ca="1">VLOOKUP($W718,OFFSET([4]enemy_skill_sets!$B$1,0,0,COUNTA([4]enemy_skill_sets!$B:$B),MATCH(M$1,[4]enemy_skill_sets!$1:$1,0)-MATCH($W$1,[4]enemy_skill_sets!$1:$1,0)+2),MATCH(M$1,[4]enemy_skill_sets!$1:$1,0)-MATCH($W$1,[4]enemy_skill_sets!$1:$1,0)+2,FALSE)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18" s="4">
        <f ca="1">VLOOKUP($L718,OFFSET([2]enemies!$A$1,0,0,COUNTA([2]enemies!$A:$A),MATCH(W$1,[2]enemies!$1:$1,0)-MATCH($L$1,[2]enemies!$1:$1,0)+1),MATCH(W$1,[2]enemies!$1:$1,0)-MATCH($L$1,[2]enemies!$1:$1,0)+1,FALSE)</f>
        <v>59</v>
      </c>
      <c r="X718" s="6">
        <v>0</v>
      </c>
      <c r="Y718" s="6">
        <v>100</v>
      </c>
      <c r="Z718" s="6">
        <v>0</v>
      </c>
      <c r="AA718" s="4">
        <f ca="1">VLOOKUP($L718,OFFSET([2]enemies!$A$1,0,0,COUNTA([2]enemies!$A:$A),MATCH(AA$1,[2]enemies!$1:$1,0)-MATCH($L$1,[2]enemies!$1:$1,0)+1),MATCH(AA$1,[2]enemies!$1:$1,0)-MATCH($L$1,[2]enemies!$1:$1,0)+1,FALSE)</f>
        <v>2</v>
      </c>
      <c r="AB718" s="52">
        <v>59</v>
      </c>
      <c r="AC718" s="4" t="str">
        <f ca="1">VLOOKUP($AB718,OFFSET([3]characters!$A$1,0,0,COUNTA([3]characters!$A:$A),MATCH(AC$1,[3]characters!$1:$1,0)-MATCH("character_id",[3]characters!$1:$1,0)+1),MATCH(AC$1,[3]characters!$1:$1,0)-MATCH("character_id",[3]characters!$1:$1,0)+1,FALSE)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718" s="4">
        <f ca="1">VLOOKUP($AB718,OFFSET([3]characters!$A$1,0,0,COUNTA([3]characters!$A:$A),MATCH(AD$1,[3]characters!$1:$1,0)-MATCH("character_id",[3]characters!$1:$1,0)+1),MATCH(AD$1,[3]characters!$1:$1,0)-MATCH("character_id",[3]characters!$1:$1,0)+1,FALSE)</f>
        <v>2</v>
      </c>
      <c r="AE718" s="4" t="str">
        <f ca="1">VLOOKUP($AB718,OFFSET([3]characters!$A$1,0,0,COUNTA([3]characters!$A:$A),MATCH(AE$1,[3]characters!$1:$1,0)-MATCH("character_id",[3]characters!$1:$1,0)+1),MATCH(AE$1,[3]characters!$1:$1,0)-MATCH("character_id",[3]characters!$1:$1,0)+1,FALSE)</f>
        <v>Drop1N</v>
      </c>
      <c r="AF718" s="7">
        <v>7</v>
      </c>
      <c r="AG718" s="26">
        <f t="shared" ca="1" si="702"/>
        <v>2</v>
      </c>
      <c r="AH718" s="8">
        <v>20</v>
      </c>
      <c r="AI718" s="7">
        <v>0</v>
      </c>
      <c r="AJ718" s="7">
        <v>0</v>
      </c>
      <c r="AK718" s="7">
        <v>0</v>
      </c>
      <c r="AL718" s="7">
        <v>0</v>
      </c>
      <c r="AM718" s="7">
        <v>1</v>
      </c>
    </row>
    <row r="719" spans="1:39" ht="14" x14ac:dyDescent="0.15">
      <c r="A719" s="18" t="str">
        <f t="shared" ca="1" si="687"/>
        <v>26_2-2/61&lt;lv52&gt;s2</v>
      </c>
      <c r="B719" s="50">
        <v>26</v>
      </c>
      <c r="C719" s="49">
        <v>2</v>
      </c>
      <c r="D719" s="2" t="str">
        <f t="shared" si="706"/>
        <v>26_2</v>
      </c>
      <c r="E719" s="2" t="str">
        <f t="shared" si="706"/>
        <v>2_26_2</v>
      </c>
      <c r="F719" s="4" t="str">
        <f ca="1">VLOOKUP($D719,OFFSET([1]stages!$A$1,0,0,COUNTA([1]stages!$A:$A),MATCH(F$1,[1]stages!$2:$2,0)-MATCH($D$1,[1]stages!$2:$2,0)+1),MATCH(F$1,[1]stages!$2:$2,0)-MATCH($D$1,[1]stages!$2:$2,0)+1,FALSE)</f>
        <v>26-2．フロアジャック</v>
      </c>
      <c r="G719" s="54">
        <v>2</v>
      </c>
      <c r="H719" s="17" t="str">
        <f t="shared" si="707"/>
        <v>26_2-2</v>
      </c>
      <c r="I719" s="17"/>
      <c r="J719" s="17"/>
      <c r="K719" s="65" t="s">
        <v>56</v>
      </c>
      <c r="L719" s="52">
        <v>61</v>
      </c>
      <c r="M719" s="21" t="str">
        <f ca="1">VLOOKUP($L719,OFFSET([2]enemies!$A$1,0,0,COUNTA([2]enemies!$A:$A),MATCH(M$1,[2]enemies!$1:$1,0)-MATCH($L$1,[2]enemies!$1:$1,0)+1),MATCH(M$1,[2]enemies!$1:$1,0)-MATCH($L$1,[2]enemies!$1:$1,0)+1,FALSE)</f>
        <v>クロウ</v>
      </c>
      <c r="N719" s="21" t="str">
        <f ca="1">VLOOKUP($L719,OFFSET([2]enemies!$A$1,0,0,COUNTA([2]enemies!$A:$A),MATCH(N$1,[2]enemies!$1:$1,0)-MATCH($L$1,[2]enemies!$1:$1,0)+1),MATCH(N$1,[2]enemies!$1:$1,0)-MATCH($L$1,[2]enemies!$1:$1,0)+1,FALSE)</f>
        <v>blue</v>
      </c>
      <c r="O719" s="21" t="str">
        <f ca="1">VLOOKUP($L719,OFFSET([3]characters!$A$1,0,0,COUNTA([3]characters!$A:$A),MATCH(O$1,[3]characters!$1:$1,0)-MATCH($L$1,[3]characters!$1:$1,0)+1),MATCH(O$1,[3]characters!$1:$1,0)-MATCH($L$1,[3]characters!$1:$1,0)+1,FALSE)</f>
        <v>Drop1N</v>
      </c>
      <c r="P719" s="21" t="str">
        <f ca="1">VLOOKUP($L719,OFFSET([2]enemies!$A$1,0,0,COUNTA([2]enemies!$A:$A),MATCH(P$1,[2]enemies!$1:$1,0)-MATCH($L$1,[2]enemies!$1:$1,0)+1),MATCH(P$1,[2]enemies!$1:$1,0)-MATCH($L$1,[2]enemies!$1:$1,0)+1,FALSE)</f>
        <v>animal</v>
      </c>
      <c r="Q719" s="21">
        <f ca="1">VLOOKUP($L719,OFFSET([2]enemies!$A$1,0,0,COUNTA([2]enemies!$A:$A),MATCH(Q$1,[2]enemies!$1:$1,0)-MATCH($L$1,[2]enemies!$1:$1,0)+1),MATCH(Q$1,[2]enemies!$1:$1,0)-MATCH($L$1,[2]enemies!$1:$1,0)+1,FALSE)</f>
        <v>15</v>
      </c>
      <c r="R719" s="53">
        <v>52</v>
      </c>
      <c r="S719" s="27">
        <v>1</v>
      </c>
      <c r="T719" s="27">
        <v>1</v>
      </c>
      <c r="U719" s="5">
        <v>0</v>
      </c>
      <c r="V719" s="4" t="str">
        <f ca="1">VLOOKUP($W719,OFFSET([4]enemy_skill_sets!$B$1,0,0,COUNTA([4]enemy_skill_sets!$B:$B),MATCH(M$1,[4]enemy_skill_sets!$1:$1,0)-MATCH($W$1,[4]enemy_skill_sets!$1:$1,0)+2),MATCH(M$1,[4]enemy_skill_sets!$1:$1,0)-MATCH($W$1,[4]enemy_skill_sets!$1:$1,0)+2,FALSE)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19" s="4">
        <f ca="1">VLOOKUP($L719,OFFSET([2]enemies!$A$1,0,0,COUNTA([2]enemies!$A:$A),MATCH(W$1,[2]enemies!$1:$1,0)-MATCH($L$1,[2]enemies!$1:$1,0)+1),MATCH(W$1,[2]enemies!$1:$1,0)-MATCH($L$1,[2]enemies!$1:$1,0)+1,FALSE)</f>
        <v>61</v>
      </c>
      <c r="X719" s="6">
        <v>0</v>
      </c>
      <c r="Y719" s="6">
        <v>100</v>
      </c>
      <c r="Z719" s="6">
        <v>0</v>
      </c>
      <c r="AA719" s="4">
        <f ca="1">VLOOKUP($L719,OFFSET([2]enemies!$A$1,0,0,COUNTA([2]enemies!$A:$A),MATCH(AA$1,[2]enemies!$1:$1,0)-MATCH($L$1,[2]enemies!$1:$1,0)+1),MATCH(AA$1,[2]enemies!$1:$1,0)-MATCH($L$1,[2]enemies!$1:$1,0)+1,FALSE)</f>
        <v>2</v>
      </c>
      <c r="AB719" s="52">
        <v>61</v>
      </c>
      <c r="AC719" s="4" t="str">
        <f ca="1">VLOOKUP($AB719,OFFSET([3]characters!$A$1,0,0,COUNTA([3]characters!$A:$A),MATCH(AC$1,[3]characters!$1:$1,0)-MATCH("character_id",[3]characters!$1:$1,0)+1),MATCH(AC$1,[3]characters!$1:$1,0)-MATCH("character_id",[3]characters!$1:$1,0)+1,FALSE)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719" s="4">
        <f ca="1">VLOOKUP($AB719,OFFSET([3]characters!$A$1,0,0,COUNTA([3]characters!$A:$A),MATCH(AD$1,[3]characters!$1:$1,0)-MATCH("character_id",[3]characters!$1:$1,0)+1),MATCH(AD$1,[3]characters!$1:$1,0)-MATCH("character_id",[3]characters!$1:$1,0)+1,FALSE)</f>
        <v>2</v>
      </c>
      <c r="AE719" s="4" t="str">
        <f ca="1">VLOOKUP($AB719,OFFSET([3]characters!$A$1,0,0,COUNTA([3]characters!$A:$A),MATCH(AE$1,[3]characters!$1:$1,0)-MATCH("character_id",[3]characters!$1:$1,0)+1),MATCH(AE$1,[3]characters!$1:$1,0)-MATCH("character_id",[3]characters!$1:$1,0)+1,FALSE)</f>
        <v>Drop1N</v>
      </c>
      <c r="AF719" s="7">
        <v>7</v>
      </c>
      <c r="AG719" s="26">
        <f t="shared" ca="1" si="702"/>
        <v>2</v>
      </c>
      <c r="AH719" s="8">
        <v>20</v>
      </c>
      <c r="AI719" s="7">
        <v>0</v>
      </c>
      <c r="AJ719" s="7">
        <v>0</v>
      </c>
      <c r="AK719" s="7">
        <v>0</v>
      </c>
      <c r="AL719" s="7">
        <v>0</v>
      </c>
      <c r="AM719" s="7">
        <v>1</v>
      </c>
    </row>
    <row r="720" spans="1:39" ht="14" x14ac:dyDescent="0.15">
      <c r="A720" s="18" t="str">
        <f t="shared" ca="1" si="687"/>
        <v>26_2-2/63&lt;lv52&gt;s2</v>
      </c>
      <c r="B720" s="50">
        <v>26</v>
      </c>
      <c r="C720" s="49">
        <v>2</v>
      </c>
      <c r="D720" s="2" t="str">
        <f t="shared" si="706"/>
        <v>26_2</v>
      </c>
      <c r="E720" s="2" t="str">
        <f t="shared" si="706"/>
        <v>2_26_2</v>
      </c>
      <c r="F720" s="4" t="str">
        <f ca="1">VLOOKUP($D720,OFFSET([1]stages!$A$1,0,0,COUNTA([1]stages!$A:$A),MATCH(F$1,[1]stages!$2:$2,0)-MATCH($D$1,[1]stages!$2:$2,0)+1),MATCH(F$1,[1]stages!$2:$2,0)-MATCH($D$1,[1]stages!$2:$2,0)+1,FALSE)</f>
        <v>26-2．フロアジャック</v>
      </c>
      <c r="G720" s="54">
        <v>2</v>
      </c>
      <c r="H720" s="17" t="str">
        <f t="shared" si="707"/>
        <v>26_2-2</v>
      </c>
      <c r="I720" s="17"/>
      <c r="J720" s="17"/>
      <c r="K720" s="65" t="s">
        <v>56</v>
      </c>
      <c r="L720" s="52">
        <v>63</v>
      </c>
      <c r="M720" s="21" t="str">
        <f ca="1">VLOOKUP($L720,OFFSET([2]enemies!$A$1,0,0,COUNTA([2]enemies!$A:$A),MATCH(M$1,[2]enemies!$1:$1,0)-MATCH($L$1,[2]enemies!$1:$1,0)+1),MATCH(M$1,[2]enemies!$1:$1,0)-MATCH($L$1,[2]enemies!$1:$1,0)+1,FALSE)</f>
        <v>トニー</v>
      </c>
      <c r="N720" s="21" t="str">
        <f ca="1">VLOOKUP($L720,OFFSET([2]enemies!$A$1,0,0,COUNTA([2]enemies!$A:$A),MATCH(N$1,[2]enemies!$1:$1,0)-MATCH($L$1,[2]enemies!$1:$1,0)+1),MATCH(N$1,[2]enemies!$1:$1,0)-MATCH($L$1,[2]enemies!$1:$1,0)+1,FALSE)</f>
        <v>yellow</v>
      </c>
      <c r="O720" s="21" t="str">
        <f ca="1">VLOOKUP($L720,OFFSET([3]characters!$A$1,0,0,COUNTA([3]characters!$A:$A),MATCH(O$1,[3]characters!$1:$1,0)-MATCH($L$1,[3]characters!$1:$1,0)+1),MATCH(O$1,[3]characters!$1:$1,0)-MATCH($L$1,[3]characters!$1:$1,0)+1,FALSE)</f>
        <v>Drop1N</v>
      </c>
      <c r="P720" s="21" t="str">
        <f ca="1">VLOOKUP($L720,OFFSET([2]enemies!$A$1,0,0,COUNTA([2]enemies!$A:$A),MATCH(P$1,[2]enemies!$1:$1,0)-MATCH($L$1,[2]enemies!$1:$1,0)+1),MATCH(P$1,[2]enemies!$1:$1,0)-MATCH($L$1,[2]enemies!$1:$1,0)+1,FALSE)</f>
        <v>animal</v>
      </c>
      <c r="Q720" s="21">
        <f ca="1">VLOOKUP($L720,OFFSET([2]enemies!$A$1,0,0,COUNTA([2]enemies!$A:$A),MATCH(Q$1,[2]enemies!$1:$1,0)-MATCH($L$1,[2]enemies!$1:$1,0)+1),MATCH(Q$1,[2]enemies!$1:$1,0)-MATCH($L$1,[2]enemies!$1:$1,0)+1,FALSE)</f>
        <v>15</v>
      </c>
      <c r="R720" s="53">
        <v>52</v>
      </c>
      <c r="S720" s="27">
        <v>1</v>
      </c>
      <c r="T720" s="27">
        <v>1</v>
      </c>
      <c r="U720" s="5">
        <v>0</v>
      </c>
      <c r="V720" s="4" t="str">
        <f ca="1">VLOOKUP($W720,OFFSET([4]enemy_skill_sets!$B$1,0,0,COUNTA([4]enemy_skill_sets!$B:$B),MATCH(M$1,[4]enemy_skill_sets!$1:$1,0)-MATCH($W$1,[4]enemy_skill_sets!$1:$1,0)+2),MATCH(M$1,[4]enemy_skill_sets!$1:$1,0)-MATCH($W$1,[4]enemy_skill_sets!$1:$1,0)+2,FALSE)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720" s="4">
        <f ca="1">VLOOKUP($L720,OFFSET([2]enemies!$A$1,0,0,COUNTA([2]enemies!$A:$A),MATCH(W$1,[2]enemies!$1:$1,0)-MATCH($L$1,[2]enemies!$1:$1,0)+1),MATCH(W$1,[2]enemies!$1:$1,0)-MATCH($L$1,[2]enemies!$1:$1,0)+1,FALSE)</f>
        <v>63</v>
      </c>
      <c r="X720" s="6">
        <v>0</v>
      </c>
      <c r="Y720" s="6">
        <v>100</v>
      </c>
      <c r="Z720" s="6">
        <v>0</v>
      </c>
      <c r="AA720" s="4">
        <f ca="1">VLOOKUP($L720,OFFSET([2]enemies!$A$1,0,0,COUNTA([2]enemies!$A:$A),MATCH(AA$1,[2]enemies!$1:$1,0)-MATCH($L$1,[2]enemies!$1:$1,0)+1),MATCH(AA$1,[2]enemies!$1:$1,0)-MATCH($L$1,[2]enemies!$1:$1,0)+1,FALSE)</f>
        <v>2</v>
      </c>
      <c r="AB720" s="52">
        <v>63</v>
      </c>
      <c r="AC720" s="4" t="str">
        <f ca="1">VLOOKUP($AB720,OFFSET([3]characters!$A$1,0,0,COUNTA([3]characters!$A:$A),MATCH(AC$1,[3]characters!$1:$1,0)-MATCH("character_id",[3]characters!$1:$1,0)+1),MATCH(AC$1,[3]characters!$1:$1,0)-MATCH("character_id",[3]characters!$1:$1,0)+1,FALSE)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720" s="4">
        <f ca="1">VLOOKUP($AB720,OFFSET([3]characters!$A$1,0,0,COUNTA([3]characters!$A:$A),MATCH(AD$1,[3]characters!$1:$1,0)-MATCH("character_id",[3]characters!$1:$1,0)+1),MATCH(AD$1,[3]characters!$1:$1,0)-MATCH("character_id",[3]characters!$1:$1,0)+1,FALSE)</f>
        <v>2</v>
      </c>
      <c r="AE720" s="4" t="str">
        <f ca="1">VLOOKUP($AB720,OFFSET([3]characters!$A$1,0,0,COUNTA([3]characters!$A:$A),MATCH(AE$1,[3]characters!$1:$1,0)-MATCH("character_id",[3]characters!$1:$1,0)+1),MATCH(AE$1,[3]characters!$1:$1,0)-MATCH("character_id",[3]characters!$1:$1,0)+1,FALSE)</f>
        <v>Drop1N</v>
      </c>
      <c r="AF720" s="7">
        <v>7</v>
      </c>
      <c r="AG720" s="26">
        <f t="shared" ca="1" si="702"/>
        <v>2</v>
      </c>
      <c r="AH720" s="8">
        <v>20</v>
      </c>
      <c r="AI720" s="7">
        <v>0</v>
      </c>
      <c r="AJ720" s="7">
        <v>0</v>
      </c>
      <c r="AK720" s="7">
        <v>0</v>
      </c>
      <c r="AL720" s="7">
        <v>0</v>
      </c>
      <c r="AM720" s="7">
        <v>1</v>
      </c>
    </row>
    <row r="721" spans="1:39" ht="14" x14ac:dyDescent="0.15">
      <c r="A721" s="18" t="str">
        <f t="shared" ca="1" si="687"/>
        <v>26_2-2/360&lt;lv52&gt;s3</v>
      </c>
      <c r="B721" s="53">
        <v>26</v>
      </c>
      <c r="C721" s="51">
        <v>2</v>
      </c>
      <c r="D721" s="2" t="str">
        <f t="shared" ref="D721:D724" si="708">B721&amp;"_"&amp;C721</f>
        <v>26_2</v>
      </c>
      <c r="E721" s="2" t="str">
        <f t="shared" ref="E721:E724" si="709">C721&amp;"_"&amp;D721</f>
        <v>2_26_2</v>
      </c>
      <c r="F721" s="4" t="str">
        <f ca="1">VLOOKUP($D721,OFFSET([1]stages!$A$1,0,0,COUNTA([1]stages!$A:$A),MATCH(F$1,[1]stages!$2:$2,0)-MATCH($D$1,[1]stages!$2:$2,0)+1),MATCH(F$1,[1]stages!$2:$2,0)-MATCH($D$1,[1]stages!$2:$2,0)+1,FALSE)</f>
        <v>26-2．フロアジャック</v>
      </c>
      <c r="G721" s="54">
        <v>2</v>
      </c>
      <c r="H721" s="17" t="str">
        <f t="shared" ref="H721:H724" si="710">B721&amp;"_"&amp;C721&amp;"-"&amp;G721</f>
        <v>26_2-2</v>
      </c>
      <c r="I721" s="17"/>
      <c r="J721" s="17"/>
      <c r="K721" s="65" t="s">
        <v>56</v>
      </c>
      <c r="L721" s="52">
        <v>360</v>
      </c>
      <c r="M721" s="21" t="str">
        <f ca="1">VLOOKUP($L721,OFFSET([2]enemies!$A$1,0,0,COUNTA([2]enemies!$A:$A),MATCH(M$1,[2]enemies!$1:$1,0)-MATCH($L$1,[2]enemies!$1:$1,0)+1),MATCH(M$1,[2]enemies!$1:$1,0)-MATCH($L$1,[2]enemies!$1:$1,0)+1,FALSE)</f>
        <v>ガンテツ</v>
      </c>
      <c r="N721" s="21" t="str">
        <f ca="1">VLOOKUP($L721,OFFSET([2]enemies!$A$1,0,0,COUNTA([2]enemies!$A:$A),MATCH(N$1,[2]enemies!$1:$1,0)-MATCH($L$1,[2]enemies!$1:$1,0)+1),MATCH(N$1,[2]enemies!$1:$1,0)-MATCH($L$1,[2]enemies!$1:$1,0)+1,FALSE)</f>
        <v>red</v>
      </c>
      <c r="O721" s="21" t="str">
        <f ca="1">VLOOKUP($L721,OFFSET([3]characters!$A$1,0,0,COUNTA([3]characters!$A:$A),MATCH(O$1,[3]characters!$1:$1,0)-MATCH($L$1,[3]characters!$1:$1,0)+1),MATCH(O$1,[3]characters!$1:$1,0)-MATCH($L$1,[3]characters!$1:$1,0)+1,FALSE)</f>
        <v>Drop1S</v>
      </c>
      <c r="P721" s="21" t="str">
        <f ca="1">VLOOKUP($L721,OFFSET([2]enemies!$A$1,0,0,COUNTA([2]enemies!$A:$A),MATCH(P$1,[2]enemies!$1:$1,0)-MATCH($L$1,[2]enemies!$1:$1,0)+1),MATCH(P$1,[2]enemies!$1:$1,0)-MATCH($L$1,[2]enemies!$1:$1,0)+1,FALSE)</f>
        <v>animal</v>
      </c>
      <c r="Q721" s="21">
        <f ca="1">VLOOKUP($L721,OFFSET([2]enemies!$A$1,0,0,COUNTA([2]enemies!$A:$A),MATCH(Q$1,[2]enemies!$1:$1,0)-MATCH($L$1,[2]enemies!$1:$1,0)+1),MATCH(Q$1,[2]enemies!$1:$1,0)-MATCH($L$1,[2]enemies!$1:$1,0)+1,FALSE)</f>
        <v>15</v>
      </c>
      <c r="R721" s="53">
        <v>52</v>
      </c>
      <c r="S721" s="27">
        <v>1</v>
      </c>
      <c r="T721" s="27">
        <v>1</v>
      </c>
      <c r="U721" s="5">
        <v>0</v>
      </c>
      <c r="V721" s="4" t="str">
        <f ca="1">VLOOKUP($W721,OFFSET([4]enemy_skill_sets!$B$1,0,0,COUNTA([4]enemy_skill_sets!$B:$B),MATCH(M$1,[4]enemy_skill_sets!$1:$1,0)-MATCH($W$1,[4]enemy_skill_sets!$1:$1,0)+2),MATCH(M$1,[4]enemy_skill_sets!$1:$1,0)-MATCH($W$1,[4]enemy_skill_sets!$1:$1,0)+2,FALSE)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721" s="76">
        <v>360</v>
      </c>
      <c r="X721" s="6">
        <v>0</v>
      </c>
      <c r="Y721" s="6">
        <v>100</v>
      </c>
      <c r="Z721" s="6">
        <v>0</v>
      </c>
      <c r="AA721" s="4">
        <f ca="1">VLOOKUP($L721,OFFSET([2]enemies!$A$1,0,0,COUNTA([2]enemies!$A:$A),MATCH(AA$1,[2]enemies!$1:$1,0)-MATCH($L$1,[2]enemies!$1:$1,0)+1),MATCH(AA$1,[2]enemies!$1:$1,0)-MATCH($L$1,[2]enemies!$1:$1,0)+1,FALSE)</f>
        <v>3</v>
      </c>
      <c r="AB721" s="52">
        <v>360</v>
      </c>
      <c r="AC721" s="4" t="str">
        <f ca="1">VLOOKUP($AB721,OFFSET([3]characters!$A$1,0,0,COUNTA([3]characters!$A:$A),MATCH(AC$1,[3]characters!$1:$1,0)-MATCH("character_id",[3]characters!$1:$1,0)+1),MATCH(AC$1,[3]characters!$1:$1,0)-MATCH("character_id",[3]characters!$1:$1,0)+1,FALSE)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721" s="4">
        <f ca="1">VLOOKUP($AB721,OFFSET([3]characters!$A$1,0,0,COUNTA([3]characters!$A:$A),MATCH(AD$1,[3]characters!$1:$1,0)-MATCH("character_id",[3]characters!$1:$1,0)+1),MATCH(AD$1,[3]characters!$1:$1,0)-MATCH("character_id",[3]characters!$1:$1,0)+1,FALSE)</f>
        <v>2</v>
      </c>
      <c r="AE721" s="4" t="str">
        <f ca="1">VLOOKUP($AB721,OFFSET([3]characters!$A$1,0,0,COUNTA([3]characters!$A:$A),MATCH(AE$1,[3]characters!$1:$1,0)-MATCH("character_id",[3]characters!$1:$1,0)+1),MATCH(AE$1,[3]characters!$1:$1,0)-MATCH("character_id",[3]characters!$1:$1,0)+1,FALSE)</f>
        <v>Drop1S</v>
      </c>
      <c r="AF721" s="7">
        <v>7</v>
      </c>
      <c r="AG721" s="26">
        <f t="shared" ca="1" si="702"/>
        <v>2</v>
      </c>
      <c r="AH721" s="8">
        <v>20</v>
      </c>
      <c r="AI721" s="7">
        <v>0</v>
      </c>
      <c r="AJ721" s="7">
        <v>0</v>
      </c>
      <c r="AK721" s="7">
        <v>0</v>
      </c>
      <c r="AL721" s="7">
        <v>0</v>
      </c>
      <c r="AM721" s="7">
        <v>1</v>
      </c>
    </row>
    <row r="722" spans="1:39" ht="14" x14ac:dyDescent="0.15">
      <c r="A722" s="18" t="str">
        <f t="shared" ca="1" si="687"/>
        <v>26_2-2/362&lt;lv52&gt;s3</v>
      </c>
      <c r="B722" s="53">
        <v>26</v>
      </c>
      <c r="C722" s="51">
        <v>2</v>
      </c>
      <c r="D722" s="2" t="str">
        <f t="shared" si="708"/>
        <v>26_2</v>
      </c>
      <c r="E722" s="2" t="str">
        <f t="shared" si="709"/>
        <v>2_26_2</v>
      </c>
      <c r="F722" s="4" t="str">
        <f ca="1">VLOOKUP($D722,OFFSET([1]stages!$A$1,0,0,COUNTA([1]stages!$A:$A),MATCH(F$1,[1]stages!$2:$2,0)-MATCH($D$1,[1]stages!$2:$2,0)+1),MATCH(F$1,[1]stages!$2:$2,0)-MATCH($D$1,[1]stages!$2:$2,0)+1,FALSE)</f>
        <v>26-2．フロアジャック</v>
      </c>
      <c r="G722" s="54">
        <v>2</v>
      </c>
      <c r="H722" s="17" t="str">
        <f t="shared" si="710"/>
        <v>26_2-2</v>
      </c>
      <c r="I722" s="17"/>
      <c r="J722" s="17"/>
      <c r="K722" s="65" t="s">
        <v>56</v>
      </c>
      <c r="L722" s="52">
        <v>362</v>
      </c>
      <c r="M722" s="21" t="str">
        <f ca="1">VLOOKUP($L722,OFFSET([2]enemies!$A$1,0,0,COUNTA([2]enemies!$A:$A),MATCH(M$1,[2]enemies!$1:$1,0)-MATCH($L$1,[2]enemies!$1:$1,0)+1),MATCH(M$1,[2]enemies!$1:$1,0)-MATCH($L$1,[2]enemies!$1:$1,0)+1,FALSE)</f>
        <v>ゆらら</v>
      </c>
      <c r="N722" s="21" t="str">
        <f ca="1">VLOOKUP($L722,OFFSET([2]enemies!$A$1,0,0,COUNTA([2]enemies!$A:$A),MATCH(N$1,[2]enemies!$1:$1,0)-MATCH($L$1,[2]enemies!$1:$1,0)+1),MATCH(N$1,[2]enemies!$1:$1,0)-MATCH($L$1,[2]enemies!$1:$1,0)+1,FALSE)</f>
        <v>green</v>
      </c>
      <c r="O722" s="21" t="str">
        <f ca="1">VLOOKUP($L722,OFFSET([3]characters!$A$1,0,0,COUNTA([3]characters!$A:$A),MATCH(O$1,[3]characters!$1:$1,0)-MATCH($L$1,[3]characters!$1:$1,0)+1),MATCH(O$1,[3]characters!$1:$1,0)-MATCH($L$1,[3]characters!$1:$1,0)+1,FALSE)</f>
        <v>Drop1S</v>
      </c>
      <c r="P722" s="21" t="str">
        <f ca="1">VLOOKUP($L722,OFFSET([2]enemies!$A$1,0,0,COUNTA([2]enemies!$A:$A),MATCH(P$1,[2]enemies!$1:$1,0)-MATCH($L$1,[2]enemies!$1:$1,0)+1),MATCH(P$1,[2]enemies!$1:$1,0)-MATCH($L$1,[2]enemies!$1:$1,0)+1,FALSE)</f>
        <v>animal</v>
      </c>
      <c r="Q722" s="21">
        <f ca="1">VLOOKUP($L722,OFFSET([2]enemies!$A$1,0,0,COUNTA([2]enemies!$A:$A),MATCH(Q$1,[2]enemies!$1:$1,0)-MATCH($L$1,[2]enemies!$1:$1,0)+1),MATCH(Q$1,[2]enemies!$1:$1,0)-MATCH($L$1,[2]enemies!$1:$1,0)+1,FALSE)</f>
        <v>15</v>
      </c>
      <c r="R722" s="53">
        <v>52</v>
      </c>
      <c r="S722" s="27">
        <v>1</v>
      </c>
      <c r="T722" s="27">
        <v>1</v>
      </c>
      <c r="U722" s="5">
        <v>0</v>
      </c>
      <c r="V722" s="4" t="str">
        <f ca="1">VLOOKUP($W722,OFFSET([4]enemy_skill_sets!$B$1,0,0,COUNTA([4]enemy_skill_sets!$B:$B),MATCH(M$1,[4]enemy_skill_sets!$1:$1,0)-MATCH($W$1,[4]enemy_skill_sets!$1:$1,0)+2),MATCH(M$1,[4]enemy_skill_sets!$1:$1,0)-MATCH($W$1,[4]enemy_skill_sets!$1:$1,0)+2,FALSE)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722" s="64">
        <v>362</v>
      </c>
      <c r="X722" s="6">
        <v>0</v>
      </c>
      <c r="Y722" s="6">
        <v>100</v>
      </c>
      <c r="Z722" s="6">
        <v>0</v>
      </c>
      <c r="AA722" s="4">
        <f ca="1">VLOOKUP($L722,OFFSET([2]enemies!$A$1,0,0,COUNTA([2]enemies!$A:$A),MATCH(AA$1,[2]enemies!$1:$1,0)-MATCH($L$1,[2]enemies!$1:$1,0)+1),MATCH(AA$1,[2]enemies!$1:$1,0)-MATCH($L$1,[2]enemies!$1:$1,0)+1,FALSE)</f>
        <v>3</v>
      </c>
      <c r="AB722" s="52">
        <v>362</v>
      </c>
      <c r="AC722" s="4" t="str">
        <f ca="1">VLOOKUP($AB722,OFFSET([3]characters!$A$1,0,0,COUNTA([3]characters!$A:$A),MATCH(AC$1,[3]characters!$1:$1,0)-MATCH("character_id",[3]characters!$1:$1,0)+1),MATCH(AC$1,[3]characters!$1:$1,0)-MATCH("character_id",[3]characters!$1:$1,0)+1,FALSE)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722" s="4">
        <f ca="1">VLOOKUP($AB722,OFFSET([3]characters!$A$1,0,0,COUNTA([3]characters!$A:$A),MATCH(AD$1,[3]characters!$1:$1,0)-MATCH("character_id",[3]characters!$1:$1,0)+1),MATCH(AD$1,[3]characters!$1:$1,0)-MATCH("character_id",[3]characters!$1:$1,0)+1,FALSE)</f>
        <v>2</v>
      </c>
      <c r="AE722" s="4" t="str">
        <f ca="1">VLOOKUP($AB722,OFFSET([3]characters!$A$1,0,0,COUNTA([3]characters!$A:$A),MATCH(AE$1,[3]characters!$1:$1,0)-MATCH("character_id",[3]characters!$1:$1,0)+1),MATCH(AE$1,[3]characters!$1:$1,0)-MATCH("character_id",[3]characters!$1:$1,0)+1,FALSE)</f>
        <v>Drop1S</v>
      </c>
      <c r="AF722" s="7">
        <v>7</v>
      </c>
      <c r="AG722" s="26">
        <f t="shared" ca="1" si="702"/>
        <v>2</v>
      </c>
      <c r="AH722" s="8">
        <v>20</v>
      </c>
      <c r="AI722" s="7">
        <v>0</v>
      </c>
      <c r="AJ722" s="7">
        <v>0</v>
      </c>
      <c r="AK722" s="7">
        <v>0</v>
      </c>
      <c r="AL722" s="7">
        <v>0</v>
      </c>
      <c r="AM722" s="7">
        <v>1</v>
      </c>
    </row>
    <row r="723" spans="1:39" ht="14" x14ac:dyDescent="0.15">
      <c r="A723" s="18" t="str">
        <f t="shared" ca="1" si="687"/>
        <v>26_2-2/364&lt;lv52&gt;s3</v>
      </c>
      <c r="B723" s="53">
        <v>26</v>
      </c>
      <c r="C723" s="51">
        <v>2</v>
      </c>
      <c r="D723" s="2" t="str">
        <f t="shared" si="708"/>
        <v>26_2</v>
      </c>
      <c r="E723" s="2" t="str">
        <f t="shared" si="709"/>
        <v>2_26_2</v>
      </c>
      <c r="F723" s="4" t="str">
        <f ca="1">VLOOKUP($D723,OFFSET([1]stages!$A$1,0,0,COUNTA([1]stages!$A:$A),MATCH(F$1,[1]stages!$2:$2,0)-MATCH($D$1,[1]stages!$2:$2,0)+1),MATCH(F$1,[1]stages!$2:$2,0)-MATCH($D$1,[1]stages!$2:$2,0)+1,FALSE)</f>
        <v>26-2．フロアジャック</v>
      </c>
      <c r="G723" s="54">
        <v>2</v>
      </c>
      <c r="H723" s="17" t="str">
        <f t="shared" si="710"/>
        <v>26_2-2</v>
      </c>
      <c r="I723" s="17"/>
      <c r="J723" s="17"/>
      <c r="K723" s="65" t="s">
        <v>56</v>
      </c>
      <c r="L723" s="52">
        <v>364</v>
      </c>
      <c r="M723" s="21" t="str">
        <f ca="1">VLOOKUP($L723,OFFSET([2]enemies!$A$1,0,0,COUNTA([2]enemies!$A:$A),MATCH(M$1,[2]enemies!$1:$1,0)-MATCH($L$1,[2]enemies!$1:$1,0)+1),MATCH(M$1,[2]enemies!$1:$1,0)-MATCH($L$1,[2]enemies!$1:$1,0)+1,FALSE)</f>
        <v>ノエル</v>
      </c>
      <c r="N723" s="21" t="str">
        <f ca="1">VLOOKUP($L723,OFFSET([2]enemies!$A$1,0,0,COUNTA([2]enemies!$A:$A),MATCH(N$1,[2]enemies!$1:$1,0)-MATCH($L$1,[2]enemies!$1:$1,0)+1),MATCH(N$1,[2]enemies!$1:$1,0)-MATCH($L$1,[2]enemies!$1:$1,0)+1,FALSE)</f>
        <v>blue</v>
      </c>
      <c r="O723" s="21" t="str">
        <f ca="1">VLOOKUP($L723,OFFSET([3]characters!$A$1,0,0,COUNTA([3]characters!$A:$A),MATCH(O$1,[3]characters!$1:$1,0)-MATCH($L$1,[3]characters!$1:$1,0)+1),MATCH(O$1,[3]characters!$1:$1,0)-MATCH($L$1,[3]characters!$1:$1,0)+1,FALSE)</f>
        <v>Drop1S</v>
      </c>
      <c r="P723" s="21" t="str">
        <f ca="1">VLOOKUP($L723,OFFSET([2]enemies!$A$1,0,0,COUNTA([2]enemies!$A:$A),MATCH(P$1,[2]enemies!$1:$1,0)-MATCH($L$1,[2]enemies!$1:$1,0)+1),MATCH(P$1,[2]enemies!$1:$1,0)-MATCH($L$1,[2]enemies!$1:$1,0)+1,FALSE)</f>
        <v>animal</v>
      </c>
      <c r="Q723" s="21">
        <f ca="1">VLOOKUP($L723,OFFSET([2]enemies!$A$1,0,0,COUNTA([2]enemies!$A:$A),MATCH(Q$1,[2]enemies!$1:$1,0)-MATCH($L$1,[2]enemies!$1:$1,0)+1),MATCH(Q$1,[2]enemies!$1:$1,0)-MATCH($L$1,[2]enemies!$1:$1,0)+1,FALSE)</f>
        <v>15</v>
      </c>
      <c r="R723" s="53">
        <v>52</v>
      </c>
      <c r="S723" s="27">
        <v>1</v>
      </c>
      <c r="T723" s="27">
        <v>1</v>
      </c>
      <c r="U723" s="5">
        <v>0</v>
      </c>
      <c r="V723" s="4" t="str">
        <f ca="1">VLOOKUP($W723,OFFSET([4]enemy_skill_sets!$B$1,0,0,COUNTA([4]enemy_skill_sets!$B:$B),MATCH(M$1,[4]enemy_skill_sets!$1:$1,0)-MATCH($W$1,[4]enemy_skill_sets!$1:$1,0)+2),MATCH(M$1,[4]enemy_skill_sets!$1:$1,0)-MATCH($W$1,[4]enemy_skill_sets!$1:$1,0)+2,FALSE)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723" s="64">
        <v>364</v>
      </c>
      <c r="X723" s="6">
        <v>0</v>
      </c>
      <c r="Y723" s="6">
        <v>100</v>
      </c>
      <c r="Z723" s="6">
        <v>0</v>
      </c>
      <c r="AA723" s="4">
        <f ca="1">VLOOKUP($L723,OFFSET([2]enemies!$A$1,0,0,COUNTA([2]enemies!$A:$A),MATCH(AA$1,[2]enemies!$1:$1,0)-MATCH($L$1,[2]enemies!$1:$1,0)+1),MATCH(AA$1,[2]enemies!$1:$1,0)-MATCH($L$1,[2]enemies!$1:$1,0)+1,FALSE)</f>
        <v>3</v>
      </c>
      <c r="AB723" s="52">
        <v>364</v>
      </c>
      <c r="AC723" s="4" t="str">
        <f ca="1">VLOOKUP($AB723,OFFSET([3]characters!$A$1,0,0,COUNTA([3]characters!$A:$A),MATCH(AC$1,[3]characters!$1:$1,0)-MATCH("character_id",[3]characters!$1:$1,0)+1),MATCH(AC$1,[3]characters!$1:$1,0)-MATCH("character_id",[3]characters!$1:$1,0)+1,FALSE)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723" s="4">
        <f ca="1">VLOOKUP($AB723,OFFSET([3]characters!$A$1,0,0,COUNTA([3]characters!$A:$A),MATCH(AD$1,[3]characters!$1:$1,0)-MATCH("character_id",[3]characters!$1:$1,0)+1),MATCH(AD$1,[3]characters!$1:$1,0)-MATCH("character_id",[3]characters!$1:$1,0)+1,FALSE)</f>
        <v>2</v>
      </c>
      <c r="AE723" s="4" t="str">
        <f ca="1">VLOOKUP($AB723,OFFSET([3]characters!$A$1,0,0,COUNTA([3]characters!$A:$A),MATCH(AE$1,[3]characters!$1:$1,0)-MATCH("character_id",[3]characters!$1:$1,0)+1),MATCH(AE$1,[3]characters!$1:$1,0)-MATCH("character_id",[3]characters!$1:$1,0)+1,FALSE)</f>
        <v>Drop1S</v>
      </c>
      <c r="AF723" s="7">
        <v>7</v>
      </c>
      <c r="AG723" s="26">
        <f t="shared" ca="1" si="702"/>
        <v>2</v>
      </c>
      <c r="AH723" s="8">
        <v>20</v>
      </c>
      <c r="AI723" s="7">
        <v>0</v>
      </c>
      <c r="AJ723" s="7">
        <v>0</v>
      </c>
      <c r="AK723" s="7">
        <v>0</v>
      </c>
      <c r="AL723" s="7">
        <v>0</v>
      </c>
      <c r="AM723" s="7">
        <v>1</v>
      </c>
    </row>
    <row r="724" spans="1:39" ht="14" x14ac:dyDescent="0.15">
      <c r="A724" s="18" t="str">
        <f t="shared" ca="1" si="687"/>
        <v>26_2-2/366&lt;lv52&gt;s3</v>
      </c>
      <c r="B724" s="53">
        <v>26</v>
      </c>
      <c r="C724" s="51">
        <v>2</v>
      </c>
      <c r="D724" s="2" t="str">
        <f t="shared" si="708"/>
        <v>26_2</v>
      </c>
      <c r="E724" s="2" t="str">
        <f t="shared" si="709"/>
        <v>2_26_2</v>
      </c>
      <c r="F724" s="4" t="str">
        <f ca="1">VLOOKUP($D724,OFFSET([1]stages!$A$1,0,0,COUNTA([1]stages!$A:$A),MATCH(F$1,[1]stages!$2:$2,0)-MATCH($D$1,[1]stages!$2:$2,0)+1),MATCH(F$1,[1]stages!$2:$2,0)-MATCH($D$1,[1]stages!$2:$2,0)+1,FALSE)</f>
        <v>26-2．フロアジャック</v>
      </c>
      <c r="G724" s="54">
        <v>2</v>
      </c>
      <c r="H724" s="17" t="str">
        <f t="shared" si="710"/>
        <v>26_2-2</v>
      </c>
      <c r="I724" s="17"/>
      <c r="J724" s="17"/>
      <c r="K724" s="65" t="s">
        <v>56</v>
      </c>
      <c r="L724" s="52">
        <v>366</v>
      </c>
      <c r="M724" s="21" t="str">
        <f ca="1">VLOOKUP($L724,OFFSET([2]enemies!$A$1,0,0,COUNTA([2]enemies!$A:$A),MATCH(M$1,[2]enemies!$1:$1,0)-MATCH($L$1,[2]enemies!$1:$1,0)+1),MATCH(M$1,[2]enemies!$1:$1,0)-MATCH($L$1,[2]enemies!$1:$1,0)+1,FALSE)</f>
        <v>トト</v>
      </c>
      <c r="N724" s="21" t="str">
        <f ca="1">VLOOKUP($L724,OFFSET([2]enemies!$A$1,0,0,COUNTA([2]enemies!$A:$A),MATCH(N$1,[2]enemies!$1:$1,0)-MATCH($L$1,[2]enemies!$1:$1,0)+1),MATCH(N$1,[2]enemies!$1:$1,0)-MATCH($L$1,[2]enemies!$1:$1,0)+1,FALSE)</f>
        <v>yellow</v>
      </c>
      <c r="O724" s="21" t="str">
        <f ca="1">VLOOKUP($L724,OFFSET([3]characters!$A$1,0,0,COUNTA([3]characters!$A:$A),MATCH(O$1,[3]characters!$1:$1,0)-MATCH($L$1,[3]characters!$1:$1,0)+1),MATCH(O$1,[3]characters!$1:$1,0)-MATCH($L$1,[3]characters!$1:$1,0)+1,FALSE)</f>
        <v>Drop1S</v>
      </c>
      <c r="P724" s="21" t="str">
        <f ca="1">VLOOKUP($L724,OFFSET([2]enemies!$A$1,0,0,COUNTA([2]enemies!$A:$A),MATCH(P$1,[2]enemies!$1:$1,0)-MATCH($L$1,[2]enemies!$1:$1,0)+1),MATCH(P$1,[2]enemies!$1:$1,0)-MATCH($L$1,[2]enemies!$1:$1,0)+1,FALSE)</f>
        <v>animal</v>
      </c>
      <c r="Q724" s="21">
        <f ca="1">VLOOKUP($L724,OFFSET([2]enemies!$A$1,0,0,COUNTA([2]enemies!$A:$A),MATCH(Q$1,[2]enemies!$1:$1,0)-MATCH($L$1,[2]enemies!$1:$1,0)+1),MATCH(Q$1,[2]enemies!$1:$1,0)-MATCH($L$1,[2]enemies!$1:$1,0)+1,FALSE)</f>
        <v>15</v>
      </c>
      <c r="R724" s="53">
        <v>52</v>
      </c>
      <c r="S724" s="27">
        <v>1</v>
      </c>
      <c r="T724" s="27">
        <v>1</v>
      </c>
      <c r="U724" s="5">
        <v>0</v>
      </c>
      <c r="V724" s="4" t="str">
        <f ca="1">VLOOKUP($W724,OFFSET([4]enemy_skill_sets!$B$1,0,0,COUNTA([4]enemy_skill_sets!$B:$B),MATCH(M$1,[4]enemy_skill_sets!$1:$1,0)-MATCH($W$1,[4]enemy_skill_sets!$1:$1,0)+2),MATCH(M$1,[4]enemy_skill_sets!$1:$1,0)-MATCH($W$1,[4]enemy_skill_sets!$1:$1,0)+2,FALSE)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724" s="64">
        <v>366</v>
      </c>
      <c r="X724" s="6">
        <v>0</v>
      </c>
      <c r="Y724" s="6">
        <v>100</v>
      </c>
      <c r="Z724" s="6">
        <v>0</v>
      </c>
      <c r="AA724" s="4">
        <f ca="1">VLOOKUP($L724,OFFSET([2]enemies!$A$1,0,0,COUNTA([2]enemies!$A:$A),MATCH(AA$1,[2]enemies!$1:$1,0)-MATCH($L$1,[2]enemies!$1:$1,0)+1),MATCH(AA$1,[2]enemies!$1:$1,0)-MATCH($L$1,[2]enemies!$1:$1,0)+1,FALSE)</f>
        <v>3</v>
      </c>
      <c r="AB724" s="52">
        <v>366</v>
      </c>
      <c r="AC724" s="4" t="str">
        <f ca="1">VLOOKUP($AB724,OFFSET([3]characters!$A$1,0,0,COUNTA([3]characters!$A:$A),MATCH(AC$1,[3]characters!$1:$1,0)-MATCH("character_id",[3]characters!$1:$1,0)+1),MATCH(AC$1,[3]characters!$1:$1,0)-MATCH("character_id",[3]characters!$1:$1,0)+1,FALSE)</f>
        <v>トト</v>
      </c>
      <c r="AD724" s="4">
        <f ca="1">VLOOKUP($AB724,OFFSET([3]characters!$A$1,0,0,COUNTA([3]characters!$A:$A),MATCH(AD$1,[3]characters!$1:$1,0)-MATCH("character_id",[3]characters!$1:$1,0)+1),MATCH(AD$1,[3]characters!$1:$1,0)-MATCH("character_id",[3]characters!$1:$1,0)+1,FALSE)</f>
        <v>2</v>
      </c>
      <c r="AE724" s="4" t="str">
        <f ca="1">VLOOKUP($AB724,OFFSET([3]characters!$A$1,0,0,COUNTA([3]characters!$A:$A),MATCH(AE$1,[3]characters!$1:$1,0)-MATCH("character_id",[3]characters!$1:$1,0)+1),MATCH(AE$1,[3]characters!$1:$1,0)-MATCH("character_id",[3]characters!$1:$1,0)+1,FALSE)</f>
        <v>Drop1S</v>
      </c>
      <c r="AF724" s="7">
        <v>7</v>
      </c>
      <c r="AG724" s="26">
        <f t="shared" ca="1" si="702"/>
        <v>2</v>
      </c>
      <c r="AH724" s="8">
        <v>20</v>
      </c>
      <c r="AI724" s="7">
        <v>0</v>
      </c>
      <c r="AJ724" s="7">
        <v>0</v>
      </c>
      <c r="AK724" s="7">
        <v>0</v>
      </c>
      <c r="AL724" s="7">
        <v>0</v>
      </c>
      <c r="AM724" s="7">
        <v>1</v>
      </c>
    </row>
    <row r="725" spans="1:39" ht="14" x14ac:dyDescent="0.15">
      <c r="A725" s="18" t="str">
        <f t="shared" ca="1" si="687"/>
        <v>26_2-2/352&lt;lv51&gt;s3</v>
      </c>
      <c r="B725" s="53">
        <v>26</v>
      </c>
      <c r="C725" s="51">
        <v>2</v>
      </c>
      <c r="D725" s="2" t="str">
        <f t="shared" ref="D725:D726" si="711">B725&amp;"_"&amp;C725</f>
        <v>26_2</v>
      </c>
      <c r="E725" s="2" t="str">
        <f t="shared" ref="E725:E726" si="712">C725&amp;"_"&amp;D725</f>
        <v>2_26_2</v>
      </c>
      <c r="F725" s="4" t="str">
        <f ca="1">VLOOKUP($D725,OFFSET([1]stages!$A$1,0,0,COUNTA([1]stages!$A:$A),MATCH(F$1,[1]stages!$2:$2,0)-MATCH($D$1,[1]stages!$2:$2,0)+1),MATCH(F$1,[1]stages!$2:$2,0)-MATCH($D$1,[1]stages!$2:$2,0)+1,FALSE)</f>
        <v>26-2．フロアジャック</v>
      </c>
      <c r="G725" s="54">
        <v>2</v>
      </c>
      <c r="H725" s="17" t="str">
        <f t="shared" ref="H725:H726" si="713">B725&amp;"_"&amp;C725&amp;"-"&amp;G725</f>
        <v>26_2-2</v>
      </c>
      <c r="I725" s="17"/>
      <c r="J725" s="17"/>
      <c r="K725" s="65" t="s">
        <v>56</v>
      </c>
      <c r="L725" s="52">
        <v>352</v>
      </c>
      <c r="M725" s="21" t="str">
        <f ca="1">VLOOKUP($L725,OFFSET([2]enemies!$A$1,0,0,COUNTA([2]enemies!$A:$A),MATCH(M$1,[2]enemies!$1:$1,0)-MATCH($L$1,[2]enemies!$1:$1,0)+1),MATCH(M$1,[2]enemies!$1:$1,0)-MATCH($L$1,[2]enemies!$1:$1,0)+1,FALSE)</f>
        <v>水のケロケロ</v>
      </c>
      <c r="N725" s="21" t="str">
        <f ca="1">VLOOKUP($L725,OFFSET([2]enemies!$A$1,0,0,COUNTA([2]enemies!$A:$A),MATCH(N$1,[2]enemies!$1:$1,0)-MATCH($L$1,[2]enemies!$1:$1,0)+1),MATCH(N$1,[2]enemies!$1:$1,0)-MATCH($L$1,[2]enemies!$1:$1,0)+1,FALSE)</f>
        <v>blue</v>
      </c>
      <c r="O725" s="21" t="str">
        <f ca="1">VLOOKUP($L725,OFFSET([3]characters!$A$1,0,0,COUNTA([3]characters!$A:$A),MATCH(O$1,[3]characters!$1:$1,0)-MATCH($L$1,[3]characters!$1:$1,0)+1),MATCH(O$1,[3]characters!$1:$1,0)-MATCH($L$1,[3]characters!$1:$1,0)+1,FALSE)</f>
        <v>Material</v>
      </c>
      <c r="P725" s="21" t="str">
        <f ca="1">VLOOKUP($L725,OFFSET([2]enemies!$A$1,0,0,COUNTA([2]enemies!$A:$A),MATCH(P$1,[2]enemies!$1:$1,0)-MATCH($L$1,[2]enemies!$1:$1,0)+1),MATCH(P$1,[2]enemies!$1:$1,0)-MATCH($L$1,[2]enemies!$1:$1,0)+1,FALSE)</f>
        <v>unknown</v>
      </c>
      <c r="Q725" s="21">
        <f ca="1">VLOOKUP($L725,OFFSET([2]enemies!$A$1,0,0,COUNTA([2]enemies!$A:$A),MATCH(Q$1,[2]enemies!$1:$1,0)-MATCH($L$1,[2]enemies!$1:$1,0)+1),MATCH(Q$1,[2]enemies!$1:$1,0)-MATCH($L$1,[2]enemies!$1:$1,0)+1,FALSE)</f>
        <v>15</v>
      </c>
      <c r="R725" s="53">
        <v>51</v>
      </c>
      <c r="S725" s="27">
        <v>1</v>
      </c>
      <c r="T725" s="27">
        <v>1</v>
      </c>
      <c r="U725" s="5">
        <v>0</v>
      </c>
      <c r="V725" s="4" t="str">
        <f ca="1">VLOOKUP($W725,OFFSET([4]enemy_skill_sets!$B$1,0,0,COUNTA([4]enemy_skill_sets!$B:$B),MATCH(M$1,[4]enemy_skill_sets!$1:$1,0)-MATCH($W$1,[4]enemy_skill_sets!$1:$1,0)+2),MATCH(M$1,[4]enemy_skill_sets!$1:$1,0)-MATCH($W$1,[4]enemy_skill_sets!$1:$1,0)+2,FALSE)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725" s="64">
        <v>352</v>
      </c>
      <c r="X725" s="6">
        <v>0</v>
      </c>
      <c r="Y725" s="6">
        <v>100</v>
      </c>
      <c r="Z725" s="6">
        <v>0</v>
      </c>
      <c r="AA725" s="4">
        <f ca="1">VLOOKUP($L725,OFFSET([2]enemies!$A$1,0,0,COUNTA([2]enemies!$A:$A),MATCH(AA$1,[2]enemies!$1:$1,0)-MATCH($L$1,[2]enemies!$1:$1,0)+1),MATCH(AA$1,[2]enemies!$1:$1,0)-MATCH($L$1,[2]enemies!$1:$1,0)+1,FALSE)</f>
        <v>3</v>
      </c>
      <c r="AB725" s="52">
        <v>352</v>
      </c>
      <c r="AC725" s="4" t="str">
        <f ca="1">VLOOKUP($AB725,OFFSET([3]characters!$A$1,0,0,COUNTA([3]characters!$A:$A),MATCH(AC$1,[3]characters!$1:$1,0)-MATCH("character_id",[3]characters!$1:$1,0)+1),MATCH(AC$1,[3]characters!$1:$1,0)-MATCH("character_id",[3]characters!$1:$1,0)+1,FALSE)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725" s="4">
        <f ca="1">VLOOKUP($AB725,OFFSET([3]characters!$A$1,0,0,COUNTA([3]characters!$A:$A),MATCH(AD$1,[3]characters!$1:$1,0)-MATCH("character_id",[3]characters!$1:$1,0)+1),MATCH(AD$1,[3]characters!$1:$1,0)-MATCH("character_id",[3]characters!$1:$1,0)+1,FALSE)</f>
        <v>2</v>
      </c>
      <c r="AE725" s="4" t="str">
        <f ca="1">VLOOKUP($AB725,OFFSET([3]characters!$A$1,0,0,COUNTA([3]characters!$A:$A),MATCH(AE$1,[3]characters!$1:$1,0)-MATCH("character_id",[3]characters!$1:$1,0)+1),MATCH(AE$1,[3]characters!$1:$1,0)-MATCH("character_id",[3]characters!$1:$1,0)+1,FALSE)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25" s="7">
        <v>10</v>
      </c>
      <c r="AG725" s="26">
        <f t="shared" ca="1" si="702"/>
        <v>2</v>
      </c>
      <c r="AH725" s="8">
        <v>20</v>
      </c>
      <c r="AI725" s="7">
        <v>0</v>
      </c>
      <c r="AJ725" s="7">
        <v>0</v>
      </c>
      <c r="AK725" s="7">
        <v>0</v>
      </c>
      <c r="AL725" s="7">
        <v>0</v>
      </c>
      <c r="AM725" s="7">
        <v>1</v>
      </c>
    </row>
    <row r="726" spans="1:39" ht="14" x14ac:dyDescent="0.15">
      <c r="A726" s="18" t="str">
        <f t="shared" ca="1" si="687"/>
        <v>26_2-2/354&lt;lv52&gt;s3</v>
      </c>
      <c r="B726" s="53">
        <v>26</v>
      </c>
      <c r="C726" s="51">
        <v>2</v>
      </c>
      <c r="D726" s="2" t="str">
        <f t="shared" si="711"/>
        <v>26_2</v>
      </c>
      <c r="E726" s="2" t="str">
        <f t="shared" si="712"/>
        <v>2_26_2</v>
      </c>
      <c r="F726" s="4" t="str">
        <f ca="1">VLOOKUP($D726,OFFSET([1]stages!$A$1,0,0,COUNTA([1]stages!$A:$A),MATCH(F$1,[1]stages!$2:$2,0)-MATCH($D$1,[1]stages!$2:$2,0)+1),MATCH(F$1,[1]stages!$2:$2,0)-MATCH($D$1,[1]stages!$2:$2,0)+1,FALSE)</f>
        <v>26-2．フロアジャック</v>
      </c>
      <c r="G726" s="54">
        <v>2</v>
      </c>
      <c r="H726" s="17" t="str">
        <f t="shared" si="713"/>
        <v>26_2-2</v>
      </c>
      <c r="I726" s="17"/>
      <c r="J726" s="17"/>
      <c r="K726" s="65" t="s">
        <v>56</v>
      </c>
      <c r="L726" s="52">
        <v>354</v>
      </c>
      <c r="M726" s="21" t="str">
        <f ca="1">VLOOKUP($L726,OFFSET([2]enemies!$A$1,0,0,COUNTA([2]enemies!$A:$A),MATCH(M$1,[2]enemies!$1:$1,0)-MATCH($L$1,[2]enemies!$1:$1,0)+1),MATCH(M$1,[2]enemies!$1:$1,0)-MATCH($L$1,[2]enemies!$1:$1,0)+1,FALSE)</f>
        <v>雷のケロケロ</v>
      </c>
      <c r="N726" s="21" t="str">
        <f ca="1">VLOOKUP($L726,OFFSET([2]enemies!$A$1,0,0,COUNTA([2]enemies!$A:$A),MATCH(N$1,[2]enemies!$1:$1,0)-MATCH($L$1,[2]enemies!$1:$1,0)+1),MATCH(N$1,[2]enemies!$1:$1,0)-MATCH($L$1,[2]enemies!$1:$1,0)+1,FALSE)</f>
        <v>yellow</v>
      </c>
      <c r="O726" s="21" t="str">
        <f ca="1">VLOOKUP($L726,OFFSET([3]characters!$A$1,0,0,COUNTA([3]characters!$A:$A),MATCH(O$1,[3]characters!$1:$1,0)-MATCH($L$1,[3]characters!$1:$1,0)+1),MATCH(O$1,[3]characters!$1:$1,0)-MATCH($L$1,[3]characters!$1:$1,0)+1,FALSE)</f>
        <v>Material</v>
      </c>
      <c r="P726" s="21" t="str">
        <f ca="1">VLOOKUP($L726,OFFSET([2]enemies!$A$1,0,0,COUNTA([2]enemies!$A:$A),MATCH(P$1,[2]enemies!$1:$1,0)-MATCH($L$1,[2]enemies!$1:$1,0)+1),MATCH(P$1,[2]enemies!$1:$1,0)-MATCH($L$1,[2]enemies!$1:$1,0)+1,FALSE)</f>
        <v>unknown</v>
      </c>
      <c r="Q726" s="21">
        <f ca="1">VLOOKUP($L726,OFFSET([2]enemies!$A$1,0,0,COUNTA([2]enemies!$A:$A),MATCH(Q$1,[2]enemies!$1:$1,0)-MATCH($L$1,[2]enemies!$1:$1,0)+1),MATCH(Q$1,[2]enemies!$1:$1,0)-MATCH($L$1,[2]enemies!$1:$1,0)+1,FALSE)</f>
        <v>15</v>
      </c>
      <c r="R726" s="53">
        <v>52</v>
      </c>
      <c r="S726" s="27">
        <v>1</v>
      </c>
      <c r="T726" s="27">
        <v>1</v>
      </c>
      <c r="U726" s="5">
        <v>0</v>
      </c>
      <c r="V726" s="4" t="str">
        <f ca="1">VLOOKUP($W726,OFFSET([4]enemy_skill_sets!$B$1,0,0,COUNTA([4]enemy_skill_sets!$B:$B),MATCH(M$1,[4]enemy_skill_sets!$1:$1,0)-MATCH($W$1,[4]enemy_skill_sets!$1:$1,0)+2),MATCH(M$1,[4]enemy_skill_sets!$1:$1,0)-MATCH($W$1,[4]enemy_skill_sets!$1:$1,0)+2,FALSE)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726" s="64">
        <v>354</v>
      </c>
      <c r="X726" s="6">
        <v>0</v>
      </c>
      <c r="Y726" s="6">
        <v>100</v>
      </c>
      <c r="Z726" s="6">
        <v>0</v>
      </c>
      <c r="AA726" s="4">
        <f ca="1">VLOOKUP($L726,OFFSET([2]enemies!$A$1,0,0,COUNTA([2]enemies!$A:$A),MATCH(AA$1,[2]enemies!$1:$1,0)-MATCH($L$1,[2]enemies!$1:$1,0)+1),MATCH(AA$1,[2]enemies!$1:$1,0)-MATCH($L$1,[2]enemies!$1:$1,0)+1,FALSE)</f>
        <v>3</v>
      </c>
      <c r="AB726" s="52">
        <v>354</v>
      </c>
      <c r="AC726" s="4" t="str">
        <f ca="1">VLOOKUP($AB726,OFFSET([3]characters!$A$1,0,0,COUNTA([3]characters!$A:$A),MATCH(AC$1,[3]characters!$1:$1,0)-MATCH("character_id",[3]characters!$1:$1,0)+1),MATCH(AC$1,[3]characters!$1:$1,0)-MATCH("character_id",[3]characters!$1:$1,0)+1,FALSE)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726" s="4">
        <f ca="1">VLOOKUP($AB726,OFFSET([3]characters!$A$1,0,0,COUNTA([3]characters!$A:$A),MATCH(AD$1,[3]characters!$1:$1,0)-MATCH("character_id",[3]characters!$1:$1,0)+1),MATCH(AD$1,[3]characters!$1:$1,0)-MATCH("character_id",[3]characters!$1:$1,0)+1,FALSE)</f>
        <v>2</v>
      </c>
      <c r="AE726" s="4" t="str">
        <f ca="1">VLOOKUP($AB726,OFFSET([3]characters!$A$1,0,0,COUNTA([3]characters!$A:$A),MATCH(AE$1,[3]characters!$1:$1,0)-MATCH("character_id",[3]characters!$1:$1,0)+1),MATCH(AE$1,[3]characters!$1:$1,0)-MATCH("character_id",[3]characters!$1:$1,0)+1,FALSE)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26" s="7">
        <v>10</v>
      </c>
      <c r="AG726" s="26">
        <f t="shared" ca="1" si="702"/>
        <v>2</v>
      </c>
      <c r="AH726" s="8">
        <v>20</v>
      </c>
      <c r="AI726" s="7">
        <v>0</v>
      </c>
      <c r="AJ726" s="7">
        <v>0</v>
      </c>
      <c r="AK726" s="7">
        <v>0</v>
      </c>
      <c r="AL726" s="7">
        <v>0</v>
      </c>
      <c r="AM726" s="7">
        <v>1</v>
      </c>
    </row>
    <row r="727" spans="1:39" ht="14" x14ac:dyDescent="0.15">
      <c r="A727" s="18" t="str">
        <f t="shared" ca="1" si="687"/>
        <v>26_2-3/9&lt;lv52&gt;s2</v>
      </c>
      <c r="B727" s="50">
        <v>26</v>
      </c>
      <c r="C727" s="49">
        <v>2</v>
      </c>
      <c r="D727" s="2" t="str">
        <f t="shared" si="706"/>
        <v>26_2</v>
      </c>
      <c r="E727" s="2" t="str">
        <f t="shared" si="706"/>
        <v>2_26_2</v>
      </c>
      <c r="F727" s="4" t="str">
        <f ca="1">VLOOKUP($D727,OFFSET([1]stages!$A$1,0,0,COUNTA([1]stages!$A:$A),MATCH(F$1,[1]stages!$2:$2,0)-MATCH($D$1,[1]stages!$2:$2,0)+1),MATCH(F$1,[1]stages!$2:$2,0)-MATCH($D$1,[1]stages!$2:$2,0)+1,FALSE)</f>
        <v>26-2．フロアジャック</v>
      </c>
      <c r="G727" s="55">
        <v>3</v>
      </c>
      <c r="H727" s="17" t="str">
        <f t="shared" si="707"/>
        <v>26_2-3</v>
      </c>
      <c r="I727" s="17"/>
      <c r="J727" s="17"/>
      <c r="K727" s="65" t="s">
        <v>56</v>
      </c>
      <c r="L727" s="52">
        <v>9</v>
      </c>
      <c r="M727" s="21" t="str">
        <f ca="1">VLOOKUP($L727,OFFSET([2]enemies!$A$1,0,0,COUNTA([2]enemies!$A:$A),MATCH(M$1,[2]enemies!$1:$1,0)-MATCH($L$1,[2]enemies!$1:$1,0)+1),MATCH(M$1,[2]enemies!$1:$1,0)-MATCH($L$1,[2]enemies!$1:$1,0)+1,FALSE)</f>
        <v>ブレット</v>
      </c>
      <c r="N727" s="21" t="str">
        <f ca="1">VLOOKUP($L727,OFFSET([2]enemies!$A$1,0,0,COUNTA([2]enemies!$A:$A),MATCH(N$1,[2]enemies!$1:$1,0)-MATCH($L$1,[2]enemies!$1:$1,0)+1),MATCH(N$1,[2]enemies!$1:$1,0)-MATCH($L$1,[2]enemies!$1:$1,0)+1,FALSE)</f>
        <v>red</v>
      </c>
      <c r="O727" s="21" t="str">
        <f ca="1">VLOOKUP($L727,OFFSET([3]characters!$A$1,0,0,COUNTA([3]characters!$A:$A),MATCH(O$1,[3]characters!$1:$1,0)-MATCH($L$1,[3]characters!$1:$1,0)+1),MATCH(O$1,[3]characters!$1:$1,0)-MATCH($L$1,[3]characters!$1:$1,0)+1,FALSE)</f>
        <v>Drop1W</v>
      </c>
      <c r="P727" s="21" t="str">
        <f ca="1">VLOOKUP($L727,OFFSET([2]enemies!$A$1,0,0,COUNTA([2]enemies!$A:$A),MATCH(P$1,[2]enemies!$1:$1,0)-MATCH($L$1,[2]enemies!$1:$1,0)+1),MATCH(P$1,[2]enemies!$1:$1,0)-MATCH($L$1,[2]enemies!$1:$1,0)+1,FALSE)</f>
        <v>animal</v>
      </c>
      <c r="Q727" s="21">
        <f ca="1">VLOOKUP($L727,OFFSET([2]enemies!$A$1,0,0,COUNTA([2]enemies!$A:$A),MATCH(Q$1,[2]enemies!$1:$1,0)-MATCH($L$1,[2]enemies!$1:$1,0)+1),MATCH(Q$1,[2]enemies!$1:$1,0)-MATCH($L$1,[2]enemies!$1:$1,0)+1,FALSE)</f>
        <v>15</v>
      </c>
      <c r="R727" s="53">
        <v>52</v>
      </c>
      <c r="S727" s="27">
        <v>1</v>
      </c>
      <c r="T727" s="27">
        <v>1</v>
      </c>
      <c r="U727" s="5">
        <v>0</v>
      </c>
      <c r="V727" s="4" t="str">
        <f ca="1">VLOOKUP($W727,OFFSET([4]enemy_skill_sets!$B$1,0,0,COUNTA([4]enemy_skill_sets!$B:$B),MATCH(M$1,[4]enemy_skill_sets!$1:$1,0)-MATCH($W$1,[4]enemy_skill_sets!$1:$1,0)+2),MATCH(M$1,[4]enemy_skill_sets!$1:$1,0)-MATCH($W$1,[4]enemy_skill_sets!$1:$1,0)+2,FALSE)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27" s="4">
        <f ca="1">VLOOKUP($L727,OFFSET([2]enemies!$A$1,0,0,COUNTA([2]enemies!$A:$A),MATCH(W$1,[2]enemies!$1:$1,0)-MATCH($L$1,[2]enemies!$1:$1,0)+1),MATCH(W$1,[2]enemies!$1:$1,0)-MATCH($L$1,[2]enemies!$1:$1,0)+1,FALSE)</f>
        <v>0</v>
      </c>
      <c r="X727" s="6">
        <v>0</v>
      </c>
      <c r="Y727" s="6">
        <v>100</v>
      </c>
      <c r="Z727" s="6">
        <v>0</v>
      </c>
      <c r="AA727" s="4">
        <f ca="1">VLOOKUP($L727,OFFSET([2]enemies!$A$1,0,0,COUNTA([2]enemies!$A:$A),MATCH(AA$1,[2]enemies!$1:$1,0)-MATCH($L$1,[2]enemies!$1:$1,0)+1),MATCH(AA$1,[2]enemies!$1:$1,0)-MATCH($L$1,[2]enemies!$1:$1,0)+1,FALSE)</f>
        <v>2</v>
      </c>
      <c r="AB727" s="52">
        <v>9</v>
      </c>
      <c r="AC727" s="4" t="str">
        <f ca="1">VLOOKUP($AB727,OFFSET([3]characters!$A$1,0,0,COUNTA([3]characters!$A:$A),MATCH(AC$1,[3]characters!$1:$1,0)-MATCH("character_id",[3]characters!$1:$1,0)+1),MATCH(AC$1,[3]characters!$1:$1,0)-MATCH("character_id",[3]characters!$1:$1,0)+1,FALSE)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727" s="4">
        <f ca="1">VLOOKUP($AB727,OFFSET([3]characters!$A$1,0,0,COUNTA([3]characters!$A:$A),MATCH(AD$1,[3]characters!$1:$1,0)-MATCH("character_id",[3]characters!$1:$1,0)+1),MATCH(AD$1,[3]characters!$1:$1,0)-MATCH("character_id",[3]characters!$1:$1,0)+1,FALSE)</f>
        <v>1</v>
      </c>
      <c r="AE727" s="4" t="str">
        <f ca="1">VLOOKUP($AB727,OFFSET([3]characters!$A$1,0,0,COUNTA([3]characters!$A:$A),MATCH(AE$1,[3]characters!$1:$1,0)-MATCH("character_id",[3]characters!$1:$1,0)+1),MATCH(AE$1,[3]characters!$1:$1,0)-MATCH("character_id",[3]characters!$1:$1,0)+1,FALSE)</f>
        <v>Drop1W</v>
      </c>
      <c r="AF727" s="7">
        <v>9</v>
      </c>
      <c r="AG727" s="26">
        <f t="shared" ca="1" si="702"/>
        <v>1</v>
      </c>
      <c r="AH727" s="8">
        <v>20</v>
      </c>
      <c r="AI727" s="7">
        <v>0</v>
      </c>
      <c r="AJ727" s="7">
        <v>0</v>
      </c>
      <c r="AK727" s="7">
        <v>0</v>
      </c>
      <c r="AL727" s="7">
        <v>0</v>
      </c>
      <c r="AM727" s="7">
        <v>1</v>
      </c>
    </row>
    <row r="728" spans="1:39" ht="14" x14ac:dyDescent="0.15">
      <c r="A728" s="18" t="str">
        <f t="shared" ca="1" si="687"/>
        <v>26_2-3/11&lt;lv52&gt;s3</v>
      </c>
      <c r="B728" s="50">
        <v>26</v>
      </c>
      <c r="C728" s="49">
        <v>2</v>
      </c>
      <c r="D728" s="2" t="str">
        <f t="shared" si="706"/>
        <v>26_2</v>
      </c>
      <c r="E728" s="2" t="str">
        <f t="shared" si="706"/>
        <v>2_26_2</v>
      </c>
      <c r="F728" s="4" t="str">
        <f ca="1">VLOOKUP($D728,OFFSET([1]stages!$A$1,0,0,COUNTA([1]stages!$A:$A),MATCH(F$1,[1]stages!$2:$2,0)-MATCH($D$1,[1]stages!$2:$2,0)+1),MATCH(F$1,[1]stages!$2:$2,0)-MATCH($D$1,[1]stages!$2:$2,0)+1,FALSE)</f>
        <v>26-2．フロアジャック</v>
      </c>
      <c r="G728" s="55">
        <v>3</v>
      </c>
      <c r="H728" s="17" t="str">
        <f t="shared" si="707"/>
        <v>26_2-3</v>
      </c>
      <c r="I728" s="17"/>
      <c r="J728" s="17"/>
      <c r="K728" s="65" t="s">
        <v>56</v>
      </c>
      <c r="L728" s="52">
        <v>11</v>
      </c>
      <c r="M728" s="21" t="str">
        <f ca="1">VLOOKUP($L728,OFFSET([2]enemies!$A$1,0,0,COUNTA([2]enemies!$A:$A),MATCH(M$1,[2]enemies!$1:$1,0)-MATCH($L$1,[2]enemies!$1:$1,0)+1),MATCH(M$1,[2]enemies!$1:$1,0)-MATCH($L$1,[2]enemies!$1:$1,0)+1,FALSE)</f>
        <v>マグリット</v>
      </c>
      <c r="N728" s="21" t="str">
        <f ca="1">VLOOKUP($L728,OFFSET([2]enemies!$A$1,0,0,COUNTA([2]enemies!$A:$A),MATCH(N$1,[2]enemies!$1:$1,0)-MATCH($L$1,[2]enemies!$1:$1,0)+1),MATCH(N$1,[2]enemies!$1:$1,0)-MATCH($L$1,[2]enemies!$1:$1,0)+1,FALSE)</f>
        <v>green</v>
      </c>
      <c r="O728" s="21" t="str">
        <f ca="1">VLOOKUP($L728,OFFSET([3]characters!$A$1,0,0,COUNTA([3]characters!$A:$A),MATCH(O$1,[3]characters!$1:$1,0)-MATCH($L$1,[3]characters!$1:$1,0)+1),MATCH(O$1,[3]characters!$1:$1,0)-MATCH($L$1,[3]characters!$1:$1,0)+1,FALSE)</f>
        <v>Drop1W</v>
      </c>
      <c r="P728" s="21" t="str">
        <f ca="1">VLOOKUP($L728,OFFSET([2]enemies!$A$1,0,0,COUNTA([2]enemies!$A:$A),MATCH(P$1,[2]enemies!$1:$1,0)-MATCH($L$1,[2]enemies!$1:$1,0)+1),MATCH(P$1,[2]enemies!$1:$1,0)-MATCH($L$1,[2]enemies!$1:$1,0)+1,FALSE)</f>
        <v>animal</v>
      </c>
      <c r="Q728" s="21">
        <f ca="1">VLOOKUP($L728,OFFSET([2]enemies!$A$1,0,0,COUNTA([2]enemies!$A:$A),MATCH(Q$1,[2]enemies!$1:$1,0)-MATCH($L$1,[2]enemies!$1:$1,0)+1),MATCH(Q$1,[2]enemies!$1:$1,0)-MATCH($L$1,[2]enemies!$1:$1,0)+1,FALSE)</f>
        <v>15</v>
      </c>
      <c r="R728" s="53">
        <v>52</v>
      </c>
      <c r="S728" s="27">
        <v>1</v>
      </c>
      <c r="T728" s="27">
        <v>1</v>
      </c>
      <c r="U728" s="5">
        <v>0</v>
      </c>
      <c r="V728" s="4" t="str">
        <f ca="1">VLOOKUP($W728,OFFSET([4]enemy_skill_sets!$B$1,0,0,COUNTA([4]enemy_skill_sets!$B:$B),MATCH(M$1,[4]enemy_skill_sets!$1:$1,0)-MATCH($W$1,[4]enemy_skill_sets!$1:$1,0)+2),MATCH(M$1,[4]enemy_skill_sets!$1:$1,0)-MATCH($W$1,[4]enemy_skill_sets!$1:$1,0)+2,FALSE)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28" s="4">
        <f ca="1">VLOOKUP($L728,OFFSET([2]enemies!$A$1,0,0,COUNTA([2]enemies!$A:$A),MATCH(W$1,[2]enemies!$1:$1,0)-MATCH($L$1,[2]enemies!$1:$1,0)+1),MATCH(W$1,[2]enemies!$1:$1,0)-MATCH($L$1,[2]enemies!$1:$1,0)+1,FALSE)</f>
        <v>0</v>
      </c>
      <c r="X728" s="6">
        <v>0</v>
      </c>
      <c r="Y728" s="6">
        <v>100</v>
      </c>
      <c r="Z728" s="6">
        <v>0</v>
      </c>
      <c r="AA728" s="4">
        <f ca="1">VLOOKUP($L728,OFFSET([2]enemies!$A$1,0,0,COUNTA([2]enemies!$A:$A),MATCH(AA$1,[2]enemies!$1:$1,0)-MATCH($L$1,[2]enemies!$1:$1,0)+1),MATCH(AA$1,[2]enemies!$1:$1,0)-MATCH($L$1,[2]enemies!$1:$1,0)+1,FALSE)</f>
        <v>3</v>
      </c>
      <c r="AB728" s="52">
        <v>11</v>
      </c>
      <c r="AC728" s="4" t="str">
        <f ca="1">VLOOKUP($AB728,OFFSET([3]characters!$A$1,0,0,COUNTA([3]characters!$A:$A),MATCH(AC$1,[3]characters!$1:$1,0)-MATCH("character_id",[3]characters!$1:$1,0)+1),MATCH(AC$1,[3]characters!$1:$1,0)-MATCH("character_id",[3]characters!$1:$1,0)+1,FALSE)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728" s="4">
        <f ca="1">VLOOKUP($AB728,OFFSET([3]characters!$A$1,0,0,COUNTA([3]characters!$A:$A),MATCH(AD$1,[3]characters!$1:$1,0)-MATCH("character_id",[3]characters!$1:$1,0)+1),MATCH(AD$1,[3]characters!$1:$1,0)-MATCH("character_id",[3]characters!$1:$1,0)+1,FALSE)</f>
        <v>1</v>
      </c>
      <c r="AE728" s="4" t="str">
        <f ca="1">VLOOKUP($AB728,OFFSET([3]characters!$A$1,0,0,COUNTA([3]characters!$A:$A),MATCH(AE$1,[3]characters!$1:$1,0)-MATCH("character_id",[3]characters!$1:$1,0)+1),MATCH(AE$1,[3]characters!$1:$1,0)-MATCH("character_id",[3]characters!$1:$1,0)+1,FALSE)</f>
        <v>Drop1W</v>
      </c>
      <c r="AF728" s="7">
        <v>9</v>
      </c>
      <c r="AG728" s="26">
        <f t="shared" ca="1" si="702"/>
        <v>1</v>
      </c>
      <c r="AH728" s="8">
        <v>20</v>
      </c>
      <c r="AI728" s="7">
        <v>0</v>
      </c>
      <c r="AJ728" s="7">
        <v>0</v>
      </c>
      <c r="AK728" s="7">
        <v>0</v>
      </c>
      <c r="AL728" s="7">
        <v>0</v>
      </c>
      <c r="AM728" s="7">
        <v>1</v>
      </c>
    </row>
    <row r="729" spans="1:39" ht="14" x14ac:dyDescent="0.15">
      <c r="A729" s="18" t="str">
        <f t="shared" ca="1" si="687"/>
        <v>26_2-3/13&lt;lv52&gt;s2</v>
      </c>
      <c r="B729" s="50">
        <v>26</v>
      </c>
      <c r="C729" s="49">
        <v>2</v>
      </c>
      <c r="D729" s="2" t="str">
        <f t="shared" si="706"/>
        <v>26_2</v>
      </c>
      <c r="E729" s="2" t="str">
        <f t="shared" si="706"/>
        <v>2_26_2</v>
      </c>
      <c r="F729" s="4" t="str">
        <f ca="1">VLOOKUP($D729,OFFSET([1]stages!$A$1,0,0,COUNTA([1]stages!$A:$A),MATCH(F$1,[1]stages!$2:$2,0)-MATCH($D$1,[1]stages!$2:$2,0)+1),MATCH(F$1,[1]stages!$2:$2,0)-MATCH($D$1,[1]stages!$2:$2,0)+1,FALSE)</f>
        <v>26-2．フロアジャック</v>
      </c>
      <c r="G729" s="55">
        <v>3</v>
      </c>
      <c r="H729" s="17" t="str">
        <f t="shared" si="707"/>
        <v>26_2-3</v>
      </c>
      <c r="I729" s="17"/>
      <c r="J729" s="17"/>
      <c r="K729" s="65" t="s">
        <v>56</v>
      </c>
      <c r="L729" s="52">
        <v>13</v>
      </c>
      <c r="M729" s="21" t="str">
        <f ca="1">VLOOKUP($L729,OFFSET([2]enemies!$A$1,0,0,COUNTA([2]enemies!$A:$A),MATCH(M$1,[2]enemies!$1:$1,0)-MATCH($L$1,[2]enemies!$1:$1,0)+1),MATCH(M$1,[2]enemies!$1:$1,0)-MATCH($L$1,[2]enemies!$1:$1,0)+1,FALSE)</f>
        <v>ミミ</v>
      </c>
      <c r="N729" s="21" t="str">
        <f ca="1">VLOOKUP($L729,OFFSET([2]enemies!$A$1,0,0,COUNTA([2]enemies!$A:$A),MATCH(N$1,[2]enemies!$1:$1,0)-MATCH($L$1,[2]enemies!$1:$1,0)+1),MATCH(N$1,[2]enemies!$1:$1,0)-MATCH($L$1,[2]enemies!$1:$1,0)+1,FALSE)</f>
        <v>yellow</v>
      </c>
      <c r="O729" s="21" t="str">
        <f ca="1">VLOOKUP($L729,OFFSET([3]characters!$A$1,0,0,COUNTA([3]characters!$A:$A),MATCH(O$1,[3]characters!$1:$1,0)-MATCH($L$1,[3]characters!$1:$1,0)+1),MATCH(O$1,[3]characters!$1:$1,0)-MATCH($L$1,[3]characters!$1:$1,0)+1,FALSE)</f>
        <v>Drop1W</v>
      </c>
      <c r="P729" s="21" t="str">
        <f ca="1">VLOOKUP($L729,OFFSET([2]enemies!$A$1,0,0,COUNTA([2]enemies!$A:$A),MATCH(P$1,[2]enemies!$1:$1,0)-MATCH($L$1,[2]enemies!$1:$1,0)+1),MATCH(P$1,[2]enemies!$1:$1,0)-MATCH($L$1,[2]enemies!$1:$1,0)+1,FALSE)</f>
        <v>animal</v>
      </c>
      <c r="Q729" s="21">
        <f ca="1">VLOOKUP($L729,OFFSET([2]enemies!$A$1,0,0,COUNTA([2]enemies!$A:$A),MATCH(Q$1,[2]enemies!$1:$1,0)-MATCH($L$1,[2]enemies!$1:$1,0)+1),MATCH(Q$1,[2]enemies!$1:$1,0)-MATCH($L$1,[2]enemies!$1:$1,0)+1,FALSE)</f>
        <v>15</v>
      </c>
      <c r="R729" s="53">
        <v>52</v>
      </c>
      <c r="S729" s="27">
        <v>1</v>
      </c>
      <c r="T729" s="27">
        <v>1</v>
      </c>
      <c r="U729" s="5">
        <v>0</v>
      </c>
      <c r="V729" s="4" t="str">
        <f ca="1">VLOOKUP($W729,OFFSET([4]enemy_skill_sets!$B$1,0,0,COUNTA([4]enemy_skill_sets!$B:$B),MATCH(M$1,[4]enemy_skill_sets!$1:$1,0)-MATCH($W$1,[4]enemy_skill_sets!$1:$1,0)+2),MATCH(M$1,[4]enemy_skill_sets!$1:$1,0)-MATCH($W$1,[4]enemy_skill_sets!$1:$1,0)+2,FALSE)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29" s="4">
        <f ca="1">VLOOKUP($L729,OFFSET([2]enemies!$A$1,0,0,COUNTA([2]enemies!$A:$A),MATCH(W$1,[2]enemies!$1:$1,0)-MATCH($L$1,[2]enemies!$1:$1,0)+1),MATCH(W$1,[2]enemies!$1:$1,0)-MATCH($L$1,[2]enemies!$1:$1,0)+1,FALSE)</f>
        <v>0</v>
      </c>
      <c r="X729" s="6">
        <v>0</v>
      </c>
      <c r="Y729" s="6">
        <v>100</v>
      </c>
      <c r="Z729" s="6">
        <v>0</v>
      </c>
      <c r="AA729" s="4">
        <f ca="1">VLOOKUP($L729,OFFSET([2]enemies!$A$1,0,0,COUNTA([2]enemies!$A:$A),MATCH(AA$1,[2]enemies!$1:$1,0)-MATCH($L$1,[2]enemies!$1:$1,0)+1),MATCH(AA$1,[2]enemies!$1:$1,0)-MATCH($L$1,[2]enemies!$1:$1,0)+1,FALSE)</f>
        <v>2</v>
      </c>
      <c r="AB729" s="52">
        <v>13</v>
      </c>
      <c r="AC729" s="4" t="str">
        <f ca="1">VLOOKUP($AB729,OFFSET([3]characters!$A$1,0,0,COUNTA([3]characters!$A:$A),MATCH(AC$1,[3]characters!$1:$1,0)-MATCH("character_id",[3]characters!$1:$1,0)+1),MATCH(AC$1,[3]characters!$1:$1,0)-MATCH("character_id",[3]characters!$1:$1,0)+1,FALSE)</f>
        <v>ミミ</v>
      </c>
      <c r="AD729" s="4">
        <f ca="1">VLOOKUP($AB729,OFFSET([3]characters!$A$1,0,0,COUNTA([3]characters!$A:$A),MATCH(AD$1,[3]characters!$1:$1,0)-MATCH("character_id",[3]characters!$1:$1,0)+1),MATCH(AD$1,[3]characters!$1:$1,0)-MATCH("character_id",[3]characters!$1:$1,0)+1,FALSE)</f>
        <v>1</v>
      </c>
      <c r="AE729" s="4" t="str">
        <f ca="1">VLOOKUP($AB729,OFFSET([3]characters!$A$1,0,0,COUNTA([3]characters!$A:$A),MATCH(AE$1,[3]characters!$1:$1,0)-MATCH("character_id",[3]characters!$1:$1,0)+1),MATCH(AE$1,[3]characters!$1:$1,0)-MATCH("character_id",[3]characters!$1:$1,0)+1,FALSE)</f>
        <v>Drop1W</v>
      </c>
      <c r="AF729" s="7">
        <v>9</v>
      </c>
      <c r="AG729" s="26">
        <f t="shared" ca="1" si="702"/>
        <v>1</v>
      </c>
      <c r="AH729" s="8">
        <v>20</v>
      </c>
      <c r="AI729" s="7">
        <v>0</v>
      </c>
      <c r="AJ729" s="7">
        <v>0</v>
      </c>
      <c r="AK729" s="7">
        <v>0</v>
      </c>
      <c r="AL729" s="7">
        <v>0</v>
      </c>
      <c r="AM729" s="7">
        <v>1</v>
      </c>
    </row>
    <row r="730" spans="1:39" ht="14" x14ac:dyDescent="0.15">
      <c r="A730" s="18" t="str">
        <f t="shared" ca="1" si="687"/>
        <v>26_2-3/23&lt;lv52&gt;s4</v>
      </c>
      <c r="B730" s="50">
        <v>26</v>
      </c>
      <c r="C730" s="49">
        <v>2</v>
      </c>
      <c r="D730" s="2" t="str">
        <f t="shared" si="706"/>
        <v>26_2</v>
      </c>
      <c r="E730" s="2" t="str">
        <f t="shared" si="706"/>
        <v>2_26_2</v>
      </c>
      <c r="F730" s="4" t="str">
        <f ca="1">VLOOKUP($D730,OFFSET([1]stages!$A$1,0,0,COUNTA([1]stages!$A:$A),MATCH(F$1,[1]stages!$2:$2,0)-MATCH($D$1,[1]stages!$2:$2,0)+1),MATCH(F$1,[1]stages!$2:$2,0)-MATCH($D$1,[1]stages!$2:$2,0)+1,FALSE)</f>
        <v>26-2．フロアジャック</v>
      </c>
      <c r="G730" s="55">
        <v>3</v>
      </c>
      <c r="H730" s="17" t="str">
        <f t="shared" si="707"/>
        <v>26_2-3</v>
      </c>
      <c r="I730" s="17"/>
      <c r="J730" s="17"/>
      <c r="K730" s="65" t="s">
        <v>56</v>
      </c>
      <c r="L730" s="52">
        <v>23</v>
      </c>
      <c r="M730" s="21" t="str">
        <f ca="1">VLOOKUP($L730,OFFSET([2]enemies!$A$1,0,0,COUNTA([2]enemies!$A:$A),MATCH(M$1,[2]enemies!$1:$1,0)-MATCH($L$1,[2]enemies!$1:$1,0)+1),MATCH(M$1,[2]enemies!$1:$1,0)-MATCH($L$1,[2]enemies!$1:$1,0)+1,FALSE)</f>
        <v>ミール</v>
      </c>
      <c r="N730" s="21" t="str">
        <f ca="1">VLOOKUP($L730,OFFSET([2]enemies!$A$1,0,0,COUNTA([2]enemies!$A:$A),MATCH(N$1,[2]enemies!$1:$1,0)-MATCH($L$1,[2]enemies!$1:$1,0)+1),MATCH(N$1,[2]enemies!$1:$1,0)-MATCH($L$1,[2]enemies!$1:$1,0)+1,FALSE)</f>
        <v>green</v>
      </c>
      <c r="O730" s="21" t="str">
        <f ca="1">VLOOKUP($L730,OFFSET([3]characters!$A$1,0,0,COUNTA([3]characters!$A:$A),MATCH(O$1,[3]characters!$1:$1,0)-MATCH($L$1,[3]characters!$1:$1,0)+1),MATCH(O$1,[3]characters!$1:$1,0)-MATCH($L$1,[3]characters!$1:$1,0)+1,FALSE)</f>
        <v>Drop1N</v>
      </c>
      <c r="P730" s="21" t="str">
        <f ca="1">VLOOKUP($L730,OFFSET([2]enemies!$A$1,0,0,COUNTA([2]enemies!$A:$A),MATCH(P$1,[2]enemies!$1:$1,0)-MATCH($L$1,[2]enemies!$1:$1,0)+1),MATCH(P$1,[2]enemies!$1:$1,0)-MATCH($L$1,[2]enemies!$1:$1,0)+1,FALSE)</f>
        <v>animal</v>
      </c>
      <c r="Q730" s="21">
        <f ca="1">VLOOKUP($L730,OFFSET([2]enemies!$A$1,0,0,COUNTA([2]enemies!$A:$A),MATCH(Q$1,[2]enemies!$1:$1,0)-MATCH($L$1,[2]enemies!$1:$1,0)+1),MATCH(Q$1,[2]enemies!$1:$1,0)-MATCH($L$1,[2]enemies!$1:$1,0)+1,FALSE)</f>
        <v>15</v>
      </c>
      <c r="R730" s="53">
        <v>52</v>
      </c>
      <c r="S730" s="27">
        <v>1</v>
      </c>
      <c r="T730" s="27">
        <v>1</v>
      </c>
      <c r="U730" s="5">
        <v>0</v>
      </c>
      <c r="V730" s="4" t="str">
        <f ca="1">VLOOKUP($W730,OFFSET([4]enemy_skill_sets!$B$1,0,0,COUNTA([4]enemy_skill_sets!$B:$B),MATCH(M$1,[4]enemy_skill_sets!$1:$1,0)-MATCH($W$1,[4]enemy_skill_sets!$1:$1,0)+2),MATCH(M$1,[4]enemy_skill_sets!$1:$1,0)-MATCH($W$1,[4]enemy_skill_sets!$1:$1,0)+2,FALSE)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30" s="4">
        <f ca="1">VLOOKUP($L730,OFFSET([2]enemies!$A$1,0,0,COUNTA([2]enemies!$A:$A),MATCH(W$1,[2]enemies!$1:$1,0)-MATCH($L$1,[2]enemies!$1:$1,0)+1),MATCH(W$1,[2]enemies!$1:$1,0)-MATCH($L$1,[2]enemies!$1:$1,0)+1,FALSE)</f>
        <v>0</v>
      </c>
      <c r="X730" s="6">
        <v>0</v>
      </c>
      <c r="Y730" s="6">
        <v>100</v>
      </c>
      <c r="Z730" s="6">
        <v>0</v>
      </c>
      <c r="AA730" s="4">
        <f ca="1">VLOOKUP($L730,OFFSET([2]enemies!$A$1,0,0,COUNTA([2]enemies!$A:$A),MATCH(AA$1,[2]enemies!$1:$1,0)-MATCH($L$1,[2]enemies!$1:$1,0)+1),MATCH(AA$1,[2]enemies!$1:$1,0)-MATCH($L$1,[2]enemies!$1:$1,0)+1,FALSE)</f>
        <v>4</v>
      </c>
      <c r="AB730" s="52">
        <v>23</v>
      </c>
      <c r="AC730" s="4" t="str">
        <f ca="1">VLOOKUP($AB730,OFFSET([3]characters!$A$1,0,0,COUNTA([3]characters!$A:$A),MATCH(AC$1,[3]characters!$1:$1,0)-MATCH("character_id",[3]characters!$1:$1,0)+1),MATCH(AC$1,[3]characters!$1:$1,0)-MATCH("character_id",[3]characters!$1:$1,0)+1,FALSE)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730" s="4">
        <f ca="1">VLOOKUP($AB730,OFFSET([3]characters!$A$1,0,0,COUNTA([3]characters!$A:$A),MATCH(AD$1,[3]characters!$1:$1,0)-MATCH("character_id",[3]characters!$1:$1,0)+1),MATCH(AD$1,[3]characters!$1:$1,0)-MATCH("character_id",[3]characters!$1:$1,0)+1,FALSE)</f>
        <v>1</v>
      </c>
      <c r="AE730" s="4" t="str">
        <f ca="1">VLOOKUP($AB730,OFFSET([3]characters!$A$1,0,0,COUNTA([3]characters!$A:$A),MATCH(AE$1,[3]characters!$1:$1,0)-MATCH("character_id",[3]characters!$1:$1,0)+1),MATCH(AE$1,[3]characters!$1:$1,0)-MATCH("character_id",[3]characters!$1:$1,0)+1,FALSE)</f>
        <v>Drop1N</v>
      </c>
      <c r="AF730" s="7">
        <v>7</v>
      </c>
      <c r="AG730" s="26">
        <f t="shared" ca="1" si="702"/>
        <v>1</v>
      </c>
      <c r="AH730" s="8">
        <v>20</v>
      </c>
      <c r="AI730" s="7">
        <v>0</v>
      </c>
      <c r="AJ730" s="7">
        <v>0</v>
      </c>
      <c r="AK730" s="7">
        <v>0</v>
      </c>
      <c r="AL730" s="7">
        <v>0</v>
      </c>
      <c r="AM730" s="7">
        <v>1</v>
      </c>
    </row>
    <row r="731" spans="1:39" ht="14" x14ac:dyDescent="0.15">
      <c r="A731" s="18" t="str">
        <f t="shared" ca="1" si="687"/>
        <v>26_2-3/25&lt;lv52&gt;s3</v>
      </c>
      <c r="B731" s="50">
        <v>26</v>
      </c>
      <c r="C731" s="49">
        <v>2</v>
      </c>
      <c r="D731" s="2" t="str">
        <f t="shared" si="706"/>
        <v>26_2</v>
      </c>
      <c r="E731" s="2" t="str">
        <f t="shared" si="706"/>
        <v>2_26_2</v>
      </c>
      <c r="F731" s="4" t="str">
        <f ca="1">VLOOKUP($D731,OFFSET([1]stages!$A$1,0,0,COUNTA([1]stages!$A:$A),MATCH(F$1,[1]stages!$2:$2,0)-MATCH($D$1,[1]stages!$2:$2,0)+1),MATCH(F$1,[1]stages!$2:$2,0)-MATCH($D$1,[1]stages!$2:$2,0)+1,FALSE)</f>
        <v>26-2．フロアジャック</v>
      </c>
      <c r="G731" s="55">
        <v>3</v>
      </c>
      <c r="H731" s="17" t="str">
        <f t="shared" si="707"/>
        <v>26_2-3</v>
      </c>
      <c r="I731" s="17"/>
      <c r="J731" s="17"/>
      <c r="K731" s="65" t="s">
        <v>56</v>
      </c>
      <c r="L731" s="52">
        <v>25</v>
      </c>
      <c r="M731" s="21" t="str">
        <f ca="1">VLOOKUP($L731,OFFSET([2]enemies!$A$1,0,0,COUNTA([2]enemies!$A:$A),MATCH(M$1,[2]enemies!$1:$1,0)-MATCH($L$1,[2]enemies!$1:$1,0)+1),MATCH(M$1,[2]enemies!$1:$1,0)-MATCH($L$1,[2]enemies!$1:$1,0)+1,FALSE)</f>
        <v>ハチ</v>
      </c>
      <c r="N731" s="21" t="str">
        <f ca="1">VLOOKUP($L731,OFFSET([2]enemies!$A$1,0,0,COUNTA([2]enemies!$A:$A),MATCH(N$1,[2]enemies!$1:$1,0)-MATCH($L$1,[2]enemies!$1:$1,0)+1),MATCH(N$1,[2]enemies!$1:$1,0)-MATCH($L$1,[2]enemies!$1:$1,0)+1,FALSE)</f>
        <v>blue</v>
      </c>
      <c r="O731" s="21" t="str">
        <f ca="1">VLOOKUP($L731,OFFSET([3]characters!$A$1,0,0,COUNTA([3]characters!$A:$A),MATCH(O$1,[3]characters!$1:$1,0)-MATCH($L$1,[3]characters!$1:$1,0)+1),MATCH(O$1,[3]characters!$1:$1,0)-MATCH($L$1,[3]characters!$1:$1,0)+1,FALSE)</f>
        <v>Drop1N</v>
      </c>
      <c r="P731" s="21" t="str">
        <f ca="1">VLOOKUP($L731,OFFSET([2]enemies!$A$1,0,0,COUNTA([2]enemies!$A:$A),MATCH(P$1,[2]enemies!$1:$1,0)-MATCH($L$1,[2]enemies!$1:$1,0)+1),MATCH(P$1,[2]enemies!$1:$1,0)-MATCH($L$1,[2]enemies!$1:$1,0)+1,FALSE)</f>
        <v>animal</v>
      </c>
      <c r="Q731" s="21">
        <f ca="1">VLOOKUP($L731,OFFSET([2]enemies!$A$1,0,0,COUNTA([2]enemies!$A:$A),MATCH(Q$1,[2]enemies!$1:$1,0)-MATCH($L$1,[2]enemies!$1:$1,0)+1),MATCH(Q$1,[2]enemies!$1:$1,0)-MATCH($L$1,[2]enemies!$1:$1,0)+1,FALSE)</f>
        <v>15</v>
      </c>
      <c r="R731" s="53">
        <v>52</v>
      </c>
      <c r="S731" s="27">
        <v>1</v>
      </c>
      <c r="T731" s="27">
        <v>1</v>
      </c>
      <c r="U731" s="5">
        <v>0</v>
      </c>
      <c r="V731" s="4" t="str">
        <f ca="1">VLOOKUP($W731,OFFSET([4]enemy_skill_sets!$B$1,0,0,COUNTA([4]enemy_skill_sets!$B:$B),MATCH(M$1,[4]enemy_skill_sets!$1:$1,0)-MATCH($W$1,[4]enemy_skill_sets!$1:$1,0)+2),MATCH(M$1,[4]enemy_skill_sets!$1:$1,0)-MATCH($W$1,[4]enemy_skill_sets!$1:$1,0)+2,FALSE)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31" s="4">
        <f ca="1">VLOOKUP($L731,OFFSET([2]enemies!$A$1,0,0,COUNTA([2]enemies!$A:$A),MATCH(W$1,[2]enemies!$1:$1,0)-MATCH($L$1,[2]enemies!$1:$1,0)+1),MATCH(W$1,[2]enemies!$1:$1,0)-MATCH($L$1,[2]enemies!$1:$1,0)+1,FALSE)</f>
        <v>0</v>
      </c>
      <c r="X731" s="6">
        <v>0</v>
      </c>
      <c r="Y731" s="6">
        <v>100</v>
      </c>
      <c r="Z731" s="6">
        <v>0</v>
      </c>
      <c r="AA731" s="4">
        <f ca="1">VLOOKUP($L731,OFFSET([2]enemies!$A$1,0,0,COUNTA([2]enemies!$A:$A),MATCH(AA$1,[2]enemies!$1:$1,0)-MATCH($L$1,[2]enemies!$1:$1,0)+1),MATCH(AA$1,[2]enemies!$1:$1,0)-MATCH($L$1,[2]enemies!$1:$1,0)+1,FALSE)</f>
        <v>3</v>
      </c>
      <c r="AB731" s="52">
        <v>25</v>
      </c>
      <c r="AC731" s="4" t="str">
        <f ca="1">VLOOKUP($AB731,OFFSET([3]characters!$A$1,0,0,COUNTA([3]characters!$A:$A),MATCH(AC$1,[3]characters!$1:$1,0)-MATCH("character_id",[3]characters!$1:$1,0)+1),MATCH(AC$1,[3]characters!$1:$1,0)-MATCH("character_id",[3]characters!$1:$1,0)+1,FALSE)</f>
        <v>ハチ</v>
      </c>
      <c r="AD731" s="4">
        <f ca="1">VLOOKUP($AB731,OFFSET([3]characters!$A$1,0,0,COUNTA([3]characters!$A:$A),MATCH(AD$1,[3]characters!$1:$1,0)-MATCH("character_id",[3]characters!$1:$1,0)+1),MATCH(AD$1,[3]characters!$1:$1,0)-MATCH("character_id",[3]characters!$1:$1,0)+1,FALSE)</f>
        <v>1</v>
      </c>
      <c r="AE731" s="4" t="str">
        <f ca="1">VLOOKUP($AB731,OFFSET([3]characters!$A$1,0,0,COUNTA([3]characters!$A:$A),MATCH(AE$1,[3]characters!$1:$1,0)-MATCH("character_id",[3]characters!$1:$1,0)+1),MATCH(AE$1,[3]characters!$1:$1,0)-MATCH("character_id",[3]characters!$1:$1,0)+1,FALSE)</f>
        <v>Drop1N</v>
      </c>
      <c r="AF731" s="7">
        <v>7</v>
      </c>
      <c r="AG731" s="26">
        <f t="shared" ca="1" si="702"/>
        <v>1</v>
      </c>
      <c r="AH731" s="8">
        <v>20</v>
      </c>
      <c r="AI731" s="7">
        <v>0</v>
      </c>
      <c r="AJ731" s="7">
        <v>0</v>
      </c>
      <c r="AK731" s="7">
        <v>0</v>
      </c>
      <c r="AL731" s="7">
        <v>0</v>
      </c>
      <c r="AM731" s="7">
        <v>1</v>
      </c>
    </row>
    <row r="732" spans="1:39" ht="14" x14ac:dyDescent="0.15">
      <c r="A732" s="18" t="str">
        <f t="shared" ca="1" si="687"/>
        <v>26_2-3/33&lt;lv52&gt;s2</v>
      </c>
      <c r="B732" s="50">
        <v>26</v>
      </c>
      <c r="C732" s="49">
        <v>2</v>
      </c>
      <c r="D732" s="2" t="str">
        <f t="shared" si="706"/>
        <v>26_2</v>
      </c>
      <c r="E732" s="2" t="str">
        <f t="shared" si="706"/>
        <v>2_26_2</v>
      </c>
      <c r="F732" s="4" t="str">
        <f ca="1">VLOOKUP($D732,OFFSET([1]stages!$A$1,0,0,COUNTA([1]stages!$A:$A),MATCH(F$1,[1]stages!$2:$2,0)-MATCH($D$1,[1]stages!$2:$2,0)+1),MATCH(F$1,[1]stages!$2:$2,0)-MATCH($D$1,[1]stages!$2:$2,0)+1,FALSE)</f>
        <v>26-2．フロアジャック</v>
      </c>
      <c r="G732" s="55">
        <v>3</v>
      </c>
      <c r="H732" s="17" t="str">
        <f t="shared" si="707"/>
        <v>26_2-3</v>
      </c>
      <c r="I732" s="17"/>
      <c r="J732" s="17"/>
      <c r="K732" s="65" t="s">
        <v>56</v>
      </c>
      <c r="L732" s="52">
        <v>33</v>
      </c>
      <c r="M732" s="21" t="str">
        <f ca="1">VLOOKUP($L732,OFFSET([2]enemies!$A$1,0,0,COUNTA([2]enemies!$A:$A),MATCH(M$1,[2]enemies!$1:$1,0)-MATCH($L$1,[2]enemies!$1:$1,0)+1),MATCH(M$1,[2]enemies!$1:$1,0)-MATCH($L$1,[2]enemies!$1:$1,0)+1,FALSE)</f>
        <v>ゴクウ</v>
      </c>
      <c r="N732" s="21" t="str">
        <f ca="1">VLOOKUP($L732,OFFSET([2]enemies!$A$1,0,0,COUNTA([2]enemies!$A:$A),MATCH(N$1,[2]enemies!$1:$1,0)-MATCH($L$1,[2]enemies!$1:$1,0)+1),MATCH(N$1,[2]enemies!$1:$1,0)-MATCH($L$1,[2]enemies!$1:$1,0)+1,FALSE)</f>
        <v>red</v>
      </c>
      <c r="O732" s="21" t="str">
        <f ca="1">VLOOKUP($L732,OFFSET([3]characters!$A$1,0,0,COUNTA([3]characters!$A:$A),MATCH(O$1,[3]characters!$1:$1,0)-MATCH($L$1,[3]characters!$1:$1,0)+1),MATCH(O$1,[3]characters!$1:$1,0)-MATCH($L$1,[3]characters!$1:$1,0)+1,FALSE)</f>
        <v>Drop1S</v>
      </c>
      <c r="P732" s="21" t="str">
        <f ca="1">VLOOKUP($L732,OFFSET([2]enemies!$A$1,0,0,COUNTA([2]enemies!$A:$A),MATCH(P$1,[2]enemies!$1:$1,0)-MATCH($L$1,[2]enemies!$1:$1,0)+1),MATCH(P$1,[2]enemies!$1:$1,0)-MATCH($L$1,[2]enemies!$1:$1,0)+1,FALSE)</f>
        <v>animal</v>
      </c>
      <c r="Q732" s="21">
        <f ca="1">VLOOKUP($L732,OFFSET([2]enemies!$A$1,0,0,COUNTA([2]enemies!$A:$A),MATCH(Q$1,[2]enemies!$1:$1,0)-MATCH($L$1,[2]enemies!$1:$1,0)+1),MATCH(Q$1,[2]enemies!$1:$1,0)-MATCH($L$1,[2]enemies!$1:$1,0)+1,FALSE)</f>
        <v>15</v>
      </c>
      <c r="R732" s="53">
        <v>52</v>
      </c>
      <c r="S732" s="27">
        <v>1</v>
      </c>
      <c r="T732" s="27">
        <v>1</v>
      </c>
      <c r="U732" s="5">
        <v>0</v>
      </c>
      <c r="V732" s="4" t="str">
        <f ca="1">VLOOKUP($W732,OFFSET([4]enemy_skill_sets!$B$1,0,0,COUNTA([4]enemy_skill_sets!$B:$B),MATCH(M$1,[4]enemy_skill_sets!$1:$1,0)-MATCH($W$1,[4]enemy_skill_sets!$1:$1,0)+2),MATCH(M$1,[4]enemy_skill_sets!$1:$1,0)-MATCH($W$1,[4]enemy_skill_sets!$1:$1,0)+2,FALSE)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732" s="4">
        <f ca="1">VLOOKUP($L732,OFFSET([2]enemies!$A$1,0,0,COUNTA([2]enemies!$A:$A),MATCH(W$1,[2]enemies!$1:$1,0)-MATCH($L$1,[2]enemies!$1:$1,0)+1),MATCH(W$1,[2]enemies!$1:$1,0)-MATCH($L$1,[2]enemies!$1:$1,0)+1,FALSE)</f>
        <v>33</v>
      </c>
      <c r="X732" s="6">
        <v>0</v>
      </c>
      <c r="Y732" s="6">
        <v>100</v>
      </c>
      <c r="Z732" s="6">
        <v>0</v>
      </c>
      <c r="AA732" s="4">
        <f ca="1">VLOOKUP($L732,OFFSET([2]enemies!$A$1,0,0,COUNTA([2]enemies!$A:$A),MATCH(AA$1,[2]enemies!$1:$1,0)-MATCH($L$1,[2]enemies!$1:$1,0)+1),MATCH(AA$1,[2]enemies!$1:$1,0)-MATCH($L$1,[2]enemies!$1:$1,0)+1,FALSE)</f>
        <v>2</v>
      </c>
      <c r="AB732" s="52">
        <v>33</v>
      </c>
      <c r="AC732" s="4" t="str">
        <f ca="1">VLOOKUP($AB732,OFFSET([3]characters!$A$1,0,0,COUNTA([3]characters!$A:$A),MATCH(AC$1,[3]characters!$1:$1,0)-MATCH("character_id",[3]characters!$1:$1,0)+1),MATCH(AC$1,[3]characters!$1:$1,0)-MATCH("character_id",[3]characters!$1:$1,0)+1,FALSE)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732" s="4">
        <f ca="1">VLOOKUP($AB732,OFFSET([3]characters!$A$1,0,0,COUNTA([3]characters!$A:$A),MATCH(AD$1,[3]characters!$1:$1,0)-MATCH("character_id",[3]characters!$1:$1,0)+1),MATCH(AD$1,[3]characters!$1:$1,0)-MATCH("character_id",[3]characters!$1:$1,0)+1,FALSE)</f>
        <v>2</v>
      </c>
      <c r="AE732" s="4" t="str">
        <f ca="1">VLOOKUP($AB732,OFFSET([3]characters!$A$1,0,0,COUNTA([3]characters!$A:$A),MATCH(AE$1,[3]characters!$1:$1,0)-MATCH("character_id",[3]characters!$1:$1,0)+1),MATCH(AE$1,[3]characters!$1:$1,0)-MATCH("character_id",[3]characters!$1:$1,0)+1,FALSE)</f>
        <v>Drop1S</v>
      </c>
      <c r="AF732" s="7">
        <v>5</v>
      </c>
      <c r="AG732" s="26">
        <f t="shared" ca="1" si="702"/>
        <v>2</v>
      </c>
      <c r="AH732" s="8">
        <v>20</v>
      </c>
      <c r="AI732" s="7">
        <v>0</v>
      </c>
      <c r="AJ732" s="7">
        <v>0</v>
      </c>
      <c r="AK732" s="7">
        <v>0</v>
      </c>
      <c r="AL732" s="7">
        <v>0</v>
      </c>
      <c r="AM732" s="7">
        <v>1</v>
      </c>
    </row>
    <row r="733" spans="1:39" ht="14" x14ac:dyDescent="0.15">
      <c r="A733" s="18" t="str">
        <f t="shared" ca="1" si="687"/>
        <v>26_2-3/37&lt;lv52&gt;s3</v>
      </c>
      <c r="B733" s="50">
        <v>26</v>
      </c>
      <c r="C733" s="49">
        <v>2</v>
      </c>
      <c r="D733" s="2" t="str">
        <f t="shared" si="706"/>
        <v>26_2</v>
      </c>
      <c r="E733" s="2" t="str">
        <f t="shared" si="706"/>
        <v>2_26_2</v>
      </c>
      <c r="F733" s="4" t="str">
        <f ca="1">VLOOKUP($D733,OFFSET([1]stages!$A$1,0,0,COUNTA([1]stages!$A:$A),MATCH(F$1,[1]stages!$2:$2,0)-MATCH($D$1,[1]stages!$2:$2,0)+1),MATCH(F$1,[1]stages!$2:$2,0)-MATCH($D$1,[1]stages!$2:$2,0)+1,FALSE)</f>
        <v>26-2．フロアジャック</v>
      </c>
      <c r="G733" s="55">
        <v>3</v>
      </c>
      <c r="H733" s="17" t="str">
        <f t="shared" si="707"/>
        <v>26_2-3</v>
      </c>
      <c r="I733" s="17"/>
      <c r="J733" s="17"/>
      <c r="K733" s="65" t="s">
        <v>56</v>
      </c>
      <c r="L733" s="52">
        <v>37</v>
      </c>
      <c r="M733" s="21" t="str">
        <f ca="1">VLOOKUP($L733,OFFSET([2]enemies!$A$1,0,0,COUNTA([2]enemies!$A:$A),MATCH(M$1,[2]enemies!$1:$1,0)-MATCH($L$1,[2]enemies!$1:$1,0)+1),MATCH(M$1,[2]enemies!$1:$1,0)-MATCH($L$1,[2]enemies!$1:$1,0)+1,FALSE)</f>
        <v>ガイル</v>
      </c>
      <c r="N733" s="21" t="str">
        <f ca="1">VLOOKUP($L733,OFFSET([2]enemies!$A$1,0,0,COUNTA([2]enemies!$A:$A),MATCH(N$1,[2]enemies!$1:$1,0)-MATCH($L$1,[2]enemies!$1:$1,0)+1),MATCH(N$1,[2]enemies!$1:$1,0)-MATCH($L$1,[2]enemies!$1:$1,0)+1,FALSE)</f>
        <v>blue</v>
      </c>
      <c r="O733" s="21" t="str">
        <f ca="1">VLOOKUP($L733,OFFSET([3]characters!$A$1,0,0,COUNTA([3]characters!$A:$A),MATCH(O$1,[3]characters!$1:$1,0)-MATCH($L$1,[3]characters!$1:$1,0)+1),MATCH(O$1,[3]characters!$1:$1,0)-MATCH($L$1,[3]characters!$1:$1,0)+1,FALSE)</f>
        <v>Drop1S</v>
      </c>
      <c r="P733" s="21" t="str">
        <f ca="1">VLOOKUP($L733,OFFSET([2]enemies!$A$1,0,0,COUNTA([2]enemies!$A:$A),MATCH(P$1,[2]enemies!$1:$1,0)-MATCH($L$1,[2]enemies!$1:$1,0)+1),MATCH(P$1,[2]enemies!$1:$1,0)-MATCH($L$1,[2]enemies!$1:$1,0)+1,FALSE)</f>
        <v>animal</v>
      </c>
      <c r="Q733" s="21">
        <f ca="1">VLOOKUP($L733,OFFSET([2]enemies!$A$1,0,0,COUNTA([2]enemies!$A:$A),MATCH(Q$1,[2]enemies!$1:$1,0)-MATCH($L$1,[2]enemies!$1:$1,0)+1),MATCH(Q$1,[2]enemies!$1:$1,0)-MATCH($L$1,[2]enemies!$1:$1,0)+1,FALSE)</f>
        <v>15</v>
      </c>
      <c r="R733" s="53">
        <v>52</v>
      </c>
      <c r="S733" s="27">
        <v>1</v>
      </c>
      <c r="T733" s="27">
        <v>1</v>
      </c>
      <c r="U733" s="5">
        <v>0</v>
      </c>
      <c r="V733" s="4" t="str">
        <f ca="1">VLOOKUP($W733,OFFSET([4]enemy_skill_sets!$B$1,0,0,COUNTA([4]enemy_skill_sets!$B:$B),MATCH(M$1,[4]enemy_skill_sets!$1:$1,0)-MATCH($W$1,[4]enemy_skill_sets!$1:$1,0)+2),MATCH(M$1,[4]enemy_skill_sets!$1:$1,0)-MATCH($W$1,[4]enemy_skill_sets!$1:$1,0)+2,FALSE)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733" s="4">
        <f ca="1">VLOOKUP($L733,OFFSET([2]enemies!$A$1,0,0,COUNTA([2]enemies!$A:$A),MATCH(W$1,[2]enemies!$1:$1,0)-MATCH($L$1,[2]enemies!$1:$1,0)+1),MATCH(W$1,[2]enemies!$1:$1,0)-MATCH($L$1,[2]enemies!$1:$1,0)+1,FALSE)</f>
        <v>37</v>
      </c>
      <c r="X733" s="6">
        <v>0</v>
      </c>
      <c r="Y733" s="6">
        <v>100</v>
      </c>
      <c r="Z733" s="6">
        <v>0</v>
      </c>
      <c r="AA733" s="4">
        <f ca="1">VLOOKUP($L733,OFFSET([2]enemies!$A$1,0,0,COUNTA([2]enemies!$A:$A),MATCH(AA$1,[2]enemies!$1:$1,0)-MATCH($L$1,[2]enemies!$1:$1,0)+1),MATCH(AA$1,[2]enemies!$1:$1,0)-MATCH($L$1,[2]enemies!$1:$1,0)+1,FALSE)</f>
        <v>3</v>
      </c>
      <c r="AB733" s="52">
        <v>37</v>
      </c>
      <c r="AC733" s="4" t="str">
        <f ca="1">VLOOKUP($AB733,OFFSET([3]characters!$A$1,0,0,COUNTA([3]characters!$A:$A),MATCH(AC$1,[3]characters!$1:$1,0)-MATCH("character_id",[3]characters!$1:$1,0)+1),MATCH(AC$1,[3]characters!$1:$1,0)-MATCH("character_id",[3]characters!$1:$1,0)+1,FALSE)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733" s="4">
        <f ca="1">VLOOKUP($AB733,OFFSET([3]characters!$A$1,0,0,COUNTA([3]characters!$A:$A),MATCH(AD$1,[3]characters!$1:$1,0)-MATCH("character_id",[3]characters!$1:$1,0)+1),MATCH(AD$1,[3]characters!$1:$1,0)-MATCH("character_id",[3]characters!$1:$1,0)+1,FALSE)</f>
        <v>2</v>
      </c>
      <c r="AE733" s="4" t="str">
        <f ca="1">VLOOKUP($AB733,OFFSET([3]characters!$A$1,0,0,COUNTA([3]characters!$A:$A),MATCH(AE$1,[3]characters!$1:$1,0)-MATCH("character_id",[3]characters!$1:$1,0)+1),MATCH(AE$1,[3]characters!$1:$1,0)-MATCH("character_id",[3]characters!$1:$1,0)+1,FALSE)</f>
        <v>Drop1S</v>
      </c>
      <c r="AF733" s="7">
        <v>5</v>
      </c>
      <c r="AG733" s="26">
        <f t="shared" ca="1" si="702"/>
        <v>2</v>
      </c>
      <c r="AH733" s="8">
        <v>20</v>
      </c>
      <c r="AI733" s="7">
        <v>0</v>
      </c>
      <c r="AJ733" s="7">
        <v>0</v>
      </c>
      <c r="AK733" s="7">
        <v>0</v>
      </c>
      <c r="AL733" s="7">
        <v>0</v>
      </c>
      <c r="AM733" s="7">
        <v>1</v>
      </c>
    </row>
    <row r="734" spans="1:39" ht="14" x14ac:dyDescent="0.15">
      <c r="A734" s="18" t="str">
        <f t="shared" ca="1" si="687"/>
        <v>26_2-3/45&lt;lv52&gt;s3</v>
      </c>
      <c r="B734" s="50">
        <v>26</v>
      </c>
      <c r="C734" s="49">
        <v>2</v>
      </c>
      <c r="D734" s="2" t="str">
        <f t="shared" si="706"/>
        <v>26_2</v>
      </c>
      <c r="E734" s="2" t="str">
        <f t="shared" si="706"/>
        <v>2_26_2</v>
      </c>
      <c r="F734" s="4" t="str">
        <f ca="1">VLOOKUP($D734,OFFSET([1]stages!$A$1,0,0,COUNTA([1]stages!$A:$A),MATCH(F$1,[1]stages!$2:$2,0)-MATCH($D$1,[1]stages!$2:$2,0)+1),MATCH(F$1,[1]stages!$2:$2,0)-MATCH($D$1,[1]stages!$2:$2,0)+1,FALSE)</f>
        <v>26-2．フロアジャック</v>
      </c>
      <c r="G734" s="55">
        <v>3</v>
      </c>
      <c r="H734" s="17" t="str">
        <f t="shared" si="707"/>
        <v>26_2-3</v>
      </c>
      <c r="I734" s="17"/>
      <c r="J734" s="17"/>
      <c r="K734" s="65" t="s">
        <v>56</v>
      </c>
      <c r="L734" s="52">
        <v>45</v>
      </c>
      <c r="M734" s="21" t="str">
        <f ca="1">VLOOKUP($L734,OFFSET([2]enemies!$A$1,0,0,COUNTA([2]enemies!$A:$A),MATCH(M$1,[2]enemies!$1:$1,0)-MATCH($L$1,[2]enemies!$1:$1,0)+1),MATCH(M$1,[2]enemies!$1:$1,0)-MATCH($L$1,[2]enemies!$1:$1,0)+1,FALSE)</f>
        <v>ショウイン</v>
      </c>
      <c r="N734" s="21" t="str">
        <f ca="1">VLOOKUP($L734,OFFSET([2]enemies!$A$1,0,0,COUNTA([2]enemies!$A:$A),MATCH(N$1,[2]enemies!$1:$1,0)-MATCH($L$1,[2]enemies!$1:$1,0)+1),MATCH(N$1,[2]enemies!$1:$1,0)-MATCH($L$1,[2]enemies!$1:$1,0)+1,FALSE)</f>
        <v>blue</v>
      </c>
      <c r="O734" s="21" t="str">
        <f ca="1">VLOOKUP($L734,OFFSET([3]characters!$A$1,0,0,COUNTA([3]characters!$A:$A),MATCH(O$1,[3]characters!$1:$1,0)-MATCH($L$1,[3]characters!$1:$1,0)+1),MATCH(O$1,[3]characters!$1:$1,0)-MATCH($L$1,[3]characters!$1:$1,0)+1,FALSE)</f>
        <v>Drop1N</v>
      </c>
      <c r="P734" s="21" t="str">
        <f ca="1">VLOOKUP($L734,OFFSET([2]enemies!$A$1,0,0,COUNTA([2]enemies!$A:$A),MATCH(P$1,[2]enemies!$1:$1,0)-MATCH($L$1,[2]enemies!$1:$1,0)+1),MATCH(P$1,[2]enemies!$1:$1,0)-MATCH($L$1,[2]enemies!$1:$1,0)+1,FALSE)</f>
        <v>animal</v>
      </c>
      <c r="Q734" s="21">
        <f ca="1">VLOOKUP($L734,OFFSET([2]enemies!$A$1,0,0,COUNTA([2]enemies!$A:$A),MATCH(Q$1,[2]enemies!$1:$1,0)-MATCH($L$1,[2]enemies!$1:$1,0)+1),MATCH(Q$1,[2]enemies!$1:$1,0)-MATCH($L$1,[2]enemies!$1:$1,0)+1,FALSE)</f>
        <v>15</v>
      </c>
      <c r="R734" s="53">
        <v>52</v>
      </c>
      <c r="S734" s="27">
        <v>1</v>
      </c>
      <c r="T734" s="27">
        <v>1</v>
      </c>
      <c r="U734" s="5">
        <v>0</v>
      </c>
      <c r="V734" s="4" t="str">
        <f ca="1">VLOOKUP($W734,OFFSET([4]enemy_skill_sets!$B$1,0,0,COUNTA([4]enemy_skill_sets!$B:$B),MATCH(M$1,[4]enemy_skill_sets!$1:$1,0)-MATCH($W$1,[4]enemy_skill_sets!$1:$1,0)+2),MATCH(M$1,[4]enemy_skill_sets!$1:$1,0)-MATCH($W$1,[4]enemy_skill_sets!$1:$1,0)+2,FALSE)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34" s="4">
        <f ca="1">VLOOKUP($L734,OFFSET([2]enemies!$A$1,0,0,COUNTA([2]enemies!$A:$A),MATCH(W$1,[2]enemies!$1:$1,0)-MATCH($L$1,[2]enemies!$1:$1,0)+1),MATCH(W$1,[2]enemies!$1:$1,0)-MATCH($L$1,[2]enemies!$1:$1,0)+1,FALSE)</f>
        <v>0</v>
      </c>
      <c r="X734" s="6">
        <v>0</v>
      </c>
      <c r="Y734" s="6">
        <v>100</v>
      </c>
      <c r="Z734" s="6">
        <v>0</v>
      </c>
      <c r="AA734" s="4">
        <f ca="1">VLOOKUP($L734,OFFSET([2]enemies!$A$1,0,0,COUNTA([2]enemies!$A:$A),MATCH(AA$1,[2]enemies!$1:$1,0)-MATCH($L$1,[2]enemies!$1:$1,0)+1),MATCH(AA$1,[2]enemies!$1:$1,0)-MATCH($L$1,[2]enemies!$1:$1,0)+1,FALSE)</f>
        <v>3</v>
      </c>
      <c r="AB734" s="52">
        <v>45</v>
      </c>
      <c r="AC734" s="4" t="str">
        <f ca="1">VLOOKUP($AB734,OFFSET([3]characters!$A$1,0,0,COUNTA([3]characters!$A:$A),MATCH(AC$1,[3]characters!$1:$1,0)-MATCH("character_id",[3]characters!$1:$1,0)+1),MATCH(AC$1,[3]characters!$1:$1,0)-MATCH("character_id",[3]characters!$1:$1,0)+1,FALSE)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734" s="4">
        <f ca="1">VLOOKUP($AB734,OFFSET([3]characters!$A$1,0,0,COUNTA([3]characters!$A:$A),MATCH(AD$1,[3]characters!$1:$1,0)-MATCH("character_id",[3]characters!$1:$1,0)+1),MATCH(AD$1,[3]characters!$1:$1,0)-MATCH("character_id",[3]characters!$1:$1,0)+1,FALSE)</f>
        <v>2</v>
      </c>
      <c r="AE734" s="4" t="str">
        <f ca="1">VLOOKUP($AB734,OFFSET([3]characters!$A$1,0,0,COUNTA([3]characters!$A:$A),MATCH(AE$1,[3]characters!$1:$1,0)-MATCH("character_id",[3]characters!$1:$1,0)+1),MATCH(AE$1,[3]characters!$1:$1,0)-MATCH("character_id",[3]characters!$1:$1,0)+1,FALSE)</f>
        <v>Drop1N</v>
      </c>
      <c r="AF734" s="7">
        <v>7</v>
      </c>
      <c r="AG734" s="26">
        <f t="shared" ca="1" si="702"/>
        <v>2</v>
      </c>
      <c r="AH734" s="8">
        <v>20</v>
      </c>
      <c r="AI734" s="7">
        <v>0</v>
      </c>
      <c r="AJ734" s="7">
        <v>0</v>
      </c>
      <c r="AK734" s="7">
        <v>0</v>
      </c>
      <c r="AL734" s="7">
        <v>0</v>
      </c>
      <c r="AM734" s="7">
        <v>1</v>
      </c>
    </row>
    <row r="735" spans="1:39" ht="14" x14ac:dyDescent="0.15">
      <c r="A735" s="18" t="str">
        <f t="shared" ca="1" si="687"/>
        <v>26_2-3/47&lt;lv52&gt;s1</v>
      </c>
      <c r="B735" s="50">
        <v>26</v>
      </c>
      <c r="C735" s="49">
        <v>2</v>
      </c>
      <c r="D735" s="2" t="str">
        <f t="shared" si="706"/>
        <v>26_2</v>
      </c>
      <c r="E735" s="2" t="str">
        <f t="shared" si="706"/>
        <v>2_26_2</v>
      </c>
      <c r="F735" s="4" t="str">
        <f ca="1">VLOOKUP($D735,OFFSET([1]stages!$A$1,0,0,COUNTA([1]stages!$A:$A),MATCH(F$1,[1]stages!$2:$2,0)-MATCH($D$1,[1]stages!$2:$2,0)+1),MATCH(F$1,[1]stages!$2:$2,0)-MATCH($D$1,[1]stages!$2:$2,0)+1,FALSE)</f>
        <v>26-2．フロアジャック</v>
      </c>
      <c r="G735" s="55">
        <v>3</v>
      </c>
      <c r="H735" s="17" t="str">
        <f t="shared" si="707"/>
        <v>26_2-3</v>
      </c>
      <c r="I735" s="17"/>
      <c r="J735" s="17"/>
      <c r="K735" s="65" t="s">
        <v>56</v>
      </c>
      <c r="L735" s="52">
        <v>47</v>
      </c>
      <c r="M735" s="21" t="str">
        <f ca="1">VLOOKUP($L735,OFFSET([2]enemies!$A$1,0,0,COUNTA([2]enemies!$A:$A),MATCH(M$1,[2]enemies!$1:$1,0)-MATCH($L$1,[2]enemies!$1:$1,0)+1),MATCH(M$1,[2]enemies!$1:$1,0)-MATCH($L$1,[2]enemies!$1:$1,0)+1,FALSE)</f>
        <v>ヒロ</v>
      </c>
      <c r="N735" s="21" t="str">
        <f ca="1">VLOOKUP($L735,OFFSET([2]enemies!$A$1,0,0,COUNTA([2]enemies!$A:$A),MATCH(N$1,[2]enemies!$1:$1,0)-MATCH($L$1,[2]enemies!$1:$1,0)+1),MATCH(N$1,[2]enemies!$1:$1,0)-MATCH($L$1,[2]enemies!$1:$1,0)+1,FALSE)</f>
        <v>yellow</v>
      </c>
      <c r="O735" s="21" t="str">
        <f ca="1">VLOOKUP($L735,OFFSET([3]characters!$A$1,0,0,COUNTA([3]characters!$A:$A),MATCH(O$1,[3]characters!$1:$1,0)-MATCH($L$1,[3]characters!$1:$1,0)+1),MATCH(O$1,[3]characters!$1:$1,0)-MATCH($L$1,[3]characters!$1:$1,0)+1,FALSE)</f>
        <v>Drop1N</v>
      </c>
      <c r="P735" s="21" t="str">
        <f ca="1">VLOOKUP($L735,OFFSET([2]enemies!$A$1,0,0,COUNTA([2]enemies!$A:$A),MATCH(P$1,[2]enemies!$1:$1,0)-MATCH($L$1,[2]enemies!$1:$1,0)+1),MATCH(P$1,[2]enemies!$1:$1,0)-MATCH($L$1,[2]enemies!$1:$1,0)+1,FALSE)</f>
        <v>animal</v>
      </c>
      <c r="Q735" s="21">
        <f ca="1">VLOOKUP($L735,OFFSET([2]enemies!$A$1,0,0,COUNTA([2]enemies!$A:$A),MATCH(Q$1,[2]enemies!$1:$1,0)-MATCH($L$1,[2]enemies!$1:$1,0)+1),MATCH(Q$1,[2]enemies!$1:$1,0)-MATCH($L$1,[2]enemies!$1:$1,0)+1,FALSE)</f>
        <v>15</v>
      </c>
      <c r="R735" s="53">
        <v>52</v>
      </c>
      <c r="S735" s="27">
        <v>1</v>
      </c>
      <c r="T735" s="27">
        <v>1</v>
      </c>
      <c r="U735" s="5">
        <v>0</v>
      </c>
      <c r="V735" s="4" t="str">
        <f ca="1">VLOOKUP($W735,OFFSET([4]enemy_skill_sets!$B$1,0,0,COUNTA([4]enemy_skill_sets!$B:$B),MATCH(M$1,[4]enemy_skill_sets!$1:$1,0)-MATCH($W$1,[4]enemy_skill_sets!$1:$1,0)+2),MATCH(M$1,[4]enemy_skill_sets!$1:$1,0)-MATCH($W$1,[4]enemy_skill_sets!$1:$1,0)+2,FALSE)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35" s="4">
        <f ca="1">VLOOKUP($L735,OFFSET([2]enemies!$A$1,0,0,COUNTA([2]enemies!$A:$A),MATCH(W$1,[2]enemies!$1:$1,0)-MATCH($L$1,[2]enemies!$1:$1,0)+1),MATCH(W$1,[2]enemies!$1:$1,0)-MATCH($L$1,[2]enemies!$1:$1,0)+1,FALSE)</f>
        <v>0</v>
      </c>
      <c r="X735" s="6">
        <v>0</v>
      </c>
      <c r="Y735" s="6">
        <v>100</v>
      </c>
      <c r="Z735" s="6">
        <v>0</v>
      </c>
      <c r="AA735" s="4">
        <f ca="1">VLOOKUP($L735,OFFSET([2]enemies!$A$1,0,0,COUNTA([2]enemies!$A:$A),MATCH(AA$1,[2]enemies!$1:$1,0)-MATCH($L$1,[2]enemies!$1:$1,0)+1),MATCH(AA$1,[2]enemies!$1:$1,0)-MATCH($L$1,[2]enemies!$1:$1,0)+1,FALSE)</f>
        <v>1</v>
      </c>
      <c r="AB735" s="52">
        <v>47</v>
      </c>
      <c r="AC735" s="4" t="str">
        <f ca="1">VLOOKUP($AB735,OFFSET([3]characters!$A$1,0,0,COUNTA([3]characters!$A:$A),MATCH(AC$1,[3]characters!$1:$1,0)-MATCH("character_id",[3]characters!$1:$1,0)+1),MATCH(AC$1,[3]characters!$1:$1,0)-MATCH("character_id",[3]characters!$1:$1,0)+1,FALSE)</f>
        <v>ヒロ</v>
      </c>
      <c r="AD735" s="4">
        <f ca="1">VLOOKUP($AB735,OFFSET([3]characters!$A$1,0,0,COUNTA([3]characters!$A:$A),MATCH(AD$1,[3]characters!$1:$1,0)-MATCH("character_id",[3]characters!$1:$1,0)+1),MATCH(AD$1,[3]characters!$1:$1,0)-MATCH("character_id",[3]characters!$1:$1,0)+1,FALSE)</f>
        <v>2</v>
      </c>
      <c r="AE735" s="4" t="str">
        <f ca="1">VLOOKUP($AB735,OFFSET([3]characters!$A$1,0,0,COUNTA([3]characters!$A:$A),MATCH(AE$1,[3]characters!$1:$1,0)-MATCH("character_id",[3]characters!$1:$1,0)+1),MATCH(AE$1,[3]characters!$1:$1,0)-MATCH("character_id",[3]characters!$1:$1,0)+1,FALSE)</f>
        <v>Drop1N</v>
      </c>
      <c r="AF735" s="7">
        <v>7</v>
      </c>
      <c r="AG735" s="26">
        <f t="shared" ca="1" si="702"/>
        <v>2</v>
      </c>
      <c r="AH735" s="8">
        <v>20</v>
      </c>
      <c r="AI735" s="7">
        <v>0</v>
      </c>
      <c r="AJ735" s="7">
        <v>0</v>
      </c>
      <c r="AK735" s="7">
        <v>0</v>
      </c>
      <c r="AL735" s="7">
        <v>0</v>
      </c>
      <c r="AM735" s="7">
        <v>1</v>
      </c>
    </row>
    <row r="736" spans="1:39" ht="14" x14ac:dyDescent="0.15">
      <c r="A736" s="18" t="str">
        <f t="shared" ca="1" si="687"/>
        <v>26_2-3/57&lt;lv52&gt;s2</v>
      </c>
      <c r="B736" s="50">
        <v>26</v>
      </c>
      <c r="C736" s="49">
        <v>2</v>
      </c>
      <c r="D736" s="2" t="str">
        <f t="shared" si="706"/>
        <v>26_2</v>
      </c>
      <c r="E736" s="2" t="str">
        <f t="shared" si="706"/>
        <v>2_26_2</v>
      </c>
      <c r="F736" s="4" t="str">
        <f ca="1">VLOOKUP($D736,OFFSET([1]stages!$A$1,0,0,COUNTA([1]stages!$A:$A),MATCH(F$1,[1]stages!$2:$2,0)-MATCH($D$1,[1]stages!$2:$2,0)+1),MATCH(F$1,[1]stages!$2:$2,0)-MATCH($D$1,[1]stages!$2:$2,0)+1,FALSE)</f>
        <v>26-2．フロアジャック</v>
      </c>
      <c r="G736" s="55">
        <v>3</v>
      </c>
      <c r="H736" s="17" t="str">
        <f t="shared" si="707"/>
        <v>26_2-3</v>
      </c>
      <c r="I736" s="17"/>
      <c r="J736" s="17"/>
      <c r="K736" s="65" t="s">
        <v>56</v>
      </c>
      <c r="L736" s="52">
        <v>57</v>
      </c>
      <c r="M736" s="21" t="str">
        <f ca="1">VLOOKUP($L736,OFFSET([2]enemies!$A$1,0,0,COUNTA([2]enemies!$A:$A),MATCH(M$1,[2]enemies!$1:$1,0)-MATCH($L$1,[2]enemies!$1:$1,0)+1),MATCH(M$1,[2]enemies!$1:$1,0)-MATCH($L$1,[2]enemies!$1:$1,0)+1,FALSE)</f>
        <v>チェン・リー</v>
      </c>
      <c r="N736" s="21" t="str">
        <f ca="1">VLOOKUP($L736,OFFSET([2]enemies!$A$1,0,0,COUNTA([2]enemies!$A:$A),MATCH(N$1,[2]enemies!$1:$1,0)-MATCH($L$1,[2]enemies!$1:$1,0)+1),MATCH(N$1,[2]enemies!$1:$1,0)-MATCH($L$1,[2]enemies!$1:$1,0)+1,FALSE)</f>
        <v>red</v>
      </c>
      <c r="O736" s="21" t="str">
        <f ca="1">VLOOKUP($L736,OFFSET([3]characters!$A$1,0,0,COUNTA([3]characters!$A:$A),MATCH(O$1,[3]characters!$1:$1,0)-MATCH($L$1,[3]characters!$1:$1,0)+1),MATCH(O$1,[3]characters!$1:$1,0)-MATCH($L$1,[3]characters!$1:$1,0)+1,FALSE)</f>
        <v>Drop1N</v>
      </c>
      <c r="P736" s="21" t="str">
        <f ca="1">VLOOKUP($L736,OFFSET([2]enemies!$A$1,0,0,COUNTA([2]enemies!$A:$A),MATCH(P$1,[2]enemies!$1:$1,0)-MATCH($L$1,[2]enemies!$1:$1,0)+1),MATCH(P$1,[2]enemies!$1:$1,0)-MATCH($L$1,[2]enemies!$1:$1,0)+1,FALSE)</f>
        <v>animal</v>
      </c>
      <c r="Q736" s="21">
        <f ca="1">VLOOKUP($L736,OFFSET([2]enemies!$A$1,0,0,COUNTA([2]enemies!$A:$A),MATCH(Q$1,[2]enemies!$1:$1,0)-MATCH($L$1,[2]enemies!$1:$1,0)+1),MATCH(Q$1,[2]enemies!$1:$1,0)-MATCH($L$1,[2]enemies!$1:$1,0)+1,FALSE)</f>
        <v>15</v>
      </c>
      <c r="R736" s="53">
        <v>52</v>
      </c>
      <c r="S736" s="27">
        <v>1</v>
      </c>
      <c r="T736" s="27">
        <v>1</v>
      </c>
      <c r="U736" s="5">
        <v>0</v>
      </c>
      <c r="V736" s="4" t="str">
        <f ca="1">VLOOKUP($W736,OFFSET([4]enemy_skill_sets!$B$1,0,0,COUNTA([4]enemy_skill_sets!$B:$B),MATCH(M$1,[4]enemy_skill_sets!$1:$1,0)-MATCH($W$1,[4]enemy_skill_sets!$1:$1,0)+2),MATCH(M$1,[4]enemy_skill_sets!$1:$1,0)-MATCH($W$1,[4]enemy_skill_sets!$1:$1,0)+2,FALSE)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736" s="4">
        <f ca="1">VLOOKUP($L736,OFFSET([2]enemies!$A$1,0,0,COUNTA([2]enemies!$A:$A),MATCH(W$1,[2]enemies!$1:$1,0)-MATCH($L$1,[2]enemies!$1:$1,0)+1),MATCH(W$1,[2]enemies!$1:$1,0)-MATCH($L$1,[2]enemies!$1:$1,0)+1,FALSE)</f>
        <v>57</v>
      </c>
      <c r="X736" s="6">
        <v>0</v>
      </c>
      <c r="Y736" s="6">
        <v>100</v>
      </c>
      <c r="Z736" s="6">
        <v>0</v>
      </c>
      <c r="AA736" s="4">
        <f ca="1">VLOOKUP($L736,OFFSET([2]enemies!$A$1,0,0,COUNTA([2]enemies!$A:$A),MATCH(AA$1,[2]enemies!$1:$1,0)-MATCH($L$1,[2]enemies!$1:$1,0)+1),MATCH(AA$1,[2]enemies!$1:$1,0)-MATCH($L$1,[2]enemies!$1:$1,0)+1,FALSE)</f>
        <v>2</v>
      </c>
      <c r="AB736" s="52">
        <v>57</v>
      </c>
      <c r="AC736" s="4" t="str">
        <f ca="1">VLOOKUP($AB736,OFFSET([3]characters!$A$1,0,0,COUNTA([3]characters!$A:$A),MATCH(AC$1,[3]characters!$1:$1,0)-MATCH("character_id",[3]characters!$1:$1,0)+1),MATCH(AC$1,[3]characters!$1:$1,0)-MATCH("character_id",[3]characters!$1:$1,0)+1,FALSE)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736" s="4">
        <f ca="1">VLOOKUP($AB736,OFFSET([3]characters!$A$1,0,0,COUNTA([3]characters!$A:$A),MATCH(AD$1,[3]characters!$1:$1,0)-MATCH("character_id",[3]characters!$1:$1,0)+1),MATCH(AD$1,[3]characters!$1:$1,0)-MATCH("character_id",[3]characters!$1:$1,0)+1,FALSE)</f>
        <v>2</v>
      </c>
      <c r="AE736" s="4" t="str">
        <f ca="1">VLOOKUP($AB736,OFFSET([3]characters!$A$1,0,0,COUNTA([3]characters!$A:$A),MATCH(AE$1,[3]characters!$1:$1,0)-MATCH("character_id",[3]characters!$1:$1,0)+1),MATCH(AE$1,[3]characters!$1:$1,0)-MATCH("character_id",[3]characters!$1:$1,0)+1,FALSE)</f>
        <v>Drop1N</v>
      </c>
      <c r="AF736" s="7">
        <v>7</v>
      </c>
      <c r="AG736" s="26">
        <f t="shared" ca="1" si="702"/>
        <v>2</v>
      </c>
      <c r="AH736" s="8">
        <v>20</v>
      </c>
      <c r="AI736" s="7">
        <v>0</v>
      </c>
      <c r="AJ736" s="7">
        <v>0</v>
      </c>
      <c r="AK736" s="7">
        <v>0</v>
      </c>
      <c r="AL736" s="7">
        <v>0</v>
      </c>
      <c r="AM736" s="7">
        <v>1</v>
      </c>
    </row>
    <row r="737" spans="1:39" ht="14" x14ac:dyDescent="0.15">
      <c r="A737" s="18" t="str">
        <f t="shared" ref="A737:A788" ca="1" si="714">B737&amp;"_"&amp;C737&amp;"-"&amp;G737&amp;"/"&amp;L737&amp;"&lt;lv"&amp;R737&amp;"&gt;s"&amp;AA737</f>
        <v>26_2-3/59&lt;lv52&gt;s2</v>
      </c>
      <c r="B737" s="50">
        <v>26</v>
      </c>
      <c r="C737" s="49">
        <v>2</v>
      </c>
      <c r="D737" s="2" t="str">
        <f t="shared" si="706"/>
        <v>26_2</v>
      </c>
      <c r="E737" s="2" t="str">
        <f t="shared" si="706"/>
        <v>2_26_2</v>
      </c>
      <c r="F737" s="4" t="str">
        <f ca="1">VLOOKUP($D737,OFFSET([1]stages!$A$1,0,0,COUNTA([1]stages!$A:$A),MATCH(F$1,[1]stages!$2:$2,0)-MATCH($D$1,[1]stages!$2:$2,0)+1),MATCH(F$1,[1]stages!$2:$2,0)-MATCH($D$1,[1]stages!$2:$2,0)+1,FALSE)</f>
        <v>26-2．フロアジャック</v>
      </c>
      <c r="G737" s="55">
        <v>3</v>
      </c>
      <c r="H737" s="17" t="str">
        <f t="shared" si="707"/>
        <v>26_2-3</v>
      </c>
      <c r="I737" s="17"/>
      <c r="J737" s="17"/>
      <c r="K737" s="65" t="s">
        <v>56</v>
      </c>
      <c r="L737" s="52">
        <v>59</v>
      </c>
      <c r="M737" s="21" t="str">
        <f ca="1">VLOOKUP($L737,OFFSET([2]enemies!$A$1,0,0,COUNTA([2]enemies!$A:$A),MATCH(M$1,[2]enemies!$1:$1,0)-MATCH($L$1,[2]enemies!$1:$1,0)+1),MATCH(M$1,[2]enemies!$1:$1,0)-MATCH($L$1,[2]enemies!$1:$1,0)+1,FALSE)</f>
        <v>マーチ</v>
      </c>
      <c r="N737" s="21" t="str">
        <f ca="1">VLOOKUP($L737,OFFSET([2]enemies!$A$1,0,0,COUNTA([2]enemies!$A:$A),MATCH(N$1,[2]enemies!$1:$1,0)-MATCH($L$1,[2]enemies!$1:$1,0)+1),MATCH(N$1,[2]enemies!$1:$1,0)-MATCH($L$1,[2]enemies!$1:$1,0)+1,FALSE)</f>
        <v>green</v>
      </c>
      <c r="O737" s="21" t="str">
        <f ca="1">VLOOKUP($L737,OFFSET([3]characters!$A$1,0,0,COUNTA([3]characters!$A:$A),MATCH(O$1,[3]characters!$1:$1,0)-MATCH($L$1,[3]characters!$1:$1,0)+1),MATCH(O$1,[3]characters!$1:$1,0)-MATCH($L$1,[3]characters!$1:$1,0)+1,FALSE)</f>
        <v>Drop1N</v>
      </c>
      <c r="P737" s="21" t="str">
        <f ca="1">VLOOKUP($L737,OFFSET([2]enemies!$A$1,0,0,COUNTA([2]enemies!$A:$A),MATCH(P$1,[2]enemies!$1:$1,0)-MATCH($L$1,[2]enemies!$1:$1,0)+1),MATCH(P$1,[2]enemies!$1:$1,0)-MATCH($L$1,[2]enemies!$1:$1,0)+1,FALSE)</f>
        <v>animal</v>
      </c>
      <c r="Q737" s="21">
        <f ca="1">VLOOKUP($L737,OFFSET([2]enemies!$A$1,0,0,COUNTA([2]enemies!$A:$A),MATCH(Q$1,[2]enemies!$1:$1,0)-MATCH($L$1,[2]enemies!$1:$1,0)+1),MATCH(Q$1,[2]enemies!$1:$1,0)-MATCH($L$1,[2]enemies!$1:$1,0)+1,FALSE)</f>
        <v>15</v>
      </c>
      <c r="R737" s="53">
        <v>52</v>
      </c>
      <c r="S737" s="27">
        <v>1</v>
      </c>
      <c r="T737" s="27">
        <v>1</v>
      </c>
      <c r="U737" s="5">
        <v>0</v>
      </c>
      <c r="V737" s="4" t="str">
        <f ca="1">VLOOKUP($W737,OFFSET([4]enemy_skill_sets!$B$1,0,0,COUNTA([4]enemy_skill_sets!$B:$B),MATCH(M$1,[4]enemy_skill_sets!$1:$1,0)-MATCH($W$1,[4]enemy_skill_sets!$1:$1,0)+2),MATCH(M$1,[4]enemy_skill_sets!$1:$1,0)-MATCH($W$1,[4]enemy_skill_sets!$1:$1,0)+2,FALSE)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37" s="4">
        <f ca="1">VLOOKUP($L737,OFFSET([2]enemies!$A$1,0,0,COUNTA([2]enemies!$A:$A),MATCH(W$1,[2]enemies!$1:$1,0)-MATCH($L$1,[2]enemies!$1:$1,0)+1),MATCH(W$1,[2]enemies!$1:$1,0)-MATCH($L$1,[2]enemies!$1:$1,0)+1,FALSE)</f>
        <v>59</v>
      </c>
      <c r="X737" s="6">
        <v>0</v>
      </c>
      <c r="Y737" s="6">
        <v>100</v>
      </c>
      <c r="Z737" s="6">
        <v>0</v>
      </c>
      <c r="AA737" s="4">
        <f ca="1">VLOOKUP($L737,OFFSET([2]enemies!$A$1,0,0,COUNTA([2]enemies!$A:$A),MATCH(AA$1,[2]enemies!$1:$1,0)-MATCH($L$1,[2]enemies!$1:$1,0)+1),MATCH(AA$1,[2]enemies!$1:$1,0)-MATCH($L$1,[2]enemies!$1:$1,0)+1,FALSE)</f>
        <v>2</v>
      </c>
      <c r="AB737" s="52">
        <v>59</v>
      </c>
      <c r="AC737" s="4" t="str">
        <f ca="1">VLOOKUP($AB737,OFFSET([3]characters!$A$1,0,0,COUNTA([3]characters!$A:$A),MATCH(AC$1,[3]characters!$1:$1,0)-MATCH("character_id",[3]characters!$1:$1,0)+1),MATCH(AC$1,[3]characters!$1:$1,0)-MATCH("character_id",[3]characters!$1:$1,0)+1,FALSE)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737" s="4">
        <f ca="1">VLOOKUP($AB737,OFFSET([3]characters!$A$1,0,0,COUNTA([3]characters!$A:$A),MATCH(AD$1,[3]characters!$1:$1,0)-MATCH("character_id",[3]characters!$1:$1,0)+1),MATCH(AD$1,[3]characters!$1:$1,0)-MATCH("character_id",[3]characters!$1:$1,0)+1,FALSE)</f>
        <v>2</v>
      </c>
      <c r="AE737" s="4" t="str">
        <f ca="1">VLOOKUP($AB737,OFFSET([3]characters!$A$1,0,0,COUNTA([3]characters!$A:$A),MATCH(AE$1,[3]characters!$1:$1,0)-MATCH("character_id",[3]characters!$1:$1,0)+1),MATCH(AE$1,[3]characters!$1:$1,0)-MATCH("character_id",[3]characters!$1:$1,0)+1,FALSE)</f>
        <v>Drop1N</v>
      </c>
      <c r="AF737" s="7">
        <v>7</v>
      </c>
      <c r="AG737" s="26">
        <f t="shared" ca="1" si="702"/>
        <v>2</v>
      </c>
      <c r="AH737" s="8">
        <v>20</v>
      </c>
      <c r="AI737" s="7">
        <v>0</v>
      </c>
      <c r="AJ737" s="7">
        <v>0</v>
      </c>
      <c r="AK737" s="7">
        <v>0</v>
      </c>
      <c r="AL737" s="7">
        <v>0</v>
      </c>
      <c r="AM737" s="7">
        <v>1</v>
      </c>
    </row>
    <row r="738" spans="1:39" ht="14" x14ac:dyDescent="0.15">
      <c r="A738" s="18" t="str">
        <f t="shared" ca="1" si="714"/>
        <v>26_2-3/61&lt;lv52&gt;s2</v>
      </c>
      <c r="B738" s="50">
        <v>26</v>
      </c>
      <c r="C738" s="49">
        <v>2</v>
      </c>
      <c r="D738" s="2" t="str">
        <f t="shared" si="706"/>
        <v>26_2</v>
      </c>
      <c r="E738" s="2" t="str">
        <f t="shared" si="706"/>
        <v>2_26_2</v>
      </c>
      <c r="F738" s="4" t="str">
        <f ca="1">VLOOKUP($D738,OFFSET([1]stages!$A$1,0,0,COUNTA([1]stages!$A:$A),MATCH(F$1,[1]stages!$2:$2,0)-MATCH($D$1,[1]stages!$2:$2,0)+1),MATCH(F$1,[1]stages!$2:$2,0)-MATCH($D$1,[1]stages!$2:$2,0)+1,FALSE)</f>
        <v>26-2．フロアジャック</v>
      </c>
      <c r="G738" s="55">
        <v>3</v>
      </c>
      <c r="H738" s="17" t="str">
        <f t="shared" si="707"/>
        <v>26_2-3</v>
      </c>
      <c r="I738" s="17"/>
      <c r="J738" s="17"/>
      <c r="K738" s="65" t="s">
        <v>56</v>
      </c>
      <c r="L738" s="52">
        <v>61</v>
      </c>
      <c r="M738" s="21" t="str">
        <f ca="1">VLOOKUP($L738,OFFSET([2]enemies!$A$1,0,0,COUNTA([2]enemies!$A:$A),MATCH(M$1,[2]enemies!$1:$1,0)-MATCH($L$1,[2]enemies!$1:$1,0)+1),MATCH(M$1,[2]enemies!$1:$1,0)-MATCH($L$1,[2]enemies!$1:$1,0)+1,FALSE)</f>
        <v>クロウ</v>
      </c>
      <c r="N738" s="21" t="str">
        <f ca="1">VLOOKUP($L738,OFFSET([2]enemies!$A$1,0,0,COUNTA([2]enemies!$A:$A),MATCH(N$1,[2]enemies!$1:$1,0)-MATCH($L$1,[2]enemies!$1:$1,0)+1),MATCH(N$1,[2]enemies!$1:$1,0)-MATCH($L$1,[2]enemies!$1:$1,0)+1,FALSE)</f>
        <v>blue</v>
      </c>
      <c r="O738" s="21" t="str">
        <f ca="1">VLOOKUP($L738,OFFSET([3]characters!$A$1,0,0,COUNTA([3]characters!$A:$A),MATCH(O$1,[3]characters!$1:$1,0)-MATCH($L$1,[3]characters!$1:$1,0)+1),MATCH(O$1,[3]characters!$1:$1,0)-MATCH($L$1,[3]characters!$1:$1,0)+1,FALSE)</f>
        <v>Drop1N</v>
      </c>
      <c r="P738" s="21" t="str">
        <f ca="1">VLOOKUP($L738,OFFSET([2]enemies!$A$1,0,0,COUNTA([2]enemies!$A:$A),MATCH(P$1,[2]enemies!$1:$1,0)-MATCH($L$1,[2]enemies!$1:$1,0)+1),MATCH(P$1,[2]enemies!$1:$1,0)-MATCH($L$1,[2]enemies!$1:$1,0)+1,FALSE)</f>
        <v>animal</v>
      </c>
      <c r="Q738" s="21">
        <f ca="1">VLOOKUP($L738,OFFSET([2]enemies!$A$1,0,0,COUNTA([2]enemies!$A:$A),MATCH(Q$1,[2]enemies!$1:$1,0)-MATCH($L$1,[2]enemies!$1:$1,0)+1),MATCH(Q$1,[2]enemies!$1:$1,0)-MATCH($L$1,[2]enemies!$1:$1,0)+1,FALSE)</f>
        <v>15</v>
      </c>
      <c r="R738" s="53">
        <v>52</v>
      </c>
      <c r="S738" s="27">
        <v>1</v>
      </c>
      <c r="T738" s="27">
        <v>1</v>
      </c>
      <c r="U738" s="5">
        <v>0</v>
      </c>
      <c r="V738" s="4" t="str">
        <f ca="1">VLOOKUP($W738,OFFSET([4]enemy_skill_sets!$B$1,0,0,COUNTA([4]enemy_skill_sets!$B:$B),MATCH(M$1,[4]enemy_skill_sets!$1:$1,0)-MATCH($W$1,[4]enemy_skill_sets!$1:$1,0)+2),MATCH(M$1,[4]enemy_skill_sets!$1:$1,0)-MATCH($W$1,[4]enemy_skill_sets!$1:$1,0)+2,FALSE)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38" s="4">
        <f ca="1">VLOOKUP($L738,OFFSET([2]enemies!$A$1,0,0,COUNTA([2]enemies!$A:$A),MATCH(W$1,[2]enemies!$1:$1,0)-MATCH($L$1,[2]enemies!$1:$1,0)+1),MATCH(W$1,[2]enemies!$1:$1,0)-MATCH($L$1,[2]enemies!$1:$1,0)+1,FALSE)</f>
        <v>61</v>
      </c>
      <c r="X738" s="6">
        <v>0</v>
      </c>
      <c r="Y738" s="6">
        <v>100</v>
      </c>
      <c r="Z738" s="6">
        <v>0</v>
      </c>
      <c r="AA738" s="4">
        <f ca="1">VLOOKUP($L738,OFFSET([2]enemies!$A$1,0,0,COUNTA([2]enemies!$A:$A),MATCH(AA$1,[2]enemies!$1:$1,0)-MATCH($L$1,[2]enemies!$1:$1,0)+1),MATCH(AA$1,[2]enemies!$1:$1,0)-MATCH($L$1,[2]enemies!$1:$1,0)+1,FALSE)</f>
        <v>2</v>
      </c>
      <c r="AB738" s="52">
        <v>61</v>
      </c>
      <c r="AC738" s="4" t="str">
        <f ca="1">VLOOKUP($AB738,OFFSET([3]characters!$A$1,0,0,COUNTA([3]characters!$A:$A),MATCH(AC$1,[3]characters!$1:$1,0)-MATCH("character_id",[3]characters!$1:$1,0)+1),MATCH(AC$1,[3]characters!$1:$1,0)-MATCH("character_id",[3]characters!$1:$1,0)+1,FALSE)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738" s="4">
        <f ca="1">VLOOKUP($AB738,OFFSET([3]characters!$A$1,0,0,COUNTA([3]characters!$A:$A),MATCH(AD$1,[3]characters!$1:$1,0)-MATCH("character_id",[3]characters!$1:$1,0)+1),MATCH(AD$1,[3]characters!$1:$1,0)-MATCH("character_id",[3]characters!$1:$1,0)+1,FALSE)</f>
        <v>2</v>
      </c>
      <c r="AE738" s="4" t="str">
        <f ca="1">VLOOKUP($AB738,OFFSET([3]characters!$A$1,0,0,COUNTA([3]characters!$A:$A),MATCH(AE$1,[3]characters!$1:$1,0)-MATCH("character_id",[3]characters!$1:$1,0)+1),MATCH(AE$1,[3]characters!$1:$1,0)-MATCH("character_id",[3]characters!$1:$1,0)+1,FALSE)</f>
        <v>Drop1N</v>
      </c>
      <c r="AF738" s="7">
        <v>7</v>
      </c>
      <c r="AG738" s="26">
        <f t="shared" ca="1" si="702"/>
        <v>2</v>
      </c>
      <c r="AH738" s="8">
        <v>20</v>
      </c>
      <c r="AI738" s="7">
        <v>0</v>
      </c>
      <c r="AJ738" s="7">
        <v>0</v>
      </c>
      <c r="AK738" s="7">
        <v>0</v>
      </c>
      <c r="AL738" s="7">
        <v>0</v>
      </c>
      <c r="AM738" s="7">
        <v>1</v>
      </c>
    </row>
    <row r="739" spans="1:39" ht="14" x14ac:dyDescent="0.15">
      <c r="A739" s="18" t="str">
        <f t="shared" ca="1" si="714"/>
        <v>26_2-3/63&lt;lv52&gt;s2</v>
      </c>
      <c r="B739" s="50">
        <v>26</v>
      </c>
      <c r="C739" s="49">
        <v>2</v>
      </c>
      <c r="D739" s="2" t="str">
        <f t="shared" si="706"/>
        <v>26_2</v>
      </c>
      <c r="E739" s="2" t="str">
        <f t="shared" si="706"/>
        <v>2_26_2</v>
      </c>
      <c r="F739" s="4" t="str">
        <f ca="1">VLOOKUP($D739,OFFSET([1]stages!$A$1,0,0,COUNTA([1]stages!$A:$A),MATCH(F$1,[1]stages!$2:$2,0)-MATCH($D$1,[1]stages!$2:$2,0)+1),MATCH(F$1,[1]stages!$2:$2,0)-MATCH($D$1,[1]stages!$2:$2,0)+1,FALSE)</f>
        <v>26-2．フロアジャック</v>
      </c>
      <c r="G739" s="55">
        <v>3</v>
      </c>
      <c r="H739" s="17" t="str">
        <f t="shared" si="707"/>
        <v>26_2-3</v>
      </c>
      <c r="I739" s="17"/>
      <c r="J739" s="17"/>
      <c r="K739" s="65" t="s">
        <v>56</v>
      </c>
      <c r="L739" s="52">
        <v>63</v>
      </c>
      <c r="M739" s="21" t="str">
        <f ca="1">VLOOKUP($L739,OFFSET([2]enemies!$A$1,0,0,COUNTA([2]enemies!$A:$A),MATCH(M$1,[2]enemies!$1:$1,0)-MATCH($L$1,[2]enemies!$1:$1,0)+1),MATCH(M$1,[2]enemies!$1:$1,0)-MATCH($L$1,[2]enemies!$1:$1,0)+1,FALSE)</f>
        <v>トニー</v>
      </c>
      <c r="N739" s="21" t="str">
        <f ca="1">VLOOKUP($L739,OFFSET([2]enemies!$A$1,0,0,COUNTA([2]enemies!$A:$A),MATCH(N$1,[2]enemies!$1:$1,0)-MATCH($L$1,[2]enemies!$1:$1,0)+1),MATCH(N$1,[2]enemies!$1:$1,0)-MATCH($L$1,[2]enemies!$1:$1,0)+1,FALSE)</f>
        <v>yellow</v>
      </c>
      <c r="O739" s="21" t="str">
        <f ca="1">VLOOKUP($L739,OFFSET([3]characters!$A$1,0,0,COUNTA([3]characters!$A:$A),MATCH(O$1,[3]characters!$1:$1,0)-MATCH($L$1,[3]characters!$1:$1,0)+1),MATCH(O$1,[3]characters!$1:$1,0)-MATCH($L$1,[3]characters!$1:$1,0)+1,FALSE)</f>
        <v>Drop1N</v>
      </c>
      <c r="P739" s="21" t="str">
        <f ca="1">VLOOKUP($L739,OFFSET([2]enemies!$A$1,0,0,COUNTA([2]enemies!$A:$A),MATCH(P$1,[2]enemies!$1:$1,0)-MATCH($L$1,[2]enemies!$1:$1,0)+1),MATCH(P$1,[2]enemies!$1:$1,0)-MATCH($L$1,[2]enemies!$1:$1,0)+1,FALSE)</f>
        <v>animal</v>
      </c>
      <c r="Q739" s="21">
        <f ca="1">VLOOKUP($L739,OFFSET([2]enemies!$A$1,0,0,COUNTA([2]enemies!$A:$A),MATCH(Q$1,[2]enemies!$1:$1,0)-MATCH($L$1,[2]enemies!$1:$1,0)+1),MATCH(Q$1,[2]enemies!$1:$1,0)-MATCH($L$1,[2]enemies!$1:$1,0)+1,FALSE)</f>
        <v>15</v>
      </c>
      <c r="R739" s="53">
        <v>52</v>
      </c>
      <c r="S739" s="27">
        <v>1</v>
      </c>
      <c r="T739" s="27">
        <v>1</v>
      </c>
      <c r="U739" s="5">
        <v>0</v>
      </c>
      <c r="V739" s="4" t="str">
        <f ca="1">VLOOKUP($W739,OFFSET([4]enemy_skill_sets!$B$1,0,0,COUNTA([4]enemy_skill_sets!$B:$B),MATCH(M$1,[4]enemy_skill_sets!$1:$1,0)-MATCH($W$1,[4]enemy_skill_sets!$1:$1,0)+2),MATCH(M$1,[4]enemy_skill_sets!$1:$1,0)-MATCH($W$1,[4]enemy_skill_sets!$1:$1,0)+2,FALSE)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739" s="4">
        <f ca="1">VLOOKUP($L739,OFFSET([2]enemies!$A$1,0,0,COUNTA([2]enemies!$A:$A),MATCH(W$1,[2]enemies!$1:$1,0)-MATCH($L$1,[2]enemies!$1:$1,0)+1),MATCH(W$1,[2]enemies!$1:$1,0)-MATCH($L$1,[2]enemies!$1:$1,0)+1,FALSE)</f>
        <v>63</v>
      </c>
      <c r="X739" s="6">
        <v>0</v>
      </c>
      <c r="Y739" s="6">
        <v>100</v>
      </c>
      <c r="Z739" s="6">
        <v>0</v>
      </c>
      <c r="AA739" s="4">
        <f ca="1">VLOOKUP($L739,OFFSET([2]enemies!$A$1,0,0,COUNTA([2]enemies!$A:$A),MATCH(AA$1,[2]enemies!$1:$1,0)-MATCH($L$1,[2]enemies!$1:$1,0)+1),MATCH(AA$1,[2]enemies!$1:$1,0)-MATCH($L$1,[2]enemies!$1:$1,0)+1,FALSE)</f>
        <v>2</v>
      </c>
      <c r="AB739" s="52">
        <v>63</v>
      </c>
      <c r="AC739" s="4" t="str">
        <f ca="1">VLOOKUP($AB739,OFFSET([3]characters!$A$1,0,0,COUNTA([3]characters!$A:$A),MATCH(AC$1,[3]characters!$1:$1,0)-MATCH("character_id",[3]characters!$1:$1,0)+1),MATCH(AC$1,[3]characters!$1:$1,0)-MATCH("character_id",[3]characters!$1:$1,0)+1,FALSE)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739" s="4">
        <f ca="1">VLOOKUP($AB739,OFFSET([3]characters!$A$1,0,0,COUNTA([3]characters!$A:$A),MATCH(AD$1,[3]characters!$1:$1,0)-MATCH("character_id",[3]characters!$1:$1,0)+1),MATCH(AD$1,[3]characters!$1:$1,0)-MATCH("character_id",[3]characters!$1:$1,0)+1,FALSE)</f>
        <v>2</v>
      </c>
      <c r="AE739" s="4" t="str">
        <f ca="1">VLOOKUP($AB739,OFFSET([3]characters!$A$1,0,0,COUNTA([3]characters!$A:$A),MATCH(AE$1,[3]characters!$1:$1,0)-MATCH("character_id",[3]characters!$1:$1,0)+1),MATCH(AE$1,[3]characters!$1:$1,0)-MATCH("character_id",[3]characters!$1:$1,0)+1,FALSE)</f>
        <v>Drop1N</v>
      </c>
      <c r="AF739" s="7">
        <v>7</v>
      </c>
      <c r="AG739" s="26">
        <f t="shared" ca="1" si="702"/>
        <v>2</v>
      </c>
      <c r="AH739" s="8">
        <v>20</v>
      </c>
      <c r="AI739" s="7">
        <v>0</v>
      </c>
      <c r="AJ739" s="7">
        <v>0</v>
      </c>
      <c r="AK739" s="7">
        <v>0</v>
      </c>
      <c r="AL739" s="7">
        <v>0</v>
      </c>
      <c r="AM739" s="7">
        <v>1</v>
      </c>
    </row>
    <row r="740" spans="1:39" ht="14" x14ac:dyDescent="0.15">
      <c r="A740" s="18" t="str">
        <f t="shared" ca="1" si="714"/>
        <v>26_2-3/360&lt;lv52&gt;s3</v>
      </c>
      <c r="B740" s="53">
        <v>26</v>
      </c>
      <c r="C740" s="51">
        <v>2</v>
      </c>
      <c r="D740" s="2" t="str">
        <f t="shared" ref="D740:D743" si="715">B740&amp;"_"&amp;C740</f>
        <v>26_2</v>
      </c>
      <c r="E740" s="2" t="str">
        <f t="shared" ref="E740:E743" si="716">C740&amp;"_"&amp;D740</f>
        <v>2_26_2</v>
      </c>
      <c r="F740" s="4" t="str">
        <f ca="1">VLOOKUP($D740,OFFSET([1]stages!$A$1,0,0,COUNTA([1]stages!$A:$A),MATCH(F$1,[1]stages!$2:$2,0)-MATCH($D$1,[1]stages!$2:$2,0)+1),MATCH(F$1,[1]stages!$2:$2,0)-MATCH($D$1,[1]stages!$2:$2,0)+1,FALSE)</f>
        <v>26-2．フロアジャック</v>
      </c>
      <c r="G740" s="55">
        <v>3</v>
      </c>
      <c r="H740" s="17" t="str">
        <f t="shared" ref="H740:H743" si="717">B740&amp;"_"&amp;C740&amp;"-"&amp;G740</f>
        <v>26_2-3</v>
      </c>
      <c r="I740" s="17"/>
      <c r="J740" s="17"/>
      <c r="K740" s="65" t="s">
        <v>56</v>
      </c>
      <c r="L740" s="52">
        <v>360</v>
      </c>
      <c r="M740" s="21" t="str">
        <f ca="1">VLOOKUP($L740,OFFSET([2]enemies!$A$1,0,0,COUNTA([2]enemies!$A:$A),MATCH(M$1,[2]enemies!$1:$1,0)-MATCH($L$1,[2]enemies!$1:$1,0)+1),MATCH(M$1,[2]enemies!$1:$1,0)-MATCH($L$1,[2]enemies!$1:$1,0)+1,FALSE)</f>
        <v>ガンテツ</v>
      </c>
      <c r="N740" s="21" t="str">
        <f ca="1">VLOOKUP($L740,OFFSET([2]enemies!$A$1,0,0,COUNTA([2]enemies!$A:$A),MATCH(N$1,[2]enemies!$1:$1,0)-MATCH($L$1,[2]enemies!$1:$1,0)+1),MATCH(N$1,[2]enemies!$1:$1,0)-MATCH($L$1,[2]enemies!$1:$1,0)+1,FALSE)</f>
        <v>red</v>
      </c>
      <c r="O740" s="21" t="str">
        <f ca="1">VLOOKUP($L740,OFFSET([3]characters!$A$1,0,0,COUNTA([3]characters!$A:$A),MATCH(O$1,[3]characters!$1:$1,0)-MATCH($L$1,[3]characters!$1:$1,0)+1),MATCH(O$1,[3]characters!$1:$1,0)-MATCH($L$1,[3]characters!$1:$1,0)+1,FALSE)</f>
        <v>Drop1S</v>
      </c>
      <c r="P740" s="21" t="str">
        <f ca="1">VLOOKUP($L740,OFFSET([2]enemies!$A$1,0,0,COUNTA([2]enemies!$A:$A),MATCH(P$1,[2]enemies!$1:$1,0)-MATCH($L$1,[2]enemies!$1:$1,0)+1),MATCH(P$1,[2]enemies!$1:$1,0)-MATCH($L$1,[2]enemies!$1:$1,0)+1,FALSE)</f>
        <v>animal</v>
      </c>
      <c r="Q740" s="21">
        <f ca="1">VLOOKUP($L740,OFFSET([2]enemies!$A$1,0,0,COUNTA([2]enemies!$A:$A),MATCH(Q$1,[2]enemies!$1:$1,0)-MATCH($L$1,[2]enemies!$1:$1,0)+1),MATCH(Q$1,[2]enemies!$1:$1,0)-MATCH($L$1,[2]enemies!$1:$1,0)+1,FALSE)</f>
        <v>15</v>
      </c>
      <c r="R740" s="53">
        <v>52</v>
      </c>
      <c r="S740" s="27">
        <v>1</v>
      </c>
      <c r="T740" s="27">
        <v>1</v>
      </c>
      <c r="U740" s="5">
        <v>0</v>
      </c>
      <c r="V740" s="4" t="str">
        <f ca="1">VLOOKUP($W740,OFFSET([4]enemy_skill_sets!$B$1,0,0,COUNTA([4]enemy_skill_sets!$B:$B),MATCH(M$1,[4]enemy_skill_sets!$1:$1,0)-MATCH($W$1,[4]enemy_skill_sets!$1:$1,0)+2),MATCH(M$1,[4]enemy_skill_sets!$1:$1,0)-MATCH($W$1,[4]enemy_skill_sets!$1:$1,0)+2,FALSE)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740" s="76">
        <v>360</v>
      </c>
      <c r="X740" s="6">
        <v>0</v>
      </c>
      <c r="Y740" s="6">
        <v>100</v>
      </c>
      <c r="Z740" s="6">
        <v>0</v>
      </c>
      <c r="AA740" s="4">
        <f ca="1">VLOOKUP($L740,OFFSET([2]enemies!$A$1,0,0,COUNTA([2]enemies!$A:$A),MATCH(AA$1,[2]enemies!$1:$1,0)-MATCH($L$1,[2]enemies!$1:$1,0)+1),MATCH(AA$1,[2]enemies!$1:$1,0)-MATCH($L$1,[2]enemies!$1:$1,0)+1,FALSE)</f>
        <v>3</v>
      </c>
      <c r="AB740" s="52">
        <v>360</v>
      </c>
      <c r="AC740" s="4" t="str">
        <f ca="1">VLOOKUP($AB740,OFFSET([3]characters!$A$1,0,0,COUNTA([3]characters!$A:$A),MATCH(AC$1,[3]characters!$1:$1,0)-MATCH("character_id",[3]characters!$1:$1,0)+1),MATCH(AC$1,[3]characters!$1:$1,0)-MATCH("character_id",[3]characters!$1:$1,0)+1,FALSE)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740" s="4">
        <f ca="1">VLOOKUP($AB740,OFFSET([3]characters!$A$1,0,0,COUNTA([3]characters!$A:$A),MATCH(AD$1,[3]characters!$1:$1,0)-MATCH("character_id",[3]characters!$1:$1,0)+1),MATCH(AD$1,[3]characters!$1:$1,0)-MATCH("character_id",[3]characters!$1:$1,0)+1,FALSE)</f>
        <v>2</v>
      </c>
      <c r="AE740" s="4" t="str">
        <f ca="1">VLOOKUP($AB740,OFFSET([3]characters!$A$1,0,0,COUNTA([3]characters!$A:$A),MATCH(AE$1,[3]characters!$1:$1,0)-MATCH("character_id",[3]characters!$1:$1,0)+1),MATCH(AE$1,[3]characters!$1:$1,0)-MATCH("character_id",[3]characters!$1:$1,0)+1,FALSE)</f>
        <v>Drop1S</v>
      </c>
      <c r="AF740" s="7">
        <v>7</v>
      </c>
      <c r="AG740" s="26">
        <f t="shared" ca="1" si="702"/>
        <v>2</v>
      </c>
      <c r="AH740" s="8">
        <v>20</v>
      </c>
      <c r="AI740" s="7">
        <v>0</v>
      </c>
      <c r="AJ740" s="7">
        <v>0</v>
      </c>
      <c r="AK740" s="7">
        <v>0</v>
      </c>
      <c r="AL740" s="7">
        <v>0</v>
      </c>
      <c r="AM740" s="7">
        <v>1</v>
      </c>
    </row>
    <row r="741" spans="1:39" ht="14" x14ac:dyDescent="0.15">
      <c r="A741" s="18" t="str">
        <f t="shared" ca="1" si="714"/>
        <v>26_2-3/362&lt;lv52&gt;s3</v>
      </c>
      <c r="B741" s="53">
        <v>26</v>
      </c>
      <c r="C741" s="51">
        <v>2</v>
      </c>
      <c r="D741" s="2" t="str">
        <f t="shared" si="715"/>
        <v>26_2</v>
      </c>
      <c r="E741" s="2" t="str">
        <f t="shared" si="716"/>
        <v>2_26_2</v>
      </c>
      <c r="F741" s="4" t="str">
        <f ca="1">VLOOKUP($D741,OFFSET([1]stages!$A$1,0,0,COUNTA([1]stages!$A:$A),MATCH(F$1,[1]stages!$2:$2,0)-MATCH($D$1,[1]stages!$2:$2,0)+1),MATCH(F$1,[1]stages!$2:$2,0)-MATCH($D$1,[1]stages!$2:$2,0)+1,FALSE)</f>
        <v>26-2．フロアジャック</v>
      </c>
      <c r="G741" s="55">
        <v>3</v>
      </c>
      <c r="H741" s="17" t="str">
        <f t="shared" si="717"/>
        <v>26_2-3</v>
      </c>
      <c r="I741" s="17"/>
      <c r="J741" s="17"/>
      <c r="K741" s="65" t="s">
        <v>56</v>
      </c>
      <c r="L741" s="52">
        <v>362</v>
      </c>
      <c r="M741" s="21" t="str">
        <f ca="1">VLOOKUP($L741,OFFSET([2]enemies!$A$1,0,0,COUNTA([2]enemies!$A:$A),MATCH(M$1,[2]enemies!$1:$1,0)-MATCH($L$1,[2]enemies!$1:$1,0)+1),MATCH(M$1,[2]enemies!$1:$1,0)-MATCH($L$1,[2]enemies!$1:$1,0)+1,FALSE)</f>
        <v>ゆらら</v>
      </c>
      <c r="N741" s="21" t="str">
        <f ca="1">VLOOKUP($L741,OFFSET([2]enemies!$A$1,0,0,COUNTA([2]enemies!$A:$A),MATCH(N$1,[2]enemies!$1:$1,0)-MATCH($L$1,[2]enemies!$1:$1,0)+1),MATCH(N$1,[2]enemies!$1:$1,0)-MATCH($L$1,[2]enemies!$1:$1,0)+1,FALSE)</f>
        <v>green</v>
      </c>
      <c r="O741" s="21" t="str">
        <f ca="1">VLOOKUP($L741,OFFSET([3]characters!$A$1,0,0,COUNTA([3]characters!$A:$A),MATCH(O$1,[3]characters!$1:$1,0)-MATCH($L$1,[3]characters!$1:$1,0)+1),MATCH(O$1,[3]characters!$1:$1,0)-MATCH($L$1,[3]characters!$1:$1,0)+1,FALSE)</f>
        <v>Drop1S</v>
      </c>
      <c r="P741" s="21" t="str">
        <f ca="1">VLOOKUP($L741,OFFSET([2]enemies!$A$1,0,0,COUNTA([2]enemies!$A:$A),MATCH(P$1,[2]enemies!$1:$1,0)-MATCH($L$1,[2]enemies!$1:$1,0)+1),MATCH(P$1,[2]enemies!$1:$1,0)-MATCH($L$1,[2]enemies!$1:$1,0)+1,FALSE)</f>
        <v>animal</v>
      </c>
      <c r="Q741" s="21">
        <f ca="1">VLOOKUP($L741,OFFSET([2]enemies!$A$1,0,0,COUNTA([2]enemies!$A:$A),MATCH(Q$1,[2]enemies!$1:$1,0)-MATCH($L$1,[2]enemies!$1:$1,0)+1),MATCH(Q$1,[2]enemies!$1:$1,0)-MATCH($L$1,[2]enemies!$1:$1,0)+1,FALSE)</f>
        <v>15</v>
      </c>
      <c r="R741" s="53">
        <v>52</v>
      </c>
      <c r="S741" s="27">
        <v>1</v>
      </c>
      <c r="T741" s="27">
        <v>1</v>
      </c>
      <c r="U741" s="5">
        <v>0</v>
      </c>
      <c r="V741" s="4" t="str">
        <f ca="1">VLOOKUP($W741,OFFSET([4]enemy_skill_sets!$B$1,0,0,COUNTA([4]enemy_skill_sets!$B:$B),MATCH(M$1,[4]enemy_skill_sets!$1:$1,0)-MATCH($W$1,[4]enemy_skill_sets!$1:$1,0)+2),MATCH(M$1,[4]enemy_skill_sets!$1:$1,0)-MATCH($W$1,[4]enemy_skill_sets!$1:$1,0)+2,FALSE)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741" s="64">
        <v>362</v>
      </c>
      <c r="X741" s="6">
        <v>0</v>
      </c>
      <c r="Y741" s="6">
        <v>100</v>
      </c>
      <c r="Z741" s="6">
        <v>0</v>
      </c>
      <c r="AA741" s="4">
        <f ca="1">VLOOKUP($L741,OFFSET([2]enemies!$A$1,0,0,COUNTA([2]enemies!$A:$A),MATCH(AA$1,[2]enemies!$1:$1,0)-MATCH($L$1,[2]enemies!$1:$1,0)+1),MATCH(AA$1,[2]enemies!$1:$1,0)-MATCH($L$1,[2]enemies!$1:$1,0)+1,FALSE)</f>
        <v>3</v>
      </c>
      <c r="AB741" s="52">
        <v>362</v>
      </c>
      <c r="AC741" s="4" t="str">
        <f ca="1">VLOOKUP($AB741,OFFSET([3]characters!$A$1,0,0,COUNTA([3]characters!$A:$A),MATCH(AC$1,[3]characters!$1:$1,0)-MATCH("character_id",[3]characters!$1:$1,0)+1),MATCH(AC$1,[3]characters!$1:$1,0)-MATCH("character_id",[3]characters!$1:$1,0)+1,FALSE)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741" s="4">
        <f ca="1">VLOOKUP($AB741,OFFSET([3]characters!$A$1,0,0,COUNTA([3]characters!$A:$A),MATCH(AD$1,[3]characters!$1:$1,0)-MATCH("character_id",[3]characters!$1:$1,0)+1),MATCH(AD$1,[3]characters!$1:$1,0)-MATCH("character_id",[3]characters!$1:$1,0)+1,FALSE)</f>
        <v>2</v>
      </c>
      <c r="AE741" s="4" t="str">
        <f ca="1">VLOOKUP($AB741,OFFSET([3]characters!$A$1,0,0,COUNTA([3]characters!$A:$A),MATCH(AE$1,[3]characters!$1:$1,0)-MATCH("character_id",[3]characters!$1:$1,0)+1),MATCH(AE$1,[3]characters!$1:$1,0)-MATCH("character_id",[3]characters!$1:$1,0)+1,FALSE)</f>
        <v>Drop1S</v>
      </c>
      <c r="AF741" s="7">
        <v>7</v>
      </c>
      <c r="AG741" s="26">
        <f t="shared" ca="1" si="702"/>
        <v>2</v>
      </c>
      <c r="AH741" s="8">
        <v>20</v>
      </c>
      <c r="AI741" s="7">
        <v>0</v>
      </c>
      <c r="AJ741" s="7">
        <v>0</v>
      </c>
      <c r="AK741" s="7">
        <v>0</v>
      </c>
      <c r="AL741" s="7">
        <v>0</v>
      </c>
      <c r="AM741" s="7">
        <v>1</v>
      </c>
    </row>
    <row r="742" spans="1:39" ht="14" x14ac:dyDescent="0.15">
      <c r="A742" s="18" t="str">
        <f t="shared" ca="1" si="714"/>
        <v>26_2-3/364&lt;lv52&gt;s3</v>
      </c>
      <c r="B742" s="53">
        <v>26</v>
      </c>
      <c r="C742" s="51">
        <v>2</v>
      </c>
      <c r="D742" s="2" t="str">
        <f t="shared" si="715"/>
        <v>26_2</v>
      </c>
      <c r="E742" s="2" t="str">
        <f t="shared" si="716"/>
        <v>2_26_2</v>
      </c>
      <c r="F742" s="4" t="str">
        <f ca="1">VLOOKUP($D742,OFFSET([1]stages!$A$1,0,0,COUNTA([1]stages!$A:$A),MATCH(F$1,[1]stages!$2:$2,0)-MATCH($D$1,[1]stages!$2:$2,0)+1),MATCH(F$1,[1]stages!$2:$2,0)-MATCH($D$1,[1]stages!$2:$2,0)+1,FALSE)</f>
        <v>26-2．フロアジャック</v>
      </c>
      <c r="G742" s="55">
        <v>3</v>
      </c>
      <c r="H742" s="17" t="str">
        <f t="shared" si="717"/>
        <v>26_2-3</v>
      </c>
      <c r="I742" s="17"/>
      <c r="J742" s="17"/>
      <c r="K742" s="65" t="s">
        <v>56</v>
      </c>
      <c r="L742" s="52">
        <v>364</v>
      </c>
      <c r="M742" s="21" t="str">
        <f ca="1">VLOOKUP($L742,OFFSET([2]enemies!$A$1,0,0,COUNTA([2]enemies!$A:$A),MATCH(M$1,[2]enemies!$1:$1,0)-MATCH($L$1,[2]enemies!$1:$1,0)+1),MATCH(M$1,[2]enemies!$1:$1,0)-MATCH($L$1,[2]enemies!$1:$1,0)+1,FALSE)</f>
        <v>ノエル</v>
      </c>
      <c r="N742" s="21" t="str">
        <f ca="1">VLOOKUP($L742,OFFSET([2]enemies!$A$1,0,0,COUNTA([2]enemies!$A:$A),MATCH(N$1,[2]enemies!$1:$1,0)-MATCH($L$1,[2]enemies!$1:$1,0)+1),MATCH(N$1,[2]enemies!$1:$1,0)-MATCH($L$1,[2]enemies!$1:$1,0)+1,FALSE)</f>
        <v>blue</v>
      </c>
      <c r="O742" s="21" t="str">
        <f ca="1">VLOOKUP($L742,OFFSET([3]characters!$A$1,0,0,COUNTA([3]characters!$A:$A),MATCH(O$1,[3]characters!$1:$1,0)-MATCH($L$1,[3]characters!$1:$1,0)+1),MATCH(O$1,[3]characters!$1:$1,0)-MATCH($L$1,[3]characters!$1:$1,0)+1,FALSE)</f>
        <v>Drop1S</v>
      </c>
      <c r="P742" s="21" t="str">
        <f ca="1">VLOOKUP($L742,OFFSET([2]enemies!$A$1,0,0,COUNTA([2]enemies!$A:$A),MATCH(P$1,[2]enemies!$1:$1,0)-MATCH($L$1,[2]enemies!$1:$1,0)+1),MATCH(P$1,[2]enemies!$1:$1,0)-MATCH($L$1,[2]enemies!$1:$1,0)+1,FALSE)</f>
        <v>animal</v>
      </c>
      <c r="Q742" s="21">
        <f ca="1">VLOOKUP($L742,OFFSET([2]enemies!$A$1,0,0,COUNTA([2]enemies!$A:$A),MATCH(Q$1,[2]enemies!$1:$1,0)-MATCH($L$1,[2]enemies!$1:$1,0)+1),MATCH(Q$1,[2]enemies!$1:$1,0)-MATCH($L$1,[2]enemies!$1:$1,0)+1,FALSE)</f>
        <v>15</v>
      </c>
      <c r="R742" s="53">
        <v>52</v>
      </c>
      <c r="S742" s="27">
        <v>1</v>
      </c>
      <c r="T742" s="27">
        <v>1</v>
      </c>
      <c r="U742" s="5">
        <v>0</v>
      </c>
      <c r="V742" s="4" t="str">
        <f ca="1">VLOOKUP($W742,OFFSET([4]enemy_skill_sets!$B$1,0,0,COUNTA([4]enemy_skill_sets!$B:$B),MATCH(M$1,[4]enemy_skill_sets!$1:$1,0)-MATCH($W$1,[4]enemy_skill_sets!$1:$1,0)+2),MATCH(M$1,[4]enemy_skill_sets!$1:$1,0)-MATCH($W$1,[4]enemy_skill_sets!$1:$1,0)+2,FALSE)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742" s="64">
        <v>364</v>
      </c>
      <c r="X742" s="6">
        <v>0</v>
      </c>
      <c r="Y742" s="6">
        <v>100</v>
      </c>
      <c r="Z742" s="6">
        <v>0</v>
      </c>
      <c r="AA742" s="4">
        <f ca="1">VLOOKUP($L742,OFFSET([2]enemies!$A$1,0,0,COUNTA([2]enemies!$A:$A),MATCH(AA$1,[2]enemies!$1:$1,0)-MATCH($L$1,[2]enemies!$1:$1,0)+1),MATCH(AA$1,[2]enemies!$1:$1,0)-MATCH($L$1,[2]enemies!$1:$1,0)+1,FALSE)</f>
        <v>3</v>
      </c>
      <c r="AB742" s="52">
        <v>364</v>
      </c>
      <c r="AC742" s="4" t="str">
        <f ca="1">VLOOKUP($AB742,OFFSET([3]characters!$A$1,0,0,COUNTA([3]characters!$A:$A),MATCH(AC$1,[3]characters!$1:$1,0)-MATCH("character_id",[3]characters!$1:$1,0)+1),MATCH(AC$1,[3]characters!$1:$1,0)-MATCH("character_id",[3]characters!$1:$1,0)+1,FALSE)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742" s="4">
        <f ca="1">VLOOKUP($AB742,OFFSET([3]characters!$A$1,0,0,COUNTA([3]characters!$A:$A),MATCH(AD$1,[3]characters!$1:$1,0)-MATCH("character_id",[3]characters!$1:$1,0)+1),MATCH(AD$1,[3]characters!$1:$1,0)-MATCH("character_id",[3]characters!$1:$1,0)+1,FALSE)</f>
        <v>2</v>
      </c>
      <c r="AE742" s="4" t="str">
        <f ca="1">VLOOKUP($AB742,OFFSET([3]characters!$A$1,0,0,COUNTA([3]characters!$A:$A),MATCH(AE$1,[3]characters!$1:$1,0)-MATCH("character_id",[3]characters!$1:$1,0)+1),MATCH(AE$1,[3]characters!$1:$1,0)-MATCH("character_id",[3]characters!$1:$1,0)+1,FALSE)</f>
        <v>Drop1S</v>
      </c>
      <c r="AF742" s="7">
        <v>7</v>
      </c>
      <c r="AG742" s="26">
        <f t="shared" ca="1" si="702"/>
        <v>2</v>
      </c>
      <c r="AH742" s="8">
        <v>20</v>
      </c>
      <c r="AI742" s="7">
        <v>0</v>
      </c>
      <c r="AJ742" s="7">
        <v>0</v>
      </c>
      <c r="AK742" s="7">
        <v>0</v>
      </c>
      <c r="AL742" s="7">
        <v>0</v>
      </c>
      <c r="AM742" s="7">
        <v>1</v>
      </c>
    </row>
    <row r="743" spans="1:39" ht="14" x14ac:dyDescent="0.15">
      <c r="A743" s="18" t="str">
        <f t="shared" ca="1" si="714"/>
        <v>26_2-3/366&lt;lv52&gt;s3</v>
      </c>
      <c r="B743" s="53">
        <v>26</v>
      </c>
      <c r="C743" s="51">
        <v>2</v>
      </c>
      <c r="D743" s="2" t="str">
        <f t="shared" si="715"/>
        <v>26_2</v>
      </c>
      <c r="E743" s="2" t="str">
        <f t="shared" si="716"/>
        <v>2_26_2</v>
      </c>
      <c r="F743" s="4" t="str">
        <f ca="1">VLOOKUP($D743,OFFSET([1]stages!$A$1,0,0,COUNTA([1]stages!$A:$A),MATCH(F$1,[1]stages!$2:$2,0)-MATCH($D$1,[1]stages!$2:$2,0)+1),MATCH(F$1,[1]stages!$2:$2,0)-MATCH($D$1,[1]stages!$2:$2,0)+1,FALSE)</f>
        <v>26-2．フロアジャック</v>
      </c>
      <c r="G743" s="55">
        <v>3</v>
      </c>
      <c r="H743" s="17" t="str">
        <f t="shared" si="717"/>
        <v>26_2-3</v>
      </c>
      <c r="I743" s="17"/>
      <c r="J743" s="17"/>
      <c r="K743" s="65" t="s">
        <v>56</v>
      </c>
      <c r="L743" s="52">
        <v>366</v>
      </c>
      <c r="M743" s="21" t="str">
        <f ca="1">VLOOKUP($L743,OFFSET([2]enemies!$A$1,0,0,COUNTA([2]enemies!$A:$A),MATCH(M$1,[2]enemies!$1:$1,0)-MATCH($L$1,[2]enemies!$1:$1,0)+1),MATCH(M$1,[2]enemies!$1:$1,0)-MATCH($L$1,[2]enemies!$1:$1,0)+1,FALSE)</f>
        <v>トト</v>
      </c>
      <c r="N743" s="21" t="str">
        <f ca="1">VLOOKUP($L743,OFFSET([2]enemies!$A$1,0,0,COUNTA([2]enemies!$A:$A),MATCH(N$1,[2]enemies!$1:$1,0)-MATCH($L$1,[2]enemies!$1:$1,0)+1),MATCH(N$1,[2]enemies!$1:$1,0)-MATCH($L$1,[2]enemies!$1:$1,0)+1,FALSE)</f>
        <v>yellow</v>
      </c>
      <c r="O743" s="21" t="str">
        <f ca="1">VLOOKUP($L743,OFFSET([3]characters!$A$1,0,0,COUNTA([3]characters!$A:$A),MATCH(O$1,[3]characters!$1:$1,0)-MATCH($L$1,[3]characters!$1:$1,0)+1),MATCH(O$1,[3]characters!$1:$1,0)-MATCH($L$1,[3]characters!$1:$1,0)+1,FALSE)</f>
        <v>Drop1S</v>
      </c>
      <c r="P743" s="21" t="str">
        <f ca="1">VLOOKUP($L743,OFFSET([2]enemies!$A$1,0,0,COUNTA([2]enemies!$A:$A),MATCH(P$1,[2]enemies!$1:$1,0)-MATCH($L$1,[2]enemies!$1:$1,0)+1),MATCH(P$1,[2]enemies!$1:$1,0)-MATCH($L$1,[2]enemies!$1:$1,0)+1,FALSE)</f>
        <v>animal</v>
      </c>
      <c r="Q743" s="21">
        <f ca="1">VLOOKUP($L743,OFFSET([2]enemies!$A$1,0,0,COUNTA([2]enemies!$A:$A),MATCH(Q$1,[2]enemies!$1:$1,0)-MATCH($L$1,[2]enemies!$1:$1,0)+1),MATCH(Q$1,[2]enemies!$1:$1,0)-MATCH($L$1,[2]enemies!$1:$1,0)+1,FALSE)</f>
        <v>15</v>
      </c>
      <c r="R743" s="53">
        <v>52</v>
      </c>
      <c r="S743" s="27">
        <v>1</v>
      </c>
      <c r="T743" s="27">
        <v>1</v>
      </c>
      <c r="U743" s="5">
        <v>0</v>
      </c>
      <c r="V743" s="4" t="str">
        <f ca="1">VLOOKUP($W743,OFFSET([4]enemy_skill_sets!$B$1,0,0,COUNTA([4]enemy_skill_sets!$B:$B),MATCH(M$1,[4]enemy_skill_sets!$1:$1,0)-MATCH($W$1,[4]enemy_skill_sets!$1:$1,0)+2),MATCH(M$1,[4]enemy_skill_sets!$1:$1,0)-MATCH($W$1,[4]enemy_skill_sets!$1:$1,0)+2,FALSE)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743" s="64">
        <v>366</v>
      </c>
      <c r="X743" s="6">
        <v>0</v>
      </c>
      <c r="Y743" s="6">
        <v>100</v>
      </c>
      <c r="Z743" s="6">
        <v>0</v>
      </c>
      <c r="AA743" s="4">
        <f ca="1">VLOOKUP($L743,OFFSET([2]enemies!$A$1,0,0,COUNTA([2]enemies!$A:$A),MATCH(AA$1,[2]enemies!$1:$1,0)-MATCH($L$1,[2]enemies!$1:$1,0)+1),MATCH(AA$1,[2]enemies!$1:$1,0)-MATCH($L$1,[2]enemies!$1:$1,0)+1,FALSE)</f>
        <v>3</v>
      </c>
      <c r="AB743" s="52">
        <v>366</v>
      </c>
      <c r="AC743" s="4" t="str">
        <f ca="1">VLOOKUP($AB743,OFFSET([3]characters!$A$1,0,0,COUNTA([3]characters!$A:$A),MATCH(AC$1,[3]characters!$1:$1,0)-MATCH("character_id",[3]characters!$1:$1,0)+1),MATCH(AC$1,[3]characters!$1:$1,0)-MATCH("character_id",[3]characters!$1:$1,0)+1,FALSE)</f>
        <v>トト</v>
      </c>
      <c r="AD743" s="4">
        <f ca="1">VLOOKUP($AB743,OFFSET([3]characters!$A$1,0,0,COUNTA([3]characters!$A:$A),MATCH(AD$1,[3]characters!$1:$1,0)-MATCH("character_id",[3]characters!$1:$1,0)+1),MATCH(AD$1,[3]characters!$1:$1,0)-MATCH("character_id",[3]characters!$1:$1,0)+1,FALSE)</f>
        <v>2</v>
      </c>
      <c r="AE743" s="4" t="str">
        <f ca="1">VLOOKUP($AB743,OFFSET([3]characters!$A$1,0,0,COUNTA([3]characters!$A:$A),MATCH(AE$1,[3]characters!$1:$1,0)-MATCH("character_id",[3]characters!$1:$1,0)+1),MATCH(AE$1,[3]characters!$1:$1,0)-MATCH("character_id",[3]characters!$1:$1,0)+1,FALSE)</f>
        <v>Drop1S</v>
      </c>
      <c r="AF743" s="7">
        <v>7</v>
      </c>
      <c r="AG743" s="26">
        <f t="shared" ca="1" si="702"/>
        <v>2</v>
      </c>
      <c r="AH743" s="8">
        <v>20</v>
      </c>
      <c r="AI743" s="7">
        <v>0</v>
      </c>
      <c r="AJ743" s="7">
        <v>0</v>
      </c>
      <c r="AK743" s="7">
        <v>0</v>
      </c>
      <c r="AL743" s="7">
        <v>0</v>
      </c>
      <c r="AM743" s="7">
        <v>1</v>
      </c>
    </row>
    <row r="744" spans="1:39" ht="14" x14ac:dyDescent="0.15">
      <c r="A744" s="18" t="str">
        <f t="shared" ca="1" si="714"/>
        <v>26_2-3/348&lt;lv52&gt;s3</v>
      </c>
      <c r="B744" s="53">
        <v>26</v>
      </c>
      <c r="C744" s="51">
        <v>2</v>
      </c>
      <c r="D744" s="2" t="str">
        <f t="shared" ref="D744:D745" si="718">B744&amp;"_"&amp;C744</f>
        <v>26_2</v>
      </c>
      <c r="E744" s="2" t="str">
        <f t="shared" ref="E744:E745" si="719">C744&amp;"_"&amp;D744</f>
        <v>2_26_2</v>
      </c>
      <c r="F744" s="4" t="str">
        <f ca="1">VLOOKUP($D744,OFFSET([1]stages!$A$1,0,0,COUNTA([1]stages!$A:$A),MATCH(F$1,[1]stages!$2:$2,0)-MATCH($D$1,[1]stages!$2:$2,0)+1),MATCH(F$1,[1]stages!$2:$2,0)-MATCH($D$1,[1]stages!$2:$2,0)+1,FALSE)</f>
        <v>26-2．フロアジャック</v>
      </c>
      <c r="G744" s="55">
        <v>3</v>
      </c>
      <c r="H744" s="17" t="str">
        <f t="shared" ref="H744:H745" si="720">B744&amp;"_"&amp;C744&amp;"-"&amp;G744</f>
        <v>26_2-3</v>
      </c>
      <c r="I744" s="17"/>
      <c r="J744" s="17"/>
      <c r="K744" s="65" t="s">
        <v>56</v>
      </c>
      <c r="L744" s="52">
        <v>348</v>
      </c>
      <c r="M744" s="21" t="str">
        <f ca="1">VLOOKUP($L744,OFFSET([2]enemies!$A$1,0,0,COUNTA([2]enemies!$A:$A),MATCH(M$1,[2]enemies!$1:$1,0)-MATCH($L$1,[2]enemies!$1:$1,0)+1),MATCH(M$1,[2]enemies!$1:$1,0)-MATCH($L$1,[2]enemies!$1:$1,0)+1,FALSE)</f>
        <v>炎のケロケロ</v>
      </c>
      <c r="N744" s="21" t="str">
        <f ca="1">VLOOKUP($L744,OFFSET([2]enemies!$A$1,0,0,COUNTA([2]enemies!$A:$A),MATCH(N$1,[2]enemies!$1:$1,0)-MATCH($L$1,[2]enemies!$1:$1,0)+1),MATCH(N$1,[2]enemies!$1:$1,0)-MATCH($L$1,[2]enemies!$1:$1,0)+1,FALSE)</f>
        <v>red</v>
      </c>
      <c r="O744" s="21" t="str">
        <f ca="1">VLOOKUP($L744,OFFSET([3]characters!$A$1,0,0,COUNTA([3]characters!$A:$A),MATCH(O$1,[3]characters!$1:$1,0)-MATCH($L$1,[3]characters!$1:$1,0)+1),MATCH(O$1,[3]characters!$1:$1,0)-MATCH($L$1,[3]characters!$1:$1,0)+1,FALSE)</f>
        <v>Material</v>
      </c>
      <c r="P744" s="21" t="str">
        <f ca="1">VLOOKUP($L744,OFFSET([2]enemies!$A$1,0,0,COUNTA([2]enemies!$A:$A),MATCH(P$1,[2]enemies!$1:$1,0)-MATCH($L$1,[2]enemies!$1:$1,0)+1),MATCH(P$1,[2]enemies!$1:$1,0)-MATCH($L$1,[2]enemies!$1:$1,0)+1,FALSE)</f>
        <v>unknown</v>
      </c>
      <c r="Q744" s="21">
        <f ca="1">VLOOKUP($L744,OFFSET([2]enemies!$A$1,0,0,COUNTA([2]enemies!$A:$A),MATCH(Q$1,[2]enemies!$1:$1,0)-MATCH($L$1,[2]enemies!$1:$1,0)+1),MATCH(Q$1,[2]enemies!$1:$1,0)-MATCH($L$1,[2]enemies!$1:$1,0)+1,FALSE)</f>
        <v>15</v>
      </c>
      <c r="R744" s="53">
        <v>52</v>
      </c>
      <c r="S744" s="27">
        <v>1</v>
      </c>
      <c r="T744" s="27">
        <v>1</v>
      </c>
      <c r="U744" s="5">
        <v>0</v>
      </c>
      <c r="V744" s="4" t="str">
        <f ca="1">VLOOKUP($W744,OFFSET([4]enemy_skill_sets!$B$1,0,0,COUNTA([4]enemy_skill_sets!$B:$B),MATCH(M$1,[4]enemy_skill_sets!$1:$1,0)-MATCH($W$1,[4]enemy_skill_sets!$1:$1,0)+2),MATCH(M$1,[4]enemy_skill_sets!$1:$1,0)-MATCH($W$1,[4]enemy_skill_sets!$1:$1,0)+2,FALSE)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744" s="64">
        <v>348</v>
      </c>
      <c r="X744" s="6">
        <v>0</v>
      </c>
      <c r="Y744" s="6">
        <v>100</v>
      </c>
      <c r="Z744" s="6">
        <v>0</v>
      </c>
      <c r="AA744" s="4">
        <f ca="1">VLOOKUP($L744,OFFSET([2]enemies!$A$1,0,0,COUNTA([2]enemies!$A:$A),MATCH(AA$1,[2]enemies!$1:$1,0)-MATCH($L$1,[2]enemies!$1:$1,0)+1),MATCH(AA$1,[2]enemies!$1:$1,0)-MATCH($L$1,[2]enemies!$1:$1,0)+1,FALSE)</f>
        <v>3</v>
      </c>
      <c r="AB744" s="52">
        <v>348</v>
      </c>
      <c r="AC744" s="4" t="str">
        <f ca="1">VLOOKUP($AB744,OFFSET([3]characters!$A$1,0,0,COUNTA([3]characters!$A:$A),MATCH(AC$1,[3]characters!$1:$1,0)-MATCH("character_id",[3]characters!$1:$1,0)+1),MATCH(AC$1,[3]characters!$1:$1,0)-MATCH("character_id",[3]characters!$1:$1,0)+1,FALSE)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744" s="4">
        <f ca="1">VLOOKUP($AB744,OFFSET([3]characters!$A$1,0,0,COUNTA([3]characters!$A:$A),MATCH(AD$1,[3]characters!$1:$1,0)-MATCH("character_id",[3]characters!$1:$1,0)+1),MATCH(AD$1,[3]characters!$1:$1,0)-MATCH("character_id",[3]characters!$1:$1,0)+1,FALSE)</f>
        <v>2</v>
      </c>
      <c r="AE744" s="4" t="str">
        <f ca="1">VLOOKUP($AB744,OFFSET([3]characters!$A$1,0,0,COUNTA([3]characters!$A:$A),MATCH(AE$1,[3]characters!$1:$1,0)-MATCH("character_id",[3]characters!$1:$1,0)+1),MATCH(AE$1,[3]characters!$1:$1,0)-MATCH("character_id",[3]characters!$1:$1,0)+1,FALSE)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44" s="7">
        <v>10</v>
      </c>
      <c r="AG744" s="26">
        <f t="shared" ca="1" si="702"/>
        <v>2</v>
      </c>
      <c r="AH744" s="8">
        <v>20</v>
      </c>
      <c r="AI744" s="7">
        <v>0</v>
      </c>
      <c r="AJ744" s="7">
        <v>0</v>
      </c>
      <c r="AK744" s="7">
        <v>0</v>
      </c>
      <c r="AL744" s="7">
        <v>0</v>
      </c>
      <c r="AM744" s="7">
        <v>1</v>
      </c>
    </row>
    <row r="745" spans="1:39" ht="14" x14ac:dyDescent="0.15">
      <c r="A745" s="18" t="str">
        <f t="shared" ca="1" si="714"/>
        <v>26_2-3/352&lt;lv52&gt;s3</v>
      </c>
      <c r="B745" s="53">
        <v>26</v>
      </c>
      <c r="C745" s="51">
        <v>2</v>
      </c>
      <c r="D745" s="2" t="str">
        <f t="shared" si="718"/>
        <v>26_2</v>
      </c>
      <c r="E745" s="2" t="str">
        <f t="shared" si="719"/>
        <v>2_26_2</v>
      </c>
      <c r="F745" s="4" t="str">
        <f ca="1">VLOOKUP($D745,OFFSET([1]stages!$A$1,0,0,COUNTA([1]stages!$A:$A),MATCH(F$1,[1]stages!$2:$2,0)-MATCH($D$1,[1]stages!$2:$2,0)+1),MATCH(F$1,[1]stages!$2:$2,0)-MATCH($D$1,[1]stages!$2:$2,0)+1,FALSE)</f>
        <v>26-2．フロアジャック</v>
      </c>
      <c r="G745" s="55">
        <v>3</v>
      </c>
      <c r="H745" s="17" t="str">
        <f t="shared" si="720"/>
        <v>26_2-3</v>
      </c>
      <c r="I745" s="17"/>
      <c r="J745" s="17"/>
      <c r="K745" s="65" t="s">
        <v>56</v>
      </c>
      <c r="L745" s="52">
        <v>352</v>
      </c>
      <c r="M745" s="21" t="str">
        <f ca="1">VLOOKUP($L745,OFFSET([2]enemies!$A$1,0,0,COUNTA([2]enemies!$A:$A),MATCH(M$1,[2]enemies!$1:$1,0)-MATCH($L$1,[2]enemies!$1:$1,0)+1),MATCH(M$1,[2]enemies!$1:$1,0)-MATCH($L$1,[2]enemies!$1:$1,0)+1,FALSE)</f>
        <v>水のケロケロ</v>
      </c>
      <c r="N745" s="21" t="str">
        <f ca="1">VLOOKUP($L745,OFFSET([2]enemies!$A$1,0,0,COUNTA([2]enemies!$A:$A),MATCH(N$1,[2]enemies!$1:$1,0)-MATCH($L$1,[2]enemies!$1:$1,0)+1),MATCH(N$1,[2]enemies!$1:$1,0)-MATCH($L$1,[2]enemies!$1:$1,0)+1,FALSE)</f>
        <v>blue</v>
      </c>
      <c r="O745" s="21" t="str">
        <f ca="1">VLOOKUP($L745,OFFSET([3]characters!$A$1,0,0,COUNTA([3]characters!$A:$A),MATCH(O$1,[3]characters!$1:$1,0)-MATCH($L$1,[3]characters!$1:$1,0)+1),MATCH(O$1,[3]characters!$1:$1,0)-MATCH($L$1,[3]characters!$1:$1,0)+1,FALSE)</f>
        <v>Material</v>
      </c>
      <c r="P745" s="21" t="str">
        <f ca="1">VLOOKUP($L745,OFFSET([2]enemies!$A$1,0,0,COUNTA([2]enemies!$A:$A),MATCH(P$1,[2]enemies!$1:$1,0)-MATCH($L$1,[2]enemies!$1:$1,0)+1),MATCH(P$1,[2]enemies!$1:$1,0)-MATCH($L$1,[2]enemies!$1:$1,0)+1,FALSE)</f>
        <v>unknown</v>
      </c>
      <c r="Q745" s="21">
        <f ca="1">VLOOKUP($L745,OFFSET([2]enemies!$A$1,0,0,COUNTA([2]enemies!$A:$A),MATCH(Q$1,[2]enemies!$1:$1,0)-MATCH($L$1,[2]enemies!$1:$1,0)+1),MATCH(Q$1,[2]enemies!$1:$1,0)-MATCH($L$1,[2]enemies!$1:$1,0)+1,FALSE)</f>
        <v>15</v>
      </c>
      <c r="R745" s="53">
        <v>52</v>
      </c>
      <c r="S745" s="27">
        <v>1</v>
      </c>
      <c r="T745" s="27">
        <v>1</v>
      </c>
      <c r="U745" s="5">
        <v>0</v>
      </c>
      <c r="V745" s="4" t="str">
        <f ca="1">VLOOKUP($W745,OFFSET([4]enemy_skill_sets!$B$1,0,0,COUNTA([4]enemy_skill_sets!$B:$B),MATCH(M$1,[4]enemy_skill_sets!$1:$1,0)-MATCH($W$1,[4]enemy_skill_sets!$1:$1,0)+2),MATCH(M$1,[4]enemy_skill_sets!$1:$1,0)-MATCH($W$1,[4]enemy_skill_sets!$1:$1,0)+2,FALSE)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745" s="64">
        <v>352</v>
      </c>
      <c r="X745" s="6">
        <v>0</v>
      </c>
      <c r="Y745" s="6">
        <v>100</v>
      </c>
      <c r="Z745" s="6">
        <v>0</v>
      </c>
      <c r="AA745" s="4">
        <f ca="1">VLOOKUP($L745,OFFSET([2]enemies!$A$1,0,0,COUNTA([2]enemies!$A:$A),MATCH(AA$1,[2]enemies!$1:$1,0)-MATCH($L$1,[2]enemies!$1:$1,0)+1),MATCH(AA$1,[2]enemies!$1:$1,0)-MATCH($L$1,[2]enemies!$1:$1,0)+1,FALSE)</f>
        <v>3</v>
      </c>
      <c r="AB745" s="52">
        <v>352</v>
      </c>
      <c r="AC745" s="4" t="str">
        <f ca="1">VLOOKUP($AB745,OFFSET([3]characters!$A$1,0,0,COUNTA([3]characters!$A:$A),MATCH(AC$1,[3]characters!$1:$1,0)-MATCH("character_id",[3]characters!$1:$1,0)+1),MATCH(AC$1,[3]characters!$1:$1,0)-MATCH("character_id",[3]characters!$1:$1,0)+1,FALSE)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745" s="4">
        <f ca="1">VLOOKUP($AB745,OFFSET([3]characters!$A$1,0,0,COUNTA([3]characters!$A:$A),MATCH(AD$1,[3]characters!$1:$1,0)-MATCH("character_id",[3]characters!$1:$1,0)+1),MATCH(AD$1,[3]characters!$1:$1,0)-MATCH("character_id",[3]characters!$1:$1,0)+1,FALSE)</f>
        <v>2</v>
      </c>
      <c r="AE745" s="4" t="str">
        <f ca="1">VLOOKUP($AB745,OFFSET([3]characters!$A$1,0,0,COUNTA([3]characters!$A:$A),MATCH(AE$1,[3]characters!$1:$1,0)-MATCH("character_id",[3]characters!$1:$1,0)+1),MATCH(AE$1,[3]characters!$1:$1,0)-MATCH("character_id",[3]characters!$1:$1,0)+1,FALSE)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45" s="7">
        <v>10</v>
      </c>
      <c r="AG745" s="26">
        <f t="shared" ca="1" si="702"/>
        <v>2</v>
      </c>
      <c r="AH745" s="8">
        <v>20</v>
      </c>
      <c r="AI745" s="7">
        <v>0</v>
      </c>
      <c r="AJ745" s="7">
        <v>0</v>
      </c>
      <c r="AK745" s="7">
        <v>0</v>
      </c>
      <c r="AL745" s="7">
        <v>0</v>
      </c>
      <c r="AM745" s="7">
        <v>1</v>
      </c>
    </row>
    <row r="746" spans="1:39" ht="14" x14ac:dyDescent="0.15">
      <c r="A746" s="18" t="str">
        <f t="shared" ca="1" si="714"/>
        <v>26_2-4/9&lt;lv52&gt;s2</v>
      </c>
      <c r="B746" s="50">
        <v>26</v>
      </c>
      <c r="C746" s="49">
        <v>2</v>
      </c>
      <c r="D746" s="2" t="str">
        <f t="shared" si="706"/>
        <v>26_2</v>
      </c>
      <c r="E746" s="2" t="str">
        <f t="shared" si="706"/>
        <v>2_26_2</v>
      </c>
      <c r="F746" s="4" t="str">
        <f ca="1">VLOOKUP($D746,OFFSET([1]stages!$A$1,0,0,COUNTA([1]stages!$A:$A),MATCH(F$1,[1]stages!$2:$2,0)-MATCH($D$1,[1]stages!$2:$2,0)+1),MATCH(F$1,[1]stages!$2:$2,0)-MATCH($D$1,[1]stages!$2:$2,0)+1,FALSE)</f>
        <v>26-2．フロアジャック</v>
      </c>
      <c r="G746" s="56">
        <v>4</v>
      </c>
      <c r="H746" s="17" t="str">
        <f t="shared" si="707"/>
        <v>26_2-4</v>
      </c>
      <c r="I746" s="17"/>
      <c r="J746" s="17"/>
      <c r="K746" s="65" t="s">
        <v>56</v>
      </c>
      <c r="L746" s="52">
        <v>9</v>
      </c>
      <c r="M746" s="21" t="str">
        <f ca="1">VLOOKUP($L746,OFFSET([2]enemies!$A$1,0,0,COUNTA([2]enemies!$A:$A),MATCH(M$1,[2]enemies!$1:$1,0)-MATCH($L$1,[2]enemies!$1:$1,0)+1),MATCH(M$1,[2]enemies!$1:$1,0)-MATCH($L$1,[2]enemies!$1:$1,0)+1,FALSE)</f>
        <v>ブレット</v>
      </c>
      <c r="N746" s="21" t="str">
        <f ca="1">VLOOKUP($L746,OFFSET([2]enemies!$A$1,0,0,COUNTA([2]enemies!$A:$A),MATCH(N$1,[2]enemies!$1:$1,0)-MATCH($L$1,[2]enemies!$1:$1,0)+1),MATCH(N$1,[2]enemies!$1:$1,0)-MATCH($L$1,[2]enemies!$1:$1,0)+1,FALSE)</f>
        <v>red</v>
      </c>
      <c r="O746" s="21" t="str">
        <f ca="1">VLOOKUP($L746,OFFSET([3]characters!$A$1,0,0,COUNTA([3]characters!$A:$A),MATCH(O$1,[3]characters!$1:$1,0)-MATCH($L$1,[3]characters!$1:$1,0)+1),MATCH(O$1,[3]characters!$1:$1,0)-MATCH($L$1,[3]characters!$1:$1,0)+1,FALSE)</f>
        <v>Drop1W</v>
      </c>
      <c r="P746" s="21" t="str">
        <f ca="1">VLOOKUP($L746,OFFSET([2]enemies!$A$1,0,0,COUNTA([2]enemies!$A:$A),MATCH(P$1,[2]enemies!$1:$1,0)-MATCH($L$1,[2]enemies!$1:$1,0)+1),MATCH(P$1,[2]enemies!$1:$1,0)-MATCH($L$1,[2]enemies!$1:$1,0)+1,FALSE)</f>
        <v>animal</v>
      </c>
      <c r="Q746" s="21">
        <f ca="1">VLOOKUP($L746,OFFSET([2]enemies!$A$1,0,0,COUNTA([2]enemies!$A:$A),MATCH(Q$1,[2]enemies!$1:$1,0)-MATCH($L$1,[2]enemies!$1:$1,0)+1),MATCH(Q$1,[2]enemies!$1:$1,0)-MATCH($L$1,[2]enemies!$1:$1,0)+1,FALSE)</f>
        <v>15</v>
      </c>
      <c r="R746" s="53">
        <v>52</v>
      </c>
      <c r="S746" s="27">
        <v>1</v>
      </c>
      <c r="T746" s="27">
        <v>1</v>
      </c>
      <c r="U746" s="5">
        <v>0</v>
      </c>
      <c r="V746" s="4" t="str">
        <f ca="1">VLOOKUP($W746,OFFSET([4]enemy_skill_sets!$B$1,0,0,COUNTA([4]enemy_skill_sets!$B:$B),MATCH(M$1,[4]enemy_skill_sets!$1:$1,0)-MATCH($W$1,[4]enemy_skill_sets!$1:$1,0)+2),MATCH(M$1,[4]enemy_skill_sets!$1:$1,0)-MATCH($W$1,[4]enemy_skill_sets!$1:$1,0)+2,FALSE)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46" s="4">
        <f ca="1">VLOOKUP($L746,OFFSET([2]enemies!$A$1,0,0,COUNTA([2]enemies!$A:$A),MATCH(W$1,[2]enemies!$1:$1,0)-MATCH($L$1,[2]enemies!$1:$1,0)+1),MATCH(W$1,[2]enemies!$1:$1,0)-MATCH($L$1,[2]enemies!$1:$1,0)+1,FALSE)</f>
        <v>0</v>
      </c>
      <c r="X746" s="6">
        <v>0</v>
      </c>
      <c r="Y746" s="6">
        <v>100</v>
      </c>
      <c r="Z746" s="6">
        <v>0</v>
      </c>
      <c r="AA746" s="4">
        <f ca="1">VLOOKUP($L746,OFFSET([2]enemies!$A$1,0,0,COUNTA([2]enemies!$A:$A),MATCH(AA$1,[2]enemies!$1:$1,0)-MATCH($L$1,[2]enemies!$1:$1,0)+1),MATCH(AA$1,[2]enemies!$1:$1,0)-MATCH($L$1,[2]enemies!$1:$1,0)+1,FALSE)</f>
        <v>2</v>
      </c>
      <c r="AB746" s="52">
        <v>9</v>
      </c>
      <c r="AC746" s="4" t="str">
        <f ca="1">VLOOKUP($AB746,OFFSET([3]characters!$A$1,0,0,COUNTA([3]characters!$A:$A),MATCH(AC$1,[3]characters!$1:$1,0)-MATCH("character_id",[3]characters!$1:$1,0)+1),MATCH(AC$1,[3]characters!$1:$1,0)-MATCH("character_id",[3]characters!$1:$1,0)+1,FALSE)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746" s="4">
        <f ca="1">VLOOKUP($AB746,OFFSET([3]characters!$A$1,0,0,COUNTA([3]characters!$A:$A),MATCH(AD$1,[3]characters!$1:$1,0)-MATCH("character_id",[3]characters!$1:$1,0)+1),MATCH(AD$1,[3]characters!$1:$1,0)-MATCH("character_id",[3]characters!$1:$1,0)+1,FALSE)</f>
        <v>1</v>
      </c>
      <c r="AE746" s="4" t="str">
        <f ca="1">VLOOKUP($AB746,OFFSET([3]characters!$A$1,0,0,COUNTA([3]characters!$A:$A),MATCH(AE$1,[3]characters!$1:$1,0)-MATCH("character_id",[3]characters!$1:$1,0)+1),MATCH(AE$1,[3]characters!$1:$1,0)-MATCH("character_id",[3]characters!$1:$1,0)+1,FALSE)</f>
        <v>Drop1W</v>
      </c>
      <c r="AF746" s="7">
        <v>9</v>
      </c>
      <c r="AG746" s="26">
        <f t="shared" ca="1" si="702"/>
        <v>1</v>
      </c>
      <c r="AH746" s="8">
        <v>20</v>
      </c>
      <c r="AI746" s="7">
        <v>0</v>
      </c>
      <c r="AJ746" s="7">
        <v>0</v>
      </c>
      <c r="AK746" s="7">
        <v>0</v>
      </c>
      <c r="AL746" s="7">
        <v>0</v>
      </c>
      <c r="AM746" s="7">
        <v>1</v>
      </c>
    </row>
    <row r="747" spans="1:39" ht="14" x14ac:dyDescent="0.15">
      <c r="A747" s="18" t="str">
        <f t="shared" ca="1" si="714"/>
        <v>26_2-4/11&lt;lv52&gt;s3</v>
      </c>
      <c r="B747" s="50">
        <v>26</v>
      </c>
      <c r="C747" s="49">
        <v>2</v>
      </c>
      <c r="D747" s="2" t="str">
        <f t="shared" si="706"/>
        <v>26_2</v>
      </c>
      <c r="E747" s="2" t="str">
        <f t="shared" si="706"/>
        <v>2_26_2</v>
      </c>
      <c r="F747" s="4" t="str">
        <f ca="1">VLOOKUP($D747,OFFSET([1]stages!$A$1,0,0,COUNTA([1]stages!$A:$A),MATCH(F$1,[1]stages!$2:$2,0)-MATCH($D$1,[1]stages!$2:$2,0)+1),MATCH(F$1,[1]stages!$2:$2,0)-MATCH($D$1,[1]stages!$2:$2,0)+1,FALSE)</f>
        <v>26-2．フロアジャック</v>
      </c>
      <c r="G747" s="56">
        <v>4</v>
      </c>
      <c r="H747" s="17" t="str">
        <f t="shared" si="707"/>
        <v>26_2-4</v>
      </c>
      <c r="I747" s="17"/>
      <c r="J747" s="17"/>
      <c r="K747" s="65" t="s">
        <v>56</v>
      </c>
      <c r="L747" s="52">
        <v>11</v>
      </c>
      <c r="M747" s="21" t="str">
        <f ca="1">VLOOKUP($L747,OFFSET([2]enemies!$A$1,0,0,COUNTA([2]enemies!$A:$A),MATCH(M$1,[2]enemies!$1:$1,0)-MATCH($L$1,[2]enemies!$1:$1,0)+1),MATCH(M$1,[2]enemies!$1:$1,0)-MATCH($L$1,[2]enemies!$1:$1,0)+1,FALSE)</f>
        <v>マグリット</v>
      </c>
      <c r="N747" s="21" t="str">
        <f ca="1">VLOOKUP($L747,OFFSET([2]enemies!$A$1,0,0,COUNTA([2]enemies!$A:$A),MATCH(N$1,[2]enemies!$1:$1,0)-MATCH($L$1,[2]enemies!$1:$1,0)+1),MATCH(N$1,[2]enemies!$1:$1,0)-MATCH($L$1,[2]enemies!$1:$1,0)+1,FALSE)</f>
        <v>green</v>
      </c>
      <c r="O747" s="21" t="str">
        <f ca="1">VLOOKUP($L747,OFFSET([3]characters!$A$1,0,0,COUNTA([3]characters!$A:$A),MATCH(O$1,[3]characters!$1:$1,0)-MATCH($L$1,[3]characters!$1:$1,0)+1),MATCH(O$1,[3]characters!$1:$1,0)-MATCH($L$1,[3]characters!$1:$1,0)+1,FALSE)</f>
        <v>Drop1W</v>
      </c>
      <c r="P747" s="21" t="str">
        <f ca="1">VLOOKUP($L747,OFFSET([2]enemies!$A$1,0,0,COUNTA([2]enemies!$A:$A),MATCH(P$1,[2]enemies!$1:$1,0)-MATCH($L$1,[2]enemies!$1:$1,0)+1),MATCH(P$1,[2]enemies!$1:$1,0)-MATCH($L$1,[2]enemies!$1:$1,0)+1,FALSE)</f>
        <v>animal</v>
      </c>
      <c r="Q747" s="21">
        <f ca="1">VLOOKUP($L747,OFFSET([2]enemies!$A$1,0,0,COUNTA([2]enemies!$A:$A),MATCH(Q$1,[2]enemies!$1:$1,0)-MATCH($L$1,[2]enemies!$1:$1,0)+1),MATCH(Q$1,[2]enemies!$1:$1,0)-MATCH($L$1,[2]enemies!$1:$1,0)+1,FALSE)</f>
        <v>15</v>
      </c>
      <c r="R747" s="53">
        <v>52</v>
      </c>
      <c r="S747" s="27">
        <v>1</v>
      </c>
      <c r="T747" s="27">
        <v>1</v>
      </c>
      <c r="U747" s="5">
        <v>0</v>
      </c>
      <c r="V747" s="4" t="str">
        <f ca="1">VLOOKUP($W747,OFFSET([4]enemy_skill_sets!$B$1,0,0,COUNTA([4]enemy_skill_sets!$B:$B),MATCH(M$1,[4]enemy_skill_sets!$1:$1,0)-MATCH($W$1,[4]enemy_skill_sets!$1:$1,0)+2),MATCH(M$1,[4]enemy_skill_sets!$1:$1,0)-MATCH($W$1,[4]enemy_skill_sets!$1:$1,0)+2,FALSE)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47" s="4">
        <f ca="1">VLOOKUP($L747,OFFSET([2]enemies!$A$1,0,0,COUNTA([2]enemies!$A:$A),MATCH(W$1,[2]enemies!$1:$1,0)-MATCH($L$1,[2]enemies!$1:$1,0)+1),MATCH(W$1,[2]enemies!$1:$1,0)-MATCH($L$1,[2]enemies!$1:$1,0)+1,FALSE)</f>
        <v>0</v>
      </c>
      <c r="X747" s="6">
        <v>0</v>
      </c>
      <c r="Y747" s="6">
        <v>100</v>
      </c>
      <c r="Z747" s="6">
        <v>0</v>
      </c>
      <c r="AA747" s="4">
        <f ca="1">VLOOKUP($L747,OFFSET([2]enemies!$A$1,0,0,COUNTA([2]enemies!$A:$A),MATCH(AA$1,[2]enemies!$1:$1,0)-MATCH($L$1,[2]enemies!$1:$1,0)+1),MATCH(AA$1,[2]enemies!$1:$1,0)-MATCH($L$1,[2]enemies!$1:$1,0)+1,FALSE)</f>
        <v>3</v>
      </c>
      <c r="AB747" s="52">
        <v>11</v>
      </c>
      <c r="AC747" s="4" t="str">
        <f ca="1">VLOOKUP($AB747,OFFSET([3]characters!$A$1,0,0,COUNTA([3]characters!$A:$A),MATCH(AC$1,[3]characters!$1:$1,0)-MATCH("character_id",[3]characters!$1:$1,0)+1),MATCH(AC$1,[3]characters!$1:$1,0)-MATCH("character_id",[3]characters!$1:$1,0)+1,FALSE)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747" s="4">
        <f ca="1">VLOOKUP($AB747,OFFSET([3]characters!$A$1,0,0,COUNTA([3]characters!$A:$A),MATCH(AD$1,[3]characters!$1:$1,0)-MATCH("character_id",[3]characters!$1:$1,0)+1),MATCH(AD$1,[3]characters!$1:$1,0)-MATCH("character_id",[3]characters!$1:$1,0)+1,FALSE)</f>
        <v>1</v>
      </c>
      <c r="AE747" s="4" t="str">
        <f ca="1">VLOOKUP($AB747,OFFSET([3]characters!$A$1,0,0,COUNTA([3]characters!$A:$A),MATCH(AE$1,[3]characters!$1:$1,0)-MATCH("character_id",[3]characters!$1:$1,0)+1),MATCH(AE$1,[3]characters!$1:$1,0)-MATCH("character_id",[3]characters!$1:$1,0)+1,FALSE)</f>
        <v>Drop1W</v>
      </c>
      <c r="AF747" s="7">
        <v>9</v>
      </c>
      <c r="AG747" s="26">
        <f t="shared" ca="1" si="702"/>
        <v>1</v>
      </c>
      <c r="AH747" s="8">
        <v>20</v>
      </c>
      <c r="AI747" s="7">
        <v>0</v>
      </c>
      <c r="AJ747" s="7">
        <v>0</v>
      </c>
      <c r="AK747" s="7">
        <v>0</v>
      </c>
      <c r="AL747" s="7">
        <v>0</v>
      </c>
      <c r="AM747" s="7">
        <v>1</v>
      </c>
    </row>
    <row r="748" spans="1:39" ht="14" x14ac:dyDescent="0.15">
      <c r="A748" s="18" t="str">
        <f t="shared" ca="1" si="714"/>
        <v>26_2-4/13&lt;lv52&gt;s2</v>
      </c>
      <c r="B748" s="50">
        <v>26</v>
      </c>
      <c r="C748" s="49">
        <v>2</v>
      </c>
      <c r="D748" s="2" t="str">
        <f t="shared" si="706"/>
        <v>26_2</v>
      </c>
      <c r="E748" s="2" t="str">
        <f t="shared" si="706"/>
        <v>2_26_2</v>
      </c>
      <c r="F748" s="4" t="str">
        <f ca="1">VLOOKUP($D748,OFFSET([1]stages!$A$1,0,0,COUNTA([1]stages!$A:$A),MATCH(F$1,[1]stages!$2:$2,0)-MATCH($D$1,[1]stages!$2:$2,0)+1),MATCH(F$1,[1]stages!$2:$2,0)-MATCH($D$1,[1]stages!$2:$2,0)+1,FALSE)</f>
        <v>26-2．フロアジャック</v>
      </c>
      <c r="G748" s="56">
        <v>4</v>
      </c>
      <c r="H748" s="17" t="str">
        <f t="shared" si="707"/>
        <v>26_2-4</v>
      </c>
      <c r="I748" s="17"/>
      <c r="J748" s="17"/>
      <c r="K748" s="65" t="s">
        <v>56</v>
      </c>
      <c r="L748" s="52">
        <v>13</v>
      </c>
      <c r="M748" s="21" t="str">
        <f ca="1">VLOOKUP($L748,OFFSET([2]enemies!$A$1,0,0,COUNTA([2]enemies!$A:$A),MATCH(M$1,[2]enemies!$1:$1,0)-MATCH($L$1,[2]enemies!$1:$1,0)+1),MATCH(M$1,[2]enemies!$1:$1,0)-MATCH($L$1,[2]enemies!$1:$1,0)+1,FALSE)</f>
        <v>ミミ</v>
      </c>
      <c r="N748" s="21" t="str">
        <f ca="1">VLOOKUP($L748,OFFSET([2]enemies!$A$1,0,0,COUNTA([2]enemies!$A:$A),MATCH(N$1,[2]enemies!$1:$1,0)-MATCH($L$1,[2]enemies!$1:$1,0)+1),MATCH(N$1,[2]enemies!$1:$1,0)-MATCH($L$1,[2]enemies!$1:$1,0)+1,FALSE)</f>
        <v>yellow</v>
      </c>
      <c r="O748" s="21" t="str">
        <f ca="1">VLOOKUP($L748,OFFSET([3]characters!$A$1,0,0,COUNTA([3]characters!$A:$A),MATCH(O$1,[3]characters!$1:$1,0)-MATCH($L$1,[3]characters!$1:$1,0)+1),MATCH(O$1,[3]characters!$1:$1,0)-MATCH($L$1,[3]characters!$1:$1,0)+1,FALSE)</f>
        <v>Drop1W</v>
      </c>
      <c r="P748" s="21" t="str">
        <f ca="1">VLOOKUP($L748,OFFSET([2]enemies!$A$1,0,0,COUNTA([2]enemies!$A:$A),MATCH(P$1,[2]enemies!$1:$1,0)-MATCH($L$1,[2]enemies!$1:$1,0)+1),MATCH(P$1,[2]enemies!$1:$1,0)-MATCH($L$1,[2]enemies!$1:$1,0)+1,FALSE)</f>
        <v>animal</v>
      </c>
      <c r="Q748" s="21">
        <f ca="1">VLOOKUP($L748,OFFSET([2]enemies!$A$1,0,0,COUNTA([2]enemies!$A:$A),MATCH(Q$1,[2]enemies!$1:$1,0)-MATCH($L$1,[2]enemies!$1:$1,0)+1),MATCH(Q$1,[2]enemies!$1:$1,0)-MATCH($L$1,[2]enemies!$1:$1,0)+1,FALSE)</f>
        <v>15</v>
      </c>
      <c r="R748" s="53">
        <v>52</v>
      </c>
      <c r="S748" s="27">
        <v>1</v>
      </c>
      <c r="T748" s="27">
        <v>1</v>
      </c>
      <c r="U748" s="5">
        <v>0</v>
      </c>
      <c r="V748" s="4" t="str">
        <f ca="1">VLOOKUP($W748,OFFSET([4]enemy_skill_sets!$B$1,0,0,COUNTA([4]enemy_skill_sets!$B:$B),MATCH(M$1,[4]enemy_skill_sets!$1:$1,0)-MATCH($W$1,[4]enemy_skill_sets!$1:$1,0)+2),MATCH(M$1,[4]enemy_skill_sets!$1:$1,0)-MATCH($W$1,[4]enemy_skill_sets!$1:$1,0)+2,FALSE)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48" s="4">
        <f ca="1">VLOOKUP($L748,OFFSET([2]enemies!$A$1,0,0,COUNTA([2]enemies!$A:$A),MATCH(W$1,[2]enemies!$1:$1,0)-MATCH($L$1,[2]enemies!$1:$1,0)+1),MATCH(W$1,[2]enemies!$1:$1,0)-MATCH($L$1,[2]enemies!$1:$1,0)+1,FALSE)</f>
        <v>0</v>
      </c>
      <c r="X748" s="6">
        <v>0</v>
      </c>
      <c r="Y748" s="6">
        <v>100</v>
      </c>
      <c r="Z748" s="6">
        <v>0</v>
      </c>
      <c r="AA748" s="4">
        <f ca="1">VLOOKUP($L748,OFFSET([2]enemies!$A$1,0,0,COUNTA([2]enemies!$A:$A),MATCH(AA$1,[2]enemies!$1:$1,0)-MATCH($L$1,[2]enemies!$1:$1,0)+1),MATCH(AA$1,[2]enemies!$1:$1,0)-MATCH($L$1,[2]enemies!$1:$1,0)+1,FALSE)</f>
        <v>2</v>
      </c>
      <c r="AB748" s="52">
        <v>13</v>
      </c>
      <c r="AC748" s="4" t="str">
        <f ca="1">VLOOKUP($AB748,OFFSET([3]characters!$A$1,0,0,COUNTA([3]characters!$A:$A),MATCH(AC$1,[3]characters!$1:$1,0)-MATCH("character_id",[3]characters!$1:$1,0)+1),MATCH(AC$1,[3]characters!$1:$1,0)-MATCH("character_id",[3]characters!$1:$1,0)+1,FALSE)</f>
        <v>ミミ</v>
      </c>
      <c r="AD748" s="4">
        <f ca="1">VLOOKUP($AB748,OFFSET([3]characters!$A$1,0,0,COUNTA([3]characters!$A:$A),MATCH(AD$1,[3]characters!$1:$1,0)-MATCH("character_id",[3]characters!$1:$1,0)+1),MATCH(AD$1,[3]characters!$1:$1,0)-MATCH("character_id",[3]characters!$1:$1,0)+1,FALSE)</f>
        <v>1</v>
      </c>
      <c r="AE748" s="4" t="str">
        <f ca="1">VLOOKUP($AB748,OFFSET([3]characters!$A$1,0,0,COUNTA([3]characters!$A:$A),MATCH(AE$1,[3]characters!$1:$1,0)-MATCH("character_id",[3]characters!$1:$1,0)+1),MATCH(AE$1,[3]characters!$1:$1,0)-MATCH("character_id",[3]characters!$1:$1,0)+1,FALSE)</f>
        <v>Drop1W</v>
      </c>
      <c r="AF748" s="7">
        <v>9</v>
      </c>
      <c r="AG748" s="26">
        <f t="shared" ca="1" si="702"/>
        <v>1</v>
      </c>
      <c r="AH748" s="8">
        <v>20</v>
      </c>
      <c r="AI748" s="7">
        <v>0</v>
      </c>
      <c r="AJ748" s="7">
        <v>0</v>
      </c>
      <c r="AK748" s="7">
        <v>0</v>
      </c>
      <c r="AL748" s="7">
        <v>0</v>
      </c>
      <c r="AM748" s="7">
        <v>1</v>
      </c>
    </row>
    <row r="749" spans="1:39" ht="14" x14ac:dyDescent="0.15">
      <c r="A749" s="18" t="str">
        <f t="shared" ca="1" si="714"/>
        <v>26_2-4/23&lt;lv52&gt;s4</v>
      </c>
      <c r="B749" s="50">
        <v>26</v>
      </c>
      <c r="C749" s="49">
        <v>2</v>
      </c>
      <c r="D749" s="2" t="str">
        <f t="shared" si="706"/>
        <v>26_2</v>
      </c>
      <c r="E749" s="2" t="str">
        <f t="shared" si="706"/>
        <v>2_26_2</v>
      </c>
      <c r="F749" s="4" t="str">
        <f ca="1">VLOOKUP($D749,OFFSET([1]stages!$A$1,0,0,COUNTA([1]stages!$A:$A),MATCH(F$1,[1]stages!$2:$2,0)-MATCH($D$1,[1]stages!$2:$2,0)+1),MATCH(F$1,[1]stages!$2:$2,0)-MATCH($D$1,[1]stages!$2:$2,0)+1,FALSE)</f>
        <v>26-2．フロアジャック</v>
      </c>
      <c r="G749" s="56">
        <v>4</v>
      </c>
      <c r="H749" s="17" t="str">
        <f t="shared" si="707"/>
        <v>26_2-4</v>
      </c>
      <c r="I749" s="17"/>
      <c r="J749" s="17"/>
      <c r="K749" s="65" t="s">
        <v>56</v>
      </c>
      <c r="L749" s="52">
        <v>23</v>
      </c>
      <c r="M749" s="21" t="str">
        <f ca="1">VLOOKUP($L749,OFFSET([2]enemies!$A$1,0,0,COUNTA([2]enemies!$A:$A),MATCH(M$1,[2]enemies!$1:$1,0)-MATCH($L$1,[2]enemies!$1:$1,0)+1),MATCH(M$1,[2]enemies!$1:$1,0)-MATCH($L$1,[2]enemies!$1:$1,0)+1,FALSE)</f>
        <v>ミール</v>
      </c>
      <c r="N749" s="21" t="str">
        <f ca="1">VLOOKUP($L749,OFFSET([2]enemies!$A$1,0,0,COUNTA([2]enemies!$A:$A),MATCH(N$1,[2]enemies!$1:$1,0)-MATCH($L$1,[2]enemies!$1:$1,0)+1),MATCH(N$1,[2]enemies!$1:$1,0)-MATCH($L$1,[2]enemies!$1:$1,0)+1,FALSE)</f>
        <v>green</v>
      </c>
      <c r="O749" s="21" t="str">
        <f ca="1">VLOOKUP($L749,OFFSET([3]characters!$A$1,0,0,COUNTA([3]characters!$A:$A),MATCH(O$1,[3]characters!$1:$1,0)-MATCH($L$1,[3]characters!$1:$1,0)+1),MATCH(O$1,[3]characters!$1:$1,0)-MATCH($L$1,[3]characters!$1:$1,0)+1,FALSE)</f>
        <v>Drop1N</v>
      </c>
      <c r="P749" s="21" t="str">
        <f ca="1">VLOOKUP($L749,OFFSET([2]enemies!$A$1,0,0,COUNTA([2]enemies!$A:$A),MATCH(P$1,[2]enemies!$1:$1,0)-MATCH($L$1,[2]enemies!$1:$1,0)+1),MATCH(P$1,[2]enemies!$1:$1,0)-MATCH($L$1,[2]enemies!$1:$1,0)+1,FALSE)</f>
        <v>animal</v>
      </c>
      <c r="Q749" s="21">
        <f ca="1">VLOOKUP($L749,OFFSET([2]enemies!$A$1,0,0,COUNTA([2]enemies!$A:$A),MATCH(Q$1,[2]enemies!$1:$1,0)-MATCH($L$1,[2]enemies!$1:$1,0)+1),MATCH(Q$1,[2]enemies!$1:$1,0)-MATCH($L$1,[2]enemies!$1:$1,0)+1,FALSE)</f>
        <v>15</v>
      </c>
      <c r="R749" s="53">
        <v>52</v>
      </c>
      <c r="S749" s="27">
        <v>1</v>
      </c>
      <c r="T749" s="27">
        <v>1</v>
      </c>
      <c r="U749" s="5">
        <v>0</v>
      </c>
      <c r="V749" s="4" t="str">
        <f ca="1">VLOOKUP($W749,OFFSET([4]enemy_skill_sets!$B$1,0,0,COUNTA([4]enemy_skill_sets!$B:$B),MATCH(M$1,[4]enemy_skill_sets!$1:$1,0)-MATCH($W$1,[4]enemy_skill_sets!$1:$1,0)+2),MATCH(M$1,[4]enemy_skill_sets!$1:$1,0)-MATCH($W$1,[4]enemy_skill_sets!$1:$1,0)+2,FALSE)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49" s="4">
        <f ca="1">VLOOKUP($L749,OFFSET([2]enemies!$A$1,0,0,COUNTA([2]enemies!$A:$A),MATCH(W$1,[2]enemies!$1:$1,0)-MATCH($L$1,[2]enemies!$1:$1,0)+1),MATCH(W$1,[2]enemies!$1:$1,0)-MATCH($L$1,[2]enemies!$1:$1,0)+1,FALSE)</f>
        <v>0</v>
      </c>
      <c r="X749" s="6">
        <v>0</v>
      </c>
      <c r="Y749" s="6">
        <v>100</v>
      </c>
      <c r="Z749" s="6">
        <v>0</v>
      </c>
      <c r="AA749" s="4">
        <f ca="1">VLOOKUP($L749,OFFSET([2]enemies!$A$1,0,0,COUNTA([2]enemies!$A:$A),MATCH(AA$1,[2]enemies!$1:$1,0)-MATCH($L$1,[2]enemies!$1:$1,0)+1),MATCH(AA$1,[2]enemies!$1:$1,0)-MATCH($L$1,[2]enemies!$1:$1,0)+1,FALSE)</f>
        <v>4</v>
      </c>
      <c r="AB749" s="52">
        <v>23</v>
      </c>
      <c r="AC749" s="4" t="str">
        <f ca="1">VLOOKUP($AB749,OFFSET([3]characters!$A$1,0,0,COUNTA([3]characters!$A:$A),MATCH(AC$1,[3]characters!$1:$1,0)-MATCH("character_id",[3]characters!$1:$1,0)+1),MATCH(AC$1,[3]characters!$1:$1,0)-MATCH("character_id",[3]characters!$1:$1,0)+1,FALSE)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749" s="4">
        <f ca="1">VLOOKUP($AB749,OFFSET([3]characters!$A$1,0,0,COUNTA([3]characters!$A:$A),MATCH(AD$1,[3]characters!$1:$1,0)-MATCH("character_id",[3]characters!$1:$1,0)+1),MATCH(AD$1,[3]characters!$1:$1,0)-MATCH("character_id",[3]characters!$1:$1,0)+1,FALSE)</f>
        <v>1</v>
      </c>
      <c r="AE749" s="4" t="str">
        <f ca="1">VLOOKUP($AB749,OFFSET([3]characters!$A$1,0,0,COUNTA([3]characters!$A:$A),MATCH(AE$1,[3]characters!$1:$1,0)-MATCH("character_id",[3]characters!$1:$1,0)+1),MATCH(AE$1,[3]characters!$1:$1,0)-MATCH("character_id",[3]characters!$1:$1,0)+1,FALSE)</f>
        <v>Drop1N</v>
      </c>
      <c r="AF749" s="7">
        <v>7</v>
      </c>
      <c r="AG749" s="26">
        <f t="shared" ca="1" si="702"/>
        <v>1</v>
      </c>
      <c r="AH749" s="8">
        <v>20</v>
      </c>
      <c r="AI749" s="7">
        <v>0</v>
      </c>
      <c r="AJ749" s="7">
        <v>0</v>
      </c>
      <c r="AK749" s="7">
        <v>0</v>
      </c>
      <c r="AL749" s="7">
        <v>0</v>
      </c>
      <c r="AM749" s="7">
        <v>1</v>
      </c>
    </row>
    <row r="750" spans="1:39" ht="14" x14ac:dyDescent="0.15">
      <c r="A750" s="18" t="str">
        <f t="shared" ca="1" si="714"/>
        <v>26_2-4/25&lt;lv52&gt;s3</v>
      </c>
      <c r="B750" s="50">
        <v>26</v>
      </c>
      <c r="C750" s="49">
        <v>2</v>
      </c>
      <c r="D750" s="2" t="str">
        <f t="shared" si="706"/>
        <v>26_2</v>
      </c>
      <c r="E750" s="2" t="str">
        <f t="shared" si="706"/>
        <v>2_26_2</v>
      </c>
      <c r="F750" s="4" t="str">
        <f ca="1">VLOOKUP($D750,OFFSET([1]stages!$A$1,0,0,COUNTA([1]stages!$A:$A),MATCH(F$1,[1]stages!$2:$2,0)-MATCH($D$1,[1]stages!$2:$2,0)+1),MATCH(F$1,[1]stages!$2:$2,0)-MATCH($D$1,[1]stages!$2:$2,0)+1,FALSE)</f>
        <v>26-2．フロアジャック</v>
      </c>
      <c r="G750" s="56">
        <v>4</v>
      </c>
      <c r="H750" s="17" t="str">
        <f t="shared" si="707"/>
        <v>26_2-4</v>
      </c>
      <c r="I750" s="17"/>
      <c r="J750" s="17"/>
      <c r="K750" s="65" t="s">
        <v>56</v>
      </c>
      <c r="L750" s="52">
        <v>25</v>
      </c>
      <c r="M750" s="21" t="str">
        <f ca="1">VLOOKUP($L750,OFFSET([2]enemies!$A$1,0,0,COUNTA([2]enemies!$A:$A),MATCH(M$1,[2]enemies!$1:$1,0)-MATCH($L$1,[2]enemies!$1:$1,0)+1),MATCH(M$1,[2]enemies!$1:$1,0)-MATCH($L$1,[2]enemies!$1:$1,0)+1,FALSE)</f>
        <v>ハチ</v>
      </c>
      <c r="N750" s="21" t="str">
        <f ca="1">VLOOKUP($L750,OFFSET([2]enemies!$A$1,0,0,COUNTA([2]enemies!$A:$A),MATCH(N$1,[2]enemies!$1:$1,0)-MATCH($L$1,[2]enemies!$1:$1,0)+1),MATCH(N$1,[2]enemies!$1:$1,0)-MATCH($L$1,[2]enemies!$1:$1,0)+1,FALSE)</f>
        <v>blue</v>
      </c>
      <c r="O750" s="21" t="str">
        <f ca="1">VLOOKUP($L750,OFFSET([3]characters!$A$1,0,0,COUNTA([3]characters!$A:$A),MATCH(O$1,[3]characters!$1:$1,0)-MATCH($L$1,[3]characters!$1:$1,0)+1),MATCH(O$1,[3]characters!$1:$1,0)-MATCH($L$1,[3]characters!$1:$1,0)+1,FALSE)</f>
        <v>Drop1N</v>
      </c>
      <c r="P750" s="21" t="str">
        <f ca="1">VLOOKUP($L750,OFFSET([2]enemies!$A$1,0,0,COUNTA([2]enemies!$A:$A),MATCH(P$1,[2]enemies!$1:$1,0)-MATCH($L$1,[2]enemies!$1:$1,0)+1),MATCH(P$1,[2]enemies!$1:$1,0)-MATCH($L$1,[2]enemies!$1:$1,0)+1,FALSE)</f>
        <v>animal</v>
      </c>
      <c r="Q750" s="21">
        <f ca="1">VLOOKUP($L750,OFFSET([2]enemies!$A$1,0,0,COUNTA([2]enemies!$A:$A),MATCH(Q$1,[2]enemies!$1:$1,0)-MATCH($L$1,[2]enemies!$1:$1,0)+1),MATCH(Q$1,[2]enemies!$1:$1,0)-MATCH($L$1,[2]enemies!$1:$1,0)+1,FALSE)</f>
        <v>15</v>
      </c>
      <c r="R750" s="53">
        <v>52</v>
      </c>
      <c r="S750" s="27">
        <v>1</v>
      </c>
      <c r="T750" s="27">
        <v>1</v>
      </c>
      <c r="U750" s="5">
        <v>0</v>
      </c>
      <c r="V750" s="4" t="str">
        <f ca="1">VLOOKUP($W750,OFFSET([4]enemy_skill_sets!$B$1,0,0,COUNTA([4]enemy_skill_sets!$B:$B),MATCH(M$1,[4]enemy_skill_sets!$1:$1,0)-MATCH($W$1,[4]enemy_skill_sets!$1:$1,0)+2),MATCH(M$1,[4]enemy_skill_sets!$1:$1,0)-MATCH($W$1,[4]enemy_skill_sets!$1:$1,0)+2,FALSE)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50" s="4">
        <f ca="1">VLOOKUP($L750,OFFSET([2]enemies!$A$1,0,0,COUNTA([2]enemies!$A:$A),MATCH(W$1,[2]enemies!$1:$1,0)-MATCH($L$1,[2]enemies!$1:$1,0)+1),MATCH(W$1,[2]enemies!$1:$1,0)-MATCH($L$1,[2]enemies!$1:$1,0)+1,FALSE)</f>
        <v>0</v>
      </c>
      <c r="X750" s="6">
        <v>0</v>
      </c>
      <c r="Y750" s="6">
        <v>100</v>
      </c>
      <c r="Z750" s="6">
        <v>0</v>
      </c>
      <c r="AA750" s="4">
        <f ca="1">VLOOKUP($L750,OFFSET([2]enemies!$A$1,0,0,COUNTA([2]enemies!$A:$A),MATCH(AA$1,[2]enemies!$1:$1,0)-MATCH($L$1,[2]enemies!$1:$1,0)+1),MATCH(AA$1,[2]enemies!$1:$1,0)-MATCH($L$1,[2]enemies!$1:$1,0)+1,FALSE)</f>
        <v>3</v>
      </c>
      <c r="AB750" s="52">
        <v>25</v>
      </c>
      <c r="AC750" s="4" t="str">
        <f ca="1">VLOOKUP($AB750,OFFSET([3]characters!$A$1,0,0,COUNTA([3]characters!$A:$A),MATCH(AC$1,[3]characters!$1:$1,0)-MATCH("character_id",[3]characters!$1:$1,0)+1),MATCH(AC$1,[3]characters!$1:$1,0)-MATCH("character_id",[3]characters!$1:$1,0)+1,FALSE)</f>
        <v>ハチ</v>
      </c>
      <c r="AD750" s="4">
        <f ca="1">VLOOKUP($AB750,OFFSET([3]characters!$A$1,0,0,COUNTA([3]characters!$A:$A),MATCH(AD$1,[3]characters!$1:$1,0)-MATCH("character_id",[3]characters!$1:$1,0)+1),MATCH(AD$1,[3]characters!$1:$1,0)-MATCH("character_id",[3]characters!$1:$1,0)+1,FALSE)</f>
        <v>1</v>
      </c>
      <c r="AE750" s="4" t="str">
        <f ca="1">VLOOKUP($AB750,OFFSET([3]characters!$A$1,0,0,COUNTA([3]characters!$A:$A),MATCH(AE$1,[3]characters!$1:$1,0)-MATCH("character_id",[3]characters!$1:$1,0)+1),MATCH(AE$1,[3]characters!$1:$1,0)-MATCH("character_id",[3]characters!$1:$1,0)+1,FALSE)</f>
        <v>Drop1N</v>
      </c>
      <c r="AF750" s="7">
        <v>7</v>
      </c>
      <c r="AG750" s="26">
        <f t="shared" ca="1" si="702"/>
        <v>1</v>
      </c>
      <c r="AH750" s="8">
        <v>20</v>
      </c>
      <c r="AI750" s="7">
        <v>0</v>
      </c>
      <c r="AJ750" s="7">
        <v>0</v>
      </c>
      <c r="AK750" s="7">
        <v>0</v>
      </c>
      <c r="AL750" s="7">
        <v>0</v>
      </c>
      <c r="AM750" s="7">
        <v>1</v>
      </c>
    </row>
    <row r="751" spans="1:39" ht="14" x14ac:dyDescent="0.15">
      <c r="A751" s="18" t="str">
        <f t="shared" ca="1" si="714"/>
        <v>26_2-4/33&lt;lv52&gt;s2</v>
      </c>
      <c r="B751" s="50">
        <v>26</v>
      </c>
      <c r="C751" s="49">
        <v>2</v>
      </c>
      <c r="D751" s="2" t="str">
        <f t="shared" si="706"/>
        <v>26_2</v>
      </c>
      <c r="E751" s="2" t="str">
        <f t="shared" si="706"/>
        <v>2_26_2</v>
      </c>
      <c r="F751" s="4" t="str">
        <f ca="1">VLOOKUP($D751,OFFSET([1]stages!$A$1,0,0,COUNTA([1]stages!$A:$A),MATCH(F$1,[1]stages!$2:$2,0)-MATCH($D$1,[1]stages!$2:$2,0)+1),MATCH(F$1,[1]stages!$2:$2,0)-MATCH($D$1,[1]stages!$2:$2,0)+1,FALSE)</f>
        <v>26-2．フロアジャック</v>
      </c>
      <c r="G751" s="56">
        <v>4</v>
      </c>
      <c r="H751" s="17" t="str">
        <f t="shared" si="707"/>
        <v>26_2-4</v>
      </c>
      <c r="I751" s="17"/>
      <c r="J751" s="17"/>
      <c r="K751" s="65" t="s">
        <v>56</v>
      </c>
      <c r="L751" s="52">
        <v>33</v>
      </c>
      <c r="M751" s="21" t="str">
        <f ca="1">VLOOKUP($L751,OFFSET([2]enemies!$A$1,0,0,COUNTA([2]enemies!$A:$A),MATCH(M$1,[2]enemies!$1:$1,0)-MATCH($L$1,[2]enemies!$1:$1,0)+1),MATCH(M$1,[2]enemies!$1:$1,0)-MATCH($L$1,[2]enemies!$1:$1,0)+1,FALSE)</f>
        <v>ゴクウ</v>
      </c>
      <c r="N751" s="21" t="str">
        <f ca="1">VLOOKUP($L751,OFFSET([2]enemies!$A$1,0,0,COUNTA([2]enemies!$A:$A),MATCH(N$1,[2]enemies!$1:$1,0)-MATCH($L$1,[2]enemies!$1:$1,0)+1),MATCH(N$1,[2]enemies!$1:$1,0)-MATCH($L$1,[2]enemies!$1:$1,0)+1,FALSE)</f>
        <v>red</v>
      </c>
      <c r="O751" s="21" t="str">
        <f ca="1">VLOOKUP($L751,OFFSET([3]characters!$A$1,0,0,COUNTA([3]characters!$A:$A),MATCH(O$1,[3]characters!$1:$1,0)-MATCH($L$1,[3]characters!$1:$1,0)+1),MATCH(O$1,[3]characters!$1:$1,0)-MATCH($L$1,[3]characters!$1:$1,0)+1,FALSE)</f>
        <v>Drop1S</v>
      </c>
      <c r="P751" s="21" t="str">
        <f ca="1">VLOOKUP($L751,OFFSET([2]enemies!$A$1,0,0,COUNTA([2]enemies!$A:$A),MATCH(P$1,[2]enemies!$1:$1,0)-MATCH($L$1,[2]enemies!$1:$1,0)+1),MATCH(P$1,[2]enemies!$1:$1,0)-MATCH($L$1,[2]enemies!$1:$1,0)+1,FALSE)</f>
        <v>animal</v>
      </c>
      <c r="Q751" s="21">
        <f ca="1">VLOOKUP($L751,OFFSET([2]enemies!$A$1,0,0,COUNTA([2]enemies!$A:$A),MATCH(Q$1,[2]enemies!$1:$1,0)-MATCH($L$1,[2]enemies!$1:$1,0)+1),MATCH(Q$1,[2]enemies!$1:$1,0)-MATCH($L$1,[2]enemies!$1:$1,0)+1,FALSE)</f>
        <v>15</v>
      </c>
      <c r="R751" s="53">
        <v>52</v>
      </c>
      <c r="S751" s="27">
        <v>1</v>
      </c>
      <c r="T751" s="27">
        <v>1</v>
      </c>
      <c r="U751" s="5">
        <v>0</v>
      </c>
      <c r="V751" s="4" t="str">
        <f ca="1">VLOOKUP($W751,OFFSET([4]enemy_skill_sets!$B$1,0,0,COUNTA([4]enemy_skill_sets!$B:$B),MATCH(M$1,[4]enemy_skill_sets!$1:$1,0)-MATCH($W$1,[4]enemy_skill_sets!$1:$1,0)+2),MATCH(M$1,[4]enemy_skill_sets!$1:$1,0)-MATCH($W$1,[4]enemy_skill_sets!$1:$1,0)+2,FALSE)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751" s="4">
        <f ca="1">VLOOKUP($L751,OFFSET([2]enemies!$A$1,0,0,COUNTA([2]enemies!$A:$A),MATCH(W$1,[2]enemies!$1:$1,0)-MATCH($L$1,[2]enemies!$1:$1,0)+1),MATCH(W$1,[2]enemies!$1:$1,0)-MATCH($L$1,[2]enemies!$1:$1,0)+1,FALSE)</f>
        <v>33</v>
      </c>
      <c r="X751" s="6">
        <v>0</v>
      </c>
      <c r="Y751" s="6">
        <v>100</v>
      </c>
      <c r="Z751" s="6">
        <v>0</v>
      </c>
      <c r="AA751" s="4">
        <f ca="1">VLOOKUP($L751,OFFSET([2]enemies!$A$1,0,0,COUNTA([2]enemies!$A:$A),MATCH(AA$1,[2]enemies!$1:$1,0)-MATCH($L$1,[2]enemies!$1:$1,0)+1),MATCH(AA$1,[2]enemies!$1:$1,0)-MATCH($L$1,[2]enemies!$1:$1,0)+1,FALSE)</f>
        <v>2</v>
      </c>
      <c r="AB751" s="52">
        <v>33</v>
      </c>
      <c r="AC751" s="4" t="str">
        <f ca="1">VLOOKUP($AB751,OFFSET([3]characters!$A$1,0,0,COUNTA([3]characters!$A:$A),MATCH(AC$1,[3]characters!$1:$1,0)-MATCH("character_id",[3]characters!$1:$1,0)+1),MATCH(AC$1,[3]characters!$1:$1,0)-MATCH("character_id",[3]characters!$1:$1,0)+1,FALSE)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751" s="4">
        <f ca="1">VLOOKUP($AB751,OFFSET([3]characters!$A$1,0,0,COUNTA([3]characters!$A:$A),MATCH(AD$1,[3]characters!$1:$1,0)-MATCH("character_id",[3]characters!$1:$1,0)+1),MATCH(AD$1,[3]characters!$1:$1,0)-MATCH("character_id",[3]characters!$1:$1,0)+1,FALSE)</f>
        <v>2</v>
      </c>
      <c r="AE751" s="4" t="str">
        <f ca="1">VLOOKUP($AB751,OFFSET([3]characters!$A$1,0,0,COUNTA([3]characters!$A:$A),MATCH(AE$1,[3]characters!$1:$1,0)-MATCH("character_id",[3]characters!$1:$1,0)+1),MATCH(AE$1,[3]characters!$1:$1,0)-MATCH("character_id",[3]characters!$1:$1,0)+1,FALSE)</f>
        <v>Drop1S</v>
      </c>
      <c r="AF751" s="7">
        <v>5</v>
      </c>
      <c r="AG751" s="26">
        <f t="shared" ca="1" si="702"/>
        <v>2</v>
      </c>
      <c r="AH751" s="8">
        <v>20</v>
      </c>
      <c r="AI751" s="7">
        <v>0</v>
      </c>
      <c r="AJ751" s="7">
        <v>0</v>
      </c>
      <c r="AK751" s="7">
        <v>0</v>
      </c>
      <c r="AL751" s="7">
        <v>0</v>
      </c>
      <c r="AM751" s="7">
        <v>1</v>
      </c>
    </row>
    <row r="752" spans="1:39" ht="14" x14ac:dyDescent="0.15">
      <c r="A752" s="18" t="str">
        <f t="shared" ca="1" si="714"/>
        <v>26_2-4/37&lt;lv52&gt;s3</v>
      </c>
      <c r="B752" s="50">
        <v>26</v>
      </c>
      <c r="C752" s="49">
        <v>2</v>
      </c>
      <c r="D752" s="2" t="str">
        <f t="shared" si="706"/>
        <v>26_2</v>
      </c>
      <c r="E752" s="2" t="str">
        <f t="shared" si="706"/>
        <v>2_26_2</v>
      </c>
      <c r="F752" s="4" t="str">
        <f ca="1">VLOOKUP($D752,OFFSET([1]stages!$A$1,0,0,COUNTA([1]stages!$A:$A),MATCH(F$1,[1]stages!$2:$2,0)-MATCH($D$1,[1]stages!$2:$2,0)+1),MATCH(F$1,[1]stages!$2:$2,0)-MATCH($D$1,[1]stages!$2:$2,0)+1,FALSE)</f>
        <v>26-2．フロアジャック</v>
      </c>
      <c r="G752" s="56">
        <v>4</v>
      </c>
      <c r="H752" s="17" t="str">
        <f t="shared" si="707"/>
        <v>26_2-4</v>
      </c>
      <c r="I752" s="17"/>
      <c r="J752" s="17"/>
      <c r="K752" s="65" t="s">
        <v>56</v>
      </c>
      <c r="L752" s="52">
        <v>37</v>
      </c>
      <c r="M752" s="21" t="str">
        <f ca="1">VLOOKUP($L752,OFFSET([2]enemies!$A$1,0,0,COUNTA([2]enemies!$A:$A),MATCH(M$1,[2]enemies!$1:$1,0)-MATCH($L$1,[2]enemies!$1:$1,0)+1),MATCH(M$1,[2]enemies!$1:$1,0)-MATCH($L$1,[2]enemies!$1:$1,0)+1,FALSE)</f>
        <v>ガイル</v>
      </c>
      <c r="N752" s="21" t="str">
        <f ca="1">VLOOKUP($L752,OFFSET([2]enemies!$A$1,0,0,COUNTA([2]enemies!$A:$A),MATCH(N$1,[2]enemies!$1:$1,0)-MATCH($L$1,[2]enemies!$1:$1,0)+1),MATCH(N$1,[2]enemies!$1:$1,0)-MATCH($L$1,[2]enemies!$1:$1,0)+1,FALSE)</f>
        <v>blue</v>
      </c>
      <c r="O752" s="21" t="str">
        <f ca="1">VLOOKUP($L752,OFFSET([3]characters!$A$1,0,0,COUNTA([3]characters!$A:$A),MATCH(O$1,[3]characters!$1:$1,0)-MATCH($L$1,[3]characters!$1:$1,0)+1),MATCH(O$1,[3]characters!$1:$1,0)-MATCH($L$1,[3]characters!$1:$1,0)+1,FALSE)</f>
        <v>Drop1S</v>
      </c>
      <c r="P752" s="21" t="str">
        <f ca="1">VLOOKUP($L752,OFFSET([2]enemies!$A$1,0,0,COUNTA([2]enemies!$A:$A),MATCH(P$1,[2]enemies!$1:$1,0)-MATCH($L$1,[2]enemies!$1:$1,0)+1),MATCH(P$1,[2]enemies!$1:$1,0)-MATCH($L$1,[2]enemies!$1:$1,0)+1,FALSE)</f>
        <v>animal</v>
      </c>
      <c r="Q752" s="21">
        <f ca="1">VLOOKUP($L752,OFFSET([2]enemies!$A$1,0,0,COUNTA([2]enemies!$A:$A),MATCH(Q$1,[2]enemies!$1:$1,0)-MATCH($L$1,[2]enemies!$1:$1,0)+1),MATCH(Q$1,[2]enemies!$1:$1,0)-MATCH($L$1,[2]enemies!$1:$1,0)+1,FALSE)</f>
        <v>15</v>
      </c>
      <c r="R752" s="53">
        <v>52</v>
      </c>
      <c r="S752" s="27">
        <v>1</v>
      </c>
      <c r="T752" s="27">
        <v>1</v>
      </c>
      <c r="U752" s="5">
        <v>0</v>
      </c>
      <c r="V752" s="4" t="str">
        <f ca="1">VLOOKUP($W752,OFFSET([4]enemy_skill_sets!$B$1,0,0,COUNTA([4]enemy_skill_sets!$B:$B),MATCH(M$1,[4]enemy_skill_sets!$1:$1,0)-MATCH($W$1,[4]enemy_skill_sets!$1:$1,0)+2),MATCH(M$1,[4]enemy_skill_sets!$1:$1,0)-MATCH($W$1,[4]enemy_skill_sets!$1:$1,0)+2,FALSE)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752" s="4">
        <f ca="1">VLOOKUP($L752,OFFSET([2]enemies!$A$1,0,0,COUNTA([2]enemies!$A:$A),MATCH(W$1,[2]enemies!$1:$1,0)-MATCH($L$1,[2]enemies!$1:$1,0)+1),MATCH(W$1,[2]enemies!$1:$1,0)-MATCH($L$1,[2]enemies!$1:$1,0)+1,FALSE)</f>
        <v>37</v>
      </c>
      <c r="X752" s="6">
        <v>0</v>
      </c>
      <c r="Y752" s="6">
        <v>100</v>
      </c>
      <c r="Z752" s="6">
        <v>0</v>
      </c>
      <c r="AA752" s="4">
        <f ca="1">VLOOKUP($L752,OFFSET([2]enemies!$A$1,0,0,COUNTA([2]enemies!$A:$A),MATCH(AA$1,[2]enemies!$1:$1,0)-MATCH($L$1,[2]enemies!$1:$1,0)+1),MATCH(AA$1,[2]enemies!$1:$1,0)-MATCH($L$1,[2]enemies!$1:$1,0)+1,FALSE)</f>
        <v>3</v>
      </c>
      <c r="AB752" s="52">
        <v>37</v>
      </c>
      <c r="AC752" s="4" t="str">
        <f ca="1">VLOOKUP($AB752,OFFSET([3]characters!$A$1,0,0,COUNTA([3]characters!$A:$A),MATCH(AC$1,[3]characters!$1:$1,0)-MATCH("character_id",[3]characters!$1:$1,0)+1),MATCH(AC$1,[3]characters!$1:$1,0)-MATCH("character_id",[3]characters!$1:$1,0)+1,FALSE)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752" s="4">
        <f ca="1">VLOOKUP($AB752,OFFSET([3]characters!$A$1,0,0,COUNTA([3]characters!$A:$A),MATCH(AD$1,[3]characters!$1:$1,0)-MATCH("character_id",[3]characters!$1:$1,0)+1),MATCH(AD$1,[3]characters!$1:$1,0)-MATCH("character_id",[3]characters!$1:$1,0)+1,FALSE)</f>
        <v>2</v>
      </c>
      <c r="AE752" s="4" t="str">
        <f ca="1">VLOOKUP($AB752,OFFSET([3]characters!$A$1,0,0,COUNTA([3]characters!$A:$A),MATCH(AE$1,[3]characters!$1:$1,0)-MATCH("character_id",[3]characters!$1:$1,0)+1),MATCH(AE$1,[3]characters!$1:$1,0)-MATCH("character_id",[3]characters!$1:$1,0)+1,FALSE)</f>
        <v>Drop1S</v>
      </c>
      <c r="AF752" s="7">
        <v>5</v>
      </c>
      <c r="AG752" s="26">
        <f t="shared" ca="1" si="702"/>
        <v>2</v>
      </c>
      <c r="AH752" s="8">
        <v>20</v>
      </c>
      <c r="AI752" s="7">
        <v>0</v>
      </c>
      <c r="AJ752" s="7">
        <v>0</v>
      </c>
      <c r="AK752" s="7">
        <v>0</v>
      </c>
      <c r="AL752" s="7">
        <v>0</v>
      </c>
      <c r="AM752" s="7">
        <v>1</v>
      </c>
    </row>
    <row r="753" spans="1:39" ht="14" x14ac:dyDescent="0.15">
      <c r="A753" s="18" t="str">
        <f t="shared" ca="1" si="714"/>
        <v>26_2-4/45&lt;lv52&gt;s3</v>
      </c>
      <c r="B753" s="50">
        <v>26</v>
      </c>
      <c r="C753" s="49">
        <v>2</v>
      </c>
      <c r="D753" s="2" t="str">
        <f t="shared" si="706"/>
        <v>26_2</v>
      </c>
      <c r="E753" s="2" t="str">
        <f t="shared" si="706"/>
        <v>2_26_2</v>
      </c>
      <c r="F753" s="4" t="str">
        <f ca="1">VLOOKUP($D753,OFFSET([1]stages!$A$1,0,0,COUNTA([1]stages!$A:$A),MATCH(F$1,[1]stages!$2:$2,0)-MATCH($D$1,[1]stages!$2:$2,0)+1),MATCH(F$1,[1]stages!$2:$2,0)-MATCH($D$1,[1]stages!$2:$2,0)+1,FALSE)</f>
        <v>26-2．フロアジャック</v>
      </c>
      <c r="G753" s="56">
        <v>4</v>
      </c>
      <c r="H753" s="17" t="str">
        <f t="shared" si="707"/>
        <v>26_2-4</v>
      </c>
      <c r="I753" s="17"/>
      <c r="J753" s="17"/>
      <c r="K753" s="65" t="s">
        <v>56</v>
      </c>
      <c r="L753" s="52">
        <v>45</v>
      </c>
      <c r="M753" s="21" t="str">
        <f ca="1">VLOOKUP($L753,OFFSET([2]enemies!$A$1,0,0,COUNTA([2]enemies!$A:$A),MATCH(M$1,[2]enemies!$1:$1,0)-MATCH($L$1,[2]enemies!$1:$1,0)+1),MATCH(M$1,[2]enemies!$1:$1,0)-MATCH($L$1,[2]enemies!$1:$1,0)+1,FALSE)</f>
        <v>ショウイン</v>
      </c>
      <c r="N753" s="21" t="str">
        <f ca="1">VLOOKUP($L753,OFFSET([2]enemies!$A$1,0,0,COUNTA([2]enemies!$A:$A),MATCH(N$1,[2]enemies!$1:$1,0)-MATCH($L$1,[2]enemies!$1:$1,0)+1),MATCH(N$1,[2]enemies!$1:$1,0)-MATCH($L$1,[2]enemies!$1:$1,0)+1,FALSE)</f>
        <v>blue</v>
      </c>
      <c r="O753" s="21" t="str">
        <f ca="1">VLOOKUP($L753,OFFSET([3]characters!$A$1,0,0,COUNTA([3]characters!$A:$A),MATCH(O$1,[3]characters!$1:$1,0)-MATCH($L$1,[3]characters!$1:$1,0)+1),MATCH(O$1,[3]characters!$1:$1,0)-MATCH($L$1,[3]characters!$1:$1,0)+1,FALSE)</f>
        <v>Drop1N</v>
      </c>
      <c r="P753" s="21" t="str">
        <f ca="1">VLOOKUP($L753,OFFSET([2]enemies!$A$1,0,0,COUNTA([2]enemies!$A:$A),MATCH(P$1,[2]enemies!$1:$1,0)-MATCH($L$1,[2]enemies!$1:$1,0)+1),MATCH(P$1,[2]enemies!$1:$1,0)-MATCH($L$1,[2]enemies!$1:$1,0)+1,FALSE)</f>
        <v>animal</v>
      </c>
      <c r="Q753" s="21">
        <f ca="1">VLOOKUP($L753,OFFSET([2]enemies!$A$1,0,0,COUNTA([2]enemies!$A:$A),MATCH(Q$1,[2]enemies!$1:$1,0)-MATCH($L$1,[2]enemies!$1:$1,0)+1),MATCH(Q$1,[2]enemies!$1:$1,0)-MATCH($L$1,[2]enemies!$1:$1,0)+1,FALSE)</f>
        <v>15</v>
      </c>
      <c r="R753" s="53">
        <v>52</v>
      </c>
      <c r="S753" s="27">
        <v>1</v>
      </c>
      <c r="T753" s="27">
        <v>1</v>
      </c>
      <c r="U753" s="5">
        <v>0</v>
      </c>
      <c r="V753" s="4" t="str">
        <f ca="1">VLOOKUP($W753,OFFSET([4]enemy_skill_sets!$B$1,0,0,COUNTA([4]enemy_skill_sets!$B:$B),MATCH(M$1,[4]enemy_skill_sets!$1:$1,0)-MATCH($W$1,[4]enemy_skill_sets!$1:$1,0)+2),MATCH(M$1,[4]enemy_skill_sets!$1:$1,0)-MATCH($W$1,[4]enemy_skill_sets!$1:$1,0)+2,FALSE)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53" s="4">
        <f ca="1">VLOOKUP($L753,OFFSET([2]enemies!$A$1,0,0,COUNTA([2]enemies!$A:$A),MATCH(W$1,[2]enemies!$1:$1,0)-MATCH($L$1,[2]enemies!$1:$1,0)+1),MATCH(W$1,[2]enemies!$1:$1,0)-MATCH($L$1,[2]enemies!$1:$1,0)+1,FALSE)</f>
        <v>0</v>
      </c>
      <c r="X753" s="6">
        <v>0</v>
      </c>
      <c r="Y753" s="6">
        <v>100</v>
      </c>
      <c r="Z753" s="6">
        <v>0</v>
      </c>
      <c r="AA753" s="4">
        <f ca="1">VLOOKUP($L753,OFFSET([2]enemies!$A$1,0,0,COUNTA([2]enemies!$A:$A),MATCH(AA$1,[2]enemies!$1:$1,0)-MATCH($L$1,[2]enemies!$1:$1,0)+1),MATCH(AA$1,[2]enemies!$1:$1,0)-MATCH($L$1,[2]enemies!$1:$1,0)+1,FALSE)</f>
        <v>3</v>
      </c>
      <c r="AB753" s="52">
        <v>45</v>
      </c>
      <c r="AC753" s="4" t="str">
        <f ca="1">VLOOKUP($AB753,OFFSET([3]characters!$A$1,0,0,COUNTA([3]characters!$A:$A),MATCH(AC$1,[3]characters!$1:$1,0)-MATCH("character_id",[3]characters!$1:$1,0)+1),MATCH(AC$1,[3]characters!$1:$1,0)-MATCH("character_id",[3]characters!$1:$1,0)+1,FALSE)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753" s="4">
        <f ca="1">VLOOKUP($AB753,OFFSET([3]characters!$A$1,0,0,COUNTA([3]characters!$A:$A),MATCH(AD$1,[3]characters!$1:$1,0)-MATCH("character_id",[3]characters!$1:$1,0)+1),MATCH(AD$1,[3]characters!$1:$1,0)-MATCH("character_id",[3]characters!$1:$1,0)+1,FALSE)</f>
        <v>2</v>
      </c>
      <c r="AE753" s="4" t="str">
        <f ca="1">VLOOKUP($AB753,OFFSET([3]characters!$A$1,0,0,COUNTA([3]characters!$A:$A),MATCH(AE$1,[3]characters!$1:$1,0)-MATCH("character_id",[3]characters!$1:$1,0)+1),MATCH(AE$1,[3]characters!$1:$1,0)-MATCH("character_id",[3]characters!$1:$1,0)+1,FALSE)</f>
        <v>Drop1N</v>
      </c>
      <c r="AF753" s="7">
        <v>7</v>
      </c>
      <c r="AG753" s="26">
        <f t="shared" ca="1" si="702"/>
        <v>2</v>
      </c>
      <c r="AH753" s="8">
        <v>20</v>
      </c>
      <c r="AI753" s="7">
        <v>0</v>
      </c>
      <c r="AJ753" s="7">
        <v>0</v>
      </c>
      <c r="AK753" s="7">
        <v>0</v>
      </c>
      <c r="AL753" s="7">
        <v>0</v>
      </c>
      <c r="AM753" s="7">
        <v>1</v>
      </c>
    </row>
    <row r="754" spans="1:39" ht="14" x14ac:dyDescent="0.15">
      <c r="A754" s="18" t="str">
        <f t="shared" ca="1" si="714"/>
        <v>26_2-4/47&lt;lv52&gt;s1</v>
      </c>
      <c r="B754" s="50">
        <v>26</v>
      </c>
      <c r="C754" s="49">
        <v>2</v>
      </c>
      <c r="D754" s="2" t="str">
        <f t="shared" si="706"/>
        <v>26_2</v>
      </c>
      <c r="E754" s="2" t="str">
        <f t="shared" si="706"/>
        <v>2_26_2</v>
      </c>
      <c r="F754" s="4" t="str">
        <f ca="1">VLOOKUP($D754,OFFSET([1]stages!$A$1,0,0,COUNTA([1]stages!$A:$A),MATCH(F$1,[1]stages!$2:$2,0)-MATCH($D$1,[1]stages!$2:$2,0)+1),MATCH(F$1,[1]stages!$2:$2,0)-MATCH($D$1,[1]stages!$2:$2,0)+1,FALSE)</f>
        <v>26-2．フロアジャック</v>
      </c>
      <c r="G754" s="56">
        <v>4</v>
      </c>
      <c r="H754" s="17" t="str">
        <f t="shared" si="707"/>
        <v>26_2-4</v>
      </c>
      <c r="I754" s="17"/>
      <c r="J754" s="17"/>
      <c r="K754" s="65" t="s">
        <v>56</v>
      </c>
      <c r="L754" s="52">
        <v>47</v>
      </c>
      <c r="M754" s="21" t="str">
        <f ca="1">VLOOKUP($L754,OFFSET([2]enemies!$A$1,0,0,COUNTA([2]enemies!$A:$A),MATCH(M$1,[2]enemies!$1:$1,0)-MATCH($L$1,[2]enemies!$1:$1,0)+1),MATCH(M$1,[2]enemies!$1:$1,0)-MATCH($L$1,[2]enemies!$1:$1,0)+1,FALSE)</f>
        <v>ヒロ</v>
      </c>
      <c r="N754" s="21" t="str">
        <f ca="1">VLOOKUP($L754,OFFSET([2]enemies!$A$1,0,0,COUNTA([2]enemies!$A:$A),MATCH(N$1,[2]enemies!$1:$1,0)-MATCH($L$1,[2]enemies!$1:$1,0)+1),MATCH(N$1,[2]enemies!$1:$1,0)-MATCH($L$1,[2]enemies!$1:$1,0)+1,FALSE)</f>
        <v>yellow</v>
      </c>
      <c r="O754" s="21" t="str">
        <f ca="1">VLOOKUP($L754,OFFSET([3]characters!$A$1,0,0,COUNTA([3]characters!$A:$A),MATCH(O$1,[3]characters!$1:$1,0)-MATCH($L$1,[3]characters!$1:$1,0)+1),MATCH(O$1,[3]characters!$1:$1,0)-MATCH($L$1,[3]characters!$1:$1,0)+1,FALSE)</f>
        <v>Drop1N</v>
      </c>
      <c r="P754" s="21" t="str">
        <f ca="1">VLOOKUP($L754,OFFSET([2]enemies!$A$1,0,0,COUNTA([2]enemies!$A:$A),MATCH(P$1,[2]enemies!$1:$1,0)-MATCH($L$1,[2]enemies!$1:$1,0)+1),MATCH(P$1,[2]enemies!$1:$1,0)-MATCH($L$1,[2]enemies!$1:$1,0)+1,FALSE)</f>
        <v>animal</v>
      </c>
      <c r="Q754" s="21">
        <f ca="1">VLOOKUP($L754,OFFSET([2]enemies!$A$1,0,0,COUNTA([2]enemies!$A:$A),MATCH(Q$1,[2]enemies!$1:$1,0)-MATCH($L$1,[2]enemies!$1:$1,0)+1),MATCH(Q$1,[2]enemies!$1:$1,0)-MATCH($L$1,[2]enemies!$1:$1,0)+1,FALSE)</f>
        <v>15</v>
      </c>
      <c r="R754" s="53">
        <v>52</v>
      </c>
      <c r="S754" s="27">
        <v>1</v>
      </c>
      <c r="T754" s="27">
        <v>1</v>
      </c>
      <c r="U754" s="5">
        <v>0</v>
      </c>
      <c r="V754" s="4" t="str">
        <f ca="1">VLOOKUP($W754,OFFSET([4]enemy_skill_sets!$B$1,0,0,COUNTA([4]enemy_skill_sets!$B:$B),MATCH(M$1,[4]enemy_skill_sets!$1:$1,0)-MATCH($W$1,[4]enemy_skill_sets!$1:$1,0)+2),MATCH(M$1,[4]enemy_skill_sets!$1:$1,0)-MATCH($W$1,[4]enemy_skill_sets!$1:$1,0)+2,FALSE)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54" s="4">
        <f ca="1">VLOOKUP($L754,OFFSET([2]enemies!$A$1,0,0,COUNTA([2]enemies!$A:$A),MATCH(W$1,[2]enemies!$1:$1,0)-MATCH($L$1,[2]enemies!$1:$1,0)+1),MATCH(W$1,[2]enemies!$1:$1,0)-MATCH($L$1,[2]enemies!$1:$1,0)+1,FALSE)</f>
        <v>0</v>
      </c>
      <c r="X754" s="6">
        <v>0</v>
      </c>
      <c r="Y754" s="6">
        <v>100</v>
      </c>
      <c r="Z754" s="6">
        <v>0</v>
      </c>
      <c r="AA754" s="4">
        <f ca="1">VLOOKUP($L754,OFFSET([2]enemies!$A$1,0,0,COUNTA([2]enemies!$A:$A),MATCH(AA$1,[2]enemies!$1:$1,0)-MATCH($L$1,[2]enemies!$1:$1,0)+1),MATCH(AA$1,[2]enemies!$1:$1,0)-MATCH($L$1,[2]enemies!$1:$1,0)+1,FALSE)</f>
        <v>1</v>
      </c>
      <c r="AB754" s="52">
        <v>47</v>
      </c>
      <c r="AC754" s="4" t="str">
        <f ca="1">VLOOKUP($AB754,OFFSET([3]characters!$A$1,0,0,COUNTA([3]characters!$A:$A),MATCH(AC$1,[3]characters!$1:$1,0)-MATCH("character_id",[3]characters!$1:$1,0)+1),MATCH(AC$1,[3]characters!$1:$1,0)-MATCH("character_id",[3]characters!$1:$1,0)+1,FALSE)</f>
        <v>ヒロ</v>
      </c>
      <c r="AD754" s="4">
        <f ca="1">VLOOKUP($AB754,OFFSET([3]characters!$A$1,0,0,COUNTA([3]characters!$A:$A),MATCH(AD$1,[3]characters!$1:$1,0)-MATCH("character_id",[3]characters!$1:$1,0)+1),MATCH(AD$1,[3]characters!$1:$1,0)-MATCH("character_id",[3]characters!$1:$1,0)+1,FALSE)</f>
        <v>2</v>
      </c>
      <c r="AE754" s="4" t="str">
        <f ca="1">VLOOKUP($AB754,OFFSET([3]characters!$A$1,0,0,COUNTA([3]characters!$A:$A),MATCH(AE$1,[3]characters!$1:$1,0)-MATCH("character_id",[3]characters!$1:$1,0)+1),MATCH(AE$1,[3]characters!$1:$1,0)-MATCH("character_id",[3]characters!$1:$1,0)+1,FALSE)</f>
        <v>Drop1N</v>
      </c>
      <c r="AF754" s="7">
        <v>7</v>
      </c>
      <c r="AG754" s="26">
        <f t="shared" ca="1" si="702"/>
        <v>2</v>
      </c>
      <c r="AH754" s="8">
        <v>20</v>
      </c>
      <c r="AI754" s="7">
        <v>0</v>
      </c>
      <c r="AJ754" s="7">
        <v>0</v>
      </c>
      <c r="AK754" s="7">
        <v>0</v>
      </c>
      <c r="AL754" s="7">
        <v>0</v>
      </c>
      <c r="AM754" s="7">
        <v>1</v>
      </c>
    </row>
    <row r="755" spans="1:39" ht="14" x14ac:dyDescent="0.15">
      <c r="A755" s="18" t="str">
        <f t="shared" ca="1" si="714"/>
        <v>26_2-4/57&lt;lv52&gt;s2</v>
      </c>
      <c r="B755" s="50">
        <v>26</v>
      </c>
      <c r="C755" s="49">
        <v>2</v>
      </c>
      <c r="D755" s="2" t="str">
        <f t="shared" si="706"/>
        <v>26_2</v>
      </c>
      <c r="E755" s="2" t="str">
        <f t="shared" si="706"/>
        <v>2_26_2</v>
      </c>
      <c r="F755" s="4" t="str">
        <f ca="1">VLOOKUP($D755,OFFSET([1]stages!$A$1,0,0,COUNTA([1]stages!$A:$A),MATCH(F$1,[1]stages!$2:$2,0)-MATCH($D$1,[1]stages!$2:$2,0)+1),MATCH(F$1,[1]stages!$2:$2,0)-MATCH($D$1,[1]stages!$2:$2,0)+1,FALSE)</f>
        <v>26-2．フロアジャック</v>
      </c>
      <c r="G755" s="56">
        <v>4</v>
      </c>
      <c r="H755" s="17" t="str">
        <f t="shared" si="707"/>
        <v>26_2-4</v>
      </c>
      <c r="I755" s="17"/>
      <c r="J755" s="17"/>
      <c r="K755" s="65" t="s">
        <v>56</v>
      </c>
      <c r="L755" s="52">
        <v>57</v>
      </c>
      <c r="M755" s="21" t="str">
        <f ca="1">VLOOKUP($L755,OFFSET([2]enemies!$A$1,0,0,COUNTA([2]enemies!$A:$A),MATCH(M$1,[2]enemies!$1:$1,0)-MATCH($L$1,[2]enemies!$1:$1,0)+1),MATCH(M$1,[2]enemies!$1:$1,0)-MATCH($L$1,[2]enemies!$1:$1,0)+1,FALSE)</f>
        <v>チェン・リー</v>
      </c>
      <c r="N755" s="21" t="str">
        <f ca="1">VLOOKUP($L755,OFFSET([2]enemies!$A$1,0,0,COUNTA([2]enemies!$A:$A),MATCH(N$1,[2]enemies!$1:$1,0)-MATCH($L$1,[2]enemies!$1:$1,0)+1),MATCH(N$1,[2]enemies!$1:$1,0)-MATCH($L$1,[2]enemies!$1:$1,0)+1,FALSE)</f>
        <v>red</v>
      </c>
      <c r="O755" s="21" t="str">
        <f ca="1">VLOOKUP($L755,OFFSET([3]characters!$A$1,0,0,COUNTA([3]characters!$A:$A),MATCH(O$1,[3]characters!$1:$1,0)-MATCH($L$1,[3]characters!$1:$1,0)+1),MATCH(O$1,[3]characters!$1:$1,0)-MATCH($L$1,[3]characters!$1:$1,0)+1,FALSE)</f>
        <v>Drop1N</v>
      </c>
      <c r="P755" s="21" t="str">
        <f ca="1">VLOOKUP($L755,OFFSET([2]enemies!$A$1,0,0,COUNTA([2]enemies!$A:$A),MATCH(P$1,[2]enemies!$1:$1,0)-MATCH($L$1,[2]enemies!$1:$1,0)+1),MATCH(P$1,[2]enemies!$1:$1,0)-MATCH($L$1,[2]enemies!$1:$1,0)+1,FALSE)</f>
        <v>animal</v>
      </c>
      <c r="Q755" s="21">
        <f ca="1">VLOOKUP($L755,OFFSET([2]enemies!$A$1,0,0,COUNTA([2]enemies!$A:$A),MATCH(Q$1,[2]enemies!$1:$1,0)-MATCH($L$1,[2]enemies!$1:$1,0)+1),MATCH(Q$1,[2]enemies!$1:$1,0)-MATCH($L$1,[2]enemies!$1:$1,0)+1,FALSE)</f>
        <v>15</v>
      </c>
      <c r="R755" s="53">
        <v>52</v>
      </c>
      <c r="S755" s="27">
        <v>1</v>
      </c>
      <c r="T755" s="27">
        <v>1</v>
      </c>
      <c r="U755" s="5">
        <v>0</v>
      </c>
      <c r="V755" s="4" t="str">
        <f ca="1">VLOOKUP($W755,OFFSET([4]enemy_skill_sets!$B$1,0,0,COUNTA([4]enemy_skill_sets!$B:$B),MATCH(M$1,[4]enemy_skill_sets!$1:$1,0)-MATCH($W$1,[4]enemy_skill_sets!$1:$1,0)+2),MATCH(M$1,[4]enemy_skill_sets!$1:$1,0)-MATCH($W$1,[4]enemy_skill_sets!$1:$1,0)+2,FALSE)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755" s="4">
        <f ca="1">VLOOKUP($L755,OFFSET([2]enemies!$A$1,0,0,COUNTA([2]enemies!$A:$A),MATCH(W$1,[2]enemies!$1:$1,0)-MATCH($L$1,[2]enemies!$1:$1,0)+1),MATCH(W$1,[2]enemies!$1:$1,0)-MATCH($L$1,[2]enemies!$1:$1,0)+1,FALSE)</f>
        <v>57</v>
      </c>
      <c r="X755" s="6">
        <v>0</v>
      </c>
      <c r="Y755" s="6">
        <v>100</v>
      </c>
      <c r="Z755" s="6">
        <v>0</v>
      </c>
      <c r="AA755" s="4">
        <f ca="1">VLOOKUP($L755,OFFSET([2]enemies!$A$1,0,0,COUNTA([2]enemies!$A:$A),MATCH(AA$1,[2]enemies!$1:$1,0)-MATCH($L$1,[2]enemies!$1:$1,0)+1),MATCH(AA$1,[2]enemies!$1:$1,0)-MATCH($L$1,[2]enemies!$1:$1,0)+1,FALSE)</f>
        <v>2</v>
      </c>
      <c r="AB755" s="52">
        <v>57</v>
      </c>
      <c r="AC755" s="4" t="str">
        <f ca="1">VLOOKUP($AB755,OFFSET([3]characters!$A$1,0,0,COUNTA([3]characters!$A:$A),MATCH(AC$1,[3]characters!$1:$1,0)-MATCH("character_id",[3]characters!$1:$1,0)+1),MATCH(AC$1,[3]characters!$1:$1,0)-MATCH("character_id",[3]characters!$1:$1,0)+1,FALSE)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755" s="4">
        <f ca="1">VLOOKUP($AB755,OFFSET([3]characters!$A$1,0,0,COUNTA([3]characters!$A:$A),MATCH(AD$1,[3]characters!$1:$1,0)-MATCH("character_id",[3]characters!$1:$1,0)+1),MATCH(AD$1,[3]characters!$1:$1,0)-MATCH("character_id",[3]characters!$1:$1,0)+1,FALSE)</f>
        <v>2</v>
      </c>
      <c r="AE755" s="4" t="str">
        <f ca="1">VLOOKUP($AB755,OFFSET([3]characters!$A$1,0,0,COUNTA([3]characters!$A:$A),MATCH(AE$1,[3]characters!$1:$1,0)-MATCH("character_id",[3]characters!$1:$1,0)+1),MATCH(AE$1,[3]characters!$1:$1,0)-MATCH("character_id",[3]characters!$1:$1,0)+1,FALSE)</f>
        <v>Drop1N</v>
      </c>
      <c r="AF755" s="7">
        <v>7</v>
      </c>
      <c r="AG755" s="26">
        <f t="shared" ca="1" si="702"/>
        <v>2</v>
      </c>
      <c r="AH755" s="8">
        <v>20</v>
      </c>
      <c r="AI755" s="7">
        <v>0</v>
      </c>
      <c r="AJ755" s="7">
        <v>0</v>
      </c>
      <c r="AK755" s="7">
        <v>0</v>
      </c>
      <c r="AL755" s="7">
        <v>0</v>
      </c>
      <c r="AM755" s="7">
        <v>1</v>
      </c>
    </row>
    <row r="756" spans="1:39" ht="14" x14ac:dyDescent="0.15">
      <c r="A756" s="18" t="str">
        <f t="shared" ca="1" si="714"/>
        <v>26_2-4/59&lt;lv52&gt;s2</v>
      </c>
      <c r="B756" s="50">
        <v>26</v>
      </c>
      <c r="C756" s="49">
        <v>2</v>
      </c>
      <c r="D756" s="2" t="str">
        <f t="shared" si="706"/>
        <v>26_2</v>
      </c>
      <c r="E756" s="2" t="str">
        <f t="shared" si="706"/>
        <v>2_26_2</v>
      </c>
      <c r="F756" s="4" t="str">
        <f ca="1">VLOOKUP($D756,OFFSET([1]stages!$A$1,0,0,COUNTA([1]stages!$A:$A),MATCH(F$1,[1]stages!$2:$2,0)-MATCH($D$1,[1]stages!$2:$2,0)+1),MATCH(F$1,[1]stages!$2:$2,0)-MATCH($D$1,[1]stages!$2:$2,0)+1,FALSE)</f>
        <v>26-2．フロアジャック</v>
      </c>
      <c r="G756" s="56">
        <v>4</v>
      </c>
      <c r="H756" s="17" t="str">
        <f t="shared" si="707"/>
        <v>26_2-4</v>
      </c>
      <c r="I756" s="17"/>
      <c r="J756" s="17"/>
      <c r="K756" s="65" t="s">
        <v>56</v>
      </c>
      <c r="L756" s="52">
        <v>59</v>
      </c>
      <c r="M756" s="21" t="str">
        <f ca="1">VLOOKUP($L756,OFFSET([2]enemies!$A$1,0,0,COUNTA([2]enemies!$A:$A),MATCH(M$1,[2]enemies!$1:$1,0)-MATCH($L$1,[2]enemies!$1:$1,0)+1),MATCH(M$1,[2]enemies!$1:$1,0)-MATCH($L$1,[2]enemies!$1:$1,0)+1,FALSE)</f>
        <v>マーチ</v>
      </c>
      <c r="N756" s="21" t="str">
        <f ca="1">VLOOKUP($L756,OFFSET([2]enemies!$A$1,0,0,COUNTA([2]enemies!$A:$A),MATCH(N$1,[2]enemies!$1:$1,0)-MATCH($L$1,[2]enemies!$1:$1,0)+1),MATCH(N$1,[2]enemies!$1:$1,0)-MATCH($L$1,[2]enemies!$1:$1,0)+1,FALSE)</f>
        <v>green</v>
      </c>
      <c r="O756" s="21" t="str">
        <f ca="1">VLOOKUP($L756,OFFSET([3]characters!$A$1,0,0,COUNTA([3]characters!$A:$A),MATCH(O$1,[3]characters!$1:$1,0)-MATCH($L$1,[3]characters!$1:$1,0)+1),MATCH(O$1,[3]characters!$1:$1,0)-MATCH($L$1,[3]characters!$1:$1,0)+1,FALSE)</f>
        <v>Drop1N</v>
      </c>
      <c r="P756" s="21" t="str">
        <f ca="1">VLOOKUP($L756,OFFSET([2]enemies!$A$1,0,0,COUNTA([2]enemies!$A:$A),MATCH(P$1,[2]enemies!$1:$1,0)-MATCH($L$1,[2]enemies!$1:$1,0)+1),MATCH(P$1,[2]enemies!$1:$1,0)-MATCH($L$1,[2]enemies!$1:$1,0)+1,FALSE)</f>
        <v>animal</v>
      </c>
      <c r="Q756" s="21">
        <f ca="1">VLOOKUP($L756,OFFSET([2]enemies!$A$1,0,0,COUNTA([2]enemies!$A:$A),MATCH(Q$1,[2]enemies!$1:$1,0)-MATCH($L$1,[2]enemies!$1:$1,0)+1),MATCH(Q$1,[2]enemies!$1:$1,0)-MATCH($L$1,[2]enemies!$1:$1,0)+1,FALSE)</f>
        <v>15</v>
      </c>
      <c r="R756" s="53">
        <v>52</v>
      </c>
      <c r="S756" s="27">
        <v>1</v>
      </c>
      <c r="T756" s="27">
        <v>1</v>
      </c>
      <c r="U756" s="5">
        <v>0</v>
      </c>
      <c r="V756" s="4" t="str">
        <f ca="1">VLOOKUP($W756,OFFSET([4]enemy_skill_sets!$B$1,0,0,COUNTA([4]enemy_skill_sets!$B:$B),MATCH(M$1,[4]enemy_skill_sets!$1:$1,0)-MATCH($W$1,[4]enemy_skill_sets!$1:$1,0)+2),MATCH(M$1,[4]enemy_skill_sets!$1:$1,0)-MATCH($W$1,[4]enemy_skill_sets!$1:$1,0)+2,FALSE)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56" s="4">
        <f ca="1">VLOOKUP($L756,OFFSET([2]enemies!$A$1,0,0,COUNTA([2]enemies!$A:$A),MATCH(W$1,[2]enemies!$1:$1,0)-MATCH($L$1,[2]enemies!$1:$1,0)+1),MATCH(W$1,[2]enemies!$1:$1,0)-MATCH($L$1,[2]enemies!$1:$1,0)+1,FALSE)</f>
        <v>59</v>
      </c>
      <c r="X756" s="6">
        <v>0</v>
      </c>
      <c r="Y756" s="6">
        <v>100</v>
      </c>
      <c r="Z756" s="6">
        <v>0</v>
      </c>
      <c r="AA756" s="4">
        <f ca="1">VLOOKUP($L756,OFFSET([2]enemies!$A$1,0,0,COUNTA([2]enemies!$A:$A),MATCH(AA$1,[2]enemies!$1:$1,0)-MATCH($L$1,[2]enemies!$1:$1,0)+1),MATCH(AA$1,[2]enemies!$1:$1,0)-MATCH($L$1,[2]enemies!$1:$1,0)+1,FALSE)</f>
        <v>2</v>
      </c>
      <c r="AB756" s="52">
        <v>59</v>
      </c>
      <c r="AC756" s="4" t="str">
        <f ca="1">VLOOKUP($AB756,OFFSET([3]characters!$A$1,0,0,COUNTA([3]characters!$A:$A),MATCH(AC$1,[3]characters!$1:$1,0)-MATCH("character_id",[3]characters!$1:$1,0)+1),MATCH(AC$1,[3]characters!$1:$1,0)-MATCH("character_id",[3]characters!$1:$1,0)+1,FALSE)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756" s="4">
        <f ca="1">VLOOKUP($AB756,OFFSET([3]characters!$A$1,0,0,COUNTA([3]characters!$A:$A),MATCH(AD$1,[3]characters!$1:$1,0)-MATCH("character_id",[3]characters!$1:$1,0)+1),MATCH(AD$1,[3]characters!$1:$1,0)-MATCH("character_id",[3]characters!$1:$1,0)+1,FALSE)</f>
        <v>2</v>
      </c>
      <c r="AE756" s="4" t="str">
        <f ca="1">VLOOKUP($AB756,OFFSET([3]characters!$A$1,0,0,COUNTA([3]characters!$A:$A),MATCH(AE$1,[3]characters!$1:$1,0)-MATCH("character_id",[3]characters!$1:$1,0)+1),MATCH(AE$1,[3]characters!$1:$1,0)-MATCH("character_id",[3]characters!$1:$1,0)+1,FALSE)</f>
        <v>Drop1N</v>
      </c>
      <c r="AF756" s="7">
        <v>7</v>
      </c>
      <c r="AG756" s="26">
        <f t="shared" ca="1" si="702"/>
        <v>2</v>
      </c>
      <c r="AH756" s="8">
        <v>20</v>
      </c>
      <c r="AI756" s="7">
        <v>0</v>
      </c>
      <c r="AJ756" s="7">
        <v>0</v>
      </c>
      <c r="AK756" s="7">
        <v>0</v>
      </c>
      <c r="AL756" s="7">
        <v>0</v>
      </c>
      <c r="AM756" s="7">
        <v>1</v>
      </c>
    </row>
    <row r="757" spans="1:39" ht="14" x14ac:dyDescent="0.15">
      <c r="A757" s="18" t="str">
        <f t="shared" ca="1" si="714"/>
        <v>26_2-4/61&lt;lv52&gt;s2</v>
      </c>
      <c r="B757" s="50">
        <v>26</v>
      </c>
      <c r="C757" s="49">
        <v>2</v>
      </c>
      <c r="D757" s="2" t="str">
        <f t="shared" si="706"/>
        <v>26_2</v>
      </c>
      <c r="E757" s="2" t="str">
        <f t="shared" si="706"/>
        <v>2_26_2</v>
      </c>
      <c r="F757" s="4" t="str">
        <f ca="1">VLOOKUP($D757,OFFSET([1]stages!$A$1,0,0,COUNTA([1]stages!$A:$A),MATCH(F$1,[1]stages!$2:$2,0)-MATCH($D$1,[1]stages!$2:$2,0)+1),MATCH(F$1,[1]stages!$2:$2,0)-MATCH($D$1,[1]stages!$2:$2,0)+1,FALSE)</f>
        <v>26-2．フロアジャック</v>
      </c>
      <c r="G757" s="56">
        <v>4</v>
      </c>
      <c r="H757" s="17" t="str">
        <f t="shared" si="707"/>
        <v>26_2-4</v>
      </c>
      <c r="I757" s="17"/>
      <c r="J757" s="17"/>
      <c r="K757" s="65" t="s">
        <v>56</v>
      </c>
      <c r="L757" s="52">
        <v>61</v>
      </c>
      <c r="M757" s="21" t="str">
        <f ca="1">VLOOKUP($L757,OFFSET([2]enemies!$A$1,0,0,COUNTA([2]enemies!$A:$A),MATCH(M$1,[2]enemies!$1:$1,0)-MATCH($L$1,[2]enemies!$1:$1,0)+1),MATCH(M$1,[2]enemies!$1:$1,0)-MATCH($L$1,[2]enemies!$1:$1,0)+1,FALSE)</f>
        <v>クロウ</v>
      </c>
      <c r="N757" s="21" t="str">
        <f ca="1">VLOOKUP($L757,OFFSET([2]enemies!$A$1,0,0,COUNTA([2]enemies!$A:$A),MATCH(N$1,[2]enemies!$1:$1,0)-MATCH($L$1,[2]enemies!$1:$1,0)+1),MATCH(N$1,[2]enemies!$1:$1,0)-MATCH($L$1,[2]enemies!$1:$1,0)+1,FALSE)</f>
        <v>blue</v>
      </c>
      <c r="O757" s="21" t="str">
        <f ca="1">VLOOKUP($L757,OFFSET([3]characters!$A$1,0,0,COUNTA([3]characters!$A:$A),MATCH(O$1,[3]characters!$1:$1,0)-MATCH($L$1,[3]characters!$1:$1,0)+1),MATCH(O$1,[3]characters!$1:$1,0)-MATCH($L$1,[3]characters!$1:$1,0)+1,FALSE)</f>
        <v>Drop1N</v>
      </c>
      <c r="P757" s="21" t="str">
        <f ca="1">VLOOKUP($L757,OFFSET([2]enemies!$A$1,0,0,COUNTA([2]enemies!$A:$A),MATCH(P$1,[2]enemies!$1:$1,0)-MATCH($L$1,[2]enemies!$1:$1,0)+1),MATCH(P$1,[2]enemies!$1:$1,0)-MATCH($L$1,[2]enemies!$1:$1,0)+1,FALSE)</f>
        <v>animal</v>
      </c>
      <c r="Q757" s="21">
        <f ca="1">VLOOKUP($L757,OFFSET([2]enemies!$A$1,0,0,COUNTA([2]enemies!$A:$A),MATCH(Q$1,[2]enemies!$1:$1,0)-MATCH($L$1,[2]enemies!$1:$1,0)+1),MATCH(Q$1,[2]enemies!$1:$1,0)-MATCH($L$1,[2]enemies!$1:$1,0)+1,FALSE)</f>
        <v>15</v>
      </c>
      <c r="R757" s="53">
        <v>52</v>
      </c>
      <c r="S757" s="27">
        <v>1</v>
      </c>
      <c r="T757" s="27">
        <v>1</v>
      </c>
      <c r="U757" s="5">
        <v>0</v>
      </c>
      <c r="V757" s="4" t="str">
        <f ca="1">VLOOKUP($W757,OFFSET([4]enemy_skill_sets!$B$1,0,0,COUNTA([4]enemy_skill_sets!$B:$B),MATCH(M$1,[4]enemy_skill_sets!$1:$1,0)-MATCH($W$1,[4]enemy_skill_sets!$1:$1,0)+2),MATCH(M$1,[4]enemy_skill_sets!$1:$1,0)-MATCH($W$1,[4]enemy_skill_sets!$1:$1,0)+2,FALSE)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57" s="4">
        <f ca="1">VLOOKUP($L757,OFFSET([2]enemies!$A$1,0,0,COUNTA([2]enemies!$A:$A),MATCH(W$1,[2]enemies!$1:$1,0)-MATCH($L$1,[2]enemies!$1:$1,0)+1),MATCH(W$1,[2]enemies!$1:$1,0)-MATCH($L$1,[2]enemies!$1:$1,0)+1,FALSE)</f>
        <v>61</v>
      </c>
      <c r="X757" s="6">
        <v>0</v>
      </c>
      <c r="Y757" s="6">
        <v>100</v>
      </c>
      <c r="Z757" s="6">
        <v>0</v>
      </c>
      <c r="AA757" s="4">
        <f ca="1">VLOOKUP($L757,OFFSET([2]enemies!$A$1,0,0,COUNTA([2]enemies!$A:$A),MATCH(AA$1,[2]enemies!$1:$1,0)-MATCH($L$1,[2]enemies!$1:$1,0)+1),MATCH(AA$1,[2]enemies!$1:$1,0)-MATCH($L$1,[2]enemies!$1:$1,0)+1,FALSE)</f>
        <v>2</v>
      </c>
      <c r="AB757" s="52">
        <v>61</v>
      </c>
      <c r="AC757" s="4" t="str">
        <f ca="1">VLOOKUP($AB757,OFFSET([3]characters!$A$1,0,0,COUNTA([3]characters!$A:$A),MATCH(AC$1,[3]characters!$1:$1,0)-MATCH("character_id",[3]characters!$1:$1,0)+1),MATCH(AC$1,[3]characters!$1:$1,0)-MATCH("character_id",[3]characters!$1:$1,0)+1,FALSE)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757" s="4">
        <f ca="1">VLOOKUP($AB757,OFFSET([3]characters!$A$1,0,0,COUNTA([3]characters!$A:$A),MATCH(AD$1,[3]characters!$1:$1,0)-MATCH("character_id",[3]characters!$1:$1,0)+1),MATCH(AD$1,[3]characters!$1:$1,0)-MATCH("character_id",[3]characters!$1:$1,0)+1,FALSE)</f>
        <v>2</v>
      </c>
      <c r="AE757" s="4" t="str">
        <f ca="1">VLOOKUP($AB757,OFFSET([3]characters!$A$1,0,0,COUNTA([3]characters!$A:$A),MATCH(AE$1,[3]characters!$1:$1,0)-MATCH("character_id",[3]characters!$1:$1,0)+1),MATCH(AE$1,[3]characters!$1:$1,0)-MATCH("character_id",[3]characters!$1:$1,0)+1,FALSE)</f>
        <v>Drop1N</v>
      </c>
      <c r="AF757" s="7">
        <v>7</v>
      </c>
      <c r="AG757" s="26">
        <f t="shared" ca="1" si="702"/>
        <v>2</v>
      </c>
      <c r="AH757" s="8">
        <v>20</v>
      </c>
      <c r="AI757" s="7">
        <v>0</v>
      </c>
      <c r="AJ757" s="7">
        <v>0</v>
      </c>
      <c r="AK757" s="7">
        <v>0</v>
      </c>
      <c r="AL757" s="7">
        <v>0</v>
      </c>
      <c r="AM757" s="7">
        <v>1</v>
      </c>
    </row>
    <row r="758" spans="1:39" ht="14" x14ac:dyDescent="0.15">
      <c r="A758" s="18" t="str">
        <f t="shared" ca="1" si="714"/>
        <v>26_2-4/63&lt;lv52&gt;s2</v>
      </c>
      <c r="B758" s="50">
        <v>26</v>
      </c>
      <c r="C758" s="49">
        <v>2</v>
      </c>
      <c r="D758" s="2" t="str">
        <f t="shared" si="706"/>
        <v>26_2</v>
      </c>
      <c r="E758" s="2" t="str">
        <f t="shared" si="706"/>
        <v>2_26_2</v>
      </c>
      <c r="F758" s="4" t="str">
        <f ca="1">VLOOKUP($D758,OFFSET([1]stages!$A$1,0,0,COUNTA([1]stages!$A:$A),MATCH(F$1,[1]stages!$2:$2,0)-MATCH($D$1,[1]stages!$2:$2,0)+1),MATCH(F$1,[1]stages!$2:$2,0)-MATCH($D$1,[1]stages!$2:$2,0)+1,FALSE)</f>
        <v>26-2．フロアジャック</v>
      </c>
      <c r="G758" s="56">
        <v>4</v>
      </c>
      <c r="H758" s="17" t="str">
        <f t="shared" si="707"/>
        <v>26_2-4</v>
      </c>
      <c r="I758" s="17"/>
      <c r="J758" s="17"/>
      <c r="K758" s="65" t="s">
        <v>56</v>
      </c>
      <c r="L758" s="52">
        <v>63</v>
      </c>
      <c r="M758" s="21" t="str">
        <f ca="1">VLOOKUP($L758,OFFSET([2]enemies!$A$1,0,0,COUNTA([2]enemies!$A:$A),MATCH(M$1,[2]enemies!$1:$1,0)-MATCH($L$1,[2]enemies!$1:$1,0)+1),MATCH(M$1,[2]enemies!$1:$1,0)-MATCH($L$1,[2]enemies!$1:$1,0)+1,FALSE)</f>
        <v>トニー</v>
      </c>
      <c r="N758" s="21" t="str">
        <f ca="1">VLOOKUP($L758,OFFSET([2]enemies!$A$1,0,0,COUNTA([2]enemies!$A:$A),MATCH(N$1,[2]enemies!$1:$1,0)-MATCH($L$1,[2]enemies!$1:$1,0)+1),MATCH(N$1,[2]enemies!$1:$1,0)-MATCH($L$1,[2]enemies!$1:$1,0)+1,FALSE)</f>
        <v>yellow</v>
      </c>
      <c r="O758" s="21" t="str">
        <f ca="1">VLOOKUP($L758,OFFSET([3]characters!$A$1,0,0,COUNTA([3]characters!$A:$A),MATCH(O$1,[3]characters!$1:$1,0)-MATCH($L$1,[3]characters!$1:$1,0)+1),MATCH(O$1,[3]characters!$1:$1,0)-MATCH($L$1,[3]characters!$1:$1,0)+1,FALSE)</f>
        <v>Drop1N</v>
      </c>
      <c r="P758" s="21" t="str">
        <f ca="1">VLOOKUP($L758,OFFSET([2]enemies!$A$1,0,0,COUNTA([2]enemies!$A:$A),MATCH(P$1,[2]enemies!$1:$1,0)-MATCH($L$1,[2]enemies!$1:$1,0)+1),MATCH(P$1,[2]enemies!$1:$1,0)-MATCH($L$1,[2]enemies!$1:$1,0)+1,FALSE)</f>
        <v>animal</v>
      </c>
      <c r="Q758" s="21">
        <f ca="1">VLOOKUP($L758,OFFSET([2]enemies!$A$1,0,0,COUNTA([2]enemies!$A:$A),MATCH(Q$1,[2]enemies!$1:$1,0)-MATCH($L$1,[2]enemies!$1:$1,0)+1),MATCH(Q$1,[2]enemies!$1:$1,0)-MATCH($L$1,[2]enemies!$1:$1,0)+1,FALSE)</f>
        <v>15</v>
      </c>
      <c r="R758" s="53">
        <v>52</v>
      </c>
      <c r="S758" s="27">
        <v>1</v>
      </c>
      <c r="T758" s="27">
        <v>1</v>
      </c>
      <c r="U758" s="5">
        <v>0</v>
      </c>
      <c r="V758" s="4" t="str">
        <f ca="1">VLOOKUP($W758,OFFSET([4]enemy_skill_sets!$B$1,0,0,COUNTA([4]enemy_skill_sets!$B:$B),MATCH(M$1,[4]enemy_skill_sets!$1:$1,0)-MATCH($W$1,[4]enemy_skill_sets!$1:$1,0)+2),MATCH(M$1,[4]enemy_skill_sets!$1:$1,0)-MATCH($W$1,[4]enemy_skill_sets!$1:$1,0)+2,FALSE)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758" s="4">
        <f ca="1">VLOOKUP($L758,OFFSET([2]enemies!$A$1,0,0,COUNTA([2]enemies!$A:$A),MATCH(W$1,[2]enemies!$1:$1,0)-MATCH($L$1,[2]enemies!$1:$1,0)+1),MATCH(W$1,[2]enemies!$1:$1,0)-MATCH($L$1,[2]enemies!$1:$1,0)+1,FALSE)</f>
        <v>63</v>
      </c>
      <c r="X758" s="6">
        <v>0</v>
      </c>
      <c r="Y758" s="6">
        <v>100</v>
      </c>
      <c r="Z758" s="6">
        <v>0</v>
      </c>
      <c r="AA758" s="4">
        <f ca="1">VLOOKUP($L758,OFFSET([2]enemies!$A$1,0,0,COUNTA([2]enemies!$A:$A),MATCH(AA$1,[2]enemies!$1:$1,0)-MATCH($L$1,[2]enemies!$1:$1,0)+1),MATCH(AA$1,[2]enemies!$1:$1,0)-MATCH($L$1,[2]enemies!$1:$1,0)+1,FALSE)</f>
        <v>2</v>
      </c>
      <c r="AB758" s="52">
        <v>63</v>
      </c>
      <c r="AC758" s="4" t="str">
        <f ca="1">VLOOKUP($AB758,OFFSET([3]characters!$A$1,0,0,COUNTA([3]characters!$A:$A),MATCH(AC$1,[3]characters!$1:$1,0)-MATCH("character_id",[3]characters!$1:$1,0)+1),MATCH(AC$1,[3]characters!$1:$1,0)-MATCH("character_id",[3]characters!$1:$1,0)+1,FALSE)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758" s="4">
        <f ca="1">VLOOKUP($AB758,OFFSET([3]characters!$A$1,0,0,COUNTA([3]characters!$A:$A),MATCH(AD$1,[3]characters!$1:$1,0)-MATCH("character_id",[3]characters!$1:$1,0)+1),MATCH(AD$1,[3]characters!$1:$1,0)-MATCH("character_id",[3]characters!$1:$1,0)+1,FALSE)</f>
        <v>2</v>
      </c>
      <c r="AE758" s="4" t="str">
        <f ca="1">VLOOKUP($AB758,OFFSET([3]characters!$A$1,0,0,COUNTA([3]characters!$A:$A),MATCH(AE$1,[3]characters!$1:$1,0)-MATCH("character_id",[3]characters!$1:$1,0)+1),MATCH(AE$1,[3]characters!$1:$1,0)-MATCH("character_id",[3]characters!$1:$1,0)+1,FALSE)</f>
        <v>Drop1N</v>
      </c>
      <c r="AF758" s="7">
        <v>7</v>
      </c>
      <c r="AG758" s="26">
        <f t="shared" ca="1" si="702"/>
        <v>2</v>
      </c>
      <c r="AH758" s="8">
        <v>20</v>
      </c>
      <c r="AI758" s="7">
        <v>0</v>
      </c>
      <c r="AJ758" s="7">
        <v>0</v>
      </c>
      <c r="AK758" s="7">
        <v>0</v>
      </c>
      <c r="AL758" s="7">
        <v>0</v>
      </c>
      <c r="AM758" s="7">
        <v>1</v>
      </c>
    </row>
    <row r="759" spans="1:39" ht="14" x14ac:dyDescent="0.15">
      <c r="A759" s="18" t="str">
        <f t="shared" ca="1" si="714"/>
        <v>26_2-4/360&lt;lv52&gt;s3</v>
      </c>
      <c r="B759" s="53">
        <v>26</v>
      </c>
      <c r="C759" s="51">
        <v>2</v>
      </c>
      <c r="D759" s="2" t="str">
        <f t="shared" ref="D759:D761" si="721">B759&amp;"_"&amp;C759</f>
        <v>26_2</v>
      </c>
      <c r="E759" s="2" t="str">
        <f t="shared" ref="E759:E761" si="722">C759&amp;"_"&amp;D759</f>
        <v>2_26_2</v>
      </c>
      <c r="F759" s="4" t="str">
        <f ca="1">VLOOKUP($D759,OFFSET([1]stages!$A$1,0,0,COUNTA([1]stages!$A:$A),MATCH(F$1,[1]stages!$2:$2,0)-MATCH($D$1,[1]stages!$2:$2,0)+1),MATCH(F$1,[1]stages!$2:$2,0)-MATCH($D$1,[1]stages!$2:$2,0)+1,FALSE)</f>
        <v>26-2．フロアジャック</v>
      </c>
      <c r="G759" s="56">
        <v>4</v>
      </c>
      <c r="H759" s="17" t="str">
        <f t="shared" ref="H759:H761" si="723">B759&amp;"_"&amp;C759&amp;"-"&amp;G759</f>
        <v>26_2-4</v>
      </c>
      <c r="I759" s="17"/>
      <c r="J759" s="17"/>
      <c r="K759" s="65" t="s">
        <v>56</v>
      </c>
      <c r="L759" s="52">
        <v>360</v>
      </c>
      <c r="M759" s="21" t="str">
        <f ca="1">VLOOKUP($L759,OFFSET([2]enemies!$A$1,0,0,COUNTA([2]enemies!$A:$A),MATCH(M$1,[2]enemies!$1:$1,0)-MATCH($L$1,[2]enemies!$1:$1,0)+1),MATCH(M$1,[2]enemies!$1:$1,0)-MATCH($L$1,[2]enemies!$1:$1,0)+1,FALSE)</f>
        <v>ガンテツ</v>
      </c>
      <c r="N759" s="21" t="str">
        <f ca="1">VLOOKUP($L759,OFFSET([2]enemies!$A$1,0,0,COUNTA([2]enemies!$A:$A),MATCH(N$1,[2]enemies!$1:$1,0)-MATCH($L$1,[2]enemies!$1:$1,0)+1),MATCH(N$1,[2]enemies!$1:$1,0)-MATCH($L$1,[2]enemies!$1:$1,0)+1,FALSE)</f>
        <v>red</v>
      </c>
      <c r="O759" s="21" t="str">
        <f ca="1">VLOOKUP($L759,OFFSET([3]characters!$A$1,0,0,COUNTA([3]characters!$A:$A),MATCH(O$1,[3]characters!$1:$1,0)-MATCH($L$1,[3]characters!$1:$1,0)+1),MATCH(O$1,[3]characters!$1:$1,0)-MATCH($L$1,[3]characters!$1:$1,0)+1,FALSE)</f>
        <v>Drop1S</v>
      </c>
      <c r="P759" s="21" t="str">
        <f ca="1">VLOOKUP($L759,OFFSET([2]enemies!$A$1,0,0,COUNTA([2]enemies!$A:$A),MATCH(P$1,[2]enemies!$1:$1,0)-MATCH($L$1,[2]enemies!$1:$1,0)+1),MATCH(P$1,[2]enemies!$1:$1,0)-MATCH($L$1,[2]enemies!$1:$1,0)+1,FALSE)</f>
        <v>animal</v>
      </c>
      <c r="Q759" s="21">
        <f ca="1">VLOOKUP($L759,OFFSET([2]enemies!$A$1,0,0,COUNTA([2]enemies!$A:$A),MATCH(Q$1,[2]enemies!$1:$1,0)-MATCH($L$1,[2]enemies!$1:$1,0)+1),MATCH(Q$1,[2]enemies!$1:$1,0)-MATCH($L$1,[2]enemies!$1:$1,0)+1,FALSE)</f>
        <v>15</v>
      </c>
      <c r="R759" s="53">
        <v>52</v>
      </c>
      <c r="S759" s="27">
        <v>1</v>
      </c>
      <c r="T759" s="27">
        <v>1</v>
      </c>
      <c r="U759" s="5">
        <v>0</v>
      </c>
      <c r="V759" s="4" t="str">
        <f ca="1">VLOOKUP($W759,OFFSET([4]enemy_skill_sets!$B$1,0,0,COUNTA([4]enemy_skill_sets!$B:$B),MATCH(M$1,[4]enemy_skill_sets!$1:$1,0)-MATCH($W$1,[4]enemy_skill_sets!$1:$1,0)+2),MATCH(M$1,[4]enemy_skill_sets!$1:$1,0)-MATCH($W$1,[4]enemy_skill_sets!$1:$1,0)+2,FALSE)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759" s="76">
        <v>360</v>
      </c>
      <c r="X759" s="6">
        <v>0</v>
      </c>
      <c r="Y759" s="6">
        <v>100</v>
      </c>
      <c r="Z759" s="6">
        <v>0</v>
      </c>
      <c r="AA759" s="4">
        <f ca="1">VLOOKUP($L759,OFFSET([2]enemies!$A$1,0,0,COUNTA([2]enemies!$A:$A),MATCH(AA$1,[2]enemies!$1:$1,0)-MATCH($L$1,[2]enemies!$1:$1,0)+1),MATCH(AA$1,[2]enemies!$1:$1,0)-MATCH($L$1,[2]enemies!$1:$1,0)+1,FALSE)</f>
        <v>3</v>
      </c>
      <c r="AB759" s="52">
        <v>360</v>
      </c>
      <c r="AC759" s="4" t="str">
        <f ca="1">VLOOKUP($AB759,OFFSET([3]characters!$A$1,0,0,COUNTA([3]characters!$A:$A),MATCH(AC$1,[3]characters!$1:$1,0)-MATCH("character_id",[3]characters!$1:$1,0)+1),MATCH(AC$1,[3]characters!$1:$1,0)-MATCH("character_id",[3]characters!$1:$1,0)+1,FALSE)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759" s="4">
        <f ca="1">VLOOKUP($AB759,OFFSET([3]characters!$A$1,0,0,COUNTA([3]characters!$A:$A),MATCH(AD$1,[3]characters!$1:$1,0)-MATCH("character_id",[3]characters!$1:$1,0)+1),MATCH(AD$1,[3]characters!$1:$1,0)-MATCH("character_id",[3]characters!$1:$1,0)+1,FALSE)</f>
        <v>2</v>
      </c>
      <c r="AE759" s="4" t="str">
        <f ca="1">VLOOKUP($AB759,OFFSET([3]characters!$A$1,0,0,COUNTA([3]characters!$A:$A),MATCH(AE$1,[3]characters!$1:$1,0)-MATCH("character_id",[3]characters!$1:$1,0)+1),MATCH(AE$1,[3]characters!$1:$1,0)-MATCH("character_id",[3]characters!$1:$1,0)+1,FALSE)</f>
        <v>Drop1S</v>
      </c>
      <c r="AF759" s="7">
        <v>7</v>
      </c>
      <c r="AG759" s="26">
        <f t="shared" ca="1" si="702"/>
        <v>2</v>
      </c>
      <c r="AH759" s="8">
        <v>20</v>
      </c>
      <c r="AI759" s="7">
        <v>0</v>
      </c>
      <c r="AJ759" s="7">
        <v>0</v>
      </c>
      <c r="AK759" s="7">
        <v>0</v>
      </c>
      <c r="AL759" s="7">
        <v>0</v>
      </c>
      <c r="AM759" s="7">
        <v>1</v>
      </c>
    </row>
    <row r="760" spans="1:39" ht="14" x14ac:dyDescent="0.15">
      <c r="A760" s="18" t="str">
        <f t="shared" ca="1" si="714"/>
        <v>26_2-4/362&lt;lv52&gt;s3</v>
      </c>
      <c r="B760" s="53">
        <v>26</v>
      </c>
      <c r="C760" s="51">
        <v>2</v>
      </c>
      <c r="D760" s="2" t="str">
        <f t="shared" si="721"/>
        <v>26_2</v>
      </c>
      <c r="E760" s="2" t="str">
        <f t="shared" si="722"/>
        <v>2_26_2</v>
      </c>
      <c r="F760" s="4" t="str">
        <f ca="1">VLOOKUP($D760,OFFSET([1]stages!$A$1,0,0,COUNTA([1]stages!$A:$A),MATCH(F$1,[1]stages!$2:$2,0)-MATCH($D$1,[1]stages!$2:$2,0)+1),MATCH(F$1,[1]stages!$2:$2,0)-MATCH($D$1,[1]stages!$2:$2,0)+1,FALSE)</f>
        <v>26-2．フロアジャック</v>
      </c>
      <c r="G760" s="56">
        <v>4</v>
      </c>
      <c r="H760" s="17" t="str">
        <f t="shared" si="723"/>
        <v>26_2-4</v>
      </c>
      <c r="I760" s="17"/>
      <c r="J760" s="17"/>
      <c r="K760" s="65" t="s">
        <v>56</v>
      </c>
      <c r="L760" s="52">
        <v>362</v>
      </c>
      <c r="M760" s="21" t="str">
        <f ca="1">VLOOKUP($L760,OFFSET([2]enemies!$A$1,0,0,COUNTA([2]enemies!$A:$A),MATCH(M$1,[2]enemies!$1:$1,0)-MATCH($L$1,[2]enemies!$1:$1,0)+1),MATCH(M$1,[2]enemies!$1:$1,0)-MATCH($L$1,[2]enemies!$1:$1,0)+1,FALSE)</f>
        <v>ゆらら</v>
      </c>
      <c r="N760" s="21" t="str">
        <f ca="1">VLOOKUP($L760,OFFSET([2]enemies!$A$1,0,0,COUNTA([2]enemies!$A:$A),MATCH(N$1,[2]enemies!$1:$1,0)-MATCH($L$1,[2]enemies!$1:$1,0)+1),MATCH(N$1,[2]enemies!$1:$1,0)-MATCH($L$1,[2]enemies!$1:$1,0)+1,FALSE)</f>
        <v>green</v>
      </c>
      <c r="O760" s="21" t="str">
        <f ca="1">VLOOKUP($L760,OFFSET([3]characters!$A$1,0,0,COUNTA([3]characters!$A:$A),MATCH(O$1,[3]characters!$1:$1,0)-MATCH($L$1,[3]characters!$1:$1,0)+1),MATCH(O$1,[3]characters!$1:$1,0)-MATCH($L$1,[3]characters!$1:$1,0)+1,FALSE)</f>
        <v>Drop1S</v>
      </c>
      <c r="P760" s="21" t="str">
        <f ca="1">VLOOKUP($L760,OFFSET([2]enemies!$A$1,0,0,COUNTA([2]enemies!$A:$A),MATCH(P$1,[2]enemies!$1:$1,0)-MATCH($L$1,[2]enemies!$1:$1,0)+1),MATCH(P$1,[2]enemies!$1:$1,0)-MATCH($L$1,[2]enemies!$1:$1,0)+1,FALSE)</f>
        <v>animal</v>
      </c>
      <c r="Q760" s="21">
        <f ca="1">VLOOKUP($L760,OFFSET([2]enemies!$A$1,0,0,COUNTA([2]enemies!$A:$A),MATCH(Q$1,[2]enemies!$1:$1,0)-MATCH($L$1,[2]enemies!$1:$1,0)+1),MATCH(Q$1,[2]enemies!$1:$1,0)-MATCH($L$1,[2]enemies!$1:$1,0)+1,FALSE)</f>
        <v>15</v>
      </c>
      <c r="R760" s="53">
        <v>52</v>
      </c>
      <c r="S760" s="27">
        <v>1</v>
      </c>
      <c r="T760" s="27">
        <v>1</v>
      </c>
      <c r="U760" s="5">
        <v>0</v>
      </c>
      <c r="V760" s="4" t="str">
        <f ca="1">VLOOKUP($W760,OFFSET([4]enemy_skill_sets!$B$1,0,0,COUNTA([4]enemy_skill_sets!$B:$B),MATCH(M$1,[4]enemy_skill_sets!$1:$1,0)-MATCH($W$1,[4]enemy_skill_sets!$1:$1,0)+2),MATCH(M$1,[4]enemy_skill_sets!$1:$1,0)-MATCH($W$1,[4]enemy_skill_sets!$1:$1,0)+2,FALSE)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760" s="64">
        <v>362</v>
      </c>
      <c r="X760" s="6">
        <v>0</v>
      </c>
      <c r="Y760" s="6">
        <v>100</v>
      </c>
      <c r="Z760" s="6">
        <v>0</v>
      </c>
      <c r="AA760" s="4">
        <f ca="1">VLOOKUP($L760,OFFSET([2]enemies!$A$1,0,0,COUNTA([2]enemies!$A:$A),MATCH(AA$1,[2]enemies!$1:$1,0)-MATCH($L$1,[2]enemies!$1:$1,0)+1),MATCH(AA$1,[2]enemies!$1:$1,0)-MATCH($L$1,[2]enemies!$1:$1,0)+1,FALSE)</f>
        <v>3</v>
      </c>
      <c r="AB760" s="52">
        <v>362</v>
      </c>
      <c r="AC760" s="4" t="str">
        <f ca="1">VLOOKUP($AB760,OFFSET([3]characters!$A$1,0,0,COUNTA([3]characters!$A:$A),MATCH(AC$1,[3]characters!$1:$1,0)-MATCH("character_id",[3]characters!$1:$1,0)+1),MATCH(AC$1,[3]characters!$1:$1,0)-MATCH("character_id",[3]characters!$1:$1,0)+1,FALSE)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760" s="4">
        <f ca="1">VLOOKUP($AB760,OFFSET([3]characters!$A$1,0,0,COUNTA([3]characters!$A:$A),MATCH(AD$1,[3]characters!$1:$1,0)-MATCH("character_id",[3]characters!$1:$1,0)+1),MATCH(AD$1,[3]characters!$1:$1,0)-MATCH("character_id",[3]characters!$1:$1,0)+1,FALSE)</f>
        <v>2</v>
      </c>
      <c r="AE760" s="4" t="str">
        <f ca="1">VLOOKUP($AB760,OFFSET([3]characters!$A$1,0,0,COUNTA([3]characters!$A:$A),MATCH(AE$1,[3]characters!$1:$1,0)-MATCH("character_id",[3]characters!$1:$1,0)+1),MATCH(AE$1,[3]characters!$1:$1,0)-MATCH("character_id",[3]characters!$1:$1,0)+1,FALSE)</f>
        <v>Drop1S</v>
      </c>
      <c r="AF760" s="7">
        <v>7</v>
      </c>
      <c r="AG760" s="26">
        <f t="shared" ca="1" si="702"/>
        <v>2</v>
      </c>
      <c r="AH760" s="8">
        <v>20</v>
      </c>
      <c r="AI760" s="7">
        <v>0</v>
      </c>
      <c r="AJ760" s="7">
        <v>0</v>
      </c>
      <c r="AK760" s="7">
        <v>0</v>
      </c>
      <c r="AL760" s="7">
        <v>0</v>
      </c>
      <c r="AM760" s="7">
        <v>1</v>
      </c>
    </row>
    <row r="761" spans="1:39" ht="14" x14ac:dyDescent="0.15">
      <c r="A761" s="18" t="str">
        <f t="shared" ca="1" si="714"/>
        <v>26_2-4/364&lt;lv52&gt;s3</v>
      </c>
      <c r="B761" s="53">
        <v>26</v>
      </c>
      <c r="C761" s="51">
        <v>2</v>
      </c>
      <c r="D761" s="2" t="str">
        <f t="shared" si="721"/>
        <v>26_2</v>
      </c>
      <c r="E761" s="2" t="str">
        <f t="shared" si="722"/>
        <v>2_26_2</v>
      </c>
      <c r="F761" s="4" t="str">
        <f ca="1">VLOOKUP($D761,OFFSET([1]stages!$A$1,0,0,COUNTA([1]stages!$A:$A),MATCH(F$1,[1]stages!$2:$2,0)-MATCH($D$1,[1]stages!$2:$2,0)+1),MATCH(F$1,[1]stages!$2:$2,0)-MATCH($D$1,[1]stages!$2:$2,0)+1,FALSE)</f>
        <v>26-2．フロアジャック</v>
      </c>
      <c r="G761" s="56">
        <v>4</v>
      </c>
      <c r="H761" s="17" t="str">
        <f t="shared" si="723"/>
        <v>26_2-4</v>
      </c>
      <c r="I761" s="17"/>
      <c r="J761" s="17"/>
      <c r="K761" s="65" t="s">
        <v>56</v>
      </c>
      <c r="L761" s="52">
        <v>364</v>
      </c>
      <c r="M761" s="21" t="str">
        <f ca="1">VLOOKUP($L761,OFFSET([2]enemies!$A$1,0,0,COUNTA([2]enemies!$A:$A),MATCH(M$1,[2]enemies!$1:$1,0)-MATCH($L$1,[2]enemies!$1:$1,0)+1),MATCH(M$1,[2]enemies!$1:$1,0)-MATCH($L$1,[2]enemies!$1:$1,0)+1,FALSE)</f>
        <v>ノエル</v>
      </c>
      <c r="N761" s="21" t="str">
        <f ca="1">VLOOKUP($L761,OFFSET([2]enemies!$A$1,0,0,COUNTA([2]enemies!$A:$A),MATCH(N$1,[2]enemies!$1:$1,0)-MATCH($L$1,[2]enemies!$1:$1,0)+1),MATCH(N$1,[2]enemies!$1:$1,0)-MATCH($L$1,[2]enemies!$1:$1,0)+1,FALSE)</f>
        <v>blue</v>
      </c>
      <c r="O761" s="21" t="str">
        <f ca="1">VLOOKUP($L761,OFFSET([3]characters!$A$1,0,0,COUNTA([3]characters!$A:$A),MATCH(O$1,[3]characters!$1:$1,0)-MATCH($L$1,[3]characters!$1:$1,0)+1),MATCH(O$1,[3]characters!$1:$1,0)-MATCH($L$1,[3]characters!$1:$1,0)+1,FALSE)</f>
        <v>Drop1S</v>
      </c>
      <c r="P761" s="21" t="str">
        <f ca="1">VLOOKUP($L761,OFFSET([2]enemies!$A$1,0,0,COUNTA([2]enemies!$A:$A),MATCH(P$1,[2]enemies!$1:$1,0)-MATCH($L$1,[2]enemies!$1:$1,0)+1),MATCH(P$1,[2]enemies!$1:$1,0)-MATCH($L$1,[2]enemies!$1:$1,0)+1,FALSE)</f>
        <v>animal</v>
      </c>
      <c r="Q761" s="21">
        <f ca="1">VLOOKUP($L761,OFFSET([2]enemies!$A$1,0,0,COUNTA([2]enemies!$A:$A),MATCH(Q$1,[2]enemies!$1:$1,0)-MATCH($L$1,[2]enemies!$1:$1,0)+1),MATCH(Q$1,[2]enemies!$1:$1,0)-MATCH($L$1,[2]enemies!$1:$1,0)+1,FALSE)</f>
        <v>15</v>
      </c>
      <c r="R761" s="53">
        <v>52</v>
      </c>
      <c r="S761" s="27">
        <v>1</v>
      </c>
      <c r="T761" s="27">
        <v>1</v>
      </c>
      <c r="U761" s="5">
        <v>0</v>
      </c>
      <c r="V761" s="4" t="str">
        <f ca="1">VLOOKUP($W761,OFFSET([4]enemy_skill_sets!$B$1,0,0,COUNTA([4]enemy_skill_sets!$B:$B),MATCH(M$1,[4]enemy_skill_sets!$1:$1,0)-MATCH($W$1,[4]enemy_skill_sets!$1:$1,0)+2),MATCH(M$1,[4]enemy_skill_sets!$1:$1,0)-MATCH($W$1,[4]enemy_skill_sets!$1:$1,0)+2,FALSE)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761" s="64">
        <v>364</v>
      </c>
      <c r="X761" s="6">
        <v>0</v>
      </c>
      <c r="Y761" s="6">
        <v>100</v>
      </c>
      <c r="Z761" s="6">
        <v>0</v>
      </c>
      <c r="AA761" s="4">
        <f ca="1">VLOOKUP($L761,OFFSET([2]enemies!$A$1,0,0,COUNTA([2]enemies!$A:$A),MATCH(AA$1,[2]enemies!$1:$1,0)-MATCH($L$1,[2]enemies!$1:$1,0)+1),MATCH(AA$1,[2]enemies!$1:$1,0)-MATCH($L$1,[2]enemies!$1:$1,0)+1,FALSE)</f>
        <v>3</v>
      </c>
      <c r="AB761" s="52">
        <v>364</v>
      </c>
      <c r="AC761" s="4" t="str">
        <f ca="1">VLOOKUP($AB761,OFFSET([3]characters!$A$1,0,0,COUNTA([3]characters!$A:$A),MATCH(AC$1,[3]characters!$1:$1,0)-MATCH("character_id",[3]characters!$1:$1,0)+1),MATCH(AC$1,[3]characters!$1:$1,0)-MATCH("character_id",[3]characters!$1:$1,0)+1,FALSE)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761" s="4">
        <f ca="1">VLOOKUP($AB761,OFFSET([3]characters!$A$1,0,0,COUNTA([3]characters!$A:$A),MATCH(AD$1,[3]characters!$1:$1,0)-MATCH("character_id",[3]characters!$1:$1,0)+1),MATCH(AD$1,[3]characters!$1:$1,0)-MATCH("character_id",[3]characters!$1:$1,0)+1,FALSE)</f>
        <v>2</v>
      </c>
      <c r="AE761" s="4" t="str">
        <f ca="1">VLOOKUP($AB761,OFFSET([3]characters!$A$1,0,0,COUNTA([3]characters!$A:$A),MATCH(AE$1,[3]characters!$1:$1,0)-MATCH("character_id",[3]characters!$1:$1,0)+1),MATCH(AE$1,[3]characters!$1:$1,0)-MATCH("character_id",[3]characters!$1:$1,0)+1,FALSE)</f>
        <v>Drop1S</v>
      </c>
      <c r="AF761" s="7">
        <v>7</v>
      </c>
      <c r="AG761" s="26">
        <f t="shared" ca="1" si="702"/>
        <v>2</v>
      </c>
      <c r="AH761" s="8">
        <v>20</v>
      </c>
      <c r="AI761" s="7">
        <v>0</v>
      </c>
      <c r="AJ761" s="7">
        <v>0</v>
      </c>
      <c r="AK761" s="7">
        <v>0</v>
      </c>
      <c r="AL761" s="7">
        <v>0</v>
      </c>
      <c r="AM761" s="7">
        <v>1</v>
      </c>
    </row>
    <row r="762" spans="1:39" ht="14" x14ac:dyDescent="0.15">
      <c r="A762" s="18" t="str">
        <f t="shared" ca="1" si="714"/>
        <v>26_2-4/366&lt;lv52&gt;s3</v>
      </c>
      <c r="B762" s="53">
        <v>26</v>
      </c>
      <c r="C762" s="51">
        <v>2</v>
      </c>
      <c r="D762" s="2" t="str">
        <f t="shared" ref="D762" si="724">B762&amp;"_"&amp;C762</f>
        <v>26_2</v>
      </c>
      <c r="E762" s="2" t="str">
        <f t="shared" ref="E762" si="725">C762&amp;"_"&amp;D762</f>
        <v>2_26_2</v>
      </c>
      <c r="F762" s="4" t="str">
        <f ca="1">VLOOKUP($D762,OFFSET([1]stages!$A$1,0,0,COUNTA([1]stages!$A:$A),MATCH(F$1,[1]stages!$2:$2,0)-MATCH($D$1,[1]stages!$2:$2,0)+1),MATCH(F$1,[1]stages!$2:$2,0)-MATCH($D$1,[1]stages!$2:$2,0)+1,FALSE)</f>
        <v>26-2．フロアジャック</v>
      </c>
      <c r="G762" s="56">
        <v>4</v>
      </c>
      <c r="H762" s="17" t="str">
        <f t="shared" ref="H762" si="726">B762&amp;"_"&amp;C762&amp;"-"&amp;G762</f>
        <v>26_2-4</v>
      </c>
      <c r="I762" s="17"/>
      <c r="J762" s="17"/>
      <c r="K762" s="65" t="s">
        <v>56</v>
      </c>
      <c r="L762" s="52">
        <v>366</v>
      </c>
      <c r="M762" s="21" t="str">
        <f ca="1">VLOOKUP($L762,OFFSET([2]enemies!$A$1,0,0,COUNTA([2]enemies!$A:$A),MATCH(M$1,[2]enemies!$1:$1,0)-MATCH($L$1,[2]enemies!$1:$1,0)+1),MATCH(M$1,[2]enemies!$1:$1,0)-MATCH($L$1,[2]enemies!$1:$1,0)+1,FALSE)</f>
        <v>トト</v>
      </c>
      <c r="N762" s="21" t="str">
        <f ca="1">VLOOKUP($L762,OFFSET([2]enemies!$A$1,0,0,COUNTA([2]enemies!$A:$A),MATCH(N$1,[2]enemies!$1:$1,0)-MATCH($L$1,[2]enemies!$1:$1,0)+1),MATCH(N$1,[2]enemies!$1:$1,0)-MATCH($L$1,[2]enemies!$1:$1,0)+1,FALSE)</f>
        <v>yellow</v>
      </c>
      <c r="O762" s="21" t="str">
        <f ca="1">VLOOKUP($L762,OFFSET([3]characters!$A$1,0,0,COUNTA([3]characters!$A:$A),MATCH(O$1,[3]characters!$1:$1,0)-MATCH($L$1,[3]characters!$1:$1,0)+1),MATCH(O$1,[3]characters!$1:$1,0)-MATCH($L$1,[3]characters!$1:$1,0)+1,FALSE)</f>
        <v>Drop1S</v>
      </c>
      <c r="P762" s="21" t="str">
        <f ca="1">VLOOKUP($L762,OFFSET([2]enemies!$A$1,0,0,COUNTA([2]enemies!$A:$A),MATCH(P$1,[2]enemies!$1:$1,0)-MATCH($L$1,[2]enemies!$1:$1,0)+1),MATCH(P$1,[2]enemies!$1:$1,0)-MATCH($L$1,[2]enemies!$1:$1,0)+1,FALSE)</f>
        <v>animal</v>
      </c>
      <c r="Q762" s="21">
        <f ca="1">VLOOKUP($L762,OFFSET([2]enemies!$A$1,0,0,COUNTA([2]enemies!$A:$A),MATCH(Q$1,[2]enemies!$1:$1,0)-MATCH($L$1,[2]enemies!$1:$1,0)+1),MATCH(Q$1,[2]enemies!$1:$1,0)-MATCH($L$1,[2]enemies!$1:$1,0)+1,FALSE)</f>
        <v>15</v>
      </c>
      <c r="R762" s="53">
        <v>52</v>
      </c>
      <c r="S762" s="27">
        <v>1</v>
      </c>
      <c r="T762" s="27">
        <v>1</v>
      </c>
      <c r="U762" s="5">
        <v>0</v>
      </c>
      <c r="V762" s="4" t="str">
        <f ca="1">VLOOKUP($W762,OFFSET([4]enemy_skill_sets!$B$1,0,0,COUNTA([4]enemy_skill_sets!$B:$B),MATCH(M$1,[4]enemy_skill_sets!$1:$1,0)-MATCH($W$1,[4]enemy_skill_sets!$1:$1,0)+2),MATCH(M$1,[4]enemy_skill_sets!$1:$1,0)-MATCH($W$1,[4]enemy_skill_sets!$1:$1,0)+2,FALSE)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762" s="64">
        <v>366</v>
      </c>
      <c r="X762" s="6">
        <v>0</v>
      </c>
      <c r="Y762" s="6">
        <v>100</v>
      </c>
      <c r="Z762" s="6">
        <v>0</v>
      </c>
      <c r="AA762" s="4">
        <f ca="1">VLOOKUP($L762,OFFSET([2]enemies!$A$1,0,0,COUNTA([2]enemies!$A:$A),MATCH(AA$1,[2]enemies!$1:$1,0)-MATCH($L$1,[2]enemies!$1:$1,0)+1),MATCH(AA$1,[2]enemies!$1:$1,0)-MATCH($L$1,[2]enemies!$1:$1,0)+1,FALSE)</f>
        <v>3</v>
      </c>
      <c r="AB762" s="52">
        <v>366</v>
      </c>
      <c r="AC762" s="4" t="str">
        <f ca="1">VLOOKUP($AB762,OFFSET([3]characters!$A$1,0,0,COUNTA([3]characters!$A:$A),MATCH(AC$1,[3]characters!$1:$1,0)-MATCH("character_id",[3]characters!$1:$1,0)+1),MATCH(AC$1,[3]characters!$1:$1,0)-MATCH("character_id",[3]characters!$1:$1,0)+1,FALSE)</f>
        <v>トト</v>
      </c>
      <c r="AD762" s="4">
        <f ca="1">VLOOKUP($AB762,OFFSET([3]characters!$A$1,0,0,COUNTA([3]characters!$A:$A),MATCH(AD$1,[3]characters!$1:$1,0)-MATCH("character_id",[3]characters!$1:$1,0)+1),MATCH(AD$1,[3]characters!$1:$1,0)-MATCH("character_id",[3]characters!$1:$1,0)+1,FALSE)</f>
        <v>2</v>
      </c>
      <c r="AE762" s="4" t="str">
        <f ca="1">VLOOKUP($AB762,OFFSET([3]characters!$A$1,0,0,COUNTA([3]characters!$A:$A),MATCH(AE$1,[3]characters!$1:$1,0)-MATCH("character_id",[3]characters!$1:$1,0)+1),MATCH(AE$1,[3]characters!$1:$1,0)-MATCH("character_id",[3]characters!$1:$1,0)+1,FALSE)</f>
        <v>Drop1S</v>
      </c>
      <c r="AF762" s="7">
        <v>7</v>
      </c>
      <c r="AG762" s="26">
        <f t="shared" ca="1" si="702"/>
        <v>2</v>
      </c>
      <c r="AH762" s="8">
        <v>20</v>
      </c>
      <c r="AI762" s="7">
        <v>0</v>
      </c>
      <c r="AJ762" s="7">
        <v>0</v>
      </c>
      <c r="AK762" s="7">
        <v>0</v>
      </c>
      <c r="AL762" s="7">
        <v>0</v>
      </c>
      <c r="AM762" s="7">
        <v>1</v>
      </c>
    </row>
    <row r="763" spans="1:39" ht="14" x14ac:dyDescent="0.15">
      <c r="A763" s="18" t="str">
        <f t="shared" ca="1" si="714"/>
        <v>26_2-4/350&lt;lv52&gt;s3</v>
      </c>
      <c r="B763" s="53">
        <v>26</v>
      </c>
      <c r="C763" s="51">
        <v>2</v>
      </c>
      <c r="D763" s="2" t="str">
        <f t="shared" ref="D763:D764" si="727">B763&amp;"_"&amp;C763</f>
        <v>26_2</v>
      </c>
      <c r="E763" s="2" t="str">
        <f t="shared" ref="E763:E764" si="728">C763&amp;"_"&amp;D763</f>
        <v>2_26_2</v>
      </c>
      <c r="F763" s="4" t="str">
        <f ca="1">VLOOKUP($D763,OFFSET([1]stages!$A$1,0,0,COUNTA([1]stages!$A:$A),MATCH(F$1,[1]stages!$2:$2,0)-MATCH($D$1,[1]stages!$2:$2,0)+1),MATCH(F$1,[1]stages!$2:$2,0)-MATCH($D$1,[1]stages!$2:$2,0)+1,FALSE)</f>
        <v>26-2．フロアジャック</v>
      </c>
      <c r="G763" s="56">
        <v>4</v>
      </c>
      <c r="H763" s="17" t="str">
        <f t="shared" ref="H763:H764" si="729">B763&amp;"_"&amp;C763&amp;"-"&amp;G763</f>
        <v>26_2-4</v>
      </c>
      <c r="I763" s="17"/>
      <c r="J763" s="17"/>
      <c r="K763" s="65" t="s">
        <v>56</v>
      </c>
      <c r="L763" s="52">
        <v>350</v>
      </c>
      <c r="M763" s="21" t="str">
        <f ca="1">VLOOKUP($L763,OFFSET([2]enemies!$A$1,0,0,COUNTA([2]enemies!$A:$A),MATCH(M$1,[2]enemies!$1:$1,0)-MATCH($L$1,[2]enemies!$1:$1,0)+1),MATCH(M$1,[2]enemies!$1:$1,0)-MATCH($L$1,[2]enemies!$1:$1,0)+1,FALSE)</f>
        <v>森のケロケロ</v>
      </c>
      <c r="N763" s="21" t="str">
        <f ca="1">VLOOKUP($L763,OFFSET([2]enemies!$A$1,0,0,COUNTA([2]enemies!$A:$A),MATCH(N$1,[2]enemies!$1:$1,0)-MATCH($L$1,[2]enemies!$1:$1,0)+1),MATCH(N$1,[2]enemies!$1:$1,0)-MATCH($L$1,[2]enemies!$1:$1,0)+1,FALSE)</f>
        <v>green</v>
      </c>
      <c r="O763" s="21" t="str">
        <f ca="1">VLOOKUP($L763,OFFSET([3]characters!$A$1,0,0,COUNTA([3]characters!$A:$A),MATCH(O$1,[3]characters!$1:$1,0)-MATCH($L$1,[3]characters!$1:$1,0)+1),MATCH(O$1,[3]characters!$1:$1,0)-MATCH($L$1,[3]characters!$1:$1,0)+1,FALSE)</f>
        <v>Material</v>
      </c>
      <c r="P763" s="21" t="str">
        <f ca="1">VLOOKUP($L763,OFFSET([2]enemies!$A$1,0,0,COUNTA([2]enemies!$A:$A),MATCH(P$1,[2]enemies!$1:$1,0)-MATCH($L$1,[2]enemies!$1:$1,0)+1),MATCH(P$1,[2]enemies!$1:$1,0)-MATCH($L$1,[2]enemies!$1:$1,0)+1,FALSE)</f>
        <v>unknown</v>
      </c>
      <c r="Q763" s="21">
        <f ca="1">VLOOKUP($L763,OFFSET([2]enemies!$A$1,0,0,COUNTA([2]enemies!$A:$A),MATCH(Q$1,[2]enemies!$1:$1,0)-MATCH($L$1,[2]enemies!$1:$1,0)+1),MATCH(Q$1,[2]enemies!$1:$1,0)-MATCH($L$1,[2]enemies!$1:$1,0)+1,FALSE)</f>
        <v>15</v>
      </c>
      <c r="R763" s="53">
        <v>52</v>
      </c>
      <c r="S763" s="27">
        <v>1</v>
      </c>
      <c r="T763" s="27">
        <v>1</v>
      </c>
      <c r="U763" s="5">
        <v>0</v>
      </c>
      <c r="V763" s="4" t="str">
        <f ca="1">VLOOKUP($W763,OFFSET([4]enemy_skill_sets!$B$1,0,0,COUNTA([4]enemy_skill_sets!$B:$B),MATCH(M$1,[4]enemy_skill_sets!$1:$1,0)-MATCH($W$1,[4]enemy_skill_sets!$1:$1,0)+2),MATCH(M$1,[4]enemy_skill_sets!$1:$1,0)-MATCH($W$1,[4]enemy_skill_sets!$1:$1,0)+2,FALSE)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763" s="64">
        <v>350</v>
      </c>
      <c r="X763" s="6">
        <v>1</v>
      </c>
      <c r="Y763" s="6">
        <v>100</v>
      </c>
      <c r="Z763" s="6">
        <v>0</v>
      </c>
      <c r="AA763" s="4">
        <f ca="1">VLOOKUP($L763,OFFSET([2]enemies!$A$1,0,0,COUNTA([2]enemies!$A:$A),MATCH(AA$1,[2]enemies!$1:$1,0)-MATCH($L$1,[2]enemies!$1:$1,0)+1),MATCH(AA$1,[2]enemies!$1:$1,0)-MATCH($L$1,[2]enemies!$1:$1,0)+1,FALSE)</f>
        <v>3</v>
      </c>
      <c r="AB763" s="52">
        <v>350</v>
      </c>
      <c r="AC763" s="4" t="str">
        <f ca="1">VLOOKUP($AB763,OFFSET([3]characters!$A$1,0,0,COUNTA([3]characters!$A:$A),MATCH(AC$1,[3]characters!$1:$1,0)-MATCH("character_id",[3]characters!$1:$1,0)+1),MATCH(AC$1,[3]characters!$1:$1,0)-MATCH("character_id",[3]characters!$1:$1,0)+1,FALSE)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763" s="4">
        <f ca="1">VLOOKUP($AB763,OFFSET([3]characters!$A$1,0,0,COUNTA([3]characters!$A:$A),MATCH(AD$1,[3]characters!$1:$1,0)-MATCH("character_id",[3]characters!$1:$1,0)+1),MATCH(AD$1,[3]characters!$1:$1,0)-MATCH("character_id",[3]characters!$1:$1,0)+1,FALSE)</f>
        <v>2</v>
      </c>
      <c r="AE763" s="4" t="str">
        <f ca="1">VLOOKUP($AB763,OFFSET([3]characters!$A$1,0,0,COUNTA([3]characters!$A:$A),MATCH(AE$1,[3]characters!$1:$1,0)-MATCH("character_id",[3]characters!$1:$1,0)+1),MATCH(AE$1,[3]characters!$1:$1,0)-MATCH("character_id",[3]characters!$1:$1,0)+1,FALSE)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63" s="7">
        <v>10</v>
      </c>
      <c r="AG763" s="26">
        <f t="shared" ca="1" si="702"/>
        <v>2</v>
      </c>
      <c r="AH763" s="8">
        <v>100</v>
      </c>
      <c r="AI763" s="7">
        <v>0</v>
      </c>
      <c r="AJ763" s="7">
        <v>0</v>
      </c>
      <c r="AK763" s="7">
        <v>0</v>
      </c>
      <c r="AL763" s="7">
        <v>0</v>
      </c>
      <c r="AM763" s="7">
        <v>1</v>
      </c>
    </row>
    <row r="764" spans="1:39" ht="14" x14ac:dyDescent="0.15">
      <c r="A764" s="18" t="str">
        <f t="shared" ca="1" si="714"/>
        <v>26_2-4/354&lt;lv52&gt;s3</v>
      </c>
      <c r="B764" s="53">
        <v>26</v>
      </c>
      <c r="C764" s="51">
        <v>2</v>
      </c>
      <c r="D764" s="2" t="str">
        <f t="shared" si="727"/>
        <v>26_2</v>
      </c>
      <c r="E764" s="2" t="str">
        <f t="shared" si="728"/>
        <v>2_26_2</v>
      </c>
      <c r="F764" s="4" t="str">
        <f ca="1">VLOOKUP($D764,OFFSET([1]stages!$A$1,0,0,COUNTA([1]stages!$A:$A),MATCH(F$1,[1]stages!$2:$2,0)-MATCH($D$1,[1]stages!$2:$2,0)+1),MATCH(F$1,[1]stages!$2:$2,0)-MATCH($D$1,[1]stages!$2:$2,0)+1,FALSE)</f>
        <v>26-2．フロアジャック</v>
      </c>
      <c r="G764" s="56">
        <v>4</v>
      </c>
      <c r="H764" s="17" t="str">
        <f t="shared" si="729"/>
        <v>26_2-4</v>
      </c>
      <c r="I764" s="17"/>
      <c r="J764" s="17"/>
      <c r="K764" s="65" t="s">
        <v>56</v>
      </c>
      <c r="L764" s="52">
        <v>354</v>
      </c>
      <c r="M764" s="21" t="str">
        <f ca="1">VLOOKUP($L764,OFFSET([2]enemies!$A$1,0,0,COUNTA([2]enemies!$A:$A),MATCH(M$1,[2]enemies!$1:$1,0)-MATCH($L$1,[2]enemies!$1:$1,0)+1),MATCH(M$1,[2]enemies!$1:$1,0)-MATCH($L$1,[2]enemies!$1:$1,0)+1,FALSE)</f>
        <v>雷のケロケロ</v>
      </c>
      <c r="N764" s="21" t="str">
        <f ca="1">VLOOKUP($L764,OFFSET([2]enemies!$A$1,0,0,COUNTA([2]enemies!$A:$A),MATCH(N$1,[2]enemies!$1:$1,0)-MATCH($L$1,[2]enemies!$1:$1,0)+1),MATCH(N$1,[2]enemies!$1:$1,0)-MATCH($L$1,[2]enemies!$1:$1,0)+1,FALSE)</f>
        <v>yellow</v>
      </c>
      <c r="O764" s="21" t="str">
        <f ca="1">VLOOKUP($L764,OFFSET([3]characters!$A$1,0,0,COUNTA([3]characters!$A:$A),MATCH(O$1,[3]characters!$1:$1,0)-MATCH($L$1,[3]characters!$1:$1,0)+1),MATCH(O$1,[3]characters!$1:$1,0)-MATCH($L$1,[3]characters!$1:$1,0)+1,FALSE)</f>
        <v>Material</v>
      </c>
      <c r="P764" s="21" t="str">
        <f ca="1">VLOOKUP($L764,OFFSET([2]enemies!$A$1,0,0,COUNTA([2]enemies!$A:$A),MATCH(P$1,[2]enemies!$1:$1,0)-MATCH($L$1,[2]enemies!$1:$1,0)+1),MATCH(P$1,[2]enemies!$1:$1,0)-MATCH($L$1,[2]enemies!$1:$1,0)+1,FALSE)</f>
        <v>unknown</v>
      </c>
      <c r="Q764" s="21">
        <f ca="1">VLOOKUP($L764,OFFSET([2]enemies!$A$1,0,0,COUNTA([2]enemies!$A:$A),MATCH(Q$1,[2]enemies!$1:$1,0)-MATCH($L$1,[2]enemies!$1:$1,0)+1),MATCH(Q$1,[2]enemies!$1:$1,0)-MATCH($L$1,[2]enemies!$1:$1,0)+1,FALSE)</f>
        <v>15</v>
      </c>
      <c r="R764" s="53">
        <v>52</v>
      </c>
      <c r="S764" s="27">
        <v>1</v>
      </c>
      <c r="T764" s="27">
        <v>1</v>
      </c>
      <c r="U764" s="5">
        <v>0</v>
      </c>
      <c r="V764" s="4" t="str">
        <f ca="1">VLOOKUP($W764,OFFSET([4]enemy_skill_sets!$B$1,0,0,COUNTA([4]enemy_skill_sets!$B:$B),MATCH(M$1,[4]enemy_skill_sets!$1:$1,0)-MATCH($W$1,[4]enemy_skill_sets!$1:$1,0)+2),MATCH(M$1,[4]enemy_skill_sets!$1:$1,0)-MATCH($W$1,[4]enemy_skill_sets!$1:$1,0)+2,FALSE)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764" s="64">
        <v>354</v>
      </c>
      <c r="X764" s="6">
        <v>0</v>
      </c>
      <c r="Y764" s="6">
        <v>100</v>
      </c>
      <c r="Z764" s="6">
        <v>0</v>
      </c>
      <c r="AA764" s="4">
        <f ca="1">VLOOKUP($L764,OFFSET([2]enemies!$A$1,0,0,COUNTA([2]enemies!$A:$A),MATCH(AA$1,[2]enemies!$1:$1,0)-MATCH($L$1,[2]enemies!$1:$1,0)+1),MATCH(AA$1,[2]enemies!$1:$1,0)-MATCH($L$1,[2]enemies!$1:$1,0)+1,FALSE)</f>
        <v>3</v>
      </c>
      <c r="AB764" s="52">
        <v>354</v>
      </c>
      <c r="AC764" s="4" t="str">
        <f ca="1">VLOOKUP($AB764,OFFSET([3]characters!$A$1,0,0,COUNTA([3]characters!$A:$A),MATCH(AC$1,[3]characters!$1:$1,0)-MATCH("character_id",[3]characters!$1:$1,0)+1),MATCH(AC$1,[3]characters!$1:$1,0)-MATCH("character_id",[3]characters!$1:$1,0)+1,FALSE)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764" s="4">
        <f ca="1">VLOOKUP($AB764,OFFSET([3]characters!$A$1,0,0,COUNTA([3]characters!$A:$A),MATCH(AD$1,[3]characters!$1:$1,0)-MATCH("character_id",[3]characters!$1:$1,0)+1),MATCH(AD$1,[3]characters!$1:$1,0)-MATCH("character_id",[3]characters!$1:$1,0)+1,FALSE)</f>
        <v>2</v>
      </c>
      <c r="AE764" s="4" t="str">
        <f ca="1">VLOOKUP($AB764,OFFSET([3]characters!$A$1,0,0,COUNTA([3]characters!$A:$A),MATCH(AE$1,[3]characters!$1:$1,0)-MATCH("character_id",[3]characters!$1:$1,0)+1),MATCH(AE$1,[3]characters!$1:$1,0)-MATCH("character_id",[3]characters!$1:$1,0)+1,FALSE)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64" s="7">
        <v>10</v>
      </c>
      <c r="AG764" s="26">
        <f t="shared" ca="1" si="702"/>
        <v>2</v>
      </c>
      <c r="AH764" s="8">
        <v>20</v>
      </c>
      <c r="AI764" s="7">
        <v>0</v>
      </c>
      <c r="AJ764" s="7">
        <v>0</v>
      </c>
      <c r="AK764" s="7">
        <v>0</v>
      </c>
      <c r="AL764" s="7">
        <v>0</v>
      </c>
      <c r="AM764" s="7">
        <v>1</v>
      </c>
    </row>
    <row r="765" spans="1:39" ht="14" x14ac:dyDescent="0.15">
      <c r="A765" s="18" t="str">
        <f t="shared" ca="1" si="714"/>
        <v>26_2-5/205&lt;lv56&gt;s3</v>
      </c>
      <c r="B765" s="50">
        <v>26</v>
      </c>
      <c r="C765" s="49">
        <v>2</v>
      </c>
      <c r="D765" s="2" t="str">
        <f t="shared" ref="D765:E788" si="730">B765&amp;"_"&amp;C765</f>
        <v>26_2</v>
      </c>
      <c r="E765" s="2" t="str">
        <f t="shared" si="730"/>
        <v>2_26_2</v>
      </c>
      <c r="F765" s="4" t="str">
        <f ca="1">VLOOKUP($D765,OFFSET([1]stages!$A$1,0,0,COUNTA([1]stages!$A:$A),MATCH(F$1,[1]stages!$2:$2,0)-MATCH($D$1,[1]stages!$2:$2,0)+1),MATCH(F$1,[1]stages!$2:$2,0)-MATCH($D$1,[1]stages!$2:$2,0)+1,FALSE)</f>
        <v>26-2．フロアジャック</v>
      </c>
      <c r="G765" s="57">
        <v>5</v>
      </c>
      <c r="H765" s="17" t="str">
        <f t="shared" ref="H765:H788" si="731">B765&amp;"_"&amp;C765&amp;"-"&amp;G765</f>
        <v>26_2-5</v>
      </c>
      <c r="I765" s="17"/>
      <c r="J765" s="17"/>
      <c r="K765" s="65" t="s">
        <v>56</v>
      </c>
      <c r="L765" s="52">
        <v>205</v>
      </c>
      <c r="M765" s="21" t="str">
        <f ca="1">VLOOKUP($L765,OFFSET([2]enemies!$A$1,0,0,COUNTA([2]enemies!$A:$A),MATCH(M$1,[2]enemies!$1:$1,0)-MATCH($L$1,[2]enemies!$1:$1,0)+1),MATCH(M$1,[2]enemies!$1:$1,0)-MATCH($L$1,[2]enemies!$1:$1,0)+1,FALSE)</f>
        <v>アフロディーテ</v>
      </c>
      <c r="N765" s="21" t="str">
        <f ca="1">VLOOKUP($L765,OFFSET([2]enemies!$A$1,0,0,COUNTA([2]enemies!$A:$A),MATCH(N$1,[2]enemies!$1:$1,0)-MATCH($L$1,[2]enemies!$1:$1,0)+1),MATCH(N$1,[2]enemies!$1:$1,0)-MATCH($L$1,[2]enemies!$1:$1,0)+1,FALSE)</f>
        <v>green</v>
      </c>
      <c r="O765" s="21" t="str">
        <f ca="1">VLOOKUP($L765,OFFSET([3]characters!$A$1,0,0,COUNTA([3]characters!$A:$A),MATCH(O$1,[3]characters!$1:$1,0)-MATCH($L$1,[3]characters!$1:$1,0)+1),MATCH(O$1,[3]characters!$1:$1,0)-MATCH($L$1,[3]characters!$1:$1,0)+1,FALSE)</f>
        <v>PremiumN</v>
      </c>
      <c r="P765" s="21" t="str">
        <f ca="1">VLOOKUP($L765,OFFSET([2]enemies!$A$1,0,0,COUNTA([2]enemies!$A:$A),MATCH(P$1,[2]enemies!$1:$1,0)-MATCH($L$1,[2]enemies!$1:$1,0)+1),MATCH(P$1,[2]enemies!$1:$1,0)-MATCH($L$1,[2]enemies!$1:$1,0)+1,FALSE)</f>
        <v>god</v>
      </c>
      <c r="Q765" s="21">
        <f ca="1">VLOOKUP($L765,OFFSET([2]enemies!$A$1,0,0,COUNTA([2]enemies!$A:$A),MATCH(Q$1,[2]enemies!$1:$1,0)-MATCH($L$1,[2]enemies!$1:$1,0)+1),MATCH(Q$1,[2]enemies!$1:$1,0)-MATCH($L$1,[2]enemies!$1:$1,0)+1,FALSE)</f>
        <v>20</v>
      </c>
      <c r="R765" s="53">
        <v>56</v>
      </c>
      <c r="S765" s="27">
        <v>1</v>
      </c>
      <c r="T765" s="27">
        <v>1</v>
      </c>
      <c r="U765" s="5">
        <v>0</v>
      </c>
      <c r="V765" s="4" t="str">
        <f ca="1">VLOOKUP($W765,OFFSET([4]enemy_skill_sets!$B$1,0,0,COUNTA([4]enemy_skill_sets!$B:$B),MATCH(M$1,[4]enemy_skill_sets!$1:$1,0)-MATCH($W$1,[4]enemy_skill_sets!$1:$1,0)+2),MATCH(M$1,[4]enemy_skill_sets!$1:$1,0)-MATCH($W$1,[4]enemy_skill_sets!$1:$1,0)+2,FALSE)</f>
        <v>ユニット1体に3ターンスリープ＋攻撃</v>
      </c>
      <c r="W765" s="75">
        <v>20501</v>
      </c>
      <c r="X765" s="6">
        <v>1</v>
      </c>
      <c r="Y765" s="6">
        <v>100</v>
      </c>
      <c r="Z765" s="6">
        <v>1</v>
      </c>
      <c r="AA765" s="4">
        <f ca="1">VLOOKUP($L765,OFFSET([2]enemies!$A$1,0,0,COUNTA([2]enemies!$A:$A),MATCH(AA$1,[2]enemies!$1:$1,0)-MATCH($L$1,[2]enemies!$1:$1,0)+1),MATCH(AA$1,[2]enemies!$1:$1,0)-MATCH($L$1,[2]enemies!$1:$1,0)+1,FALSE)</f>
        <v>3</v>
      </c>
      <c r="AB765" s="52">
        <v>205</v>
      </c>
      <c r="AC765" s="4" t="str">
        <f ca="1">VLOOKUP($AB765,OFFSET([3]characters!$A$1,0,0,COUNTA([3]characters!$A:$A),MATCH(AC$1,[3]characters!$1:$1,0)-MATCH("character_id",[3]characters!$1:$1,0)+1),MATCH(AC$1,[3]characters!$1:$1,0)-MATCH("character_id",[3]characters!$1:$1,0)+1,FALSE)</f>
        <v>アフロディーテ</v>
      </c>
      <c r="AD765" s="4">
        <f ca="1">VLOOKUP($AB765,OFFSET([3]characters!$A$1,0,0,COUNTA([3]characters!$A:$A),MATCH(AD$1,[3]characters!$1:$1,0)-MATCH("character_id",[3]characters!$1:$1,0)+1),MATCH(AD$1,[3]characters!$1:$1,0)-MATCH("character_id",[3]characters!$1:$1,0)+1,FALSE)</f>
        <v>3</v>
      </c>
      <c r="AE765" s="4" t="str">
        <f ca="1">VLOOKUP($AB765,OFFSET([3]characters!$A$1,0,0,COUNTA([3]characters!$A:$A),MATCH(AE$1,[3]characters!$1:$1,0)-MATCH("character_id",[3]characters!$1:$1,0)+1),MATCH(AE$1,[3]characters!$1:$1,0)-MATCH("character_id",[3]characters!$1:$1,0)+1,FALSE)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765" s="7">
        <v>1</v>
      </c>
      <c r="AG765" s="26">
        <f t="shared" ca="1" si="702"/>
        <v>3</v>
      </c>
      <c r="AH765" s="8">
        <v>0</v>
      </c>
      <c r="AI765" s="7">
        <v>0</v>
      </c>
      <c r="AJ765" s="7">
        <v>0</v>
      </c>
      <c r="AK765" s="7">
        <v>0</v>
      </c>
      <c r="AL765" s="7">
        <v>0</v>
      </c>
      <c r="AM765" s="7">
        <v>1</v>
      </c>
    </row>
    <row r="766" spans="1:39" ht="14" x14ac:dyDescent="0.15">
      <c r="A766" s="18" t="str">
        <f t="shared" si="714"/>
        <v>26_2-5/226&lt;lv56&gt;s2</v>
      </c>
      <c r="B766" s="53">
        <v>26</v>
      </c>
      <c r="C766" s="51">
        <v>2</v>
      </c>
      <c r="D766" s="2" t="str">
        <f t="shared" ref="D766:E766" si="732">B766&amp;"_"&amp;C766</f>
        <v>26_2</v>
      </c>
      <c r="E766" s="2" t="str">
        <f t="shared" si="732"/>
        <v>2_26_2</v>
      </c>
      <c r="F766" s="4" t="str">
        <f ca="1">VLOOKUP($D766,OFFSET([1]stages!$A$1,0,0,COUNTA([1]stages!$A:$A),MATCH(F$1,[1]stages!$2:$2,0)-MATCH($D$1,[1]stages!$2:$2,0)+1),MATCH(F$1,[1]stages!$2:$2,0)-MATCH($D$1,[1]stages!$2:$2,0)+1,FALSE)</f>
        <v>26-2．フロアジャック</v>
      </c>
      <c r="G766" s="57">
        <v>5</v>
      </c>
      <c r="H766" s="17" t="str">
        <f t="shared" ref="H766" si="733">B766&amp;"_"&amp;C766&amp;"-"&amp;G766</f>
        <v>26_2-5</v>
      </c>
      <c r="I766" s="17"/>
      <c r="J766" s="17"/>
      <c r="K766" s="65" t="s">
        <v>56</v>
      </c>
      <c r="L766" s="52">
        <v>226</v>
      </c>
      <c r="M766" s="21" t="str">
        <f ca="1">VLOOKUP($L766,OFFSET([2]enemies!$A$1,0,0,COUNTA([2]enemies!$A:$A),MATCH(M$1,[2]enemies!$1:$1,0)-MATCH($L$1,[2]enemies!$1:$1,0)+1),MATCH(M$1,[2]enemies!$1:$1,0)-MATCH($L$1,[2]enemies!$1:$1,0)+1,FALSE)</f>
        <v>アレス</v>
      </c>
      <c r="N766" s="21" t="str">
        <f ca="1">VLOOKUP($L766,OFFSET([2]enemies!$A$1,0,0,COUNTA([2]enemies!$A:$A),MATCH(N$1,[2]enemies!$1:$1,0)-MATCH($L$1,[2]enemies!$1:$1,0)+1),MATCH(N$1,[2]enemies!$1:$1,0)-MATCH($L$1,[2]enemies!$1:$1,0)+1,FALSE)</f>
        <v>red</v>
      </c>
      <c r="O766" s="21" t="str">
        <f ca="1">VLOOKUP($L766,OFFSET([3]characters!$A$1,0,0,COUNTA([3]characters!$A:$A),MATCH(O$1,[3]characters!$1:$1,0)-MATCH($L$1,[3]characters!$1:$1,0)+1),MATCH(O$1,[3]characters!$1:$1,0)-MATCH($L$1,[3]characters!$1:$1,0)+1,FALSE)</f>
        <v>PremiumS</v>
      </c>
      <c r="P766" s="21" t="str">
        <f ca="1">VLOOKUP($L766,OFFSET([2]enemies!$A$1,0,0,COUNTA([2]enemies!$A:$A),MATCH(P$1,[2]enemies!$1:$1,0)-MATCH($L$1,[2]enemies!$1:$1,0)+1),MATCH(P$1,[2]enemies!$1:$1,0)-MATCH($L$1,[2]enemies!$1:$1,0)+1,FALSE)</f>
        <v>god</v>
      </c>
      <c r="Q766" s="21">
        <f ca="1">VLOOKUP($L766,OFFSET([2]enemies!$A$1,0,0,COUNTA([2]enemies!$A:$A),MATCH(Q$1,[2]enemies!$1:$1,0)-MATCH($L$1,[2]enemies!$1:$1,0)+1),MATCH(Q$1,[2]enemies!$1:$1,0)-MATCH($L$1,[2]enemies!$1:$1,0)+1,FALSE)</f>
        <v>20</v>
      </c>
      <c r="R766" s="53">
        <v>56</v>
      </c>
      <c r="S766" s="27">
        <v>1.4</v>
      </c>
      <c r="T766" s="27">
        <v>1.6</v>
      </c>
      <c r="U766" s="5">
        <v>0</v>
      </c>
      <c r="V766" s="4" t="str">
        <f ca="1">VLOOKUP($W766,OFFSET([4]enemy_skill_sets!$B$1,0,0,COUNTA([4]enemy_skill_sets!$B:$B),MATCH(M$1,[4]enemy_skill_sets!$1:$1,0)-MATCH($W$1,[4]enemy_skill_sets!$1:$1,0)+2),MATCH(M$1,[4]enemy_skill_sets!$1:$1,0)-MATCH($W$1,[4]enemy_skill_sets!$1:$1,0)+2,FALSE)</f>
        <v>3ターン攻撃力UP</v>
      </c>
      <c r="W766" s="64">
        <v>22601</v>
      </c>
      <c r="X766" s="6">
        <v>1</v>
      </c>
      <c r="Y766" s="6">
        <v>100</v>
      </c>
      <c r="Z766" s="6">
        <v>1</v>
      </c>
      <c r="AA766" s="64">
        <v>2</v>
      </c>
      <c r="AB766" s="52">
        <v>226</v>
      </c>
      <c r="AC766" s="4" t="str">
        <f ca="1">VLOOKUP($AB766,OFFSET([3]characters!$A$1,0,0,COUNTA([3]characters!$A:$A),MATCH(AC$1,[3]characters!$1:$1,0)-MATCH("character_id",[3]characters!$1:$1,0)+1),MATCH(AC$1,[3]characters!$1:$1,0)-MATCH("character_id",[3]characters!$1:$1,0)+1,FALSE)</f>
        <v>アレス</v>
      </c>
      <c r="AD766" s="4">
        <f ca="1">VLOOKUP($AB766,OFFSET([3]characters!$A$1,0,0,COUNTA([3]characters!$A:$A),MATCH(AD$1,[3]characters!$1:$1,0)-MATCH("character_id",[3]characters!$1:$1,0)+1),MATCH(AD$1,[3]characters!$1:$1,0)-MATCH("character_id",[3]characters!$1:$1,0)+1,FALSE)</f>
        <v>3</v>
      </c>
      <c r="AE766" s="4" t="str">
        <f ca="1">VLOOKUP($AB766,OFFSET([3]characters!$A$1,0,0,COUNTA([3]characters!$A:$A),MATCH(AE$1,[3]characters!$1:$1,0)-MATCH("character_id",[3]characters!$1:$1,0)+1),MATCH(AE$1,[3]characters!$1:$1,0)-MATCH("character_id",[3]characters!$1:$1,0)+1,FALSE)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766" s="7">
        <v>1</v>
      </c>
      <c r="AG766" s="26">
        <f t="shared" ca="1" si="702"/>
        <v>3</v>
      </c>
      <c r="AH766" s="8">
        <v>0</v>
      </c>
      <c r="AI766" s="7">
        <v>0</v>
      </c>
      <c r="AJ766" s="7">
        <v>0</v>
      </c>
      <c r="AK766" s="7">
        <v>0</v>
      </c>
      <c r="AL766" s="7">
        <v>0</v>
      </c>
      <c r="AM766" s="7">
        <v>1</v>
      </c>
    </row>
    <row r="767" spans="1:39" ht="14" x14ac:dyDescent="0.15">
      <c r="A767" s="18" t="str">
        <f t="shared" ca="1" si="714"/>
        <v>26_3-1/9&lt;lv54&gt;s2</v>
      </c>
      <c r="B767" s="50">
        <v>26</v>
      </c>
      <c r="C767" s="49">
        <v>3</v>
      </c>
      <c r="D767" s="2" t="str">
        <f t="shared" si="730"/>
        <v>26_3</v>
      </c>
      <c r="E767" s="2" t="str">
        <f t="shared" si="730"/>
        <v>3_26_3</v>
      </c>
      <c r="F767" s="4" t="str">
        <f ca="1">VLOOKUP($D767,OFFSET([1]stages!$A$1,0,0,COUNTA([1]stages!$A:$A),MATCH(F$1,[1]stages!$2:$2,0)-MATCH($D$1,[1]stages!$2:$2,0)+1),MATCH(F$1,[1]stages!$2:$2,0)-MATCH($D$1,[1]stages!$2:$2,0)+1,FALSE)</f>
        <v>26-3．荒ぶる電飾</v>
      </c>
      <c r="G767" s="54">
        <v>1</v>
      </c>
      <c r="H767" s="17" t="str">
        <f t="shared" si="731"/>
        <v>26_3-1</v>
      </c>
      <c r="I767" s="17"/>
      <c r="J767" s="17"/>
      <c r="K767" s="65" t="s">
        <v>56</v>
      </c>
      <c r="L767" s="52">
        <v>9</v>
      </c>
      <c r="M767" s="21" t="str">
        <f ca="1">VLOOKUP($L767,OFFSET([2]enemies!$A$1,0,0,COUNTA([2]enemies!$A:$A),MATCH(M$1,[2]enemies!$1:$1,0)-MATCH($L$1,[2]enemies!$1:$1,0)+1),MATCH(M$1,[2]enemies!$1:$1,0)-MATCH($L$1,[2]enemies!$1:$1,0)+1,FALSE)</f>
        <v>ブレット</v>
      </c>
      <c r="N767" s="21" t="str">
        <f ca="1">VLOOKUP($L767,OFFSET([2]enemies!$A$1,0,0,COUNTA([2]enemies!$A:$A),MATCH(N$1,[2]enemies!$1:$1,0)-MATCH($L$1,[2]enemies!$1:$1,0)+1),MATCH(N$1,[2]enemies!$1:$1,0)-MATCH($L$1,[2]enemies!$1:$1,0)+1,FALSE)</f>
        <v>red</v>
      </c>
      <c r="O767" s="21" t="str">
        <f ca="1">VLOOKUP($L767,OFFSET([3]characters!$A$1,0,0,COUNTA([3]characters!$A:$A),MATCH(O$1,[3]characters!$1:$1,0)-MATCH($L$1,[3]characters!$1:$1,0)+1),MATCH(O$1,[3]characters!$1:$1,0)-MATCH($L$1,[3]characters!$1:$1,0)+1,FALSE)</f>
        <v>Drop1W</v>
      </c>
      <c r="P767" s="21" t="str">
        <f ca="1">VLOOKUP($L767,OFFSET([2]enemies!$A$1,0,0,COUNTA([2]enemies!$A:$A),MATCH(P$1,[2]enemies!$1:$1,0)-MATCH($L$1,[2]enemies!$1:$1,0)+1),MATCH(P$1,[2]enemies!$1:$1,0)-MATCH($L$1,[2]enemies!$1:$1,0)+1,FALSE)</f>
        <v>animal</v>
      </c>
      <c r="Q767" s="21">
        <f ca="1">VLOOKUP($L767,OFFSET([2]enemies!$A$1,0,0,COUNTA([2]enemies!$A:$A),MATCH(Q$1,[2]enemies!$1:$1,0)-MATCH($L$1,[2]enemies!$1:$1,0)+1),MATCH(Q$1,[2]enemies!$1:$1,0)-MATCH($L$1,[2]enemies!$1:$1,0)+1,FALSE)</f>
        <v>15</v>
      </c>
      <c r="R767" s="53">
        <v>54</v>
      </c>
      <c r="S767" s="27">
        <v>1</v>
      </c>
      <c r="T767" s="27">
        <v>1</v>
      </c>
      <c r="U767" s="5">
        <v>0</v>
      </c>
      <c r="V767" s="4" t="str">
        <f ca="1">VLOOKUP($W767,OFFSET([4]enemy_skill_sets!$B$1,0,0,COUNTA([4]enemy_skill_sets!$B:$B),MATCH(M$1,[4]enemy_skill_sets!$1:$1,0)-MATCH($W$1,[4]enemy_skill_sets!$1:$1,0)+2),MATCH(M$1,[4]enemy_skill_sets!$1:$1,0)-MATCH($W$1,[4]enemy_skill_sets!$1:$1,0)+2,FALSE)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67" s="4">
        <f ca="1">VLOOKUP($L767,OFFSET([2]enemies!$A$1,0,0,COUNTA([2]enemies!$A:$A),MATCH(W$1,[2]enemies!$1:$1,0)-MATCH($L$1,[2]enemies!$1:$1,0)+1),MATCH(W$1,[2]enemies!$1:$1,0)-MATCH($L$1,[2]enemies!$1:$1,0)+1,FALSE)</f>
        <v>0</v>
      </c>
      <c r="X767" s="6">
        <v>0</v>
      </c>
      <c r="Y767" s="6">
        <v>100</v>
      </c>
      <c r="Z767" s="6">
        <v>0</v>
      </c>
      <c r="AA767" s="4">
        <f ca="1">VLOOKUP($L767,OFFSET([2]enemies!$A$1,0,0,COUNTA([2]enemies!$A:$A),MATCH(AA$1,[2]enemies!$1:$1,0)-MATCH($L$1,[2]enemies!$1:$1,0)+1),MATCH(AA$1,[2]enemies!$1:$1,0)-MATCH($L$1,[2]enemies!$1:$1,0)+1,FALSE)</f>
        <v>2</v>
      </c>
      <c r="AB767" s="52">
        <v>9</v>
      </c>
      <c r="AC767" s="4" t="str">
        <f ca="1">VLOOKUP($AB767,OFFSET([3]characters!$A$1,0,0,COUNTA([3]characters!$A:$A),MATCH(AC$1,[3]characters!$1:$1,0)-MATCH("character_id",[3]characters!$1:$1,0)+1),MATCH(AC$1,[3]characters!$1:$1,0)-MATCH("character_id",[3]characters!$1:$1,0)+1,FALSE)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767" s="4">
        <f ca="1">VLOOKUP($AB767,OFFSET([3]characters!$A$1,0,0,COUNTA([3]characters!$A:$A),MATCH(AD$1,[3]characters!$1:$1,0)-MATCH("character_id",[3]characters!$1:$1,0)+1),MATCH(AD$1,[3]characters!$1:$1,0)-MATCH("character_id",[3]characters!$1:$1,0)+1,FALSE)</f>
        <v>1</v>
      </c>
      <c r="AE767" s="4" t="str">
        <f ca="1">VLOOKUP($AB767,OFFSET([3]characters!$A$1,0,0,COUNTA([3]characters!$A:$A),MATCH(AE$1,[3]characters!$1:$1,0)-MATCH("character_id",[3]characters!$1:$1,0)+1),MATCH(AE$1,[3]characters!$1:$1,0)-MATCH("character_id",[3]characters!$1:$1,0)+1,FALSE)</f>
        <v>Drop1W</v>
      </c>
      <c r="AF767" s="7">
        <v>9</v>
      </c>
      <c r="AG767" s="26">
        <f t="shared" ca="1" si="702"/>
        <v>1</v>
      </c>
      <c r="AH767" s="8">
        <v>20</v>
      </c>
      <c r="AI767" s="7">
        <v>0</v>
      </c>
      <c r="AJ767" s="7">
        <v>0</v>
      </c>
      <c r="AK767" s="7">
        <v>0</v>
      </c>
      <c r="AL767" s="7">
        <v>0</v>
      </c>
      <c r="AM767" s="7">
        <v>1</v>
      </c>
    </row>
    <row r="768" spans="1:39" ht="14" x14ac:dyDescent="0.15">
      <c r="A768" s="18" t="str">
        <f t="shared" ca="1" si="714"/>
        <v>26_3-1/11&lt;lv54&gt;s3</v>
      </c>
      <c r="B768" s="50">
        <v>26</v>
      </c>
      <c r="C768" s="49">
        <v>3</v>
      </c>
      <c r="D768" s="2" t="str">
        <f t="shared" si="730"/>
        <v>26_3</v>
      </c>
      <c r="E768" s="2" t="str">
        <f t="shared" si="730"/>
        <v>3_26_3</v>
      </c>
      <c r="F768" s="4" t="str">
        <f ca="1">VLOOKUP($D768,OFFSET([1]stages!$A$1,0,0,COUNTA([1]stages!$A:$A),MATCH(F$1,[1]stages!$2:$2,0)-MATCH($D$1,[1]stages!$2:$2,0)+1),MATCH(F$1,[1]stages!$2:$2,0)-MATCH($D$1,[1]stages!$2:$2,0)+1,FALSE)</f>
        <v>26-3．荒ぶる電飾</v>
      </c>
      <c r="G768" s="54">
        <v>1</v>
      </c>
      <c r="H768" s="17" t="str">
        <f t="shared" si="731"/>
        <v>26_3-1</v>
      </c>
      <c r="I768" s="17"/>
      <c r="J768" s="17"/>
      <c r="K768" s="65" t="s">
        <v>56</v>
      </c>
      <c r="L768" s="52">
        <v>11</v>
      </c>
      <c r="M768" s="21" t="str">
        <f ca="1">VLOOKUP($L768,OFFSET([2]enemies!$A$1,0,0,COUNTA([2]enemies!$A:$A),MATCH(M$1,[2]enemies!$1:$1,0)-MATCH($L$1,[2]enemies!$1:$1,0)+1),MATCH(M$1,[2]enemies!$1:$1,0)-MATCH($L$1,[2]enemies!$1:$1,0)+1,FALSE)</f>
        <v>マグリット</v>
      </c>
      <c r="N768" s="21" t="str">
        <f ca="1">VLOOKUP($L768,OFFSET([2]enemies!$A$1,0,0,COUNTA([2]enemies!$A:$A),MATCH(N$1,[2]enemies!$1:$1,0)-MATCH($L$1,[2]enemies!$1:$1,0)+1),MATCH(N$1,[2]enemies!$1:$1,0)-MATCH($L$1,[2]enemies!$1:$1,0)+1,FALSE)</f>
        <v>green</v>
      </c>
      <c r="O768" s="21" t="str">
        <f ca="1">VLOOKUP($L768,OFFSET([3]characters!$A$1,0,0,COUNTA([3]characters!$A:$A),MATCH(O$1,[3]characters!$1:$1,0)-MATCH($L$1,[3]characters!$1:$1,0)+1),MATCH(O$1,[3]characters!$1:$1,0)-MATCH($L$1,[3]characters!$1:$1,0)+1,FALSE)</f>
        <v>Drop1W</v>
      </c>
      <c r="P768" s="21" t="str">
        <f ca="1">VLOOKUP($L768,OFFSET([2]enemies!$A$1,0,0,COUNTA([2]enemies!$A:$A),MATCH(P$1,[2]enemies!$1:$1,0)-MATCH($L$1,[2]enemies!$1:$1,0)+1),MATCH(P$1,[2]enemies!$1:$1,0)-MATCH($L$1,[2]enemies!$1:$1,0)+1,FALSE)</f>
        <v>animal</v>
      </c>
      <c r="Q768" s="21">
        <f ca="1">VLOOKUP($L768,OFFSET([2]enemies!$A$1,0,0,COUNTA([2]enemies!$A:$A),MATCH(Q$1,[2]enemies!$1:$1,0)-MATCH($L$1,[2]enemies!$1:$1,0)+1),MATCH(Q$1,[2]enemies!$1:$1,0)-MATCH($L$1,[2]enemies!$1:$1,0)+1,FALSE)</f>
        <v>15</v>
      </c>
      <c r="R768" s="53">
        <v>54</v>
      </c>
      <c r="S768" s="27">
        <v>1</v>
      </c>
      <c r="T768" s="27">
        <v>1</v>
      </c>
      <c r="U768" s="5">
        <v>0</v>
      </c>
      <c r="V768" s="4" t="str">
        <f ca="1">VLOOKUP($W768,OFFSET([4]enemy_skill_sets!$B$1,0,0,COUNTA([4]enemy_skill_sets!$B:$B),MATCH(M$1,[4]enemy_skill_sets!$1:$1,0)-MATCH($W$1,[4]enemy_skill_sets!$1:$1,0)+2),MATCH(M$1,[4]enemy_skill_sets!$1:$1,0)-MATCH($W$1,[4]enemy_skill_sets!$1:$1,0)+2,FALSE)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68" s="4">
        <f ca="1">VLOOKUP($L768,OFFSET([2]enemies!$A$1,0,0,COUNTA([2]enemies!$A:$A),MATCH(W$1,[2]enemies!$1:$1,0)-MATCH($L$1,[2]enemies!$1:$1,0)+1),MATCH(W$1,[2]enemies!$1:$1,0)-MATCH($L$1,[2]enemies!$1:$1,0)+1,FALSE)</f>
        <v>0</v>
      </c>
      <c r="X768" s="6">
        <v>0</v>
      </c>
      <c r="Y768" s="6">
        <v>100</v>
      </c>
      <c r="Z768" s="6">
        <v>0</v>
      </c>
      <c r="AA768" s="4">
        <f ca="1">VLOOKUP($L768,OFFSET([2]enemies!$A$1,0,0,COUNTA([2]enemies!$A:$A),MATCH(AA$1,[2]enemies!$1:$1,0)-MATCH($L$1,[2]enemies!$1:$1,0)+1),MATCH(AA$1,[2]enemies!$1:$1,0)-MATCH($L$1,[2]enemies!$1:$1,0)+1,FALSE)</f>
        <v>3</v>
      </c>
      <c r="AB768" s="52">
        <v>11</v>
      </c>
      <c r="AC768" s="4" t="str">
        <f ca="1">VLOOKUP($AB768,OFFSET([3]characters!$A$1,0,0,COUNTA([3]characters!$A:$A),MATCH(AC$1,[3]characters!$1:$1,0)-MATCH("character_id",[3]characters!$1:$1,0)+1),MATCH(AC$1,[3]characters!$1:$1,0)-MATCH("character_id",[3]characters!$1:$1,0)+1,FALSE)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768" s="4">
        <f ca="1">VLOOKUP($AB768,OFFSET([3]characters!$A$1,0,0,COUNTA([3]characters!$A:$A),MATCH(AD$1,[3]characters!$1:$1,0)-MATCH("character_id",[3]characters!$1:$1,0)+1),MATCH(AD$1,[3]characters!$1:$1,0)-MATCH("character_id",[3]characters!$1:$1,0)+1,FALSE)</f>
        <v>1</v>
      </c>
      <c r="AE768" s="4" t="str">
        <f ca="1">VLOOKUP($AB768,OFFSET([3]characters!$A$1,0,0,COUNTA([3]characters!$A:$A),MATCH(AE$1,[3]characters!$1:$1,0)-MATCH("character_id",[3]characters!$1:$1,0)+1),MATCH(AE$1,[3]characters!$1:$1,0)-MATCH("character_id",[3]characters!$1:$1,0)+1,FALSE)</f>
        <v>Drop1W</v>
      </c>
      <c r="AF768" s="7">
        <v>9</v>
      </c>
      <c r="AG768" s="26">
        <f t="shared" ca="1" si="702"/>
        <v>1</v>
      </c>
      <c r="AH768" s="8">
        <v>20</v>
      </c>
      <c r="AI768" s="7">
        <v>0</v>
      </c>
      <c r="AJ768" s="7">
        <v>0</v>
      </c>
      <c r="AK768" s="7">
        <v>0</v>
      </c>
      <c r="AL768" s="7">
        <v>0</v>
      </c>
      <c r="AM768" s="7">
        <v>1</v>
      </c>
    </row>
    <row r="769" spans="1:39" ht="14" x14ac:dyDescent="0.15">
      <c r="A769" s="18" t="str">
        <f t="shared" ca="1" si="714"/>
        <v>26_3-1/13&lt;lv54&gt;s2</v>
      </c>
      <c r="B769" s="50">
        <v>26</v>
      </c>
      <c r="C769" s="49">
        <v>3</v>
      </c>
      <c r="D769" s="2" t="str">
        <f t="shared" si="730"/>
        <v>26_3</v>
      </c>
      <c r="E769" s="2" t="str">
        <f t="shared" si="730"/>
        <v>3_26_3</v>
      </c>
      <c r="F769" s="4" t="str">
        <f ca="1">VLOOKUP($D769,OFFSET([1]stages!$A$1,0,0,COUNTA([1]stages!$A:$A),MATCH(F$1,[1]stages!$2:$2,0)-MATCH($D$1,[1]stages!$2:$2,0)+1),MATCH(F$1,[1]stages!$2:$2,0)-MATCH($D$1,[1]stages!$2:$2,0)+1,FALSE)</f>
        <v>26-3．荒ぶる電飾</v>
      </c>
      <c r="G769" s="54">
        <v>1</v>
      </c>
      <c r="H769" s="17" t="str">
        <f t="shared" si="731"/>
        <v>26_3-1</v>
      </c>
      <c r="I769" s="17"/>
      <c r="J769" s="17"/>
      <c r="K769" s="65" t="s">
        <v>56</v>
      </c>
      <c r="L769" s="52">
        <v>13</v>
      </c>
      <c r="M769" s="21" t="str">
        <f ca="1">VLOOKUP($L769,OFFSET([2]enemies!$A$1,0,0,COUNTA([2]enemies!$A:$A),MATCH(M$1,[2]enemies!$1:$1,0)-MATCH($L$1,[2]enemies!$1:$1,0)+1),MATCH(M$1,[2]enemies!$1:$1,0)-MATCH($L$1,[2]enemies!$1:$1,0)+1,FALSE)</f>
        <v>ミミ</v>
      </c>
      <c r="N769" s="21" t="str">
        <f ca="1">VLOOKUP($L769,OFFSET([2]enemies!$A$1,0,0,COUNTA([2]enemies!$A:$A),MATCH(N$1,[2]enemies!$1:$1,0)-MATCH($L$1,[2]enemies!$1:$1,0)+1),MATCH(N$1,[2]enemies!$1:$1,0)-MATCH($L$1,[2]enemies!$1:$1,0)+1,FALSE)</f>
        <v>yellow</v>
      </c>
      <c r="O769" s="21" t="str">
        <f ca="1">VLOOKUP($L769,OFFSET([3]characters!$A$1,0,0,COUNTA([3]characters!$A:$A),MATCH(O$1,[3]characters!$1:$1,0)-MATCH($L$1,[3]characters!$1:$1,0)+1),MATCH(O$1,[3]characters!$1:$1,0)-MATCH($L$1,[3]characters!$1:$1,0)+1,FALSE)</f>
        <v>Drop1W</v>
      </c>
      <c r="P769" s="21" t="str">
        <f ca="1">VLOOKUP($L769,OFFSET([2]enemies!$A$1,0,0,COUNTA([2]enemies!$A:$A),MATCH(P$1,[2]enemies!$1:$1,0)-MATCH($L$1,[2]enemies!$1:$1,0)+1),MATCH(P$1,[2]enemies!$1:$1,0)-MATCH($L$1,[2]enemies!$1:$1,0)+1,FALSE)</f>
        <v>animal</v>
      </c>
      <c r="Q769" s="21">
        <f ca="1">VLOOKUP($L769,OFFSET([2]enemies!$A$1,0,0,COUNTA([2]enemies!$A:$A),MATCH(Q$1,[2]enemies!$1:$1,0)-MATCH($L$1,[2]enemies!$1:$1,0)+1),MATCH(Q$1,[2]enemies!$1:$1,0)-MATCH($L$1,[2]enemies!$1:$1,0)+1,FALSE)</f>
        <v>15</v>
      </c>
      <c r="R769" s="53">
        <v>54</v>
      </c>
      <c r="S769" s="27">
        <v>1</v>
      </c>
      <c r="T769" s="27">
        <v>1</v>
      </c>
      <c r="U769" s="5">
        <v>0</v>
      </c>
      <c r="V769" s="4" t="str">
        <f ca="1">VLOOKUP($W769,OFFSET([4]enemy_skill_sets!$B$1,0,0,COUNTA([4]enemy_skill_sets!$B:$B),MATCH(M$1,[4]enemy_skill_sets!$1:$1,0)-MATCH($W$1,[4]enemy_skill_sets!$1:$1,0)+2),MATCH(M$1,[4]enemy_skill_sets!$1:$1,0)-MATCH($W$1,[4]enemy_skill_sets!$1:$1,0)+2,FALSE)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69" s="4">
        <f ca="1">VLOOKUP($L769,OFFSET([2]enemies!$A$1,0,0,COUNTA([2]enemies!$A:$A),MATCH(W$1,[2]enemies!$1:$1,0)-MATCH($L$1,[2]enemies!$1:$1,0)+1),MATCH(W$1,[2]enemies!$1:$1,0)-MATCH($L$1,[2]enemies!$1:$1,0)+1,FALSE)</f>
        <v>0</v>
      </c>
      <c r="X769" s="6">
        <v>0</v>
      </c>
      <c r="Y769" s="6">
        <v>100</v>
      </c>
      <c r="Z769" s="6">
        <v>0</v>
      </c>
      <c r="AA769" s="4">
        <f ca="1">VLOOKUP($L769,OFFSET([2]enemies!$A$1,0,0,COUNTA([2]enemies!$A:$A),MATCH(AA$1,[2]enemies!$1:$1,0)-MATCH($L$1,[2]enemies!$1:$1,0)+1),MATCH(AA$1,[2]enemies!$1:$1,0)-MATCH($L$1,[2]enemies!$1:$1,0)+1,FALSE)</f>
        <v>2</v>
      </c>
      <c r="AB769" s="52">
        <v>13</v>
      </c>
      <c r="AC769" s="4" t="str">
        <f ca="1">VLOOKUP($AB769,OFFSET([3]characters!$A$1,0,0,COUNTA([3]characters!$A:$A),MATCH(AC$1,[3]characters!$1:$1,0)-MATCH("character_id",[3]characters!$1:$1,0)+1),MATCH(AC$1,[3]characters!$1:$1,0)-MATCH("character_id",[3]characters!$1:$1,0)+1,FALSE)</f>
        <v>ミミ</v>
      </c>
      <c r="AD769" s="4">
        <f ca="1">VLOOKUP($AB769,OFFSET([3]characters!$A$1,0,0,COUNTA([3]characters!$A:$A),MATCH(AD$1,[3]characters!$1:$1,0)-MATCH("character_id",[3]characters!$1:$1,0)+1),MATCH(AD$1,[3]characters!$1:$1,0)-MATCH("character_id",[3]characters!$1:$1,0)+1,FALSE)</f>
        <v>1</v>
      </c>
      <c r="AE769" s="4" t="str">
        <f ca="1">VLOOKUP($AB769,OFFSET([3]characters!$A$1,0,0,COUNTA([3]characters!$A:$A),MATCH(AE$1,[3]characters!$1:$1,0)-MATCH("character_id",[3]characters!$1:$1,0)+1),MATCH(AE$1,[3]characters!$1:$1,0)-MATCH("character_id",[3]characters!$1:$1,0)+1,FALSE)</f>
        <v>Drop1W</v>
      </c>
      <c r="AF769" s="7">
        <v>9</v>
      </c>
      <c r="AG769" s="26">
        <f t="shared" ca="1" si="702"/>
        <v>1</v>
      </c>
      <c r="AH769" s="8">
        <v>20</v>
      </c>
      <c r="AI769" s="7">
        <v>0</v>
      </c>
      <c r="AJ769" s="7">
        <v>0</v>
      </c>
      <c r="AK769" s="7">
        <v>0</v>
      </c>
      <c r="AL769" s="7">
        <v>0</v>
      </c>
      <c r="AM769" s="7">
        <v>1</v>
      </c>
    </row>
    <row r="770" spans="1:39" ht="14" x14ac:dyDescent="0.15">
      <c r="A770" s="18" t="str">
        <f t="shared" ca="1" si="714"/>
        <v>26_3-1/23&lt;lv54&gt;s4</v>
      </c>
      <c r="B770" s="50">
        <v>26</v>
      </c>
      <c r="C770" s="49">
        <v>3</v>
      </c>
      <c r="D770" s="2" t="str">
        <f t="shared" si="730"/>
        <v>26_3</v>
      </c>
      <c r="E770" s="2" t="str">
        <f t="shared" si="730"/>
        <v>3_26_3</v>
      </c>
      <c r="F770" s="4" t="str">
        <f ca="1">VLOOKUP($D770,OFFSET([1]stages!$A$1,0,0,COUNTA([1]stages!$A:$A),MATCH(F$1,[1]stages!$2:$2,0)-MATCH($D$1,[1]stages!$2:$2,0)+1),MATCH(F$1,[1]stages!$2:$2,0)-MATCH($D$1,[1]stages!$2:$2,0)+1,FALSE)</f>
        <v>26-3．荒ぶる電飾</v>
      </c>
      <c r="G770" s="54">
        <v>1</v>
      </c>
      <c r="H770" s="17" t="str">
        <f t="shared" si="731"/>
        <v>26_3-1</v>
      </c>
      <c r="I770" s="17"/>
      <c r="J770" s="17"/>
      <c r="K770" s="65" t="s">
        <v>56</v>
      </c>
      <c r="L770" s="52">
        <v>23</v>
      </c>
      <c r="M770" s="21" t="str">
        <f ca="1">VLOOKUP($L770,OFFSET([2]enemies!$A$1,0,0,COUNTA([2]enemies!$A:$A),MATCH(M$1,[2]enemies!$1:$1,0)-MATCH($L$1,[2]enemies!$1:$1,0)+1),MATCH(M$1,[2]enemies!$1:$1,0)-MATCH($L$1,[2]enemies!$1:$1,0)+1,FALSE)</f>
        <v>ミール</v>
      </c>
      <c r="N770" s="21" t="str">
        <f ca="1">VLOOKUP($L770,OFFSET([2]enemies!$A$1,0,0,COUNTA([2]enemies!$A:$A),MATCH(N$1,[2]enemies!$1:$1,0)-MATCH($L$1,[2]enemies!$1:$1,0)+1),MATCH(N$1,[2]enemies!$1:$1,0)-MATCH($L$1,[2]enemies!$1:$1,0)+1,FALSE)</f>
        <v>green</v>
      </c>
      <c r="O770" s="21" t="str">
        <f ca="1">VLOOKUP($L770,OFFSET([3]characters!$A$1,0,0,COUNTA([3]characters!$A:$A),MATCH(O$1,[3]characters!$1:$1,0)-MATCH($L$1,[3]characters!$1:$1,0)+1),MATCH(O$1,[3]characters!$1:$1,0)-MATCH($L$1,[3]characters!$1:$1,0)+1,FALSE)</f>
        <v>Drop1N</v>
      </c>
      <c r="P770" s="21" t="str">
        <f ca="1">VLOOKUP($L770,OFFSET([2]enemies!$A$1,0,0,COUNTA([2]enemies!$A:$A),MATCH(P$1,[2]enemies!$1:$1,0)-MATCH($L$1,[2]enemies!$1:$1,0)+1),MATCH(P$1,[2]enemies!$1:$1,0)-MATCH($L$1,[2]enemies!$1:$1,0)+1,FALSE)</f>
        <v>animal</v>
      </c>
      <c r="Q770" s="21">
        <f ca="1">VLOOKUP($L770,OFFSET([2]enemies!$A$1,0,0,COUNTA([2]enemies!$A:$A),MATCH(Q$1,[2]enemies!$1:$1,0)-MATCH($L$1,[2]enemies!$1:$1,0)+1),MATCH(Q$1,[2]enemies!$1:$1,0)-MATCH($L$1,[2]enemies!$1:$1,0)+1,FALSE)</f>
        <v>15</v>
      </c>
      <c r="R770" s="53">
        <v>54</v>
      </c>
      <c r="S770" s="27">
        <v>1</v>
      </c>
      <c r="T770" s="27">
        <v>1</v>
      </c>
      <c r="U770" s="5">
        <v>0</v>
      </c>
      <c r="V770" s="4" t="str">
        <f ca="1">VLOOKUP($W770,OFFSET([4]enemy_skill_sets!$B$1,0,0,COUNTA([4]enemy_skill_sets!$B:$B),MATCH(M$1,[4]enemy_skill_sets!$1:$1,0)-MATCH($W$1,[4]enemy_skill_sets!$1:$1,0)+2),MATCH(M$1,[4]enemy_skill_sets!$1:$1,0)-MATCH($W$1,[4]enemy_skill_sets!$1:$1,0)+2,FALSE)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70" s="4">
        <f ca="1">VLOOKUP($L770,OFFSET([2]enemies!$A$1,0,0,COUNTA([2]enemies!$A:$A),MATCH(W$1,[2]enemies!$1:$1,0)-MATCH($L$1,[2]enemies!$1:$1,0)+1),MATCH(W$1,[2]enemies!$1:$1,0)-MATCH($L$1,[2]enemies!$1:$1,0)+1,FALSE)</f>
        <v>0</v>
      </c>
      <c r="X770" s="6">
        <v>0</v>
      </c>
      <c r="Y770" s="6">
        <v>100</v>
      </c>
      <c r="Z770" s="6">
        <v>0</v>
      </c>
      <c r="AA770" s="4">
        <f ca="1">VLOOKUP($L770,OFFSET([2]enemies!$A$1,0,0,COUNTA([2]enemies!$A:$A),MATCH(AA$1,[2]enemies!$1:$1,0)-MATCH($L$1,[2]enemies!$1:$1,0)+1),MATCH(AA$1,[2]enemies!$1:$1,0)-MATCH($L$1,[2]enemies!$1:$1,0)+1,FALSE)</f>
        <v>4</v>
      </c>
      <c r="AB770" s="52">
        <v>23</v>
      </c>
      <c r="AC770" s="4" t="str">
        <f ca="1">VLOOKUP($AB770,OFFSET([3]characters!$A$1,0,0,COUNTA([3]characters!$A:$A),MATCH(AC$1,[3]characters!$1:$1,0)-MATCH("character_id",[3]characters!$1:$1,0)+1),MATCH(AC$1,[3]characters!$1:$1,0)-MATCH("character_id",[3]characters!$1:$1,0)+1,FALSE)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770" s="4">
        <f ca="1">VLOOKUP($AB770,OFFSET([3]characters!$A$1,0,0,COUNTA([3]characters!$A:$A),MATCH(AD$1,[3]characters!$1:$1,0)-MATCH("character_id",[3]characters!$1:$1,0)+1),MATCH(AD$1,[3]characters!$1:$1,0)-MATCH("character_id",[3]characters!$1:$1,0)+1,FALSE)</f>
        <v>1</v>
      </c>
      <c r="AE770" s="4" t="str">
        <f ca="1">VLOOKUP($AB770,OFFSET([3]characters!$A$1,0,0,COUNTA([3]characters!$A:$A),MATCH(AE$1,[3]characters!$1:$1,0)-MATCH("character_id",[3]characters!$1:$1,0)+1),MATCH(AE$1,[3]characters!$1:$1,0)-MATCH("character_id",[3]characters!$1:$1,0)+1,FALSE)</f>
        <v>Drop1N</v>
      </c>
      <c r="AF770" s="7">
        <v>7</v>
      </c>
      <c r="AG770" s="26">
        <f t="shared" ca="1" si="702"/>
        <v>1</v>
      </c>
      <c r="AH770" s="8">
        <v>20</v>
      </c>
      <c r="AI770" s="7">
        <v>0</v>
      </c>
      <c r="AJ770" s="7">
        <v>0</v>
      </c>
      <c r="AK770" s="7">
        <v>0</v>
      </c>
      <c r="AL770" s="7">
        <v>0</v>
      </c>
      <c r="AM770" s="7">
        <v>1</v>
      </c>
    </row>
    <row r="771" spans="1:39" ht="14" x14ac:dyDescent="0.15">
      <c r="A771" s="18" t="str">
        <f t="shared" ca="1" si="714"/>
        <v>26_3-1/25&lt;lv54&gt;s3</v>
      </c>
      <c r="B771" s="50">
        <v>26</v>
      </c>
      <c r="C771" s="49">
        <v>3</v>
      </c>
      <c r="D771" s="2" t="str">
        <f t="shared" si="730"/>
        <v>26_3</v>
      </c>
      <c r="E771" s="2" t="str">
        <f t="shared" si="730"/>
        <v>3_26_3</v>
      </c>
      <c r="F771" s="4" t="str">
        <f ca="1">VLOOKUP($D771,OFFSET([1]stages!$A$1,0,0,COUNTA([1]stages!$A:$A),MATCH(F$1,[1]stages!$2:$2,0)-MATCH($D$1,[1]stages!$2:$2,0)+1),MATCH(F$1,[1]stages!$2:$2,0)-MATCH($D$1,[1]stages!$2:$2,0)+1,FALSE)</f>
        <v>26-3．荒ぶる電飾</v>
      </c>
      <c r="G771" s="54">
        <v>1</v>
      </c>
      <c r="H771" s="17" t="str">
        <f t="shared" si="731"/>
        <v>26_3-1</v>
      </c>
      <c r="I771" s="17"/>
      <c r="J771" s="17"/>
      <c r="K771" s="65" t="s">
        <v>56</v>
      </c>
      <c r="L771" s="52">
        <v>25</v>
      </c>
      <c r="M771" s="21" t="str">
        <f ca="1">VLOOKUP($L771,OFFSET([2]enemies!$A$1,0,0,COUNTA([2]enemies!$A:$A),MATCH(M$1,[2]enemies!$1:$1,0)-MATCH($L$1,[2]enemies!$1:$1,0)+1),MATCH(M$1,[2]enemies!$1:$1,0)-MATCH($L$1,[2]enemies!$1:$1,0)+1,FALSE)</f>
        <v>ハチ</v>
      </c>
      <c r="N771" s="21" t="str">
        <f ca="1">VLOOKUP($L771,OFFSET([2]enemies!$A$1,0,0,COUNTA([2]enemies!$A:$A),MATCH(N$1,[2]enemies!$1:$1,0)-MATCH($L$1,[2]enemies!$1:$1,0)+1),MATCH(N$1,[2]enemies!$1:$1,0)-MATCH($L$1,[2]enemies!$1:$1,0)+1,FALSE)</f>
        <v>blue</v>
      </c>
      <c r="O771" s="21" t="str">
        <f ca="1">VLOOKUP($L771,OFFSET([3]characters!$A$1,0,0,COUNTA([3]characters!$A:$A),MATCH(O$1,[3]characters!$1:$1,0)-MATCH($L$1,[3]characters!$1:$1,0)+1),MATCH(O$1,[3]characters!$1:$1,0)-MATCH($L$1,[3]characters!$1:$1,0)+1,FALSE)</f>
        <v>Drop1N</v>
      </c>
      <c r="P771" s="21" t="str">
        <f ca="1">VLOOKUP($L771,OFFSET([2]enemies!$A$1,0,0,COUNTA([2]enemies!$A:$A),MATCH(P$1,[2]enemies!$1:$1,0)-MATCH($L$1,[2]enemies!$1:$1,0)+1),MATCH(P$1,[2]enemies!$1:$1,0)-MATCH($L$1,[2]enemies!$1:$1,0)+1,FALSE)</f>
        <v>animal</v>
      </c>
      <c r="Q771" s="21">
        <f ca="1">VLOOKUP($L771,OFFSET([2]enemies!$A$1,0,0,COUNTA([2]enemies!$A:$A),MATCH(Q$1,[2]enemies!$1:$1,0)-MATCH($L$1,[2]enemies!$1:$1,0)+1),MATCH(Q$1,[2]enemies!$1:$1,0)-MATCH($L$1,[2]enemies!$1:$1,0)+1,FALSE)</f>
        <v>15</v>
      </c>
      <c r="R771" s="53">
        <v>54</v>
      </c>
      <c r="S771" s="27">
        <v>1</v>
      </c>
      <c r="T771" s="27">
        <v>1</v>
      </c>
      <c r="U771" s="5">
        <v>0</v>
      </c>
      <c r="V771" s="4" t="str">
        <f ca="1">VLOOKUP($W771,OFFSET([4]enemy_skill_sets!$B$1,0,0,COUNTA([4]enemy_skill_sets!$B:$B),MATCH(M$1,[4]enemy_skill_sets!$1:$1,0)-MATCH($W$1,[4]enemy_skill_sets!$1:$1,0)+2),MATCH(M$1,[4]enemy_skill_sets!$1:$1,0)-MATCH($W$1,[4]enemy_skill_sets!$1:$1,0)+2,FALSE)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71" s="4">
        <f ca="1">VLOOKUP($L771,OFFSET([2]enemies!$A$1,0,0,COUNTA([2]enemies!$A:$A),MATCH(W$1,[2]enemies!$1:$1,0)-MATCH($L$1,[2]enemies!$1:$1,0)+1),MATCH(W$1,[2]enemies!$1:$1,0)-MATCH($L$1,[2]enemies!$1:$1,0)+1,FALSE)</f>
        <v>0</v>
      </c>
      <c r="X771" s="6">
        <v>0</v>
      </c>
      <c r="Y771" s="6">
        <v>100</v>
      </c>
      <c r="Z771" s="6">
        <v>0</v>
      </c>
      <c r="AA771" s="4">
        <f ca="1">VLOOKUP($L771,OFFSET([2]enemies!$A$1,0,0,COUNTA([2]enemies!$A:$A),MATCH(AA$1,[2]enemies!$1:$1,0)-MATCH($L$1,[2]enemies!$1:$1,0)+1),MATCH(AA$1,[2]enemies!$1:$1,0)-MATCH($L$1,[2]enemies!$1:$1,0)+1,FALSE)</f>
        <v>3</v>
      </c>
      <c r="AB771" s="52">
        <v>25</v>
      </c>
      <c r="AC771" s="4" t="str">
        <f ca="1">VLOOKUP($AB771,OFFSET([3]characters!$A$1,0,0,COUNTA([3]characters!$A:$A),MATCH(AC$1,[3]characters!$1:$1,0)-MATCH("character_id",[3]characters!$1:$1,0)+1),MATCH(AC$1,[3]characters!$1:$1,0)-MATCH("character_id",[3]characters!$1:$1,0)+1,FALSE)</f>
        <v>ハチ</v>
      </c>
      <c r="AD771" s="4">
        <f ca="1">VLOOKUP($AB771,OFFSET([3]characters!$A$1,0,0,COUNTA([3]characters!$A:$A),MATCH(AD$1,[3]characters!$1:$1,0)-MATCH("character_id",[3]characters!$1:$1,0)+1),MATCH(AD$1,[3]characters!$1:$1,0)-MATCH("character_id",[3]characters!$1:$1,0)+1,FALSE)</f>
        <v>1</v>
      </c>
      <c r="AE771" s="4" t="str">
        <f ca="1">VLOOKUP($AB771,OFFSET([3]characters!$A$1,0,0,COUNTA([3]characters!$A:$A),MATCH(AE$1,[3]characters!$1:$1,0)-MATCH("character_id",[3]characters!$1:$1,0)+1),MATCH(AE$1,[3]characters!$1:$1,0)-MATCH("character_id",[3]characters!$1:$1,0)+1,FALSE)</f>
        <v>Drop1N</v>
      </c>
      <c r="AF771" s="7">
        <v>7</v>
      </c>
      <c r="AG771" s="26">
        <f t="shared" ref="AG771:AG834" ca="1" si="734">AD771</f>
        <v>1</v>
      </c>
      <c r="AH771" s="8">
        <v>20</v>
      </c>
      <c r="AI771" s="7">
        <v>0</v>
      </c>
      <c r="AJ771" s="7">
        <v>0</v>
      </c>
      <c r="AK771" s="7">
        <v>0</v>
      </c>
      <c r="AL771" s="7">
        <v>0</v>
      </c>
      <c r="AM771" s="7">
        <v>1</v>
      </c>
    </row>
    <row r="772" spans="1:39" ht="14" x14ac:dyDescent="0.15">
      <c r="A772" s="18" t="str">
        <f t="shared" ca="1" si="714"/>
        <v>26_3-1/348&lt;lv54&gt;s3</v>
      </c>
      <c r="B772" s="53">
        <v>26</v>
      </c>
      <c r="C772" s="51">
        <v>3</v>
      </c>
      <c r="D772" s="2" t="str">
        <f t="shared" ref="D772:D773" si="735">B772&amp;"_"&amp;C772</f>
        <v>26_3</v>
      </c>
      <c r="E772" s="2" t="str">
        <f t="shared" ref="E772:E773" si="736">C772&amp;"_"&amp;D772</f>
        <v>3_26_3</v>
      </c>
      <c r="F772" s="4" t="str">
        <f ca="1">VLOOKUP($D772,OFFSET([1]stages!$A$1,0,0,COUNTA([1]stages!$A:$A),MATCH(F$1,[1]stages!$2:$2,0)-MATCH($D$1,[1]stages!$2:$2,0)+1),MATCH(F$1,[1]stages!$2:$2,0)-MATCH($D$1,[1]stages!$2:$2,0)+1,FALSE)</f>
        <v>26-3．荒ぶる電飾</v>
      </c>
      <c r="G772" s="54">
        <v>1</v>
      </c>
      <c r="H772" s="17" t="str">
        <f t="shared" ref="H772:H773" si="737">B772&amp;"_"&amp;C772&amp;"-"&amp;G772</f>
        <v>26_3-1</v>
      </c>
      <c r="I772" s="17"/>
      <c r="J772" s="17"/>
      <c r="K772" s="65" t="s">
        <v>56</v>
      </c>
      <c r="L772" s="52">
        <v>348</v>
      </c>
      <c r="M772" s="21" t="str">
        <f ca="1">VLOOKUP($L772,OFFSET([2]enemies!$A$1,0,0,COUNTA([2]enemies!$A:$A),MATCH(M$1,[2]enemies!$1:$1,0)-MATCH($L$1,[2]enemies!$1:$1,0)+1),MATCH(M$1,[2]enemies!$1:$1,0)-MATCH($L$1,[2]enemies!$1:$1,0)+1,FALSE)</f>
        <v>炎のケロケロ</v>
      </c>
      <c r="N772" s="21" t="str">
        <f ca="1">VLOOKUP($L772,OFFSET([2]enemies!$A$1,0,0,COUNTA([2]enemies!$A:$A),MATCH(N$1,[2]enemies!$1:$1,0)-MATCH($L$1,[2]enemies!$1:$1,0)+1),MATCH(N$1,[2]enemies!$1:$1,0)-MATCH($L$1,[2]enemies!$1:$1,0)+1,FALSE)</f>
        <v>red</v>
      </c>
      <c r="O772" s="21" t="str">
        <f ca="1">VLOOKUP($L772,OFFSET([3]characters!$A$1,0,0,COUNTA([3]characters!$A:$A),MATCH(O$1,[3]characters!$1:$1,0)-MATCH($L$1,[3]characters!$1:$1,0)+1),MATCH(O$1,[3]characters!$1:$1,0)-MATCH($L$1,[3]characters!$1:$1,0)+1,FALSE)</f>
        <v>Material</v>
      </c>
      <c r="P772" s="21" t="str">
        <f ca="1">VLOOKUP($L772,OFFSET([2]enemies!$A$1,0,0,COUNTA([2]enemies!$A:$A),MATCH(P$1,[2]enemies!$1:$1,0)-MATCH($L$1,[2]enemies!$1:$1,0)+1),MATCH(P$1,[2]enemies!$1:$1,0)-MATCH($L$1,[2]enemies!$1:$1,0)+1,FALSE)</f>
        <v>unknown</v>
      </c>
      <c r="Q772" s="21">
        <f ca="1">VLOOKUP($L772,OFFSET([2]enemies!$A$1,0,0,COUNTA([2]enemies!$A:$A),MATCH(Q$1,[2]enemies!$1:$1,0)-MATCH($L$1,[2]enemies!$1:$1,0)+1),MATCH(Q$1,[2]enemies!$1:$1,0)-MATCH($L$1,[2]enemies!$1:$1,0)+1,FALSE)</f>
        <v>15</v>
      </c>
      <c r="R772" s="53">
        <v>54</v>
      </c>
      <c r="S772" s="27">
        <v>1</v>
      </c>
      <c r="T772" s="27">
        <v>1</v>
      </c>
      <c r="U772" s="5">
        <v>0</v>
      </c>
      <c r="V772" s="4" t="str">
        <f ca="1">VLOOKUP($W772,OFFSET([4]enemy_skill_sets!$B$1,0,0,COUNTA([4]enemy_skill_sets!$B:$B),MATCH(M$1,[4]enemy_skill_sets!$1:$1,0)-MATCH($W$1,[4]enemy_skill_sets!$1:$1,0)+2),MATCH(M$1,[4]enemy_skill_sets!$1:$1,0)-MATCH($W$1,[4]enemy_skill_sets!$1:$1,0)+2,FALSE)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772" s="64">
        <v>348</v>
      </c>
      <c r="X772" s="6">
        <v>0</v>
      </c>
      <c r="Y772" s="6">
        <v>100</v>
      </c>
      <c r="Z772" s="6">
        <v>0</v>
      </c>
      <c r="AA772" s="4">
        <f ca="1">VLOOKUP($L772,OFFSET([2]enemies!$A$1,0,0,COUNTA([2]enemies!$A:$A),MATCH(AA$1,[2]enemies!$1:$1,0)-MATCH($L$1,[2]enemies!$1:$1,0)+1),MATCH(AA$1,[2]enemies!$1:$1,0)-MATCH($L$1,[2]enemies!$1:$1,0)+1,FALSE)</f>
        <v>3</v>
      </c>
      <c r="AB772" s="52">
        <v>348</v>
      </c>
      <c r="AC772" s="4" t="str">
        <f ca="1">VLOOKUP($AB772,OFFSET([3]characters!$A$1,0,0,COUNTA([3]characters!$A:$A),MATCH(AC$1,[3]characters!$1:$1,0)-MATCH("character_id",[3]characters!$1:$1,0)+1),MATCH(AC$1,[3]characters!$1:$1,0)-MATCH("character_id",[3]characters!$1:$1,0)+1,FALSE)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772" s="4">
        <f ca="1">VLOOKUP($AB772,OFFSET([3]characters!$A$1,0,0,COUNTA([3]characters!$A:$A),MATCH(AD$1,[3]characters!$1:$1,0)-MATCH("character_id",[3]characters!$1:$1,0)+1),MATCH(AD$1,[3]characters!$1:$1,0)-MATCH("character_id",[3]characters!$1:$1,0)+1,FALSE)</f>
        <v>2</v>
      </c>
      <c r="AE772" s="4" t="str">
        <f ca="1">VLOOKUP($AB772,OFFSET([3]characters!$A$1,0,0,COUNTA([3]characters!$A:$A),MATCH(AE$1,[3]characters!$1:$1,0)-MATCH("character_id",[3]characters!$1:$1,0)+1),MATCH(AE$1,[3]characters!$1:$1,0)-MATCH("character_id",[3]characters!$1:$1,0)+1,FALSE)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72" s="7">
        <v>10</v>
      </c>
      <c r="AG772" s="26">
        <f t="shared" ca="1" si="734"/>
        <v>2</v>
      </c>
      <c r="AH772" s="8">
        <v>20</v>
      </c>
      <c r="AI772" s="7">
        <v>0</v>
      </c>
      <c r="AJ772" s="7">
        <v>0</v>
      </c>
      <c r="AK772" s="7">
        <v>0</v>
      </c>
      <c r="AL772" s="7">
        <v>0</v>
      </c>
      <c r="AM772" s="7">
        <v>1</v>
      </c>
    </row>
    <row r="773" spans="1:39" ht="14" x14ac:dyDescent="0.15">
      <c r="A773" s="18" t="str">
        <f t="shared" ca="1" si="714"/>
        <v>26_3-1/350&lt;lv54&gt;s3</v>
      </c>
      <c r="B773" s="53">
        <v>26</v>
      </c>
      <c r="C773" s="51">
        <v>3</v>
      </c>
      <c r="D773" s="2" t="str">
        <f t="shared" si="735"/>
        <v>26_3</v>
      </c>
      <c r="E773" s="2" t="str">
        <f t="shared" si="736"/>
        <v>3_26_3</v>
      </c>
      <c r="F773" s="4" t="str">
        <f ca="1">VLOOKUP($D773,OFFSET([1]stages!$A$1,0,0,COUNTA([1]stages!$A:$A),MATCH(F$1,[1]stages!$2:$2,0)-MATCH($D$1,[1]stages!$2:$2,0)+1),MATCH(F$1,[1]stages!$2:$2,0)-MATCH($D$1,[1]stages!$2:$2,0)+1,FALSE)</f>
        <v>26-3．荒ぶる電飾</v>
      </c>
      <c r="G773" s="54">
        <v>1</v>
      </c>
      <c r="H773" s="17" t="str">
        <f t="shared" si="737"/>
        <v>26_3-1</v>
      </c>
      <c r="I773" s="17"/>
      <c r="J773" s="17"/>
      <c r="K773" s="65" t="s">
        <v>56</v>
      </c>
      <c r="L773" s="52">
        <v>350</v>
      </c>
      <c r="M773" s="21" t="str">
        <f ca="1">VLOOKUP($L773,OFFSET([2]enemies!$A$1,0,0,COUNTA([2]enemies!$A:$A),MATCH(M$1,[2]enemies!$1:$1,0)-MATCH($L$1,[2]enemies!$1:$1,0)+1),MATCH(M$1,[2]enemies!$1:$1,0)-MATCH($L$1,[2]enemies!$1:$1,0)+1,FALSE)</f>
        <v>森のケロケロ</v>
      </c>
      <c r="N773" s="21" t="str">
        <f ca="1">VLOOKUP($L773,OFFSET([2]enemies!$A$1,0,0,COUNTA([2]enemies!$A:$A),MATCH(N$1,[2]enemies!$1:$1,0)-MATCH($L$1,[2]enemies!$1:$1,0)+1),MATCH(N$1,[2]enemies!$1:$1,0)-MATCH($L$1,[2]enemies!$1:$1,0)+1,FALSE)</f>
        <v>green</v>
      </c>
      <c r="O773" s="21" t="str">
        <f ca="1">VLOOKUP($L773,OFFSET([3]characters!$A$1,0,0,COUNTA([3]characters!$A:$A),MATCH(O$1,[3]characters!$1:$1,0)-MATCH($L$1,[3]characters!$1:$1,0)+1),MATCH(O$1,[3]characters!$1:$1,0)-MATCH($L$1,[3]characters!$1:$1,0)+1,FALSE)</f>
        <v>Material</v>
      </c>
      <c r="P773" s="21" t="str">
        <f ca="1">VLOOKUP($L773,OFFSET([2]enemies!$A$1,0,0,COUNTA([2]enemies!$A:$A),MATCH(P$1,[2]enemies!$1:$1,0)-MATCH($L$1,[2]enemies!$1:$1,0)+1),MATCH(P$1,[2]enemies!$1:$1,0)-MATCH($L$1,[2]enemies!$1:$1,0)+1,FALSE)</f>
        <v>unknown</v>
      </c>
      <c r="Q773" s="21">
        <f ca="1">VLOOKUP($L773,OFFSET([2]enemies!$A$1,0,0,COUNTA([2]enemies!$A:$A),MATCH(Q$1,[2]enemies!$1:$1,0)-MATCH($L$1,[2]enemies!$1:$1,0)+1),MATCH(Q$1,[2]enemies!$1:$1,0)-MATCH($L$1,[2]enemies!$1:$1,0)+1,FALSE)</f>
        <v>15</v>
      </c>
      <c r="R773" s="53">
        <v>54</v>
      </c>
      <c r="S773" s="27">
        <v>1</v>
      </c>
      <c r="T773" s="27">
        <v>1</v>
      </c>
      <c r="U773" s="5">
        <v>0</v>
      </c>
      <c r="V773" s="4" t="str">
        <f ca="1">VLOOKUP($W773,OFFSET([4]enemy_skill_sets!$B$1,0,0,COUNTA([4]enemy_skill_sets!$B:$B),MATCH(M$1,[4]enemy_skill_sets!$1:$1,0)-MATCH($W$1,[4]enemy_skill_sets!$1:$1,0)+2),MATCH(M$1,[4]enemy_skill_sets!$1:$1,0)-MATCH($W$1,[4]enemy_skill_sets!$1:$1,0)+2,FALSE)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773" s="64">
        <v>350</v>
      </c>
      <c r="X773" s="6">
        <v>0</v>
      </c>
      <c r="Y773" s="6">
        <v>100</v>
      </c>
      <c r="Z773" s="6">
        <v>0</v>
      </c>
      <c r="AA773" s="4">
        <f ca="1">VLOOKUP($L773,OFFSET([2]enemies!$A$1,0,0,COUNTA([2]enemies!$A:$A),MATCH(AA$1,[2]enemies!$1:$1,0)-MATCH($L$1,[2]enemies!$1:$1,0)+1),MATCH(AA$1,[2]enemies!$1:$1,0)-MATCH($L$1,[2]enemies!$1:$1,0)+1,FALSE)</f>
        <v>3</v>
      </c>
      <c r="AB773" s="52">
        <v>350</v>
      </c>
      <c r="AC773" s="4" t="str">
        <f ca="1">VLOOKUP($AB773,OFFSET([3]characters!$A$1,0,0,COUNTA([3]characters!$A:$A),MATCH(AC$1,[3]characters!$1:$1,0)-MATCH("character_id",[3]characters!$1:$1,0)+1),MATCH(AC$1,[3]characters!$1:$1,0)-MATCH("character_id",[3]characters!$1:$1,0)+1,FALSE)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773" s="4">
        <f ca="1">VLOOKUP($AB773,OFFSET([3]characters!$A$1,0,0,COUNTA([3]characters!$A:$A),MATCH(AD$1,[3]characters!$1:$1,0)-MATCH("character_id",[3]characters!$1:$1,0)+1),MATCH(AD$1,[3]characters!$1:$1,0)-MATCH("character_id",[3]characters!$1:$1,0)+1,FALSE)</f>
        <v>2</v>
      </c>
      <c r="AE773" s="4" t="str">
        <f ca="1">VLOOKUP($AB773,OFFSET([3]characters!$A$1,0,0,COUNTA([3]characters!$A:$A),MATCH(AE$1,[3]characters!$1:$1,0)-MATCH("character_id",[3]characters!$1:$1,0)+1),MATCH(AE$1,[3]characters!$1:$1,0)-MATCH("character_id",[3]characters!$1:$1,0)+1,FALSE)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73" s="7">
        <v>10</v>
      </c>
      <c r="AG773" s="26">
        <f t="shared" ca="1" si="734"/>
        <v>2</v>
      </c>
      <c r="AH773" s="8">
        <v>20</v>
      </c>
      <c r="AI773" s="7">
        <v>0</v>
      </c>
      <c r="AJ773" s="7">
        <v>0</v>
      </c>
      <c r="AK773" s="7">
        <v>0</v>
      </c>
      <c r="AL773" s="7">
        <v>0</v>
      </c>
      <c r="AM773" s="7">
        <v>1</v>
      </c>
    </row>
    <row r="774" spans="1:39" ht="14" x14ac:dyDescent="0.15">
      <c r="A774" s="18" t="str">
        <f t="shared" ca="1" si="714"/>
        <v>26_3-2/33&lt;lv54&gt;s2</v>
      </c>
      <c r="B774" s="50">
        <v>26</v>
      </c>
      <c r="C774" s="49">
        <v>3</v>
      </c>
      <c r="D774" s="2" t="str">
        <f t="shared" si="730"/>
        <v>26_3</v>
      </c>
      <c r="E774" s="2" t="str">
        <f t="shared" si="730"/>
        <v>3_26_3</v>
      </c>
      <c r="F774" s="4" t="str">
        <f ca="1">VLOOKUP($D774,OFFSET([1]stages!$A$1,0,0,COUNTA([1]stages!$A:$A),MATCH(F$1,[1]stages!$2:$2,0)-MATCH($D$1,[1]stages!$2:$2,0)+1),MATCH(F$1,[1]stages!$2:$2,0)-MATCH($D$1,[1]stages!$2:$2,0)+1,FALSE)</f>
        <v>26-3．荒ぶる電飾</v>
      </c>
      <c r="G774" s="55">
        <v>2</v>
      </c>
      <c r="H774" s="17" t="str">
        <f t="shared" si="731"/>
        <v>26_3-2</v>
      </c>
      <c r="I774" s="17"/>
      <c r="J774" s="17"/>
      <c r="K774" s="65" t="s">
        <v>56</v>
      </c>
      <c r="L774" s="52">
        <v>33</v>
      </c>
      <c r="M774" s="21" t="str">
        <f ca="1">VLOOKUP($L774,OFFSET([2]enemies!$A$1,0,0,COUNTA([2]enemies!$A:$A),MATCH(M$1,[2]enemies!$1:$1,0)-MATCH($L$1,[2]enemies!$1:$1,0)+1),MATCH(M$1,[2]enemies!$1:$1,0)-MATCH($L$1,[2]enemies!$1:$1,0)+1,FALSE)</f>
        <v>ゴクウ</v>
      </c>
      <c r="N774" s="21" t="str">
        <f ca="1">VLOOKUP($L774,OFFSET([2]enemies!$A$1,0,0,COUNTA([2]enemies!$A:$A),MATCH(N$1,[2]enemies!$1:$1,0)-MATCH($L$1,[2]enemies!$1:$1,0)+1),MATCH(N$1,[2]enemies!$1:$1,0)-MATCH($L$1,[2]enemies!$1:$1,0)+1,FALSE)</f>
        <v>red</v>
      </c>
      <c r="O774" s="21" t="str">
        <f ca="1">VLOOKUP($L774,OFFSET([3]characters!$A$1,0,0,COUNTA([3]characters!$A:$A),MATCH(O$1,[3]characters!$1:$1,0)-MATCH($L$1,[3]characters!$1:$1,0)+1),MATCH(O$1,[3]characters!$1:$1,0)-MATCH($L$1,[3]characters!$1:$1,0)+1,FALSE)</f>
        <v>Drop1S</v>
      </c>
      <c r="P774" s="21" t="str">
        <f ca="1">VLOOKUP($L774,OFFSET([2]enemies!$A$1,0,0,COUNTA([2]enemies!$A:$A),MATCH(P$1,[2]enemies!$1:$1,0)-MATCH($L$1,[2]enemies!$1:$1,0)+1),MATCH(P$1,[2]enemies!$1:$1,0)-MATCH($L$1,[2]enemies!$1:$1,0)+1,FALSE)</f>
        <v>animal</v>
      </c>
      <c r="Q774" s="21">
        <f ca="1">VLOOKUP($L774,OFFSET([2]enemies!$A$1,0,0,COUNTA([2]enemies!$A:$A),MATCH(Q$1,[2]enemies!$1:$1,0)-MATCH($L$1,[2]enemies!$1:$1,0)+1),MATCH(Q$1,[2]enemies!$1:$1,0)-MATCH($L$1,[2]enemies!$1:$1,0)+1,FALSE)</f>
        <v>15</v>
      </c>
      <c r="R774" s="53">
        <v>54</v>
      </c>
      <c r="S774" s="27">
        <v>1</v>
      </c>
      <c r="T774" s="27">
        <v>1</v>
      </c>
      <c r="U774" s="5">
        <v>0</v>
      </c>
      <c r="V774" s="4" t="str">
        <f ca="1">VLOOKUP($W774,OFFSET([4]enemy_skill_sets!$B$1,0,0,COUNTA([4]enemy_skill_sets!$B:$B),MATCH(M$1,[4]enemy_skill_sets!$1:$1,0)-MATCH($W$1,[4]enemy_skill_sets!$1:$1,0)+2),MATCH(M$1,[4]enemy_skill_sets!$1:$1,0)-MATCH($W$1,[4]enemy_skill_sets!$1:$1,0)+2,FALSE)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774" s="4">
        <f ca="1">VLOOKUP($L774,OFFSET([2]enemies!$A$1,0,0,COUNTA([2]enemies!$A:$A),MATCH(W$1,[2]enemies!$1:$1,0)-MATCH($L$1,[2]enemies!$1:$1,0)+1),MATCH(W$1,[2]enemies!$1:$1,0)-MATCH($L$1,[2]enemies!$1:$1,0)+1,FALSE)</f>
        <v>33</v>
      </c>
      <c r="X774" s="6">
        <v>0</v>
      </c>
      <c r="Y774" s="6">
        <v>100</v>
      </c>
      <c r="Z774" s="6">
        <v>0</v>
      </c>
      <c r="AA774" s="4">
        <f ca="1">VLOOKUP($L774,OFFSET([2]enemies!$A$1,0,0,COUNTA([2]enemies!$A:$A),MATCH(AA$1,[2]enemies!$1:$1,0)-MATCH($L$1,[2]enemies!$1:$1,0)+1),MATCH(AA$1,[2]enemies!$1:$1,0)-MATCH($L$1,[2]enemies!$1:$1,0)+1,FALSE)</f>
        <v>2</v>
      </c>
      <c r="AB774" s="52">
        <v>33</v>
      </c>
      <c r="AC774" s="4" t="str">
        <f ca="1">VLOOKUP($AB774,OFFSET([3]characters!$A$1,0,0,COUNTA([3]characters!$A:$A),MATCH(AC$1,[3]characters!$1:$1,0)-MATCH("character_id",[3]characters!$1:$1,0)+1),MATCH(AC$1,[3]characters!$1:$1,0)-MATCH("character_id",[3]characters!$1:$1,0)+1,FALSE)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774" s="4">
        <f ca="1">VLOOKUP($AB774,OFFSET([3]characters!$A$1,0,0,COUNTA([3]characters!$A:$A),MATCH(AD$1,[3]characters!$1:$1,0)-MATCH("character_id",[3]characters!$1:$1,0)+1),MATCH(AD$1,[3]characters!$1:$1,0)-MATCH("character_id",[3]characters!$1:$1,0)+1,FALSE)</f>
        <v>2</v>
      </c>
      <c r="AE774" s="4" t="str">
        <f ca="1">VLOOKUP($AB774,OFFSET([3]characters!$A$1,0,0,COUNTA([3]characters!$A:$A),MATCH(AE$1,[3]characters!$1:$1,0)-MATCH("character_id",[3]characters!$1:$1,0)+1),MATCH(AE$1,[3]characters!$1:$1,0)-MATCH("character_id",[3]characters!$1:$1,0)+1,FALSE)</f>
        <v>Drop1S</v>
      </c>
      <c r="AF774" s="7">
        <v>5</v>
      </c>
      <c r="AG774" s="26">
        <f t="shared" ca="1" si="734"/>
        <v>2</v>
      </c>
      <c r="AH774" s="8">
        <v>20</v>
      </c>
      <c r="AI774" s="7">
        <v>0</v>
      </c>
      <c r="AJ774" s="7">
        <v>0</v>
      </c>
      <c r="AK774" s="7">
        <v>0</v>
      </c>
      <c r="AL774" s="7">
        <v>0</v>
      </c>
      <c r="AM774" s="7">
        <v>1</v>
      </c>
    </row>
    <row r="775" spans="1:39" ht="14" x14ac:dyDescent="0.15">
      <c r="A775" s="18" t="str">
        <f t="shared" ca="1" si="714"/>
        <v>26_3-2/37&lt;lv54&gt;s3</v>
      </c>
      <c r="B775" s="50">
        <v>26</v>
      </c>
      <c r="C775" s="49">
        <v>3</v>
      </c>
      <c r="D775" s="2" t="str">
        <f t="shared" si="730"/>
        <v>26_3</v>
      </c>
      <c r="E775" s="2" t="str">
        <f t="shared" si="730"/>
        <v>3_26_3</v>
      </c>
      <c r="F775" s="4" t="str">
        <f ca="1">VLOOKUP($D775,OFFSET([1]stages!$A$1,0,0,COUNTA([1]stages!$A:$A),MATCH(F$1,[1]stages!$2:$2,0)-MATCH($D$1,[1]stages!$2:$2,0)+1),MATCH(F$1,[1]stages!$2:$2,0)-MATCH($D$1,[1]stages!$2:$2,0)+1,FALSE)</f>
        <v>26-3．荒ぶる電飾</v>
      </c>
      <c r="G775" s="55">
        <v>2</v>
      </c>
      <c r="H775" s="17" t="str">
        <f t="shared" si="731"/>
        <v>26_3-2</v>
      </c>
      <c r="I775" s="17"/>
      <c r="J775" s="17"/>
      <c r="K775" s="65" t="s">
        <v>56</v>
      </c>
      <c r="L775" s="52">
        <v>37</v>
      </c>
      <c r="M775" s="21" t="str">
        <f ca="1">VLOOKUP($L775,OFFSET([2]enemies!$A$1,0,0,COUNTA([2]enemies!$A:$A),MATCH(M$1,[2]enemies!$1:$1,0)-MATCH($L$1,[2]enemies!$1:$1,0)+1),MATCH(M$1,[2]enemies!$1:$1,0)-MATCH($L$1,[2]enemies!$1:$1,0)+1,FALSE)</f>
        <v>ガイル</v>
      </c>
      <c r="N775" s="21" t="str">
        <f ca="1">VLOOKUP($L775,OFFSET([2]enemies!$A$1,0,0,COUNTA([2]enemies!$A:$A),MATCH(N$1,[2]enemies!$1:$1,0)-MATCH($L$1,[2]enemies!$1:$1,0)+1),MATCH(N$1,[2]enemies!$1:$1,0)-MATCH($L$1,[2]enemies!$1:$1,0)+1,FALSE)</f>
        <v>blue</v>
      </c>
      <c r="O775" s="21" t="str">
        <f ca="1">VLOOKUP($L775,OFFSET([3]characters!$A$1,0,0,COUNTA([3]characters!$A:$A),MATCH(O$1,[3]characters!$1:$1,0)-MATCH($L$1,[3]characters!$1:$1,0)+1),MATCH(O$1,[3]characters!$1:$1,0)-MATCH($L$1,[3]characters!$1:$1,0)+1,FALSE)</f>
        <v>Drop1S</v>
      </c>
      <c r="P775" s="21" t="str">
        <f ca="1">VLOOKUP($L775,OFFSET([2]enemies!$A$1,0,0,COUNTA([2]enemies!$A:$A),MATCH(P$1,[2]enemies!$1:$1,0)-MATCH($L$1,[2]enemies!$1:$1,0)+1),MATCH(P$1,[2]enemies!$1:$1,0)-MATCH($L$1,[2]enemies!$1:$1,0)+1,FALSE)</f>
        <v>animal</v>
      </c>
      <c r="Q775" s="21">
        <f ca="1">VLOOKUP($L775,OFFSET([2]enemies!$A$1,0,0,COUNTA([2]enemies!$A:$A),MATCH(Q$1,[2]enemies!$1:$1,0)-MATCH($L$1,[2]enemies!$1:$1,0)+1),MATCH(Q$1,[2]enemies!$1:$1,0)-MATCH($L$1,[2]enemies!$1:$1,0)+1,FALSE)</f>
        <v>15</v>
      </c>
      <c r="R775" s="53">
        <v>54</v>
      </c>
      <c r="S775" s="27">
        <v>1</v>
      </c>
      <c r="T775" s="27">
        <v>1</v>
      </c>
      <c r="U775" s="5">
        <v>0</v>
      </c>
      <c r="V775" s="4" t="str">
        <f ca="1">VLOOKUP($W775,OFFSET([4]enemy_skill_sets!$B$1,0,0,COUNTA([4]enemy_skill_sets!$B:$B),MATCH(M$1,[4]enemy_skill_sets!$1:$1,0)-MATCH($W$1,[4]enemy_skill_sets!$1:$1,0)+2),MATCH(M$1,[4]enemy_skill_sets!$1:$1,0)-MATCH($W$1,[4]enemy_skill_sets!$1:$1,0)+2,FALSE)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775" s="4">
        <f ca="1">VLOOKUP($L775,OFFSET([2]enemies!$A$1,0,0,COUNTA([2]enemies!$A:$A),MATCH(W$1,[2]enemies!$1:$1,0)-MATCH($L$1,[2]enemies!$1:$1,0)+1),MATCH(W$1,[2]enemies!$1:$1,0)-MATCH($L$1,[2]enemies!$1:$1,0)+1,FALSE)</f>
        <v>37</v>
      </c>
      <c r="X775" s="6">
        <v>0</v>
      </c>
      <c r="Y775" s="6">
        <v>100</v>
      </c>
      <c r="Z775" s="6">
        <v>0</v>
      </c>
      <c r="AA775" s="4">
        <f ca="1">VLOOKUP($L775,OFFSET([2]enemies!$A$1,0,0,COUNTA([2]enemies!$A:$A),MATCH(AA$1,[2]enemies!$1:$1,0)-MATCH($L$1,[2]enemies!$1:$1,0)+1),MATCH(AA$1,[2]enemies!$1:$1,0)-MATCH($L$1,[2]enemies!$1:$1,0)+1,FALSE)</f>
        <v>3</v>
      </c>
      <c r="AB775" s="52">
        <v>37</v>
      </c>
      <c r="AC775" s="4" t="str">
        <f ca="1">VLOOKUP($AB775,OFFSET([3]characters!$A$1,0,0,COUNTA([3]characters!$A:$A),MATCH(AC$1,[3]characters!$1:$1,0)-MATCH("character_id",[3]characters!$1:$1,0)+1),MATCH(AC$1,[3]characters!$1:$1,0)-MATCH("character_id",[3]characters!$1:$1,0)+1,FALSE)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775" s="4">
        <f ca="1">VLOOKUP($AB775,OFFSET([3]characters!$A$1,0,0,COUNTA([3]characters!$A:$A),MATCH(AD$1,[3]characters!$1:$1,0)-MATCH("character_id",[3]characters!$1:$1,0)+1),MATCH(AD$1,[3]characters!$1:$1,0)-MATCH("character_id",[3]characters!$1:$1,0)+1,FALSE)</f>
        <v>2</v>
      </c>
      <c r="AE775" s="4" t="str">
        <f ca="1">VLOOKUP($AB775,OFFSET([3]characters!$A$1,0,0,COUNTA([3]characters!$A:$A),MATCH(AE$1,[3]characters!$1:$1,0)-MATCH("character_id",[3]characters!$1:$1,0)+1),MATCH(AE$1,[3]characters!$1:$1,0)-MATCH("character_id",[3]characters!$1:$1,0)+1,FALSE)</f>
        <v>Drop1S</v>
      </c>
      <c r="AF775" s="7">
        <v>5</v>
      </c>
      <c r="AG775" s="26">
        <f t="shared" ca="1" si="734"/>
        <v>2</v>
      </c>
      <c r="AH775" s="8">
        <v>20</v>
      </c>
      <c r="AI775" s="7">
        <v>0</v>
      </c>
      <c r="AJ775" s="7">
        <v>0</v>
      </c>
      <c r="AK775" s="7">
        <v>0</v>
      </c>
      <c r="AL775" s="7">
        <v>0</v>
      </c>
      <c r="AM775" s="7">
        <v>1</v>
      </c>
    </row>
    <row r="776" spans="1:39" ht="14" x14ac:dyDescent="0.15">
      <c r="A776" s="18" t="str">
        <f t="shared" ca="1" si="714"/>
        <v>26_3-2/45&lt;lv54&gt;s3</v>
      </c>
      <c r="B776" s="50">
        <v>26</v>
      </c>
      <c r="C776" s="49">
        <v>3</v>
      </c>
      <c r="D776" s="2" t="str">
        <f t="shared" si="730"/>
        <v>26_3</v>
      </c>
      <c r="E776" s="2" t="str">
        <f t="shared" si="730"/>
        <v>3_26_3</v>
      </c>
      <c r="F776" s="4" t="str">
        <f ca="1">VLOOKUP($D776,OFFSET([1]stages!$A$1,0,0,COUNTA([1]stages!$A:$A),MATCH(F$1,[1]stages!$2:$2,0)-MATCH($D$1,[1]stages!$2:$2,0)+1),MATCH(F$1,[1]stages!$2:$2,0)-MATCH($D$1,[1]stages!$2:$2,0)+1,FALSE)</f>
        <v>26-3．荒ぶる電飾</v>
      </c>
      <c r="G776" s="55">
        <v>2</v>
      </c>
      <c r="H776" s="17" t="str">
        <f t="shared" si="731"/>
        <v>26_3-2</v>
      </c>
      <c r="I776" s="17"/>
      <c r="J776" s="17"/>
      <c r="K776" s="65" t="s">
        <v>56</v>
      </c>
      <c r="L776" s="52">
        <v>45</v>
      </c>
      <c r="M776" s="21" t="str">
        <f ca="1">VLOOKUP($L776,OFFSET([2]enemies!$A$1,0,0,COUNTA([2]enemies!$A:$A),MATCH(M$1,[2]enemies!$1:$1,0)-MATCH($L$1,[2]enemies!$1:$1,0)+1),MATCH(M$1,[2]enemies!$1:$1,0)-MATCH($L$1,[2]enemies!$1:$1,0)+1,FALSE)</f>
        <v>ショウイン</v>
      </c>
      <c r="N776" s="21" t="str">
        <f ca="1">VLOOKUP($L776,OFFSET([2]enemies!$A$1,0,0,COUNTA([2]enemies!$A:$A),MATCH(N$1,[2]enemies!$1:$1,0)-MATCH($L$1,[2]enemies!$1:$1,0)+1),MATCH(N$1,[2]enemies!$1:$1,0)-MATCH($L$1,[2]enemies!$1:$1,0)+1,FALSE)</f>
        <v>blue</v>
      </c>
      <c r="O776" s="21" t="str">
        <f ca="1">VLOOKUP($L776,OFFSET([3]characters!$A$1,0,0,COUNTA([3]characters!$A:$A),MATCH(O$1,[3]characters!$1:$1,0)-MATCH($L$1,[3]characters!$1:$1,0)+1),MATCH(O$1,[3]characters!$1:$1,0)-MATCH($L$1,[3]characters!$1:$1,0)+1,FALSE)</f>
        <v>Drop1N</v>
      </c>
      <c r="P776" s="21" t="str">
        <f ca="1">VLOOKUP($L776,OFFSET([2]enemies!$A$1,0,0,COUNTA([2]enemies!$A:$A),MATCH(P$1,[2]enemies!$1:$1,0)-MATCH($L$1,[2]enemies!$1:$1,0)+1),MATCH(P$1,[2]enemies!$1:$1,0)-MATCH($L$1,[2]enemies!$1:$1,0)+1,FALSE)</f>
        <v>animal</v>
      </c>
      <c r="Q776" s="21">
        <f ca="1">VLOOKUP($L776,OFFSET([2]enemies!$A$1,0,0,COUNTA([2]enemies!$A:$A),MATCH(Q$1,[2]enemies!$1:$1,0)-MATCH($L$1,[2]enemies!$1:$1,0)+1),MATCH(Q$1,[2]enemies!$1:$1,0)-MATCH($L$1,[2]enemies!$1:$1,0)+1,FALSE)</f>
        <v>15</v>
      </c>
      <c r="R776" s="53">
        <v>54</v>
      </c>
      <c r="S776" s="27">
        <v>1</v>
      </c>
      <c r="T776" s="27">
        <v>1</v>
      </c>
      <c r="U776" s="5">
        <v>0</v>
      </c>
      <c r="V776" s="4" t="str">
        <f ca="1">VLOOKUP($W776,OFFSET([4]enemy_skill_sets!$B$1,0,0,COUNTA([4]enemy_skill_sets!$B:$B),MATCH(M$1,[4]enemy_skill_sets!$1:$1,0)-MATCH($W$1,[4]enemy_skill_sets!$1:$1,0)+2),MATCH(M$1,[4]enemy_skill_sets!$1:$1,0)-MATCH($W$1,[4]enemy_skill_sets!$1:$1,0)+2,FALSE)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76" s="4">
        <f ca="1">VLOOKUP($L776,OFFSET([2]enemies!$A$1,0,0,COUNTA([2]enemies!$A:$A),MATCH(W$1,[2]enemies!$1:$1,0)-MATCH($L$1,[2]enemies!$1:$1,0)+1),MATCH(W$1,[2]enemies!$1:$1,0)-MATCH($L$1,[2]enemies!$1:$1,0)+1,FALSE)</f>
        <v>0</v>
      </c>
      <c r="X776" s="6">
        <v>0</v>
      </c>
      <c r="Y776" s="6">
        <v>100</v>
      </c>
      <c r="Z776" s="6">
        <v>0</v>
      </c>
      <c r="AA776" s="4">
        <f ca="1">VLOOKUP($L776,OFFSET([2]enemies!$A$1,0,0,COUNTA([2]enemies!$A:$A),MATCH(AA$1,[2]enemies!$1:$1,0)-MATCH($L$1,[2]enemies!$1:$1,0)+1),MATCH(AA$1,[2]enemies!$1:$1,0)-MATCH($L$1,[2]enemies!$1:$1,0)+1,FALSE)</f>
        <v>3</v>
      </c>
      <c r="AB776" s="52">
        <v>45</v>
      </c>
      <c r="AC776" s="4" t="str">
        <f ca="1">VLOOKUP($AB776,OFFSET([3]characters!$A$1,0,0,COUNTA([3]characters!$A:$A),MATCH(AC$1,[3]characters!$1:$1,0)-MATCH("character_id",[3]characters!$1:$1,0)+1),MATCH(AC$1,[3]characters!$1:$1,0)-MATCH("character_id",[3]characters!$1:$1,0)+1,FALSE)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776" s="4">
        <f ca="1">VLOOKUP($AB776,OFFSET([3]characters!$A$1,0,0,COUNTA([3]characters!$A:$A),MATCH(AD$1,[3]characters!$1:$1,0)-MATCH("character_id",[3]characters!$1:$1,0)+1),MATCH(AD$1,[3]characters!$1:$1,0)-MATCH("character_id",[3]characters!$1:$1,0)+1,FALSE)</f>
        <v>2</v>
      </c>
      <c r="AE776" s="4" t="str">
        <f ca="1">VLOOKUP($AB776,OFFSET([3]characters!$A$1,0,0,COUNTA([3]characters!$A:$A),MATCH(AE$1,[3]characters!$1:$1,0)-MATCH("character_id",[3]characters!$1:$1,0)+1),MATCH(AE$1,[3]characters!$1:$1,0)-MATCH("character_id",[3]characters!$1:$1,0)+1,FALSE)</f>
        <v>Drop1N</v>
      </c>
      <c r="AF776" s="7">
        <v>7</v>
      </c>
      <c r="AG776" s="26">
        <f t="shared" ca="1" si="734"/>
        <v>2</v>
      </c>
      <c r="AH776" s="8">
        <v>20</v>
      </c>
      <c r="AI776" s="7">
        <v>0</v>
      </c>
      <c r="AJ776" s="7">
        <v>0</v>
      </c>
      <c r="AK776" s="7">
        <v>0</v>
      </c>
      <c r="AL776" s="7">
        <v>0</v>
      </c>
      <c r="AM776" s="7">
        <v>1</v>
      </c>
    </row>
    <row r="777" spans="1:39" ht="14" x14ac:dyDescent="0.15">
      <c r="A777" s="18" t="str">
        <f t="shared" ca="1" si="714"/>
        <v>26_3-2/47&lt;lv54&gt;s1</v>
      </c>
      <c r="B777" s="50">
        <v>26</v>
      </c>
      <c r="C777" s="49">
        <v>3</v>
      </c>
      <c r="D777" s="2" t="str">
        <f t="shared" si="730"/>
        <v>26_3</v>
      </c>
      <c r="E777" s="2" t="str">
        <f t="shared" si="730"/>
        <v>3_26_3</v>
      </c>
      <c r="F777" s="4" t="str">
        <f ca="1">VLOOKUP($D777,OFFSET([1]stages!$A$1,0,0,COUNTA([1]stages!$A:$A),MATCH(F$1,[1]stages!$2:$2,0)-MATCH($D$1,[1]stages!$2:$2,0)+1),MATCH(F$1,[1]stages!$2:$2,0)-MATCH($D$1,[1]stages!$2:$2,0)+1,FALSE)</f>
        <v>26-3．荒ぶる電飾</v>
      </c>
      <c r="G777" s="55">
        <v>2</v>
      </c>
      <c r="H777" s="17" t="str">
        <f t="shared" si="731"/>
        <v>26_3-2</v>
      </c>
      <c r="I777" s="17"/>
      <c r="J777" s="17"/>
      <c r="K777" s="65" t="s">
        <v>56</v>
      </c>
      <c r="L777" s="52">
        <v>47</v>
      </c>
      <c r="M777" s="21" t="str">
        <f ca="1">VLOOKUP($L777,OFFSET([2]enemies!$A$1,0,0,COUNTA([2]enemies!$A:$A),MATCH(M$1,[2]enemies!$1:$1,0)-MATCH($L$1,[2]enemies!$1:$1,0)+1),MATCH(M$1,[2]enemies!$1:$1,0)-MATCH($L$1,[2]enemies!$1:$1,0)+1,FALSE)</f>
        <v>ヒロ</v>
      </c>
      <c r="N777" s="21" t="str">
        <f ca="1">VLOOKUP($L777,OFFSET([2]enemies!$A$1,0,0,COUNTA([2]enemies!$A:$A),MATCH(N$1,[2]enemies!$1:$1,0)-MATCH($L$1,[2]enemies!$1:$1,0)+1),MATCH(N$1,[2]enemies!$1:$1,0)-MATCH($L$1,[2]enemies!$1:$1,0)+1,FALSE)</f>
        <v>yellow</v>
      </c>
      <c r="O777" s="21" t="str">
        <f ca="1">VLOOKUP($L777,OFFSET([3]characters!$A$1,0,0,COUNTA([3]characters!$A:$A),MATCH(O$1,[3]characters!$1:$1,0)-MATCH($L$1,[3]characters!$1:$1,0)+1),MATCH(O$1,[3]characters!$1:$1,0)-MATCH($L$1,[3]characters!$1:$1,0)+1,FALSE)</f>
        <v>Drop1N</v>
      </c>
      <c r="P777" s="21" t="str">
        <f ca="1">VLOOKUP($L777,OFFSET([2]enemies!$A$1,0,0,COUNTA([2]enemies!$A:$A),MATCH(P$1,[2]enemies!$1:$1,0)-MATCH($L$1,[2]enemies!$1:$1,0)+1),MATCH(P$1,[2]enemies!$1:$1,0)-MATCH($L$1,[2]enemies!$1:$1,0)+1,FALSE)</f>
        <v>animal</v>
      </c>
      <c r="Q777" s="21">
        <f ca="1">VLOOKUP($L777,OFFSET([2]enemies!$A$1,0,0,COUNTA([2]enemies!$A:$A),MATCH(Q$1,[2]enemies!$1:$1,0)-MATCH($L$1,[2]enemies!$1:$1,0)+1),MATCH(Q$1,[2]enemies!$1:$1,0)-MATCH($L$1,[2]enemies!$1:$1,0)+1,FALSE)</f>
        <v>15</v>
      </c>
      <c r="R777" s="53">
        <v>54</v>
      </c>
      <c r="S777" s="27">
        <v>1</v>
      </c>
      <c r="T777" s="27">
        <v>1</v>
      </c>
      <c r="U777" s="5">
        <v>0</v>
      </c>
      <c r="V777" s="4" t="str">
        <f ca="1">VLOOKUP($W777,OFFSET([4]enemy_skill_sets!$B$1,0,0,COUNTA([4]enemy_skill_sets!$B:$B),MATCH(M$1,[4]enemy_skill_sets!$1:$1,0)-MATCH($W$1,[4]enemy_skill_sets!$1:$1,0)+2),MATCH(M$1,[4]enemy_skill_sets!$1:$1,0)-MATCH($W$1,[4]enemy_skill_sets!$1:$1,0)+2,FALSE)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77" s="4">
        <f ca="1">VLOOKUP($L777,OFFSET([2]enemies!$A$1,0,0,COUNTA([2]enemies!$A:$A),MATCH(W$1,[2]enemies!$1:$1,0)-MATCH($L$1,[2]enemies!$1:$1,0)+1),MATCH(W$1,[2]enemies!$1:$1,0)-MATCH($L$1,[2]enemies!$1:$1,0)+1,FALSE)</f>
        <v>0</v>
      </c>
      <c r="X777" s="6">
        <v>0</v>
      </c>
      <c r="Y777" s="6">
        <v>100</v>
      </c>
      <c r="Z777" s="6">
        <v>0</v>
      </c>
      <c r="AA777" s="4">
        <f ca="1">VLOOKUP($L777,OFFSET([2]enemies!$A$1,0,0,COUNTA([2]enemies!$A:$A),MATCH(AA$1,[2]enemies!$1:$1,0)-MATCH($L$1,[2]enemies!$1:$1,0)+1),MATCH(AA$1,[2]enemies!$1:$1,0)-MATCH($L$1,[2]enemies!$1:$1,0)+1,FALSE)</f>
        <v>1</v>
      </c>
      <c r="AB777" s="52">
        <v>47</v>
      </c>
      <c r="AC777" s="4" t="str">
        <f ca="1">VLOOKUP($AB777,OFFSET([3]characters!$A$1,0,0,COUNTA([3]characters!$A:$A),MATCH(AC$1,[3]characters!$1:$1,0)-MATCH("character_id",[3]characters!$1:$1,0)+1),MATCH(AC$1,[3]characters!$1:$1,0)-MATCH("character_id",[3]characters!$1:$1,0)+1,FALSE)</f>
        <v>ヒロ</v>
      </c>
      <c r="AD777" s="4">
        <f ca="1">VLOOKUP($AB777,OFFSET([3]characters!$A$1,0,0,COUNTA([3]characters!$A:$A),MATCH(AD$1,[3]characters!$1:$1,0)-MATCH("character_id",[3]characters!$1:$1,0)+1),MATCH(AD$1,[3]characters!$1:$1,0)-MATCH("character_id",[3]characters!$1:$1,0)+1,FALSE)</f>
        <v>2</v>
      </c>
      <c r="AE777" s="4" t="str">
        <f ca="1">VLOOKUP($AB777,OFFSET([3]characters!$A$1,0,0,COUNTA([3]characters!$A:$A),MATCH(AE$1,[3]characters!$1:$1,0)-MATCH("character_id",[3]characters!$1:$1,0)+1),MATCH(AE$1,[3]characters!$1:$1,0)-MATCH("character_id",[3]characters!$1:$1,0)+1,FALSE)</f>
        <v>Drop1N</v>
      </c>
      <c r="AF777" s="7">
        <v>7</v>
      </c>
      <c r="AG777" s="26">
        <f t="shared" ca="1" si="734"/>
        <v>2</v>
      </c>
      <c r="AH777" s="8">
        <v>20</v>
      </c>
      <c r="AI777" s="7">
        <v>0</v>
      </c>
      <c r="AJ777" s="7">
        <v>0</v>
      </c>
      <c r="AK777" s="7">
        <v>0</v>
      </c>
      <c r="AL777" s="7">
        <v>0</v>
      </c>
      <c r="AM777" s="7">
        <v>1</v>
      </c>
    </row>
    <row r="778" spans="1:39" ht="14" x14ac:dyDescent="0.15">
      <c r="A778" s="18" t="str">
        <f t="shared" ca="1" si="714"/>
        <v>26_3-2/57&lt;lv54&gt;s2</v>
      </c>
      <c r="B778" s="50">
        <v>26</v>
      </c>
      <c r="C778" s="49">
        <v>3</v>
      </c>
      <c r="D778" s="2" t="str">
        <f t="shared" si="730"/>
        <v>26_3</v>
      </c>
      <c r="E778" s="2" t="str">
        <f t="shared" si="730"/>
        <v>3_26_3</v>
      </c>
      <c r="F778" s="4" t="str">
        <f ca="1">VLOOKUP($D778,OFFSET([1]stages!$A$1,0,0,COUNTA([1]stages!$A:$A),MATCH(F$1,[1]stages!$2:$2,0)-MATCH($D$1,[1]stages!$2:$2,0)+1),MATCH(F$1,[1]stages!$2:$2,0)-MATCH($D$1,[1]stages!$2:$2,0)+1,FALSE)</f>
        <v>26-3．荒ぶる電飾</v>
      </c>
      <c r="G778" s="55">
        <v>2</v>
      </c>
      <c r="H778" s="17" t="str">
        <f t="shared" si="731"/>
        <v>26_3-2</v>
      </c>
      <c r="I778" s="17"/>
      <c r="J778" s="17"/>
      <c r="K778" s="65" t="s">
        <v>56</v>
      </c>
      <c r="L778" s="52">
        <v>57</v>
      </c>
      <c r="M778" s="21" t="str">
        <f ca="1">VLOOKUP($L778,OFFSET([2]enemies!$A$1,0,0,COUNTA([2]enemies!$A:$A),MATCH(M$1,[2]enemies!$1:$1,0)-MATCH($L$1,[2]enemies!$1:$1,0)+1),MATCH(M$1,[2]enemies!$1:$1,0)-MATCH($L$1,[2]enemies!$1:$1,0)+1,FALSE)</f>
        <v>チェン・リー</v>
      </c>
      <c r="N778" s="21" t="str">
        <f ca="1">VLOOKUP($L778,OFFSET([2]enemies!$A$1,0,0,COUNTA([2]enemies!$A:$A),MATCH(N$1,[2]enemies!$1:$1,0)-MATCH($L$1,[2]enemies!$1:$1,0)+1),MATCH(N$1,[2]enemies!$1:$1,0)-MATCH($L$1,[2]enemies!$1:$1,0)+1,FALSE)</f>
        <v>red</v>
      </c>
      <c r="O778" s="21" t="str">
        <f ca="1">VLOOKUP($L778,OFFSET([3]characters!$A$1,0,0,COUNTA([3]characters!$A:$A),MATCH(O$1,[3]characters!$1:$1,0)-MATCH($L$1,[3]characters!$1:$1,0)+1),MATCH(O$1,[3]characters!$1:$1,0)-MATCH($L$1,[3]characters!$1:$1,0)+1,FALSE)</f>
        <v>Drop1N</v>
      </c>
      <c r="P778" s="21" t="str">
        <f ca="1">VLOOKUP($L778,OFFSET([2]enemies!$A$1,0,0,COUNTA([2]enemies!$A:$A),MATCH(P$1,[2]enemies!$1:$1,0)-MATCH($L$1,[2]enemies!$1:$1,0)+1),MATCH(P$1,[2]enemies!$1:$1,0)-MATCH($L$1,[2]enemies!$1:$1,0)+1,FALSE)</f>
        <v>animal</v>
      </c>
      <c r="Q778" s="21">
        <f ca="1">VLOOKUP($L778,OFFSET([2]enemies!$A$1,0,0,COUNTA([2]enemies!$A:$A),MATCH(Q$1,[2]enemies!$1:$1,0)-MATCH($L$1,[2]enemies!$1:$1,0)+1),MATCH(Q$1,[2]enemies!$1:$1,0)-MATCH($L$1,[2]enemies!$1:$1,0)+1,FALSE)</f>
        <v>15</v>
      </c>
      <c r="R778" s="53">
        <v>54</v>
      </c>
      <c r="S778" s="27">
        <v>1</v>
      </c>
      <c r="T778" s="27">
        <v>1</v>
      </c>
      <c r="U778" s="5">
        <v>0</v>
      </c>
      <c r="V778" s="4" t="str">
        <f ca="1">VLOOKUP($W778,OFFSET([4]enemy_skill_sets!$B$1,0,0,COUNTA([4]enemy_skill_sets!$B:$B),MATCH(M$1,[4]enemy_skill_sets!$1:$1,0)-MATCH($W$1,[4]enemy_skill_sets!$1:$1,0)+2),MATCH(M$1,[4]enemy_skill_sets!$1:$1,0)-MATCH($W$1,[4]enemy_skill_sets!$1:$1,0)+2,FALSE)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778" s="4">
        <f ca="1">VLOOKUP($L778,OFFSET([2]enemies!$A$1,0,0,COUNTA([2]enemies!$A:$A),MATCH(W$1,[2]enemies!$1:$1,0)-MATCH($L$1,[2]enemies!$1:$1,0)+1),MATCH(W$1,[2]enemies!$1:$1,0)-MATCH($L$1,[2]enemies!$1:$1,0)+1,FALSE)</f>
        <v>57</v>
      </c>
      <c r="X778" s="6">
        <v>0</v>
      </c>
      <c r="Y778" s="6">
        <v>100</v>
      </c>
      <c r="Z778" s="6">
        <v>0</v>
      </c>
      <c r="AA778" s="4">
        <f ca="1">VLOOKUP($L778,OFFSET([2]enemies!$A$1,0,0,COUNTA([2]enemies!$A:$A),MATCH(AA$1,[2]enemies!$1:$1,0)-MATCH($L$1,[2]enemies!$1:$1,0)+1),MATCH(AA$1,[2]enemies!$1:$1,0)-MATCH($L$1,[2]enemies!$1:$1,0)+1,FALSE)</f>
        <v>2</v>
      </c>
      <c r="AB778" s="52">
        <v>57</v>
      </c>
      <c r="AC778" s="4" t="str">
        <f ca="1">VLOOKUP($AB778,OFFSET([3]characters!$A$1,0,0,COUNTA([3]characters!$A:$A),MATCH(AC$1,[3]characters!$1:$1,0)-MATCH("character_id",[3]characters!$1:$1,0)+1),MATCH(AC$1,[3]characters!$1:$1,0)-MATCH("character_id",[3]characters!$1:$1,0)+1,FALSE)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778" s="4">
        <f ca="1">VLOOKUP($AB778,OFFSET([3]characters!$A$1,0,0,COUNTA([3]characters!$A:$A),MATCH(AD$1,[3]characters!$1:$1,0)-MATCH("character_id",[3]characters!$1:$1,0)+1),MATCH(AD$1,[3]characters!$1:$1,0)-MATCH("character_id",[3]characters!$1:$1,0)+1,FALSE)</f>
        <v>2</v>
      </c>
      <c r="AE778" s="4" t="str">
        <f ca="1">VLOOKUP($AB778,OFFSET([3]characters!$A$1,0,0,COUNTA([3]characters!$A:$A),MATCH(AE$1,[3]characters!$1:$1,0)-MATCH("character_id",[3]characters!$1:$1,0)+1),MATCH(AE$1,[3]characters!$1:$1,0)-MATCH("character_id",[3]characters!$1:$1,0)+1,FALSE)</f>
        <v>Drop1N</v>
      </c>
      <c r="AF778" s="7">
        <v>7</v>
      </c>
      <c r="AG778" s="26">
        <f t="shared" ca="1" si="734"/>
        <v>2</v>
      </c>
      <c r="AH778" s="8">
        <v>20</v>
      </c>
      <c r="AI778" s="7">
        <v>0</v>
      </c>
      <c r="AJ778" s="7">
        <v>0</v>
      </c>
      <c r="AK778" s="7">
        <v>0</v>
      </c>
      <c r="AL778" s="7">
        <v>0</v>
      </c>
      <c r="AM778" s="7">
        <v>1</v>
      </c>
    </row>
    <row r="779" spans="1:39" ht="14" x14ac:dyDescent="0.15">
      <c r="A779" s="18" t="str">
        <f t="shared" ca="1" si="714"/>
        <v>26_3-2/59&lt;lv54&gt;s2</v>
      </c>
      <c r="B779" s="50">
        <v>26</v>
      </c>
      <c r="C779" s="49">
        <v>3</v>
      </c>
      <c r="D779" s="2" t="str">
        <f t="shared" si="730"/>
        <v>26_3</v>
      </c>
      <c r="E779" s="2" t="str">
        <f t="shared" si="730"/>
        <v>3_26_3</v>
      </c>
      <c r="F779" s="4" t="str">
        <f ca="1">VLOOKUP($D779,OFFSET([1]stages!$A$1,0,0,COUNTA([1]stages!$A:$A),MATCH(F$1,[1]stages!$2:$2,0)-MATCH($D$1,[1]stages!$2:$2,0)+1),MATCH(F$1,[1]stages!$2:$2,0)-MATCH($D$1,[1]stages!$2:$2,0)+1,FALSE)</f>
        <v>26-3．荒ぶる電飾</v>
      </c>
      <c r="G779" s="55">
        <v>2</v>
      </c>
      <c r="H779" s="17" t="str">
        <f t="shared" si="731"/>
        <v>26_3-2</v>
      </c>
      <c r="I779" s="17"/>
      <c r="J779" s="17"/>
      <c r="K779" s="65" t="s">
        <v>56</v>
      </c>
      <c r="L779" s="52">
        <v>59</v>
      </c>
      <c r="M779" s="21" t="str">
        <f ca="1">VLOOKUP($L779,OFFSET([2]enemies!$A$1,0,0,COUNTA([2]enemies!$A:$A),MATCH(M$1,[2]enemies!$1:$1,0)-MATCH($L$1,[2]enemies!$1:$1,0)+1),MATCH(M$1,[2]enemies!$1:$1,0)-MATCH($L$1,[2]enemies!$1:$1,0)+1,FALSE)</f>
        <v>マーチ</v>
      </c>
      <c r="N779" s="21" t="str">
        <f ca="1">VLOOKUP($L779,OFFSET([2]enemies!$A$1,0,0,COUNTA([2]enemies!$A:$A),MATCH(N$1,[2]enemies!$1:$1,0)-MATCH($L$1,[2]enemies!$1:$1,0)+1),MATCH(N$1,[2]enemies!$1:$1,0)-MATCH($L$1,[2]enemies!$1:$1,0)+1,FALSE)</f>
        <v>green</v>
      </c>
      <c r="O779" s="21" t="str">
        <f ca="1">VLOOKUP($L779,OFFSET([3]characters!$A$1,0,0,COUNTA([3]characters!$A:$A),MATCH(O$1,[3]characters!$1:$1,0)-MATCH($L$1,[3]characters!$1:$1,0)+1),MATCH(O$1,[3]characters!$1:$1,0)-MATCH($L$1,[3]characters!$1:$1,0)+1,FALSE)</f>
        <v>Drop1N</v>
      </c>
      <c r="P779" s="21" t="str">
        <f ca="1">VLOOKUP($L779,OFFSET([2]enemies!$A$1,0,0,COUNTA([2]enemies!$A:$A),MATCH(P$1,[2]enemies!$1:$1,0)-MATCH($L$1,[2]enemies!$1:$1,0)+1),MATCH(P$1,[2]enemies!$1:$1,0)-MATCH($L$1,[2]enemies!$1:$1,0)+1,FALSE)</f>
        <v>animal</v>
      </c>
      <c r="Q779" s="21">
        <f ca="1">VLOOKUP($L779,OFFSET([2]enemies!$A$1,0,0,COUNTA([2]enemies!$A:$A),MATCH(Q$1,[2]enemies!$1:$1,0)-MATCH($L$1,[2]enemies!$1:$1,0)+1),MATCH(Q$1,[2]enemies!$1:$1,0)-MATCH($L$1,[2]enemies!$1:$1,0)+1,FALSE)</f>
        <v>15</v>
      </c>
      <c r="R779" s="53">
        <v>54</v>
      </c>
      <c r="S779" s="27">
        <v>1</v>
      </c>
      <c r="T779" s="27">
        <v>1</v>
      </c>
      <c r="U779" s="5">
        <v>0</v>
      </c>
      <c r="V779" s="4" t="str">
        <f ca="1">VLOOKUP($W779,OFFSET([4]enemy_skill_sets!$B$1,0,0,COUNTA([4]enemy_skill_sets!$B:$B),MATCH(M$1,[4]enemy_skill_sets!$1:$1,0)-MATCH($W$1,[4]enemy_skill_sets!$1:$1,0)+2),MATCH(M$1,[4]enemy_skill_sets!$1:$1,0)-MATCH($W$1,[4]enemy_skill_sets!$1:$1,0)+2,FALSE)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79" s="4">
        <f ca="1">VLOOKUP($L779,OFFSET([2]enemies!$A$1,0,0,COUNTA([2]enemies!$A:$A),MATCH(W$1,[2]enemies!$1:$1,0)-MATCH($L$1,[2]enemies!$1:$1,0)+1),MATCH(W$1,[2]enemies!$1:$1,0)-MATCH($L$1,[2]enemies!$1:$1,0)+1,FALSE)</f>
        <v>59</v>
      </c>
      <c r="X779" s="6">
        <v>0</v>
      </c>
      <c r="Y779" s="6">
        <v>100</v>
      </c>
      <c r="Z779" s="6">
        <v>0</v>
      </c>
      <c r="AA779" s="4">
        <f ca="1">VLOOKUP($L779,OFFSET([2]enemies!$A$1,0,0,COUNTA([2]enemies!$A:$A),MATCH(AA$1,[2]enemies!$1:$1,0)-MATCH($L$1,[2]enemies!$1:$1,0)+1),MATCH(AA$1,[2]enemies!$1:$1,0)-MATCH($L$1,[2]enemies!$1:$1,0)+1,FALSE)</f>
        <v>2</v>
      </c>
      <c r="AB779" s="52">
        <v>59</v>
      </c>
      <c r="AC779" s="4" t="str">
        <f ca="1">VLOOKUP($AB779,OFFSET([3]characters!$A$1,0,0,COUNTA([3]characters!$A:$A),MATCH(AC$1,[3]characters!$1:$1,0)-MATCH("character_id",[3]characters!$1:$1,0)+1),MATCH(AC$1,[3]characters!$1:$1,0)-MATCH("character_id",[3]characters!$1:$1,0)+1,FALSE)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779" s="4">
        <f ca="1">VLOOKUP($AB779,OFFSET([3]characters!$A$1,0,0,COUNTA([3]characters!$A:$A),MATCH(AD$1,[3]characters!$1:$1,0)-MATCH("character_id",[3]characters!$1:$1,0)+1),MATCH(AD$1,[3]characters!$1:$1,0)-MATCH("character_id",[3]characters!$1:$1,0)+1,FALSE)</f>
        <v>2</v>
      </c>
      <c r="AE779" s="4" t="str">
        <f ca="1">VLOOKUP($AB779,OFFSET([3]characters!$A$1,0,0,COUNTA([3]characters!$A:$A),MATCH(AE$1,[3]characters!$1:$1,0)-MATCH("character_id",[3]characters!$1:$1,0)+1),MATCH(AE$1,[3]characters!$1:$1,0)-MATCH("character_id",[3]characters!$1:$1,0)+1,FALSE)</f>
        <v>Drop1N</v>
      </c>
      <c r="AF779" s="7">
        <v>7</v>
      </c>
      <c r="AG779" s="26">
        <f t="shared" ca="1" si="734"/>
        <v>2</v>
      </c>
      <c r="AH779" s="8">
        <v>20</v>
      </c>
      <c r="AI779" s="7">
        <v>0</v>
      </c>
      <c r="AJ779" s="7">
        <v>0</v>
      </c>
      <c r="AK779" s="7">
        <v>0</v>
      </c>
      <c r="AL779" s="7">
        <v>0</v>
      </c>
      <c r="AM779" s="7">
        <v>1</v>
      </c>
    </row>
    <row r="780" spans="1:39" ht="14" x14ac:dyDescent="0.15">
      <c r="A780" s="18" t="str">
        <f t="shared" ca="1" si="714"/>
        <v>26_3-2/61&lt;lv54&gt;s2</v>
      </c>
      <c r="B780" s="50">
        <v>26</v>
      </c>
      <c r="C780" s="49">
        <v>3</v>
      </c>
      <c r="D780" s="2" t="str">
        <f t="shared" si="730"/>
        <v>26_3</v>
      </c>
      <c r="E780" s="2" t="str">
        <f t="shared" si="730"/>
        <v>3_26_3</v>
      </c>
      <c r="F780" s="4" t="str">
        <f ca="1">VLOOKUP($D780,OFFSET([1]stages!$A$1,0,0,COUNTA([1]stages!$A:$A),MATCH(F$1,[1]stages!$2:$2,0)-MATCH($D$1,[1]stages!$2:$2,0)+1),MATCH(F$1,[1]stages!$2:$2,0)-MATCH($D$1,[1]stages!$2:$2,0)+1,FALSE)</f>
        <v>26-3．荒ぶる電飾</v>
      </c>
      <c r="G780" s="55">
        <v>2</v>
      </c>
      <c r="H780" s="17" t="str">
        <f t="shared" si="731"/>
        <v>26_3-2</v>
      </c>
      <c r="I780" s="17"/>
      <c r="J780" s="17"/>
      <c r="K780" s="65" t="s">
        <v>56</v>
      </c>
      <c r="L780" s="52">
        <v>61</v>
      </c>
      <c r="M780" s="21" t="str">
        <f ca="1">VLOOKUP($L780,OFFSET([2]enemies!$A$1,0,0,COUNTA([2]enemies!$A:$A),MATCH(M$1,[2]enemies!$1:$1,0)-MATCH($L$1,[2]enemies!$1:$1,0)+1),MATCH(M$1,[2]enemies!$1:$1,0)-MATCH($L$1,[2]enemies!$1:$1,0)+1,FALSE)</f>
        <v>クロウ</v>
      </c>
      <c r="N780" s="21" t="str">
        <f ca="1">VLOOKUP($L780,OFFSET([2]enemies!$A$1,0,0,COUNTA([2]enemies!$A:$A),MATCH(N$1,[2]enemies!$1:$1,0)-MATCH($L$1,[2]enemies!$1:$1,0)+1),MATCH(N$1,[2]enemies!$1:$1,0)-MATCH($L$1,[2]enemies!$1:$1,0)+1,FALSE)</f>
        <v>blue</v>
      </c>
      <c r="O780" s="21" t="str">
        <f ca="1">VLOOKUP($L780,OFFSET([3]characters!$A$1,0,0,COUNTA([3]characters!$A:$A),MATCH(O$1,[3]characters!$1:$1,0)-MATCH($L$1,[3]characters!$1:$1,0)+1),MATCH(O$1,[3]characters!$1:$1,0)-MATCH($L$1,[3]characters!$1:$1,0)+1,FALSE)</f>
        <v>Drop1N</v>
      </c>
      <c r="P780" s="21" t="str">
        <f ca="1">VLOOKUP($L780,OFFSET([2]enemies!$A$1,0,0,COUNTA([2]enemies!$A:$A),MATCH(P$1,[2]enemies!$1:$1,0)-MATCH($L$1,[2]enemies!$1:$1,0)+1),MATCH(P$1,[2]enemies!$1:$1,0)-MATCH($L$1,[2]enemies!$1:$1,0)+1,FALSE)</f>
        <v>animal</v>
      </c>
      <c r="Q780" s="21">
        <f ca="1">VLOOKUP($L780,OFFSET([2]enemies!$A$1,0,0,COUNTA([2]enemies!$A:$A),MATCH(Q$1,[2]enemies!$1:$1,0)-MATCH($L$1,[2]enemies!$1:$1,0)+1),MATCH(Q$1,[2]enemies!$1:$1,0)-MATCH($L$1,[2]enemies!$1:$1,0)+1,FALSE)</f>
        <v>15</v>
      </c>
      <c r="R780" s="53">
        <v>54</v>
      </c>
      <c r="S780" s="27">
        <v>1</v>
      </c>
      <c r="T780" s="27">
        <v>1</v>
      </c>
      <c r="U780" s="5">
        <v>0</v>
      </c>
      <c r="V780" s="4" t="str">
        <f ca="1">VLOOKUP($W780,OFFSET([4]enemy_skill_sets!$B$1,0,0,COUNTA([4]enemy_skill_sets!$B:$B),MATCH(M$1,[4]enemy_skill_sets!$1:$1,0)-MATCH($W$1,[4]enemy_skill_sets!$1:$1,0)+2),MATCH(M$1,[4]enemy_skill_sets!$1:$1,0)-MATCH($W$1,[4]enemy_skill_sets!$1:$1,0)+2,FALSE)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80" s="4">
        <f ca="1">VLOOKUP($L780,OFFSET([2]enemies!$A$1,0,0,COUNTA([2]enemies!$A:$A),MATCH(W$1,[2]enemies!$1:$1,0)-MATCH($L$1,[2]enemies!$1:$1,0)+1),MATCH(W$1,[2]enemies!$1:$1,0)-MATCH($L$1,[2]enemies!$1:$1,0)+1,FALSE)</f>
        <v>61</v>
      </c>
      <c r="X780" s="6">
        <v>0</v>
      </c>
      <c r="Y780" s="6">
        <v>100</v>
      </c>
      <c r="Z780" s="6">
        <v>0</v>
      </c>
      <c r="AA780" s="4">
        <f ca="1">VLOOKUP($L780,OFFSET([2]enemies!$A$1,0,0,COUNTA([2]enemies!$A:$A),MATCH(AA$1,[2]enemies!$1:$1,0)-MATCH($L$1,[2]enemies!$1:$1,0)+1),MATCH(AA$1,[2]enemies!$1:$1,0)-MATCH($L$1,[2]enemies!$1:$1,0)+1,FALSE)</f>
        <v>2</v>
      </c>
      <c r="AB780" s="52">
        <v>61</v>
      </c>
      <c r="AC780" s="4" t="str">
        <f ca="1">VLOOKUP($AB780,OFFSET([3]characters!$A$1,0,0,COUNTA([3]characters!$A:$A),MATCH(AC$1,[3]characters!$1:$1,0)-MATCH("character_id",[3]characters!$1:$1,0)+1),MATCH(AC$1,[3]characters!$1:$1,0)-MATCH("character_id",[3]characters!$1:$1,0)+1,FALSE)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780" s="4">
        <f ca="1">VLOOKUP($AB780,OFFSET([3]characters!$A$1,0,0,COUNTA([3]characters!$A:$A),MATCH(AD$1,[3]characters!$1:$1,0)-MATCH("character_id",[3]characters!$1:$1,0)+1),MATCH(AD$1,[3]characters!$1:$1,0)-MATCH("character_id",[3]characters!$1:$1,0)+1,FALSE)</f>
        <v>2</v>
      </c>
      <c r="AE780" s="4" t="str">
        <f ca="1">VLOOKUP($AB780,OFFSET([3]characters!$A$1,0,0,COUNTA([3]characters!$A:$A),MATCH(AE$1,[3]characters!$1:$1,0)-MATCH("character_id",[3]characters!$1:$1,0)+1),MATCH(AE$1,[3]characters!$1:$1,0)-MATCH("character_id",[3]characters!$1:$1,0)+1,FALSE)</f>
        <v>Drop1N</v>
      </c>
      <c r="AF780" s="7">
        <v>7</v>
      </c>
      <c r="AG780" s="26">
        <f t="shared" ca="1" si="734"/>
        <v>2</v>
      </c>
      <c r="AH780" s="8">
        <v>20</v>
      </c>
      <c r="AI780" s="7">
        <v>0</v>
      </c>
      <c r="AJ780" s="7">
        <v>0</v>
      </c>
      <c r="AK780" s="7">
        <v>0</v>
      </c>
      <c r="AL780" s="7">
        <v>0</v>
      </c>
      <c r="AM780" s="7">
        <v>1</v>
      </c>
    </row>
    <row r="781" spans="1:39" ht="14" x14ac:dyDescent="0.15">
      <c r="A781" s="18" t="str">
        <f t="shared" ca="1" si="714"/>
        <v>26_3-2/63&lt;lv54&gt;s2</v>
      </c>
      <c r="B781" s="50">
        <v>26</v>
      </c>
      <c r="C781" s="49">
        <v>3</v>
      </c>
      <c r="D781" s="2" t="str">
        <f t="shared" si="730"/>
        <v>26_3</v>
      </c>
      <c r="E781" s="2" t="str">
        <f t="shared" si="730"/>
        <v>3_26_3</v>
      </c>
      <c r="F781" s="4" t="str">
        <f ca="1">VLOOKUP($D781,OFFSET([1]stages!$A$1,0,0,COUNTA([1]stages!$A:$A),MATCH(F$1,[1]stages!$2:$2,0)-MATCH($D$1,[1]stages!$2:$2,0)+1),MATCH(F$1,[1]stages!$2:$2,0)-MATCH($D$1,[1]stages!$2:$2,0)+1,FALSE)</f>
        <v>26-3．荒ぶる電飾</v>
      </c>
      <c r="G781" s="55">
        <v>2</v>
      </c>
      <c r="H781" s="17" t="str">
        <f t="shared" si="731"/>
        <v>26_3-2</v>
      </c>
      <c r="I781" s="17"/>
      <c r="J781" s="17"/>
      <c r="K781" s="65" t="s">
        <v>56</v>
      </c>
      <c r="L781" s="52">
        <v>63</v>
      </c>
      <c r="M781" s="21" t="str">
        <f ca="1">VLOOKUP($L781,OFFSET([2]enemies!$A$1,0,0,COUNTA([2]enemies!$A:$A),MATCH(M$1,[2]enemies!$1:$1,0)-MATCH($L$1,[2]enemies!$1:$1,0)+1),MATCH(M$1,[2]enemies!$1:$1,0)-MATCH($L$1,[2]enemies!$1:$1,0)+1,FALSE)</f>
        <v>トニー</v>
      </c>
      <c r="N781" s="21" t="str">
        <f ca="1">VLOOKUP($L781,OFFSET([2]enemies!$A$1,0,0,COUNTA([2]enemies!$A:$A),MATCH(N$1,[2]enemies!$1:$1,0)-MATCH($L$1,[2]enemies!$1:$1,0)+1),MATCH(N$1,[2]enemies!$1:$1,0)-MATCH($L$1,[2]enemies!$1:$1,0)+1,FALSE)</f>
        <v>yellow</v>
      </c>
      <c r="O781" s="21" t="str">
        <f ca="1">VLOOKUP($L781,OFFSET([3]characters!$A$1,0,0,COUNTA([3]characters!$A:$A),MATCH(O$1,[3]characters!$1:$1,0)-MATCH($L$1,[3]characters!$1:$1,0)+1),MATCH(O$1,[3]characters!$1:$1,0)-MATCH($L$1,[3]characters!$1:$1,0)+1,FALSE)</f>
        <v>Drop1N</v>
      </c>
      <c r="P781" s="21" t="str">
        <f ca="1">VLOOKUP($L781,OFFSET([2]enemies!$A$1,0,0,COUNTA([2]enemies!$A:$A),MATCH(P$1,[2]enemies!$1:$1,0)-MATCH($L$1,[2]enemies!$1:$1,0)+1),MATCH(P$1,[2]enemies!$1:$1,0)-MATCH($L$1,[2]enemies!$1:$1,0)+1,FALSE)</f>
        <v>animal</v>
      </c>
      <c r="Q781" s="21">
        <f ca="1">VLOOKUP($L781,OFFSET([2]enemies!$A$1,0,0,COUNTA([2]enemies!$A:$A),MATCH(Q$1,[2]enemies!$1:$1,0)-MATCH($L$1,[2]enemies!$1:$1,0)+1),MATCH(Q$1,[2]enemies!$1:$1,0)-MATCH($L$1,[2]enemies!$1:$1,0)+1,FALSE)</f>
        <v>15</v>
      </c>
      <c r="R781" s="53">
        <v>54</v>
      </c>
      <c r="S781" s="27">
        <v>1</v>
      </c>
      <c r="T781" s="27">
        <v>1</v>
      </c>
      <c r="U781" s="5">
        <v>0</v>
      </c>
      <c r="V781" s="4" t="str">
        <f ca="1">VLOOKUP($W781,OFFSET([4]enemy_skill_sets!$B$1,0,0,COUNTA([4]enemy_skill_sets!$B:$B),MATCH(M$1,[4]enemy_skill_sets!$1:$1,0)-MATCH($W$1,[4]enemy_skill_sets!$1:$1,0)+2),MATCH(M$1,[4]enemy_skill_sets!$1:$1,0)-MATCH($W$1,[4]enemy_skill_sets!$1:$1,0)+2,FALSE)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781" s="4">
        <f ca="1">VLOOKUP($L781,OFFSET([2]enemies!$A$1,0,0,COUNTA([2]enemies!$A:$A),MATCH(W$1,[2]enemies!$1:$1,0)-MATCH($L$1,[2]enemies!$1:$1,0)+1),MATCH(W$1,[2]enemies!$1:$1,0)-MATCH($L$1,[2]enemies!$1:$1,0)+1,FALSE)</f>
        <v>63</v>
      </c>
      <c r="X781" s="6">
        <v>0</v>
      </c>
      <c r="Y781" s="6">
        <v>100</v>
      </c>
      <c r="Z781" s="6">
        <v>0</v>
      </c>
      <c r="AA781" s="4">
        <f ca="1">VLOOKUP($L781,OFFSET([2]enemies!$A$1,0,0,COUNTA([2]enemies!$A:$A),MATCH(AA$1,[2]enemies!$1:$1,0)-MATCH($L$1,[2]enemies!$1:$1,0)+1),MATCH(AA$1,[2]enemies!$1:$1,0)-MATCH($L$1,[2]enemies!$1:$1,0)+1,FALSE)</f>
        <v>2</v>
      </c>
      <c r="AB781" s="52">
        <v>63</v>
      </c>
      <c r="AC781" s="4" t="str">
        <f ca="1">VLOOKUP($AB781,OFFSET([3]characters!$A$1,0,0,COUNTA([3]characters!$A:$A),MATCH(AC$1,[3]characters!$1:$1,0)-MATCH("character_id",[3]characters!$1:$1,0)+1),MATCH(AC$1,[3]characters!$1:$1,0)-MATCH("character_id",[3]characters!$1:$1,0)+1,FALSE)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781" s="4">
        <f ca="1">VLOOKUP($AB781,OFFSET([3]characters!$A$1,0,0,COUNTA([3]characters!$A:$A),MATCH(AD$1,[3]characters!$1:$1,0)-MATCH("character_id",[3]characters!$1:$1,0)+1),MATCH(AD$1,[3]characters!$1:$1,0)-MATCH("character_id",[3]characters!$1:$1,0)+1,FALSE)</f>
        <v>2</v>
      </c>
      <c r="AE781" s="4" t="str">
        <f ca="1">VLOOKUP($AB781,OFFSET([3]characters!$A$1,0,0,COUNTA([3]characters!$A:$A),MATCH(AE$1,[3]characters!$1:$1,0)-MATCH("character_id",[3]characters!$1:$1,0)+1),MATCH(AE$1,[3]characters!$1:$1,0)-MATCH("character_id",[3]characters!$1:$1,0)+1,FALSE)</f>
        <v>Drop1N</v>
      </c>
      <c r="AF781" s="7">
        <v>7</v>
      </c>
      <c r="AG781" s="26">
        <f t="shared" ca="1" si="734"/>
        <v>2</v>
      </c>
      <c r="AH781" s="8">
        <v>20</v>
      </c>
      <c r="AI781" s="7">
        <v>0</v>
      </c>
      <c r="AJ781" s="7">
        <v>0</v>
      </c>
      <c r="AK781" s="7">
        <v>0</v>
      </c>
      <c r="AL781" s="7">
        <v>0</v>
      </c>
      <c r="AM781" s="7">
        <v>1</v>
      </c>
    </row>
    <row r="782" spans="1:39" ht="14" x14ac:dyDescent="0.15">
      <c r="A782" s="18" t="str">
        <f t="shared" ca="1" si="714"/>
        <v>26_3-2/360&lt;lv54&gt;s3</v>
      </c>
      <c r="B782" s="53">
        <v>26</v>
      </c>
      <c r="C782" s="51">
        <v>3</v>
      </c>
      <c r="D782" s="2" t="str">
        <f t="shared" ref="D782:D785" si="738">B782&amp;"_"&amp;C782</f>
        <v>26_3</v>
      </c>
      <c r="E782" s="2" t="str">
        <f t="shared" ref="E782:E785" si="739">C782&amp;"_"&amp;D782</f>
        <v>3_26_3</v>
      </c>
      <c r="F782" s="4" t="str">
        <f ca="1">VLOOKUP($D782,OFFSET([1]stages!$A$1,0,0,COUNTA([1]stages!$A:$A),MATCH(F$1,[1]stages!$2:$2,0)-MATCH($D$1,[1]stages!$2:$2,0)+1),MATCH(F$1,[1]stages!$2:$2,0)-MATCH($D$1,[1]stages!$2:$2,0)+1,FALSE)</f>
        <v>26-3．荒ぶる電飾</v>
      </c>
      <c r="G782" s="55">
        <v>2</v>
      </c>
      <c r="H782" s="17" t="str">
        <f t="shared" ref="H782:H785" si="740">B782&amp;"_"&amp;C782&amp;"-"&amp;G782</f>
        <v>26_3-2</v>
      </c>
      <c r="I782" s="17"/>
      <c r="J782" s="17"/>
      <c r="K782" s="65" t="s">
        <v>56</v>
      </c>
      <c r="L782" s="52">
        <v>360</v>
      </c>
      <c r="M782" s="21" t="str">
        <f ca="1">VLOOKUP($L782,OFFSET([2]enemies!$A$1,0,0,COUNTA([2]enemies!$A:$A),MATCH(M$1,[2]enemies!$1:$1,0)-MATCH($L$1,[2]enemies!$1:$1,0)+1),MATCH(M$1,[2]enemies!$1:$1,0)-MATCH($L$1,[2]enemies!$1:$1,0)+1,FALSE)</f>
        <v>ガンテツ</v>
      </c>
      <c r="N782" s="21" t="str">
        <f ca="1">VLOOKUP($L782,OFFSET([2]enemies!$A$1,0,0,COUNTA([2]enemies!$A:$A),MATCH(N$1,[2]enemies!$1:$1,0)-MATCH($L$1,[2]enemies!$1:$1,0)+1),MATCH(N$1,[2]enemies!$1:$1,0)-MATCH($L$1,[2]enemies!$1:$1,0)+1,FALSE)</f>
        <v>red</v>
      </c>
      <c r="O782" s="21" t="str">
        <f ca="1">VLOOKUP($L782,OFFSET([3]characters!$A$1,0,0,COUNTA([3]characters!$A:$A),MATCH(O$1,[3]characters!$1:$1,0)-MATCH($L$1,[3]characters!$1:$1,0)+1),MATCH(O$1,[3]characters!$1:$1,0)-MATCH($L$1,[3]characters!$1:$1,0)+1,FALSE)</f>
        <v>Drop1S</v>
      </c>
      <c r="P782" s="21" t="str">
        <f ca="1">VLOOKUP($L782,OFFSET([2]enemies!$A$1,0,0,COUNTA([2]enemies!$A:$A),MATCH(P$1,[2]enemies!$1:$1,0)-MATCH($L$1,[2]enemies!$1:$1,0)+1),MATCH(P$1,[2]enemies!$1:$1,0)-MATCH($L$1,[2]enemies!$1:$1,0)+1,FALSE)</f>
        <v>animal</v>
      </c>
      <c r="Q782" s="21">
        <f ca="1">VLOOKUP($L782,OFFSET([2]enemies!$A$1,0,0,COUNTA([2]enemies!$A:$A),MATCH(Q$1,[2]enemies!$1:$1,0)-MATCH($L$1,[2]enemies!$1:$1,0)+1),MATCH(Q$1,[2]enemies!$1:$1,0)-MATCH($L$1,[2]enemies!$1:$1,0)+1,FALSE)</f>
        <v>15</v>
      </c>
      <c r="R782" s="53">
        <v>54</v>
      </c>
      <c r="S782" s="27">
        <v>1</v>
      </c>
      <c r="T782" s="27">
        <v>1</v>
      </c>
      <c r="U782" s="5">
        <v>0</v>
      </c>
      <c r="V782" s="4" t="str">
        <f ca="1">VLOOKUP($W782,OFFSET([4]enemy_skill_sets!$B$1,0,0,COUNTA([4]enemy_skill_sets!$B:$B),MATCH(M$1,[4]enemy_skill_sets!$1:$1,0)-MATCH($W$1,[4]enemy_skill_sets!$1:$1,0)+2),MATCH(M$1,[4]enemy_skill_sets!$1:$1,0)-MATCH($W$1,[4]enemy_skill_sets!$1:$1,0)+2,FALSE)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782" s="76">
        <v>360</v>
      </c>
      <c r="X782" s="6">
        <v>0</v>
      </c>
      <c r="Y782" s="6">
        <v>100</v>
      </c>
      <c r="Z782" s="6">
        <v>0</v>
      </c>
      <c r="AA782" s="4">
        <f ca="1">VLOOKUP($L782,OFFSET([2]enemies!$A$1,0,0,COUNTA([2]enemies!$A:$A),MATCH(AA$1,[2]enemies!$1:$1,0)-MATCH($L$1,[2]enemies!$1:$1,0)+1),MATCH(AA$1,[2]enemies!$1:$1,0)-MATCH($L$1,[2]enemies!$1:$1,0)+1,FALSE)</f>
        <v>3</v>
      </c>
      <c r="AB782" s="52">
        <v>360</v>
      </c>
      <c r="AC782" s="4" t="str">
        <f ca="1">VLOOKUP($AB782,OFFSET([3]characters!$A$1,0,0,COUNTA([3]characters!$A:$A),MATCH(AC$1,[3]characters!$1:$1,0)-MATCH("character_id",[3]characters!$1:$1,0)+1),MATCH(AC$1,[3]characters!$1:$1,0)-MATCH("character_id",[3]characters!$1:$1,0)+1,FALSE)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782" s="4">
        <f ca="1">VLOOKUP($AB782,OFFSET([3]characters!$A$1,0,0,COUNTA([3]characters!$A:$A),MATCH(AD$1,[3]characters!$1:$1,0)-MATCH("character_id",[3]characters!$1:$1,0)+1),MATCH(AD$1,[3]characters!$1:$1,0)-MATCH("character_id",[3]characters!$1:$1,0)+1,FALSE)</f>
        <v>2</v>
      </c>
      <c r="AE782" s="4" t="str">
        <f ca="1">VLOOKUP($AB782,OFFSET([3]characters!$A$1,0,0,COUNTA([3]characters!$A:$A),MATCH(AE$1,[3]characters!$1:$1,0)-MATCH("character_id",[3]characters!$1:$1,0)+1),MATCH(AE$1,[3]characters!$1:$1,0)-MATCH("character_id",[3]characters!$1:$1,0)+1,FALSE)</f>
        <v>Drop1S</v>
      </c>
      <c r="AF782" s="7">
        <v>7</v>
      </c>
      <c r="AG782" s="26">
        <f t="shared" ca="1" si="734"/>
        <v>2</v>
      </c>
      <c r="AH782" s="8">
        <v>20</v>
      </c>
      <c r="AI782" s="7">
        <v>0</v>
      </c>
      <c r="AJ782" s="7">
        <v>0</v>
      </c>
      <c r="AK782" s="7">
        <v>0</v>
      </c>
      <c r="AL782" s="7">
        <v>0</v>
      </c>
      <c r="AM782" s="7">
        <v>1</v>
      </c>
    </row>
    <row r="783" spans="1:39" ht="14" x14ac:dyDescent="0.15">
      <c r="A783" s="18" t="str">
        <f t="shared" ca="1" si="714"/>
        <v>26_3-2/362&lt;lv54&gt;s3</v>
      </c>
      <c r="B783" s="53">
        <v>26</v>
      </c>
      <c r="C783" s="51">
        <v>3</v>
      </c>
      <c r="D783" s="2" t="str">
        <f t="shared" si="738"/>
        <v>26_3</v>
      </c>
      <c r="E783" s="2" t="str">
        <f t="shared" si="739"/>
        <v>3_26_3</v>
      </c>
      <c r="F783" s="4" t="str">
        <f ca="1">VLOOKUP($D783,OFFSET([1]stages!$A$1,0,0,COUNTA([1]stages!$A:$A),MATCH(F$1,[1]stages!$2:$2,0)-MATCH($D$1,[1]stages!$2:$2,0)+1),MATCH(F$1,[1]stages!$2:$2,0)-MATCH($D$1,[1]stages!$2:$2,0)+1,FALSE)</f>
        <v>26-3．荒ぶる電飾</v>
      </c>
      <c r="G783" s="55">
        <v>2</v>
      </c>
      <c r="H783" s="17" t="str">
        <f t="shared" si="740"/>
        <v>26_3-2</v>
      </c>
      <c r="I783" s="17"/>
      <c r="J783" s="17"/>
      <c r="K783" s="65" t="s">
        <v>56</v>
      </c>
      <c r="L783" s="52">
        <v>362</v>
      </c>
      <c r="M783" s="21" t="str">
        <f ca="1">VLOOKUP($L783,OFFSET([2]enemies!$A$1,0,0,COUNTA([2]enemies!$A:$A),MATCH(M$1,[2]enemies!$1:$1,0)-MATCH($L$1,[2]enemies!$1:$1,0)+1),MATCH(M$1,[2]enemies!$1:$1,0)-MATCH($L$1,[2]enemies!$1:$1,0)+1,FALSE)</f>
        <v>ゆらら</v>
      </c>
      <c r="N783" s="21" t="str">
        <f ca="1">VLOOKUP($L783,OFFSET([2]enemies!$A$1,0,0,COUNTA([2]enemies!$A:$A),MATCH(N$1,[2]enemies!$1:$1,0)-MATCH($L$1,[2]enemies!$1:$1,0)+1),MATCH(N$1,[2]enemies!$1:$1,0)-MATCH($L$1,[2]enemies!$1:$1,0)+1,FALSE)</f>
        <v>green</v>
      </c>
      <c r="O783" s="21" t="str">
        <f ca="1">VLOOKUP($L783,OFFSET([3]characters!$A$1,0,0,COUNTA([3]characters!$A:$A),MATCH(O$1,[3]characters!$1:$1,0)-MATCH($L$1,[3]characters!$1:$1,0)+1),MATCH(O$1,[3]characters!$1:$1,0)-MATCH($L$1,[3]characters!$1:$1,0)+1,FALSE)</f>
        <v>Drop1S</v>
      </c>
      <c r="P783" s="21" t="str">
        <f ca="1">VLOOKUP($L783,OFFSET([2]enemies!$A$1,0,0,COUNTA([2]enemies!$A:$A),MATCH(P$1,[2]enemies!$1:$1,0)-MATCH($L$1,[2]enemies!$1:$1,0)+1),MATCH(P$1,[2]enemies!$1:$1,0)-MATCH($L$1,[2]enemies!$1:$1,0)+1,FALSE)</f>
        <v>animal</v>
      </c>
      <c r="Q783" s="21">
        <f ca="1">VLOOKUP($L783,OFFSET([2]enemies!$A$1,0,0,COUNTA([2]enemies!$A:$A),MATCH(Q$1,[2]enemies!$1:$1,0)-MATCH($L$1,[2]enemies!$1:$1,0)+1),MATCH(Q$1,[2]enemies!$1:$1,0)-MATCH($L$1,[2]enemies!$1:$1,0)+1,FALSE)</f>
        <v>15</v>
      </c>
      <c r="R783" s="53">
        <v>54</v>
      </c>
      <c r="S783" s="27">
        <v>1</v>
      </c>
      <c r="T783" s="27">
        <v>1</v>
      </c>
      <c r="U783" s="5">
        <v>0</v>
      </c>
      <c r="V783" s="4" t="str">
        <f ca="1">VLOOKUP($W783,OFFSET([4]enemy_skill_sets!$B$1,0,0,COUNTA([4]enemy_skill_sets!$B:$B),MATCH(M$1,[4]enemy_skill_sets!$1:$1,0)-MATCH($W$1,[4]enemy_skill_sets!$1:$1,0)+2),MATCH(M$1,[4]enemy_skill_sets!$1:$1,0)-MATCH($W$1,[4]enemy_skill_sets!$1:$1,0)+2,FALSE)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783" s="64">
        <v>362</v>
      </c>
      <c r="X783" s="6">
        <v>0</v>
      </c>
      <c r="Y783" s="6">
        <v>100</v>
      </c>
      <c r="Z783" s="6">
        <v>0</v>
      </c>
      <c r="AA783" s="4">
        <f ca="1">VLOOKUP($L783,OFFSET([2]enemies!$A$1,0,0,COUNTA([2]enemies!$A:$A),MATCH(AA$1,[2]enemies!$1:$1,0)-MATCH($L$1,[2]enemies!$1:$1,0)+1),MATCH(AA$1,[2]enemies!$1:$1,0)-MATCH($L$1,[2]enemies!$1:$1,0)+1,FALSE)</f>
        <v>3</v>
      </c>
      <c r="AB783" s="52">
        <v>362</v>
      </c>
      <c r="AC783" s="4" t="str">
        <f ca="1">VLOOKUP($AB783,OFFSET([3]characters!$A$1,0,0,COUNTA([3]characters!$A:$A),MATCH(AC$1,[3]characters!$1:$1,0)-MATCH("character_id",[3]characters!$1:$1,0)+1),MATCH(AC$1,[3]characters!$1:$1,0)-MATCH("character_id",[3]characters!$1:$1,0)+1,FALSE)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783" s="4">
        <f ca="1">VLOOKUP($AB783,OFFSET([3]characters!$A$1,0,0,COUNTA([3]characters!$A:$A),MATCH(AD$1,[3]characters!$1:$1,0)-MATCH("character_id",[3]characters!$1:$1,0)+1),MATCH(AD$1,[3]characters!$1:$1,0)-MATCH("character_id",[3]characters!$1:$1,0)+1,FALSE)</f>
        <v>2</v>
      </c>
      <c r="AE783" s="4" t="str">
        <f ca="1">VLOOKUP($AB783,OFFSET([3]characters!$A$1,0,0,COUNTA([3]characters!$A:$A),MATCH(AE$1,[3]characters!$1:$1,0)-MATCH("character_id",[3]characters!$1:$1,0)+1),MATCH(AE$1,[3]characters!$1:$1,0)-MATCH("character_id",[3]characters!$1:$1,0)+1,FALSE)</f>
        <v>Drop1S</v>
      </c>
      <c r="AF783" s="7">
        <v>7</v>
      </c>
      <c r="AG783" s="26">
        <f t="shared" ca="1" si="734"/>
        <v>2</v>
      </c>
      <c r="AH783" s="8">
        <v>20</v>
      </c>
      <c r="AI783" s="7">
        <v>0</v>
      </c>
      <c r="AJ783" s="7">
        <v>0</v>
      </c>
      <c r="AK783" s="7">
        <v>0</v>
      </c>
      <c r="AL783" s="7">
        <v>0</v>
      </c>
      <c r="AM783" s="7">
        <v>1</v>
      </c>
    </row>
    <row r="784" spans="1:39" ht="14" x14ac:dyDescent="0.15">
      <c r="A784" s="18" t="str">
        <f t="shared" ca="1" si="714"/>
        <v>26_3-2/364&lt;lv54&gt;s3</v>
      </c>
      <c r="B784" s="53">
        <v>26</v>
      </c>
      <c r="C784" s="51">
        <v>3</v>
      </c>
      <c r="D784" s="2" t="str">
        <f t="shared" si="738"/>
        <v>26_3</v>
      </c>
      <c r="E784" s="2" t="str">
        <f t="shared" si="739"/>
        <v>3_26_3</v>
      </c>
      <c r="F784" s="4" t="str">
        <f ca="1">VLOOKUP($D784,OFFSET([1]stages!$A$1,0,0,COUNTA([1]stages!$A:$A),MATCH(F$1,[1]stages!$2:$2,0)-MATCH($D$1,[1]stages!$2:$2,0)+1),MATCH(F$1,[1]stages!$2:$2,0)-MATCH($D$1,[1]stages!$2:$2,0)+1,FALSE)</f>
        <v>26-3．荒ぶる電飾</v>
      </c>
      <c r="G784" s="55">
        <v>2</v>
      </c>
      <c r="H784" s="17" t="str">
        <f t="shared" si="740"/>
        <v>26_3-2</v>
      </c>
      <c r="I784" s="17"/>
      <c r="J784" s="17"/>
      <c r="K784" s="65" t="s">
        <v>56</v>
      </c>
      <c r="L784" s="52">
        <v>364</v>
      </c>
      <c r="M784" s="21" t="str">
        <f ca="1">VLOOKUP($L784,OFFSET([2]enemies!$A$1,0,0,COUNTA([2]enemies!$A:$A),MATCH(M$1,[2]enemies!$1:$1,0)-MATCH($L$1,[2]enemies!$1:$1,0)+1),MATCH(M$1,[2]enemies!$1:$1,0)-MATCH($L$1,[2]enemies!$1:$1,0)+1,FALSE)</f>
        <v>ノエル</v>
      </c>
      <c r="N784" s="21" t="str">
        <f ca="1">VLOOKUP($L784,OFFSET([2]enemies!$A$1,0,0,COUNTA([2]enemies!$A:$A),MATCH(N$1,[2]enemies!$1:$1,0)-MATCH($L$1,[2]enemies!$1:$1,0)+1),MATCH(N$1,[2]enemies!$1:$1,0)-MATCH($L$1,[2]enemies!$1:$1,0)+1,FALSE)</f>
        <v>blue</v>
      </c>
      <c r="O784" s="21" t="str">
        <f ca="1">VLOOKUP($L784,OFFSET([3]characters!$A$1,0,0,COUNTA([3]characters!$A:$A),MATCH(O$1,[3]characters!$1:$1,0)-MATCH($L$1,[3]characters!$1:$1,0)+1),MATCH(O$1,[3]characters!$1:$1,0)-MATCH($L$1,[3]characters!$1:$1,0)+1,FALSE)</f>
        <v>Drop1S</v>
      </c>
      <c r="P784" s="21" t="str">
        <f ca="1">VLOOKUP($L784,OFFSET([2]enemies!$A$1,0,0,COUNTA([2]enemies!$A:$A),MATCH(P$1,[2]enemies!$1:$1,0)-MATCH($L$1,[2]enemies!$1:$1,0)+1),MATCH(P$1,[2]enemies!$1:$1,0)-MATCH($L$1,[2]enemies!$1:$1,0)+1,FALSE)</f>
        <v>animal</v>
      </c>
      <c r="Q784" s="21">
        <f ca="1">VLOOKUP($L784,OFFSET([2]enemies!$A$1,0,0,COUNTA([2]enemies!$A:$A),MATCH(Q$1,[2]enemies!$1:$1,0)-MATCH($L$1,[2]enemies!$1:$1,0)+1),MATCH(Q$1,[2]enemies!$1:$1,0)-MATCH($L$1,[2]enemies!$1:$1,0)+1,FALSE)</f>
        <v>15</v>
      </c>
      <c r="R784" s="53">
        <v>54</v>
      </c>
      <c r="S784" s="27">
        <v>1</v>
      </c>
      <c r="T784" s="27">
        <v>1</v>
      </c>
      <c r="U784" s="5">
        <v>0</v>
      </c>
      <c r="V784" s="4" t="str">
        <f ca="1">VLOOKUP($W784,OFFSET([4]enemy_skill_sets!$B$1,0,0,COUNTA([4]enemy_skill_sets!$B:$B),MATCH(M$1,[4]enemy_skill_sets!$1:$1,0)-MATCH($W$1,[4]enemy_skill_sets!$1:$1,0)+2),MATCH(M$1,[4]enemy_skill_sets!$1:$1,0)-MATCH($W$1,[4]enemy_skill_sets!$1:$1,0)+2,FALSE)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784" s="64">
        <v>364</v>
      </c>
      <c r="X784" s="6">
        <v>0</v>
      </c>
      <c r="Y784" s="6">
        <v>100</v>
      </c>
      <c r="Z784" s="6">
        <v>0</v>
      </c>
      <c r="AA784" s="4">
        <f ca="1">VLOOKUP($L784,OFFSET([2]enemies!$A$1,0,0,COUNTA([2]enemies!$A:$A),MATCH(AA$1,[2]enemies!$1:$1,0)-MATCH($L$1,[2]enemies!$1:$1,0)+1),MATCH(AA$1,[2]enemies!$1:$1,0)-MATCH($L$1,[2]enemies!$1:$1,0)+1,FALSE)</f>
        <v>3</v>
      </c>
      <c r="AB784" s="52">
        <v>364</v>
      </c>
      <c r="AC784" s="4" t="str">
        <f ca="1">VLOOKUP($AB784,OFFSET([3]characters!$A$1,0,0,COUNTA([3]characters!$A:$A),MATCH(AC$1,[3]characters!$1:$1,0)-MATCH("character_id",[3]characters!$1:$1,0)+1),MATCH(AC$1,[3]characters!$1:$1,0)-MATCH("character_id",[3]characters!$1:$1,0)+1,FALSE)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784" s="4">
        <f ca="1">VLOOKUP($AB784,OFFSET([3]characters!$A$1,0,0,COUNTA([3]characters!$A:$A),MATCH(AD$1,[3]characters!$1:$1,0)-MATCH("character_id",[3]characters!$1:$1,0)+1),MATCH(AD$1,[3]characters!$1:$1,0)-MATCH("character_id",[3]characters!$1:$1,0)+1,FALSE)</f>
        <v>2</v>
      </c>
      <c r="AE784" s="4" t="str">
        <f ca="1">VLOOKUP($AB784,OFFSET([3]characters!$A$1,0,0,COUNTA([3]characters!$A:$A),MATCH(AE$1,[3]characters!$1:$1,0)-MATCH("character_id",[3]characters!$1:$1,0)+1),MATCH(AE$1,[3]characters!$1:$1,0)-MATCH("character_id",[3]characters!$1:$1,0)+1,FALSE)</f>
        <v>Drop1S</v>
      </c>
      <c r="AF784" s="7">
        <v>7</v>
      </c>
      <c r="AG784" s="26">
        <f t="shared" ca="1" si="734"/>
        <v>2</v>
      </c>
      <c r="AH784" s="8">
        <v>20</v>
      </c>
      <c r="AI784" s="7">
        <v>0</v>
      </c>
      <c r="AJ784" s="7">
        <v>0</v>
      </c>
      <c r="AK784" s="7">
        <v>0</v>
      </c>
      <c r="AL784" s="7">
        <v>0</v>
      </c>
      <c r="AM784" s="7">
        <v>1</v>
      </c>
    </row>
    <row r="785" spans="1:39" ht="14" x14ac:dyDescent="0.15">
      <c r="A785" s="18" t="str">
        <f t="shared" ca="1" si="714"/>
        <v>26_3-2/366&lt;lv54&gt;s3</v>
      </c>
      <c r="B785" s="53">
        <v>26</v>
      </c>
      <c r="C785" s="51">
        <v>3</v>
      </c>
      <c r="D785" s="2" t="str">
        <f t="shared" si="738"/>
        <v>26_3</v>
      </c>
      <c r="E785" s="2" t="str">
        <f t="shared" si="739"/>
        <v>3_26_3</v>
      </c>
      <c r="F785" s="4" t="str">
        <f ca="1">VLOOKUP($D785,OFFSET([1]stages!$A$1,0,0,COUNTA([1]stages!$A:$A),MATCH(F$1,[1]stages!$2:$2,0)-MATCH($D$1,[1]stages!$2:$2,0)+1),MATCH(F$1,[1]stages!$2:$2,0)-MATCH($D$1,[1]stages!$2:$2,0)+1,FALSE)</f>
        <v>26-3．荒ぶる電飾</v>
      </c>
      <c r="G785" s="55">
        <v>2</v>
      </c>
      <c r="H785" s="17" t="str">
        <f t="shared" si="740"/>
        <v>26_3-2</v>
      </c>
      <c r="I785" s="17"/>
      <c r="J785" s="17"/>
      <c r="K785" s="65" t="s">
        <v>56</v>
      </c>
      <c r="L785" s="52">
        <v>366</v>
      </c>
      <c r="M785" s="21" t="str">
        <f ca="1">VLOOKUP($L785,OFFSET([2]enemies!$A$1,0,0,COUNTA([2]enemies!$A:$A),MATCH(M$1,[2]enemies!$1:$1,0)-MATCH($L$1,[2]enemies!$1:$1,0)+1),MATCH(M$1,[2]enemies!$1:$1,0)-MATCH($L$1,[2]enemies!$1:$1,0)+1,FALSE)</f>
        <v>トト</v>
      </c>
      <c r="N785" s="21" t="str">
        <f ca="1">VLOOKUP($L785,OFFSET([2]enemies!$A$1,0,0,COUNTA([2]enemies!$A:$A),MATCH(N$1,[2]enemies!$1:$1,0)-MATCH($L$1,[2]enemies!$1:$1,0)+1),MATCH(N$1,[2]enemies!$1:$1,0)-MATCH($L$1,[2]enemies!$1:$1,0)+1,FALSE)</f>
        <v>yellow</v>
      </c>
      <c r="O785" s="21" t="str">
        <f ca="1">VLOOKUP($L785,OFFSET([3]characters!$A$1,0,0,COUNTA([3]characters!$A:$A),MATCH(O$1,[3]characters!$1:$1,0)-MATCH($L$1,[3]characters!$1:$1,0)+1),MATCH(O$1,[3]characters!$1:$1,0)-MATCH($L$1,[3]characters!$1:$1,0)+1,FALSE)</f>
        <v>Drop1S</v>
      </c>
      <c r="P785" s="21" t="str">
        <f ca="1">VLOOKUP($L785,OFFSET([2]enemies!$A$1,0,0,COUNTA([2]enemies!$A:$A),MATCH(P$1,[2]enemies!$1:$1,0)-MATCH($L$1,[2]enemies!$1:$1,0)+1),MATCH(P$1,[2]enemies!$1:$1,0)-MATCH($L$1,[2]enemies!$1:$1,0)+1,FALSE)</f>
        <v>animal</v>
      </c>
      <c r="Q785" s="21">
        <f ca="1">VLOOKUP($L785,OFFSET([2]enemies!$A$1,0,0,COUNTA([2]enemies!$A:$A),MATCH(Q$1,[2]enemies!$1:$1,0)-MATCH($L$1,[2]enemies!$1:$1,0)+1),MATCH(Q$1,[2]enemies!$1:$1,0)-MATCH($L$1,[2]enemies!$1:$1,0)+1,FALSE)</f>
        <v>15</v>
      </c>
      <c r="R785" s="53">
        <v>54</v>
      </c>
      <c r="S785" s="27">
        <v>1</v>
      </c>
      <c r="T785" s="27">
        <v>1</v>
      </c>
      <c r="U785" s="5">
        <v>0</v>
      </c>
      <c r="V785" s="4" t="str">
        <f ca="1">VLOOKUP($W785,OFFSET([4]enemy_skill_sets!$B$1,0,0,COUNTA([4]enemy_skill_sets!$B:$B),MATCH(M$1,[4]enemy_skill_sets!$1:$1,0)-MATCH($W$1,[4]enemy_skill_sets!$1:$1,0)+2),MATCH(M$1,[4]enemy_skill_sets!$1:$1,0)-MATCH($W$1,[4]enemy_skill_sets!$1:$1,0)+2,FALSE)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785" s="64">
        <v>366</v>
      </c>
      <c r="X785" s="6">
        <v>0</v>
      </c>
      <c r="Y785" s="6">
        <v>100</v>
      </c>
      <c r="Z785" s="6">
        <v>0</v>
      </c>
      <c r="AA785" s="4">
        <f ca="1">VLOOKUP($L785,OFFSET([2]enemies!$A$1,0,0,COUNTA([2]enemies!$A:$A),MATCH(AA$1,[2]enemies!$1:$1,0)-MATCH($L$1,[2]enemies!$1:$1,0)+1),MATCH(AA$1,[2]enemies!$1:$1,0)-MATCH($L$1,[2]enemies!$1:$1,0)+1,FALSE)</f>
        <v>3</v>
      </c>
      <c r="AB785" s="52">
        <v>366</v>
      </c>
      <c r="AC785" s="4" t="str">
        <f ca="1">VLOOKUP($AB785,OFFSET([3]characters!$A$1,0,0,COUNTA([3]characters!$A:$A),MATCH(AC$1,[3]characters!$1:$1,0)-MATCH("character_id",[3]characters!$1:$1,0)+1),MATCH(AC$1,[3]characters!$1:$1,0)-MATCH("character_id",[3]characters!$1:$1,0)+1,FALSE)</f>
        <v>トト</v>
      </c>
      <c r="AD785" s="4">
        <f ca="1">VLOOKUP($AB785,OFFSET([3]characters!$A$1,0,0,COUNTA([3]characters!$A:$A),MATCH(AD$1,[3]characters!$1:$1,0)-MATCH("character_id",[3]characters!$1:$1,0)+1),MATCH(AD$1,[3]characters!$1:$1,0)-MATCH("character_id",[3]characters!$1:$1,0)+1,FALSE)</f>
        <v>2</v>
      </c>
      <c r="AE785" s="4" t="str">
        <f ca="1">VLOOKUP($AB785,OFFSET([3]characters!$A$1,0,0,COUNTA([3]characters!$A:$A),MATCH(AE$1,[3]characters!$1:$1,0)-MATCH("character_id",[3]characters!$1:$1,0)+1),MATCH(AE$1,[3]characters!$1:$1,0)-MATCH("character_id",[3]characters!$1:$1,0)+1,FALSE)</f>
        <v>Drop1S</v>
      </c>
      <c r="AF785" s="7">
        <v>7</v>
      </c>
      <c r="AG785" s="26">
        <f t="shared" ca="1" si="734"/>
        <v>2</v>
      </c>
      <c r="AH785" s="8">
        <v>20</v>
      </c>
      <c r="AI785" s="7">
        <v>0</v>
      </c>
      <c r="AJ785" s="7">
        <v>0</v>
      </c>
      <c r="AK785" s="7">
        <v>0</v>
      </c>
      <c r="AL785" s="7">
        <v>0</v>
      </c>
      <c r="AM785" s="7">
        <v>1</v>
      </c>
    </row>
    <row r="786" spans="1:39" ht="14" x14ac:dyDescent="0.15">
      <c r="A786" s="18" t="str">
        <f t="shared" ca="1" si="714"/>
        <v>26_3-2/352&lt;lv54&gt;s3</v>
      </c>
      <c r="B786" s="53">
        <v>26</v>
      </c>
      <c r="C786" s="51">
        <v>3</v>
      </c>
      <c r="D786" s="2" t="str">
        <f t="shared" ref="D786:D787" si="741">B786&amp;"_"&amp;C786</f>
        <v>26_3</v>
      </c>
      <c r="E786" s="2" t="str">
        <f t="shared" ref="E786:E787" si="742">C786&amp;"_"&amp;D786</f>
        <v>3_26_3</v>
      </c>
      <c r="F786" s="4" t="str">
        <f ca="1">VLOOKUP($D786,OFFSET([1]stages!$A$1,0,0,COUNTA([1]stages!$A:$A),MATCH(F$1,[1]stages!$2:$2,0)-MATCH($D$1,[1]stages!$2:$2,0)+1),MATCH(F$1,[1]stages!$2:$2,0)-MATCH($D$1,[1]stages!$2:$2,0)+1,FALSE)</f>
        <v>26-3．荒ぶる電飾</v>
      </c>
      <c r="G786" s="55">
        <v>2</v>
      </c>
      <c r="H786" s="17" t="str">
        <f t="shared" ref="H786:H787" si="743">B786&amp;"_"&amp;C786&amp;"-"&amp;G786</f>
        <v>26_3-2</v>
      </c>
      <c r="I786" s="17"/>
      <c r="J786" s="17"/>
      <c r="K786" s="65" t="s">
        <v>56</v>
      </c>
      <c r="L786" s="52">
        <v>352</v>
      </c>
      <c r="M786" s="21" t="str">
        <f ca="1">VLOOKUP($L786,OFFSET([2]enemies!$A$1,0,0,COUNTA([2]enemies!$A:$A),MATCH(M$1,[2]enemies!$1:$1,0)-MATCH($L$1,[2]enemies!$1:$1,0)+1),MATCH(M$1,[2]enemies!$1:$1,0)-MATCH($L$1,[2]enemies!$1:$1,0)+1,FALSE)</f>
        <v>水のケロケロ</v>
      </c>
      <c r="N786" s="21" t="str">
        <f ca="1">VLOOKUP($L786,OFFSET([2]enemies!$A$1,0,0,COUNTA([2]enemies!$A:$A),MATCH(N$1,[2]enemies!$1:$1,0)-MATCH($L$1,[2]enemies!$1:$1,0)+1),MATCH(N$1,[2]enemies!$1:$1,0)-MATCH($L$1,[2]enemies!$1:$1,0)+1,FALSE)</f>
        <v>blue</v>
      </c>
      <c r="O786" s="21" t="str">
        <f ca="1">VLOOKUP($L786,OFFSET([3]characters!$A$1,0,0,COUNTA([3]characters!$A:$A),MATCH(O$1,[3]characters!$1:$1,0)-MATCH($L$1,[3]characters!$1:$1,0)+1),MATCH(O$1,[3]characters!$1:$1,0)-MATCH($L$1,[3]characters!$1:$1,0)+1,FALSE)</f>
        <v>Material</v>
      </c>
      <c r="P786" s="21" t="str">
        <f ca="1">VLOOKUP($L786,OFFSET([2]enemies!$A$1,0,0,COUNTA([2]enemies!$A:$A),MATCH(P$1,[2]enemies!$1:$1,0)-MATCH($L$1,[2]enemies!$1:$1,0)+1),MATCH(P$1,[2]enemies!$1:$1,0)-MATCH($L$1,[2]enemies!$1:$1,0)+1,FALSE)</f>
        <v>unknown</v>
      </c>
      <c r="Q786" s="21">
        <f ca="1">VLOOKUP($L786,OFFSET([2]enemies!$A$1,0,0,COUNTA([2]enemies!$A:$A),MATCH(Q$1,[2]enemies!$1:$1,0)-MATCH($L$1,[2]enemies!$1:$1,0)+1),MATCH(Q$1,[2]enemies!$1:$1,0)-MATCH($L$1,[2]enemies!$1:$1,0)+1,FALSE)</f>
        <v>15</v>
      </c>
      <c r="R786" s="53">
        <v>54</v>
      </c>
      <c r="S786" s="27">
        <v>1</v>
      </c>
      <c r="T786" s="27">
        <v>1</v>
      </c>
      <c r="U786" s="5">
        <v>0</v>
      </c>
      <c r="V786" s="4" t="str">
        <f ca="1">VLOOKUP($W786,OFFSET([4]enemy_skill_sets!$B$1,0,0,COUNTA([4]enemy_skill_sets!$B:$B),MATCH(M$1,[4]enemy_skill_sets!$1:$1,0)-MATCH($W$1,[4]enemy_skill_sets!$1:$1,0)+2),MATCH(M$1,[4]enemy_skill_sets!$1:$1,0)-MATCH($W$1,[4]enemy_skill_sets!$1:$1,0)+2,FALSE)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786" s="64">
        <v>352</v>
      </c>
      <c r="X786" s="6">
        <v>0</v>
      </c>
      <c r="Y786" s="6">
        <v>100</v>
      </c>
      <c r="Z786" s="6">
        <v>0</v>
      </c>
      <c r="AA786" s="4">
        <f ca="1">VLOOKUP($L786,OFFSET([2]enemies!$A$1,0,0,COUNTA([2]enemies!$A:$A),MATCH(AA$1,[2]enemies!$1:$1,0)-MATCH($L$1,[2]enemies!$1:$1,0)+1),MATCH(AA$1,[2]enemies!$1:$1,0)-MATCH($L$1,[2]enemies!$1:$1,0)+1,FALSE)</f>
        <v>3</v>
      </c>
      <c r="AB786" s="52">
        <v>352</v>
      </c>
      <c r="AC786" s="4" t="str">
        <f ca="1">VLOOKUP($AB786,OFFSET([3]characters!$A$1,0,0,COUNTA([3]characters!$A:$A),MATCH(AC$1,[3]characters!$1:$1,0)-MATCH("character_id",[3]characters!$1:$1,0)+1),MATCH(AC$1,[3]characters!$1:$1,0)-MATCH("character_id",[3]characters!$1:$1,0)+1,FALSE)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786" s="4">
        <f ca="1">VLOOKUP($AB786,OFFSET([3]characters!$A$1,0,0,COUNTA([3]characters!$A:$A),MATCH(AD$1,[3]characters!$1:$1,0)-MATCH("character_id",[3]characters!$1:$1,0)+1),MATCH(AD$1,[3]characters!$1:$1,0)-MATCH("character_id",[3]characters!$1:$1,0)+1,FALSE)</f>
        <v>2</v>
      </c>
      <c r="AE786" s="4" t="str">
        <f ca="1">VLOOKUP($AB786,OFFSET([3]characters!$A$1,0,0,COUNTA([3]characters!$A:$A),MATCH(AE$1,[3]characters!$1:$1,0)-MATCH("character_id",[3]characters!$1:$1,0)+1),MATCH(AE$1,[3]characters!$1:$1,0)-MATCH("character_id",[3]characters!$1:$1,0)+1,FALSE)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86" s="7">
        <v>10</v>
      </c>
      <c r="AG786" s="26">
        <f t="shared" ca="1" si="734"/>
        <v>2</v>
      </c>
      <c r="AH786" s="8">
        <v>20</v>
      </c>
      <c r="AI786" s="7">
        <v>0</v>
      </c>
      <c r="AJ786" s="7">
        <v>0</v>
      </c>
      <c r="AK786" s="7">
        <v>0</v>
      </c>
      <c r="AL786" s="7">
        <v>0</v>
      </c>
      <c r="AM786" s="7">
        <v>1</v>
      </c>
    </row>
    <row r="787" spans="1:39" ht="14" x14ac:dyDescent="0.15">
      <c r="A787" s="18" t="str">
        <f t="shared" ca="1" si="714"/>
        <v>26_3-2/354&lt;lv54&gt;s3</v>
      </c>
      <c r="B787" s="53">
        <v>26</v>
      </c>
      <c r="C787" s="51">
        <v>3</v>
      </c>
      <c r="D787" s="2" t="str">
        <f t="shared" si="741"/>
        <v>26_3</v>
      </c>
      <c r="E787" s="2" t="str">
        <f t="shared" si="742"/>
        <v>3_26_3</v>
      </c>
      <c r="F787" s="4" t="str">
        <f ca="1">VLOOKUP($D787,OFFSET([1]stages!$A$1,0,0,COUNTA([1]stages!$A:$A),MATCH(F$1,[1]stages!$2:$2,0)-MATCH($D$1,[1]stages!$2:$2,0)+1),MATCH(F$1,[1]stages!$2:$2,0)-MATCH($D$1,[1]stages!$2:$2,0)+1,FALSE)</f>
        <v>26-3．荒ぶる電飾</v>
      </c>
      <c r="G787" s="55">
        <v>2</v>
      </c>
      <c r="H787" s="17" t="str">
        <f t="shared" si="743"/>
        <v>26_3-2</v>
      </c>
      <c r="I787" s="17"/>
      <c r="J787" s="17"/>
      <c r="K787" s="65" t="s">
        <v>56</v>
      </c>
      <c r="L787" s="52">
        <v>354</v>
      </c>
      <c r="M787" s="21" t="str">
        <f ca="1">VLOOKUP($L787,OFFSET([2]enemies!$A$1,0,0,COUNTA([2]enemies!$A:$A),MATCH(M$1,[2]enemies!$1:$1,0)-MATCH($L$1,[2]enemies!$1:$1,0)+1),MATCH(M$1,[2]enemies!$1:$1,0)-MATCH($L$1,[2]enemies!$1:$1,0)+1,FALSE)</f>
        <v>雷のケロケロ</v>
      </c>
      <c r="N787" s="21" t="str">
        <f ca="1">VLOOKUP($L787,OFFSET([2]enemies!$A$1,0,0,COUNTA([2]enemies!$A:$A),MATCH(N$1,[2]enemies!$1:$1,0)-MATCH($L$1,[2]enemies!$1:$1,0)+1),MATCH(N$1,[2]enemies!$1:$1,0)-MATCH($L$1,[2]enemies!$1:$1,0)+1,FALSE)</f>
        <v>yellow</v>
      </c>
      <c r="O787" s="21" t="str">
        <f ca="1">VLOOKUP($L787,OFFSET([3]characters!$A$1,0,0,COUNTA([3]characters!$A:$A),MATCH(O$1,[3]characters!$1:$1,0)-MATCH($L$1,[3]characters!$1:$1,0)+1),MATCH(O$1,[3]characters!$1:$1,0)-MATCH($L$1,[3]characters!$1:$1,0)+1,FALSE)</f>
        <v>Material</v>
      </c>
      <c r="P787" s="21" t="str">
        <f ca="1">VLOOKUP($L787,OFFSET([2]enemies!$A$1,0,0,COUNTA([2]enemies!$A:$A),MATCH(P$1,[2]enemies!$1:$1,0)-MATCH($L$1,[2]enemies!$1:$1,0)+1),MATCH(P$1,[2]enemies!$1:$1,0)-MATCH($L$1,[2]enemies!$1:$1,0)+1,FALSE)</f>
        <v>unknown</v>
      </c>
      <c r="Q787" s="21">
        <f ca="1">VLOOKUP($L787,OFFSET([2]enemies!$A$1,0,0,COUNTA([2]enemies!$A:$A),MATCH(Q$1,[2]enemies!$1:$1,0)-MATCH($L$1,[2]enemies!$1:$1,0)+1),MATCH(Q$1,[2]enemies!$1:$1,0)-MATCH($L$1,[2]enemies!$1:$1,0)+1,FALSE)</f>
        <v>15</v>
      </c>
      <c r="R787" s="53">
        <v>54</v>
      </c>
      <c r="S787" s="27">
        <v>1</v>
      </c>
      <c r="T787" s="27">
        <v>1</v>
      </c>
      <c r="U787" s="5">
        <v>0</v>
      </c>
      <c r="V787" s="4" t="str">
        <f ca="1">VLOOKUP($W787,OFFSET([4]enemy_skill_sets!$B$1,0,0,COUNTA([4]enemy_skill_sets!$B:$B),MATCH(M$1,[4]enemy_skill_sets!$1:$1,0)-MATCH($W$1,[4]enemy_skill_sets!$1:$1,0)+2),MATCH(M$1,[4]enemy_skill_sets!$1:$1,0)-MATCH($W$1,[4]enemy_skill_sets!$1:$1,0)+2,FALSE)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787" s="64">
        <v>354</v>
      </c>
      <c r="X787" s="6">
        <v>1</v>
      </c>
      <c r="Y787" s="6">
        <v>100</v>
      </c>
      <c r="Z787" s="6">
        <v>0</v>
      </c>
      <c r="AA787" s="4">
        <f ca="1">VLOOKUP($L787,OFFSET([2]enemies!$A$1,0,0,COUNTA([2]enemies!$A:$A),MATCH(AA$1,[2]enemies!$1:$1,0)-MATCH($L$1,[2]enemies!$1:$1,0)+1),MATCH(AA$1,[2]enemies!$1:$1,0)-MATCH($L$1,[2]enemies!$1:$1,0)+1,FALSE)</f>
        <v>3</v>
      </c>
      <c r="AB787" s="52">
        <v>354</v>
      </c>
      <c r="AC787" s="4" t="str">
        <f ca="1">VLOOKUP($AB787,OFFSET([3]characters!$A$1,0,0,COUNTA([3]characters!$A:$A),MATCH(AC$1,[3]characters!$1:$1,0)-MATCH("character_id",[3]characters!$1:$1,0)+1),MATCH(AC$1,[3]characters!$1:$1,0)-MATCH("character_id",[3]characters!$1:$1,0)+1,FALSE)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787" s="4">
        <f ca="1">VLOOKUP($AB787,OFFSET([3]characters!$A$1,0,0,COUNTA([3]characters!$A:$A),MATCH(AD$1,[3]characters!$1:$1,0)-MATCH("character_id",[3]characters!$1:$1,0)+1),MATCH(AD$1,[3]characters!$1:$1,0)-MATCH("character_id",[3]characters!$1:$1,0)+1,FALSE)</f>
        <v>2</v>
      </c>
      <c r="AE787" s="4" t="str">
        <f ca="1">VLOOKUP($AB787,OFFSET([3]characters!$A$1,0,0,COUNTA([3]characters!$A:$A),MATCH(AE$1,[3]characters!$1:$1,0)-MATCH("character_id",[3]characters!$1:$1,0)+1),MATCH(AE$1,[3]characters!$1:$1,0)-MATCH("character_id",[3]characters!$1:$1,0)+1,FALSE)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787" s="7">
        <v>10</v>
      </c>
      <c r="AG787" s="26">
        <f t="shared" ca="1" si="734"/>
        <v>2</v>
      </c>
      <c r="AH787" s="8">
        <v>100</v>
      </c>
      <c r="AI787" s="7">
        <v>0</v>
      </c>
      <c r="AJ787" s="7">
        <v>0</v>
      </c>
      <c r="AK787" s="7">
        <v>0</v>
      </c>
      <c r="AL787" s="7">
        <v>0</v>
      </c>
      <c r="AM787" s="7">
        <v>1</v>
      </c>
    </row>
    <row r="788" spans="1:39" ht="14" x14ac:dyDescent="0.15">
      <c r="A788" s="18" t="str">
        <f t="shared" ca="1" si="714"/>
        <v>26_3-3/89&lt;lv54&gt;s2</v>
      </c>
      <c r="B788" s="50">
        <v>26</v>
      </c>
      <c r="C788" s="49">
        <v>3</v>
      </c>
      <c r="D788" s="2" t="str">
        <f t="shared" si="730"/>
        <v>26_3</v>
      </c>
      <c r="E788" s="2" t="str">
        <f t="shared" si="730"/>
        <v>3_26_3</v>
      </c>
      <c r="F788" s="4" t="str">
        <f ca="1">VLOOKUP($D788,OFFSET([1]stages!$A$1,0,0,COUNTA([1]stages!$A:$A),MATCH(F$1,[1]stages!$2:$2,0)-MATCH($D$1,[1]stages!$2:$2,0)+1),MATCH(F$1,[1]stages!$2:$2,0)-MATCH($D$1,[1]stages!$2:$2,0)+1,FALSE)</f>
        <v>26-3．荒ぶる電飾</v>
      </c>
      <c r="G788" s="56">
        <v>3</v>
      </c>
      <c r="H788" s="17" t="str">
        <f t="shared" si="731"/>
        <v>26_3-3</v>
      </c>
      <c r="I788" s="17"/>
      <c r="J788" s="17"/>
      <c r="K788" s="65" t="s">
        <v>56</v>
      </c>
      <c r="L788" s="52">
        <v>89</v>
      </c>
      <c r="M788" s="21" t="str">
        <f ca="1">VLOOKUP($L788,OFFSET([2]enemies!$A$1,0,0,COUNTA([2]enemies!$A:$A),MATCH(M$1,[2]enemies!$1:$1,0)-MATCH($L$1,[2]enemies!$1:$1,0)+1),MATCH(M$1,[2]enemies!$1:$1,0)-MATCH($L$1,[2]enemies!$1:$1,0)+1,FALSE)</f>
        <v>守護者 玄武</v>
      </c>
      <c r="N788" s="21" t="str">
        <f ca="1">VLOOKUP($L788,OFFSET([2]enemies!$A$1,0,0,COUNTA([2]enemies!$A:$A),MATCH(N$1,[2]enemies!$1:$1,0)-MATCH($L$1,[2]enemies!$1:$1,0)+1),MATCH(N$1,[2]enemies!$1:$1,0)-MATCH($L$1,[2]enemies!$1:$1,0)+1,FALSE)</f>
        <v>green</v>
      </c>
      <c r="O788" s="21" t="str">
        <f ca="1">VLOOKUP($L788,OFFSET([3]characters!$A$1,0,0,COUNTA([3]characters!$A:$A),MATCH(O$1,[3]characters!$1:$1,0)-MATCH($L$1,[3]characters!$1:$1,0)+1),MATCH(O$1,[3]characters!$1:$1,0)-MATCH($L$1,[3]characters!$1:$1,0)+1,FALSE)</f>
        <v>Drop2N</v>
      </c>
      <c r="P788" s="21" t="str">
        <f ca="1">VLOOKUP($L788,OFFSET([2]enemies!$A$1,0,0,COUNTA([2]enemies!$A:$A),MATCH(P$1,[2]enemies!$1:$1,0)-MATCH($L$1,[2]enemies!$1:$1,0)+1),MATCH(P$1,[2]enemies!$1:$1,0)-MATCH($L$1,[2]enemies!$1:$1,0)+1,FALSE)</f>
        <v>dragon</v>
      </c>
      <c r="Q788" s="21">
        <f ca="1">VLOOKUP($L788,OFFSET([2]enemies!$A$1,0,0,COUNTA([2]enemies!$A:$A),MATCH(Q$1,[2]enemies!$1:$1,0)-MATCH($L$1,[2]enemies!$1:$1,0)+1),MATCH(Q$1,[2]enemies!$1:$1,0)-MATCH($L$1,[2]enemies!$1:$1,0)+1,FALSE)</f>
        <v>30</v>
      </c>
      <c r="R788" s="53">
        <v>54</v>
      </c>
      <c r="S788" s="27">
        <v>2</v>
      </c>
      <c r="T788" s="27">
        <v>1.6</v>
      </c>
      <c r="U788" s="5">
        <v>0</v>
      </c>
      <c r="V788" s="4" t="str">
        <f ca="1">VLOOKUP($W788,OFFSET([4]enemy_skill_sets!$B$1,0,0,COUNTA([4]enemy_skill_sets!$B:$B),MATCH(M$1,[4]enemy_skill_sets!$1:$1,0)-MATCH($W$1,[4]enemy_skill_sets!$1:$1,0)+2),MATCH(M$1,[4]enemy_skill_sets!$1:$1,0)-MATCH($W$1,[4]enemy_skill_sets!$1:$1,0)+2,FALSE)</f>
        <v>1ターンの間防御力超絶UP＋攻撃</v>
      </c>
      <c r="W788" s="64">
        <v>8902</v>
      </c>
      <c r="X788" s="6">
        <v>0</v>
      </c>
      <c r="Y788" s="6">
        <v>100</v>
      </c>
      <c r="Z788" s="6">
        <v>0</v>
      </c>
      <c r="AA788" s="4">
        <f ca="1">VLOOKUP($L788,OFFSET([2]enemies!$A$1,0,0,COUNTA([2]enemies!$A:$A),MATCH(AA$1,[2]enemies!$1:$1,0)-MATCH($L$1,[2]enemies!$1:$1,0)+1),MATCH(AA$1,[2]enemies!$1:$1,0)-MATCH($L$1,[2]enemies!$1:$1,0)+1,FALSE)</f>
        <v>2</v>
      </c>
      <c r="AB788" s="52">
        <v>88</v>
      </c>
      <c r="AC788" s="4" t="str">
        <f ca="1">VLOOKUP($AB788,OFFSET([3]characters!$A$1,0,0,COUNTA([3]characters!$A:$A),MATCH(AC$1,[3]characters!$1:$1,0)-MATCH("character_id",[3]characters!$1:$1,0)+1),MATCH(AC$1,[3]characters!$1:$1,0)-MATCH("character_id",[3]characters!$1:$1,0)+1,FALSE)</f>
        <v>玄武</v>
      </c>
      <c r="AD788" s="4">
        <f ca="1">VLOOKUP($AB788,OFFSET([3]characters!$A$1,0,0,COUNTA([3]characters!$A:$A),MATCH(AD$1,[3]characters!$1:$1,0)-MATCH("character_id",[3]characters!$1:$1,0)+1),MATCH(AD$1,[3]characters!$1:$1,0)-MATCH("character_id",[3]characters!$1:$1,0)+1,FALSE)</f>
        <v>3</v>
      </c>
      <c r="AE788" s="4" t="str">
        <f ca="1">VLOOKUP($AB788,OFFSET([3]characters!$A$1,0,0,COUNTA([3]characters!$A:$A),MATCH(AE$1,[3]characters!$1:$1,0)-MATCH("character_id",[3]characters!$1:$1,0)+1),MATCH(AE$1,[3]characters!$1:$1,0)-MATCH("character_id",[3]characters!$1:$1,0)+1,FALSE)</f>
        <v>Drop2N</v>
      </c>
      <c r="AF788" s="7">
        <v>9</v>
      </c>
      <c r="AG788" s="26">
        <f t="shared" ca="1" si="734"/>
        <v>3</v>
      </c>
      <c r="AH788" s="8">
        <v>0</v>
      </c>
      <c r="AI788" s="7">
        <v>0</v>
      </c>
      <c r="AJ788" s="7">
        <v>0</v>
      </c>
      <c r="AK788" s="7">
        <v>0</v>
      </c>
      <c r="AL788" s="7">
        <v>0</v>
      </c>
      <c r="AM788" s="7">
        <v>1</v>
      </c>
    </row>
    <row r="789" spans="1:39" ht="14" x14ac:dyDescent="0.15">
      <c r="A789" s="18" t="str">
        <f t="shared" ref="A789:A846" ca="1" si="744">B789&amp;"_"&amp;C789&amp;"-"&amp;G789&amp;"/"&amp;L789&amp;"&lt;lv"&amp;R789&amp;"&gt;s"&amp;AA789</f>
        <v>26_3-4/9&lt;lv54&gt;s2</v>
      </c>
      <c r="B789" s="50">
        <v>26</v>
      </c>
      <c r="C789" s="49">
        <v>3</v>
      </c>
      <c r="D789" s="2" t="str">
        <f t="shared" ref="D789:E823" si="745">B789&amp;"_"&amp;C789</f>
        <v>26_3</v>
      </c>
      <c r="E789" s="2" t="str">
        <f t="shared" si="745"/>
        <v>3_26_3</v>
      </c>
      <c r="F789" s="4" t="str">
        <f ca="1">VLOOKUP($D789,OFFSET([1]stages!$A$1,0,0,COUNTA([1]stages!$A:$A),MATCH(F$1,[1]stages!$2:$2,0)-MATCH($D$1,[1]stages!$2:$2,0)+1),MATCH(F$1,[1]stages!$2:$2,0)-MATCH($D$1,[1]stages!$2:$2,0)+1,FALSE)</f>
        <v>26-3．荒ぶる電飾</v>
      </c>
      <c r="G789" s="57">
        <v>4</v>
      </c>
      <c r="H789" s="17" t="str">
        <f t="shared" ref="H789:H823" si="746">B789&amp;"_"&amp;C789&amp;"-"&amp;G789</f>
        <v>26_3-4</v>
      </c>
      <c r="I789" s="17"/>
      <c r="J789" s="17"/>
      <c r="K789" s="65" t="s">
        <v>56</v>
      </c>
      <c r="L789" s="52">
        <v>9</v>
      </c>
      <c r="M789" s="21" t="str">
        <f ca="1">VLOOKUP($L789,OFFSET([2]enemies!$A$1,0,0,COUNTA([2]enemies!$A:$A),MATCH(M$1,[2]enemies!$1:$1,0)-MATCH($L$1,[2]enemies!$1:$1,0)+1),MATCH(M$1,[2]enemies!$1:$1,0)-MATCH($L$1,[2]enemies!$1:$1,0)+1,FALSE)</f>
        <v>ブレット</v>
      </c>
      <c r="N789" s="21" t="str">
        <f ca="1">VLOOKUP($L789,OFFSET([2]enemies!$A$1,0,0,COUNTA([2]enemies!$A:$A),MATCH(N$1,[2]enemies!$1:$1,0)-MATCH($L$1,[2]enemies!$1:$1,0)+1),MATCH(N$1,[2]enemies!$1:$1,0)-MATCH($L$1,[2]enemies!$1:$1,0)+1,FALSE)</f>
        <v>red</v>
      </c>
      <c r="O789" s="21" t="str">
        <f ca="1">VLOOKUP($L789,OFFSET([3]characters!$A$1,0,0,COUNTA([3]characters!$A:$A),MATCH(O$1,[3]characters!$1:$1,0)-MATCH($L$1,[3]characters!$1:$1,0)+1),MATCH(O$1,[3]characters!$1:$1,0)-MATCH($L$1,[3]characters!$1:$1,0)+1,FALSE)</f>
        <v>Drop1W</v>
      </c>
      <c r="P789" s="21" t="str">
        <f ca="1">VLOOKUP($L789,OFFSET([2]enemies!$A$1,0,0,COUNTA([2]enemies!$A:$A),MATCH(P$1,[2]enemies!$1:$1,0)-MATCH($L$1,[2]enemies!$1:$1,0)+1),MATCH(P$1,[2]enemies!$1:$1,0)-MATCH($L$1,[2]enemies!$1:$1,0)+1,FALSE)</f>
        <v>animal</v>
      </c>
      <c r="Q789" s="21">
        <f ca="1">VLOOKUP($L789,OFFSET([2]enemies!$A$1,0,0,COUNTA([2]enemies!$A:$A),MATCH(Q$1,[2]enemies!$1:$1,0)-MATCH($L$1,[2]enemies!$1:$1,0)+1),MATCH(Q$1,[2]enemies!$1:$1,0)-MATCH($L$1,[2]enemies!$1:$1,0)+1,FALSE)</f>
        <v>15</v>
      </c>
      <c r="R789" s="53">
        <v>54</v>
      </c>
      <c r="S789" s="27">
        <v>1</v>
      </c>
      <c r="T789" s="27">
        <v>1</v>
      </c>
      <c r="U789" s="5">
        <v>0</v>
      </c>
      <c r="V789" s="4" t="str">
        <f ca="1">VLOOKUP($W789,OFFSET([4]enemy_skill_sets!$B$1,0,0,COUNTA([4]enemy_skill_sets!$B:$B),MATCH(M$1,[4]enemy_skill_sets!$1:$1,0)-MATCH($W$1,[4]enemy_skill_sets!$1:$1,0)+2),MATCH(M$1,[4]enemy_skill_sets!$1:$1,0)-MATCH($W$1,[4]enemy_skill_sets!$1:$1,0)+2,FALSE)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89" s="4">
        <f ca="1">VLOOKUP($L789,OFFSET([2]enemies!$A$1,0,0,COUNTA([2]enemies!$A:$A),MATCH(W$1,[2]enemies!$1:$1,0)-MATCH($L$1,[2]enemies!$1:$1,0)+1),MATCH(W$1,[2]enemies!$1:$1,0)-MATCH($L$1,[2]enemies!$1:$1,0)+1,FALSE)</f>
        <v>0</v>
      </c>
      <c r="X789" s="6">
        <v>0</v>
      </c>
      <c r="Y789" s="6">
        <v>100</v>
      </c>
      <c r="Z789" s="6">
        <v>0</v>
      </c>
      <c r="AA789" s="4">
        <f ca="1">VLOOKUP($L789,OFFSET([2]enemies!$A$1,0,0,COUNTA([2]enemies!$A:$A),MATCH(AA$1,[2]enemies!$1:$1,0)-MATCH($L$1,[2]enemies!$1:$1,0)+1),MATCH(AA$1,[2]enemies!$1:$1,0)-MATCH($L$1,[2]enemies!$1:$1,0)+1,FALSE)</f>
        <v>2</v>
      </c>
      <c r="AB789" s="52">
        <v>9</v>
      </c>
      <c r="AC789" s="4" t="str">
        <f ca="1">VLOOKUP($AB789,OFFSET([3]characters!$A$1,0,0,COUNTA([3]characters!$A:$A),MATCH(AC$1,[3]characters!$1:$1,0)-MATCH("character_id",[3]characters!$1:$1,0)+1),MATCH(AC$1,[3]characters!$1:$1,0)-MATCH("character_id",[3]characters!$1:$1,0)+1,FALSE)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789" s="4">
        <f ca="1">VLOOKUP($AB789,OFFSET([3]characters!$A$1,0,0,COUNTA([3]characters!$A:$A),MATCH(AD$1,[3]characters!$1:$1,0)-MATCH("character_id",[3]characters!$1:$1,0)+1),MATCH(AD$1,[3]characters!$1:$1,0)-MATCH("character_id",[3]characters!$1:$1,0)+1,FALSE)</f>
        <v>1</v>
      </c>
      <c r="AE789" s="4" t="str">
        <f ca="1">VLOOKUP($AB789,OFFSET([3]characters!$A$1,0,0,COUNTA([3]characters!$A:$A),MATCH(AE$1,[3]characters!$1:$1,0)-MATCH("character_id",[3]characters!$1:$1,0)+1),MATCH(AE$1,[3]characters!$1:$1,0)-MATCH("character_id",[3]characters!$1:$1,0)+1,FALSE)</f>
        <v>Drop1W</v>
      </c>
      <c r="AF789" s="7">
        <v>9</v>
      </c>
      <c r="AG789" s="26">
        <f t="shared" ca="1" si="734"/>
        <v>1</v>
      </c>
      <c r="AH789" s="8">
        <v>20</v>
      </c>
      <c r="AI789" s="7">
        <v>0</v>
      </c>
      <c r="AJ789" s="7">
        <v>0</v>
      </c>
      <c r="AK789" s="7">
        <v>0</v>
      </c>
      <c r="AL789" s="7">
        <v>0</v>
      </c>
      <c r="AM789" s="7">
        <v>1</v>
      </c>
    </row>
    <row r="790" spans="1:39" ht="14" x14ac:dyDescent="0.15">
      <c r="A790" s="18" t="str">
        <f t="shared" ca="1" si="744"/>
        <v>26_3-4/11&lt;lv54&gt;s3</v>
      </c>
      <c r="B790" s="50">
        <v>26</v>
      </c>
      <c r="C790" s="49">
        <v>3</v>
      </c>
      <c r="D790" s="2" t="str">
        <f t="shared" si="745"/>
        <v>26_3</v>
      </c>
      <c r="E790" s="2" t="str">
        <f t="shared" si="745"/>
        <v>3_26_3</v>
      </c>
      <c r="F790" s="4" t="str">
        <f ca="1">VLOOKUP($D790,OFFSET([1]stages!$A$1,0,0,COUNTA([1]stages!$A:$A),MATCH(F$1,[1]stages!$2:$2,0)-MATCH($D$1,[1]stages!$2:$2,0)+1),MATCH(F$1,[1]stages!$2:$2,0)-MATCH($D$1,[1]stages!$2:$2,0)+1,FALSE)</f>
        <v>26-3．荒ぶる電飾</v>
      </c>
      <c r="G790" s="57">
        <v>4</v>
      </c>
      <c r="H790" s="17" t="str">
        <f t="shared" si="746"/>
        <v>26_3-4</v>
      </c>
      <c r="I790" s="17"/>
      <c r="J790" s="17"/>
      <c r="K790" s="65" t="s">
        <v>56</v>
      </c>
      <c r="L790" s="52">
        <v>11</v>
      </c>
      <c r="M790" s="21" t="str">
        <f ca="1">VLOOKUP($L790,OFFSET([2]enemies!$A$1,0,0,COUNTA([2]enemies!$A:$A),MATCH(M$1,[2]enemies!$1:$1,0)-MATCH($L$1,[2]enemies!$1:$1,0)+1),MATCH(M$1,[2]enemies!$1:$1,0)-MATCH($L$1,[2]enemies!$1:$1,0)+1,FALSE)</f>
        <v>マグリット</v>
      </c>
      <c r="N790" s="21" t="str">
        <f ca="1">VLOOKUP($L790,OFFSET([2]enemies!$A$1,0,0,COUNTA([2]enemies!$A:$A),MATCH(N$1,[2]enemies!$1:$1,0)-MATCH($L$1,[2]enemies!$1:$1,0)+1),MATCH(N$1,[2]enemies!$1:$1,0)-MATCH($L$1,[2]enemies!$1:$1,0)+1,FALSE)</f>
        <v>green</v>
      </c>
      <c r="O790" s="21" t="str">
        <f ca="1">VLOOKUP($L790,OFFSET([3]characters!$A$1,0,0,COUNTA([3]characters!$A:$A),MATCH(O$1,[3]characters!$1:$1,0)-MATCH($L$1,[3]characters!$1:$1,0)+1),MATCH(O$1,[3]characters!$1:$1,0)-MATCH($L$1,[3]characters!$1:$1,0)+1,FALSE)</f>
        <v>Drop1W</v>
      </c>
      <c r="P790" s="21" t="str">
        <f ca="1">VLOOKUP($L790,OFFSET([2]enemies!$A$1,0,0,COUNTA([2]enemies!$A:$A),MATCH(P$1,[2]enemies!$1:$1,0)-MATCH($L$1,[2]enemies!$1:$1,0)+1),MATCH(P$1,[2]enemies!$1:$1,0)-MATCH($L$1,[2]enemies!$1:$1,0)+1,FALSE)</f>
        <v>animal</v>
      </c>
      <c r="Q790" s="21">
        <f ca="1">VLOOKUP($L790,OFFSET([2]enemies!$A$1,0,0,COUNTA([2]enemies!$A:$A),MATCH(Q$1,[2]enemies!$1:$1,0)-MATCH($L$1,[2]enemies!$1:$1,0)+1),MATCH(Q$1,[2]enemies!$1:$1,0)-MATCH($L$1,[2]enemies!$1:$1,0)+1,FALSE)</f>
        <v>15</v>
      </c>
      <c r="R790" s="53">
        <v>54</v>
      </c>
      <c r="S790" s="27">
        <v>1</v>
      </c>
      <c r="T790" s="27">
        <v>1</v>
      </c>
      <c r="U790" s="5">
        <v>0</v>
      </c>
      <c r="V790" s="4" t="str">
        <f ca="1">VLOOKUP($W790,OFFSET([4]enemy_skill_sets!$B$1,0,0,COUNTA([4]enemy_skill_sets!$B:$B),MATCH(M$1,[4]enemy_skill_sets!$1:$1,0)-MATCH($W$1,[4]enemy_skill_sets!$1:$1,0)+2),MATCH(M$1,[4]enemy_skill_sets!$1:$1,0)-MATCH($W$1,[4]enemy_skill_sets!$1:$1,0)+2,FALSE)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90" s="4">
        <f ca="1">VLOOKUP($L790,OFFSET([2]enemies!$A$1,0,0,COUNTA([2]enemies!$A:$A),MATCH(W$1,[2]enemies!$1:$1,0)-MATCH($L$1,[2]enemies!$1:$1,0)+1),MATCH(W$1,[2]enemies!$1:$1,0)-MATCH($L$1,[2]enemies!$1:$1,0)+1,FALSE)</f>
        <v>0</v>
      </c>
      <c r="X790" s="6">
        <v>0</v>
      </c>
      <c r="Y790" s="6">
        <v>100</v>
      </c>
      <c r="Z790" s="6">
        <v>0</v>
      </c>
      <c r="AA790" s="4">
        <f ca="1">VLOOKUP($L790,OFFSET([2]enemies!$A$1,0,0,COUNTA([2]enemies!$A:$A),MATCH(AA$1,[2]enemies!$1:$1,0)-MATCH($L$1,[2]enemies!$1:$1,0)+1),MATCH(AA$1,[2]enemies!$1:$1,0)-MATCH($L$1,[2]enemies!$1:$1,0)+1,FALSE)</f>
        <v>3</v>
      </c>
      <c r="AB790" s="52">
        <v>11</v>
      </c>
      <c r="AC790" s="4" t="str">
        <f ca="1">VLOOKUP($AB790,OFFSET([3]characters!$A$1,0,0,COUNTA([3]characters!$A:$A),MATCH(AC$1,[3]characters!$1:$1,0)-MATCH("character_id",[3]characters!$1:$1,0)+1),MATCH(AC$1,[3]characters!$1:$1,0)-MATCH("character_id",[3]characters!$1:$1,0)+1,FALSE)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790" s="4">
        <f ca="1">VLOOKUP($AB790,OFFSET([3]characters!$A$1,0,0,COUNTA([3]characters!$A:$A),MATCH(AD$1,[3]characters!$1:$1,0)-MATCH("character_id",[3]characters!$1:$1,0)+1),MATCH(AD$1,[3]characters!$1:$1,0)-MATCH("character_id",[3]characters!$1:$1,0)+1,FALSE)</f>
        <v>1</v>
      </c>
      <c r="AE790" s="4" t="str">
        <f ca="1">VLOOKUP($AB790,OFFSET([3]characters!$A$1,0,0,COUNTA([3]characters!$A:$A),MATCH(AE$1,[3]characters!$1:$1,0)-MATCH("character_id",[3]characters!$1:$1,0)+1),MATCH(AE$1,[3]characters!$1:$1,0)-MATCH("character_id",[3]characters!$1:$1,0)+1,FALSE)</f>
        <v>Drop1W</v>
      </c>
      <c r="AF790" s="7">
        <v>9</v>
      </c>
      <c r="AG790" s="26">
        <f t="shared" ca="1" si="734"/>
        <v>1</v>
      </c>
      <c r="AH790" s="8">
        <v>20</v>
      </c>
      <c r="AI790" s="7">
        <v>0</v>
      </c>
      <c r="AJ790" s="7">
        <v>0</v>
      </c>
      <c r="AK790" s="7">
        <v>0</v>
      </c>
      <c r="AL790" s="7">
        <v>0</v>
      </c>
      <c r="AM790" s="7">
        <v>1</v>
      </c>
    </row>
    <row r="791" spans="1:39" ht="14" x14ac:dyDescent="0.15">
      <c r="A791" s="18" t="str">
        <f t="shared" ca="1" si="744"/>
        <v>26_3-4/13&lt;lv54&gt;s2</v>
      </c>
      <c r="B791" s="50">
        <v>26</v>
      </c>
      <c r="C791" s="49">
        <v>3</v>
      </c>
      <c r="D791" s="2" t="str">
        <f t="shared" si="745"/>
        <v>26_3</v>
      </c>
      <c r="E791" s="2" t="str">
        <f t="shared" si="745"/>
        <v>3_26_3</v>
      </c>
      <c r="F791" s="4" t="str">
        <f ca="1">VLOOKUP($D791,OFFSET([1]stages!$A$1,0,0,COUNTA([1]stages!$A:$A),MATCH(F$1,[1]stages!$2:$2,0)-MATCH($D$1,[1]stages!$2:$2,0)+1),MATCH(F$1,[1]stages!$2:$2,0)-MATCH($D$1,[1]stages!$2:$2,0)+1,FALSE)</f>
        <v>26-3．荒ぶる電飾</v>
      </c>
      <c r="G791" s="57">
        <v>4</v>
      </c>
      <c r="H791" s="17" t="str">
        <f t="shared" si="746"/>
        <v>26_3-4</v>
      </c>
      <c r="I791" s="17"/>
      <c r="J791" s="17"/>
      <c r="K791" s="65" t="s">
        <v>56</v>
      </c>
      <c r="L791" s="52">
        <v>13</v>
      </c>
      <c r="M791" s="21" t="str">
        <f ca="1">VLOOKUP($L791,OFFSET([2]enemies!$A$1,0,0,COUNTA([2]enemies!$A:$A),MATCH(M$1,[2]enemies!$1:$1,0)-MATCH($L$1,[2]enemies!$1:$1,0)+1),MATCH(M$1,[2]enemies!$1:$1,0)-MATCH($L$1,[2]enemies!$1:$1,0)+1,FALSE)</f>
        <v>ミミ</v>
      </c>
      <c r="N791" s="21" t="str">
        <f ca="1">VLOOKUP($L791,OFFSET([2]enemies!$A$1,0,0,COUNTA([2]enemies!$A:$A),MATCH(N$1,[2]enemies!$1:$1,0)-MATCH($L$1,[2]enemies!$1:$1,0)+1),MATCH(N$1,[2]enemies!$1:$1,0)-MATCH($L$1,[2]enemies!$1:$1,0)+1,FALSE)</f>
        <v>yellow</v>
      </c>
      <c r="O791" s="21" t="str">
        <f ca="1">VLOOKUP($L791,OFFSET([3]characters!$A$1,0,0,COUNTA([3]characters!$A:$A),MATCH(O$1,[3]characters!$1:$1,0)-MATCH($L$1,[3]characters!$1:$1,0)+1),MATCH(O$1,[3]characters!$1:$1,0)-MATCH($L$1,[3]characters!$1:$1,0)+1,FALSE)</f>
        <v>Drop1W</v>
      </c>
      <c r="P791" s="21" t="str">
        <f ca="1">VLOOKUP($L791,OFFSET([2]enemies!$A$1,0,0,COUNTA([2]enemies!$A:$A),MATCH(P$1,[2]enemies!$1:$1,0)-MATCH($L$1,[2]enemies!$1:$1,0)+1),MATCH(P$1,[2]enemies!$1:$1,0)-MATCH($L$1,[2]enemies!$1:$1,0)+1,FALSE)</f>
        <v>animal</v>
      </c>
      <c r="Q791" s="21">
        <f ca="1">VLOOKUP($L791,OFFSET([2]enemies!$A$1,0,0,COUNTA([2]enemies!$A:$A),MATCH(Q$1,[2]enemies!$1:$1,0)-MATCH($L$1,[2]enemies!$1:$1,0)+1),MATCH(Q$1,[2]enemies!$1:$1,0)-MATCH($L$1,[2]enemies!$1:$1,0)+1,FALSE)</f>
        <v>15</v>
      </c>
      <c r="R791" s="53">
        <v>54</v>
      </c>
      <c r="S791" s="27">
        <v>1</v>
      </c>
      <c r="T791" s="27">
        <v>1</v>
      </c>
      <c r="U791" s="5">
        <v>0</v>
      </c>
      <c r="V791" s="4" t="str">
        <f ca="1">VLOOKUP($W791,OFFSET([4]enemy_skill_sets!$B$1,0,0,COUNTA([4]enemy_skill_sets!$B:$B),MATCH(M$1,[4]enemy_skill_sets!$1:$1,0)-MATCH($W$1,[4]enemy_skill_sets!$1:$1,0)+2),MATCH(M$1,[4]enemy_skill_sets!$1:$1,0)-MATCH($W$1,[4]enemy_skill_sets!$1:$1,0)+2,FALSE)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91" s="4">
        <f ca="1">VLOOKUP($L791,OFFSET([2]enemies!$A$1,0,0,COUNTA([2]enemies!$A:$A),MATCH(W$1,[2]enemies!$1:$1,0)-MATCH($L$1,[2]enemies!$1:$1,0)+1),MATCH(W$1,[2]enemies!$1:$1,0)-MATCH($L$1,[2]enemies!$1:$1,0)+1,FALSE)</f>
        <v>0</v>
      </c>
      <c r="X791" s="6">
        <v>0</v>
      </c>
      <c r="Y791" s="6">
        <v>100</v>
      </c>
      <c r="Z791" s="6">
        <v>0</v>
      </c>
      <c r="AA791" s="4">
        <f ca="1">VLOOKUP($L791,OFFSET([2]enemies!$A$1,0,0,COUNTA([2]enemies!$A:$A),MATCH(AA$1,[2]enemies!$1:$1,0)-MATCH($L$1,[2]enemies!$1:$1,0)+1),MATCH(AA$1,[2]enemies!$1:$1,0)-MATCH($L$1,[2]enemies!$1:$1,0)+1,FALSE)</f>
        <v>2</v>
      </c>
      <c r="AB791" s="52">
        <v>13</v>
      </c>
      <c r="AC791" s="4" t="str">
        <f ca="1">VLOOKUP($AB791,OFFSET([3]characters!$A$1,0,0,COUNTA([3]characters!$A:$A),MATCH(AC$1,[3]characters!$1:$1,0)-MATCH("character_id",[3]characters!$1:$1,0)+1),MATCH(AC$1,[3]characters!$1:$1,0)-MATCH("character_id",[3]characters!$1:$1,0)+1,FALSE)</f>
        <v>ミミ</v>
      </c>
      <c r="AD791" s="4">
        <f ca="1">VLOOKUP($AB791,OFFSET([3]characters!$A$1,0,0,COUNTA([3]characters!$A:$A),MATCH(AD$1,[3]characters!$1:$1,0)-MATCH("character_id",[3]characters!$1:$1,0)+1),MATCH(AD$1,[3]characters!$1:$1,0)-MATCH("character_id",[3]characters!$1:$1,0)+1,FALSE)</f>
        <v>1</v>
      </c>
      <c r="AE791" s="4" t="str">
        <f ca="1">VLOOKUP($AB791,OFFSET([3]characters!$A$1,0,0,COUNTA([3]characters!$A:$A),MATCH(AE$1,[3]characters!$1:$1,0)-MATCH("character_id",[3]characters!$1:$1,0)+1),MATCH(AE$1,[3]characters!$1:$1,0)-MATCH("character_id",[3]characters!$1:$1,0)+1,FALSE)</f>
        <v>Drop1W</v>
      </c>
      <c r="AF791" s="7">
        <v>9</v>
      </c>
      <c r="AG791" s="26">
        <f t="shared" ca="1" si="734"/>
        <v>1</v>
      </c>
      <c r="AH791" s="8">
        <v>20</v>
      </c>
      <c r="AI791" s="7">
        <v>0</v>
      </c>
      <c r="AJ791" s="7">
        <v>0</v>
      </c>
      <c r="AK791" s="7">
        <v>0</v>
      </c>
      <c r="AL791" s="7">
        <v>0</v>
      </c>
      <c r="AM791" s="7">
        <v>1</v>
      </c>
    </row>
    <row r="792" spans="1:39" ht="14" x14ac:dyDescent="0.15">
      <c r="A792" s="18" t="str">
        <f t="shared" ca="1" si="744"/>
        <v>26_3-4/23&lt;lv54&gt;s4</v>
      </c>
      <c r="B792" s="50">
        <v>26</v>
      </c>
      <c r="C792" s="49">
        <v>3</v>
      </c>
      <c r="D792" s="2" t="str">
        <f t="shared" si="745"/>
        <v>26_3</v>
      </c>
      <c r="E792" s="2" t="str">
        <f t="shared" si="745"/>
        <v>3_26_3</v>
      </c>
      <c r="F792" s="4" t="str">
        <f ca="1">VLOOKUP($D792,OFFSET([1]stages!$A$1,0,0,COUNTA([1]stages!$A:$A),MATCH(F$1,[1]stages!$2:$2,0)-MATCH($D$1,[1]stages!$2:$2,0)+1),MATCH(F$1,[1]stages!$2:$2,0)-MATCH($D$1,[1]stages!$2:$2,0)+1,FALSE)</f>
        <v>26-3．荒ぶる電飾</v>
      </c>
      <c r="G792" s="57">
        <v>4</v>
      </c>
      <c r="H792" s="17" t="str">
        <f t="shared" si="746"/>
        <v>26_3-4</v>
      </c>
      <c r="I792" s="17"/>
      <c r="J792" s="17"/>
      <c r="K792" s="65" t="s">
        <v>56</v>
      </c>
      <c r="L792" s="52">
        <v>23</v>
      </c>
      <c r="M792" s="21" t="str">
        <f ca="1">VLOOKUP($L792,OFFSET([2]enemies!$A$1,0,0,COUNTA([2]enemies!$A:$A),MATCH(M$1,[2]enemies!$1:$1,0)-MATCH($L$1,[2]enemies!$1:$1,0)+1),MATCH(M$1,[2]enemies!$1:$1,0)-MATCH($L$1,[2]enemies!$1:$1,0)+1,FALSE)</f>
        <v>ミール</v>
      </c>
      <c r="N792" s="21" t="str">
        <f ca="1">VLOOKUP($L792,OFFSET([2]enemies!$A$1,0,0,COUNTA([2]enemies!$A:$A),MATCH(N$1,[2]enemies!$1:$1,0)-MATCH($L$1,[2]enemies!$1:$1,0)+1),MATCH(N$1,[2]enemies!$1:$1,0)-MATCH($L$1,[2]enemies!$1:$1,0)+1,FALSE)</f>
        <v>green</v>
      </c>
      <c r="O792" s="21" t="str">
        <f ca="1">VLOOKUP($L792,OFFSET([3]characters!$A$1,0,0,COUNTA([3]characters!$A:$A),MATCH(O$1,[3]characters!$1:$1,0)-MATCH($L$1,[3]characters!$1:$1,0)+1),MATCH(O$1,[3]characters!$1:$1,0)-MATCH($L$1,[3]characters!$1:$1,0)+1,FALSE)</f>
        <v>Drop1N</v>
      </c>
      <c r="P792" s="21" t="str">
        <f ca="1">VLOOKUP($L792,OFFSET([2]enemies!$A$1,0,0,COUNTA([2]enemies!$A:$A),MATCH(P$1,[2]enemies!$1:$1,0)-MATCH($L$1,[2]enemies!$1:$1,0)+1),MATCH(P$1,[2]enemies!$1:$1,0)-MATCH($L$1,[2]enemies!$1:$1,0)+1,FALSE)</f>
        <v>animal</v>
      </c>
      <c r="Q792" s="21">
        <f ca="1">VLOOKUP($L792,OFFSET([2]enemies!$A$1,0,0,COUNTA([2]enemies!$A:$A),MATCH(Q$1,[2]enemies!$1:$1,0)-MATCH($L$1,[2]enemies!$1:$1,0)+1),MATCH(Q$1,[2]enemies!$1:$1,0)-MATCH($L$1,[2]enemies!$1:$1,0)+1,FALSE)</f>
        <v>15</v>
      </c>
      <c r="R792" s="53">
        <v>54</v>
      </c>
      <c r="S792" s="27">
        <v>1</v>
      </c>
      <c r="T792" s="27">
        <v>1</v>
      </c>
      <c r="U792" s="5">
        <v>0</v>
      </c>
      <c r="V792" s="4" t="str">
        <f ca="1">VLOOKUP($W792,OFFSET([4]enemy_skill_sets!$B$1,0,0,COUNTA([4]enemy_skill_sets!$B:$B),MATCH(M$1,[4]enemy_skill_sets!$1:$1,0)-MATCH($W$1,[4]enemy_skill_sets!$1:$1,0)+2),MATCH(M$1,[4]enemy_skill_sets!$1:$1,0)-MATCH($W$1,[4]enemy_skill_sets!$1:$1,0)+2,FALSE)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92" s="4">
        <f ca="1">VLOOKUP($L792,OFFSET([2]enemies!$A$1,0,0,COUNTA([2]enemies!$A:$A),MATCH(W$1,[2]enemies!$1:$1,0)-MATCH($L$1,[2]enemies!$1:$1,0)+1),MATCH(W$1,[2]enemies!$1:$1,0)-MATCH($L$1,[2]enemies!$1:$1,0)+1,FALSE)</f>
        <v>0</v>
      </c>
      <c r="X792" s="6">
        <v>0</v>
      </c>
      <c r="Y792" s="6">
        <v>100</v>
      </c>
      <c r="Z792" s="6">
        <v>0</v>
      </c>
      <c r="AA792" s="4">
        <f ca="1">VLOOKUP($L792,OFFSET([2]enemies!$A$1,0,0,COUNTA([2]enemies!$A:$A),MATCH(AA$1,[2]enemies!$1:$1,0)-MATCH($L$1,[2]enemies!$1:$1,0)+1),MATCH(AA$1,[2]enemies!$1:$1,0)-MATCH($L$1,[2]enemies!$1:$1,0)+1,FALSE)</f>
        <v>4</v>
      </c>
      <c r="AB792" s="52">
        <v>23</v>
      </c>
      <c r="AC792" s="4" t="str">
        <f ca="1">VLOOKUP($AB792,OFFSET([3]characters!$A$1,0,0,COUNTA([3]characters!$A:$A),MATCH(AC$1,[3]characters!$1:$1,0)-MATCH("character_id",[3]characters!$1:$1,0)+1),MATCH(AC$1,[3]characters!$1:$1,0)-MATCH("character_id",[3]characters!$1:$1,0)+1,FALSE)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792" s="4">
        <f ca="1">VLOOKUP($AB792,OFFSET([3]characters!$A$1,0,0,COUNTA([3]characters!$A:$A),MATCH(AD$1,[3]characters!$1:$1,0)-MATCH("character_id",[3]characters!$1:$1,0)+1),MATCH(AD$1,[3]characters!$1:$1,0)-MATCH("character_id",[3]characters!$1:$1,0)+1,FALSE)</f>
        <v>1</v>
      </c>
      <c r="AE792" s="4" t="str">
        <f ca="1">VLOOKUP($AB792,OFFSET([3]characters!$A$1,0,0,COUNTA([3]characters!$A:$A),MATCH(AE$1,[3]characters!$1:$1,0)-MATCH("character_id",[3]characters!$1:$1,0)+1),MATCH(AE$1,[3]characters!$1:$1,0)-MATCH("character_id",[3]characters!$1:$1,0)+1,FALSE)</f>
        <v>Drop1N</v>
      </c>
      <c r="AF792" s="7">
        <v>7</v>
      </c>
      <c r="AG792" s="26">
        <f t="shared" ca="1" si="734"/>
        <v>1</v>
      </c>
      <c r="AH792" s="8">
        <v>20</v>
      </c>
      <c r="AI792" s="7">
        <v>0</v>
      </c>
      <c r="AJ792" s="7">
        <v>0</v>
      </c>
      <c r="AK792" s="7">
        <v>0</v>
      </c>
      <c r="AL792" s="7">
        <v>0</v>
      </c>
      <c r="AM792" s="7">
        <v>1</v>
      </c>
    </row>
    <row r="793" spans="1:39" ht="14" x14ac:dyDescent="0.15">
      <c r="A793" s="18" t="str">
        <f t="shared" ca="1" si="744"/>
        <v>26_3-4/25&lt;lv54&gt;s3</v>
      </c>
      <c r="B793" s="50">
        <v>26</v>
      </c>
      <c r="C793" s="49">
        <v>3</v>
      </c>
      <c r="D793" s="2" t="str">
        <f t="shared" si="745"/>
        <v>26_3</v>
      </c>
      <c r="E793" s="2" t="str">
        <f t="shared" si="745"/>
        <v>3_26_3</v>
      </c>
      <c r="F793" s="4" t="str">
        <f ca="1">VLOOKUP($D793,OFFSET([1]stages!$A$1,0,0,COUNTA([1]stages!$A:$A),MATCH(F$1,[1]stages!$2:$2,0)-MATCH($D$1,[1]stages!$2:$2,0)+1),MATCH(F$1,[1]stages!$2:$2,0)-MATCH($D$1,[1]stages!$2:$2,0)+1,FALSE)</f>
        <v>26-3．荒ぶる電飾</v>
      </c>
      <c r="G793" s="57">
        <v>4</v>
      </c>
      <c r="H793" s="17" t="str">
        <f t="shared" si="746"/>
        <v>26_3-4</v>
      </c>
      <c r="I793" s="17"/>
      <c r="J793" s="17"/>
      <c r="K793" s="65" t="s">
        <v>56</v>
      </c>
      <c r="L793" s="52">
        <v>25</v>
      </c>
      <c r="M793" s="21" t="str">
        <f ca="1">VLOOKUP($L793,OFFSET([2]enemies!$A$1,0,0,COUNTA([2]enemies!$A:$A),MATCH(M$1,[2]enemies!$1:$1,0)-MATCH($L$1,[2]enemies!$1:$1,0)+1),MATCH(M$1,[2]enemies!$1:$1,0)-MATCH($L$1,[2]enemies!$1:$1,0)+1,FALSE)</f>
        <v>ハチ</v>
      </c>
      <c r="N793" s="21" t="str">
        <f ca="1">VLOOKUP($L793,OFFSET([2]enemies!$A$1,0,0,COUNTA([2]enemies!$A:$A),MATCH(N$1,[2]enemies!$1:$1,0)-MATCH($L$1,[2]enemies!$1:$1,0)+1),MATCH(N$1,[2]enemies!$1:$1,0)-MATCH($L$1,[2]enemies!$1:$1,0)+1,FALSE)</f>
        <v>blue</v>
      </c>
      <c r="O793" s="21" t="str">
        <f ca="1">VLOOKUP($L793,OFFSET([3]characters!$A$1,0,0,COUNTA([3]characters!$A:$A),MATCH(O$1,[3]characters!$1:$1,0)-MATCH($L$1,[3]characters!$1:$1,0)+1),MATCH(O$1,[3]characters!$1:$1,0)-MATCH($L$1,[3]characters!$1:$1,0)+1,FALSE)</f>
        <v>Drop1N</v>
      </c>
      <c r="P793" s="21" t="str">
        <f ca="1">VLOOKUP($L793,OFFSET([2]enemies!$A$1,0,0,COUNTA([2]enemies!$A:$A),MATCH(P$1,[2]enemies!$1:$1,0)-MATCH($L$1,[2]enemies!$1:$1,0)+1),MATCH(P$1,[2]enemies!$1:$1,0)-MATCH($L$1,[2]enemies!$1:$1,0)+1,FALSE)</f>
        <v>animal</v>
      </c>
      <c r="Q793" s="21">
        <f ca="1">VLOOKUP($L793,OFFSET([2]enemies!$A$1,0,0,COUNTA([2]enemies!$A:$A),MATCH(Q$1,[2]enemies!$1:$1,0)-MATCH($L$1,[2]enemies!$1:$1,0)+1),MATCH(Q$1,[2]enemies!$1:$1,0)-MATCH($L$1,[2]enemies!$1:$1,0)+1,FALSE)</f>
        <v>15</v>
      </c>
      <c r="R793" s="53">
        <v>54</v>
      </c>
      <c r="S793" s="27">
        <v>1</v>
      </c>
      <c r="T793" s="27">
        <v>1</v>
      </c>
      <c r="U793" s="5">
        <v>0</v>
      </c>
      <c r="V793" s="4" t="str">
        <f ca="1">VLOOKUP($W793,OFFSET([4]enemy_skill_sets!$B$1,0,0,COUNTA([4]enemy_skill_sets!$B:$B),MATCH(M$1,[4]enemy_skill_sets!$1:$1,0)-MATCH($W$1,[4]enemy_skill_sets!$1:$1,0)+2),MATCH(M$1,[4]enemy_skill_sets!$1:$1,0)-MATCH($W$1,[4]enemy_skill_sets!$1:$1,0)+2,FALSE)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93" s="4">
        <f ca="1">VLOOKUP($L793,OFFSET([2]enemies!$A$1,0,0,COUNTA([2]enemies!$A:$A),MATCH(W$1,[2]enemies!$1:$1,0)-MATCH($L$1,[2]enemies!$1:$1,0)+1),MATCH(W$1,[2]enemies!$1:$1,0)-MATCH($L$1,[2]enemies!$1:$1,0)+1,FALSE)</f>
        <v>0</v>
      </c>
      <c r="X793" s="6">
        <v>0</v>
      </c>
      <c r="Y793" s="6">
        <v>100</v>
      </c>
      <c r="Z793" s="6">
        <v>0</v>
      </c>
      <c r="AA793" s="4">
        <f ca="1">VLOOKUP($L793,OFFSET([2]enemies!$A$1,0,0,COUNTA([2]enemies!$A:$A),MATCH(AA$1,[2]enemies!$1:$1,0)-MATCH($L$1,[2]enemies!$1:$1,0)+1),MATCH(AA$1,[2]enemies!$1:$1,0)-MATCH($L$1,[2]enemies!$1:$1,0)+1,FALSE)</f>
        <v>3</v>
      </c>
      <c r="AB793" s="52">
        <v>25</v>
      </c>
      <c r="AC793" s="4" t="str">
        <f ca="1">VLOOKUP($AB793,OFFSET([3]characters!$A$1,0,0,COUNTA([3]characters!$A:$A),MATCH(AC$1,[3]characters!$1:$1,0)-MATCH("character_id",[3]characters!$1:$1,0)+1),MATCH(AC$1,[3]characters!$1:$1,0)-MATCH("character_id",[3]characters!$1:$1,0)+1,FALSE)</f>
        <v>ハチ</v>
      </c>
      <c r="AD793" s="4">
        <f ca="1">VLOOKUP($AB793,OFFSET([3]characters!$A$1,0,0,COUNTA([3]characters!$A:$A),MATCH(AD$1,[3]characters!$1:$1,0)-MATCH("character_id",[3]characters!$1:$1,0)+1),MATCH(AD$1,[3]characters!$1:$1,0)-MATCH("character_id",[3]characters!$1:$1,0)+1,FALSE)</f>
        <v>1</v>
      </c>
      <c r="AE793" s="4" t="str">
        <f ca="1">VLOOKUP($AB793,OFFSET([3]characters!$A$1,0,0,COUNTA([3]characters!$A:$A),MATCH(AE$1,[3]characters!$1:$1,0)-MATCH("character_id",[3]characters!$1:$1,0)+1),MATCH(AE$1,[3]characters!$1:$1,0)-MATCH("character_id",[3]characters!$1:$1,0)+1,FALSE)</f>
        <v>Drop1N</v>
      </c>
      <c r="AF793" s="7">
        <v>7</v>
      </c>
      <c r="AG793" s="26">
        <f t="shared" ca="1" si="734"/>
        <v>1</v>
      </c>
      <c r="AH793" s="8">
        <v>20</v>
      </c>
      <c r="AI793" s="7">
        <v>0</v>
      </c>
      <c r="AJ793" s="7">
        <v>0</v>
      </c>
      <c r="AK793" s="7">
        <v>0</v>
      </c>
      <c r="AL793" s="7">
        <v>0</v>
      </c>
      <c r="AM793" s="7">
        <v>1</v>
      </c>
    </row>
    <row r="794" spans="1:39" ht="14" x14ac:dyDescent="0.15">
      <c r="A794" s="18" t="str">
        <f t="shared" ca="1" si="744"/>
        <v>26_3-4/33&lt;lv54&gt;s2</v>
      </c>
      <c r="B794" s="50">
        <v>26</v>
      </c>
      <c r="C794" s="49">
        <v>3</v>
      </c>
      <c r="D794" s="2" t="str">
        <f t="shared" si="745"/>
        <v>26_3</v>
      </c>
      <c r="E794" s="2" t="str">
        <f t="shared" si="745"/>
        <v>3_26_3</v>
      </c>
      <c r="F794" s="4" t="str">
        <f ca="1">VLOOKUP($D794,OFFSET([1]stages!$A$1,0,0,COUNTA([1]stages!$A:$A),MATCH(F$1,[1]stages!$2:$2,0)-MATCH($D$1,[1]stages!$2:$2,0)+1),MATCH(F$1,[1]stages!$2:$2,0)-MATCH($D$1,[1]stages!$2:$2,0)+1,FALSE)</f>
        <v>26-3．荒ぶる電飾</v>
      </c>
      <c r="G794" s="57">
        <v>4</v>
      </c>
      <c r="H794" s="17" t="str">
        <f t="shared" si="746"/>
        <v>26_3-4</v>
      </c>
      <c r="I794" s="17"/>
      <c r="J794" s="17"/>
      <c r="K794" s="65" t="s">
        <v>56</v>
      </c>
      <c r="L794" s="52">
        <v>33</v>
      </c>
      <c r="M794" s="21" t="str">
        <f ca="1">VLOOKUP($L794,OFFSET([2]enemies!$A$1,0,0,COUNTA([2]enemies!$A:$A),MATCH(M$1,[2]enemies!$1:$1,0)-MATCH($L$1,[2]enemies!$1:$1,0)+1),MATCH(M$1,[2]enemies!$1:$1,0)-MATCH($L$1,[2]enemies!$1:$1,0)+1,FALSE)</f>
        <v>ゴクウ</v>
      </c>
      <c r="N794" s="21" t="str">
        <f ca="1">VLOOKUP($L794,OFFSET([2]enemies!$A$1,0,0,COUNTA([2]enemies!$A:$A),MATCH(N$1,[2]enemies!$1:$1,0)-MATCH($L$1,[2]enemies!$1:$1,0)+1),MATCH(N$1,[2]enemies!$1:$1,0)-MATCH($L$1,[2]enemies!$1:$1,0)+1,FALSE)</f>
        <v>red</v>
      </c>
      <c r="O794" s="21" t="str">
        <f ca="1">VLOOKUP($L794,OFFSET([3]characters!$A$1,0,0,COUNTA([3]characters!$A:$A),MATCH(O$1,[3]characters!$1:$1,0)-MATCH($L$1,[3]characters!$1:$1,0)+1),MATCH(O$1,[3]characters!$1:$1,0)-MATCH($L$1,[3]characters!$1:$1,0)+1,FALSE)</f>
        <v>Drop1S</v>
      </c>
      <c r="P794" s="21" t="str">
        <f ca="1">VLOOKUP($L794,OFFSET([2]enemies!$A$1,0,0,COUNTA([2]enemies!$A:$A),MATCH(P$1,[2]enemies!$1:$1,0)-MATCH($L$1,[2]enemies!$1:$1,0)+1),MATCH(P$1,[2]enemies!$1:$1,0)-MATCH($L$1,[2]enemies!$1:$1,0)+1,FALSE)</f>
        <v>animal</v>
      </c>
      <c r="Q794" s="21">
        <f ca="1">VLOOKUP($L794,OFFSET([2]enemies!$A$1,0,0,COUNTA([2]enemies!$A:$A),MATCH(Q$1,[2]enemies!$1:$1,0)-MATCH($L$1,[2]enemies!$1:$1,0)+1),MATCH(Q$1,[2]enemies!$1:$1,0)-MATCH($L$1,[2]enemies!$1:$1,0)+1,FALSE)</f>
        <v>15</v>
      </c>
      <c r="R794" s="53">
        <v>54</v>
      </c>
      <c r="S794" s="27">
        <v>1</v>
      </c>
      <c r="T794" s="27">
        <v>1</v>
      </c>
      <c r="U794" s="5">
        <v>0</v>
      </c>
      <c r="V794" s="4" t="str">
        <f ca="1">VLOOKUP($W794,OFFSET([4]enemy_skill_sets!$B$1,0,0,COUNTA([4]enemy_skill_sets!$B:$B),MATCH(M$1,[4]enemy_skill_sets!$1:$1,0)-MATCH($W$1,[4]enemy_skill_sets!$1:$1,0)+2),MATCH(M$1,[4]enemy_skill_sets!$1:$1,0)-MATCH($W$1,[4]enemy_skill_sets!$1:$1,0)+2,FALSE)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794" s="4">
        <f ca="1">VLOOKUP($L794,OFFSET([2]enemies!$A$1,0,0,COUNTA([2]enemies!$A:$A),MATCH(W$1,[2]enemies!$1:$1,0)-MATCH($L$1,[2]enemies!$1:$1,0)+1),MATCH(W$1,[2]enemies!$1:$1,0)-MATCH($L$1,[2]enemies!$1:$1,0)+1,FALSE)</f>
        <v>33</v>
      </c>
      <c r="X794" s="6">
        <v>0</v>
      </c>
      <c r="Y794" s="6">
        <v>100</v>
      </c>
      <c r="Z794" s="6">
        <v>0</v>
      </c>
      <c r="AA794" s="4">
        <f ca="1">VLOOKUP($L794,OFFSET([2]enemies!$A$1,0,0,COUNTA([2]enemies!$A:$A),MATCH(AA$1,[2]enemies!$1:$1,0)-MATCH($L$1,[2]enemies!$1:$1,0)+1),MATCH(AA$1,[2]enemies!$1:$1,0)-MATCH($L$1,[2]enemies!$1:$1,0)+1,FALSE)</f>
        <v>2</v>
      </c>
      <c r="AB794" s="52">
        <v>33</v>
      </c>
      <c r="AC794" s="4" t="str">
        <f ca="1">VLOOKUP($AB794,OFFSET([3]characters!$A$1,0,0,COUNTA([3]characters!$A:$A),MATCH(AC$1,[3]characters!$1:$1,0)-MATCH("character_id",[3]characters!$1:$1,0)+1),MATCH(AC$1,[3]characters!$1:$1,0)-MATCH("character_id",[3]characters!$1:$1,0)+1,FALSE)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794" s="4">
        <f ca="1">VLOOKUP($AB794,OFFSET([3]characters!$A$1,0,0,COUNTA([3]characters!$A:$A),MATCH(AD$1,[3]characters!$1:$1,0)-MATCH("character_id",[3]characters!$1:$1,0)+1),MATCH(AD$1,[3]characters!$1:$1,0)-MATCH("character_id",[3]characters!$1:$1,0)+1,FALSE)</f>
        <v>2</v>
      </c>
      <c r="AE794" s="4" t="str">
        <f ca="1">VLOOKUP($AB794,OFFSET([3]characters!$A$1,0,0,COUNTA([3]characters!$A:$A),MATCH(AE$1,[3]characters!$1:$1,0)-MATCH("character_id",[3]characters!$1:$1,0)+1),MATCH(AE$1,[3]characters!$1:$1,0)-MATCH("character_id",[3]characters!$1:$1,0)+1,FALSE)</f>
        <v>Drop1S</v>
      </c>
      <c r="AF794" s="7">
        <v>5</v>
      </c>
      <c r="AG794" s="26">
        <f t="shared" ca="1" si="734"/>
        <v>2</v>
      </c>
      <c r="AH794" s="8">
        <v>20</v>
      </c>
      <c r="AI794" s="7">
        <v>0</v>
      </c>
      <c r="AJ794" s="7">
        <v>0</v>
      </c>
      <c r="AK794" s="7">
        <v>0</v>
      </c>
      <c r="AL794" s="7">
        <v>0</v>
      </c>
      <c r="AM794" s="7">
        <v>1</v>
      </c>
    </row>
    <row r="795" spans="1:39" ht="14" x14ac:dyDescent="0.15">
      <c r="A795" s="18" t="str">
        <f t="shared" ca="1" si="744"/>
        <v>26_3-4/37&lt;lv54&gt;s3</v>
      </c>
      <c r="B795" s="50">
        <v>26</v>
      </c>
      <c r="C795" s="49">
        <v>3</v>
      </c>
      <c r="D795" s="2" t="str">
        <f t="shared" si="745"/>
        <v>26_3</v>
      </c>
      <c r="E795" s="2" t="str">
        <f t="shared" si="745"/>
        <v>3_26_3</v>
      </c>
      <c r="F795" s="4" t="str">
        <f ca="1">VLOOKUP($D795,OFFSET([1]stages!$A$1,0,0,COUNTA([1]stages!$A:$A),MATCH(F$1,[1]stages!$2:$2,0)-MATCH($D$1,[1]stages!$2:$2,0)+1),MATCH(F$1,[1]stages!$2:$2,0)-MATCH($D$1,[1]stages!$2:$2,0)+1,FALSE)</f>
        <v>26-3．荒ぶる電飾</v>
      </c>
      <c r="G795" s="57">
        <v>4</v>
      </c>
      <c r="H795" s="17" t="str">
        <f t="shared" si="746"/>
        <v>26_3-4</v>
      </c>
      <c r="I795" s="17"/>
      <c r="J795" s="17"/>
      <c r="K795" s="65" t="s">
        <v>56</v>
      </c>
      <c r="L795" s="52">
        <v>37</v>
      </c>
      <c r="M795" s="21" t="str">
        <f ca="1">VLOOKUP($L795,OFFSET([2]enemies!$A$1,0,0,COUNTA([2]enemies!$A:$A),MATCH(M$1,[2]enemies!$1:$1,0)-MATCH($L$1,[2]enemies!$1:$1,0)+1),MATCH(M$1,[2]enemies!$1:$1,0)-MATCH($L$1,[2]enemies!$1:$1,0)+1,FALSE)</f>
        <v>ガイル</v>
      </c>
      <c r="N795" s="21" t="str">
        <f ca="1">VLOOKUP($L795,OFFSET([2]enemies!$A$1,0,0,COUNTA([2]enemies!$A:$A),MATCH(N$1,[2]enemies!$1:$1,0)-MATCH($L$1,[2]enemies!$1:$1,0)+1),MATCH(N$1,[2]enemies!$1:$1,0)-MATCH($L$1,[2]enemies!$1:$1,0)+1,FALSE)</f>
        <v>blue</v>
      </c>
      <c r="O795" s="21" t="str">
        <f ca="1">VLOOKUP($L795,OFFSET([3]characters!$A$1,0,0,COUNTA([3]characters!$A:$A),MATCH(O$1,[3]characters!$1:$1,0)-MATCH($L$1,[3]characters!$1:$1,0)+1),MATCH(O$1,[3]characters!$1:$1,0)-MATCH($L$1,[3]characters!$1:$1,0)+1,FALSE)</f>
        <v>Drop1S</v>
      </c>
      <c r="P795" s="21" t="str">
        <f ca="1">VLOOKUP($L795,OFFSET([2]enemies!$A$1,0,0,COUNTA([2]enemies!$A:$A),MATCH(P$1,[2]enemies!$1:$1,0)-MATCH($L$1,[2]enemies!$1:$1,0)+1),MATCH(P$1,[2]enemies!$1:$1,0)-MATCH($L$1,[2]enemies!$1:$1,0)+1,FALSE)</f>
        <v>animal</v>
      </c>
      <c r="Q795" s="21">
        <f ca="1">VLOOKUP($L795,OFFSET([2]enemies!$A$1,0,0,COUNTA([2]enemies!$A:$A),MATCH(Q$1,[2]enemies!$1:$1,0)-MATCH($L$1,[2]enemies!$1:$1,0)+1),MATCH(Q$1,[2]enemies!$1:$1,0)-MATCH($L$1,[2]enemies!$1:$1,0)+1,FALSE)</f>
        <v>15</v>
      </c>
      <c r="R795" s="53">
        <v>54</v>
      </c>
      <c r="S795" s="27">
        <v>1</v>
      </c>
      <c r="T795" s="27">
        <v>1</v>
      </c>
      <c r="U795" s="5">
        <v>0</v>
      </c>
      <c r="V795" s="4" t="str">
        <f ca="1">VLOOKUP($W795,OFFSET([4]enemy_skill_sets!$B$1,0,0,COUNTA([4]enemy_skill_sets!$B:$B),MATCH(M$1,[4]enemy_skill_sets!$1:$1,0)-MATCH($W$1,[4]enemy_skill_sets!$1:$1,0)+2),MATCH(M$1,[4]enemy_skill_sets!$1:$1,0)-MATCH($W$1,[4]enemy_skill_sets!$1:$1,0)+2,FALSE)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795" s="4">
        <f ca="1">VLOOKUP($L795,OFFSET([2]enemies!$A$1,0,0,COUNTA([2]enemies!$A:$A),MATCH(W$1,[2]enemies!$1:$1,0)-MATCH($L$1,[2]enemies!$1:$1,0)+1),MATCH(W$1,[2]enemies!$1:$1,0)-MATCH($L$1,[2]enemies!$1:$1,0)+1,FALSE)</f>
        <v>37</v>
      </c>
      <c r="X795" s="6">
        <v>0</v>
      </c>
      <c r="Y795" s="6">
        <v>100</v>
      </c>
      <c r="Z795" s="6">
        <v>0</v>
      </c>
      <c r="AA795" s="4">
        <f ca="1">VLOOKUP($L795,OFFSET([2]enemies!$A$1,0,0,COUNTA([2]enemies!$A:$A),MATCH(AA$1,[2]enemies!$1:$1,0)-MATCH($L$1,[2]enemies!$1:$1,0)+1),MATCH(AA$1,[2]enemies!$1:$1,0)-MATCH($L$1,[2]enemies!$1:$1,0)+1,FALSE)</f>
        <v>3</v>
      </c>
      <c r="AB795" s="52">
        <v>37</v>
      </c>
      <c r="AC795" s="4" t="str">
        <f ca="1">VLOOKUP($AB795,OFFSET([3]characters!$A$1,0,0,COUNTA([3]characters!$A:$A),MATCH(AC$1,[3]characters!$1:$1,0)-MATCH("character_id",[3]characters!$1:$1,0)+1),MATCH(AC$1,[3]characters!$1:$1,0)-MATCH("character_id",[3]characters!$1:$1,0)+1,FALSE)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795" s="4">
        <f ca="1">VLOOKUP($AB795,OFFSET([3]characters!$A$1,0,0,COUNTA([3]characters!$A:$A),MATCH(AD$1,[3]characters!$1:$1,0)-MATCH("character_id",[3]characters!$1:$1,0)+1),MATCH(AD$1,[3]characters!$1:$1,0)-MATCH("character_id",[3]characters!$1:$1,0)+1,FALSE)</f>
        <v>2</v>
      </c>
      <c r="AE795" s="4" t="str">
        <f ca="1">VLOOKUP($AB795,OFFSET([3]characters!$A$1,0,0,COUNTA([3]characters!$A:$A),MATCH(AE$1,[3]characters!$1:$1,0)-MATCH("character_id",[3]characters!$1:$1,0)+1),MATCH(AE$1,[3]characters!$1:$1,0)-MATCH("character_id",[3]characters!$1:$1,0)+1,FALSE)</f>
        <v>Drop1S</v>
      </c>
      <c r="AF795" s="7">
        <v>5</v>
      </c>
      <c r="AG795" s="26">
        <f t="shared" ca="1" si="734"/>
        <v>2</v>
      </c>
      <c r="AH795" s="8">
        <v>20</v>
      </c>
      <c r="AI795" s="7">
        <v>0</v>
      </c>
      <c r="AJ795" s="7">
        <v>0</v>
      </c>
      <c r="AK795" s="7">
        <v>0</v>
      </c>
      <c r="AL795" s="7">
        <v>0</v>
      </c>
      <c r="AM795" s="7">
        <v>1</v>
      </c>
    </row>
    <row r="796" spans="1:39" ht="14" x14ac:dyDescent="0.15">
      <c r="A796" s="18" t="str">
        <f t="shared" ca="1" si="744"/>
        <v>26_3-4/45&lt;lv54&gt;s3</v>
      </c>
      <c r="B796" s="50">
        <v>26</v>
      </c>
      <c r="C796" s="49">
        <v>3</v>
      </c>
      <c r="D796" s="2" t="str">
        <f t="shared" si="745"/>
        <v>26_3</v>
      </c>
      <c r="E796" s="2" t="str">
        <f t="shared" si="745"/>
        <v>3_26_3</v>
      </c>
      <c r="F796" s="4" t="str">
        <f ca="1">VLOOKUP($D796,OFFSET([1]stages!$A$1,0,0,COUNTA([1]stages!$A:$A),MATCH(F$1,[1]stages!$2:$2,0)-MATCH($D$1,[1]stages!$2:$2,0)+1),MATCH(F$1,[1]stages!$2:$2,0)-MATCH($D$1,[1]stages!$2:$2,0)+1,FALSE)</f>
        <v>26-3．荒ぶる電飾</v>
      </c>
      <c r="G796" s="57">
        <v>4</v>
      </c>
      <c r="H796" s="17" t="str">
        <f t="shared" si="746"/>
        <v>26_3-4</v>
      </c>
      <c r="I796" s="17"/>
      <c r="J796" s="17"/>
      <c r="K796" s="65" t="s">
        <v>56</v>
      </c>
      <c r="L796" s="52">
        <v>45</v>
      </c>
      <c r="M796" s="21" t="str">
        <f ca="1">VLOOKUP($L796,OFFSET([2]enemies!$A$1,0,0,COUNTA([2]enemies!$A:$A),MATCH(M$1,[2]enemies!$1:$1,0)-MATCH($L$1,[2]enemies!$1:$1,0)+1),MATCH(M$1,[2]enemies!$1:$1,0)-MATCH($L$1,[2]enemies!$1:$1,0)+1,FALSE)</f>
        <v>ショウイン</v>
      </c>
      <c r="N796" s="21" t="str">
        <f ca="1">VLOOKUP($L796,OFFSET([2]enemies!$A$1,0,0,COUNTA([2]enemies!$A:$A),MATCH(N$1,[2]enemies!$1:$1,0)-MATCH($L$1,[2]enemies!$1:$1,0)+1),MATCH(N$1,[2]enemies!$1:$1,0)-MATCH($L$1,[2]enemies!$1:$1,0)+1,FALSE)</f>
        <v>blue</v>
      </c>
      <c r="O796" s="21" t="str">
        <f ca="1">VLOOKUP($L796,OFFSET([3]characters!$A$1,0,0,COUNTA([3]characters!$A:$A),MATCH(O$1,[3]characters!$1:$1,0)-MATCH($L$1,[3]characters!$1:$1,0)+1),MATCH(O$1,[3]characters!$1:$1,0)-MATCH($L$1,[3]characters!$1:$1,0)+1,FALSE)</f>
        <v>Drop1N</v>
      </c>
      <c r="P796" s="21" t="str">
        <f ca="1">VLOOKUP($L796,OFFSET([2]enemies!$A$1,0,0,COUNTA([2]enemies!$A:$A),MATCH(P$1,[2]enemies!$1:$1,0)-MATCH($L$1,[2]enemies!$1:$1,0)+1),MATCH(P$1,[2]enemies!$1:$1,0)-MATCH($L$1,[2]enemies!$1:$1,0)+1,FALSE)</f>
        <v>animal</v>
      </c>
      <c r="Q796" s="21">
        <f ca="1">VLOOKUP($L796,OFFSET([2]enemies!$A$1,0,0,COUNTA([2]enemies!$A:$A),MATCH(Q$1,[2]enemies!$1:$1,0)-MATCH($L$1,[2]enemies!$1:$1,0)+1),MATCH(Q$1,[2]enemies!$1:$1,0)-MATCH($L$1,[2]enemies!$1:$1,0)+1,FALSE)</f>
        <v>15</v>
      </c>
      <c r="R796" s="53">
        <v>54</v>
      </c>
      <c r="S796" s="27">
        <v>1</v>
      </c>
      <c r="T796" s="27">
        <v>1</v>
      </c>
      <c r="U796" s="5">
        <v>0</v>
      </c>
      <c r="V796" s="4" t="str">
        <f ca="1">VLOOKUP($W796,OFFSET([4]enemy_skill_sets!$B$1,0,0,COUNTA([4]enemy_skill_sets!$B:$B),MATCH(M$1,[4]enemy_skill_sets!$1:$1,0)-MATCH($W$1,[4]enemy_skill_sets!$1:$1,0)+2),MATCH(M$1,[4]enemy_skill_sets!$1:$1,0)-MATCH($W$1,[4]enemy_skill_sets!$1:$1,0)+2,FALSE)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96" s="4">
        <f ca="1">VLOOKUP($L796,OFFSET([2]enemies!$A$1,0,0,COUNTA([2]enemies!$A:$A),MATCH(W$1,[2]enemies!$1:$1,0)-MATCH($L$1,[2]enemies!$1:$1,0)+1),MATCH(W$1,[2]enemies!$1:$1,0)-MATCH($L$1,[2]enemies!$1:$1,0)+1,FALSE)</f>
        <v>0</v>
      </c>
      <c r="X796" s="6">
        <v>0</v>
      </c>
      <c r="Y796" s="6">
        <v>100</v>
      </c>
      <c r="Z796" s="6">
        <v>0</v>
      </c>
      <c r="AA796" s="4">
        <f ca="1">VLOOKUP($L796,OFFSET([2]enemies!$A$1,0,0,COUNTA([2]enemies!$A:$A),MATCH(AA$1,[2]enemies!$1:$1,0)-MATCH($L$1,[2]enemies!$1:$1,0)+1),MATCH(AA$1,[2]enemies!$1:$1,0)-MATCH($L$1,[2]enemies!$1:$1,0)+1,FALSE)</f>
        <v>3</v>
      </c>
      <c r="AB796" s="52">
        <v>45</v>
      </c>
      <c r="AC796" s="4" t="str">
        <f ca="1">VLOOKUP($AB796,OFFSET([3]characters!$A$1,0,0,COUNTA([3]characters!$A:$A),MATCH(AC$1,[3]characters!$1:$1,0)-MATCH("character_id",[3]characters!$1:$1,0)+1),MATCH(AC$1,[3]characters!$1:$1,0)-MATCH("character_id",[3]characters!$1:$1,0)+1,FALSE)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796" s="4">
        <f ca="1">VLOOKUP($AB796,OFFSET([3]characters!$A$1,0,0,COUNTA([3]characters!$A:$A),MATCH(AD$1,[3]characters!$1:$1,0)-MATCH("character_id",[3]characters!$1:$1,0)+1),MATCH(AD$1,[3]characters!$1:$1,0)-MATCH("character_id",[3]characters!$1:$1,0)+1,FALSE)</f>
        <v>2</v>
      </c>
      <c r="AE796" s="4" t="str">
        <f ca="1">VLOOKUP($AB796,OFFSET([3]characters!$A$1,0,0,COUNTA([3]characters!$A:$A),MATCH(AE$1,[3]characters!$1:$1,0)-MATCH("character_id",[3]characters!$1:$1,0)+1),MATCH(AE$1,[3]characters!$1:$1,0)-MATCH("character_id",[3]characters!$1:$1,0)+1,FALSE)</f>
        <v>Drop1N</v>
      </c>
      <c r="AF796" s="7">
        <v>7</v>
      </c>
      <c r="AG796" s="26">
        <f t="shared" ca="1" si="734"/>
        <v>2</v>
      </c>
      <c r="AH796" s="8">
        <v>20</v>
      </c>
      <c r="AI796" s="7">
        <v>0</v>
      </c>
      <c r="AJ796" s="7">
        <v>0</v>
      </c>
      <c r="AK796" s="7">
        <v>0</v>
      </c>
      <c r="AL796" s="7">
        <v>0</v>
      </c>
      <c r="AM796" s="7">
        <v>1</v>
      </c>
    </row>
    <row r="797" spans="1:39" ht="14" x14ac:dyDescent="0.15">
      <c r="A797" s="18" t="str">
        <f t="shared" ca="1" si="744"/>
        <v>26_3-4/47&lt;lv54&gt;s1</v>
      </c>
      <c r="B797" s="50">
        <v>26</v>
      </c>
      <c r="C797" s="49">
        <v>3</v>
      </c>
      <c r="D797" s="2" t="str">
        <f t="shared" si="745"/>
        <v>26_3</v>
      </c>
      <c r="E797" s="2" t="str">
        <f t="shared" si="745"/>
        <v>3_26_3</v>
      </c>
      <c r="F797" s="4" t="str">
        <f ca="1">VLOOKUP($D797,OFFSET([1]stages!$A$1,0,0,COUNTA([1]stages!$A:$A),MATCH(F$1,[1]stages!$2:$2,0)-MATCH($D$1,[1]stages!$2:$2,0)+1),MATCH(F$1,[1]stages!$2:$2,0)-MATCH($D$1,[1]stages!$2:$2,0)+1,FALSE)</f>
        <v>26-3．荒ぶる電飾</v>
      </c>
      <c r="G797" s="57">
        <v>4</v>
      </c>
      <c r="H797" s="17" t="str">
        <f t="shared" si="746"/>
        <v>26_3-4</v>
      </c>
      <c r="I797" s="17"/>
      <c r="J797" s="17"/>
      <c r="K797" s="65" t="s">
        <v>56</v>
      </c>
      <c r="L797" s="52">
        <v>47</v>
      </c>
      <c r="M797" s="21" t="str">
        <f ca="1">VLOOKUP($L797,OFFSET([2]enemies!$A$1,0,0,COUNTA([2]enemies!$A:$A),MATCH(M$1,[2]enemies!$1:$1,0)-MATCH($L$1,[2]enemies!$1:$1,0)+1),MATCH(M$1,[2]enemies!$1:$1,0)-MATCH($L$1,[2]enemies!$1:$1,0)+1,FALSE)</f>
        <v>ヒロ</v>
      </c>
      <c r="N797" s="21" t="str">
        <f ca="1">VLOOKUP($L797,OFFSET([2]enemies!$A$1,0,0,COUNTA([2]enemies!$A:$A),MATCH(N$1,[2]enemies!$1:$1,0)-MATCH($L$1,[2]enemies!$1:$1,0)+1),MATCH(N$1,[2]enemies!$1:$1,0)-MATCH($L$1,[2]enemies!$1:$1,0)+1,FALSE)</f>
        <v>yellow</v>
      </c>
      <c r="O797" s="21" t="str">
        <f ca="1">VLOOKUP($L797,OFFSET([3]characters!$A$1,0,0,COUNTA([3]characters!$A:$A),MATCH(O$1,[3]characters!$1:$1,0)-MATCH($L$1,[3]characters!$1:$1,0)+1),MATCH(O$1,[3]characters!$1:$1,0)-MATCH($L$1,[3]characters!$1:$1,0)+1,FALSE)</f>
        <v>Drop1N</v>
      </c>
      <c r="P797" s="21" t="str">
        <f ca="1">VLOOKUP($L797,OFFSET([2]enemies!$A$1,0,0,COUNTA([2]enemies!$A:$A),MATCH(P$1,[2]enemies!$1:$1,0)-MATCH($L$1,[2]enemies!$1:$1,0)+1),MATCH(P$1,[2]enemies!$1:$1,0)-MATCH($L$1,[2]enemies!$1:$1,0)+1,FALSE)</f>
        <v>animal</v>
      </c>
      <c r="Q797" s="21">
        <f ca="1">VLOOKUP($L797,OFFSET([2]enemies!$A$1,0,0,COUNTA([2]enemies!$A:$A),MATCH(Q$1,[2]enemies!$1:$1,0)-MATCH($L$1,[2]enemies!$1:$1,0)+1),MATCH(Q$1,[2]enemies!$1:$1,0)-MATCH($L$1,[2]enemies!$1:$1,0)+1,FALSE)</f>
        <v>15</v>
      </c>
      <c r="R797" s="53">
        <v>54</v>
      </c>
      <c r="S797" s="27">
        <v>1</v>
      </c>
      <c r="T797" s="27">
        <v>1</v>
      </c>
      <c r="U797" s="5">
        <v>0</v>
      </c>
      <c r="V797" s="4" t="str">
        <f ca="1">VLOOKUP($W797,OFFSET([4]enemy_skill_sets!$B$1,0,0,COUNTA([4]enemy_skill_sets!$B:$B),MATCH(M$1,[4]enemy_skill_sets!$1:$1,0)-MATCH($W$1,[4]enemy_skill_sets!$1:$1,0)+2),MATCH(M$1,[4]enemy_skill_sets!$1:$1,0)-MATCH($W$1,[4]enemy_skill_sets!$1:$1,0)+2,FALSE)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97" s="4">
        <f ca="1">VLOOKUP($L797,OFFSET([2]enemies!$A$1,0,0,COUNTA([2]enemies!$A:$A),MATCH(W$1,[2]enemies!$1:$1,0)-MATCH($L$1,[2]enemies!$1:$1,0)+1),MATCH(W$1,[2]enemies!$1:$1,0)-MATCH($L$1,[2]enemies!$1:$1,0)+1,FALSE)</f>
        <v>0</v>
      </c>
      <c r="X797" s="6">
        <v>0</v>
      </c>
      <c r="Y797" s="6">
        <v>100</v>
      </c>
      <c r="Z797" s="6">
        <v>0</v>
      </c>
      <c r="AA797" s="4">
        <f ca="1">VLOOKUP($L797,OFFSET([2]enemies!$A$1,0,0,COUNTA([2]enemies!$A:$A),MATCH(AA$1,[2]enemies!$1:$1,0)-MATCH($L$1,[2]enemies!$1:$1,0)+1),MATCH(AA$1,[2]enemies!$1:$1,0)-MATCH($L$1,[2]enemies!$1:$1,0)+1,FALSE)</f>
        <v>1</v>
      </c>
      <c r="AB797" s="52">
        <v>47</v>
      </c>
      <c r="AC797" s="4" t="str">
        <f ca="1">VLOOKUP($AB797,OFFSET([3]characters!$A$1,0,0,COUNTA([3]characters!$A:$A),MATCH(AC$1,[3]characters!$1:$1,0)-MATCH("character_id",[3]characters!$1:$1,0)+1),MATCH(AC$1,[3]characters!$1:$1,0)-MATCH("character_id",[3]characters!$1:$1,0)+1,FALSE)</f>
        <v>ヒロ</v>
      </c>
      <c r="AD797" s="4">
        <f ca="1">VLOOKUP($AB797,OFFSET([3]characters!$A$1,0,0,COUNTA([3]characters!$A:$A),MATCH(AD$1,[3]characters!$1:$1,0)-MATCH("character_id",[3]characters!$1:$1,0)+1),MATCH(AD$1,[3]characters!$1:$1,0)-MATCH("character_id",[3]characters!$1:$1,0)+1,FALSE)</f>
        <v>2</v>
      </c>
      <c r="AE797" s="4" t="str">
        <f ca="1">VLOOKUP($AB797,OFFSET([3]characters!$A$1,0,0,COUNTA([3]characters!$A:$A),MATCH(AE$1,[3]characters!$1:$1,0)-MATCH("character_id",[3]characters!$1:$1,0)+1),MATCH(AE$1,[3]characters!$1:$1,0)-MATCH("character_id",[3]characters!$1:$1,0)+1,FALSE)</f>
        <v>Drop1N</v>
      </c>
      <c r="AF797" s="7">
        <v>7</v>
      </c>
      <c r="AG797" s="26">
        <f t="shared" ca="1" si="734"/>
        <v>2</v>
      </c>
      <c r="AH797" s="8">
        <v>20</v>
      </c>
      <c r="AI797" s="7">
        <v>0</v>
      </c>
      <c r="AJ797" s="7">
        <v>0</v>
      </c>
      <c r="AK797" s="7">
        <v>0</v>
      </c>
      <c r="AL797" s="7">
        <v>0</v>
      </c>
      <c r="AM797" s="7">
        <v>1</v>
      </c>
    </row>
    <row r="798" spans="1:39" ht="14" x14ac:dyDescent="0.15">
      <c r="A798" s="18" t="str">
        <f t="shared" ca="1" si="744"/>
        <v>26_3-4/57&lt;lv54&gt;s2</v>
      </c>
      <c r="B798" s="50">
        <v>26</v>
      </c>
      <c r="C798" s="49">
        <v>3</v>
      </c>
      <c r="D798" s="2" t="str">
        <f t="shared" si="745"/>
        <v>26_3</v>
      </c>
      <c r="E798" s="2" t="str">
        <f t="shared" si="745"/>
        <v>3_26_3</v>
      </c>
      <c r="F798" s="4" t="str">
        <f ca="1">VLOOKUP($D798,OFFSET([1]stages!$A$1,0,0,COUNTA([1]stages!$A:$A),MATCH(F$1,[1]stages!$2:$2,0)-MATCH($D$1,[1]stages!$2:$2,0)+1),MATCH(F$1,[1]stages!$2:$2,0)-MATCH($D$1,[1]stages!$2:$2,0)+1,FALSE)</f>
        <v>26-3．荒ぶる電飾</v>
      </c>
      <c r="G798" s="57">
        <v>4</v>
      </c>
      <c r="H798" s="17" t="str">
        <f t="shared" si="746"/>
        <v>26_3-4</v>
      </c>
      <c r="I798" s="17"/>
      <c r="J798" s="17"/>
      <c r="K798" s="65" t="s">
        <v>56</v>
      </c>
      <c r="L798" s="52">
        <v>57</v>
      </c>
      <c r="M798" s="21" t="str">
        <f ca="1">VLOOKUP($L798,OFFSET([2]enemies!$A$1,0,0,COUNTA([2]enemies!$A:$A),MATCH(M$1,[2]enemies!$1:$1,0)-MATCH($L$1,[2]enemies!$1:$1,0)+1),MATCH(M$1,[2]enemies!$1:$1,0)-MATCH($L$1,[2]enemies!$1:$1,0)+1,FALSE)</f>
        <v>チェン・リー</v>
      </c>
      <c r="N798" s="21" t="str">
        <f ca="1">VLOOKUP($L798,OFFSET([2]enemies!$A$1,0,0,COUNTA([2]enemies!$A:$A),MATCH(N$1,[2]enemies!$1:$1,0)-MATCH($L$1,[2]enemies!$1:$1,0)+1),MATCH(N$1,[2]enemies!$1:$1,0)-MATCH($L$1,[2]enemies!$1:$1,0)+1,FALSE)</f>
        <v>red</v>
      </c>
      <c r="O798" s="21" t="str">
        <f ca="1">VLOOKUP($L798,OFFSET([3]characters!$A$1,0,0,COUNTA([3]characters!$A:$A),MATCH(O$1,[3]characters!$1:$1,0)-MATCH($L$1,[3]characters!$1:$1,0)+1),MATCH(O$1,[3]characters!$1:$1,0)-MATCH($L$1,[3]characters!$1:$1,0)+1,FALSE)</f>
        <v>Drop1N</v>
      </c>
      <c r="P798" s="21" t="str">
        <f ca="1">VLOOKUP($L798,OFFSET([2]enemies!$A$1,0,0,COUNTA([2]enemies!$A:$A),MATCH(P$1,[2]enemies!$1:$1,0)-MATCH($L$1,[2]enemies!$1:$1,0)+1),MATCH(P$1,[2]enemies!$1:$1,0)-MATCH($L$1,[2]enemies!$1:$1,0)+1,FALSE)</f>
        <v>animal</v>
      </c>
      <c r="Q798" s="21">
        <f ca="1">VLOOKUP($L798,OFFSET([2]enemies!$A$1,0,0,COUNTA([2]enemies!$A:$A),MATCH(Q$1,[2]enemies!$1:$1,0)-MATCH($L$1,[2]enemies!$1:$1,0)+1),MATCH(Q$1,[2]enemies!$1:$1,0)-MATCH($L$1,[2]enemies!$1:$1,0)+1,FALSE)</f>
        <v>15</v>
      </c>
      <c r="R798" s="53">
        <v>54</v>
      </c>
      <c r="S798" s="27">
        <v>1</v>
      </c>
      <c r="T798" s="27">
        <v>1</v>
      </c>
      <c r="U798" s="5">
        <v>0</v>
      </c>
      <c r="V798" s="4" t="str">
        <f ca="1">VLOOKUP($W798,OFFSET([4]enemy_skill_sets!$B$1,0,0,COUNTA([4]enemy_skill_sets!$B:$B),MATCH(M$1,[4]enemy_skill_sets!$1:$1,0)-MATCH($W$1,[4]enemy_skill_sets!$1:$1,0)+2),MATCH(M$1,[4]enemy_skill_sets!$1:$1,0)-MATCH($W$1,[4]enemy_skill_sets!$1:$1,0)+2,FALSE)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798" s="4">
        <f ca="1">VLOOKUP($L798,OFFSET([2]enemies!$A$1,0,0,COUNTA([2]enemies!$A:$A),MATCH(W$1,[2]enemies!$1:$1,0)-MATCH($L$1,[2]enemies!$1:$1,0)+1),MATCH(W$1,[2]enemies!$1:$1,0)-MATCH($L$1,[2]enemies!$1:$1,0)+1,FALSE)</f>
        <v>57</v>
      </c>
      <c r="X798" s="6">
        <v>0</v>
      </c>
      <c r="Y798" s="6">
        <v>100</v>
      </c>
      <c r="Z798" s="6">
        <v>0</v>
      </c>
      <c r="AA798" s="4">
        <f ca="1">VLOOKUP($L798,OFFSET([2]enemies!$A$1,0,0,COUNTA([2]enemies!$A:$A),MATCH(AA$1,[2]enemies!$1:$1,0)-MATCH($L$1,[2]enemies!$1:$1,0)+1),MATCH(AA$1,[2]enemies!$1:$1,0)-MATCH($L$1,[2]enemies!$1:$1,0)+1,FALSE)</f>
        <v>2</v>
      </c>
      <c r="AB798" s="52">
        <v>57</v>
      </c>
      <c r="AC798" s="4" t="str">
        <f ca="1">VLOOKUP($AB798,OFFSET([3]characters!$A$1,0,0,COUNTA([3]characters!$A:$A),MATCH(AC$1,[3]characters!$1:$1,0)-MATCH("character_id",[3]characters!$1:$1,0)+1),MATCH(AC$1,[3]characters!$1:$1,0)-MATCH("character_id",[3]characters!$1:$1,0)+1,FALSE)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798" s="4">
        <f ca="1">VLOOKUP($AB798,OFFSET([3]characters!$A$1,0,0,COUNTA([3]characters!$A:$A),MATCH(AD$1,[3]characters!$1:$1,0)-MATCH("character_id",[3]characters!$1:$1,0)+1),MATCH(AD$1,[3]characters!$1:$1,0)-MATCH("character_id",[3]characters!$1:$1,0)+1,FALSE)</f>
        <v>2</v>
      </c>
      <c r="AE798" s="4" t="str">
        <f ca="1">VLOOKUP($AB798,OFFSET([3]characters!$A$1,0,0,COUNTA([3]characters!$A:$A),MATCH(AE$1,[3]characters!$1:$1,0)-MATCH("character_id",[3]characters!$1:$1,0)+1),MATCH(AE$1,[3]characters!$1:$1,0)-MATCH("character_id",[3]characters!$1:$1,0)+1,FALSE)</f>
        <v>Drop1N</v>
      </c>
      <c r="AF798" s="7">
        <v>7</v>
      </c>
      <c r="AG798" s="26">
        <f t="shared" ca="1" si="734"/>
        <v>2</v>
      </c>
      <c r="AH798" s="8">
        <v>20</v>
      </c>
      <c r="AI798" s="7">
        <v>0</v>
      </c>
      <c r="AJ798" s="7">
        <v>0</v>
      </c>
      <c r="AK798" s="7">
        <v>0</v>
      </c>
      <c r="AL798" s="7">
        <v>0</v>
      </c>
      <c r="AM798" s="7">
        <v>1</v>
      </c>
    </row>
    <row r="799" spans="1:39" ht="14" x14ac:dyDescent="0.15">
      <c r="A799" s="18" t="str">
        <f t="shared" ca="1" si="744"/>
        <v>26_3-4/59&lt;lv54&gt;s2</v>
      </c>
      <c r="B799" s="50">
        <v>26</v>
      </c>
      <c r="C799" s="49">
        <v>3</v>
      </c>
      <c r="D799" s="2" t="str">
        <f t="shared" si="745"/>
        <v>26_3</v>
      </c>
      <c r="E799" s="2" t="str">
        <f t="shared" si="745"/>
        <v>3_26_3</v>
      </c>
      <c r="F799" s="4" t="str">
        <f ca="1">VLOOKUP($D799,OFFSET([1]stages!$A$1,0,0,COUNTA([1]stages!$A:$A),MATCH(F$1,[1]stages!$2:$2,0)-MATCH($D$1,[1]stages!$2:$2,0)+1),MATCH(F$1,[1]stages!$2:$2,0)-MATCH($D$1,[1]stages!$2:$2,0)+1,FALSE)</f>
        <v>26-3．荒ぶる電飾</v>
      </c>
      <c r="G799" s="57">
        <v>4</v>
      </c>
      <c r="H799" s="17" t="str">
        <f t="shared" si="746"/>
        <v>26_3-4</v>
      </c>
      <c r="I799" s="17"/>
      <c r="J799" s="17"/>
      <c r="K799" s="65" t="s">
        <v>56</v>
      </c>
      <c r="L799" s="52">
        <v>59</v>
      </c>
      <c r="M799" s="21" t="str">
        <f ca="1">VLOOKUP($L799,OFFSET([2]enemies!$A$1,0,0,COUNTA([2]enemies!$A:$A),MATCH(M$1,[2]enemies!$1:$1,0)-MATCH($L$1,[2]enemies!$1:$1,0)+1),MATCH(M$1,[2]enemies!$1:$1,0)-MATCH($L$1,[2]enemies!$1:$1,0)+1,FALSE)</f>
        <v>マーチ</v>
      </c>
      <c r="N799" s="21" t="str">
        <f ca="1">VLOOKUP($L799,OFFSET([2]enemies!$A$1,0,0,COUNTA([2]enemies!$A:$A),MATCH(N$1,[2]enemies!$1:$1,0)-MATCH($L$1,[2]enemies!$1:$1,0)+1),MATCH(N$1,[2]enemies!$1:$1,0)-MATCH($L$1,[2]enemies!$1:$1,0)+1,FALSE)</f>
        <v>green</v>
      </c>
      <c r="O799" s="21" t="str">
        <f ca="1">VLOOKUP($L799,OFFSET([3]characters!$A$1,0,0,COUNTA([3]characters!$A:$A),MATCH(O$1,[3]characters!$1:$1,0)-MATCH($L$1,[3]characters!$1:$1,0)+1),MATCH(O$1,[3]characters!$1:$1,0)-MATCH($L$1,[3]characters!$1:$1,0)+1,FALSE)</f>
        <v>Drop1N</v>
      </c>
      <c r="P799" s="21" t="str">
        <f ca="1">VLOOKUP($L799,OFFSET([2]enemies!$A$1,0,0,COUNTA([2]enemies!$A:$A),MATCH(P$1,[2]enemies!$1:$1,0)-MATCH($L$1,[2]enemies!$1:$1,0)+1),MATCH(P$1,[2]enemies!$1:$1,0)-MATCH($L$1,[2]enemies!$1:$1,0)+1,FALSE)</f>
        <v>animal</v>
      </c>
      <c r="Q799" s="21">
        <f ca="1">VLOOKUP($L799,OFFSET([2]enemies!$A$1,0,0,COUNTA([2]enemies!$A:$A),MATCH(Q$1,[2]enemies!$1:$1,0)-MATCH($L$1,[2]enemies!$1:$1,0)+1),MATCH(Q$1,[2]enemies!$1:$1,0)-MATCH($L$1,[2]enemies!$1:$1,0)+1,FALSE)</f>
        <v>15</v>
      </c>
      <c r="R799" s="53">
        <v>54</v>
      </c>
      <c r="S799" s="27">
        <v>1</v>
      </c>
      <c r="T799" s="27">
        <v>1</v>
      </c>
      <c r="U799" s="5">
        <v>0</v>
      </c>
      <c r="V799" s="4" t="str">
        <f ca="1">VLOOKUP($W799,OFFSET([4]enemy_skill_sets!$B$1,0,0,COUNTA([4]enemy_skill_sets!$B:$B),MATCH(M$1,[4]enemy_skill_sets!$1:$1,0)-MATCH($W$1,[4]enemy_skill_sets!$1:$1,0)+2),MATCH(M$1,[4]enemy_skill_sets!$1:$1,0)-MATCH($W$1,[4]enemy_skill_sets!$1:$1,0)+2,FALSE)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799" s="4">
        <f ca="1">VLOOKUP($L799,OFFSET([2]enemies!$A$1,0,0,COUNTA([2]enemies!$A:$A),MATCH(W$1,[2]enemies!$1:$1,0)-MATCH($L$1,[2]enemies!$1:$1,0)+1),MATCH(W$1,[2]enemies!$1:$1,0)-MATCH($L$1,[2]enemies!$1:$1,0)+1,FALSE)</f>
        <v>59</v>
      </c>
      <c r="X799" s="6">
        <v>0</v>
      </c>
      <c r="Y799" s="6">
        <v>100</v>
      </c>
      <c r="Z799" s="6">
        <v>0</v>
      </c>
      <c r="AA799" s="4">
        <f ca="1">VLOOKUP($L799,OFFSET([2]enemies!$A$1,0,0,COUNTA([2]enemies!$A:$A),MATCH(AA$1,[2]enemies!$1:$1,0)-MATCH($L$1,[2]enemies!$1:$1,0)+1),MATCH(AA$1,[2]enemies!$1:$1,0)-MATCH($L$1,[2]enemies!$1:$1,0)+1,FALSE)</f>
        <v>2</v>
      </c>
      <c r="AB799" s="52">
        <v>59</v>
      </c>
      <c r="AC799" s="4" t="str">
        <f ca="1">VLOOKUP($AB799,OFFSET([3]characters!$A$1,0,0,COUNTA([3]characters!$A:$A),MATCH(AC$1,[3]characters!$1:$1,0)-MATCH("character_id",[3]characters!$1:$1,0)+1),MATCH(AC$1,[3]characters!$1:$1,0)-MATCH("character_id",[3]characters!$1:$1,0)+1,FALSE)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799" s="4">
        <f ca="1">VLOOKUP($AB799,OFFSET([3]characters!$A$1,0,0,COUNTA([3]characters!$A:$A),MATCH(AD$1,[3]characters!$1:$1,0)-MATCH("character_id",[3]characters!$1:$1,0)+1),MATCH(AD$1,[3]characters!$1:$1,0)-MATCH("character_id",[3]characters!$1:$1,0)+1,FALSE)</f>
        <v>2</v>
      </c>
      <c r="AE799" s="4" t="str">
        <f ca="1">VLOOKUP($AB799,OFFSET([3]characters!$A$1,0,0,COUNTA([3]characters!$A:$A),MATCH(AE$1,[3]characters!$1:$1,0)-MATCH("character_id",[3]characters!$1:$1,0)+1),MATCH(AE$1,[3]characters!$1:$1,0)-MATCH("character_id",[3]characters!$1:$1,0)+1,FALSE)</f>
        <v>Drop1N</v>
      </c>
      <c r="AF799" s="7">
        <v>7</v>
      </c>
      <c r="AG799" s="26">
        <f t="shared" ca="1" si="734"/>
        <v>2</v>
      </c>
      <c r="AH799" s="8">
        <v>20</v>
      </c>
      <c r="AI799" s="7">
        <v>0</v>
      </c>
      <c r="AJ799" s="7">
        <v>0</v>
      </c>
      <c r="AK799" s="7">
        <v>0</v>
      </c>
      <c r="AL799" s="7">
        <v>0</v>
      </c>
      <c r="AM799" s="7">
        <v>1</v>
      </c>
    </row>
    <row r="800" spans="1:39" ht="14" x14ac:dyDescent="0.15">
      <c r="A800" s="18" t="str">
        <f t="shared" ca="1" si="744"/>
        <v>26_3-4/61&lt;lv54&gt;s2</v>
      </c>
      <c r="B800" s="50">
        <v>26</v>
      </c>
      <c r="C800" s="49">
        <v>3</v>
      </c>
      <c r="D800" s="2" t="str">
        <f t="shared" si="745"/>
        <v>26_3</v>
      </c>
      <c r="E800" s="2" t="str">
        <f t="shared" si="745"/>
        <v>3_26_3</v>
      </c>
      <c r="F800" s="4" t="str">
        <f ca="1">VLOOKUP($D800,OFFSET([1]stages!$A$1,0,0,COUNTA([1]stages!$A:$A),MATCH(F$1,[1]stages!$2:$2,0)-MATCH($D$1,[1]stages!$2:$2,0)+1),MATCH(F$1,[1]stages!$2:$2,0)-MATCH($D$1,[1]stages!$2:$2,0)+1,FALSE)</f>
        <v>26-3．荒ぶる電飾</v>
      </c>
      <c r="G800" s="57">
        <v>4</v>
      </c>
      <c r="H800" s="17" t="str">
        <f t="shared" si="746"/>
        <v>26_3-4</v>
      </c>
      <c r="I800" s="17"/>
      <c r="J800" s="17"/>
      <c r="K800" s="65" t="s">
        <v>56</v>
      </c>
      <c r="L800" s="52">
        <v>61</v>
      </c>
      <c r="M800" s="21" t="str">
        <f ca="1">VLOOKUP($L800,OFFSET([2]enemies!$A$1,0,0,COUNTA([2]enemies!$A:$A),MATCH(M$1,[2]enemies!$1:$1,0)-MATCH($L$1,[2]enemies!$1:$1,0)+1),MATCH(M$1,[2]enemies!$1:$1,0)-MATCH($L$1,[2]enemies!$1:$1,0)+1,FALSE)</f>
        <v>クロウ</v>
      </c>
      <c r="N800" s="21" t="str">
        <f ca="1">VLOOKUP($L800,OFFSET([2]enemies!$A$1,0,0,COUNTA([2]enemies!$A:$A),MATCH(N$1,[2]enemies!$1:$1,0)-MATCH($L$1,[2]enemies!$1:$1,0)+1),MATCH(N$1,[2]enemies!$1:$1,0)-MATCH($L$1,[2]enemies!$1:$1,0)+1,FALSE)</f>
        <v>blue</v>
      </c>
      <c r="O800" s="21" t="str">
        <f ca="1">VLOOKUP($L800,OFFSET([3]characters!$A$1,0,0,COUNTA([3]characters!$A:$A),MATCH(O$1,[3]characters!$1:$1,0)-MATCH($L$1,[3]characters!$1:$1,0)+1),MATCH(O$1,[3]characters!$1:$1,0)-MATCH($L$1,[3]characters!$1:$1,0)+1,FALSE)</f>
        <v>Drop1N</v>
      </c>
      <c r="P800" s="21" t="str">
        <f ca="1">VLOOKUP($L800,OFFSET([2]enemies!$A$1,0,0,COUNTA([2]enemies!$A:$A),MATCH(P$1,[2]enemies!$1:$1,0)-MATCH($L$1,[2]enemies!$1:$1,0)+1),MATCH(P$1,[2]enemies!$1:$1,0)-MATCH($L$1,[2]enemies!$1:$1,0)+1,FALSE)</f>
        <v>animal</v>
      </c>
      <c r="Q800" s="21">
        <f ca="1">VLOOKUP($L800,OFFSET([2]enemies!$A$1,0,0,COUNTA([2]enemies!$A:$A),MATCH(Q$1,[2]enemies!$1:$1,0)-MATCH($L$1,[2]enemies!$1:$1,0)+1),MATCH(Q$1,[2]enemies!$1:$1,0)-MATCH($L$1,[2]enemies!$1:$1,0)+1,FALSE)</f>
        <v>15</v>
      </c>
      <c r="R800" s="53">
        <v>54</v>
      </c>
      <c r="S800" s="27">
        <v>1</v>
      </c>
      <c r="T800" s="27">
        <v>1</v>
      </c>
      <c r="U800" s="5">
        <v>0</v>
      </c>
      <c r="V800" s="4" t="str">
        <f ca="1">VLOOKUP($W800,OFFSET([4]enemy_skill_sets!$B$1,0,0,COUNTA([4]enemy_skill_sets!$B:$B),MATCH(M$1,[4]enemy_skill_sets!$1:$1,0)-MATCH($W$1,[4]enemy_skill_sets!$1:$1,0)+2),MATCH(M$1,[4]enemy_skill_sets!$1:$1,0)-MATCH($W$1,[4]enemy_skill_sets!$1:$1,0)+2,FALSE)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00" s="4">
        <f ca="1">VLOOKUP($L800,OFFSET([2]enemies!$A$1,0,0,COUNTA([2]enemies!$A:$A),MATCH(W$1,[2]enemies!$1:$1,0)-MATCH($L$1,[2]enemies!$1:$1,0)+1),MATCH(W$1,[2]enemies!$1:$1,0)-MATCH($L$1,[2]enemies!$1:$1,0)+1,FALSE)</f>
        <v>61</v>
      </c>
      <c r="X800" s="6">
        <v>0</v>
      </c>
      <c r="Y800" s="6">
        <v>100</v>
      </c>
      <c r="Z800" s="6">
        <v>0</v>
      </c>
      <c r="AA800" s="4">
        <f ca="1">VLOOKUP($L800,OFFSET([2]enemies!$A$1,0,0,COUNTA([2]enemies!$A:$A),MATCH(AA$1,[2]enemies!$1:$1,0)-MATCH($L$1,[2]enemies!$1:$1,0)+1),MATCH(AA$1,[2]enemies!$1:$1,0)-MATCH($L$1,[2]enemies!$1:$1,0)+1,FALSE)</f>
        <v>2</v>
      </c>
      <c r="AB800" s="52">
        <v>61</v>
      </c>
      <c r="AC800" s="4" t="str">
        <f ca="1">VLOOKUP($AB800,OFFSET([3]characters!$A$1,0,0,COUNTA([3]characters!$A:$A),MATCH(AC$1,[3]characters!$1:$1,0)-MATCH("character_id",[3]characters!$1:$1,0)+1),MATCH(AC$1,[3]characters!$1:$1,0)-MATCH("character_id",[3]characters!$1:$1,0)+1,FALSE)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800" s="4">
        <f ca="1">VLOOKUP($AB800,OFFSET([3]characters!$A$1,0,0,COUNTA([3]characters!$A:$A),MATCH(AD$1,[3]characters!$1:$1,0)-MATCH("character_id",[3]characters!$1:$1,0)+1),MATCH(AD$1,[3]characters!$1:$1,0)-MATCH("character_id",[3]characters!$1:$1,0)+1,FALSE)</f>
        <v>2</v>
      </c>
      <c r="AE800" s="4" t="str">
        <f ca="1">VLOOKUP($AB800,OFFSET([3]characters!$A$1,0,0,COUNTA([3]characters!$A:$A),MATCH(AE$1,[3]characters!$1:$1,0)-MATCH("character_id",[3]characters!$1:$1,0)+1),MATCH(AE$1,[3]characters!$1:$1,0)-MATCH("character_id",[3]characters!$1:$1,0)+1,FALSE)</f>
        <v>Drop1N</v>
      </c>
      <c r="AF800" s="7">
        <v>7</v>
      </c>
      <c r="AG800" s="26">
        <f t="shared" ca="1" si="734"/>
        <v>2</v>
      </c>
      <c r="AH800" s="8">
        <v>20</v>
      </c>
      <c r="AI800" s="7">
        <v>0</v>
      </c>
      <c r="AJ800" s="7">
        <v>0</v>
      </c>
      <c r="AK800" s="7">
        <v>0</v>
      </c>
      <c r="AL800" s="7">
        <v>0</v>
      </c>
      <c r="AM800" s="7">
        <v>1</v>
      </c>
    </row>
    <row r="801" spans="1:39" ht="14" x14ac:dyDescent="0.15">
      <c r="A801" s="18" t="str">
        <f t="shared" ca="1" si="744"/>
        <v>26_3-4/63&lt;lv54&gt;s2</v>
      </c>
      <c r="B801" s="50">
        <v>26</v>
      </c>
      <c r="C801" s="49">
        <v>3</v>
      </c>
      <c r="D801" s="2" t="str">
        <f t="shared" si="745"/>
        <v>26_3</v>
      </c>
      <c r="E801" s="2" t="str">
        <f t="shared" si="745"/>
        <v>3_26_3</v>
      </c>
      <c r="F801" s="4" t="str">
        <f ca="1">VLOOKUP($D801,OFFSET([1]stages!$A$1,0,0,COUNTA([1]stages!$A:$A),MATCH(F$1,[1]stages!$2:$2,0)-MATCH($D$1,[1]stages!$2:$2,0)+1),MATCH(F$1,[1]stages!$2:$2,0)-MATCH($D$1,[1]stages!$2:$2,0)+1,FALSE)</f>
        <v>26-3．荒ぶる電飾</v>
      </c>
      <c r="G801" s="57">
        <v>4</v>
      </c>
      <c r="H801" s="17" t="str">
        <f t="shared" si="746"/>
        <v>26_3-4</v>
      </c>
      <c r="I801" s="17"/>
      <c r="J801" s="17"/>
      <c r="K801" s="65" t="s">
        <v>56</v>
      </c>
      <c r="L801" s="52">
        <v>63</v>
      </c>
      <c r="M801" s="21" t="str">
        <f ca="1">VLOOKUP($L801,OFFSET([2]enemies!$A$1,0,0,COUNTA([2]enemies!$A:$A),MATCH(M$1,[2]enemies!$1:$1,0)-MATCH($L$1,[2]enemies!$1:$1,0)+1),MATCH(M$1,[2]enemies!$1:$1,0)-MATCH($L$1,[2]enemies!$1:$1,0)+1,FALSE)</f>
        <v>トニー</v>
      </c>
      <c r="N801" s="21" t="str">
        <f ca="1">VLOOKUP($L801,OFFSET([2]enemies!$A$1,0,0,COUNTA([2]enemies!$A:$A),MATCH(N$1,[2]enemies!$1:$1,0)-MATCH($L$1,[2]enemies!$1:$1,0)+1),MATCH(N$1,[2]enemies!$1:$1,0)-MATCH($L$1,[2]enemies!$1:$1,0)+1,FALSE)</f>
        <v>yellow</v>
      </c>
      <c r="O801" s="21" t="str">
        <f ca="1">VLOOKUP($L801,OFFSET([3]characters!$A$1,0,0,COUNTA([3]characters!$A:$A),MATCH(O$1,[3]characters!$1:$1,0)-MATCH($L$1,[3]characters!$1:$1,0)+1),MATCH(O$1,[3]characters!$1:$1,0)-MATCH($L$1,[3]characters!$1:$1,0)+1,FALSE)</f>
        <v>Drop1N</v>
      </c>
      <c r="P801" s="21" t="str">
        <f ca="1">VLOOKUP($L801,OFFSET([2]enemies!$A$1,0,0,COUNTA([2]enemies!$A:$A),MATCH(P$1,[2]enemies!$1:$1,0)-MATCH($L$1,[2]enemies!$1:$1,0)+1),MATCH(P$1,[2]enemies!$1:$1,0)-MATCH($L$1,[2]enemies!$1:$1,0)+1,FALSE)</f>
        <v>animal</v>
      </c>
      <c r="Q801" s="21">
        <f ca="1">VLOOKUP($L801,OFFSET([2]enemies!$A$1,0,0,COUNTA([2]enemies!$A:$A),MATCH(Q$1,[2]enemies!$1:$1,0)-MATCH($L$1,[2]enemies!$1:$1,0)+1),MATCH(Q$1,[2]enemies!$1:$1,0)-MATCH($L$1,[2]enemies!$1:$1,0)+1,FALSE)</f>
        <v>15</v>
      </c>
      <c r="R801" s="53">
        <v>54</v>
      </c>
      <c r="S801" s="27">
        <v>1</v>
      </c>
      <c r="T801" s="27">
        <v>1</v>
      </c>
      <c r="U801" s="5">
        <v>0</v>
      </c>
      <c r="V801" s="4" t="str">
        <f ca="1">VLOOKUP($W801,OFFSET([4]enemy_skill_sets!$B$1,0,0,COUNTA([4]enemy_skill_sets!$B:$B),MATCH(M$1,[4]enemy_skill_sets!$1:$1,0)-MATCH($W$1,[4]enemy_skill_sets!$1:$1,0)+2),MATCH(M$1,[4]enemy_skill_sets!$1:$1,0)-MATCH($W$1,[4]enemy_skill_sets!$1:$1,0)+2,FALSE)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801" s="4">
        <f ca="1">VLOOKUP($L801,OFFSET([2]enemies!$A$1,0,0,COUNTA([2]enemies!$A:$A),MATCH(W$1,[2]enemies!$1:$1,0)-MATCH($L$1,[2]enemies!$1:$1,0)+1),MATCH(W$1,[2]enemies!$1:$1,0)-MATCH($L$1,[2]enemies!$1:$1,0)+1,FALSE)</f>
        <v>63</v>
      </c>
      <c r="X801" s="6">
        <v>0</v>
      </c>
      <c r="Y801" s="6">
        <v>100</v>
      </c>
      <c r="Z801" s="6">
        <v>0</v>
      </c>
      <c r="AA801" s="4">
        <f ca="1">VLOOKUP($L801,OFFSET([2]enemies!$A$1,0,0,COUNTA([2]enemies!$A:$A),MATCH(AA$1,[2]enemies!$1:$1,0)-MATCH($L$1,[2]enemies!$1:$1,0)+1),MATCH(AA$1,[2]enemies!$1:$1,0)-MATCH($L$1,[2]enemies!$1:$1,0)+1,FALSE)</f>
        <v>2</v>
      </c>
      <c r="AB801" s="52">
        <v>63</v>
      </c>
      <c r="AC801" s="4" t="str">
        <f ca="1">VLOOKUP($AB801,OFFSET([3]characters!$A$1,0,0,COUNTA([3]characters!$A:$A),MATCH(AC$1,[3]characters!$1:$1,0)-MATCH("character_id",[3]characters!$1:$1,0)+1),MATCH(AC$1,[3]characters!$1:$1,0)-MATCH("character_id",[3]characters!$1:$1,0)+1,FALSE)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801" s="4">
        <f ca="1">VLOOKUP($AB801,OFFSET([3]characters!$A$1,0,0,COUNTA([3]characters!$A:$A),MATCH(AD$1,[3]characters!$1:$1,0)-MATCH("character_id",[3]characters!$1:$1,0)+1),MATCH(AD$1,[3]characters!$1:$1,0)-MATCH("character_id",[3]characters!$1:$1,0)+1,FALSE)</f>
        <v>2</v>
      </c>
      <c r="AE801" s="4" t="str">
        <f ca="1">VLOOKUP($AB801,OFFSET([3]characters!$A$1,0,0,COUNTA([3]characters!$A:$A),MATCH(AE$1,[3]characters!$1:$1,0)-MATCH("character_id",[3]characters!$1:$1,0)+1),MATCH(AE$1,[3]characters!$1:$1,0)-MATCH("character_id",[3]characters!$1:$1,0)+1,FALSE)</f>
        <v>Drop1N</v>
      </c>
      <c r="AF801" s="7">
        <v>7</v>
      </c>
      <c r="AG801" s="26">
        <f t="shared" ca="1" si="734"/>
        <v>2</v>
      </c>
      <c r="AH801" s="8">
        <v>20</v>
      </c>
      <c r="AI801" s="7">
        <v>0</v>
      </c>
      <c r="AJ801" s="7">
        <v>0</v>
      </c>
      <c r="AK801" s="7">
        <v>0</v>
      </c>
      <c r="AL801" s="7">
        <v>0</v>
      </c>
      <c r="AM801" s="7">
        <v>1</v>
      </c>
    </row>
    <row r="802" spans="1:39" ht="14" x14ac:dyDescent="0.15">
      <c r="A802" s="18" t="str">
        <f t="shared" ca="1" si="744"/>
        <v>26_3-4/360&lt;lv54&gt;s3</v>
      </c>
      <c r="B802" s="53">
        <v>26</v>
      </c>
      <c r="C802" s="51">
        <v>3</v>
      </c>
      <c r="D802" s="2" t="str">
        <f t="shared" ref="D802:D805" si="747">B802&amp;"_"&amp;C802</f>
        <v>26_3</v>
      </c>
      <c r="E802" s="2" t="str">
        <f t="shared" ref="E802:E805" si="748">C802&amp;"_"&amp;D802</f>
        <v>3_26_3</v>
      </c>
      <c r="F802" s="4" t="str">
        <f ca="1">VLOOKUP($D802,OFFSET([1]stages!$A$1,0,0,COUNTA([1]stages!$A:$A),MATCH(F$1,[1]stages!$2:$2,0)-MATCH($D$1,[1]stages!$2:$2,0)+1),MATCH(F$1,[1]stages!$2:$2,0)-MATCH($D$1,[1]stages!$2:$2,0)+1,FALSE)</f>
        <v>26-3．荒ぶる電飾</v>
      </c>
      <c r="G802" s="57">
        <v>4</v>
      </c>
      <c r="H802" s="17" t="str">
        <f t="shared" ref="H802:H805" si="749">B802&amp;"_"&amp;C802&amp;"-"&amp;G802</f>
        <v>26_3-4</v>
      </c>
      <c r="I802" s="17"/>
      <c r="J802" s="17"/>
      <c r="K802" s="65" t="s">
        <v>56</v>
      </c>
      <c r="L802" s="52">
        <v>360</v>
      </c>
      <c r="M802" s="21" t="str">
        <f ca="1">VLOOKUP($L802,OFFSET([2]enemies!$A$1,0,0,COUNTA([2]enemies!$A:$A),MATCH(M$1,[2]enemies!$1:$1,0)-MATCH($L$1,[2]enemies!$1:$1,0)+1),MATCH(M$1,[2]enemies!$1:$1,0)-MATCH($L$1,[2]enemies!$1:$1,0)+1,FALSE)</f>
        <v>ガンテツ</v>
      </c>
      <c r="N802" s="21" t="str">
        <f ca="1">VLOOKUP($L802,OFFSET([2]enemies!$A$1,0,0,COUNTA([2]enemies!$A:$A),MATCH(N$1,[2]enemies!$1:$1,0)-MATCH($L$1,[2]enemies!$1:$1,0)+1),MATCH(N$1,[2]enemies!$1:$1,0)-MATCH($L$1,[2]enemies!$1:$1,0)+1,FALSE)</f>
        <v>red</v>
      </c>
      <c r="O802" s="21" t="str">
        <f ca="1">VLOOKUP($L802,OFFSET([3]characters!$A$1,0,0,COUNTA([3]characters!$A:$A),MATCH(O$1,[3]characters!$1:$1,0)-MATCH($L$1,[3]characters!$1:$1,0)+1),MATCH(O$1,[3]characters!$1:$1,0)-MATCH($L$1,[3]characters!$1:$1,0)+1,FALSE)</f>
        <v>Drop1S</v>
      </c>
      <c r="P802" s="21" t="str">
        <f ca="1">VLOOKUP($L802,OFFSET([2]enemies!$A$1,0,0,COUNTA([2]enemies!$A:$A),MATCH(P$1,[2]enemies!$1:$1,0)-MATCH($L$1,[2]enemies!$1:$1,0)+1),MATCH(P$1,[2]enemies!$1:$1,0)-MATCH($L$1,[2]enemies!$1:$1,0)+1,FALSE)</f>
        <v>animal</v>
      </c>
      <c r="Q802" s="21">
        <f ca="1">VLOOKUP($L802,OFFSET([2]enemies!$A$1,0,0,COUNTA([2]enemies!$A:$A),MATCH(Q$1,[2]enemies!$1:$1,0)-MATCH($L$1,[2]enemies!$1:$1,0)+1),MATCH(Q$1,[2]enemies!$1:$1,0)-MATCH($L$1,[2]enemies!$1:$1,0)+1,FALSE)</f>
        <v>15</v>
      </c>
      <c r="R802" s="53">
        <v>54</v>
      </c>
      <c r="S802" s="27">
        <v>1</v>
      </c>
      <c r="T802" s="27">
        <v>1</v>
      </c>
      <c r="U802" s="5">
        <v>0</v>
      </c>
      <c r="V802" s="4" t="str">
        <f ca="1">VLOOKUP($W802,OFFSET([4]enemy_skill_sets!$B$1,0,0,COUNTA([4]enemy_skill_sets!$B:$B),MATCH(M$1,[4]enemy_skill_sets!$1:$1,0)-MATCH($W$1,[4]enemy_skill_sets!$1:$1,0)+2),MATCH(M$1,[4]enemy_skill_sets!$1:$1,0)-MATCH($W$1,[4]enemy_skill_sets!$1:$1,0)+2,FALSE)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802" s="76">
        <v>360</v>
      </c>
      <c r="X802" s="6">
        <v>0</v>
      </c>
      <c r="Y802" s="6">
        <v>100</v>
      </c>
      <c r="Z802" s="6">
        <v>0</v>
      </c>
      <c r="AA802" s="4">
        <f ca="1">VLOOKUP($L802,OFFSET([2]enemies!$A$1,0,0,COUNTA([2]enemies!$A:$A),MATCH(AA$1,[2]enemies!$1:$1,0)-MATCH($L$1,[2]enemies!$1:$1,0)+1),MATCH(AA$1,[2]enemies!$1:$1,0)-MATCH($L$1,[2]enemies!$1:$1,0)+1,FALSE)</f>
        <v>3</v>
      </c>
      <c r="AB802" s="52">
        <v>360</v>
      </c>
      <c r="AC802" s="4" t="str">
        <f ca="1">VLOOKUP($AB802,OFFSET([3]characters!$A$1,0,0,COUNTA([3]characters!$A:$A),MATCH(AC$1,[3]characters!$1:$1,0)-MATCH("character_id",[3]characters!$1:$1,0)+1),MATCH(AC$1,[3]characters!$1:$1,0)-MATCH("character_id",[3]characters!$1:$1,0)+1,FALSE)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802" s="4">
        <f ca="1">VLOOKUP($AB802,OFFSET([3]characters!$A$1,0,0,COUNTA([3]characters!$A:$A),MATCH(AD$1,[3]characters!$1:$1,0)-MATCH("character_id",[3]characters!$1:$1,0)+1),MATCH(AD$1,[3]characters!$1:$1,0)-MATCH("character_id",[3]characters!$1:$1,0)+1,FALSE)</f>
        <v>2</v>
      </c>
      <c r="AE802" s="4" t="str">
        <f ca="1">VLOOKUP($AB802,OFFSET([3]characters!$A$1,0,0,COUNTA([3]characters!$A:$A),MATCH(AE$1,[3]characters!$1:$1,0)-MATCH("character_id",[3]characters!$1:$1,0)+1),MATCH(AE$1,[3]characters!$1:$1,0)-MATCH("character_id",[3]characters!$1:$1,0)+1,FALSE)</f>
        <v>Drop1S</v>
      </c>
      <c r="AF802" s="7">
        <v>7</v>
      </c>
      <c r="AG802" s="26">
        <f t="shared" ca="1" si="734"/>
        <v>2</v>
      </c>
      <c r="AH802" s="8">
        <v>20</v>
      </c>
      <c r="AI802" s="7">
        <v>0</v>
      </c>
      <c r="AJ802" s="7">
        <v>0</v>
      </c>
      <c r="AK802" s="7">
        <v>0</v>
      </c>
      <c r="AL802" s="7">
        <v>0</v>
      </c>
      <c r="AM802" s="7">
        <v>1</v>
      </c>
    </row>
    <row r="803" spans="1:39" ht="14" x14ac:dyDescent="0.15">
      <c r="A803" s="18" t="str">
        <f t="shared" ca="1" si="744"/>
        <v>26_3-4/362&lt;lv54&gt;s3</v>
      </c>
      <c r="B803" s="53">
        <v>26</v>
      </c>
      <c r="C803" s="51">
        <v>3</v>
      </c>
      <c r="D803" s="2" t="str">
        <f t="shared" si="747"/>
        <v>26_3</v>
      </c>
      <c r="E803" s="2" t="str">
        <f t="shared" si="748"/>
        <v>3_26_3</v>
      </c>
      <c r="F803" s="4" t="str">
        <f ca="1">VLOOKUP($D803,OFFSET([1]stages!$A$1,0,0,COUNTA([1]stages!$A:$A),MATCH(F$1,[1]stages!$2:$2,0)-MATCH($D$1,[1]stages!$2:$2,0)+1),MATCH(F$1,[1]stages!$2:$2,0)-MATCH($D$1,[1]stages!$2:$2,0)+1,FALSE)</f>
        <v>26-3．荒ぶる電飾</v>
      </c>
      <c r="G803" s="57">
        <v>4</v>
      </c>
      <c r="H803" s="17" t="str">
        <f t="shared" si="749"/>
        <v>26_3-4</v>
      </c>
      <c r="I803" s="17"/>
      <c r="J803" s="17"/>
      <c r="K803" s="65" t="s">
        <v>56</v>
      </c>
      <c r="L803" s="52">
        <v>362</v>
      </c>
      <c r="M803" s="21" t="str">
        <f ca="1">VLOOKUP($L803,OFFSET([2]enemies!$A$1,0,0,COUNTA([2]enemies!$A:$A),MATCH(M$1,[2]enemies!$1:$1,0)-MATCH($L$1,[2]enemies!$1:$1,0)+1),MATCH(M$1,[2]enemies!$1:$1,0)-MATCH($L$1,[2]enemies!$1:$1,0)+1,FALSE)</f>
        <v>ゆらら</v>
      </c>
      <c r="N803" s="21" t="str">
        <f ca="1">VLOOKUP($L803,OFFSET([2]enemies!$A$1,0,0,COUNTA([2]enemies!$A:$A),MATCH(N$1,[2]enemies!$1:$1,0)-MATCH($L$1,[2]enemies!$1:$1,0)+1),MATCH(N$1,[2]enemies!$1:$1,0)-MATCH($L$1,[2]enemies!$1:$1,0)+1,FALSE)</f>
        <v>green</v>
      </c>
      <c r="O803" s="21" t="str">
        <f ca="1">VLOOKUP($L803,OFFSET([3]characters!$A$1,0,0,COUNTA([3]characters!$A:$A),MATCH(O$1,[3]characters!$1:$1,0)-MATCH($L$1,[3]characters!$1:$1,0)+1),MATCH(O$1,[3]characters!$1:$1,0)-MATCH($L$1,[3]characters!$1:$1,0)+1,FALSE)</f>
        <v>Drop1S</v>
      </c>
      <c r="P803" s="21" t="str">
        <f ca="1">VLOOKUP($L803,OFFSET([2]enemies!$A$1,0,0,COUNTA([2]enemies!$A:$A),MATCH(P$1,[2]enemies!$1:$1,0)-MATCH($L$1,[2]enemies!$1:$1,0)+1),MATCH(P$1,[2]enemies!$1:$1,0)-MATCH($L$1,[2]enemies!$1:$1,0)+1,FALSE)</f>
        <v>animal</v>
      </c>
      <c r="Q803" s="21">
        <f ca="1">VLOOKUP($L803,OFFSET([2]enemies!$A$1,0,0,COUNTA([2]enemies!$A:$A),MATCH(Q$1,[2]enemies!$1:$1,0)-MATCH($L$1,[2]enemies!$1:$1,0)+1),MATCH(Q$1,[2]enemies!$1:$1,0)-MATCH($L$1,[2]enemies!$1:$1,0)+1,FALSE)</f>
        <v>15</v>
      </c>
      <c r="R803" s="53">
        <v>54</v>
      </c>
      <c r="S803" s="27">
        <v>1</v>
      </c>
      <c r="T803" s="27">
        <v>1</v>
      </c>
      <c r="U803" s="5">
        <v>0</v>
      </c>
      <c r="V803" s="4" t="str">
        <f ca="1">VLOOKUP($W803,OFFSET([4]enemy_skill_sets!$B$1,0,0,COUNTA([4]enemy_skill_sets!$B:$B),MATCH(M$1,[4]enemy_skill_sets!$1:$1,0)-MATCH($W$1,[4]enemy_skill_sets!$1:$1,0)+2),MATCH(M$1,[4]enemy_skill_sets!$1:$1,0)-MATCH($W$1,[4]enemy_skill_sets!$1:$1,0)+2,FALSE)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803" s="64">
        <v>362</v>
      </c>
      <c r="X803" s="6">
        <v>0</v>
      </c>
      <c r="Y803" s="6">
        <v>100</v>
      </c>
      <c r="Z803" s="6">
        <v>0</v>
      </c>
      <c r="AA803" s="4">
        <f ca="1">VLOOKUP($L803,OFFSET([2]enemies!$A$1,0,0,COUNTA([2]enemies!$A:$A),MATCH(AA$1,[2]enemies!$1:$1,0)-MATCH($L$1,[2]enemies!$1:$1,0)+1),MATCH(AA$1,[2]enemies!$1:$1,0)-MATCH($L$1,[2]enemies!$1:$1,0)+1,FALSE)</f>
        <v>3</v>
      </c>
      <c r="AB803" s="52">
        <v>362</v>
      </c>
      <c r="AC803" s="4" t="str">
        <f ca="1">VLOOKUP($AB803,OFFSET([3]characters!$A$1,0,0,COUNTA([3]characters!$A:$A),MATCH(AC$1,[3]characters!$1:$1,0)-MATCH("character_id",[3]characters!$1:$1,0)+1),MATCH(AC$1,[3]characters!$1:$1,0)-MATCH("character_id",[3]characters!$1:$1,0)+1,FALSE)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803" s="4">
        <f ca="1">VLOOKUP($AB803,OFFSET([3]characters!$A$1,0,0,COUNTA([3]characters!$A:$A),MATCH(AD$1,[3]characters!$1:$1,0)-MATCH("character_id",[3]characters!$1:$1,0)+1),MATCH(AD$1,[3]characters!$1:$1,0)-MATCH("character_id",[3]characters!$1:$1,0)+1,FALSE)</f>
        <v>2</v>
      </c>
      <c r="AE803" s="4" t="str">
        <f ca="1">VLOOKUP($AB803,OFFSET([3]characters!$A$1,0,0,COUNTA([3]characters!$A:$A),MATCH(AE$1,[3]characters!$1:$1,0)-MATCH("character_id",[3]characters!$1:$1,0)+1),MATCH(AE$1,[3]characters!$1:$1,0)-MATCH("character_id",[3]characters!$1:$1,0)+1,FALSE)</f>
        <v>Drop1S</v>
      </c>
      <c r="AF803" s="7">
        <v>7</v>
      </c>
      <c r="AG803" s="26">
        <f t="shared" ca="1" si="734"/>
        <v>2</v>
      </c>
      <c r="AH803" s="8">
        <v>20</v>
      </c>
      <c r="AI803" s="7">
        <v>0</v>
      </c>
      <c r="AJ803" s="7">
        <v>0</v>
      </c>
      <c r="AK803" s="7">
        <v>0</v>
      </c>
      <c r="AL803" s="7">
        <v>0</v>
      </c>
      <c r="AM803" s="7">
        <v>1</v>
      </c>
    </row>
    <row r="804" spans="1:39" ht="14" x14ac:dyDescent="0.15">
      <c r="A804" s="18" t="str">
        <f t="shared" ca="1" si="744"/>
        <v>26_3-4/364&lt;lv54&gt;s3</v>
      </c>
      <c r="B804" s="53">
        <v>26</v>
      </c>
      <c r="C804" s="51">
        <v>3</v>
      </c>
      <c r="D804" s="2" t="str">
        <f t="shared" si="747"/>
        <v>26_3</v>
      </c>
      <c r="E804" s="2" t="str">
        <f t="shared" si="748"/>
        <v>3_26_3</v>
      </c>
      <c r="F804" s="4" t="str">
        <f ca="1">VLOOKUP($D804,OFFSET([1]stages!$A$1,0,0,COUNTA([1]stages!$A:$A),MATCH(F$1,[1]stages!$2:$2,0)-MATCH($D$1,[1]stages!$2:$2,0)+1),MATCH(F$1,[1]stages!$2:$2,0)-MATCH($D$1,[1]stages!$2:$2,0)+1,FALSE)</f>
        <v>26-3．荒ぶる電飾</v>
      </c>
      <c r="G804" s="57">
        <v>4</v>
      </c>
      <c r="H804" s="17" t="str">
        <f t="shared" si="749"/>
        <v>26_3-4</v>
      </c>
      <c r="I804" s="17"/>
      <c r="J804" s="17"/>
      <c r="K804" s="65" t="s">
        <v>56</v>
      </c>
      <c r="L804" s="52">
        <v>364</v>
      </c>
      <c r="M804" s="21" t="str">
        <f ca="1">VLOOKUP($L804,OFFSET([2]enemies!$A$1,0,0,COUNTA([2]enemies!$A:$A),MATCH(M$1,[2]enemies!$1:$1,0)-MATCH($L$1,[2]enemies!$1:$1,0)+1),MATCH(M$1,[2]enemies!$1:$1,0)-MATCH($L$1,[2]enemies!$1:$1,0)+1,FALSE)</f>
        <v>ノエル</v>
      </c>
      <c r="N804" s="21" t="str">
        <f ca="1">VLOOKUP($L804,OFFSET([2]enemies!$A$1,0,0,COUNTA([2]enemies!$A:$A),MATCH(N$1,[2]enemies!$1:$1,0)-MATCH($L$1,[2]enemies!$1:$1,0)+1),MATCH(N$1,[2]enemies!$1:$1,0)-MATCH($L$1,[2]enemies!$1:$1,0)+1,FALSE)</f>
        <v>blue</v>
      </c>
      <c r="O804" s="21" t="str">
        <f ca="1">VLOOKUP($L804,OFFSET([3]characters!$A$1,0,0,COUNTA([3]characters!$A:$A),MATCH(O$1,[3]characters!$1:$1,0)-MATCH($L$1,[3]characters!$1:$1,0)+1),MATCH(O$1,[3]characters!$1:$1,0)-MATCH($L$1,[3]characters!$1:$1,0)+1,FALSE)</f>
        <v>Drop1S</v>
      </c>
      <c r="P804" s="21" t="str">
        <f ca="1">VLOOKUP($L804,OFFSET([2]enemies!$A$1,0,0,COUNTA([2]enemies!$A:$A),MATCH(P$1,[2]enemies!$1:$1,0)-MATCH($L$1,[2]enemies!$1:$1,0)+1),MATCH(P$1,[2]enemies!$1:$1,0)-MATCH($L$1,[2]enemies!$1:$1,0)+1,FALSE)</f>
        <v>animal</v>
      </c>
      <c r="Q804" s="21">
        <f ca="1">VLOOKUP($L804,OFFSET([2]enemies!$A$1,0,0,COUNTA([2]enemies!$A:$A),MATCH(Q$1,[2]enemies!$1:$1,0)-MATCH($L$1,[2]enemies!$1:$1,0)+1),MATCH(Q$1,[2]enemies!$1:$1,0)-MATCH($L$1,[2]enemies!$1:$1,0)+1,FALSE)</f>
        <v>15</v>
      </c>
      <c r="R804" s="53">
        <v>54</v>
      </c>
      <c r="S804" s="27">
        <v>1</v>
      </c>
      <c r="T804" s="27">
        <v>1</v>
      </c>
      <c r="U804" s="5">
        <v>0</v>
      </c>
      <c r="V804" s="4" t="str">
        <f ca="1">VLOOKUP($W804,OFFSET([4]enemy_skill_sets!$B$1,0,0,COUNTA([4]enemy_skill_sets!$B:$B),MATCH(M$1,[4]enemy_skill_sets!$1:$1,0)-MATCH($W$1,[4]enemy_skill_sets!$1:$1,0)+2),MATCH(M$1,[4]enemy_skill_sets!$1:$1,0)-MATCH($W$1,[4]enemy_skill_sets!$1:$1,0)+2,FALSE)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804" s="64">
        <v>364</v>
      </c>
      <c r="X804" s="6">
        <v>0</v>
      </c>
      <c r="Y804" s="6">
        <v>100</v>
      </c>
      <c r="Z804" s="6">
        <v>0</v>
      </c>
      <c r="AA804" s="4">
        <f ca="1">VLOOKUP($L804,OFFSET([2]enemies!$A$1,0,0,COUNTA([2]enemies!$A:$A),MATCH(AA$1,[2]enemies!$1:$1,0)-MATCH($L$1,[2]enemies!$1:$1,0)+1),MATCH(AA$1,[2]enemies!$1:$1,0)-MATCH($L$1,[2]enemies!$1:$1,0)+1,FALSE)</f>
        <v>3</v>
      </c>
      <c r="AB804" s="52">
        <v>364</v>
      </c>
      <c r="AC804" s="4" t="str">
        <f ca="1">VLOOKUP($AB804,OFFSET([3]characters!$A$1,0,0,COUNTA([3]characters!$A:$A),MATCH(AC$1,[3]characters!$1:$1,0)-MATCH("character_id",[3]characters!$1:$1,0)+1),MATCH(AC$1,[3]characters!$1:$1,0)-MATCH("character_id",[3]characters!$1:$1,0)+1,FALSE)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804" s="4">
        <f ca="1">VLOOKUP($AB804,OFFSET([3]characters!$A$1,0,0,COUNTA([3]characters!$A:$A),MATCH(AD$1,[3]characters!$1:$1,0)-MATCH("character_id",[3]characters!$1:$1,0)+1),MATCH(AD$1,[3]characters!$1:$1,0)-MATCH("character_id",[3]characters!$1:$1,0)+1,FALSE)</f>
        <v>2</v>
      </c>
      <c r="AE804" s="4" t="str">
        <f ca="1">VLOOKUP($AB804,OFFSET([3]characters!$A$1,0,0,COUNTA([3]characters!$A:$A),MATCH(AE$1,[3]characters!$1:$1,0)-MATCH("character_id",[3]characters!$1:$1,0)+1),MATCH(AE$1,[3]characters!$1:$1,0)-MATCH("character_id",[3]characters!$1:$1,0)+1,FALSE)</f>
        <v>Drop1S</v>
      </c>
      <c r="AF804" s="7">
        <v>7</v>
      </c>
      <c r="AG804" s="26">
        <f t="shared" ca="1" si="734"/>
        <v>2</v>
      </c>
      <c r="AH804" s="8">
        <v>20</v>
      </c>
      <c r="AI804" s="7">
        <v>0</v>
      </c>
      <c r="AJ804" s="7">
        <v>0</v>
      </c>
      <c r="AK804" s="7">
        <v>0</v>
      </c>
      <c r="AL804" s="7">
        <v>0</v>
      </c>
      <c r="AM804" s="7">
        <v>1</v>
      </c>
    </row>
    <row r="805" spans="1:39" ht="14" x14ac:dyDescent="0.15">
      <c r="A805" s="18" t="str">
        <f t="shared" ca="1" si="744"/>
        <v>26_3-4/366&lt;lv54&gt;s3</v>
      </c>
      <c r="B805" s="53">
        <v>26</v>
      </c>
      <c r="C805" s="51">
        <v>3</v>
      </c>
      <c r="D805" s="2" t="str">
        <f t="shared" si="747"/>
        <v>26_3</v>
      </c>
      <c r="E805" s="2" t="str">
        <f t="shared" si="748"/>
        <v>3_26_3</v>
      </c>
      <c r="F805" s="4" t="str">
        <f ca="1">VLOOKUP($D805,OFFSET([1]stages!$A$1,0,0,COUNTA([1]stages!$A:$A),MATCH(F$1,[1]stages!$2:$2,0)-MATCH($D$1,[1]stages!$2:$2,0)+1),MATCH(F$1,[1]stages!$2:$2,0)-MATCH($D$1,[1]stages!$2:$2,0)+1,FALSE)</f>
        <v>26-3．荒ぶる電飾</v>
      </c>
      <c r="G805" s="57">
        <v>4</v>
      </c>
      <c r="H805" s="17" t="str">
        <f t="shared" si="749"/>
        <v>26_3-4</v>
      </c>
      <c r="I805" s="17"/>
      <c r="J805" s="17"/>
      <c r="K805" s="65" t="s">
        <v>56</v>
      </c>
      <c r="L805" s="52">
        <v>366</v>
      </c>
      <c r="M805" s="21" t="str">
        <f ca="1">VLOOKUP($L805,OFFSET([2]enemies!$A$1,0,0,COUNTA([2]enemies!$A:$A),MATCH(M$1,[2]enemies!$1:$1,0)-MATCH($L$1,[2]enemies!$1:$1,0)+1),MATCH(M$1,[2]enemies!$1:$1,0)-MATCH($L$1,[2]enemies!$1:$1,0)+1,FALSE)</f>
        <v>トト</v>
      </c>
      <c r="N805" s="21" t="str">
        <f ca="1">VLOOKUP($L805,OFFSET([2]enemies!$A$1,0,0,COUNTA([2]enemies!$A:$A),MATCH(N$1,[2]enemies!$1:$1,0)-MATCH($L$1,[2]enemies!$1:$1,0)+1),MATCH(N$1,[2]enemies!$1:$1,0)-MATCH($L$1,[2]enemies!$1:$1,0)+1,FALSE)</f>
        <v>yellow</v>
      </c>
      <c r="O805" s="21" t="str">
        <f ca="1">VLOOKUP($L805,OFFSET([3]characters!$A$1,0,0,COUNTA([3]characters!$A:$A),MATCH(O$1,[3]characters!$1:$1,0)-MATCH($L$1,[3]characters!$1:$1,0)+1),MATCH(O$1,[3]characters!$1:$1,0)-MATCH($L$1,[3]characters!$1:$1,0)+1,FALSE)</f>
        <v>Drop1S</v>
      </c>
      <c r="P805" s="21" t="str">
        <f ca="1">VLOOKUP($L805,OFFSET([2]enemies!$A$1,0,0,COUNTA([2]enemies!$A:$A),MATCH(P$1,[2]enemies!$1:$1,0)-MATCH($L$1,[2]enemies!$1:$1,0)+1),MATCH(P$1,[2]enemies!$1:$1,0)-MATCH($L$1,[2]enemies!$1:$1,0)+1,FALSE)</f>
        <v>animal</v>
      </c>
      <c r="Q805" s="21">
        <f ca="1">VLOOKUP($L805,OFFSET([2]enemies!$A$1,0,0,COUNTA([2]enemies!$A:$A),MATCH(Q$1,[2]enemies!$1:$1,0)-MATCH($L$1,[2]enemies!$1:$1,0)+1),MATCH(Q$1,[2]enemies!$1:$1,0)-MATCH($L$1,[2]enemies!$1:$1,0)+1,FALSE)</f>
        <v>15</v>
      </c>
      <c r="R805" s="53">
        <v>54</v>
      </c>
      <c r="S805" s="27">
        <v>1</v>
      </c>
      <c r="T805" s="27">
        <v>1</v>
      </c>
      <c r="U805" s="5">
        <v>0</v>
      </c>
      <c r="V805" s="4" t="str">
        <f ca="1">VLOOKUP($W805,OFFSET([4]enemy_skill_sets!$B$1,0,0,COUNTA([4]enemy_skill_sets!$B:$B),MATCH(M$1,[4]enemy_skill_sets!$1:$1,0)-MATCH($W$1,[4]enemy_skill_sets!$1:$1,0)+2),MATCH(M$1,[4]enemy_skill_sets!$1:$1,0)-MATCH($W$1,[4]enemy_skill_sets!$1:$1,0)+2,FALSE)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805" s="64">
        <v>366</v>
      </c>
      <c r="X805" s="6">
        <v>0</v>
      </c>
      <c r="Y805" s="6">
        <v>100</v>
      </c>
      <c r="Z805" s="6">
        <v>0</v>
      </c>
      <c r="AA805" s="4">
        <f ca="1">VLOOKUP($L805,OFFSET([2]enemies!$A$1,0,0,COUNTA([2]enemies!$A:$A),MATCH(AA$1,[2]enemies!$1:$1,0)-MATCH($L$1,[2]enemies!$1:$1,0)+1),MATCH(AA$1,[2]enemies!$1:$1,0)-MATCH($L$1,[2]enemies!$1:$1,0)+1,FALSE)</f>
        <v>3</v>
      </c>
      <c r="AB805" s="52">
        <v>366</v>
      </c>
      <c r="AC805" s="4" t="str">
        <f ca="1">VLOOKUP($AB805,OFFSET([3]characters!$A$1,0,0,COUNTA([3]characters!$A:$A),MATCH(AC$1,[3]characters!$1:$1,0)-MATCH("character_id",[3]characters!$1:$1,0)+1),MATCH(AC$1,[3]characters!$1:$1,0)-MATCH("character_id",[3]characters!$1:$1,0)+1,FALSE)</f>
        <v>トト</v>
      </c>
      <c r="AD805" s="4">
        <f ca="1">VLOOKUP($AB805,OFFSET([3]characters!$A$1,0,0,COUNTA([3]characters!$A:$A),MATCH(AD$1,[3]characters!$1:$1,0)-MATCH("character_id",[3]characters!$1:$1,0)+1),MATCH(AD$1,[3]characters!$1:$1,0)-MATCH("character_id",[3]characters!$1:$1,0)+1,FALSE)</f>
        <v>2</v>
      </c>
      <c r="AE805" s="4" t="str">
        <f ca="1">VLOOKUP($AB805,OFFSET([3]characters!$A$1,0,0,COUNTA([3]characters!$A:$A),MATCH(AE$1,[3]characters!$1:$1,0)-MATCH("character_id",[3]characters!$1:$1,0)+1),MATCH(AE$1,[3]characters!$1:$1,0)-MATCH("character_id",[3]characters!$1:$1,0)+1,FALSE)</f>
        <v>Drop1S</v>
      </c>
      <c r="AF805" s="7">
        <v>7</v>
      </c>
      <c r="AG805" s="26">
        <f t="shared" ca="1" si="734"/>
        <v>2</v>
      </c>
      <c r="AH805" s="8">
        <v>20</v>
      </c>
      <c r="AI805" s="7">
        <v>0</v>
      </c>
      <c r="AJ805" s="7">
        <v>0</v>
      </c>
      <c r="AK805" s="7">
        <v>0</v>
      </c>
      <c r="AL805" s="7">
        <v>0</v>
      </c>
      <c r="AM805" s="7">
        <v>1</v>
      </c>
    </row>
    <row r="806" spans="1:39" ht="14" x14ac:dyDescent="0.15">
      <c r="A806" s="18" t="str">
        <f t="shared" ca="1" si="744"/>
        <v>26_3-4/350&lt;lv54&gt;s3</v>
      </c>
      <c r="B806" s="53">
        <v>26</v>
      </c>
      <c r="C806" s="51">
        <v>3</v>
      </c>
      <c r="D806" s="2" t="str">
        <f t="shared" ref="D806:D807" si="750">B806&amp;"_"&amp;C806</f>
        <v>26_3</v>
      </c>
      <c r="E806" s="2" t="str">
        <f t="shared" ref="E806:E807" si="751">C806&amp;"_"&amp;D806</f>
        <v>3_26_3</v>
      </c>
      <c r="F806" s="4" t="str">
        <f ca="1">VLOOKUP($D806,OFFSET([1]stages!$A$1,0,0,COUNTA([1]stages!$A:$A),MATCH(F$1,[1]stages!$2:$2,0)-MATCH($D$1,[1]stages!$2:$2,0)+1),MATCH(F$1,[1]stages!$2:$2,0)-MATCH($D$1,[1]stages!$2:$2,0)+1,FALSE)</f>
        <v>26-3．荒ぶる電飾</v>
      </c>
      <c r="G806" s="57">
        <v>4</v>
      </c>
      <c r="H806" s="17" t="str">
        <f t="shared" ref="H806:H807" si="752">B806&amp;"_"&amp;C806&amp;"-"&amp;G806</f>
        <v>26_3-4</v>
      </c>
      <c r="I806" s="17"/>
      <c r="J806" s="17"/>
      <c r="K806" s="65" t="s">
        <v>56</v>
      </c>
      <c r="L806" s="52">
        <v>350</v>
      </c>
      <c r="M806" s="21" t="str">
        <f ca="1">VLOOKUP($L806,OFFSET([2]enemies!$A$1,0,0,COUNTA([2]enemies!$A:$A),MATCH(M$1,[2]enemies!$1:$1,0)-MATCH($L$1,[2]enemies!$1:$1,0)+1),MATCH(M$1,[2]enemies!$1:$1,0)-MATCH($L$1,[2]enemies!$1:$1,0)+1,FALSE)</f>
        <v>森のケロケロ</v>
      </c>
      <c r="N806" s="21" t="str">
        <f ca="1">VLOOKUP($L806,OFFSET([2]enemies!$A$1,0,0,COUNTA([2]enemies!$A:$A),MATCH(N$1,[2]enemies!$1:$1,0)-MATCH($L$1,[2]enemies!$1:$1,0)+1),MATCH(N$1,[2]enemies!$1:$1,0)-MATCH($L$1,[2]enemies!$1:$1,0)+1,FALSE)</f>
        <v>green</v>
      </c>
      <c r="O806" s="21" t="str">
        <f ca="1">VLOOKUP($L806,OFFSET([3]characters!$A$1,0,0,COUNTA([3]characters!$A:$A),MATCH(O$1,[3]characters!$1:$1,0)-MATCH($L$1,[3]characters!$1:$1,0)+1),MATCH(O$1,[3]characters!$1:$1,0)-MATCH($L$1,[3]characters!$1:$1,0)+1,FALSE)</f>
        <v>Material</v>
      </c>
      <c r="P806" s="21" t="str">
        <f ca="1">VLOOKUP($L806,OFFSET([2]enemies!$A$1,0,0,COUNTA([2]enemies!$A:$A),MATCH(P$1,[2]enemies!$1:$1,0)-MATCH($L$1,[2]enemies!$1:$1,0)+1),MATCH(P$1,[2]enemies!$1:$1,0)-MATCH($L$1,[2]enemies!$1:$1,0)+1,FALSE)</f>
        <v>unknown</v>
      </c>
      <c r="Q806" s="21">
        <f ca="1">VLOOKUP($L806,OFFSET([2]enemies!$A$1,0,0,COUNTA([2]enemies!$A:$A),MATCH(Q$1,[2]enemies!$1:$1,0)-MATCH($L$1,[2]enemies!$1:$1,0)+1),MATCH(Q$1,[2]enemies!$1:$1,0)-MATCH($L$1,[2]enemies!$1:$1,0)+1,FALSE)</f>
        <v>15</v>
      </c>
      <c r="R806" s="53">
        <v>54</v>
      </c>
      <c r="S806" s="27">
        <v>1</v>
      </c>
      <c r="T806" s="27">
        <v>1</v>
      </c>
      <c r="U806" s="5">
        <v>0</v>
      </c>
      <c r="V806" s="4" t="str">
        <f ca="1">VLOOKUP($W806,OFFSET([4]enemy_skill_sets!$B$1,0,0,COUNTA([4]enemy_skill_sets!$B:$B),MATCH(M$1,[4]enemy_skill_sets!$1:$1,0)-MATCH($W$1,[4]enemy_skill_sets!$1:$1,0)+2),MATCH(M$1,[4]enemy_skill_sets!$1:$1,0)-MATCH($W$1,[4]enemy_skill_sets!$1:$1,0)+2,FALSE)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806" s="64">
        <v>350</v>
      </c>
      <c r="X806" s="6">
        <v>0</v>
      </c>
      <c r="Y806" s="6">
        <v>100</v>
      </c>
      <c r="Z806" s="6">
        <v>0</v>
      </c>
      <c r="AA806" s="4">
        <f ca="1">VLOOKUP($L806,OFFSET([2]enemies!$A$1,0,0,COUNTA([2]enemies!$A:$A),MATCH(AA$1,[2]enemies!$1:$1,0)-MATCH($L$1,[2]enemies!$1:$1,0)+1),MATCH(AA$1,[2]enemies!$1:$1,0)-MATCH($L$1,[2]enemies!$1:$1,0)+1,FALSE)</f>
        <v>3</v>
      </c>
      <c r="AB806" s="52">
        <v>350</v>
      </c>
      <c r="AC806" s="4" t="str">
        <f ca="1">VLOOKUP($AB806,OFFSET([3]characters!$A$1,0,0,COUNTA([3]characters!$A:$A),MATCH(AC$1,[3]characters!$1:$1,0)-MATCH("character_id",[3]characters!$1:$1,0)+1),MATCH(AC$1,[3]characters!$1:$1,0)-MATCH("character_id",[3]characters!$1:$1,0)+1,FALSE)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806" s="4">
        <f ca="1">VLOOKUP($AB806,OFFSET([3]characters!$A$1,0,0,COUNTA([3]characters!$A:$A),MATCH(AD$1,[3]characters!$1:$1,0)-MATCH("character_id",[3]characters!$1:$1,0)+1),MATCH(AD$1,[3]characters!$1:$1,0)-MATCH("character_id",[3]characters!$1:$1,0)+1,FALSE)</f>
        <v>2</v>
      </c>
      <c r="AE806" s="4" t="str">
        <f ca="1">VLOOKUP($AB806,OFFSET([3]characters!$A$1,0,0,COUNTA([3]characters!$A:$A),MATCH(AE$1,[3]characters!$1:$1,0)-MATCH("character_id",[3]characters!$1:$1,0)+1),MATCH(AE$1,[3]characters!$1:$1,0)-MATCH("character_id",[3]characters!$1:$1,0)+1,FALSE)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06" s="7">
        <v>10</v>
      </c>
      <c r="AG806" s="26">
        <f t="shared" ca="1" si="734"/>
        <v>2</v>
      </c>
      <c r="AH806" s="8">
        <v>20</v>
      </c>
      <c r="AI806" s="7">
        <v>0</v>
      </c>
      <c r="AJ806" s="7">
        <v>0</v>
      </c>
      <c r="AK806" s="7">
        <v>0</v>
      </c>
      <c r="AL806" s="7">
        <v>0</v>
      </c>
      <c r="AM806" s="7">
        <v>1</v>
      </c>
    </row>
    <row r="807" spans="1:39" ht="14" x14ac:dyDescent="0.15">
      <c r="A807" s="18" t="str">
        <f t="shared" ca="1" si="744"/>
        <v>26_3-4/354&lt;lv54&gt;s3</v>
      </c>
      <c r="B807" s="53">
        <v>26</v>
      </c>
      <c r="C807" s="51">
        <v>3</v>
      </c>
      <c r="D807" s="2" t="str">
        <f t="shared" si="750"/>
        <v>26_3</v>
      </c>
      <c r="E807" s="2" t="str">
        <f t="shared" si="751"/>
        <v>3_26_3</v>
      </c>
      <c r="F807" s="4" t="str">
        <f ca="1">VLOOKUP($D807,OFFSET([1]stages!$A$1,0,0,COUNTA([1]stages!$A:$A),MATCH(F$1,[1]stages!$2:$2,0)-MATCH($D$1,[1]stages!$2:$2,0)+1),MATCH(F$1,[1]stages!$2:$2,0)-MATCH($D$1,[1]stages!$2:$2,0)+1,FALSE)</f>
        <v>26-3．荒ぶる電飾</v>
      </c>
      <c r="G807" s="57">
        <v>4</v>
      </c>
      <c r="H807" s="17" t="str">
        <f t="shared" si="752"/>
        <v>26_3-4</v>
      </c>
      <c r="I807" s="17"/>
      <c r="J807" s="17"/>
      <c r="K807" s="65" t="s">
        <v>56</v>
      </c>
      <c r="L807" s="52">
        <v>354</v>
      </c>
      <c r="M807" s="21" t="str">
        <f ca="1">VLOOKUP($L807,OFFSET([2]enemies!$A$1,0,0,COUNTA([2]enemies!$A:$A),MATCH(M$1,[2]enemies!$1:$1,0)-MATCH($L$1,[2]enemies!$1:$1,0)+1),MATCH(M$1,[2]enemies!$1:$1,0)-MATCH($L$1,[2]enemies!$1:$1,0)+1,FALSE)</f>
        <v>雷のケロケロ</v>
      </c>
      <c r="N807" s="21" t="str">
        <f ca="1">VLOOKUP($L807,OFFSET([2]enemies!$A$1,0,0,COUNTA([2]enemies!$A:$A),MATCH(N$1,[2]enemies!$1:$1,0)-MATCH($L$1,[2]enemies!$1:$1,0)+1),MATCH(N$1,[2]enemies!$1:$1,0)-MATCH($L$1,[2]enemies!$1:$1,0)+1,FALSE)</f>
        <v>yellow</v>
      </c>
      <c r="O807" s="21" t="str">
        <f ca="1">VLOOKUP($L807,OFFSET([3]characters!$A$1,0,0,COUNTA([3]characters!$A:$A),MATCH(O$1,[3]characters!$1:$1,0)-MATCH($L$1,[3]characters!$1:$1,0)+1),MATCH(O$1,[3]characters!$1:$1,0)-MATCH($L$1,[3]characters!$1:$1,0)+1,FALSE)</f>
        <v>Material</v>
      </c>
      <c r="P807" s="21" t="str">
        <f ca="1">VLOOKUP($L807,OFFSET([2]enemies!$A$1,0,0,COUNTA([2]enemies!$A:$A),MATCH(P$1,[2]enemies!$1:$1,0)-MATCH($L$1,[2]enemies!$1:$1,0)+1),MATCH(P$1,[2]enemies!$1:$1,0)-MATCH($L$1,[2]enemies!$1:$1,0)+1,FALSE)</f>
        <v>unknown</v>
      </c>
      <c r="Q807" s="21">
        <f ca="1">VLOOKUP($L807,OFFSET([2]enemies!$A$1,0,0,COUNTA([2]enemies!$A:$A),MATCH(Q$1,[2]enemies!$1:$1,0)-MATCH($L$1,[2]enemies!$1:$1,0)+1),MATCH(Q$1,[2]enemies!$1:$1,0)-MATCH($L$1,[2]enemies!$1:$1,0)+1,FALSE)</f>
        <v>15</v>
      </c>
      <c r="R807" s="53">
        <v>54</v>
      </c>
      <c r="S807" s="27">
        <v>1</v>
      </c>
      <c r="T807" s="27">
        <v>1</v>
      </c>
      <c r="U807" s="5">
        <v>0</v>
      </c>
      <c r="V807" s="4" t="str">
        <f ca="1">VLOOKUP($W807,OFFSET([4]enemy_skill_sets!$B$1,0,0,COUNTA([4]enemy_skill_sets!$B:$B),MATCH(M$1,[4]enemy_skill_sets!$1:$1,0)-MATCH($W$1,[4]enemy_skill_sets!$1:$1,0)+2),MATCH(M$1,[4]enemy_skill_sets!$1:$1,0)-MATCH($W$1,[4]enemy_skill_sets!$1:$1,0)+2,FALSE)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807" s="64">
        <v>354</v>
      </c>
      <c r="X807" s="6">
        <v>0</v>
      </c>
      <c r="Y807" s="6">
        <v>100</v>
      </c>
      <c r="Z807" s="6">
        <v>0</v>
      </c>
      <c r="AA807" s="4">
        <f ca="1">VLOOKUP($L807,OFFSET([2]enemies!$A$1,0,0,COUNTA([2]enemies!$A:$A),MATCH(AA$1,[2]enemies!$1:$1,0)-MATCH($L$1,[2]enemies!$1:$1,0)+1),MATCH(AA$1,[2]enemies!$1:$1,0)-MATCH($L$1,[2]enemies!$1:$1,0)+1,FALSE)</f>
        <v>3</v>
      </c>
      <c r="AB807" s="52">
        <v>354</v>
      </c>
      <c r="AC807" s="4" t="str">
        <f ca="1">VLOOKUP($AB807,OFFSET([3]characters!$A$1,0,0,COUNTA([3]characters!$A:$A),MATCH(AC$1,[3]characters!$1:$1,0)-MATCH("character_id",[3]characters!$1:$1,0)+1),MATCH(AC$1,[3]characters!$1:$1,0)-MATCH("character_id",[3]characters!$1:$1,0)+1,FALSE)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807" s="4">
        <f ca="1">VLOOKUP($AB807,OFFSET([3]characters!$A$1,0,0,COUNTA([3]characters!$A:$A),MATCH(AD$1,[3]characters!$1:$1,0)-MATCH("character_id",[3]characters!$1:$1,0)+1),MATCH(AD$1,[3]characters!$1:$1,0)-MATCH("character_id",[3]characters!$1:$1,0)+1,FALSE)</f>
        <v>2</v>
      </c>
      <c r="AE807" s="4" t="str">
        <f ca="1">VLOOKUP($AB807,OFFSET([3]characters!$A$1,0,0,COUNTA([3]characters!$A:$A),MATCH(AE$1,[3]characters!$1:$1,0)-MATCH("character_id",[3]characters!$1:$1,0)+1),MATCH(AE$1,[3]characters!$1:$1,0)-MATCH("character_id",[3]characters!$1:$1,0)+1,FALSE)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07" s="7">
        <v>10</v>
      </c>
      <c r="AG807" s="26">
        <f t="shared" ca="1" si="734"/>
        <v>2</v>
      </c>
      <c r="AH807" s="8">
        <v>20</v>
      </c>
      <c r="AI807" s="7">
        <v>0</v>
      </c>
      <c r="AJ807" s="7">
        <v>0</v>
      </c>
      <c r="AK807" s="7">
        <v>0</v>
      </c>
      <c r="AL807" s="7">
        <v>0</v>
      </c>
      <c r="AM807" s="7">
        <v>1</v>
      </c>
    </row>
    <row r="808" spans="1:39" ht="14" x14ac:dyDescent="0.15">
      <c r="A808" s="18" t="str">
        <f t="shared" ca="1" si="744"/>
        <v>26_3-5/176&lt;lv59&gt;s2</v>
      </c>
      <c r="B808" s="50">
        <v>26</v>
      </c>
      <c r="C808" s="49">
        <v>3</v>
      </c>
      <c r="D808" s="2" t="str">
        <f t="shared" si="745"/>
        <v>26_3</v>
      </c>
      <c r="E808" s="2" t="str">
        <f t="shared" si="745"/>
        <v>3_26_3</v>
      </c>
      <c r="F808" s="4" t="str">
        <f ca="1">VLOOKUP($D808,OFFSET([1]stages!$A$1,0,0,COUNTA([1]stages!$A:$A),MATCH(F$1,[1]stages!$2:$2,0)-MATCH($D$1,[1]stages!$2:$2,0)+1),MATCH(F$1,[1]stages!$2:$2,0)-MATCH($D$1,[1]stages!$2:$2,0)+1,FALSE)</f>
        <v>26-3．荒ぶる電飾</v>
      </c>
      <c r="G808" s="54">
        <v>5</v>
      </c>
      <c r="H808" s="17" t="str">
        <f t="shared" si="746"/>
        <v>26_3-5</v>
      </c>
      <c r="I808" s="17"/>
      <c r="J808" s="17"/>
      <c r="K808" s="65" t="s">
        <v>56</v>
      </c>
      <c r="L808" s="52">
        <v>176</v>
      </c>
      <c r="M808" s="21" t="str">
        <f ca="1">VLOOKUP($L808,OFFSET([2]enemies!$A$1,0,0,COUNTA([2]enemies!$A:$A),MATCH(M$1,[2]enemies!$1:$1,0)-MATCH($L$1,[2]enemies!$1:$1,0)+1),MATCH(M$1,[2]enemies!$1:$1,0)-MATCH($L$1,[2]enemies!$1:$1,0)+1,FALSE)</f>
        <v>異教徒 バフォメット</v>
      </c>
      <c r="N808" s="21" t="str">
        <f ca="1">VLOOKUP($L808,OFFSET([2]enemies!$A$1,0,0,COUNTA([2]enemies!$A:$A),MATCH(N$1,[2]enemies!$1:$1,0)-MATCH($L$1,[2]enemies!$1:$1,0)+1),MATCH(N$1,[2]enemies!$1:$1,0)-MATCH($L$1,[2]enemies!$1:$1,0)+1,FALSE)</f>
        <v>yellow</v>
      </c>
      <c r="O808" s="21" t="str">
        <f ca="1">VLOOKUP($L808,OFFSET([3]characters!$A$1,0,0,COUNTA([3]characters!$A:$A),MATCH(O$1,[3]characters!$1:$1,0)-MATCH($L$1,[3]characters!$1:$1,0)+1),MATCH(O$1,[3]characters!$1:$1,0)-MATCH($L$1,[3]characters!$1:$1,0)+1,FALSE)</f>
        <v>PremiumN</v>
      </c>
      <c r="P808" s="21" t="str">
        <f ca="1">VLOOKUP($L808,OFFSET([2]enemies!$A$1,0,0,COUNTA([2]enemies!$A:$A),MATCH(P$1,[2]enemies!$1:$1,0)-MATCH($L$1,[2]enemies!$1:$1,0)+1),MATCH(P$1,[2]enemies!$1:$1,0)-MATCH($L$1,[2]enemies!$1:$1,0)+1,FALSE)</f>
        <v>god</v>
      </c>
      <c r="Q808" s="21">
        <f ca="1">VLOOKUP($L808,OFFSET([2]enemies!$A$1,0,0,COUNTA([2]enemies!$A:$A),MATCH(Q$1,[2]enemies!$1:$1,0)-MATCH($L$1,[2]enemies!$1:$1,0)+1),MATCH(Q$1,[2]enemies!$1:$1,0)-MATCH($L$1,[2]enemies!$1:$1,0)+1,FALSE)</f>
        <v>30</v>
      </c>
      <c r="R808" s="53">
        <v>59</v>
      </c>
      <c r="S808" s="27">
        <v>1.3</v>
      </c>
      <c r="T808" s="27">
        <v>0.5</v>
      </c>
      <c r="U808" s="5">
        <v>0</v>
      </c>
      <c r="V808" s="4" t="str">
        <f ca="1">VLOOKUP($W808,OFFSET([4]enemy_skill_sets!$B$1,0,0,COUNTA([4]enemy_skill_sets!$B:$B),MATCH(M$1,[4]enemy_skill_sets!$1:$1,0)-MATCH($W$1,[4]enemy_skill_sets!$1:$1,0)+2),MATCH(M$1,[4]enemy_skill_sets!$1:$1,0)-MATCH($W$1,[4]enemy_skill_sets!$1:$1,0)+2,FALSE)</f>
        <v>4ターン緑パネルが使えない！</v>
      </c>
      <c r="W808" s="64">
        <v>17601</v>
      </c>
      <c r="X808" s="6">
        <v>1</v>
      </c>
      <c r="Y808" s="6">
        <v>100</v>
      </c>
      <c r="Z808" s="6">
        <v>1</v>
      </c>
      <c r="AA808" s="4">
        <f ca="1">VLOOKUP($L808,OFFSET([2]enemies!$A$1,0,0,COUNTA([2]enemies!$A:$A),MATCH(AA$1,[2]enemies!$1:$1,0)-MATCH($L$1,[2]enemies!$1:$1,0)+1),MATCH(AA$1,[2]enemies!$1:$1,0)-MATCH($L$1,[2]enemies!$1:$1,0)+1,FALSE)</f>
        <v>2</v>
      </c>
      <c r="AB808" s="52">
        <v>175</v>
      </c>
      <c r="AC808" s="4" t="str">
        <f ca="1">VLOOKUP($AB808,OFFSET([3]characters!$A$1,0,0,COUNTA([3]characters!$A:$A),MATCH(AC$1,[3]characters!$1:$1,0)-MATCH("character_id",[3]characters!$1:$1,0)+1),MATCH(AC$1,[3]characters!$1:$1,0)-MATCH("character_id",[3]characters!$1:$1,0)+1,FALSE)</f>
        <v>バフォメット</v>
      </c>
      <c r="AD808" s="4">
        <f ca="1">VLOOKUP($AB808,OFFSET([3]characters!$A$1,0,0,COUNTA([3]characters!$A:$A),MATCH(AD$1,[3]characters!$1:$1,0)-MATCH("character_id",[3]characters!$1:$1,0)+1),MATCH(AD$1,[3]characters!$1:$1,0)-MATCH("character_id",[3]characters!$1:$1,0)+1,FALSE)</f>
        <v>3</v>
      </c>
      <c r="AE808" s="4" t="str">
        <f ca="1">VLOOKUP($AB808,OFFSET([3]characters!$A$1,0,0,COUNTA([3]characters!$A:$A),MATCH(AE$1,[3]characters!$1:$1,0)-MATCH("character_id",[3]characters!$1:$1,0)+1),MATCH(AE$1,[3]characters!$1:$1,0)-MATCH("character_id",[3]characters!$1:$1,0)+1,FALSE)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808" s="7">
        <v>1</v>
      </c>
      <c r="AG808" s="26">
        <f t="shared" ca="1" si="734"/>
        <v>3</v>
      </c>
      <c r="AH808" s="8">
        <v>0</v>
      </c>
      <c r="AI808" s="7">
        <v>0</v>
      </c>
      <c r="AJ808" s="7">
        <v>0</v>
      </c>
      <c r="AK808" s="7">
        <v>0</v>
      </c>
      <c r="AL808" s="7">
        <v>0</v>
      </c>
      <c r="AM808" s="7">
        <v>1</v>
      </c>
    </row>
    <row r="809" spans="1:39" ht="14" x14ac:dyDescent="0.15">
      <c r="A809" s="18" t="str">
        <f t="shared" ca="1" si="744"/>
        <v>26_3-5/170&lt;lv59&gt;s2</v>
      </c>
      <c r="B809" s="53">
        <v>26</v>
      </c>
      <c r="C809" s="51">
        <v>3</v>
      </c>
      <c r="D809" s="2" t="str">
        <f t="shared" ref="D809:E809" si="753">B809&amp;"_"&amp;C809</f>
        <v>26_3</v>
      </c>
      <c r="E809" s="2" t="str">
        <f t="shared" si="753"/>
        <v>3_26_3</v>
      </c>
      <c r="F809" s="4" t="str">
        <f ca="1">VLOOKUP($D809,OFFSET([1]stages!$A$1,0,0,COUNTA([1]stages!$A:$A),MATCH(F$1,[1]stages!$2:$2,0)-MATCH($D$1,[1]stages!$2:$2,0)+1),MATCH(F$1,[1]stages!$2:$2,0)-MATCH($D$1,[1]stages!$2:$2,0)+1,FALSE)</f>
        <v>26-3．荒ぶる電飾</v>
      </c>
      <c r="G809" s="54">
        <v>5</v>
      </c>
      <c r="H809" s="17" t="str">
        <f t="shared" ref="H809" si="754">B809&amp;"_"&amp;C809&amp;"-"&amp;G809</f>
        <v>26_3-5</v>
      </c>
      <c r="I809" s="17"/>
      <c r="J809" s="17"/>
      <c r="K809" s="65" t="s">
        <v>56</v>
      </c>
      <c r="L809" s="52">
        <v>170</v>
      </c>
      <c r="M809" s="21" t="str">
        <f ca="1">VLOOKUP($L809,OFFSET([2]enemies!$A$1,0,0,COUNTA([2]enemies!$A:$A),MATCH(M$1,[2]enemies!$1:$1,0)-MATCH($L$1,[2]enemies!$1:$1,0)+1),MATCH(M$1,[2]enemies!$1:$1,0)-MATCH($L$1,[2]enemies!$1:$1,0)+1,FALSE)</f>
        <v>識徒 オセ</v>
      </c>
      <c r="N809" s="21" t="str">
        <f ca="1">VLOOKUP($L809,OFFSET([2]enemies!$A$1,0,0,COUNTA([2]enemies!$A:$A),MATCH(N$1,[2]enemies!$1:$1,0)-MATCH($L$1,[2]enemies!$1:$1,0)+1),MATCH(N$1,[2]enemies!$1:$1,0)-MATCH($L$1,[2]enemies!$1:$1,0)+1,FALSE)</f>
        <v>green</v>
      </c>
      <c r="O809" s="21" t="str">
        <f ca="1">VLOOKUP($L809,OFFSET([3]characters!$A$1,0,0,COUNTA([3]characters!$A:$A),MATCH(O$1,[3]characters!$1:$1,0)-MATCH($L$1,[3]characters!$1:$1,0)+1),MATCH(O$1,[3]characters!$1:$1,0)-MATCH($L$1,[3]characters!$1:$1,0)+1,FALSE)</f>
        <v>PremiumN</v>
      </c>
      <c r="P809" s="21" t="str">
        <f ca="1">VLOOKUP($L809,OFFSET([2]enemies!$A$1,0,0,COUNTA([2]enemies!$A:$A),MATCH(P$1,[2]enemies!$1:$1,0)-MATCH($L$1,[2]enemies!$1:$1,0)+1),MATCH(P$1,[2]enemies!$1:$1,0)-MATCH($L$1,[2]enemies!$1:$1,0)+1,FALSE)</f>
        <v>god</v>
      </c>
      <c r="Q809" s="21">
        <f ca="1">VLOOKUP($L809,OFFSET([2]enemies!$A$1,0,0,COUNTA([2]enemies!$A:$A),MATCH(Q$1,[2]enemies!$1:$1,0)-MATCH($L$1,[2]enemies!$1:$1,0)+1),MATCH(Q$1,[2]enemies!$1:$1,0)-MATCH($L$1,[2]enemies!$1:$1,0)+1,FALSE)</f>
        <v>30</v>
      </c>
      <c r="R809" s="53">
        <v>59</v>
      </c>
      <c r="S809" s="27">
        <v>1.4</v>
      </c>
      <c r="T809" s="27">
        <v>0.6</v>
      </c>
      <c r="U809" s="5">
        <v>0</v>
      </c>
      <c r="V809" s="4" t="str">
        <f ca="1">VLOOKUP($W809,OFFSET([4]enemy_skill_sets!$B$1,0,0,COUNTA([4]enemy_skill_sets!$B:$B),MATCH(M$1,[4]enemy_skill_sets!$1:$1,0)-MATCH($W$1,[4]enemy_skill_sets!$1:$1,0)+2),MATCH(M$1,[4]enemy_skill_sets!$1:$1,0)-MATCH($W$1,[4]enemy_skill_sets!$1:$1,0)+2,FALSE)</f>
        <v>赤属性の敵に大ダメージの攻撃</v>
      </c>
      <c r="W809" s="64">
        <v>17001</v>
      </c>
      <c r="X809" s="6">
        <v>1</v>
      </c>
      <c r="Y809" s="6">
        <v>100</v>
      </c>
      <c r="Z809" s="6">
        <v>1</v>
      </c>
      <c r="AA809" s="4">
        <f ca="1">VLOOKUP($L809,OFFSET([2]enemies!$A$1,0,0,COUNTA([2]enemies!$A:$A),MATCH(AA$1,[2]enemies!$1:$1,0)-MATCH($L$1,[2]enemies!$1:$1,0)+1),MATCH(AA$1,[2]enemies!$1:$1,0)-MATCH($L$1,[2]enemies!$1:$1,0)+1,FALSE)</f>
        <v>2</v>
      </c>
      <c r="AB809" s="52">
        <v>169</v>
      </c>
      <c r="AC809" s="4" t="str">
        <f ca="1">VLOOKUP($AB809,OFFSET([3]characters!$A$1,0,0,COUNTA([3]characters!$A:$A),MATCH(AC$1,[3]characters!$1:$1,0)-MATCH("character_id",[3]characters!$1:$1,0)+1),MATCH(AC$1,[3]characters!$1:$1,0)-MATCH("character_id",[3]characters!$1:$1,0)+1,FALSE)</f>
        <v>オセ</v>
      </c>
      <c r="AD809" s="4">
        <f ca="1">VLOOKUP($AB809,OFFSET([3]characters!$A$1,0,0,COUNTA([3]characters!$A:$A),MATCH(AD$1,[3]characters!$1:$1,0)-MATCH("character_id",[3]characters!$1:$1,0)+1),MATCH(AD$1,[3]characters!$1:$1,0)-MATCH("character_id",[3]characters!$1:$1,0)+1,FALSE)</f>
        <v>3</v>
      </c>
      <c r="AE809" s="4" t="str">
        <f ca="1">VLOOKUP($AB809,OFFSET([3]characters!$A$1,0,0,COUNTA([3]characters!$A:$A),MATCH(AE$1,[3]characters!$1:$1,0)-MATCH("character_id",[3]characters!$1:$1,0)+1),MATCH(AE$1,[3]characters!$1:$1,0)-MATCH("character_id",[3]characters!$1:$1,0)+1,FALSE)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809" s="7">
        <v>1</v>
      </c>
      <c r="AG809" s="26">
        <f t="shared" ca="1" si="734"/>
        <v>3</v>
      </c>
      <c r="AH809" s="8">
        <v>0</v>
      </c>
      <c r="AI809" s="7">
        <v>0</v>
      </c>
      <c r="AJ809" s="7">
        <v>0</v>
      </c>
      <c r="AK809" s="7">
        <v>0</v>
      </c>
      <c r="AL809" s="7">
        <v>0</v>
      </c>
      <c r="AM809" s="7">
        <v>1</v>
      </c>
    </row>
    <row r="810" spans="1:39" ht="14" x14ac:dyDescent="0.15">
      <c r="A810" s="18" t="str">
        <f t="shared" ca="1" si="744"/>
        <v>26_4-1/9&lt;lv56&gt;s2</v>
      </c>
      <c r="B810" s="50">
        <v>26</v>
      </c>
      <c r="C810" s="49">
        <v>4</v>
      </c>
      <c r="D810" s="2" t="str">
        <f t="shared" si="745"/>
        <v>26_4</v>
      </c>
      <c r="E810" s="2" t="str">
        <f t="shared" si="745"/>
        <v>4_26_4</v>
      </c>
      <c r="F810" s="4" t="str">
        <f ca="1">VLOOKUP($D810,OFFSET([1]stages!$A$1,0,0,COUNTA([1]stages!$A:$A),MATCH(F$1,[1]stages!$2:$2,0)-MATCH($D$1,[1]stages!$2:$2,0)+1),MATCH(F$1,[1]stages!$2:$2,0)-MATCH($D$1,[1]stages!$2:$2,0)+1,FALSE)</f>
        <v>26-4．今夜はダークナイト</v>
      </c>
      <c r="G810" s="55">
        <v>1</v>
      </c>
      <c r="H810" s="17" t="str">
        <f t="shared" si="746"/>
        <v>26_4-1</v>
      </c>
      <c r="I810" s="17"/>
      <c r="J810" s="17"/>
      <c r="K810" s="65" t="s">
        <v>56</v>
      </c>
      <c r="L810" s="52">
        <v>9</v>
      </c>
      <c r="M810" s="21" t="str">
        <f ca="1">VLOOKUP($L810,OFFSET([2]enemies!$A$1,0,0,COUNTA([2]enemies!$A:$A),MATCH(M$1,[2]enemies!$1:$1,0)-MATCH($L$1,[2]enemies!$1:$1,0)+1),MATCH(M$1,[2]enemies!$1:$1,0)-MATCH($L$1,[2]enemies!$1:$1,0)+1,FALSE)</f>
        <v>ブレット</v>
      </c>
      <c r="N810" s="21" t="str">
        <f ca="1">VLOOKUP($L810,OFFSET([2]enemies!$A$1,0,0,COUNTA([2]enemies!$A:$A),MATCH(N$1,[2]enemies!$1:$1,0)-MATCH($L$1,[2]enemies!$1:$1,0)+1),MATCH(N$1,[2]enemies!$1:$1,0)-MATCH($L$1,[2]enemies!$1:$1,0)+1,FALSE)</f>
        <v>red</v>
      </c>
      <c r="O810" s="21" t="str">
        <f ca="1">VLOOKUP($L810,OFFSET([3]characters!$A$1,0,0,COUNTA([3]characters!$A:$A),MATCH(O$1,[3]characters!$1:$1,0)-MATCH($L$1,[3]characters!$1:$1,0)+1),MATCH(O$1,[3]characters!$1:$1,0)-MATCH($L$1,[3]characters!$1:$1,0)+1,FALSE)</f>
        <v>Drop1W</v>
      </c>
      <c r="P810" s="21" t="str">
        <f ca="1">VLOOKUP($L810,OFFSET([2]enemies!$A$1,0,0,COUNTA([2]enemies!$A:$A),MATCH(P$1,[2]enemies!$1:$1,0)-MATCH($L$1,[2]enemies!$1:$1,0)+1),MATCH(P$1,[2]enemies!$1:$1,0)-MATCH($L$1,[2]enemies!$1:$1,0)+1,FALSE)</f>
        <v>animal</v>
      </c>
      <c r="Q810" s="21">
        <f ca="1">VLOOKUP($L810,OFFSET([2]enemies!$A$1,0,0,COUNTA([2]enemies!$A:$A),MATCH(Q$1,[2]enemies!$1:$1,0)-MATCH($L$1,[2]enemies!$1:$1,0)+1),MATCH(Q$1,[2]enemies!$1:$1,0)-MATCH($L$1,[2]enemies!$1:$1,0)+1,FALSE)</f>
        <v>15</v>
      </c>
      <c r="R810" s="53">
        <v>56</v>
      </c>
      <c r="S810" s="27">
        <v>1</v>
      </c>
      <c r="T810" s="27">
        <v>1</v>
      </c>
      <c r="U810" s="5">
        <v>0</v>
      </c>
      <c r="V810" s="4" t="str">
        <f ca="1">VLOOKUP($W810,OFFSET([4]enemy_skill_sets!$B$1,0,0,COUNTA([4]enemy_skill_sets!$B:$B),MATCH(M$1,[4]enemy_skill_sets!$1:$1,0)-MATCH($W$1,[4]enemy_skill_sets!$1:$1,0)+2),MATCH(M$1,[4]enemy_skill_sets!$1:$1,0)-MATCH($W$1,[4]enemy_skill_sets!$1:$1,0)+2,FALSE)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10" s="4">
        <f ca="1">VLOOKUP($L810,OFFSET([2]enemies!$A$1,0,0,COUNTA([2]enemies!$A:$A),MATCH(W$1,[2]enemies!$1:$1,0)-MATCH($L$1,[2]enemies!$1:$1,0)+1),MATCH(W$1,[2]enemies!$1:$1,0)-MATCH($L$1,[2]enemies!$1:$1,0)+1,FALSE)</f>
        <v>0</v>
      </c>
      <c r="X810" s="6">
        <v>0</v>
      </c>
      <c r="Y810" s="6">
        <v>100</v>
      </c>
      <c r="Z810" s="6">
        <v>0</v>
      </c>
      <c r="AA810" s="4">
        <f ca="1">VLOOKUP($L810,OFFSET([2]enemies!$A$1,0,0,COUNTA([2]enemies!$A:$A),MATCH(AA$1,[2]enemies!$1:$1,0)-MATCH($L$1,[2]enemies!$1:$1,0)+1),MATCH(AA$1,[2]enemies!$1:$1,0)-MATCH($L$1,[2]enemies!$1:$1,0)+1,FALSE)</f>
        <v>2</v>
      </c>
      <c r="AB810" s="52">
        <v>9</v>
      </c>
      <c r="AC810" s="4" t="str">
        <f ca="1">VLOOKUP($AB810,OFFSET([3]characters!$A$1,0,0,COUNTA([3]characters!$A:$A),MATCH(AC$1,[3]characters!$1:$1,0)-MATCH("character_id",[3]characters!$1:$1,0)+1),MATCH(AC$1,[3]characters!$1:$1,0)-MATCH("character_id",[3]characters!$1:$1,0)+1,FALSE)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810" s="4">
        <f ca="1">VLOOKUP($AB810,OFFSET([3]characters!$A$1,0,0,COUNTA([3]characters!$A:$A),MATCH(AD$1,[3]characters!$1:$1,0)-MATCH("character_id",[3]characters!$1:$1,0)+1),MATCH(AD$1,[3]characters!$1:$1,0)-MATCH("character_id",[3]characters!$1:$1,0)+1,FALSE)</f>
        <v>1</v>
      </c>
      <c r="AE810" s="4" t="str">
        <f ca="1">VLOOKUP($AB810,OFFSET([3]characters!$A$1,0,0,COUNTA([3]characters!$A:$A),MATCH(AE$1,[3]characters!$1:$1,0)-MATCH("character_id",[3]characters!$1:$1,0)+1),MATCH(AE$1,[3]characters!$1:$1,0)-MATCH("character_id",[3]characters!$1:$1,0)+1,FALSE)</f>
        <v>Drop1W</v>
      </c>
      <c r="AF810" s="7">
        <v>9</v>
      </c>
      <c r="AG810" s="26">
        <f t="shared" ca="1" si="734"/>
        <v>1</v>
      </c>
      <c r="AH810" s="8">
        <v>20</v>
      </c>
      <c r="AI810" s="7">
        <v>0</v>
      </c>
      <c r="AJ810" s="7">
        <v>0</v>
      </c>
      <c r="AK810" s="7">
        <v>0</v>
      </c>
      <c r="AL810" s="7">
        <v>0</v>
      </c>
      <c r="AM810" s="7">
        <v>1</v>
      </c>
    </row>
    <row r="811" spans="1:39" ht="14" x14ac:dyDescent="0.15">
      <c r="A811" s="18" t="str">
        <f t="shared" ca="1" si="744"/>
        <v>26_4-1/11&lt;lv56&gt;s3</v>
      </c>
      <c r="B811" s="50">
        <v>26</v>
      </c>
      <c r="C811" s="49">
        <v>4</v>
      </c>
      <c r="D811" s="2" t="str">
        <f t="shared" si="745"/>
        <v>26_4</v>
      </c>
      <c r="E811" s="2" t="str">
        <f t="shared" si="745"/>
        <v>4_26_4</v>
      </c>
      <c r="F811" s="4" t="str">
        <f ca="1">VLOOKUP($D811,OFFSET([1]stages!$A$1,0,0,COUNTA([1]stages!$A:$A),MATCH(F$1,[1]stages!$2:$2,0)-MATCH($D$1,[1]stages!$2:$2,0)+1),MATCH(F$1,[1]stages!$2:$2,0)-MATCH($D$1,[1]stages!$2:$2,0)+1,FALSE)</f>
        <v>26-4．今夜はダークナイト</v>
      </c>
      <c r="G811" s="55">
        <v>1</v>
      </c>
      <c r="H811" s="17" t="str">
        <f t="shared" si="746"/>
        <v>26_4-1</v>
      </c>
      <c r="I811" s="17"/>
      <c r="J811" s="17"/>
      <c r="K811" s="65" t="s">
        <v>56</v>
      </c>
      <c r="L811" s="52">
        <v>11</v>
      </c>
      <c r="M811" s="21" t="str">
        <f ca="1">VLOOKUP($L811,OFFSET([2]enemies!$A$1,0,0,COUNTA([2]enemies!$A:$A),MATCH(M$1,[2]enemies!$1:$1,0)-MATCH($L$1,[2]enemies!$1:$1,0)+1),MATCH(M$1,[2]enemies!$1:$1,0)-MATCH($L$1,[2]enemies!$1:$1,0)+1,FALSE)</f>
        <v>マグリット</v>
      </c>
      <c r="N811" s="21" t="str">
        <f ca="1">VLOOKUP($L811,OFFSET([2]enemies!$A$1,0,0,COUNTA([2]enemies!$A:$A),MATCH(N$1,[2]enemies!$1:$1,0)-MATCH($L$1,[2]enemies!$1:$1,0)+1),MATCH(N$1,[2]enemies!$1:$1,0)-MATCH($L$1,[2]enemies!$1:$1,0)+1,FALSE)</f>
        <v>green</v>
      </c>
      <c r="O811" s="21" t="str">
        <f ca="1">VLOOKUP($L811,OFFSET([3]characters!$A$1,0,0,COUNTA([3]characters!$A:$A),MATCH(O$1,[3]characters!$1:$1,0)-MATCH($L$1,[3]characters!$1:$1,0)+1),MATCH(O$1,[3]characters!$1:$1,0)-MATCH($L$1,[3]characters!$1:$1,0)+1,FALSE)</f>
        <v>Drop1W</v>
      </c>
      <c r="P811" s="21" t="str">
        <f ca="1">VLOOKUP($L811,OFFSET([2]enemies!$A$1,0,0,COUNTA([2]enemies!$A:$A),MATCH(P$1,[2]enemies!$1:$1,0)-MATCH($L$1,[2]enemies!$1:$1,0)+1),MATCH(P$1,[2]enemies!$1:$1,0)-MATCH($L$1,[2]enemies!$1:$1,0)+1,FALSE)</f>
        <v>animal</v>
      </c>
      <c r="Q811" s="21">
        <f ca="1">VLOOKUP($L811,OFFSET([2]enemies!$A$1,0,0,COUNTA([2]enemies!$A:$A),MATCH(Q$1,[2]enemies!$1:$1,0)-MATCH($L$1,[2]enemies!$1:$1,0)+1),MATCH(Q$1,[2]enemies!$1:$1,0)-MATCH($L$1,[2]enemies!$1:$1,0)+1,FALSE)</f>
        <v>15</v>
      </c>
      <c r="R811" s="53">
        <v>56</v>
      </c>
      <c r="S811" s="27">
        <v>1</v>
      </c>
      <c r="T811" s="27">
        <v>1</v>
      </c>
      <c r="U811" s="5">
        <v>0</v>
      </c>
      <c r="V811" s="4" t="str">
        <f ca="1">VLOOKUP($W811,OFFSET([4]enemy_skill_sets!$B$1,0,0,COUNTA([4]enemy_skill_sets!$B:$B),MATCH(M$1,[4]enemy_skill_sets!$1:$1,0)-MATCH($W$1,[4]enemy_skill_sets!$1:$1,0)+2),MATCH(M$1,[4]enemy_skill_sets!$1:$1,0)-MATCH($W$1,[4]enemy_skill_sets!$1:$1,0)+2,FALSE)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11" s="4">
        <f ca="1">VLOOKUP($L811,OFFSET([2]enemies!$A$1,0,0,COUNTA([2]enemies!$A:$A),MATCH(W$1,[2]enemies!$1:$1,0)-MATCH($L$1,[2]enemies!$1:$1,0)+1),MATCH(W$1,[2]enemies!$1:$1,0)-MATCH($L$1,[2]enemies!$1:$1,0)+1,FALSE)</f>
        <v>0</v>
      </c>
      <c r="X811" s="6">
        <v>0</v>
      </c>
      <c r="Y811" s="6">
        <v>100</v>
      </c>
      <c r="Z811" s="6">
        <v>0</v>
      </c>
      <c r="AA811" s="4">
        <f ca="1">VLOOKUP($L811,OFFSET([2]enemies!$A$1,0,0,COUNTA([2]enemies!$A:$A),MATCH(AA$1,[2]enemies!$1:$1,0)-MATCH($L$1,[2]enemies!$1:$1,0)+1),MATCH(AA$1,[2]enemies!$1:$1,0)-MATCH($L$1,[2]enemies!$1:$1,0)+1,FALSE)</f>
        <v>3</v>
      </c>
      <c r="AB811" s="52">
        <v>11</v>
      </c>
      <c r="AC811" s="4" t="str">
        <f ca="1">VLOOKUP($AB811,OFFSET([3]characters!$A$1,0,0,COUNTA([3]characters!$A:$A),MATCH(AC$1,[3]characters!$1:$1,0)-MATCH("character_id",[3]characters!$1:$1,0)+1),MATCH(AC$1,[3]characters!$1:$1,0)-MATCH("character_id",[3]characters!$1:$1,0)+1,FALSE)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811" s="4">
        <f ca="1">VLOOKUP($AB811,OFFSET([3]characters!$A$1,0,0,COUNTA([3]characters!$A:$A),MATCH(AD$1,[3]characters!$1:$1,0)-MATCH("character_id",[3]characters!$1:$1,0)+1),MATCH(AD$1,[3]characters!$1:$1,0)-MATCH("character_id",[3]characters!$1:$1,0)+1,FALSE)</f>
        <v>1</v>
      </c>
      <c r="AE811" s="4" t="str">
        <f ca="1">VLOOKUP($AB811,OFFSET([3]characters!$A$1,0,0,COUNTA([3]characters!$A:$A),MATCH(AE$1,[3]characters!$1:$1,0)-MATCH("character_id",[3]characters!$1:$1,0)+1),MATCH(AE$1,[3]characters!$1:$1,0)-MATCH("character_id",[3]characters!$1:$1,0)+1,FALSE)</f>
        <v>Drop1W</v>
      </c>
      <c r="AF811" s="7">
        <v>9</v>
      </c>
      <c r="AG811" s="26">
        <f t="shared" ca="1" si="734"/>
        <v>1</v>
      </c>
      <c r="AH811" s="8">
        <v>20</v>
      </c>
      <c r="AI811" s="7">
        <v>0</v>
      </c>
      <c r="AJ811" s="7">
        <v>0</v>
      </c>
      <c r="AK811" s="7">
        <v>0</v>
      </c>
      <c r="AL811" s="7">
        <v>0</v>
      </c>
      <c r="AM811" s="7">
        <v>1</v>
      </c>
    </row>
    <row r="812" spans="1:39" ht="14" x14ac:dyDescent="0.15">
      <c r="A812" s="18" t="str">
        <f t="shared" ca="1" si="744"/>
        <v>26_4-1/13&lt;lv56&gt;s2</v>
      </c>
      <c r="B812" s="50">
        <v>26</v>
      </c>
      <c r="C812" s="49">
        <v>4</v>
      </c>
      <c r="D812" s="2" t="str">
        <f t="shared" si="745"/>
        <v>26_4</v>
      </c>
      <c r="E812" s="2" t="str">
        <f t="shared" si="745"/>
        <v>4_26_4</v>
      </c>
      <c r="F812" s="4" t="str">
        <f ca="1">VLOOKUP($D812,OFFSET([1]stages!$A$1,0,0,COUNTA([1]stages!$A:$A),MATCH(F$1,[1]stages!$2:$2,0)-MATCH($D$1,[1]stages!$2:$2,0)+1),MATCH(F$1,[1]stages!$2:$2,0)-MATCH($D$1,[1]stages!$2:$2,0)+1,FALSE)</f>
        <v>26-4．今夜はダークナイト</v>
      </c>
      <c r="G812" s="55">
        <v>1</v>
      </c>
      <c r="H812" s="17" t="str">
        <f t="shared" si="746"/>
        <v>26_4-1</v>
      </c>
      <c r="I812" s="17"/>
      <c r="J812" s="17"/>
      <c r="K812" s="65" t="s">
        <v>56</v>
      </c>
      <c r="L812" s="52">
        <v>13</v>
      </c>
      <c r="M812" s="21" t="str">
        <f ca="1">VLOOKUP($L812,OFFSET([2]enemies!$A$1,0,0,COUNTA([2]enemies!$A:$A),MATCH(M$1,[2]enemies!$1:$1,0)-MATCH($L$1,[2]enemies!$1:$1,0)+1),MATCH(M$1,[2]enemies!$1:$1,0)-MATCH($L$1,[2]enemies!$1:$1,0)+1,FALSE)</f>
        <v>ミミ</v>
      </c>
      <c r="N812" s="21" t="str">
        <f ca="1">VLOOKUP($L812,OFFSET([2]enemies!$A$1,0,0,COUNTA([2]enemies!$A:$A),MATCH(N$1,[2]enemies!$1:$1,0)-MATCH($L$1,[2]enemies!$1:$1,0)+1),MATCH(N$1,[2]enemies!$1:$1,0)-MATCH($L$1,[2]enemies!$1:$1,0)+1,FALSE)</f>
        <v>yellow</v>
      </c>
      <c r="O812" s="21" t="str">
        <f ca="1">VLOOKUP($L812,OFFSET([3]characters!$A$1,0,0,COUNTA([3]characters!$A:$A),MATCH(O$1,[3]characters!$1:$1,0)-MATCH($L$1,[3]characters!$1:$1,0)+1),MATCH(O$1,[3]characters!$1:$1,0)-MATCH($L$1,[3]characters!$1:$1,0)+1,FALSE)</f>
        <v>Drop1W</v>
      </c>
      <c r="P812" s="21" t="str">
        <f ca="1">VLOOKUP($L812,OFFSET([2]enemies!$A$1,0,0,COUNTA([2]enemies!$A:$A),MATCH(P$1,[2]enemies!$1:$1,0)-MATCH($L$1,[2]enemies!$1:$1,0)+1),MATCH(P$1,[2]enemies!$1:$1,0)-MATCH($L$1,[2]enemies!$1:$1,0)+1,FALSE)</f>
        <v>animal</v>
      </c>
      <c r="Q812" s="21">
        <f ca="1">VLOOKUP($L812,OFFSET([2]enemies!$A$1,0,0,COUNTA([2]enemies!$A:$A),MATCH(Q$1,[2]enemies!$1:$1,0)-MATCH($L$1,[2]enemies!$1:$1,0)+1),MATCH(Q$1,[2]enemies!$1:$1,0)-MATCH($L$1,[2]enemies!$1:$1,0)+1,FALSE)</f>
        <v>15</v>
      </c>
      <c r="R812" s="53">
        <v>56</v>
      </c>
      <c r="S812" s="27">
        <v>1</v>
      </c>
      <c r="T812" s="27">
        <v>1</v>
      </c>
      <c r="U812" s="5">
        <v>0</v>
      </c>
      <c r="V812" s="4" t="str">
        <f ca="1">VLOOKUP($W812,OFFSET([4]enemy_skill_sets!$B$1,0,0,COUNTA([4]enemy_skill_sets!$B:$B),MATCH(M$1,[4]enemy_skill_sets!$1:$1,0)-MATCH($W$1,[4]enemy_skill_sets!$1:$1,0)+2),MATCH(M$1,[4]enemy_skill_sets!$1:$1,0)-MATCH($W$1,[4]enemy_skill_sets!$1:$1,0)+2,FALSE)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12" s="4">
        <f ca="1">VLOOKUP($L812,OFFSET([2]enemies!$A$1,0,0,COUNTA([2]enemies!$A:$A),MATCH(W$1,[2]enemies!$1:$1,0)-MATCH($L$1,[2]enemies!$1:$1,0)+1),MATCH(W$1,[2]enemies!$1:$1,0)-MATCH($L$1,[2]enemies!$1:$1,0)+1,FALSE)</f>
        <v>0</v>
      </c>
      <c r="X812" s="6">
        <v>0</v>
      </c>
      <c r="Y812" s="6">
        <v>100</v>
      </c>
      <c r="Z812" s="6">
        <v>0</v>
      </c>
      <c r="AA812" s="4">
        <f ca="1">VLOOKUP($L812,OFFSET([2]enemies!$A$1,0,0,COUNTA([2]enemies!$A:$A),MATCH(AA$1,[2]enemies!$1:$1,0)-MATCH($L$1,[2]enemies!$1:$1,0)+1),MATCH(AA$1,[2]enemies!$1:$1,0)-MATCH($L$1,[2]enemies!$1:$1,0)+1,FALSE)</f>
        <v>2</v>
      </c>
      <c r="AB812" s="52">
        <v>13</v>
      </c>
      <c r="AC812" s="4" t="str">
        <f ca="1">VLOOKUP($AB812,OFFSET([3]characters!$A$1,0,0,COUNTA([3]characters!$A:$A),MATCH(AC$1,[3]characters!$1:$1,0)-MATCH("character_id",[3]characters!$1:$1,0)+1),MATCH(AC$1,[3]characters!$1:$1,0)-MATCH("character_id",[3]characters!$1:$1,0)+1,FALSE)</f>
        <v>ミミ</v>
      </c>
      <c r="AD812" s="4">
        <f ca="1">VLOOKUP($AB812,OFFSET([3]characters!$A$1,0,0,COUNTA([3]characters!$A:$A),MATCH(AD$1,[3]characters!$1:$1,0)-MATCH("character_id",[3]characters!$1:$1,0)+1),MATCH(AD$1,[3]characters!$1:$1,0)-MATCH("character_id",[3]characters!$1:$1,0)+1,FALSE)</f>
        <v>1</v>
      </c>
      <c r="AE812" s="4" t="str">
        <f ca="1">VLOOKUP($AB812,OFFSET([3]characters!$A$1,0,0,COUNTA([3]characters!$A:$A),MATCH(AE$1,[3]characters!$1:$1,0)-MATCH("character_id",[3]characters!$1:$1,0)+1),MATCH(AE$1,[3]characters!$1:$1,0)-MATCH("character_id",[3]characters!$1:$1,0)+1,FALSE)</f>
        <v>Drop1W</v>
      </c>
      <c r="AF812" s="7">
        <v>9</v>
      </c>
      <c r="AG812" s="26">
        <f t="shared" ca="1" si="734"/>
        <v>1</v>
      </c>
      <c r="AH812" s="8">
        <v>20</v>
      </c>
      <c r="AI812" s="7">
        <v>0</v>
      </c>
      <c r="AJ812" s="7">
        <v>0</v>
      </c>
      <c r="AK812" s="7">
        <v>0</v>
      </c>
      <c r="AL812" s="7">
        <v>0</v>
      </c>
      <c r="AM812" s="7">
        <v>1</v>
      </c>
    </row>
    <row r="813" spans="1:39" ht="14" x14ac:dyDescent="0.15">
      <c r="A813" s="18" t="str">
        <f t="shared" ca="1" si="744"/>
        <v>26_4-1/23&lt;lv56&gt;s4</v>
      </c>
      <c r="B813" s="50">
        <v>26</v>
      </c>
      <c r="C813" s="49">
        <v>4</v>
      </c>
      <c r="D813" s="2" t="str">
        <f t="shared" si="745"/>
        <v>26_4</v>
      </c>
      <c r="E813" s="2" t="str">
        <f t="shared" si="745"/>
        <v>4_26_4</v>
      </c>
      <c r="F813" s="4" t="str">
        <f ca="1">VLOOKUP($D813,OFFSET([1]stages!$A$1,0,0,COUNTA([1]stages!$A:$A),MATCH(F$1,[1]stages!$2:$2,0)-MATCH($D$1,[1]stages!$2:$2,0)+1),MATCH(F$1,[1]stages!$2:$2,0)-MATCH($D$1,[1]stages!$2:$2,0)+1,FALSE)</f>
        <v>26-4．今夜はダークナイト</v>
      </c>
      <c r="G813" s="55">
        <v>1</v>
      </c>
      <c r="H813" s="17" t="str">
        <f t="shared" si="746"/>
        <v>26_4-1</v>
      </c>
      <c r="I813" s="17"/>
      <c r="J813" s="17"/>
      <c r="K813" s="65" t="s">
        <v>56</v>
      </c>
      <c r="L813" s="52">
        <v>23</v>
      </c>
      <c r="M813" s="21" t="str">
        <f ca="1">VLOOKUP($L813,OFFSET([2]enemies!$A$1,0,0,COUNTA([2]enemies!$A:$A),MATCH(M$1,[2]enemies!$1:$1,0)-MATCH($L$1,[2]enemies!$1:$1,0)+1),MATCH(M$1,[2]enemies!$1:$1,0)-MATCH($L$1,[2]enemies!$1:$1,0)+1,FALSE)</f>
        <v>ミール</v>
      </c>
      <c r="N813" s="21" t="str">
        <f ca="1">VLOOKUP($L813,OFFSET([2]enemies!$A$1,0,0,COUNTA([2]enemies!$A:$A),MATCH(N$1,[2]enemies!$1:$1,0)-MATCH($L$1,[2]enemies!$1:$1,0)+1),MATCH(N$1,[2]enemies!$1:$1,0)-MATCH($L$1,[2]enemies!$1:$1,0)+1,FALSE)</f>
        <v>green</v>
      </c>
      <c r="O813" s="21" t="str">
        <f ca="1">VLOOKUP($L813,OFFSET([3]characters!$A$1,0,0,COUNTA([3]characters!$A:$A),MATCH(O$1,[3]characters!$1:$1,0)-MATCH($L$1,[3]characters!$1:$1,0)+1),MATCH(O$1,[3]characters!$1:$1,0)-MATCH($L$1,[3]characters!$1:$1,0)+1,FALSE)</f>
        <v>Drop1N</v>
      </c>
      <c r="P813" s="21" t="str">
        <f ca="1">VLOOKUP($L813,OFFSET([2]enemies!$A$1,0,0,COUNTA([2]enemies!$A:$A),MATCH(P$1,[2]enemies!$1:$1,0)-MATCH($L$1,[2]enemies!$1:$1,0)+1),MATCH(P$1,[2]enemies!$1:$1,0)-MATCH($L$1,[2]enemies!$1:$1,0)+1,FALSE)</f>
        <v>animal</v>
      </c>
      <c r="Q813" s="21">
        <f ca="1">VLOOKUP($L813,OFFSET([2]enemies!$A$1,0,0,COUNTA([2]enemies!$A:$A),MATCH(Q$1,[2]enemies!$1:$1,0)-MATCH($L$1,[2]enemies!$1:$1,0)+1),MATCH(Q$1,[2]enemies!$1:$1,0)-MATCH($L$1,[2]enemies!$1:$1,0)+1,FALSE)</f>
        <v>15</v>
      </c>
      <c r="R813" s="53">
        <v>56</v>
      </c>
      <c r="S813" s="27">
        <v>1</v>
      </c>
      <c r="T813" s="27">
        <v>1</v>
      </c>
      <c r="U813" s="5">
        <v>0</v>
      </c>
      <c r="V813" s="4" t="str">
        <f ca="1">VLOOKUP($W813,OFFSET([4]enemy_skill_sets!$B$1,0,0,COUNTA([4]enemy_skill_sets!$B:$B),MATCH(M$1,[4]enemy_skill_sets!$1:$1,0)-MATCH($W$1,[4]enemy_skill_sets!$1:$1,0)+2),MATCH(M$1,[4]enemy_skill_sets!$1:$1,0)-MATCH($W$1,[4]enemy_skill_sets!$1:$1,0)+2,FALSE)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13" s="4">
        <f ca="1">VLOOKUP($L813,OFFSET([2]enemies!$A$1,0,0,COUNTA([2]enemies!$A:$A),MATCH(W$1,[2]enemies!$1:$1,0)-MATCH($L$1,[2]enemies!$1:$1,0)+1),MATCH(W$1,[2]enemies!$1:$1,0)-MATCH($L$1,[2]enemies!$1:$1,0)+1,FALSE)</f>
        <v>0</v>
      </c>
      <c r="X813" s="6">
        <v>0</v>
      </c>
      <c r="Y813" s="6">
        <v>100</v>
      </c>
      <c r="Z813" s="6">
        <v>0</v>
      </c>
      <c r="AA813" s="4">
        <f ca="1">VLOOKUP($L813,OFFSET([2]enemies!$A$1,0,0,COUNTA([2]enemies!$A:$A),MATCH(AA$1,[2]enemies!$1:$1,0)-MATCH($L$1,[2]enemies!$1:$1,0)+1),MATCH(AA$1,[2]enemies!$1:$1,0)-MATCH($L$1,[2]enemies!$1:$1,0)+1,FALSE)</f>
        <v>4</v>
      </c>
      <c r="AB813" s="52">
        <v>23</v>
      </c>
      <c r="AC813" s="4" t="str">
        <f ca="1">VLOOKUP($AB813,OFFSET([3]characters!$A$1,0,0,COUNTA([3]characters!$A:$A),MATCH(AC$1,[3]characters!$1:$1,0)-MATCH("character_id",[3]characters!$1:$1,0)+1),MATCH(AC$1,[3]characters!$1:$1,0)-MATCH("character_id",[3]characters!$1:$1,0)+1,FALSE)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813" s="4">
        <f ca="1">VLOOKUP($AB813,OFFSET([3]characters!$A$1,0,0,COUNTA([3]characters!$A:$A),MATCH(AD$1,[3]characters!$1:$1,0)-MATCH("character_id",[3]characters!$1:$1,0)+1),MATCH(AD$1,[3]characters!$1:$1,0)-MATCH("character_id",[3]characters!$1:$1,0)+1,FALSE)</f>
        <v>1</v>
      </c>
      <c r="AE813" s="4" t="str">
        <f ca="1">VLOOKUP($AB813,OFFSET([3]characters!$A$1,0,0,COUNTA([3]characters!$A:$A),MATCH(AE$1,[3]characters!$1:$1,0)-MATCH("character_id",[3]characters!$1:$1,0)+1),MATCH(AE$1,[3]characters!$1:$1,0)-MATCH("character_id",[3]characters!$1:$1,0)+1,FALSE)</f>
        <v>Drop1N</v>
      </c>
      <c r="AF813" s="7">
        <v>7</v>
      </c>
      <c r="AG813" s="26">
        <f t="shared" ca="1" si="734"/>
        <v>1</v>
      </c>
      <c r="AH813" s="8">
        <v>20</v>
      </c>
      <c r="AI813" s="7">
        <v>0</v>
      </c>
      <c r="AJ813" s="7">
        <v>0</v>
      </c>
      <c r="AK813" s="7">
        <v>0</v>
      </c>
      <c r="AL813" s="7">
        <v>0</v>
      </c>
      <c r="AM813" s="7">
        <v>1</v>
      </c>
    </row>
    <row r="814" spans="1:39" ht="14" x14ac:dyDescent="0.15">
      <c r="A814" s="18" t="str">
        <f t="shared" ca="1" si="744"/>
        <v>26_4-1/25&lt;lv56&gt;s3</v>
      </c>
      <c r="B814" s="50">
        <v>26</v>
      </c>
      <c r="C814" s="49">
        <v>4</v>
      </c>
      <c r="D814" s="2" t="str">
        <f t="shared" si="745"/>
        <v>26_4</v>
      </c>
      <c r="E814" s="2" t="str">
        <f t="shared" si="745"/>
        <v>4_26_4</v>
      </c>
      <c r="F814" s="4" t="str">
        <f ca="1">VLOOKUP($D814,OFFSET([1]stages!$A$1,0,0,COUNTA([1]stages!$A:$A),MATCH(F$1,[1]stages!$2:$2,0)-MATCH($D$1,[1]stages!$2:$2,0)+1),MATCH(F$1,[1]stages!$2:$2,0)-MATCH($D$1,[1]stages!$2:$2,0)+1,FALSE)</f>
        <v>26-4．今夜はダークナイト</v>
      </c>
      <c r="G814" s="55">
        <v>1</v>
      </c>
      <c r="H814" s="17" t="str">
        <f t="shared" si="746"/>
        <v>26_4-1</v>
      </c>
      <c r="I814" s="17"/>
      <c r="J814" s="17"/>
      <c r="K814" s="65" t="s">
        <v>56</v>
      </c>
      <c r="L814" s="52">
        <v>25</v>
      </c>
      <c r="M814" s="21" t="str">
        <f ca="1">VLOOKUP($L814,OFFSET([2]enemies!$A$1,0,0,COUNTA([2]enemies!$A:$A),MATCH(M$1,[2]enemies!$1:$1,0)-MATCH($L$1,[2]enemies!$1:$1,0)+1),MATCH(M$1,[2]enemies!$1:$1,0)-MATCH($L$1,[2]enemies!$1:$1,0)+1,FALSE)</f>
        <v>ハチ</v>
      </c>
      <c r="N814" s="21" t="str">
        <f ca="1">VLOOKUP($L814,OFFSET([2]enemies!$A$1,0,0,COUNTA([2]enemies!$A:$A),MATCH(N$1,[2]enemies!$1:$1,0)-MATCH($L$1,[2]enemies!$1:$1,0)+1),MATCH(N$1,[2]enemies!$1:$1,0)-MATCH($L$1,[2]enemies!$1:$1,0)+1,FALSE)</f>
        <v>blue</v>
      </c>
      <c r="O814" s="21" t="str">
        <f ca="1">VLOOKUP($L814,OFFSET([3]characters!$A$1,0,0,COUNTA([3]characters!$A:$A),MATCH(O$1,[3]characters!$1:$1,0)-MATCH($L$1,[3]characters!$1:$1,0)+1),MATCH(O$1,[3]characters!$1:$1,0)-MATCH($L$1,[3]characters!$1:$1,0)+1,FALSE)</f>
        <v>Drop1N</v>
      </c>
      <c r="P814" s="21" t="str">
        <f ca="1">VLOOKUP($L814,OFFSET([2]enemies!$A$1,0,0,COUNTA([2]enemies!$A:$A),MATCH(P$1,[2]enemies!$1:$1,0)-MATCH($L$1,[2]enemies!$1:$1,0)+1),MATCH(P$1,[2]enemies!$1:$1,0)-MATCH($L$1,[2]enemies!$1:$1,0)+1,FALSE)</f>
        <v>animal</v>
      </c>
      <c r="Q814" s="21">
        <f ca="1">VLOOKUP($L814,OFFSET([2]enemies!$A$1,0,0,COUNTA([2]enemies!$A:$A),MATCH(Q$1,[2]enemies!$1:$1,0)-MATCH($L$1,[2]enemies!$1:$1,0)+1),MATCH(Q$1,[2]enemies!$1:$1,0)-MATCH($L$1,[2]enemies!$1:$1,0)+1,FALSE)</f>
        <v>15</v>
      </c>
      <c r="R814" s="53">
        <v>56</v>
      </c>
      <c r="S814" s="27">
        <v>1</v>
      </c>
      <c r="T814" s="27">
        <v>1</v>
      </c>
      <c r="U814" s="5">
        <v>0</v>
      </c>
      <c r="V814" s="4" t="str">
        <f ca="1">VLOOKUP($W814,OFFSET([4]enemy_skill_sets!$B$1,0,0,COUNTA([4]enemy_skill_sets!$B:$B),MATCH(M$1,[4]enemy_skill_sets!$1:$1,0)-MATCH($W$1,[4]enemy_skill_sets!$1:$1,0)+2),MATCH(M$1,[4]enemy_skill_sets!$1:$1,0)-MATCH($W$1,[4]enemy_skill_sets!$1:$1,0)+2,FALSE)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14" s="4">
        <f ca="1">VLOOKUP($L814,OFFSET([2]enemies!$A$1,0,0,COUNTA([2]enemies!$A:$A),MATCH(W$1,[2]enemies!$1:$1,0)-MATCH($L$1,[2]enemies!$1:$1,0)+1),MATCH(W$1,[2]enemies!$1:$1,0)-MATCH($L$1,[2]enemies!$1:$1,0)+1,FALSE)</f>
        <v>0</v>
      </c>
      <c r="X814" s="6">
        <v>0</v>
      </c>
      <c r="Y814" s="6">
        <v>100</v>
      </c>
      <c r="Z814" s="6">
        <v>0</v>
      </c>
      <c r="AA814" s="4">
        <f ca="1">VLOOKUP($L814,OFFSET([2]enemies!$A$1,0,0,COUNTA([2]enemies!$A:$A),MATCH(AA$1,[2]enemies!$1:$1,0)-MATCH($L$1,[2]enemies!$1:$1,0)+1),MATCH(AA$1,[2]enemies!$1:$1,0)-MATCH($L$1,[2]enemies!$1:$1,0)+1,FALSE)</f>
        <v>3</v>
      </c>
      <c r="AB814" s="52">
        <v>25</v>
      </c>
      <c r="AC814" s="4" t="str">
        <f ca="1">VLOOKUP($AB814,OFFSET([3]characters!$A$1,0,0,COUNTA([3]characters!$A:$A),MATCH(AC$1,[3]characters!$1:$1,0)-MATCH("character_id",[3]characters!$1:$1,0)+1),MATCH(AC$1,[3]characters!$1:$1,0)-MATCH("character_id",[3]characters!$1:$1,0)+1,FALSE)</f>
        <v>ハチ</v>
      </c>
      <c r="AD814" s="4">
        <f ca="1">VLOOKUP($AB814,OFFSET([3]characters!$A$1,0,0,COUNTA([3]characters!$A:$A),MATCH(AD$1,[3]characters!$1:$1,0)-MATCH("character_id",[3]characters!$1:$1,0)+1),MATCH(AD$1,[3]characters!$1:$1,0)-MATCH("character_id",[3]characters!$1:$1,0)+1,FALSE)</f>
        <v>1</v>
      </c>
      <c r="AE814" s="4" t="str">
        <f ca="1">VLOOKUP($AB814,OFFSET([3]characters!$A$1,0,0,COUNTA([3]characters!$A:$A),MATCH(AE$1,[3]characters!$1:$1,0)-MATCH("character_id",[3]characters!$1:$1,0)+1),MATCH(AE$1,[3]characters!$1:$1,0)-MATCH("character_id",[3]characters!$1:$1,0)+1,FALSE)</f>
        <v>Drop1N</v>
      </c>
      <c r="AF814" s="7">
        <v>7</v>
      </c>
      <c r="AG814" s="26">
        <f t="shared" ca="1" si="734"/>
        <v>1</v>
      </c>
      <c r="AH814" s="8">
        <v>20</v>
      </c>
      <c r="AI814" s="7">
        <v>0</v>
      </c>
      <c r="AJ814" s="7">
        <v>0</v>
      </c>
      <c r="AK814" s="7">
        <v>0</v>
      </c>
      <c r="AL814" s="7">
        <v>0</v>
      </c>
      <c r="AM814" s="7">
        <v>1</v>
      </c>
    </row>
    <row r="815" spans="1:39" ht="14" x14ac:dyDescent="0.15">
      <c r="A815" s="18" t="str">
        <f t="shared" ca="1" si="744"/>
        <v>26_4-1/348&lt;lv56&gt;s3</v>
      </c>
      <c r="B815" s="53">
        <v>26</v>
      </c>
      <c r="C815" s="51">
        <v>4</v>
      </c>
      <c r="D815" s="2" t="str">
        <f t="shared" ref="D815:D816" si="755">B815&amp;"_"&amp;C815</f>
        <v>26_4</v>
      </c>
      <c r="E815" s="2" t="str">
        <f t="shared" ref="E815:E816" si="756">C815&amp;"_"&amp;D815</f>
        <v>4_26_4</v>
      </c>
      <c r="F815" s="4" t="str">
        <f ca="1">VLOOKUP($D815,OFFSET([1]stages!$A$1,0,0,COUNTA([1]stages!$A:$A),MATCH(F$1,[1]stages!$2:$2,0)-MATCH($D$1,[1]stages!$2:$2,0)+1),MATCH(F$1,[1]stages!$2:$2,0)-MATCH($D$1,[1]stages!$2:$2,0)+1,FALSE)</f>
        <v>26-4．今夜はダークナイト</v>
      </c>
      <c r="G815" s="55">
        <v>1</v>
      </c>
      <c r="H815" s="17" t="str">
        <f t="shared" ref="H815:H816" si="757">B815&amp;"_"&amp;C815&amp;"-"&amp;G815</f>
        <v>26_4-1</v>
      </c>
      <c r="I815" s="17"/>
      <c r="J815" s="17"/>
      <c r="K815" s="65" t="s">
        <v>56</v>
      </c>
      <c r="L815" s="52">
        <v>348</v>
      </c>
      <c r="M815" s="21" t="str">
        <f ca="1">VLOOKUP($L815,OFFSET([2]enemies!$A$1,0,0,COUNTA([2]enemies!$A:$A),MATCH(M$1,[2]enemies!$1:$1,0)-MATCH($L$1,[2]enemies!$1:$1,0)+1),MATCH(M$1,[2]enemies!$1:$1,0)-MATCH($L$1,[2]enemies!$1:$1,0)+1,FALSE)</f>
        <v>炎のケロケロ</v>
      </c>
      <c r="N815" s="21" t="str">
        <f ca="1">VLOOKUP($L815,OFFSET([2]enemies!$A$1,0,0,COUNTA([2]enemies!$A:$A),MATCH(N$1,[2]enemies!$1:$1,0)-MATCH($L$1,[2]enemies!$1:$1,0)+1),MATCH(N$1,[2]enemies!$1:$1,0)-MATCH($L$1,[2]enemies!$1:$1,0)+1,FALSE)</f>
        <v>red</v>
      </c>
      <c r="O815" s="21" t="str">
        <f ca="1">VLOOKUP($L815,OFFSET([3]characters!$A$1,0,0,COUNTA([3]characters!$A:$A),MATCH(O$1,[3]characters!$1:$1,0)-MATCH($L$1,[3]characters!$1:$1,0)+1),MATCH(O$1,[3]characters!$1:$1,0)-MATCH($L$1,[3]characters!$1:$1,0)+1,FALSE)</f>
        <v>Material</v>
      </c>
      <c r="P815" s="21" t="str">
        <f ca="1">VLOOKUP($L815,OFFSET([2]enemies!$A$1,0,0,COUNTA([2]enemies!$A:$A),MATCH(P$1,[2]enemies!$1:$1,0)-MATCH($L$1,[2]enemies!$1:$1,0)+1),MATCH(P$1,[2]enemies!$1:$1,0)-MATCH($L$1,[2]enemies!$1:$1,0)+1,FALSE)</f>
        <v>unknown</v>
      </c>
      <c r="Q815" s="21">
        <f ca="1">VLOOKUP($L815,OFFSET([2]enemies!$A$1,0,0,COUNTA([2]enemies!$A:$A),MATCH(Q$1,[2]enemies!$1:$1,0)-MATCH($L$1,[2]enemies!$1:$1,0)+1),MATCH(Q$1,[2]enemies!$1:$1,0)-MATCH($L$1,[2]enemies!$1:$1,0)+1,FALSE)</f>
        <v>15</v>
      </c>
      <c r="R815" s="53">
        <v>56</v>
      </c>
      <c r="S815" s="27">
        <v>1</v>
      </c>
      <c r="T815" s="27">
        <v>1</v>
      </c>
      <c r="U815" s="5">
        <v>0</v>
      </c>
      <c r="V815" s="4" t="str">
        <f ca="1">VLOOKUP($W815,OFFSET([4]enemy_skill_sets!$B$1,0,0,COUNTA([4]enemy_skill_sets!$B:$B),MATCH(M$1,[4]enemy_skill_sets!$1:$1,0)-MATCH($W$1,[4]enemy_skill_sets!$1:$1,0)+2),MATCH(M$1,[4]enemy_skill_sets!$1:$1,0)-MATCH($W$1,[4]enemy_skill_sets!$1:$1,0)+2,FALSE)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815" s="64">
        <v>348</v>
      </c>
      <c r="X815" s="6">
        <v>0</v>
      </c>
      <c r="Y815" s="6">
        <v>100</v>
      </c>
      <c r="Z815" s="6">
        <v>0</v>
      </c>
      <c r="AA815" s="4">
        <f ca="1">VLOOKUP($L815,OFFSET([2]enemies!$A$1,0,0,COUNTA([2]enemies!$A:$A),MATCH(AA$1,[2]enemies!$1:$1,0)-MATCH($L$1,[2]enemies!$1:$1,0)+1),MATCH(AA$1,[2]enemies!$1:$1,0)-MATCH($L$1,[2]enemies!$1:$1,0)+1,FALSE)</f>
        <v>3</v>
      </c>
      <c r="AB815" s="52">
        <v>348</v>
      </c>
      <c r="AC815" s="4" t="str">
        <f ca="1">VLOOKUP($AB815,OFFSET([3]characters!$A$1,0,0,COUNTA([3]characters!$A:$A),MATCH(AC$1,[3]characters!$1:$1,0)-MATCH("character_id",[3]characters!$1:$1,0)+1),MATCH(AC$1,[3]characters!$1:$1,0)-MATCH("character_id",[3]characters!$1:$1,0)+1,FALSE)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815" s="4">
        <f ca="1">VLOOKUP($AB815,OFFSET([3]characters!$A$1,0,0,COUNTA([3]characters!$A:$A),MATCH(AD$1,[3]characters!$1:$1,0)-MATCH("character_id",[3]characters!$1:$1,0)+1),MATCH(AD$1,[3]characters!$1:$1,0)-MATCH("character_id",[3]characters!$1:$1,0)+1,FALSE)</f>
        <v>2</v>
      </c>
      <c r="AE815" s="4" t="str">
        <f ca="1">VLOOKUP($AB815,OFFSET([3]characters!$A$1,0,0,COUNTA([3]characters!$A:$A),MATCH(AE$1,[3]characters!$1:$1,0)-MATCH("character_id",[3]characters!$1:$1,0)+1),MATCH(AE$1,[3]characters!$1:$1,0)-MATCH("character_id",[3]characters!$1:$1,0)+1,FALSE)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15" s="7">
        <v>10</v>
      </c>
      <c r="AG815" s="26">
        <f t="shared" ca="1" si="734"/>
        <v>2</v>
      </c>
      <c r="AH815" s="8">
        <v>20</v>
      </c>
      <c r="AI815" s="7">
        <v>0</v>
      </c>
      <c r="AJ815" s="7">
        <v>0</v>
      </c>
      <c r="AK815" s="7">
        <v>0</v>
      </c>
      <c r="AL815" s="7">
        <v>0</v>
      </c>
      <c r="AM815" s="7">
        <v>1</v>
      </c>
    </row>
    <row r="816" spans="1:39" ht="14" x14ac:dyDescent="0.15">
      <c r="A816" s="18" t="str">
        <f t="shared" ca="1" si="744"/>
        <v>26_4-1/350&lt;lv56&gt;s3</v>
      </c>
      <c r="B816" s="53">
        <v>26</v>
      </c>
      <c r="C816" s="51">
        <v>4</v>
      </c>
      <c r="D816" s="2" t="str">
        <f t="shared" si="755"/>
        <v>26_4</v>
      </c>
      <c r="E816" s="2" t="str">
        <f t="shared" si="756"/>
        <v>4_26_4</v>
      </c>
      <c r="F816" s="4" t="str">
        <f ca="1">VLOOKUP($D816,OFFSET([1]stages!$A$1,0,0,COUNTA([1]stages!$A:$A),MATCH(F$1,[1]stages!$2:$2,0)-MATCH($D$1,[1]stages!$2:$2,0)+1),MATCH(F$1,[1]stages!$2:$2,0)-MATCH($D$1,[1]stages!$2:$2,0)+1,FALSE)</f>
        <v>26-4．今夜はダークナイト</v>
      </c>
      <c r="G816" s="55">
        <v>1</v>
      </c>
      <c r="H816" s="17" t="str">
        <f t="shared" si="757"/>
        <v>26_4-1</v>
      </c>
      <c r="I816" s="17"/>
      <c r="J816" s="17"/>
      <c r="K816" s="65" t="s">
        <v>56</v>
      </c>
      <c r="L816" s="52">
        <v>350</v>
      </c>
      <c r="M816" s="21" t="str">
        <f ca="1">VLOOKUP($L816,OFFSET([2]enemies!$A$1,0,0,COUNTA([2]enemies!$A:$A),MATCH(M$1,[2]enemies!$1:$1,0)-MATCH($L$1,[2]enemies!$1:$1,0)+1),MATCH(M$1,[2]enemies!$1:$1,0)-MATCH($L$1,[2]enemies!$1:$1,0)+1,FALSE)</f>
        <v>森のケロケロ</v>
      </c>
      <c r="N816" s="21" t="str">
        <f ca="1">VLOOKUP($L816,OFFSET([2]enemies!$A$1,0,0,COUNTA([2]enemies!$A:$A),MATCH(N$1,[2]enemies!$1:$1,0)-MATCH($L$1,[2]enemies!$1:$1,0)+1),MATCH(N$1,[2]enemies!$1:$1,0)-MATCH($L$1,[2]enemies!$1:$1,0)+1,FALSE)</f>
        <v>green</v>
      </c>
      <c r="O816" s="21" t="str">
        <f ca="1">VLOOKUP($L816,OFFSET([3]characters!$A$1,0,0,COUNTA([3]characters!$A:$A),MATCH(O$1,[3]characters!$1:$1,0)-MATCH($L$1,[3]characters!$1:$1,0)+1),MATCH(O$1,[3]characters!$1:$1,0)-MATCH($L$1,[3]characters!$1:$1,0)+1,FALSE)</f>
        <v>Material</v>
      </c>
      <c r="P816" s="21" t="str">
        <f ca="1">VLOOKUP($L816,OFFSET([2]enemies!$A$1,0,0,COUNTA([2]enemies!$A:$A),MATCH(P$1,[2]enemies!$1:$1,0)-MATCH($L$1,[2]enemies!$1:$1,0)+1),MATCH(P$1,[2]enemies!$1:$1,0)-MATCH($L$1,[2]enemies!$1:$1,0)+1,FALSE)</f>
        <v>unknown</v>
      </c>
      <c r="Q816" s="21">
        <f ca="1">VLOOKUP($L816,OFFSET([2]enemies!$A$1,0,0,COUNTA([2]enemies!$A:$A),MATCH(Q$1,[2]enemies!$1:$1,0)-MATCH($L$1,[2]enemies!$1:$1,0)+1),MATCH(Q$1,[2]enemies!$1:$1,0)-MATCH($L$1,[2]enemies!$1:$1,0)+1,FALSE)</f>
        <v>15</v>
      </c>
      <c r="R816" s="53">
        <v>56</v>
      </c>
      <c r="S816" s="27">
        <v>1</v>
      </c>
      <c r="T816" s="27">
        <v>1</v>
      </c>
      <c r="U816" s="5">
        <v>0</v>
      </c>
      <c r="V816" s="4" t="str">
        <f ca="1">VLOOKUP($W816,OFFSET([4]enemy_skill_sets!$B$1,0,0,COUNTA([4]enemy_skill_sets!$B:$B),MATCH(M$1,[4]enemy_skill_sets!$1:$1,0)-MATCH($W$1,[4]enemy_skill_sets!$1:$1,0)+2),MATCH(M$1,[4]enemy_skill_sets!$1:$1,0)-MATCH($W$1,[4]enemy_skill_sets!$1:$1,0)+2,FALSE)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816" s="64">
        <v>350</v>
      </c>
      <c r="X816" s="6">
        <v>0</v>
      </c>
      <c r="Y816" s="6">
        <v>100</v>
      </c>
      <c r="Z816" s="6">
        <v>0</v>
      </c>
      <c r="AA816" s="4">
        <f ca="1">VLOOKUP($L816,OFFSET([2]enemies!$A$1,0,0,COUNTA([2]enemies!$A:$A),MATCH(AA$1,[2]enemies!$1:$1,0)-MATCH($L$1,[2]enemies!$1:$1,0)+1),MATCH(AA$1,[2]enemies!$1:$1,0)-MATCH($L$1,[2]enemies!$1:$1,0)+1,FALSE)</f>
        <v>3</v>
      </c>
      <c r="AB816" s="52">
        <v>350</v>
      </c>
      <c r="AC816" s="4" t="str">
        <f ca="1">VLOOKUP($AB816,OFFSET([3]characters!$A$1,0,0,COUNTA([3]characters!$A:$A),MATCH(AC$1,[3]characters!$1:$1,0)-MATCH("character_id",[3]characters!$1:$1,0)+1),MATCH(AC$1,[3]characters!$1:$1,0)-MATCH("character_id",[3]characters!$1:$1,0)+1,FALSE)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816" s="4">
        <f ca="1">VLOOKUP($AB816,OFFSET([3]characters!$A$1,0,0,COUNTA([3]characters!$A:$A),MATCH(AD$1,[3]characters!$1:$1,0)-MATCH("character_id",[3]characters!$1:$1,0)+1),MATCH(AD$1,[3]characters!$1:$1,0)-MATCH("character_id",[3]characters!$1:$1,0)+1,FALSE)</f>
        <v>2</v>
      </c>
      <c r="AE816" s="4" t="str">
        <f ca="1">VLOOKUP($AB816,OFFSET([3]characters!$A$1,0,0,COUNTA([3]characters!$A:$A),MATCH(AE$1,[3]characters!$1:$1,0)-MATCH("character_id",[3]characters!$1:$1,0)+1),MATCH(AE$1,[3]characters!$1:$1,0)-MATCH("character_id",[3]characters!$1:$1,0)+1,FALSE)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16" s="7">
        <v>10</v>
      </c>
      <c r="AG816" s="26">
        <f t="shared" ca="1" si="734"/>
        <v>2</v>
      </c>
      <c r="AH816" s="8">
        <v>20</v>
      </c>
      <c r="AI816" s="7">
        <v>0</v>
      </c>
      <c r="AJ816" s="7">
        <v>0</v>
      </c>
      <c r="AK816" s="7">
        <v>0</v>
      </c>
      <c r="AL816" s="7">
        <v>0</v>
      </c>
      <c r="AM816" s="7">
        <v>1</v>
      </c>
    </row>
    <row r="817" spans="1:39" ht="14" x14ac:dyDescent="0.15">
      <c r="A817" s="18" t="str">
        <f t="shared" ca="1" si="744"/>
        <v>26_4-2/33&lt;lv56&gt;s2</v>
      </c>
      <c r="B817" s="50">
        <v>26</v>
      </c>
      <c r="C817" s="49">
        <v>4</v>
      </c>
      <c r="D817" s="2" t="str">
        <f t="shared" si="745"/>
        <v>26_4</v>
      </c>
      <c r="E817" s="2" t="str">
        <f t="shared" si="745"/>
        <v>4_26_4</v>
      </c>
      <c r="F817" s="4" t="str">
        <f ca="1">VLOOKUP($D817,OFFSET([1]stages!$A$1,0,0,COUNTA([1]stages!$A:$A),MATCH(F$1,[1]stages!$2:$2,0)-MATCH($D$1,[1]stages!$2:$2,0)+1),MATCH(F$1,[1]stages!$2:$2,0)-MATCH($D$1,[1]stages!$2:$2,0)+1,FALSE)</f>
        <v>26-4．今夜はダークナイト</v>
      </c>
      <c r="G817" s="56">
        <v>2</v>
      </c>
      <c r="H817" s="17" t="str">
        <f t="shared" si="746"/>
        <v>26_4-2</v>
      </c>
      <c r="I817" s="17"/>
      <c r="J817" s="17"/>
      <c r="K817" s="65" t="s">
        <v>56</v>
      </c>
      <c r="L817" s="52">
        <v>33</v>
      </c>
      <c r="M817" s="21" t="str">
        <f ca="1">VLOOKUP($L817,OFFSET([2]enemies!$A$1,0,0,COUNTA([2]enemies!$A:$A),MATCH(M$1,[2]enemies!$1:$1,0)-MATCH($L$1,[2]enemies!$1:$1,0)+1),MATCH(M$1,[2]enemies!$1:$1,0)-MATCH($L$1,[2]enemies!$1:$1,0)+1,FALSE)</f>
        <v>ゴクウ</v>
      </c>
      <c r="N817" s="21" t="str">
        <f ca="1">VLOOKUP($L817,OFFSET([2]enemies!$A$1,0,0,COUNTA([2]enemies!$A:$A),MATCH(N$1,[2]enemies!$1:$1,0)-MATCH($L$1,[2]enemies!$1:$1,0)+1),MATCH(N$1,[2]enemies!$1:$1,0)-MATCH($L$1,[2]enemies!$1:$1,0)+1,FALSE)</f>
        <v>red</v>
      </c>
      <c r="O817" s="21" t="str">
        <f ca="1">VLOOKUP($L817,OFFSET([3]characters!$A$1,0,0,COUNTA([3]characters!$A:$A),MATCH(O$1,[3]characters!$1:$1,0)-MATCH($L$1,[3]characters!$1:$1,0)+1),MATCH(O$1,[3]characters!$1:$1,0)-MATCH($L$1,[3]characters!$1:$1,0)+1,FALSE)</f>
        <v>Drop1S</v>
      </c>
      <c r="P817" s="21" t="str">
        <f ca="1">VLOOKUP($L817,OFFSET([2]enemies!$A$1,0,0,COUNTA([2]enemies!$A:$A),MATCH(P$1,[2]enemies!$1:$1,0)-MATCH($L$1,[2]enemies!$1:$1,0)+1),MATCH(P$1,[2]enemies!$1:$1,0)-MATCH($L$1,[2]enemies!$1:$1,0)+1,FALSE)</f>
        <v>animal</v>
      </c>
      <c r="Q817" s="21">
        <f ca="1">VLOOKUP($L817,OFFSET([2]enemies!$A$1,0,0,COUNTA([2]enemies!$A:$A),MATCH(Q$1,[2]enemies!$1:$1,0)-MATCH($L$1,[2]enemies!$1:$1,0)+1),MATCH(Q$1,[2]enemies!$1:$1,0)-MATCH($L$1,[2]enemies!$1:$1,0)+1,FALSE)</f>
        <v>15</v>
      </c>
      <c r="R817" s="53">
        <v>56</v>
      </c>
      <c r="S817" s="27">
        <v>1</v>
      </c>
      <c r="T817" s="27">
        <v>1</v>
      </c>
      <c r="U817" s="5">
        <v>0</v>
      </c>
      <c r="V817" s="4" t="str">
        <f ca="1">VLOOKUP($W817,OFFSET([4]enemy_skill_sets!$B$1,0,0,COUNTA([4]enemy_skill_sets!$B:$B),MATCH(M$1,[4]enemy_skill_sets!$1:$1,0)-MATCH($W$1,[4]enemy_skill_sets!$1:$1,0)+2),MATCH(M$1,[4]enemy_skill_sets!$1:$1,0)-MATCH($W$1,[4]enemy_skill_sets!$1:$1,0)+2,FALSE)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817" s="4">
        <f ca="1">VLOOKUP($L817,OFFSET([2]enemies!$A$1,0,0,COUNTA([2]enemies!$A:$A),MATCH(W$1,[2]enemies!$1:$1,0)-MATCH($L$1,[2]enemies!$1:$1,0)+1),MATCH(W$1,[2]enemies!$1:$1,0)-MATCH($L$1,[2]enemies!$1:$1,0)+1,FALSE)</f>
        <v>33</v>
      </c>
      <c r="X817" s="6">
        <v>0</v>
      </c>
      <c r="Y817" s="6">
        <v>100</v>
      </c>
      <c r="Z817" s="6">
        <v>0</v>
      </c>
      <c r="AA817" s="4">
        <f ca="1">VLOOKUP($L817,OFFSET([2]enemies!$A$1,0,0,COUNTA([2]enemies!$A:$A),MATCH(AA$1,[2]enemies!$1:$1,0)-MATCH($L$1,[2]enemies!$1:$1,0)+1),MATCH(AA$1,[2]enemies!$1:$1,0)-MATCH($L$1,[2]enemies!$1:$1,0)+1,FALSE)</f>
        <v>2</v>
      </c>
      <c r="AB817" s="52">
        <v>33</v>
      </c>
      <c r="AC817" s="4" t="str">
        <f ca="1">VLOOKUP($AB817,OFFSET([3]characters!$A$1,0,0,COUNTA([3]characters!$A:$A),MATCH(AC$1,[3]characters!$1:$1,0)-MATCH("character_id",[3]characters!$1:$1,0)+1),MATCH(AC$1,[3]characters!$1:$1,0)-MATCH("character_id",[3]characters!$1:$1,0)+1,FALSE)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817" s="4">
        <f ca="1">VLOOKUP($AB817,OFFSET([3]characters!$A$1,0,0,COUNTA([3]characters!$A:$A),MATCH(AD$1,[3]characters!$1:$1,0)-MATCH("character_id",[3]characters!$1:$1,0)+1),MATCH(AD$1,[3]characters!$1:$1,0)-MATCH("character_id",[3]characters!$1:$1,0)+1,FALSE)</f>
        <v>2</v>
      </c>
      <c r="AE817" s="4" t="str">
        <f ca="1">VLOOKUP($AB817,OFFSET([3]characters!$A$1,0,0,COUNTA([3]characters!$A:$A),MATCH(AE$1,[3]characters!$1:$1,0)-MATCH("character_id",[3]characters!$1:$1,0)+1),MATCH(AE$1,[3]characters!$1:$1,0)-MATCH("character_id",[3]characters!$1:$1,0)+1,FALSE)</f>
        <v>Drop1S</v>
      </c>
      <c r="AF817" s="7">
        <v>5</v>
      </c>
      <c r="AG817" s="26">
        <f t="shared" ca="1" si="734"/>
        <v>2</v>
      </c>
      <c r="AH817" s="8">
        <v>20</v>
      </c>
      <c r="AI817" s="7">
        <v>0</v>
      </c>
      <c r="AJ817" s="7">
        <v>0</v>
      </c>
      <c r="AK817" s="7">
        <v>0</v>
      </c>
      <c r="AL817" s="7">
        <v>0</v>
      </c>
      <c r="AM817" s="7">
        <v>1</v>
      </c>
    </row>
    <row r="818" spans="1:39" ht="14" x14ac:dyDescent="0.15">
      <c r="A818" s="18" t="str">
        <f t="shared" ca="1" si="744"/>
        <v>26_4-2/37&lt;lv56&gt;s3</v>
      </c>
      <c r="B818" s="50">
        <v>26</v>
      </c>
      <c r="C818" s="49">
        <v>4</v>
      </c>
      <c r="D818" s="2" t="str">
        <f t="shared" si="745"/>
        <v>26_4</v>
      </c>
      <c r="E818" s="2" t="str">
        <f t="shared" si="745"/>
        <v>4_26_4</v>
      </c>
      <c r="F818" s="4" t="str">
        <f ca="1">VLOOKUP($D818,OFFSET([1]stages!$A$1,0,0,COUNTA([1]stages!$A:$A),MATCH(F$1,[1]stages!$2:$2,0)-MATCH($D$1,[1]stages!$2:$2,0)+1),MATCH(F$1,[1]stages!$2:$2,0)-MATCH($D$1,[1]stages!$2:$2,0)+1,FALSE)</f>
        <v>26-4．今夜はダークナイト</v>
      </c>
      <c r="G818" s="56">
        <v>2</v>
      </c>
      <c r="H818" s="17" t="str">
        <f t="shared" si="746"/>
        <v>26_4-2</v>
      </c>
      <c r="I818" s="17"/>
      <c r="J818" s="17"/>
      <c r="K818" s="65" t="s">
        <v>56</v>
      </c>
      <c r="L818" s="52">
        <v>37</v>
      </c>
      <c r="M818" s="21" t="str">
        <f ca="1">VLOOKUP($L818,OFFSET([2]enemies!$A$1,0,0,COUNTA([2]enemies!$A:$A),MATCH(M$1,[2]enemies!$1:$1,0)-MATCH($L$1,[2]enemies!$1:$1,0)+1),MATCH(M$1,[2]enemies!$1:$1,0)-MATCH($L$1,[2]enemies!$1:$1,0)+1,FALSE)</f>
        <v>ガイル</v>
      </c>
      <c r="N818" s="21" t="str">
        <f ca="1">VLOOKUP($L818,OFFSET([2]enemies!$A$1,0,0,COUNTA([2]enemies!$A:$A),MATCH(N$1,[2]enemies!$1:$1,0)-MATCH($L$1,[2]enemies!$1:$1,0)+1),MATCH(N$1,[2]enemies!$1:$1,0)-MATCH($L$1,[2]enemies!$1:$1,0)+1,FALSE)</f>
        <v>blue</v>
      </c>
      <c r="O818" s="21" t="str">
        <f ca="1">VLOOKUP($L818,OFFSET([3]characters!$A$1,0,0,COUNTA([3]characters!$A:$A),MATCH(O$1,[3]characters!$1:$1,0)-MATCH($L$1,[3]characters!$1:$1,0)+1),MATCH(O$1,[3]characters!$1:$1,0)-MATCH($L$1,[3]characters!$1:$1,0)+1,FALSE)</f>
        <v>Drop1S</v>
      </c>
      <c r="P818" s="21" t="str">
        <f ca="1">VLOOKUP($L818,OFFSET([2]enemies!$A$1,0,0,COUNTA([2]enemies!$A:$A),MATCH(P$1,[2]enemies!$1:$1,0)-MATCH($L$1,[2]enemies!$1:$1,0)+1),MATCH(P$1,[2]enemies!$1:$1,0)-MATCH($L$1,[2]enemies!$1:$1,0)+1,FALSE)</f>
        <v>animal</v>
      </c>
      <c r="Q818" s="21">
        <f ca="1">VLOOKUP($L818,OFFSET([2]enemies!$A$1,0,0,COUNTA([2]enemies!$A:$A),MATCH(Q$1,[2]enemies!$1:$1,0)-MATCH($L$1,[2]enemies!$1:$1,0)+1),MATCH(Q$1,[2]enemies!$1:$1,0)-MATCH($L$1,[2]enemies!$1:$1,0)+1,FALSE)</f>
        <v>15</v>
      </c>
      <c r="R818" s="53">
        <v>56</v>
      </c>
      <c r="S818" s="27">
        <v>1</v>
      </c>
      <c r="T818" s="27">
        <v>1</v>
      </c>
      <c r="U818" s="5">
        <v>0</v>
      </c>
      <c r="V818" s="4" t="str">
        <f ca="1">VLOOKUP($W818,OFFSET([4]enemy_skill_sets!$B$1,0,0,COUNTA([4]enemy_skill_sets!$B:$B),MATCH(M$1,[4]enemy_skill_sets!$1:$1,0)-MATCH($W$1,[4]enemy_skill_sets!$1:$1,0)+2),MATCH(M$1,[4]enemy_skill_sets!$1:$1,0)-MATCH($W$1,[4]enemy_skill_sets!$1:$1,0)+2,FALSE)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818" s="4">
        <f ca="1">VLOOKUP($L818,OFFSET([2]enemies!$A$1,0,0,COUNTA([2]enemies!$A:$A),MATCH(W$1,[2]enemies!$1:$1,0)-MATCH($L$1,[2]enemies!$1:$1,0)+1),MATCH(W$1,[2]enemies!$1:$1,0)-MATCH($L$1,[2]enemies!$1:$1,0)+1,FALSE)</f>
        <v>37</v>
      </c>
      <c r="X818" s="6">
        <v>0</v>
      </c>
      <c r="Y818" s="6">
        <v>100</v>
      </c>
      <c r="Z818" s="6">
        <v>0</v>
      </c>
      <c r="AA818" s="4">
        <f ca="1">VLOOKUP($L818,OFFSET([2]enemies!$A$1,0,0,COUNTA([2]enemies!$A:$A),MATCH(AA$1,[2]enemies!$1:$1,0)-MATCH($L$1,[2]enemies!$1:$1,0)+1),MATCH(AA$1,[2]enemies!$1:$1,0)-MATCH($L$1,[2]enemies!$1:$1,0)+1,FALSE)</f>
        <v>3</v>
      </c>
      <c r="AB818" s="52">
        <v>37</v>
      </c>
      <c r="AC818" s="4" t="str">
        <f ca="1">VLOOKUP($AB818,OFFSET([3]characters!$A$1,0,0,COUNTA([3]characters!$A:$A),MATCH(AC$1,[3]characters!$1:$1,0)-MATCH("character_id",[3]characters!$1:$1,0)+1),MATCH(AC$1,[3]characters!$1:$1,0)-MATCH("character_id",[3]characters!$1:$1,0)+1,FALSE)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818" s="4">
        <f ca="1">VLOOKUP($AB818,OFFSET([3]characters!$A$1,0,0,COUNTA([3]characters!$A:$A),MATCH(AD$1,[3]characters!$1:$1,0)-MATCH("character_id",[3]characters!$1:$1,0)+1),MATCH(AD$1,[3]characters!$1:$1,0)-MATCH("character_id",[3]characters!$1:$1,0)+1,FALSE)</f>
        <v>2</v>
      </c>
      <c r="AE818" s="4" t="str">
        <f ca="1">VLOOKUP($AB818,OFFSET([3]characters!$A$1,0,0,COUNTA([3]characters!$A:$A),MATCH(AE$1,[3]characters!$1:$1,0)-MATCH("character_id",[3]characters!$1:$1,0)+1),MATCH(AE$1,[3]characters!$1:$1,0)-MATCH("character_id",[3]characters!$1:$1,0)+1,FALSE)</f>
        <v>Drop1S</v>
      </c>
      <c r="AF818" s="7">
        <v>5</v>
      </c>
      <c r="AG818" s="26">
        <f t="shared" ca="1" si="734"/>
        <v>2</v>
      </c>
      <c r="AH818" s="8">
        <v>20</v>
      </c>
      <c r="AI818" s="7">
        <v>0</v>
      </c>
      <c r="AJ818" s="7">
        <v>0</v>
      </c>
      <c r="AK818" s="7">
        <v>0</v>
      </c>
      <c r="AL818" s="7">
        <v>0</v>
      </c>
      <c r="AM818" s="7">
        <v>1</v>
      </c>
    </row>
    <row r="819" spans="1:39" ht="14" x14ac:dyDescent="0.15">
      <c r="A819" s="18" t="str">
        <f t="shared" ca="1" si="744"/>
        <v>26_4-2/45&lt;lv56&gt;s3</v>
      </c>
      <c r="B819" s="50">
        <v>26</v>
      </c>
      <c r="C819" s="49">
        <v>4</v>
      </c>
      <c r="D819" s="2" t="str">
        <f t="shared" si="745"/>
        <v>26_4</v>
      </c>
      <c r="E819" s="2" t="str">
        <f t="shared" si="745"/>
        <v>4_26_4</v>
      </c>
      <c r="F819" s="4" t="str">
        <f ca="1">VLOOKUP($D819,OFFSET([1]stages!$A$1,0,0,COUNTA([1]stages!$A:$A),MATCH(F$1,[1]stages!$2:$2,0)-MATCH($D$1,[1]stages!$2:$2,0)+1),MATCH(F$1,[1]stages!$2:$2,0)-MATCH($D$1,[1]stages!$2:$2,0)+1,FALSE)</f>
        <v>26-4．今夜はダークナイト</v>
      </c>
      <c r="G819" s="56">
        <v>2</v>
      </c>
      <c r="H819" s="17" t="str">
        <f t="shared" si="746"/>
        <v>26_4-2</v>
      </c>
      <c r="I819" s="17"/>
      <c r="J819" s="17"/>
      <c r="K819" s="65" t="s">
        <v>56</v>
      </c>
      <c r="L819" s="52">
        <v>45</v>
      </c>
      <c r="M819" s="21" t="str">
        <f ca="1">VLOOKUP($L819,OFFSET([2]enemies!$A$1,0,0,COUNTA([2]enemies!$A:$A),MATCH(M$1,[2]enemies!$1:$1,0)-MATCH($L$1,[2]enemies!$1:$1,0)+1),MATCH(M$1,[2]enemies!$1:$1,0)-MATCH($L$1,[2]enemies!$1:$1,0)+1,FALSE)</f>
        <v>ショウイン</v>
      </c>
      <c r="N819" s="21" t="str">
        <f ca="1">VLOOKUP($L819,OFFSET([2]enemies!$A$1,0,0,COUNTA([2]enemies!$A:$A),MATCH(N$1,[2]enemies!$1:$1,0)-MATCH($L$1,[2]enemies!$1:$1,0)+1),MATCH(N$1,[2]enemies!$1:$1,0)-MATCH($L$1,[2]enemies!$1:$1,0)+1,FALSE)</f>
        <v>blue</v>
      </c>
      <c r="O819" s="21" t="str">
        <f ca="1">VLOOKUP($L819,OFFSET([3]characters!$A$1,0,0,COUNTA([3]characters!$A:$A),MATCH(O$1,[3]characters!$1:$1,0)-MATCH($L$1,[3]characters!$1:$1,0)+1),MATCH(O$1,[3]characters!$1:$1,0)-MATCH($L$1,[3]characters!$1:$1,0)+1,FALSE)</f>
        <v>Drop1N</v>
      </c>
      <c r="P819" s="21" t="str">
        <f ca="1">VLOOKUP($L819,OFFSET([2]enemies!$A$1,0,0,COUNTA([2]enemies!$A:$A),MATCH(P$1,[2]enemies!$1:$1,0)-MATCH($L$1,[2]enemies!$1:$1,0)+1),MATCH(P$1,[2]enemies!$1:$1,0)-MATCH($L$1,[2]enemies!$1:$1,0)+1,FALSE)</f>
        <v>animal</v>
      </c>
      <c r="Q819" s="21">
        <f ca="1">VLOOKUP($L819,OFFSET([2]enemies!$A$1,0,0,COUNTA([2]enemies!$A:$A),MATCH(Q$1,[2]enemies!$1:$1,0)-MATCH($L$1,[2]enemies!$1:$1,0)+1),MATCH(Q$1,[2]enemies!$1:$1,0)-MATCH($L$1,[2]enemies!$1:$1,0)+1,FALSE)</f>
        <v>15</v>
      </c>
      <c r="R819" s="53">
        <v>56</v>
      </c>
      <c r="S819" s="27">
        <v>1</v>
      </c>
      <c r="T819" s="27">
        <v>1</v>
      </c>
      <c r="U819" s="5">
        <v>0</v>
      </c>
      <c r="V819" s="4" t="str">
        <f ca="1">VLOOKUP($W819,OFFSET([4]enemy_skill_sets!$B$1,0,0,COUNTA([4]enemy_skill_sets!$B:$B),MATCH(M$1,[4]enemy_skill_sets!$1:$1,0)-MATCH($W$1,[4]enemy_skill_sets!$1:$1,0)+2),MATCH(M$1,[4]enemy_skill_sets!$1:$1,0)-MATCH($W$1,[4]enemy_skill_sets!$1:$1,0)+2,FALSE)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19" s="4">
        <f ca="1">VLOOKUP($L819,OFFSET([2]enemies!$A$1,0,0,COUNTA([2]enemies!$A:$A),MATCH(W$1,[2]enemies!$1:$1,0)-MATCH($L$1,[2]enemies!$1:$1,0)+1),MATCH(W$1,[2]enemies!$1:$1,0)-MATCH($L$1,[2]enemies!$1:$1,0)+1,FALSE)</f>
        <v>0</v>
      </c>
      <c r="X819" s="6">
        <v>0</v>
      </c>
      <c r="Y819" s="6">
        <v>100</v>
      </c>
      <c r="Z819" s="6">
        <v>0</v>
      </c>
      <c r="AA819" s="4">
        <f ca="1">VLOOKUP($L819,OFFSET([2]enemies!$A$1,0,0,COUNTA([2]enemies!$A:$A),MATCH(AA$1,[2]enemies!$1:$1,0)-MATCH($L$1,[2]enemies!$1:$1,0)+1),MATCH(AA$1,[2]enemies!$1:$1,0)-MATCH($L$1,[2]enemies!$1:$1,0)+1,FALSE)</f>
        <v>3</v>
      </c>
      <c r="AB819" s="52">
        <v>45</v>
      </c>
      <c r="AC819" s="4" t="str">
        <f ca="1">VLOOKUP($AB819,OFFSET([3]characters!$A$1,0,0,COUNTA([3]characters!$A:$A),MATCH(AC$1,[3]characters!$1:$1,0)-MATCH("character_id",[3]characters!$1:$1,0)+1),MATCH(AC$1,[3]characters!$1:$1,0)-MATCH("character_id",[3]characters!$1:$1,0)+1,FALSE)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819" s="4">
        <f ca="1">VLOOKUP($AB819,OFFSET([3]characters!$A$1,0,0,COUNTA([3]characters!$A:$A),MATCH(AD$1,[3]characters!$1:$1,0)-MATCH("character_id",[3]characters!$1:$1,0)+1),MATCH(AD$1,[3]characters!$1:$1,0)-MATCH("character_id",[3]characters!$1:$1,0)+1,FALSE)</f>
        <v>2</v>
      </c>
      <c r="AE819" s="4" t="str">
        <f ca="1">VLOOKUP($AB819,OFFSET([3]characters!$A$1,0,0,COUNTA([3]characters!$A:$A),MATCH(AE$1,[3]characters!$1:$1,0)-MATCH("character_id",[3]characters!$1:$1,0)+1),MATCH(AE$1,[3]characters!$1:$1,0)-MATCH("character_id",[3]characters!$1:$1,0)+1,FALSE)</f>
        <v>Drop1N</v>
      </c>
      <c r="AF819" s="7">
        <v>7</v>
      </c>
      <c r="AG819" s="26">
        <f t="shared" ca="1" si="734"/>
        <v>2</v>
      </c>
      <c r="AH819" s="8">
        <v>20</v>
      </c>
      <c r="AI819" s="7">
        <v>0</v>
      </c>
      <c r="AJ819" s="7">
        <v>0</v>
      </c>
      <c r="AK819" s="7">
        <v>0</v>
      </c>
      <c r="AL819" s="7">
        <v>0</v>
      </c>
      <c r="AM819" s="7">
        <v>1</v>
      </c>
    </row>
    <row r="820" spans="1:39" ht="14" x14ac:dyDescent="0.15">
      <c r="A820" s="18" t="str">
        <f t="shared" ca="1" si="744"/>
        <v>26_4-2/47&lt;lv56&gt;s1</v>
      </c>
      <c r="B820" s="50">
        <v>26</v>
      </c>
      <c r="C820" s="49">
        <v>4</v>
      </c>
      <c r="D820" s="2" t="str">
        <f t="shared" si="745"/>
        <v>26_4</v>
      </c>
      <c r="E820" s="2" t="str">
        <f t="shared" si="745"/>
        <v>4_26_4</v>
      </c>
      <c r="F820" s="4" t="str">
        <f ca="1">VLOOKUP($D820,OFFSET([1]stages!$A$1,0,0,COUNTA([1]stages!$A:$A),MATCH(F$1,[1]stages!$2:$2,0)-MATCH($D$1,[1]stages!$2:$2,0)+1),MATCH(F$1,[1]stages!$2:$2,0)-MATCH($D$1,[1]stages!$2:$2,0)+1,FALSE)</f>
        <v>26-4．今夜はダークナイト</v>
      </c>
      <c r="G820" s="56">
        <v>2</v>
      </c>
      <c r="H820" s="17" t="str">
        <f t="shared" si="746"/>
        <v>26_4-2</v>
      </c>
      <c r="I820" s="17"/>
      <c r="J820" s="17"/>
      <c r="K820" s="65" t="s">
        <v>56</v>
      </c>
      <c r="L820" s="52">
        <v>47</v>
      </c>
      <c r="M820" s="21" t="str">
        <f ca="1">VLOOKUP($L820,OFFSET([2]enemies!$A$1,0,0,COUNTA([2]enemies!$A:$A),MATCH(M$1,[2]enemies!$1:$1,0)-MATCH($L$1,[2]enemies!$1:$1,0)+1),MATCH(M$1,[2]enemies!$1:$1,0)-MATCH($L$1,[2]enemies!$1:$1,0)+1,FALSE)</f>
        <v>ヒロ</v>
      </c>
      <c r="N820" s="21" t="str">
        <f ca="1">VLOOKUP($L820,OFFSET([2]enemies!$A$1,0,0,COUNTA([2]enemies!$A:$A),MATCH(N$1,[2]enemies!$1:$1,0)-MATCH($L$1,[2]enemies!$1:$1,0)+1),MATCH(N$1,[2]enemies!$1:$1,0)-MATCH($L$1,[2]enemies!$1:$1,0)+1,FALSE)</f>
        <v>yellow</v>
      </c>
      <c r="O820" s="21" t="str">
        <f ca="1">VLOOKUP($L820,OFFSET([3]characters!$A$1,0,0,COUNTA([3]characters!$A:$A),MATCH(O$1,[3]characters!$1:$1,0)-MATCH($L$1,[3]characters!$1:$1,0)+1),MATCH(O$1,[3]characters!$1:$1,0)-MATCH($L$1,[3]characters!$1:$1,0)+1,FALSE)</f>
        <v>Drop1N</v>
      </c>
      <c r="P820" s="21" t="str">
        <f ca="1">VLOOKUP($L820,OFFSET([2]enemies!$A$1,0,0,COUNTA([2]enemies!$A:$A),MATCH(P$1,[2]enemies!$1:$1,0)-MATCH($L$1,[2]enemies!$1:$1,0)+1),MATCH(P$1,[2]enemies!$1:$1,0)-MATCH($L$1,[2]enemies!$1:$1,0)+1,FALSE)</f>
        <v>animal</v>
      </c>
      <c r="Q820" s="21">
        <f ca="1">VLOOKUP($L820,OFFSET([2]enemies!$A$1,0,0,COUNTA([2]enemies!$A:$A),MATCH(Q$1,[2]enemies!$1:$1,0)-MATCH($L$1,[2]enemies!$1:$1,0)+1),MATCH(Q$1,[2]enemies!$1:$1,0)-MATCH($L$1,[2]enemies!$1:$1,0)+1,FALSE)</f>
        <v>15</v>
      </c>
      <c r="R820" s="53">
        <v>56</v>
      </c>
      <c r="S820" s="27">
        <v>1</v>
      </c>
      <c r="T820" s="27">
        <v>1</v>
      </c>
      <c r="U820" s="5">
        <v>0</v>
      </c>
      <c r="V820" s="4" t="str">
        <f ca="1">VLOOKUP($W820,OFFSET([4]enemy_skill_sets!$B$1,0,0,COUNTA([4]enemy_skill_sets!$B:$B),MATCH(M$1,[4]enemy_skill_sets!$1:$1,0)-MATCH($W$1,[4]enemy_skill_sets!$1:$1,0)+2),MATCH(M$1,[4]enemy_skill_sets!$1:$1,0)-MATCH($W$1,[4]enemy_skill_sets!$1:$1,0)+2,FALSE)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20" s="4">
        <f ca="1">VLOOKUP($L820,OFFSET([2]enemies!$A$1,0,0,COUNTA([2]enemies!$A:$A),MATCH(W$1,[2]enemies!$1:$1,0)-MATCH($L$1,[2]enemies!$1:$1,0)+1),MATCH(W$1,[2]enemies!$1:$1,0)-MATCH($L$1,[2]enemies!$1:$1,0)+1,FALSE)</f>
        <v>0</v>
      </c>
      <c r="X820" s="6">
        <v>0</v>
      </c>
      <c r="Y820" s="6">
        <v>100</v>
      </c>
      <c r="Z820" s="6">
        <v>0</v>
      </c>
      <c r="AA820" s="4">
        <f ca="1">VLOOKUP($L820,OFFSET([2]enemies!$A$1,0,0,COUNTA([2]enemies!$A:$A),MATCH(AA$1,[2]enemies!$1:$1,0)-MATCH($L$1,[2]enemies!$1:$1,0)+1),MATCH(AA$1,[2]enemies!$1:$1,0)-MATCH($L$1,[2]enemies!$1:$1,0)+1,FALSE)</f>
        <v>1</v>
      </c>
      <c r="AB820" s="52">
        <v>47</v>
      </c>
      <c r="AC820" s="4" t="str">
        <f ca="1">VLOOKUP($AB820,OFFSET([3]characters!$A$1,0,0,COUNTA([3]characters!$A:$A),MATCH(AC$1,[3]characters!$1:$1,0)-MATCH("character_id",[3]characters!$1:$1,0)+1),MATCH(AC$1,[3]characters!$1:$1,0)-MATCH("character_id",[3]characters!$1:$1,0)+1,FALSE)</f>
        <v>ヒロ</v>
      </c>
      <c r="AD820" s="4">
        <f ca="1">VLOOKUP($AB820,OFFSET([3]characters!$A$1,0,0,COUNTA([3]characters!$A:$A),MATCH(AD$1,[3]characters!$1:$1,0)-MATCH("character_id",[3]characters!$1:$1,0)+1),MATCH(AD$1,[3]characters!$1:$1,0)-MATCH("character_id",[3]characters!$1:$1,0)+1,FALSE)</f>
        <v>2</v>
      </c>
      <c r="AE820" s="4" t="str">
        <f ca="1">VLOOKUP($AB820,OFFSET([3]characters!$A$1,0,0,COUNTA([3]characters!$A:$A),MATCH(AE$1,[3]characters!$1:$1,0)-MATCH("character_id",[3]characters!$1:$1,0)+1),MATCH(AE$1,[3]characters!$1:$1,0)-MATCH("character_id",[3]characters!$1:$1,0)+1,FALSE)</f>
        <v>Drop1N</v>
      </c>
      <c r="AF820" s="7">
        <v>7</v>
      </c>
      <c r="AG820" s="26">
        <f t="shared" ca="1" si="734"/>
        <v>2</v>
      </c>
      <c r="AH820" s="8">
        <v>20</v>
      </c>
      <c r="AI820" s="7">
        <v>0</v>
      </c>
      <c r="AJ820" s="7">
        <v>0</v>
      </c>
      <c r="AK820" s="7">
        <v>0</v>
      </c>
      <c r="AL820" s="7">
        <v>0</v>
      </c>
      <c r="AM820" s="7">
        <v>1</v>
      </c>
    </row>
    <row r="821" spans="1:39" ht="14" x14ac:dyDescent="0.15">
      <c r="A821" s="18" t="str">
        <f t="shared" ca="1" si="744"/>
        <v>26_4-2/57&lt;lv56&gt;s2</v>
      </c>
      <c r="B821" s="50">
        <v>26</v>
      </c>
      <c r="C821" s="49">
        <v>4</v>
      </c>
      <c r="D821" s="2" t="str">
        <f t="shared" si="745"/>
        <v>26_4</v>
      </c>
      <c r="E821" s="2" t="str">
        <f t="shared" si="745"/>
        <v>4_26_4</v>
      </c>
      <c r="F821" s="4" t="str">
        <f ca="1">VLOOKUP($D821,OFFSET([1]stages!$A$1,0,0,COUNTA([1]stages!$A:$A),MATCH(F$1,[1]stages!$2:$2,0)-MATCH($D$1,[1]stages!$2:$2,0)+1),MATCH(F$1,[1]stages!$2:$2,0)-MATCH($D$1,[1]stages!$2:$2,0)+1,FALSE)</f>
        <v>26-4．今夜はダークナイト</v>
      </c>
      <c r="G821" s="56">
        <v>2</v>
      </c>
      <c r="H821" s="17" t="str">
        <f t="shared" si="746"/>
        <v>26_4-2</v>
      </c>
      <c r="I821" s="17"/>
      <c r="J821" s="17"/>
      <c r="K821" s="65" t="s">
        <v>56</v>
      </c>
      <c r="L821" s="52">
        <v>57</v>
      </c>
      <c r="M821" s="21" t="str">
        <f ca="1">VLOOKUP($L821,OFFSET([2]enemies!$A$1,0,0,COUNTA([2]enemies!$A:$A),MATCH(M$1,[2]enemies!$1:$1,0)-MATCH($L$1,[2]enemies!$1:$1,0)+1),MATCH(M$1,[2]enemies!$1:$1,0)-MATCH($L$1,[2]enemies!$1:$1,0)+1,FALSE)</f>
        <v>チェン・リー</v>
      </c>
      <c r="N821" s="21" t="str">
        <f ca="1">VLOOKUP($L821,OFFSET([2]enemies!$A$1,0,0,COUNTA([2]enemies!$A:$A),MATCH(N$1,[2]enemies!$1:$1,0)-MATCH($L$1,[2]enemies!$1:$1,0)+1),MATCH(N$1,[2]enemies!$1:$1,0)-MATCH($L$1,[2]enemies!$1:$1,0)+1,FALSE)</f>
        <v>red</v>
      </c>
      <c r="O821" s="21" t="str">
        <f ca="1">VLOOKUP($L821,OFFSET([3]characters!$A$1,0,0,COUNTA([3]characters!$A:$A),MATCH(O$1,[3]characters!$1:$1,0)-MATCH($L$1,[3]characters!$1:$1,0)+1),MATCH(O$1,[3]characters!$1:$1,0)-MATCH($L$1,[3]characters!$1:$1,0)+1,FALSE)</f>
        <v>Drop1N</v>
      </c>
      <c r="P821" s="21" t="str">
        <f ca="1">VLOOKUP($L821,OFFSET([2]enemies!$A$1,0,0,COUNTA([2]enemies!$A:$A),MATCH(P$1,[2]enemies!$1:$1,0)-MATCH($L$1,[2]enemies!$1:$1,0)+1),MATCH(P$1,[2]enemies!$1:$1,0)-MATCH($L$1,[2]enemies!$1:$1,0)+1,FALSE)</f>
        <v>animal</v>
      </c>
      <c r="Q821" s="21">
        <f ca="1">VLOOKUP($L821,OFFSET([2]enemies!$A$1,0,0,COUNTA([2]enemies!$A:$A),MATCH(Q$1,[2]enemies!$1:$1,0)-MATCH($L$1,[2]enemies!$1:$1,0)+1),MATCH(Q$1,[2]enemies!$1:$1,0)-MATCH($L$1,[2]enemies!$1:$1,0)+1,FALSE)</f>
        <v>15</v>
      </c>
      <c r="R821" s="53">
        <v>56</v>
      </c>
      <c r="S821" s="27">
        <v>1</v>
      </c>
      <c r="T821" s="27">
        <v>1</v>
      </c>
      <c r="U821" s="5">
        <v>0</v>
      </c>
      <c r="V821" s="4" t="str">
        <f ca="1">VLOOKUP($W821,OFFSET([4]enemy_skill_sets!$B$1,0,0,COUNTA([4]enemy_skill_sets!$B:$B),MATCH(M$1,[4]enemy_skill_sets!$1:$1,0)-MATCH($W$1,[4]enemy_skill_sets!$1:$1,0)+2),MATCH(M$1,[4]enemy_skill_sets!$1:$1,0)-MATCH($W$1,[4]enemy_skill_sets!$1:$1,0)+2,FALSE)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821" s="4">
        <f ca="1">VLOOKUP($L821,OFFSET([2]enemies!$A$1,0,0,COUNTA([2]enemies!$A:$A),MATCH(W$1,[2]enemies!$1:$1,0)-MATCH($L$1,[2]enemies!$1:$1,0)+1),MATCH(W$1,[2]enemies!$1:$1,0)-MATCH($L$1,[2]enemies!$1:$1,0)+1,FALSE)</f>
        <v>57</v>
      </c>
      <c r="X821" s="6">
        <v>0</v>
      </c>
      <c r="Y821" s="6">
        <v>100</v>
      </c>
      <c r="Z821" s="6">
        <v>0</v>
      </c>
      <c r="AA821" s="4">
        <f ca="1">VLOOKUP($L821,OFFSET([2]enemies!$A$1,0,0,COUNTA([2]enemies!$A:$A),MATCH(AA$1,[2]enemies!$1:$1,0)-MATCH($L$1,[2]enemies!$1:$1,0)+1),MATCH(AA$1,[2]enemies!$1:$1,0)-MATCH($L$1,[2]enemies!$1:$1,0)+1,FALSE)</f>
        <v>2</v>
      </c>
      <c r="AB821" s="52">
        <v>57</v>
      </c>
      <c r="AC821" s="4" t="str">
        <f ca="1">VLOOKUP($AB821,OFFSET([3]characters!$A$1,0,0,COUNTA([3]characters!$A:$A),MATCH(AC$1,[3]characters!$1:$1,0)-MATCH("character_id",[3]characters!$1:$1,0)+1),MATCH(AC$1,[3]characters!$1:$1,0)-MATCH("character_id",[3]characters!$1:$1,0)+1,FALSE)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821" s="4">
        <f ca="1">VLOOKUP($AB821,OFFSET([3]characters!$A$1,0,0,COUNTA([3]characters!$A:$A),MATCH(AD$1,[3]characters!$1:$1,0)-MATCH("character_id",[3]characters!$1:$1,0)+1),MATCH(AD$1,[3]characters!$1:$1,0)-MATCH("character_id",[3]characters!$1:$1,0)+1,FALSE)</f>
        <v>2</v>
      </c>
      <c r="AE821" s="4" t="str">
        <f ca="1">VLOOKUP($AB821,OFFSET([3]characters!$A$1,0,0,COUNTA([3]characters!$A:$A),MATCH(AE$1,[3]characters!$1:$1,0)-MATCH("character_id",[3]characters!$1:$1,0)+1),MATCH(AE$1,[3]characters!$1:$1,0)-MATCH("character_id",[3]characters!$1:$1,0)+1,FALSE)</f>
        <v>Drop1N</v>
      </c>
      <c r="AF821" s="7">
        <v>7</v>
      </c>
      <c r="AG821" s="26">
        <f t="shared" ca="1" si="734"/>
        <v>2</v>
      </c>
      <c r="AH821" s="8">
        <v>20</v>
      </c>
      <c r="AI821" s="7">
        <v>0</v>
      </c>
      <c r="AJ821" s="7">
        <v>0</v>
      </c>
      <c r="AK821" s="7">
        <v>0</v>
      </c>
      <c r="AL821" s="7">
        <v>0</v>
      </c>
      <c r="AM821" s="7">
        <v>1</v>
      </c>
    </row>
    <row r="822" spans="1:39" ht="14" x14ac:dyDescent="0.15">
      <c r="A822" s="18" t="str">
        <f t="shared" ca="1" si="744"/>
        <v>26_4-2/59&lt;lv56&gt;s2</v>
      </c>
      <c r="B822" s="50">
        <v>26</v>
      </c>
      <c r="C822" s="49">
        <v>4</v>
      </c>
      <c r="D822" s="2" t="str">
        <f t="shared" si="745"/>
        <v>26_4</v>
      </c>
      <c r="E822" s="2" t="str">
        <f t="shared" si="745"/>
        <v>4_26_4</v>
      </c>
      <c r="F822" s="4" t="str">
        <f ca="1">VLOOKUP($D822,OFFSET([1]stages!$A$1,0,0,COUNTA([1]stages!$A:$A),MATCH(F$1,[1]stages!$2:$2,0)-MATCH($D$1,[1]stages!$2:$2,0)+1),MATCH(F$1,[1]stages!$2:$2,0)-MATCH($D$1,[1]stages!$2:$2,0)+1,FALSE)</f>
        <v>26-4．今夜はダークナイト</v>
      </c>
      <c r="G822" s="56">
        <v>2</v>
      </c>
      <c r="H822" s="17" t="str">
        <f t="shared" si="746"/>
        <v>26_4-2</v>
      </c>
      <c r="I822" s="17"/>
      <c r="J822" s="17"/>
      <c r="K822" s="65" t="s">
        <v>56</v>
      </c>
      <c r="L822" s="52">
        <v>59</v>
      </c>
      <c r="M822" s="21" t="str">
        <f ca="1">VLOOKUP($L822,OFFSET([2]enemies!$A$1,0,0,COUNTA([2]enemies!$A:$A),MATCH(M$1,[2]enemies!$1:$1,0)-MATCH($L$1,[2]enemies!$1:$1,0)+1),MATCH(M$1,[2]enemies!$1:$1,0)-MATCH($L$1,[2]enemies!$1:$1,0)+1,FALSE)</f>
        <v>マーチ</v>
      </c>
      <c r="N822" s="21" t="str">
        <f ca="1">VLOOKUP($L822,OFFSET([2]enemies!$A$1,0,0,COUNTA([2]enemies!$A:$A),MATCH(N$1,[2]enemies!$1:$1,0)-MATCH($L$1,[2]enemies!$1:$1,0)+1),MATCH(N$1,[2]enemies!$1:$1,0)-MATCH($L$1,[2]enemies!$1:$1,0)+1,FALSE)</f>
        <v>green</v>
      </c>
      <c r="O822" s="21" t="str">
        <f ca="1">VLOOKUP($L822,OFFSET([3]characters!$A$1,0,0,COUNTA([3]characters!$A:$A),MATCH(O$1,[3]characters!$1:$1,0)-MATCH($L$1,[3]characters!$1:$1,0)+1),MATCH(O$1,[3]characters!$1:$1,0)-MATCH($L$1,[3]characters!$1:$1,0)+1,FALSE)</f>
        <v>Drop1N</v>
      </c>
      <c r="P822" s="21" t="str">
        <f ca="1">VLOOKUP($L822,OFFSET([2]enemies!$A$1,0,0,COUNTA([2]enemies!$A:$A),MATCH(P$1,[2]enemies!$1:$1,0)-MATCH($L$1,[2]enemies!$1:$1,0)+1),MATCH(P$1,[2]enemies!$1:$1,0)-MATCH($L$1,[2]enemies!$1:$1,0)+1,FALSE)</f>
        <v>animal</v>
      </c>
      <c r="Q822" s="21">
        <f ca="1">VLOOKUP($L822,OFFSET([2]enemies!$A$1,0,0,COUNTA([2]enemies!$A:$A),MATCH(Q$1,[2]enemies!$1:$1,0)-MATCH($L$1,[2]enemies!$1:$1,0)+1),MATCH(Q$1,[2]enemies!$1:$1,0)-MATCH($L$1,[2]enemies!$1:$1,0)+1,FALSE)</f>
        <v>15</v>
      </c>
      <c r="R822" s="53">
        <v>56</v>
      </c>
      <c r="S822" s="27">
        <v>1</v>
      </c>
      <c r="T822" s="27">
        <v>1</v>
      </c>
      <c r="U822" s="5">
        <v>0</v>
      </c>
      <c r="V822" s="4" t="str">
        <f ca="1">VLOOKUP($W822,OFFSET([4]enemy_skill_sets!$B$1,0,0,COUNTA([4]enemy_skill_sets!$B:$B),MATCH(M$1,[4]enemy_skill_sets!$1:$1,0)-MATCH($W$1,[4]enemy_skill_sets!$1:$1,0)+2),MATCH(M$1,[4]enemy_skill_sets!$1:$1,0)-MATCH($W$1,[4]enemy_skill_sets!$1:$1,0)+2,FALSE)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22" s="4">
        <f ca="1">VLOOKUP($L822,OFFSET([2]enemies!$A$1,0,0,COUNTA([2]enemies!$A:$A),MATCH(W$1,[2]enemies!$1:$1,0)-MATCH($L$1,[2]enemies!$1:$1,0)+1),MATCH(W$1,[2]enemies!$1:$1,0)-MATCH($L$1,[2]enemies!$1:$1,0)+1,FALSE)</f>
        <v>59</v>
      </c>
      <c r="X822" s="6">
        <v>0</v>
      </c>
      <c r="Y822" s="6">
        <v>100</v>
      </c>
      <c r="Z822" s="6">
        <v>0</v>
      </c>
      <c r="AA822" s="4">
        <f ca="1">VLOOKUP($L822,OFFSET([2]enemies!$A$1,0,0,COUNTA([2]enemies!$A:$A),MATCH(AA$1,[2]enemies!$1:$1,0)-MATCH($L$1,[2]enemies!$1:$1,0)+1),MATCH(AA$1,[2]enemies!$1:$1,0)-MATCH($L$1,[2]enemies!$1:$1,0)+1,FALSE)</f>
        <v>2</v>
      </c>
      <c r="AB822" s="52">
        <v>59</v>
      </c>
      <c r="AC822" s="4" t="str">
        <f ca="1">VLOOKUP($AB822,OFFSET([3]characters!$A$1,0,0,COUNTA([3]characters!$A:$A),MATCH(AC$1,[3]characters!$1:$1,0)-MATCH("character_id",[3]characters!$1:$1,0)+1),MATCH(AC$1,[3]characters!$1:$1,0)-MATCH("character_id",[3]characters!$1:$1,0)+1,FALSE)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822" s="4">
        <f ca="1">VLOOKUP($AB822,OFFSET([3]characters!$A$1,0,0,COUNTA([3]characters!$A:$A),MATCH(AD$1,[3]characters!$1:$1,0)-MATCH("character_id",[3]characters!$1:$1,0)+1),MATCH(AD$1,[3]characters!$1:$1,0)-MATCH("character_id",[3]characters!$1:$1,0)+1,FALSE)</f>
        <v>2</v>
      </c>
      <c r="AE822" s="4" t="str">
        <f ca="1">VLOOKUP($AB822,OFFSET([3]characters!$A$1,0,0,COUNTA([3]characters!$A:$A),MATCH(AE$1,[3]characters!$1:$1,0)-MATCH("character_id",[3]characters!$1:$1,0)+1),MATCH(AE$1,[3]characters!$1:$1,0)-MATCH("character_id",[3]characters!$1:$1,0)+1,FALSE)</f>
        <v>Drop1N</v>
      </c>
      <c r="AF822" s="7">
        <v>7</v>
      </c>
      <c r="AG822" s="26">
        <f t="shared" ca="1" si="734"/>
        <v>2</v>
      </c>
      <c r="AH822" s="8">
        <v>20</v>
      </c>
      <c r="AI822" s="7">
        <v>0</v>
      </c>
      <c r="AJ822" s="7">
        <v>0</v>
      </c>
      <c r="AK822" s="7">
        <v>0</v>
      </c>
      <c r="AL822" s="7">
        <v>0</v>
      </c>
      <c r="AM822" s="7">
        <v>1</v>
      </c>
    </row>
    <row r="823" spans="1:39" ht="14" x14ac:dyDescent="0.15">
      <c r="A823" s="18" t="str">
        <f t="shared" ca="1" si="744"/>
        <v>26_4-2/61&lt;lv56&gt;s2</v>
      </c>
      <c r="B823" s="50">
        <v>26</v>
      </c>
      <c r="C823" s="49">
        <v>4</v>
      </c>
      <c r="D823" s="2" t="str">
        <f t="shared" si="745"/>
        <v>26_4</v>
      </c>
      <c r="E823" s="2" t="str">
        <f t="shared" si="745"/>
        <v>4_26_4</v>
      </c>
      <c r="F823" s="4" t="str">
        <f ca="1">VLOOKUP($D823,OFFSET([1]stages!$A$1,0,0,COUNTA([1]stages!$A:$A),MATCH(F$1,[1]stages!$2:$2,0)-MATCH($D$1,[1]stages!$2:$2,0)+1),MATCH(F$1,[1]stages!$2:$2,0)-MATCH($D$1,[1]stages!$2:$2,0)+1,FALSE)</f>
        <v>26-4．今夜はダークナイト</v>
      </c>
      <c r="G823" s="56">
        <v>2</v>
      </c>
      <c r="H823" s="17" t="str">
        <f t="shared" si="746"/>
        <v>26_4-2</v>
      </c>
      <c r="I823" s="17"/>
      <c r="J823" s="17"/>
      <c r="K823" s="65" t="s">
        <v>56</v>
      </c>
      <c r="L823" s="52">
        <v>61</v>
      </c>
      <c r="M823" s="21" t="str">
        <f ca="1">VLOOKUP($L823,OFFSET([2]enemies!$A$1,0,0,COUNTA([2]enemies!$A:$A),MATCH(M$1,[2]enemies!$1:$1,0)-MATCH($L$1,[2]enemies!$1:$1,0)+1),MATCH(M$1,[2]enemies!$1:$1,0)-MATCH($L$1,[2]enemies!$1:$1,0)+1,FALSE)</f>
        <v>クロウ</v>
      </c>
      <c r="N823" s="21" t="str">
        <f ca="1">VLOOKUP($L823,OFFSET([2]enemies!$A$1,0,0,COUNTA([2]enemies!$A:$A),MATCH(N$1,[2]enemies!$1:$1,0)-MATCH($L$1,[2]enemies!$1:$1,0)+1),MATCH(N$1,[2]enemies!$1:$1,0)-MATCH($L$1,[2]enemies!$1:$1,0)+1,FALSE)</f>
        <v>blue</v>
      </c>
      <c r="O823" s="21" t="str">
        <f ca="1">VLOOKUP($L823,OFFSET([3]characters!$A$1,0,0,COUNTA([3]characters!$A:$A),MATCH(O$1,[3]characters!$1:$1,0)-MATCH($L$1,[3]characters!$1:$1,0)+1),MATCH(O$1,[3]characters!$1:$1,0)-MATCH($L$1,[3]characters!$1:$1,0)+1,FALSE)</f>
        <v>Drop1N</v>
      </c>
      <c r="P823" s="21" t="str">
        <f ca="1">VLOOKUP($L823,OFFSET([2]enemies!$A$1,0,0,COUNTA([2]enemies!$A:$A),MATCH(P$1,[2]enemies!$1:$1,0)-MATCH($L$1,[2]enemies!$1:$1,0)+1),MATCH(P$1,[2]enemies!$1:$1,0)-MATCH($L$1,[2]enemies!$1:$1,0)+1,FALSE)</f>
        <v>animal</v>
      </c>
      <c r="Q823" s="21">
        <f ca="1">VLOOKUP($L823,OFFSET([2]enemies!$A$1,0,0,COUNTA([2]enemies!$A:$A),MATCH(Q$1,[2]enemies!$1:$1,0)-MATCH($L$1,[2]enemies!$1:$1,0)+1),MATCH(Q$1,[2]enemies!$1:$1,0)-MATCH($L$1,[2]enemies!$1:$1,0)+1,FALSE)</f>
        <v>15</v>
      </c>
      <c r="R823" s="53">
        <v>56</v>
      </c>
      <c r="S823" s="27">
        <v>1</v>
      </c>
      <c r="T823" s="27">
        <v>1</v>
      </c>
      <c r="U823" s="5">
        <v>0</v>
      </c>
      <c r="V823" s="4" t="str">
        <f ca="1">VLOOKUP($W823,OFFSET([4]enemy_skill_sets!$B$1,0,0,COUNTA([4]enemy_skill_sets!$B:$B),MATCH(M$1,[4]enemy_skill_sets!$1:$1,0)-MATCH($W$1,[4]enemy_skill_sets!$1:$1,0)+2),MATCH(M$1,[4]enemy_skill_sets!$1:$1,0)-MATCH($W$1,[4]enemy_skill_sets!$1:$1,0)+2,FALSE)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23" s="4">
        <f ca="1">VLOOKUP($L823,OFFSET([2]enemies!$A$1,0,0,COUNTA([2]enemies!$A:$A),MATCH(W$1,[2]enemies!$1:$1,0)-MATCH($L$1,[2]enemies!$1:$1,0)+1),MATCH(W$1,[2]enemies!$1:$1,0)-MATCH($L$1,[2]enemies!$1:$1,0)+1,FALSE)</f>
        <v>61</v>
      </c>
      <c r="X823" s="6">
        <v>0</v>
      </c>
      <c r="Y823" s="6">
        <v>100</v>
      </c>
      <c r="Z823" s="6">
        <v>0</v>
      </c>
      <c r="AA823" s="4">
        <f ca="1">VLOOKUP($L823,OFFSET([2]enemies!$A$1,0,0,COUNTA([2]enemies!$A:$A),MATCH(AA$1,[2]enemies!$1:$1,0)-MATCH($L$1,[2]enemies!$1:$1,0)+1),MATCH(AA$1,[2]enemies!$1:$1,0)-MATCH($L$1,[2]enemies!$1:$1,0)+1,FALSE)</f>
        <v>2</v>
      </c>
      <c r="AB823" s="52">
        <v>61</v>
      </c>
      <c r="AC823" s="4" t="str">
        <f ca="1">VLOOKUP($AB823,OFFSET([3]characters!$A$1,0,0,COUNTA([3]characters!$A:$A),MATCH(AC$1,[3]characters!$1:$1,0)-MATCH("character_id",[3]characters!$1:$1,0)+1),MATCH(AC$1,[3]characters!$1:$1,0)-MATCH("character_id",[3]characters!$1:$1,0)+1,FALSE)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823" s="4">
        <f ca="1">VLOOKUP($AB823,OFFSET([3]characters!$A$1,0,0,COUNTA([3]characters!$A:$A),MATCH(AD$1,[3]characters!$1:$1,0)-MATCH("character_id",[3]characters!$1:$1,0)+1),MATCH(AD$1,[3]characters!$1:$1,0)-MATCH("character_id",[3]characters!$1:$1,0)+1,FALSE)</f>
        <v>2</v>
      </c>
      <c r="AE823" s="4" t="str">
        <f ca="1">VLOOKUP($AB823,OFFSET([3]characters!$A$1,0,0,COUNTA([3]characters!$A:$A),MATCH(AE$1,[3]characters!$1:$1,0)-MATCH("character_id",[3]characters!$1:$1,0)+1),MATCH(AE$1,[3]characters!$1:$1,0)-MATCH("character_id",[3]characters!$1:$1,0)+1,FALSE)</f>
        <v>Drop1N</v>
      </c>
      <c r="AF823" s="7">
        <v>7</v>
      </c>
      <c r="AG823" s="26">
        <f t="shared" ca="1" si="734"/>
        <v>2</v>
      </c>
      <c r="AH823" s="8">
        <v>20</v>
      </c>
      <c r="AI823" s="7">
        <v>0</v>
      </c>
      <c r="AJ823" s="7">
        <v>0</v>
      </c>
      <c r="AK823" s="7">
        <v>0</v>
      </c>
      <c r="AL823" s="7">
        <v>0</v>
      </c>
      <c r="AM823" s="7">
        <v>1</v>
      </c>
    </row>
    <row r="824" spans="1:39" ht="14" x14ac:dyDescent="0.15">
      <c r="A824" s="18" t="str">
        <f t="shared" ca="1" si="744"/>
        <v>26_4-2/63&lt;lv56&gt;s2</v>
      </c>
      <c r="B824" s="50">
        <v>26</v>
      </c>
      <c r="C824" s="49">
        <v>4</v>
      </c>
      <c r="D824" s="2" t="str">
        <f t="shared" ref="D824:E873" si="758">B824&amp;"_"&amp;C824</f>
        <v>26_4</v>
      </c>
      <c r="E824" s="2" t="str">
        <f t="shared" si="758"/>
        <v>4_26_4</v>
      </c>
      <c r="F824" s="4" t="str">
        <f ca="1">VLOOKUP($D824,OFFSET([1]stages!$A$1,0,0,COUNTA([1]stages!$A:$A),MATCH(F$1,[1]stages!$2:$2,0)-MATCH($D$1,[1]stages!$2:$2,0)+1),MATCH(F$1,[1]stages!$2:$2,0)-MATCH($D$1,[1]stages!$2:$2,0)+1,FALSE)</f>
        <v>26-4．今夜はダークナイト</v>
      </c>
      <c r="G824" s="56">
        <v>2</v>
      </c>
      <c r="H824" s="17" t="str">
        <f t="shared" ref="H824:H873" si="759">B824&amp;"_"&amp;C824&amp;"-"&amp;G824</f>
        <v>26_4-2</v>
      </c>
      <c r="I824" s="17"/>
      <c r="J824" s="17"/>
      <c r="K824" s="65" t="s">
        <v>56</v>
      </c>
      <c r="L824" s="52">
        <v>63</v>
      </c>
      <c r="M824" s="21" t="str">
        <f ca="1">VLOOKUP($L824,OFFSET([2]enemies!$A$1,0,0,COUNTA([2]enemies!$A:$A),MATCH(M$1,[2]enemies!$1:$1,0)-MATCH($L$1,[2]enemies!$1:$1,0)+1),MATCH(M$1,[2]enemies!$1:$1,0)-MATCH($L$1,[2]enemies!$1:$1,0)+1,FALSE)</f>
        <v>トニー</v>
      </c>
      <c r="N824" s="21" t="str">
        <f ca="1">VLOOKUP($L824,OFFSET([2]enemies!$A$1,0,0,COUNTA([2]enemies!$A:$A),MATCH(N$1,[2]enemies!$1:$1,0)-MATCH($L$1,[2]enemies!$1:$1,0)+1),MATCH(N$1,[2]enemies!$1:$1,0)-MATCH($L$1,[2]enemies!$1:$1,0)+1,FALSE)</f>
        <v>yellow</v>
      </c>
      <c r="O824" s="21" t="str">
        <f ca="1">VLOOKUP($L824,OFFSET([3]characters!$A$1,0,0,COUNTA([3]characters!$A:$A),MATCH(O$1,[3]characters!$1:$1,0)-MATCH($L$1,[3]characters!$1:$1,0)+1),MATCH(O$1,[3]characters!$1:$1,0)-MATCH($L$1,[3]characters!$1:$1,0)+1,FALSE)</f>
        <v>Drop1N</v>
      </c>
      <c r="P824" s="21" t="str">
        <f ca="1">VLOOKUP($L824,OFFSET([2]enemies!$A$1,0,0,COUNTA([2]enemies!$A:$A),MATCH(P$1,[2]enemies!$1:$1,0)-MATCH($L$1,[2]enemies!$1:$1,0)+1),MATCH(P$1,[2]enemies!$1:$1,0)-MATCH($L$1,[2]enemies!$1:$1,0)+1,FALSE)</f>
        <v>animal</v>
      </c>
      <c r="Q824" s="21">
        <f ca="1">VLOOKUP($L824,OFFSET([2]enemies!$A$1,0,0,COUNTA([2]enemies!$A:$A),MATCH(Q$1,[2]enemies!$1:$1,0)-MATCH($L$1,[2]enemies!$1:$1,0)+1),MATCH(Q$1,[2]enemies!$1:$1,0)-MATCH($L$1,[2]enemies!$1:$1,0)+1,FALSE)</f>
        <v>15</v>
      </c>
      <c r="R824" s="53">
        <v>56</v>
      </c>
      <c r="S824" s="27">
        <v>1</v>
      </c>
      <c r="T824" s="27">
        <v>1</v>
      </c>
      <c r="U824" s="5">
        <v>0</v>
      </c>
      <c r="V824" s="4" t="str">
        <f ca="1">VLOOKUP($W824,OFFSET([4]enemy_skill_sets!$B$1,0,0,COUNTA([4]enemy_skill_sets!$B:$B),MATCH(M$1,[4]enemy_skill_sets!$1:$1,0)-MATCH($W$1,[4]enemy_skill_sets!$1:$1,0)+2),MATCH(M$1,[4]enemy_skill_sets!$1:$1,0)-MATCH($W$1,[4]enemy_skill_sets!$1:$1,0)+2,FALSE)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824" s="4">
        <f ca="1">VLOOKUP($L824,OFFSET([2]enemies!$A$1,0,0,COUNTA([2]enemies!$A:$A),MATCH(W$1,[2]enemies!$1:$1,0)-MATCH($L$1,[2]enemies!$1:$1,0)+1),MATCH(W$1,[2]enemies!$1:$1,0)-MATCH($L$1,[2]enemies!$1:$1,0)+1,FALSE)</f>
        <v>63</v>
      </c>
      <c r="X824" s="6">
        <v>0</v>
      </c>
      <c r="Y824" s="6">
        <v>100</v>
      </c>
      <c r="Z824" s="6">
        <v>0</v>
      </c>
      <c r="AA824" s="4">
        <f ca="1">VLOOKUP($L824,OFFSET([2]enemies!$A$1,0,0,COUNTA([2]enemies!$A:$A),MATCH(AA$1,[2]enemies!$1:$1,0)-MATCH($L$1,[2]enemies!$1:$1,0)+1),MATCH(AA$1,[2]enemies!$1:$1,0)-MATCH($L$1,[2]enemies!$1:$1,0)+1,FALSE)</f>
        <v>2</v>
      </c>
      <c r="AB824" s="52">
        <v>63</v>
      </c>
      <c r="AC824" s="4" t="str">
        <f ca="1">VLOOKUP($AB824,OFFSET([3]characters!$A$1,0,0,COUNTA([3]characters!$A:$A),MATCH(AC$1,[3]characters!$1:$1,0)-MATCH("character_id",[3]characters!$1:$1,0)+1),MATCH(AC$1,[3]characters!$1:$1,0)-MATCH("character_id",[3]characters!$1:$1,0)+1,FALSE)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824" s="4">
        <f ca="1">VLOOKUP($AB824,OFFSET([3]characters!$A$1,0,0,COUNTA([3]characters!$A:$A),MATCH(AD$1,[3]characters!$1:$1,0)-MATCH("character_id",[3]characters!$1:$1,0)+1),MATCH(AD$1,[3]characters!$1:$1,0)-MATCH("character_id",[3]characters!$1:$1,0)+1,FALSE)</f>
        <v>2</v>
      </c>
      <c r="AE824" s="4" t="str">
        <f ca="1">VLOOKUP($AB824,OFFSET([3]characters!$A$1,0,0,COUNTA([3]characters!$A:$A),MATCH(AE$1,[3]characters!$1:$1,0)-MATCH("character_id",[3]characters!$1:$1,0)+1),MATCH(AE$1,[3]characters!$1:$1,0)-MATCH("character_id",[3]characters!$1:$1,0)+1,FALSE)</f>
        <v>Drop1N</v>
      </c>
      <c r="AF824" s="7">
        <v>7</v>
      </c>
      <c r="AG824" s="26">
        <f t="shared" ca="1" si="734"/>
        <v>2</v>
      </c>
      <c r="AH824" s="8">
        <v>20</v>
      </c>
      <c r="AI824" s="7">
        <v>0</v>
      </c>
      <c r="AJ824" s="7">
        <v>0</v>
      </c>
      <c r="AK824" s="7">
        <v>0</v>
      </c>
      <c r="AL824" s="7">
        <v>0</v>
      </c>
      <c r="AM824" s="7">
        <v>1</v>
      </c>
    </row>
    <row r="825" spans="1:39" ht="14" x14ac:dyDescent="0.15">
      <c r="A825" s="18" t="str">
        <f t="shared" ca="1" si="744"/>
        <v>26_4-2/360&lt;lv56&gt;s3</v>
      </c>
      <c r="B825" s="53">
        <v>26</v>
      </c>
      <c r="C825" s="51">
        <v>4</v>
      </c>
      <c r="D825" s="2" t="str">
        <f t="shared" si="758"/>
        <v>26_4</v>
      </c>
      <c r="E825" s="2" t="str">
        <f t="shared" si="758"/>
        <v>4_26_4</v>
      </c>
      <c r="F825" s="4" t="str">
        <f ca="1">VLOOKUP($D825,OFFSET([1]stages!$A$1,0,0,COUNTA([1]stages!$A:$A),MATCH(F$1,[1]stages!$2:$2,0)-MATCH($D$1,[1]stages!$2:$2,0)+1),MATCH(F$1,[1]stages!$2:$2,0)-MATCH($D$1,[1]stages!$2:$2,0)+1,FALSE)</f>
        <v>26-4．今夜はダークナイト</v>
      </c>
      <c r="G825" s="56">
        <v>2</v>
      </c>
      <c r="H825" s="17" t="str">
        <f t="shared" si="759"/>
        <v>26_4-2</v>
      </c>
      <c r="I825" s="17"/>
      <c r="J825" s="17"/>
      <c r="K825" s="65" t="s">
        <v>56</v>
      </c>
      <c r="L825" s="52">
        <v>360</v>
      </c>
      <c r="M825" s="21" t="str">
        <f ca="1">VLOOKUP($L825,OFFSET([2]enemies!$A$1,0,0,COUNTA([2]enemies!$A:$A),MATCH(M$1,[2]enemies!$1:$1,0)-MATCH($L$1,[2]enemies!$1:$1,0)+1),MATCH(M$1,[2]enemies!$1:$1,0)-MATCH($L$1,[2]enemies!$1:$1,0)+1,FALSE)</f>
        <v>ガンテツ</v>
      </c>
      <c r="N825" s="21" t="str">
        <f ca="1">VLOOKUP($L825,OFFSET([2]enemies!$A$1,0,0,COUNTA([2]enemies!$A:$A),MATCH(N$1,[2]enemies!$1:$1,0)-MATCH($L$1,[2]enemies!$1:$1,0)+1),MATCH(N$1,[2]enemies!$1:$1,0)-MATCH($L$1,[2]enemies!$1:$1,0)+1,FALSE)</f>
        <v>red</v>
      </c>
      <c r="O825" s="21" t="str">
        <f ca="1">VLOOKUP($L825,OFFSET([3]characters!$A$1,0,0,COUNTA([3]characters!$A:$A),MATCH(O$1,[3]characters!$1:$1,0)-MATCH($L$1,[3]characters!$1:$1,0)+1),MATCH(O$1,[3]characters!$1:$1,0)-MATCH($L$1,[3]characters!$1:$1,0)+1,FALSE)</f>
        <v>Drop1S</v>
      </c>
      <c r="P825" s="21" t="str">
        <f ca="1">VLOOKUP($L825,OFFSET([2]enemies!$A$1,0,0,COUNTA([2]enemies!$A:$A),MATCH(P$1,[2]enemies!$1:$1,0)-MATCH($L$1,[2]enemies!$1:$1,0)+1),MATCH(P$1,[2]enemies!$1:$1,0)-MATCH($L$1,[2]enemies!$1:$1,0)+1,FALSE)</f>
        <v>animal</v>
      </c>
      <c r="Q825" s="21">
        <f ca="1">VLOOKUP($L825,OFFSET([2]enemies!$A$1,0,0,COUNTA([2]enemies!$A:$A),MATCH(Q$1,[2]enemies!$1:$1,0)-MATCH($L$1,[2]enemies!$1:$1,0)+1),MATCH(Q$1,[2]enemies!$1:$1,0)-MATCH($L$1,[2]enemies!$1:$1,0)+1,FALSE)</f>
        <v>15</v>
      </c>
      <c r="R825" s="53">
        <v>56</v>
      </c>
      <c r="S825" s="27">
        <v>1</v>
      </c>
      <c r="T825" s="27">
        <v>1</v>
      </c>
      <c r="U825" s="5">
        <v>0</v>
      </c>
      <c r="V825" s="4" t="str">
        <f ca="1">VLOOKUP($W825,OFFSET([4]enemy_skill_sets!$B$1,0,0,COUNTA([4]enemy_skill_sets!$B:$B),MATCH(M$1,[4]enemy_skill_sets!$1:$1,0)-MATCH($W$1,[4]enemy_skill_sets!$1:$1,0)+2),MATCH(M$1,[4]enemy_skill_sets!$1:$1,0)-MATCH($W$1,[4]enemy_skill_sets!$1:$1,0)+2,FALSE)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825" s="76">
        <v>360</v>
      </c>
      <c r="X825" s="6">
        <v>0</v>
      </c>
      <c r="Y825" s="6">
        <v>100</v>
      </c>
      <c r="Z825" s="6">
        <v>0</v>
      </c>
      <c r="AA825" s="4">
        <f ca="1">VLOOKUP($L825,OFFSET([2]enemies!$A$1,0,0,COUNTA([2]enemies!$A:$A),MATCH(AA$1,[2]enemies!$1:$1,0)-MATCH($L$1,[2]enemies!$1:$1,0)+1),MATCH(AA$1,[2]enemies!$1:$1,0)-MATCH($L$1,[2]enemies!$1:$1,0)+1,FALSE)</f>
        <v>3</v>
      </c>
      <c r="AB825" s="52">
        <v>360</v>
      </c>
      <c r="AC825" s="4" t="str">
        <f ca="1">VLOOKUP($AB825,OFFSET([3]characters!$A$1,0,0,COUNTA([3]characters!$A:$A),MATCH(AC$1,[3]characters!$1:$1,0)-MATCH("character_id",[3]characters!$1:$1,0)+1),MATCH(AC$1,[3]characters!$1:$1,0)-MATCH("character_id",[3]characters!$1:$1,0)+1,FALSE)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825" s="4">
        <f ca="1">VLOOKUP($AB825,OFFSET([3]characters!$A$1,0,0,COUNTA([3]characters!$A:$A),MATCH(AD$1,[3]characters!$1:$1,0)-MATCH("character_id",[3]characters!$1:$1,0)+1),MATCH(AD$1,[3]characters!$1:$1,0)-MATCH("character_id",[3]characters!$1:$1,0)+1,FALSE)</f>
        <v>2</v>
      </c>
      <c r="AE825" s="4" t="str">
        <f ca="1">VLOOKUP($AB825,OFFSET([3]characters!$A$1,0,0,COUNTA([3]characters!$A:$A),MATCH(AE$1,[3]characters!$1:$1,0)-MATCH("character_id",[3]characters!$1:$1,0)+1),MATCH(AE$1,[3]characters!$1:$1,0)-MATCH("character_id",[3]characters!$1:$1,0)+1,FALSE)</f>
        <v>Drop1S</v>
      </c>
      <c r="AF825" s="7">
        <v>7</v>
      </c>
      <c r="AG825" s="26">
        <f t="shared" ca="1" si="734"/>
        <v>2</v>
      </c>
      <c r="AH825" s="8">
        <v>20</v>
      </c>
      <c r="AI825" s="7">
        <v>0</v>
      </c>
      <c r="AJ825" s="7">
        <v>0</v>
      </c>
      <c r="AK825" s="7">
        <v>0</v>
      </c>
      <c r="AL825" s="7">
        <v>0</v>
      </c>
      <c r="AM825" s="7">
        <v>1</v>
      </c>
    </row>
    <row r="826" spans="1:39" ht="14" x14ac:dyDescent="0.15">
      <c r="A826" s="18" t="str">
        <f t="shared" ca="1" si="744"/>
        <v>26_4-2/362&lt;lv56&gt;s3</v>
      </c>
      <c r="B826" s="53">
        <v>26</v>
      </c>
      <c r="C826" s="51">
        <v>4</v>
      </c>
      <c r="D826" s="2" t="str">
        <f t="shared" si="758"/>
        <v>26_4</v>
      </c>
      <c r="E826" s="2" t="str">
        <f t="shared" si="758"/>
        <v>4_26_4</v>
      </c>
      <c r="F826" s="4" t="str">
        <f ca="1">VLOOKUP($D826,OFFSET([1]stages!$A$1,0,0,COUNTA([1]stages!$A:$A),MATCH(F$1,[1]stages!$2:$2,0)-MATCH($D$1,[1]stages!$2:$2,0)+1),MATCH(F$1,[1]stages!$2:$2,0)-MATCH($D$1,[1]stages!$2:$2,0)+1,FALSE)</f>
        <v>26-4．今夜はダークナイト</v>
      </c>
      <c r="G826" s="56">
        <v>2</v>
      </c>
      <c r="H826" s="17" t="str">
        <f t="shared" si="759"/>
        <v>26_4-2</v>
      </c>
      <c r="I826" s="17"/>
      <c r="J826" s="17"/>
      <c r="K826" s="65" t="s">
        <v>56</v>
      </c>
      <c r="L826" s="52">
        <v>362</v>
      </c>
      <c r="M826" s="21" t="str">
        <f ca="1">VLOOKUP($L826,OFFSET([2]enemies!$A$1,0,0,COUNTA([2]enemies!$A:$A),MATCH(M$1,[2]enemies!$1:$1,0)-MATCH($L$1,[2]enemies!$1:$1,0)+1),MATCH(M$1,[2]enemies!$1:$1,0)-MATCH($L$1,[2]enemies!$1:$1,0)+1,FALSE)</f>
        <v>ゆらら</v>
      </c>
      <c r="N826" s="21" t="str">
        <f ca="1">VLOOKUP($L826,OFFSET([2]enemies!$A$1,0,0,COUNTA([2]enemies!$A:$A),MATCH(N$1,[2]enemies!$1:$1,0)-MATCH($L$1,[2]enemies!$1:$1,0)+1),MATCH(N$1,[2]enemies!$1:$1,0)-MATCH($L$1,[2]enemies!$1:$1,0)+1,FALSE)</f>
        <v>green</v>
      </c>
      <c r="O826" s="21" t="str">
        <f ca="1">VLOOKUP($L826,OFFSET([3]characters!$A$1,0,0,COUNTA([3]characters!$A:$A),MATCH(O$1,[3]characters!$1:$1,0)-MATCH($L$1,[3]characters!$1:$1,0)+1),MATCH(O$1,[3]characters!$1:$1,0)-MATCH($L$1,[3]characters!$1:$1,0)+1,FALSE)</f>
        <v>Drop1S</v>
      </c>
      <c r="P826" s="21" t="str">
        <f ca="1">VLOOKUP($L826,OFFSET([2]enemies!$A$1,0,0,COUNTA([2]enemies!$A:$A),MATCH(P$1,[2]enemies!$1:$1,0)-MATCH($L$1,[2]enemies!$1:$1,0)+1),MATCH(P$1,[2]enemies!$1:$1,0)-MATCH($L$1,[2]enemies!$1:$1,0)+1,FALSE)</f>
        <v>animal</v>
      </c>
      <c r="Q826" s="21">
        <f ca="1">VLOOKUP($L826,OFFSET([2]enemies!$A$1,0,0,COUNTA([2]enemies!$A:$A),MATCH(Q$1,[2]enemies!$1:$1,0)-MATCH($L$1,[2]enemies!$1:$1,0)+1),MATCH(Q$1,[2]enemies!$1:$1,0)-MATCH($L$1,[2]enemies!$1:$1,0)+1,FALSE)</f>
        <v>15</v>
      </c>
      <c r="R826" s="53">
        <v>56</v>
      </c>
      <c r="S826" s="27">
        <v>1</v>
      </c>
      <c r="T826" s="27">
        <v>1</v>
      </c>
      <c r="U826" s="5">
        <v>0</v>
      </c>
      <c r="V826" s="4" t="str">
        <f ca="1">VLOOKUP($W826,OFFSET([4]enemy_skill_sets!$B$1,0,0,COUNTA([4]enemy_skill_sets!$B:$B),MATCH(M$1,[4]enemy_skill_sets!$1:$1,0)-MATCH($W$1,[4]enemy_skill_sets!$1:$1,0)+2),MATCH(M$1,[4]enemy_skill_sets!$1:$1,0)-MATCH($W$1,[4]enemy_skill_sets!$1:$1,0)+2,FALSE)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826" s="64">
        <v>362</v>
      </c>
      <c r="X826" s="6">
        <v>0</v>
      </c>
      <c r="Y826" s="6">
        <v>100</v>
      </c>
      <c r="Z826" s="6">
        <v>0</v>
      </c>
      <c r="AA826" s="4">
        <f ca="1">VLOOKUP($L826,OFFSET([2]enemies!$A$1,0,0,COUNTA([2]enemies!$A:$A),MATCH(AA$1,[2]enemies!$1:$1,0)-MATCH($L$1,[2]enemies!$1:$1,0)+1),MATCH(AA$1,[2]enemies!$1:$1,0)-MATCH($L$1,[2]enemies!$1:$1,0)+1,FALSE)</f>
        <v>3</v>
      </c>
      <c r="AB826" s="52">
        <v>362</v>
      </c>
      <c r="AC826" s="4" t="str">
        <f ca="1">VLOOKUP($AB826,OFFSET([3]characters!$A$1,0,0,COUNTA([3]characters!$A:$A),MATCH(AC$1,[3]characters!$1:$1,0)-MATCH("character_id",[3]characters!$1:$1,0)+1),MATCH(AC$1,[3]characters!$1:$1,0)-MATCH("character_id",[3]characters!$1:$1,0)+1,FALSE)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826" s="4">
        <f ca="1">VLOOKUP($AB826,OFFSET([3]characters!$A$1,0,0,COUNTA([3]characters!$A:$A),MATCH(AD$1,[3]characters!$1:$1,0)-MATCH("character_id",[3]characters!$1:$1,0)+1),MATCH(AD$1,[3]characters!$1:$1,0)-MATCH("character_id",[3]characters!$1:$1,0)+1,FALSE)</f>
        <v>2</v>
      </c>
      <c r="AE826" s="4" t="str">
        <f ca="1">VLOOKUP($AB826,OFFSET([3]characters!$A$1,0,0,COUNTA([3]characters!$A:$A),MATCH(AE$1,[3]characters!$1:$1,0)-MATCH("character_id",[3]characters!$1:$1,0)+1),MATCH(AE$1,[3]characters!$1:$1,0)-MATCH("character_id",[3]characters!$1:$1,0)+1,FALSE)</f>
        <v>Drop1S</v>
      </c>
      <c r="AF826" s="7">
        <v>7</v>
      </c>
      <c r="AG826" s="26">
        <f t="shared" ca="1" si="734"/>
        <v>2</v>
      </c>
      <c r="AH826" s="8">
        <v>20</v>
      </c>
      <c r="AI826" s="7">
        <v>0</v>
      </c>
      <c r="AJ826" s="7">
        <v>0</v>
      </c>
      <c r="AK826" s="7">
        <v>0</v>
      </c>
      <c r="AL826" s="7">
        <v>0</v>
      </c>
      <c r="AM826" s="7">
        <v>1</v>
      </c>
    </row>
    <row r="827" spans="1:39" ht="14" x14ac:dyDescent="0.15">
      <c r="A827" s="18" t="str">
        <f t="shared" ca="1" si="744"/>
        <v>26_4-2/364&lt;lv56&gt;s3</v>
      </c>
      <c r="B827" s="53">
        <v>26</v>
      </c>
      <c r="C827" s="51">
        <v>4</v>
      </c>
      <c r="D827" s="2" t="str">
        <f t="shared" si="758"/>
        <v>26_4</v>
      </c>
      <c r="E827" s="2" t="str">
        <f t="shared" si="758"/>
        <v>4_26_4</v>
      </c>
      <c r="F827" s="4" t="str">
        <f ca="1">VLOOKUP($D827,OFFSET([1]stages!$A$1,0,0,COUNTA([1]stages!$A:$A),MATCH(F$1,[1]stages!$2:$2,0)-MATCH($D$1,[1]stages!$2:$2,0)+1),MATCH(F$1,[1]stages!$2:$2,0)-MATCH($D$1,[1]stages!$2:$2,0)+1,FALSE)</f>
        <v>26-4．今夜はダークナイト</v>
      </c>
      <c r="G827" s="56">
        <v>2</v>
      </c>
      <c r="H827" s="17" t="str">
        <f t="shared" si="759"/>
        <v>26_4-2</v>
      </c>
      <c r="I827" s="17"/>
      <c r="J827" s="17"/>
      <c r="K827" s="65" t="s">
        <v>56</v>
      </c>
      <c r="L827" s="52">
        <v>364</v>
      </c>
      <c r="M827" s="21" t="str">
        <f ca="1">VLOOKUP($L827,OFFSET([2]enemies!$A$1,0,0,COUNTA([2]enemies!$A:$A),MATCH(M$1,[2]enemies!$1:$1,0)-MATCH($L$1,[2]enemies!$1:$1,0)+1),MATCH(M$1,[2]enemies!$1:$1,0)-MATCH($L$1,[2]enemies!$1:$1,0)+1,FALSE)</f>
        <v>ノエル</v>
      </c>
      <c r="N827" s="21" t="str">
        <f ca="1">VLOOKUP($L827,OFFSET([2]enemies!$A$1,0,0,COUNTA([2]enemies!$A:$A),MATCH(N$1,[2]enemies!$1:$1,0)-MATCH($L$1,[2]enemies!$1:$1,0)+1),MATCH(N$1,[2]enemies!$1:$1,0)-MATCH($L$1,[2]enemies!$1:$1,0)+1,FALSE)</f>
        <v>blue</v>
      </c>
      <c r="O827" s="21" t="str">
        <f ca="1">VLOOKUP($L827,OFFSET([3]characters!$A$1,0,0,COUNTA([3]characters!$A:$A),MATCH(O$1,[3]characters!$1:$1,0)-MATCH($L$1,[3]characters!$1:$1,0)+1),MATCH(O$1,[3]characters!$1:$1,0)-MATCH($L$1,[3]characters!$1:$1,0)+1,FALSE)</f>
        <v>Drop1S</v>
      </c>
      <c r="P827" s="21" t="str">
        <f ca="1">VLOOKUP($L827,OFFSET([2]enemies!$A$1,0,0,COUNTA([2]enemies!$A:$A),MATCH(P$1,[2]enemies!$1:$1,0)-MATCH($L$1,[2]enemies!$1:$1,0)+1),MATCH(P$1,[2]enemies!$1:$1,0)-MATCH($L$1,[2]enemies!$1:$1,0)+1,FALSE)</f>
        <v>animal</v>
      </c>
      <c r="Q827" s="21">
        <f ca="1">VLOOKUP($L827,OFFSET([2]enemies!$A$1,0,0,COUNTA([2]enemies!$A:$A),MATCH(Q$1,[2]enemies!$1:$1,0)-MATCH($L$1,[2]enemies!$1:$1,0)+1),MATCH(Q$1,[2]enemies!$1:$1,0)-MATCH($L$1,[2]enemies!$1:$1,0)+1,FALSE)</f>
        <v>15</v>
      </c>
      <c r="R827" s="53">
        <v>56</v>
      </c>
      <c r="S827" s="27">
        <v>1</v>
      </c>
      <c r="T827" s="27">
        <v>1</v>
      </c>
      <c r="U827" s="5">
        <v>0</v>
      </c>
      <c r="V827" s="4" t="str">
        <f ca="1">VLOOKUP($W827,OFFSET([4]enemy_skill_sets!$B$1,0,0,COUNTA([4]enemy_skill_sets!$B:$B),MATCH(M$1,[4]enemy_skill_sets!$1:$1,0)-MATCH($W$1,[4]enemy_skill_sets!$1:$1,0)+2),MATCH(M$1,[4]enemy_skill_sets!$1:$1,0)-MATCH($W$1,[4]enemy_skill_sets!$1:$1,0)+2,FALSE)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827" s="64">
        <v>364</v>
      </c>
      <c r="X827" s="6">
        <v>0</v>
      </c>
      <c r="Y827" s="6">
        <v>100</v>
      </c>
      <c r="Z827" s="6">
        <v>0</v>
      </c>
      <c r="AA827" s="4">
        <f ca="1">VLOOKUP($L827,OFFSET([2]enemies!$A$1,0,0,COUNTA([2]enemies!$A:$A),MATCH(AA$1,[2]enemies!$1:$1,0)-MATCH($L$1,[2]enemies!$1:$1,0)+1),MATCH(AA$1,[2]enemies!$1:$1,0)-MATCH($L$1,[2]enemies!$1:$1,0)+1,FALSE)</f>
        <v>3</v>
      </c>
      <c r="AB827" s="52">
        <v>364</v>
      </c>
      <c r="AC827" s="4" t="str">
        <f ca="1">VLOOKUP($AB827,OFFSET([3]characters!$A$1,0,0,COUNTA([3]characters!$A:$A),MATCH(AC$1,[3]characters!$1:$1,0)-MATCH("character_id",[3]characters!$1:$1,0)+1),MATCH(AC$1,[3]characters!$1:$1,0)-MATCH("character_id",[3]characters!$1:$1,0)+1,FALSE)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827" s="4">
        <f ca="1">VLOOKUP($AB827,OFFSET([3]characters!$A$1,0,0,COUNTA([3]characters!$A:$A),MATCH(AD$1,[3]characters!$1:$1,0)-MATCH("character_id",[3]characters!$1:$1,0)+1),MATCH(AD$1,[3]characters!$1:$1,0)-MATCH("character_id",[3]characters!$1:$1,0)+1,FALSE)</f>
        <v>2</v>
      </c>
      <c r="AE827" s="4" t="str">
        <f ca="1">VLOOKUP($AB827,OFFSET([3]characters!$A$1,0,0,COUNTA([3]characters!$A:$A),MATCH(AE$1,[3]characters!$1:$1,0)-MATCH("character_id",[3]characters!$1:$1,0)+1),MATCH(AE$1,[3]characters!$1:$1,0)-MATCH("character_id",[3]characters!$1:$1,0)+1,FALSE)</f>
        <v>Drop1S</v>
      </c>
      <c r="AF827" s="7">
        <v>7</v>
      </c>
      <c r="AG827" s="26">
        <f t="shared" ca="1" si="734"/>
        <v>2</v>
      </c>
      <c r="AH827" s="8">
        <v>20</v>
      </c>
      <c r="AI827" s="7">
        <v>0</v>
      </c>
      <c r="AJ827" s="7">
        <v>0</v>
      </c>
      <c r="AK827" s="7">
        <v>0</v>
      </c>
      <c r="AL827" s="7">
        <v>0</v>
      </c>
      <c r="AM827" s="7">
        <v>1</v>
      </c>
    </row>
    <row r="828" spans="1:39" ht="14" x14ac:dyDescent="0.15">
      <c r="A828" s="18" t="str">
        <f t="shared" ca="1" si="744"/>
        <v>26_4-2/366&lt;lv56&gt;s3</v>
      </c>
      <c r="B828" s="53">
        <v>26</v>
      </c>
      <c r="C828" s="51">
        <v>4</v>
      </c>
      <c r="D828" s="2" t="str">
        <f t="shared" ref="D828:D829" si="760">B828&amp;"_"&amp;C828</f>
        <v>26_4</v>
      </c>
      <c r="E828" s="2" t="str">
        <f t="shared" ref="E828:E829" si="761">C828&amp;"_"&amp;D828</f>
        <v>4_26_4</v>
      </c>
      <c r="F828" s="4" t="str">
        <f ca="1">VLOOKUP($D828,OFFSET([1]stages!$A$1,0,0,COUNTA([1]stages!$A:$A),MATCH(F$1,[1]stages!$2:$2,0)-MATCH($D$1,[1]stages!$2:$2,0)+1),MATCH(F$1,[1]stages!$2:$2,0)-MATCH($D$1,[1]stages!$2:$2,0)+1,FALSE)</f>
        <v>26-4．今夜はダークナイト</v>
      </c>
      <c r="G828" s="56">
        <v>2</v>
      </c>
      <c r="H828" s="17" t="str">
        <f t="shared" ref="H828:H829" si="762">B828&amp;"_"&amp;C828&amp;"-"&amp;G828</f>
        <v>26_4-2</v>
      </c>
      <c r="I828" s="17"/>
      <c r="J828" s="17"/>
      <c r="K828" s="65" t="s">
        <v>56</v>
      </c>
      <c r="L828" s="52">
        <v>366</v>
      </c>
      <c r="M828" s="21" t="str">
        <f ca="1">VLOOKUP($L828,OFFSET([2]enemies!$A$1,0,0,COUNTA([2]enemies!$A:$A),MATCH(M$1,[2]enemies!$1:$1,0)-MATCH($L$1,[2]enemies!$1:$1,0)+1),MATCH(M$1,[2]enemies!$1:$1,0)-MATCH($L$1,[2]enemies!$1:$1,0)+1,FALSE)</f>
        <v>トト</v>
      </c>
      <c r="N828" s="21" t="str">
        <f ca="1">VLOOKUP($L828,OFFSET([2]enemies!$A$1,0,0,COUNTA([2]enemies!$A:$A),MATCH(N$1,[2]enemies!$1:$1,0)-MATCH($L$1,[2]enemies!$1:$1,0)+1),MATCH(N$1,[2]enemies!$1:$1,0)-MATCH($L$1,[2]enemies!$1:$1,0)+1,FALSE)</f>
        <v>yellow</v>
      </c>
      <c r="O828" s="21" t="str">
        <f ca="1">VLOOKUP($L828,OFFSET([3]characters!$A$1,0,0,COUNTA([3]characters!$A:$A),MATCH(O$1,[3]characters!$1:$1,0)-MATCH($L$1,[3]characters!$1:$1,0)+1),MATCH(O$1,[3]characters!$1:$1,0)-MATCH($L$1,[3]characters!$1:$1,0)+1,FALSE)</f>
        <v>Drop1S</v>
      </c>
      <c r="P828" s="21" t="str">
        <f ca="1">VLOOKUP($L828,OFFSET([2]enemies!$A$1,0,0,COUNTA([2]enemies!$A:$A),MATCH(P$1,[2]enemies!$1:$1,0)-MATCH($L$1,[2]enemies!$1:$1,0)+1),MATCH(P$1,[2]enemies!$1:$1,0)-MATCH($L$1,[2]enemies!$1:$1,0)+1,FALSE)</f>
        <v>animal</v>
      </c>
      <c r="Q828" s="21">
        <f ca="1">VLOOKUP($L828,OFFSET([2]enemies!$A$1,0,0,COUNTA([2]enemies!$A:$A),MATCH(Q$1,[2]enemies!$1:$1,0)-MATCH($L$1,[2]enemies!$1:$1,0)+1),MATCH(Q$1,[2]enemies!$1:$1,0)-MATCH($L$1,[2]enemies!$1:$1,0)+1,FALSE)</f>
        <v>15</v>
      </c>
      <c r="R828" s="53">
        <v>56</v>
      </c>
      <c r="S828" s="27">
        <v>1</v>
      </c>
      <c r="T828" s="27">
        <v>1</v>
      </c>
      <c r="U828" s="5">
        <v>0</v>
      </c>
      <c r="V828" s="4" t="str">
        <f ca="1">VLOOKUP($W828,OFFSET([4]enemy_skill_sets!$B$1,0,0,COUNTA([4]enemy_skill_sets!$B:$B),MATCH(M$1,[4]enemy_skill_sets!$1:$1,0)-MATCH($W$1,[4]enemy_skill_sets!$1:$1,0)+2),MATCH(M$1,[4]enemy_skill_sets!$1:$1,0)-MATCH($W$1,[4]enemy_skill_sets!$1:$1,0)+2,FALSE)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828" s="64">
        <v>366</v>
      </c>
      <c r="X828" s="6">
        <v>0</v>
      </c>
      <c r="Y828" s="6">
        <v>100</v>
      </c>
      <c r="Z828" s="6">
        <v>0</v>
      </c>
      <c r="AA828" s="4">
        <f ca="1">VLOOKUP($L828,OFFSET([2]enemies!$A$1,0,0,COUNTA([2]enemies!$A:$A),MATCH(AA$1,[2]enemies!$1:$1,0)-MATCH($L$1,[2]enemies!$1:$1,0)+1),MATCH(AA$1,[2]enemies!$1:$1,0)-MATCH($L$1,[2]enemies!$1:$1,0)+1,FALSE)</f>
        <v>3</v>
      </c>
      <c r="AB828" s="52">
        <v>366</v>
      </c>
      <c r="AC828" s="4" t="str">
        <f ca="1">VLOOKUP($AB828,OFFSET([3]characters!$A$1,0,0,COUNTA([3]characters!$A:$A),MATCH(AC$1,[3]characters!$1:$1,0)-MATCH("character_id",[3]characters!$1:$1,0)+1),MATCH(AC$1,[3]characters!$1:$1,0)-MATCH("character_id",[3]characters!$1:$1,0)+1,FALSE)</f>
        <v>トト</v>
      </c>
      <c r="AD828" s="4">
        <f ca="1">VLOOKUP($AB828,OFFSET([3]characters!$A$1,0,0,COUNTA([3]characters!$A:$A),MATCH(AD$1,[3]characters!$1:$1,0)-MATCH("character_id",[3]characters!$1:$1,0)+1),MATCH(AD$1,[3]characters!$1:$1,0)-MATCH("character_id",[3]characters!$1:$1,0)+1,FALSE)</f>
        <v>2</v>
      </c>
      <c r="AE828" s="4" t="str">
        <f ca="1">VLOOKUP($AB828,OFFSET([3]characters!$A$1,0,0,COUNTA([3]characters!$A:$A),MATCH(AE$1,[3]characters!$1:$1,0)-MATCH("character_id",[3]characters!$1:$1,0)+1),MATCH(AE$1,[3]characters!$1:$1,0)-MATCH("character_id",[3]characters!$1:$1,0)+1,FALSE)</f>
        <v>Drop1S</v>
      </c>
      <c r="AF828" s="7">
        <v>7</v>
      </c>
      <c r="AG828" s="26">
        <f t="shared" ca="1" si="734"/>
        <v>2</v>
      </c>
      <c r="AH828" s="8">
        <v>20</v>
      </c>
      <c r="AI828" s="7">
        <v>0</v>
      </c>
      <c r="AJ828" s="7">
        <v>0</v>
      </c>
      <c r="AK828" s="7">
        <v>0</v>
      </c>
      <c r="AL828" s="7">
        <v>0</v>
      </c>
      <c r="AM828" s="7">
        <v>1</v>
      </c>
    </row>
    <row r="829" spans="1:39" ht="14" x14ac:dyDescent="0.15">
      <c r="A829" s="18" t="str">
        <f t="shared" ca="1" si="744"/>
        <v>26_4-2/352&lt;lv56&gt;s3</v>
      </c>
      <c r="B829" s="53">
        <v>26</v>
      </c>
      <c r="C829" s="51">
        <v>4</v>
      </c>
      <c r="D829" s="2" t="str">
        <f t="shared" si="760"/>
        <v>26_4</v>
      </c>
      <c r="E829" s="2" t="str">
        <f t="shared" si="761"/>
        <v>4_26_4</v>
      </c>
      <c r="F829" s="4" t="str">
        <f ca="1">VLOOKUP($D829,OFFSET([1]stages!$A$1,0,0,COUNTA([1]stages!$A:$A),MATCH(F$1,[1]stages!$2:$2,0)-MATCH($D$1,[1]stages!$2:$2,0)+1),MATCH(F$1,[1]stages!$2:$2,0)-MATCH($D$1,[1]stages!$2:$2,0)+1,FALSE)</f>
        <v>26-4．今夜はダークナイト</v>
      </c>
      <c r="G829" s="56">
        <v>2</v>
      </c>
      <c r="H829" s="17" t="str">
        <f t="shared" si="762"/>
        <v>26_4-2</v>
      </c>
      <c r="I829" s="17"/>
      <c r="J829" s="17"/>
      <c r="K829" s="65" t="s">
        <v>56</v>
      </c>
      <c r="L829" s="52">
        <v>352</v>
      </c>
      <c r="M829" s="21" t="str">
        <f ca="1">VLOOKUP($L829,OFFSET([2]enemies!$A$1,0,0,COUNTA([2]enemies!$A:$A),MATCH(M$1,[2]enemies!$1:$1,0)-MATCH($L$1,[2]enemies!$1:$1,0)+1),MATCH(M$1,[2]enemies!$1:$1,0)-MATCH($L$1,[2]enemies!$1:$1,0)+1,FALSE)</f>
        <v>水のケロケロ</v>
      </c>
      <c r="N829" s="21" t="str">
        <f ca="1">VLOOKUP($L829,OFFSET([2]enemies!$A$1,0,0,COUNTA([2]enemies!$A:$A),MATCH(N$1,[2]enemies!$1:$1,0)-MATCH($L$1,[2]enemies!$1:$1,0)+1),MATCH(N$1,[2]enemies!$1:$1,0)-MATCH($L$1,[2]enemies!$1:$1,0)+1,FALSE)</f>
        <v>blue</v>
      </c>
      <c r="O829" s="21" t="str">
        <f ca="1">VLOOKUP($L829,OFFSET([3]characters!$A$1,0,0,COUNTA([3]characters!$A:$A),MATCH(O$1,[3]characters!$1:$1,0)-MATCH($L$1,[3]characters!$1:$1,0)+1),MATCH(O$1,[3]characters!$1:$1,0)-MATCH($L$1,[3]characters!$1:$1,0)+1,FALSE)</f>
        <v>Material</v>
      </c>
      <c r="P829" s="21" t="str">
        <f ca="1">VLOOKUP($L829,OFFSET([2]enemies!$A$1,0,0,COUNTA([2]enemies!$A:$A),MATCH(P$1,[2]enemies!$1:$1,0)-MATCH($L$1,[2]enemies!$1:$1,0)+1),MATCH(P$1,[2]enemies!$1:$1,0)-MATCH($L$1,[2]enemies!$1:$1,0)+1,FALSE)</f>
        <v>unknown</v>
      </c>
      <c r="Q829" s="21">
        <f ca="1">VLOOKUP($L829,OFFSET([2]enemies!$A$1,0,0,COUNTA([2]enemies!$A:$A),MATCH(Q$1,[2]enemies!$1:$1,0)-MATCH($L$1,[2]enemies!$1:$1,0)+1),MATCH(Q$1,[2]enemies!$1:$1,0)-MATCH($L$1,[2]enemies!$1:$1,0)+1,FALSE)</f>
        <v>15</v>
      </c>
      <c r="R829" s="53">
        <v>56</v>
      </c>
      <c r="S829" s="27">
        <v>1</v>
      </c>
      <c r="T829" s="27">
        <v>1</v>
      </c>
      <c r="U829" s="5">
        <v>0</v>
      </c>
      <c r="V829" s="4" t="str">
        <f ca="1">VLOOKUP($W829,OFFSET([4]enemy_skill_sets!$B$1,0,0,COUNTA([4]enemy_skill_sets!$B:$B),MATCH(M$1,[4]enemy_skill_sets!$1:$1,0)-MATCH($W$1,[4]enemy_skill_sets!$1:$1,0)+2),MATCH(M$1,[4]enemy_skill_sets!$1:$1,0)-MATCH($W$1,[4]enemy_skill_sets!$1:$1,0)+2,FALSE)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829" s="64">
        <v>352</v>
      </c>
      <c r="X829" s="6">
        <v>1</v>
      </c>
      <c r="Y829" s="6">
        <v>100</v>
      </c>
      <c r="Z829" s="6">
        <v>0</v>
      </c>
      <c r="AA829" s="4">
        <f ca="1">VLOOKUP($L829,OFFSET([2]enemies!$A$1,0,0,COUNTA([2]enemies!$A:$A),MATCH(AA$1,[2]enemies!$1:$1,0)-MATCH($L$1,[2]enemies!$1:$1,0)+1),MATCH(AA$1,[2]enemies!$1:$1,0)-MATCH($L$1,[2]enemies!$1:$1,0)+1,FALSE)</f>
        <v>3</v>
      </c>
      <c r="AB829" s="52">
        <v>352</v>
      </c>
      <c r="AC829" s="4" t="str">
        <f ca="1">VLOOKUP($AB829,OFFSET([3]characters!$A$1,0,0,COUNTA([3]characters!$A:$A),MATCH(AC$1,[3]characters!$1:$1,0)-MATCH("character_id",[3]characters!$1:$1,0)+1),MATCH(AC$1,[3]characters!$1:$1,0)-MATCH("character_id",[3]characters!$1:$1,0)+1,FALSE)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829" s="4">
        <f ca="1">VLOOKUP($AB829,OFFSET([3]characters!$A$1,0,0,COUNTA([3]characters!$A:$A),MATCH(AD$1,[3]characters!$1:$1,0)-MATCH("character_id",[3]characters!$1:$1,0)+1),MATCH(AD$1,[3]characters!$1:$1,0)-MATCH("character_id",[3]characters!$1:$1,0)+1,FALSE)</f>
        <v>2</v>
      </c>
      <c r="AE829" s="4" t="str">
        <f ca="1">VLOOKUP($AB829,OFFSET([3]characters!$A$1,0,0,COUNTA([3]characters!$A:$A),MATCH(AE$1,[3]characters!$1:$1,0)-MATCH("character_id",[3]characters!$1:$1,0)+1),MATCH(AE$1,[3]characters!$1:$1,0)-MATCH("character_id",[3]characters!$1:$1,0)+1,FALSE)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29" s="7">
        <v>10</v>
      </c>
      <c r="AG829" s="26">
        <f t="shared" ca="1" si="734"/>
        <v>2</v>
      </c>
      <c r="AH829" s="8">
        <v>100</v>
      </c>
      <c r="AI829" s="7">
        <v>0</v>
      </c>
      <c r="AJ829" s="7">
        <v>0</v>
      </c>
      <c r="AK829" s="7">
        <v>0</v>
      </c>
      <c r="AL829" s="7">
        <v>0</v>
      </c>
      <c r="AM829" s="7">
        <v>1</v>
      </c>
    </row>
    <row r="830" spans="1:39" ht="14" x14ac:dyDescent="0.15">
      <c r="A830" s="18" t="str">
        <f t="shared" ca="1" si="744"/>
        <v>26_4-2/354&lt;lv56&gt;s3</v>
      </c>
      <c r="B830" s="53">
        <v>26</v>
      </c>
      <c r="C830" s="51">
        <v>4</v>
      </c>
      <c r="D830" s="2" t="str">
        <f t="shared" ref="D830" si="763">B830&amp;"_"&amp;C830</f>
        <v>26_4</v>
      </c>
      <c r="E830" s="2" t="str">
        <f t="shared" ref="E830" si="764">C830&amp;"_"&amp;D830</f>
        <v>4_26_4</v>
      </c>
      <c r="F830" s="4" t="str">
        <f ca="1">VLOOKUP($D830,OFFSET([1]stages!$A$1,0,0,COUNTA([1]stages!$A:$A),MATCH(F$1,[1]stages!$2:$2,0)-MATCH($D$1,[1]stages!$2:$2,0)+1),MATCH(F$1,[1]stages!$2:$2,0)-MATCH($D$1,[1]stages!$2:$2,0)+1,FALSE)</f>
        <v>26-4．今夜はダークナイト</v>
      </c>
      <c r="G830" s="56">
        <v>2</v>
      </c>
      <c r="H830" s="17" t="str">
        <f t="shared" ref="H830" si="765">B830&amp;"_"&amp;C830&amp;"-"&amp;G830</f>
        <v>26_4-2</v>
      </c>
      <c r="I830" s="17"/>
      <c r="J830" s="17"/>
      <c r="K830" s="65" t="s">
        <v>56</v>
      </c>
      <c r="L830" s="52">
        <v>354</v>
      </c>
      <c r="M830" s="21" t="str">
        <f ca="1">VLOOKUP($L830,OFFSET([2]enemies!$A$1,0,0,COUNTA([2]enemies!$A:$A),MATCH(M$1,[2]enemies!$1:$1,0)-MATCH($L$1,[2]enemies!$1:$1,0)+1),MATCH(M$1,[2]enemies!$1:$1,0)-MATCH($L$1,[2]enemies!$1:$1,0)+1,FALSE)</f>
        <v>雷のケロケロ</v>
      </c>
      <c r="N830" s="21" t="str">
        <f ca="1">VLOOKUP($L830,OFFSET([2]enemies!$A$1,0,0,COUNTA([2]enemies!$A:$A),MATCH(N$1,[2]enemies!$1:$1,0)-MATCH($L$1,[2]enemies!$1:$1,0)+1),MATCH(N$1,[2]enemies!$1:$1,0)-MATCH($L$1,[2]enemies!$1:$1,0)+1,FALSE)</f>
        <v>yellow</v>
      </c>
      <c r="O830" s="21" t="str">
        <f ca="1">VLOOKUP($L830,OFFSET([3]characters!$A$1,0,0,COUNTA([3]characters!$A:$A),MATCH(O$1,[3]characters!$1:$1,0)-MATCH($L$1,[3]characters!$1:$1,0)+1),MATCH(O$1,[3]characters!$1:$1,0)-MATCH($L$1,[3]characters!$1:$1,0)+1,FALSE)</f>
        <v>Material</v>
      </c>
      <c r="P830" s="21" t="str">
        <f ca="1">VLOOKUP($L830,OFFSET([2]enemies!$A$1,0,0,COUNTA([2]enemies!$A:$A),MATCH(P$1,[2]enemies!$1:$1,0)-MATCH($L$1,[2]enemies!$1:$1,0)+1),MATCH(P$1,[2]enemies!$1:$1,0)-MATCH($L$1,[2]enemies!$1:$1,0)+1,FALSE)</f>
        <v>unknown</v>
      </c>
      <c r="Q830" s="21">
        <f ca="1">VLOOKUP($L830,OFFSET([2]enemies!$A$1,0,0,COUNTA([2]enemies!$A:$A),MATCH(Q$1,[2]enemies!$1:$1,0)-MATCH($L$1,[2]enemies!$1:$1,0)+1),MATCH(Q$1,[2]enemies!$1:$1,0)-MATCH($L$1,[2]enemies!$1:$1,0)+1,FALSE)</f>
        <v>15</v>
      </c>
      <c r="R830" s="53">
        <v>56</v>
      </c>
      <c r="S830" s="27">
        <v>1</v>
      </c>
      <c r="T830" s="27">
        <v>1</v>
      </c>
      <c r="U830" s="5">
        <v>0</v>
      </c>
      <c r="V830" s="4" t="str">
        <f ca="1">VLOOKUP($W830,OFFSET([4]enemy_skill_sets!$B$1,0,0,COUNTA([4]enemy_skill_sets!$B:$B),MATCH(M$1,[4]enemy_skill_sets!$1:$1,0)-MATCH($W$1,[4]enemy_skill_sets!$1:$1,0)+2),MATCH(M$1,[4]enemy_skill_sets!$1:$1,0)-MATCH($W$1,[4]enemy_skill_sets!$1:$1,0)+2,FALSE)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830" s="64">
        <v>354</v>
      </c>
      <c r="X830" s="6">
        <v>0</v>
      </c>
      <c r="Y830" s="6">
        <v>100</v>
      </c>
      <c r="Z830" s="6">
        <v>0</v>
      </c>
      <c r="AA830" s="4">
        <f ca="1">VLOOKUP($L830,OFFSET([2]enemies!$A$1,0,0,COUNTA([2]enemies!$A:$A),MATCH(AA$1,[2]enemies!$1:$1,0)-MATCH($L$1,[2]enemies!$1:$1,0)+1),MATCH(AA$1,[2]enemies!$1:$1,0)-MATCH($L$1,[2]enemies!$1:$1,0)+1,FALSE)</f>
        <v>3</v>
      </c>
      <c r="AB830" s="52">
        <v>354</v>
      </c>
      <c r="AC830" s="4" t="str">
        <f ca="1">VLOOKUP($AB830,OFFSET([3]characters!$A$1,0,0,COUNTA([3]characters!$A:$A),MATCH(AC$1,[3]characters!$1:$1,0)-MATCH("character_id",[3]characters!$1:$1,0)+1),MATCH(AC$1,[3]characters!$1:$1,0)-MATCH("character_id",[3]characters!$1:$1,0)+1,FALSE)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830" s="4">
        <f ca="1">VLOOKUP($AB830,OFFSET([3]characters!$A$1,0,0,COUNTA([3]characters!$A:$A),MATCH(AD$1,[3]characters!$1:$1,0)-MATCH("character_id",[3]characters!$1:$1,0)+1),MATCH(AD$1,[3]characters!$1:$1,0)-MATCH("character_id",[3]characters!$1:$1,0)+1,FALSE)</f>
        <v>2</v>
      </c>
      <c r="AE830" s="4" t="str">
        <f ca="1">VLOOKUP($AB830,OFFSET([3]characters!$A$1,0,0,COUNTA([3]characters!$A:$A),MATCH(AE$1,[3]characters!$1:$1,0)-MATCH("character_id",[3]characters!$1:$1,0)+1),MATCH(AE$1,[3]characters!$1:$1,0)-MATCH("character_id",[3]characters!$1:$1,0)+1,FALSE)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30" s="7">
        <v>10</v>
      </c>
      <c r="AG830" s="26">
        <f t="shared" ca="1" si="734"/>
        <v>2</v>
      </c>
      <c r="AH830" s="8">
        <v>20</v>
      </c>
      <c r="AI830" s="7">
        <v>0</v>
      </c>
      <c r="AJ830" s="7">
        <v>0</v>
      </c>
      <c r="AK830" s="7">
        <v>0</v>
      </c>
      <c r="AL830" s="7">
        <v>0</v>
      </c>
      <c r="AM830" s="7">
        <v>1</v>
      </c>
    </row>
    <row r="831" spans="1:39" ht="14" x14ac:dyDescent="0.15">
      <c r="A831" s="18" t="str">
        <f t="shared" ca="1" si="744"/>
        <v>26_4-3/48&lt;lv56&gt;s1</v>
      </c>
      <c r="B831" s="50">
        <v>26</v>
      </c>
      <c r="C831" s="49">
        <v>4</v>
      </c>
      <c r="D831" s="2" t="str">
        <f t="shared" si="758"/>
        <v>26_4</v>
      </c>
      <c r="E831" s="2" t="str">
        <f t="shared" si="758"/>
        <v>4_26_4</v>
      </c>
      <c r="F831" s="4" t="str">
        <f ca="1">VLOOKUP($D831,OFFSET([1]stages!$A$1,0,0,COUNTA([1]stages!$A:$A),MATCH(F$1,[1]stages!$2:$2,0)-MATCH($D$1,[1]stages!$2:$2,0)+1),MATCH(F$1,[1]stages!$2:$2,0)-MATCH($D$1,[1]stages!$2:$2,0)+1,FALSE)</f>
        <v>26-4．今夜はダークナイト</v>
      </c>
      <c r="G831" s="57">
        <v>3</v>
      </c>
      <c r="H831" s="17" t="str">
        <f t="shared" si="759"/>
        <v>26_4-3</v>
      </c>
      <c r="I831" s="17"/>
      <c r="J831" s="17"/>
      <c r="K831" s="65" t="s">
        <v>56</v>
      </c>
      <c r="L831" s="52">
        <v>48</v>
      </c>
      <c r="M831" s="21" t="str">
        <f ca="1">VLOOKUP($L831,OFFSET([2]enemies!$A$1,0,0,COUNTA([2]enemies!$A:$A),MATCH(M$1,[2]enemies!$1:$1,0)-MATCH($L$1,[2]enemies!$1:$1,0)+1),MATCH(M$1,[2]enemies!$1:$1,0)-MATCH($L$1,[2]enemies!$1:$1,0)+1,FALSE)</f>
        <v>サンダーステップのヒロ</v>
      </c>
      <c r="N831" s="21" t="str">
        <f ca="1">VLOOKUP($L831,OFFSET([2]enemies!$A$1,0,0,COUNTA([2]enemies!$A:$A),MATCH(N$1,[2]enemies!$1:$1,0)-MATCH($L$1,[2]enemies!$1:$1,0)+1),MATCH(N$1,[2]enemies!$1:$1,0)-MATCH($L$1,[2]enemies!$1:$1,0)+1,FALSE)</f>
        <v>yellow</v>
      </c>
      <c r="O831" s="21" t="str">
        <f ca="1">VLOOKUP($L831,OFFSET([3]characters!$A$1,0,0,COUNTA([3]characters!$A:$A),MATCH(O$1,[3]characters!$1:$1,0)-MATCH($L$1,[3]characters!$1:$1,0)+1),MATCH(O$1,[3]characters!$1:$1,0)-MATCH($L$1,[3]characters!$1:$1,0)+1,FALSE)</f>
        <v>Drop1N</v>
      </c>
      <c r="P831" s="21" t="str">
        <f ca="1">VLOOKUP($L831,OFFSET([2]enemies!$A$1,0,0,COUNTA([2]enemies!$A:$A),MATCH(P$1,[2]enemies!$1:$1,0)-MATCH($L$1,[2]enemies!$1:$1,0)+1),MATCH(P$1,[2]enemies!$1:$1,0)-MATCH($L$1,[2]enemies!$1:$1,0)+1,FALSE)</f>
        <v>animal</v>
      </c>
      <c r="Q831" s="21">
        <f ca="1">VLOOKUP($L831,OFFSET([2]enemies!$A$1,0,0,COUNTA([2]enemies!$A:$A),MATCH(Q$1,[2]enemies!$1:$1,0)-MATCH($L$1,[2]enemies!$1:$1,0)+1),MATCH(Q$1,[2]enemies!$1:$1,0)-MATCH($L$1,[2]enemies!$1:$1,0)+1,FALSE)</f>
        <v>20</v>
      </c>
      <c r="R831" s="53">
        <v>56</v>
      </c>
      <c r="S831" s="27">
        <v>1</v>
      </c>
      <c r="T831" s="27">
        <v>0.9</v>
      </c>
      <c r="U831" s="5">
        <v>0</v>
      </c>
      <c r="V831" s="4" t="str">
        <f ca="1">VLOOKUP($W831,OFFSET([4]enemy_skill_sets!$B$1,0,0,COUNTA([4]enemy_skill_sets!$B:$B),MATCH(M$1,[4]enemy_skill_sets!$1:$1,0)-MATCH($W$1,[4]enemy_skill_sets!$1:$1,0)+2),MATCH(M$1,[4]enemy_skill_sets!$1:$1,0)-MATCH($W$1,[4]enemy_skill_sets!$1:$1,0)+2,FALSE)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31" s="4">
        <v>0</v>
      </c>
      <c r="X831" s="6">
        <v>1</v>
      </c>
      <c r="Y831" s="6">
        <v>100</v>
      </c>
      <c r="Z831" s="6">
        <v>0</v>
      </c>
      <c r="AA831" s="4">
        <f ca="1">VLOOKUP($L831,OFFSET([2]enemies!$A$1,0,0,COUNTA([2]enemies!$A:$A),MATCH(AA$1,[2]enemies!$1:$1,0)-MATCH($L$1,[2]enemies!$1:$1,0)+1),MATCH(AA$1,[2]enemies!$1:$1,0)-MATCH($L$1,[2]enemies!$1:$1,0)+1,FALSE)</f>
        <v>1</v>
      </c>
      <c r="AB831" s="52">
        <v>47</v>
      </c>
      <c r="AC831" s="4" t="str">
        <f ca="1">VLOOKUP($AB831,OFFSET([3]characters!$A$1,0,0,COUNTA([3]characters!$A:$A),MATCH(AC$1,[3]characters!$1:$1,0)-MATCH("character_id",[3]characters!$1:$1,0)+1),MATCH(AC$1,[3]characters!$1:$1,0)-MATCH("character_id",[3]characters!$1:$1,0)+1,FALSE)</f>
        <v>ヒロ</v>
      </c>
      <c r="AD831" s="4">
        <f ca="1">VLOOKUP($AB831,OFFSET([3]characters!$A$1,0,0,COUNTA([3]characters!$A:$A),MATCH(AD$1,[3]characters!$1:$1,0)-MATCH("character_id",[3]characters!$1:$1,0)+1),MATCH(AD$1,[3]characters!$1:$1,0)-MATCH("character_id",[3]characters!$1:$1,0)+1,FALSE)</f>
        <v>2</v>
      </c>
      <c r="AE831" s="4" t="str">
        <f ca="1">VLOOKUP($AB831,OFFSET([3]characters!$A$1,0,0,COUNTA([3]characters!$A:$A),MATCH(AE$1,[3]characters!$1:$1,0)-MATCH("character_id",[3]characters!$1:$1,0)+1),MATCH(AE$1,[3]characters!$1:$1,0)-MATCH("character_id",[3]characters!$1:$1,0)+1,FALSE)</f>
        <v>Drop1N</v>
      </c>
      <c r="AF831" s="7">
        <v>7</v>
      </c>
      <c r="AG831" s="26">
        <f t="shared" ca="1" si="734"/>
        <v>2</v>
      </c>
      <c r="AH831" s="8">
        <v>20</v>
      </c>
      <c r="AI831" s="7">
        <v>0</v>
      </c>
      <c r="AJ831" s="7">
        <v>0</v>
      </c>
      <c r="AK831" s="7">
        <v>0</v>
      </c>
      <c r="AL831" s="7">
        <v>0</v>
      </c>
      <c r="AM831" s="7">
        <v>1</v>
      </c>
    </row>
    <row r="832" spans="1:39" ht="14" x14ac:dyDescent="0.15">
      <c r="A832" s="18" t="str">
        <f t="shared" ca="1" si="744"/>
        <v>26_4-3/60&lt;lv56&gt;s2</v>
      </c>
      <c r="B832" s="53">
        <v>26</v>
      </c>
      <c r="C832" s="51">
        <v>4</v>
      </c>
      <c r="D832" s="2" t="str">
        <f t="shared" ref="D832:D833" si="766">B832&amp;"_"&amp;C832</f>
        <v>26_4</v>
      </c>
      <c r="E832" s="2" t="str">
        <f t="shared" ref="E832:E833" si="767">C832&amp;"_"&amp;D832</f>
        <v>4_26_4</v>
      </c>
      <c r="F832" s="4" t="str">
        <f ca="1">VLOOKUP($D832,OFFSET([1]stages!$A$1,0,0,COUNTA([1]stages!$A:$A),MATCH(F$1,[1]stages!$2:$2,0)-MATCH($D$1,[1]stages!$2:$2,0)+1),MATCH(F$1,[1]stages!$2:$2,0)-MATCH($D$1,[1]stages!$2:$2,0)+1,FALSE)</f>
        <v>26-4．今夜はダークナイト</v>
      </c>
      <c r="G832" s="57">
        <v>3</v>
      </c>
      <c r="H832" s="17" t="str">
        <f t="shared" ref="H832:H833" si="768">B832&amp;"_"&amp;C832&amp;"-"&amp;G832</f>
        <v>26_4-3</v>
      </c>
      <c r="I832" s="17"/>
      <c r="J832" s="17"/>
      <c r="K832" s="65" t="s">
        <v>56</v>
      </c>
      <c r="L832" s="52">
        <v>60</v>
      </c>
      <c r="M832" s="21" t="str">
        <f ca="1">VLOOKUP($L832,OFFSET([2]enemies!$A$1,0,0,COUNTA([2]enemies!$A:$A),MATCH(M$1,[2]enemies!$1:$1,0)-MATCH($L$1,[2]enemies!$1:$1,0)+1),MATCH(M$1,[2]enemies!$1:$1,0)-MATCH($L$1,[2]enemies!$1:$1,0)+1,FALSE)</f>
        <v>おでかけマーチ</v>
      </c>
      <c r="N832" s="21" t="str">
        <f ca="1">VLOOKUP($L832,OFFSET([2]enemies!$A$1,0,0,COUNTA([2]enemies!$A:$A),MATCH(N$1,[2]enemies!$1:$1,0)-MATCH($L$1,[2]enemies!$1:$1,0)+1),MATCH(N$1,[2]enemies!$1:$1,0)-MATCH($L$1,[2]enemies!$1:$1,0)+1,FALSE)</f>
        <v>green</v>
      </c>
      <c r="O832" s="21" t="str">
        <f ca="1">VLOOKUP($L832,OFFSET([3]characters!$A$1,0,0,COUNTA([3]characters!$A:$A),MATCH(O$1,[3]characters!$1:$1,0)-MATCH($L$1,[3]characters!$1:$1,0)+1),MATCH(O$1,[3]characters!$1:$1,0)-MATCH($L$1,[3]characters!$1:$1,0)+1,FALSE)</f>
        <v>Drop1N</v>
      </c>
      <c r="P832" s="21" t="str">
        <f ca="1">VLOOKUP($L832,OFFSET([2]enemies!$A$1,0,0,COUNTA([2]enemies!$A:$A),MATCH(P$1,[2]enemies!$1:$1,0)-MATCH($L$1,[2]enemies!$1:$1,0)+1),MATCH(P$1,[2]enemies!$1:$1,0)-MATCH($L$1,[2]enemies!$1:$1,0)+1,FALSE)</f>
        <v>animal</v>
      </c>
      <c r="Q832" s="21">
        <f ca="1">VLOOKUP($L832,OFFSET([2]enemies!$A$1,0,0,COUNTA([2]enemies!$A:$A),MATCH(Q$1,[2]enemies!$1:$1,0)-MATCH($L$1,[2]enemies!$1:$1,0)+1),MATCH(Q$1,[2]enemies!$1:$1,0)-MATCH($L$1,[2]enemies!$1:$1,0)+1,FALSE)</f>
        <v>20</v>
      </c>
      <c r="R832" s="53">
        <v>56</v>
      </c>
      <c r="S832" s="27">
        <v>1</v>
      </c>
      <c r="T832" s="27">
        <v>1</v>
      </c>
      <c r="U832" s="5">
        <v>0</v>
      </c>
      <c r="V832" s="4" t="str">
        <f ca="1">VLOOKUP($W832,OFFSET([4]enemy_skill_sets!$B$1,0,0,COUNTA([4]enemy_skill_sets!$B:$B),MATCH(M$1,[4]enemy_skill_sets!$1:$1,0)-MATCH($W$1,[4]enemy_skill_sets!$1:$1,0)+2),MATCH(M$1,[4]enemy_skill_sets!$1:$1,0)-MATCH($W$1,[4]enemy_skill_sets!$1:$1,0)+2,FALSE)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32" s="64">
        <v>59</v>
      </c>
      <c r="X832" s="6">
        <v>1</v>
      </c>
      <c r="Y832" s="6">
        <v>100</v>
      </c>
      <c r="Z832" s="6">
        <v>0</v>
      </c>
      <c r="AA832" s="4">
        <f ca="1">VLOOKUP($L832,OFFSET([2]enemies!$A$1,0,0,COUNTA([2]enemies!$A:$A),MATCH(AA$1,[2]enemies!$1:$1,0)-MATCH($L$1,[2]enemies!$1:$1,0)+1),MATCH(AA$1,[2]enemies!$1:$1,0)-MATCH($L$1,[2]enemies!$1:$1,0)+1,FALSE)</f>
        <v>2</v>
      </c>
      <c r="AB832" s="52">
        <v>59</v>
      </c>
      <c r="AC832" s="4" t="str">
        <f ca="1">VLOOKUP($AB832,OFFSET([3]characters!$A$1,0,0,COUNTA([3]characters!$A:$A),MATCH(AC$1,[3]characters!$1:$1,0)-MATCH("character_id",[3]characters!$1:$1,0)+1),MATCH(AC$1,[3]characters!$1:$1,0)-MATCH("character_id",[3]characters!$1:$1,0)+1,FALSE)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832" s="4">
        <f ca="1">VLOOKUP($AB832,OFFSET([3]characters!$A$1,0,0,COUNTA([3]characters!$A:$A),MATCH(AD$1,[3]characters!$1:$1,0)-MATCH("character_id",[3]characters!$1:$1,0)+1),MATCH(AD$1,[3]characters!$1:$1,0)-MATCH("character_id",[3]characters!$1:$1,0)+1,FALSE)</f>
        <v>2</v>
      </c>
      <c r="AE832" s="4" t="str">
        <f ca="1">VLOOKUP($AB832,OFFSET([3]characters!$A$1,0,0,COUNTA([3]characters!$A:$A),MATCH(AE$1,[3]characters!$1:$1,0)-MATCH("character_id",[3]characters!$1:$1,0)+1),MATCH(AE$1,[3]characters!$1:$1,0)-MATCH("character_id",[3]characters!$1:$1,0)+1,FALSE)</f>
        <v>Drop1N</v>
      </c>
      <c r="AF832" s="7">
        <v>7</v>
      </c>
      <c r="AG832" s="26">
        <f t="shared" ca="1" si="734"/>
        <v>2</v>
      </c>
      <c r="AH832" s="8">
        <v>20</v>
      </c>
      <c r="AI832" s="7">
        <v>0</v>
      </c>
      <c r="AJ832" s="7">
        <v>0</v>
      </c>
      <c r="AK832" s="7">
        <v>0</v>
      </c>
      <c r="AL832" s="7">
        <v>0</v>
      </c>
      <c r="AM832" s="7">
        <v>1</v>
      </c>
    </row>
    <row r="833" spans="1:39" ht="14" x14ac:dyDescent="0.15">
      <c r="A833" s="18" t="str">
        <f t="shared" ca="1" si="744"/>
        <v>26_4-3/58&lt;lv56&gt;s2</v>
      </c>
      <c r="B833" s="53">
        <v>26</v>
      </c>
      <c r="C833" s="51">
        <v>4</v>
      </c>
      <c r="D833" s="2" t="str">
        <f t="shared" si="766"/>
        <v>26_4</v>
      </c>
      <c r="E833" s="2" t="str">
        <f t="shared" si="767"/>
        <v>4_26_4</v>
      </c>
      <c r="F833" s="4" t="str">
        <f ca="1">VLOOKUP($D833,OFFSET([1]stages!$A$1,0,0,COUNTA([1]stages!$A:$A),MATCH(F$1,[1]stages!$2:$2,0)-MATCH($D$1,[1]stages!$2:$2,0)+1),MATCH(F$1,[1]stages!$2:$2,0)-MATCH($D$1,[1]stages!$2:$2,0)+1,FALSE)</f>
        <v>26-4．今夜はダークナイト</v>
      </c>
      <c r="G833" s="57">
        <v>3</v>
      </c>
      <c r="H833" s="17" t="str">
        <f t="shared" si="768"/>
        <v>26_4-3</v>
      </c>
      <c r="I833" s="17"/>
      <c r="J833" s="17"/>
      <c r="K833" s="65" t="s">
        <v>56</v>
      </c>
      <c r="L833" s="52">
        <v>58</v>
      </c>
      <c r="M833" s="21" t="str">
        <f ca="1">VLOOKUP($L833,OFFSET([2]enemies!$A$1,0,0,COUNTA([2]enemies!$A:$A),MATCH(M$1,[2]enemies!$1:$1,0)-MATCH($L$1,[2]enemies!$1:$1,0)+1),MATCH(M$1,[2]enemies!$1:$1,0)-MATCH($L$1,[2]enemies!$1:$1,0)+1,FALSE)</f>
        <v>ドランクマスター チェン・リー</v>
      </c>
      <c r="N833" s="21" t="str">
        <f ca="1">VLOOKUP($L833,OFFSET([2]enemies!$A$1,0,0,COUNTA([2]enemies!$A:$A),MATCH(N$1,[2]enemies!$1:$1,0)-MATCH($L$1,[2]enemies!$1:$1,0)+1),MATCH(N$1,[2]enemies!$1:$1,0)-MATCH($L$1,[2]enemies!$1:$1,0)+1,FALSE)</f>
        <v>red</v>
      </c>
      <c r="O833" s="21" t="str">
        <f ca="1">VLOOKUP($L833,OFFSET([3]characters!$A$1,0,0,COUNTA([3]characters!$A:$A),MATCH(O$1,[3]characters!$1:$1,0)-MATCH($L$1,[3]characters!$1:$1,0)+1),MATCH(O$1,[3]characters!$1:$1,0)-MATCH($L$1,[3]characters!$1:$1,0)+1,FALSE)</f>
        <v>Drop1N</v>
      </c>
      <c r="P833" s="21" t="str">
        <f ca="1">VLOOKUP($L833,OFFSET([2]enemies!$A$1,0,0,COUNTA([2]enemies!$A:$A),MATCH(P$1,[2]enemies!$1:$1,0)-MATCH($L$1,[2]enemies!$1:$1,0)+1),MATCH(P$1,[2]enemies!$1:$1,0)-MATCH($L$1,[2]enemies!$1:$1,0)+1,FALSE)</f>
        <v>animal</v>
      </c>
      <c r="Q833" s="21">
        <f ca="1">VLOOKUP($L833,OFFSET([2]enemies!$A$1,0,0,COUNTA([2]enemies!$A:$A),MATCH(Q$1,[2]enemies!$1:$1,0)-MATCH($L$1,[2]enemies!$1:$1,0)+1),MATCH(Q$1,[2]enemies!$1:$1,0)-MATCH($L$1,[2]enemies!$1:$1,0)+1,FALSE)</f>
        <v>20</v>
      </c>
      <c r="R833" s="53">
        <v>56</v>
      </c>
      <c r="S833" s="27">
        <v>1</v>
      </c>
      <c r="T833" s="27">
        <v>1</v>
      </c>
      <c r="U833" s="5">
        <v>0</v>
      </c>
      <c r="V833" s="4" t="str">
        <f ca="1">VLOOKUP($W833,OFFSET([4]enemy_skill_sets!$B$1,0,0,COUNTA([4]enemy_skill_sets!$B:$B),MATCH(M$1,[4]enemy_skill_sets!$1:$1,0)-MATCH($W$1,[4]enemy_skill_sets!$1:$1,0)+2),MATCH(M$1,[4]enemy_skill_sets!$1:$1,0)-MATCH($W$1,[4]enemy_skill_sets!$1:$1,0)+2,FALSE)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833" s="64">
        <v>57</v>
      </c>
      <c r="X833" s="6">
        <v>1</v>
      </c>
      <c r="Y833" s="6">
        <v>100</v>
      </c>
      <c r="Z833" s="6">
        <v>0</v>
      </c>
      <c r="AA833" s="4">
        <f ca="1">VLOOKUP($L833,OFFSET([2]enemies!$A$1,0,0,COUNTA([2]enemies!$A:$A),MATCH(AA$1,[2]enemies!$1:$1,0)-MATCH($L$1,[2]enemies!$1:$1,0)+1),MATCH(AA$1,[2]enemies!$1:$1,0)-MATCH($L$1,[2]enemies!$1:$1,0)+1,FALSE)</f>
        <v>2</v>
      </c>
      <c r="AB833" s="52">
        <v>57</v>
      </c>
      <c r="AC833" s="4" t="str">
        <f ca="1">VLOOKUP($AB833,OFFSET([3]characters!$A$1,0,0,COUNTA([3]characters!$A:$A),MATCH(AC$1,[3]characters!$1:$1,0)-MATCH("character_id",[3]characters!$1:$1,0)+1),MATCH(AC$1,[3]characters!$1:$1,0)-MATCH("character_id",[3]characters!$1:$1,0)+1,FALSE)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833" s="4">
        <f ca="1">VLOOKUP($AB833,OFFSET([3]characters!$A$1,0,0,COUNTA([3]characters!$A:$A),MATCH(AD$1,[3]characters!$1:$1,0)-MATCH("character_id",[3]characters!$1:$1,0)+1),MATCH(AD$1,[3]characters!$1:$1,0)-MATCH("character_id",[3]characters!$1:$1,0)+1,FALSE)</f>
        <v>2</v>
      </c>
      <c r="AE833" s="4" t="str">
        <f ca="1">VLOOKUP($AB833,OFFSET([3]characters!$A$1,0,0,COUNTA([3]characters!$A:$A),MATCH(AE$1,[3]characters!$1:$1,0)-MATCH("character_id",[3]characters!$1:$1,0)+1),MATCH(AE$1,[3]characters!$1:$1,0)-MATCH("character_id",[3]characters!$1:$1,0)+1,FALSE)</f>
        <v>Drop1N</v>
      </c>
      <c r="AF833" s="7">
        <v>7</v>
      </c>
      <c r="AG833" s="26">
        <f t="shared" ca="1" si="734"/>
        <v>2</v>
      </c>
      <c r="AH833" s="8">
        <v>20</v>
      </c>
      <c r="AI833" s="7">
        <v>0</v>
      </c>
      <c r="AJ833" s="7">
        <v>0</v>
      </c>
      <c r="AK833" s="7">
        <v>0</v>
      </c>
      <c r="AL833" s="7">
        <v>0</v>
      </c>
      <c r="AM833" s="7">
        <v>1</v>
      </c>
    </row>
    <row r="834" spans="1:39" ht="14" x14ac:dyDescent="0.15">
      <c r="A834" s="18" t="str">
        <f t="shared" ca="1" si="744"/>
        <v>26_4-4/9&lt;lv56&gt;s2</v>
      </c>
      <c r="B834" s="50">
        <v>26</v>
      </c>
      <c r="C834" s="49">
        <v>4</v>
      </c>
      <c r="D834" s="2" t="str">
        <f t="shared" si="758"/>
        <v>26_4</v>
      </c>
      <c r="E834" s="2" t="str">
        <f t="shared" si="758"/>
        <v>4_26_4</v>
      </c>
      <c r="F834" s="4" t="str">
        <f ca="1">VLOOKUP($D834,OFFSET([1]stages!$A$1,0,0,COUNTA([1]stages!$A:$A),MATCH(F$1,[1]stages!$2:$2,0)-MATCH($D$1,[1]stages!$2:$2,0)+1),MATCH(F$1,[1]stages!$2:$2,0)-MATCH($D$1,[1]stages!$2:$2,0)+1,FALSE)</f>
        <v>26-4．今夜はダークナイト</v>
      </c>
      <c r="G834" s="54">
        <v>4</v>
      </c>
      <c r="H834" s="17" t="str">
        <f t="shared" si="759"/>
        <v>26_4-4</v>
      </c>
      <c r="I834" s="17"/>
      <c r="J834" s="17"/>
      <c r="K834" s="65" t="s">
        <v>56</v>
      </c>
      <c r="L834" s="52">
        <v>9</v>
      </c>
      <c r="M834" s="21" t="str">
        <f ca="1">VLOOKUP($L834,OFFSET([2]enemies!$A$1,0,0,COUNTA([2]enemies!$A:$A),MATCH(M$1,[2]enemies!$1:$1,0)-MATCH($L$1,[2]enemies!$1:$1,0)+1),MATCH(M$1,[2]enemies!$1:$1,0)-MATCH($L$1,[2]enemies!$1:$1,0)+1,FALSE)</f>
        <v>ブレット</v>
      </c>
      <c r="N834" s="21" t="str">
        <f ca="1">VLOOKUP($L834,OFFSET([2]enemies!$A$1,0,0,COUNTA([2]enemies!$A:$A),MATCH(N$1,[2]enemies!$1:$1,0)-MATCH($L$1,[2]enemies!$1:$1,0)+1),MATCH(N$1,[2]enemies!$1:$1,0)-MATCH($L$1,[2]enemies!$1:$1,0)+1,FALSE)</f>
        <v>red</v>
      </c>
      <c r="O834" s="21" t="str">
        <f ca="1">VLOOKUP($L834,OFFSET([3]characters!$A$1,0,0,COUNTA([3]characters!$A:$A),MATCH(O$1,[3]characters!$1:$1,0)-MATCH($L$1,[3]characters!$1:$1,0)+1),MATCH(O$1,[3]characters!$1:$1,0)-MATCH($L$1,[3]characters!$1:$1,0)+1,FALSE)</f>
        <v>Drop1W</v>
      </c>
      <c r="P834" s="21" t="str">
        <f ca="1">VLOOKUP($L834,OFFSET([2]enemies!$A$1,0,0,COUNTA([2]enemies!$A:$A),MATCH(P$1,[2]enemies!$1:$1,0)-MATCH($L$1,[2]enemies!$1:$1,0)+1),MATCH(P$1,[2]enemies!$1:$1,0)-MATCH($L$1,[2]enemies!$1:$1,0)+1,FALSE)</f>
        <v>animal</v>
      </c>
      <c r="Q834" s="21">
        <f ca="1">VLOOKUP($L834,OFFSET([2]enemies!$A$1,0,0,COUNTA([2]enemies!$A:$A),MATCH(Q$1,[2]enemies!$1:$1,0)-MATCH($L$1,[2]enemies!$1:$1,0)+1),MATCH(Q$1,[2]enemies!$1:$1,0)-MATCH($L$1,[2]enemies!$1:$1,0)+1,FALSE)</f>
        <v>15</v>
      </c>
      <c r="R834" s="53">
        <v>56</v>
      </c>
      <c r="S834" s="27">
        <v>1</v>
      </c>
      <c r="T834" s="27">
        <v>1</v>
      </c>
      <c r="U834" s="5">
        <v>0</v>
      </c>
      <c r="V834" s="4" t="str">
        <f ca="1">VLOOKUP($W834,OFFSET([4]enemy_skill_sets!$B$1,0,0,COUNTA([4]enemy_skill_sets!$B:$B),MATCH(M$1,[4]enemy_skill_sets!$1:$1,0)-MATCH($W$1,[4]enemy_skill_sets!$1:$1,0)+2),MATCH(M$1,[4]enemy_skill_sets!$1:$1,0)-MATCH($W$1,[4]enemy_skill_sets!$1:$1,0)+2,FALSE)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34" s="4">
        <f ca="1">VLOOKUP($L834,OFFSET([2]enemies!$A$1,0,0,COUNTA([2]enemies!$A:$A),MATCH(W$1,[2]enemies!$1:$1,0)-MATCH($L$1,[2]enemies!$1:$1,0)+1),MATCH(W$1,[2]enemies!$1:$1,0)-MATCH($L$1,[2]enemies!$1:$1,0)+1,FALSE)</f>
        <v>0</v>
      </c>
      <c r="X834" s="6">
        <v>0</v>
      </c>
      <c r="Y834" s="6">
        <v>100</v>
      </c>
      <c r="Z834" s="6">
        <v>0</v>
      </c>
      <c r="AA834" s="4">
        <f ca="1">VLOOKUP($L834,OFFSET([2]enemies!$A$1,0,0,COUNTA([2]enemies!$A:$A),MATCH(AA$1,[2]enemies!$1:$1,0)-MATCH($L$1,[2]enemies!$1:$1,0)+1),MATCH(AA$1,[2]enemies!$1:$1,0)-MATCH($L$1,[2]enemies!$1:$1,0)+1,FALSE)</f>
        <v>2</v>
      </c>
      <c r="AB834" s="52">
        <v>9</v>
      </c>
      <c r="AC834" s="4" t="str">
        <f ca="1">VLOOKUP($AB834,OFFSET([3]characters!$A$1,0,0,COUNTA([3]characters!$A:$A),MATCH(AC$1,[3]characters!$1:$1,0)-MATCH("character_id",[3]characters!$1:$1,0)+1),MATCH(AC$1,[3]characters!$1:$1,0)-MATCH("character_id",[3]characters!$1:$1,0)+1,FALSE)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834" s="4">
        <f ca="1">VLOOKUP($AB834,OFFSET([3]characters!$A$1,0,0,COUNTA([3]characters!$A:$A),MATCH(AD$1,[3]characters!$1:$1,0)-MATCH("character_id",[3]characters!$1:$1,0)+1),MATCH(AD$1,[3]characters!$1:$1,0)-MATCH("character_id",[3]characters!$1:$1,0)+1,FALSE)</f>
        <v>1</v>
      </c>
      <c r="AE834" s="4" t="str">
        <f ca="1">VLOOKUP($AB834,OFFSET([3]characters!$A$1,0,0,COUNTA([3]characters!$A:$A),MATCH(AE$1,[3]characters!$1:$1,0)-MATCH("character_id",[3]characters!$1:$1,0)+1),MATCH(AE$1,[3]characters!$1:$1,0)-MATCH("character_id",[3]characters!$1:$1,0)+1,FALSE)</f>
        <v>Drop1W</v>
      </c>
      <c r="AF834" s="7">
        <v>9</v>
      </c>
      <c r="AG834" s="26">
        <f t="shared" ca="1" si="734"/>
        <v>1</v>
      </c>
      <c r="AH834" s="8">
        <v>20</v>
      </c>
      <c r="AI834" s="7">
        <v>0</v>
      </c>
      <c r="AJ834" s="7">
        <v>0</v>
      </c>
      <c r="AK834" s="7">
        <v>0</v>
      </c>
      <c r="AL834" s="7">
        <v>0</v>
      </c>
      <c r="AM834" s="7">
        <v>1</v>
      </c>
    </row>
    <row r="835" spans="1:39" ht="14" x14ac:dyDescent="0.15">
      <c r="A835" s="18" t="str">
        <f t="shared" ca="1" si="744"/>
        <v>26_4-4/11&lt;lv56&gt;s3</v>
      </c>
      <c r="B835" s="50">
        <v>26</v>
      </c>
      <c r="C835" s="49">
        <v>4</v>
      </c>
      <c r="D835" s="2" t="str">
        <f t="shared" si="758"/>
        <v>26_4</v>
      </c>
      <c r="E835" s="2" t="str">
        <f t="shared" si="758"/>
        <v>4_26_4</v>
      </c>
      <c r="F835" s="4" t="str">
        <f ca="1">VLOOKUP($D835,OFFSET([1]stages!$A$1,0,0,COUNTA([1]stages!$A:$A),MATCH(F$1,[1]stages!$2:$2,0)-MATCH($D$1,[1]stages!$2:$2,0)+1),MATCH(F$1,[1]stages!$2:$2,0)-MATCH($D$1,[1]stages!$2:$2,0)+1,FALSE)</f>
        <v>26-4．今夜はダークナイト</v>
      </c>
      <c r="G835" s="54">
        <v>4</v>
      </c>
      <c r="H835" s="17" t="str">
        <f t="shared" si="759"/>
        <v>26_4-4</v>
      </c>
      <c r="I835" s="17"/>
      <c r="J835" s="17"/>
      <c r="K835" s="65" t="s">
        <v>56</v>
      </c>
      <c r="L835" s="52">
        <v>11</v>
      </c>
      <c r="M835" s="21" t="str">
        <f ca="1">VLOOKUP($L835,OFFSET([2]enemies!$A$1,0,0,COUNTA([2]enemies!$A:$A),MATCH(M$1,[2]enemies!$1:$1,0)-MATCH($L$1,[2]enemies!$1:$1,0)+1),MATCH(M$1,[2]enemies!$1:$1,0)-MATCH($L$1,[2]enemies!$1:$1,0)+1,FALSE)</f>
        <v>マグリット</v>
      </c>
      <c r="N835" s="21" t="str">
        <f ca="1">VLOOKUP($L835,OFFSET([2]enemies!$A$1,0,0,COUNTA([2]enemies!$A:$A),MATCH(N$1,[2]enemies!$1:$1,0)-MATCH($L$1,[2]enemies!$1:$1,0)+1),MATCH(N$1,[2]enemies!$1:$1,0)-MATCH($L$1,[2]enemies!$1:$1,0)+1,FALSE)</f>
        <v>green</v>
      </c>
      <c r="O835" s="21" t="str">
        <f ca="1">VLOOKUP($L835,OFFSET([3]characters!$A$1,0,0,COUNTA([3]characters!$A:$A),MATCH(O$1,[3]characters!$1:$1,0)-MATCH($L$1,[3]characters!$1:$1,0)+1),MATCH(O$1,[3]characters!$1:$1,0)-MATCH($L$1,[3]characters!$1:$1,0)+1,FALSE)</f>
        <v>Drop1W</v>
      </c>
      <c r="P835" s="21" t="str">
        <f ca="1">VLOOKUP($L835,OFFSET([2]enemies!$A$1,0,0,COUNTA([2]enemies!$A:$A),MATCH(P$1,[2]enemies!$1:$1,0)-MATCH($L$1,[2]enemies!$1:$1,0)+1),MATCH(P$1,[2]enemies!$1:$1,0)-MATCH($L$1,[2]enemies!$1:$1,0)+1,FALSE)</f>
        <v>animal</v>
      </c>
      <c r="Q835" s="21">
        <f ca="1">VLOOKUP($L835,OFFSET([2]enemies!$A$1,0,0,COUNTA([2]enemies!$A:$A),MATCH(Q$1,[2]enemies!$1:$1,0)-MATCH($L$1,[2]enemies!$1:$1,0)+1),MATCH(Q$1,[2]enemies!$1:$1,0)-MATCH($L$1,[2]enemies!$1:$1,0)+1,FALSE)</f>
        <v>15</v>
      </c>
      <c r="R835" s="53">
        <v>56</v>
      </c>
      <c r="S835" s="27">
        <v>1</v>
      </c>
      <c r="T835" s="27">
        <v>1</v>
      </c>
      <c r="U835" s="5">
        <v>0</v>
      </c>
      <c r="V835" s="4" t="str">
        <f ca="1">VLOOKUP($W835,OFFSET([4]enemy_skill_sets!$B$1,0,0,COUNTA([4]enemy_skill_sets!$B:$B),MATCH(M$1,[4]enemy_skill_sets!$1:$1,0)-MATCH($W$1,[4]enemy_skill_sets!$1:$1,0)+2),MATCH(M$1,[4]enemy_skill_sets!$1:$1,0)-MATCH($W$1,[4]enemy_skill_sets!$1:$1,0)+2,FALSE)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35" s="4">
        <f ca="1">VLOOKUP($L835,OFFSET([2]enemies!$A$1,0,0,COUNTA([2]enemies!$A:$A),MATCH(W$1,[2]enemies!$1:$1,0)-MATCH($L$1,[2]enemies!$1:$1,0)+1),MATCH(W$1,[2]enemies!$1:$1,0)-MATCH($L$1,[2]enemies!$1:$1,0)+1,FALSE)</f>
        <v>0</v>
      </c>
      <c r="X835" s="6">
        <v>0</v>
      </c>
      <c r="Y835" s="6">
        <v>100</v>
      </c>
      <c r="Z835" s="6">
        <v>0</v>
      </c>
      <c r="AA835" s="4">
        <f ca="1">VLOOKUP($L835,OFFSET([2]enemies!$A$1,0,0,COUNTA([2]enemies!$A:$A),MATCH(AA$1,[2]enemies!$1:$1,0)-MATCH($L$1,[2]enemies!$1:$1,0)+1),MATCH(AA$1,[2]enemies!$1:$1,0)-MATCH($L$1,[2]enemies!$1:$1,0)+1,FALSE)</f>
        <v>3</v>
      </c>
      <c r="AB835" s="52">
        <v>11</v>
      </c>
      <c r="AC835" s="4" t="str">
        <f ca="1">VLOOKUP($AB835,OFFSET([3]characters!$A$1,0,0,COUNTA([3]characters!$A:$A),MATCH(AC$1,[3]characters!$1:$1,0)-MATCH("character_id",[3]characters!$1:$1,0)+1),MATCH(AC$1,[3]characters!$1:$1,0)-MATCH("character_id",[3]characters!$1:$1,0)+1,FALSE)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835" s="4">
        <f ca="1">VLOOKUP($AB835,OFFSET([3]characters!$A$1,0,0,COUNTA([3]characters!$A:$A),MATCH(AD$1,[3]characters!$1:$1,0)-MATCH("character_id",[3]characters!$1:$1,0)+1),MATCH(AD$1,[3]characters!$1:$1,0)-MATCH("character_id",[3]characters!$1:$1,0)+1,FALSE)</f>
        <v>1</v>
      </c>
      <c r="AE835" s="4" t="str">
        <f ca="1">VLOOKUP($AB835,OFFSET([3]characters!$A$1,0,0,COUNTA([3]characters!$A:$A),MATCH(AE$1,[3]characters!$1:$1,0)-MATCH("character_id",[3]characters!$1:$1,0)+1),MATCH(AE$1,[3]characters!$1:$1,0)-MATCH("character_id",[3]characters!$1:$1,0)+1,FALSE)</f>
        <v>Drop1W</v>
      </c>
      <c r="AF835" s="7">
        <v>9</v>
      </c>
      <c r="AG835" s="26">
        <f t="shared" ref="AG835:AG898" ca="1" si="769">AD835</f>
        <v>1</v>
      </c>
      <c r="AH835" s="8">
        <v>20</v>
      </c>
      <c r="AI835" s="7">
        <v>0</v>
      </c>
      <c r="AJ835" s="7">
        <v>0</v>
      </c>
      <c r="AK835" s="7">
        <v>0</v>
      </c>
      <c r="AL835" s="7">
        <v>0</v>
      </c>
      <c r="AM835" s="7">
        <v>1</v>
      </c>
    </row>
    <row r="836" spans="1:39" ht="14" x14ac:dyDescent="0.15">
      <c r="A836" s="18" t="str">
        <f t="shared" ca="1" si="744"/>
        <v>26_4-4/13&lt;lv56&gt;s2</v>
      </c>
      <c r="B836" s="50">
        <v>26</v>
      </c>
      <c r="C836" s="49">
        <v>4</v>
      </c>
      <c r="D836" s="2" t="str">
        <f t="shared" si="758"/>
        <v>26_4</v>
      </c>
      <c r="E836" s="2" t="str">
        <f t="shared" si="758"/>
        <v>4_26_4</v>
      </c>
      <c r="F836" s="4" t="str">
        <f ca="1">VLOOKUP($D836,OFFSET([1]stages!$A$1,0,0,COUNTA([1]stages!$A:$A),MATCH(F$1,[1]stages!$2:$2,0)-MATCH($D$1,[1]stages!$2:$2,0)+1),MATCH(F$1,[1]stages!$2:$2,0)-MATCH($D$1,[1]stages!$2:$2,0)+1,FALSE)</f>
        <v>26-4．今夜はダークナイト</v>
      </c>
      <c r="G836" s="54">
        <v>4</v>
      </c>
      <c r="H836" s="17" t="str">
        <f t="shared" si="759"/>
        <v>26_4-4</v>
      </c>
      <c r="I836" s="17"/>
      <c r="J836" s="17"/>
      <c r="K836" s="65" t="s">
        <v>56</v>
      </c>
      <c r="L836" s="52">
        <v>13</v>
      </c>
      <c r="M836" s="21" t="str">
        <f ca="1">VLOOKUP($L836,OFFSET([2]enemies!$A$1,0,0,COUNTA([2]enemies!$A:$A),MATCH(M$1,[2]enemies!$1:$1,0)-MATCH($L$1,[2]enemies!$1:$1,0)+1),MATCH(M$1,[2]enemies!$1:$1,0)-MATCH($L$1,[2]enemies!$1:$1,0)+1,FALSE)</f>
        <v>ミミ</v>
      </c>
      <c r="N836" s="21" t="str">
        <f ca="1">VLOOKUP($L836,OFFSET([2]enemies!$A$1,0,0,COUNTA([2]enemies!$A:$A),MATCH(N$1,[2]enemies!$1:$1,0)-MATCH($L$1,[2]enemies!$1:$1,0)+1),MATCH(N$1,[2]enemies!$1:$1,0)-MATCH($L$1,[2]enemies!$1:$1,0)+1,FALSE)</f>
        <v>yellow</v>
      </c>
      <c r="O836" s="21" t="str">
        <f ca="1">VLOOKUP($L836,OFFSET([3]characters!$A$1,0,0,COUNTA([3]characters!$A:$A),MATCH(O$1,[3]characters!$1:$1,0)-MATCH($L$1,[3]characters!$1:$1,0)+1),MATCH(O$1,[3]characters!$1:$1,0)-MATCH($L$1,[3]characters!$1:$1,0)+1,FALSE)</f>
        <v>Drop1W</v>
      </c>
      <c r="P836" s="21" t="str">
        <f ca="1">VLOOKUP($L836,OFFSET([2]enemies!$A$1,0,0,COUNTA([2]enemies!$A:$A),MATCH(P$1,[2]enemies!$1:$1,0)-MATCH($L$1,[2]enemies!$1:$1,0)+1),MATCH(P$1,[2]enemies!$1:$1,0)-MATCH($L$1,[2]enemies!$1:$1,0)+1,FALSE)</f>
        <v>animal</v>
      </c>
      <c r="Q836" s="21">
        <f ca="1">VLOOKUP($L836,OFFSET([2]enemies!$A$1,0,0,COUNTA([2]enemies!$A:$A),MATCH(Q$1,[2]enemies!$1:$1,0)-MATCH($L$1,[2]enemies!$1:$1,0)+1),MATCH(Q$1,[2]enemies!$1:$1,0)-MATCH($L$1,[2]enemies!$1:$1,0)+1,FALSE)</f>
        <v>15</v>
      </c>
      <c r="R836" s="53">
        <v>56</v>
      </c>
      <c r="S836" s="27">
        <v>1</v>
      </c>
      <c r="T836" s="27">
        <v>1</v>
      </c>
      <c r="U836" s="5">
        <v>0</v>
      </c>
      <c r="V836" s="4" t="str">
        <f ca="1">VLOOKUP($W836,OFFSET([4]enemy_skill_sets!$B$1,0,0,COUNTA([4]enemy_skill_sets!$B:$B),MATCH(M$1,[4]enemy_skill_sets!$1:$1,0)-MATCH($W$1,[4]enemy_skill_sets!$1:$1,0)+2),MATCH(M$1,[4]enemy_skill_sets!$1:$1,0)-MATCH($W$1,[4]enemy_skill_sets!$1:$1,0)+2,FALSE)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36" s="4">
        <f ca="1">VLOOKUP($L836,OFFSET([2]enemies!$A$1,0,0,COUNTA([2]enemies!$A:$A),MATCH(W$1,[2]enemies!$1:$1,0)-MATCH($L$1,[2]enemies!$1:$1,0)+1),MATCH(W$1,[2]enemies!$1:$1,0)-MATCH($L$1,[2]enemies!$1:$1,0)+1,FALSE)</f>
        <v>0</v>
      </c>
      <c r="X836" s="6">
        <v>0</v>
      </c>
      <c r="Y836" s="6">
        <v>100</v>
      </c>
      <c r="Z836" s="6">
        <v>0</v>
      </c>
      <c r="AA836" s="4">
        <f ca="1">VLOOKUP($L836,OFFSET([2]enemies!$A$1,0,0,COUNTA([2]enemies!$A:$A),MATCH(AA$1,[2]enemies!$1:$1,0)-MATCH($L$1,[2]enemies!$1:$1,0)+1),MATCH(AA$1,[2]enemies!$1:$1,0)-MATCH($L$1,[2]enemies!$1:$1,0)+1,FALSE)</f>
        <v>2</v>
      </c>
      <c r="AB836" s="52">
        <v>13</v>
      </c>
      <c r="AC836" s="4" t="str">
        <f ca="1">VLOOKUP($AB836,OFFSET([3]characters!$A$1,0,0,COUNTA([3]characters!$A:$A),MATCH(AC$1,[3]characters!$1:$1,0)-MATCH("character_id",[3]characters!$1:$1,0)+1),MATCH(AC$1,[3]characters!$1:$1,0)-MATCH("character_id",[3]characters!$1:$1,0)+1,FALSE)</f>
        <v>ミミ</v>
      </c>
      <c r="AD836" s="4">
        <f ca="1">VLOOKUP($AB836,OFFSET([3]characters!$A$1,0,0,COUNTA([3]characters!$A:$A),MATCH(AD$1,[3]characters!$1:$1,0)-MATCH("character_id",[3]characters!$1:$1,0)+1),MATCH(AD$1,[3]characters!$1:$1,0)-MATCH("character_id",[3]characters!$1:$1,0)+1,FALSE)</f>
        <v>1</v>
      </c>
      <c r="AE836" s="4" t="str">
        <f ca="1">VLOOKUP($AB836,OFFSET([3]characters!$A$1,0,0,COUNTA([3]characters!$A:$A),MATCH(AE$1,[3]characters!$1:$1,0)-MATCH("character_id",[3]characters!$1:$1,0)+1),MATCH(AE$1,[3]characters!$1:$1,0)-MATCH("character_id",[3]characters!$1:$1,0)+1,FALSE)</f>
        <v>Drop1W</v>
      </c>
      <c r="AF836" s="7">
        <v>9</v>
      </c>
      <c r="AG836" s="26">
        <f t="shared" ca="1" si="769"/>
        <v>1</v>
      </c>
      <c r="AH836" s="8">
        <v>20</v>
      </c>
      <c r="AI836" s="7">
        <v>0</v>
      </c>
      <c r="AJ836" s="7">
        <v>0</v>
      </c>
      <c r="AK836" s="7">
        <v>0</v>
      </c>
      <c r="AL836" s="7">
        <v>0</v>
      </c>
      <c r="AM836" s="7">
        <v>1</v>
      </c>
    </row>
    <row r="837" spans="1:39" ht="14" x14ac:dyDescent="0.15">
      <c r="A837" s="18" t="str">
        <f t="shared" ca="1" si="744"/>
        <v>26_4-4/23&lt;lv56&gt;s4</v>
      </c>
      <c r="B837" s="50">
        <v>26</v>
      </c>
      <c r="C837" s="49">
        <v>4</v>
      </c>
      <c r="D837" s="2" t="str">
        <f t="shared" si="758"/>
        <v>26_4</v>
      </c>
      <c r="E837" s="2" t="str">
        <f t="shared" si="758"/>
        <v>4_26_4</v>
      </c>
      <c r="F837" s="4" t="str">
        <f ca="1">VLOOKUP($D837,OFFSET([1]stages!$A$1,0,0,COUNTA([1]stages!$A:$A),MATCH(F$1,[1]stages!$2:$2,0)-MATCH($D$1,[1]stages!$2:$2,0)+1),MATCH(F$1,[1]stages!$2:$2,0)-MATCH($D$1,[1]stages!$2:$2,0)+1,FALSE)</f>
        <v>26-4．今夜はダークナイト</v>
      </c>
      <c r="G837" s="54">
        <v>4</v>
      </c>
      <c r="H837" s="17" t="str">
        <f t="shared" si="759"/>
        <v>26_4-4</v>
      </c>
      <c r="I837" s="17"/>
      <c r="J837" s="17"/>
      <c r="K837" s="65" t="s">
        <v>56</v>
      </c>
      <c r="L837" s="52">
        <v>23</v>
      </c>
      <c r="M837" s="21" t="str">
        <f ca="1">VLOOKUP($L837,OFFSET([2]enemies!$A$1,0,0,COUNTA([2]enemies!$A:$A),MATCH(M$1,[2]enemies!$1:$1,0)-MATCH($L$1,[2]enemies!$1:$1,0)+1),MATCH(M$1,[2]enemies!$1:$1,0)-MATCH($L$1,[2]enemies!$1:$1,0)+1,FALSE)</f>
        <v>ミール</v>
      </c>
      <c r="N837" s="21" t="str">
        <f ca="1">VLOOKUP($L837,OFFSET([2]enemies!$A$1,0,0,COUNTA([2]enemies!$A:$A),MATCH(N$1,[2]enemies!$1:$1,0)-MATCH($L$1,[2]enemies!$1:$1,0)+1),MATCH(N$1,[2]enemies!$1:$1,0)-MATCH($L$1,[2]enemies!$1:$1,0)+1,FALSE)</f>
        <v>green</v>
      </c>
      <c r="O837" s="21" t="str">
        <f ca="1">VLOOKUP($L837,OFFSET([3]characters!$A$1,0,0,COUNTA([3]characters!$A:$A),MATCH(O$1,[3]characters!$1:$1,0)-MATCH($L$1,[3]characters!$1:$1,0)+1),MATCH(O$1,[3]characters!$1:$1,0)-MATCH($L$1,[3]characters!$1:$1,0)+1,FALSE)</f>
        <v>Drop1N</v>
      </c>
      <c r="P837" s="21" t="str">
        <f ca="1">VLOOKUP($L837,OFFSET([2]enemies!$A$1,0,0,COUNTA([2]enemies!$A:$A),MATCH(P$1,[2]enemies!$1:$1,0)-MATCH($L$1,[2]enemies!$1:$1,0)+1),MATCH(P$1,[2]enemies!$1:$1,0)-MATCH($L$1,[2]enemies!$1:$1,0)+1,FALSE)</f>
        <v>animal</v>
      </c>
      <c r="Q837" s="21">
        <f ca="1">VLOOKUP($L837,OFFSET([2]enemies!$A$1,0,0,COUNTA([2]enemies!$A:$A),MATCH(Q$1,[2]enemies!$1:$1,0)-MATCH($L$1,[2]enemies!$1:$1,0)+1),MATCH(Q$1,[2]enemies!$1:$1,0)-MATCH($L$1,[2]enemies!$1:$1,0)+1,FALSE)</f>
        <v>15</v>
      </c>
      <c r="R837" s="53">
        <v>56</v>
      </c>
      <c r="S837" s="27">
        <v>1</v>
      </c>
      <c r="T837" s="27">
        <v>1</v>
      </c>
      <c r="U837" s="5">
        <v>0</v>
      </c>
      <c r="V837" s="4" t="str">
        <f ca="1">VLOOKUP($W837,OFFSET([4]enemy_skill_sets!$B$1,0,0,COUNTA([4]enemy_skill_sets!$B:$B),MATCH(M$1,[4]enemy_skill_sets!$1:$1,0)-MATCH($W$1,[4]enemy_skill_sets!$1:$1,0)+2),MATCH(M$1,[4]enemy_skill_sets!$1:$1,0)-MATCH($W$1,[4]enemy_skill_sets!$1:$1,0)+2,FALSE)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37" s="4">
        <f ca="1">VLOOKUP($L837,OFFSET([2]enemies!$A$1,0,0,COUNTA([2]enemies!$A:$A),MATCH(W$1,[2]enemies!$1:$1,0)-MATCH($L$1,[2]enemies!$1:$1,0)+1),MATCH(W$1,[2]enemies!$1:$1,0)-MATCH($L$1,[2]enemies!$1:$1,0)+1,FALSE)</f>
        <v>0</v>
      </c>
      <c r="X837" s="6">
        <v>0</v>
      </c>
      <c r="Y837" s="6">
        <v>100</v>
      </c>
      <c r="Z837" s="6">
        <v>0</v>
      </c>
      <c r="AA837" s="4">
        <f ca="1">VLOOKUP($L837,OFFSET([2]enemies!$A$1,0,0,COUNTA([2]enemies!$A:$A),MATCH(AA$1,[2]enemies!$1:$1,0)-MATCH($L$1,[2]enemies!$1:$1,0)+1),MATCH(AA$1,[2]enemies!$1:$1,0)-MATCH($L$1,[2]enemies!$1:$1,0)+1,FALSE)</f>
        <v>4</v>
      </c>
      <c r="AB837" s="52">
        <v>23</v>
      </c>
      <c r="AC837" s="4" t="str">
        <f ca="1">VLOOKUP($AB837,OFFSET([3]characters!$A$1,0,0,COUNTA([3]characters!$A:$A),MATCH(AC$1,[3]characters!$1:$1,0)-MATCH("character_id",[3]characters!$1:$1,0)+1),MATCH(AC$1,[3]characters!$1:$1,0)-MATCH("character_id",[3]characters!$1:$1,0)+1,FALSE)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837" s="4">
        <f ca="1">VLOOKUP($AB837,OFFSET([3]characters!$A$1,0,0,COUNTA([3]characters!$A:$A),MATCH(AD$1,[3]characters!$1:$1,0)-MATCH("character_id",[3]characters!$1:$1,0)+1),MATCH(AD$1,[3]characters!$1:$1,0)-MATCH("character_id",[3]characters!$1:$1,0)+1,FALSE)</f>
        <v>1</v>
      </c>
      <c r="AE837" s="4" t="str">
        <f ca="1">VLOOKUP($AB837,OFFSET([3]characters!$A$1,0,0,COUNTA([3]characters!$A:$A),MATCH(AE$1,[3]characters!$1:$1,0)-MATCH("character_id",[3]characters!$1:$1,0)+1),MATCH(AE$1,[3]characters!$1:$1,0)-MATCH("character_id",[3]characters!$1:$1,0)+1,FALSE)</f>
        <v>Drop1N</v>
      </c>
      <c r="AF837" s="7">
        <v>7</v>
      </c>
      <c r="AG837" s="26">
        <f t="shared" ca="1" si="769"/>
        <v>1</v>
      </c>
      <c r="AH837" s="8">
        <v>20</v>
      </c>
      <c r="AI837" s="7">
        <v>0</v>
      </c>
      <c r="AJ837" s="7">
        <v>0</v>
      </c>
      <c r="AK837" s="7">
        <v>0</v>
      </c>
      <c r="AL837" s="7">
        <v>0</v>
      </c>
      <c r="AM837" s="7">
        <v>1</v>
      </c>
    </row>
    <row r="838" spans="1:39" ht="14" x14ac:dyDescent="0.15">
      <c r="A838" s="18" t="str">
        <f t="shared" ca="1" si="744"/>
        <v>26_4-4/25&lt;lv56&gt;s3</v>
      </c>
      <c r="B838" s="50">
        <v>26</v>
      </c>
      <c r="C838" s="49">
        <v>4</v>
      </c>
      <c r="D838" s="2" t="str">
        <f t="shared" si="758"/>
        <v>26_4</v>
      </c>
      <c r="E838" s="2" t="str">
        <f t="shared" si="758"/>
        <v>4_26_4</v>
      </c>
      <c r="F838" s="4" t="str">
        <f ca="1">VLOOKUP($D838,OFFSET([1]stages!$A$1,0,0,COUNTA([1]stages!$A:$A),MATCH(F$1,[1]stages!$2:$2,0)-MATCH($D$1,[1]stages!$2:$2,0)+1),MATCH(F$1,[1]stages!$2:$2,0)-MATCH($D$1,[1]stages!$2:$2,0)+1,FALSE)</f>
        <v>26-4．今夜はダークナイト</v>
      </c>
      <c r="G838" s="54">
        <v>4</v>
      </c>
      <c r="H838" s="17" t="str">
        <f t="shared" si="759"/>
        <v>26_4-4</v>
      </c>
      <c r="I838" s="17"/>
      <c r="J838" s="17"/>
      <c r="K838" s="65" t="s">
        <v>56</v>
      </c>
      <c r="L838" s="52">
        <v>25</v>
      </c>
      <c r="M838" s="21" t="str">
        <f ca="1">VLOOKUP($L838,OFFSET([2]enemies!$A$1,0,0,COUNTA([2]enemies!$A:$A),MATCH(M$1,[2]enemies!$1:$1,0)-MATCH($L$1,[2]enemies!$1:$1,0)+1),MATCH(M$1,[2]enemies!$1:$1,0)-MATCH($L$1,[2]enemies!$1:$1,0)+1,FALSE)</f>
        <v>ハチ</v>
      </c>
      <c r="N838" s="21" t="str">
        <f ca="1">VLOOKUP($L838,OFFSET([2]enemies!$A$1,0,0,COUNTA([2]enemies!$A:$A),MATCH(N$1,[2]enemies!$1:$1,0)-MATCH($L$1,[2]enemies!$1:$1,0)+1),MATCH(N$1,[2]enemies!$1:$1,0)-MATCH($L$1,[2]enemies!$1:$1,0)+1,FALSE)</f>
        <v>blue</v>
      </c>
      <c r="O838" s="21" t="str">
        <f ca="1">VLOOKUP($L838,OFFSET([3]characters!$A$1,0,0,COUNTA([3]characters!$A:$A),MATCH(O$1,[3]characters!$1:$1,0)-MATCH($L$1,[3]characters!$1:$1,0)+1),MATCH(O$1,[3]characters!$1:$1,0)-MATCH($L$1,[3]characters!$1:$1,0)+1,FALSE)</f>
        <v>Drop1N</v>
      </c>
      <c r="P838" s="21" t="str">
        <f ca="1">VLOOKUP($L838,OFFSET([2]enemies!$A$1,0,0,COUNTA([2]enemies!$A:$A),MATCH(P$1,[2]enemies!$1:$1,0)-MATCH($L$1,[2]enemies!$1:$1,0)+1),MATCH(P$1,[2]enemies!$1:$1,0)-MATCH($L$1,[2]enemies!$1:$1,0)+1,FALSE)</f>
        <v>animal</v>
      </c>
      <c r="Q838" s="21">
        <f ca="1">VLOOKUP($L838,OFFSET([2]enemies!$A$1,0,0,COUNTA([2]enemies!$A:$A),MATCH(Q$1,[2]enemies!$1:$1,0)-MATCH($L$1,[2]enemies!$1:$1,0)+1),MATCH(Q$1,[2]enemies!$1:$1,0)-MATCH($L$1,[2]enemies!$1:$1,0)+1,FALSE)</f>
        <v>15</v>
      </c>
      <c r="R838" s="53">
        <v>56</v>
      </c>
      <c r="S838" s="27">
        <v>1</v>
      </c>
      <c r="T838" s="27">
        <v>1</v>
      </c>
      <c r="U838" s="5">
        <v>0</v>
      </c>
      <c r="V838" s="4" t="str">
        <f ca="1">VLOOKUP($W838,OFFSET([4]enemy_skill_sets!$B$1,0,0,COUNTA([4]enemy_skill_sets!$B:$B),MATCH(M$1,[4]enemy_skill_sets!$1:$1,0)-MATCH($W$1,[4]enemy_skill_sets!$1:$1,0)+2),MATCH(M$1,[4]enemy_skill_sets!$1:$1,0)-MATCH($W$1,[4]enemy_skill_sets!$1:$1,0)+2,FALSE)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38" s="4">
        <f ca="1">VLOOKUP($L838,OFFSET([2]enemies!$A$1,0,0,COUNTA([2]enemies!$A:$A),MATCH(W$1,[2]enemies!$1:$1,0)-MATCH($L$1,[2]enemies!$1:$1,0)+1),MATCH(W$1,[2]enemies!$1:$1,0)-MATCH($L$1,[2]enemies!$1:$1,0)+1,FALSE)</f>
        <v>0</v>
      </c>
      <c r="X838" s="6">
        <v>0</v>
      </c>
      <c r="Y838" s="6">
        <v>100</v>
      </c>
      <c r="Z838" s="6">
        <v>0</v>
      </c>
      <c r="AA838" s="4">
        <f ca="1">VLOOKUP($L838,OFFSET([2]enemies!$A$1,0,0,COUNTA([2]enemies!$A:$A),MATCH(AA$1,[2]enemies!$1:$1,0)-MATCH($L$1,[2]enemies!$1:$1,0)+1),MATCH(AA$1,[2]enemies!$1:$1,0)-MATCH($L$1,[2]enemies!$1:$1,0)+1,FALSE)</f>
        <v>3</v>
      </c>
      <c r="AB838" s="52">
        <v>25</v>
      </c>
      <c r="AC838" s="4" t="str">
        <f ca="1">VLOOKUP($AB838,OFFSET([3]characters!$A$1,0,0,COUNTA([3]characters!$A:$A),MATCH(AC$1,[3]characters!$1:$1,0)-MATCH("character_id",[3]characters!$1:$1,0)+1),MATCH(AC$1,[3]characters!$1:$1,0)-MATCH("character_id",[3]characters!$1:$1,0)+1,FALSE)</f>
        <v>ハチ</v>
      </c>
      <c r="AD838" s="4">
        <f ca="1">VLOOKUP($AB838,OFFSET([3]characters!$A$1,0,0,COUNTA([3]characters!$A:$A),MATCH(AD$1,[3]characters!$1:$1,0)-MATCH("character_id",[3]characters!$1:$1,0)+1),MATCH(AD$1,[3]characters!$1:$1,0)-MATCH("character_id",[3]characters!$1:$1,0)+1,FALSE)</f>
        <v>1</v>
      </c>
      <c r="AE838" s="4" t="str">
        <f ca="1">VLOOKUP($AB838,OFFSET([3]characters!$A$1,0,0,COUNTA([3]characters!$A:$A),MATCH(AE$1,[3]characters!$1:$1,0)-MATCH("character_id",[3]characters!$1:$1,0)+1),MATCH(AE$1,[3]characters!$1:$1,0)-MATCH("character_id",[3]characters!$1:$1,0)+1,FALSE)</f>
        <v>Drop1N</v>
      </c>
      <c r="AF838" s="7">
        <v>7</v>
      </c>
      <c r="AG838" s="26">
        <f t="shared" ca="1" si="769"/>
        <v>1</v>
      </c>
      <c r="AH838" s="8">
        <v>20</v>
      </c>
      <c r="AI838" s="7">
        <v>0</v>
      </c>
      <c r="AJ838" s="7">
        <v>0</v>
      </c>
      <c r="AK838" s="7">
        <v>0</v>
      </c>
      <c r="AL838" s="7">
        <v>0</v>
      </c>
      <c r="AM838" s="7">
        <v>1</v>
      </c>
    </row>
    <row r="839" spans="1:39" ht="14" x14ac:dyDescent="0.15">
      <c r="A839" s="18" t="str">
        <f t="shared" ca="1" si="744"/>
        <v>26_4-4/33&lt;lv56&gt;s2</v>
      </c>
      <c r="B839" s="50">
        <v>26</v>
      </c>
      <c r="C839" s="49">
        <v>4</v>
      </c>
      <c r="D839" s="2" t="str">
        <f t="shared" si="758"/>
        <v>26_4</v>
      </c>
      <c r="E839" s="2" t="str">
        <f t="shared" si="758"/>
        <v>4_26_4</v>
      </c>
      <c r="F839" s="4" t="str">
        <f ca="1">VLOOKUP($D839,OFFSET([1]stages!$A$1,0,0,COUNTA([1]stages!$A:$A),MATCH(F$1,[1]stages!$2:$2,0)-MATCH($D$1,[1]stages!$2:$2,0)+1),MATCH(F$1,[1]stages!$2:$2,0)-MATCH($D$1,[1]stages!$2:$2,0)+1,FALSE)</f>
        <v>26-4．今夜はダークナイト</v>
      </c>
      <c r="G839" s="54">
        <v>4</v>
      </c>
      <c r="H839" s="17" t="str">
        <f t="shared" si="759"/>
        <v>26_4-4</v>
      </c>
      <c r="I839" s="17"/>
      <c r="J839" s="17"/>
      <c r="K839" s="65" t="s">
        <v>56</v>
      </c>
      <c r="L839" s="52">
        <v>33</v>
      </c>
      <c r="M839" s="21" t="str">
        <f ca="1">VLOOKUP($L839,OFFSET([2]enemies!$A$1,0,0,COUNTA([2]enemies!$A:$A),MATCH(M$1,[2]enemies!$1:$1,0)-MATCH($L$1,[2]enemies!$1:$1,0)+1),MATCH(M$1,[2]enemies!$1:$1,0)-MATCH($L$1,[2]enemies!$1:$1,0)+1,FALSE)</f>
        <v>ゴクウ</v>
      </c>
      <c r="N839" s="21" t="str">
        <f ca="1">VLOOKUP($L839,OFFSET([2]enemies!$A$1,0,0,COUNTA([2]enemies!$A:$A),MATCH(N$1,[2]enemies!$1:$1,0)-MATCH($L$1,[2]enemies!$1:$1,0)+1),MATCH(N$1,[2]enemies!$1:$1,0)-MATCH($L$1,[2]enemies!$1:$1,0)+1,FALSE)</f>
        <v>red</v>
      </c>
      <c r="O839" s="21" t="str">
        <f ca="1">VLOOKUP($L839,OFFSET([3]characters!$A$1,0,0,COUNTA([3]characters!$A:$A),MATCH(O$1,[3]characters!$1:$1,0)-MATCH($L$1,[3]characters!$1:$1,0)+1),MATCH(O$1,[3]characters!$1:$1,0)-MATCH($L$1,[3]characters!$1:$1,0)+1,FALSE)</f>
        <v>Drop1S</v>
      </c>
      <c r="P839" s="21" t="str">
        <f ca="1">VLOOKUP($L839,OFFSET([2]enemies!$A$1,0,0,COUNTA([2]enemies!$A:$A),MATCH(P$1,[2]enemies!$1:$1,0)-MATCH($L$1,[2]enemies!$1:$1,0)+1),MATCH(P$1,[2]enemies!$1:$1,0)-MATCH($L$1,[2]enemies!$1:$1,0)+1,FALSE)</f>
        <v>animal</v>
      </c>
      <c r="Q839" s="21">
        <f ca="1">VLOOKUP($L839,OFFSET([2]enemies!$A$1,0,0,COUNTA([2]enemies!$A:$A),MATCH(Q$1,[2]enemies!$1:$1,0)-MATCH($L$1,[2]enemies!$1:$1,0)+1),MATCH(Q$1,[2]enemies!$1:$1,0)-MATCH($L$1,[2]enemies!$1:$1,0)+1,FALSE)</f>
        <v>15</v>
      </c>
      <c r="R839" s="53">
        <v>56</v>
      </c>
      <c r="S839" s="27">
        <v>1</v>
      </c>
      <c r="T839" s="27">
        <v>1</v>
      </c>
      <c r="U839" s="5">
        <v>0</v>
      </c>
      <c r="V839" s="4" t="str">
        <f ca="1">VLOOKUP($W839,OFFSET([4]enemy_skill_sets!$B$1,0,0,COUNTA([4]enemy_skill_sets!$B:$B),MATCH(M$1,[4]enemy_skill_sets!$1:$1,0)-MATCH($W$1,[4]enemy_skill_sets!$1:$1,0)+2),MATCH(M$1,[4]enemy_skill_sets!$1:$1,0)-MATCH($W$1,[4]enemy_skill_sets!$1:$1,0)+2,FALSE)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839" s="4">
        <f ca="1">VLOOKUP($L839,OFFSET([2]enemies!$A$1,0,0,COUNTA([2]enemies!$A:$A),MATCH(W$1,[2]enemies!$1:$1,0)-MATCH($L$1,[2]enemies!$1:$1,0)+1),MATCH(W$1,[2]enemies!$1:$1,0)-MATCH($L$1,[2]enemies!$1:$1,0)+1,FALSE)</f>
        <v>33</v>
      </c>
      <c r="X839" s="6">
        <v>0</v>
      </c>
      <c r="Y839" s="6">
        <v>100</v>
      </c>
      <c r="Z839" s="6">
        <v>0</v>
      </c>
      <c r="AA839" s="4">
        <f ca="1">VLOOKUP($L839,OFFSET([2]enemies!$A$1,0,0,COUNTA([2]enemies!$A:$A),MATCH(AA$1,[2]enemies!$1:$1,0)-MATCH($L$1,[2]enemies!$1:$1,0)+1),MATCH(AA$1,[2]enemies!$1:$1,0)-MATCH($L$1,[2]enemies!$1:$1,0)+1,FALSE)</f>
        <v>2</v>
      </c>
      <c r="AB839" s="52">
        <v>33</v>
      </c>
      <c r="AC839" s="4" t="str">
        <f ca="1">VLOOKUP($AB839,OFFSET([3]characters!$A$1,0,0,COUNTA([3]characters!$A:$A),MATCH(AC$1,[3]characters!$1:$1,0)-MATCH("character_id",[3]characters!$1:$1,0)+1),MATCH(AC$1,[3]characters!$1:$1,0)-MATCH("character_id",[3]characters!$1:$1,0)+1,FALSE)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839" s="4">
        <f ca="1">VLOOKUP($AB839,OFFSET([3]characters!$A$1,0,0,COUNTA([3]characters!$A:$A),MATCH(AD$1,[3]characters!$1:$1,0)-MATCH("character_id",[3]characters!$1:$1,0)+1),MATCH(AD$1,[3]characters!$1:$1,0)-MATCH("character_id",[3]characters!$1:$1,0)+1,FALSE)</f>
        <v>2</v>
      </c>
      <c r="AE839" s="4" t="str">
        <f ca="1">VLOOKUP($AB839,OFFSET([3]characters!$A$1,0,0,COUNTA([3]characters!$A:$A),MATCH(AE$1,[3]characters!$1:$1,0)-MATCH("character_id",[3]characters!$1:$1,0)+1),MATCH(AE$1,[3]characters!$1:$1,0)-MATCH("character_id",[3]characters!$1:$1,0)+1,FALSE)</f>
        <v>Drop1S</v>
      </c>
      <c r="AF839" s="7">
        <v>5</v>
      </c>
      <c r="AG839" s="26">
        <f t="shared" ca="1" si="769"/>
        <v>2</v>
      </c>
      <c r="AH839" s="8">
        <v>20</v>
      </c>
      <c r="AI839" s="7">
        <v>0</v>
      </c>
      <c r="AJ839" s="7">
        <v>0</v>
      </c>
      <c r="AK839" s="7">
        <v>0</v>
      </c>
      <c r="AL839" s="7">
        <v>0</v>
      </c>
      <c r="AM839" s="7">
        <v>1</v>
      </c>
    </row>
    <row r="840" spans="1:39" ht="14" x14ac:dyDescent="0.15">
      <c r="A840" s="18" t="str">
        <f t="shared" ca="1" si="744"/>
        <v>26_4-4/37&lt;lv56&gt;s3</v>
      </c>
      <c r="B840" s="50">
        <v>26</v>
      </c>
      <c r="C840" s="49">
        <v>4</v>
      </c>
      <c r="D840" s="2" t="str">
        <f t="shared" si="758"/>
        <v>26_4</v>
      </c>
      <c r="E840" s="2" t="str">
        <f t="shared" si="758"/>
        <v>4_26_4</v>
      </c>
      <c r="F840" s="4" t="str">
        <f ca="1">VLOOKUP($D840,OFFSET([1]stages!$A$1,0,0,COUNTA([1]stages!$A:$A),MATCH(F$1,[1]stages!$2:$2,0)-MATCH($D$1,[1]stages!$2:$2,0)+1),MATCH(F$1,[1]stages!$2:$2,0)-MATCH($D$1,[1]stages!$2:$2,0)+1,FALSE)</f>
        <v>26-4．今夜はダークナイト</v>
      </c>
      <c r="G840" s="54">
        <v>4</v>
      </c>
      <c r="H840" s="17" t="str">
        <f t="shared" si="759"/>
        <v>26_4-4</v>
      </c>
      <c r="I840" s="17"/>
      <c r="J840" s="17"/>
      <c r="K840" s="65" t="s">
        <v>56</v>
      </c>
      <c r="L840" s="52">
        <v>37</v>
      </c>
      <c r="M840" s="21" t="str">
        <f ca="1">VLOOKUP($L840,OFFSET([2]enemies!$A$1,0,0,COUNTA([2]enemies!$A:$A),MATCH(M$1,[2]enemies!$1:$1,0)-MATCH($L$1,[2]enemies!$1:$1,0)+1),MATCH(M$1,[2]enemies!$1:$1,0)-MATCH($L$1,[2]enemies!$1:$1,0)+1,FALSE)</f>
        <v>ガイル</v>
      </c>
      <c r="N840" s="21" t="str">
        <f ca="1">VLOOKUP($L840,OFFSET([2]enemies!$A$1,0,0,COUNTA([2]enemies!$A:$A),MATCH(N$1,[2]enemies!$1:$1,0)-MATCH($L$1,[2]enemies!$1:$1,0)+1),MATCH(N$1,[2]enemies!$1:$1,0)-MATCH($L$1,[2]enemies!$1:$1,0)+1,FALSE)</f>
        <v>blue</v>
      </c>
      <c r="O840" s="21" t="str">
        <f ca="1">VLOOKUP($L840,OFFSET([3]characters!$A$1,0,0,COUNTA([3]characters!$A:$A),MATCH(O$1,[3]characters!$1:$1,0)-MATCH($L$1,[3]characters!$1:$1,0)+1),MATCH(O$1,[3]characters!$1:$1,0)-MATCH($L$1,[3]characters!$1:$1,0)+1,FALSE)</f>
        <v>Drop1S</v>
      </c>
      <c r="P840" s="21" t="str">
        <f ca="1">VLOOKUP($L840,OFFSET([2]enemies!$A$1,0,0,COUNTA([2]enemies!$A:$A),MATCH(P$1,[2]enemies!$1:$1,0)-MATCH($L$1,[2]enemies!$1:$1,0)+1),MATCH(P$1,[2]enemies!$1:$1,0)-MATCH($L$1,[2]enemies!$1:$1,0)+1,FALSE)</f>
        <v>animal</v>
      </c>
      <c r="Q840" s="21">
        <f ca="1">VLOOKUP($L840,OFFSET([2]enemies!$A$1,0,0,COUNTA([2]enemies!$A:$A),MATCH(Q$1,[2]enemies!$1:$1,0)-MATCH($L$1,[2]enemies!$1:$1,0)+1),MATCH(Q$1,[2]enemies!$1:$1,0)-MATCH($L$1,[2]enemies!$1:$1,0)+1,FALSE)</f>
        <v>15</v>
      </c>
      <c r="R840" s="53">
        <v>56</v>
      </c>
      <c r="S840" s="27">
        <v>1</v>
      </c>
      <c r="T840" s="27">
        <v>1</v>
      </c>
      <c r="U840" s="5">
        <v>0</v>
      </c>
      <c r="V840" s="4" t="str">
        <f ca="1">VLOOKUP($W840,OFFSET([4]enemy_skill_sets!$B$1,0,0,COUNTA([4]enemy_skill_sets!$B:$B),MATCH(M$1,[4]enemy_skill_sets!$1:$1,0)-MATCH($W$1,[4]enemy_skill_sets!$1:$1,0)+2),MATCH(M$1,[4]enemy_skill_sets!$1:$1,0)-MATCH($W$1,[4]enemy_skill_sets!$1:$1,0)+2,FALSE)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840" s="4">
        <f ca="1">VLOOKUP($L840,OFFSET([2]enemies!$A$1,0,0,COUNTA([2]enemies!$A:$A),MATCH(W$1,[2]enemies!$1:$1,0)-MATCH($L$1,[2]enemies!$1:$1,0)+1),MATCH(W$1,[2]enemies!$1:$1,0)-MATCH($L$1,[2]enemies!$1:$1,0)+1,FALSE)</f>
        <v>37</v>
      </c>
      <c r="X840" s="6">
        <v>0</v>
      </c>
      <c r="Y840" s="6">
        <v>100</v>
      </c>
      <c r="Z840" s="6">
        <v>0</v>
      </c>
      <c r="AA840" s="4">
        <f ca="1">VLOOKUP($L840,OFFSET([2]enemies!$A$1,0,0,COUNTA([2]enemies!$A:$A),MATCH(AA$1,[2]enemies!$1:$1,0)-MATCH($L$1,[2]enemies!$1:$1,0)+1),MATCH(AA$1,[2]enemies!$1:$1,0)-MATCH($L$1,[2]enemies!$1:$1,0)+1,FALSE)</f>
        <v>3</v>
      </c>
      <c r="AB840" s="52">
        <v>37</v>
      </c>
      <c r="AC840" s="4" t="str">
        <f ca="1">VLOOKUP($AB840,OFFSET([3]characters!$A$1,0,0,COUNTA([3]characters!$A:$A),MATCH(AC$1,[3]characters!$1:$1,0)-MATCH("character_id",[3]characters!$1:$1,0)+1),MATCH(AC$1,[3]characters!$1:$1,0)-MATCH("character_id",[3]characters!$1:$1,0)+1,FALSE)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840" s="4">
        <f ca="1">VLOOKUP($AB840,OFFSET([3]characters!$A$1,0,0,COUNTA([3]characters!$A:$A),MATCH(AD$1,[3]characters!$1:$1,0)-MATCH("character_id",[3]characters!$1:$1,0)+1),MATCH(AD$1,[3]characters!$1:$1,0)-MATCH("character_id",[3]characters!$1:$1,0)+1,FALSE)</f>
        <v>2</v>
      </c>
      <c r="AE840" s="4" t="str">
        <f ca="1">VLOOKUP($AB840,OFFSET([3]characters!$A$1,0,0,COUNTA([3]characters!$A:$A),MATCH(AE$1,[3]characters!$1:$1,0)-MATCH("character_id",[3]characters!$1:$1,0)+1),MATCH(AE$1,[3]characters!$1:$1,0)-MATCH("character_id",[3]characters!$1:$1,0)+1,FALSE)</f>
        <v>Drop1S</v>
      </c>
      <c r="AF840" s="7">
        <v>5</v>
      </c>
      <c r="AG840" s="26">
        <f t="shared" ca="1" si="769"/>
        <v>2</v>
      </c>
      <c r="AH840" s="8">
        <v>20</v>
      </c>
      <c r="AI840" s="7">
        <v>0</v>
      </c>
      <c r="AJ840" s="7">
        <v>0</v>
      </c>
      <c r="AK840" s="7">
        <v>0</v>
      </c>
      <c r="AL840" s="7">
        <v>0</v>
      </c>
      <c r="AM840" s="7">
        <v>1</v>
      </c>
    </row>
    <row r="841" spans="1:39" ht="14" x14ac:dyDescent="0.15">
      <c r="A841" s="18" t="str">
        <f t="shared" ca="1" si="744"/>
        <v>26_4-4/45&lt;lv56&gt;s3</v>
      </c>
      <c r="B841" s="50">
        <v>26</v>
      </c>
      <c r="C841" s="49">
        <v>4</v>
      </c>
      <c r="D841" s="2" t="str">
        <f t="shared" si="758"/>
        <v>26_4</v>
      </c>
      <c r="E841" s="2" t="str">
        <f t="shared" si="758"/>
        <v>4_26_4</v>
      </c>
      <c r="F841" s="4" t="str">
        <f ca="1">VLOOKUP($D841,OFFSET([1]stages!$A$1,0,0,COUNTA([1]stages!$A:$A),MATCH(F$1,[1]stages!$2:$2,0)-MATCH($D$1,[1]stages!$2:$2,0)+1),MATCH(F$1,[1]stages!$2:$2,0)-MATCH($D$1,[1]stages!$2:$2,0)+1,FALSE)</f>
        <v>26-4．今夜はダークナイト</v>
      </c>
      <c r="G841" s="54">
        <v>4</v>
      </c>
      <c r="H841" s="17" t="str">
        <f t="shared" si="759"/>
        <v>26_4-4</v>
      </c>
      <c r="I841" s="17"/>
      <c r="J841" s="17"/>
      <c r="K841" s="65" t="s">
        <v>56</v>
      </c>
      <c r="L841" s="52">
        <v>45</v>
      </c>
      <c r="M841" s="21" t="str">
        <f ca="1">VLOOKUP($L841,OFFSET([2]enemies!$A$1,0,0,COUNTA([2]enemies!$A:$A),MATCH(M$1,[2]enemies!$1:$1,0)-MATCH($L$1,[2]enemies!$1:$1,0)+1),MATCH(M$1,[2]enemies!$1:$1,0)-MATCH($L$1,[2]enemies!$1:$1,0)+1,FALSE)</f>
        <v>ショウイン</v>
      </c>
      <c r="N841" s="21" t="str">
        <f ca="1">VLOOKUP($L841,OFFSET([2]enemies!$A$1,0,0,COUNTA([2]enemies!$A:$A),MATCH(N$1,[2]enemies!$1:$1,0)-MATCH($L$1,[2]enemies!$1:$1,0)+1),MATCH(N$1,[2]enemies!$1:$1,0)-MATCH($L$1,[2]enemies!$1:$1,0)+1,FALSE)</f>
        <v>blue</v>
      </c>
      <c r="O841" s="21" t="str">
        <f ca="1">VLOOKUP($L841,OFFSET([3]characters!$A$1,0,0,COUNTA([3]characters!$A:$A),MATCH(O$1,[3]characters!$1:$1,0)-MATCH($L$1,[3]characters!$1:$1,0)+1),MATCH(O$1,[3]characters!$1:$1,0)-MATCH($L$1,[3]characters!$1:$1,0)+1,FALSE)</f>
        <v>Drop1N</v>
      </c>
      <c r="P841" s="21" t="str">
        <f ca="1">VLOOKUP($L841,OFFSET([2]enemies!$A$1,0,0,COUNTA([2]enemies!$A:$A),MATCH(P$1,[2]enemies!$1:$1,0)-MATCH($L$1,[2]enemies!$1:$1,0)+1),MATCH(P$1,[2]enemies!$1:$1,0)-MATCH($L$1,[2]enemies!$1:$1,0)+1,FALSE)</f>
        <v>animal</v>
      </c>
      <c r="Q841" s="21">
        <f ca="1">VLOOKUP($L841,OFFSET([2]enemies!$A$1,0,0,COUNTA([2]enemies!$A:$A),MATCH(Q$1,[2]enemies!$1:$1,0)-MATCH($L$1,[2]enemies!$1:$1,0)+1),MATCH(Q$1,[2]enemies!$1:$1,0)-MATCH($L$1,[2]enemies!$1:$1,0)+1,FALSE)</f>
        <v>15</v>
      </c>
      <c r="R841" s="53">
        <v>56</v>
      </c>
      <c r="S841" s="27">
        <v>1</v>
      </c>
      <c r="T841" s="27">
        <v>1</v>
      </c>
      <c r="U841" s="5">
        <v>0</v>
      </c>
      <c r="V841" s="4" t="str">
        <f ca="1">VLOOKUP($W841,OFFSET([4]enemy_skill_sets!$B$1,0,0,COUNTA([4]enemy_skill_sets!$B:$B),MATCH(M$1,[4]enemy_skill_sets!$1:$1,0)-MATCH($W$1,[4]enemy_skill_sets!$1:$1,0)+2),MATCH(M$1,[4]enemy_skill_sets!$1:$1,0)-MATCH($W$1,[4]enemy_skill_sets!$1:$1,0)+2,FALSE)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41" s="4">
        <f ca="1">VLOOKUP($L841,OFFSET([2]enemies!$A$1,0,0,COUNTA([2]enemies!$A:$A),MATCH(W$1,[2]enemies!$1:$1,0)-MATCH($L$1,[2]enemies!$1:$1,0)+1),MATCH(W$1,[2]enemies!$1:$1,0)-MATCH($L$1,[2]enemies!$1:$1,0)+1,FALSE)</f>
        <v>0</v>
      </c>
      <c r="X841" s="6">
        <v>0</v>
      </c>
      <c r="Y841" s="6">
        <v>100</v>
      </c>
      <c r="Z841" s="6">
        <v>0</v>
      </c>
      <c r="AA841" s="4">
        <f ca="1">VLOOKUP($L841,OFFSET([2]enemies!$A$1,0,0,COUNTA([2]enemies!$A:$A),MATCH(AA$1,[2]enemies!$1:$1,0)-MATCH($L$1,[2]enemies!$1:$1,0)+1),MATCH(AA$1,[2]enemies!$1:$1,0)-MATCH($L$1,[2]enemies!$1:$1,0)+1,FALSE)</f>
        <v>3</v>
      </c>
      <c r="AB841" s="52">
        <v>45</v>
      </c>
      <c r="AC841" s="4" t="str">
        <f ca="1">VLOOKUP($AB841,OFFSET([3]characters!$A$1,0,0,COUNTA([3]characters!$A:$A),MATCH(AC$1,[3]characters!$1:$1,0)-MATCH("character_id",[3]characters!$1:$1,0)+1),MATCH(AC$1,[3]characters!$1:$1,0)-MATCH("character_id",[3]characters!$1:$1,0)+1,FALSE)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841" s="4">
        <f ca="1">VLOOKUP($AB841,OFFSET([3]characters!$A$1,0,0,COUNTA([3]characters!$A:$A),MATCH(AD$1,[3]characters!$1:$1,0)-MATCH("character_id",[3]characters!$1:$1,0)+1),MATCH(AD$1,[3]characters!$1:$1,0)-MATCH("character_id",[3]characters!$1:$1,0)+1,FALSE)</f>
        <v>2</v>
      </c>
      <c r="AE841" s="4" t="str">
        <f ca="1">VLOOKUP($AB841,OFFSET([3]characters!$A$1,0,0,COUNTA([3]characters!$A:$A),MATCH(AE$1,[3]characters!$1:$1,0)-MATCH("character_id",[3]characters!$1:$1,0)+1),MATCH(AE$1,[3]characters!$1:$1,0)-MATCH("character_id",[3]characters!$1:$1,0)+1,FALSE)</f>
        <v>Drop1N</v>
      </c>
      <c r="AF841" s="7">
        <v>7</v>
      </c>
      <c r="AG841" s="26">
        <f t="shared" ca="1" si="769"/>
        <v>2</v>
      </c>
      <c r="AH841" s="8">
        <v>20</v>
      </c>
      <c r="AI841" s="7">
        <v>0</v>
      </c>
      <c r="AJ841" s="7">
        <v>0</v>
      </c>
      <c r="AK841" s="7">
        <v>0</v>
      </c>
      <c r="AL841" s="7">
        <v>0</v>
      </c>
      <c r="AM841" s="7">
        <v>1</v>
      </c>
    </row>
    <row r="842" spans="1:39" ht="14" x14ac:dyDescent="0.15">
      <c r="A842" s="18" t="str">
        <f t="shared" ca="1" si="744"/>
        <v>26_4-4/47&lt;lv56&gt;s1</v>
      </c>
      <c r="B842" s="50">
        <v>26</v>
      </c>
      <c r="C842" s="49">
        <v>4</v>
      </c>
      <c r="D842" s="2" t="str">
        <f t="shared" si="758"/>
        <v>26_4</v>
      </c>
      <c r="E842" s="2" t="str">
        <f t="shared" si="758"/>
        <v>4_26_4</v>
      </c>
      <c r="F842" s="4" t="str">
        <f ca="1">VLOOKUP($D842,OFFSET([1]stages!$A$1,0,0,COUNTA([1]stages!$A:$A),MATCH(F$1,[1]stages!$2:$2,0)-MATCH($D$1,[1]stages!$2:$2,0)+1),MATCH(F$1,[1]stages!$2:$2,0)-MATCH($D$1,[1]stages!$2:$2,0)+1,FALSE)</f>
        <v>26-4．今夜はダークナイト</v>
      </c>
      <c r="G842" s="54">
        <v>4</v>
      </c>
      <c r="H842" s="17" t="str">
        <f t="shared" si="759"/>
        <v>26_4-4</v>
      </c>
      <c r="I842" s="17"/>
      <c r="J842" s="17"/>
      <c r="K842" s="65" t="s">
        <v>56</v>
      </c>
      <c r="L842" s="52">
        <v>47</v>
      </c>
      <c r="M842" s="21" t="str">
        <f ca="1">VLOOKUP($L842,OFFSET([2]enemies!$A$1,0,0,COUNTA([2]enemies!$A:$A),MATCH(M$1,[2]enemies!$1:$1,0)-MATCH($L$1,[2]enemies!$1:$1,0)+1),MATCH(M$1,[2]enemies!$1:$1,0)-MATCH($L$1,[2]enemies!$1:$1,0)+1,FALSE)</f>
        <v>ヒロ</v>
      </c>
      <c r="N842" s="21" t="str">
        <f ca="1">VLOOKUP($L842,OFFSET([2]enemies!$A$1,0,0,COUNTA([2]enemies!$A:$A),MATCH(N$1,[2]enemies!$1:$1,0)-MATCH($L$1,[2]enemies!$1:$1,0)+1),MATCH(N$1,[2]enemies!$1:$1,0)-MATCH($L$1,[2]enemies!$1:$1,0)+1,FALSE)</f>
        <v>yellow</v>
      </c>
      <c r="O842" s="21" t="str">
        <f ca="1">VLOOKUP($L842,OFFSET([3]characters!$A$1,0,0,COUNTA([3]characters!$A:$A),MATCH(O$1,[3]characters!$1:$1,0)-MATCH($L$1,[3]characters!$1:$1,0)+1),MATCH(O$1,[3]characters!$1:$1,0)-MATCH($L$1,[3]characters!$1:$1,0)+1,FALSE)</f>
        <v>Drop1N</v>
      </c>
      <c r="P842" s="21" t="str">
        <f ca="1">VLOOKUP($L842,OFFSET([2]enemies!$A$1,0,0,COUNTA([2]enemies!$A:$A),MATCH(P$1,[2]enemies!$1:$1,0)-MATCH($L$1,[2]enemies!$1:$1,0)+1),MATCH(P$1,[2]enemies!$1:$1,0)-MATCH($L$1,[2]enemies!$1:$1,0)+1,FALSE)</f>
        <v>animal</v>
      </c>
      <c r="Q842" s="21">
        <f ca="1">VLOOKUP($L842,OFFSET([2]enemies!$A$1,0,0,COUNTA([2]enemies!$A:$A),MATCH(Q$1,[2]enemies!$1:$1,0)-MATCH($L$1,[2]enemies!$1:$1,0)+1),MATCH(Q$1,[2]enemies!$1:$1,0)-MATCH($L$1,[2]enemies!$1:$1,0)+1,FALSE)</f>
        <v>15</v>
      </c>
      <c r="R842" s="53">
        <v>56</v>
      </c>
      <c r="S842" s="27">
        <v>1</v>
      </c>
      <c r="T842" s="27">
        <v>1</v>
      </c>
      <c r="U842" s="5">
        <v>0</v>
      </c>
      <c r="V842" s="4" t="str">
        <f ca="1">VLOOKUP($W842,OFFSET([4]enemy_skill_sets!$B$1,0,0,COUNTA([4]enemy_skill_sets!$B:$B),MATCH(M$1,[4]enemy_skill_sets!$1:$1,0)-MATCH($W$1,[4]enemy_skill_sets!$1:$1,0)+2),MATCH(M$1,[4]enemy_skill_sets!$1:$1,0)-MATCH($W$1,[4]enemy_skill_sets!$1:$1,0)+2,FALSE)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42" s="4">
        <f ca="1">VLOOKUP($L842,OFFSET([2]enemies!$A$1,0,0,COUNTA([2]enemies!$A:$A),MATCH(W$1,[2]enemies!$1:$1,0)-MATCH($L$1,[2]enemies!$1:$1,0)+1),MATCH(W$1,[2]enemies!$1:$1,0)-MATCH($L$1,[2]enemies!$1:$1,0)+1,FALSE)</f>
        <v>0</v>
      </c>
      <c r="X842" s="6">
        <v>0</v>
      </c>
      <c r="Y842" s="6">
        <v>100</v>
      </c>
      <c r="Z842" s="6">
        <v>0</v>
      </c>
      <c r="AA842" s="4">
        <f ca="1">VLOOKUP($L842,OFFSET([2]enemies!$A$1,0,0,COUNTA([2]enemies!$A:$A),MATCH(AA$1,[2]enemies!$1:$1,0)-MATCH($L$1,[2]enemies!$1:$1,0)+1),MATCH(AA$1,[2]enemies!$1:$1,0)-MATCH($L$1,[2]enemies!$1:$1,0)+1,FALSE)</f>
        <v>1</v>
      </c>
      <c r="AB842" s="52">
        <v>47</v>
      </c>
      <c r="AC842" s="4" t="str">
        <f ca="1">VLOOKUP($AB842,OFFSET([3]characters!$A$1,0,0,COUNTA([3]characters!$A:$A),MATCH(AC$1,[3]characters!$1:$1,0)-MATCH("character_id",[3]characters!$1:$1,0)+1),MATCH(AC$1,[3]characters!$1:$1,0)-MATCH("character_id",[3]characters!$1:$1,0)+1,FALSE)</f>
        <v>ヒロ</v>
      </c>
      <c r="AD842" s="4">
        <f ca="1">VLOOKUP($AB842,OFFSET([3]characters!$A$1,0,0,COUNTA([3]characters!$A:$A),MATCH(AD$1,[3]characters!$1:$1,0)-MATCH("character_id",[3]characters!$1:$1,0)+1),MATCH(AD$1,[3]characters!$1:$1,0)-MATCH("character_id",[3]characters!$1:$1,0)+1,FALSE)</f>
        <v>2</v>
      </c>
      <c r="AE842" s="4" t="str">
        <f ca="1">VLOOKUP($AB842,OFFSET([3]characters!$A$1,0,0,COUNTA([3]characters!$A:$A),MATCH(AE$1,[3]characters!$1:$1,0)-MATCH("character_id",[3]characters!$1:$1,0)+1),MATCH(AE$1,[3]characters!$1:$1,0)-MATCH("character_id",[3]characters!$1:$1,0)+1,FALSE)</f>
        <v>Drop1N</v>
      </c>
      <c r="AF842" s="7">
        <v>7</v>
      </c>
      <c r="AG842" s="26">
        <f t="shared" ca="1" si="769"/>
        <v>2</v>
      </c>
      <c r="AH842" s="8">
        <v>20</v>
      </c>
      <c r="AI842" s="7">
        <v>0</v>
      </c>
      <c r="AJ842" s="7">
        <v>0</v>
      </c>
      <c r="AK842" s="7">
        <v>0</v>
      </c>
      <c r="AL842" s="7">
        <v>0</v>
      </c>
      <c r="AM842" s="7">
        <v>1</v>
      </c>
    </row>
    <row r="843" spans="1:39" ht="14" x14ac:dyDescent="0.15">
      <c r="A843" s="18" t="str">
        <f t="shared" ca="1" si="744"/>
        <v>26_4-4/57&lt;lv56&gt;s2</v>
      </c>
      <c r="B843" s="50">
        <v>26</v>
      </c>
      <c r="C843" s="49">
        <v>4</v>
      </c>
      <c r="D843" s="2" t="str">
        <f t="shared" si="758"/>
        <v>26_4</v>
      </c>
      <c r="E843" s="2" t="str">
        <f t="shared" si="758"/>
        <v>4_26_4</v>
      </c>
      <c r="F843" s="4" t="str">
        <f ca="1">VLOOKUP($D843,OFFSET([1]stages!$A$1,0,0,COUNTA([1]stages!$A:$A),MATCH(F$1,[1]stages!$2:$2,0)-MATCH($D$1,[1]stages!$2:$2,0)+1),MATCH(F$1,[1]stages!$2:$2,0)-MATCH($D$1,[1]stages!$2:$2,0)+1,FALSE)</f>
        <v>26-4．今夜はダークナイト</v>
      </c>
      <c r="G843" s="54">
        <v>4</v>
      </c>
      <c r="H843" s="17" t="str">
        <f t="shared" si="759"/>
        <v>26_4-4</v>
      </c>
      <c r="I843" s="17"/>
      <c r="J843" s="17"/>
      <c r="K843" s="65" t="s">
        <v>56</v>
      </c>
      <c r="L843" s="52">
        <v>57</v>
      </c>
      <c r="M843" s="21" t="str">
        <f ca="1">VLOOKUP($L843,OFFSET([2]enemies!$A$1,0,0,COUNTA([2]enemies!$A:$A),MATCH(M$1,[2]enemies!$1:$1,0)-MATCH($L$1,[2]enemies!$1:$1,0)+1),MATCH(M$1,[2]enemies!$1:$1,0)-MATCH($L$1,[2]enemies!$1:$1,0)+1,FALSE)</f>
        <v>チェン・リー</v>
      </c>
      <c r="N843" s="21" t="str">
        <f ca="1">VLOOKUP($L843,OFFSET([2]enemies!$A$1,0,0,COUNTA([2]enemies!$A:$A),MATCH(N$1,[2]enemies!$1:$1,0)-MATCH($L$1,[2]enemies!$1:$1,0)+1),MATCH(N$1,[2]enemies!$1:$1,0)-MATCH($L$1,[2]enemies!$1:$1,0)+1,FALSE)</f>
        <v>red</v>
      </c>
      <c r="O843" s="21" t="str">
        <f ca="1">VLOOKUP($L843,OFFSET([3]characters!$A$1,0,0,COUNTA([3]characters!$A:$A),MATCH(O$1,[3]characters!$1:$1,0)-MATCH($L$1,[3]characters!$1:$1,0)+1),MATCH(O$1,[3]characters!$1:$1,0)-MATCH($L$1,[3]characters!$1:$1,0)+1,FALSE)</f>
        <v>Drop1N</v>
      </c>
      <c r="P843" s="21" t="str">
        <f ca="1">VLOOKUP($L843,OFFSET([2]enemies!$A$1,0,0,COUNTA([2]enemies!$A:$A),MATCH(P$1,[2]enemies!$1:$1,0)-MATCH($L$1,[2]enemies!$1:$1,0)+1),MATCH(P$1,[2]enemies!$1:$1,0)-MATCH($L$1,[2]enemies!$1:$1,0)+1,FALSE)</f>
        <v>animal</v>
      </c>
      <c r="Q843" s="21">
        <f ca="1">VLOOKUP($L843,OFFSET([2]enemies!$A$1,0,0,COUNTA([2]enemies!$A:$A),MATCH(Q$1,[2]enemies!$1:$1,0)-MATCH($L$1,[2]enemies!$1:$1,0)+1),MATCH(Q$1,[2]enemies!$1:$1,0)-MATCH($L$1,[2]enemies!$1:$1,0)+1,FALSE)</f>
        <v>15</v>
      </c>
      <c r="R843" s="53">
        <v>56</v>
      </c>
      <c r="S843" s="27">
        <v>1</v>
      </c>
      <c r="T843" s="27">
        <v>1</v>
      </c>
      <c r="U843" s="5">
        <v>0</v>
      </c>
      <c r="V843" s="4" t="str">
        <f ca="1">VLOOKUP($W843,OFFSET([4]enemy_skill_sets!$B$1,0,0,COUNTA([4]enemy_skill_sets!$B:$B),MATCH(M$1,[4]enemy_skill_sets!$1:$1,0)-MATCH($W$1,[4]enemy_skill_sets!$1:$1,0)+2),MATCH(M$1,[4]enemy_skill_sets!$1:$1,0)-MATCH($W$1,[4]enemy_skill_sets!$1:$1,0)+2,FALSE)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843" s="4">
        <f ca="1">VLOOKUP($L843,OFFSET([2]enemies!$A$1,0,0,COUNTA([2]enemies!$A:$A),MATCH(W$1,[2]enemies!$1:$1,0)-MATCH($L$1,[2]enemies!$1:$1,0)+1),MATCH(W$1,[2]enemies!$1:$1,0)-MATCH($L$1,[2]enemies!$1:$1,0)+1,FALSE)</f>
        <v>57</v>
      </c>
      <c r="X843" s="6">
        <v>0</v>
      </c>
      <c r="Y843" s="6">
        <v>100</v>
      </c>
      <c r="Z843" s="6">
        <v>0</v>
      </c>
      <c r="AA843" s="4">
        <f ca="1">VLOOKUP($L843,OFFSET([2]enemies!$A$1,0,0,COUNTA([2]enemies!$A:$A),MATCH(AA$1,[2]enemies!$1:$1,0)-MATCH($L$1,[2]enemies!$1:$1,0)+1),MATCH(AA$1,[2]enemies!$1:$1,0)-MATCH($L$1,[2]enemies!$1:$1,0)+1,FALSE)</f>
        <v>2</v>
      </c>
      <c r="AB843" s="52">
        <v>57</v>
      </c>
      <c r="AC843" s="4" t="str">
        <f ca="1">VLOOKUP($AB843,OFFSET([3]characters!$A$1,0,0,COUNTA([3]characters!$A:$A),MATCH(AC$1,[3]characters!$1:$1,0)-MATCH("character_id",[3]characters!$1:$1,0)+1),MATCH(AC$1,[3]characters!$1:$1,0)-MATCH("character_id",[3]characters!$1:$1,0)+1,FALSE)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843" s="4">
        <f ca="1">VLOOKUP($AB843,OFFSET([3]characters!$A$1,0,0,COUNTA([3]characters!$A:$A),MATCH(AD$1,[3]characters!$1:$1,0)-MATCH("character_id",[3]characters!$1:$1,0)+1),MATCH(AD$1,[3]characters!$1:$1,0)-MATCH("character_id",[3]characters!$1:$1,0)+1,FALSE)</f>
        <v>2</v>
      </c>
      <c r="AE843" s="4" t="str">
        <f ca="1">VLOOKUP($AB843,OFFSET([3]characters!$A$1,0,0,COUNTA([3]characters!$A:$A),MATCH(AE$1,[3]characters!$1:$1,0)-MATCH("character_id",[3]characters!$1:$1,0)+1),MATCH(AE$1,[3]characters!$1:$1,0)-MATCH("character_id",[3]characters!$1:$1,0)+1,FALSE)</f>
        <v>Drop1N</v>
      </c>
      <c r="AF843" s="7">
        <v>7</v>
      </c>
      <c r="AG843" s="26">
        <f t="shared" ca="1" si="769"/>
        <v>2</v>
      </c>
      <c r="AH843" s="8">
        <v>20</v>
      </c>
      <c r="AI843" s="7">
        <v>0</v>
      </c>
      <c r="AJ843" s="7">
        <v>0</v>
      </c>
      <c r="AK843" s="7">
        <v>0</v>
      </c>
      <c r="AL843" s="7">
        <v>0</v>
      </c>
      <c r="AM843" s="7">
        <v>1</v>
      </c>
    </row>
    <row r="844" spans="1:39" ht="14" x14ac:dyDescent="0.15">
      <c r="A844" s="18" t="str">
        <f t="shared" ca="1" si="744"/>
        <v>26_4-4/59&lt;lv56&gt;s2</v>
      </c>
      <c r="B844" s="50">
        <v>26</v>
      </c>
      <c r="C844" s="49">
        <v>4</v>
      </c>
      <c r="D844" s="2" t="str">
        <f t="shared" si="758"/>
        <v>26_4</v>
      </c>
      <c r="E844" s="2" t="str">
        <f t="shared" si="758"/>
        <v>4_26_4</v>
      </c>
      <c r="F844" s="4" t="str">
        <f ca="1">VLOOKUP($D844,OFFSET([1]stages!$A$1,0,0,COUNTA([1]stages!$A:$A),MATCH(F$1,[1]stages!$2:$2,0)-MATCH($D$1,[1]stages!$2:$2,0)+1),MATCH(F$1,[1]stages!$2:$2,0)-MATCH($D$1,[1]stages!$2:$2,0)+1,FALSE)</f>
        <v>26-4．今夜はダークナイト</v>
      </c>
      <c r="G844" s="54">
        <v>4</v>
      </c>
      <c r="H844" s="17" t="str">
        <f t="shared" si="759"/>
        <v>26_4-4</v>
      </c>
      <c r="I844" s="17"/>
      <c r="J844" s="17"/>
      <c r="K844" s="65" t="s">
        <v>56</v>
      </c>
      <c r="L844" s="52">
        <v>59</v>
      </c>
      <c r="M844" s="21" t="str">
        <f ca="1">VLOOKUP($L844,OFFSET([2]enemies!$A$1,0,0,COUNTA([2]enemies!$A:$A),MATCH(M$1,[2]enemies!$1:$1,0)-MATCH($L$1,[2]enemies!$1:$1,0)+1),MATCH(M$1,[2]enemies!$1:$1,0)-MATCH($L$1,[2]enemies!$1:$1,0)+1,FALSE)</f>
        <v>マーチ</v>
      </c>
      <c r="N844" s="21" t="str">
        <f ca="1">VLOOKUP($L844,OFFSET([2]enemies!$A$1,0,0,COUNTA([2]enemies!$A:$A),MATCH(N$1,[2]enemies!$1:$1,0)-MATCH($L$1,[2]enemies!$1:$1,0)+1),MATCH(N$1,[2]enemies!$1:$1,0)-MATCH($L$1,[2]enemies!$1:$1,0)+1,FALSE)</f>
        <v>green</v>
      </c>
      <c r="O844" s="21" t="str">
        <f ca="1">VLOOKUP($L844,OFFSET([3]characters!$A$1,0,0,COUNTA([3]characters!$A:$A),MATCH(O$1,[3]characters!$1:$1,0)-MATCH($L$1,[3]characters!$1:$1,0)+1),MATCH(O$1,[3]characters!$1:$1,0)-MATCH($L$1,[3]characters!$1:$1,0)+1,FALSE)</f>
        <v>Drop1N</v>
      </c>
      <c r="P844" s="21" t="str">
        <f ca="1">VLOOKUP($L844,OFFSET([2]enemies!$A$1,0,0,COUNTA([2]enemies!$A:$A),MATCH(P$1,[2]enemies!$1:$1,0)-MATCH($L$1,[2]enemies!$1:$1,0)+1),MATCH(P$1,[2]enemies!$1:$1,0)-MATCH($L$1,[2]enemies!$1:$1,0)+1,FALSE)</f>
        <v>animal</v>
      </c>
      <c r="Q844" s="21">
        <f ca="1">VLOOKUP($L844,OFFSET([2]enemies!$A$1,0,0,COUNTA([2]enemies!$A:$A),MATCH(Q$1,[2]enemies!$1:$1,0)-MATCH($L$1,[2]enemies!$1:$1,0)+1),MATCH(Q$1,[2]enemies!$1:$1,0)-MATCH($L$1,[2]enemies!$1:$1,0)+1,FALSE)</f>
        <v>15</v>
      </c>
      <c r="R844" s="53">
        <v>56</v>
      </c>
      <c r="S844" s="27">
        <v>1</v>
      </c>
      <c r="T844" s="27">
        <v>1</v>
      </c>
      <c r="U844" s="5">
        <v>0</v>
      </c>
      <c r="V844" s="4" t="str">
        <f ca="1">VLOOKUP($W844,OFFSET([4]enemy_skill_sets!$B$1,0,0,COUNTA([4]enemy_skill_sets!$B:$B),MATCH(M$1,[4]enemy_skill_sets!$1:$1,0)-MATCH($W$1,[4]enemy_skill_sets!$1:$1,0)+2),MATCH(M$1,[4]enemy_skill_sets!$1:$1,0)-MATCH($W$1,[4]enemy_skill_sets!$1:$1,0)+2,FALSE)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44" s="4">
        <f ca="1">VLOOKUP($L844,OFFSET([2]enemies!$A$1,0,0,COUNTA([2]enemies!$A:$A),MATCH(W$1,[2]enemies!$1:$1,0)-MATCH($L$1,[2]enemies!$1:$1,0)+1),MATCH(W$1,[2]enemies!$1:$1,0)-MATCH($L$1,[2]enemies!$1:$1,0)+1,FALSE)</f>
        <v>59</v>
      </c>
      <c r="X844" s="6">
        <v>0</v>
      </c>
      <c r="Y844" s="6">
        <v>100</v>
      </c>
      <c r="Z844" s="6">
        <v>0</v>
      </c>
      <c r="AA844" s="4">
        <f ca="1">VLOOKUP($L844,OFFSET([2]enemies!$A$1,0,0,COUNTA([2]enemies!$A:$A),MATCH(AA$1,[2]enemies!$1:$1,0)-MATCH($L$1,[2]enemies!$1:$1,0)+1),MATCH(AA$1,[2]enemies!$1:$1,0)-MATCH($L$1,[2]enemies!$1:$1,0)+1,FALSE)</f>
        <v>2</v>
      </c>
      <c r="AB844" s="52">
        <v>59</v>
      </c>
      <c r="AC844" s="4" t="str">
        <f ca="1">VLOOKUP($AB844,OFFSET([3]characters!$A$1,0,0,COUNTA([3]characters!$A:$A),MATCH(AC$1,[3]characters!$1:$1,0)-MATCH("character_id",[3]characters!$1:$1,0)+1),MATCH(AC$1,[3]characters!$1:$1,0)-MATCH("character_id",[3]characters!$1:$1,0)+1,FALSE)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844" s="4">
        <f ca="1">VLOOKUP($AB844,OFFSET([3]characters!$A$1,0,0,COUNTA([3]characters!$A:$A),MATCH(AD$1,[3]characters!$1:$1,0)-MATCH("character_id",[3]characters!$1:$1,0)+1),MATCH(AD$1,[3]characters!$1:$1,0)-MATCH("character_id",[3]characters!$1:$1,0)+1,FALSE)</f>
        <v>2</v>
      </c>
      <c r="AE844" s="4" t="str">
        <f ca="1">VLOOKUP($AB844,OFFSET([3]characters!$A$1,0,0,COUNTA([3]characters!$A:$A),MATCH(AE$1,[3]characters!$1:$1,0)-MATCH("character_id",[3]characters!$1:$1,0)+1),MATCH(AE$1,[3]characters!$1:$1,0)-MATCH("character_id",[3]characters!$1:$1,0)+1,FALSE)</f>
        <v>Drop1N</v>
      </c>
      <c r="AF844" s="7">
        <v>7</v>
      </c>
      <c r="AG844" s="26">
        <f t="shared" ca="1" si="769"/>
        <v>2</v>
      </c>
      <c r="AH844" s="8">
        <v>20</v>
      </c>
      <c r="AI844" s="7">
        <v>0</v>
      </c>
      <c r="AJ844" s="7">
        <v>0</v>
      </c>
      <c r="AK844" s="7">
        <v>0</v>
      </c>
      <c r="AL844" s="7">
        <v>0</v>
      </c>
      <c r="AM844" s="7">
        <v>1</v>
      </c>
    </row>
    <row r="845" spans="1:39" ht="14" x14ac:dyDescent="0.15">
      <c r="A845" s="18" t="str">
        <f t="shared" ca="1" si="744"/>
        <v>26_4-4/61&lt;lv56&gt;s2</v>
      </c>
      <c r="B845" s="50">
        <v>26</v>
      </c>
      <c r="C845" s="49">
        <v>4</v>
      </c>
      <c r="D845" s="2" t="str">
        <f t="shared" si="758"/>
        <v>26_4</v>
      </c>
      <c r="E845" s="2" t="str">
        <f t="shared" si="758"/>
        <v>4_26_4</v>
      </c>
      <c r="F845" s="4" t="str">
        <f ca="1">VLOOKUP($D845,OFFSET([1]stages!$A$1,0,0,COUNTA([1]stages!$A:$A),MATCH(F$1,[1]stages!$2:$2,0)-MATCH($D$1,[1]stages!$2:$2,0)+1),MATCH(F$1,[1]stages!$2:$2,0)-MATCH($D$1,[1]stages!$2:$2,0)+1,FALSE)</f>
        <v>26-4．今夜はダークナイト</v>
      </c>
      <c r="G845" s="54">
        <v>4</v>
      </c>
      <c r="H845" s="17" t="str">
        <f t="shared" si="759"/>
        <v>26_4-4</v>
      </c>
      <c r="I845" s="17"/>
      <c r="J845" s="17"/>
      <c r="K845" s="65" t="s">
        <v>56</v>
      </c>
      <c r="L845" s="52">
        <v>61</v>
      </c>
      <c r="M845" s="21" t="str">
        <f ca="1">VLOOKUP($L845,OFFSET([2]enemies!$A$1,0,0,COUNTA([2]enemies!$A:$A),MATCH(M$1,[2]enemies!$1:$1,0)-MATCH($L$1,[2]enemies!$1:$1,0)+1),MATCH(M$1,[2]enemies!$1:$1,0)-MATCH($L$1,[2]enemies!$1:$1,0)+1,FALSE)</f>
        <v>クロウ</v>
      </c>
      <c r="N845" s="21" t="str">
        <f ca="1">VLOOKUP($L845,OFFSET([2]enemies!$A$1,0,0,COUNTA([2]enemies!$A:$A),MATCH(N$1,[2]enemies!$1:$1,0)-MATCH($L$1,[2]enemies!$1:$1,0)+1),MATCH(N$1,[2]enemies!$1:$1,0)-MATCH($L$1,[2]enemies!$1:$1,0)+1,FALSE)</f>
        <v>blue</v>
      </c>
      <c r="O845" s="21" t="str">
        <f ca="1">VLOOKUP($L845,OFFSET([3]characters!$A$1,0,0,COUNTA([3]characters!$A:$A),MATCH(O$1,[3]characters!$1:$1,0)-MATCH($L$1,[3]characters!$1:$1,0)+1),MATCH(O$1,[3]characters!$1:$1,0)-MATCH($L$1,[3]characters!$1:$1,0)+1,FALSE)</f>
        <v>Drop1N</v>
      </c>
      <c r="P845" s="21" t="str">
        <f ca="1">VLOOKUP($L845,OFFSET([2]enemies!$A$1,0,0,COUNTA([2]enemies!$A:$A),MATCH(P$1,[2]enemies!$1:$1,0)-MATCH($L$1,[2]enemies!$1:$1,0)+1),MATCH(P$1,[2]enemies!$1:$1,0)-MATCH($L$1,[2]enemies!$1:$1,0)+1,FALSE)</f>
        <v>animal</v>
      </c>
      <c r="Q845" s="21">
        <f ca="1">VLOOKUP($L845,OFFSET([2]enemies!$A$1,0,0,COUNTA([2]enemies!$A:$A),MATCH(Q$1,[2]enemies!$1:$1,0)-MATCH($L$1,[2]enemies!$1:$1,0)+1),MATCH(Q$1,[2]enemies!$1:$1,0)-MATCH($L$1,[2]enemies!$1:$1,0)+1,FALSE)</f>
        <v>15</v>
      </c>
      <c r="R845" s="53">
        <v>56</v>
      </c>
      <c r="S845" s="27">
        <v>1</v>
      </c>
      <c r="T845" s="27">
        <v>1</v>
      </c>
      <c r="U845" s="5">
        <v>0</v>
      </c>
      <c r="V845" s="4" t="str">
        <f ca="1">VLOOKUP($W845,OFFSET([4]enemy_skill_sets!$B$1,0,0,COUNTA([4]enemy_skill_sets!$B:$B),MATCH(M$1,[4]enemy_skill_sets!$1:$1,0)-MATCH($W$1,[4]enemy_skill_sets!$1:$1,0)+2),MATCH(M$1,[4]enemy_skill_sets!$1:$1,0)-MATCH($W$1,[4]enemy_skill_sets!$1:$1,0)+2,FALSE)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45" s="4">
        <f ca="1">VLOOKUP($L845,OFFSET([2]enemies!$A$1,0,0,COUNTA([2]enemies!$A:$A),MATCH(W$1,[2]enemies!$1:$1,0)-MATCH($L$1,[2]enemies!$1:$1,0)+1),MATCH(W$1,[2]enemies!$1:$1,0)-MATCH($L$1,[2]enemies!$1:$1,0)+1,FALSE)</f>
        <v>61</v>
      </c>
      <c r="X845" s="6">
        <v>0</v>
      </c>
      <c r="Y845" s="6">
        <v>100</v>
      </c>
      <c r="Z845" s="6">
        <v>0</v>
      </c>
      <c r="AA845" s="4">
        <f ca="1">VLOOKUP($L845,OFFSET([2]enemies!$A$1,0,0,COUNTA([2]enemies!$A:$A),MATCH(AA$1,[2]enemies!$1:$1,0)-MATCH($L$1,[2]enemies!$1:$1,0)+1),MATCH(AA$1,[2]enemies!$1:$1,0)-MATCH($L$1,[2]enemies!$1:$1,0)+1,FALSE)</f>
        <v>2</v>
      </c>
      <c r="AB845" s="52">
        <v>61</v>
      </c>
      <c r="AC845" s="4" t="str">
        <f ca="1">VLOOKUP($AB845,OFFSET([3]characters!$A$1,0,0,COUNTA([3]characters!$A:$A),MATCH(AC$1,[3]characters!$1:$1,0)-MATCH("character_id",[3]characters!$1:$1,0)+1),MATCH(AC$1,[3]characters!$1:$1,0)-MATCH("character_id",[3]characters!$1:$1,0)+1,FALSE)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845" s="4">
        <f ca="1">VLOOKUP($AB845,OFFSET([3]characters!$A$1,0,0,COUNTA([3]characters!$A:$A),MATCH(AD$1,[3]characters!$1:$1,0)-MATCH("character_id",[3]characters!$1:$1,0)+1),MATCH(AD$1,[3]characters!$1:$1,0)-MATCH("character_id",[3]characters!$1:$1,0)+1,FALSE)</f>
        <v>2</v>
      </c>
      <c r="AE845" s="4" t="str">
        <f ca="1">VLOOKUP($AB845,OFFSET([3]characters!$A$1,0,0,COUNTA([3]characters!$A:$A),MATCH(AE$1,[3]characters!$1:$1,0)-MATCH("character_id",[3]characters!$1:$1,0)+1),MATCH(AE$1,[3]characters!$1:$1,0)-MATCH("character_id",[3]characters!$1:$1,0)+1,FALSE)</f>
        <v>Drop1N</v>
      </c>
      <c r="AF845" s="7">
        <v>7</v>
      </c>
      <c r="AG845" s="26">
        <f t="shared" ca="1" si="769"/>
        <v>2</v>
      </c>
      <c r="AH845" s="8">
        <v>20</v>
      </c>
      <c r="AI845" s="7">
        <v>0</v>
      </c>
      <c r="AJ845" s="7">
        <v>0</v>
      </c>
      <c r="AK845" s="7">
        <v>0</v>
      </c>
      <c r="AL845" s="7">
        <v>0</v>
      </c>
      <c r="AM845" s="7">
        <v>1</v>
      </c>
    </row>
    <row r="846" spans="1:39" ht="14" x14ac:dyDescent="0.15">
      <c r="A846" s="18" t="str">
        <f t="shared" ca="1" si="744"/>
        <v>26_4-4/63&lt;lv56&gt;s2</v>
      </c>
      <c r="B846" s="50">
        <v>26</v>
      </c>
      <c r="C846" s="49">
        <v>4</v>
      </c>
      <c r="D846" s="2" t="str">
        <f t="shared" si="758"/>
        <v>26_4</v>
      </c>
      <c r="E846" s="2" t="str">
        <f t="shared" si="758"/>
        <v>4_26_4</v>
      </c>
      <c r="F846" s="4" t="str">
        <f ca="1">VLOOKUP($D846,OFFSET([1]stages!$A$1,0,0,COUNTA([1]stages!$A:$A),MATCH(F$1,[1]stages!$2:$2,0)-MATCH($D$1,[1]stages!$2:$2,0)+1),MATCH(F$1,[1]stages!$2:$2,0)-MATCH($D$1,[1]stages!$2:$2,0)+1,FALSE)</f>
        <v>26-4．今夜はダークナイト</v>
      </c>
      <c r="G846" s="54">
        <v>4</v>
      </c>
      <c r="H846" s="17" t="str">
        <f t="shared" si="759"/>
        <v>26_4-4</v>
      </c>
      <c r="I846" s="17"/>
      <c r="J846" s="17"/>
      <c r="K846" s="65" t="s">
        <v>56</v>
      </c>
      <c r="L846" s="52">
        <v>63</v>
      </c>
      <c r="M846" s="21" t="str">
        <f ca="1">VLOOKUP($L846,OFFSET([2]enemies!$A$1,0,0,COUNTA([2]enemies!$A:$A),MATCH(M$1,[2]enemies!$1:$1,0)-MATCH($L$1,[2]enemies!$1:$1,0)+1),MATCH(M$1,[2]enemies!$1:$1,0)-MATCH($L$1,[2]enemies!$1:$1,0)+1,FALSE)</f>
        <v>トニー</v>
      </c>
      <c r="N846" s="21" t="str">
        <f ca="1">VLOOKUP($L846,OFFSET([2]enemies!$A$1,0,0,COUNTA([2]enemies!$A:$A),MATCH(N$1,[2]enemies!$1:$1,0)-MATCH($L$1,[2]enemies!$1:$1,0)+1),MATCH(N$1,[2]enemies!$1:$1,0)-MATCH($L$1,[2]enemies!$1:$1,0)+1,FALSE)</f>
        <v>yellow</v>
      </c>
      <c r="O846" s="21" t="str">
        <f ca="1">VLOOKUP($L846,OFFSET([3]characters!$A$1,0,0,COUNTA([3]characters!$A:$A),MATCH(O$1,[3]characters!$1:$1,0)-MATCH($L$1,[3]characters!$1:$1,0)+1),MATCH(O$1,[3]characters!$1:$1,0)-MATCH($L$1,[3]characters!$1:$1,0)+1,FALSE)</f>
        <v>Drop1N</v>
      </c>
      <c r="P846" s="21" t="str">
        <f ca="1">VLOOKUP($L846,OFFSET([2]enemies!$A$1,0,0,COUNTA([2]enemies!$A:$A),MATCH(P$1,[2]enemies!$1:$1,0)-MATCH($L$1,[2]enemies!$1:$1,0)+1),MATCH(P$1,[2]enemies!$1:$1,0)-MATCH($L$1,[2]enemies!$1:$1,0)+1,FALSE)</f>
        <v>animal</v>
      </c>
      <c r="Q846" s="21">
        <f ca="1">VLOOKUP($L846,OFFSET([2]enemies!$A$1,0,0,COUNTA([2]enemies!$A:$A),MATCH(Q$1,[2]enemies!$1:$1,0)-MATCH($L$1,[2]enemies!$1:$1,0)+1),MATCH(Q$1,[2]enemies!$1:$1,0)-MATCH($L$1,[2]enemies!$1:$1,0)+1,FALSE)</f>
        <v>15</v>
      </c>
      <c r="R846" s="53">
        <v>56</v>
      </c>
      <c r="S846" s="27">
        <v>1</v>
      </c>
      <c r="T846" s="27">
        <v>1</v>
      </c>
      <c r="U846" s="5">
        <v>0</v>
      </c>
      <c r="V846" s="4" t="str">
        <f ca="1">VLOOKUP($W846,OFFSET([4]enemy_skill_sets!$B$1,0,0,COUNTA([4]enemy_skill_sets!$B:$B),MATCH(M$1,[4]enemy_skill_sets!$1:$1,0)-MATCH($W$1,[4]enemy_skill_sets!$1:$1,0)+2),MATCH(M$1,[4]enemy_skill_sets!$1:$1,0)-MATCH($W$1,[4]enemy_skill_sets!$1:$1,0)+2,FALSE)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846" s="4">
        <f ca="1">VLOOKUP($L846,OFFSET([2]enemies!$A$1,0,0,COUNTA([2]enemies!$A:$A),MATCH(W$1,[2]enemies!$1:$1,0)-MATCH($L$1,[2]enemies!$1:$1,0)+1),MATCH(W$1,[2]enemies!$1:$1,0)-MATCH($L$1,[2]enemies!$1:$1,0)+1,FALSE)</f>
        <v>63</v>
      </c>
      <c r="X846" s="6">
        <v>0</v>
      </c>
      <c r="Y846" s="6">
        <v>100</v>
      </c>
      <c r="Z846" s="6">
        <v>0</v>
      </c>
      <c r="AA846" s="4">
        <f ca="1">VLOOKUP($L846,OFFSET([2]enemies!$A$1,0,0,COUNTA([2]enemies!$A:$A),MATCH(AA$1,[2]enemies!$1:$1,0)-MATCH($L$1,[2]enemies!$1:$1,0)+1),MATCH(AA$1,[2]enemies!$1:$1,0)-MATCH($L$1,[2]enemies!$1:$1,0)+1,FALSE)</f>
        <v>2</v>
      </c>
      <c r="AB846" s="52">
        <v>63</v>
      </c>
      <c r="AC846" s="4" t="str">
        <f ca="1">VLOOKUP($AB846,OFFSET([3]characters!$A$1,0,0,COUNTA([3]characters!$A:$A),MATCH(AC$1,[3]characters!$1:$1,0)-MATCH("character_id",[3]characters!$1:$1,0)+1),MATCH(AC$1,[3]characters!$1:$1,0)-MATCH("character_id",[3]characters!$1:$1,0)+1,FALSE)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846" s="4">
        <f ca="1">VLOOKUP($AB846,OFFSET([3]characters!$A$1,0,0,COUNTA([3]characters!$A:$A),MATCH(AD$1,[3]characters!$1:$1,0)-MATCH("character_id",[3]characters!$1:$1,0)+1),MATCH(AD$1,[3]characters!$1:$1,0)-MATCH("character_id",[3]characters!$1:$1,0)+1,FALSE)</f>
        <v>2</v>
      </c>
      <c r="AE846" s="4" t="str">
        <f ca="1">VLOOKUP($AB846,OFFSET([3]characters!$A$1,0,0,COUNTA([3]characters!$A:$A),MATCH(AE$1,[3]characters!$1:$1,0)-MATCH("character_id",[3]characters!$1:$1,0)+1),MATCH(AE$1,[3]characters!$1:$1,0)-MATCH("character_id",[3]characters!$1:$1,0)+1,FALSE)</f>
        <v>Drop1N</v>
      </c>
      <c r="AF846" s="7">
        <v>7</v>
      </c>
      <c r="AG846" s="26">
        <f t="shared" ca="1" si="769"/>
        <v>2</v>
      </c>
      <c r="AH846" s="8">
        <v>20</v>
      </c>
      <c r="AI846" s="7">
        <v>0</v>
      </c>
      <c r="AJ846" s="7">
        <v>0</v>
      </c>
      <c r="AK846" s="7">
        <v>0</v>
      </c>
      <c r="AL846" s="7">
        <v>0</v>
      </c>
      <c r="AM846" s="7">
        <v>1</v>
      </c>
    </row>
    <row r="847" spans="1:39" ht="14" x14ac:dyDescent="0.15">
      <c r="A847" s="18" t="str">
        <f t="shared" ref="A847:A910" ca="1" si="770">B847&amp;"_"&amp;C847&amp;"-"&amp;G847&amp;"/"&amp;L847&amp;"&lt;lv"&amp;R847&amp;"&gt;s"&amp;AA847</f>
        <v>26_4-4/360&lt;lv56&gt;s3</v>
      </c>
      <c r="B847" s="53">
        <v>26</v>
      </c>
      <c r="C847" s="51">
        <v>4</v>
      </c>
      <c r="D847" s="2" t="str">
        <f t="shared" ref="D847:D850" si="771">B847&amp;"_"&amp;C847</f>
        <v>26_4</v>
      </c>
      <c r="E847" s="2" t="str">
        <f t="shared" ref="E847:E850" si="772">C847&amp;"_"&amp;D847</f>
        <v>4_26_4</v>
      </c>
      <c r="F847" s="4" t="str">
        <f ca="1">VLOOKUP($D847,OFFSET([1]stages!$A$1,0,0,COUNTA([1]stages!$A:$A),MATCH(F$1,[1]stages!$2:$2,0)-MATCH($D$1,[1]stages!$2:$2,0)+1),MATCH(F$1,[1]stages!$2:$2,0)-MATCH($D$1,[1]stages!$2:$2,0)+1,FALSE)</f>
        <v>26-4．今夜はダークナイト</v>
      </c>
      <c r="G847" s="54">
        <v>4</v>
      </c>
      <c r="H847" s="17" t="str">
        <f t="shared" ref="H847:H850" si="773">B847&amp;"_"&amp;C847&amp;"-"&amp;G847</f>
        <v>26_4-4</v>
      </c>
      <c r="I847" s="17"/>
      <c r="J847" s="17"/>
      <c r="K847" s="65" t="s">
        <v>56</v>
      </c>
      <c r="L847" s="52">
        <v>360</v>
      </c>
      <c r="M847" s="21" t="str">
        <f ca="1">VLOOKUP($L847,OFFSET([2]enemies!$A$1,0,0,COUNTA([2]enemies!$A:$A),MATCH(M$1,[2]enemies!$1:$1,0)-MATCH($L$1,[2]enemies!$1:$1,0)+1),MATCH(M$1,[2]enemies!$1:$1,0)-MATCH($L$1,[2]enemies!$1:$1,0)+1,FALSE)</f>
        <v>ガンテツ</v>
      </c>
      <c r="N847" s="21" t="str">
        <f ca="1">VLOOKUP($L847,OFFSET([2]enemies!$A$1,0,0,COUNTA([2]enemies!$A:$A),MATCH(N$1,[2]enemies!$1:$1,0)-MATCH($L$1,[2]enemies!$1:$1,0)+1),MATCH(N$1,[2]enemies!$1:$1,0)-MATCH($L$1,[2]enemies!$1:$1,0)+1,FALSE)</f>
        <v>red</v>
      </c>
      <c r="O847" s="21" t="str">
        <f ca="1">VLOOKUP($L847,OFFSET([3]characters!$A$1,0,0,COUNTA([3]characters!$A:$A),MATCH(O$1,[3]characters!$1:$1,0)-MATCH($L$1,[3]characters!$1:$1,0)+1),MATCH(O$1,[3]characters!$1:$1,0)-MATCH($L$1,[3]characters!$1:$1,0)+1,FALSE)</f>
        <v>Drop1S</v>
      </c>
      <c r="P847" s="21" t="str">
        <f ca="1">VLOOKUP($L847,OFFSET([2]enemies!$A$1,0,0,COUNTA([2]enemies!$A:$A),MATCH(P$1,[2]enemies!$1:$1,0)-MATCH($L$1,[2]enemies!$1:$1,0)+1),MATCH(P$1,[2]enemies!$1:$1,0)-MATCH($L$1,[2]enemies!$1:$1,0)+1,FALSE)</f>
        <v>animal</v>
      </c>
      <c r="Q847" s="21">
        <f ca="1">VLOOKUP($L847,OFFSET([2]enemies!$A$1,0,0,COUNTA([2]enemies!$A:$A),MATCH(Q$1,[2]enemies!$1:$1,0)-MATCH($L$1,[2]enemies!$1:$1,0)+1),MATCH(Q$1,[2]enemies!$1:$1,0)-MATCH($L$1,[2]enemies!$1:$1,0)+1,FALSE)</f>
        <v>15</v>
      </c>
      <c r="R847" s="53">
        <v>56</v>
      </c>
      <c r="S847" s="27">
        <v>1</v>
      </c>
      <c r="T847" s="27">
        <v>1</v>
      </c>
      <c r="U847" s="5">
        <v>0</v>
      </c>
      <c r="V847" s="4" t="str">
        <f ca="1">VLOOKUP($W847,OFFSET([4]enemy_skill_sets!$B$1,0,0,COUNTA([4]enemy_skill_sets!$B:$B),MATCH(M$1,[4]enemy_skill_sets!$1:$1,0)-MATCH($W$1,[4]enemy_skill_sets!$1:$1,0)+2),MATCH(M$1,[4]enemy_skill_sets!$1:$1,0)-MATCH($W$1,[4]enemy_skill_sets!$1:$1,0)+2,FALSE)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847" s="76">
        <v>360</v>
      </c>
      <c r="X847" s="6">
        <v>0</v>
      </c>
      <c r="Y847" s="6">
        <v>100</v>
      </c>
      <c r="Z847" s="6">
        <v>0</v>
      </c>
      <c r="AA847" s="4">
        <f ca="1">VLOOKUP($L847,OFFSET([2]enemies!$A$1,0,0,COUNTA([2]enemies!$A:$A),MATCH(AA$1,[2]enemies!$1:$1,0)-MATCH($L$1,[2]enemies!$1:$1,0)+1),MATCH(AA$1,[2]enemies!$1:$1,0)-MATCH($L$1,[2]enemies!$1:$1,0)+1,FALSE)</f>
        <v>3</v>
      </c>
      <c r="AB847" s="52">
        <v>360</v>
      </c>
      <c r="AC847" s="4" t="str">
        <f ca="1">VLOOKUP($AB847,OFFSET([3]characters!$A$1,0,0,COUNTA([3]characters!$A:$A),MATCH(AC$1,[3]characters!$1:$1,0)-MATCH("character_id",[3]characters!$1:$1,0)+1),MATCH(AC$1,[3]characters!$1:$1,0)-MATCH("character_id",[3]characters!$1:$1,0)+1,FALSE)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847" s="4">
        <f ca="1">VLOOKUP($AB847,OFFSET([3]characters!$A$1,0,0,COUNTA([3]characters!$A:$A),MATCH(AD$1,[3]characters!$1:$1,0)-MATCH("character_id",[3]characters!$1:$1,0)+1),MATCH(AD$1,[3]characters!$1:$1,0)-MATCH("character_id",[3]characters!$1:$1,0)+1,FALSE)</f>
        <v>2</v>
      </c>
      <c r="AE847" s="4" t="str">
        <f ca="1">VLOOKUP($AB847,OFFSET([3]characters!$A$1,0,0,COUNTA([3]characters!$A:$A),MATCH(AE$1,[3]characters!$1:$1,0)-MATCH("character_id",[3]characters!$1:$1,0)+1),MATCH(AE$1,[3]characters!$1:$1,0)-MATCH("character_id",[3]characters!$1:$1,0)+1,FALSE)</f>
        <v>Drop1S</v>
      </c>
      <c r="AF847" s="7">
        <v>7</v>
      </c>
      <c r="AG847" s="26">
        <f t="shared" ca="1" si="769"/>
        <v>2</v>
      </c>
      <c r="AH847" s="8">
        <v>20</v>
      </c>
      <c r="AI847" s="7">
        <v>0</v>
      </c>
      <c r="AJ847" s="7">
        <v>0</v>
      </c>
      <c r="AK847" s="7">
        <v>0</v>
      </c>
      <c r="AL847" s="7">
        <v>0</v>
      </c>
      <c r="AM847" s="7">
        <v>1</v>
      </c>
    </row>
    <row r="848" spans="1:39" ht="14" x14ac:dyDescent="0.15">
      <c r="A848" s="18" t="str">
        <f t="shared" ca="1" si="770"/>
        <v>26_4-4/362&lt;lv56&gt;s3</v>
      </c>
      <c r="B848" s="53">
        <v>26</v>
      </c>
      <c r="C848" s="51">
        <v>4</v>
      </c>
      <c r="D848" s="2" t="str">
        <f t="shared" si="771"/>
        <v>26_4</v>
      </c>
      <c r="E848" s="2" t="str">
        <f t="shared" si="772"/>
        <v>4_26_4</v>
      </c>
      <c r="F848" s="4" t="str">
        <f ca="1">VLOOKUP($D848,OFFSET([1]stages!$A$1,0,0,COUNTA([1]stages!$A:$A),MATCH(F$1,[1]stages!$2:$2,0)-MATCH($D$1,[1]stages!$2:$2,0)+1),MATCH(F$1,[1]stages!$2:$2,0)-MATCH($D$1,[1]stages!$2:$2,0)+1,FALSE)</f>
        <v>26-4．今夜はダークナイト</v>
      </c>
      <c r="G848" s="54">
        <v>4</v>
      </c>
      <c r="H848" s="17" t="str">
        <f t="shared" si="773"/>
        <v>26_4-4</v>
      </c>
      <c r="I848" s="17"/>
      <c r="J848" s="17"/>
      <c r="K848" s="65" t="s">
        <v>56</v>
      </c>
      <c r="L848" s="52">
        <v>362</v>
      </c>
      <c r="M848" s="21" t="str">
        <f ca="1">VLOOKUP($L848,OFFSET([2]enemies!$A$1,0,0,COUNTA([2]enemies!$A:$A),MATCH(M$1,[2]enemies!$1:$1,0)-MATCH($L$1,[2]enemies!$1:$1,0)+1),MATCH(M$1,[2]enemies!$1:$1,0)-MATCH($L$1,[2]enemies!$1:$1,0)+1,FALSE)</f>
        <v>ゆらら</v>
      </c>
      <c r="N848" s="21" t="str">
        <f ca="1">VLOOKUP($L848,OFFSET([2]enemies!$A$1,0,0,COUNTA([2]enemies!$A:$A),MATCH(N$1,[2]enemies!$1:$1,0)-MATCH($L$1,[2]enemies!$1:$1,0)+1),MATCH(N$1,[2]enemies!$1:$1,0)-MATCH($L$1,[2]enemies!$1:$1,0)+1,FALSE)</f>
        <v>green</v>
      </c>
      <c r="O848" s="21" t="str">
        <f ca="1">VLOOKUP($L848,OFFSET([3]characters!$A$1,0,0,COUNTA([3]characters!$A:$A),MATCH(O$1,[3]characters!$1:$1,0)-MATCH($L$1,[3]characters!$1:$1,0)+1),MATCH(O$1,[3]characters!$1:$1,0)-MATCH($L$1,[3]characters!$1:$1,0)+1,FALSE)</f>
        <v>Drop1S</v>
      </c>
      <c r="P848" s="21" t="str">
        <f ca="1">VLOOKUP($L848,OFFSET([2]enemies!$A$1,0,0,COUNTA([2]enemies!$A:$A),MATCH(P$1,[2]enemies!$1:$1,0)-MATCH($L$1,[2]enemies!$1:$1,0)+1),MATCH(P$1,[2]enemies!$1:$1,0)-MATCH($L$1,[2]enemies!$1:$1,0)+1,FALSE)</f>
        <v>animal</v>
      </c>
      <c r="Q848" s="21">
        <f ca="1">VLOOKUP($L848,OFFSET([2]enemies!$A$1,0,0,COUNTA([2]enemies!$A:$A),MATCH(Q$1,[2]enemies!$1:$1,0)-MATCH($L$1,[2]enemies!$1:$1,0)+1),MATCH(Q$1,[2]enemies!$1:$1,0)-MATCH($L$1,[2]enemies!$1:$1,0)+1,FALSE)</f>
        <v>15</v>
      </c>
      <c r="R848" s="53">
        <v>56</v>
      </c>
      <c r="S848" s="27">
        <v>1</v>
      </c>
      <c r="T848" s="27">
        <v>1</v>
      </c>
      <c r="U848" s="5">
        <v>0</v>
      </c>
      <c r="V848" s="4" t="str">
        <f ca="1">VLOOKUP($W848,OFFSET([4]enemy_skill_sets!$B$1,0,0,COUNTA([4]enemy_skill_sets!$B:$B),MATCH(M$1,[4]enemy_skill_sets!$1:$1,0)-MATCH($W$1,[4]enemy_skill_sets!$1:$1,0)+2),MATCH(M$1,[4]enemy_skill_sets!$1:$1,0)-MATCH($W$1,[4]enemy_skill_sets!$1:$1,0)+2,FALSE)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848" s="64">
        <v>362</v>
      </c>
      <c r="X848" s="6">
        <v>0</v>
      </c>
      <c r="Y848" s="6">
        <v>100</v>
      </c>
      <c r="Z848" s="6">
        <v>0</v>
      </c>
      <c r="AA848" s="4">
        <f ca="1">VLOOKUP($L848,OFFSET([2]enemies!$A$1,0,0,COUNTA([2]enemies!$A:$A),MATCH(AA$1,[2]enemies!$1:$1,0)-MATCH($L$1,[2]enemies!$1:$1,0)+1),MATCH(AA$1,[2]enemies!$1:$1,0)-MATCH($L$1,[2]enemies!$1:$1,0)+1,FALSE)</f>
        <v>3</v>
      </c>
      <c r="AB848" s="52">
        <v>362</v>
      </c>
      <c r="AC848" s="4" t="str">
        <f ca="1">VLOOKUP($AB848,OFFSET([3]characters!$A$1,0,0,COUNTA([3]characters!$A:$A),MATCH(AC$1,[3]characters!$1:$1,0)-MATCH("character_id",[3]characters!$1:$1,0)+1),MATCH(AC$1,[3]characters!$1:$1,0)-MATCH("character_id",[3]characters!$1:$1,0)+1,FALSE)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848" s="4">
        <f ca="1">VLOOKUP($AB848,OFFSET([3]characters!$A$1,0,0,COUNTA([3]characters!$A:$A),MATCH(AD$1,[3]characters!$1:$1,0)-MATCH("character_id",[3]characters!$1:$1,0)+1),MATCH(AD$1,[3]characters!$1:$1,0)-MATCH("character_id",[3]characters!$1:$1,0)+1,FALSE)</f>
        <v>2</v>
      </c>
      <c r="AE848" s="4" t="str">
        <f ca="1">VLOOKUP($AB848,OFFSET([3]characters!$A$1,0,0,COUNTA([3]characters!$A:$A),MATCH(AE$1,[3]characters!$1:$1,0)-MATCH("character_id",[3]characters!$1:$1,0)+1),MATCH(AE$1,[3]characters!$1:$1,0)-MATCH("character_id",[3]characters!$1:$1,0)+1,FALSE)</f>
        <v>Drop1S</v>
      </c>
      <c r="AF848" s="7">
        <v>7</v>
      </c>
      <c r="AG848" s="26">
        <f t="shared" ca="1" si="769"/>
        <v>2</v>
      </c>
      <c r="AH848" s="8">
        <v>20</v>
      </c>
      <c r="AI848" s="7">
        <v>0</v>
      </c>
      <c r="AJ848" s="7">
        <v>0</v>
      </c>
      <c r="AK848" s="7">
        <v>0</v>
      </c>
      <c r="AL848" s="7">
        <v>0</v>
      </c>
      <c r="AM848" s="7">
        <v>1</v>
      </c>
    </row>
    <row r="849" spans="1:39" ht="14" x14ac:dyDescent="0.15">
      <c r="A849" s="18" t="str">
        <f t="shared" ca="1" si="770"/>
        <v>26_4-4/364&lt;lv56&gt;s3</v>
      </c>
      <c r="B849" s="53">
        <v>26</v>
      </c>
      <c r="C849" s="51">
        <v>4</v>
      </c>
      <c r="D849" s="2" t="str">
        <f t="shared" si="771"/>
        <v>26_4</v>
      </c>
      <c r="E849" s="2" t="str">
        <f t="shared" si="772"/>
        <v>4_26_4</v>
      </c>
      <c r="F849" s="4" t="str">
        <f ca="1">VLOOKUP($D849,OFFSET([1]stages!$A$1,0,0,COUNTA([1]stages!$A:$A),MATCH(F$1,[1]stages!$2:$2,0)-MATCH($D$1,[1]stages!$2:$2,0)+1),MATCH(F$1,[1]stages!$2:$2,0)-MATCH($D$1,[1]stages!$2:$2,0)+1,FALSE)</f>
        <v>26-4．今夜はダークナイト</v>
      </c>
      <c r="G849" s="54">
        <v>4</v>
      </c>
      <c r="H849" s="17" t="str">
        <f t="shared" si="773"/>
        <v>26_4-4</v>
      </c>
      <c r="I849" s="17"/>
      <c r="J849" s="17"/>
      <c r="K849" s="65" t="s">
        <v>56</v>
      </c>
      <c r="L849" s="52">
        <v>364</v>
      </c>
      <c r="M849" s="21" t="str">
        <f ca="1">VLOOKUP($L849,OFFSET([2]enemies!$A$1,0,0,COUNTA([2]enemies!$A:$A),MATCH(M$1,[2]enemies!$1:$1,0)-MATCH($L$1,[2]enemies!$1:$1,0)+1),MATCH(M$1,[2]enemies!$1:$1,0)-MATCH($L$1,[2]enemies!$1:$1,0)+1,FALSE)</f>
        <v>ノエル</v>
      </c>
      <c r="N849" s="21" t="str">
        <f ca="1">VLOOKUP($L849,OFFSET([2]enemies!$A$1,0,0,COUNTA([2]enemies!$A:$A),MATCH(N$1,[2]enemies!$1:$1,0)-MATCH($L$1,[2]enemies!$1:$1,0)+1),MATCH(N$1,[2]enemies!$1:$1,0)-MATCH($L$1,[2]enemies!$1:$1,0)+1,FALSE)</f>
        <v>blue</v>
      </c>
      <c r="O849" s="21" t="str">
        <f ca="1">VLOOKUP($L849,OFFSET([3]characters!$A$1,0,0,COUNTA([3]characters!$A:$A),MATCH(O$1,[3]characters!$1:$1,0)-MATCH($L$1,[3]characters!$1:$1,0)+1),MATCH(O$1,[3]characters!$1:$1,0)-MATCH($L$1,[3]characters!$1:$1,0)+1,FALSE)</f>
        <v>Drop1S</v>
      </c>
      <c r="P849" s="21" t="str">
        <f ca="1">VLOOKUP($L849,OFFSET([2]enemies!$A$1,0,0,COUNTA([2]enemies!$A:$A),MATCH(P$1,[2]enemies!$1:$1,0)-MATCH($L$1,[2]enemies!$1:$1,0)+1),MATCH(P$1,[2]enemies!$1:$1,0)-MATCH($L$1,[2]enemies!$1:$1,0)+1,FALSE)</f>
        <v>animal</v>
      </c>
      <c r="Q849" s="21">
        <f ca="1">VLOOKUP($L849,OFFSET([2]enemies!$A$1,0,0,COUNTA([2]enemies!$A:$A),MATCH(Q$1,[2]enemies!$1:$1,0)-MATCH($L$1,[2]enemies!$1:$1,0)+1),MATCH(Q$1,[2]enemies!$1:$1,0)-MATCH($L$1,[2]enemies!$1:$1,0)+1,FALSE)</f>
        <v>15</v>
      </c>
      <c r="R849" s="53">
        <v>56</v>
      </c>
      <c r="S849" s="27">
        <v>1</v>
      </c>
      <c r="T849" s="27">
        <v>1</v>
      </c>
      <c r="U849" s="5">
        <v>0</v>
      </c>
      <c r="V849" s="4" t="str">
        <f ca="1">VLOOKUP($W849,OFFSET([4]enemy_skill_sets!$B$1,0,0,COUNTA([4]enemy_skill_sets!$B:$B),MATCH(M$1,[4]enemy_skill_sets!$1:$1,0)-MATCH($W$1,[4]enemy_skill_sets!$1:$1,0)+2),MATCH(M$1,[4]enemy_skill_sets!$1:$1,0)-MATCH($W$1,[4]enemy_skill_sets!$1:$1,0)+2,FALSE)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849" s="64">
        <v>364</v>
      </c>
      <c r="X849" s="6">
        <v>0</v>
      </c>
      <c r="Y849" s="6">
        <v>100</v>
      </c>
      <c r="Z849" s="6">
        <v>0</v>
      </c>
      <c r="AA849" s="4">
        <f ca="1">VLOOKUP($L849,OFFSET([2]enemies!$A$1,0,0,COUNTA([2]enemies!$A:$A),MATCH(AA$1,[2]enemies!$1:$1,0)-MATCH($L$1,[2]enemies!$1:$1,0)+1),MATCH(AA$1,[2]enemies!$1:$1,0)-MATCH($L$1,[2]enemies!$1:$1,0)+1,FALSE)</f>
        <v>3</v>
      </c>
      <c r="AB849" s="52">
        <v>364</v>
      </c>
      <c r="AC849" s="4" t="str">
        <f ca="1">VLOOKUP($AB849,OFFSET([3]characters!$A$1,0,0,COUNTA([3]characters!$A:$A),MATCH(AC$1,[3]characters!$1:$1,0)-MATCH("character_id",[3]characters!$1:$1,0)+1),MATCH(AC$1,[3]characters!$1:$1,0)-MATCH("character_id",[3]characters!$1:$1,0)+1,FALSE)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849" s="4">
        <f ca="1">VLOOKUP($AB849,OFFSET([3]characters!$A$1,0,0,COUNTA([3]characters!$A:$A),MATCH(AD$1,[3]characters!$1:$1,0)-MATCH("character_id",[3]characters!$1:$1,0)+1),MATCH(AD$1,[3]characters!$1:$1,0)-MATCH("character_id",[3]characters!$1:$1,0)+1,FALSE)</f>
        <v>2</v>
      </c>
      <c r="AE849" s="4" t="str">
        <f ca="1">VLOOKUP($AB849,OFFSET([3]characters!$A$1,0,0,COUNTA([3]characters!$A:$A),MATCH(AE$1,[3]characters!$1:$1,0)-MATCH("character_id",[3]characters!$1:$1,0)+1),MATCH(AE$1,[3]characters!$1:$1,0)-MATCH("character_id",[3]characters!$1:$1,0)+1,FALSE)</f>
        <v>Drop1S</v>
      </c>
      <c r="AF849" s="7">
        <v>7</v>
      </c>
      <c r="AG849" s="26">
        <f t="shared" ca="1" si="769"/>
        <v>2</v>
      </c>
      <c r="AH849" s="8">
        <v>20</v>
      </c>
      <c r="AI849" s="7">
        <v>0</v>
      </c>
      <c r="AJ849" s="7">
        <v>0</v>
      </c>
      <c r="AK849" s="7">
        <v>0</v>
      </c>
      <c r="AL849" s="7">
        <v>0</v>
      </c>
      <c r="AM849" s="7">
        <v>1</v>
      </c>
    </row>
    <row r="850" spans="1:39" ht="14" x14ac:dyDescent="0.15">
      <c r="A850" s="18" t="str">
        <f t="shared" ca="1" si="770"/>
        <v>26_4-4/366&lt;lv56&gt;s3</v>
      </c>
      <c r="B850" s="53">
        <v>26</v>
      </c>
      <c r="C850" s="51">
        <v>4</v>
      </c>
      <c r="D850" s="2" t="str">
        <f t="shared" si="771"/>
        <v>26_4</v>
      </c>
      <c r="E850" s="2" t="str">
        <f t="shared" si="772"/>
        <v>4_26_4</v>
      </c>
      <c r="F850" s="4" t="str">
        <f ca="1">VLOOKUP($D850,OFFSET([1]stages!$A$1,0,0,COUNTA([1]stages!$A:$A),MATCH(F$1,[1]stages!$2:$2,0)-MATCH($D$1,[1]stages!$2:$2,0)+1),MATCH(F$1,[1]stages!$2:$2,0)-MATCH($D$1,[1]stages!$2:$2,0)+1,FALSE)</f>
        <v>26-4．今夜はダークナイト</v>
      </c>
      <c r="G850" s="54">
        <v>4</v>
      </c>
      <c r="H850" s="17" t="str">
        <f t="shared" si="773"/>
        <v>26_4-4</v>
      </c>
      <c r="I850" s="17"/>
      <c r="J850" s="17"/>
      <c r="K850" s="65" t="s">
        <v>56</v>
      </c>
      <c r="L850" s="52">
        <v>366</v>
      </c>
      <c r="M850" s="21" t="str">
        <f ca="1">VLOOKUP($L850,OFFSET([2]enemies!$A$1,0,0,COUNTA([2]enemies!$A:$A),MATCH(M$1,[2]enemies!$1:$1,0)-MATCH($L$1,[2]enemies!$1:$1,0)+1),MATCH(M$1,[2]enemies!$1:$1,0)-MATCH($L$1,[2]enemies!$1:$1,0)+1,FALSE)</f>
        <v>トト</v>
      </c>
      <c r="N850" s="21" t="str">
        <f ca="1">VLOOKUP($L850,OFFSET([2]enemies!$A$1,0,0,COUNTA([2]enemies!$A:$A),MATCH(N$1,[2]enemies!$1:$1,0)-MATCH($L$1,[2]enemies!$1:$1,0)+1),MATCH(N$1,[2]enemies!$1:$1,0)-MATCH($L$1,[2]enemies!$1:$1,0)+1,FALSE)</f>
        <v>yellow</v>
      </c>
      <c r="O850" s="21" t="str">
        <f ca="1">VLOOKUP($L850,OFFSET([3]characters!$A$1,0,0,COUNTA([3]characters!$A:$A),MATCH(O$1,[3]characters!$1:$1,0)-MATCH($L$1,[3]characters!$1:$1,0)+1),MATCH(O$1,[3]characters!$1:$1,0)-MATCH($L$1,[3]characters!$1:$1,0)+1,FALSE)</f>
        <v>Drop1S</v>
      </c>
      <c r="P850" s="21" t="str">
        <f ca="1">VLOOKUP($L850,OFFSET([2]enemies!$A$1,0,0,COUNTA([2]enemies!$A:$A),MATCH(P$1,[2]enemies!$1:$1,0)-MATCH($L$1,[2]enemies!$1:$1,0)+1),MATCH(P$1,[2]enemies!$1:$1,0)-MATCH($L$1,[2]enemies!$1:$1,0)+1,FALSE)</f>
        <v>animal</v>
      </c>
      <c r="Q850" s="21">
        <f ca="1">VLOOKUP($L850,OFFSET([2]enemies!$A$1,0,0,COUNTA([2]enemies!$A:$A),MATCH(Q$1,[2]enemies!$1:$1,0)-MATCH($L$1,[2]enemies!$1:$1,0)+1),MATCH(Q$1,[2]enemies!$1:$1,0)-MATCH($L$1,[2]enemies!$1:$1,0)+1,FALSE)</f>
        <v>15</v>
      </c>
      <c r="R850" s="53">
        <v>56</v>
      </c>
      <c r="S850" s="27">
        <v>1</v>
      </c>
      <c r="T850" s="27">
        <v>1</v>
      </c>
      <c r="U850" s="5">
        <v>0</v>
      </c>
      <c r="V850" s="4" t="str">
        <f ca="1">VLOOKUP($W850,OFFSET([4]enemy_skill_sets!$B$1,0,0,COUNTA([4]enemy_skill_sets!$B:$B),MATCH(M$1,[4]enemy_skill_sets!$1:$1,0)-MATCH($W$1,[4]enemy_skill_sets!$1:$1,0)+2),MATCH(M$1,[4]enemy_skill_sets!$1:$1,0)-MATCH($W$1,[4]enemy_skill_sets!$1:$1,0)+2,FALSE)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850" s="64">
        <v>366</v>
      </c>
      <c r="X850" s="6">
        <v>0</v>
      </c>
      <c r="Y850" s="6">
        <v>100</v>
      </c>
      <c r="Z850" s="6">
        <v>0</v>
      </c>
      <c r="AA850" s="4">
        <f ca="1">VLOOKUP($L850,OFFSET([2]enemies!$A$1,0,0,COUNTA([2]enemies!$A:$A),MATCH(AA$1,[2]enemies!$1:$1,0)-MATCH($L$1,[2]enemies!$1:$1,0)+1),MATCH(AA$1,[2]enemies!$1:$1,0)-MATCH($L$1,[2]enemies!$1:$1,0)+1,FALSE)</f>
        <v>3</v>
      </c>
      <c r="AB850" s="52">
        <v>366</v>
      </c>
      <c r="AC850" s="4" t="str">
        <f ca="1">VLOOKUP($AB850,OFFSET([3]characters!$A$1,0,0,COUNTA([3]characters!$A:$A),MATCH(AC$1,[3]characters!$1:$1,0)-MATCH("character_id",[3]characters!$1:$1,0)+1),MATCH(AC$1,[3]characters!$1:$1,0)-MATCH("character_id",[3]characters!$1:$1,0)+1,FALSE)</f>
        <v>トト</v>
      </c>
      <c r="AD850" s="4">
        <f ca="1">VLOOKUP($AB850,OFFSET([3]characters!$A$1,0,0,COUNTA([3]characters!$A:$A),MATCH(AD$1,[3]characters!$1:$1,0)-MATCH("character_id",[3]characters!$1:$1,0)+1),MATCH(AD$1,[3]characters!$1:$1,0)-MATCH("character_id",[3]characters!$1:$1,0)+1,FALSE)</f>
        <v>2</v>
      </c>
      <c r="AE850" s="4" t="str">
        <f ca="1">VLOOKUP($AB850,OFFSET([3]characters!$A$1,0,0,COUNTA([3]characters!$A:$A),MATCH(AE$1,[3]characters!$1:$1,0)-MATCH("character_id",[3]characters!$1:$1,0)+1),MATCH(AE$1,[3]characters!$1:$1,0)-MATCH("character_id",[3]characters!$1:$1,0)+1,FALSE)</f>
        <v>Drop1S</v>
      </c>
      <c r="AF850" s="7">
        <v>7</v>
      </c>
      <c r="AG850" s="26">
        <f t="shared" ca="1" si="769"/>
        <v>2</v>
      </c>
      <c r="AH850" s="8">
        <v>20</v>
      </c>
      <c r="AI850" s="7">
        <v>0</v>
      </c>
      <c r="AJ850" s="7">
        <v>0</v>
      </c>
      <c r="AK850" s="7">
        <v>0</v>
      </c>
      <c r="AL850" s="7">
        <v>0</v>
      </c>
      <c r="AM850" s="7">
        <v>1</v>
      </c>
    </row>
    <row r="851" spans="1:39" ht="14" x14ac:dyDescent="0.15">
      <c r="A851" s="18" t="str">
        <f t="shared" ca="1" si="770"/>
        <v>26_4-4/348&lt;lv56&gt;s3</v>
      </c>
      <c r="B851" s="53">
        <v>26</v>
      </c>
      <c r="C851" s="51">
        <v>4</v>
      </c>
      <c r="D851" s="2" t="str">
        <f t="shared" ref="D851:D852" si="774">B851&amp;"_"&amp;C851</f>
        <v>26_4</v>
      </c>
      <c r="E851" s="2" t="str">
        <f t="shared" ref="E851:E852" si="775">C851&amp;"_"&amp;D851</f>
        <v>4_26_4</v>
      </c>
      <c r="F851" s="4" t="str">
        <f ca="1">VLOOKUP($D851,OFFSET([1]stages!$A$1,0,0,COUNTA([1]stages!$A:$A),MATCH(F$1,[1]stages!$2:$2,0)-MATCH($D$1,[1]stages!$2:$2,0)+1),MATCH(F$1,[1]stages!$2:$2,0)-MATCH($D$1,[1]stages!$2:$2,0)+1,FALSE)</f>
        <v>26-4．今夜はダークナイト</v>
      </c>
      <c r="G851" s="54">
        <v>4</v>
      </c>
      <c r="H851" s="17" t="str">
        <f t="shared" ref="H851:H852" si="776">B851&amp;"_"&amp;C851&amp;"-"&amp;G851</f>
        <v>26_4-4</v>
      </c>
      <c r="I851" s="17"/>
      <c r="J851" s="17"/>
      <c r="K851" s="65" t="s">
        <v>56</v>
      </c>
      <c r="L851" s="52">
        <v>348</v>
      </c>
      <c r="M851" s="21" t="str">
        <f ca="1">VLOOKUP($L851,OFFSET([2]enemies!$A$1,0,0,COUNTA([2]enemies!$A:$A),MATCH(M$1,[2]enemies!$1:$1,0)-MATCH($L$1,[2]enemies!$1:$1,0)+1),MATCH(M$1,[2]enemies!$1:$1,0)-MATCH($L$1,[2]enemies!$1:$1,0)+1,FALSE)</f>
        <v>炎のケロケロ</v>
      </c>
      <c r="N851" s="21" t="str">
        <f ca="1">VLOOKUP($L851,OFFSET([2]enemies!$A$1,0,0,COUNTA([2]enemies!$A:$A),MATCH(N$1,[2]enemies!$1:$1,0)-MATCH($L$1,[2]enemies!$1:$1,0)+1),MATCH(N$1,[2]enemies!$1:$1,0)-MATCH($L$1,[2]enemies!$1:$1,0)+1,FALSE)</f>
        <v>red</v>
      </c>
      <c r="O851" s="21" t="str">
        <f ca="1">VLOOKUP($L851,OFFSET([3]characters!$A$1,0,0,COUNTA([3]characters!$A:$A),MATCH(O$1,[3]characters!$1:$1,0)-MATCH($L$1,[3]characters!$1:$1,0)+1),MATCH(O$1,[3]characters!$1:$1,0)-MATCH($L$1,[3]characters!$1:$1,0)+1,FALSE)</f>
        <v>Material</v>
      </c>
      <c r="P851" s="21" t="str">
        <f ca="1">VLOOKUP($L851,OFFSET([2]enemies!$A$1,0,0,COUNTA([2]enemies!$A:$A),MATCH(P$1,[2]enemies!$1:$1,0)-MATCH($L$1,[2]enemies!$1:$1,0)+1),MATCH(P$1,[2]enemies!$1:$1,0)-MATCH($L$1,[2]enemies!$1:$1,0)+1,FALSE)</f>
        <v>unknown</v>
      </c>
      <c r="Q851" s="21">
        <f ca="1">VLOOKUP($L851,OFFSET([2]enemies!$A$1,0,0,COUNTA([2]enemies!$A:$A),MATCH(Q$1,[2]enemies!$1:$1,0)-MATCH($L$1,[2]enemies!$1:$1,0)+1),MATCH(Q$1,[2]enemies!$1:$1,0)-MATCH($L$1,[2]enemies!$1:$1,0)+1,FALSE)</f>
        <v>15</v>
      </c>
      <c r="R851" s="53">
        <v>56</v>
      </c>
      <c r="S851" s="27">
        <v>1</v>
      </c>
      <c r="T851" s="27">
        <v>1</v>
      </c>
      <c r="U851" s="5">
        <v>0</v>
      </c>
      <c r="V851" s="4" t="str">
        <f ca="1">VLOOKUP($W851,OFFSET([4]enemy_skill_sets!$B$1,0,0,COUNTA([4]enemy_skill_sets!$B:$B),MATCH(M$1,[4]enemy_skill_sets!$1:$1,0)-MATCH($W$1,[4]enemy_skill_sets!$1:$1,0)+2),MATCH(M$1,[4]enemy_skill_sets!$1:$1,0)-MATCH($W$1,[4]enemy_skill_sets!$1:$1,0)+2,FALSE)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851" s="64">
        <v>348</v>
      </c>
      <c r="X851" s="6">
        <v>0</v>
      </c>
      <c r="Y851" s="6">
        <v>100</v>
      </c>
      <c r="Z851" s="6">
        <v>0</v>
      </c>
      <c r="AA851" s="4">
        <f ca="1">VLOOKUP($L851,OFFSET([2]enemies!$A$1,0,0,COUNTA([2]enemies!$A:$A),MATCH(AA$1,[2]enemies!$1:$1,0)-MATCH($L$1,[2]enemies!$1:$1,0)+1),MATCH(AA$1,[2]enemies!$1:$1,0)-MATCH($L$1,[2]enemies!$1:$1,0)+1,FALSE)</f>
        <v>3</v>
      </c>
      <c r="AB851" s="52">
        <v>348</v>
      </c>
      <c r="AC851" s="4" t="str">
        <f ca="1">VLOOKUP($AB851,OFFSET([3]characters!$A$1,0,0,COUNTA([3]characters!$A:$A),MATCH(AC$1,[3]characters!$1:$1,0)-MATCH("character_id",[3]characters!$1:$1,0)+1),MATCH(AC$1,[3]characters!$1:$1,0)-MATCH("character_id",[3]characters!$1:$1,0)+1,FALSE)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851" s="4">
        <f ca="1">VLOOKUP($AB851,OFFSET([3]characters!$A$1,0,0,COUNTA([3]characters!$A:$A),MATCH(AD$1,[3]characters!$1:$1,0)-MATCH("character_id",[3]characters!$1:$1,0)+1),MATCH(AD$1,[3]characters!$1:$1,0)-MATCH("character_id",[3]characters!$1:$1,0)+1,FALSE)</f>
        <v>2</v>
      </c>
      <c r="AE851" s="4" t="str">
        <f ca="1">VLOOKUP($AB851,OFFSET([3]characters!$A$1,0,0,COUNTA([3]characters!$A:$A),MATCH(AE$1,[3]characters!$1:$1,0)-MATCH("character_id",[3]characters!$1:$1,0)+1),MATCH(AE$1,[3]characters!$1:$1,0)-MATCH("character_id",[3]characters!$1:$1,0)+1,FALSE)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51" s="7">
        <v>10</v>
      </c>
      <c r="AG851" s="26">
        <f t="shared" ca="1" si="769"/>
        <v>2</v>
      </c>
      <c r="AH851" s="8">
        <v>20</v>
      </c>
      <c r="AI851" s="7">
        <v>0</v>
      </c>
      <c r="AJ851" s="7">
        <v>0</v>
      </c>
      <c r="AK851" s="7">
        <v>0</v>
      </c>
      <c r="AL851" s="7">
        <v>0</v>
      </c>
      <c r="AM851" s="7">
        <v>1</v>
      </c>
    </row>
    <row r="852" spans="1:39" ht="14" x14ac:dyDescent="0.15">
      <c r="A852" s="18" t="str">
        <f t="shared" ca="1" si="770"/>
        <v>26_4-4/352&lt;lv56&gt;s3</v>
      </c>
      <c r="B852" s="53">
        <v>26</v>
      </c>
      <c r="C852" s="51">
        <v>4</v>
      </c>
      <c r="D852" s="2" t="str">
        <f t="shared" si="774"/>
        <v>26_4</v>
      </c>
      <c r="E852" s="2" t="str">
        <f t="shared" si="775"/>
        <v>4_26_4</v>
      </c>
      <c r="F852" s="4" t="str">
        <f ca="1">VLOOKUP($D852,OFFSET([1]stages!$A$1,0,0,COUNTA([1]stages!$A:$A),MATCH(F$1,[1]stages!$2:$2,0)-MATCH($D$1,[1]stages!$2:$2,0)+1),MATCH(F$1,[1]stages!$2:$2,0)-MATCH($D$1,[1]stages!$2:$2,0)+1,FALSE)</f>
        <v>26-4．今夜はダークナイト</v>
      </c>
      <c r="G852" s="54">
        <v>4</v>
      </c>
      <c r="H852" s="17" t="str">
        <f t="shared" si="776"/>
        <v>26_4-4</v>
      </c>
      <c r="I852" s="17"/>
      <c r="J852" s="17"/>
      <c r="K852" s="65" t="s">
        <v>56</v>
      </c>
      <c r="L852" s="52">
        <v>352</v>
      </c>
      <c r="M852" s="21" t="str">
        <f ca="1">VLOOKUP($L852,OFFSET([2]enemies!$A$1,0,0,COUNTA([2]enemies!$A:$A),MATCH(M$1,[2]enemies!$1:$1,0)-MATCH($L$1,[2]enemies!$1:$1,0)+1),MATCH(M$1,[2]enemies!$1:$1,0)-MATCH($L$1,[2]enemies!$1:$1,0)+1,FALSE)</f>
        <v>水のケロケロ</v>
      </c>
      <c r="N852" s="21" t="str">
        <f ca="1">VLOOKUP($L852,OFFSET([2]enemies!$A$1,0,0,COUNTA([2]enemies!$A:$A),MATCH(N$1,[2]enemies!$1:$1,0)-MATCH($L$1,[2]enemies!$1:$1,0)+1),MATCH(N$1,[2]enemies!$1:$1,0)-MATCH($L$1,[2]enemies!$1:$1,0)+1,FALSE)</f>
        <v>blue</v>
      </c>
      <c r="O852" s="21" t="str">
        <f ca="1">VLOOKUP($L852,OFFSET([3]characters!$A$1,0,0,COUNTA([3]characters!$A:$A),MATCH(O$1,[3]characters!$1:$1,0)-MATCH($L$1,[3]characters!$1:$1,0)+1),MATCH(O$1,[3]characters!$1:$1,0)-MATCH($L$1,[3]characters!$1:$1,0)+1,FALSE)</f>
        <v>Material</v>
      </c>
      <c r="P852" s="21" t="str">
        <f ca="1">VLOOKUP($L852,OFFSET([2]enemies!$A$1,0,0,COUNTA([2]enemies!$A:$A),MATCH(P$1,[2]enemies!$1:$1,0)-MATCH($L$1,[2]enemies!$1:$1,0)+1),MATCH(P$1,[2]enemies!$1:$1,0)-MATCH($L$1,[2]enemies!$1:$1,0)+1,FALSE)</f>
        <v>unknown</v>
      </c>
      <c r="Q852" s="21">
        <f ca="1">VLOOKUP($L852,OFFSET([2]enemies!$A$1,0,0,COUNTA([2]enemies!$A:$A),MATCH(Q$1,[2]enemies!$1:$1,0)-MATCH($L$1,[2]enemies!$1:$1,0)+1),MATCH(Q$1,[2]enemies!$1:$1,0)-MATCH($L$1,[2]enemies!$1:$1,0)+1,FALSE)</f>
        <v>15</v>
      </c>
      <c r="R852" s="53">
        <v>56</v>
      </c>
      <c r="S852" s="27">
        <v>1</v>
      </c>
      <c r="T852" s="27">
        <v>1</v>
      </c>
      <c r="U852" s="5">
        <v>0</v>
      </c>
      <c r="V852" s="4" t="str">
        <f ca="1">VLOOKUP($W852,OFFSET([4]enemy_skill_sets!$B$1,0,0,COUNTA([4]enemy_skill_sets!$B:$B),MATCH(M$1,[4]enemy_skill_sets!$1:$1,0)-MATCH($W$1,[4]enemy_skill_sets!$1:$1,0)+2),MATCH(M$1,[4]enemy_skill_sets!$1:$1,0)-MATCH($W$1,[4]enemy_skill_sets!$1:$1,0)+2,FALSE)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852" s="64">
        <v>352</v>
      </c>
      <c r="X852" s="6">
        <v>0</v>
      </c>
      <c r="Y852" s="6">
        <v>100</v>
      </c>
      <c r="Z852" s="6">
        <v>0</v>
      </c>
      <c r="AA852" s="4">
        <f ca="1">VLOOKUP($L852,OFFSET([2]enemies!$A$1,0,0,COUNTA([2]enemies!$A:$A),MATCH(AA$1,[2]enemies!$1:$1,0)-MATCH($L$1,[2]enemies!$1:$1,0)+1),MATCH(AA$1,[2]enemies!$1:$1,0)-MATCH($L$1,[2]enemies!$1:$1,0)+1,FALSE)</f>
        <v>3</v>
      </c>
      <c r="AB852" s="52">
        <v>352</v>
      </c>
      <c r="AC852" s="4" t="str">
        <f ca="1">VLOOKUP($AB852,OFFSET([3]characters!$A$1,0,0,COUNTA([3]characters!$A:$A),MATCH(AC$1,[3]characters!$1:$1,0)-MATCH("character_id",[3]characters!$1:$1,0)+1),MATCH(AC$1,[3]characters!$1:$1,0)-MATCH("character_id",[3]characters!$1:$1,0)+1,FALSE)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852" s="4">
        <f ca="1">VLOOKUP($AB852,OFFSET([3]characters!$A$1,0,0,COUNTA([3]characters!$A:$A),MATCH(AD$1,[3]characters!$1:$1,0)-MATCH("character_id",[3]characters!$1:$1,0)+1),MATCH(AD$1,[3]characters!$1:$1,0)-MATCH("character_id",[3]characters!$1:$1,0)+1,FALSE)</f>
        <v>2</v>
      </c>
      <c r="AE852" s="4" t="str">
        <f ca="1">VLOOKUP($AB852,OFFSET([3]characters!$A$1,0,0,COUNTA([3]characters!$A:$A),MATCH(AE$1,[3]characters!$1:$1,0)-MATCH("character_id",[3]characters!$1:$1,0)+1),MATCH(AE$1,[3]characters!$1:$1,0)-MATCH("character_id",[3]characters!$1:$1,0)+1,FALSE)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52" s="7">
        <v>10</v>
      </c>
      <c r="AG852" s="26">
        <f t="shared" ca="1" si="769"/>
        <v>2</v>
      </c>
      <c r="AH852" s="8">
        <v>20</v>
      </c>
      <c r="AI852" s="7">
        <v>0</v>
      </c>
      <c r="AJ852" s="7">
        <v>0</v>
      </c>
      <c r="AK852" s="7">
        <v>0</v>
      </c>
      <c r="AL852" s="7">
        <v>0</v>
      </c>
      <c r="AM852" s="7">
        <v>1</v>
      </c>
    </row>
    <row r="853" spans="1:39" ht="14" x14ac:dyDescent="0.15">
      <c r="A853" s="18" t="str">
        <f t="shared" ca="1" si="770"/>
        <v>26_4-5/33&lt;lv56&gt;s2</v>
      </c>
      <c r="B853" s="53">
        <v>26</v>
      </c>
      <c r="C853" s="51">
        <v>4</v>
      </c>
      <c r="D853" s="2" t="str">
        <f t="shared" ref="D853:E860" si="777">B853&amp;"_"&amp;C853</f>
        <v>26_4</v>
      </c>
      <c r="E853" s="2" t="str">
        <f t="shared" si="777"/>
        <v>4_26_4</v>
      </c>
      <c r="F853" s="4" t="str">
        <f ca="1">VLOOKUP($D853,OFFSET([1]stages!$A$1,0,0,COUNTA([1]stages!$A:$A),MATCH(F$1,[1]stages!$2:$2,0)-MATCH($D$1,[1]stages!$2:$2,0)+1),MATCH(F$1,[1]stages!$2:$2,0)-MATCH($D$1,[1]stages!$2:$2,0)+1,FALSE)</f>
        <v>26-4．今夜はダークナイト</v>
      </c>
      <c r="G853" s="57">
        <v>5</v>
      </c>
      <c r="H853" s="17" t="str">
        <f t="shared" ref="H853:H860" si="778">B853&amp;"_"&amp;C853&amp;"-"&amp;G853</f>
        <v>26_4-5</v>
      </c>
      <c r="I853" s="17"/>
      <c r="J853" s="17"/>
      <c r="K853" s="65" t="s">
        <v>56</v>
      </c>
      <c r="L853" s="52">
        <v>33</v>
      </c>
      <c r="M853" s="21" t="str">
        <f ca="1">VLOOKUP($L853,OFFSET([2]enemies!$A$1,0,0,COUNTA([2]enemies!$A:$A),MATCH(M$1,[2]enemies!$1:$1,0)-MATCH($L$1,[2]enemies!$1:$1,0)+1),MATCH(M$1,[2]enemies!$1:$1,0)-MATCH($L$1,[2]enemies!$1:$1,0)+1,FALSE)</f>
        <v>ゴクウ</v>
      </c>
      <c r="N853" s="21" t="str">
        <f ca="1">VLOOKUP($L853,OFFSET([2]enemies!$A$1,0,0,COUNTA([2]enemies!$A:$A),MATCH(N$1,[2]enemies!$1:$1,0)-MATCH($L$1,[2]enemies!$1:$1,0)+1),MATCH(N$1,[2]enemies!$1:$1,0)-MATCH($L$1,[2]enemies!$1:$1,0)+1,FALSE)</f>
        <v>red</v>
      </c>
      <c r="O853" s="21" t="str">
        <f ca="1">VLOOKUP($L853,OFFSET([3]characters!$A$1,0,0,COUNTA([3]characters!$A:$A),MATCH(O$1,[3]characters!$1:$1,0)-MATCH($L$1,[3]characters!$1:$1,0)+1),MATCH(O$1,[3]characters!$1:$1,0)-MATCH($L$1,[3]characters!$1:$1,0)+1,FALSE)</f>
        <v>Drop1S</v>
      </c>
      <c r="P853" s="21" t="str">
        <f ca="1">VLOOKUP($L853,OFFSET([2]enemies!$A$1,0,0,COUNTA([2]enemies!$A:$A),MATCH(P$1,[2]enemies!$1:$1,0)-MATCH($L$1,[2]enemies!$1:$1,0)+1),MATCH(P$1,[2]enemies!$1:$1,0)-MATCH($L$1,[2]enemies!$1:$1,0)+1,FALSE)</f>
        <v>animal</v>
      </c>
      <c r="Q853" s="21">
        <f ca="1">VLOOKUP($L853,OFFSET([2]enemies!$A$1,0,0,COUNTA([2]enemies!$A:$A),MATCH(Q$1,[2]enemies!$1:$1,0)-MATCH($L$1,[2]enemies!$1:$1,0)+1),MATCH(Q$1,[2]enemies!$1:$1,0)-MATCH($L$1,[2]enemies!$1:$1,0)+1,FALSE)</f>
        <v>15</v>
      </c>
      <c r="R853" s="53">
        <v>56</v>
      </c>
      <c r="S853" s="27">
        <v>1</v>
      </c>
      <c r="T853" s="27">
        <v>1</v>
      </c>
      <c r="U853" s="5">
        <v>0</v>
      </c>
      <c r="V853" s="4" t="str">
        <f ca="1">VLOOKUP($W853,OFFSET([4]enemy_skill_sets!$B$1,0,0,COUNTA([4]enemy_skill_sets!$B:$B),MATCH(M$1,[4]enemy_skill_sets!$1:$1,0)-MATCH($W$1,[4]enemy_skill_sets!$1:$1,0)+2),MATCH(M$1,[4]enemy_skill_sets!$1:$1,0)-MATCH($W$1,[4]enemy_skill_sets!$1:$1,0)+2,FALSE)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853" s="4">
        <f ca="1">VLOOKUP($L853,OFFSET([2]enemies!$A$1,0,0,COUNTA([2]enemies!$A:$A),MATCH(W$1,[2]enemies!$1:$1,0)-MATCH($L$1,[2]enemies!$1:$1,0)+1),MATCH(W$1,[2]enemies!$1:$1,0)-MATCH($L$1,[2]enemies!$1:$1,0)+1,FALSE)</f>
        <v>33</v>
      </c>
      <c r="X853" s="6">
        <v>0</v>
      </c>
      <c r="Y853" s="6">
        <v>100</v>
      </c>
      <c r="Z853" s="6">
        <v>0</v>
      </c>
      <c r="AA853" s="4">
        <f ca="1">VLOOKUP($L853,OFFSET([2]enemies!$A$1,0,0,COUNTA([2]enemies!$A:$A),MATCH(AA$1,[2]enemies!$1:$1,0)-MATCH($L$1,[2]enemies!$1:$1,0)+1),MATCH(AA$1,[2]enemies!$1:$1,0)-MATCH($L$1,[2]enemies!$1:$1,0)+1,FALSE)</f>
        <v>2</v>
      </c>
      <c r="AB853" s="52">
        <v>33</v>
      </c>
      <c r="AC853" s="4" t="str">
        <f ca="1">VLOOKUP($AB853,OFFSET([3]characters!$A$1,0,0,COUNTA([3]characters!$A:$A),MATCH(AC$1,[3]characters!$1:$1,0)-MATCH("character_id",[3]characters!$1:$1,0)+1),MATCH(AC$1,[3]characters!$1:$1,0)-MATCH("character_id",[3]characters!$1:$1,0)+1,FALSE)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853" s="4">
        <f ca="1">VLOOKUP($AB853,OFFSET([3]characters!$A$1,0,0,COUNTA([3]characters!$A:$A),MATCH(AD$1,[3]characters!$1:$1,0)-MATCH("character_id",[3]characters!$1:$1,0)+1),MATCH(AD$1,[3]characters!$1:$1,0)-MATCH("character_id",[3]characters!$1:$1,0)+1,FALSE)</f>
        <v>2</v>
      </c>
      <c r="AE853" s="4" t="str">
        <f ca="1">VLOOKUP($AB853,OFFSET([3]characters!$A$1,0,0,COUNTA([3]characters!$A:$A),MATCH(AE$1,[3]characters!$1:$1,0)-MATCH("character_id",[3]characters!$1:$1,0)+1),MATCH(AE$1,[3]characters!$1:$1,0)-MATCH("character_id",[3]characters!$1:$1,0)+1,FALSE)</f>
        <v>Drop1S</v>
      </c>
      <c r="AF853" s="7">
        <v>5</v>
      </c>
      <c r="AG853" s="26">
        <f t="shared" ca="1" si="769"/>
        <v>2</v>
      </c>
      <c r="AH853" s="8">
        <v>20</v>
      </c>
      <c r="AI853" s="7">
        <v>0</v>
      </c>
      <c r="AJ853" s="7">
        <v>0</v>
      </c>
      <c r="AK853" s="7">
        <v>0</v>
      </c>
      <c r="AL853" s="7">
        <v>0</v>
      </c>
      <c r="AM853" s="7">
        <v>1</v>
      </c>
    </row>
    <row r="854" spans="1:39" ht="14" x14ac:dyDescent="0.15">
      <c r="A854" s="18" t="str">
        <f t="shared" ca="1" si="770"/>
        <v>26_4-5/37&lt;lv56&gt;s3</v>
      </c>
      <c r="B854" s="53">
        <v>26</v>
      </c>
      <c r="C854" s="51">
        <v>4</v>
      </c>
      <c r="D854" s="2" t="str">
        <f t="shared" si="777"/>
        <v>26_4</v>
      </c>
      <c r="E854" s="2" t="str">
        <f t="shared" si="777"/>
        <v>4_26_4</v>
      </c>
      <c r="F854" s="4" t="str">
        <f ca="1">VLOOKUP($D854,OFFSET([1]stages!$A$1,0,0,COUNTA([1]stages!$A:$A),MATCH(F$1,[1]stages!$2:$2,0)-MATCH($D$1,[1]stages!$2:$2,0)+1),MATCH(F$1,[1]stages!$2:$2,0)-MATCH($D$1,[1]stages!$2:$2,0)+1,FALSE)</f>
        <v>26-4．今夜はダークナイト</v>
      </c>
      <c r="G854" s="57">
        <v>5</v>
      </c>
      <c r="H854" s="17" t="str">
        <f t="shared" si="778"/>
        <v>26_4-5</v>
      </c>
      <c r="I854" s="17"/>
      <c r="J854" s="17"/>
      <c r="K854" s="65" t="s">
        <v>56</v>
      </c>
      <c r="L854" s="52">
        <v>37</v>
      </c>
      <c r="M854" s="21" t="str">
        <f ca="1">VLOOKUP($L854,OFFSET([2]enemies!$A$1,0,0,COUNTA([2]enemies!$A:$A),MATCH(M$1,[2]enemies!$1:$1,0)-MATCH($L$1,[2]enemies!$1:$1,0)+1),MATCH(M$1,[2]enemies!$1:$1,0)-MATCH($L$1,[2]enemies!$1:$1,0)+1,FALSE)</f>
        <v>ガイル</v>
      </c>
      <c r="N854" s="21" t="str">
        <f ca="1">VLOOKUP($L854,OFFSET([2]enemies!$A$1,0,0,COUNTA([2]enemies!$A:$A),MATCH(N$1,[2]enemies!$1:$1,0)-MATCH($L$1,[2]enemies!$1:$1,0)+1),MATCH(N$1,[2]enemies!$1:$1,0)-MATCH($L$1,[2]enemies!$1:$1,0)+1,FALSE)</f>
        <v>blue</v>
      </c>
      <c r="O854" s="21" t="str">
        <f ca="1">VLOOKUP($L854,OFFSET([3]characters!$A$1,0,0,COUNTA([3]characters!$A:$A),MATCH(O$1,[3]characters!$1:$1,0)-MATCH($L$1,[3]characters!$1:$1,0)+1),MATCH(O$1,[3]characters!$1:$1,0)-MATCH($L$1,[3]characters!$1:$1,0)+1,FALSE)</f>
        <v>Drop1S</v>
      </c>
      <c r="P854" s="21" t="str">
        <f ca="1">VLOOKUP($L854,OFFSET([2]enemies!$A$1,0,0,COUNTA([2]enemies!$A:$A),MATCH(P$1,[2]enemies!$1:$1,0)-MATCH($L$1,[2]enemies!$1:$1,0)+1),MATCH(P$1,[2]enemies!$1:$1,0)-MATCH($L$1,[2]enemies!$1:$1,0)+1,FALSE)</f>
        <v>animal</v>
      </c>
      <c r="Q854" s="21">
        <f ca="1">VLOOKUP($L854,OFFSET([2]enemies!$A$1,0,0,COUNTA([2]enemies!$A:$A),MATCH(Q$1,[2]enemies!$1:$1,0)-MATCH($L$1,[2]enemies!$1:$1,0)+1),MATCH(Q$1,[2]enemies!$1:$1,0)-MATCH($L$1,[2]enemies!$1:$1,0)+1,FALSE)</f>
        <v>15</v>
      </c>
      <c r="R854" s="53">
        <v>56</v>
      </c>
      <c r="S854" s="27">
        <v>1</v>
      </c>
      <c r="T854" s="27">
        <v>1</v>
      </c>
      <c r="U854" s="5">
        <v>0</v>
      </c>
      <c r="V854" s="4" t="str">
        <f ca="1">VLOOKUP($W854,OFFSET([4]enemy_skill_sets!$B$1,0,0,COUNTA([4]enemy_skill_sets!$B:$B),MATCH(M$1,[4]enemy_skill_sets!$1:$1,0)-MATCH($W$1,[4]enemy_skill_sets!$1:$1,0)+2),MATCH(M$1,[4]enemy_skill_sets!$1:$1,0)-MATCH($W$1,[4]enemy_skill_sets!$1:$1,0)+2,FALSE)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854" s="4">
        <f ca="1">VLOOKUP($L854,OFFSET([2]enemies!$A$1,0,0,COUNTA([2]enemies!$A:$A),MATCH(W$1,[2]enemies!$1:$1,0)-MATCH($L$1,[2]enemies!$1:$1,0)+1),MATCH(W$1,[2]enemies!$1:$1,0)-MATCH($L$1,[2]enemies!$1:$1,0)+1,FALSE)</f>
        <v>37</v>
      </c>
      <c r="X854" s="6">
        <v>0</v>
      </c>
      <c r="Y854" s="6">
        <v>100</v>
      </c>
      <c r="Z854" s="6">
        <v>0</v>
      </c>
      <c r="AA854" s="4">
        <f ca="1">VLOOKUP($L854,OFFSET([2]enemies!$A$1,0,0,COUNTA([2]enemies!$A:$A),MATCH(AA$1,[2]enemies!$1:$1,0)-MATCH($L$1,[2]enemies!$1:$1,0)+1),MATCH(AA$1,[2]enemies!$1:$1,0)-MATCH($L$1,[2]enemies!$1:$1,0)+1,FALSE)</f>
        <v>3</v>
      </c>
      <c r="AB854" s="52">
        <v>37</v>
      </c>
      <c r="AC854" s="4" t="str">
        <f ca="1">VLOOKUP($AB854,OFFSET([3]characters!$A$1,0,0,COUNTA([3]characters!$A:$A),MATCH(AC$1,[3]characters!$1:$1,0)-MATCH("character_id",[3]characters!$1:$1,0)+1),MATCH(AC$1,[3]characters!$1:$1,0)-MATCH("character_id",[3]characters!$1:$1,0)+1,FALSE)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854" s="4">
        <f ca="1">VLOOKUP($AB854,OFFSET([3]characters!$A$1,0,0,COUNTA([3]characters!$A:$A),MATCH(AD$1,[3]characters!$1:$1,0)-MATCH("character_id",[3]characters!$1:$1,0)+1),MATCH(AD$1,[3]characters!$1:$1,0)-MATCH("character_id",[3]characters!$1:$1,0)+1,FALSE)</f>
        <v>2</v>
      </c>
      <c r="AE854" s="4" t="str">
        <f ca="1">VLOOKUP($AB854,OFFSET([3]characters!$A$1,0,0,COUNTA([3]characters!$A:$A),MATCH(AE$1,[3]characters!$1:$1,0)-MATCH("character_id",[3]characters!$1:$1,0)+1),MATCH(AE$1,[3]characters!$1:$1,0)-MATCH("character_id",[3]characters!$1:$1,0)+1,FALSE)</f>
        <v>Drop1S</v>
      </c>
      <c r="AF854" s="7">
        <v>5</v>
      </c>
      <c r="AG854" s="26">
        <f t="shared" ca="1" si="769"/>
        <v>2</v>
      </c>
      <c r="AH854" s="8">
        <v>20</v>
      </c>
      <c r="AI854" s="7">
        <v>0</v>
      </c>
      <c r="AJ854" s="7">
        <v>0</v>
      </c>
      <c r="AK854" s="7">
        <v>0</v>
      </c>
      <c r="AL854" s="7">
        <v>0</v>
      </c>
      <c r="AM854" s="7">
        <v>1</v>
      </c>
    </row>
    <row r="855" spans="1:39" ht="14" x14ac:dyDescent="0.15">
      <c r="A855" s="18" t="str">
        <f t="shared" ca="1" si="770"/>
        <v>26_4-5/45&lt;lv56&gt;s3</v>
      </c>
      <c r="B855" s="53">
        <v>26</v>
      </c>
      <c r="C855" s="51">
        <v>4</v>
      </c>
      <c r="D855" s="2" t="str">
        <f t="shared" si="777"/>
        <v>26_4</v>
      </c>
      <c r="E855" s="2" t="str">
        <f t="shared" si="777"/>
        <v>4_26_4</v>
      </c>
      <c r="F855" s="4" t="str">
        <f ca="1">VLOOKUP($D855,OFFSET([1]stages!$A$1,0,0,COUNTA([1]stages!$A:$A),MATCH(F$1,[1]stages!$2:$2,0)-MATCH($D$1,[1]stages!$2:$2,0)+1),MATCH(F$1,[1]stages!$2:$2,0)-MATCH($D$1,[1]stages!$2:$2,0)+1,FALSE)</f>
        <v>26-4．今夜はダークナイト</v>
      </c>
      <c r="G855" s="57">
        <v>5</v>
      </c>
      <c r="H855" s="17" t="str">
        <f t="shared" si="778"/>
        <v>26_4-5</v>
      </c>
      <c r="I855" s="17"/>
      <c r="J855" s="17"/>
      <c r="K855" s="65" t="s">
        <v>56</v>
      </c>
      <c r="L855" s="52">
        <v>45</v>
      </c>
      <c r="M855" s="21" t="str">
        <f ca="1">VLOOKUP($L855,OFFSET([2]enemies!$A$1,0,0,COUNTA([2]enemies!$A:$A),MATCH(M$1,[2]enemies!$1:$1,0)-MATCH($L$1,[2]enemies!$1:$1,0)+1),MATCH(M$1,[2]enemies!$1:$1,0)-MATCH($L$1,[2]enemies!$1:$1,0)+1,FALSE)</f>
        <v>ショウイン</v>
      </c>
      <c r="N855" s="21" t="str">
        <f ca="1">VLOOKUP($L855,OFFSET([2]enemies!$A$1,0,0,COUNTA([2]enemies!$A:$A),MATCH(N$1,[2]enemies!$1:$1,0)-MATCH($L$1,[2]enemies!$1:$1,0)+1),MATCH(N$1,[2]enemies!$1:$1,0)-MATCH($L$1,[2]enemies!$1:$1,0)+1,FALSE)</f>
        <v>blue</v>
      </c>
      <c r="O855" s="21" t="str">
        <f ca="1">VLOOKUP($L855,OFFSET([3]characters!$A$1,0,0,COUNTA([3]characters!$A:$A),MATCH(O$1,[3]characters!$1:$1,0)-MATCH($L$1,[3]characters!$1:$1,0)+1),MATCH(O$1,[3]characters!$1:$1,0)-MATCH($L$1,[3]characters!$1:$1,0)+1,FALSE)</f>
        <v>Drop1N</v>
      </c>
      <c r="P855" s="21" t="str">
        <f ca="1">VLOOKUP($L855,OFFSET([2]enemies!$A$1,0,0,COUNTA([2]enemies!$A:$A),MATCH(P$1,[2]enemies!$1:$1,0)-MATCH($L$1,[2]enemies!$1:$1,0)+1),MATCH(P$1,[2]enemies!$1:$1,0)-MATCH($L$1,[2]enemies!$1:$1,0)+1,FALSE)</f>
        <v>animal</v>
      </c>
      <c r="Q855" s="21">
        <f ca="1">VLOOKUP($L855,OFFSET([2]enemies!$A$1,0,0,COUNTA([2]enemies!$A:$A),MATCH(Q$1,[2]enemies!$1:$1,0)-MATCH($L$1,[2]enemies!$1:$1,0)+1),MATCH(Q$1,[2]enemies!$1:$1,0)-MATCH($L$1,[2]enemies!$1:$1,0)+1,FALSE)</f>
        <v>15</v>
      </c>
      <c r="R855" s="53">
        <v>56</v>
      </c>
      <c r="S855" s="27">
        <v>1</v>
      </c>
      <c r="T855" s="27">
        <v>1</v>
      </c>
      <c r="U855" s="5">
        <v>0</v>
      </c>
      <c r="V855" s="4" t="str">
        <f ca="1">VLOOKUP($W855,OFFSET([4]enemy_skill_sets!$B$1,0,0,COUNTA([4]enemy_skill_sets!$B:$B),MATCH(M$1,[4]enemy_skill_sets!$1:$1,0)-MATCH($W$1,[4]enemy_skill_sets!$1:$1,0)+2),MATCH(M$1,[4]enemy_skill_sets!$1:$1,0)-MATCH($W$1,[4]enemy_skill_sets!$1:$1,0)+2,FALSE)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55" s="4">
        <f ca="1">VLOOKUP($L855,OFFSET([2]enemies!$A$1,0,0,COUNTA([2]enemies!$A:$A),MATCH(W$1,[2]enemies!$1:$1,0)-MATCH($L$1,[2]enemies!$1:$1,0)+1),MATCH(W$1,[2]enemies!$1:$1,0)-MATCH($L$1,[2]enemies!$1:$1,0)+1,FALSE)</f>
        <v>0</v>
      </c>
      <c r="X855" s="6">
        <v>0</v>
      </c>
      <c r="Y855" s="6">
        <v>100</v>
      </c>
      <c r="Z855" s="6">
        <v>0</v>
      </c>
      <c r="AA855" s="4">
        <f ca="1">VLOOKUP($L855,OFFSET([2]enemies!$A$1,0,0,COUNTA([2]enemies!$A:$A),MATCH(AA$1,[2]enemies!$1:$1,0)-MATCH($L$1,[2]enemies!$1:$1,0)+1),MATCH(AA$1,[2]enemies!$1:$1,0)-MATCH($L$1,[2]enemies!$1:$1,0)+1,FALSE)</f>
        <v>3</v>
      </c>
      <c r="AB855" s="52">
        <v>45</v>
      </c>
      <c r="AC855" s="4" t="str">
        <f ca="1">VLOOKUP($AB855,OFFSET([3]characters!$A$1,0,0,COUNTA([3]characters!$A:$A),MATCH(AC$1,[3]characters!$1:$1,0)-MATCH("character_id",[3]characters!$1:$1,0)+1),MATCH(AC$1,[3]characters!$1:$1,0)-MATCH("character_id",[3]characters!$1:$1,0)+1,FALSE)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855" s="4">
        <f ca="1">VLOOKUP($AB855,OFFSET([3]characters!$A$1,0,0,COUNTA([3]characters!$A:$A),MATCH(AD$1,[3]characters!$1:$1,0)-MATCH("character_id",[3]characters!$1:$1,0)+1),MATCH(AD$1,[3]characters!$1:$1,0)-MATCH("character_id",[3]characters!$1:$1,0)+1,FALSE)</f>
        <v>2</v>
      </c>
      <c r="AE855" s="4" t="str">
        <f ca="1">VLOOKUP($AB855,OFFSET([3]characters!$A$1,0,0,COUNTA([3]characters!$A:$A),MATCH(AE$1,[3]characters!$1:$1,0)-MATCH("character_id",[3]characters!$1:$1,0)+1),MATCH(AE$1,[3]characters!$1:$1,0)-MATCH("character_id",[3]characters!$1:$1,0)+1,FALSE)</f>
        <v>Drop1N</v>
      </c>
      <c r="AF855" s="7">
        <v>7</v>
      </c>
      <c r="AG855" s="26">
        <f t="shared" ca="1" si="769"/>
        <v>2</v>
      </c>
      <c r="AH855" s="8">
        <v>20</v>
      </c>
      <c r="AI855" s="7">
        <v>0</v>
      </c>
      <c r="AJ855" s="7">
        <v>0</v>
      </c>
      <c r="AK855" s="7">
        <v>0</v>
      </c>
      <c r="AL855" s="7">
        <v>0</v>
      </c>
      <c r="AM855" s="7">
        <v>1</v>
      </c>
    </row>
    <row r="856" spans="1:39" ht="14" x14ac:dyDescent="0.15">
      <c r="A856" s="18" t="str">
        <f t="shared" ca="1" si="770"/>
        <v>26_4-5/47&lt;lv56&gt;s1</v>
      </c>
      <c r="B856" s="53">
        <v>26</v>
      </c>
      <c r="C856" s="51">
        <v>4</v>
      </c>
      <c r="D856" s="2" t="str">
        <f t="shared" si="777"/>
        <v>26_4</v>
      </c>
      <c r="E856" s="2" t="str">
        <f t="shared" si="777"/>
        <v>4_26_4</v>
      </c>
      <c r="F856" s="4" t="str">
        <f ca="1">VLOOKUP($D856,OFFSET([1]stages!$A$1,0,0,COUNTA([1]stages!$A:$A),MATCH(F$1,[1]stages!$2:$2,0)-MATCH($D$1,[1]stages!$2:$2,0)+1),MATCH(F$1,[1]stages!$2:$2,0)-MATCH($D$1,[1]stages!$2:$2,0)+1,FALSE)</f>
        <v>26-4．今夜はダークナイト</v>
      </c>
      <c r="G856" s="57">
        <v>5</v>
      </c>
      <c r="H856" s="17" t="str">
        <f t="shared" si="778"/>
        <v>26_4-5</v>
      </c>
      <c r="I856" s="17"/>
      <c r="J856" s="17"/>
      <c r="K856" s="65" t="s">
        <v>56</v>
      </c>
      <c r="L856" s="52">
        <v>47</v>
      </c>
      <c r="M856" s="21" t="str">
        <f ca="1">VLOOKUP($L856,OFFSET([2]enemies!$A$1,0,0,COUNTA([2]enemies!$A:$A),MATCH(M$1,[2]enemies!$1:$1,0)-MATCH($L$1,[2]enemies!$1:$1,0)+1),MATCH(M$1,[2]enemies!$1:$1,0)-MATCH($L$1,[2]enemies!$1:$1,0)+1,FALSE)</f>
        <v>ヒロ</v>
      </c>
      <c r="N856" s="21" t="str">
        <f ca="1">VLOOKUP($L856,OFFSET([2]enemies!$A$1,0,0,COUNTA([2]enemies!$A:$A),MATCH(N$1,[2]enemies!$1:$1,0)-MATCH($L$1,[2]enemies!$1:$1,0)+1),MATCH(N$1,[2]enemies!$1:$1,0)-MATCH($L$1,[2]enemies!$1:$1,0)+1,FALSE)</f>
        <v>yellow</v>
      </c>
      <c r="O856" s="21" t="str">
        <f ca="1">VLOOKUP($L856,OFFSET([3]characters!$A$1,0,0,COUNTA([3]characters!$A:$A),MATCH(O$1,[3]characters!$1:$1,0)-MATCH($L$1,[3]characters!$1:$1,0)+1),MATCH(O$1,[3]characters!$1:$1,0)-MATCH($L$1,[3]characters!$1:$1,0)+1,FALSE)</f>
        <v>Drop1N</v>
      </c>
      <c r="P856" s="21" t="str">
        <f ca="1">VLOOKUP($L856,OFFSET([2]enemies!$A$1,0,0,COUNTA([2]enemies!$A:$A),MATCH(P$1,[2]enemies!$1:$1,0)-MATCH($L$1,[2]enemies!$1:$1,0)+1),MATCH(P$1,[2]enemies!$1:$1,0)-MATCH($L$1,[2]enemies!$1:$1,0)+1,FALSE)</f>
        <v>animal</v>
      </c>
      <c r="Q856" s="21">
        <f ca="1">VLOOKUP($L856,OFFSET([2]enemies!$A$1,0,0,COUNTA([2]enemies!$A:$A),MATCH(Q$1,[2]enemies!$1:$1,0)-MATCH($L$1,[2]enemies!$1:$1,0)+1),MATCH(Q$1,[2]enemies!$1:$1,0)-MATCH($L$1,[2]enemies!$1:$1,0)+1,FALSE)</f>
        <v>15</v>
      </c>
      <c r="R856" s="53">
        <v>56</v>
      </c>
      <c r="S856" s="27">
        <v>1</v>
      </c>
      <c r="T856" s="27">
        <v>1</v>
      </c>
      <c r="U856" s="5">
        <v>0</v>
      </c>
      <c r="V856" s="4" t="str">
        <f ca="1">VLOOKUP($W856,OFFSET([4]enemy_skill_sets!$B$1,0,0,COUNTA([4]enemy_skill_sets!$B:$B),MATCH(M$1,[4]enemy_skill_sets!$1:$1,0)-MATCH($W$1,[4]enemy_skill_sets!$1:$1,0)+2),MATCH(M$1,[4]enemy_skill_sets!$1:$1,0)-MATCH($W$1,[4]enemy_skill_sets!$1:$1,0)+2,FALSE)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56" s="4">
        <f ca="1">VLOOKUP($L856,OFFSET([2]enemies!$A$1,0,0,COUNTA([2]enemies!$A:$A),MATCH(W$1,[2]enemies!$1:$1,0)-MATCH($L$1,[2]enemies!$1:$1,0)+1),MATCH(W$1,[2]enemies!$1:$1,0)-MATCH($L$1,[2]enemies!$1:$1,0)+1,FALSE)</f>
        <v>0</v>
      </c>
      <c r="X856" s="6">
        <v>0</v>
      </c>
      <c r="Y856" s="6">
        <v>100</v>
      </c>
      <c r="Z856" s="6">
        <v>0</v>
      </c>
      <c r="AA856" s="4">
        <f ca="1">VLOOKUP($L856,OFFSET([2]enemies!$A$1,0,0,COUNTA([2]enemies!$A:$A),MATCH(AA$1,[2]enemies!$1:$1,0)-MATCH($L$1,[2]enemies!$1:$1,0)+1),MATCH(AA$1,[2]enemies!$1:$1,0)-MATCH($L$1,[2]enemies!$1:$1,0)+1,FALSE)</f>
        <v>1</v>
      </c>
      <c r="AB856" s="52">
        <v>47</v>
      </c>
      <c r="AC856" s="4" t="str">
        <f ca="1">VLOOKUP($AB856,OFFSET([3]characters!$A$1,0,0,COUNTA([3]characters!$A:$A),MATCH(AC$1,[3]characters!$1:$1,0)-MATCH("character_id",[3]characters!$1:$1,0)+1),MATCH(AC$1,[3]characters!$1:$1,0)-MATCH("character_id",[3]characters!$1:$1,0)+1,FALSE)</f>
        <v>ヒロ</v>
      </c>
      <c r="AD856" s="4">
        <f ca="1">VLOOKUP($AB856,OFFSET([3]characters!$A$1,0,0,COUNTA([3]characters!$A:$A),MATCH(AD$1,[3]characters!$1:$1,0)-MATCH("character_id",[3]characters!$1:$1,0)+1),MATCH(AD$1,[3]characters!$1:$1,0)-MATCH("character_id",[3]characters!$1:$1,0)+1,FALSE)</f>
        <v>2</v>
      </c>
      <c r="AE856" s="4" t="str">
        <f ca="1">VLOOKUP($AB856,OFFSET([3]characters!$A$1,0,0,COUNTA([3]characters!$A:$A),MATCH(AE$1,[3]characters!$1:$1,0)-MATCH("character_id",[3]characters!$1:$1,0)+1),MATCH(AE$1,[3]characters!$1:$1,0)-MATCH("character_id",[3]characters!$1:$1,0)+1,FALSE)</f>
        <v>Drop1N</v>
      </c>
      <c r="AF856" s="7">
        <v>7</v>
      </c>
      <c r="AG856" s="26">
        <f t="shared" ca="1" si="769"/>
        <v>2</v>
      </c>
      <c r="AH856" s="8">
        <v>20</v>
      </c>
      <c r="AI856" s="7">
        <v>0</v>
      </c>
      <c r="AJ856" s="7">
        <v>0</v>
      </c>
      <c r="AK856" s="7">
        <v>0</v>
      </c>
      <c r="AL856" s="7">
        <v>0</v>
      </c>
      <c r="AM856" s="7">
        <v>1</v>
      </c>
    </row>
    <row r="857" spans="1:39" ht="14" x14ac:dyDescent="0.15">
      <c r="A857" s="18" t="str">
        <f t="shared" ca="1" si="770"/>
        <v>26_4-5/57&lt;lv56&gt;s2</v>
      </c>
      <c r="B857" s="53">
        <v>26</v>
      </c>
      <c r="C857" s="51">
        <v>4</v>
      </c>
      <c r="D857" s="2" t="str">
        <f t="shared" si="777"/>
        <v>26_4</v>
      </c>
      <c r="E857" s="2" t="str">
        <f t="shared" si="777"/>
        <v>4_26_4</v>
      </c>
      <c r="F857" s="4" t="str">
        <f ca="1">VLOOKUP($D857,OFFSET([1]stages!$A$1,0,0,COUNTA([1]stages!$A:$A),MATCH(F$1,[1]stages!$2:$2,0)-MATCH($D$1,[1]stages!$2:$2,0)+1),MATCH(F$1,[1]stages!$2:$2,0)-MATCH($D$1,[1]stages!$2:$2,0)+1,FALSE)</f>
        <v>26-4．今夜はダークナイト</v>
      </c>
      <c r="G857" s="57">
        <v>5</v>
      </c>
      <c r="H857" s="17" t="str">
        <f t="shared" si="778"/>
        <v>26_4-5</v>
      </c>
      <c r="I857" s="17"/>
      <c r="J857" s="17"/>
      <c r="K857" s="65" t="s">
        <v>56</v>
      </c>
      <c r="L857" s="52">
        <v>57</v>
      </c>
      <c r="M857" s="21" t="str">
        <f ca="1">VLOOKUP($L857,OFFSET([2]enemies!$A$1,0,0,COUNTA([2]enemies!$A:$A),MATCH(M$1,[2]enemies!$1:$1,0)-MATCH($L$1,[2]enemies!$1:$1,0)+1),MATCH(M$1,[2]enemies!$1:$1,0)-MATCH($L$1,[2]enemies!$1:$1,0)+1,FALSE)</f>
        <v>チェン・リー</v>
      </c>
      <c r="N857" s="21" t="str">
        <f ca="1">VLOOKUP($L857,OFFSET([2]enemies!$A$1,0,0,COUNTA([2]enemies!$A:$A),MATCH(N$1,[2]enemies!$1:$1,0)-MATCH($L$1,[2]enemies!$1:$1,0)+1),MATCH(N$1,[2]enemies!$1:$1,0)-MATCH($L$1,[2]enemies!$1:$1,0)+1,FALSE)</f>
        <v>red</v>
      </c>
      <c r="O857" s="21" t="str">
        <f ca="1">VLOOKUP($L857,OFFSET([3]characters!$A$1,0,0,COUNTA([3]characters!$A:$A),MATCH(O$1,[3]characters!$1:$1,0)-MATCH($L$1,[3]characters!$1:$1,0)+1),MATCH(O$1,[3]characters!$1:$1,0)-MATCH($L$1,[3]characters!$1:$1,0)+1,FALSE)</f>
        <v>Drop1N</v>
      </c>
      <c r="P857" s="21" t="str">
        <f ca="1">VLOOKUP($L857,OFFSET([2]enemies!$A$1,0,0,COUNTA([2]enemies!$A:$A),MATCH(P$1,[2]enemies!$1:$1,0)-MATCH($L$1,[2]enemies!$1:$1,0)+1),MATCH(P$1,[2]enemies!$1:$1,0)-MATCH($L$1,[2]enemies!$1:$1,0)+1,FALSE)</f>
        <v>animal</v>
      </c>
      <c r="Q857" s="21">
        <f ca="1">VLOOKUP($L857,OFFSET([2]enemies!$A$1,0,0,COUNTA([2]enemies!$A:$A),MATCH(Q$1,[2]enemies!$1:$1,0)-MATCH($L$1,[2]enemies!$1:$1,0)+1),MATCH(Q$1,[2]enemies!$1:$1,0)-MATCH($L$1,[2]enemies!$1:$1,0)+1,FALSE)</f>
        <v>15</v>
      </c>
      <c r="R857" s="53">
        <v>56</v>
      </c>
      <c r="S857" s="27">
        <v>1</v>
      </c>
      <c r="T857" s="27">
        <v>1</v>
      </c>
      <c r="U857" s="5">
        <v>0</v>
      </c>
      <c r="V857" s="4" t="str">
        <f ca="1">VLOOKUP($W857,OFFSET([4]enemy_skill_sets!$B$1,0,0,COUNTA([4]enemy_skill_sets!$B:$B),MATCH(M$1,[4]enemy_skill_sets!$1:$1,0)-MATCH($W$1,[4]enemy_skill_sets!$1:$1,0)+2),MATCH(M$1,[4]enemy_skill_sets!$1:$1,0)-MATCH($W$1,[4]enemy_skill_sets!$1:$1,0)+2,FALSE)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857" s="4">
        <f ca="1">VLOOKUP($L857,OFFSET([2]enemies!$A$1,0,0,COUNTA([2]enemies!$A:$A),MATCH(W$1,[2]enemies!$1:$1,0)-MATCH($L$1,[2]enemies!$1:$1,0)+1),MATCH(W$1,[2]enemies!$1:$1,0)-MATCH($L$1,[2]enemies!$1:$1,0)+1,FALSE)</f>
        <v>57</v>
      </c>
      <c r="X857" s="6">
        <v>0</v>
      </c>
      <c r="Y857" s="6">
        <v>100</v>
      </c>
      <c r="Z857" s="6">
        <v>0</v>
      </c>
      <c r="AA857" s="4">
        <f ca="1">VLOOKUP($L857,OFFSET([2]enemies!$A$1,0,0,COUNTA([2]enemies!$A:$A),MATCH(AA$1,[2]enemies!$1:$1,0)-MATCH($L$1,[2]enemies!$1:$1,0)+1),MATCH(AA$1,[2]enemies!$1:$1,0)-MATCH($L$1,[2]enemies!$1:$1,0)+1,FALSE)</f>
        <v>2</v>
      </c>
      <c r="AB857" s="52">
        <v>57</v>
      </c>
      <c r="AC857" s="4" t="str">
        <f ca="1">VLOOKUP($AB857,OFFSET([3]characters!$A$1,0,0,COUNTA([3]characters!$A:$A),MATCH(AC$1,[3]characters!$1:$1,0)-MATCH("character_id",[3]characters!$1:$1,0)+1),MATCH(AC$1,[3]characters!$1:$1,0)-MATCH("character_id",[3]characters!$1:$1,0)+1,FALSE)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857" s="4">
        <f ca="1">VLOOKUP($AB857,OFFSET([3]characters!$A$1,0,0,COUNTA([3]characters!$A:$A),MATCH(AD$1,[3]characters!$1:$1,0)-MATCH("character_id",[3]characters!$1:$1,0)+1),MATCH(AD$1,[3]characters!$1:$1,0)-MATCH("character_id",[3]characters!$1:$1,0)+1,FALSE)</f>
        <v>2</v>
      </c>
      <c r="AE857" s="4" t="str">
        <f ca="1">VLOOKUP($AB857,OFFSET([3]characters!$A$1,0,0,COUNTA([3]characters!$A:$A),MATCH(AE$1,[3]characters!$1:$1,0)-MATCH("character_id",[3]characters!$1:$1,0)+1),MATCH(AE$1,[3]characters!$1:$1,0)-MATCH("character_id",[3]characters!$1:$1,0)+1,FALSE)</f>
        <v>Drop1N</v>
      </c>
      <c r="AF857" s="7">
        <v>7</v>
      </c>
      <c r="AG857" s="26">
        <f t="shared" ca="1" si="769"/>
        <v>2</v>
      </c>
      <c r="AH857" s="8">
        <v>20</v>
      </c>
      <c r="AI857" s="7">
        <v>0</v>
      </c>
      <c r="AJ857" s="7">
        <v>0</v>
      </c>
      <c r="AK857" s="7">
        <v>0</v>
      </c>
      <c r="AL857" s="7">
        <v>0</v>
      </c>
      <c r="AM857" s="7">
        <v>1</v>
      </c>
    </row>
    <row r="858" spans="1:39" ht="14" x14ac:dyDescent="0.15">
      <c r="A858" s="18" t="str">
        <f t="shared" ca="1" si="770"/>
        <v>26_4-5/59&lt;lv56&gt;s2</v>
      </c>
      <c r="B858" s="53">
        <v>26</v>
      </c>
      <c r="C858" s="51">
        <v>4</v>
      </c>
      <c r="D858" s="2" t="str">
        <f t="shared" si="777"/>
        <v>26_4</v>
      </c>
      <c r="E858" s="2" t="str">
        <f t="shared" si="777"/>
        <v>4_26_4</v>
      </c>
      <c r="F858" s="4" t="str">
        <f ca="1">VLOOKUP($D858,OFFSET([1]stages!$A$1,0,0,COUNTA([1]stages!$A:$A),MATCH(F$1,[1]stages!$2:$2,0)-MATCH($D$1,[1]stages!$2:$2,0)+1),MATCH(F$1,[1]stages!$2:$2,0)-MATCH($D$1,[1]stages!$2:$2,0)+1,FALSE)</f>
        <v>26-4．今夜はダークナイト</v>
      </c>
      <c r="G858" s="57">
        <v>5</v>
      </c>
      <c r="H858" s="17" t="str">
        <f t="shared" si="778"/>
        <v>26_4-5</v>
      </c>
      <c r="I858" s="17"/>
      <c r="J858" s="17"/>
      <c r="K858" s="65" t="s">
        <v>56</v>
      </c>
      <c r="L858" s="52">
        <v>59</v>
      </c>
      <c r="M858" s="21" t="str">
        <f ca="1">VLOOKUP($L858,OFFSET([2]enemies!$A$1,0,0,COUNTA([2]enemies!$A:$A),MATCH(M$1,[2]enemies!$1:$1,0)-MATCH($L$1,[2]enemies!$1:$1,0)+1),MATCH(M$1,[2]enemies!$1:$1,0)-MATCH($L$1,[2]enemies!$1:$1,0)+1,FALSE)</f>
        <v>マーチ</v>
      </c>
      <c r="N858" s="21" t="str">
        <f ca="1">VLOOKUP($L858,OFFSET([2]enemies!$A$1,0,0,COUNTA([2]enemies!$A:$A),MATCH(N$1,[2]enemies!$1:$1,0)-MATCH($L$1,[2]enemies!$1:$1,0)+1),MATCH(N$1,[2]enemies!$1:$1,0)-MATCH($L$1,[2]enemies!$1:$1,0)+1,FALSE)</f>
        <v>green</v>
      </c>
      <c r="O858" s="21" t="str">
        <f ca="1">VLOOKUP($L858,OFFSET([3]characters!$A$1,0,0,COUNTA([3]characters!$A:$A),MATCH(O$1,[3]characters!$1:$1,0)-MATCH($L$1,[3]characters!$1:$1,0)+1),MATCH(O$1,[3]characters!$1:$1,0)-MATCH($L$1,[3]characters!$1:$1,0)+1,FALSE)</f>
        <v>Drop1N</v>
      </c>
      <c r="P858" s="21" t="str">
        <f ca="1">VLOOKUP($L858,OFFSET([2]enemies!$A$1,0,0,COUNTA([2]enemies!$A:$A),MATCH(P$1,[2]enemies!$1:$1,0)-MATCH($L$1,[2]enemies!$1:$1,0)+1),MATCH(P$1,[2]enemies!$1:$1,0)-MATCH($L$1,[2]enemies!$1:$1,0)+1,FALSE)</f>
        <v>animal</v>
      </c>
      <c r="Q858" s="21">
        <f ca="1">VLOOKUP($L858,OFFSET([2]enemies!$A$1,0,0,COUNTA([2]enemies!$A:$A),MATCH(Q$1,[2]enemies!$1:$1,0)-MATCH($L$1,[2]enemies!$1:$1,0)+1),MATCH(Q$1,[2]enemies!$1:$1,0)-MATCH($L$1,[2]enemies!$1:$1,0)+1,FALSE)</f>
        <v>15</v>
      </c>
      <c r="R858" s="53">
        <v>56</v>
      </c>
      <c r="S858" s="27">
        <v>1</v>
      </c>
      <c r="T858" s="27">
        <v>1</v>
      </c>
      <c r="U858" s="5">
        <v>0</v>
      </c>
      <c r="V858" s="4" t="str">
        <f ca="1">VLOOKUP($W858,OFFSET([4]enemy_skill_sets!$B$1,0,0,COUNTA([4]enemy_skill_sets!$B:$B),MATCH(M$1,[4]enemy_skill_sets!$1:$1,0)-MATCH($W$1,[4]enemy_skill_sets!$1:$1,0)+2),MATCH(M$1,[4]enemy_skill_sets!$1:$1,0)-MATCH($W$1,[4]enemy_skill_sets!$1:$1,0)+2,FALSE)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58" s="4">
        <f ca="1">VLOOKUP($L858,OFFSET([2]enemies!$A$1,0,0,COUNTA([2]enemies!$A:$A),MATCH(W$1,[2]enemies!$1:$1,0)-MATCH($L$1,[2]enemies!$1:$1,0)+1),MATCH(W$1,[2]enemies!$1:$1,0)-MATCH($L$1,[2]enemies!$1:$1,0)+1,FALSE)</f>
        <v>59</v>
      </c>
      <c r="X858" s="6">
        <v>0</v>
      </c>
      <c r="Y858" s="6">
        <v>100</v>
      </c>
      <c r="Z858" s="6">
        <v>0</v>
      </c>
      <c r="AA858" s="4">
        <f ca="1">VLOOKUP($L858,OFFSET([2]enemies!$A$1,0,0,COUNTA([2]enemies!$A:$A),MATCH(AA$1,[2]enemies!$1:$1,0)-MATCH($L$1,[2]enemies!$1:$1,0)+1),MATCH(AA$1,[2]enemies!$1:$1,0)-MATCH($L$1,[2]enemies!$1:$1,0)+1,FALSE)</f>
        <v>2</v>
      </c>
      <c r="AB858" s="52">
        <v>59</v>
      </c>
      <c r="AC858" s="4" t="str">
        <f ca="1">VLOOKUP($AB858,OFFSET([3]characters!$A$1,0,0,COUNTA([3]characters!$A:$A),MATCH(AC$1,[3]characters!$1:$1,0)-MATCH("character_id",[3]characters!$1:$1,0)+1),MATCH(AC$1,[3]characters!$1:$1,0)-MATCH("character_id",[3]characters!$1:$1,0)+1,FALSE)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858" s="4">
        <f ca="1">VLOOKUP($AB858,OFFSET([3]characters!$A$1,0,0,COUNTA([3]characters!$A:$A),MATCH(AD$1,[3]characters!$1:$1,0)-MATCH("character_id",[3]characters!$1:$1,0)+1),MATCH(AD$1,[3]characters!$1:$1,0)-MATCH("character_id",[3]characters!$1:$1,0)+1,FALSE)</f>
        <v>2</v>
      </c>
      <c r="AE858" s="4" t="str">
        <f ca="1">VLOOKUP($AB858,OFFSET([3]characters!$A$1,0,0,COUNTA([3]characters!$A:$A),MATCH(AE$1,[3]characters!$1:$1,0)-MATCH("character_id",[3]characters!$1:$1,0)+1),MATCH(AE$1,[3]characters!$1:$1,0)-MATCH("character_id",[3]characters!$1:$1,0)+1,FALSE)</f>
        <v>Drop1N</v>
      </c>
      <c r="AF858" s="7">
        <v>7</v>
      </c>
      <c r="AG858" s="26">
        <f t="shared" ca="1" si="769"/>
        <v>2</v>
      </c>
      <c r="AH858" s="8">
        <v>20</v>
      </c>
      <c r="AI858" s="7">
        <v>0</v>
      </c>
      <c r="AJ858" s="7">
        <v>0</v>
      </c>
      <c r="AK858" s="7">
        <v>0</v>
      </c>
      <c r="AL858" s="7">
        <v>0</v>
      </c>
      <c r="AM858" s="7">
        <v>1</v>
      </c>
    </row>
    <row r="859" spans="1:39" ht="14" x14ac:dyDescent="0.15">
      <c r="A859" s="18" t="str">
        <f t="shared" ca="1" si="770"/>
        <v>26_4-5/61&lt;lv56&gt;s2</v>
      </c>
      <c r="B859" s="53">
        <v>26</v>
      </c>
      <c r="C859" s="51">
        <v>4</v>
      </c>
      <c r="D859" s="2" t="str">
        <f t="shared" si="777"/>
        <v>26_4</v>
      </c>
      <c r="E859" s="2" t="str">
        <f t="shared" si="777"/>
        <v>4_26_4</v>
      </c>
      <c r="F859" s="4" t="str">
        <f ca="1">VLOOKUP($D859,OFFSET([1]stages!$A$1,0,0,COUNTA([1]stages!$A:$A),MATCH(F$1,[1]stages!$2:$2,0)-MATCH($D$1,[1]stages!$2:$2,0)+1),MATCH(F$1,[1]stages!$2:$2,0)-MATCH($D$1,[1]stages!$2:$2,0)+1,FALSE)</f>
        <v>26-4．今夜はダークナイト</v>
      </c>
      <c r="G859" s="57">
        <v>5</v>
      </c>
      <c r="H859" s="17" t="str">
        <f t="shared" si="778"/>
        <v>26_4-5</v>
      </c>
      <c r="I859" s="17"/>
      <c r="J859" s="17"/>
      <c r="K859" s="65" t="s">
        <v>56</v>
      </c>
      <c r="L859" s="52">
        <v>61</v>
      </c>
      <c r="M859" s="21" t="str">
        <f ca="1">VLOOKUP($L859,OFFSET([2]enemies!$A$1,0,0,COUNTA([2]enemies!$A:$A),MATCH(M$1,[2]enemies!$1:$1,0)-MATCH($L$1,[2]enemies!$1:$1,0)+1),MATCH(M$1,[2]enemies!$1:$1,0)-MATCH($L$1,[2]enemies!$1:$1,0)+1,FALSE)</f>
        <v>クロウ</v>
      </c>
      <c r="N859" s="21" t="str">
        <f ca="1">VLOOKUP($L859,OFFSET([2]enemies!$A$1,0,0,COUNTA([2]enemies!$A:$A),MATCH(N$1,[2]enemies!$1:$1,0)-MATCH($L$1,[2]enemies!$1:$1,0)+1),MATCH(N$1,[2]enemies!$1:$1,0)-MATCH($L$1,[2]enemies!$1:$1,0)+1,FALSE)</f>
        <v>blue</v>
      </c>
      <c r="O859" s="21" t="str">
        <f ca="1">VLOOKUP($L859,OFFSET([3]characters!$A$1,0,0,COUNTA([3]characters!$A:$A),MATCH(O$1,[3]characters!$1:$1,0)-MATCH($L$1,[3]characters!$1:$1,0)+1),MATCH(O$1,[3]characters!$1:$1,0)-MATCH($L$1,[3]characters!$1:$1,0)+1,FALSE)</f>
        <v>Drop1N</v>
      </c>
      <c r="P859" s="21" t="str">
        <f ca="1">VLOOKUP($L859,OFFSET([2]enemies!$A$1,0,0,COUNTA([2]enemies!$A:$A),MATCH(P$1,[2]enemies!$1:$1,0)-MATCH($L$1,[2]enemies!$1:$1,0)+1),MATCH(P$1,[2]enemies!$1:$1,0)-MATCH($L$1,[2]enemies!$1:$1,0)+1,FALSE)</f>
        <v>animal</v>
      </c>
      <c r="Q859" s="21">
        <f ca="1">VLOOKUP($L859,OFFSET([2]enemies!$A$1,0,0,COUNTA([2]enemies!$A:$A),MATCH(Q$1,[2]enemies!$1:$1,0)-MATCH($L$1,[2]enemies!$1:$1,0)+1),MATCH(Q$1,[2]enemies!$1:$1,0)-MATCH($L$1,[2]enemies!$1:$1,0)+1,FALSE)</f>
        <v>15</v>
      </c>
      <c r="R859" s="53">
        <v>56</v>
      </c>
      <c r="S859" s="27">
        <v>1</v>
      </c>
      <c r="T859" s="27">
        <v>1</v>
      </c>
      <c r="U859" s="5">
        <v>0</v>
      </c>
      <c r="V859" s="4" t="str">
        <f ca="1">VLOOKUP($W859,OFFSET([4]enemy_skill_sets!$B$1,0,0,COUNTA([4]enemy_skill_sets!$B:$B),MATCH(M$1,[4]enemy_skill_sets!$1:$1,0)-MATCH($W$1,[4]enemy_skill_sets!$1:$1,0)+2),MATCH(M$1,[4]enemy_skill_sets!$1:$1,0)-MATCH($W$1,[4]enemy_skill_sets!$1:$1,0)+2,FALSE)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59" s="4">
        <f ca="1">VLOOKUP($L859,OFFSET([2]enemies!$A$1,0,0,COUNTA([2]enemies!$A:$A),MATCH(W$1,[2]enemies!$1:$1,0)-MATCH($L$1,[2]enemies!$1:$1,0)+1),MATCH(W$1,[2]enemies!$1:$1,0)-MATCH($L$1,[2]enemies!$1:$1,0)+1,FALSE)</f>
        <v>61</v>
      </c>
      <c r="X859" s="6">
        <v>0</v>
      </c>
      <c r="Y859" s="6">
        <v>100</v>
      </c>
      <c r="Z859" s="6">
        <v>0</v>
      </c>
      <c r="AA859" s="4">
        <f ca="1">VLOOKUP($L859,OFFSET([2]enemies!$A$1,0,0,COUNTA([2]enemies!$A:$A),MATCH(AA$1,[2]enemies!$1:$1,0)-MATCH($L$1,[2]enemies!$1:$1,0)+1),MATCH(AA$1,[2]enemies!$1:$1,0)-MATCH($L$1,[2]enemies!$1:$1,0)+1,FALSE)</f>
        <v>2</v>
      </c>
      <c r="AB859" s="52">
        <v>61</v>
      </c>
      <c r="AC859" s="4" t="str">
        <f ca="1">VLOOKUP($AB859,OFFSET([3]characters!$A$1,0,0,COUNTA([3]characters!$A:$A),MATCH(AC$1,[3]characters!$1:$1,0)-MATCH("character_id",[3]characters!$1:$1,0)+1),MATCH(AC$1,[3]characters!$1:$1,0)-MATCH("character_id",[3]characters!$1:$1,0)+1,FALSE)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859" s="4">
        <f ca="1">VLOOKUP($AB859,OFFSET([3]characters!$A$1,0,0,COUNTA([3]characters!$A:$A),MATCH(AD$1,[3]characters!$1:$1,0)-MATCH("character_id",[3]characters!$1:$1,0)+1),MATCH(AD$1,[3]characters!$1:$1,0)-MATCH("character_id",[3]characters!$1:$1,0)+1,FALSE)</f>
        <v>2</v>
      </c>
      <c r="AE859" s="4" t="str">
        <f ca="1">VLOOKUP($AB859,OFFSET([3]characters!$A$1,0,0,COUNTA([3]characters!$A:$A),MATCH(AE$1,[3]characters!$1:$1,0)-MATCH("character_id",[3]characters!$1:$1,0)+1),MATCH(AE$1,[3]characters!$1:$1,0)-MATCH("character_id",[3]characters!$1:$1,0)+1,FALSE)</f>
        <v>Drop1N</v>
      </c>
      <c r="AF859" s="7">
        <v>7</v>
      </c>
      <c r="AG859" s="26">
        <f t="shared" ca="1" si="769"/>
        <v>2</v>
      </c>
      <c r="AH859" s="8">
        <v>20</v>
      </c>
      <c r="AI859" s="7">
        <v>0</v>
      </c>
      <c r="AJ859" s="7">
        <v>0</v>
      </c>
      <c r="AK859" s="7">
        <v>0</v>
      </c>
      <c r="AL859" s="7">
        <v>0</v>
      </c>
      <c r="AM859" s="7">
        <v>1</v>
      </c>
    </row>
    <row r="860" spans="1:39" ht="14" x14ac:dyDescent="0.15">
      <c r="A860" s="18" t="str">
        <f t="shared" ca="1" si="770"/>
        <v>26_4-5/63&lt;lv56&gt;s2</v>
      </c>
      <c r="B860" s="53">
        <v>26</v>
      </c>
      <c r="C860" s="51">
        <v>4</v>
      </c>
      <c r="D860" s="2" t="str">
        <f t="shared" si="777"/>
        <v>26_4</v>
      </c>
      <c r="E860" s="2" t="str">
        <f t="shared" si="777"/>
        <v>4_26_4</v>
      </c>
      <c r="F860" s="4" t="str">
        <f ca="1">VLOOKUP($D860,OFFSET([1]stages!$A$1,0,0,COUNTA([1]stages!$A:$A),MATCH(F$1,[1]stages!$2:$2,0)-MATCH($D$1,[1]stages!$2:$2,0)+1),MATCH(F$1,[1]stages!$2:$2,0)-MATCH($D$1,[1]stages!$2:$2,0)+1,FALSE)</f>
        <v>26-4．今夜はダークナイト</v>
      </c>
      <c r="G860" s="57">
        <v>5</v>
      </c>
      <c r="H860" s="17" t="str">
        <f t="shared" si="778"/>
        <v>26_4-5</v>
      </c>
      <c r="I860" s="17"/>
      <c r="J860" s="17"/>
      <c r="K860" s="65" t="s">
        <v>56</v>
      </c>
      <c r="L860" s="52">
        <v>63</v>
      </c>
      <c r="M860" s="21" t="str">
        <f ca="1">VLOOKUP($L860,OFFSET([2]enemies!$A$1,0,0,COUNTA([2]enemies!$A:$A),MATCH(M$1,[2]enemies!$1:$1,0)-MATCH($L$1,[2]enemies!$1:$1,0)+1),MATCH(M$1,[2]enemies!$1:$1,0)-MATCH($L$1,[2]enemies!$1:$1,0)+1,FALSE)</f>
        <v>トニー</v>
      </c>
      <c r="N860" s="21" t="str">
        <f ca="1">VLOOKUP($L860,OFFSET([2]enemies!$A$1,0,0,COUNTA([2]enemies!$A:$A),MATCH(N$1,[2]enemies!$1:$1,0)-MATCH($L$1,[2]enemies!$1:$1,0)+1),MATCH(N$1,[2]enemies!$1:$1,0)-MATCH($L$1,[2]enemies!$1:$1,0)+1,FALSE)</f>
        <v>yellow</v>
      </c>
      <c r="O860" s="21" t="str">
        <f ca="1">VLOOKUP($L860,OFFSET([3]characters!$A$1,0,0,COUNTA([3]characters!$A:$A),MATCH(O$1,[3]characters!$1:$1,0)-MATCH($L$1,[3]characters!$1:$1,0)+1),MATCH(O$1,[3]characters!$1:$1,0)-MATCH($L$1,[3]characters!$1:$1,0)+1,FALSE)</f>
        <v>Drop1N</v>
      </c>
      <c r="P860" s="21" t="str">
        <f ca="1">VLOOKUP($L860,OFFSET([2]enemies!$A$1,0,0,COUNTA([2]enemies!$A:$A),MATCH(P$1,[2]enemies!$1:$1,0)-MATCH($L$1,[2]enemies!$1:$1,0)+1),MATCH(P$1,[2]enemies!$1:$1,0)-MATCH($L$1,[2]enemies!$1:$1,0)+1,FALSE)</f>
        <v>animal</v>
      </c>
      <c r="Q860" s="21">
        <f ca="1">VLOOKUP($L860,OFFSET([2]enemies!$A$1,0,0,COUNTA([2]enemies!$A:$A),MATCH(Q$1,[2]enemies!$1:$1,0)-MATCH($L$1,[2]enemies!$1:$1,0)+1),MATCH(Q$1,[2]enemies!$1:$1,0)-MATCH($L$1,[2]enemies!$1:$1,0)+1,FALSE)</f>
        <v>15</v>
      </c>
      <c r="R860" s="53">
        <v>56</v>
      </c>
      <c r="S860" s="27">
        <v>1</v>
      </c>
      <c r="T860" s="27">
        <v>1</v>
      </c>
      <c r="U860" s="5">
        <v>0</v>
      </c>
      <c r="V860" s="4" t="str">
        <f ca="1">VLOOKUP($W860,OFFSET([4]enemy_skill_sets!$B$1,0,0,COUNTA([4]enemy_skill_sets!$B:$B),MATCH(M$1,[4]enemy_skill_sets!$1:$1,0)-MATCH($W$1,[4]enemy_skill_sets!$1:$1,0)+2),MATCH(M$1,[4]enemy_skill_sets!$1:$1,0)-MATCH($W$1,[4]enemy_skill_sets!$1:$1,0)+2,FALSE)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860" s="4">
        <f ca="1">VLOOKUP($L860,OFFSET([2]enemies!$A$1,0,0,COUNTA([2]enemies!$A:$A),MATCH(W$1,[2]enemies!$1:$1,0)-MATCH($L$1,[2]enemies!$1:$1,0)+1),MATCH(W$1,[2]enemies!$1:$1,0)-MATCH($L$1,[2]enemies!$1:$1,0)+1,FALSE)</f>
        <v>63</v>
      </c>
      <c r="X860" s="6">
        <v>0</v>
      </c>
      <c r="Y860" s="6">
        <v>100</v>
      </c>
      <c r="Z860" s="6">
        <v>0</v>
      </c>
      <c r="AA860" s="4">
        <f ca="1">VLOOKUP($L860,OFFSET([2]enemies!$A$1,0,0,COUNTA([2]enemies!$A:$A),MATCH(AA$1,[2]enemies!$1:$1,0)-MATCH($L$1,[2]enemies!$1:$1,0)+1),MATCH(AA$1,[2]enemies!$1:$1,0)-MATCH($L$1,[2]enemies!$1:$1,0)+1,FALSE)</f>
        <v>2</v>
      </c>
      <c r="AB860" s="52">
        <v>63</v>
      </c>
      <c r="AC860" s="4" t="str">
        <f ca="1">VLOOKUP($AB860,OFFSET([3]characters!$A$1,0,0,COUNTA([3]characters!$A:$A),MATCH(AC$1,[3]characters!$1:$1,0)-MATCH("character_id",[3]characters!$1:$1,0)+1),MATCH(AC$1,[3]characters!$1:$1,0)-MATCH("character_id",[3]characters!$1:$1,0)+1,FALSE)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860" s="4">
        <f ca="1">VLOOKUP($AB860,OFFSET([3]characters!$A$1,0,0,COUNTA([3]characters!$A:$A),MATCH(AD$1,[3]characters!$1:$1,0)-MATCH("character_id",[3]characters!$1:$1,0)+1),MATCH(AD$1,[3]characters!$1:$1,0)-MATCH("character_id",[3]characters!$1:$1,0)+1,FALSE)</f>
        <v>2</v>
      </c>
      <c r="AE860" s="4" t="str">
        <f ca="1">VLOOKUP($AB860,OFFSET([3]characters!$A$1,0,0,COUNTA([3]characters!$A:$A),MATCH(AE$1,[3]characters!$1:$1,0)-MATCH("character_id",[3]characters!$1:$1,0)+1),MATCH(AE$1,[3]characters!$1:$1,0)-MATCH("character_id",[3]characters!$1:$1,0)+1,FALSE)</f>
        <v>Drop1N</v>
      </c>
      <c r="AF860" s="7">
        <v>7</v>
      </c>
      <c r="AG860" s="26">
        <f t="shared" ca="1" si="769"/>
        <v>2</v>
      </c>
      <c r="AH860" s="8">
        <v>20</v>
      </c>
      <c r="AI860" s="7">
        <v>0</v>
      </c>
      <c r="AJ860" s="7">
        <v>0</v>
      </c>
      <c r="AK860" s="7">
        <v>0</v>
      </c>
      <c r="AL860" s="7">
        <v>0</v>
      </c>
      <c r="AM860" s="7">
        <v>1</v>
      </c>
    </row>
    <row r="861" spans="1:39" ht="14" x14ac:dyDescent="0.15">
      <c r="A861" s="18" t="str">
        <f t="shared" ca="1" si="770"/>
        <v>26_4-5/360&lt;lv56&gt;s3</v>
      </c>
      <c r="B861" s="53">
        <v>26</v>
      </c>
      <c r="C861" s="51">
        <v>4</v>
      </c>
      <c r="D861" s="2" t="str">
        <f t="shared" ref="D861:D864" si="779">B861&amp;"_"&amp;C861</f>
        <v>26_4</v>
      </c>
      <c r="E861" s="2" t="str">
        <f t="shared" ref="E861:E864" si="780">C861&amp;"_"&amp;D861</f>
        <v>4_26_4</v>
      </c>
      <c r="F861" s="4" t="str">
        <f ca="1">VLOOKUP($D861,OFFSET([1]stages!$A$1,0,0,COUNTA([1]stages!$A:$A),MATCH(F$1,[1]stages!$2:$2,0)-MATCH($D$1,[1]stages!$2:$2,0)+1),MATCH(F$1,[1]stages!$2:$2,0)-MATCH($D$1,[1]stages!$2:$2,0)+1,FALSE)</f>
        <v>26-4．今夜はダークナイト</v>
      </c>
      <c r="G861" s="57">
        <v>5</v>
      </c>
      <c r="H861" s="17" t="str">
        <f t="shared" ref="H861:H864" si="781">B861&amp;"_"&amp;C861&amp;"-"&amp;G861</f>
        <v>26_4-5</v>
      </c>
      <c r="I861" s="17"/>
      <c r="J861" s="17"/>
      <c r="K861" s="65" t="s">
        <v>56</v>
      </c>
      <c r="L861" s="52">
        <v>360</v>
      </c>
      <c r="M861" s="21" t="str">
        <f ca="1">VLOOKUP($L861,OFFSET([2]enemies!$A$1,0,0,COUNTA([2]enemies!$A:$A),MATCH(M$1,[2]enemies!$1:$1,0)-MATCH($L$1,[2]enemies!$1:$1,0)+1),MATCH(M$1,[2]enemies!$1:$1,0)-MATCH($L$1,[2]enemies!$1:$1,0)+1,FALSE)</f>
        <v>ガンテツ</v>
      </c>
      <c r="N861" s="21" t="str">
        <f ca="1">VLOOKUP($L861,OFFSET([2]enemies!$A$1,0,0,COUNTA([2]enemies!$A:$A),MATCH(N$1,[2]enemies!$1:$1,0)-MATCH($L$1,[2]enemies!$1:$1,0)+1),MATCH(N$1,[2]enemies!$1:$1,0)-MATCH($L$1,[2]enemies!$1:$1,0)+1,FALSE)</f>
        <v>red</v>
      </c>
      <c r="O861" s="21" t="str">
        <f ca="1">VLOOKUP($L861,OFFSET([3]characters!$A$1,0,0,COUNTA([3]characters!$A:$A),MATCH(O$1,[3]characters!$1:$1,0)-MATCH($L$1,[3]characters!$1:$1,0)+1),MATCH(O$1,[3]characters!$1:$1,0)-MATCH($L$1,[3]characters!$1:$1,0)+1,FALSE)</f>
        <v>Drop1S</v>
      </c>
      <c r="P861" s="21" t="str">
        <f ca="1">VLOOKUP($L861,OFFSET([2]enemies!$A$1,0,0,COUNTA([2]enemies!$A:$A),MATCH(P$1,[2]enemies!$1:$1,0)-MATCH($L$1,[2]enemies!$1:$1,0)+1),MATCH(P$1,[2]enemies!$1:$1,0)-MATCH($L$1,[2]enemies!$1:$1,0)+1,FALSE)</f>
        <v>animal</v>
      </c>
      <c r="Q861" s="21">
        <f ca="1">VLOOKUP($L861,OFFSET([2]enemies!$A$1,0,0,COUNTA([2]enemies!$A:$A),MATCH(Q$1,[2]enemies!$1:$1,0)-MATCH($L$1,[2]enemies!$1:$1,0)+1),MATCH(Q$1,[2]enemies!$1:$1,0)-MATCH($L$1,[2]enemies!$1:$1,0)+1,FALSE)</f>
        <v>15</v>
      </c>
      <c r="R861" s="53">
        <v>56</v>
      </c>
      <c r="S861" s="27">
        <v>1</v>
      </c>
      <c r="T861" s="27">
        <v>1</v>
      </c>
      <c r="U861" s="5">
        <v>0</v>
      </c>
      <c r="V861" s="4" t="str">
        <f ca="1">VLOOKUP($W861,OFFSET([4]enemy_skill_sets!$B$1,0,0,COUNTA([4]enemy_skill_sets!$B:$B),MATCH(M$1,[4]enemy_skill_sets!$1:$1,0)-MATCH($W$1,[4]enemy_skill_sets!$1:$1,0)+2),MATCH(M$1,[4]enemy_skill_sets!$1:$1,0)-MATCH($W$1,[4]enemy_skill_sets!$1:$1,0)+2,FALSE)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861" s="76">
        <v>360</v>
      </c>
      <c r="X861" s="6">
        <v>0</v>
      </c>
      <c r="Y861" s="6">
        <v>100</v>
      </c>
      <c r="Z861" s="6">
        <v>0</v>
      </c>
      <c r="AA861" s="4">
        <f ca="1">VLOOKUP($L861,OFFSET([2]enemies!$A$1,0,0,COUNTA([2]enemies!$A:$A),MATCH(AA$1,[2]enemies!$1:$1,0)-MATCH($L$1,[2]enemies!$1:$1,0)+1),MATCH(AA$1,[2]enemies!$1:$1,0)-MATCH($L$1,[2]enemies!$1:$1,0)+1,FALSE)</f>
        <v>3</v>
      </c>
      <c r="AB861" s="52">
        <v>360</v>
      </c>
      <c r="AC861" s="4" t="str">
        <f ca="1">VLOOKUP($AB861,OFFSET([3]characters!$A$1,0,0,COUNTA([3]characters!$A:$A),MATCH(AC$1,[3]characters!$1:$1,0)-MATCH("character_id",[3]characters!$1:$1,0)+1),MATCH(AC$1,[3]characters!$1:$1,0)-MATCH("character_id",[3]characters!$1:$1,0)+1,FALSE)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861" s="4">
        <f ca="1">VLOOKUP($AB861,OFFSET([3]characters!$A$1,0,0,COUNTA([3]characters!$A:$A),MATCH(AD$1,[3]characters!$1:$1,0)-MATCH("character_id",[3]characters!$1:$1,0)+1),MATCH(AD$1,[3]characters!$1:$1,0)-MATCH("character_id",[3]characters!$1:$1,0)+1,FALSE)</f>
        <v>2</v>
      </c>
      <c r="AE861" s="4" t="str">
        <f ca="1">VLOOKUP($AB861,OFFSET([3]characters!$A$1,0,0,COUNTA([3]characters!$A:$A),MATCH(AE$1,[3]characters!$1:$1,0)-MATCH("character_id",[3]characters!$1:$1,0)+1),MATCH(AE$1,[3]characters!$1:$1,0)-MATCH("character_id",[3]characters!$1:$1,0)+1,FALSE)</f>
        <v>Drop1S</v>
      </c>
      <c r="AF861" s="7">
        <v>7</v>
      </c>
      <c r="AG861" s="26">
        <f t="shared" ca="1" si="769"/>
        <v>2</v>
      </c>
      <c r="AH861" s="8">
        <v>20</v>
      </c>
      <c r="AI861" s="7">
        <v>0</v>
      </c>
      <c r="AJ861" s="7">
        <v>0</v>
      </c>
      <c r="AK861" s="7">
        <v>0</v>
      </c>
      <c r="AL861" s="7">
        <v>0</v>
      </c>
      <c r="AM861" s="7">
        <v>1</v>
      </c>
    </row>
    <row r="862" spans="1:39" ht="14" x14ac:dyDescent="0.15">
      <c r="A862" s="18" t="str">
        <f t="shared" ca="1" si="770"/>
        <v>26_4-5/362&lt;lv56&gt;s3</v>
      </c>
      <c r="B862" s="53">
        <v>26</v>
      </c>
      <c r="C862" s="51">
        <v>4</v>
      </c>
      <c r="D862" s="2" t="str">
        <f t="shared" si="779"/>
        <v>26_4</v>
      </c>
      <c r="E862" s="2" t="str">
        <f t="shared" si="780"/>
        <v>4_26_4</v>
      </c>
      <c r="F862" s="4" t="str">
        <f ca="1">VLOOKUP($D862,OFFSET([1]stages!$A$1,0,0,COUNTA([1]stages!$A:$A),MATCH(F$1,[1]stages!$2:$2,0)-MATCH($D$1,[1]stages!$2:$2,0)+1),MATCH(F$1,[1]stages!$2:$2,0)-MATCH($D$1,[1]stages!$2:$2,0)+1,FALSE)</f>
        <v>26-4．今夜はダークナイト</v>
      </c>
      <c r="G862" s="57">
        <v>5</v>
      </c>
      <c r="H862" s="17" t="str">
        <f t="shared" si="781"/>
        <v>26_4-5</v>
      </c>
      <c r="I862" s="17"/>
      <c r="J862" s="17"/>
      <c r="K862" s="65" t="s">
        <v>56</v>
      </c>
      <c r="L862" s="52">
        <v>362</v>
      </c>
      <c r="M862" s="21" t="str">
        <f ca="1">VLOOKUP($L862,OFFSET([2]enemies!$A$1,0,0,COUNTA([2]enemies!$A:$A),MATCH(M$1,[2]enemies!$1:$1,0)-MATCH($L$1,[2]enemies!$1:$1,0)+1),MATCH(M$1,[2]enemies!$1:$1,0)-MATCH($L$1,[2]enemies!$1:$1,0)+1,FALSE)</f>
        <v>ゆらら</v>
      </c>
      <c r="N862" s="21" t="str">
        <f ca="1">VLOOKUP($L862,OFFSET([2]enemies!$A$1,0,0,COUNTA([2]enemies!$A:$A),MATCH(N$1,[2]enemies!$1:$1,0)-MATCH($L$1,[2]enemies!$1:$1,0)+1),MATCH(N$1,[2]enemies!$1:$1,0)-MATCH($L$1,[2]enemies!$1:$1,0)+1,FALSE)</f>
        <v>green</v>
      </c>
      <c r="O862" s="21" t="str">
        <f ca="1">VLOOKUP($L862,OFFSET([3]characters!$A$1,0,0,COUNTA([3]characters!$A:$A),MATCH(O$1,[3]characters!$1:$1,0)-MATCH($L$1,[3]characters!$1:$1,0)+1),MATCH(O$1,[3]characters!$1:$1,0)-MATCH($L$1,[3]characters!$1:$1,0)+1,FALSE)</f>
        <v>Drop1S</v>
      </c>
      <c r="P862" s="21" t="str">
        <f ca="1">VLOOKUP($L862,OFFSET([2]enemies!$A$1,0,0,COUNTA([2]enemies!$A:$A),MATCH(P$1,[2]enemies!$1:$1,0)-MATCH($L$1,[2]enemies!$1:$1,0)+1),MATCH(P$1,[2]enemies!$1:$1,0)-MATCH($L$1,[2]enemies!$1:$1,0)+1,FALSE)</f>
        <v>animal</v>
      </c>
      <c r="Q862" s="21">
        <f ca="1">VLOOKUP($L862,OFFSET([2]enemies!$A$1,0,0,COUNTA([2]enemies!$A:$A),MATCH(Q$1,[2]enemies!$1:$1,0)-MATCH($L$1,[2]enemies!$1:$1,0)+1),MATCH(Q$1,[2]enemies!$1:$1,0)-MATCH($L$1,[2]enemies!$1:$1,0)+1,FALSE)</f>
        <v>15</v>
      </c>
      <c r="R862" s="53">
        <v>56</v>
      </c>
      <c r="S862" s="27">
        <v>1</v>
      </c>
      <c r="T862" s="27">
        <v>1</v>
      </c>
      <c r="U862" s="5">
        <v>0</v>
      </c>
      <c r="V862" s="4" t="str">
        <f ca="1">VLOOKUP($W862,OFFSET([4]enemy_skill_sets!$B$1,0,0,COUNTA([4]enemy_skill_sets!$B:$B),MATCH(M$1,[4]enemy_skill_sets!$1:$1,0)-MATCH($W$1,[4]enemy_skill_sets!$1:$1,0)+2),MATCH(M$1,[4]enemy_skill_sets!$1:$1,0)-MATCH($W$1,[4]enemy_skill_sets!$1:$1,0)+2,FALSE)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862" s="64">
        <v>362</v>
      </c>
      <c r="X862" s="6">
        <v>0</v>
      </c>
      <c r="Y862" s="6">
        <v>100</v>
      </c>
      <c r="Z862" s="6">
        <v>0</v>
      </c>
      <c r="AA862" s="4">
        <f ca="1">VLOOKUP($L862,OFFSET([2]enemies!$A$1,0,0,COUNTA([2]enemies!$A:$A),MATCH(AA$1,[2]enemies!$1:$1,0)-MATCH($L$1,[2]enemies!$1:$1,0)+1),MATCH(AA$1,[2]enemies!$1:$1,0)-MATCH($L$1,[2]enemies!$1:$1,0)+1,FALSE)</f>
        <v>3</v>
      </c>
      <c r="AB862" s="52">
        <v>362</v>
      </c>
      <c r="AC862" s="4" t="str">
        <f ca="1">VLOOKUP($AB862,OFFSET([3]characters!$A$1,0,0,COUNTA([3]characters!$A:$A),MATCH(AC$1,[3]characters!$1:$1,0)-MATCH("character_id",[3]characters!$1:$1,0)+1),MATCH(AC$1,[3]characters!$1:$1,0)-MATCH("character_id",[3]characters!$1:$1,0)+1,FALSE)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862" s="4">
        <f ca="1">VLOOKUP($AB862,OFFSET([3]characters!$A$1,0,0,COUNTA([3]characters!$A:$A),MATCH(AD$1,[3]characters!$1:$1,0)-MATCH("character_id",[3]characters!$1:$1,0)+1),MATCH(AD$1,[3]characters!$1:$1,0)-MATCH("character_id",[3]characters!$1:$1,0)+1,FALSE)</f>
        <v>2</v>
      </c>
      <c r="AE862" s="4" t="str">
        <f ca="1">VLOOKUP($AB862,OFFSET([3]characters!$A$1,0,0,COUNTA([3]characters!$A:$A),MATCH(AE$1,[3]characters!$1:$1,0)-MATCH("character_id",[3]characters!$1:$1,0)+1),MATCH(AE$1,[3]characters!$1:$1,0)-MATCH("character_id",[3]characters!$1:$1,0)+1,FALSE)</f>
        <v>Drop1S</v>
      </c>
      <c r="AF862" s="7">
        <v>7</v>
      </c>
      <c r="AG862" s="26">
        <f t="shared" ca="1" si="769"/>
        <v>2</v>
      </c>
      <c r="AH862" s="8">
        <v>20</v>
      </c>
      <c r="AI862" s="7">
        <v>0</v>
      </c>
      <c r="AJ862" s="7">
        <v>0</v>
      </c>
      <c r="AK862" s="7">
        <v>0</v>
      </c>
      <c r="AL862" s="7">
        <v>0</v>
      </c>
      <c r="AM862" s="7">
        <v>1</v>
      </c>
    </row>
    <row r="863" spans="1:39" ht="14" x14ac:dyDescent="0.15">
      <c r="A863" s="18" t="str">
        <f t="shared" ca="1" si="770"/>
        <v>26_4-5/364&lt;lv56&gt;s3</v>
      </c>
      <c r="B863" s="53">
        <v>26</v>
      </c>
      <c r="C863" s="51">
        <v>4</v>
      </c>
      <c r="D863" s="2" t="str">
        <f t="shared" si="779"/>
        <v>26_4</v>
      </c>
      <c r="E863" s="2" t="str">
        <f t="shared" si="780"/>
        <v>4_26_4</v>
      </c>
      <c r="F863" s="4" t="str">
        <f ca="1">VLOOKUP($D863,OFFSET([1]stages!$A$1,0,0,COUNTA([1]stages!$A:$A),MATCH(F$1,[1]stages!$2:$2,0)-MATCH($D$1,[1]stages!$2:$2,0)+1),MATCH(F$1,[1]stages!$2:$2,0)-MATCH($D$1,[1]stages!$2:$2,0)+1,FALSE)</f>
        <v>26-4．今夜はダークナイト</v>
      </c>
      <c r="G863" s="57">
        <v>5</v>
      </c>
      <c r="H863" s="17" t="str">
        <f t="shared" si="781"/>
        <v>26_4-5</v>
      </c>
      <c r="I863" s="17"/>
      <c r="J863" s="17"/>
      <c r="K863" s="65" t="s">
        <v>56</v>
      </c>
      <c r="L863" s="52">
        <v>364</v>
      </c>
      <c r="M863" s="21" t="str">
        <f ca="1">VLOOKUP($L863,OFFSET([2]enemies!$A$1,0,0,COUNTA([2]enemies!$A:$A),MATCH(M$1,[2]enemies!$1:$1,0)-MATCH($L$1,[2]enemies!$1:$1,0)+1),MATCH(M$1,[2]enemies!$1:$1,0)-MATCH($L$1,[2]enemies!$1:$1,0)+1,FALSE)</f>
        <v>ノエル</v>
      </c>
      <c r="N863" s="21" t="str">
        <f ca="1">VLOOKUP($L863,OFFSET([2]enemies!$A$1,0,0,COUNTA([2]enemies!$A:$A),MATCH(N$1,[2]enemies!$1:$1,0)-MATCH($L$1,[2]enemies!$1:$1,0)+1),MATCH(N$1,[2]enemies!$1:$1,0)-MATCH($L$1,[2]enemies!$1:$1,0)+1,FALSE)</f>
        <v>blue</v>
      </c>
      <c r="O863" s="21" t="str">
        <f ca="1">VLOOKUP($L863,OFFSET([3]characters!$A$1,0,0,COUNTA([3]characters!$A:$A),MATCH(O$1,[3]characters!$1:$1,0)-MATCH($L$1,[3]characters!$1:$1,0)+1),MATCH(O$1,[3]characters!$1:$1,0)-MATCH($L$1,[3]characters!$1:$1,0)+1,FALSE)</f>
        <v>Drop1S</v>
      </c>
      <c r="P863" s="21" t="str">
        <f ca="1">VLOOKUP($L863,OFFSET([2]enemies!$A$1,0,0,COUNTA([2]enemies!$A:$A),MATCH(P$1,[2]enemies!$1:$1,0)-MATCH($L$1,[2]enemies!$1:$1,0)+1),MATCH(P$1,[2]enemies!$1:$1,0)-MATCH($L$1,[2]enemies!$1:$1,0)+1,FALSE)</f>
        <v>animal</v>
      </c>
      <c r="Q863" s="21">
        <f ca="1">VLOOKUP($L863,OFFSET([2]enemies!$A$1,0,0,COUNTA([2]enemies!$A:$A),MATCH(Q$1,[2]enemies!$1:$1,0)-MATCH($L$1,[2]enemies!$1:$1,0)+1),MATCH(Q$1,[2]enemies!$1:$1,0)-MATCH($L$1,[2]enemies!$1:$1,0)+1,FALSE)</f>
        <v>15</v>
      </c>
      <c r="R863" s="53">
        <v>56</v>
      </c>
      <c r="S863" s="27">
        <v>1</v>
      </c>
      <c r="T863" s="27">
        <v>1</v>
      </c>
      <c r="U863" s="5">
        <v>0</v>
      </c>
      <c r="V863" s="4" t="str">
        <f ca="1">VLOOKUP($W863,OFFSET([4]enemy_skill_sets!$B$1,0,0,COUNTA([4]enemy_skill_sets!$B:$B),MATCH(M$1,[4]enemy_skill_sets!$1:$1,0)-MATCH($W$1,[4]enemy_skill_sets!$1:$1,0)+2),MATCH(M$1,[4]enemy_skill_sets!$1:$1,0)-MATCH($W$1,[4]enemy_skill_sets!$1:$1,0)+2,FALSE)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863" s="64">
        <v>364</v>
      </c>
      <c r="X863" s="6">
        <v>0</v>
      </c>
      <c r="Y863" s="6">
        <v>100</v>
      </c>
      <c r="Z863" s="6">
        <v>0</v>
      </c>
      <c r="AA863" s="4">
        <f ca="1">VLOOKUP($L863,OFFSET([2]enemies!$A$1,0,0,COUNTA([2]enemies!$A:$A),MATCH(AA$1,[2]enemies!$1:$1,0)-MATCH($L$1,[2]enemies!$1:$1,0)+1),MATCH(AA$1,[2]enemies!$1:$1,0)-MATCH($L$1,[2]enemies!$1:$1,0)+1,FALSE)</f>
        <v>3</v>
      </c>
      <c r="AB863" s="52">
        <v>364</v>
      </c>
      <c r="AC863" s="4" t="str">
        <f ca="1">VLOOKUP($AB863,OFFSET([3]characters!$A$1,0,0,COUNTA([3]characters!$A:$A),MATCH(AC$1,[3]characters!$1:$1,0)-MATCH("character_id",[3]characters!$1:$1,0)+1),MATCH(AC$1,[3]characters!$1:$1,0)-MATCH("character_id",[3]characters!$1:$1,0)+1,FALSE)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863" s="4">
        <f ca="1">VLOOKUP($AB863,OFFSET([3]characters!$A$1,0,0,COUNTA([3]characters!$A:$A),MATCH(AD$1,[3]characters!$1:$1,0)-MATCH("character_id",[3]characters!$1:$1,0)+1),MATCH(AD$1,[3]characters!$1:$1,0)-MATCH("character_id",[3]characters!$1:$1,0)+1,FALSE)</f>
        <v>2</v>
      </c>
      <c r="AE863" s="4" t="str">
        <f ca="1">VLOOKUP($AB863,OFFSET([3]characters!$A$1,0,0,COUNTA([3]characters!$A:$A),MATCH(AE$1,[3]characters!$1:$1,0)-MATCH("character_id",[3]characters!$1:$1,0)+1),MATCH(AE$1,[3]characters!$1:$1,0)-MATCH("character_id",[3]characters!$1:$1,0)+1,FALSE)</f>
        <v>Drop1S</v>
      </c>
      <c r="AF863" s="7">
        <v>7</v>
      </c>
      <c r="AG863" s="26">
        <f t="shared" ca="1" si="769"/>
        <v>2</v>
      </c>
      <c r="AH863" s="8">
        <v>20</v>
      </c>
      <c r="AI863" s="7">
        <v>0</v>
      </c>
      <c r="AJ863" s="7">
        <v>0</v>
      </c>
      <c r="AK863" s="7">
        <v>0</v>
      </c>
      <c r="AL863" s="7">
        <v>0</v>
      </c>
      <c r="AM863" s="7">
        <v>1</v>
      </c>
    </row>
    <row r="864" spans="1:39" ht="14" x14ac:dyDescent="0.15">
      <c r="A864" s="18" t="str">
        <f t="shared" ca="1" si="770"/>
        <v>26_4-5/366&lt;lv56&gt;s3</v>
      </c>
      <c r="B864" s="53">
        <v>26</v>
      </c>
      <c r="C864" s="51">
        <v>4</v>
      </c>
      <c r="D864" s="2" t="str">
        <f t="shared" si="779"/>
        <v>26_4</v>
      </c>
      <c r="E864" s="2" t="str">
        <f t="shared" si="780"/>
        <v>4_26_4</v>
      </c>
      <c r="F864" s="4" t="str">
        <f ca="1">VLOOKUP($D864,OFFSET([1]stages!$A$1,0,0,COUNTA([1]stages!$A:$A),MATCH(F$1,[1]stages!$2:$2,0)-MATCH($D$1,[1]stages!$2:$2,0)+1),MATCH(F$1,[1]stages!$2:$2,0)-MATCH($D$1,[1]stages!$2:$2,0)+1,FALSE)</f>
        <v>26-4．今夜はダークナイト</v>
      </c>
      <c r="G864" s="57">
        <v>5</v>
      </c>
      <c r="H864" s="17" t="str">
        <f t="shared" si="781"/>
        <v>26_4-5</v>
      </c>
      <c r="I864" s="17"/>
      <c r="J864" s="17"/>
      <c r="K864" s="65" t="s">
        <v>56</v>
      </c>
      <c r="L864" s="52">
        <v>366</v>
      </c>
      <c r="M864" s="21" t="str">
        <f ca="1">VLOOKUP($L864,OFFSET([2]enemies!$A$1,0,0,COUNTA([2]enemies!$A:$A),MATCH(M$1,[2]enemies!$1:$1,0)-MATCH($L$1,[2]enemies!$1:$1,0)+1),MATCH(M$1,[2]enemies!$1:$1,0)-MATCH($L$1,[2]enemies!$1:$1,0)+1,FALSE)</f>
        <v>トト</v>
      </c>
      <c r="N864" s="21" t="str">
        <f ca="1">VLOOKUP($L864,OFFSET([2]enemies!$A$1,0,0,COUNTA([2]enemies!$A:$A),MATCH(N$1,[2]enemies!$1:$1,0)-MATCH($L$1,[2]enemies!$1:$1,0)+1),MATCH(N$1,[2]enemies!$1:$1,0)-MATCH($L$1,[2]enemies!$1:$1,0)+1,FALSE)</f>
        <v>yellow</v>
      </c>
      <c r="O864" s="21" t="str">
        <f ca="1">VLOOKUP($L864,OFFSET([3]characters!$A$1,0,0,COUNTA([3]characters!$A:$A),MATCH(O$1,[3]characters!$1:$1,0)-MATCH($L$1,[3]characters!$1:$1,0)+1),MATCH(O$1,[3]characters!$1:$1,0)-MATCH($L$1,[3]characters!$1:$1,0)+1,FALSE)</f>
        <v>Drop1S</v>
      </c>
      <c r="P864" s="21" t="str">
        <f ca="1">VLOOKUP($L864,OFFSET([2]enemies!$A$1,0,0,COUNTA([2]enemies!$A:$A),MATCH(P$1,[2]enemies!$1:$1,0)-MATCH($L$1,[2]enemies!$1:$1,0)+1),MATCH(P$1,[2]enemies!$1:$1,0)-MATCH($L$1,[2]enemies!$1:$1,0)+1,FALSE)</f>
        <v>animal</v>
      </c>
      <c r="Q864" s="21">
        <f ca="1">VLOOKUP($L864,OFFSET([2]enemies!$A$1,0,0,COUNTA([2]enemies!$A:$A),MATCH(Q$1,[2]enemies!$1:$1,0)-MATCH($L$1,[2]enemies!$1:$1,0)+1),MATCH(Q$1,[2]enemies!$1:$1,0)-MATCH($L$1,[2]enemies!$1:$1,0)+1,FALSE)</f>
        <v>15</v>
      </c>
      <c r="R864" s="53">
        <v>56</v>
      </c>
      <c r="S864" s="27">
        <v>1</v>
      </c>
      <c r="T864" s="27">
        <v>1</v>
      </c>
      <c r="U864" s="5">
        <v>0</v>
      </c>
      <c r="V864" s="4" t="str">
        <f ca="1">VLOOKUP($W864,OFFSET([4]enemy_skill_sets!$B$1,0,0,COUNTA([4]enemy_skill_sets!$B:$B),MATCH(M$1,[4]enemy_skill_sets!$1:$1,0)-MATCH($W$1,[4]enemy_skill_sets!$1:$1,0)+2),MATCH(M$1,[4]enemy_skill_sets!$1:$1,0)-MATCH($W$1,[4]enemy_skill_sets!$1:$1,0)+2,FALSE)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864" s="64">
        <v>366</v>
      </c>
      <c r="X864" s="6">
        <v>0</v>
      </c>
      <c r="Y864" s="6">
        <v>100</v>
      </c>
      <c r="Z864" s="6">
        <v>0</v>
      </c>
      <c r="AA864" s="4">
        <f ca="1">VLOOKUP($L864,OFFSET([2]enemies!$A$1,0,0,COUNTA([2]enemies!$A:$A),MATCH(AA$1,[2]enemies!$1:$1,0)-MATCH($L$1,[2]enemies!$1:$1,0)+1),MATCH(AA$1,[2]enemies!$1:$1,0)-MATCH($L$1,[2]enemies!$1:$1,0)+1,FALSE)</f>
        <v>3</v>
      </c>
      <c r="AB864" s="52">
        <v>366</v>
      </c>
      <c r="AC864" s="4" t="str">
        <f ca="1">VLOOKUP($AB864,OFFSET([3]characters!$A$1,0,0,COUNTA([3]characters!$A:$A),MATCH(AC$1,[3]characters!$1:$1,0)-MATCH("character_id",[3]characters!$1:$1,0)+1),MATCH(AC$1,[3]characters!$1:$1,0)-MATCH("character_id",[3]characters!$1:$1,0)+1,FALSE)</f>
        <v>トト</v>
      </c>
      <c r="AD864" s="4">
        <f ca="1">VLOOKUP($AB864,OFFSET([3]characters!$A$1,0,0,COUNTA([3]characters!$A:$A),MATCH(AD$1,[3]characters!$1:$1,0)-MATCH("character_id",[3]characters!$1:$1,0)+1),MATCH(AD$1,[3]characters!$1:$1,0)-MATCH("character_id",[3]characters!$1:$1,0)+1,FALSE)</f>
        <v>2</v>
      </c>
      <c r="AE864" s="4" t="str">
        <f ca="1">VLOOKUP($AB864,OFFSET([3]characters!$A$1,0,0,COUNTA([3]characters!$A:$A),MATCH(AE$1,[3]characters!$1:$1,0)-MATCH("character_id",[3]characters!$1:$1,0)+1),MATCH(AE$1,[3]characters!$1:$1,0)-MATCH("character_id",[3]characters!$1:$1,0)+1,FALSE)</f>
        <v>Drop1S</v>
      </c>
      <c r="AF864" s="7">
        <v>7</v>
      </c>
      <c r="AG864" s="26">
        <f t="shared" ca="1" si="769"/>
        <v>2</v>
      </c>
      <c r="AH864" s="8">
        <v>20</v>
      </c>
      <c r="AI864" s="7">
        <v>0</v>
      </c>
      <c r="AJ864" s="7">
        <v>0</v>
      </c>
      <c r="AK864" s="7">
        <v>0</v>
      </c>
      <c r="AL864" s="7">
        <v>0</v>
      </c>
      <c r="AM864" s="7">
        <v>1</v>
      </c>
    </row>
    <row r="865" spans="1:39" ht="14" x14ac:dyDescent="0.15">
      <c r="A865" s="18" t="str">
        <f t="shared" ca="1" si="770"/>
        <v>26_4-5/350&lt;lv56&gt;s3</v>
      </c>
      <c r="B865" s="53">
        <v>26</v>
      </c>
      <c r="C865" s="51">
        <v>4</v>
      </c>
      <c r="D865" s="2" t="str">
        <f t="shared" ref="D865:D866" si="782">B865&amp;"_"&amp;C865</f>
        <v>26_4</v>
      </c>
      <c r="E865" s="2" t="str">
        <f t="shared" ref="E865:E866" si="783">C865&amp;"_"&amp;D865</f>
        <v>4_26_4</v>
      </c>
      <c r="F865" s="4" t="str">
        <f ca="1">VLOOKUP($D865,OFFSET([1]stages!$A$1,0,0,COUNTA([1]stages!$A:$A),MATCH(F$1,[1]stages!$2:$2,0)-MATCH($D$1,[1]stages!$2:$2,0)+1),MATCH(F$1,[1]stages!$2:$2,0)-MATCH($D$1,[1]stages!$2:$2,0)+1,FALSE)</f>
        <v>26-4．今夜はダークナイト</v>
      </c>
      <c r="G865" s="57">
        <v>5</v>
      </c>
      <c r="H865" s="17" t="str">
        <f t="shared" ref="H865:H866" si="784">B865&amp;"_"&amp;C865&amp;"-"&amp;G865</f>
        <v>26_4-5</v>
      </c>
      <c r="I865" s="17"/>
      <c r="J865" s="17"/>
      <c r="K865" s="65" t="s">
        <v>56</v>
      </c>
      <c r="L865" s="52">
        <v>350</v>
      </c>
      <c r="M865" s="21" t="str">
        <f ca="1">VLOOKUP($L865,OFFSET([2]enemies!$A$1,0,0,COUNTA([2]enemies!$A:$A),MATCH(M$1,[2]enemies!$1:$1,0)-MATCH($L$1,[2]enemies!$1:$1,0)+1),MATCH(M$1,[2]enemies!$1:$1,0)-MATCH($L$1,[2]enemies!$1:$1,0)+1,FALSE)</f>
        <v>森のケロケロ</v>
      </c>
      <c r="N865" s="21" t="str">
        <f ca="1">VLOOKUP($L865,OFFSET([2]enemies!$A$1,0,0,COUNTA([2]enemies!$A:$A),MATCH(N$1,[2]enemies!$1:$1,0)-MATCH($L$1,[2]enemies!$1:$1,0)+1),MATCH(N$1,[2]enemies!$1:$1,0)-MATCH($L$1,[2]enemies!$1:$1,0)+1,FALSE)</f>
        <v>green</v>
      </c>
      <c r="O865" s="21" t="str">
        <f ca="1">VLOOKUP($L865,OFFSET([3]characters!$A$1,0,0,COUNTA([3]characters!$A:$A),MATCH(O$1,[3]characters!$1:$1,0)-MATCH($L$1,[3]characters!$1:$1,0)+1),MATCH(O$1,[3]characters!$1:$1,0)-MATCH($L$1,[3]characters!$1:$1,0)+1,FALSE)</f>
        <v>Material</v>
      </c>
      <c r="P865" s="21" t="str">
        <f ca="1">VLOOKUP($L865,OFFSET([2]enemies!$A$1,0,0,COUNTA([2]enemies!$A:$A),MATCH(P$1,[2]enemies!$1:$1,0)-MATCH($L$1,[2]enemies!$1:$1,0)+1),MATCH(P$1,[2]enemies!$1:$1,0)-MATCH($L$1,[2]enemies!$1:$1,0)+1,FALSE)</f>
        <v>unknown</v>
      </c>
      <c r="Q865" s="21">
        <f ca="1">VLOOKUP($L865,OFFSET([2]enemies!$A$1,0,0,COUNTA([2]enemies!$A:$A),MATCH(Q$1,[2]enemies!$1:$1,0)-MATCH($L$1,[2]enemies!$1:$1,0)+1),MATCH(Q$1,[2]enemies!$1:$1,0)-MATCH($L$1,[2]enemies!$1:$1,0)+1,FALSE)</f>
        <v>15</v>
      </c>
      <c r="R865" s="53">
        <v>56</v>
      </c>
      <c r="S865" s="27">
        <v>1</v>
      </c>
      <c r="T865" s="27">
        <v>1</v>
      </c>
      <c r="U865" s="5">
        <v>0</v>
      </c>
      <c r="V865" s="4" t="str">
        <f ca="1">VLOOKUP($W865,OFFSET([4]enemy_skill_sets!$B$1,0,0,COUNTA([4]enemy_skill_sets!$B:$B),MATCH(M$1,[4]enemy_skill_sets!$1:$1,0)-MATCH($W$1,[4]enemy_skill_sets!$1:$1,0)+2),MATCH(M$1,[4]enemy_skill_sets!$1:$1,0)-MATCH($W$1,[4]enemy_skill_sets!$1:$1,0)+2,FALSE)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865" s="64">
        <v>350</v>
      </c>
      <c r="X865" s="6">
        <v>0</v>
      </c>
      <c r="Y865" s="6">
        <v>100</v>
      </c>
      <c r="Z865" s="6">
        <v>0</v>
      </c>
      <c r="AA865" s="4">
        <f ca="1">VLOOKUP($L865,OFFSET([2]enemies!$A$1,0,0,COUNTA([2]enemies!$A:$A),MATCH(AA$1,[2]enemies!$1:$1,0)-MATCH($L$1,[2]enemies!$1:$1,0)+1),MATCH(AA$1,[2]enemies!$1:$1,0)-MATCH($L$1,[2]enemies!$1:$1,0)+1,FALSE)</f>
        <v>3</v>
      </c>
      <c r="AB865" s="52">
        <v>350</v>
      </c>
      <c r="AC865" s="4" t="str">
        <f ca="1">VLOOKUP($AB865,OFFSET([3]characters!$A$1,0,0,COUNTA([3]characters!$A:$A),MATCH(AC$1,[3]characters!$1:$1,0)-MATCH("character_id",[3]characters!$1:$1,0)+1),MATCH(AC$1,[3]characters!$1:$1,0)-MATCH("character_id",[3]characters!$1:$1,0)+1,FALSE)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865" s="4">
        <f ca="1">VLOOKUP($AB865,OFFSET([3]characters!$A$1,0,0,COUNTA([3]characters!$A:$A),MATCH(AD$1,[3]characters!$1:$1,0)-MATCH("character_id",[3]characters!$1:$1,0)+1),MATCH(AD$1,[3]characters!$1:$1,0)-MATCH("character_id",[3]characters!$1:$1,0)+1,FALSE)</f>
        <v>2</v>
      </c>
      <c r="AE865" s="4" t="str">
        <f ca="1">VLOOKUP($AB865,OFFSET([3]characters!$A$1,0,0,COUNTA([3]characters!$A:$A),MATCH(AE$1,[3]characters!$1:$1,0)-MATCH("character_id",[3]characters!$1:$1,0)+1),MATCH(AE$1,[3]characters!$1:$1,0)-MATCH("character_id",[3]characters!$1:$1,0)+1,FALSE)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65" s="7">
        <v>10</v>
      </c>
      <c r="AG865" s="26">
        <f t="shared" ca="1" si="769"/>
        <v>2</v>
      </c>
      <c r="AH865" s="8">
        <v>20</v>
      </c>
      <c r="AI865" s="7">
        <v>0</v>
      </c>
      <c r="AJ865" s="7">
        <v>0</v>
      </c>
      <c r="AK865" s="7">
        <v>0</v>
      </c>
      <c r="AL865" s="7">
        <v>0</v>
      </c>
      <c r="AM865" s="7">
        <v>1</v>
      </c>
    </row>
    <row r="866" spans="1:39" ht="14" x14ac:dyDescent="0.15">
      <c r="A866" s="18" t="str">
        <f t="shared" ca="1" si="770"/>
        <v>26_4-5/354&lt;lv56&gt;s3</v>
      </c>
      <c r="B866" s="53">
        <v>26</v>
      </c>
      <c r="C866" s="51">
        <v>4</v>
      </c>
      <c r="D866" s="2" t="str">
        <f t="shared" si="782"/>
        <v>26_4</v>
      </c>
      <c r="E866" s="2" t="str">
        <f t="shared" si="783"/>
        <v>4_26_4</v>
      </c>
      <c r="F866" s="4" t="str">
        <f ca="1">VLOOKUP($D866,OFFSET([1]stages!$A$1,0,0,COUNTA([1]stages!$A:$A),MATCH(F$1,[1]stages!$2:$2,0)-MATCH($D$1,[1]stages!$2:$2,0)+1),MATCH(F$1,[1]stages!$2:$2,0)-MATCH($D$1,[1]stages!$2:$2,0)+1,FALSE)</f>
        <v>26-4．今夜はダークナイト</v>
      </c>
      <c r="G866" s="57">
        <v>5</v>
      </c>
      <c r="H866" s="17" t="str">
        <f t="shared" si="784"/>
        <v>26_4-5</v>
      </c>
      <c r="I866" s="17"/>
      <c r="J866" s="17"/>
      <c r="K866" s="65" t="s">
        <v>56</v>
      </c>
      <c r="L866" s="52">
        <v>354</v>
      </c>
      <c r="M866" s="21" t="str">
        <f ca="1">VLOOKUP($L866,OFFSET([2]enemies!$A$1,0,0,COUNTA([2]enemies!$A:$A),MATCH(M$1,[2]enemies!$1:$1,0)-MATCH($L$1,[2]enemies!$1:$1,0)+1),MATCH(M$1,[2]enemies!$1:$1,0)-MATCH($L$1,[2]enemies!$1:$1,0)+1,FALSE)</f>
        <v>雷のケロケロ</v>
      </c>
      <c r="N866" s="21" t="str">
        <f ca="1">VLOOKUP($L866,OFFSET([2]enemies!$A$1,0,0,COUNTA([2]enemies!$A:$A),MATCH(N$1,[2]enemies!$1:$1,0)-MATCH($L$1,[2]enemies!$1:$1,0)+1),MATCH(N$1,[2]enemies!$1:$1,0)-MATCH($L$1,[2]enemies!$1:$1,0)+1,FALSE)</f>
        <v>yellow</v>
      </c>
      <c r="O866" s="21" t="str">
        <f ca="1">VLOOKUP($L866,OFFSET([3]characters!$A$1,0,0,COUNTA([3]characters!$A:$A),MATCH(O$1,[3]characters!$1:$1,0)-MATCH($L$1,[3]characters!$1:$1,0)+1),MATCH(O$1,[3]characters!$1:$1,0)-MATCH($L$1,[3]characters!$1:$1,0)+1,FALSE)</f>
        <v>Material</v>
      </c>
      <c r="P866" s="21" t="str">
        <f ca="1">VLOOKUP($L866,OFFSET([2]enemies!$A$1,0,0,COUNTA([2]enemies!$A:$A),MATCH(P$1,[2]enemies!$1:$1,0)-MATCH($L$1,[2]enemies!$1:$1,0)+1),MATCH(P$1,[2]enemies!$1:$1,0)-MATCH($L$1,[2]enemies!$1:$1,0)+1,FALSE)</f>
        <v>unknown</v>
      </c>
      <c r="Q866" s="21">
        <f ca="1">VLOOKUP($L866,OFFSET([2]enemies!$A$1,0,0,COUNTA([2]enemies!$A:$A),MATCH(Q$1,[2]enemies!$1:$1,0)-MATCH($L$1,[2]enemies!$1:$1,0)+1),MATCH(Q$1,[2]enemies!$1:$1,0)-MATCH($L$1,[2]enemies!$1:$1,0)+1,FALSE)</f>
        <v>15</v>
      </c>
      <c r="R866" s="53">
        <v>56</v>
      </c>
      <c r="S866" s="27">
        <v>1</v>
      </c>
      <c r="T866" s="27">
        <v>1</v>
      </c>
      <c r="U866" s="5">
        <v>0</v>
      </c>
      <c r="V866" s="4" t="str">
        <f ca="1">VLOOKUP($W866,OFFSET([4]enemy_skill_sets!$B$1,0,0,COUNTA([4]enemy_skill_sets!$B:$B),MATCH(M$1,[4]enemy_skill_sets!$1:$1,0)-MATCH($W$1,[4]enemy_skill_sets!$1:$1,0)+2),MATCH(M$1,[4]enemy_skill_sets!$1:$1,0)-MATCH($W$1,[4]enemy_skill_sets!$1:$1,0)+2,FALSE)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866" s="64">
        <v>354</v>
      </c>
      <c r="X866" s="6">
        <v>0</v>
      </c>
      <c r="Y866" s="6">
        <v>100</v>
      </c>
      <c r="Z866" s="6">
        <v>0</v>
      </c>
      <c r="AA866" s="4">
        <f ca="1">VLOOKUP($L866,OFFSET([2]enemies!$A$1,0,0,COUNTA([2]enemies!$A:$A),MATCH(AA$1,[2]enemies!$1:$1,0)-MATCH($L$1,[2]enemies!$1:$1,0)+1),MATCH(AA$1,[2]enemies!$1:$1,0)-MATCH($L$1,[2]enemies!$1:$1,0)+1,FALSE)</f>
        <v>3</v>
      </c>
      <c r="AB866" s="52">
        <v>354</v>
      </c>
      <c r="AC866" s="4" t="str">
        <f ca="1">VLOOKUP($AB866,OFFSET([3]characters!$A$1,0,0,COUNTA([3]characters!$A:$A),MATCH(AC$1,[3]characters!$1:$1,0)-MATCH("character_id",[3]characters!$1:$1,0)+1),MATCH(AC$1,[3]characters!$1:$1,0)-MATCH("character_id",[3]characters!$1:$1,0)+1,FALSE)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866" s="4">
        <f ca="1">VLOOKUP($AB866,OFFSET([3]characters!$A$1,0,0,COUNTA([3]characters!$A:$A),MATCH(AD$1,[3]characters!$1:$1,0)-MATCH("character_id",[3]characters!$1:$1,0)+1),MATCH(AD$1,[3]characters!$1:$1,0)-MATCH("character_id",[3]characters!$1:$1,0)+1,FALSE)</f>
        <v>2</v>
      </c>
      <c r="AE866" s="4" t="str">
        <f ca="1">VLOOKUP($AB866,OFFSET([3]characters!$A$1,0,0,COUNTA([3]characters!$A:$A),MATCH(AE$1,[3]characters!$1:$1,0)-MATCH("character_id",[3]characters!$1:$1,0)+1),MATCH(AE$1,[3]characters!$1:$1,0)-MATCH("character_id",[3]characters!$1:$1,0)+1,FALSE)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66" s="7">
        <v>10</v>
      </c>
      <c r="AG866" s="26">
        <f t="shared" ca="1" si="769"/>
        <v>2</v>
      </c>
      <c r="AH866" s="8">
        <v>20</v>
      </c>
      <c r="AI866" s="7">
        <v>0</v>
      </c>
      <c r="AJ866" s="7">
        <v>0</v>
      </c>
      <c r="AK866" s="7">
        <v>0</v>
      </c>
      <c r="AL866" s="7">
        <v>0</v>
      </c>
      <c r="AM866" s="7">
        <v>1</v>
      </c>
    </row>
    <row r="867" spans="1:39" ht="14" x14ac:dyDescent="0.15">
      <c r="A867" s="18" t="str">
        <f t="shared" ca="1" si="770"/>
        <v>26_4-6/221&lt;lv61&gt;s2</v>
      </c>
      <c r="B867" s="50">
        <v>26</v>
      </c>
      <c r="C867" s="49">
        <v>4</v>
      </c>
      <c r="D867" s="2" t="str">
        <f t="shared" si="758"/>
        <v>26_4</v>
      </c>
      <c r="E867" s="2" t="str">
        <f t="shared" si="758"/>
        <v>4_26_4</v>
      </c>
      <c r="F867" s="4" t="str">
        <f ca="1">VLOOKUP($D867,OFFSET([1]stages!$A$1,0,0,COUNTA([1]stages!$A:$A),MATCH(F$1,[1]stages!$2:$2,0)-MATCH($D$1,[1]stages!$2:$2,0)+1),MATCH(F$1,[1]stages!$2:$2,0)-MATCH($D$1,[1]stages!$2:$2,0)+1,FALSE)</f>
        <v>26-4．今夜はダークナイト</v>
      </c>
      <c r="G867" s="55">
        <v>6</v>
      </c>
      <c r="H867" s="17" t="str">
        <f t="shared" si="759"/>
        <v>26_4-6</v>
      </c>
      <c r="I867" s="17"/>
      <c r="J867" s="17"/>
      <c r="K867" s="65" t="s">
        <v>56</v>
      </c>
      <c r="L867" s="52">
        <v>221</v>
      </c>
      <c r="M867" s="21" t="str">
        <f ca="1">VLOOKUP($L867,OFFSET([2]enemies!$A$1,0,0,COUNTA([2]enemies!$A:$A),MATCH(M$1,[2]enemies!$1:$1,0)-MATCH($L$1,[2]enemies!$1:$1,0)+1),MATCH(M$1,[2]enemies!$1:$1,0)-MATCH($L$1,[2]enemies!$1:$1,0)+1,FALSE)</f>
        <v>宰相 ルキフグス</v>
      </c>
      <c r="N867" s="21" t="str">
        <f ca="1">VLOOKUP($L867,OFFSET([2]enemies!$A$1,0,0,COUNTA([2]enemies!$A:$A),MATCH(N$1,[2]enemies!$1:$1,0)-MATCH($L$1,[2]enemies!$1:$1,0)+1),MATCH(N$1,[2]enemies!$1:$1,0)-MATCH($L$1,[2]enemies!$1:$1,0)+1,FALSE)</f>
        <v>blue</v>
      </c>
      <c r="O867" s="21" t="str">
        <f ca="1">VLOOKUP($L867,OFFSET([3]characters!$A$1,0,0,COUNTA([3]characters!$A:$A),MATCH(O$1,[3]characters!$1:$1,0)-MATCH($L$1,[3]characters!$1:$1,0)+1),MATCH(O$1,[3]characters!$1:$1,0)-MATCH($L$1,[3]characters!$1:$1,0)+1,FALSE)</f>
        <v>PremiumN</v>
      </c>
      <c r="P867" s="21" t="str">
        <f ca="1">VLOOKUP($L867,OFFSET([2]enemies!$A$1,0,0,COUNTA([2]enemies!$A:$A),MATCH(P$1,[2]enemies!$1:$1,0)-MATCH($L$1,[2]enemies!$1:$1,0)+1),MATCH(P$1,[2]enemies!$1:$1,0)-MATCH($L$1,[2]enemies!$1:$1,0)+1,FALSE)</f>
        <v>god</v>
      </c>
      <c r="Q867" s="21">
        <f ca="1">VLOOKUP($L867,OFFSET([2]enemies!$A$1,0,0,COUNTA([2]enemies!$A:$A),MATCH(Q$1,[2]enemies!$1:$1,0)-MATCH($L$1,[2]enemies!$1:$1,0)+1),MATCH(Q$1,[2]enemies!$1:$1,0)-MATCH($L$1,[2]enemies!$1:$1,0)+1,FALSE)</f>
        <v>30</v>
      </c>
      <c r="R867" s="53">
        <v>61</v>
      </c>
      <c r="S867" s="27">
        <v>1.2</v>
      </c>
      <c r="T867" s="27">
        <v>1</v>
      </c>
      <c r="U867" s="5">
        <v>0</v>
      </c>
      <c r="V867" s="4" t="str">
        <f ca="1">VLOOKUP($W867,OFFSET([4]enemy_skill_sets!$B$1,0,0,COUNTA([4]enemy_skill_sets!$B:$B),MATCH(M$1,[4]enemy_skill_sets!$1:$1,0)-MATCH($W$1,[4]enemy_skill_sets!$1:$1,0)+2),MATCH(M$1,[4]enemy_skill_sets!$1:$1,0)-MATCH($W$1,[4]enemy_skill_sets!$1:$1,0)+2,FALSE)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3ターンタップ回数を1減少＋お邪魔パネル出現</v>
      </c>
      <c r="W867" s="64">
        <v>22101</v>
      </c>
      <c r="X867" s="6">
        <v>1</v>
      </c>
      <c r="Y867" s="6">
        <v>100</v>
      </c>
      <c r="Z867" s="6">
        <v>1</v>
      </c>
      <c r="AA867" s="4">
        <f ca="1">VLOOKUP($L867,OFFSET([2]enemies!$A$1,0,0,COUNTA([2]enemies!$A:$A),MATCH(AA$1,[2]enemies!$1:$1,0)-MATCH($L$1,[2]enemies!$1:$1,0)+1),MATCH(AA$1,[2]enemies!$1:$1,0)-MATCH($L$1,[2]enemies!$1:$1,0)+1,FALSE)</f>
        <v>2</v>
      </c>
      <c r="AB867" s="52">
        <v>220</v>
      </c>
      <c r="AC867" s="4" t="str">
        <f ca="1">VLOOKUP($AB867,OFFSET([3]characters!$A$1,0,0,COUNTA([3]characters!$A:$A),MATCH(AC$1,[3]characters!$1:$1,0)-MATCH("character_id",[3]characters!$1:$1,0)+1),MATCH(AC$1,[3]characters!$1:$1,0)-MATCH("character_id",[3]characters!$1:$1,0)+1,FALSE)</f>
        <v>ルキフグス</v>
      </c>
      <c r="AD867" s="4">
        <f ca="1">VLOOKUP($AB867,OFFSET([3]characters!$A$1,0,0,COUNTA([3]characters!$A:$A),MATCH(AD$1,[3]characters!$1:$1,0)-MATCH("character_id",[3]characters!$1:$1,0)+1),MATCH(AD$1,[3]characters!$1:$1,0)-MATCH("character_id",[3]characters!$1:$1,0)+1,FALSE)</f>
        <v>3</v>
      </c>
      <c r="AE867" s="4" t="str">
        <f ca="1">VLOOKUP($AB867,OFFSET([3]characters!$A$1,0,0,COUNTA([3]characters!$A:$A),MATCH(AE$1,[3]characters!$1:$1,0)-MATCH("character_id",[3]characters!$1:$1,0)+1),MATCH(AE$1,[3]characters!$1:$1,0)-MATCH("character_id",[3]characters!$1:$1,0)+1,FALSE)</f>
        <v>PremiumN</v>
      </c>
      <c r="AF867" s="7">
        <v>1</v>
      </c>
      <c r="AG867" s="26">
        <f t="shared" ca="1" si="769"/>
        <v>3</v>
      </c>
      <c r="AH867" s="8">
        <v>0</v>
      </c>
      <c r="AI867" s="7">
        <v>0</v>
      </c>
      <c r="AJ867" s="7">
        <v>0</v>
      </c>
      <c r="AK867" s="7">
        <v>0</v>
      </c>
      <c r="AL867" s="7">
        <v>0</v>
      </c>
      <c r="AM867" s="7">
        <v>1</v>
      </c>
    </row>
    <row r="868" spans="1:39" ht="14" x14ac:dyDescent="0.15">
      <c r="A868" s="18" t="str">
        <f t="shared" ca="1" si="770"/>
        <v>26_4-6/236&lt;lv61&gt;s2</v>
      </c>
      <c r="B868" s="53">
        <v>26</v>
      </c>
      <c r="C868" s="51">
        <v>4</v>
      </c>
      <c r="D868" s="2" t="str">
        <f t="shared" ref="D868:E868" si="785">B868&amp;"_"&amp;C868</f>
        <v>26_4</v>
      </c>
      <c r="E868" s="2" t="str">
        <f t="shared" si="785"/>
        <v>4_26_4</v>
      </c>
      <c r="F868" s="4" t="str">
        <f ca="1">VLOOKUP($D868,OFFSET([1]stages!$A$1,0,0,COUNTA([1]stages!$A:$A),MATCH(F$1,[1]stages!$2:$2,0)-MATCH($D$1,[1]stages!$2:$2,0)+1),MATCH(F$1,[1]stages!$2:$2,0)-MATCH($D$1,[1]stages!$2:$2,0)+1,FALSE)</f>
        <v>26-4．今夜はダークナイト</v>
      </c>
      <c r="G868" s="55">
        <v>6</v>
      </c>
      <c r="H868" s="17" t="str">
        <f t="shared" ref="H868" si="786">B868&amp;"_"&amp;C868&amp;"-"&amp;G868</f>
        <v>26_4-6</v>
      </c>
      <c r="I868" s="17"/>
      <c r="J868" s="17"/>
      <c r="K868" s="65" t="s">
        <v>56</v>
      </c>
      <c r="L868" s="52">
        <v>236</v>
      </c>
      <c r="M868" s="21" t="str">
        <f ca="1">VLOOKUP($L868,OFFSET([2]enemies!$A$1,0,0,COUNTA([2]enemies!$A:$A),MATCH(M$1,[2]enemies!$1:$1,0)-MATCH($L$1,[2]enemies!$1:$1,0)+1),MATCH(M$1,[2]enemies!$1:$1,0)-MATCH($L$1,[2]enemies!$1:$1,0)+1,FALSE)</f>
        <v>神産 イザナミ</v>
      </c>
      <c r="N868" s="21" t="str">
        <f ca="1">VLOOKUP($L868,OFFSET([2]enemies!$A$1,0,0,COUNTA([2]enemies!$A:$A),MATCH(N$1,[2]enemies!$1:$1,0)-MATCH($L$1,[2]enemies!$1:$1,0)+1),MATCH(N$1,[2]enemies!$1:$1,0)-MATCH($L$1,[2]enemies!$1:$1,0)+1,FALSE)</f>
        <v>yellow</v>
      </c>
      <c r="O868" s="21" t="str">
        <f ca="1">VLOOKUP($L868,OFFSET([3]characters!$A$1,0,0,COUNTA([3]characters!$A:$A),MATCH(O$1,[3]characters!$1:$1,0)-MATCH($L$1,[3]characters!$1:$1,0)+1),MATCH(O$1,[3]characters!$1:$1,0)-MATCH($L$1,[3]characters!$1:$1,0)+1,FALSE)</f>
        <v>PremiumS</v>
      </c>
      <c r="P868" s="21" t="str">
        <f ca="1">VLOOKUP($L868,OFFSET([2]enemies!$A$1,0,0,COUNTA([2]enemies!$A:$A),MATCH(P$1,[2]enemies!$1:$1,0)-MATCH($L$1,[2]enemies!$1:$1,0)+1),MATCH(P$1,[2]enemies!$1:$1,0)-MATCH($L$1,[2]enemies!$1:$1,0)+1,FALSE)</f>
        <v>god</v>
      </c>
      <c r="Q868" s="21">
        <f ca="1">VLOOKUP($L868,OFFSET([2]enemies!$A$1,0,0,COUNTA([2]enemies!$A:$A),MATCH(Q$1,[2]enemies!$1:$1,0)-MATCH($L$1,[2]enemies!$1:$1,0)+1),MATCH(Q$1,[2]enemies!$1:$1,0)-MATCH($L$1,[2]enemies!$1:$1,0)+1,FALSE)</f>
        <v>30</v>
      </c>
      <c r="R868" s="53">
        <v>61</v>
      </c>
      <c r="S868" s="27">
        <v>1.2</v>
      </c>
      <c r="T868" s="27">
        <v>0.9</v>
      </c>
      <c r="U868" s="5">
        <v>0</v>
      </c>
      <c r="V868" s="4" t="str">
        <f ca="1">VLOOKUP($W868,OFFSET([4]enemy_skill_sets!$B$1,0,0,COUNTA([4]enemy_skill_sets!$B:$B),MATCH(M$1,[4]enemy_skill_sets!$1:$1,0)-MATCH($W$1,[4]enemy_skill_sets!$1:$1,0)+2),MATCH(M$1,[4]enemy_skill_sets!$1:$1,0)-MATCH($W$1,[4]enemy_skill_sets!$1:$1,0)+2,FALSE)</f>
        <v>種族ゴッドのユニットに大ダメージ</v>
      </c>
      <c r="W868" s="64">
        <v>23601</v>
      </c>
      <c r="X868" s="6">
        <v>1</v>
      </c>
      <c r="Y868" s="6">
        <v>100</v>
      </c>
      <c r="Z868" s="6">
        <v>1</v>
      </c>
      <c r="AA868" s="4">
        <f ca="1">VLOOKUP($L868,OFFSET([2]enemies!$A$1,0,0,COUNTA([2]enemies!$A:$A),MATCH(AA$1,[2]enemies!$1:$1,0)-MATCH($L$1,[2]enemies!$1:$1,0)+1),MATCH(AA$1,[2]enemies!$1:$1,0)-MATCH($L$1,[2]enemies!$1:$1,0)+1,FALSE)</f>
        <v>2</v>
      </c>
      <c r="AB868" s="52">
        <v>235</v>
      </c>
      <c r="AC868" s="4" t="str">
        <f ca="1">VLOOKUP($AB868,OFFSET([3]characters!$A$1,0,0,COUNTA([3]characters!$A:$A),MATCH(AC$1,[3]characters!$1:$1,0)-MATCH("character_id",[3]characters!$1:$1,0)+1),MATCH(AC$1,[3]characters!$1:$1,0)-MATCH("character_id",[3]characters!$1:$1,0)+1,FALSE)</f>
        <v>イザナミ</v>
      </c>
      <c r="AD868" s="4">
        <f ca="1">VLOOKUP($AB868,OFFSET([3]characters!$A$1,0,0,COUNTA([3]characters!$A:$A),MATCH(AD$1,[3]characters!$1:$1,0)-MATCH("character_id",[3]characters!$1:$1,0)+1),MATCH(AD$1,[3]characters!$1:$1,0)-MATCH("character_id",[3]characters!$1:$1,0)+1,FALSE)</f>
        <v>3</v>
      </c>
      <c r="AE868" s="4" t="str">
        <f ca="1">VLOOKUP($AB868,OFFSET([3]characters!$A$1,0,0,COUNTA([3]characters!$A:$A),MATCH(AE$1,[3]characters!$1:$1,0)-MATCH("character_id",[3]characters!$1:$1,0)+1),MATCH(AE$1,[3]characters!$1:$1,0)-MATCH("character_id",[3]characters!$1:$1,0)+1,FALSE)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868" s="7">
        <v>1</v>
      </c>
      <c r="AG868" s="26">
        <f t="shared" ca="1" si="769"/>
        <v>3</v>
      </c>
      <c r="AH868" s="8">
        <v>0</v>
      </c>
      <c r="AI868" s="7">
        <v>0</v>
      </c>
      <c r="AJ868" s="7">
        <v>0</v>
      </c>
      <c r="AK868" s="7">
        <v>0</v>
      </c>
      <c r="AL868" s="7">
        <v>0</v>
      </c>
      <c r="AM868" s="7">
        <v>1</v>
      </c>
    </row>
    <row r="869" spans="1:39" ht="14" x14ac:dyDescent="0.15">
      <c r="A869" s="18" t="str">
        <f t="shared" ca="1" si="770"/>
        <v>26_5-1/9&lt;lv58&gt;s2</v>
      </c>
      <c r="B869" s="50">
        <v>26</v>
      </c>
      <c r="C869" s="49">
        <v>5</v>
      </c>
      <c r="D869" s="2" t="str">
        <f t="shared" si="758"/>
        <v>26_5</v>
      </c>
      <c r="E869" s="2" t="str">
        <f t="shared" si="758"/>
        <v>5_26_5</v>
      </c>
      <c r="F869" s="4" t="str">
        <f ca="1">VLOOKUP($D869,OFFSET([1]stages!$A$1,0,0,COUNTA([1]stages!$A:$A),MATCH(F$1,[1]stages!$2:$2,0)-MATCH($D$1,[1]stages!$2:$2,0)+1),MATCH(F$1,[1]stages!$2:$2,0)-MATCH($D$1,[1]stages!$2:$2,0)+1,FALSE)</f>
        <v>26-5．踊る強奪者</v>
      </c>
      <c r="G869" s="56">
        <v>1</v>
      </c>
      <c r="H869" s="17" t="str">
        <f t="shared" si="759"/>
        <v>26_5-1</v>
      </c>
      <c r="I869" s="17"/>
      <c r="J869" s="17"/>
      <c r="K869" s="65" t="s">
        <v>56</v>
      </c>
      <c r="L869" s="52">
        <v>9</v>
      </c>
      <c r="M869" s="21" t="str">
        <f ca="1">VLOOKUP($L869,OFFSET([2]enemies!$A$1,0,0,COUNTA([2]enemies!$A:$A),MATCH(M$1,[2]enemies!$1:$1,0)-MATCH($L$1,[2]enemies!$1:$1,0)+1),MATCH(M$1,[2]enemies!$1:$1,0)-MATCH($L$1,[2]enemies!$1:$1,0)+1,FALSE)</f>
        <v>ブレット</v>
      </c>
      <c r="N869" s="21" t="str">
        <f ca="1">VLOOKUP($L869,OFFSET([2]enemies!$A$1,0,0,COUNTA([2]enemies!$A:$A),MATCH(N$1,[2]enemies!$1:$1,0)-MATCH($L$1,[2]enemies!$1:$1,0)+1),MATCH(N$1,[2]enemies!$1:$1,0)-MATCH($L$1,[2]enemies!$1:$1,0)+1,FALSE)</f>
        <v>red</v>
      </c>
      <c r="O869" s="21" t="str">
        <f ca="1">VLOOKUP($L869,OFFSET([3]characters!$A$1,0,0,COUNTA([3]characters!$A:$A),MATCH(O$1,[3]characters!$1:$1,0)-MATCH($L$1,[3]characters!$1:$1,0)+1),MATCH(O$1,[3]characters!$1:$1,0)-MATCH($L$1,[3]characters!$1:$1,0)+1,FALSE)</f>
        <v>Drop1W</v>
      </c>
      <c r="P869" s="21" t="str">
        <f ca="1">VLOOKUP($L869,OFFSET([2]enemies!$A$1,0,0,COUNTA([2]enemies!$A:$A),MATCH(P$1,[2]enemies!$1:$1,0)-MATCH($L$1,[2]enemies!$1:$1,0)+1),MATCH(P$1,[2]enemies!$1:$1,0)-MATCH($L$1,[2]enemies!$1:$1,0)+1,FALSE)</f>
        <v>animal</v>
      </c>
      <c r="Q869" s="21">
        <f ca="1">VLOOKUP($L869,OFFSET([2]enemies!$A$1,0,0,COUNTA([2]enemies!$A:$A),MATCH(Q$1,[2]enemies!$1:$1,0)-MATCH($L$1,[2]enemies!$1:$1,0)+1),MATCH(Q$1,[2]enemies!$1:$1,0)-MATCH($L$1,[2]enemies!$1:$1,0)+1,FALSE)</f>
        <v>15</v>
      </c>
      <c r="R869" s="53">
        <v>58</v>
      </c>
      <c r="S869" s="27">
        <v>1</v>
      </c>
      <c r="T869" s="27">
        <v>1</v>
      </c>
      <c r="U869" s="5">
        <v>0</v>
      </c>
      <c r="V869" s="4" t="str">
        <f ca="1">VLOOKUP($W869,OFFSET([4]enemy_skill_sets!$B$1,0,0,COUNTA([4]enemy_skill_sets!$B:$B),MATCH(M$1,[4]enemy_skill_sets!$1:$1,0)-MATCH($W$1,[4]enemy_skill_sets!$1:$1,0)+2),MATCH(M$1,[4]enemy_skill_sets!$1:$1,0)-MATCH($W$1,[4]enemy_skill_sets!$1:$1,0)+2,FALSE)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69" s="4">
        <f ca="1">VLOOKUP($L869,OFFSET([2]enemies!$A$1,0,0,COUNTA([2]enemies!$A:$A),MATCH(W$1,[2]enemies!$1:$1,0)-MATCH($L$1,[2]enemies!$1:$1,0)+1),MATCH(W$1,[2]enemies!$1:$1,0)-MATCH($L$1,[2]enemies!$1:$1,0)+1,FALSE)</f>
        <v>0</v>
      </c>
      <c r="X869" s="6">
        <v>0</v>
      </c>
      <c r="Y869" s="6">
        <v>100</v>
      </c>
      <c r="Z869" s="6">
        <v>0</v>
      </c>
      <c r="AA869" s="4">
        <f ca="1">VLOOKUP($L869,OFFSET([2]enemies!$A$1,0,0,COUNTA([2]enemies!$A:$A),MATCH(AA$1,[2]enemies!$1:$1,0)-MATCH($L$1,[2]enemies!$1:$1,0)+1),MATCH(AA$1,[2]enemies!$1:$1,0)-MATCH($L$1,[2]enemies!$1:$1,0)+1,FALSE)</f>
        <v>2</v>
      </c>
      <c r="AB869" s="52">
        <v>9</v>
      </c>
      <c r="AC869" s="4" t="str">
        <f ca="1">VLOOKUP($AB869,OFFSET([3]characters!$A$1,0,0,COUNTA([3]characters!$A:$A),MATCH(AC$1,[3]characters!$1:$1,0)-MATCH("character_id",[3]characters!$1:$1,0)+1),MATCH(AC$1,[3]characters!$1:$1,0)-MATCH("character_id",[3]characters!$1:$1,0)+1,FALSE)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869" s="4">
        <f ca="1">VLOOKUP($AB869,OFFSET([3]characters!$A$1,0,0,COUNTA([3]characters!$A:$A),MATCH(AD$1,[3]characters!$1:$1,0)-MATCH("character_id",[3]characters!$1:$1,0)+1),MATCH(AD$1,[3]characters!$1:$1,0)-MATCH("character_id",[3]characters!$1:$1,0)+1,FALSE)</f>
        <v>1</v>
      </c>
      <c r="AE869" s="4" t="str">
        <f ca="1">VLOOKUP($AB869,OFFSET([3]characters!$A$1,0,0,COUNTA([3]characters!$A:$A),MATCH(AE$1,[3]characters!$1:$1,0)-MATCH("character_id",[3]characters!$1:$1,0)+1),MATCH(AE$1,[3]characters!$1:$1,0)-MATCH("character_id",[3]characters!$1:$1,0)+1,FALSE)</f>
        <v>Drop1W</v>
      </c>
      <c r="AF869" s="7">
        <v>9</v>
      </c>
      <c r="AG869" s="26">
        <f t="shared" ca="1" si="769"/>
        <v>1</v>
      </c>
      <c r="AH869" s="8">
        <v>20</v>
      </c>
      <c r="AI869" s="7">
        <v>0</v>
      </c>
      <c r="AJ869" s="7">
        <v>0</v>
      </c>
      <c r="AK869" s="7">
        <v>0</v>
      </c>
      <c r="AL869" s="7">
        <v>0</v>
      </c>
      <c r="AM869" s="7">
        <v>1</v>
      </c>
    </row>
    <row r="870" spans="1:39" ht="14" x14ac:dyDescent="0.15">
      <c r="A870" s="18" t="str">
        <f t="shared" ca="1" si="770"/>
        <v>26_5-1/11&lt;lv58&gt;s3</v>
      </c>
      <c r="B870" s="50">
        <v>26</v>
      </c>
      <c r="C870" s="49">
        <v>5</v>
      </c>
      <c r="D870" s="2" t="str">
        <f t="shared" si="758"/>
        <v>26_5</v>
      </c>
      <c r="E870" s="2" t="str">
        <f t="shared" si="758"/>
        <v>5_26_5</v>
      </c>
      <c r="F870" s="4" t="str">
        <f ca="1">VLOOKUP($D870,OFFSET([1]stages!$A$1,0,0,COUNTA([1]stages!$A:$A),MATCH(F$1,[1]stages!$2:$2,0)-MATCH($D$1,[1]stages!$2:$2,0)+1),MATCH(F$1,[1]stages!$2:$2,0)-MATCH($D$1,[1]stages!$2:$2,0)+1,FALSE)</f>
        <v>26-5．踊る強奪者</v>
      </c>
      <c r="G870" s="56">
        <v>1</v>
      </c>
      <c r="H870" s="17" t="str">
        <f t="shared" si="759"/>
        <v>26_5-1</v>
      </c>
      <c r="I870" s="17"/>
      <c r="J870" s="17"/>
      <c r="K870" s="65" t="s">
        <v>56</v>
      </c>
      <c r="L870" s="52">
        <v>11</v>
      </c>
      <c r="M870" s="21" t="str">
        <f ca="1">VLOOKUP($L870,OFFSET([2]enemies!$A$1,0,0,COUNTA([2]enemies!$A:$A),MATCH(M$1,[2]enemies!$1:$1,0)-MATCH($L$1,[2]enemies!$1:$1,0)+1),MATCH(M$1,[2]enemies!$1:$1,0)-MATCH($L$1,[2]enemies!$1:$1,0)+1,FALSE)</f>
        <v>マグリット</v>
      </c>
      <c r="N870" s="21" t="str">
        <f ca="1">VLOOKUP($L870,OFFSET([2]enemies!$A$1,0,0,COUNTA([2]enemies!$A:$A),MATCH(N$1,[2]enemies!$1:$1,0)-MATCH($L$1,[2]enemies!$1:$1,0)+1),MATCH(N$1,[2]enemies!$1:$1,0)-MATCH($L$1,[2]enemies!$1:$1,0)+1,FALSE)</f>
        <v>green</v>
      </c>
      <c r="O870" s="21" t="str">
        <f ca="1">VLOOKUP($L870,OFFSET([3]characters!$A$1,0,0,COUNTA([3]characters!$A:$A),MATCH(O$1,[3]characters!$1:$1,0)-MATCH($L$1,[3]characters!$1:$1,0)+1),MATCH(O$1,[3]characters!$1:$1,0)-MATCH($L$1,[3]characters!$1:$1,0)+1,FALSE)</f>
        <v>Drop1W</v>
      </c>
      <c r="P870" s="21" t="str">
        <f ca="1">VLOOKUP($L870,OFFSET([2]enemies!$A$1,0,0,COUNTA([2]enemies!$A:$A),MATCH(P$1,[2]enemies!$1:$1,0)-MATCH($L$1,[2]enemies!$1:$1,0)+1),MATCH(P$1,[2]enemies!$1:$1,0)-MATCH($L$1,[2]enemies!$1:$1,0)+1,FALSE)</f>
        <v>animal</v>
      </c>
      <c r="Q870" s="21">
        <f ca="1">VLOOKUP($L870,OFFSET([2]enemies!$A$1,0,0,COUNTA([2]enemies!$A:$A),MATCH(Q$1,[2]enemies!$1:$1,0)-MATCH($L$1,[2]enemies!$1:$1,0)+1),MATCH(Q$1,[2]enemies!$1:$1,0)-MATCH($L$1,[2]enemies!$1:$1,0)+1,FALSE)</f>
        <v>15</v>
      </c>
      <c r="R870" s="53">
        <v>58</v>
      </c>
      <c r="S870" s="27">
        <v>1</v>
      </c>
      <c r="T870" s="27">
        <v>1</v>
      </c>
      <c r="U870" s="5">
        <v>0</v>
      </c>
      <c r="V870" s="4" t="str">
        <f ca="1">VLOOKUP($W870,OFFSET([4]enemy_skill_sets!$B$1,0,0,COUNTA([4]enemy_skill_sets!$B:$B),MATCH(M$1,[4]enemy_skill_sets!$1:$1,0)-MATCH($W$1,[4]enemy_skill_sets!$1:$1,0)+2),MATCH(M$1,[4]enemy_skill_sets!$1:$1,0)-MATCH($W$1,[4]enemy_skill_sets!$1:$1,0)+2,FALSE)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70" s="4">
        <f ca="1">VLOOKUP($L870,OFFSET([2]enemies!$A$1,0,0,COUNTA([2]enemies!$A:$A),MATCH(W$1,[2]enemies!$1:$1,0)-MATCH($L$1,[2]enemies!$1:$1,0)+1),MATCH(W$1,[2]enemies!$1:$1,0)-MATCH($L$1,[2]enemies!$1:$1,0)+1,FALSE)</f>
        <v>0</v>
      </c>
      <c r="X870" s="6">
        <v>0</v>
      </c>
      <c r="Y870" s="6">
        <v>100</v>
      </c>
      <c r="Z870" s="6">
        <v>0</v>
      </c>
      <c r="AA870" s="4">
        <f ca="1">VLOOKUP($L870,OFFSET([2]enemies!$A$1,0,0,COUNTA([2]enemies!$A:$A),MATCH(AA$1,[2]enemies!$1:$1,0)-MATCH($L$1,[2]enemies!$1:$1,0)+1),MATCH(AA$1,[2]enemies!$1:$1,0)-MATCH($L$1,[2]enemies!$1:$1,0)+1,FALSE)</f>
        <v>3</v>
      </c>
      <c r="AB870" s="52">
        <v>11</v>
      </c>
      <c r="AC870" s="4" t="str">
        <f ca="1">VLOOKUP($AB870,OFFSET([3]characters!$A$1,0,0,COUNTA([3]characters!$A:$A),MATCH(AC$1,[3]characters!$1:$1,0)-MATCH("character_id",[3]characters!$1:$1,0)+1),MATCH(AC$1,[3]characters!$1:$1,0)-MATCH("character_id",[3]characters!$1:$1,0)+1,FALSE)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870" s="4">
        <f ca="1">VLOOKUP($AB870,OFFSET([3]characters!$A$1,0,0,COUNTA([3]characters!$A:$A),MATCH(AD$1,[3]characters!$1:$1,0)-MATCH("character_id",[3]characters!$1:$1,0)+1),MATCH(AD$1,[3]characters!$1:$1,0)-MATCH("character_id",[3]characters!$1:$1,0)+1,FALSE)</f>
        <v>1</v>
      </c>
      <c r="AE870" s="4" t="str">
        <f ca="1">VLOOKUP($AB870,OFFSET([3]characters!$A$1,0,0,COUNTA([3]characters!$A:$A),MATCH(AE$1,[3]characters!$1:$1,0)-MATCH("character_id",[3]characters!$1:$1,0)+1),MATCH(AE$1,[3]characters!$1:$1,0)-MATCH("character_id",[3]characters!$1:$1,0)+1,FALSE)</f>
        <v>Drop1W</v>
      </c>
      <c r="AF870" s="7">
        <v>9</v>
      </c>
      <c r="AG870" s="26">
        <f t="shared" ca="1" si="769"/>
        <v>1</v>
      </c>
      <c r="AH870" s="8">
        <v>20</v>
      </c>
      <c r="AI870" s="7">
        <v>0</v>
      </c>
      <c r="AJ870" s="7">
        <v>0</v>
      </c>
      <c r="AK870" s="7">
        <v>0</v>
      </c>
      <c r="AL870" s="7">
        <v>0</v>
      </c>
      <c r="AM870" s="7">
        <v>1</v>
      </c>
    </row>
    <row r="871" spans="1:39" ht="14" x14ac:dyDescent="0.15">
      <c r="A871" s="18" t="str">
        <f t="shared" ca="1" si="770"/>
        <v>26_5-1/13&lt;lv58&gt;s2</v>
      </c>
      <c r="B871" s="50">
        <v>26</v>
      </c>
      <c r="C871" s="49">
        <v>5</v>
      </c>
      <c r="D871" s="2" t="str">
        <f t="shared" si="758"/>
        <v>26_5</v>
      </c>
      <c r="E871" s="2" t="str">
        <f t="shared" si="758"/>
        <v>5_26_5</v>
      </c>
      <c r="F871" s="4" t="str">
        <f ca="1">VLOOKUP($D871,OFFSET([1]stages!$A$1,0,0,COUNTA([1]stages!$A:$A),MATCH(F$1,[1]stages!$2:$2,0)-MATCH($D$1,[1]stages!$2:$2,0)+1),MATCH(F$1,[1]stages!$2:$2,0)-MATCH($D$1,[1]stages!$2:$2,0)+1,FALSE)</f>
        <v>26-5．踊る強奪者</v>
      </c>
      <c r="G871" s="56">
        <v>1</v>
      </c>
      <c r="H871" s="17" t="str">
        <f t="shared" si="759"/>
        <v>26_5-1</v>
      </c>
      <c r="I871" s="17"/>
      <c r="J871" s="17"/>
      <c r="K871" s="65" t="s">
        <v>56</v>
      </c>
      <c r="L871" s="52">
        <v>13</v>
      </c>
      <c r="M871" s="21" t="str">
        <f ca="1">VLOOKUP($L871,OFFSET([2]enemies!$A$1,0,0,COUNTA([2]enemies!$A:$A),MATCH(M$1,[2]enemies!$1:$1,0)-MATCH($L$1,[2]enemies!$1:$1,0)+1),MATCH(M$1,[2]enemies!$1:$1,0)-MATCH($L$1,[2]enemies!$1:$1,0)+1,FALSE)</f>
        <v>ミミ</v>
      </c>
      <c r="N871" s="21" t="str">
        <f ca="1">VLOOKUP($L871,OFFSET([2]enemies!$A$1,0,0,COUNTA([2]enemies!$A:$A),MATCH(N$1,[2]enemies!$1:$1,0)-MATCH($L$1,[2]enemies!$1:$1,0)+1),MATCH(N$1,[2]enemies!$1:$1,0)-MATCH($L$1,[2]enemies!$1:$1,0)+1,FALSE)</f>
        <v>yellow</v>
      </c>
      <c r="O871" s="21" t="str">
        <f ca="1">VLOOKUP($L871,OFFSET([3]characters!$A$1,0,0,COUNTA([3]characters!$A:$A),MATCH(O$1,[3]characters!$1:$1,0)-MATCH($L$1,[3]characters!$1:$1,0)+1),MATCH(O$1,[3]characters!$1:$1,0)-MATCH($L$1,[3]characters!$1:$1,0)+1,FALSE)</f>
        <v>Drop1W</v>
      </c>
      <c r="P871" s="21" t="str">
        <f ca="1">VLOOKUP($L871,OFFSET([2]enemies!$A$1,0,0,COUNTA([2]enemies!$A:$A),MATCH(P$1,[2]enemies!$1:$1,0)-MATCH($L$1,[2]enemies!$1:$1,0)+1),MATCH(P$1,[2]enemies!$1:$1,0)-MATCH($L$1,[2]enemies!$1:$1,0)+1,FALSE)</f>
        <v>animal</v>
      </c>
      <c r="Q871" s="21">
        <f ca="1">VLOOKUP($L871,OFFSET([2]enemies!$A$1,0,0,COUNTA([2]enemies!$A:$A),MATCH(Q$1,[2]enemies!$1:$1,0)-MATCH($L$1,[2]enemies!$1:$1,0)+1),MATCH(Q$1,[2]enemies!$1:$1,0)-MATCH($L$1,[2]enemies!$1:$1,0)+1,FALSE)</f>
        <v>15</v>
      </c>
      <c r="R871" s="53">
        <v>58</v>
      </c>
      <c r="S871" s="27">
        <v>1</v>
      </c>
      <c r="T871" s="27">
        <v>1</v>
      </c>
      <c r="U871" s="5">
        <v>0</v>
      </c>
      <c r="V871" s="4" t="str">
        <f ca="1">VLOOKUP($W871,OFFSET([4]enemy_skill_sets!$B$1,0,0,COUNTA([4]enemy_skill_sets!$B:$B),MATCH(M$1,[4]enemy_skill_sets!$1:$1,0)-MATCH($W$1,[4]enemy_skill_sets!$1:$1,0)+2),MATCH(M$1,[4]enemy_skill_sets!$1:$1,0)-MATCH($W$1,[4]enemy_skill_sets!$1:$1,0)+2,FALSE)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71" s="4">
        <f ca="1">VLOOKUP($L871,OFFSET([2]enemies!$A$1,0,0,COUNTA([2]enemies!$A:$A),MATCH(W$1,[2]enemies!$1:$1,0)-MATCH($L$1,[2]enemies!$1:$1,0)+1),MATCH(W$1,[2]enemies!$1:$1,0)-MATCH($L$1,[2]enemies!$1:$1,0)+1,FALSE)</f>
        <v>0</v>
      </c>
      <c r="X871" s="6">
        <v>0</v>
      </c>
      <c r="Y871" s="6">
        <v>100</v>
      </c>
      <c r="Z871" s="6">
        <v>0</v>
      </c>
      <c r="AA871" s="4">
        <f ca="1">VLOOKUP($L871,OFFSET([2]enemies!$A$1,0,0,COUNTA([2]enemies!$A:$A),MATCH(AA$1,[2]enemies!$1:$1,0)-MATCH($L$1,[2]enemies!$1:$1,0)+1),MATCH(AA$1,[2]enemies!$1:$1,0)-MATCH($L$1,[2]enemies!$1:$1,0)+1,FALSE)</f>
        <v>2</v>
      </c>
      <c r="AB871" s="52">
        <v>13</v>
      </c>
      <c r="AC871" s="4" t="str">
        <f ca="1">VLOOKUP($AB871,OFFSET([3]characters!$A$1,0,0,COUNTA([3]characters!$A:$A),MATCH(AC$1,[3]characters!$1:$1,0)-MATCH("character_id",[3]characters!$1:$1,0)+1),MATCH(AC$1,[3]characters!$1:$1,0)-MATCH("character_id",[3]characters!$1:$1,0)+1,FALSE)</f>
        <v>ミミ</v>
      </c>
      <c r="AD871" s="4">
        <f ca="1">VLOOKUP($AB871,OFFSET([3]characters!$A$1,0,0,COUNTA([3]characters!$A:$A),MATCH(AD$1,[3]characters!$1:$1,0)-MATCH("character_id",[3]characters!$1:$1,0)+1),MATCH(AD$1,[3]characters!$1:$1,0)-MATCH("character_id",[3]characters!$1:$1,0)+1,FALSE)</f>
        <v>1</v>
      </c>
      <c r="AE871" s="4" t="str">
        <f ca="1">VLOOKUP($AB871,OFFSET([3]characters!$A$1,0,0,COUNTA([3]characters!$A:$A),MATCH(AE$1,[3]characters!$1:$1,0)-MATCH("character_id",[3]characters!$1:$1,0)+1),MATCH(AE$1,[3]characters!$1:$1,0)-MATCH("character_id",[3]characters!$1:$1,0)+1,FALSE)</f>
        <v>Drop1W</v>
      </c>
      <c r="AF871" s="7">
        <v>9</v>
      </c>
      <c r="AG871" s="26">
        <f t="shared" ca="1" si="769"/>
        <v>1</v>
      </c>
      <c r="AH871" s="8">
        <v>20</v>
      </c>
      <c r="AI871" s="7">
        <v>0</v>
      </c>
      <c r="AJ871" s="7">
        <v>0</v>
      </c>
      <c r="AK871" s="7">
        <v>0</v>
      </c>
      <c r="AL871" s="7">
        <v>0</v>
      </c>
      <c r="AM871" s="7">
        <v>1</v>
      </c>
    </row>
    <row r="872" spans="1:39" ht="14" x14ac:dyDescent="0.15">
      <c r="A872" s="18" t="str">
        <f t="shared" ca="1" si="770"/>
        <v>26_5-1/23&lt;lv58&gt;s4</v>
      </c>
      <c r="B872" s="50">
        <v>26</v>
      </c>
      <c r="C872" s="49">
        <v>5</v>
      </c>
      <c r="D872" s="2" t="str">
        <f t="shared" si="758"/>
        <v>26_5</v>
      </c>
      <c r="E872" s="2" t="str">
        <f t="shared" si="758"/>
        <v>5_26_5</v>
      </c>
      <c r="F872" s="4" t="str">
        <f ca="1">VLOOKUP($D872,OFFSET([1]stages!$A$1,0,0,COUNTA([1]stages!$A:$A),MATCH(F$1,[1]stages!$2:$2,0)-MATCH($D$1,[1]stages!$2:$2,0)+1),MATCH(F$1,[1]stages!$2:$2,0)-MATCH($D$1,[1]stages!$2:$2,0)+1,FALSE)</f>
        <v>26-5．踊る強奪者</v>
      </c>
      <c r="G872" s="56">
        <v>1</v>
      </c>
      <c r="H872" s="17" t="str">
        <f t="shared" si="759"/>
        <v>26_5-1</v>
      </c>
      <c r="I872" s="17"/>
      <c r="J872" s="17"/>
      <c r="K872" s="65" t="s">
        <v>56</v>
      </c>
      <c r="L872" s="52">
        <v>23</v>
      </c>
      <c r="M872" s="21" t="str">
        <f ca="1">VLOOKUP($L872,OFFSET([2]enemies!$A$1,0,0,COUNTA([2]enemies!$A:$A),MATCH(M$1,[2]enemies!$1:$1,0)-MATCH($L$1,[2]enemies!$1:$1,0)+1),MATCH(M$1,[2]enemies!$1:$1,0)-MATCH($L$1,[2]enemies!$1:$1,0)+1,FALSE)</f>
        <v>ミール</v>
      </c>
      <c r="N872" s="21" t="str">
        <f ca="1">VLOOKUP($L872,OFFSET([2]enemies!$A$1,0,0,COUNTA([2]enemies!$A:$A),MATCH(N$1,[2]enemies!$1:$1,0)-MATCH($L$1,[2]enemies!$1:$1,0)+1),MATCH(N$1,[2]enemies!$1:$1,0)-MATCH($L$1,[2]enemies!$1:$1,0)+1,FALSE)</f>
        <v>green</v>
      </c>
      <c r="O872" s="21" t="str">
        <f ca="1">VLOOKUP($L872,OFFSET([3]characters!$A$1,0,0,COUNTA([3]characters!$A:$A),MATCH(O$1,[3]characters!$1:$1,0)-MATCH($L$1,[3]characters!$1:$1,0)+1),MATCH(O$1,[3]characters!$1:$1,0)-MATCH($L$1,[3]characters!$1:$1,0)+1,FALSE)</f>
        <v>Drop1N</v>
      </c>
      <c r="P872" s="21" t="str">
        <f ca="1">VLOOKUP($L872,OFFSET([2]enemies!$A$1,0,0,COUNTA([2]enemies!$A:$A),MATCH(P$1,[2]enemies!$1:$1,0)-MATCH($L$1,[2]enemies!$1:$1,0)+1),MATCH(P$1,[2]enemies!$1:$1,0)-MATCH($L$1,[2]enemies!$1:$1,0)+1,FALSE)</f>
        <v>animal</v>
      </c>
      <c r="Q872" s="21">
        <f ca="1">VLOOKUP($L872,OFFSET([2]enemies!$A$1,0,0,COUNTA([2]enemies!$A:$A),MATCH(Q$1,[2]enemies!$1:$1,0)-MATCH($L$1,[2]enemies!$1:$1,0)+1),MATCH(Q$1,[2]enemies!$1:$1,0)-MATCH($L$1,[2]enemies!$1:$1,0)+1,FALSE)</f>
        <v>15</v>
      </c>
      <c r="R872" s="53">
        <v>58</v>
      </c>
      <c r="S872" s="27">
        <v>1</v>
      </c>
      <c r="T872" s="27">
        <v>1</v>
      </c>
      <c r="U872" s="5">
        <v>0</v>
      </c>
      <c r="V872" s="4" t="str">
        <f ca="1">VLOOKUP($W872,OFFSET([4]enemy_skill_sets!$B$1,0,0,COUNTA([4]enemy_skill_sets!$B:$B),MATCH(M$1,[4]enemy_skill_sets!$1:$1,0)-MATCH($W$1,[4]enemy_skill_sets!$1:$1,0)+2),MATCH(M$1,[4]enemy_skill_sets!$1:$1,0)-MATCH($W$1,[4]enemy_skill_sets!$1:$1,0)+2,FALSE)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72" s="4">
        <f ca="1">VLOOKUP($L872,OFFSET([2]enemies!$A$1,0,0,COUNTA([2]enemies!$A:$A),MATCH(W$1,[2]enemies!$1:$1,0)-MATCH($L$1,[2]enemies!$1:$1,0)+1),MATCH(W$1,[2]enemies!$1:$1,0)-MATCH($L$1,[2]enemies!$1:$1,0)+1,FALSE)</f>
        <v>0</v>
      </c>
      <c r="X872" s="6">
        <v>0</v>
      </c>
      <c r="Y872" s="6">
        <v>100</v>
      </c>
      <c r="Z872" s="6">
        <v>0</v>
      </c>
      <c r="AA872" s="4">
        <f ca="1">VLOOKUP($L872,OFFSET([2]enemies!$A$1,0,0,COUNTA([2]enemies!$A:$A),MATCH(AA$1,[2]enemies!$1:$1,0)-MATCH($L$1,[2]enemies!$1:$1,0)+1),MATCH(AA$1,[2]enemies!$1:$1,0)-MATCH($L$1,[2]enemies!$1:$1,0)+1,FALSE)</f>
        <v>4</v>
      </c>
      <c r="AB872" s="52">
        <v>23</v>
      </c>
      <c r="AC872" s="4" t="str">
        <f ca="1">VLOOKUP($AB872,OFFSET([3]characters!$A$1,0,0,COUNTA([3]characters!$A:$A),MATCH(AC$1,[3]characters!$1:$1,0)-MATCH("character_id",[3]characters!$1:$1,0)+1),MATCH(AC$1,[3]characters!$1:$1,0)-MATCH("character_id",[3]characters!$1:$1,0)+1,FALSE)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872" s="4">
        <f ca="1">VLOOKUP($AB872,OFFSET([3]characters!$A$1,0,0,COUNTA([3]characters!$A:$A),MATCH(AD$1,[3]characters!$1:$1,0)-MATCH("character_id",[3]characters!$1:$1,0)+1),MATCH(AD$1,[3]characters!$1:$1,0)-MATCH("character_id",[3]characters!$1:$1,0)+1,FALSE)</f>
        <v>1</v>
      </c>
      <c r="AE872" s="4" t="str">
        <f ca="1">VLOOKUP($AB872,OFFSET([3]characters!$A$1,0,0,COUNTA([3]characters!$A:$A),MATCH(AE$1,[3]characters!$1:$1,0)-MATCH("character_id",[3]characters!$1:$1,0)+1),MATCH(AE$1,[3]characters!$1:$1,0)-MATCH("character_id",[3]characters!$1:$1,0)+1,FALSE)</f>
        <v>Drop1N</v>
      </c>
      <c r="AF872" s="7">
        <v>7</v>
      </c>
      <c r="AG872" s="26">
        <f t="shared" ca="1" si="769"/>
        <v>1</v>
      </c>
      <c r="AH872" s="8">
        <v>20</v>
      </c>
      <c r="AI872" s="7">
        <v>0</v>
      </c>
      <c r="AJ872" s="7">
        <v>0</v>
      </c>
      <c r="AK872" s="7">
        <v>0</v>
      </c>
      <c r="AL872" s="7">
        <v>0</v>
      </c>
      <c r="AM872" s="7">
        <v>1</v>
      </c>
    </row>
    <row r="873" spans="1:39" ht="14" x14ac:dyDescent="0.15">
      <c r="A873" s="18" t="str">
        <f t="shared" ca="1" si="770"/>
        <v>26_5-1/25&lt;lv58&gt;s3</v>
      </c>
      <c r="B873" s="50">
        <v>26</v>
      </c>
      <c r="C873" s="49">
        <v>5</v>
      </c>
      <c r="D873" s="2" t="str">
        <f t="shared" si="758"/>
        <v>26_5</v>
      </c>
      <c r="E873" s="2" t="str">
        <f t="shared" si="758"/>
        <v>5_26_5</v>
      </c>
      <c r="F873" s="4" t="str">
        <f ca="1">VLOOKUP($D873,OFFSET([1]stages!$A$1,0,0,COUNTA([1]stages!$A:$A),MATCH(F$1,[1]stages!$2:$2,0)-MATCH($D$1,[1]stages!$2:$2,0)+1),MATCH(F$1,[1]stages!$2:$2,0)-MATCH($D$1,[1]stages!$2:$2,0)+1,FALSE)</f>
        <v>26-5．踊る強奪者</v>
      </c>
      <c r="G873" s="56">
        <v>1</v>
      </c>
      <c r="H873" s="17" t="str">
        <f t="shared" si="759"/>
        <v>26_5-1</v>
      </c>
      <c r="I873" s="17"/>
      <c r="J873" s="17"/>
      <c r="K873" s="65" t="s">
        <v>56</v>
      </c>
      <c r="L873" s="52">
        <v>25</v>
      </c>
      <c r="M873" s="21" t="str">
        <f ca="1">VLOOKUP($L873,OFFSET([2]enemies!$A$1,0,0,COUNTA([2]enemies!$A:$A),MATCH(M$1,[2]enemies!$1:$1,0)-MATCH($L$1,[2]enemies!$1:$1,0)+1),MATCH(M$1,[2]enemies!$1:$1,0)-MATCH($L$1,[2]enemies!$1:$1,0)+1,FALSE)</f>
        <v>ハチ</v>
      </c>
      <c r="N873" s="21" t="str">
        <f ca="1">VLOOKUP($L873,OFFSET([2]enemies!$A$1,0,0,COUNTA([2]enemies!$A:$A),MATCH(N$1,[2]enemies!$1:$1,0)-MATCH($L$1,[2]enemies!$1:$1,0)+1),MATCH(N$1,[2]enemies!$1:$1,0)-MATCH($L$1,[2]enemies!$1:$1,0)+1,FALSE)</f>
        <v>blue</v>
      </c>
      <c r="O873" s="21" t="str">
        <f ca="1">VLOOKUP($L873,OFFSET([3]characters!$A$1,0,0,COUNTA([3]characters!$A:$A),MATCH(O$1,[3]characters!$1:$1,0)-MATCH($L$1,[3]characters!$1:$1,0)+1),MATCH(O$1,[3]characters!$1:$1,0)-MATCH($L$1,[3]characters!$1:$1,0)+1,FALSE)</f>
        <v>Drop1N</v>
      </c>
      <c r="P873" s="21" t="str">
        <f ca="1">VLOOKUP($L873,OFFSET([2]enemies!$A$1,0,0,COUNTA([2]enemies!$A:$A),MATCH(P$1,[2]enemies!$1:$1,0)-MATCH($L$1,[2]enemies!$1:$1,0)+1),MATCH(P$1,[2]enemies!$1:$1,0)-MATCH($L$1,[2]enemies!$1:$1,0)+1,FALSE)</f>
        <v>animal</v>
      </c>
      <c r="Q873" s="21">
        <f ca="1">VLOOKUP($L873,OFFSET([2]enemies!$A$1,0,0,COUNTA([2]enemies!$A:$A),MATCH(Q$1,[2]enemies!$1:$1,0)-MATCH($L$1,[2]enemies!$1:$1,0)+1),MATCH(Q$1,[2]enemies!$1:$1,0)-MATCH($L$1,[2]enemies!$1:$1,0)+1,FALSE)</f>
        <v>15</v>
      </c>
      <c r="R873" s="53">
        <v>58</v>
      </c>
      <c r="S873" s="27">
        <v>1</v>
      </c>
      <c r="T873" s="27">
        <v>1</v>
      </c>
      <c r="U873" s="5">
        <v>0</v>
      </c>
      <c r="V873" s="4" t="str">
        <f ca="1">VLOOKUP($W873,OFFSET([4]enemy_skill_sets!$B$1,0,0,COUNTA([4]enemy_skill_sets!$B:$B),MATCH(M$1,[4]enemy_skill_sets!$1:$1,0)-MATCH($W$1,[4]enemy_skill_sets!$1:$1,0)+2),MATCH(M$1,[4]enemy_skill_sets!$1:$1,0)-MATCH($W$1,[4]enemy_skill_sets!$1:$1,0)+2,FALSE)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73" s="4">
        <f ca="1">VLOOKUP($L873,OFFSET([2]enemies!$A$1,0,0,COUNTA([2]enemies!$A:$A),MATCH(W$1,[2]enemies!$1:$1,0)-MATCH($L$1,[2]enemies!$1:$1,0)+1),MATCH(W$1,[2]enemies!$1:$1,0)-MATCH($L$1,[2]enemies!$1:$1,0)+1,FALSE)</f>
        <v>0</v>
      </c>
      <c r="X873" s="6">
        <v>0</v>
      </c>
      <c r="Y873" s="6">
        <v>100</v>
      </c>
      <c r="Z873" s="6">
        <v>0</v>
      </c>
      <c r="AA873" s="4">
        <f ca="1">VLOOKUP($L873,OFFSET([2]enemies!$A$1,0,0,COUNTA([2]enemies!$A:$A),MATCH(AA$1,[2]enemies!$1:$1,0)-MATCH($L$1,[2]enemies!$1:$1,0)+1),MATCH(AA$1,[2]enemies!$1:$1,0)-MATCH($L$1,[2]enemies!$1:$1,0)+1,FALSE)</f>
        <v>3</v>
      </c>
      <c r="AB873" s="52">
        <v>25</v>
      </c>
      <c r="AC873" s="4" t="str">
        <f ca="1">VLOOKUP($AB873,OFFSET([3]characters!$A$1,0,0,COUNTA([3]characters!$A:$A),MATCH(AC$1,[3]characters!$1:$1,0)-MATCH("character_id",[3]characters!$1:$1,0)+1),MATCH(AC$1,[3]characters!$1:$1,0)-MATCH("character_id",[3]characters!$1:$1,0)+1,FALSE)</f>
        <v>ハチ</v>
      </c>
      <c r="AD873" s="4">
        <f ca="1">VLOOKUP($AB873,OFFSET([3]characters!$A$1,0,0,COUNTA([3]characters!$A:$A),MATCH(AD$1,[3]characters!$1:$1,0)-MATCH("character_id",[3]characters!$1:$1,0)+1),MATCH(AD$1,[3]characters!$1:$1,0)-MATCH("character_id",[3]characters!$1:$1,0)+1,FALSE)</f>
        <v>1</v>
      </c>
      <c r="AE873" s="4" t="str">
        <f ca="1">VLOOKUP($AB873,OFFSET([3]characters!$A$1,0,0,COUNTA([3]characters!$A:$A),MATCH(AE$1,[3]characters!$1:$1,0)-MATCH("character_id",[3]characters!$1:$1,0)+1),MATCH(AE$1,[3]characters!$1:$1,0)-MATCH("character_id",[3]characters!$1:$1,0)+1,FALSE)</f>
        <v>Drop1N</v>
      </c>
      <c r="AF873" s="7">
        <v>7</v>
      </c>
      <c r="AG873" s="26">
        <f t="shared" ca="1" si="769"/>
        <v>1</v>
      </c>
      <c r="AH873" s="8">
        <v>20</v>
      </c>
      <c r="AI873" s="7">
        <v>0</v>
      </c>
      <c r="AJ873" s="7">
        <v>0</v>
      </c>
      <c r="AK873" s="7">
        <v>0</v>
      </c>
      <c r="AL873" s="7">
        <v>0</v>
      </c>
      <c r="AM873" s="7">
        <v>1</v>
      </c>
    </row>
    <row r="874" spans="1:39" ht="14" x14ac:dyDescent="0.15">
      <c r="A874" s="18" t="str">
        <f t="shared" ca="1" si="770"/>
        <v>26_5-1/348&lt;lv58&gt;s3</v>
      </c>
      <c r="B874" s="53">
        <v>26</v>
      </c>
      <c r="C874" s="51">
        <v>5</v>
      </c>
      <c r="D874" s="2" t="str">
        <f t="shared" ref="D874:D875" si="787">B874&amp;"_"&amp;C874</f>
        <v>26_5</v>
      </c>
      <c r="E874" s="2" t="str">
        <f t="shared" ref="E874:E875" si="788">C874&amp;"_"&amp;D874</f>
        <v>5_26_5</v>
      </c>
      <c r="F874" s="4" t="str">
        <f ca="1">VLOOKUP($D874,OFFSET([1]stages!$A$1,0,0,COUNTA([1]stages!$A:$A),MATCH(F$1,[1]stages!$2:$2,0)-MATCH($D$1,[1]stages!$2:$2,0)+1),MATCH(F$1,[1]stages!$2:$2,0)-MATCH($D$1,[1]stages!$2:$2,0)+1,FALSE)</f>
        <v>26-5．踊る強奪者</v>
      </c>
      <c r="G874" s="56">
        <v>1</v>
      </c>
      <c r="H874" s="17" t="str">
        <f t="shared" ref="H874:H875" si="789">B874&amp;"_"&amp;C874&amp;"-"&amp;G874</f>
        <v>26_5-1</v>
      </c>
      <c r="I874" s="17"/>
      <c r="J874" s="17"/>
      <c r="K874" s="65" t="s">
        <v>56</v>
      </c>
      <c r="L874" s="52">
        <v>348</v>
      </c>
      <c r="M874" s="21" t="str">
        <f ca="1">VLOOKUP($L874,OFFSET([2]enemies!$A$1,0,0,COUNTA([2]enemies!$A:$A),MATCH(M$1,[2]enemies!$1:$1,0)-MATCH($L$1,[2]enemies!$1:$1,0)+1),MATCH(M$1,[2]enemies!$1:$1,0)-MATCH($L$1,[2]enemies!$1:$1,0)+1,FALSE)</f>
        <v>炎のケロケロ</v>
      </c>
      <c r="N874" s="21" t="str">
        <f ca="1">VLOOKUP($L874,OFFSET([2]enemies!$A$1,0,0,COUNTA([2]enemies!$A:$A),MATCH(N$1,[2]enemies!$1:$1,0)-MATCH($L$1,[2]enemies!$1:$1,0)+1),MATCH(N$1,[2]enemies!$1:$1,0)-MATCH($L$1,[2]enemies!$1:$1,0)+1,FALSE)</f>
        <v>red</v>
      </c>
      <c r="O874" s="21" t="str">
        <f ca="1">VLOOKUP($L874,OFFSET([3]characters!$A$1,0,0,COUNTA([3]characters!$A:$A),MATCH(O$1,[3]characters!$1:$1,0)-MATCH($L$1,[3]characters!$1:$1,0)+1),MATCH(O$1,[3]characters!$1:$1,0)-MATCH($L$1,[3]characters!$1:$1,0)+1,FALSE)</f>
        <v>Material</v>
      </c>
      <c r="P874" s="21" t="str">
        <f ca="1">VLOOKUP($L874,OFFSET([2]enemies!$A$1,0,0,COUNTA([2]enemies!$A:$A),MATCH(P$1,[2]enemies!$1:$1,0)-MATCH($L$1,[2]enemies!$1:$1,0)+1),MATCH(P$1,[2]enemies!$1:$1,0)-MATCH($L$1,[2]enemies!$1:$1,0)+1,FALSE)</f>
        <v>unknown</v>
      </c>
      <c r="Q874" s="21">
        <f ca="1">VLOOKUP($L874,OFFSET([2]enemies!$A$1,0,0,COUNTA([2]enemies!$A:$A),MATCH(Q$1,[2]enemies!$1:$1,0)-MATCH($L$1,[2]enemies!$1:$1,0)+1),MATCH(Q$1,[2]enemies!$1:$1,0)-MATCH($L$1,[2]enemies!$1:$1,0)+1,FALSE)</f>
        <v>15</v>
      </c>
      <c r="R874" s="53">
        <v>58</v>
      </c>
      <c r="S874" s="27">
        <v>1</v>
      </c>
      <c r="T874" s="27">
        <v>1</v>
      </c>
      <c r="U874" s="5">
        <v>0</v>
      </c>
      <c r="V874" s="4" t="str">
        <f ca="1">VLOOKUP($W874,OFFSET([4]enemy_skill_sets!$B$1,0,0,COUNTA([4]enemy_skill_sets!$B:$B),MATCH(M$1,[4]enemy_skill_sets!$1:$1,0)-MATCH($W$1,[4]enemy_skill_sets!$1:$1,0)+2),MATCH(M$1,[4]enemy_skill_sets!$1:$1,0)-MATCH($W$1,[4]enemy_skill_sets!$1:$1,0)+2,FALSE)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874" s="64">
        <v>348</v>
      </c>
      <c r="X874" s="6">
        <v>0</v>
      </c>
      <c r="Y874" s="6">
        <v>100</v>
      </c>
      <c r="Z874" s="6">
        <v>0</v>
      </c>
      <c r="AA874" s="4">
        <f ca="1">VLOOKUP($L874,OFFSET([2]enemies!$A$1,0,0,COUNTA([2]enemies!$A:$A),MATCH(AA$1,[2]enemies!$1:$1,0)-MATCH($L$1,[2]enemies!$1:$1,0)+1),MATCH(AA$1,[2]enemies!$1:$1,0)-MATCH($L$1,[2]enemies!$1:$1,0)+1,FALSE)</f>
        <v>3</v>
      </c>
      <c r="AB874" s="52">
        <v>348</v>
      </c>
      <c r="AC874" s="4" t="str">
        <f ca="1">VLOOKUP($AB874,OFFSET([3]characters!$A$1,0,0,COUNTA([3]characters!$A:$A),MATCH(AC$1,[3]characters!$1:$1,0)-MATCH("character_id",[3]characters!$1:$1,0)+1),MATCH(AC$1,[3]characters!$1:$1,0)-MATCH("character_id",[3]characters!$1:$1,0)+1,FALSE)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874" s="4">
        <f ca="1">VLOOKUP($AB874,OFFSET([3]characters!$A$1,0,0,COUNTA([3]characters!$A:$A),MATCH(AD$1,[3]characters!$1:$1,0)-MATCH("character_id",[3]characters!$1:$1,0)+1),MATCH(AD$1,[3]characters!$1:$1,0)-MATCH("character_id",[3]characters!$1:$1,0)+1,FALSE)</f>
        <v>2</v>
      </c>
      <c r="AE874" s="4" t="str">
        <f ca="1">VLOOKUP($AB874,OFFSET([3]characters!$A$1,0,0,COUNTA([3]characters!$A:$A),MATCH(AE$1,[3]characters!$1:$1,0)-MATCH("character_id",[3]characters!$1:$1,0)+1),MATCH(AE$1,[3]characters!$1:$1,0)-MATCH("character_id",[3]characters!$1:$1,0)+1,FALSE)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74" s="7">
        <v>10</v>
      </c>
      <c r="AG874" s="26">
        <f t="shared" ca="1" si="769"/>
        <v>2</v>
      </c>
      <c r="AH874" s="8">
        <v>20</v>
      </c>
      <c r="AI874" s="7">
        <v>0</v>
      </c>
      <c r="AJ874" s="7">
        <v>0</v>
      </c>
      <c r="AK874" s="7">
        <v>0</v>
      </c>
      <c r="AL874" s="7">
        <v>0</v>
      </c>
      <c r="AM874" s="7">
        <v>1</v>
      </c>
    </row>
    <row r="875" spans="1:39" ht="14" x14ac:dyDescent="0.15">
      <c r="A875" s="18" t="str">
        <f t="shared" ca="1" si="770"/>
        <v>26_5-1/350&lt;lv58&gt;s3</v>
      </c>
      <c r="B875" s="53">
        <v>26</v>
      </c>
      <c r="C875" s="51">
        <v>5</v>
      </c>
      <c r="D875" s="2" t="str">
        <f t="shared" si="787"/>
        <v>26_5</v>
      </c>
      <c r="E875" s="2" t="str">
        <f t="shared" si="788"/>
        <v>5_26_5</v>
      </c>
      <c r="F875" s="4" t="str">
        <f ca="1">VLOOKUP($D875,OFFSET([1]stages!$A$1,0,0,COUNTA([1]stages!$A:$A),MATCH(F$1,[1]stages!$2:$2,0)-MATCH($D$1,[1]stages!$2:$2,0)+1),MATCH(F$1,[1]stages!$2:$2,0)-MATCH($D$1,[1]stages!$2:$2,0)+1,FALSE)</f>
        <v>26-5．踊る強奪者</v>
      </c>
      <c r="G875" s="56">
        <v>1</v>
      </c>
      <c r="H875" s="17" t="str">
        <f t="shared" si="789"/>
        <v>26_5-1</v>
      </c>
      <c r="I875" s="17"/>
      <c r="J875" s="17"/>
      <c r="K875" s="65" t="s">
        <v>56</v>
      </c>
      <c r="L875" s="52">
        <v>350</v>
      </c>
      <c r="M875" s="21" t="str">
        <f ca="1">VLOOKUP($L875,OFFSET([2]enemies!$A$1,0,0,COUNTA([2]enemies!$A:$A),MATCH(M$1,[2]enemies!$1:$1,0)-MATCH($L$1,[2]enemies!$1:$1,0)+1),MATCH(M$1,[2]enemies!$1:$1,0)-MATCH($L$1,[2]enemies!$1:$1,0)+1,FALSE)</f>
        <v>森のケロケロ</v>
      </c>
      <c r="N875" s="21" t="str">
        <f ca="1">VLOOKUP($L875,OFFSET([2]enemies!$A$1,0,0,COUNTA([2]enemies!$A:$A),MATCH(N$1,[2]enemies!$1:$1,0)-MATCH($L$1,[2]enemies!$1:$1,0)+1),MATCH(N$1,[2]enemies!$1:$1,0)-MATCH($L$1,[2]enemies!$1:$1,0)+1,FALSE)</f>
        <v>green</v>
      </c>
      <c r="O875" s="21" t="str">
        <f ca="1">VLOOKUP($L875,OFFSET([3]characters!$A$1,0,0,COUNTA([3]characters!$A:$A),MATCH(O$1,[3]characters!$1:$1,0)-MATCH($L$1,[3]characters!$1:$1,0)+1),MATCH(O$1,[3]characters!$1:$1,0)-MATCH($L$1,[3]characters!$1:$1,0)+1,FALSE)</f>
        <v>Material</v>
      </c>
      <c r="P875" s="21" t="str">
        <f ca="1">VLOOKUP($L875,OFFSET([2]enemies!$A$1,0,0,COUNTA([2]enemies!$A:$A),MATCH(P$1,[2]enemies!$1:$1,0)-MATCH($L$1,[2]enemies!$1:$1,0)+1),MATCH(P$1,[2]enemies!$1:$1,0)-MATCH($L$1,[2]enemies!$1:$1,0)+1,FALSE)</f>
        <v>unknown</v>
      </c>
      <c r="Q875" s="21">
        <f ca="1">VLOOKUP($L875,OFFSET([2]enemies!$A$1,0,0,COUNTA([2]enemies!$A:$A),MATCH(Q$1,[2]enemies!$1:$1,0)-MATCH($L$1,[2]enemies!$1:$1,0)+1),MATCH(Q$1,[2]enemies!$1:$1,0)-MATCH($L$1,[2]enemies!$1:$1,0)+1,FALSE)</f>
        <v>15</v>
      </c>
      <c r="R875" s="53">
        <v>58</v>
      </c>
      <c r="S875" s="27">
        <v>1</v>
      </c>
      <c r="T875" s="27">
        <v>1</v>
      </c>
      <c r="U875" s="5">
        <v>0</v>
      </c>
      <c r="V875" s="4" t="str">
        <f ca="1">VLOOKUP($W875,OFFSET([4]enemy_skill_sets!$B$1,0,0,COUNTA([4]enemy_skill_sets!$B:$B),MATCH(M$1,[4]enemy_skill_sets!$1:$1,0)-MATCH($W$1,[4]enemy_skill_sets!$1:$1,0)+2),MATCH(M$1,[4]enemy_skill_sets!$1:$1,0)-MATCH($W$1,[4]enemy_skill_sets!$1:$1,0)+2,FALSE)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875" s="64">
        <v>350</v>
      </c>
      <c r="X875" s="6">
        <v>0</v>
      </c>
      <c r="Y875" s="6">
        <v>100</v>
      </c>
      <c r="Z875" s="6">
        <v>0</v>
      </c>
      <c r="AA875" s="4">
        <f ca="1">VLOOKUP($L875,OFFSET([2]enemies!$A$1,0,0,COUNTA([2]enemies!$A:$A),MATCH(AA$1,[2]enemies!$1:$1,0)-MATCH($L$1,[2]enemies!$1:$1,0)+1),MATCH(AA$1,[2]enemies!$1:$1,0)-MATCH($L$1,[2]enemies!$1:$1,0)+1,FALSE)</f>
        <v>3</v>
      </c>
      <c r="AB875" s="52">
        <v>350</v>
      </c>
      <c r="AC875" s="4" t="str">
        <f ca="1">VLOOKUP($AB875,OFFSET([3]characters!$A$1,0,0,COUNTA([3]characters!$A:$A),MATCH(AC$1,[3]characters!$1:$1,0)-MATCH("character_id",[3]characters!$1:$1,0)+1),MATCH(AC$1,[3]characters!$1:$1,0)-MATCH("character_id",[3]characters!$1:$1,0)+1,FALSE)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875" s="4">
        <f ca="1">VLOOKUP($AB875,OFFSET([3]characters!$A$1,0,0,COUNTA([3]characters!$A:$A),MATCH(AD$1,[3]characters!$1:$1,0)-MATCH("character_id",[3]characters!$1:$1,0)+1),MATCH(AD$1,[3]characters!$1:$1,0)-MATCH("character_id",[3]characters!$1:$1,0)+1,FALSE)</f>
        <v>2</v>
      </c>
      <c r="AE875" s="4" t="str">
        <f ca="1">VLOOKUP($AB875,OFFSET([3]characters!$A$1,0,0,COUNTA([3]characters!$A:$A),MATCH(AE$1,[3]characters!$1:$1,0)-MATCH("character_id",[3]characters!$1:$1,0)+1),MATCH(AE$1,[3]characters!$1:$1,0)-MATCH("character_id",[3]characters!$1:$1,0)+1,FALSE)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75" s="7">
        <v>10</v>
      </c>
      <c r="AG875" s="26">
        <f t="shared" ca="1" si="769"/>
        <v>2</v>
      </c>
      <c r="AH875" s="8">
        <v>20</v>
      </c>
      <c r="AI875" s="7">
        <v>0</v>
      </c>
      <c r="AJ875" s="7">
        <v>0</v>
      </c>
      <c r="AK875" s="7">
        <v>0</v>
      </c>
      <c r="AL875" s="7">
        <v>0</v>
      </c>
      <c r="AM875" s="7">
        <v>1</v>
      </c>
    </row>
    <row r="876" spans="1:39" ht="14" x14ac:dyDescent="0.15">
      <c r="A876" s="18" t="str">
        <f t="shared" ca="1" si="770"/>
        <v>26_5-2/33&lt;lv58&gt;s2</v>
      </c>
      <c r="B876" s="50">
        <v>26</v>
      </c>
      <c r="C876" s="49">
        <v>5</v>
      </c>
      <c r="D876" s="2" t="str">
        <f t="shared" ref="D876:E904" si="790">B876&amp;"_"&amp;C876</f>
        <v>26_5</v>
      </c>
      <c r="E876" s="2" t="str">
        <f t="shared" si="790"/>
        <v>5_26_5</v>
      </c>
      <c r="F876" s="4" t="str">
        <f ca="1">VLOOKUP($D876,OFFSET([1]stages!$A$1,0,0,COUNTA([1]stages!$A:$A),MATCH(F$1,[1]stages!$2:$2,0)-MATCH($D$1,[1]stages!$2:$2,0)+1),MATCH(F$1,[1]stages!$2:$2,0)-MATCH($D$1,[1]stages!$2:$2,0)+1,FALSE)</f>
        <v>26-5．踊る強奪者</v>
      </c>
      <c r="G876" s="57">
        <v>2</v>
      </c>
      <c r="H876" s="17" t="str">
        <f t="shared" ref="H876:H904" si="791">B876&amp;"_"&amp;C876&amp;"-"&amp;G876</f>
        <v>26_5-2</v>
      </c>
      <c r="I876" s="17"/>
      <c r="J876" s="17"/>
      <c r="K876" s="65" t="s">
        <v>56</v>
      </c>
      <c r="L876" s="52">
        <v>33</v>
      </c>
      <c r="M876" s="21" t="str">
        <f ca="1">VLOOKUP($L876,OFFSET([2]enemies!$A$1,0,0,COUNTA([2]enemies!$A:$A),MATCH(M$1,[2]enemies!$1:$1,0)-MATCH($L$1,[2]enemies!$1:$1,0)+1),MATCH(M$1,[2]enemies!$1:$1,0)-MATCH($L$1,[2]enemies!$1:$1,0)+1,FALSE)</f>
        <v>ゴクウ</v>
      </c>
      <c r="N876" s="21" t="str">
        <f ca="1">VLOOKUP($L876,OFFSET([2]enemies!$A$1,0,0,COUNTA([2]enemies!$A:$A),MATCH(N$1,[2]enemies!$1:$1,0)-MATCH($L$1,[2]enemies!$1:$1,0)+1),MATCH(N$1,[2]enemies!$1:$1,0)-MATCH($L$1,[2]enemies!$1:$1,0)+1,FALSE)</f>
        <v>red</v>
      </c>
      <c r="O876" s="21" t="str">
        <f ca="1">VLOOKUP($L876,OFFSET([3]characters!$A$1,0,0,COUNTA([3]characters!$A:$A),MATCH(O$1,[3]characters!$1:$1,0)-MATCH($L$1,[3]characters!$1:$1,0)+1),MATCH(O$1,[3]characters!$1:$1,0)-MATCH($L$1,[3]characters!$1:$1,0)+1,FALSE)</f>
        <v>Drop1S</v>
      </c>
      <c r="P876" s="21" t="str">
        <f ca="1">VLOOKUP($L876,OFFSET([2]enemies!$A$1,0,0,COUNTA([2]enemies!$A:$A),MATCH(P$1,[2]enemies!$1:$1,0)-MATCH($L$1,[2]enemies!$1:$1,0)+1),MATCH(P$1,[2]enemies!$1:$1,0)-MATCH($L$1,[2]enemies!$1:$1,0)+1,FALSE)</f>
        <v>animal</v>
      </c>
      <c r="Q876" s="21">
        <f ca="1">VLOOKUP($L876,OFFSET([2]enemies!$A$1,0,0,COUNTA([2]enemies!$A:$A),MATCH(Q$1,[2]enemies!$1:$1,0)-MATCH($L$1,[2]enemies!$1:$1,0)+1),MATCH(Q$1,[2]enemies!$1:$1,0)-MATCH($L$1,[2]enemies!$1:$1,0)+1,FALSE)</f>
        <v>15</v>
      </c>
      <c r="R876" s="53">
        <v>58</v>
      </c>
      <c r="S876" s="27">
        <v>1</v>
      </c>
      <c r="T876" s="27">
        <v>1</v>
      </c>
      <c r="U876" s="5">
        <v>0</v>
      </c>
      <c r="V876" s="4" t="str">
        <f ca="1">VLOOKUP($W876,OFFSET([4]enemy_skill_sets!$B$1,0,0,COUNTA([4]enemy_skill_sets!$B:$B),MATCH(M$1,[4]enemy_skill_sets!$1:$1,0)-MATCH($W$1,[4]enemy_skill_sets!$1:$1,0)+2),MATCH(M$1,[4]enemy_skill_sets!$1:$1,0)-MATCH($W$1,[4]enemy_skill_sets!$1:$1,0)+2,FALSE)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876" s="4">
        <f ca="1">VLOOKUP($L876,OFFSET([2]enemies!$A$1,0,0,COUNTA([2]enemies!$A:$A),MATCH(W$1,[2]enemies!$1:$1,0)-MATCH($L$1,[2]enemies!$1:$1,0)+1),MATCH(W$1,[2]enemies!$1:$1,0)-MATCH($L$1,[2]enemies!$1:$1,0)+1,FALSE)</f>
        <v>33</v>
      </c>
      <c r="X876" s="6">
        <v>0</v>
      </c>
      <c r="Y876" s="6">
        <v>100</v>
      </c>
      <c r="Z876" s="6">
        <v>0</v>
      </c>
      <c r="AA876" s="4">
        <f ca="1">VLOOKUP($L876,OFFSET([2]enemies!$A$1,0,0,COUNTA([2]enemies!$A:$A),MATCH(AA$1,[2]enemies!$1:$1,0)-MATCH($L$1,[2]enemies!$1:$1,0)+1),MATCH(AA$1,[2]enemies!$1:$1,0)-MATCH($L$1,[2]enemies!$1:$1,0)+1,FALSE)</f>
        <v>2</v>
      </c>
      <c r="AB876" s="52">
        <v>33</v>
      </c>
      <c r="AC876" s="4" t="str">
        <f ca="1">VLOOKUP($AB876,OFFSET([3]characters!$A$1,0,0,COUNTA([3]characters!$A:$A),MATCH(AC$1,[3]characters!$1:$1,0)-MATCH("character_id",[3]characters!$1:$1,0)+1),MATCH(AC$1,[3]characters!$1:$1,0)-MATCH("character_id",[3]characters!$1:$1,0)+1,FALSE)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876" s="4">
        <f ca="1">VLOOKUP($AB876,OFFSET([3]characters!$A$1,0,0,COUNTA([3]characters!$A:$A),MATCH(AD$1,[3]characters!$1:$1,0)-MATCH("character_id",[3]characters!$1:$1,0)+1),MATCH(AD$1,[3]characters!$1:$1,0)-MATCH("character_id",[3]characters!$1:$1,0)+1,FALSE)</f>
        <v>2</v>
      </c>
      <c r="AE876" s="4" t="str">
        <f ca="1">VLOOKUP($AB876,OFFSET([3]characters!$A$1,0,0,COUNTA([3]characters!$A:$A),MATCH(AE$1,[3]characters!$1:$1,0)-MATCH("character_id",[3]characters!$1:$1,0)+1),MATCH(AE$1,[3]characters!$1:$1,0)-MATCH("character_id",[3]characters!$1:$1,0)+1,FALSE)</f>
        <v>Drop1S</v>
      </c>
      <c r="AF876" s="7">
        <v>5</v>
      </c>
      <c r="AG876" s="26">
        <f t="shared" ca="1" si="769"/>
        <v>2</v>
      </c>
      <c r="AH876" s="8">
        <v>20</v>
      </c>
      <c r="AI876" s="7">
        <v>0</v>
      </c>
      <c r="AJ876" s="7">
        <v>0</v>
      </c>
      <c r="AK876" s="7">
        <v>0</v>
      </c>
      <c r="AL876" s="7">
        <v>0</v>
      </c>
      <c r="AM876" s="7">
        <v>1</v>
      </c>
    </row>
    <row r="877" spans="1:39" ht="14" x14ac:dyDescent="0.15">
      <c r="A877" s="18" t="str">
        <f t="shared" ca="1" si="770"/>
        <v>26_5-2/37&lt;lv58&gt;s3</v>
      </c>
      <c r="B877" s="50">
        <v>26</v>
      </c>
      <c r="C877" s="49">
        <v>5</v>
      </c>
      <c r="D877" s="2" t="str">
        <f t="shared" si="790"/>
        <v>26_5</v>
      </c>
      <c r="E877" s="2" t="str">
        <f t="shared" si="790"/>
        <v>5_26_5</v>
      </c>
      <c r="F877" s="4" t="str">
        <f ca="1">VLOOKUP($D877,OFFSET([1]stages!$A$1,0,0,COUNTA([1]stages!$A:$A),MATCH(F$1,[1]stages!$2:$2,0)-MATCH($D$1,[1]stages!$2:$2,0)+1),MATCH(F$1,[1]stages!$2:$2,0)-MATCH($D$1,[1]stages!$2:$2,0)+1,FALSE)</f>
        <v>26-5．踊る強奪者</v>
      </c>
      <c r="G877" s="57">
        <v>2</v>
      </c>
      <c r="H877" s="17" t="str">
        <f t="shared" si="791"/>
        <v>26_5-2</v>
      </c>
      <c r="I877" s="17"/>
      <c r="J877" s="17"/>
      <c r="K877" s="65" t="s">
        <v>56</v>
      </c>
      <c r="L877" s="52">
        <v>37</v>
      </c>
      <c r="M877" s="21" t="str">
        <f ca="1">VLOOKUP($L877,OFFSET([2]enemies!$A$1,0,0,COUNTA([2]enemies!$A:$A),MATCH(M$1,[2]enemies!$1:$1,0)-MATCH($L$1,[2]enemies!$1:$1,0)+1),MATCH(M$1,[2]enemies!$1:$1,0)-MATCH($L$1,[2]enemies!$1:$1,0)+1,FALSE)</f>
        <v>ガイル</v>
      </c>
      <c r="N877" s="21" t="str">
        <f ca="1">VLOOKUP($L877,OFFSET([2]enemies!$A$1,0,0,COUNTA([2]enemies!$A:$A),MATCH(N$1,[2]enemies!$1:$1,0)-MATCH($L$1,[2]enemies!$1:$1,0)+1),MATCH(N$1,[2]enemies!$1:$1,0)-MATCH($L$1,[2]enemies!$1:$1,0)+1,FALSE)</f>
        <v>blue</v>
      </c>
      <c r="O877" s="21" t="str">
        <f ca="1">VLOOKUP($L877,OFFSET([3]characters!$A$1,0,0,COUNTA([3]characters!$A:$A),MATCH(O$1,[3]characters!$1:$1,0)-MATCH($L$1,[3]characters!$1:$1,0)+1),MATCH(O$1,[3]characters!$1:$1,0)-MATCH($L$1,[3]characters!$1:$1,0)+1,FALSE)</f>
        <v>Drop1S</v>
      </c>
      <c r="P877" s="21" t="str">
        <f ca="1">VLOOKUP($L877,OFFSET([2]enemies!$A$1,0,0,COUNTA([2]enemies!$A:$A),MATCH(P$1,[2]enemies!$1:$1,0)-MATCH($L$1,[2]enemies!$1:$1,0)+1),MATCH(P$1,[2]enemies!$1:$1,0)-MATCH($L$1,[2]enemies!$1:$1,0)+1,FALSE)</f>
        <v>animal</v>
      </c>
      <c r="Q877" s="21">
        <f ca="1">VLOOKUP($L877,OFFSET([2]enemies!$A$1,0,0,COUNTA([2]enemies!$A:$A),MATCH(Q$1,[2]enemies!$1:$1,0)-MATCH($L$1,[2]enemies!$1:$1,0)+1),MATCH(Q$1,[2]enemies!$1:$1,0)-MATCH($L$1,[2]enemies!$1:$1,0)+1,FALSE)</f>
        <v>15</v>
      </c>
      <c r="R877" s="53">
        <v>58</v>
      </c>
      <c r="S877" s="27">
        <v>1</v>
      </c>
      <c r="T877" s="27">
        <v>1</v>
      </c>
      <c r="U877" s="5">
        <v>0</v>
      </c>
      <c r="V877" s="4" t="str">
        <f ca="1">VLOOKUP($W877,OFFSET([4]enemy_skill_sets!$B$1,0,0,COUNTA([4]enemy_skill_sets!$B:$B),MATCH(M$1,[4]enemy_skill_sets!$1:$1,0)-MATCH($W$1,[4]enemy_skill_sets!$1:$1,0)+2),MATCH(M$1,[4]enemy_skill_sets!$1:$1,0)-MATCH($W$1,[4]enemy_skill_sets!$1:$1,0)+2,FALSE)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877" s="4">
        <f ca="1">VLOOKUP($L877,OFFSET([2]enemies!$A$1,0,0,COUNTA([2]enemies!$A:$A),MATCH(W$1,[2]enemies!$1:$1,0)-MATCH($L$1,[2]enemies!$1:$1,0)+1),MATCH(W$1,[2]enemies!$1:$1,0)-MATCH($L$1,[2]enemies!$1:$1,0)+1,FALSE)</f>
        <v>37</v>
      </c>
      <c r="X877" s="6">
        <v>0</v>
      </c>
      <c r="Y877" s="6">
        <v>100</v>
      </c>
      <c r="Z877" s="6">
        <v>0</v>
      </c>
      <c r="AA877" s="4">
        <f ca="1">VLOOKUP($L877,OFFSET([2]enemies!$A$1,0,0,COUNTA([2]enemies!$A:$A),MATCH(AA$1,[2]enemies!$1:$1,0)-MATCH($L$1,[2]enemies!$1:$1,0)+1),MATCH(AA$1,[2]enemies!$1:$1,0)-MATCH($L$1,[2]enemies!$1:$1,0)+1,FALSE)</f>
        <v>3</v>
      </c>
      <c r="AB877" s="52">
        <v>37</v>
      </c>
      <c r="AC877" s="4" t="str">
        <f ca="1">VLOOKUP($AB877,OFFSET([3]characters!$A$1,0,0,COUNTA([3]characters!$A:$A),MATCH(AC$1,[3]characters!$1:$1,0)-MATCH("character_id",[3]characters!$1:$1,0)+1),MATCH(AC$1,[3]characters!$1:$1,0)-MATCH("character_id",[3]characters!$1:$1,0)+1,FALSE)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877" s="4">
        <f ca="1">VLOOKUP($AB877,OFFSET([3]characters!$A$1,0,0,COUNTA([3]characters!$A:$A),MATCH(AD$1,[3]characters!$1:$1,0)-MATCH("character_id",[3]characters!$1:$1,0)+1),MATCH(AD$1,[3]characters!$1:$1,0)-MATCH("character_id",[3]characters!$1:$1,0)+1,FALSE)</f>
        <v>2</v>
      </c>
      <c r="AE877" s="4" t="str">
        <f ca="1">VLOOKUP($AB877,OFFSET([3]characters!$A$1,0,0,COUNTA([3]characters!$A:$A),MATCH(AE$1,[3]characters!$1:$1,0)-MATCH("character_id",[3]characters!$1:$1,0)+1),MATCH(AE$1,[3]characters!$1:$1,0)-MATCH("character_id",[3]characters!$1:$1,0)+1,FALSE)</f>
        <v>Drop1S</v>
      </c>
      <c r="AF877" s="7">
        <v>5</v>
      </c>
      <c r="AG877" s="26">
        <f t="shared" ca="1" si="769"/>
        <v>2</v>
      </c>
      <c r="AH877" s="8">
        <v>20</v>
      </c>
      <c r="AI877" s="7">
        <v>0</v>
      </c>
      <c r="AJ877" s="7">
        <v>0</v>
      </c>
      <c r="AK877" s="7">
        <v>0</v>
      </c>
      <c r="AL877" s="7">
        <v>0</v>
      </c>
      <c r="AM877" s="7">
        <v>1</v>
      </c>
    </row>
    <row r="878" spans="1:39" ht="14" x14ac:dyDescent="0.15">
      <c r="A878" s="18" t="str">
        <f t="shared" ca="1" si="770"/>
        <v>26_5-2/45&lt;lv58&gt;s3</v>
      </c>
      <c r="B878" s="50">
        <v>26</v>
      </c>
      <c r="C878" s="49">
        <v>5</v>
      </c>
      <c r="D878" s="2" t="str">
        <f t="shared" si="790"/>
        <v>26_5</v>
      </c>
      <c r="E878" s="2" t="str">
        <f t="shared" si="790"/>
        <v>5_26_5</v>
      </c>
      <c r="F878" s="4" t="str">
        <f ca="1">VLOOKUP($D878,OFFSET([1]stages!$A$1,0,0,COUNTA([1]stages!$A:$A),MATCH(F$1,[1]stages!$2:$2,0)-MATCH($D$1,[1]stages!$2:$2,0)+1),MATCH(F$1,[1]stages!$2:$2,0)-MATCH($D$1,[1]stages!$2:$2,0)+1,FALSE)</f>
        <v>26-5．踊る強奪者</v>
      </c>
      <c r="G878" s="57">
        <v>2</v>
      </c>
      <c r="H878" s="17" t="str">
        <f t="shared" si="791"/>
        <v>26_5-2</v>
      </c>
      <c r="I878" s="17"/>
      <c r="J878" s="17"/>
      <c r="K878" s="65" t="s">
        <v>56</v>
      </c>
      <c r="L878" s="52">
        <v>45</v>
      </c>
      <c r="M878" s="21" t="str">
        <f ca="1">VLOOKUP($L878,OFFSET([2]enemies!$A$1,0,0,COUNTA([2]enemies!$A:$A),MATCH(M$1,[2]enemies!$1:$1,0)-MATCH($L$1,[2]enemies!$1:$1,0)+1),MATCH(M$1,[2]enemies!$1:$1,0)-MATCH($L$1,[2]enemies!$1:$1,0)+1,FALSE)</f>
        <v>ショウイン</v>
      </c>
      <c r="N878" s="21" t="str">
        <f ca="1">VLOOKUP($L878,OFFSET([2]enemies!$A$1,0,0,COUNTA([2]enemies!$A:$A),MATCH(N$1,[2]enemies!$1:$1,0)-MATCH($L$1,[2]enemies!$1:$1,0)+1),MATCH(N$1,[2]enemies!$1:$1,0)-MATCH($L$1,[2]enemies!$1:$1,0)+1,FALSE)</f>
        <v>blue</v>
      </c>
      <c r="O878" s="21" t="str">
        <f ca="1">VLOOKUP($L878,OFFSET([3]characters!$A$1,0,0,COUNTA([3]characters!$A:$A),MATCH(O$1,[3]characters!$1:$1,0)-MATCH($L$1,[3]characters!$1:$1,0)+1),MATCH(O$1,[3]characters!$1:$1,0)-MATCH($L$1,[3]characters!$1:$1,0)+1,FALSE)</f>
        <v>Drop1N</v>
      </c>
      <c r="P878" s="21" t="str">
        <f ca="1">VLOOKUP($L878,OFFSET([2]enemies!$A$1,0,0,COUNTA([2]enemies!$A:$A),MATCH(P$1,[2]enemies!$1:$1,0)-MATCH($L$1,[2]enemies!$1:$1,0)+1),MATCH(P$1,[2]enemies!$1:$1,0)-MATCH($L$1,[2]enemies!$1:$1,0)+1,FALSE)</f>
        <v>animal</v>
      </c>
      <c r="Q878" s="21">
        <f ca="1">VLOOKUP($L878,OFFSET([2]enemies!$A$1,0,0,COUNTA([2]enemies!$A:$A),MATCH(Q$1,[2]enemies!$1:$1,0)-MATCH($L$1,[2]enemies!$1:$1,0)+1),MATCH(Q$1,[2]enemies!$1:$1,0)-MATCH($L$1,[2]enemies!$1:$1,0)+1,FALSE)</f>
        <v>15</v>
      </c>
      <c r="R878" s="53">
        <v>58</v>
      </c>
      <c r="S878" s="27">
        <v>1</v>
      </c>
      <c r="T878" s="27">
        <v>1</v>
      </c>
      <c r="U878" s="5">
        <v>0</v>
      </c>
      <c r="V878" s="4" t="str">
        <f ca="1">VLOOKUP($W878,OFFSET([4]enemy_skill_sets!$B$1,0,0,COUNTA([4]enemy_skill_sets!$B:$B),MATCH(M$1,[4]enemy_skill_sets!$1:$1,0)-MATCH($W$1,[4]enemy_skill_sets!$1:$1,0)+2),MATCH(M$1,[4]enemy_skill_sets!$1:$1,0)-MATCH($W$1,[4]enemy_skill_sets!$1:$1,0)+2,FALSE)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78" s="4">
        <f ca="1">VLOOKUP($L878,OFFSET([2]enemies!$A$1,0,0,COUNTA([2]enemies!$A:$A),MATCH(W$1,[2]enemies!$1:$1,0)-MATCH($L$1,[2]enemies!$1:$1,0)+1),MATCH(W$1,[2]enemies!$1:$1,0)-MATCH($L$1,[2]enemies!$1:$1,0)+1,FALSE)</f>
        <v>0</v>
      </c>
      <c r="X878" s="6">
        <v>0</v>
      </c>
      <c r="Y878" s="6">
        <v>100</v>
      </c>
      <c r="Z878" s="6">
        <v>0</v>
      </c>
      <c r="AA878" s="4">
        <f ca="1">VLOOKUP($L878,OFFSET([2]enemies!$A$1,0,0,COUNTA([2]enemies!$A:$A),MATCH(AA$1,[2]enemies!$1:$1,0)-MATCH($L$1,[2]enemies!$1:$1,0)+1),MATCH(AA$1,[2]enemies!$1:$1,0)-MATCH($L$1,[2]enemies!$1:$1,0)+1,FALSE)</f>
        <v>3</v>
      </c>
      <c r="AB878" s="52">
        <v>45</v>
      </c>
      <c r="AC878" s="4" t="str">
        <f ca="1">VLOOKUP($AB878,OFFSET([3]characters!$A$1,0,0,COUNTA([3]characters!$A:$A),MATCH(AC$1,[3]characters!$1:$1,0)-MATCH("character_id",[3]characters!$1:$1,0)+1),MATCH(AC$1,[3]characters!$1:$1,0)-MATCH("character_id",[3]characters!$1:$1,0)+1,FALSE)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878" s="4">
        <f ca="1">VLOOKUP($AB878,OFFSET([3]characters!$A$1,0,0,COUNTA([3]characters!$A:$A),MATCH(AD$1,[3]characters!$1:$1,0)-MATCH("character_id",[3]characters!$1:$1,0)+1),MATCH(AD$1,[3]characters!$1:$1,0)-MATCH("character_id",[3]characters!$1:$1,0)+1,FALSE)</f>
        <v>2</v>
      </c>
      <c r="AE878" s="4" t="str">
        <f ca="1">VLOOKUP($AB878,OFFSET([3]characters!$A$1,0,0,COUNTA([3]characters!$A:$A),MATCH(AE$1,[3]characters!$1:$1,0)-MATCH("character_id",[3]characters!$1:$1,0)+1),MATCH(AE$1,[3]characters!$1:$1,0)-MATCH("character_id",[3]characters!$1:$1,0)+1,FALSE)</f>
        <v>Drop1N</v>
      </c>
      <c r="AF878" s="7">
        <v>7</v>
      </c>
      <c r="AG878" s="26">
        <f t="shared" ca="1" si="769"/>
        <v>2</v>
      </c>
      <c r="AH878" s="8">
        <v>20</v>
      </c>
      <c r="AI878" s="7">
        <v>0</v>
      </c>
      <c r="AJ878" s="7">
        <v>0</v>
      </c>
      <c r="AK878" s="7">
        <v>0</v>
      </c>
      <c r="AL878" s="7">
        <v>0</v>
      </c>
      <c r="AM878" s="7">
        <v>1</v>
      </c>
    </row>
    <row r="879" spans="1:39" ht="14" x14ac:dyDescent="0.15">
      <c r="A879" s="18" t="str">
        <f t="shared" ca="1" si="770"/>
        <v>26_5-2/47&lt;lv58&gt;s1</v>
      </c>
      <c r="B879" s="50">
        <v>26</v>
      </c>
      <c r="C879" s="49">
        <v>5</v>
      </c>
      <c r="D879" s="2" t="str">
        <f t="shared" si="790"/>
        <v>26_5</v>
      </c>
      <c r="E879" s="2" t="str">
        <f t="shared" si="790"/>
        <v>5_26_5</v>
      </c>
      <c r="F879" s="4" t="str">
        <f ca="1">VLOOKUP($D879,OFFSET([1]stages!$A$1,0,0,COUNTA([1]stages!$A:$A),MATCH(F$1,[1]stages!$2:$2,0)-MATCH($D$1,[1]stages!$2:$2,0)+1),MATCH(F$1,[1]stages!$2:$2,0)-MATCH($D$1,[1]stages!$2:$2,0)+1,FALSE)</f>
        <v>26-5．踊る強奪者</v>
      </c>
      <c r="G879" s="57">
        <v>2</v>
      </c>
      <c r="H879" s="17" t="str">
        <f t="shared" si="791"/>
        <v>26_5-2</v>
      </c>
      <c r="I879" s="17"/>
      <c r="J879" s="17"/>
      <c r="K879" s="65" t="s">
        <v>56</v>
      </c>
      <c r="L879" s="52">
        <v>47</v>
      </c>
      <c r="M879" s="21" t="str">
        <f ca="1">VLOOKUP($L879,OFFSET([2]enemies!$A$1,0,0,COUNTA([2]enemies!$A:$A),MATCH(M$1,[2]enemies!$1:$1,0)-MATCH($L$1,[2]enemies!$1:$1,0)+1),MATCH(M$1,[2]enemies!$1:$1,0)-MATCH($L$1,[2]enemies!$1:$1,0)+1,FALSE)</f>
        <v>ヒロ</v>
      </c>
      <c r="N879" s="21" t="str">
        <f ca="1">VLOOKUP($L879,OFFSET([2]enemies!$A$1,0,0,COUNTA([2]enemies!$A:$A),MATCH(N$1,[2]enemies!$1:$1,0)-MATCH($L$1,[2]enemies!$1:$1,0)+1),MATCH(N$1,[2]enemies!$1:$1,0)-MATCH($L$1,[2]enemies!$1:$1,0)+1,FALSE)</f>
        <v>yellow</v>
      </c>
      <c r="O879" s="21" t="str">
        <f ca="1">VLOOKUP($L879,OFFSET([3]characters!$A$1,0,0,COUNTA([3]characters!$A:$A),MATCH(O$1,[3]characters!$1:$1,0)-MATCH($L$1,[3]characters!$1:$1,0)+1),MATCH(O$1,[3]characters!$1:$1,0)-MATCH($L$1,[3]characters!$1:$1,0)+1,FALSE)</f>
        <v>Drop1N</v>
      </c>
      <c r="P879" s="21" t="str">
        <f ca="1">VLOOKUP($L879,OFFSET([2]enemies!$A$1,0,0,COUNTA([2]enemies!$A:$A),MATCH(P$1,[2]enemies!$1:$1,0)-MATCH($L$1,[2]enemies!$1:$1,0)+1),MATCH(P$1,[2]enemies!$1:$1,0)-MATCH($L$1,[2]enemies!$1:$1,0)+1,FALSE)</f>
        <v>animal</v>
      </c>
      <c r="Q879" s="21">
        <f ca="1">VLOOKUP($L879,OFFSET([2]enemies!$A$1,0,0,COUNTA([2]enemies!$A:$A),MATCH(Q$1,[2]enemies!$1:$1,0)-MATCH($L$1,[2]enemies!$1:$1,0)+1),MATCH(Q$1,[2]enemies!$1:$1,0)-MATCH($L$1,[2]enemies!$1:$1,0)+1,FALSE)</f>
        <v>15</v>
      </c>
      <c r="R879" s="53">
        <v>58</v>
      </c>
      <c r="S879" s="27">
        <v>1</v>
      </c>
      <c r="T879" s="27">
        <v>1</v>
      </c>
      <c r="U879" s="5">
        <v>0</v>
      </c>
      <c r="V879" s="4" t="str">
        <f ca="1">VLOOKUP($W879,OFFSET([4]enemy_skill_sets!$B$1,0,0,COUNTA([4]enemy_skill_sets!$B:$B),MATCH(M$1,[4]enemy_skill_sets!$1:$1,0)-MATCH($W$1,[4]enemy_skill_sets!$1:$1,0)+2),MATCH(M$1,[4]enemy_skill_sets!$1:$1,0)-MATCH($W$1,[4]enemy_skill_sets!$1:$1,0)+2,FALSE)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79" s="4">
        <f ca="1">VLOOKUP($L879,OFFSET([2]enemies!$A$1,0,0,COUNTA([2]enemies!$A:$A),MATCH(W$1,[2]enemies!$1:$1,0)-MATCH($L$1,[2]enemies!$1:$1,0)+1),MATCH(W$1,[2]enemies!$1:$1,0)-MATCH($L$1,[2]enemies!$1:$1,0)+1,FALSE)</f>
        <v>0</v>
      </c>
      <c r="X879" s="6">
        <v>0</v>
      </c>
      <c r="Y879" s="6">
        <v>100</v>
      </c>
      <c r="Z879" s="6">
        <v>0</v>
      </c>
      <c r="AA879" s="4">
        <f ca="1">VLOOKUP($L879,OFFSET([2]enemies!$A$1,0,0,COUNTA([2]enemies!$A:$A),MATCH(AA$1,[2]enemies!$1:$1,0)-MATCH($L$1,[2]enemies!$1:$1,0)+1),MATCH(AA$1,[2]enemies!$1:$1,0)-MATCH($L$1,[2]enemies!$1:$1,0)+1,FALSE)</f>
        <v>1</v>
      </c>
      <c r="AB879" s="52">
        <v>47</v>
      </c>
      <c r="AC879" s="4" t="str">
        <f ca="1">VLOOKUP($AB879,OFFSET([3]characters!$A$1,0,0,COUNTA([3]characters!$A:$A),MATCH(AC$1,[3]characters!$1:$1,0)-MATCH("character_id",[3]characters!$1:$1,0)+1),MATCH(AC$1,[3]characters!$1:$1,0)-MATCH("character_id",[3]characters!$1:$1,0)+1,FALSE)</f>
        <v>ヒロ</v>
      </c>
      <c r="AD879" s="4">
        <f ca="1">VLOOKUP($AB879,OFFSET([3]characters!$A$1,0,0,COUNTA([3]characters!$A:$A),MATCH(AD$1,[3]characters!$1:$1,0)-MATCH("character_id",[3]characters!$1:$1,0)+1),MATCH(AD$1,[3]characters!$1:$1,0)-MATCH("character_id",[3]characters!$1:$1,0)+1,FALSE)</f>
        <v>2</v>
      </c>
      <c r="AE879" s="4" t="str">
        <f ca="1">VLOOKUP($AB879,OFFSET([3]characters!$A$1,0,0,COUNTA([3]characters!$A:$A),MATCH(AE$1,[3]characters!$1:$1,0)-MATCH("character_id",[3]characters!$1:$1,0)+1),MATCH(AE$1,[3]characters!$1:$1,0)-MATCH("character_id",[3]characters!$1:$1,0)+1,FALSE)</f>
        <v>Drop1N</v>
      </c>
      <c r="AF879" s="7">
        <v>7</v>
      </c>
      <c r="AG879" s="26">
        <f t="shared" ca="1" si="769"/>
        <v>2</v>
      </c>
      <c r="AH879" s="8">
        <v>20</v>
      </c>
      <c r="AI879" s="7">
        <v>0</v>
      </c>
      <c r="AJ879" s="7">
        <v>0</v>
      </c>
      <c r="AK879" s="7">
        <v>0</v>
      </c>
      <c r="AL879" s="7">
        <v>0</v>
      </c>
      <c r="AM879" s="7">
        <v>1</v>
      </c>
    </row>
    <row r="880" spans="1:39" ht="14" x14ac:dyDescent="0.15">
      <c r="A880" s="18" t="str">
        <f t="shared" ca="1" si="770"/>
        <v>26_5-2/57&lt;lv58&gt;s2</v>
      </c>
      <c r="B880" s="50">
        <v>26</v>
      </c>
      <c r="C880" s="49">
        <v>5</v>
      </c>
      <c r="D880" s="2" t="str">
        <f t="shared" si="790"/>
        <v>26_5</v>
      </c>
      <c r="E880" s="2" t="str">
        <f t="shared" si="790"/>
        <v>5_26_5</v>
      </c>
      <c r="F880" s="4" t="str">
        <f ca="1">VLOOKUP($D880,OFFSET([1]stages!$A$1,0,0,COUNTA([1]stages!$A:$A),MATCH(F$1,[1]stages!$2:$2,0)-MATCH($D$1,[1]stages!$2:$2,0)+1),MATCH(F$1,[1]stages!$2:$2,0)-MATCH($D$1,[1]stages!$2:$2,0)+1,FALSE)</f>
        <v>26-5．踊る強奪者</v>
      </c>
      <c r="G880" s="57">
        <v>2</v>
      </c>
      <c r="H880" s="17" t="str">
        <f t="shared" si="791"/>
        <v>26_5-2</v>
      </c>
      <c r="I880" s="17"/>
      <c r="J880" s="17"/>
      <c r="K880" s="65" t="s">
        <v>56</v>
      </c>
      <c r="L880" s="52">
        <v>57</v>
      </c>
      <c r="M880" s="21" t="str">
        <f ca="1">VLOOKUP($L880,OFFSET([2]enemies!$A$1,0,0,COUNTA([2]enemies!$A:$A),MATCH(M$1,[2]enemies!$1:$1,0)-MATCH($L$1,[2]enemies!$1:$1,0)+1),MATCH(M$1,[2]enemies!$1:$1,0)-MATCH($L$1,[2]enemies!$1:$1,0)+1,FALSE)</f>
        <v>チェン・リー</v>
      </c>
      <c r="N880" s="21" t="str">
        <f ca="1">VLOOKUP($L880,OFFSET([2]enemies!$A$1,0,0,COUNTA([2]enemies!$A:$A),MATCH(N$1,[2]enemies!$1:$1,0)-MATCH($L$1,[2]enemies!$1:$1,0)+1),MATCH(N$1,[2]enemies!$1:$1,0)-MATCH($L$1,[2]enemies!$1:$1,0)+1,FALSE)</f>
        <v>red</v>
      </c>
      <c r="O880" s="21" t="str">
        <f ca="1">VLOOKUP($L880,OFFSET([3]characters!$A$1,0,0,COUNTA([3]characters!$A:$A),MATCH(O$1,[3]characters!$1:$1,0)-MATCH($L$1,[3]characters!$1:$1,0)+1),MATCH(O$1,[3]characters!$1:$1,0)-MATCH($L$1,[3]characters!$1:$1,0)+1,FALSE)</f>
        <v>Drop1N</v>
      </c>
      <c r="P880" s="21" t="str">
        <f ca="1">VLOOKUP($L880,OFFSET([2]enemies!$A$1,0,0,COUNTA([2]enemies!$A:$A),MATCH(P$1,[2]enemies!$1:$1,0)-MATCH($L$1,[2]enemies!$1:$1,0)+1),MATCH(P$1,[2]enemies!$1:$1,0)-MATCH($L$1,[2]enemies!$1:$1,0)+1,FALSE)</f>
        <v>animal</v>
      </c>
      <c r="Q880" s="21">
        <f ca="1">VLOOKUP($L880,OFFSET([2]enemies!$A$1,0,0,COUNTA([2]enemies!$A:$A),MATCH(Q$1,[2]enemies!$1:$1,0)-MATCH($L$1,[2]enemies!$1:$1,0)+1),MATCH(Q$1,[2]enemies!$1:$1,0)-MATCH($L$1,[2]enemies!$1:$1,0)+1,FALSE)</f>
        <v>15</v>
      </c>
      <c r="R880" s="53">
        <v>58</v>
      </c>
      <c r="S880" s="27">
        <v>1</v>
      </c>
      <c r="T880" s="27">
        <v>1</v>
      </c>
      <c r="U880" s="5">
        <v>0</v>
      </c>
      <c r="V880" s="4" t="str">
        <f ca="1">VLOOKUP($W880,OFFSET([4]enemy_skill_sets!$B$1,0,0,COUNTA([4]enemy_skill_sets!$B:$B),MATCH(M$1,[4]enemy_skill_sets!$1:$1,0)-MATCH($W$1,[4]enemy_skill_sets!$1:$1,0)+2),MATCH(M$1,[4]enemy_skill_sets!$1:$1,0)-MATCH($W$1,[4]enemy_skill_sets!$1:$1,0)+2,FALSE)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880" s="4">
        <f ca="1">VLOOKUP($L880,OFFSET([2]enemies!$A$1,0,0,COUNTA([2]enemies!$A:$A),MATCH(W$1,[2]enemies!$1:$1,0)-MATCH($L$1,[2]enemies!$1:$1,0)+1),MATCH(W$1,[2]enemies!$1:$1,0)-MATCH($L$1,[2]enemies!$1:$1,0)+1,FALSE)</f>
        <v>57</v>
      </c>
      <c r="X880" s="6">
        <v>0</v>
      </c>
      <c r="Y880" s="6">
        <v>100</v>
      </c>
      <c r="Z880" s="6">
        <v>0</v>
      </c>
      <c r="AA880" s="4">
        <f ca="1">VLOOKUP($L880,OFFSET([2]enemies!$A$1,0,0,COUNTA([2]enemies!$A:$A),MATCH(AA$1,[2]enemies!$1:$1,0)-MATCH($L$1,[2]enemies!$1:$1,0)+1),MATCH(AA$1,[2]enemies!$1:$1,0)-MATCH($L$1,[2]enemies!$1:$1,0)+1,FALSE)</f>
        <v>2</v>
      </c>
      <c r="AB880" s="52">
        <v>57</v>
      </c>
      <c r="AC880" s="4" t="str">
        <f ca="1">VLOOKUP($AB880,OFFSET([3]characters!$A$1,0,0,COUNTA([3]characters!$A:$A),MATCH(AC$1,[3]characters!$1:$1,0)-MATCH("character_id",[3]characters!$1:$1,0)+1),MATCH(AC$1,[3]characters!$1:$1,0)-MATCH("character_id",[3]characters!$1:$1,0)+1,FALSE)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880" s="4">
        <f ca="1">VLOOKUP($AB880,OFFSET([3]characters!$A$1,0,0,COUNTA([3]characters!$A:$A),MATCH(AD$1,[3]characters!$1:$1,0)-MATCH("character_id",[3]characters!$1:$1,0)+1),MATCH(AD$1,[3]characters!$1:$1,0)-MATCH("character_id",[3]characters!$1:$1,0)+1,FALSE)</f>
        <v>2</v>
      </c>
      <c r="AE880" s="4" t="str">
        <f ca="1">VLOOKUP($AB880,OFFSET([3]characters!$A$1,0,0,COUNTA([3]characters!$A:$A),MATCH(AE$1,[3]characters!$1:$1,0)-MATCH("character_id",[3]characters!$1:$1,0)+1),MATCH(AE$1,[3]characters!$1:$1,0)-MATCH("character_id",[3]characters!$1:$1,0)+1,FALSE)</f>
        <v>Drop1N</v>
      </c>
      <c r="AF880" s="7">
        <v>7</v>
      </c>
      <c r="AG880" s="26">
        <f t="shared" ca="1" si="769"/>
        <v>2</v>
      </c>
      <c r="AH880" s="8">
        <v>20</v>
      </c>
      <c r="AI880" s="7">
        <v>0</v>
      </c>
      <c r="AJ880" s="7">
        <v>0</v>
      </c>
      <c r="AK880" s="7">
        <v>0</v>
      </c>
      <c r="AL880" s="7">
        <v>0</v>
      </c>
      <c r="AM880" s="7">
        <v>1</v>
      </c>
    </row>
    <row r="881" spans="1:39" ht="14" x14ac:dyDescent="0.15">
      <c r="A881" s="18" t="str">
        <f t="shared" ca="1" si="770"/>
        <v>26_5-2/59&lt;lv58&gt;s2</v>
      </c>
      <c r="B881" s="50">
        <v>26</v>
      </c>
      <c r="C881" s="49">
        <v>5</v>
      </c>
      <c r="D881" s="2" t="str">
        <f t="shared" si="790"/>
        <v>26_5</v>
      </c>
      <c r="E881" s="2" t="str">
        <f t="shared" si="790"/>
        <v>5_26_5</v>
      </c>
      <c r="F881" s="4" t="str">
        <f ca="1">VLOOKUP($D881,OFFSET([1]stages!$A$1,0,0,COUNTA([1]stages!$A:$A),MATCH(F$1,[1]stages!$2:$2,0)-MATCH($D$1,[1]stages!$2:$2,0)+1),MATCH(F$1,[1]stages!$2:$2,0)-MATCH($D$1,[1]stages!$2:$2,0)+1,FALSE)</f>
        <v>26-5．踊る強奪者</v>
      </c>
      <c r="G881" s="57">
        <v>2</v>
      </c>
      <c r="H881" s="17" t="str">
        <f t="shared" si="791"/>
        <v>26_5-2</v>
      </c>
      <c r="I881" s="17"/>
      <c r="J881" s="17"/>
      <c r="K881" s="65" t="s">
        <v>56</v>
      </c>
      <c r="L881" s="52">
        <v>59</v>
      </c>
      <c r="M881" s="21" t="str">
        <f ca="1">VLOOKUP($L881,OFFSET([2]enemies!$A$1,0,0,COUNTA([2]enemies!$A:$A),MATCH(M$1,[2]enemies!$1:$1,0)-MATCH($L$1,[2]enemies!$1:$1,0)+1),MATCH(M$1,[2]enemies!$1:$1,0)-MATCH($L$1,[2]enemies!$1:$1,0)+1,FALSE)</f>
        <v>マーチ</v>
      </c>
      <c r="N881" s="21" t="str">
        <f ca="1">VLOOKUP($L881,OFFSET([2]enemies!$A$1,0,0,COUNTA([2]enemies!$A:$A),MATCH(N$1,[2]enemies!$1:$1,0)-MATCH($L$1,[2]enemies!$1:$1,0)+1),MATCH(N$1,[2]enemies!$1:$1,0)-MATCH($L$1,[2]enemies!$1:$1,0)+1,FALSE)</f>
        <v>green</v>
      </c>
      <c r="O881" s="21" t="str">
        <f ca="1">VLOOKUP($L881,OFFSET([3]characters!$A$1,0,0,COUNTA([3]characters!$A:$A),MATCH(O$1,[3]characters!$1:$1,0)-MATCH($L$1,[3]characters!$1:$1,0)+1),MATCH(O$1,[3]characters!$1:$1,0)-MATCH($L$1,[3]characters!$1:$1,0)+1,FALSE)</f>
        <v>Drop1N</v>
      </c>
      <c r="P881" s="21" t="str">
        <f ca="1">VLOOKUP($L881,OFFSET([2]enemies!$A$1,0,0,COUNTA([2]enemies!$A:$A),MATCH(P$1,[2]enemies!$1:$1,0)-MATCH($L$1,[2]enemies!$1:$1,0)+1),MATCH(P$1,[2]enemies!$1:$1,0)-MATCH($L$1,[2]enemies!$1:$1,0)+1,FALSE)</f>
        <v>animal</v>
      </c>
      <c r="Q881" s="21">
        <f ca="1">VLOOKUP($L881,OFFSET([2]enemies!$A$1,0,0,COUNTA([2]enemies!$A:$A),MATCH(Q$1,[2]enemies!$1:$1,0)-MATCH($L$1,[2]enemies!$1:$1,0)+1),MATCH(Q$1,[2]enemies!$1:$1,0)-MATCH($L$1,[2]enemies!$1:$1,0)+1,FALSE)</f>
        <v>15</v>
      </c>
      <c r="R881" s="53">
        <v>58</v>
      </c>
      <c r="S881" s="27">
        <v>1</v>
      </c>
      <c r="T881" s="27">
        <v>1</v>
      </c>
      <c r="U881" s="5">
        <v>0</v>
      </c>
      <c r="V881" s="4" t="str">
        <f ca="1">VLOOKUP($W881,OFFSET([4]enemy_skill_sets!$B$1,0,0,COUNTA([4]enemy_skill_sets!$B:$B),MATCH(M$1,[4]enemy_skill_sets!$1:$1,0)-MATCH($W$1,[4]enemy_skill_sets!$1:$1,0)+2),MATCH(M$1,[4]enemy_skill_sets!$1:$1,0)-MATCH($W$1,[4]enemy_skill_sets!$1:$1,0)+2,FALSE)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81" s="4">
        <f ca="1">VLOOKUP($L881,OFFSET([2]enemies!$A$1,0,0,COUNTA([2]enemies!$A:$A),MATCH(W$1,[2]enemies!$1:$1,0)-MATCH($L$1,[2]enemies!$1:$1,0)+1),MATCH(W$1,[2]enemies!$1:$1,0)-MATCH($L$1,[2]enemies!$1:$1,0)+1,FALSE)</f>
        <v>59</v>
      </c>
      <c r="X881" s="6">
        <v>0</v>
      </c>
      <c r="Y881" s="6">
        <v>100</v>
      </c>
      <c r="Z881" s="6">
        <v>0</v>
      </c>
      <c r="AA881" s="4">
        <f ca="1">VLOOKUP($L881,OFFSET([2]enemies!$A$1,0,0,COUNTA([2]enemies!$A:$A),MATCH(AA$1,[2]enemies!$1:$1,0)-MATCH($L$1,[2]enemies!$1:$1,0)+1),MATCH(AA$1,[2]enemies!$1:$1,0)-MATCH($L$1,[2]enemies!$1:$1,0)+1,FALSE)</f>
        <v>2</v>
      </c>
      <c r="AB881" s="52">
        <v>59</v>
      </c>
      <c r="AC881" s="4" t="str">
        <f ca="1">VLOOKUP($AB881,OFFSET([3]characters!$A$1,0,0,COUNTA([3]characters!$A:$A),MATCH(AC$1,[3]characters!$1:$1,0)-MATCH("character_id",[3]characters!$1:$1,0)+1),MATCH(AC$1,[3]characters!$1:$1,0)-MATCH("character_id",[3]characters!$1:$1,0)+1,FALSE)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881" s="4">
        <f ca="1">VLOOKUP($AB881,OFFSET([3]characters!$A$1,0,0,COUNTA([3]characters!$A:$A),MATCH(AD$1,[3]characters!$1:$1,0)-MATCH("character_id",[3]characters!$1:$1,0)+1),MATCH(AD$1,[3]characters!$1:$1,0)-MATCH("character_id",[3]characters!$1:$1,0)+1,FALSE)</f>
        <v>2</v>
      </c>
      <c r="AE881" s="4" t="str">
        <f ca="1">VLOOKUP($AB881,OFFSET([3]characters!$A$1,0,0,COUNTA([3]characters!$A:$A),MATCH(AE$1,[3]characters!$1:$1,0)-MATCH("character_id",[3]characters!$1:$1,0)+1),MATCH(AE$1,[3]characters!$1:$1,0)-MATCH("character_id",[3]characters!$1:$1,0)+1,FALSE)</f>
        <v>Drop1N</v>
      </c>
      <c r="AF881" s="7">
        <v>7</v>
      </c>
      <c r="AG881" s="26">
        <f t="shared" ca="1" si="769"/>
        <v>2</v>
      </c>
      <c r="AH881" s="8">
        <v>20</v>
      </c>
      <c r="AI881" s="7">
        <v>0</v>
      </c>
      <c r="AJ881" s="7">
        <v>0</v>
      </c>
      <c r="AK881" s="7">
        <v>0</v>
      </c>
      <c r="AL881" s="7">
        <v>0</v>
      </c>
      <c r="AM881" s="7">
        <v>1</v>
      </c>
    </row>
    <row r="882" spans="1:39" ht="14" x14ac:dyDescent="0.15">
      <c r="A882" s="18" t="str">
        <f t="shared" ca="1" si="770"/>
        <v>26_5-2/61&lt;lv58&gt;s2</v>
      </c>
      <c r="B882" s="50">
        <v>26</v>
      </c>
      <c r="C882" s="49">
        <v>5</v>
      </c>
      <c r="D882" s="2" t="str">
        <f t="shared" si="790"/>
        <v>26_5</v>
      </c>
      <c r="E882" s="2" t="str">
        <f t="shared" si="790"/>
        <v>5_26_5</v>
      </c>
      <c r="F882" s="4" t="str">
        <f ca="1">VLOOKUP($D882,OFFSET([1]stages!$A$1,0,0,COUNTA([1]stages!$A:$A),MATCH(F$1,[1]stages!$2:$2,0)-MATCH($D$1,[1]stages!$2:$2,0)+1),MATCH(F$1,[1]stages!$2:$2,0)-MATCH($D$1,[1]stages!$2:$2,0)+1,FALSE)</f>
        <v>26-5．踊る強奪者</v>
      </c>
      <c r="G882" s="57">
        <v>2</v>
      </c>
      <c r="H882" s="17" t="str">
        <f t="shared" si="791"/>
        <v>26_5-2</v>
      </c>
      <c r="I882" s="17"/>
      <c r="J882" s="17"/>
      <c r="K882" s="65" t="s">
        <v>56</v>
      </c>
      <c r="L882" s="52">
        <v>61</v>
      </c>
      <c r="M882" s="21" t="str">
        <f ca="1">VLOOKUP($L882,OFFSET([2]enemies!$A$1,0,0,COUNTA([2]enemies!$A:$A),MATCH(M$1,[2]enemies!$1:$1,0)-MATCH($L$1,[2]enemies!$1:$1,0)+1),MATCH(M$1,[2]enemies!$1:$1,0)-MATCH($L$1,[2]enemies!$1:$1,0)+1,FALSE)</f>
        <v>クロウ</v>
      </c>
      <c r="N882" s="21" t="str">
        <f ca="1">VLOOKUP($L882,OFFSET([2]enemies!$A$1,0,0,COUNTA([2]enemies!$A:$A),MATCH(N$1,[2]enemies!$1:$1,0)-MATCH($L$1,[2]enemies!$1:$1,0)+1),MATCH(N$1,[2]enemies!$1:$1,0)-MATCH($L$1,[2]enemies!$1:$1,0)+1,FALSE)</f>
        <v>blue</v>
      </c>
      <c r="O882" s="21" t="str">
        <f ca="1">VLOOKUP($L882,OFFSET([3]characters!$A$1,0,0,COUNTA([3]characters!$A:$A),MATCH(O$1,[3]characters!$1:$1,0)-MATCH($L$1,[3]characters!$1:$1,0)+1),MATCH(O$1,[3]characters!$1:$1,0)-MATCH($L$1,[3]characters!$1:$1,0)+1,FALSE)</f>
        <v>Drop1N</v>
      </c>
      <c r="P882" s="21" t="str">
        <f ca="1">VLOOKUP($L882,OFFSET([2]enemies!$A$1,0,0,COUNTA([2]enemies!$A:$A),MATCH(P$1,[2]enemies!$1:$1,0)-MATCH($L$1,[2]enemies!$1:$1,0)+1),MATCH(P$1,[2]enemies!$1:$1,0)-MATCH($L$1,[2]enemies!$1:$1,0)+1,FALSE)</f>
        <v>animal</v>
      </c>
      <c r="Q882" s="21">
        <f ca="1">VLOOKUP($L882,OFFSET([2]enemies!$A$1,0,0,COUNTA([2]enemies!$A:$A),MATCH(Q$1,[2]enemies!$1:$1,0)-MATCH($L$1,[2]enemies!$1:$1,0)+1),MATCH(Q$1,[2]enemies!$1:$1,0)-MATCH($L$1,[2]enemies!$1:$1,0)+1,FALSE)</f>
        <v>15</v>
      </c>
      <c r="R882" s="53">
        <v>58</v>
      </c>
      <c r="S882" s="27">
        <v>1</v>
      </c>
      <c r="T882" s="27">
        <v>1</v>
      </c>
      <c r="U882" s="5">
        <v>0</v>
      </c>
      <c r="V882" s="4" t="str">
        <f ca="1">VLOOKUP($W882,OFFSET([4]enemy_skill_sets!$B$1,0,0,COUNTA([4]enemy_skill_sets!$B:$B),MATCH(M$1,[4]enemy_skill_sets!$1:$1,0)-MATCH($W$1,[4]enemy_skill_sets!$1:$1,0)+2),MATCH(M$1,[4]enemy_skill_sets!$1:$1,0)-MATCH($W$1,[4]enemy_skill_sets!$1:$1,0)+2,FALSE)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882" s="4">
        <f ca="1">VLOOKUP($L882,OFFSET([2]enemies!$A$1,0,0,COUNTA([2]enemies!$A:$A),MATCH(W$1,[2]enemies!$1:$1,0)-MATCH($L$1,[2]enemies!$1:$1,0)+1),MATCH(W$1,[2]enemies!$1:$1,0)-MATCH($L$1,[2]enemies!$1:$1,0)+1,FALSE)</f>
        <v>61</v>
      </c>
      <c r="X882" s="6">
        <v>0</v>
      </c>
      <c r="Y882" s="6">
        <v>100</v>
      </c>
      <c r="Z882" s="6">
        <v>0</v>
      </c>
      <c r="AA882" s="4">
        <f ca="1">VLOOKUP($L882,OFFSET([2]enemies!$A$1,0,0,COUNTA([2]enemies!$A:$A),MATCH(AA$1,[2]enemies!$1:$1,0)-MATCH($L$1,[2]enemies!$1:$1,0)+1),MATCH(AA$1,[2]enemies!$1:$1,0)-MATCH($L$1,[2]enemies!$1:$1,0)+1,FALSE)</f>
        <v>2</v>
      </c>
      <c r="AB882" s="52">
        <v>61</v>
      </c>
      <c r="AC882" s="4" t="str">
        <f ca="1">VLOOKUP($AB882,OFFSET([3]characters!$A$1,0,0,COUNTA([3]characters!$A:$A),MATCH(AC$1,[3]characters!$1:$1,0)-MATCH("character_id",[3]characters!$1:$1,0)+1),MATCH(AC$1,[3]characters!$1:$1,0)-MATCH("character_id",[3]characters!$1:$1,0)+1,FALSE)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882" s="4">
        <f ca="1">VLOOKUP($AB882,OFFSET([3]characters!$A$1,0,0,COUNTA([3]characters!$A:$A),MATCH(AD$1,[3]characters!$1:$1,0)-MATCH("character_id",[3]characters!$1:$1,0)+1),MATCH(AD$1,[3]characters!$1:$1,0)-MATCH("character_id",[3]characters!$1:$1,0)+1,FALSE)</f>
        <v>2</v>
      </c>
      <c r="AE882" s="4" t="str">
        <f ca="1">VLOOKUP($AB882,OFFSET([3]characters!$A$1,0,0,COUNTA([3]characters!$A:$A),MATCH(AE$1,[3]characters!$1:$1,0)-MATCH("character_id",[3]characters!$1:$1,0)+1),MATCH(AE$1,[3]characters!$1:$1,0)-MATCH("character_id",[3]characters!$1:$1,0)+1,FALSE)</f>
        <v>Drop1N</v>
      </c>
      <c r="AF882" s="7">
        <v>7</v>
      </c>
      <c r="AG882" s="26">
        <f t="shared" ca="1" si="769"/>
        <v>2</v>
      </c>
      <c r="AH882" s="8">
        <v>20</v>
      </c>
      <c r="AI882" s="7">
        <v>0</v>
      </c>
      <c r="AJ882" s="7">
        <v>0</v>
      </c>
      <c r="AK882" s="7">
        <v>0</v>
      </c>
      <c r="AL882" s="7">
        <v>0</v>
      </c>
      <c r="AM882" s="7">
        <v>1</v>
      </c>
    </row>
    <row r="883" spans="1:39" ht="14" x14ac:dyDescent="0.15">
      <c r="A883" s="18" t="str">
        <f t="shared" ca="1" si="770"/>
        <v>26_5-2/63&lt;lv58&gt;s2</v>
      </c>
      <c r="B883" s="50">
        <v>26</v>
      </c>
      <c r="C883" s="49">
        <v>5</v>
      </c>
      <c r="D883" s="2" t="str">
        <f t="shared" si="790"/>
        <v>26_5</v>
      </c>
      <c r="E883" s="2" t="str">
        <f t="shared" si="790"/>
        <v>5_26_5</v>
      </c>
      <c r="F883" s="4" t="str">
        <f ca="1">VLOOKUP($D883,OFFSET([1]stages!$A$1,0,0,COUNTA([1]stages!$A:$A),MATCH(F$1,[1]stages!$2:$2,0)-MATCH($D$1,[1]stages!$2:$2,0)+1),MATCH(F$1,[1]stages!$2:$2,0)-MATCH($D$1,[1]stages!$2:$2,0)+1,FALSE)</f>
        <v>26-5．踊る強奪者</v>
      </c>
      <c r="G883" s="57">
        <v>2</v>
      </c>
      <c r="H883" s="17" t="str">
        <f t="shared" si="791"/>
        <v>26_5-2</v>
      </c>
      <c r="I883" s="17"/>
      <c r="J883" s="17"/>
      <c r="K883" s="65" t="s">
        <v>56</v>
      </c>
      <c r="L883" s="52">
        <v>63</v>
      </c>
      <c r="M883" s="21" t="str">
        <f ca="1">VLOOKUP($L883,OFFSET([2]enemies!$A$1,0,0,COUNTA([2]enemies!$A:$A),MATCH(M$1,[2]enemies!$1:$1,0)-MATCH($L$1,[2]enemies!$1:$1,0)+1),MATCH(M$1,[2]enemies!$1:$1,0)-MATCH($L$1,[2]enemies!$1:$1,0)+1,FALSE)</f>
        <v>トニー</v>
      </c>
      <c r="N883" s="21" t="str">
        <f ca="1">VLOOKUP($L883,OFFSET([2]enemies!$A$1,0,0,COUNTA([2]enemies!$A:$A),MATCH(N$1,[2]enemies!$1:$1,0)-MATCH($L$1,[2]enemies!$1:$1,0)+1),MATCH(N$1,[2]enemies!$1:$1,0)-MATCH($L$1,[2]enemies!$1:$1,0)+1,FALSE)</f>
        <v>yellow</v>
      </c>
      <c r="O883" s="21" t="str">
        <f ca="1">VLOOKUP($L883,OFFSET([3]characters!$A$1,0,0,COUNTA([3]characters!$A:$A),MATCH(O$1,[3]characters!$1:$1,0)-MATCH($L$1,[3]characters!$1:$1,0)+1),MATCH(O$1,[3]characters!$1:$1,0)-MATCH($L$1,[3]characters!$1:$1,0)+1,FALSE)</f>
        <v>Drop1N</v>
      </c>
      <c r="P883" s="21" t="str">
        <f ca="1">VLOOKUP($L883,OFFSET([2]enemies!$A$1,0,0,COUNTA([2]enemies!$A:$A),MATCH(P$1,[2]enemies!$1:$1,0)-MATCH($L$1,[2]enemies!$1:$1,0)+1),MATCH(P$1,[2]enemies!$1:$1,0)-MATCH($L$1,[2]enemies!$1:$1,0)+1,FALSE)</f>
        <v>animal</v>
      </c>
      <c r="Q883" s="21">
        <f ca="1">VLOOKUP($L883,OFFSET([2]enemies!$A$1,0,0,COUNTA([2]enemies!$A:$A),MATCH(Q$1,[2]enemies!$1:$1,0)-MATCH($L$1,[2]enemies!$1:$1,0)+1),MATCH(Q$1,[2]enemies!$1:$1,0)-MATCH($L$1,[2]enemies!$1:$1,0)+1,FALSE)</f>
        <v>15</v>
      </c>
      <c r="R883" s="53">
        <v>58</v>
      </c>
      <c r="S883" s="27">
        <v>1</v>
      </c>
      <c r="T883" s="27">
        <v>1</v>
      </c>
      <c r="U883" s="5">
        <v>0</v>
      </c>
      <c r="V883" s="4" t="str">
        <f ca="1">VLOOKUP($W883,OFFSET([4]enemy_skill_sets!$B$1,0,0,COUNTA([4]enemy_skill_sets!$B:$B),MATCH(M$1,[4]enemy_skill_sets!$1:$1,0)-MATCH($W$1,[4]enemy_skill_sets!$1:$1,0)+2),MATCH(M$1,[4]enemy_skill_sets!$1:$1,0)-MATCH($W$1,[4]enemy_skill_sets!$1:$1,0)+2,FALSE)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883" s="4">
        <f ca="1">VLOOKUP($L883,OFFSET([2]enemies!$A$1,0,0,COUNTA([2]enemies!$A:$A),MATCH(W$1,[2]enemies!$1:$1,0)-MATCH($L$1,[2]enemies!$1:$1,0)+1),MATCH(W$1,[2]enemies!$1:$1,0)-MATCH($L$1,[2]enemies!$1:$1,0)+1,FALSE)</f>
        <v>63</v>
      </c>
      <c r="X883" s="6">
        <v>0</v>
      </c>
      <c r="Y883" s="6">
        <v>100</v>
      </c>
      <c r="Z883" s="6">
        <v>0</v>
      </c>
      <c r="AA883" s="4">
        <f ca="1">VLOOKUP($L883,OFFSET([2]enemies!$A$1,0,0,COUNTA([2]enemies!$A:$A),MATCH(AA$1,[2]enemies!$1:$1,0)-MATCH($L$1,[2]enemies!$1:$1,0)+1),MATCH(AA$1,[2]enemies!$1:$1,0)-MATCH($L$1,[2]enemies!$1:$1,0)+1,FALSE)</f>
        <v>2</v>
      </c>
      <c r="AB883" s="52">
        <v>63</v>
      </c>
      <c r="AC883" s="4" t="str">
        <f ca="1">VLOOKUP($AB883,OFFSET([3]characters!$A$1,0,0,COUNTA([3]characters!$A:$A),MATCH(AC$1,[3]characters!$1:$1,0)-MATCH("character_id",[3]characters!$1:$1,0)+1),MATCH(AC$1,[3]characters!$1:$1,0)-MATCH("character_id",[3]characters!$1:$1,0)+1,FALSE)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883" s="4">
        <f ca="1">VLOOKUP($AB883,OFFSET([3]characters!$A$1,0,0,COUNTA([3]characters!$A:$A),MATCH(AD$1,[3]characters!$1:$1,0)-MATCH("character_id",[3]characters!$1:$1,0)+1),MATCH(AD$1,[3]characters!$1:$1,0)-MATCH("character_id",[3]characters!$1:$1,0)+1,FALSE)</f>
        <v>2</v>
      </c>
      <c r="AE883" s="4" t="str">
        <f ca="1">VLOOKUP($AB883,OFFSET([3]characters!$A$1,0,0,COUNTA([3]characters!$A:$A),MATCH(AE$1,[3]characters!$1:$1,0)-MATCH("character_id",[3]characters!$1:$1,0)+1),MATCH(AE$1,[3]characters!$1:$1,0)-MATCH("character_id",[3]characters!$1:$1,0)+1,FALSE)</f>
        <v>Drop1N</v>
      </c>
      <c r="AF883" s="7">
        <v>7</v>
      </c>
      <c r="AG883" s="26">
        <f t="shared" ca="1" si="769"/>
        <v>2</v>
      </c>
      <c r="AH883" s="8">
        <v>20</v>
      </c>
      <c r="AI883" s="7">
        <v>0</v>
      </c>
      <c r="AJ883" s="7">
        <v>0</v>
      </c>
      <c r="AK883" s="7">
        <v>0</v>
      </c>
      <c r="AL883" s="7">
        <v>0</v>
      </c>
      <c r="AM883" s="7">
        <v>1</v>
      </c>
    </row>
    <row r="884" spans="1:39" ht="14" x14ac:dyDescent="0.15">
      <c r="A884" s="18" t="str">
        <f t="shared" ca="1" si="770"/>
        <v>26_5-2/360&lt;lv58&gt;s3</v>
      </c>
      <c r="B884" s="53">
        <v>26</v>
      </c>
      <c r="C884" s="51">
        <v>5</v>
      </c>
      <c r="D884" s="2" t="str">
        <f t="shared" ref="D884:D887" si="792">B884&amp;"_"&amp;C884</f>
        <v>26_5</v>
      </c>
      <c r="E884" s="2" t="str">
        <f t="shared" ref="E884:E887" si="793">C884&amp;"_"&amp;D884</f>
        <v>5_26_5</v>
      </c>
      <c r="F884" s="4" t="str">
        <f ca="1">VLOOKUP($D884,OFFSET([1]stages!$A$1,0,0,COUNTA([1]stages!$A:$A),MATCH(F$1,[1]stages!$2:$2,0)-MATCH($D$1,[1]stages!$2:$2,0)+1),MATCH(F$1,[1]stages!$2:$2,0)-MATCH($D$1,[1]stages!$2:$2,0)+1,FALSE)</f>
        <v>26-5．踊る強奪者</v>
      </c>
      <c r="G884" s="57">
        <v>2</v>
      </c>
      <c r="H884" s="17" t="str">
        <f t="shared" ref="H884:H887" si="794">B884&amp;"_"&amp;C884&amp;"-"&amp;G884</f>
        <v>26_5-2</v>
      </c>
      <c r="I884" s="17"/>
      <c r="J884" s="17"/>
      <c r="K884" s="65" t="s">
        <v>56</v>
      </c>
      <c r="L884" s="52">
        <v>360</v>
      </c>
      <c r="M884" s="21" t="str">
        <f ca="1">VLOOKUP($L884,OFFSET([2]enemies!$A$1,0,0,COUNTA([2]enemies!$A:$A),MATCH(M$1,[2]enemies!$1:$1,0)-MATCH($L$1,[2]enemies!$1:$1,0)+1),MATCH(M$1,[2]enemies!$1:$1,0)-MATCH($L$1,[2]enemies!$1:$1,0)+1,FALSE)</f>
        <v>ガンテツ</v>
      </c>
      <c r="N884" s="21" t="str">
        <f ca="1">VLOOKUP($L884,OFFSET([2]enemies!$A$1,0,0,COUNTA([2]enemies!$A:$A),MATCH(N$1,[2]enemies!$1:$1,0)-MATCH($L$1,[2]enemies!$1:$1,0)+1),MATCH(N$1,[2]enemies!$1:$1,0)-MATCH($L$1,[2]enemies!$1:$1,0)+1,FALSE)</f>
        <v>red</v>
      </c>
      <c r="O884" s="21" t="str">
        <f ca="1">VLOOKUP($L884,OFFSET([3]characters!$A$1,0,0,COUNTA([3]characters!$A:$A),MATCH(O$1,[3]characters!$1:$1,0)-MATCH($L$1,[3]characters!$1:$1,0)+1),MATCH(O$1,[3]characters!$1:$1,0)-MATCH($L$1,[3]characters!$1:$1,0)+1,FALSE)</f>
        <v>Drop1S</v>
      </c>
      <c r="P884" s="21" t="str">
        <f ca="1">VLOOKUP($L884,OFFSET([2]enemies!$A$1,0,0,COUNTA([2]enemies!$A:$A),MATCH(P$1,[2]enemies!$1:$1,0)-MATCH($L$1,[2]enemies!$1:$1,0)+1),MATCH(P$1,[2]enemies!$1:$1,0)-MATCH($L$1,[2]enemies!$1:$1,0)+1,FALSE)</f>
        <v>animal</v>
      </c>
      <c r="Q884" s="21">
        <f ca="1">VLOOKUP($L884,OFFSET([2]enemies!$A$1,0,0,COUNTA([2]enemies!$A:$A),MATCH(Q$1,[2]enemies!$1:$1,0)-MATCH($L$1,[2]enemies!$1:$1,0)+1),MATCH(Q$1,[2]enemies!$1:$1,0)-MATCH($L$1,[2]enemies!$1:$1,0)+1,FALSE)</f>
        <v>15</v>
      </c>
      <c r="R884" s="53">
        <v>58</v>
      </c>
      <c r="S884" s="27">
        <v>1</v>
      </c>
      <c r="T884" s="27">
        <v>1</v>
      </c>
      <c r="U884" s="5">
        <v>0</v>
      </c>
      <c r="V884" s="4" t="str">
        <f ca="1">VLOOKUP($W884,OFFSET([4]enemy_skill_sets!$B$1,0,0,COUNTA([4]enemy_skill_sets!$B:$B),MATCH(M$1,[4]enemy_skill_sets!$1:$1,0)-MATCH($W$1,[4]enemy_skill_sets!$1:$1,0)+2),MATCH(M$1,[4]enemy_skill_sets!$1:$1,0)-MATCH($W$1,[4]enemy_skill_sets!$1:$1,0)+2,FALSE)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884" s="76">
        <v>360</v>
      </c>
      <c r="X884" s="6">
        <v>0</v>
      </c>
      <c r="Y884" s="6">
        <v>100</v>
      </c>
      <c r="Z884" s="6">
        <v>0</v>
      </c>
      <c r="AA884" s="4">
        <f ca="1">VLOOKUP($L884,OFFSET([2]enemies!$A$1,0,0,COUNTA([2]enemies!$A:$A),MATCH(AA$1,[2]enemies!$1:$1,0)-MATCH($L$1,[2]enemies!$1:$1,0)+1),MATCH(AA$1,[2]enemies!$1:$1,0)-MATCH($L$1,[2]enemies!$1:$1,0)+1,FALSE)</f>
        <v>3</v>
      </c>
      <c r="AB884" s="52">
        <v>360</v>
      </c>
      <c r="AC884" s="4" t="str">
        <f ca="1">VLOOKUP($AB884,OFFSET([3]characters!$A$1,0,0,COUNTA([3]characters!$A:$A),MATCH(AC$1,[3]characters!$1:$1,0)-MATCH("character_id",[3]characters!$1:$1,0)+1),MATCH(AC$1,[3]characters!$1:$1,0)-MATCH("character_id",[3]characters!$1:$1,0)+1,FALSE)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884" s="4">
        <f ca="1">VLOOKUP($AB884,OFFSET([3]characters!$A$1,0,0,COUNTA([3]characters!$A:$A),MATCH(AD$1,[3]characters!$1:$1,0)-MATCH("character_id",[3]characters!$1:$1,0)+1),MATCH(AD$1,[3]characters!$1:$1,0)-MATCH("character_id",[3]characters!$1:$1,0)+1,FALSE)</f>
        <v>2</v>
      </c>
      <c r="AE884" s="4" t="str">
        <f ca="1">VLOOKUP($AB884,OFFSET([3]characters!$A$1,0,0,COUNTA([3]characters!$A:$A),MATCH(AE$1,[3]characters!$1:$1,0)-MATCH("character_id",[3]characters!$1:$1,0)+1),MATCH(AE$1,[3]characters!$1:$1,0)-MATCH("character_id",[3]characters!$1:$1,0)+1,FALSE)</f>
        <v>Drop1S</v>
      </c>
      <c r="AF884" s="7">
        <v>7</v>
      </c>
      <c r="AG884" s="26">
        <f t="shared" ca="1" si="769"/>
        <v>2</v>
      </c>
      <c r="AH884" s="8">
        <v>20</v>
      </c>
      <c r="AI884" s="7">
        <v>0</v>
      </c>
      <c r="AJ884" s="7">
        <v>0</v>
      </c>
      <c r="AK884" s="7">
        <v>0</v>
      </c>
      <c r="AL884" s="7">
        <v>0</v>
      </c>
      <c r="AM884" s="7">
        <v>1</v>
      </c>
    </row>
    <row r="885" spans="1:39" ht="14" x14ac:dyDescent="0.15">
      <c r="A885" s="18" t="str">
        <f t="shared" ca="1" si="770"/>
        <v>26_5-2/362&lt;lv58&gt;s3</v>
      </c>
      <c r="B885" s="53">
        <v>26</v>
      </c>
      <c r="C885" s="51">
        <v>5</v>
      </c>
      <c r="D885" s="2" t="str">
        <f t="shared" si="792"/>
        <v>26_5</v>
      </c>
      <c r="E885" s="2" t="str">
        <f t="shared" si="793"/>
        <v>5_26_5</v>
      </c>
      <c r="F885" s="4" t="str">
        <f ca="1">VLOOKUP($D885,OFFSET([1]stages!$A$1,0,0,COUNTA([1]stages!$A:$A),MATCH(F$1,[1]stages!$2:$2,0)-MATCH($D$1,[1]stages!$2:$2,0)+1),MATCH(F$1,[1]stages!$2:$2,0)-MATCH($D$1,[1]stages!$2:$2,0)+1,FALSE)</f>
        <v>26-5．踊る強奪者</v>
      </c>
      <c r="G885" s="57">
        <v>2</v>
      </c>
      <c r="H885" s="17" t="str">
        <f t="shared" si="794"/>
        <v>26_5-2</v>
      </c>
      <c r="I885" s="17"/>
      <c r="J885" s="17"/>
      <c r="K885" s="65" t="s">
        <v>56</v>
      </c>
      <c r="L885" s="52">
        <v>362</v>
      </c>
      <c r="M885" s="21" t="str">
        <f ca="1">VLOOKUP($L885,OFFSET([2]enemies!$A$1,0,0,COUNTA([2]enemies!$A:$A),MATCH(M$1,[2]enemies!$1:$1,0)-MATCH($L$1,[2]enemies!$1:$1,0)+1),MATCH(M$1,[2]enemies!$1:$1,0)-MATCH($L$1,[2]enemies!$1:$1,0)+1,FALSE)</f>
        <v>ゆらら</v>
      </c>
      <c r="N885" s="21" t="str">
        <f ca="1">VLOOKUP($L885,OFFSET([2]enemies!$A$1,0,0,COUNTA([2]enemies!$A:$A),MATCH(N$1,[2]enemies!$1:$1,0)-MATCH($L$1,[2]enemies!$1:$1,0)+1),MATCH(N$1,[2]enemies!$1:$1,0)-MATCH($L$1,[2]enemies!$1:$1,0)+1,FALSE)</f>
        <v>green</v>
      </c>
      <c r="O885" s="21" t="str">
        <f ca="1">VLOOKUP($L885,OFFSET([3]characters!$A$1,0,0,COUNTA([3]characters!$A:$A),MATCH(O$1,[3]characters!$1:$1,0)-MATCH($L$1,[3]characters!$1:$1,0)+1),MATCH(O$1,[3]characters!$1:$1,0)-MATCH($L$1,[3]characters!$1:$1,0)+1,FALSE)</f>
        <v>Drop1S</v>
      </c>
      <c r="P885" s="21" t="str">
        <f ca="1">VLOOKUP($L885,OFFSET([2]enemies!$A$1,0,0,COUNTA([2]enemies!$A:$A),MATCH(P$1,[2]enemies!$1:$1,0)-MATCH($L$1,[2]enemies!$1:$1,0)+1),MATCH(P$1,[2]enemies!$1:$1,0)-MATCH($L$1,[2]enemies!$1:$1,0)+1,FALSE)</f>
        <v>animal</v>
      </c>
      <c r="Q885" s="21">
        <f ca="1">VLOOKUP($L885,OFFSET([2]enemies!$A$1,0,0,COUNTA([2]enemies!$A:$A),MATCH(Q$1,[2]enemies!$1:$1,0)-MATCH($L$1,[2]enemies!$1:$1,0)+1),MATCH(Q$1,[2]enemies!$1:$1,0)-MATCH($L$1,[2]enemies!$1:$1,0)+1,FALSE)</f>
        <v>15</v>
      </c>
      <c r="R885" s="53">
        <v>58</v>
      </c>
      <c r="S885" s="27">
        <v>1</v>
      </c>
      <c r="T885" s="27">
        <v>1</v>
      </c>
      <c r="U885" s="5">
        <v>0</v>
      </c>
      <c r="V885" s="4" t="str">
        <f ca="1">VLOOKUP($W885,OFFSET([4]enemy_skill_sets!$B$1,0,0,COUNTA([4]enemy_skill_sets!$B:$B),MATCH(M$1,[4]enemy_skill_sets!$1:$1,0)-MATCH($W$1,[4]enemy_skill_sets!$1:$1,0)+2),MATCH(M$1,[4]enemy_skill_sets!$1:$1,0)-MATCH($W$1,[4]enemy_skill_sets!$1:$1,0)+2,FALSE)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885" s="64">
        <v>362</v>
      </c>
      <c r="X885" s="6">
        <v>0</v>
      </c>
      <c r="Y885" s="6">
        <v>100</v>
      </c>
      <c r="Z885" s="6">
        <v>0</v>
      </c>
      <c r="AA885" s="4">
        <f ca="1">VLOOKUP($L885,OFFSET([2]enemies!$A$1,0,0,COUNTA([2]enemies!$A:$A),MATCH(AA$1,[2]enemies!$1:$1,0)-MATCH($L$1,[2]enemies!$1:$1,0)+1),MATCH(AA$1,[2]enemies!$1:$1,0)-MATCH($L$1,[2]enemies!$1:$1,0)+1,FALSE)</f>
        <v>3</v>
      </c>
      <c r="AB885" s="52">
        <v>362</v>
      </c>
      <c r="AC885" s="4" t="str">
        <f ca="1">VLOOKUP($AB885,OFFSET([3]characters!$A$1,0,0,COUNTA([3]characters!$A:$A),MATCH(AC$1,[3]characters!$1:$1,0)-MATCH("character_id",[3]characters!$1:$1,0)+1),MATCH(AC$1,[3]characters!$1:$1,0)-MATCH("character_id",[3]characters!$1:$1,0)+1,FALSE)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885" s="4">
        <f ca="1">VLOOKUP($AB885,OFFSET([3]characters!$A$1,0,0,COUNTA([3]characters!$A:$A),MATCH(AD$1,[3]characters!$1:$1,0)-MATCH("character_id",[3]characters!$1:$1,0)+1),MATCH(AD$1,[3]characters!$1:$1,0)-MATCH("character_id",[3]characters!$1:$1,0)+1,FALSE)</f>
        <v>2</v>
      </c>
      <c r="AE885" s="4" t="str">
        <f ca="1">VLOOKUP($AB885,OFFSET([3]characters!$A$1,0,0,COUNTA([3]characters!$A:$A),MATCH(AE$1,[3]characters!$1:$1,0)-MATCH("character_id",[3]characters!$1:$1,0)+1),MATCH(AE$1,[3]characters!$1:$1,0)-MATCH("character_id",[3]characters!$1:$1,0)+1,FALSE)</f>
        <v>Drop1S</v>
      </c>
      <c r="AF885" s="7">
        <v>7</v>
      </c>
      <c r="AG885" s="26">
        <f t="shared" ca="1" si="769"/>
        <v>2</v>
      </c>
      <c r="AH885" s="8">
        <v>20</v>
      </c>
      <c r="AI885" s="7">
        <v>0</v>
      </c>
      <c r="AJ885" s="7">
        <v>0</v>
      </c>
      <c r="AK885" s="7">
        <v>0</v>
      </c>
      <c r="AL885" s="7">
        <v>0</v>
      </c>
      <c r="AM885" s="7">
        <v>1</v>
      </c>
    </row>
    <row r="886" spans="1:39" ht="14" x14ac:dyDescent="0.15">
      <c r="A886" s="18" t="str">
        <f t="shared" ca="1" si="770"/>
        <v>26_5-2/364&lt;lv58&gt;s3</v>
      </c>
      <c r="B886" s="53">
        <v>26</v>
      </c>
      <c r="C886" s="51">
        <v>5</v>
      </c>
      <c r="D886" s="2" t="str">
        <f t="shared" si="792"/>
        <v>26_5</v>
      </c>
      <c r="E886" s="2" t="str">
        <f t="shared" si="793"/>
        <v>5_26_5</v>
      </c>
      <c r="F886" s="4" t="str">
        <f ca="1">VLOOKUP($D886,OFFSET([1]stages!$A$1,0,0,COUNTA([1]stages!$A:$A),MATCH(F$1,[1]stages!$2:$2,0)-MATCH($D$1,[1]stages!$2:$2,0)+1),MATCH(F$1,[1]stages!$2:$2,0)-MATCH($D$1,[1]stages!$2:$2,0)+1,FALSE)</f>
        <v>26-5．踊る強奪者</v>
      </c>
      <c r="G886" s="57">
        <v>2</v>
      </c>
      <c r="H886" s="17" t="str">
        <f t="shared" si="794"/>
        <v>26_5-2</v>
      </c>
      <c r="I886" s="17"/>
      <c r="J886" s="17"/>
      <c r="K886" s="65" t="s">
        <v>56</v>
      </c>
      <c r="L886" s="52">
        <v>364</v>
      </c>
      <c r="M886" s="21" t="str">
        <f ca="1">VLOOKUP($L886,OFFSET([2]enemies!$A$1,0,0,COUNTA([2]enemies!$A:$A),MATCH(M$1,[2]enemies!$1:$1,0)-MATCH($L$1,[2]enemies!$1:$1,0)+1),MATCH(M$1,[2]enemies!$1:$1,0)-MATCH($L$1,[2]enemies!$1:$1,0)+1,FALSE)</f>
        <v>ノエル</v>
      </c>
      <c r="N886" s="21" t="str">
        <f ca="1">VLOOKUP($L886,OFFSET([2]enemies!$A$1,0,0,COUNTA([2]enemies!$A:$A),MATCH(N$1,[2]enemies!$1:$1,0)-MATCH($L$1,[2]enemies!$1:$1,0)+1),MATCH(N$1,[2]enemies!$1:$1,0)-MATCH($L$1,[2]enemies!$1:$1,0)+1,FALSE)</f>
        <v>blue</v>
      </c>
      <c r="O886" s="21" t="str">
        <f ca="1">VLOOKUP($L886,OFFSET([3]characters!$A$1,0,0,COUNTA([3]characters!$A:$A),MATCH(O$1,[3]characters!$1:$1,0)-MATCH($L$1,[3]characters!$1:$1,0)+1),MATCH(O$1,[3]characters!$1:$1,0)-MATCH($L$1,[3]characters!$1:$1,0)+1,FALSE)</f>
        <v>Drop1S</v>
      </c>
      <c r="P886" s="21" t="str">
        <f ca="1">VLOOKUP($L886,OFFSET([2]enemies!$A$1,0,0,COUNTA([2]enemies!$A:$A),MATCH(P$1,[2]enemies!$1:$1,0)-MATCH($L$1,[2]enemies!$1:$1,0)+1),MATCH(P$1,[2]enemies!$1:$1,0)-MATCH($L$1,[2]enemies!$1:$1,0)+1,FALSE)</f>
        <v>animal</v>
      </c>
      <c r="Q886" s="21">
        <f ca="1">VLOOKUP($L886,OFFSET([2]enemies!$A$1,0,0,COUNTA([2]enemies!$A:$A),MATCH(Q$1,[2]enemies!$1:$1,0)-MATCH($L$1,[2]enemies!$1:$1,0)+1),MATCH(Q$1,[2]enemies!$1:$1,0)-MATCH($L$1,[2]enemies!$1:$1,0)+1,FALSE)</f>
        <v>15</v>
      </c>
      <c r="R886" s="53">
        <v>58</v>
      </c>
      <c r="S886" s="27">
        <v>1</v>
      </c>
      <c r="T886" s="27">
        <v>1</v>
      </c>
      <c r="U886" s="5">
        <v>0</v>
      </c>
      <c r="V886" s="4" t="str">
        <f ca="1">VLOOKUP($W886,OFFSET([4]enemy_skill_sets!$B$1,0,0,COUNTA([4]enemy_skill_sets!$B:$B),MATCH(M$1,[4]enemy_skill_sets!$1:$1,0)-MATCH($W$1,[4]enemy_skill_sets!$1:$1,0)+2),MATCH(M$1,[4]enemy_skill_sets!$1:$1,0)-MATCH($W$1,[4]enemy_skill_sets!$1:$1,0)+2,FALSE)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886" s="64">
        <v>364</v>
      </c>
      <c r="X886" s="6">
        <v>0</v>
      </c>
      <c r="Y886" s="6">
        <v>100</v>
      </c>
      <c r="Z886" s="6">
        <v>0</v>
      </c>
      <c r="AA886" s="4">
        <f ca="1">VLOOKUP($L886,OFFSET([2]enemies!$A$1,0,0,COUNTA([2]enemies!$A:$A),MATCH(AA$1,[2]enemies!$1:$1,0)-MATCH($L$1,[2]enemies!$1:$1,0)+1),MATCH(AA$1,[2]enemies!$1:$1,0)-MATCH($L$1,[2]enemies!$1:$1,0)+1,FALSE)</f>
        <v>3</v>
      </c>
      <c r="AB886" s="52">
        <v>364</v>
      </c>
      <c r="AC886" s="4" t="str">
        <f ca="1">VLOOKUP($AB886,OFFSET([3]characters!$A$1,0,0,COUNTA([3]characters!$A:$A),MATCH(AC$1,[3]characters!$1:$1,0)-MATCH("character_id",[3]characters!$1:$1,0)+1),MATCH(AC$1,[3]characters!$1:$1,0)-MATCH("character_id",[3]characters!$1:$1,0)+1,FALSE)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886" s="4">
        <f ca="1">VLOOKUP($AB886,OFFSET([3]characters!$A$1,0,0,COUNTA([3]characters!$A:$A),MATCH(AD$1,[3]characters!$1:$1,0)-MATCH("character_id",[3]characters!$1:$1,0)+1),MATCH(AD$1,[3]characters!$1:$1,0)-MATCH("character_id",[3]characters!$1:$1,0)+1,FALSE)</f>
        <v>2</v>
      </c>
      <c r="AE886" s="4" t="str">
        <f ca="1">VLOOKUP($AB886,OFFSET([3]characters!$A$1,0,0,COUNTA([3]characters!$A:$A),MATCH(AE$1,[3]characters!$1:$1,0)-MATCH("character_id",[3]characters!$1:$1,0)+1),MATCH(AE$1,[3]characters!$1:$1,0)-MATCH("character_id",[3]characters!$1:$1,0)+1,FALSE)</f>
        <v>Drop1S</v>
      </c>
      <c r="AF886" s="7">
        <v>7</v>
      </c>
      <c r="AG886" s="26">
        <f t="shared" ca="1" si="769"/>
        <v>2</v>
      </c>
      <c r="AH886" s="8">
        <v>20</v>
      </c>
      <c r="AI886" s="7">
        <v>0</v>
      </c>
      <c r="AJ886" s="7">
        <v>0</v>
      </c>
      <c r="AK886" s="7">
        <v>0</v>
      </c>
      <c r="AL886" s="7">
        <v>0</v>
      </c>
      <c r="AM886" s="7">
        <v>1</v>
      </c>
    </row>
    <row r="887" spans="1:39" ht="14" x14ac:dyDescent="0.15">
      <c r="A887" s="18" t="str">
        <f t="shared" ca="1" si="770"/>
        <v>26_5-2/366&lt;lv58&gt;s3</v>
      </c>
      <c r="B887" s="53">
        <v>26</v>
      </c>
      <c r="C887" s="51">
        <v>5</v>
      </c>
      <c r="D887" s="2" t="str">
        <f t="shared" si="792"/>
        <v>26_5</v>
      </c>
      <c r="E887" s="2" t="str">
        <f t="shared" si="793"/>
        <v>5_26_5</v>
      </c>
      <c r="F887" s="4" t="str">
        <f ca="1">VLOOKUP($D887,OFFSET([1]stages!$A$1,0,0,COUNTA([1]stages!$A:$A),MATCH(F$1,[1]stages!$2:$2,0)-MATCH($D$1,[1]stages!$2:$2,0)+1),MATCH(F$1,[1]stages!$2:$2,0)-MATCH($D$1,[1]stages!$2:$2,0)+1,FALSE)</f>
        <v>26-5．踊る強奪者</v>
      </c>
      <c r="G887" s="57">
        <v>2</v>
      </c>
      <c r="H887" s="17" t="str">
        <f t="shared" si="794"/>
        <v>26_5-2</v>
      </c>
      <c r="I887" s="17"/>
      <c r="J887" s="17"/>
      <c r="K887" s="65" t="s">
        <v>56</v>
      </c>
      <c r="L887" s="52">
        <v>366</v>
      </c>
      <c r="M887" s="21" t="str">
        <f ca="1">VLOOKUP($L887,OFFSET([2]enemies!$A$1,0,0,COUNTA([2]enemies!$A:$A),MATCH(M$1,[2]enemies!$1:$1,0)-MATCH($L$1,[2]enemies!$1:$1,0)+1),MATCH(M$1,[2]enemies!$1:$1,0)-MATCH($L$1,[2]enemies!$1:$1,0)+1,FALSE)</f>
        <v>トト</v>
      </c>
      <c r="N887" s="21" t="str">
        <f ca="1">VLOOKUP($L887,OFFSET([2]enemies!$A$1,0,0,COUNTA([2]enemies!$A:$A),MATCH(N$1,[2]enemies!$1:$1,0)-MATCH($L$1,[2]enemies!$1:$1,0)+1),MATCH(N$1,[2]enemies!$1:$1,0)-MATCH($L$1,[2]enemies!$1:$1,0)+1,FALSE)</f>
        <v>yellow</v>
      </c>
      <c r="O887" s="21" t="str">
        <f ca="1">VLOOKUP($L887,OFFSET([3]characters!$A$1,0,0,COUNTA([3]characters!$A:$A),MATCH(O$1,[3]characters!$1:$1,0)-MATCH($L$1,[3]characters!$1:$1,0)+1),MATCH(O$1,[3]characters!$1:$1,0)-MATCH($L$1,[3]characters!$1:$1,0)+1,FALSE)</f>
        <v>Drop1S</v>
      </c>
      <c r="P887" s="21" t="str">
        <f ca="1">VLOOKUP($L887,OFFSET([2]enemies!$A$1,0,0,COUNTA([2]enemies!$A:$A),MATCH(P$1,[2]enemies!$1:$1,0)-MATCH($L$1,[2]enemies!$1:$1,0)+1),MATCH(P$1,[2]enemies!$1:$1,0)-MATCH($L$1,[2]enemies!$1:$1,0)+1,FALSE)</f>
        <v>animal</v>
      </c>
      <c r="Q887" s="21">
        <f ca="1">VLOOKUP($L887,OFFSET([2]enemies!$A$1,0,0,COUNTA([2]enemies!$A:$A),MATCH(Q$1,[2]enemies!$1:$1,0)-MATCH($L$1,[2]enemies!$1:$1,0)+1),MATCH(Q$1,[2]enemies!$1:$1,0)-MATCH($L$1,[2]enemies!$1:$1,0)+1,FALSE)</f>
        <v>15</v>
      </c>
      <c r="R887" s="53">
        <v>58</v>
      </c>
      <c r="S887" s="27">
        <v>1</v>
      </c>
      <c r="T887" s="27">
        <v>1</v>
      </c>
      <c r="U887" s="5">
        <v>0</v>
      </c>
      <c r="V887" s="4" t="str">
        <f ca="1">VLOOKUP($W887,OFFSET([4]enemy_skill_sets!$B$1,0,0,COUNTA([4]enemy_skill_sets!$B:$B),MATCH(M$1,[4]enemy_skill_sets!$1:$1,0)-MATCH($W$1,[4]enemy_skill_sets!$1:$1,0)+2),MATCH(M$1,[4]enemy_skill_sets!$1:$1,0)-MATCH($W$1,[4]enemy_skill_sets!$1:$1,0)+2,FALSE)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887" s="64">
        <v>366</v>
      </c>
      <c r="X887" s="6">
        <v>0</v>
      </c>
      <c r="Y887" s="6">
        <v>100</v>
      </c>
      <c r="Z887" s="6">
        <v>0</v>
      </c>
      <c r="AA887" s="4">
        <f ca="1">VLOOKUP($L887,OFFSET([2]enemies!$A$1,0,0,COUNTA([2]enemies!$A:$A),MATCH(AA$1,[2]enemies!$1:$1,0)-MATCH($L$1,[2]enemies!$1:$1,0)+1),MATCH(AA$1,[2]enemies!$1:$1,0)-MATCH($L$1,[2]enemies!$1:$1,0)+1,FALSE)</f>
        <v>3</v>
      </c>
      <c r="AB887" s="52">
        <v>366</v>
      </c>
      <c r="AC887" s="4" t="str">
        <f ca="1">VLOOKUP($AB887,OFFSET([3]characters!$A$1,0,0,COUNTA([3]characters!$A:$A),MATCH(AC$1,[3]characters!$1:$1,0)-MATCH("character_id",[3]characters!$1:$1,0)+1),MATCH(AC$1,[3]characters!$1:$1,0)-MATCH("character_id",[3]characters!$1:$1,0)+1,FALSE)</f>
        <v>トト</v>
      </c>
      <c r="AD887" s="4">
        <f ca="1">VLOOKUP($AB887,OFFSET([3]characters!$A$1,0,0,COUNTA([3]characters!$A:$A),MATCH(AD$1,[3]characters!$1:$1,0)-MATCH("character_id",[3]characters!$1:$1,0)+1),MATCH(AD$1,[3]characters!$1:$1,0)-MATCH("character_id",[3]characters!$1:$1,0)+1,FALSE)</f>
        <v>2</v>
      </c>
      <c r="AE887" s="4" t="str">
        <f ca="1">VLOOKUP($AB887,OFFSET([3]characters!$A$1,0,0,COUNTA([3]characters!$A:$A),MATCH(AE$1,[3]characters!$1:$1,0)-MATCH("character_id",[3]characters!$1:$1,0)+1),MATCH(AE$1,[3]characters!$1:$1,0)-MATCH("character_id",[3]characters!$1:$1,0)+1,FALSE)</f>
        <v>Drop1S</v>
      </c>
      <c r="AF887" s="7">
        <v>7</v>
      </c>
      <c r="AG887" s="26">
        <f t="shared" ca="1" si="769"/>
        <v>2</v>
      </c>
      <c r="AH887" s="8">
        <v>20</v>
      </c>
      <c r="AI887" s="7">
        <v>0</v>
      </c>
      <c r="AJ887" s="7">
        <v>0</v>
      </c>
      <c r="AK887" s="7">
        <v>0</v>
      </c>
      <c r="AL887" s="7">
        <v>0</v>
      </c>
      <c r="AM887" s="7">
        <v>1</v>
      </c>
    </row>
    <row r="888" spans="1:39" ht="14" x14ac:dyDescent="0.15">
      <c r="A888" s="18" t="str">
        <f t="shared" ca="1" si="770"/>
        <v>26_5-2/352&lt;lv58&gt;s3</v>
      </c>
      <c r="B888" s="53">
        <v>26</v>
      </c>
      <c r="C888" s="51">
        <v>5</v>
      </c>
      <c r="D888" s="2" t="str">
        <f t="shared" ref="D888:D889" si="795">B888&amp;"_"&amp;C888</f>
        <v>26_5</v>
      </c>
      <c r="E888" s="2" t="str">
        <f t="shared" ref="E888:E889" si="796">C888&amp;"_"&amp;D888</f>
        <v>5_26_5</v>
      </c>
      <c r="F888" s="4" t="str">
        <f ca="1">VLOOKUP($D888,OFFSET([1]stages!$A$1,0,0,COUNTA([1]stages!$A:$A),MATCH(F$1,[1]stages!$2:$2,0)-MATCH($D$1,[1]stages!$2:$2,0)+1),MATCH(F$1,[1]stages!$2:$2,0)-MATCH($D$1,[1]stages!$2:$2,0)+1,FALSE)</f>
        <v>26-5．踊る強奪者</v>
      </c>
      <c r="G888" s="57">
        <v>2</v>
      </c>
      <c r="H888" s="17" t="str">
        <f t="shared" ref="H888:H889" si="797">B888&amp;"_"&amp;C888&amp;"-"&amp;G888</f>
        <v>26_5-2</v>
      </c>
      <c r="I888" s="17"/>
      <c r="J888" s="17"/>
      <c r="K888" s="65" t="s">
        <v>56</v>
      </c>
      <c r="L888" s="52">
        <v>352</v>
      </c>
      <c r="M888" s="21" t="str">
        <f ca="1">VLOOKUP($L888,OFFSET([2]enemies!$A$1,0,0,COUNTA([2]enemies!$A:$A),MATCH(M$1,[2]enemies!$1:$1,0)-MATCH($L$1,[2]enemies!$1:$1,0)+1),MATCH(M$1,[2]enemies!$1:$1,0)-MATCH($L$1,[2]enemies!$1:$1,0)+1,FALSE)</f>
        <v>水のケロケロ</v>
      </c>
      <c r="N888" s="21" t="str">
        <f ca="1">VLOOKUP($L888,OFFSET([2]enemies!$A$1,0,0,COUNTA([2]enemies!$A:$A),MATCH(N$1,[2]enemies!$1:$1,0)-MATCH($L$1,[2]enemies!$1:$1,0)+1),MATCH(N$1,[2]enemies!$1:$1,0)-MATCH($L$1,[2]enemies!$1:$1,0)+1,FALSE)</f>
        <v>blue</v>
      </c>
      <c r="O888" s="21" t="str">
        <f ca="1">VLOOKUP($L888,OFFSET([3]characters!$A$1,0,0,COUNTA([3]characters!$A:$A),MATCH(O$1,[3]characters!$1:$1,0)-MATCH($L$1,[3]characters!$1:$1,0)+1),MATCH(O$1,[3]characters!$1:$1,0)-MATCH($L$1,[3]characters!$1:$1,0)+1,FALSE)</f>
        <v>Material</v>
      </c>
      <c r="P888" s="21" t="str">
        <f ca="1">VLOOKUP($L888,OFFSET([2]enemies!$A$1,0,0,COUNTA([2]enemies!$A:$A),MATCH(P$1,[2]enemies!$1:$1,0)-MATCH($L$1,[2]enemies!$1:$1,0)+1),MATCH(P$1,[2]enemies!$1:$1,0)-MATCH($L$1,[2]enemies!$1:$1,0)+1,FALSE)</f>
        <v>unknown</v>
      </c>
      <c r="Q888" s="21">
        <f ca="1">VLOOKUP($L888,OFFSET([2]enemies!$A$1,0,0,COUNTA([2]enemies!$A:$A),MATCH(Q$1,[2]enemies!$1:$1,0)-MATCH($L$1,[2]enemies!$1:$1,0)+1),MATCH(Q$1,[2]enemies!$1:$1,0)-MATCH($L$1,[2]enemies!$1:$1,0)+1,FALSE)</f>
        <v>15</v>
      </c>
      <c r="R888" s="53">
        <v>58</v>
      </c>
      <c r="S888" s="27">
        <v>1</v>
      </c>
      <c r="T888" s="27">
        <v>1</v>
      </c>
      <c r="U888" s="5">
        <v>0</v>
      </c>
      <c r="V888" s="4" t="str">
        <f ca="1">VLOOKUP($W888,OFFSET([4]enemy_skill_sets!$B$1,0,0,COUNTA([4]enemy_skill_sets!$B:$B),MATCH(M$1,[4]enemy_skill_sets!$1:$1,0)-MATCH($W$1,[4]enemy_skill_sets!$1:$1,0)+2),MATCH(M$1,[4]enemy_skill_sets!$1:$1,0)-MATCH($W$1,[4]enemy_skill_sets!$1:$1,0)+2,FALSE)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888" s="64">
        <v>352</v>
      </c>
      <c r="X888" s="6">
        <v>0</v>
      </c>
      <c r="Y888" s="6">
        <v>100</v>
      </c>
      <c r="Z888" s="6">
        <v>0</v>
      </c>
      <c r="AA888" s="4">
        <f ca="1">VLOOKUP($L888,OFFSET([2]enemies!$A$1,0,0,COUNTA([2]enemies!$A:$A),MATCH(AA$1,[2]enemies!$1:$1,0)-MATCH($L$1,[2]enemies!$1:$1,0)+1),MATCH(AA$1,[2]enemies!$1:$1,0)-MATCH($L$1,[2]enemies!$1:$1,0)+1,FALSE)</f>
        <v>3</v>
      </c>
      <c r="AB888" s="52">
        <v>352</v>
      </c>
      <c r="AC888" s="4" t="str">
        <f ca="1">VLOOKUP($AB888,OFFSET([3]characters!$A$1,0,0,COUNTA([3]characters!$A:$A),MATCH(AC$1,[3]characters!$1:$1,0)-MATCH("character_id",[3]characters!$1:$1,0)+1),MATCH(AC$1,[3]characters!$1:$1,0)-MATCH("character_id",[3]characters!$1:$1,0)+1,FALSE)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888" s="4">
        <f ca="1">VLOOKUP($AB888,OFFSET([3]characters!$A$1,0,0,COUNTA([3]characters!$A:$A),MATCH(AD$1,[3]characters!$1:$1,0)-MATCH("character_id",[3]characters!$1:$1,0)+1),MATCH(AD$1,[3]characters!$1:$1,0)-MATCH("character_id",[3]characters!$1:$1,0)+1,FALSE)</f>
        <v>2</v>
      </c>
      <c r="AE888" s="4" t="str">
        <f ca="1">VLOOKUP($AB888,OFFSET([3]characters!$A$1,0,0,COUNTA([3]characters!$A:$A),MATCH(AE$1,[3]characters!$1:$1,0)-MATCH("character_id",[3]characters!$1:$1,0)+1),MATCH(AE$1,[3]characters!$1:$1,0)-MATCH("character_id",[3]characters!$1:$1,0)+1,FALSE)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88" s="7">
        <v>10</v>
      </c>
      <c r="AG888" s="26">
        <f t="shared" ca="1" si="769"/>
        <v>2</v>
      </c>
      <c r="AH888" s="8">
        <v>20</v>
      </c>
      <c r="AI888" s="7">
        <v>0</v>
      </c>
      <c r="AJ888" s="7">
        <v>0</v>
      </c>
      <c r="AK888" s="7">
        <v>0</v>
      </c>
      <c r="AL888" s="7">
        <v>0</v>
      </c>
      <c r="AM888" s="7">
        <v>1</v>
      </c>
    </row>
    <row r="889" spans="1:39" ht="14" x14ac:dyDescent="0.15">
      <c r="A889" s="18" t="str">
        <f t="shared" ca="1" si="770"/>
        <v>26_5-2/354&lt;lv58&gt;s3</v>
      </c>
      <c r="B889" s="53">
        <v>26</v>
      </c>
      <c r="C889" s="51">
        <v>5</v>
      </c>
      <c r="D889" s="2" t="str">
        <f t="shared" si="795"/>
        <v>26_5</v>
      </c>
      <c r="E889" s="2" t="str">
        <f t="shared" si="796"/>
        <v>5_26_5</v>
      </c>
      <c r="F889" s="4" t="str">
        <f ca="1">VLOOKUP($D889,OFFSET([1]stages!$A$1,0,0,COUNTA([1]stages!$A:$A),MATCH(F$1,[1]stages!$2:$2,0)-MATCH($D$1,[1]stages!$2:$2,0)+1),MATCH(F$1,[1]stages!$2:$2,0)-MATCH($D$1,[1]stages!$2:$2,0)+1,FALSE)</f>
        <v>26-5．踊る強奪者</v>
      </c>
      <c r="G889" s="57">
        <v>2</v>
      </c>
      <c r="H889" s="17" t="str">
        <f t="shared" si="797"/>
        <v>26_5-2</v>
      </c>
      <c r="I889" s="17"/>
      <c r="J889" s="17"/>
      <c r="K889" s="65" t="s">
        <v>56</v>
      </c>
      <c r="L889" s="52">
        <v>354</v>
      </c>
      <c r="M889" s="21" t="str">
        <f ca="1">VLOOKUP($L889,OFFSET([2]enemies!$A$1,0,0,COUNTA([2]enemies!$A:$A),MATCH(M$1,[2]enemies!$1:$1,0)-MATCH($L$1,[2]enemies!$1:$1,0)+1),MATCH(M$1,[2]enemies!$1:$1,0)-MATCH($L$1,[2]enemies!$1:$1,0)+1,FALSE)</f>
        <v>雷のケロケロ</v>
      </c>
      <c r="N889" s="21" t="str">
        <f ca="1">VLOOKUP($L889,OFFSET([2]enemies!$A$1,0,0,COUNTA([2]enemies!$A:$A),MATCH(N$1,[2]enemies!$1:$1,0)-MATCH($L$1,[2]enemies!$1:$1,0)+1),MATCH(N$1,[2]enemies!$1:$1,0)-MATCH($L$1,[2]enemies!$1:$1,0)+1,FALSE)</f>
        <v>yellow</v>
      </c>
      <c r="O889" s="21" t="str">
        <f ca="1">VLOOKUP($L889,OFFSET([3]characters!$A$1,0,0,COUNTA([3]characters!$A:$A),MATCH(O$1,[3]characters!$1:$1,0)-MATCH($L$1,[3]characters!$1:$1,0)+1),MATCH(O$1,[3]characters!$1:$1,0)-MATCH($L$1,[3]characters!$1:$1,0)+1,FALSE)</f>
        <v>Material</v>
      </c>
      <c r="P889" s="21" t="str">
        <f ca="1">VLOOKUP($L889,OFFSET([2]enemies!$A$1,0,0,COUNTA([2]enemies!$A:$A),MATCH(P$1,[2]enemies!$1:$1,0)-MATCH($L$1,[2]enemies!$1:$1,0)+1),MATCH(P$1,[2]enemies!$1:$1,0)-MATCH($L$1,[2]enemies!$1:$1,0)+1,FALSE)</f>
        <v>unknown</v>
      </c>
      <c r="Q889" s="21">
        <f ca="1">VLOOKUP($L889,OFFSET([2]enemies!$A$1,0,0,COUNTA([2]enemies!$A:$A),MATCH(Q$1,[2]enemies!$1:$1,0)-MATCH($L$1,[2]enemies!$1:$1,0)+1),MATCH(Q$1,[2]enemies!$1:$1,0)-MATCH($L$1,[2]enemies!$1:$1,0)+1,FALSE)</f>
        <v>15</v>
      </c>
      <c r="R889" s="53">
        <v>58</v>
      </c>
      <c r="S889" s="27">
        <v>1</v>
      </c>
      <c r="T889" s="27">
        <v>1</v>
      </c>
      <c r="U889" s="5">
        <v>0</v>
      </c>
      <c r="V889" s="4" t="str">
        <f ca="1">VLOOKUP($W889,OFFSET([4]enemy_skill_sets!$B$1,0,0,COUNTA([4]enemy_skill_sets!$B:$B),MATCH(M$1,[4]enemy_skill_sets!$1:$1,0)-MATCH($W$1,[4]enemy_skill_sets!$1:$1,0)+2),MATCH(M$1,[4]enemy_skill_sets!$1:$1,0)-MATCH($W$1,[4]enemy_skill_sets!$1:$1,0)+2,FALSE)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889" s="64">
        <v>354</v>
      </c>
      <c r="X889" s="6">
        <v>0</v>
      </c>
      <c r="Y889" s="6">
        <v>100</v>
      </c>
      <c r="Z889" s="6">
        <v>0</v>
      </c>
      <c r="AA889" s="4">
        <f ca="1">VLOOKUP($L889,OFFSET([2]enemies!$A$1,0,0,COUNTA([2]enemies!$A:$A),MATCH(AA$1,[2]enemies!$1:$1,0)-MATCH($L$1,[2]enemies!$1:$1,0)+1),MATCH(AA$1,[2]enemies!$1:$1,0)-MATCH($L$1,[2]enemies!$1:$1,0)+1,FALSE)</f>
        <v>3</v>
      </c>
      <c r="AB889" s="52">
        <v>354</v>
      </c>
      <c r="AC889" s="4" t="str">
        <f ca="1">VLOOKUP($AB889,OFFSET([3]characters!$A$1,0,0,COUNTA([3]characters!$A:$A),MATCH(AC$1,[3]characters!$1:$1,0)-MATCH("character_id",[3]characters!$1:$1,0)+1),MATCH(AC$1,[3]characters!$1:$1,0)-MATCH("character_id",[3]characters!$1:$1,0)+1,FALSE)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889" s="4">
        <f ca="1">VLOOKUP($AB889,OFFSET([3]characters!$A$1,0,0,COUNTA([3]characters!$A:$A),MATCH(AD$1,[3]characters!$1:$1,0)-MATCH("character_id",[3]characters!$1:$1,0)+1),MATCH(AD$1,[3]characters!$1:$1,0)-MATCH("character_id",[3]characters!$1:$1,0)+1,FALSE)</f>
        <v>2</v>
      </c>
      <c r="AE889" s="4" t="str">
        <f ca="1">VLOOKUP($AB889,OFFSET([3]characters!$A$1,0,0,COUNTA([3]characters!$A:$A),MATCH(AE$1,[3]characters!$1:$1,0)-MATCH("character_id",[3]characters!$1:$1,0)+1),MATCH(AE$1,[3]characters!$1:$1,0)-MATCH("character_id",[3]characters!$1:$1,0)+1,FALSE)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889" s="7">
        <v>10</v>
      </c>
      <c r="AG889" s="26">
        <f t="shared" ca="1" si="769"/>
        <v>2</v>
      </c>
      <c r="AH889" s="8">
        <v>20</v>
      </c>
      <c r="AI889" s="7">
        <v>0</v>
      </c>
      <c r="AJ889" s="7">
        <v>0</v>
      </c>
      <c r="AK889" s="7">
        <v>0</v>
      </c>
      <c r="AL889" s="7">
        <v>0</v>
      </c>
      <c r="AM889" s="7">
        <v>1</v>
      </c>
    </row>
    <row r="890" spans="1:39" ht="14" x14ac:dyDescent="0.15">
      <c r="A890" s="18" t="str">
        <f t="shared" ca="1" si="770"/>
        <v>26_5-3/131&lt;lv58&gt;s3</v>
      </c>
      <c r="B890" s="53">
        <v>26</v>
      </c>
      <c r="C890" s="51">
        <v>5</v>
      </c>
      <c r="D890" s="2" t="str">
        <f t="shared" ref="D890:E890" si="798">B890&amp;"_"&amp;C890</f>
        <v>26_5</v>
      </c>
      <c r="E890" s="2" t="str">
        <f t="shared" si="798"/>
        <v>5_26_5</v>
      </c>
      <c r="F890" s="4" t="str">
        <f ca="1">VLOOKUP($D890,OFFSET([1]stages!$A$1,0,0,COUNTA([1]stages!$A:$A),MATCH(F$1,[1]stages!$2:$2,0)-MATCH($D$1,[1]stages!$2:$2,0)+1),MATCH(F$1,[1]stages!$2:$2,0)-MATCH($D$1,[1]stages!$2:$2,0)+1,FALSE)</f>
        <v>26-5．踊る強奪者</v>
      </c>
      <c r="G890" s="54">
        <v>3</v>
      </c>
      <c r="H890" s="17" t="str">
        <f t="shared" ref="H890" si="799">B890&amp;"_"&amp;C890&amp;"-"&amp;G890</f>
        <v>26_5-3</v>
      </c>
      <c r="I890" s="17"/>
      <c r="J890" s="17"/>
      <c r="K890" s="65" t="s">
        <v>56</v>
      </c>
      <c r="L890" s="52">
        <v>131</v>
      </c>
      <c r="M890" s="21" t="str">
        <f ca="1">VLOOKUP($L890,OFFSET([2]enemies!$A$1,0,0,COUNTA([2]enemies!$A:$A),MATCH(M$1,[2]enemies!$1:$1,0)-MATCH($L$1,[2]enemies!$1:$1,0)+1),MATCH(M$1,[2]enemies!$1:$1,0)-MATCH($L$1,[2]enemies!$1:$1,0)+1,FALSE)</f>
        <v>月下の人狼 ローレンス</v>
      </c>
      <c r="N890" s="21" t="str">
        <f ca="1">VLOOKUP($L890,OFFSET([2]enemies!$A$1,0,0,COUNTA([2]enemies!$A:$A),MATCH(N$1,[2]enemies!$1:$1,0)-MATCH($L$1,[2]enemies!$1:$1,0)+1),MATCH(N$1,[2]enemies!$1:$1,0)-MATCH($L$1,[2]enemies!$1:$1,0)+1,FALSE)</f>
        <v>blue</v>
      </c>
      <c r="O890" s="21" t="str">
        <f ca="1">VLOOKUP($L890,OFFSET([3]characters!$A$1,0,0,COUNTA([3]characters!$A:$A),MATCH(O$1,[3]characters!$1:$1,0)-MATCH($L$1,[3]characters!$1:$1,0)+1),MATCH(O$1,[3]characters!$1:$1,0)-MATCH($L$1,[3]characters!$1:$1,0)+1,FALSE)</f>
        <v>PremiumW</v>
      </c>
      <c r="P890" s="21" t="str">
        <f ca="1">VLOOKUP($L890,OFFSET([2]enemies!$A$1,0,0,COUNTA([2]enemies!$A:$A),MATCH(P$1,[2]enemies!$1:$1,0)-MATCH($L$1,[2]enemies!$1:$1,0)+1),MATCH(P$1,[2]enemies!$1:$1,0)-MATCH($L$1,[2]enemies!$1:$1,0)+1,FALSE)</f>
        <v>animal</v>
      </c>
      <c r="Q890" s="21">
        <f ca="1">VLOOKUP($L890,OFFSET([2]enemies!$A$1,0,0,COUNTA([2]enemies!$A:$A),MATCH(Q$1,[2]enemies!$1:$1,0)-MATCH($L$1,[2]enemies!$1:$1,0)+1),MATCH(Q$1,[2]enemies!$1:$1,0)-MATCH($L$1,[2]enemies!$1:$1,0)+1,FALSE)</f>
        <v>30</v>
      </c>
      <c r="R890" s="53">
        <v>58</v>
      </c>
      <c r="S890" s="27">
        <v>1</v>
      </c>
      <c r="T890" s="27">
        <v>0.7</v>
      </c>
      <c r="U890" s="5">
        <v>0</v>
      </c>
      <c r="V890" s="4" t="str">
        <f ca="1">VLOOKUP($W890,OFFSET([4]enemy_skill_sets!$B$1,0,0,COUNTA([4]enemy_skill_sets!$B:$B),MATCH(M$1,[4]enemy_skill_sets!$1:$1,0)-MATCH($W$1,[4]enemy_skill_sets!$1:$1,0)+2),MATCH(M$1,[4]enemy_skill_sets!$1:$1,0)-MATCH($W$1,[4]enemy_skill_sets!$1:$1,0)+2,FALSE)</f>
        <v>攻撃力×1.5倍の攻撃</v>
      </c>
      <c r="W890" s="4">
        <f ca="1">VLOOKUP($L890,OFFSET([2]enemies!$A$1,0,0,COUNTA([2]enemies!$A:$A),MATCH(W$1,[2]enemies!$1:$1,0)-MATCH($L$1,[2]enemies!$1:$1,0)+1),MATCH(W$1,[2]enemies!$1:$1,0)-MATCH($L$1,[2]enemies!$1:$1,0)+1,FALSE)</f>
        <v>130</v>
      </c>
      <c r="X890" s="6">
        <v>1</v>
      </c>
      <c r="Y890" s="6">
        <v>100</v>
      </c>
      <c r="Z890" s="6">
        <v>1</v>
      </c>
      <c r="AA890" s="4">
        <f ca="1">VLOOKUP($L890,OFFSET([2]enemies!$A$1,0,0,COUNTA([2]enemies!$A:$A),MATCH(AA$1,[2]enemies!$1:$1,0)-MATCH($L$1,[2]enemies!$1:$1,0)+1),MATCH(AA$1,[2]enemies!$1:$1,0)-MATCH($L$1,[2]enemies!$1:$1,0)+1,FALSE)</f>
        <v>3</v>
      </c>
      <c r="AB890" s="52">
        <v>130</v>
      </c>
      <c r="AC890" s="4" t="str">
        <f ca="1">VLOOKUP($AB890,OFFSET([3]characters!$A$1,0,0,COUNTA([3]characters!$A:$A),MATCH(AC$1,[3]characters!$1:$1,0)-MATCH("character_id",[3]characters!$1:$1,0)+1),MATCH(AC$1,[3]characters!$1:$1,0)-MATCH("character_id",[3]characters!$1:$1,0)+1,FALSE)</f>
        <v>狼男 ローレンス</v>
      </c>
      <c r="AD890" s="4">
        <f ca="1">VLOOKUP($AB890,OFFSET([3]characters!$A$1,0,0,COUNTA([3]characters!$A:$A),MATCH(AD$1,[3]characters!$1:$1,0)-MATCH("character_id",[3]characters!$1:$1,0)+1),MATCH(AD$1,[3]characters!$1:$1,0)-MATCH("character_id",[3]characters!$1:$1,0)+1,FALSE)</f>
        <v>3</v>
      </c>
      <c r="AE890" s="4" t="str">
        <f ca="1">VLOOKUP($AB890,OFFSET([3]characters!$A$1,0,0,COUNTA([3]characters!$A:$A),MATCH(AE$1,[3]characters!$1:$1,0)-MATCH("character_id",[3]characters!$1:$1,0)+1),MATCH(AE$1,[3]characters!$1:$1,0)-MATCH("character_id",[3]characters!$1:$1,0)+1,FALSE)</f>
        <v>PremiumW</v>
      </c>
      <c r="AF890" s="7">
        <v>1</v>
      </c>
      <c r="AG890" s="26">
        <f t="shared" ca="1" si="769"/>
        <v>3</v>
      </c>
      <c r="AH890" s="8">
        <v>0</v>
      </c>
      <c r="AI890" s="7">
        <v>0</v>
      </c>
      <c r="AJ890" s="7">
        <v>0</v>
      </c>
      <c r="AK890" s="7">
        <v>0</v>
      </c>
      <c r="AL890" s="7">
        <v>0</v>
      </c>
      <c r="AM890" s="7">
        <v>1</v>
      </c>
    </row>
    <row r="891" spans="1:39" ht="14" x14ac:dyDescent="0.15">
      <c r="A891" s="18" t="str">
        <f t="shared" ca="1" si="770"/>
        <v>26_5-3/33&lt;lv55&gt;s2</v>
      </c>
      <c r="B891" s="53">
        <v>26</v>
      </c>
      <c r="C891" s="51">
        <v>5</v>
      </c>
      <c r="D891" s="2" t="str">
        <f t="shared" ref="D891" si="800">B891&amp;"_"&amp;C891</f>
        <v>26_5</v>
      </c>
      <c r="E891" s="2" t="str">
        <f t="shared" ref="E891" si="801">C891&amp;"_"&amp;D891</f>
        <v>5_26_5</v>
      </c>
      <c r="F891" s="4" t="str">
        <f ca="1">VLOOKUP($D891,OFFSET([1]stages!$A$1,0,0,COUNTA([1]stages!$A:$A),MATCH(F$1,[1]stages!$2:$2,0)-MATCH($D$1,[1]stages!$2:$2,0)+1),MATCH(F$1,[1]stages!$2:$2,0)-MATCH($D$1,[1]stages!$2:$2,0)+1,FALSE)</f>
        <v>26-5．踊る強奪者</v>
      </c>
      <c r="G891" s="54">
        <v>3</v>
      </c>
      <c r="H891" s="17" t="str">
        <f t="shared" ref="H891" si="802">B891&amp;"_"&amp;C891&amp;"-"&amp;G891</f>
        <v>26_5-3</v>
      </c>
      <c r="I891" s="17"/>
      <c r="J891" s="17"/>
      <c r="K891" s="65" t="s">
        <v>56</v>
      </c>
      <c r="L891" s="52">
        <v>33</v>
      </c>
      <c r="M891" s="21" t="str">
        <f ca="1">VLOOKUP($L891,OFFSET([2]enemies!$A$1,0,0,COUNTA([2]enemies!$A:$A),MATCH(M$1,[2]enemies!$1:$1,0)-MATCH($L$1,[2]enemies!$1:$1,0)+1),MATCH(M$1,[2]enemies!$1:$1,0)-MATCH($L$1,[2]enemies!$1:$1,0)+1,FALSE)</f>
        <v>ゴクウ</v>
      </c>
      <c r="N891" s="21" t="str">
        <f ca="1">VLOOKUP($L891,OFFSET([2]enemies!$A$1,0,0,COUNTA([2]enemies!$A:$A),MATCH(N$1,[2]enemies!$1:$1,0)-MATCH($L$1,[2]enemies!$1:$1,0)+1),MATCH(N$1,[2]enemies!$1:$1,0)-MATCH($L$1,[2]enemies!$1:$1,0)+1,FALSE)</f>
        <v>red</v>
      </c>
      <c r="O891" s="21" t="str">
        <f ca="1">VLOOKUP($L891,OFFSET([3]characters!$A$1,0,0,COUNTA([3]characters!$A:$A),MATCH(O$1,[3]characters!$1:$1,0)-MATCH($L$1,[3]characters!$1:$1,0)+1),MATCH(O$1,[3]characters!$1:$1,0)-MATCH($L$1,[3]characters!$1:$1,0)+1,FALSE)</f>
        <v>Drop1S</v>
      </c>
      <c r="P891" s="21" t="str">
        <f ca="1">VLOOKUP($L891,OFFSET([2]enemies!$A$1,0,0,COUNTA([2]enemies!$A:$A),MATCH(P$1,[2]enemies!$1:$1,0)-MATCH($L$1,[2]enemies!$1:$1,0)+1),MATCH(P$1,[2]enemies!$1:$1,0)-MATCH($L$1,[2]enemies!$1:$1,0)+1,FALSE)</f>
        <v>animal</v>
      </c>
      <c r="Q891" s="21">
        <f ca="1">VLOOKUP($L891,OFFSET([2]enemies!$A$1,0,0,COUNTA([2]enemies!$A:$A),MATCH(Q$1,[2]enemies!$1:$1,0)-MATCH($L$1,[2]enemies!$1:$1,0)+1),MATCH(Q$1,[2]enemies!$1:$1,0)-MATCH($L$1,[2]enemies!$1:$1,0)+1,FALSE)</f>
        <v>15</v>
      </c>
      <c r="R891" s="53">
        <v>55</v>
      </c>
      <c r="S891" s="27">
        <v>4.5</v>
      </c>
      <c r="T891" s="27">
        <v>0.7</v>
      </c>
      <c r="U891" s="5">
        <v>0</v>
      </c>
      <c r="V891" s="4" t="str">
        <f ca="1">VLOOKUP($W891,OFFSET([4]enemy_skill_sets!$B$1,0,0,COUNTA([4]enemy_skill_sets!$B:$B),MATCH(M$1,[4]enemy_skill_sets!$1:$1,0)-MATCH($W$1,[4]enemy_skill_sets!$1:$1,0)+2),MATCH(M$1,[4]enemy_skill_sets!$1:$1,0)-MATCH($W$1,[4]enemy_skill_sets!$1:$1,0)+2,FALSE)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891" s="4">
        <f ca="1">VLOOKUP($L891,OFFSET([2]enemies!$A$1,0,0,COUNTA([2]enemies!$A:$A),MATCH(W$1,[2]enemies!$1:$1,0)-MATCH($L$1,[2]enemies!$1:$1,0)+1),MATCH(W$1,[2]enemies!$1:$1,0)-MATCH($L$1,[2]enemies!$1:$1,0)+1,FALSE)</f>
        <v>33</v>
      </c>
      <c r="X891" s="6">
        <v>2</v>
      </c>
      <c r="Y891" s="6">
        <v>100</v>
      </c>
      <c r="Z891" s="6">
        <v>0</v>
      </c>
      <c r="AA891" s="4">
        <f ca="1">VLOOKUP($L891,OFFSET([2]enemies!$A$1,0,0,COUNTA([2]enemies!$A:$A),MATCH(AA$1,[2]enemies!$1:$1,0)-MATCH($L$1,[2]enemies!$1:$1,0)+1),MATCH(AA$1,[2]enemies!$1:$1,0)-MATCH($L$1,[2]enemies!$1:$1,0)+1,FALSE)</f>
        <v>2</v>
      </c>
      <c r="AB891" s="52">
        <v>33</v>
      </c>
      <c r="AC891" s="4" t="str">
        <f ca="1">VLOOKUP($AB891,OFFSET([3]characters!$A$1,0,0,COUNTA([3]characters!$A:$A),MATCH(AC$1,[3]characters!$1:$1,0)-MATCH("character_id",[3]characters!$1:$1,0)+1),MATCH(AC$1,[3]characters!$1:$1,0)-MATCH("character_id",[3]characters!$1:$1,0)+1,FALSE)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891" s="4">
        <f ca="1">VLOOKUP($AB891,OFFSET([3]characters!$A$1,0,0,COUNTA([3]characters!$A:$A),MATCH(AD$1,[3]characters!$1:$1,0)-MATCH("character_id",[3]characters!$1:$1,0)+1),MATCH(AD$1,[3]characters!$1:$1,0)-MATCH("character_id",[3]characters!$1:$1,0)+1,FALSE)</f>
        <v>2</v>
      </c>
      <c r="AE891" s="4" t="str">
        <f ca="1">VLOOKUP($AB891,OFFSET([3]characters!$A$1,0,0,COUNTA([3]characters!$A:$A),MATCH(AE$1,[3]characters!$1:$1,0)-MATCH("character_id",[3]characters!$1:$1,0)+1),MATCH(AE$1,[3]characters!$1:$1,0)-MATCH("character_id",[3]characters!$1:$1,0)+1,FALSE)</f>
        <v>Drop1S</v>
      </c>
      <c r="AF891" s="7">
        <v>5</v>
      </c>
      <c r="AG891" s="26">
        <f t="shared" ca="1" si="769"/>
        <v>2</v>
      </c>
      <c r="AH891" s="8">
        <v>0</v>
      </c>
      <c r="AI891" s="7">
        <v>0</v>
      </c>
      <c r="AJ891" s="7">
        <v>0</v>
      </c>
      <c r="AK891" s="7">
        <v>0</v>
      </c>
      <c r="AL891" s="7">
        <v>0</v>
      </c>
      <c r="AM891" s="7">
        <v>1</v>
      </c>
    </row>
    <row r="892" spans="1:39" ht="14" x14ac:dyDescent="0.15">
      <c r="A892" s="18" t="str">
        <f t="shared" ca="1" si="770"/>
        <v>26_5-4/9&lt;lv58&gt;s2</v>
      </c>
      <c r="B892" s="50">
        <v>26</v>
      </c>
      <c r="C892" s="49">
        <v>5</v>
      </c>
      <c r="D892" s="2" t="str">
        <f t="shared" si="790"/>
        <v>26_5</v>
      </c>
      <c r="E892" s="2" t="str">
        <f t="shared" si="790"/>
        <v>5_26_5</v>
      </c>
      <c r="F892" s="4" t="str">
        <f ca="1">VLOOKUP($D892,OFFSET([1]stages!$A$1,0,0,COUNTA([1]stages!$A:$A),MATCH(F$1,[1]stages!$2:$2,0)-MATCH($D$1,[1]stages!$2:$2,0)+1),MATCH(F$1,[1]stages!$2:$2,0)-MATCH($D$1,[1]stages!$2:$2,0)+1,FALSE)</f>
        <v>26-5．踊る強奪者</v>
      </c>
      <c r="G892" s="55">
        <v>4</v>
      </c>
      <c r="H892" s="17" t="str">
        <f t="shared" si="791"/>
        <v>26_5-4</v>
      </c>
      <c r="I892" s="17"/>
      <c r="J892" s="17"/>
      <c r="K892" s="65" t="s">
        <v>56</v>
      </c>
      <c r="L892" s="52">
        <v>9</v>
      </c>
      <c r="M892" s="21" t="str">
        <f ca="1">VLOOKUP($L892,OFFSET([2]enemies!$A$1,0,0,COUNTA([2]enemies!$A:$A),MATCH(M$1,[2]enemies!$1:$1,0)-MATCH($L$1,[2]enemies!$1:$1,0)+1),MATCH(M$1,[2]enemies!$1:$1,0)-MATCH($L$1,[2]enemies!$1:$1,0)+1,FALSE)</f>
        <v>ブレット</v>
      </c>
      <c r="N892" s="21" t="str">
        <f ca="1">VLOOKUP($L892,OFFSET([2]enemies!$A$1,0,0,COUNTA([2]enemies!$A:$A),MATCH(N$1,[2]enemies!$1:$1,0)-MATCH($L$1,[2]enemies!$1:$1,0)+1),MATCH(N$1,[2]enemies!$1:$1,0)-MATCH($L$1,[2]enemies!$1:$1,0)+1,FALSE)</f>
        <v>red</v>
      </c>
      <c r="O892" s="21" t="str">
        <f ca="1">VLOOKUP($L892,OFFSET([3]characters!$A$1,0,0,COUNTA([3]characters!$A:$A),MATCH(O$1,[3]characters!$1:$1,0)-MATCH($L$1,[3]characters!$1:$1,0)+1),MATCH(O$1,[3]characters!$1:$1,0)-MATCH($L$1,[3]characters!$1:$1,0)+1,FALSE)</f>
        <v>Drop1W</v>
      </c>
      <c r="P892" s="21" t="str">
        <f ca="1">VLOOKUP($L892,OFFSET([2]enemies!$A$1,0,0,COUNTA([2]enemies!$A:$A),MATCH(P$1,[2]enemies!$1:$1,0)-MATCH($L$1,[2]enemies!$1:$1,0)+1),MATCH(P$1,[2]enemies!$1:$1,0)-MATCH($L$1,[2]enemies!$1:$1,0)+1,FALSE)</f>
        <v>animal</v>
      </c>
      <c r="Q892" s="21">
        <f ca="1">VLOOKUP($L892,OFFSET([2]enemies!$A$1,0,0,COUNTA([2]enemies!$A:$A),MATCH(Q$1,[2]enemies!$1:$1,0)-MATCH($L$1,[2]enemies!$1:$1,0)+1),MATCH(Q$1,[2]enemies!$1:$1,0)-MATCH($L$1,[2]enemies!$1:$1,0)+1,FALSE)</f>
        <v>15</v>
      </c>
      <c r="R892" s="53">
        <v>58</v>
      </c>
      <c r="S892" s="27">
        <v>1</v>
      </c>
      <c r="T892" s="27">
        <v>1</v>
      </c>
      <c r="U892" s="5">
        <v>0</v>
      </c>
      <c r="V892" s="4" t="str">
        <f ca="1">VLOOKUP($W892,OFFSET([4]enemy_skill_sets!$B$1,0,0,COUNTA([4]enemy_skill_sets!$B:$B),MATCH(M$1,[4]enemy_skill_sets!$1:$1,0)-MATCH($W$1,[4]enemy_skill_sets!$1:$1,0)+2),MATCH(M$1,[4]enemy_skill_sets!$1:$1,0)-MATCH($W$1,[4]enemy_skill_sets!$1:$1,0)+2,FALSE)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92" s="4">
        <f ca="1">VLOOKUP($L892,OFFSET([2]enemies!$A$1,0,0,COUNTA([2]enemies!$A:$A),MATCH(W$1,[2]enemies!$1:$1,0)-MATCH($L$1,[2]enemies!$1:$1,0)+1),MATCH(W$1,[2]enemies!$1:$1,0)-MATCH($L$1,[2]enemies!$1:$1,0)+1,FALSE)</f>
        <v>0</v>
      </c>
      <c r="X892" s="6">
        <v>0</v>
      </c>
      <c r="Y892" s="6">
        <v>100</v>
      </c>
      <c r="Z892" s="6">
        <v>0</v>
      </c>
      <c r="AA892" s="4">
        <f ca="1">VLOOKUP($L892,OFFSET([2]enemies!$A$1,0,0,COUNTA([2]enemies!$A:$A),MATCH(AA$1,[2]enemies!$1:$1,0)-MATCH($L$1,[2]enemies!$1:$1,0)+1),MATCH(AA$1,[2]enemies!$1:$1,0)-MATCH($L$1,[2]enemies!$1:$1,0)+1,FALSE)</f>
        <v>2</v>
      </c>
      <c r="AB892" s="52">
        <v>9</v>
      </c>
      <c r="AC892" s="4" t="str">
        <f ca="1">VLOOKUP($AB892,OFFSET([3]characters!$A$1,0,0,COUNTA([3]characters!$A:$A),MATCH(AC$1,[3]characters!$1:$1,0)-MATCH("character_id",[3]characters!$1:$1,0)+1),MATCH(AC$1,[3]characters!$1:$1,0)-MATCH("character_id",[3]characters!$1:$1,0)+1,FALSE)</f>
        <v>ブレット</v>
      </c>
      <c r="AD892" s="4">
        <f ca="1">VLOOKUP($AB892,OFFSET([3]characters!$A$1,0,0,COUNTA([3]characters!$A:$A),MATCH(AD$1,[3]characters!$1:$1,0)-MATCH("character_id",[3]characters!$1:$1,0)+1),MATCH(AD$1,[3]characters!$1:$1,0)-MATCH("character_id",[3]characters!$1:$1,0)+1,FALSE)</f>
        <v>1</v>
      </c>
      <c r="AE892" s="4" t="str">
        <f ca="1">VLOOKUP($AB892,OFFSET([3]characters!$A$1,0,0,COUNTA([3]characters!$A:$A),MATCH(AE$1,[3]characters!$1:$1,0)-MATCH("character_id",[3]characters!$1:$1,0)+1),MATCH(AE$1,[3]characters!$1:$1,0)-MATCH("character_id",[3]characters!$1:$1,0)+1,FALSE)</f>
        <v>Drop1W</v>
      </c>
      <c r="AF892" s="7">
        <v>9</v>
      </c>
      <c r="AG892" s="26">
        <f t="shared" ca="1" si="769"/>
        <v>1</v>
      </c>
      <c r="AH892" s="8">
        <v>20</v>
      </c>
      <c r="AI892" s="7">
        <v>0</v>
      </c>
      <c r="AJ892" s="7">
        <v>0</v>
      </c>
      <c r="AK892" s="7">
        <v>0</v>
      </c>
      <c r="AL892" s="7">
        <v>0</v>
      </c>
      <c r="AM892" s="7">
        <v>1</v>
      </c>
    </row>
    <row r="893" spans="1:39" ht="14" x14ac:dyDescent="0.15">
      <c r="A893" s="18" t="str">
        <f t="shared" ca="1" si="770"/>
        <v>26_5-4/11&lt;lv58&gt;s3</v>
      </c>
      <c r="B893" s="50">
        <v>26</v>
      </c>
      <c r="C893" s="49">
        <v>5</v>
      </c>
      <c r="D893" s="2" t="str">
        <f t="shared" si="790"/>
        <v>26_5</v>
      </c>
      <c r="E893" s="2" t="str">
        <f t="shared" si="790"/>
        <v>5_26_5</v>
      </c>
      <c r="F893" s="4" t="str">
        <f ca="1">VLOOKUP($D893,OFFSET([1]stages!$A$1,0,0,COUNTA([1]stages!$A:$A),MATCH(F$1,[1]stages!$2:$2,0)-MATCH($D$1,[1]stages!$2:$2,0)+1),MATCH(F$1,[1]stages!$2:$2,0)-MATCH($D$1,[1]stages!$2:$2,0)+1,FALSE)</f>
        <v>26-5．踊る強奪者</v>
      </c>
      <c r="G893" s="55">
        <v>4</v>
      </c>
      <c r="H893" s="17" t="str">
        <f t="shared" si="791"/>
        <v>26_5-4</v>
      </c>
      <c r="I893" s="17"/>
      <c r="J893" s="17"/>
      <c r="K893" s="65" t="s">
        <v>56</v>
      </c>
      <c r="L893" s="52">
        <v>11</v>
      </c>
      <c r="M893" s="21" t="str">
        <f ca="1">VLOOKUP($L893,OFFSET([2]enemies!$A$1,0,0,COUNTA([2]enemies!$A:$A),MATCH(M$1,[2]enemies!$1:$1,0)-MATCH($L$1,[2]enemies!$1:$1,0)+1),MATCH(M$1,[2]enemies!$1:$1,0)-MATCH($L$1,[2]enemies!$1:$1,0)+1,FALSE)</f>
        <v>マグリット</v>
      </c>
      <c r="N893" s="21" t="str">
        <f ca="1">VLOOKUP($L893,OFFSET([2]enemies!$A$1,0,0,COUNTA([2]enemies!$A:$A),MATCH(N$1,[2]enemies!$1:$1,0)-MATCH($L$1,[2]enemies!$1:$1,0)+1),MATCH(N$1,[2]enemies!$1:$1,0)-MATCH($L$1,[2]enemies!$1:$1,0)+1,FALSE)</f>
        <v>green</v>
      </c>
      <c r="O893" s="21" t="str">
        <f ca="1">VLOOKUP($L893,OFFSET([3]characters!$A$1,0,0,COUNTA([3]characters!$A:$A),MATCH(O$1,[3]characters!$1:$1,0)-MATCH($L$1,[3]characters!$1:$1,0)+1),MATCH(O$1,[3]characters!$1:$1,0)-MATCH($L$1,[3]characters!$1:$1,0)+1,FALSE)</f>
        <v>Drop1W</v>
      </c>
      <c r="P893" s="21" t="str">
        <f ca="1">VLOOKUP($L893,OFFSET([2]enemies!$A$1,0,0,COUNTA([2]enemies!$A:$A),MATCH(P$1,[2]enemies!$1:$1,0)-MATCH($L$1,[2]enemies!$1:$1,0)+1),MATCH(P$1,[2]enemies!$1:$1,0)-MATCH($L$1,[2]enemies!$1:$1,0)+1,FALSE)</f>
        <v>animal</v>
      </c>
      <c r="Q893" s="21">
        <f ca="1">VLOOKUP($L893,OFFSET([2]enemies!$A$1,0,0,COUNTA([2]enemies!$A:$A),MATCH(Q$1,[2]enemies!$1:$1,0)-MATCH($L$1,[2]enemies!$1:$1,0)+1),MATCH(Q$1,[2]enemies!$1:$1,0)-MATCH($L$1,[2]enemies!$1:$1,0)+1,FALSE)</f>
        <v>15</v>
      </c>
      <c r="R893" s="53">
        <v>58</v>
      </c>
      <c r="S893" s="27">
        <v>1</v>
      </c>
      <c r="T893" s="27">
        <v>1</v>
      </c>
      <c r="U893" s="5">
        <v>0</v>
      </c>
      <c r="V893" s="4" t="str">
        <f ca="1">VLOOKUP($W893,OFFSET([4]enemy_skill_sets!$B$1,0,0,COUNTA([4]enemy_skill_sets!$B:$B),MATCH(M$1,[4]enemy_skill_sets!$1:$1,0)-MATCH($W$1,[4]enemy_skill_sets!$1:$1,0)+2),MATCH(M$1,[4]enemy_skill_sets!$1:$1,0)-MATCH($W$1,[4]enemy_skill_sets!$1:$1,0)+2,FALSE)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93" s="4">
        <f ca="1">VLOOKUP($L893,OFFSET([2]enemies!$A$1,0,0,COUNTA([2]enemies!$A:$A),MATCH(W$1,[2]enemies!$1:$1,0)-MATCH($L$1,[2]enemies!$1:$1,0)+1),MATCH(W$1,[2]enemies!$1:$1,0)-MATCH($L$1,[2]enemies!$1:$1,0)+1,FALSE)</f>
        <v>0</v>
      </c>
      <c r="X893" s="6">
        <v>0</v>
      </c>
      <c r="Y893" s="6">
        <v>100</v>
      </c>
      <c r="Z893" s="6">
        <v>0</v>
      </c>
      <c r="AA893" s="4">
        <f ca="1">VLOOKUP($L893,OFFSET([2]enemies!$A$1,0,0,COUNTA([2]enemies!$A:$A),MATCH(AA$1,[2]enemies!$1:$1,0)-MATCH($L$1,[2]enemies!$1:$1,0)+1),MATCH(AA$1,[2]enemies!$1:$1,0)-MATCH($L$1,[2]enemies!$1:$1,0)+1,FALSE)</f>
        <v>3</v>
      </c>
      <c r="AB893" s="52">
        <v>11</v>
      </c>
      <c r="AC893" s="4" t="str">
        <f ca="1">VLOOKUP($AB893,OFFSET([3]characters!$A$1,0,0,COUNTA([3]characters!$A:$A),MATCH(AC$1,[3]characters!$1:$1,0)-MATCH("character_id",[3]characters!$1:$1,0)+1),MATCH(AC$1,[3]characters!$1:$1,0)-MATCH("character_id",[3]characters!$1:$1,0)+1,FALSE)</f>
        <v>マグリット</v>
      </c>
      <c r="AD893" s="4">
        <f ca="1">VLOOKUP($AB893,OFFSET([3]characters!$A$1,0,0,COUNTA([3]characters!$A:$A),MATCH(AD$1,[3]characters!$1:$1,0)-MATCH("character_id",[3]characters!$1:$1,0)+1),MATCH(AD$1,[3]characters!$1:$1,0)-MATCH("character_id",[3]characters!$1:$1,0)+1,FALSE)</f>
        <v>1</v>
      </c>
      <c r="AE893" s="4" t="str">
        <f ca="1">VLOOKUP($AB893,OFFSET([3]characters!$A$1,0,0,COUNTA([3]characters!$A:$A),MATCH(AE$1,[3]characters!$1:$1,0)-MATCH("character_id",[3]characters!$1:$1,0)+1),MATCH(AE$1,[3]characters!$1:$1,0)-MATCH("character_id",[3]characters!$1:$1,0)+1,FALSE)</f>
        <v>Drop1W</v>
      </c>
      <c r="AF893" s="7">
        <v>9</v>
      </c>
      <c r="AG893" s="26">
        <f t="shared" ca="1" si="769"/>
        <v>1</v>
      </c>
      <c r="AH893" s="8">
        <v>20</v>
      </c>
      <c r="AI893" s="7">
        <v>0</v>
      </c>
      <c r="AJ893" s="7">
        <v>0</v>
      </c>
      <c r="AK893" s="7">
        <v>0</v>
      </c>
      <c r="AL893" s="7">
        <v>0</v>
      </c>
      <c r="AM893" s="7">
        <v>1</v>
      </c>
    </row>
    <row r="894" spans="1:39" ht="14" x14ac:dyDescent="0.15">
      <c r="A894" s="18" t="str">
        <f t="shared" ca="1" si="770"/>
        <v>26_5-4/13&lt;lv58&gt;s2</v>
      </c>
      <c r="B894" s="50">
        <v>26</v>
      </c>
      <c r="C894" s="49">
        <v>5</v>
      </c>
      <c r="D894" s="2" t="str">
        <f t="shared" si="790"/>
        <v>26_5</v>
      </c>
      <c r="E894" s="2" t="str">
        <f t="shared" si="790"/>
        <v>5_26_5</v>
      </c>
      <c r="F894" s="4" t="str">
        <f ca="1">VLOOKUP($D894,OFFSET([1]stages!$A$1,0,0,COUNTA([1]stages!$A:$A),MATCH(F$1,[1]stages!$2:$2,0)-MATCH($D$1,[1]stages!$2:$2,0)+1),MATCH(F$1,[1]stages!$2:$2,0)-MATCH($D$1,[1]stages!$2:$2,0)+1,FALSE)</f>
        <v>26-5．踊る強奪者</v>
      </c>
      <c r="G894" s="55">
        <v>4</v>
      </c>
      <c r="H894" s="17" t="str">
        <f t="shared" si="791"/>
        <v>26_5-4</v>
      </c>
      <c r="I894" s="17"/>
      <c r="J894" s="17"/>
      <c r="K894" s="65" t="s">
        <v>56</v>
      </c>
      <c r="L894" s="52">
        <v>13</v>
      </c>
      <c r="M894" s="21" t="str">
        <f ca="1">VLOOKUP($L894,OFFSET([2]enemies!$A$1,0,0,COUNTA([2]enemies!$A:$A),MATCH(M$1,[2]enemies!$1:$1,0)-MATCH($L$1,[2]enemies!$1:$1,0)+1),MATCH(M$1,[2]enemies!$1:$1,0)-MATCH($L$1,[2]enemies!$1:$1,0)+1,FALSE)</f>
        <v>ミミ</v>
      </c>
      <c r="N894" s="21" t="str">
        <f ca="1">VLOOKUP($L894,OFFSET([2]enemies!$A$1,0,0,COUNTA([2]enemies!$A:$A),MATCH(N$1,[2]enemies!$1:$1,0)-MATCH($L$1,[2]enemies!$1:$1,0)+1),MATCH(N$1,[2]enemies!$1:$1,0)-MATCH($L$1,[2]enemies!$1:$1,0)+1,FALSE)</f>
        <v>yellow</v>
      </c>
      <c r="O894" s="21" t="str">
        <f ca="1">VLOOKUP($L894,OFFSET([3]characters!$A$1,0,0,COUNTA([3]characters!$A:$A),MATCH(O$1,[3]characters!$1:$1,0)-MATCH($L$1,[3]characters!$1:$1,0)+1),MATCH(O$1,[3]characters!$1:$1,0)-MATCH($L$1,[3]characters!$1:$1,0)+1,FALSE)</f>
        <v>Drop1W</v>
      </c>
      <c r="P894" s="21" t="str">
        <f ca="1">VLOOKUP($L894,OFFSET([2]enemies!$A$1,0,0,COUNTA([2]enemies!$A:$A),MATCH(P$1,[2]enemies!$1:$1,0)-MATCH($L$1,[2]enemies!$1:$1,0)+1),MATCH(P$1,[2]enemies!$1:$1,0)-MATCH($L$1,[2]enemies!$1:$1,0)+1,FALSE)</f>
        <v>animal</v>
      </c>
      <c r="Q894" s="21">
        <f ca="1">VLOOKUP($L894,OFFSET([2]enemies!$A$1,0,0,COUNTA([2]enemies!$A:$A),MATCH(Q$1,[2]enemies!$1:$1,0)-MATCH($L$1,[2]enemies!$1:$1,0)+1),MATCH(Q$1,[2]enemies!$1:$1,0)-MATCH($L$1,[2]enemies!$1:$1,0)+1,FALSE)</f>
        <v>15</v>
      </c>
      <c r="R894" s="53">
        <v>58</v>
      </c>
      <c r="S894" s="27">
        <v>1</v>
      </c>
      <c r="T894" s="27">
        <v>1</v>
      </c>
      <c r="U894" s="5">
        <v>0</v>
      </c>
      <c r="V894" s="4" t="str">
        <f ca="1">VLOOKUP($W894,OFFSET([4]enemy_skill_sets!$B$1,0,0,COUNTA([4]enemy_skill_sets!$B:$B),MATCH(M$1,[4]enemy_skill_sets!$1:$1,0)-MATCH($W$1,[4]enemy_skill_sets!$1:$1,0)+2),MATCH(M$1,[4]enemy_skill_sets!$1:$1,0)-MATCH($W$1,[4]enemy_skill_sets!$1:$1,0)+2,FALSE)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94" s="4">
        <f ca="1">VLOOKUP($L894,OFFSET([2]enemies!$A$1,0,0,COUNTA([2]enemies!$A:$A),MATCH(W$1,[2]enemies!$1:$1,0)-MATCH($L$1,[2]enemies!$1:$1,0)+1),MATCH(W$1,[2]enemies!$1:$1,0)-MATCH($L$1,[2]enemies!$1:$1,0)+1,FALSE)</f>
        <v>0</v>
      </c>
      <c r="X894" s="6">
        <v>0</v>
      </c>
      <c r="Y894" s="6">
        <v>100</v>
      </c>
      <c r="Z894" s="6">
        <v>0</v>
      </c>
      <c r="AA894" s="4">
        <f ca="1">VLOOKUP($L894,OFFSET([2]enemies!$A$1,0,0,COUNTA([2]enemies!$A:$A),MATCH(AA$1,[2]enemies!$1:$1,0)-MATCH($L$1,[2]enemies!$1:$1,0)+1),MATCH(AA$1,[2]enemies!$1:$1,0)-MATCH($L$1,[2]enemies!$1:$1,0)+1,FALSE)</f>
        <v>2</v>
      </c>
      <c r="AB894" s="52">
        <v>13</v>
      </c>
      <c r="AC894" s="4" t="str">
        <f ca="1">VLOOKUP($AB894,OFFSET([3]characters!$A$1,0,0,COUNTA([3]characters!$A:$A),MATCH(AC$1,[3]characters!$1:$1,0)-MATCH("character_id",[3]characters!$1:$1,0)+1),MATCH(AC$1,[3]characters!$1:$1,0)-MATCH("character_id",[3]characters!$1:$1,0)+1,FALSE)</f>
        <v>ミミ</v>
      </c>
      <c r="AD894" s="4">
        <f ca="1">VLOOKUP($AB894,OFFSET([3]characters!$A$1,0,0,COUNTA([3]characters!$A:$A),MATCH(AD$1,[3]characters!$1:$1,0)-MATCH("character_id",[3]characters!$1:$1,0)+1),MATCH(AD$1,[3]characters!$1:$1,0)-MATCH("character_id",[3]characters!$1:$1,0)+1,FALSE)</f>
        <v>1</v>
      </c>
      <c r="AE894" s="4" t="str">
        <f ca="1">VLOOKUP($AB894,OFFSET([3]characters!$A$1,0,0,COUNTA([3]characters!$A:$A),MATCH(AE$1,[3]characters!$1:$1,0)-MATCH("character_id",[3]characters!$1:$1,0)+1),MATCH(AE$1,[3]characters!$1:$1,0)-MATCH("character_id",[3]characters!$1:$1,0)+1,FALSE)</f>
        <v>Drop1W</v>
      </c>
      <c r="AF894" s="7">
        <v>9</v>
      </c>
      <c r="AG894" s="26">
        <f t="shared" ca="1" si="769"/>
        <v>1</v>
      </c>
      <c r="AH894" s="8">
        <v>20</v>
      </c>
      <c r="AI894" s="7">
        <v>0</v>
      </c>
      <c r="AJ894" s="7">
        <v>0</v>
      </c>
      <c r="AK894" s="7">
        <v>0</v>
      </c>
      <c r="AL894" s="7">
        <v>0</v>
      </c>
      <c r="AM894" s="7">
        <v>1</v>
      </c>
    </row>
    <row r="895" spans="1:39" ht="14" x14ac:dyDescent="0.15">
      <c r="A895" s="18" t="str">
        <f t="shared" ca="1" si="770"/>
        <v>26_5-4/23&lt;lv58&gt;s4</v>
      </c>
      <c r="B895" s="50">
        <v>26</v>
      </c>
      <c r="C895" s="49">
        <v>5</v>
      </c>
      <c r="D895" s="2" t="str">
        <f t="shared" si="790"/>
        <v>26_5</v>
      </c>
      <c r="E895" s="2" t="str">
        <f t="shared" si="790"/>
        <v>5_26_5</v>
      </c>
      <c r="F895" s="4" t="str">
        <f ca="1">VLOOKUP($D895,OFFSET([1]stages!$A$1,0,0,COUNTA([1]stages!$A:$A),MATCH(F$1,[1]stages!$2:$2,0)-MATCH($D$1,[1]stages!$2:$2,0)+1),MATCH(F$1,[1]stages!$2:$2,0)-MATCH($D$1,[1]stages!$2:$2,0)+1,FALSE)</f>
        <v>26-5．踊る強奪者</v>
      </c>
      <c r="G895" s="55">
        <v>4</v>
      </c>
      <c r="H895" s="17" t="str">
        <f t="shared" si="791"/>
        <v>26_5-4</v>
      </c>
      <c r="I895" s="17"/>
      <c r="J895" s="17"/>
      <c r="K895" s="65" t="s">
        <v>56</v>
      </c>
      <c r="L895" s="52">
        <v>23</v>
      </c>
      <c r="M895" s="21" t="str">
        <f ca="1">VLOOKUP($L895,OFFSET([2]enemies!$A$1,0,0,COUNTA([2]enemies!$A:$A),MATCH(M$1,[2]enemies!$1:$1,0)-MATCH($L$1,[2]enemies!$1:$1,0)+1),MATCH(M$1,[2]enemies!$1:$1,0)-MATCH($L$1,[2]enemies!$1:$1,0)+1,FALSE)</f>
        <v>ミール</v>
      </c>
      <c r="N895" s="21" t="str">
        <f ca="1">VLOOKUP($L895,OFFSET([2]enemies!$A$1,0,0,COUNTA([2]enemies!$A:$A),MATCH(N$1,[2]enemies!$1:$1,0)-MATCH($L$1,[2]enemies!$1:$1,0)+1),MATCH(N$1,[2]enemies!$1:$1,0)-MATCH($L$1,[2]enemies!$1:$1,0)+1,FALSE)</f>
        <v>green</v>
      </c>
      <c r="O895" s="21" t="str">
        <f ca="1">VLOOKUP($L895,OFFSET([3]characters!$A$1,0,0,COUNTA([3]characters!$A:$A),MATCH(O$1,[3]characters!$1:$1,0)-MATCH($L$1,[3]characters!$1:$1,0)+1),MATCH(O$1,[3]characters!$1:$1,0)-MATCH($L$1,[3]characters!$1:$1,0)+1,FALSE)</f>
        <v>Drop1N</v>
      </c>
      <c r="P895" s="21" t="str">
        <f ca="1">VLOOKUP($L895,OFFSET([2]enemies!$A$1,0,0,COUNTA([2]enemies!$A:$A),MATCH(P$1,[2]enemies!$1:$1,0)-MATCH($L$1,[2]enemies!$1:$1,0)+1),MATCH(P$1,[2]enemies!$1:$1,0)-MATCH($L$1,[2]enemies!$1:$1,0)+1,FALSE)</f>
        <v>animal</v>
      </c>
      <c r="Q895" s="21">
        <f ca="1">VLOOKUP($L895,OFFSET([2]enemies!$A$1,0,0,COUNTA([2]enemies!$A:$A),MATCH(Q$1,[2]enemies!$1:$1,0)-MATCH($L$1,[2]enemies!$1:$1,0)+1),MATCH(Q$1,[2]enemies!$1:$1,0)-MATCH($L$1,[2]enemies!$1:$1,0)+1,FALSE)</f>
        <v>15</v>
      </c>
      <c r="R895" s="53">
        <v>58</v>
      </c>
      <c r="S895" s="27">
        <v>1</v>
      </c>
      <c r="T895" s="27">
        <v>1</v>
      </c>
      <c r="U895" s="5">
        <v>0</v>
      </c>
      <c r="V895" s="4" t="str">
        <f ca="1">VLOOKUP($W895,OFFSET([4]enemy_skill_sets!$B$1,0,0,COUNTA([4]enemy_skill_sets!$B:$B),MATCH(M$1,[4]enemy_skill_sets!$1:$1,0)-MATCH($W$1,[4]enemy_skill_sets!$1:$1,0)+2),MATCH(M$1,[4]enemy_skill_sets!$1:$1,0)-MATCH($W$1,[4]enemy_skill_sets!$1:$1,0)+2,FALSE)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95" s="4">
        <f ca="1">VLOOKUP($L895,OFFSET([2]enemies!$A$1,0,0,COUNTA([2]enemies!$A:$A),MATCH(W$1,[2]enemies!$1:$1,0)-MATCH($L$1,[2]enemies!$1:$1,0)+1),MATCH(W$1,[2]enemies!$1:$1,0)-MATCH($L$1,[2]enemies!$1:$1,0)+1,FALSE)</f>
        <v>0</v>
      </c>
      <c r="X895" s="6">
        <v>0</v>
      </c>
      <c r="Y895" s="6">
        <v>100</v>
      </c>
      <c r="Z895" s="6">
        <v>0</v>
      </c>
      <c r="AA895" s="4">
        <f ca="1">VLOOKUP($L895,OFFSET([2]enemies!$A$1,0,0,COUNTA([2]enemies!$A:$A),MATCH(AA$1,[2]enemies!$1:$1,0)-MATCH($L$1,[2]enemies!$1:$1,0)+1),MATCH(AA$1,[2]enemies!$1:$1,0)-MATCH($L$1,[2]enemies!$1:$1,0)+1,FALSE)</f>
        <v>4</v>
      </c>
      <c r="AB895" s="52">
        <v>23</v>
      </c>
      <c r="AC895" s="4" t="str">
        <f ca="1">VLOOKUP($AB895,OFFSET([3]characters!$A$1,0,0,COUNTA([3]characters!$A:$A),MATCH(AC$1,[3]characters!$1:$1,0)-MATCH("character_id",[3]characters!$1:$1,0)+1),MATCH(AC$1,[3]characters!$1:$1,0)-MATCH("character_id",[3]characters!$1:$1,0)+1,FALSE)</f>
        <v>ミール</v>
      </c>
      <c r="AD895" s="4">
        <f ca="1">VLOOKUP($AB895,OFFSET([3]characters!$A$1,0,0,COUNTA([3]characters!$A:$A),MATCH(AD$1,[3]characters!$1:$1,0)-MATCH("character_id",[3]characters!$1:$1,0)+1),MATCH(AD$1,[3]characters!$1:$1,0)-MATCH("character_id",[3]characters!$1:$1,0)+1,FALSE)</f>
        <v>1</v>
      </c>
      <c r="AE895" s="4" t="str">
        <f ca="1">VLOOKUP($AB895,OFFSET([3]characters!$A$1,0,0,COUNTA([3]characters!$A:$A),MATCH(AE$1,[3]characters!$1:$1,0)-MATCH("character_id",[3]characters!$1:$1,0)+1),MATCH(AE$1,[3]characters!$1:$1,0)-MATCH("character_id",[3]characters!$1:$1,0)+1,FALSE)</f>
        <v>Drop1N</v>
      </c>
      <c r="AF895" s="7">
        <v>7</v>
      </c>
      <c r="AG895" s="26">
        <f t="shared" ca="1" si="769"/>
        <v>1</v>
      </c>
      <c r="AH895" s="8">
        <v>20</v>
      </c>
      <c r="AI895" s="7">
        <v>0</v>
      </c>
      <c r="AJ895" s="7">
        <v>0</v>
      </c>
      <c r="AK895" s="7">
        <v>0</v>
      </c>
      <c r="AL895" s="7">
        <v>0</v>
      </c>
      <c r="AM895" s="7">
        <v>1</v>
      </c>
    </row>
    <row r="896" spans="1:39" ht="14" x14ac:dyDescent="0.15">
      <c r="A896" s="18" t="str">
        <f t="shared" ca="1" si="770"/>
        <v>26_5-4/25&lt;lv58&gt;s3</v>
      </c>
      <c r="B896" s="50">
        <v>26</v>
      </c>
      <c r="C896" s="49">
        <v>5</v>
      </c>
      <c r="D896" s="2" t="str">
        <f t="shared" si="790"/>
        <v>26_5</v>
      </c>
      <c r="E896" s="2" t="str">
        <f t="shared" si="790"/>
        <v>5_26_5</v>
      </c>
      <c r="F896" s="4" t="str">
        <f ca="1">VLOOKUP($D896,OFFSET([1]stages!$A$1,0,0,COUNTA([1]stages!$A:$A),MATCH(F$1,[1]stages!$2:$2,0)-MATCH($D$1,[1]stages!$2:$2,0)+1),MATCH(F$1,[1]stages!$2:$2,0)-MATCH($D$1,[1]stages!$2:$2,0)+1,FALSE)</f>
        <v>26-5．踊る強奪者</v>
      </c>
      <c r="G896" s="55">
        <v>4</v>
      </c>
      <c r="H896" s="17" t="str">
        <f t="shared" si="791"/>
        <v>26_5-4</v>
      </c>
      <c r="I896" s="17"/>
      <c r="J896" s="17"/>
      <c r="K896" s="65" t="s">
        <v>56</v>
      </c>
      <c r="L896" s="52">
        <v>25</v>
      </c>
      <c r="M896" s="21" t="str">
        <f ca="1">VLOOKUP($L896,OFFSET([2]enemies!$A$1,0,0,COUNTA([2]enemies!$A:$A),MATCH(M$1,[2]enemies!$1:$1,0)-MATCH($L$1,[2]enemies!$1:$1,0)+1),MATCH(M$1,[2]enemies!$1:$1,0)-MATCH($L$1,[2]enemies!$1:$1,0)+1,FALSE)</f>
        <v>ハチ</v>
      </c>
      <c r="N896" s="21" t="str">
        <f ca="1">VLOOKUP($L896,OFFSET([2]enemies!$A$1,0,0,COUNTA([2]enemies!$A:$A),MATCH(N$1,[2]enemies!$1:$1,0)-MATCH($L$1,[2]enemies!$1:$1,0)+1),MATCH(N$1,[2]enemies!$1:$1,0)-MATCH($L$1,[2]enemies!$1:$1,0)+1,FALSE)</f>
        <v>blue</v>
      </c>
      <c r="O896" s="21" t="str">
        <f ca="1">VLOOKUP($L896,OFFSET([3]characters!$A$1,0,0,COUNTA([3]characters!$A:$A),MATCH(O$1,[3]characters!$1:$1,0)-MATCH($L$1,[3]characters!$1:$1,0)+1),MATCH(O$1,[3]characters!$1:$1,0)-MATCH($L$1,[3]characters!$1:$1,0)+1,FALSE)</f>
        <v>Drop1N</v>
      </c>
      <c r="P896" s="21" t="str">
        <f ca="1">VLOOKUP($L896,OFFSET([2]enemies!$A$1,0,0,COUNTA([2]enemies!$A:$A),MATCH(P$1,[2]enemies!$1:$1,0)-MATCH($L$1,[2]enemies!$1:$1,0)+1),MATCH(P$1,[2]enemies!$1:$1,0)-MATCH($L$1,[2]enemies!$1:$1,0)+1,FALSE)</f>
        <v>animal</v>
      </c>
      <c r="Q896" s="21">
        <f ca="1">VLOOKUP($L896,OFFSET([2]enemies!$A$1,0,0,COUNTA([2]enemies!$A:$A),MATCH(Q$1,[2]enemies!$1:$1,0)-MATCH($L$1,[2]enemies!$1:$1,0)+1),MATCH(Q$1,[2]enemies!$1:$1,0)-MATCH($L$1,[2]enemies!$1:$1,0)+1,FALSE)</f>
        <v>15</v>
      </c>
      <c r="R896" s="53">
        <v>58</v>
      </c>
      <c r="S896" s="27">
        <v>1</v>
      </c>
      <c r="T896" s="27">
        <v>1</v>
      </c>
      <c r="U896" s="5">
        <v>0</v>
      </c>
      <c r="V896" s="4" t="str">
        <f ca="1">VLOOKUP($W896,OFFSET([4]enemy_skill_sets!$B$1,0,0,COUNTA([4]enemy_skill_sets!$B:$B),MATCH(M$1,[4]enemy_skill_sets!$1:$1,0)-MATCH($W$1,[4]enemy_skill_sets!$1:$1,0)+2),MATCH(M$1,[4]enemy_skill_sets!$1:$1,0)-MATCH($W$1,[4]enemy_skill_sets!$1:$1,0)+2,FALSE)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96" s="4">
        <f ca="1">VLOOKUP($L896,OFFSET([2]enemies!$A$1,0,0,COUNTA([2]enemies!$A:$A),MATCH(W$1,[2]enemies!$1:$1,0)-MATCH($L$1,[2]enemies!$1:$1,0)+1),MATCH(W$1,[2]enemies!$1:$1,0)-MATCH($L$1,[2]enemies!$1:$1,0)+1,FALSE)</f>
        <v>0</v>
      </c>
      <c r="X896" s="6">
        <v>0</v>
      </c>
      <c r="Y896" s="6">
        <v>100</v>
      </c>
      <c r="Z896" s="6">
        <v>0</v>
      </c>
      <c r="AA896" s="4">
        <f ca="1">VLOOKUP($L896,OFFSET([2]enemies!$A$1,0,0,COUNTA([2]enemies!$A:$A),MATCH(AA$1,[2]enemies!$1:$1,0)-MATCH($L$1,[2]enemies!$1:$1,0)+1),MATCH(AA$1,[2]enemies!$1:$1,0)-MATCH($L$1,[2]enemies!$1:$1,0)+1,FALSE)</f>
        <v>3</v>
      </c>
      <c r="AB896" s="52">
        <v>25</v>
      </c>
      <c r="AC896" s="4" t="str">
        <f ca="1">VLOOKUP($AB896,OFFSET([3]characters!$A$1,0,0,COUNTA([3]characters!$A:$A),MATCH(AC$1,[3]characters!$1:$1,0)-MATCH("character_id",[3]characters!$1:$1,0)+1),MATCH(AC$1,[3]characters!$1:$1,0)-MATCH("character_id",[3]characters!$1:$1,0)+1,FALSE)</f>
        <v>ハチ</v>
      </c>
      <c r="AD896" s="4">
        <f ca="1">VLOOKUP($AB896,OFFSET([3]characters!$A$1,0,0,COUNTA([3]characters!$A:$A),MATCH(AD$1,[3]characters!$1:$1,0)-MATCH("character_id",[3]characters!$1:$1,0)+1),MATCH(AD$1,[3]characters!$1:$1,0)-MATCH("character_id",[3]characters!$1:$1,0)+1,FALSE)</f>
        <v>1</v>
      </c>
      <c r="AE896" s="4" t="str">
        <f ca="1">VLOOKUP($AB896,OFFSET([3]characters!$A$1,0,0,COUNTA([3]characters!$A:$A),MATCH(AE$1,[3]characters!$1:$1,0)-MATCH("character_id",[3]characters!$1:$1,0)+1),MATCH(AE$1,[3]characters!$1:$1,0)-MATCH("character_id",[3]characters!$1:$1,0)+1,FALSE)</f>
        <v>Drop1N</v>
      </c>
      <c r="AF896" s="7">
        <v>7</v>
      </c>
      <c r="AG896" s="26">
        <f t="shared" ca="1" si="769"/>
        <v>1</v>
      </c>
      <c r="AH896" s="8">
        <v>20</v>
      </c>
      <c r="AI896" s="7">
        <v>0</v>
      </c>
      <c r="AJ896" s="7">
        <v>0</v>
      </c>
      <c r="AK896" s="7">
        <v>0</v>
      </c>
      <c r="AL896" s="7">
        <v>0</v>
      </c>
      <c r="AM896" s="7">
        <v>1</v>
      </c>
    </row>
    <row r="897" spans="1:39" ht="14" x14ac:dyDescent="0.15">
      <c r="A897" s="18" t="str">
        <f t="shared" ca="1" si="770"/>
        <v>26_5-4/33&lt;lv58&gt;s2</v>
      </c>
      <c r="B897" s="50">
        <v>26</v>
      </c>
      <c r="C897" s="49">
        <v>5</v>
      </c>
      <c r="D897" s="2" t="str">
        <f t="shared" si="790"/>
        <v>26_5</v>
      </c>
      <c r="E897" s="2" t="str">
        <f t="shared" si="790"/>
        <v>5_26_5</v>
      </c>
      <c r="F897" s="4" t="str">
        <f ca="1">VLOOKUP($D897,OFFSET([1]stages!$A$1,0,0,COUNTA([1]stages!$A:$A),MATCH(F$1,[1]stages!$2:$2,0)-MATCH($D$1,[1]stages!$2:$2,0)+1),MATCH(F$1,[1]stages!$2:$2,0)-MATCH($D$1,[1]stages!$2:$2,0)+1,FALSE)</f>
        <v>26-5．踊る強奪者</v>
      </c>
      <c r="G897" s="55">
        <v>4</v>
      </c>
      <c r="H897" s="17" t="str">
        <f t="shared" si="791"/>
        <v>26_5-4</v>
      </c>
      <c r="I897" s="17"/>
      <c r="J897" s="17"/>
      <c r="K897" s="65" t="s">
        <v>56</v>
      </c>
      <c r="L897" s="52">
        <v>33</v>
      </c>
      <c r="M897" s="21" t="str">
        <f ca="1">VLOOKUP($L897,OFFSET([2]enemies!$A$1,0,0,COUNTA([2]enemies!$A:$A),MATCH(M$1,[2]enemies!$1:$1,0)-MATCH($L$1,[2]enemies!$1:$1,0)+1),MATCH(M$1,[2]enemies!$1:$1,0)-MATCH($L$1,[2]enemies!$1:$1,0)+1,FALSE)</f>
        <v>ゴクウ</v>
      </c>
      <c r="N897" s="21" t="str">
        <f ca="1">VLOOKUP($L897,OFFSET([2]enemies!$A$1,0,0,COUNTA([2]enemies!$A:$A),MATCH(N$1,[2]enemies!$1:$1,0)-MATCH($L$1,[2]enemies!$1:$1,0)+1),MATCH(N$1,[2]enemies!$1:$1,0)-MATCH($L$1,[2]enemies!$1:$1,0)+1,FALSE)</f>
        <v>red</v>
      </c>
      <c r="O897" s="21" t="str">
        <f ca="1">VLOOKUP($L897,OFFSET([3]characters!$A$1,0,0,COUNTA([3]characters!$A:$A),MATCH(O$1,[3]characters!$1:$1,0)-MATCH($L$1,[3]characters!$1:$1,0)+1),MATCH(O$1,[3]characters!$1:$1,0)-MATCH($L$1,[3]characters!$1:$1,0)+1,FALSE)</f>
        <v>Drop1S</v>
      </c>
      <c r="P897" s="21" t="str">
        <f ca="1">VLOOKUP($L897,OFFSET([2]enemies!$A$1,0,0,COUNTA([2]enemies!$A:$A),MATCH(P$1,[2]enemies!$1:$1,0)-MATCH($L$1,[2]enemies!$1:$1,0)+1),MATCH(P$1,[2]enemies!$1:$1,0)-MATCH($L$1,[2]enemies!$1:$1,0)+1,FALSE)</f>
        <v>animal</v>
      </c>
      <c r="Q897" s="21">
        <f ca="1">VLOOKUP($L897,OFFSET([2]enemies!$A$1,0,0,COUNTA([2]enemies!$A:$A),MATCH(Q$1,[2]enemies!$1:$1,0)-MATCH($L$1,[2]enemies!$1:$1,0)+1),MATCH(Q$1,[2]enemies!$1:$1,0)-MATCH($L$1,[2]enemies!$1:$1,0)+1,FALSE)</f>
        <v>15</v>
      </c>
      <c r="R897" s="53">
        <v>58</v>
      </c>
      <c r="S897" s="27">
        <v>1</v>
      </c>
      <c r="T897" s="27">
        <v>1</v>
      </c>
      <c r="U897" s="5">
        <v>0</v>
      </c>
      <c r="V897" s="4" t="str">
        <f ca="1">VLOOKUP($W897,OFFSET([4]enemy_skill_sets!$B$1,0,0,COUNTA([4]enemy_skill_sets!$B:$B),MATCH(M$1,[4]enemy_skill_sets!$1:$1,0)-MATCH($W$1,[4]enemy_skill_sets!$1:$1,0)+2),MATCH(M$1,[4]enemy_skill_sets!$1:$1,0)-MATCH($W$1,[4]enemy_skill_sets!$1:$1,0)+2,FALSE)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897" s="4">
        <f ca="1">VLOOKUP($L897,OFFSET([2]enemies!$A$1,0,0,COUNTA([2]enemies!$A:$A),MATCH(W$1,[2]enemies!$1:$1,0)-MATCH($L$1,[2]enemies!$1:$1,0)+1),MATCH(W$1,[2]enemies!$1:$1,0)-MATCH($L$1,[2]enemies!$1:$1,0)+1,FALSE)</f>
        <v>33</v>
      </c>
      <c r="X897" s="6">
        <v>0</v>
      </c>
      <c r="Y897" s="6">
        <v>100</v>
      </c>
      <c r="Z897" s="6">
        <v>0</v>
      </c>
      <c r="AA897" s="4">
        <f ca="1">VLOOKUP($L897,OFFSET([2]enemies!$A$1,0,0,COUNTA([2]enemies!$A:$A),MATCH(AA$1,[2]enemies!$1:$1,0)-MATCH($L$1,[2]enemies!$1:$1,0)+1),MATCH(AA$1,[2]enemies!$1:$1,0)-MATCH($L$1,[2]enemies!$1:$1,0)+1,FALSE)</f>
        <v>2</v>
      </c>
      <c r="AB897" s="52">
        <v>33</v>
      </c>
      <c r="AC897" s="4" t="str">
        <f ca="1">VLOOKUP($AB897,OFFSET([3]characters!$A$1,0,0,COUNTA([3]characters!$A:$A),MATCH(AC$1,[3]characters!$1:$1,0)-MATCH("character_id",[3]characters!$1:$1,0)+1),MATCH(AC$1,[3]characters!$1:$1,0)-MATCH("character_id",[3]characters!$1:$1,0)+1,FALSE)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897" s="4">
        <f ca="1">VLOOKUP($AB897,OFFSET([3]characters!$A$1,0,0,COUNTA([3]characters!$A:$A),MATCH(AD$1,[3]characters!$1:$1,0)-MATCH("character_id",[3]characters!$1:$1,0)+1),MATCH(AD$1,[3]characters!$1:$1,0)-MATCH("character_id",[3]characters!$1:$1,0)+1,FALSE)</f>
        <v>2</v>
      </c>
      <c r="AE897" s="4" t="str">
        <f ca="1">VLOOKUP($AB897,OFFSET([3]characters!$A$1,0,0,COUNTA([3]characters!$A:$A),MATCH(AE$1,[3]characters!$1:$1,0)-MATCH("character_id",[3]characters!$1:$1,0)+1),MATCH(AE$1,[3]characters!$1:$1,0)-MATCH("character_id",[3]characters!$1:$1,0)+1,FALSE)</f>
        <v>Drop1S</v>
      </c>
      <c r="AF897" s="7">
        <v>5</v>
      </c>
      <c r="AG897" s="26">
        <f t="shared" ca="1" si="769"/>
        <v>2</v>
      </c>
      <c r="AH897" s="8">
        <v>20</v>
      </c>
      <c r="AI897" s="7">
        <v>0</v>
      </c>
      <c r="AJ897" s="7">
        <v>0</v>
      </c>
      <c r="AK897" s="7">
        <v>0</v>
      </c>
      <c r="AL897" s="7">
        <v>0</v>
      </c>
      <c r="AM897" s="7">
        <v>1</v>
      </c>
    </row>
    <row r="898" spans="1:39" ht="14" x14ac:dyDescent="0.15">
      <c r="A898" s="18" t="str">
        <f t="shared" ca="1" si="770"/>
        <v>26_5-4/37&lt;lv58&gt;s3</v>
      </c>
      <c r="B898" s="50">
        <v>26</v>
      </c>
      <c r="C898" s="49">
        <v>5</v>
      </c>
      <c r="D898" s="2" t="str">
        <f t="shared" si="790"/>
        <v>26_5</v>
      </c>
      <c r="E898" s="2" t="str">
        <f t="shared" si="790"/>
        <v>5_26_5</v>
      </c>
      <c r="F898" s="4" t="str">
        <f ca="1">VLOOKUP($D898,OFFSET([1]stages!$A$1,0,0,COUNTA([1]stages!$A:$A),MATCH(F$1,[1]stages!$2:$2,0)-MATCH($D$1,[1]stages!$2:$2,0)+1),MATCH(F$1,[1]stages!$2:$2,0)-MATCH($D$1,[1]stages!$2:$2,0)+1,FALSE)</f>
        <v>26-5．踊る強奪者</v>
      </c>
      <c r="G898" s="55">
        <v>4</v>
      </c>
      <c r="H898" s="17" t="str">
        <f t="shared" si="791"/>
        <v>26_5-4</v>
      </c>
      <c r="I898" s="17"/>
      <c r="J898" s="17"/>
      <c r="K898" s="65" t="s">
        <v>56</v>
      </c>
      <c r="L898" s="52">
        <v>37</v>
      </c>
      <c r="M898" s="21" t="str">
        <f ca="1">VLOOKUP($L898,OFFSET([2]enemies!$A$1,0,0,COUNTA([2]enemies!$A:$A),MATCH(M$1,[2]enemies!$1:$1,0)-MATCH($L$1,[2]enemies!$1:$1,0)+1),MATCH(M$1,[2]enemies!$1:$1,0)-MATCH($L$1,[2]enemies!$1:$1,0)+1,FALSE)</f>
        <v>ガイル</v>
      </c>
      <c r="N898" s="21" t="str">
        <f ca="1">VLOOKUP($L898,OFFSET([2]enemies!$A$1,0,0,COUNTA([2]enemies!$A:$A),MATCH(N$1,[2]enemies!$1:$1,0)-MATCH($L$1,[2]enemies!$1:$1,0)+1),MATCH(N$1,[2]enemies!$1:$1,0)-MATCH($L$1,[2]enemies!$1:$1,0)+1,FALSE)</f>
        <v>blue</v>
      </c>
      <c r="O898" s="21" t="str">
        <f ca="1">VLOOKUP($L898,OFFSET([3]characters!$A$1,0,0,COUNTA([3]characters!$A:$A),MATCH(O$1,[3]characters!$1:$1,0)-MATCH($L$1,[3]characters!$1:$1,0)+1),MATCH(O$1,[3]characters!$1:$1,0)-MATCH($L$1,[3]characters!$1:$1,0)+1,FALSE)</f>
        <v>Drop1S</v>
      </c>
      <c r="P898" s="21" t="str">
        <f ca="1">VLOOKUP($L898,OFFSET([2]enemies!$A$1,0,0,COUNTA([2]enemies!$A:$A),MATCH(P$1,[2]enemies!$1:$1,0)-MATCH($L$1,[2]enemies!$1:$1,0)+1),MATCH(P$1,[2]enemies!$1:$1,0)-MATCH($L$1,[2]enemies!$1:$1,0)+1,FALSE)</f>
        <v>animal</v>
      </c>
      <c r="Q898" s="21">
        <f ca="1">VLOOKUP($L898,OFFSET([2]enemies!$A$1,0,0,COUNTA([2]enemies!$A:$A),MATCH(Q$1,[2]enemies!$1:$1,0)-MATCH($L$1,[2]enemies!$1:$1,0)+1),MATCH(Q$1,[2]enemies!$1:$1,0)-MATCH($L$1,[2]enemies!$1:$1,0)+1,FALSE)</f>
        <v>15</v>
      </c>
      <c r="R898" s="53">
        <v>58</v>
      </c>
      <c r="S898" s="27">
        <v>1</v>
      </c>
      <c r="T898" s="27">
        <v>1</v>
      </c>
      <c r="U898" s="5">
        <v>0</v>
      </c>
      <c r="V898" s="4" t="str">
        <f ca="1">VLOOKUP($W898,OFFSET([4]enemy_skill_sets!$B$1,0,0,COUNTA([4]enemy_skill_sets!$B:$B),MATCH(M$1,[4]enemy_skill_sets!$1:$1,0)-MATCH($W$1,[4]enemy_skill_sets!$1:$1,0)+2),MATCH(M$1,[4]enemy_skill_sets!$1:$1,0)-MATCH($W$1,[4]enemy_skill_sets!$1:$1,0)+2,FALSE)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898" s="4">
        <f ca="1">VLOOKUP($L898,OFFSET([2]enemies!$A$1,0,0,COUNTA([2]enemies!$A:$A),MATCH(W$1,[2]enemies!$1:$1,0)-MATCH($L$1,[2]enemies!$1:$1,0)+1),MATCH(W$1,[2]enemies!$1:$1,0)-MATCH($L$1,[2]enemies!$1:$1,0)+1,FALSE)</f>
        <v>37</v>
      </c>
      <c r="X898" s="6">
        <v>0</v>
      </c>
      <c r="Y898" s="6">
        <v>100</v>
      </c>
      <c r="Z898" s="6">
        <v>0</v>
      </c>
      <c r="AA898" s="4">
        <f ca="1">VLOOKUP($L898,OFFSET([2]enemies!$A$1,0,0,COUNTA([2]enemies!$A:$A),MATCH(AA$1,[2]enemies!$1:$1,0)-MATCH($L$1,[2]enemies!$1:$1,0)+1),MATCH(AA$1,[2]enemies!$1:$1,0)-MATCH($L$1,[2]enemies!$1:$1,0)+1,FALSE)</f>
        <v>3</v>
      </c>
      <c r="AB898" s="52">
        <v>37</v>
      </c>
      <c r="AC898" s="4" t="str">
        <f ca="1">VLOOKUP($AB898,OFFSET([3]characters!$A$1,0,0,COUNTA([3]characters!$A:$A),MATCH(AC$1,[3]characters!$1:$1,0)-MATCH("character_id",[3]characters!$1:$1,0)+1),MATCH(AC$1,[3]characters!$1:$1,0)-MATCH("character_id",[3]characters!$1:$1,0)+1,FALSE)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898" s="4">
        <f ca="1">VLOOKUP($AB898,OFFSET([3]characters!$A$1,0,0,COUNTA([3]characters!$A:$A),MATCH(AD$1,[3]characters!$1:$1,0)-MATCH("character_id",[3]characters!$1:$1,0)+1),MATCH(AD$1,[3]characters!$1:$1,0)-MATCH("character_id",[3]characters!$1:$1,0)+1,FALSE)</f>
        <v>2</v>
      </c>
      <c r="AE898" s="4" t="str">
        <f ca="1">VLOOKUP($AB898,OFFSET([3]characters!$A$1,0,0,COUNTA([3]characters!$A:$A),MATCH(AE$1,[3]characters!$1:$1,0)-MATCH("character_id",[3]characters!$1:$1,0)+1),MATCH(AE$1,[3]characters!$1:$1,0)-MATCH("character_id",[3]characters!$1:$1,0)+1,FALSE)</f>
        <v>Drop1S</v>
      </c>
      <c r="AF898" s="7">
        <v>5</v>
      </c>
      <c r="AG898" s="26">
        <f t="shared" ca="1" si="769"/>
        <v>2</v>
      </c>
      <c r="AH898" s="8">
        <v>20</v>
      </c>
      <c r="AI898" s="7">
        <v>0</v>
      </c>
      <c r="AJ898" s="7">
        <v>0</v>
      </c>
      <c r="AK898" s="7">
        <v>0</v>
      </c>
      <c r="AL898" s="7">
        <v>0</v>
      </c>
      <c r="AM898" s="7">
        <v>1</v>
      </c>
    </row>
    <row r="899" spans="1:39" ht="14" x14ac:dyDescent="0.15">
      <c r="A899" s="18" t="str">
        <f t="shared" ca="1" si="770"/>
        <v>26_5-4/45&lt;lv58&gt;s3</v>
      </c>
      <c r="B899" s="50">
        <v>26</v>
      </c>
      <c r="C899" s="49">
        <v>5</v>
      </c>
      <c r="D899" s="2" t="str">
        <f t="shared" si="790"/>
        <v>26_5</v>
      </c>
      <c r="E899" s="2" t="str">
        <f t="shared" si="790"/>
        <v>5_26_5</v>
      </c>
      <c r="F899" s="4" t="str">
        <f ca="1">VLOOKUP($D899,OFFSET([1]stages!$A$1,0,0,COUNTA([1]stages!$A:$A),MATCH(F$1,[1]stages!$2:$2,0)-MATCH($D$1,[1]stages!$2:$2,0)+1),MATCH(F$1,[1]stages!$2:$2,0)-MATCH($D$1,[1]stages!$2:$2,0)+1,FALSE)</f>
        <v>26-5．踊る強奪者</v>
      </c>
      <c r="G899" s="55">
        <v>4</v>
      </c>
      <c r="H899" s="17" t="str">
        <f t="shared" si="791"/>
        <v>26_5-4</v>
      </c>
      <c r="I899" s="17"/>
      <c r="J899" s="17"/>
      <c r="K899" s="65" t="s">
        <v>56</v>
      </c>
      <c r="L899" s="52">
        <v>45</v>
      </c>
      <c r="M899" s="21" t="str">
        <f ca="1">VLOOKUP($L899,OFFSET([2]enemies!$A$1,0,0,COUNTA([2]enemies!$A:$A),MATCH(M$1,[2]enemies!$1:$1,0)-MATCH($L$1,[2]enemies!$1:$1,0)+1),MATCH(M$1,[2]enemies!$1:$1,0)-MATCH($L$1,[2]enemies!$1:$1,0)+1,FALSE)</f>
        <v>ショウイン</v>
      </c>
      <c r="N899" s="21" t="str">
        <f ca="1">VLOOKUP($L899,OFFSET([2]enemies!$A$1,0,0,COUNTA([2]enemies!$A:$A),MATCH(N$1,[2]enemies!$1:$1,0)-MATCH($L$1,[2]enemies!$1:$1,0)+1),MATCH(N$1,[2]enemies!$1:$1,0)-MATCH($L$1,[2]enemies!$1:$1,0)+1,FALSE)</f>
        <v>blue</v>
      </c>
      <c r="O899" s="21" t="str">
        <f ca="1">VLOOKUP($L899,OFFSET([3]characters!$A$1,0,0,COUNTA([3]characters!$A:$A),MATCH(O$1,[3]characters!$1:$1,0)-MATCH($L$1,[3]characters!$1:$1,0)+1),MATCH(O$1,[3]characters!$1:$1,0)-MATCH($L$1,[3]characters!$1:$1,0)+1,FALSE)</f>
        <v>Drop1N</v>
      </c>
      <c r="P899" s="21" t="str">
        <f ca="1">VLOOKUP($L899,OFFSET([2]enemies!$A$1,0,0,COUNTA([2]enemies!$A:$A),MATCH(P$1,[2]enemies!$1:$1,0)-MATCH($L$1,[2]enemies!$1:$1,0)+1),MATCH(P$1,[2]enemies!$1:$1,0)-MATCH($L$1,[2]enemies!$1:$1,0)+1,FALSE)</f>
        <v>animal</v>
      </c>
      <c r="Q899" s="21">
        <f ca="1">VLOOKUP($L899,OFFSET([2]enemies!$A$1,0,0,COUNTA([2]enemies!$A:$A),MATCH(Q$1,[2]enemies!$1:$1,0)-MATCH($L$1,[2]enemies!$1:$1,0)+1),MATCH(Q$1,[2]enemies!$1:$1,0)-MATCH($L$1,[2]enemies!$1:$1,0)+1,FALSE)</f>
        <v>15</v>
      </c>
      <c r="R899" s="53">
        <v>58</v>
      </c>
      <c r="S899" s="27">
        <v>1</v>
      </c>
      <c r="T899" s="27">
        <v>1</v>
      </c>
      <c r="U899" s="5">
        <v>0</v>
      </c>
      <c r="V899" s="4" t="str">
        <f ca="1">VLOOKUP($W899,OFFSET([4]enemy_skill_sets!$B$1,0,0,COUNTA([4]enemy_skill_sets!$B:$B),MATCH(M$1,[4]enemy_skill_sets!$1:$1,0)-MATCH($W$1,[4]enemy_skill_sets!$1:$1,0)+2),MATCH(M$1,[4]enemy_skill_sets!$1:$1,0)-MATCH($W$1,[4]enemy_skill_sets!$1:$1,0)+2,FALSE)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899" s="4">
        <f ca="1">VLOOKUP($L899,OFFSET([2]enemies!$A$1,0,0,COUNTA([2]enemies!$A:$A),MATCH(W$1,[2]enemies!$1:$1,0)-MATCH($L$1,[2]enemies!$1:$1,0)+1),MATCH(W$1,[2]enemies!$1:$1,0)-MATCH($L$1,[2]enemies!$1:$1,0)+1,FALSE)</f>
        <v>0</v>
      </c>
      <c r="X899" s="6">
        <v>0</v>
      </c>
      <c r="Y899" s="6">
        <v>100</v>
      </c>
      <c r="Z899" s="6">
        <v>0</v>
      </c>
      <c r="AA899" s="4">
        <f ca="1">VLOOKUP($L899,OFFSET([2]enemies!$A$1,0,0,COUNTA([2]enemies!$A:$A),MATCH(AA$1,[2]enemies!$1:$1,0)-MATCH($L$1,[2]enemies!$1:$1,0)+1),MATCH(AA$1,[2]enemies!$1:$1,0)-MATCH($L$1,[2]enemies!$1:$1,0)+1,FALSE)</f>
        <v>3</v>
      </c>
      <c r="AB899" s="52">
        <v>45</v>
      </c>
      <c r="AC899" s="4" t="str">
        <f ca="1">VLOOKUP($AB899,OFFSET([3]characters!$A$1,0,0,COUNTA([3]characters!$A:$A),MATCH(AC$1,[3]characters!$1:$1,0)-MATCH("character_id",[3]characters!$1:$1,0)+1),MATCH(AC$1,[3]characters!$1:$1,0)-MATCH("character_id",[3]characters!$1:$1,0)+1,FALSE)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899" s="4">
        <f ca="1">VLOOKUP($AB899,OFFSET([3]characters!$A$1,0,0,COUNTA([3]characters!$A:$A),MATCH(AD$1,[3]characters!$1:$1,0)-MATCH("character_id",[3]characters!$1:$1,0)+1),MATCH(AD$1,[3]characters!$1:$1,0)-MATCH("character_id",[3]characters!$1:$1,0)+1,FALSE)</f>
        <v>2</v>
      </c>
      <c r="AE899" s="4" t="str">
        <f ca="1">VLOOKUP($AB899,OFFSET([3]characters!$A$1,0,0,COUNTA([3]characters!$A:$A),MATCH(AE$1,[3]characters!$1:$1,0)-MATCH("character_id",[3]characters!$1:$1,0)+1),MATCH(AE$1,[3]characters!$1:$1,0)-MATCH("character_id",[3]characters!$1:$1,0)+1,FALSE)</f>
        <v>Drop1N</v>
      </c>
      <c r="AF899" s="7">
        <v>7</v>
      </c>
      <c r="AG899" s="26">
        <f t="shared" ref="AG899:AG939" ca="1" si="803">AD899</f>
        <v>2</v>
      </c>
      <c r="AH899" s="8">
        <v>20</v>
      </c>
      <c r="AI899" s="7">
        <v>0</v>
      </c>
      <c r="AJ899" s="7">
        <v>0</v>
      </c>
      <c r="AK899" s="7">
        <v>0</v>
      </c>
      <c r="AL899" s="7">
        <v>0</v>
      </c>
      <c r="AM899" s="7">
        <v>1</v>
      </c>
    </row>
    <row r="900" spans="1:39" ht="14" x14ac:dyDescent="0.15">
      <c r="A900" s="18" t="str">
        <f t="shared" ca="1" si="770"/>
        <v>26_5-4/47&lt;lv58&gt;s1</v>
      </c>
      <c r="B900" s="50">
        <v>26</v>
      </c>
      <c r="C900" s="49">
        <v>5</v>
      </c>
      <c r="D900" s="2" t="str">
        <f t="shared" si="790"/>
        <v>26_5</v>
      </c>
      <c r="E900" s="2" t="str">
        <f t="shared" si="790"/>
        <v>5_26_5</v>
      </c>
      <c r="F900" s="4" t="str">
        <f ca="1">VLOOKUP($D900,OFFSET([1]stages!$A$1,0,0,COUNTA([1]stages!$A:$A),MATCH(F$1,[1]stages!$2:$2,0)-MATCH($D$1,[1]stages!$2:$2,0)+1),MATCH(F$1,[1]stages!$2:$2,0)-MATCH($D$1,[1]stages!$2:$2,0)+1,FALSE)</f>
        <v>26-5．踊る強奪者</v>
      </c>
      <c r="G900" s="55">
        <v>4</v>
      </c>
      <c r="H900" s="17" t="str">
        <f t="shared" si="791"/>
        <v>26_5-4</v>
      </c>
      <c r="I900" s="17"/>
      <c r="J900" s="17"/>
      <c r="K900" s="65" t="s">
        <v>56</v>
      </c>
      <c r="L900" s="52">
        <v>47</v>
      </c>
      <c r="M900" s="21" t="str">
        <f ca="1">VLOOKUP($L900,OFFSET([2]enemies!$A$1,0,0,COUNTA([2]enemies!$A:$A),MATCH(M$1,[2]enemies!$1:$1,0)-MATCH($L$1,[2]enemies!$1:$1,0)+1),MATCH(M$1,[2]enemies!$1:$1,0)-MATCH($L$1,[2]enemies!$1:$1,0)+1,FALSE)</f>
        <v>ヒロ</v>
      </c>
      <c r="N900" s="21" t="str">
        <f ca="1">VLOOKUP($L900,OFFSET([2]enemies!$A$1,0,0,COUNTA([2]enemies!$A:$A),MATCH(N$1,[2]enemies!$1:$1,0)-MATCH($L$1,[2]enemies!$1:$1,0)+1),MATCH(N$1,[2]enemies!$1:$1,0)-MATCH($L$1,[2]enemies!$1:$1,0)+1,FALSE)</f>
        <v>yellow</v>
      </c>
      <c r="O900" s="21" t="str">
        <f ca="1">VLOOKUP($L900,OFFSET([3]characters!$A$1,0,0,COUNTA([3]characters!$A:$A),MATCH(O$1,[3]characters!$1:$1,0)-MATCH($L$1,[3]characters!$1:$1,0)+1),MATCH(O$1,[3]characters!$1:$1,0)-MATCH($L$1,[3]characters!$1:$1,0)+1,FALSE)</f>
        <v>Drop1N</v>
      </c>
      <c r="P900" s="21" t="str">
        <f ca="1">VLOOKUP($L900,OFFSET([2]enemies!$A$1,0,0,COUNTA([2]enemies!$A:$A),MATCH(P$1,[2]enemies!$1:$1,0)-MATCH($L$1,[2]enemies!$1:$1,0)+1),MATCH(P$1,[2]enemies!$1:$1,0)-MATCH($L$1,[2]enemies!$1:$1,0)+1,FALSE)</f>
        <v>animal</v>
      </c>
      <c r="Q900" s="21">
        <f ca="1">VLOOKUP($L900,OFFSET([2]enemies!$A$1,0,0,COUNTA([2]enemies!$A:$A),MATCH(Q$1,[2]enemies!$1:$1,0)-MATCH($L$1,[2]enemies!$1:$1,0)+1),MATCH(Q$1,[2]enemies!$1:$1,0)-MATCH($L$1,[2]enemies!$1:$1,0)+1,FALSE)</f>
        <v>15</v>
      </c>
      <c r="R900" s="53">
        <v>58</v>
      </c>
      <c r="S900" s="27">
        <v>1</v>
      </c>
      <c r="T900" s="27">
        <v>1</v>
      </c>
      <c r="U900" s="5">
        <v>0</v>
      </c>
      <c r="V900" s="4" t="str">
        <f ca="1">VLOOKUP($W900,OFFSET([4]enemy_skill_sets!$B$1,0,0,COUNTA([4]enemy_skill_sets!$B:$B),MATCH(M$1,[4]enemy_skill_sets!$1:$1,0)-MATCH($W$1,[4]enemy_skill_sets!$1:$1,0)+2),MATCH(M$1,[4]enemy_skill_sets!$1:$1,0)-MATCH($W$1,[4]enemy_skill_sets!$1:$1,0)+2,FALSE)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00" s="4">
        <f ca="1">VLOOKUP($L900,OFFSET([2]enemies!$A$1,0,0,COUNTA([2]enemies!$A:$A),MATCH(W$1,[2]enemies!$1:$1,0)-MATCH($L$1,[2]enemies!$1:$1,0)+1),MATCH(W$1,[2]enemies!$1:$1,0)-MATCH($L$1,[2]enemies!$1:$1,0)+1,FALSE)</f>
        <v>0</v>
      </c>
      <c r="X900" s="6">
        <v>0</v>
      </c>
      <c r="Y900" s="6">
        <v>100</v>
      </c>
      <c r="Z900" s="6">
        <v>0</v>
      </c>
      <c r="AA900" s="4">
        <f ca="1">VLOOKUP($L900,OFFSET([2]enemies!$A$1,0,0,COUNTA([2]enemies!$A:$A),MATCH(AA$1,[2]enemies!$1:$1,0)-MATCH($L$1,[2]enemies!$1:$1,0)+1),MATCH(AA$1,[2]enemies!$1:$1,0)-MATCH($L$1,[2]enemies!$1:$1,0)+1,FALSE)</f>
        <v>1</v>
      </c>
      <c r="AB900" s="52">
        <v>47</v>
      </c>
      <c r="AC900" s="4" t="str">
        <f ca="1">VLOOKUP($AB900,OFFSET([3]characters!$A$1,0,0,COUNTA([3]characters!$A:$A),MATCH(AC$1,[3]characters!$1:$1,0)-MATCH("character_id",[3]characters!$1:$1,0)+1),MATCH(AC$1,[3]characters!$1:$1,0)-MATCH("character_id",[3]characters!$1:$1,0)+1,FALSE)</f>
        <v>ヒロ</v>
      </c>
      <c r="AD900" s="4">
        <f ca="1">VLOOKUP($AB900,OFFSET([3]characters!$A$1,0,0,COUNTA([3]characters!$A:$A),MATCH(AD$1,[3]characters!$1:$1,0)-MATCH("character_id",[3]characters!$1:$1,0)+1),MATCH(AD$1,[3]characters!$1:$1,0)-MATCH("character_id",[3]characters!$1:$1,0)+1,FALSE)</f>
        <v>2</v>
      </c>
      <c r="AE900" s="4" t="str">
        <f ca="1">VLOOKUP($AB900,OFFSET([3]characters!$A$1,0,0,COUNTA([3]characters!$A:$A),MATCH(AE$1,[3]characters!$1:$1,0)-MATCH("character_id",[3]characters!$1:$1,0)+1),MATCH(AE$1,[3]characters!$1:$1,0)-MATCH("character_id",[3]characters!$1:$1,0)+1,FALSE)</f>
        <v>Drop1N</v>
      </c>
      <c r="AF900" s="7">
        <v>7</v>
      </c>
      <c r="AG900" s="26">
        <f t="shared" ca="1" si="803"/>
        <v>2</v>
      </c>
      <c r="AH900" s="8">
        <v>20</v>
      </c>
      <c r="AI900" s="7">
        <v>0</v>
      </c>
      <c r="AJ900" s="7">
        <v>0</v>
      </c>
      <c r="AK900" s="7">
        <v>0</v>
      </c>
      <c r="AL900" s="7">
        <v>0</v>
      </c>
      <c r="AM900" s="7">
        <v>1</v>
      </c>
    </row>
    <row r="901" spans="1:39" ht="14" x14ac:dyDescent="0.15">
      <c r="A901" s="18" t="str">
        <f t="shared" ca="1" si="770"/>
        <v>26_5-4/57&lt;lv58&gt;s2</v>
      </c>
      <c r="B901" s="50">
        <v>26</v>
      </c>
      <c r="C901" s="49">
        <v>5</v>
      </c>
      <c r="D901" s="2" t="str">
        <f t="shared" si="790"/>
        <v>26_5</v>
      </c>
      <c r="E901" s="2" t="str">
        <f t="shared" si="790"/>
        <v>5_26_5</v>
      </c>
      <c r="F901" s="4" t="str">
        <f ca="1">VLOOKUP($D901,OFFSET([1]stages!$A$1,0,0,COUNTA([1]stages!$A:$A),MATCH(F$1,[1]stages!$2:$2,0)-MATCH($D$1,[1]stages!$2:$2,0)+1),MATCH(F$1,[1]stages!$2:$2,0)-MATCH($D$1,[1]stages!$2:$2,0)+1,FALSE)</f>
        <v>26-5．踊る強奪者</v>
      </c>
      <c r="G901" s="55">
        <v>4</v>
      </c>
      <c r="H901" s="17" t="str">
        <f t="shared" si="791"/>
        <v>26_5-4</v>
      </c>
      <c r="I901" s="17"/>
      <c r="J901" s="17"/>
      <c r="K901" s="65" t="s">
        <v>56</v>
      </c>
      <c r="L901" s="52">
        <v>57</v>
      </c>
      <c r="M901" s="21" t="str">
        <f ca="1">VLOOKUP($L901,OFFSET([2]enemies!$A$1,0,0,COUNTA([2]enemies!$A:$A),MATCH(M$1,[2]enemies!$1:$1,0)-MATCH($L$1,[2]enemies!$1:$1,0)+1),MATCH(M$1,[2]enemies!$1:$1,0)-MATCH($L$1,[2]enemies!$1:$1,0)+1,FALSE)</f>
        <v>チェン・リー</v>
      </c>
      <c r="N901" s="21" t="str">
        <f ca="1">VLOOKUP($L901,OFFSET([2]enemies!$A$1,0,0,COUNTA([2]enemies!$A:$A),MATCH(N$1,[2]enemies!$1:$1,0)-MATCH($L$1,[2]enemies!$1:$1,0)+1),MATCH(N$1,[2]enemies!$1:$1,0)-MATCH($L$1,[2]enemies!$1:$1,0)+1,FALSE)</f>
        <v>red</v>
      </c>
      <c r="O901" s="21" t="str">
        <f ca="1">VLOOKUP($L901,OFFSET([3]characters!$A$1,0,0,COUNTA([3]characters!$A:$A),MATCH(O$1,[3]characters!$1:$1,0)-MATCH($L$1,[3]characters!$1:$1,0)+1),MATCH(O$1,[3]characters!$1:$1,0)-MATCH($L$1,[3]characters!$1:$1,0)+1,FALSE)</f>
        <v>Drop1N</v>
      </c>
      <c r="P901" s="21" t="str">
        <f ca="1">VLOOKUP($L901,OFFSET([2]enemies!$A$1,0,0,COUNTA([2]enemies!$A:$A),MATCH(P$1,[2]enemies!$1:$1,0)-MATCH($L$1,[2]enemies!$1:$1,0)+1),MATCH(P$1,[2]enemies!$1:$1,0)-MATCH($L$1,[2]enemies!$1:$1,0)+1,FALSE)</f>
        <v>animal</v>
      </c>
      <c r="Q901" s="21">
        <f ca="1">VLOOKUP($L901,OFFSET([2]enemies!$A$1,0,0,COUNTA([2]enemies!$A:$A),MATCH(Q$1,[2]enemies!$1:$1,0)-MATCH($L$1,[2]enemies!$1:$1,0)+1),MATCH(Q$1,[2]enemies!$1:$1,0)-MATCH($L$1,[2]enemies!$1:$1,0)+1,FALSE)</f>
        <v>15</v>
      </c>
      <c r="R901" s="53">
        <v>58</v>
      </c>
      <c r="S901" s="27">
        <v>1</v>
      </c>
      <c r="T901" s="27">
        <v>1</v>
      </c>
      <c r="U901" s="5">
        <v>0</v>
      </c>
      <c r="V901" s="4" t="str">
        <f ca="1">VLOOKUP($W901,OFFSET([4]enemy_skill_sets!$B$1,0,0,COUNTA([4]enemy_skill_sets!$B:$B),MATCH(M$1,[4]enemy_skill_sets!$1:$1,0)-MATCH($W$1,[4]enemy_skill_sets!$1:$1,0)+2),MATCH(M$1,[4]enemy_skill_sets!$1:$1,0)-MATCH($W$1,[4]enemy_skill_sets!$1:$1,0)+2,FALSE)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901" s="4">
        <f ca="1">VLOOKUP($L901,OFFSET([2]enemies!$A$1,0,0,COUNTA([2]enemies!$A:$A),MATCH(W$1,[2]enemies!$1:$1,0)-MATCH($L$1,[2]enemies!$1:$1,0)+1),MATCH(W$1,[2]enemies!$1:$1,0)-MATCH($L$1,[2]enemies!$1:$1,0)+1,FALSE)</f>
        <v>57</v>
      </c>
      <c r="X901" s="6">
        <v>0</v>
      </c>
      <c r="Y901" s="6">
        <v>100</v>
      </c>
      <c r="Z901" s="6">
        <v>0</v>
      </c>
      <c r="AA901" s="4">
        <f ca="1">VLOOKUP($L901,OFFSET([2]enemies!$A$1,0,0,COUNTA([2]enemies!$A:$A),MATCH(AA$1,[2]enemies!$1:$1,0)-MATCH($L$1,[2]enemies!$1:$1,0)+1),MATCH(AA$1,[2]enemies!$1:$1,0)-MATCH($L$1,[2]enemies!$1:$1,0)+1,FALSE)</f>
        <v>2</v>
      </c>
      <c r="AB901" s="52">
        <v>57</v>
      </c>
      <c r="AC901" s="4" t="str">
        <f ca="1">VLOOKUP($AB901,OFFSET([3]characters!$A$1,0,0,COUNTA([3]characters!$A:$A),MATCH(AC$1,[3]characters!$1:$1,0)-MATCH("character_id",[3]characters!$1:$1,0)+1),MATCH(AC$1,[3]characters!$1:$1,0)-MATCH("character_id",[3]characters!$1:$1,0)+1,FALSE)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901" s="4">
        <f ca="1">VLOOKUP($AB901,OFFSET([3]characters!$A$1,0,0,COUNTA([3]characters!$A:$A),MATCH(AD$1,[3]characters!$1:$1,0)-MATCH("character_id",[3]characters!$1:$1,0)+1),MATCH(AD$1,[3]characters!$1:$1,0)-MATCH("character_id",[3]characters!$1:$1,0)+1,FALSE)</f>
        <v>2</v>
      </c>
      <c r="AE901" s="4" t="str">
        <f ca="1">VLOOKUP($AB901,OFFSET([3]characters!$A$1,0,0,COUNTA([3]characters!$A:$A),MATCH(AE$1,[3]characters!$1:$1,0)-MATCH("character_id",[3]characters!$1:$1,0)+1),MATCH(AE$1,[3]characters!$1:$1,0)-MATCH("character_id",[3]characters!$1:$1,0)+1,FALSE)</f>
        <v>Drop1N</v>
      </c>
      <c r="AF901" s="7">
        <v>7</v>
      </c>
      <c r="AG901" s="26">
        <f t="shared" ca="1" si="803"/>
        <v>2</v>
      </c>
      <c r="AH901" s="8">
        <v>20</v>
      </c>
      <c r="AI901" s="7">
        <v>0</v>
      </c>
      <c r="AJ901" s="7">
        <v>0</v>
      </c>
      <c r="AK901" s="7">
        <v>0</v>
      </c>
      <c r="AL901" s="7">
        <v>0</v>
      </c>
      <c r="AM901" s="7">
        <v>1</v>
      </c>
    </row>
    <row r="902" spans="1:39" ht="14" x14ac:dyDescent="0.15">
      <c r="A902" s="18" t="str">
        <f t="shared" ca="1" si="770"/>
        <v>26_5-4/59&lt;lv58&gt;s2</v>
      </c>
      <c r="B902" s="50">
        <v>26</v>
      </c>
      <c r="C902" s="49">
        <v>5</v>
      </c>
      <c r="D902" s="2" t="str">
        <f t="shared" si="790"/>
        <v>26_5</v>
      </c>
      <c r="E902" s="2" t="str">
        <f t="shared" si="790"/>
        <v>5_26_5</v>
      </c>
      <c r="F902" s="4" t="str">
        <f ca="1">VLOOKUP($D902,OFFSET([1]stages!$A$1,0,0,COUNTA([1]stages!$A:$A),MATCH(F$1,[1]stages!$2:$2,0)-MATCH($D$1,[1]stages!$2:$2,0)+1),MATCH(F$1,[1]stages!$2:$2,0)-MATCH($D$1,[1]stages!$2:$2,0)+1,FALSE)</f>
        <v>26-5．踊る強奪者</v>
      </c>
      <c r="G902" s="55">
        <v>4</v>
      </c>
      <c r="H902" s="17" t="str">
        <f t="shared" si="791"/>
        <v>26_5-4</v>
      </c>
      <c r="I902" s="17"/>
      <c r="J902" s="17"/>
      <c r="K902" s="65" t="s">
        <v>56</v>
      </c>
      <c r="L902" s="52">
        <v>59</v>
      </c>
      <c r="M902" s="21" t="str">
        <f ca="1">VLOOKUP($L902,OFFSET([2]enemies!$A$1,0,0,COUNTA([2]enemies!$A:$A),MATCH(M$1,[2]enemies!$1:$1,0)-MATCH($L$1,[2]enemies!$1:$1,0)+1),MATCH(M$1,[2]enemies!$1:$1,0)-MATCH($L$1,[2]enemies!$1:$1,0)+1,FALSE)</f>
        <v>マーチ</v>
      </c>
      <c r="N902" s="21" t="str">
        <f ca="1">VLOOKUP($L902,OFFSET([2]enemies!$A$1,0,0,COUNTA([2]enemies!$A:$A),MATCH(N$1,[2]enemies!$1:$1,0)-MATCH($L$1,[2]enemies!$1:$1,0)+1),MATCH(N$1,[2]enemies!$1:$1,0)-MATCH($L$1,[2]enemies!$1:$1,0)+1,FALSE)</f>
        <v>green</v>
      </c>
      <c r="O902" s="21" t="str">
        <f ca="1">VLOOKUP($L902,OFFSET([3]characters!$A$1,0,0,COUNTA([3]characters!$A:$A),MATCH(O$1,[3]characters!$1:$1,0)-MATCH($L$1,[3]characters!$1:$1,0)+1),MATCH(O$1,[3]characters!$1:$1,0)-MATCH($L$1,[3]characters!$1:$1,0)+1,FALSE)</f>
        <v>Drop1N</v>
      </c>
      <c r="P902" s="21" t="str">
        <f ca="1">VLOOKUP($L902,OFFSET([2]enemies!$A$1,0,0,COUNTA([2]enemies!$A:$A),MATCH(P$1,[2]enemies!$1:$1,0)-MATCH($L$1,[2]enemies!$1:$1,0)+1),MATCH(P$1,[2]enemies!$1:$1,0)-MATCH($L$1,[2]enemies!$1:$1,0)+1,FALSE)</f>
        <v>animal</v>
      </c>
      <c r="Q902" s="21">
        <f ca="1">VLOOKUP($L902,OFFSET([2]enemies!$A$1,0,0,COUNTA([2]enemies!$A:$A),MATCH(Q$1,[2]enemies!$1:$1,0)-MATCH($L$1,[2]enemies!$1:$1,0)+1),MATCH(Q$1,[2]enemies!$1:$1,0)-MATCH($L$1,[2]enemies!$1:$1,0)+1,FALSE)</f>
        <v>15</v>
      </c>
      <c r="R902" s="53">
        <v>58</v>
      </c>
      <c r="S902" s="27">
        <v>1</v>
      </c>
      <c r="T902" s="27">
        <v>1</v>
      </c>
      <c r="U902" s="5">
        <v>0</v>
      </c>
      <c r="V902" s="4" t="str">
        <f ca="1">VLOOKUP($W902,OFFSET([4]enemy_skill_sets!$B$1,0,0,COUNTA([4]enemy_skill_sets!$B:$B),MATCH(M$1,[4]enemy_skill_sets!$1:$1,0)-MATCH($W$1,[4]enemy_skill_sets!$1:$1,0)+2),MATCH(M$1,[4]enemy_skill_sets!$1:$1,0)-MATCH($W$1,[4]enemy_skill_sets!$1:$1,0)+2,FALSE)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902" s="4">
        <f ca="1">VLOOKUP($L902,OFFSET([2]enemies!$A$1,0,0,COUNTA([2]enemies!$A:$A),MATCH(W$1,[2]enemies!$1:$1,0)-MATCH($L$1,[2]enemies!$1:$1,0)+1),MATCH(W$1,[2]enemies!$1:$1,0)-MATCH($L$1,[2]enemies!$1:$1,0)+1,FALSE)</f>
        <v>59</v>
      </c>
      <c r="X902" s="6">
        <v>0</v>
      </c>
      <c r="Y902" s="6">
        <v>100</v>
      </c>
      <c r="Z902" s="6">
        <v>0</v>
      </c>
      <c r="AA902" s="4">
        <f ca="1">VLOOKUP($L902,OFFSET([2]enemies!$A$1,0,0,COUNTA([2]enemies!$A:$A),MATCH(AA$1,[2]enemies!$1:$1,0)-MATCH($L$1,[2]enemies!$1:$1,0)+1),MATCH(AA$1,[2]enemies!$1:$1,0)-MATCH($L$1,[2]enemies!$1:$1,0)+1,FALSE)</f>
        <v>2</v>
      </c>
      <c r="AB902" s="52">
        <v>59</v>
      </c>
      <c r="AC902" s="4" t="str">
        <f ca="1">VLOOKUP($AB902,OFFSET([3]characters!$A$1,0,0,COUNTA([3]characters!$A:$A),MATCH(AC$1,[3]characters!$1:$1,0)-MATCH("character_id",[3]characters!$1:$1,0)+1),MATCH(AC$1,[3]characters!$1:$1,0)-MATCH("character_id",[3]characters!$1:$1,0)+1,FALSE)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902" s="4">
        <f ca="1">VLOOKUP($AB902,OFFSET([3]characters!$A$1,0,0,COUNTA([3]characters!$A:$A),MATCH(AD$1,[3]characters!$1:$1,0)-MATCH("character_id",[3]characters!$1:$1,0)+1),MATCH(AD$1,[3]characters!$1:$1,0)-MATCH("character_id",[3]characters!$1:$1,0)+1,FALSE)</f>
        <v>2</v>
      </c>
      <c r="AE902" s="4" t="str">
        <f ca="1">VLOOKUP($AB902,OFFSET([3]characters!$A$1,0,0,COUNTA([3]characters!$A:$A),MATCH(AE$1,[3]characters!$1:$1,0)-MATCH("character_id",[3]characters!$1:$1,0)+1),MATCH(AE$1,[3]characters!$1:$1,0)-MATCH("character_id",[3]characters!$1:$1,0)+1,FALSE)</f>
        <v>Drop1N</v>
      </c>
      <c r="AF902" s="7">
        <v>7</v>
      </c>
      <c r="AG902" s="26">
        <f t="shared" ca="1" si="803"/>
        <v>2</v>
      </c>
      <c r="AH902" s="8">
        <v>20</v>
      </c>
      <c r="AI902" s="7">
        <v>0</v>
      </c>
      <c r="AJ902" s="7">
        <v>0</v>
      </c>
      <c r="AK902" s="7">
        <v>0</v>
      </c>
      <c r="AL902" s="7">
        <v>0</v>
      </c>
      <c r="AM902" s="7">
        <v>1</v>
      </c>
    </row>
    <row r="903" spans="1:39" ht="14" x14ac:dyDescent="0.15">
      <c r="A903" s="18" t="str">
        <f t="shared" ca="1" si="770"/>
        <v>26_5-4/61&lt;lv58&gt;s2</v>
      </c>
      <c r="B903" s="50">
        <v>26</v>
      </c>
      <c r="C903" s="49">
        <v>5</v>
      </c>
      <c r="D903" s="2" t="str">
        <f t="shared" si="790"/>
        <v>26_5</v>
      </c>
      <c r="E903" s="2" t="str">
        <f t="shared" si="790"/>
        <v>5_26_5</v>
      </c>
      <c r="F903" s="4" t="str">
        <f ca="1">VLOOKUP($D903,OFFSET([1]stages!$A$1,0,0,COUNTA([1]stages!$A:$A),MATCH(F$1,[1]stages!$2:$2,0)-MATCH($D$1,[1]stages!$2:$2,0)+1),MATCH(F$1,[1]stages!$2:$2,0)-MATCH($D$1,[1]stages!$2:$2,0)+1,FALSE)</f>
        <v>26-5．踊る強奪者</v>
      </c>
      <c r="G903" s="55">
        <v>4</v>
      </c>
      <c r="H903" s="17" t="str">
        <f t="shared" si="791"/>
        <v>26_5-4</v>
      </c>
      <c r="I903" s="17"/>
      <c r="J903" s="17"/>
      <c r="K903" s="65" t="s">
        <v>56</v>
      </c>
      <c r="L903" s="52">
        <v>61</v>
      </c>
      <c r="M903" s="21" t="str">
        <f ca="1">VLOOKUP($L903,OFFSET([2]enemies!$A$1,0,0,COUNTA([2]enemies!$A:$A),MATCH(M$1,[2]enemies!$1:$1,0)-MATCH($L$1,[2]enemies!$1:$1,0)+1),MATCH(M$1,[2]enemies!$1:$1,0)-MATCH($L$1,[2]enemies!$1:$1,0)+1,FALSE)</f>
        <v>クロウ</v>
      </c>
      <c r="N903" s="21" t="str">
        <f ca="1">VLOOKUP($L903,OFFSET([2]enemies!$A$1,0,0,COUNTA([2]enemies!$A:$A),MATCH(N$1,[2]enemies!$1:$1,0)-MATCH($L$1,[2]enemies!$1:$1,0)+1),MATCH(N$1,[2]enemies!$1:$1,0)-MATCH($L$1,[2]enemies!$1:$1,0)+1,FALSE)</f>
        <v>blue</v>
      </c>
      <c r="O903" s="21" t="str">
        <f ca="1">VLOOKUP($L903,OFFSET([3]characters!$A$1,0,0,COUNTA([3]characters!$A:$A),MATCH(O$1,[3]characters!$1:$1,0)-MATCH($L$1,[3]characters!$1:$1,0)+1),MATCH(O$1,[3]characters!$1:$1,0)-MATCH($L$1,[3]characters!$1:$1,0)+1,FALSE)</f>
        <v>Drop1N</v>
      </c>
      <c r="P903" s="21" t="str">
        <f ca="1">VLOOKUP($L903,OFFSET([2]enemies!$A$1,0,0,COUNTA([2]enemies!$A:$A),MATCH(P$1,[2]enemies!$1:$1,0)-MATCH($L$1,[2]enemies!$1:$1,0)+1),MATCH(P$1,[2]enemies!$1:$1,0)-MATCH($L$1,[2]enemies!$1:$1,0)+1,FALSE)</f>
        <v>animal</v>
      </c>
      <c r="Q903" s="21">
        <f ca="1">VLOOKUP($L903,OFFSET([2]enemies!$A$1,0,0,COUNTA([2]enemies!$A:$A),MATCH(Q$1,[2]enemies!$1:$1,0)-MATCH($L$1,[2]enemies!$1:$1,0)+1),MATCH(Q$1,[2]enemies!$1:$1,0)-MATCH($L$1,[2]enemies!$1:$1,0)+1,FALSE)</f>
        <v>15</v>
      </c>
      <c r="R903" s="53">
        <v>58</v>
      </c>
      <c r="S903" s="27">
        <v>1</v>
      </c>
      <c r="T903" s="27">
        <v>1</v>
      </c>
      <c r="U903" s="5">
        <v>0</v>
      </c>
      <c r="V903" s="4" t="str">
        <f ca="1">VLOOKUP($W903,OFFSET([4]enemy_skill_sets!$B$1,0,0,COUNTA([4]enemy_skill_sets!$B:$B),MATCH(M$1,[4]enemy_skill_sets!$1:$1,0)-MATCH($W$1,[4]enemy_skill_sets!$1:$1,0)+2),MATCH(M$1,[4]enemy_skill_sets!$1:$1,0)-MATCH($W$1,[4]enemy_skill_sets!$1:$1,0)+2,FALSE)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903" s="4">
        <f ca="1">VLOOKUP($L903,OFFSET([2]enemies!$A$1,0,0,COUNTA([2]enemies!$A:$A),MATCH(W$1,[2]enemies!$1:$1,0)-MATCH($L$1,[2]enemies!$1:$1,0)+1),MATCH(W$1,[2]enemies!$1:$1,0)-MATCH($L$1,[2]enemies!$1:$1,0)+1,FALSE)</f>
        <v>61</v>
      </c>
      <c r="X903" s="6">
        <v>0</v>
      </c>
      <c r="Y903" s="6">
        <v>100</v>
      </c>
      <c r="Z903" s="6">
        <v>0</v>
      </c>
      <c r="AA903" s="4">
        <f ca="1">VLOOKUP($L903,OFFSET([2]enemies!$A$1,0,0,COUNTA([2]enemies!$A:$A),MATCH(AA$1,[2]enemies!$1:$1,0)-MATCH($L$1,[2]enemies!$1:$1,0)+1),MATCH(AA$1,[2]enemies!$1:$1,0)-MATCH($L$1,[2]enemies!$1:$1,0)+1,FALSE)</f>
        <v>2</v>
      </c>
      <c r="AB903" s="52">
        <v>61</v>
      </c>
      <c r="AC903" s="4" t="str">
        <f ca="1">VLOOKUP($AB903,OFFSET([3]characters!$A$1,0,0,COUNTA([3]characters!$A:$A),MATCH(AC$1,[3]characters!$1:$1,0)-MATCH("character_id",[3]characters!$1:$1,0)+1),MATCH(AC$1,[3]characters!$1:$1,0)-MATCH("character_id",[3]characters!$1:$1,0)+1,FALSE)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903" s="4">
        <f ca="1">VLOOKUP($AB903,OFFSET([3]characters!$A$1,0,0,COUNTA([3]characters!$A:$A),MATCH(AD$1,[3]characters!$1:$1,0)-MATCH("character_id",[3]characters!$1:$1,0)+1),MATCH(AD$1,[3]characters!$1:$1,0)-MATCH("character_id",[3]characters!$1:$1,0)+1,FALSE)</f>
        <v>2</v>
      </c>
      <c r="AE903" s="4" t="str">
        <f ca="1">VLOOKUP($AB903,OFFSET([3]characters!$A$1,0,0,COUNTA([3]characters!$A:$A),MATCH(AE$1,[3]characters!$1:$1,0)-MATCH("character_id",[3]characters!$1:$1,0)+1),MATCH(AE$1,[3]characters!$1:$1,0)-MATCH("character_id",[3]characters!$1:$1,0)+1,FALSE)</f>
        <v>Drop1N</v>
      </c>
      <c r="AF903" s="7">
        <v>7</v>
      </c>
      <c r="AG903" s="26">
        <f t="shared" ca="1" si="803"/>
        <v>2</v>
      </c>
      <c r="AH903" s="8">
        <v>20</v>
      </c>
      <c r="AI903" s="7">
        <v>0</v>
      </c>
      <c r="AJ903" s="7">
        <v>0</v>
      </c>
      <c r="AK903" s="7">
        <v>0</v>
      </c>
      <c r="AL903" s="7">
        <v>0</v>
      </c>
      <c r="AM903" s="7">
        <v>1</v>
      </c>
    </row>
    <row r="904" spans="1:39" ht="14" x14ac:dyDescent="0.15">
      <c r="A904" s="18" t="str">
        <f t="shared" ca="1" si="770"/>
        <v>26_5-4/63&lt;lv58&gt;s2</v>
      </c>
      <c r="B904" s="50">
        <v>26</v>
      </c>
      <c r="C904" s="49">
        <v>5</v>
      </c>
      <c r="D904" s="2" t="str">
        <f t="shared" si="790"/>
        <v>26_5</v>
      </c>
      <c r="E904" s="2" t="str">
        <f t="shared" si="790"/>
        <v>5_26_5</v>
      </c>
      <c r="F904" s="4" t="str">
        <f ca="1">VLOOKUP($D904,OFFSET([1]stages!$A$1,0,0,COUNTA([1]stages!$A:$A),MATCH(F$1,[1]stages!$2:$2,0)-MATCH($D$1,[1]stages!$2:$2,0)+1),MATCH(F$1,[1]stages!$2:$2,0)-MATCH($D$1,[1]stages!$2:$2,0)+1,FALSE)</f>
        <v>26-5．踊る強奪者</v>
      </c>
      <c r="G904" s="55">
        <v>4</v>
      </c>
      <c r="H904" s="17" t="str">
        <f t="shared" si="791"/>
        <v>26_5-4</v>
      </c>
      <c r="I904" s="17"/>
      <c r="J904" s="17"/>
      <c r="K904" s="65" t="s">
        <v>56</v>
      </c>
      <c r="L904" s="52">
        <v>63</v>
      </c>
      <c r="M904" s="21" t="str">
        <f ca="1">VLOOKUP($L904,OFFSET([2]enemies!$A$1,0,0,COUNTA([2]enemies!$A:$A),MATCH(M$1,[2]enemies!$1:$1,0)-MATCH($L$1,[2]enemies!$1:$1,0)+1),MATCH(M$1,[2]enemies!$1:$1,0)-MATCH($L$1,[2]enemies!$1:$1,0)+1,FALSE)</f>
        <v>トニー</v>
      </c>
      <c r="N904" s="21" t="str">
        <f ca="1">VLOOKUP($L904,OFFSET([2]enemies!$A$1,0,0,COUNTA([2]enemies!$A:$A),MATCH(N$1,[2]enemies!$1:$1,0)-MATCH($L$1,[2]enemies!$1:$1,0)+1),MATCH(N$1,[2]enemies!$1:$1,0)-MATCH($L$1,[2]enemies!$1:$1,0)+1,FALSE)</f>
        <v>yellow</v>
      </c>
      <c r="O904" s="21" t="str">
        <f ca="1">VLOOKUP($L904,OFFSET([3]characters!$A$1,0,0,COUNTA([3]characters!$A:$A),MATCH(O$1,[3]characters!$1:$1,0)-MATCH($L$1,[3]characters!$1:$1,0)+1),MATCH(O$1,[3]characters!$1:$1,0)-MATCH($L$1,[3]characters!$1:$1,0)+1,FALSE)</f>
        <v>Drop1N</v>
      </c>
      <c r="P904" s="21" t="str">
        <f ca="1">VLOOKUP($L904,OFFSET([2]enemies!$A$1,0,0,COUNTA([2]enemies!$A:$A),MATCH(P$1,[2]enemies!$1:$1,0)-MATCH($L$1,[2]enemies!$1:$1,0)+1),MATCH(P$1,[2]enemies!$1:$1,0)-MATCH($L$1,[2]enemies!$1:$1,0)+1,FALSE)</f>
        <v>animal</v>
      </c>
      <c r="Q904" s="21">
        <f ca="1">VLOOKUP($L904,OFFSET([2]enemies!$A$1,0,0,COUNTA([2]enemies!$A:$A),MATCH(Q$1,[2]enemies!$1:$1,0)-MATCH($L$1,[2]enemies!$1:$1,0)+1),MATCH(Q$1,[2]enemies!$1:$1,0)-MATCH($L$1,[2]enemies!$1:$1,0)+1,FALSE)</f>
        <v>15</v>
      </c>
      <c r="R904" s="53">
        <v>58</v>
      </c>
      <c r="S904" s="27">
        <v>1</v>
      </c>
      <c r="T904" s="27">
        <v>1</v>
      </c>
      <c r="U904" s="5">
        <v>0</v>
      </c>
      <c r="V904" s="4" t="str">
        <f ca="1">VLOOKUP($W904,OFFSET([4]enemy_skill_sets!$B$1,0,0,COUNTA([4]enemy_skill_sets!$B:$B),MATCH(M$1,[4]enemy_skill_sets!$1:$1,0)-MATCH($W$1,[4]enemy_skill_sets!$1:$1,0)+2),MATCH(M$1,[4]enemy_skill_sets!$1:$1,0)-MATCH($W$1,[4]enemy_skill_sets!$1:$1,0)+2,FALSE)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904" s="4">
        <f ca="1">VLOOKUP($L904,OFFSET([2]enemies!$A$1,0,0,COUNTA([2]enemies!$A:$A),MATCH(W$1,[2]enemies!$1:$1,0)-MATCH($L$1,[2]enemies!$1:$1,0)+1),MATCH(W$1,[2]enemies!$1:$1,0)-MATCH($L$1,[2]enemies!$1:$1,0)+1,FALSE)</f>
        <v>63</v>
      </c>
      <c r="X904" s="6">
        <v>0</v>
      </c>
      <c r="Y904" s="6">
        <v>100</v>
      </c>
      <c r="Z904" s="6">
        <v>0</v>
      </c>
      <c r="AA904" s="4">
        <f ca="1">VLOOKUP($L904,OFFSET([2]enemies!$A$1,0,0,COUNTA([2]enemies!$A:$A),MATCH(AA$1,[2]enemies!$1:$1,0)-MATCH($L$1,[2]enemies!$1:$1,0)+1),MATCH(AA$1,[2]enemies!$1:$1,0)-MATCH($L$1,[2]enemies!$1:$1,0)+1,FALSE)</f>
        <v>2</v>
      </c>
      <c r="AB904" s="52">
        <v>63</v>
      </c>
      <c r="AC904" s="4" t="str">
        <f ca="1">VLOOKUP($AB904,OFFSET([3]characters!$A$1,0,0,COUNTA([3]characters!$A:$A),MATCH(AC$1,[3]characters!$1:$1,0)-MATCH("character_id",[3]characters!$1:$1,0)+1),MATCH(AC$1,[3]characters!$1:$1,0)-MATCH("character_id",[3]characters!$1:$1,0)+1,FALSE)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904" s="4">
        <f ca="1">VLOOKUP($AB904,OFFSET([3]characters!$A$1,0,0,COUNTA([3]characters!$A:$A),MATCH(AD$1,[3]characters!$1:$1,0)-MATCH("character_id",[3]characters!$1:$1,0)+1),MATCH(AD$1,[3]characters!$1:$1,0)-MATCH("character_id",[3]characters!$1:$1,0)+1,FALSE)</f>
        <v>2</v>
      </c>
      <c r="AE904" s="4" t="str">
        <f ca="1">VLOOKUP($AB904,OFFSET([3]characters!$A$1,0,0,COUNTA([3]characters!$A:$A),MATCH(AE$1,[3]characters!$1:$1,0)-MATCH("character_id",[3]characters!$1:$1,0)+1),MATCH(AE$1,[3]characters!$1:$1,0)-MATCH("character_id",[3]characters!$1:$1,0)+1,FALSE)</f>
        <v>Drop1N</v>
      </c>
      <c r="AF904" s="7">
        <v>7</v>
      </c>
      <c r="AG904" s="26">
        <f t="shared" ca="1" si="803"/>
        <v>2</v>
      </c>
      <c r="AH904" s="8">
        <v>20</v>
      </c>
      <c r="AI904" s="7">
        <v>0</v>
      </c>
      <c r="AJ904" s="7">
        <v>0</v>
      </c>
      <c r="AK904" s="7">
        <v>0</v>
      </c>
      <c r="AL904" s="7">
        <v>0</v>
      </c>
      <c r="AM904" s="7">
        <v>1</v>
      </c>
    </row>
    <row r="905" spans="1:39" ht="14" x14ac:dyDescent="0.15">
      <c r="A905" s="18" t="str">
        <f t="shared" ca="1" si="770"/>
        <v>26_5-4/360&lt;lv58&gt;s3</v>
      </c>
      <c r="B905" s="53">
        <v>26</v>
      </c>
      <c r="C905" s="51">
        <v>5</v>
      </c>
      <c r="D905" s="2" t="str">
        <f t="shared" ref="D905:D908" si="804">B905&amp;"_"&amp;C905</f>
        <v>26_5</v>
      </c>
      <c r="E905" s="2" t="str">
        <f t="shared" ref="E905:E908" si="805">C905&amp;"_"&amp;D905</f>
        <v>5_26_5</v>
      </c>
      <c r="F905" s="4" t="str">
        <f ca="1">VLOOKUP($D905,OFFSET([1]stages!$A$1,0,0,COUNTA([1]stages!$A:$A),MATCH(F$1,[1]stages!$2:$2,0)-MATCH($D$1,[1]stages!$2:$2,0)+1),MATCH(F$1,[1]stages!$2:$2,0)-MATCH($D$1,[1]stages!$2:$2,0)+1,FALSE)</f>
        <v>26-5．踊る強奪者</v>
      </c>
      <c r="G905" s="55">
        <v>4</v>
      </c>
      <c r="H905" s="17" t="str">
        <f t="shared" ref="H905:H908" si="806">B905&amp;"_"&amp;C905&amp;"-"&amp;G905</f>
        <v>26_5-4</v>
      </c>
      <c r="I905" s="17"/>
      <c r="J905" s="17"/>
      <c r="K905" s="65" t="s">
        <v>56</v>
      </c>
      <c r="L905" s="52">
        <v>360</v>
      </c>
      <c r="M905" s="21" t="str">
        <f ca="1">VLOOKUP($L905,OFFSET([2]enemies!$A$1,0,0,COUNTA([2]enemies!$A:$A),MATCH(M$1,[2]enemies!$1:$1,0)-MATCH($L$1,[2]enemies!$1:$1,0)+1),MATCH(M$1,[2]enemies!$1:$1,0)-MATCH($L$1,[2]enemies!$1:$1,0)+1,FALSE)</f>
        <v>ガンテツ</v>
      </c>
      <c r="N905" s="21" t="str">
        <f ca="1">VLOOKUP($L905,OFFSET([2]enemies!$A$1,0,0,COUNTA([2]enemies!$A:$A),MATCH(N$1,[2]enemies!$1:$1,0)-MATCH($L$1,[2]enemies!$1:$1,0)+1),MATCH(N$1,[2]enemies!$1:$1,0)-MATCH($L$1,[2]enemies!$1:$1,0)+1,FALSE)</f>
        <v>red</v>
      </c>
      <c r="O905" s="21" t="str">
        <f ca="1">VLOOKUP($L905,OFFSET([3]characters!$A$1,0,0,COUNTA([3]characters!$A:$A),MATCH(O$1,[3]characters!$1:$1,0)-MATCH($L$1,[3]characters!$1:$1,0)+1),MATCH(O$1,[3]characters!$1:$1,0)-MATCH($L$1,[3]characters!$1:$1,0)+1,FALSE)</f>
        <v>Drop1S</v>
      </c>
      <c r="P905" s="21" t="str">
        <f ca="1">VLOOKUP($L905,OFFSET([2]enemies!$A$1,0,0,COUNTA([2]enemies!$A:$A),MATCH(P$1,[2]enemies!$1:$1,0)-MATCH($L$1,[2]enemies!$1:$1,0)+1),MATCH(P$1,[2]enemies!$1:$1,0)-MATCH($L$1,[2]enemies!$1:$1,0)+1,FALSE)</f>
        <v>animal</v>
      </c>
      <c r="Q905" s="21">
        <f ca="1">VLOOKUP($L905,OFFSET([2]enemies!$A$1,0,0,COUNTA([2]enemies!$A:$A),MATCH(Q$1,[2]enemies!$1:$1,0)-MATCH($L$1,[2]enemies!$1:$1,0)+1),MATCH(Q$1,[2]enemies!$1:$1,0)-MATCH($L$1,[2]enemies!$1:$1,0)+1,FALSE)</f>
        <v>15</v>
      </c>
      <c r="R905" s="53">
        <v>58</v>
      </c>
      <c r="S905" s="27">
        <v>1</v>
      </c>
      <c r="T905" s="27">
        <v>1</v>
      </c>
      <c r="U905" s="5">
        <v>0</v>
      </c>
      <c r="V905" s="4" t="str">
        <f ca="1">VLOOKUP($W905,OFFSET([4]enemy_skill_sets!$B$1,0,0,COUNTA([4]enemy_skill_sets!$B:$B),MATCH(M$1,[4]enemy_skill_sets!$1:$1,0)-MATCH($W$1,[4]enemy_skill_sets!$1:$1,0)+2),MATCH(M$1,[4]enemy_skill_sets!$1:$1,0)-MATCH($W$1,[4]enemy_skill_sets!$1:$1,0)+2,FALSE)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905" s="76">
        <v>360</v>
      </c>
      <c r="X905" s="6">
        <v>0</v>
      </c>
      <c r="Y905" s="6">
        <v>100</v>
      </c>
      <c r="Z905" s="6">
        <v>0</v>
      </c>
      <c r="AA905" s="4">
        <f ca="1">VLOOKUP($L905,OFFSET([2]enemies!$A$1,0,0,COUNTA([2]enemies!$A:$A),MATCH(AA$1,[2]enemies!$1:$1,0)-MATCH($L$1,[2]enemies!$1:$1,0)+1),MATCH(AA$1,[2]enemies!$1:$1,0)-MATCH($L$1,[2]enemies!$1:$1,0)+1,FALSE)</f>
        <v>3</v>
      </c>
      <c r="AB905" s="52">
        <v>360</v>
      </c>
      <c r="AC905" s="4" t="str">
        <f ca="1">VLOOKUP($AB905,OFFSET([3]characters!$A$1,0,0,COUNTA([3]characters!$A:$A),MATCH(AC$1,[3]characters!$1:$1,0)-MATCH("character_id",[3]characters!$1:$1,0)+1),MATCH(AC$1,[3]characters!$1:$1,0)-MATCH("character_id",[3]characters!$1:$1,0)+1,FALSE)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905" s="4">
        <f ca="1">VLOOKUP($AB905,OFFSET([3]characters!$A$1,0,0,COUNTA([3]characters!$A:$A),MATCH(AD$1,[3]characters!$1:$1,0)-MATCH("character_id",[3]characters!$1:$1,0)+1),MATCH(AD$1,[3]characters!$1:$1,0)-MATCH("character_id",[3]characters!$1:$1,0)+1,FALSE)</f>
        <v>2</v>
      </c>
      <c r="AE905" s="4" t="str">
        <f ca="1">VLOOKUP($AB905,OFFSET([3]characters!$A$1,0,0,COUNTA([3]characters!$A:$A),MATCH(AE$1,[3]characters!$1:$1,0)-MATCH("character_id",[3]characters!$1:$1,0)+1),MATCH(AE$1,[3]characters!$1:$1,0)-MATCH("character_id",[3]characters!$1:$1,0)+1,FALSE)</f>
        <v>Drop1S</v>
      </c>
      <c r="AF905" s="7">
        <v>7</v>
      </c>
      <c r="AG905" s="26">
        <f t="shared" ca="1" si="803"/>
        <v>2</v>
      </c>
      <c r="AH905" s="8">
        <v>20</v>
      </c>
      <c r="AI905" s="7">
        <v>0</v>
      </c>
      <c r="AJ905" s="7">
        <v>0</v>
      </c>
      <c r="AK905" s="7">
        <v>0</v>
      </c>
      <c r="AL905" s="7">
        <v>0</v>
      </c>
      <c r="AM905" s="7">
        <v>1</v>
      </c>
    </row>
    <row r="906" spans="1:39" ht="14" x14ac:dyDescent="0.15">
      <c r="A906" s="18" t="str">
        <f t="shared" ca="1" si="770"/>
        <v>26_5-4/362&lt;lv58&gt;s3</v>
      </c>
      <c r="B906" s="53">
        <v>26</v>
      </c>
      <c r="C906" s="51">
        <v>5</v>
      </c>
      <c r="D906" s="2" t="str">
        <f t="shared" si="804"/>
        <v>26_5</v>
      </c>
      <c r="E906" s="2" t="str">
        <f t="shared" si="805"/>
        <v>5_26_5</v>
      </c>
      <c r="F906" s="4" t="str">
        <f ca="1">VLOOKUP($D906,OFFSET([1]stages!$A$1,0,0,COUNTA([1]stages!$A:$A),MATCH(F$1,[1]stages!$2:$2,0)-MATCH($D$1,[1]stages!$2:$2,0)+1),MATCH(F$1,[1]stages!$2:$2,0)-MATCH($D$1,[1]stages!$2:$2,0)+1,FALSE)</f>
        <v>26-5．踊る強奪者</v>
      </c>
      <c r="G906" s="55">
        <v>4</v>
      </c>
      <c r="H906" s="17" t="str">
        <f t="shared" si="806"/>
        <v>26_5-4</v>
      </c>
      <c r="I906" s="17"/>
      <c r="J906" s="17"/>
      <c r="K906" s="65" t="s">
        <v>56</v>
      </c>
      <c r="L906" s="52">
        <v>362</v>
      </c>
      <c r="M906" s="21" t="str">
        <f ca="1">VLOOKUP($L906,OFFSET([2]enemies!$A$1,0,0,COUNTA([2]enemies!$A:$A),MATCH(M$1,[2]enemies!$1:$1,0)-MATCH($L$1,[2]enemies!$1:$1,0)+1),MATCH(M$1,[2]enemies!$1:$1,0)-MATCH($L$1,[2]enemies!$1:$1,0)+1,FALSE)</f>
        <v>ゆらら</v>
      </c>
      <c r="N906" s="21" t="str">
        <f ca="1">VLOOKUP($L906,OFFSET([2]enemies!$A$1,0,0,COUNTA([2]enemies!$A:$A),MATCH(N$1,[2]enemies!$1:$1,0)-MATCH($L$1,[2]enemies!$1:$1,0)+1),MATCH(N$1,[2]enemies!$1:$1,0)-MATCH($L$1,[2]enemies!$1:$1,0)+1,FALSE)</f>
        <v>green</v>
      </c>
      <c r="O906" s="21" t="str">
        <f ca="1">VLOOKUP($L906,OFFSET([3]characters!$A$1,0,0,COUNTA([3]characters!$A:$A),MATCH(O$1,[3]characters!$1:$1,0)-MATCH($L$1,[3]characters!$1:$1,0)+1),MATCH(O$1,[3]characters!$1:$1,0)-MATCH($L$1,[3]characters!$1:$1,0)+1,FALSE)</f>
        <v>Drop1S</v>
      </c>
      <c r="P906" s="21" t="str">
        <f ca="1">VLOOKUP($L906,OFFSET([2]enemies!$A$1,0,0,COUNTA([2]enemies!$A:$A),MATCH(P$1,[2]enemies!$1:$1,0)-MATCH($L$1,[2]enemies!$1:$1,0)+1),MATCH(P$1,[2]enemies!$1:$1,0)-MATCH($L$1,[2]enemies!$1:$1,0)+1,FALSE)</f>
        <v>animal</v>
      </c>
      <c r="Q906" s="21">
        <f ca="1">VLOOKUP($L906,OFFSET([2]enemies!$A$1,0,0,COUNTA([2]enemies!$A:$A),MATCH(Q$1,[2]enemies!$1:$1,0)-MATCH($L$1,[2]enemies!$1:$1,0)+1),MATCH(Q$1,[2]enemies!$1:$1,0)-MATCH($L$1,[2]enemies!$1:$1,0)+1,FALSE)</f>
        <v>15</v>
      </c>
      <c r="R906" s="53">
        <v>58</v>
      </c>
      <c r="S906" s="27">
        <v>1</v>
      </c>
      <c r="T906" s="27">
        <v>1</v>
      </c>
      <c r="U906" s="5">
        <v>0</v>
      </c>
      <c r="V906" s="4" t="str">
        <f ca="1">VLOOKUP($W906,OFFSET([4]enemy_skill_sets!$B$1,0,0,COUNTA([4]enemy_skill_sets!$B:$B),MATCH(M$1,[4]enemy_skill_sets!$1:$1,0)-MATCH($W$1,[4]enemy_skill_sets!$1:$1,0)+2),MATCH(M$1,[4]enemy_skill_sets!$1:$1,0)-MATCH($W$1,[4]enemy_skill_sets!$1:$1,0)+2,FALSE)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906" s="64">
        <v>362</v>
      </c>
      <c r="X906" s="6">
        <v>0</v>
      </c>
      <c r="Y906" s="6">
        <v>100</v>
      </c>
      <c r="Z906" s="6">
        <v>0</v>
      </c>
      <c r="AA906" s="4">
        <f ca="1">VLOOKUP($L906,OFFSET([2]enemies!$A$1,0,0,COUNTA([2]enemies!$A:$A),MATCH(AA$1,[2]enemies!$1:$1,0)-MATCH($L$1,[2]enemies!$1:$1,0)+1),MATCH(AA$1,[2]enemies!$1:$1,0)-MATCH($L$1,[2]enemies!$1:$1,0)+1,FALSE)</f>
        <v>3</v>
      </c>
      <c r="AB906" s="52">
        <v>362</v>
      </c>
      <c r="AC906" s="4" t="str">
        <f ca="1">VLOOKUP($AB906,OFFSET([3]characters!$A$1,0,0,COUNTA([3]characters!$A:$A),MATCH(AC$1,[3]characters!$1:$1,0)-MATCH("character_id",[3]characters!$1:$1,0)+1),MATCH(AC$1,[3]characters!$1:$1,0)-MATCH("character_id",[3]characters!$1:$1,0)+1,FALSE)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906" s="4">
        <f ca="1">VLOOKUP($AB906,OFFSET([3]characters!$A$1,0,0,COUNTA([3]characters!$A:$A),MATCH(AD$1,[3]characters!$1:$1,0)-MATCH("character_id",[3]characters!$1:$1,0)+1),MATCH(AD$1,[3]characters!$1:$1,0)-MATCH("character_id",[3]characters!$1:$1,0)+1,FALSE)</f>
        <v>2</v>
      </c>
      <c r="AE906" s="4" t="str">
        <f ca="1">VLOOKUP($AB906,OFFSET([3]characters!$A$1,0,0,COUNTA([3]characters!$A:$A),MATCH(AE$1,[3]characters!$1:$1,0)-MATCH("character_id",[3]characters!$1:$1,0)+1),MATCH(AE$1,[3]characters!$1:$1,0)-MATCH("character_id",[3]characters!$1:$1,0)+1,FALSE)</f>
        <v>Drop1S</v>
      </c>
      <c r="AF906" s="7">
        <v>7</v>
      </c>
      <c r="AG906" s="26">
        <f t="shared" ca="1" si="803"/>
        <v>2</v>
      </c>
      <c r="AH906" s="8">
        <v>20</v>
      </c>
      <c r="AI906" s="7">
        <v>0</v>
      </c>
      <c r="AJ906" s="7">
        <v>0</v>
      </c>
      <c r="AK906" s="7">
        <v>0</v>
      </c>
      <c r="AL906" s="7">
        <v>0</v>
      </c>
      <c r="AM906" s="7">
        <v>1</v>
      </c>
    </row>
    <row r="907" spans="1:39" ht="14" x14ac:dyDescent="0.15">
      <c r="A907" s="18" t="str">
        <f t="shared" ca="1" si="770"/>
        <v>26_5-4/364&lt;lv58&gt;s3</v>
      </c>
      <c r="B907" s="53">
        <v>26</v>
      </c>
      <c r="C907" s="51">
        <v>5</v>
      </c>
      <c r="D907" s="2" t="str">
        <f t="shared" si="804"/>
        <v>26_5</v>
      </c>
      <c r="E907" s="2" t="str">
        <f t="shared" si="805"/>
        <v>5_26_5</v>
      </c>
      <c r="F907" s="4" t="str">
        <f ca="1">VLOOKUP($D907,OFFSET([1]stages!$A$1,0,0,COUNTA([1]stages!$A:$A),MATCH(F$1,[1]stages!$2:$2,0)-MATCH($D$1,[1]stages!$2:$2,0)+1),MATCH(F$1,[1]stages!$2:$2,0)-MATCH($D$1,[1]stages!$2:$2,0)+1,FALSE)</f>
        <v>26-5．踊る強奪者</v>
      </c>
      <c r="G907" s="55">
        <v>4</v>
      </c>
      <c r="H907" s="17" t="str">
        <f t="shared" si="806"/>
        <v>26_5-4</v>
      </c>
      <c r="I907" s="17"/>
      <c r="J907" s="17"/>
      <c r="K907" s="65" t="s">
        <v>56</v>
      </c>
      <c r="L907" s="52">
        <v>364</v>
      </c>
      <c r="M907" s="21" t="str">
        <f ca="1">VLOOKUP($L907,OFFSET([2]enemies!$A$1,0,0,COUNTA([2]enemies!$A:$A),MATCH(M$1,[2]enemies!$1:$1,0)-MATCH($L$1,[2]enemies!$1:$1,0)+1),MATCH(M$1,[2]enemies!$1:$1,0)-MATCH($L$1,[2]enemies!$1:$1,0)+1,FALSE)</f>
        <v>ノエル</v>
      </c>
      <c r="N907" s="21" t="str">
        <f ca="1">VLOOKUP($L907,OFFSET([2]enemies!$A$1,0,0,COUNTA([2]enemies!$A:$A),MATCH(N$1,[2]enemies!$1:$1,0)-MATCH($L$1,[2]enemies!$1:$1,0)+1),MATCH(N$1,[2]enemies!$1:$1,0)-MATCH($L$1,[2]enemies!$1:$1,0)+1,FALSE)</f>
        <v>blue</v>
      </c>
      <c r="O907" s="21" t="str">
        <f ca="1">VLOOKUP($L907,OFFSET([3]characters!$A$1,0,0,COUNTA([3]characters!$A:$A),MATCH(O$1,[3]characters!$1:$1,0)-MATCH($L$1,[3]characters!$1:$1,0)+1),MATCH(O$1,[3]characters!$1:$1,0)-MATCH($L$1,[3]characters!$1:$1,0)+1,FALSE)</f>
        <v>Drop1S</v>
      </c>
      <c r="P907" s="21" t="str">
        <f ca="1">VLOOKUP($L907,OFFSET([2]enemies!$A$1,0,0,COUNTA([2]enemies!$A:$A),MATCH(P$1,[2]enemies!$1:$1,0)-MATCH($L$1,[2]enemies!$1:$1,0)+1),MATCH(P$1,[2]enemies!$1:$1,0)-MATCH($L$1,[2]enemies!$1:$1,0)+1,FALSE)</f>
        <v>animal</v>
      </c>
      <c r="Q907" s="21">
        <f ca="1">VLOOKUP($L907,OFFSET([2]enemies!$A$1,0,0,COUNTA([2]enemies!$A:$A),MATCH(Q$1,[2]enemies!$1:$1,0)-MATCH($L$1,[2]enemies!$1:$1,0)+1),MATCH(Q$1,[2]enemies!$1:$1,0)-MATCH($L$1,[2]enemies!$1:$1,0)+1,FALSE)</f>
        <v>15</v>
      </c>
      <c r="R907" s="53">
        <v>58</v>
      </c>
      <c r="S907" s="27">
        <v>1</v>
      </c>
      <c r="T907" s="27">
        <v>1</v>
      </c>
      <c r="U907" s="5">
        <v>0</v>
      </c>
      <c r="V907" s="4" t="str">
        <f ca="1">VLOOKUP($W907,OFFSET([4]enemy_skill_sets!$B$1,0,0,COUNTA([4]enemy_skill_sets!$B:$B),MATCH(M$1,[4]enemy_skill_sets!$1:$1,0)-MATCH($W$1,[4]enemy_skill_sets!$1:$1,0)+2),MATCH(M$1,[4]enemy_skill_sets!$1:$1,0)-MATCH($W$1,[4]enemy_skill_sets!$1:$1,0)+2,FALSE)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907" s="64">
        <v>364</v>
      </c>
      <c r="X907" s="6">
        <v>0</v>
      </c>
      <c r="Y907" s="6">
        <v>100</v>
      </c>
      <c r="Z907" s="6">
        <v>0</v>
      </c>
      <c r="AA907" s="4">
        <f ca="1">VLOOKUP($L907,OFFSET([2]enemies!$A$1,0,0,COUNTA([2]enemies!$A:$A),MATCH(AA$1,[2]enemies!$1:$1,0)-MATCH($L$1,[2]enemies!$1:$1,0)+1),MATCH(AA$1,[2]enemies!$1:$1,0)-MATCH($L$1,[2]enemies!$1:$1,0)+1,FALSE)</f>
        <v>3</v>
      </c>
      <c r="AB907" s="52">
        <v>364</v>
      </c>
      <c r="AC907" s="4" t="str">
        <f ca="1">VLOOKUP($AB907,OFFSET([3]characters!$A$1,0,0,COUNTA([3]characters!$A:$A),MATCH(AC$1,[3]characters!$1:$1,0)-MATCH("character_id",[3]characters!$1:$1,0)+1),MATCH(AC$1,[3]characters!$1:$1,0)-MATCH("character_id",[3]characters!$1:$1,0)+1,FALSE)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907" s="4">
        <f ca="1">VLOOKUP($AB907,OFFSET([3]characters!$A$1,0,0,COUNTA([3]characters!$A:$A),MATCH(AD$1,[3]characters!$1:$1,0)-MATCH("character_id",[3]characters!$1:$1,0)+1),MATCH(AD$1,[3]characters!$1:$1,0)-MATCH("character_id",[3]characters!$1:$1,0)+1,FALSE)</f>
        <v>2</v>
      </c>
      <c r="AE907" s="4" t="str">
        <f ca="1">VLOOKUP($AB907,OFFSET([3]characters!$A$1,0,0,COUNTA([3]characters!$A:$A),MATCH(AE$1,[3]characters!$1:$1,0)-MATCH("character_id",[3]characters!$1:$1,0)+1),MATCH(AE$1,[3]characters!$1:$1,0)-MATCH("character_id",[3]characters!$1:$1,0)+1,FALSE)</f>
        <v>Drop1S</v>
      </c>
      <c r="AF907" s="7">
        <v>7</v>
      </c>
      <c r="AG907" s="26">
        <f t="shared" ca="1" si="803"/>
        <v>2</v>
      </c>
      <c r="AH907" s="8">
        <v>20</v>
      </c>
      <c r="AI907" s="7">
        <v>0</v>
      </c>
      <c r="AJ907" s="7">
        <v>0</v>
      </c>
      <c r="AK907" s="7">
        <v>0</v>
      </c>
      <c r="AL907" s="7">
        <v>0</v>
      </c>
      <c r="AM907" s="7">
        <v>1</v>
      </c>
    </row>
    <row r="908" spans="1:39" ht="14" x14ac:dyDescent="0.15">
      <c r="A908" s="18" t="str">
        <f t="shared" ca="1" si="770"/>
        <v>26_5-4/366&lt;lv58&gt;s3</v>
      </c>
      <c r="B908" s="53">
        <v>26</v>
      </c>
      <c r="C908" s="51">
        <v>5</v>
      </c>
      <c r="D908" s="2" t="str">
        <f t="shared" si="804"/>
        <v>26_5</v>
      </c>
      <c r="E908" s="2" t="str">
        <f t="shared" si="805"/>
        <v>5_26_5</v>
      </c>
      <c r="F908" s="4" t="str">
        <f ca="1">VLOOKUP($D908,OFFSET([1]stages!$A$1,0,0,COUNTA([1]stages!$A:$A),MATCH(F$1,[1]stages!$2:$2,0)-MATCH($D$1,[1]stages!$2:$2,0)+1),MATCH(F$1,[1]stages!$2:$2,0)-MATCH($D$1,[1]stages!$2:$2,0)+1,FALSE)</f>
        <v>26-5．踊る強奪者</v>
      </c>
      <c r="G908" s="55">
        <v>4</v>
      </c>
      <c r="H908" s="17" t="str">
        <f t="shared" si="806"/>
        <v>26_5-4</v>
      </c>
      <c r="I908" s="17"/>
      <c r="J908" s="17"/>
      <c r="K908" s="65" t="s">
        <v>56</v>
      </c>
      <c r="L908" s="52">
        <v>366</v>
      </c>
      <c r="M908" s="21" t="str">
        <f ca="1">VLOOKUP($L908,OFFSET([2]enemies!$A$1,0,0,COUNTA([2]enemies!$A:$A),MATCH(M$1,[2]enemies!$1:$1,0)-MATCH($L$1,[2]enemies!$1:$1,0)+1),MATCH(M$1,[2]enemies!$1:$1,0)-MATCH($L$1,[2]enemies!$1:$1,0)+1,FALSE)</f>
        <v>トト</v>
      </c>
      <c r="N908" s="21" t="str">
        <f ca="1">VLOOKUP($L908,OFFSET([2]enemies!$A$1,0,0,COUNTA([2]enemies!$A:$A),MATCH(N$1,[2]enemies!$1:$1,0)-MATCH($L$1,[2]enemies!$1:$1,0)+1),MATCH(N$1,[2]enemies!$1:$1,0)-MATCH($L$1,[2]enemies!$1:$1,0)+1,FALSE)</f>
        <v>yellow</v>
      </c>
      <c r="O908" s="21" t="str">
        <f ca="1">VLOOKUP($L908,OFFSET([3]characters!$A$1,0,0,COUNTA([3]characters!$A:$A),MATCH(O$1,[3]characters!$1:$1,0)-MATCH($L$1,[3]characters!$1:$1,0)+1),MATCH(O$1,[3]characters!$1:$1,0)-MATCH($L$1,[3]characters!$1:$1,0)+1,FALSE)</f>
        <v>Drop1S</v>
      </c>
      <c r="P908" s="21" t="str">
        <f ca="1">VLOOKUP($L908,OFFSET([2]enemies!$A$1,0,0,COUNTA([2]enemies!$A:$A),MATCH(P$1,[2]enemies!$1:$1,0)-MATCH($L$1,[2]enemies!$1:$1,0)+1),MATCH(P$1,[2]enemies!$1:$1,0)-MATCH($L$1,[2]enemies!$1:$1,0)+1,FALSE)</f>
        <v>animal</v>
      </c>
      <c r="Q908" s="21">
        <f ca="1">VLOOKUP($L908,OFFSET([2]enemies!$A$1,0,0,COUNTA([2]enemies!$A:$A),MATCH(Q$1,[2]enemies!$1:$1,0)-MATCH($L$1,[2]enemies!$1:$1,0)+1),MATCH(Q$1,[2]enemies!$1:$1,0)-MATCH($L$1,[2]enemies!$1:$1,0)+1,FALSE)</f>
        <v>15</v>
      </c>
      <c r="R908" s="53">
        <v>58</v>
      </c>
      <c r="S908" s="27">
        <v>1</v>
      </c>
      <c r="T908" s="27">
        <v>1</v>
      </c>
      <c r="U908" s="5">
        <v>0</v>
      </c>
      <c r="V908" s="4" t="str">
        <f ca="1">VLOOKUP($W908,OFFSET([4]enemy_skill_sets!$B$1,0,0,COUNTA([4]enemy_skill_sets!$B:$B),MATCH(M$1,[4]enemy_skill_sets!$1:$1,0)-MATCH($W$1,[4]enemy_skill_sets!$1:$1,0)+2),MATCH(M$1,[4]enemy_skill_sets!$1:$1,0)-MATCH($W$1,[4]enemy_skill_sets!$1:$1,0)+2,FALSE)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908" s="64">
        <v>366</v>
      </c>
      <c r="X908" s="6">
        <v>0</v>
      </c>
      <c r="Y908" s="6">
        <v>100</v>
      </c>
      <c r="Z908" s="6">
        <v>0</v>
      </c>
      <c r="AA908" s="4">
        <f ca="1">VLOOKUP($L908,OFFSET([2]enemies!$A$1,0,0,COUNTA([2]enemies!$A:$A),MATCH(AA$1,[2]enemies!$1:$1,0)-MATCH($L$1,[2]enemies!$1:$1,0)+1),MATCH(AA$1,[2]enemies!$1:$1,0)-MATCH($L$1,[2]enemies!$1:$1,0)+1,FALSE)</f>
        <v>3</v>
      </c>
      <c r="AB908" s="52">
        <v>366</v>
      </c>
      <c r="AC908" s="4" t="str">
        <f ca="1">VLOOKUP($AB908,OFFSET([3]characters!$A$1,0,0,COUNTA([3]characters!$A:$A),MATCH(AC$1,[3]characters!$1:$1,0)-MATCH("character_id",[3]characters!$1:$1,0)+1),MATCH(AC$1,[3]characters!$1:$1,0)-MATCH("character_id",[3]characters!$1:$1,0)+1,FALSE)</f>
        <v>トト</v>
      </c>
      <c r="AD908" s="4">
        <f ca="1">VLOOKUP($AB908,OFFSET([3]characters!$A$1,0,0,COUNTA([3]characters!$A:$A),MATCH(AD$1,[3]characters!$1:$1,0)-MATCH("character_id",[3]characters!$1:$1,0)+1),MATCH(AD$1,[3]characters!$1:$1,0)-MATCH("character_id",[3]characters!$1:$1,0)+1,FALSE)</f>
        <v>2</v>
      </c>
      <c r="AE908" s="4" t="str">
        <f ca="1">VLOOKUP($AB908,OFFSET([3]characters!$A$1,0,0,COUNTA([3]characters!$A:$A),MATCH(AE$1,[3]characters!$1:$1,0)-MATCH("character_id",[3]characters!$1:$1,0)+1),MATCH(AE$1,[3]characters!$1:$1,0)-MATCH("character_id",[3]characters!$1:$1,0)+1,FALSE)</f>
        <v>Drop1S</v>
      </c>
      <c r="AF908" s="7">
        <v>7</v>
      </c>
      <c r="AG908" s="26">
        <f t="shared" ca="1" si="803"/>
        <v>2</v>
      </c>
      <c r="AH908" s="8">
        <v>20</v>
      </c>
      <c r="AI908" s="7">
        <v>0</v>
      </c>
      <c r="AJ908" s="7">
        <v>0</v>
      </c>
      <c r="AK908" s="7">
        <v>0</v>
      </c>
      <c r="AL908" s="7">
        <v>0</v>
      </c>
      <c r="AM908" s="7">
        <v>1</v>
      </c>
    </row>
    <row r="909" spans="1:39" ht="14" x14ac:dyDescent="0.15">
      <c r="A909" s="18" t="str">
        <f t="shared" ca="1" si="770"/>
        <v>26_5-4/348&lt;lv58&gt;s3</v>
      </c>
      <c r="B909" s="53">
        <v>26</v>
      </c>
      <c r="C909" s="51">
        <v>5</v>
      </c>
      <c r="D909" s="2" t="str">
        <f t="shared" ref="D909:D910" si="807">B909&amp;"_"&amp;C909</f>
        <v>26_5</v>
      </c>
      <c r="E909" s="2" t="str">
        <f t="shared" ref="E909:E910" si="808">C909&amp;"_"&amp;D909</f>
        <v>5_26_5</v>
      </c>
      <c r="F909" s="4" t="str">
        <f ca="1">VLOOKUP($D909,OFFSET([1]stages!$A$1,0,0,COUNTA([1]stages!$A:$A),MATCH(F$1,[1]stages!$2:$2,0)-MATCH($D$1,[1]stages!$2:$2,0)+1),MATCH(F$1,[1]stages!$2:$2,0)-MATCH($D$1,[1]stages!$2:$2,0)+1,FALSE)</f>
        <v>26-5．踊る強奪者</v>
      </c>
      <c r="G909" s="55">
        <v>4</v>
      </c>
      <c r="H909" s="17" t="str">
        <f t="shared" ref="H909:H910" si="809">B909&amp;"_"&amp;C909&amp;"-"&amp;G909</f>
        <v>26_5-4</v>
      </c>
      <c r="I909" s="17"/>
      <c r="J909" s="17"/>
      <c r="K909" s="65" t="s">
        <v>56</v>
      </c>
      <c r="L909" s="52">
        <v>348</v>
      </c>
      <c r="M909" s="21" t="str">
        <f ca="1">VLOOKUP($L909,OFFSET([2]enemies!$A$1,0,0,COUNTA([2]enemies!$A:$A),MATCH(M$1,[2]enemies!$1:$1,0)-MATCH($L$1,[2]enemies!$1:$1,0)+1),MATCH(M$1,[2]enemies!$1:$1,0)-MATCH($L$1,[2]enemies!$1:$1,0)+1,FALSE)</f>
        <v>炎のケロケロ</v>
      </c>
      <c r="N909" s="21" t="str">
        <f ca="1">VLOOKUP($L909,OFFSET([2]enemies!$A$1,0,0,COUNTA([2]enemies!$A:$A),MATCH(N$1,[2]enemies!$1:$1,0)-MATCH($L$1,[2]enemies!$1:$1,0)+1),MATCH(N$1,[2]enemies!$1:$1,0)-MATCH($L$1,[2]enemies!$1:$1,0)+1,FALSE)</f>
        <v>red</v>
      </c>
      <c r="O909" s="21" t="str">
        <f ca="1">VLOOKUP($L909,OFFSET([3]characters!$A$1,0,0,COUNTA([3]characters!$A:$A),MATCH(O$1,[3]characters!$1:$1,0)-MATCH($L$1,[3]characters!$1:$1,0)+1),MATCH(O$1,[3]characters!$1:$1,0)-MATCH($L$1,[3]characters!$1:$1,0)+1,FALSE)</f>
        <v>Material</v>
      </c>
      <c r="P909" s="21" t="str">
        <f ca="1">VLOOKUP($L909,OFFSET([2]enemies!$A$1,0,0,COUNTA([2]enemies!$A:$A),MATCH(P$1,[2]enemies!$1:$1,0)-MATCH($L$1,[2]enemies!$1:$1,0)+1),MATCH(P$1,[2]enemies!$1:$1,0)-MATCH($L$1,[2]enemies!$1:$1,0)+1,FALSE)</f>
        <v>unknown</v>
      </c>
      <c r="Q909" s="21">
        <f ca="1">VLOOKUP($L909,OFFSET([2]enemies!$A$1,0,0,COUNTA([2]enemies!$A:$A),MATCH(Q$1,[2]enemies!$1:$1,0)-MATCH($L$1,[2]enemies!$1:$1,0)+1),MATCH(Q$1,[2]enemies!$1:$1,0)-MATCH($L$1,[2]enemies!$1:$1,0)+1,FALSE)</f>
        <v>15</v>
      </c>
      <c r="R909" s="53">
        <v>58</v>
      </c>
      <c r="S909" s="27">
        <v>1</v>
      </c>
      <c r="T909" s="27">
        <v>1</v>
      </c>
      <c r="U909" s="5">
        <v>0</v>
      </c>
      <c r="V909" s="4" t="str">
        <f ca="1">VLOOKUP($W909,OFFSET([4]enemy_skill_sets!$B$1,0,0,COUNTA([4]enemy_skill_sets!$B:$B),MATCH(M$1,[4]enemy_skill_sets!$1:$1,0)-MATCH($W$1,[4]enemy_skill_sets!$1:$1,0)+2),MATCH(M$1,[4]enemy_skill_sets!$1:$1,0)-MATCH($W$1,[4]enemy_skill_sets!$1:$1,0)+2,FALSE)</f>
        <v>2ターン赤パネルが使えない！</v>
      </c>
      <c r="W909" s="64">
        <v>348</v>
      </c>
      <c r="X909" s="6">
        <v>0</v>
      </c>
      <c r="Y909" s="6">
        <v>100</v>
      </c>
      <c r="Z909" s="6">
        <v>0</v>
      </c>
      <c r="AA909" s="4">
        <f ca="1">VLOOKUP($L909,OFFSET([2]enemies!$A$1,0,0,COUNTA([2]enemies!$A:$A),MATCH(AA$1,[2]enemies!$1:$1,0)-MATCH($L$1,[2]enemies!$1:$1,0)+1),MATCH(AA$1,[2]enemies!$1:$1,0)-MATCH($L$1,[2]enemies!$1:$1,0)+1,FALSE)</f>
        <v>3</v>
      </c>
      <c r="AB909" s="52">
        <v>348</v>
      </c>
      <c r="AC909" s="4" t="str">
        <f ca="1">VLOOKUP($AB909,OFFSET([3]characters!$A$1,0,0,COUNTA([3]characters!$A:$A),MATCH(AC$1,[3]characters!$1:$1,0)-MATCH("character_id",[3]characters!$1:$1,0)+1),MATCH(AC$1,[3]characters!$1:$1,0)-MATCH("character_id",[3]characters!$1:$1,0)+1,FALSE)</f>
        <v>炎のケロケロ</v>
      </c>
      <c r="AD909" s="4">
        <f ca="1">VLOOKUP($AB909,OFFSET([3]characters!$A$1,0,0,COUNTA([3]characters!$A:$A),MATCH(AD$1,[3]characters!$1:$1,0)-MATCH("character_id",[3]characters!$1:$1,0)+1),MATCH(AD$1,[3]characters!$1:$1,0)-MATCH("character_id",[3]characters!$1:$1,0)+1,FALSE)</f>
        <v>2</v>
      </c>
      <c r="AE909" s="4" t="str">
        <f ca="1">VLOOKUP($AB909,OFFSET([3]characters!$A$1,0,0,COUNTA([3]characters!$A:$A),MATCH(AE$1,[3]characters!$1:$1,0)-MATCH("character_id",[3]characters!$1:$1,0)+1),MATCH(AE$1,[3]characters!$1:$1,0)-MATCH("character_id",[3]characters!$1:$1,0)+1,FALSE)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09" s="7">
        <v>10</v>
      </c>
      <c r="AG909" s="26">
        <f t="shared" ca="1" si="803"/>
        <v>2</v>
      </c>
      <c r="AH909" s="8">
        <v>20</v>
      </c>
      <c r="AI909" s="7">
        <v>0</v>
      </c>
      <c r="AJ909" s="7">
        <v>0</v>
      </c>
      <c r="AK909" s="7">
        <v>0</v>
      </c>
      <c r="AL909" s="7">
        <v>0</v>
      </c>
      <c r="AM909" s="7">
        <v>1</v>
      </c>
    </row>
    <row r="910" spans="1:39" ht="14" x14ac:dyDescent="0.15">
      <c r="A910" s="18" t="str">
        <f t="shared" ca="1" si="770"/>
        <v>26_5-4/352&lt;lv58&gt;s3</v>
      </c>
      <c r="B910" s="53">
        <v>26</v>
      </c>
      <c r="C910" s="51">
        <v>5</v>
      </c>
      <c r="D910" s="2" t="str">
        <f t="shared" si="807"/>
        <v>26_5</v>
      </c>
      <c r="E910" s="2" t="str">
        <f t="shared" si="808"/>
        <v>5_26_5</v>
      </c>
      <c r="F910" s="4" t="str">
        <f ca="1">VLOOKUP($D910,OFFSET([1]stages!$A$1,0,0,COUNTA([1]stages!$A:$A),MATCH(F$1,[1]stages!$2:$2,0)-MATCH($D$1,[1]stages!$2:$2,0)+1),MATCH(F$1,[1]stages!$2:$2,0)-MATCH($D$1,[1]stages!$2:$2,0)+1,FALSE)</f>
        <v>26-5．踊る強奪者</v>
      </c>
      <c r="G910" s="55">
        <v>4</v>
      </c>
      <c r="H910" s="17" t="str">
        <f t="shared" si="809"/>
        <v>26_5-4</v>
      </c>
      <c r="I910" s="17"/>
      <c r="J910" s="17"/>
      <c r="K910" s="65" t="s">
        <v>56</v>
      </c>
      <c r="L910" s="52">
        <v>352</v>
      </c>
      <c r="M910" s="21" t="str">
        <f ca="1">VLOOKUP($L910,OFFSET([2]enemies!$A$1,0,0,COUNTA([2]enemies!$A:$A),MATCH(M$1,[2]enemies!$1:$1,0)-MATCH($L$1,[2]enemies!$1:$1,0)+1),MATCH(M$1,[2]enemies!$1:$1,0)-MATCH($L$1,[2]enemies!$1:$1,0)+1,FALSE)</f>
        <v>水のケロケロ</v>
      </c>
      <c r="N910" s="21" t="str">
        <f ca="1">VLOOKUP($L910,OFFSET([2]enemies!$A$1,0,0,COUNTA([2]enemies!$A:$A),MATCH(N$1,[2]enemies!$1:$1,0)-MATCH($L$1,[2]enemies!$1:$1,0)+1),MATCH(N$1,[2]enemies!$1:$1,0)-MATCH($L$1,[2]enemies!$1:$1,0)+1,FALSE)</f>
        <v>blue</v>
      </c>
      <c r="O910" s="21" t="str">
        <f ca="1">VLOOKUP($L910,OFFSET([3]characters!$A$1,0,0,COUNTA([3]characters!$A:$A),MATCH(O$1,[3]characters!$1:$1,0)-MATCH($L$1,[3]characters!$1:$1,0)+1),MATCH(O$1,[3]characters!$1:$1,0)-MATCH($L$1,[3]characters!$1:$1,0)+1,FALSE)</f>
        <v>Material</v>
      </c>
      <c r="P910" s="21" t="str">
        <f ca="1">VLOOKUP($L910,OFFSET([2]enemies!$A$1,0,0,COUNTA([2]enemies!$A:$A),MATCH(P$1,[2]enemies!$1:$1,0)-MATCH($L$1,[2]enemies!$1:$1,0)+1),MATCH(P$1,[2]enemies!$1:$1,0)-MATCH($L$1,[2]enemies!$1:$1,0)+1,FALSE)</f>
        <v>unknown</v>
      </c>
      <c r="Q910" s="21">
        <f ca="1">VLOOKUP($L910,OFFSET([2]enemies!$A$1,0,0,COUNTA([2]enemies!$A:$A),MATCH(Q$1,[2]enemies!$1:$1,0)-MATCH($L$1,[2]enemies!$1:$1,0)+1),MATCH(Q$1,[2]enemies!$1:$1,0)-MATCH($L$1,[2]enemies!$1:$1,0)+1,FALSE)</f>
        <v>15</v>
      </c>
      <c r="R910" s="53">
        <v>58</v>
      </c>
      <c r="S910" s="27">
        <v>1</v>
      </c>
      <c r="T910" s="27">
        <v>1</v>
      </c>
      <c r="U910" s="5">
        <v>0</v>
      </c>
      <c r="V910" s="4" t="str">
        <f ca="1">VLOOKUP($W910,OFFSET([4]enemy_skill_sets!$B$1,0,0,COUNTA([4]enemy_skill_sets!$B:$B),MATCH(M$1,[4]enemy_skill_sets!$1:$1,0)-MATCH($W$1,[4]enemy_skill_sets!$1:$1,0)+2),MATCH(M$1,[4]enemy_skill_sets!$1:$1,0)-MATCH($W$1,[4]enemy_skill_sets!$1:$1,0)+2,FALSE)</f>
        <v>2ターン青パネルが使えない！</v>
      </c>
      <c r="W910" s="64">
        <v>352</v>
      </c>
      <c r="X910" s="6">
        <v>0</v>
      </c>
      <c r="Y910" s="6">
        <v>100</v>
      </c>
      <c r="Z910" s="6">
        <v>0</v>
      </c>
      <c r="AA910" s="4">
        <f ca="1">VLOOKUP($L910,OFFSET([2]enemies!$A$1,0,0,COUNTA([2]enemies!$A:$A),MATCH(AA$1,[2]enemies!$1:$1,0)-MATCH($L$1,[2]enemies!$1:$1,0)+1),MATCH(AA$1,[2]enemies!$1:$1,0)-MATCH($L$1,[2]enemies!$1:$1,0)+1,FALSE)</f>
        <v>3</v>
      </c>
      <c r="AB910" s="52">
        <v>352</v>
      </c>
      <c r="AC910" s="4" t="str">
        <f ca="1">VLOOKUP($AB910,OFFSET([3]characters!$A$1,0,0,COUNTA([3]characters!$A:$A),MATCH(AC$1,[3]characters!$1:$1,0)-MATCH("character_id",[3]characters!$1:$1,0)+1),MATCH(AC$1,[3]characters!$1:$1,0)-MATCH("character_id",[3]characters!$1:$1,0)+1,FALSE)</f>
        <v>水のケロケロ</v>
      </c>
      <c r="AD910" s="4">
        <f ca="1">VLOOKUP($AB910,OFFSET([3]characters!$A$1,0,0,COUNTA([3]characters!$A:$A),MATCH(AD$1,[3]characters!$1:$1,0)-MATCH("character_id",[3]characters!$1:$1,0)+1),MATCH(AD$1,[3]characters!$1:$1,0)-MATCH("character_id",[3]characters!$1:$1,0)+1,FALSE)</f>
        <v>2</v>
      </c>
      <c r="AE910" s="4" t="str">
        <f ca="1">VLOOKUP($AB910,OFFSET([3]characters!$A$1,0,0,COUNTA([3]characters!$A:$A),MATCH(AE$1,[3]characters!$1:$1,0)-MATCH("character_id",[3]characters!$1:$1,0)+1),MATCH(AE$1,[3]characters!$1:$1,0)-MATCH("character_id",[3]characters!$1:$1,0)+1,FALSE)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10" s="7">
        <v>10</v>
      </c>
      <c r="AG910" s="26">
        <f t="shared" ca="1" si="803"/>
        <v>2</v>
      </c>
      <c r="AH910" s="8">
        <v>20</v>
      </c>
      <c r="AI910" s="7">
        <v>0</v>
      </c>
      <c r="AJ910" s="7">
        <v>0</v>
      </c>
      <c r="AK910" s="7">
        <v>0</v>
      </c>
      <c r="AL910" s="7">
        <v>0</v>
      </c>
      <c r="AM910" s="7">
        <v>1</v>
      </c>
    </row>
    <row r="911" spans="1:39" ht="14" x14ac:dyDescent="0.15">
      <c r="A911" s="18" t="str">
        <f t="shared" ref="A911:A939" ca="1" si="810">B911&amp;"_"&amp;C911&amp;"-"&amp;G911&amp;"/"&amp;L911&amp;"&lt;lv"&amp;R911&amp;"&gt;s"&amp;AA911</f>
        <v>26_5-5/33&lt;lv58&gt;s2</v>
      </c>
      <c r="B911" s="53">
        <v>26</v>
      </c>
      <c r="C911" s="51">
        <v>5</v>
      </c>
      <c r="D911" s="2" t="str">
        <f t="shared" ref="D911:E918" si="811">B911&amp;"_"&amp;C911</f>
        <v>26_5</v>
      </c>
      <c r="E911" s="2" t="str">
        <f t="shared" si="811"/>
        <v>5_26_5</v>
      </c>
      <c r="F911" s="4" t="str">
        <f ca="1">VLOOKUP($D911,OFFSET([1]stages!$A$1,0,0,COUNTA([1]stages!$A:$A),MATCH(F$1,[1]stages!$2:$2,0)-MATCH($D$1,[1]stages!$2:$2,0)+1),MATCH(F$1,[1]stages!$2:$2,0)-MATCH($D$1,[1]stages!$2:$2,0)+1,FALSE)</f>
        <v>26-5．踊る強奪者</v>
      </c>
      <c r="G911" s="56">
        <v>5</v>
      </c>
      <c r="H911" s="17" t="str">
        <f t="shared" ref="H911:H918" si="812">B911&amp;"_"&amp;C911&amp;"-"&amp;G911</f>
        <v>26_5-5</v>
      </c>
      <c r="I911" s="17"/>
      <c r="J911" s="17"/>
      <c r="K911" s="65" t="s">
        <v>56</v>
      </c>
      <c r="L911" s="52">
        <v>33</v>
      </c>
      <c r="M911" s="21" t="str">
        <f ca="1">VLOOKUP($L911,OFFSET([2]enemies!$A$1,0,0,COUNTA([2]enemies!$A:$A),MATCH(M$1,[2]enemies!$1:$1,0)-MATCH($L$1,[2]enemies!$1:$1,0)+1),MATCH(M$1,[2]enemies!$1:$1,0)-MATCH($L$1,[2]enemies!$1:$1,0)+1,FALSE)</f>
        <v>ゴクウ</v>
      </c>
      <c r="N911" s="21" t="str">
        <f ca="1">VLOOKUP($L911,OFFSET([2]enemies!$A$1,0,0,COUNTA([2]enemies!$A:$A),MATCH(N$1,[2]enemies!$1:$1,0)-MATCH($L$1,[2]enemies!$1:$1,0)+1),MATCH(N$1,[2]enemies!$1:$1,0)-MATCH($L$1,[2]enemies!$1:$1,0)+1,FALSE)</f>
        <v>red</v>
      </c>
      <c r="O911" s="21" t="str">
        <f ca="1">VLOOKUP($L911,OFFSET([3]characters!$A$1,0,0,COUNTA([3]characters!$A:$A),MATCH(O$1,[3]characters!$1:$1,0)-MATCH($L$1,[3]characters!$1:$1,0)+1),MATCH(O$1,[3]characters!$1:$1,0)-MATCH($L$1,[3]characters!$1:$1,0)+1,FALSE)</f>
        <v>Drop1S</v>
      </c>
      <c r="P911" s="21" t="str">
        <f ca="1">VLOOKUP($L911,OFFSET([2]enemies!$A$1,0,0,COUNTA([2]enemies!$A:$A),MATCH(P$1,[2]enemies!$1:$1,0)-MATCH($L$1,[2]enemies!$1:$1,0)+1),MATCH(P$1,[2]enemies!$1:$1,0)-MATCH($L$1,[2]enemies!$1:$1,0)+1,FALSE)</f>
        <v>animal</v>
      </c>
      <c r="Q911" s="21">
        <f ca="1">VLOOKUP($L911,OFFSET([2]enemies!$A$1,0,0,COUNTA([2]enemies!$A:$A),MATCH(Q$1,[2]enemies!$1:$1,0)-MATCH($L$1,[2]enemies!$1:$1,0)+1),MATCH(Q$1,[2]enemies!$1:$1,0)-MATCH($L$1,[2]enemies!$1:$1,0)+1,FALSE)</f>
        <v>15</v>
      </c>
      <c r="R911" s="53">
        <v>58</v>
      </c>
      <c r="S911" s="27">
        <v>1</v>
      </c>
      <c r="T911" s="27">
        <v>1</v>
      </c>
      <c r="U911" s="5">
        <v>0</v>
      </c>
      <c r="V911" s="4" t="str">
        <f ca="1">VLOOKUP($W911,OFFSET([4]enemy_skill_sets!$B$1,0,0,COUNTA([4]enemy_skill_sets!$B:$B),MATCH(M$1,[4]enemy_skill_sets!$1:$1,0)-MATCH($W$1,[4]enemy_skill_sets!$1:$1,0)+2),MATCH(M$1,[4]enemy_skill_sets!$1:$1,0)-MATCH($W$1,[4]enemy_skill_sets!$1:$1,0)+2,FALSE)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911" s="4">
        <f ca="1">VLOOKUP($L911,OFFSET([2]enemies!$A$1,0,0,COUNTA([2]enemies!$A:$A),MATCH(W$1,[2]enemies!$1:$1,0)-MATCH($L$1,[2]enemies!$1:$1,0)+1),MATCH(W$1,[2]enemies!$1:$1,0)-MATCH($L$1,[2]enemies!$1:$1,0)+1,FALSE)</f>
        <v>33</v>
      </c>
      <c r="X911" s="6">
        <v>0</v>
      </c>
      <c r="Y911" s="6">
        <v>100</v>
      </c>
      <c r="Z911" s="6">
        <v>0</v>
      </c>
      <c r="AA911" s="4">
        <f ca="1">VLOOKUP($L911,OFFSET([2]enemies!$A$1,0,0,COUNTA([2]enemies!$A:$A),MATCH(AA$1,[2]enemies!$1:$1,0)-MATCH($L$1,[2]enemies!$1:$1,0)+1),MATCH(AA$1,[2]enemies!$1:$1,0)-MATCH($L$1,[2]enemies!$1:$1,0)+1,FALSE)</f>
        <v>2</v>
      </c>
      <c r="AB911" s="52">
        <v>33</v>
      </c>
      <c r="AC911" s="4" t="str">
        <f ca="1">VLOOKUP($AB911,OFFSET([3]characters!$A$1,0,0,COUNTA([3]characters!$A:$A),MATCH(AC$1,[3]characters!$1:$1,0)-MATCH("character_id",[3]characters!$1:$1,0)+1),MATCH(AC$1,[3]characters!$1:$1,0)-MATCH("character_id",[3]characters!$1:$1,0)+1,FALSE)</f>
        <v>ゴクウ</v>
      </c>
      <c r="AD911" s="4">
        <f ca="1">VLOOKUP($AB911,OFFSET([3]characters!$A$1,0,0,COUNTA([3]characters!$A:$A),MATCH(AD$1,[3]characters!$1:$1,0)-MATCH("character_id",[3]characters!$1:$1,0)+1),MATCH(AD$1,[3]characters!$1:$1,0)-MATCH("character_id",[3]characters!$1:$1,0)+1,FALSE)</f>
        <v>2</v>
      </c>
      <c r="AE911" s="4" t="str">
        <f ca="1">VLOOKUP($AB911,OFFSET([3]characters!$A$1,0,0,COUNTA([3]characters!$A:$A),MATCH(AE$1,[3]characters!$1:$1,0)-MATCH("character_id",[3]characters!$1:$1,0)+1),MATCH(AE$1,[3]characters!$1:$1,0)-MATCH("character_id",[3]characters!$1:$1,0)+1,FALSE)</f>
        <v>Drop1S</v>
      </c>
      <c r="AF911" s="7">
        <v>5</v>
      </c>
      <c r="AG911" s="26">
        <f t="shared" ca="1" si="803"/>
        <v>2</v>
      </c>
      <c r="AH911" s="8">
        <v>20</v>
      </c>
      <c r="AI911" s="7">
        <v>0</v>
      </c>
      <c r="AJ911" s="7">
        <v>0</v>
      </c>
      <c r="AK911" s="7">
        <v>0</v>
      </c>
      <c r="AL911" s="7">
        <v>0</v>
      </c>
      <c r="AM911" s="7">
        <v>1</v>
      </c>
    </row>
    <row r="912" spans="1:39" ht="14" x14ac:dyDescent="0.15">
      <c r="A912" s="18" t="str">
        <f t="shared" ca="1" si="810"/>
        <v>26_5-5/37&lt;lv58&gt;s3</v>
      </c>
      <c r="B912" s="53">
        <v>26</v>
      </c>
      <c r="C912" s="51">
        <v>5</v>
      </c>
      <c r="D912" s="2" t="str">
        <f t="shared" si="811"/>
        <v>26_5</v>
      </c>
      <c r="E912" s="2" t="str">
        <f t="shared" si="811"/>
        <v>5_26_5</v>
      </c>
      <c r="F912" s="4" t="str">
        <f ca="1">VLOOKUP($D912,OFFSET([1]stages!$A$1,0,0,COUNTA([1]stages!$A:$A),MATCH(F$1,[1]stages!$2:$2,0)-MATCH($D$1,[1]stages!$2:$2,0)+1),MATCH(F$1,[1]stages!$2:$2,0)-MATCH($D$1,[1]stages!$2:$2,0)+1,FALSE)</f>
        <v>26-5．踊る強奪者</v>
      </c>
      <c r="G912" s="56">
        <v>5</v>
      </c>
      <c r="H912" s="17" t="str">
        <f t="shared" si="812"/>
        <v>26_5-5</v>
      </c>
      <c r="I912" s="17"/>
      <c r="J912" s="17"/>
      <c r="K912" s="65" t="s">
        <v>56</v>
      </c>
      <c r="L912" s="52">
        <v>37</v>
      </c>
      <c r="M912" s="21" t="str">
        <f ca="1">VLOOKUP($L912,OFFSET([2]enemies!$A$1,0,0,COUNTA([2]enemies!$A:$A),MATCH(M$1,[2]enemies!$1:$1,0)-MATCH($L$1,[2]enemies!$1:$1,0)+1),MATCH(M$1,[2]enemies!$1:$1,0)-MATCH($L$1,[2]enemies!$1:$1,0)+1,FALSE)</f>
        <v>ガイル</v>
      </c>
      <c r="N912" s="21" t="str">
        <f ca="1">VLOOKUP($L912,OFFSET([2]enemies!$A$1,0,0,COUNTA([2]enemies!$A:$A),MATCH(N$1,[2]enemies!$1:$1,0)-MATCH($L$1,[2]enemies!$1:$1,0)+1),MATCH(N$1,[2]enemies!$1:$1,0)-MATCH($L$1,[2]enemies!$1:$1,0)+1,FALSE)</f>
        <v>blue</v>
      </c>
      <c r="O912" s="21" t="str">
        <f ca="1">VLOOKUP($L912,OFFSET([3]characters!$A$1,0,0,COUNTA([3]characters!$A:$A),MATCH(O$1,[3]characters!$1:$1,0)-MATCH($L$1,[3]characters!$1:$1,0)+1),MATCH(O$1,[3]characters!$1:$1,0)-MATCH($L$1,[3]characters!$1:$1,0)+1,FALSE)</f>
        <v>Drop1S</v>
      </c>
      <c r="P912" s="21" t="str">
        <f ca="1">VLOOKUP($L912,OFFSET([2]enemies!$A$1,0,0,COUNTA([2]enemies!$A:$A),MATCH(P$1,[2]enemies!$1:$1,0)-MATCH($L$1,[2]enemies!$1:$1,0)+1),MATCH(P$1,[2]enemies!$1:$1,0)-MATCH($L$1,[2]enemies!$1:$1,0)+1,FALSE)</f>
        <v>animal</v>
      </c>
      <c r="Q912" s="21">
        <f ca="1">VLOOKUP($L912,OFFSET([2]enemies!$A$1,0,0,COUNTA([2]enemies!$A:$A),MATCH(Q$1,[2]enemies!$1:$1,0)-MATCH($L$1,[2]enemies!$1:$1,0)+1),MATCH(Q$1,[2]enemies!$1:$1,0)-MATCH($L$1,[2]enemies!$1:$1,0)+1,FALSE)</f>
        <v>15</v>
      </c>
      <c r="R912" s="53">
        <v>58</v>
      </c>
      <c r="S912" s="27">
        <v>1</v>
      </c>
      <c r="T912" s="27">
        <v>1</v>
      </c>
      <c r="U912" s="5">
        <v>0</v>
      </c>
      <c r="V912" s="4" t="str">
        <f ca="1">VLOOKUP($W912,OFFSET([4]enemy_skill_sets!$B$1,0,0,COUNTA([4]enemy_skill_sets!$B:$B),MATCH(M$1,[4]enemy_skill_sets!$1:$1,0)-MATCH($W$1,[4]enemy_skill_sets!$1:$1,0)+2),MATCH(M$1,[4]enemy_skill_sets!$1:$1,0)-MATCH($W$1,[4]enemy_skill_sets!$1:$1,0)+2,FALSE)</f>
        <v>じっとこちらを見ている</v>
      </c>
      <c r="W912" s="4">
        <f ca="1">VLOOKUP($L912,OFFSET([2]enemies!$A$1,0,0,COUNTA([2]enemies!$A:$A),MATCH(W$1,[2]enemies!$1:$1,0)-MATCH($L$1,[2]enemies!$1:$1,0)+1),MATCH(W$1,[2]enemies!$1:$1,0)-MATCH($L$1,[2]enemies!$1:$1,0)+1,FALSE)</f>
        <v>37</v>
      </c>
      <c r="X912" s="6">
        <v>0</v>
      </c>
      <c r="Y912" s="6">
        <v>100</v>
      </c>
      <c r="Z912" s="6">
        <v>0</v>
      </c>
      <c r="AA912" s="4">
        <f ca="1">VLOOKUP($L912,OFFSET([2]enemies!$A$1,0,0,COUNTA([2]enemies!$A:$A),MATCH(AA$1,[2]enemies!$1:$1,0)-MATCH($L$1,[2]enemies!$1:$1,0)+1),MATCH(AA$1,[2]enemies!$1:$1,0)-MATCH($L$1,[2]enemies!$1:$1,0)+1,FALSE)</f>
        <v>3</v>
      </c>
      <c r="AB912" s="52">
        <v>37</v>
      </c>
      <c r="AC912" s="4" t="str">
        <f ca="1">VLOOKUP($AB912,OFFSET([3]characters!$A$1,0,0,COUNTA([3]characters!$A:$A),MATCH(AC$1,[3]characters!$1:$1,0)-MATCH("character_id",[3]characters!$1:$1,0)+1),MATCH(AC$1,[3]characters!$1:$1,0)-MATCH("character_id",[3]characters!$1:$1,0)+1,FALSE)</f>
        <v>ガイル</v>
      </c>
      <c r="AD912" s="4">
        <f ca="1">VLOOKUP($AB912,OFFSET([3]characters!$A$1,0,0,COUNTA([3]characters!$A:$A),MATCH(AD$1,[3]characters!$1:$1,0)-MATCH("character_id",[3]characters!$1:$1,0)+1),MATCH(AD$1,[3]characters!$1:$1,0)-MATCH("character_id",[3]characters!$1:$1,0)+1,FALSE)</f>
        <v>2</v>
      </c>
      <c r="AE912" s="4" t="str">
        <f ca="1">VLOOKUP($AB912,OFFSET([3]characters!$A$1,0,0,COUNTA([3]characters!$A:$A),MATCH(AE$1,[3]characters!$1:$1,0)-MATCH("character_id",[3]characters!$1:$1,0)+1),MATCH(AE$1,[3]characters!$1:$1,0)-MATCH("character_id",[3]characters!$1:$1,0)+1,FALSE)</f>
        <v>Drop1S</v>
      </c>
      <c r="AF912" s="7">
        <v>5</v>
      </c>
      <c r="AG912" s="26">
        <f t="shared" ca="1" si="803"/>
        <v>2</v>
      </c>
      <c r="AH912" s="8">
        <v>20</v>
      </c>
      <c r="AI912" s="7">
        <v>0</v>
      </c>
      <c r="AJ912" s="7">
        <v>0</v>
      </c>
      <c r="AK912" s="7">
        <v>0</v>
      </c>
      <c r="AL912" s="7">
        <v>0</v>
      </c>
      <c r="AM912" s="7">
        <v>1</v>
      </c>
    </row>
    <row r="913" spans="1:39" ht="14" x14ac:dyDescent="0.15">
      <c r="A913" s="18" t="str">
        <f t="shared" ca="1" si="810"/>
        <v>26_5-5/45&lt;lv58&gt;s3</v>
      </c>
      <c r="B913" s="53">
        <v>26</v>
      </c>
      <c r="C913" s="51">
        <v>5</v>
      </c>
      <c r="D913" s="2" t="str">
        <f t="shared" si="811"/>
        <v>26_5</v>
      </c>
      <c r="E913" s="2" t="str">
        <f t="shared" si="811"/>
        <v>5_26_5</v>
      </c>
      <c r="F913" s="4" t="str">
        <f ca="1">VLOOKUP($D913,OFFSET([1]stages!$A$1,0,0,COUNTA([1]stages!$A:$A),MATCH(F$1,[1]stages!$2:$2,0)-MATCH($D$1,[1]stages!$2:$2,0)+1),MATCH(F$1,[1]stages!$2:$2,0)-MATCH($D$1,[1]stages!$2:$2,0)+1,FALSE)</f>
        <v>26-5．踊る強奪者</v>
      </c>
      <c r="G913" s="56">
        <v>5</v>
      </c>
      <c r="H913" s="17" t="str">
        <f t="shared" si="812"/>
        <v>26_5-5</v>
      </c>
      <c r="I913" s="17"/>
      <c r="J913" s="17"/>
      <c r="K913" s="65" t="s">
        <v>56</v>
      </c>
      <c r="L913" s="52">
        <v>45</v>
      </c>
      <c r="M913" s="21" t="str">
        <f ca="1">VLOOKUP($L913,OFFSET([2]enemies!$A$1,0,0,COUNTA([2]enemies!$A:$A),MATCH(M$1,[2]enemies!$1:$1,0)-MATCH($L$1,[2]enemies!$1:$1,0)+1),MATCH(M$1,[2]enemies!$1:$1,0)-MATCH($L$1,[2]enemies!$1:$1,0)+1,FALSE)</f>
        <v>ショウイン</v>
      </c>
      <c r="N913" s="21" t="str">
        <f ca="1">VLOOKUP($L913,OFFSET([2]enemies!$A$1,0,0,COUNTA([2]enemies!$A:$A),MATCH(N$1,[2]enemies!$1:$1,0)-MATCH($L$1,[2]enemies!$1:$1,0)+1),MATCH(N$1,[2]enemies!$1:$1,0)-MATCH($L$1,[2]enemies!$1:$1,0)+1,FALSE)</f>
        <v>blue</v>
      </c>
      <c r="O913" s="21" t="str">
        <f ca="1">VLOOKUP($L913,OFFSET([3]characters!$A$1,0,0,COUNTA([3]characters!$A:$A),MATCH(O$1,[3]characters!$1:$1,0)-MATCH($L$1,[3]characters!$1:$1,0)+1),MATCH(O$1,[3]characters!$1:$1,0)-MATCH($L$1,[3]characters!$1:$1,0)+1,FALSE)</f>
        <v>Drop1N</v>
      </c>
      <c r="P913" s="21" t="str">
        <f ca="1">VLOOKUP($L913,OFFSET([2]enemies!$A$1,0,0,COUNTA([2]enemies!$A:$A),MATCH(P$1,[2]enemies!$1:$1,0)-MATCH($L$1,[2]enemies!$1:$1,0)+1),MATCH(P$1,[2]enemies!$1:$1,0)-MATCH($L$1,[2]enemies!$1:$1,0)+1,FALSE)</f>
        <v>animal</v>
      </c>
      <c r="Q913" s="21">
        <f ca="1">VLOOKUP($L913,OFFSET([2]enemies!$A$1,0,0,COUNTA([2]enemies!$A:$A),MATCH(Q$1,[2]enemies!$1:$1,0)-MATCH($L$1,[2]enemies!$1:$1,0)+1),MATCH(Q$1,[2]enemies!$1:$1,0)-MATCH($L$1,[2]enemies!$1:$1,0)+1,FALSE)</f>
        <v>15</v>
      </c>
      <c r="R913" s="53">
        <v>58</v>
      </c>
      <c r="S913" s="27">
        <v>1</v>
      </c>
      <c r="T913" s="27">
        <v>1</v>
      </c>
      <c r="U913" s="5">
        <v>0</v>
      </c>
      <c r="V913" s="4" t="str">
        <f ca="1">VLOOKUP($W913,OFFSET([4]enemy_skill_sets!$B$1,0,0,COUNTA([4]enemy_skill_sets!$B:$B),MATCH(M$1,[4]enemy_skill_sets!$1:$1,0)-MATCH($W$1,[4]enemy_skill_sets!$1:$1,0)+2),MATCH(M$1,[4]enemy_skill_sets!$1:$1,0)-MATCH($W$1,[4]enemy_skill_sets!$1:$1,0)+2,FALSE)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13" s="4">
        <f ca="1">VLOOKUP($L913,OFFSET([2]enemies!$A$1,0,0,COUNTA([2]enemies!$A:$A),MATCH(W$1,[2]enemies!$1:$1,0)-MATCH($L$1,[2]enemies!$1:$1,0)+1),MATCH(W$1,[2]enemies!$1:$1,0)-MATCH($L$1,[2]enemies!$1:$1,0)+1,FALSE)</f>
        <v>0</v>
      </c>
      <c r="X913" s="6">
        <v>0</v>
      </c>
      <c r="Y913" s="6">
        <v>100</v>
      </c>
      <c r="Z913" s="6">
        <v>0</v>
      </c>
      <c r="AA913" s="4">
        <f ca="1">VLOOKUP($L913,OFFSET([2]enemies!$A$1,0,0,COUNTA([2]enemies!$A:$A),MATCH(AA$1,[2]enemies!$1:$1,0)-MATCH($L$1,[2]enemies!$1:$1,0)+1),MATCH(AA$1,[2]enemies!$1:$1,0)-MATCH($L$1,[2]enemies!$1:$1,0)+1,FALSE)</f>
        <v>3</v>
      </c>
      <c r="AB913" s="52">
        <v>45</v>
      </c>
      <c r="AC913" s="4" t="str">
        <f ca="1">VLOOKUP($AB913,OFFSET([3]characters!$A$1,0,0,COUNTA([3]characters!$A:$A),MATCH(AC$1,[3]characters!$1:$1,0)-MATCH("character_id",[3]characters!$1:$1,0)+1),MATCH(AC$1,[3]characters!$1:$1,0)-MATCH("character_id",[3]characters!$1:$1,0)+1,FALSE)</f>
        <v>ショウイン</v>
      </c>
      <c r="AD913" s="4">
        <f ca="1">VLOOKUP($AB913,OFFSET([3]characters!$A$1,0,0,COUNTA([3]characters!$A:$A),MATCH(AD$1,[3]characters!$1:$1,0)-MATCH("character_id",[3]characters!$1:$1,0)+1),MATCH(AD$1,[3]characters!$1:$1,0)-MATCH("character_id",[3]characters!$1:$1,0)+1,FALSE)</f>
        <v>2</v>
      </c>
      <c r="AE913" s="4" t="str">
        <f ca="1">VLOOKUP($AB913,OFFSET([3]characters!$A$1,0,0,COUNTA([3]characters!$A:$A),MATCH(AE$1,[3]characters!$1:$1,0)-MATCH("character_id",[3]characters!$1:$1,0)+1),MATCH(AE$1,[3]characters!$1:$1,0)-MATCH("character_id",[3]characters!$1:$1,0)+1,FALSE)</f>
        <v>Drop1N</v>
      </c>
      <c r="AF913" s="7">
        <v>7</v>
      </c>
      <c r="AG913" s="26">
        <f t="shared" ca="1" si="803"/>
        <v>2</v>
      </c>
      <c r="AH913" s="8">
        <v>20</v>
      </c>
      <c r="AI913" s="7">
        <v>0</v>
      </c>
      <c r="AJ913" s="7">
        <v>0</v>
      </c>
      <c r="AK913" s="7">
        <v>0</v>
      </c>
      <c r="AL913" s="7">
        <v>0</v>
      </c>
      <c r="AM913" s="7">
        <v>1</v>
      </c>
    </row>
    <row r="914" spans="1:39" ht="14" x14ac:dyDescent="0.15">
      <c r="A914" s="18" t="str">
        <f t="shared" ca="1" si="810"/>
        <v>26_5-5/47&lt;lv58&gt;s1</v>
      </c>
      <c r="B914" s="53">
        <v>26</v>
      </c>
      <c r="C914" s="51">
        <v>5</v>
      </c>
      <c r="D914" s="2" t="str">
        <f t="shared" si="811"/>
        <v>26_5</v>
      </c>
      <c r="E914" s="2" t="str">
        <f t="shared" si="811"/>
        <v>5_26_5</v>
      </c>
      <c r="F914" s="4" t="str">
        <f ca="1">VLOOKUP($D914,OFFSET([1]stages!$A$1,0,0,COUNTA([1]stages!$A:$A),MATCH(F$1,[1]stages!$2:$2,0)-MATCH($D$1,[1]stages!$2:$2,0)+1),MATCH(F$1,[1]stages!$2:$2,0)-MATCH($D$1,[1]stages!$2:$2,0)+1,FALSE)</f>
        <v>26-5．踊る強奪者</v>
      </c>
      <c r="G914" s="56">
        <v>5</v>
      </c>
      <c r="H914" s="17" t="str">
        <f t="shared" si="812"/>
        <v>26_5-5</v>
      </c>
      <c r="I914" s="17"/>
      <c r="J914" s="17"/>
      <c r="K914" s="65" t="s">
        <v>56</v>
      </c>
      <c r="L914" s="52">
        <v>47</v>
      </c>
      <c r="M914" s="21" t="str">
        <f ca="1">VLOOKUP($L914,OFFSET([2]enemies!$A$1,0,0,COUNTA([2]enemies!$A:$A),MATCH(M$1,[2]enemies!$1:$1,0)-MATCH($L$1,[2]enemies!$1:$1,0)+1),MATCH(M$1,[2]enemies!$1:$1,0)-MATCH($L$1,[2]enemies!$1:$1,0)+1,FALSE)</f>
        <v>ヒロ</v>
      </c>
      <c r="N914" s="21" t="str">
        <f ca="1">VLOOKUP($L914,OFFSET([2]enemies!$A$1,0,0,COUNTA([2]enemies!$A:$A),MATCH(N$1,[2]enemies!$1:$1,0)-MATCH($L$1,[2]enemies!$1:$1,0)+1),MATCH(N$1,[2]enemies!$1:$1,0)-MATCH($L$1,[2]enemies!$1:$1,0)+1,FALSE)</f>
        <v>yellow</v>
      </c>
      <c r="O914" s="21" t="str">
        <f ca="1">VLOOKUP($L914,OFFSET([3]characters!$A$1,0,0,COUNTA([3]characters!$A:$A),MATCH(O$1,[3]characters!$1:$1,0)-MATCH($L$1,[3]characters!$1:$1,0)+1),MATCH(O$1,[3]characters!$1:$1,0)-MATCH($L$1,[3]characters!$1:$1,0)+1,FALSE)</f>
        <v>Drop1N</v>
      </c>
      <c r="P914" s="21" t="str">
        <f ca="1">VLOOKUP($L914,OFFSET([2]enemies!$A$1,0,0,COUNTA([2]enemies!$A:$A),MATCH(P$1,[2]enemies!$1:$1,0)-MATCH($L$1,[2]enemies!$1:$1,0)+1),MATCH(P$1,[2]enemies!$1:$1,0)-MATCH($L$1,[2]enemies!$1:$1,0)+1,FALSE)</f>
        <v>animal</v>
      </c>
      <c r="Q914" s="21">
        <f ca="1">VLOOKUP($L914,OFFSET([2]enemies!$A$1,0,0,COUNTA([2]enemies!$A:$A),MATCH(Q$1,[2]enemies!$1:$1,0)-MATCH($L$1,[2]enemies!$1:$1,0)+1),MATCH(Q$1,[2]enemies!$1:$1,0)-MATCH($L$1,[2]enemies!$1:$1,0)+1,FALSE)</f>
        <v>15</v>
      </c>
      <c r="R914" s="53">
        <v>58</v>
      </c>
      <c r="S914" s="27">
        <v>1</v>
      </c>
      <c r="T914" s="27">
        <v>1</v>
      </c>
      <c r="U914" s="5">
        <v>0</v>
      </c>
      <c r="V914" s="4" t="str">
        <f ca="1">VLOOKUP($W914,OFFSET([4]enemy_skill_sets!$B$1,0,0,COUNTA([4]enemy_skill_sets!$B:$B),MATCH(M$1,[4]enemy_skill_sets!$1:$1,0)-MATCH($W$1,[4]enemy_skill_sets!$1:$1,0)+2),MATCH(M$1,[4]enemy_skill_sets!$1:$1,0)-MATCH($W$1,[4]enemy_skill_sets!$1:$1,0)+2,FALSE)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14" s="4">
        <f ca="1">VLOOKUP($L914,OFFSET([2]enemies!$A$1,0,0,COUNTA([2]enemies!$A:$A),MATCH(W$1,[2]enemies!$1:$1,0)-MATCH($L$1,[2]enemies!$1:$1,0)+1),MATCH(W$1,[2]enemies!$1:$1,0)-MATCH($L$1,[2]enemies!$1:$1,0)+1,FALSE)</f>
        <v>0</v>
      </c>
      <c r="X914" s="6">
        <v>0</v>
      </c>
      <c r="Y914" s="6">
        <v>100</v>
      </c>
      <c r="Z914" s="6">
        <v>0</v>
      </c>
      <c r="AA914" s="4">
        <f ca="1">VLOOKUP($L914,OFFSET([2]enemies!$A$1,0,0,COUNTA([2]enemies!$A:$A),MATCH(AA$1,[2]enemies!$1:$1,0)-MATCH($L$1,[2]enemies!$1:$1,0)+1),MATCH(AA$1,[2]enemies!$1:$1,0)-MATCH($L$1,[2]enemies!$1:$1,0)+1,FALSE)</f>
        <v>1</v>
      </c>
      <c r="AB914" s="52">
        <v>47</v>
      </c>
      <c r="AC914" s="4" t="str">
        <f ca="1">VLOOKUP($AB914,OFFSET([3]characters!$A$1,0,0,COUNTA([3]characters!$A:$A),MATCH(AC$1,[3]characters!$1:$1,0)-MATCH("character_id",[3]characters!$1:$1,0)+1),MATCH(AC$1,[3]characters!$1:$1,0)-MATCH("character_id",[3]characters!$1:$1,0)+1,FALSE)</f>
        <v>ヒロ</v>
      </c>
      <c r="AD914" s="4">
        <f ca="1">VLOOKUP($AB914,OFFSET([3]characters!$A$1,0,0,COUNTA([3]characters!$A:$A),MATCH(AD$1,[3]characters!$1:$1,0)-MATCH("character_id",[3]characters!$1:$1,0)+1),MATCH(AD$1,[3]characters!$1:$1,0)-MATCH("character_id",[3]characters!$1:$1,0)+1,FALSE)</f>
        <v>2</v>
      </c>
      <c r="AE914" s="4" t="str">
        <f ca="1">VLOOKUP($AB914,OFFSET([3]characters!$A$1,0,0,COUNTA([3]characters!$A:$A),MATCH(AE$1,[3]characters!$1:$1,0)-MATCH("character_id",[3]characters!$1:$1,0)+1),MATCH(AE$1,[3]characters!$1:$1,0)-MATCH("character_id",[3]characters!$1:$1,0)+1,FALSE)</f>
        <v>Drop1N</v>
      </c>
      <c r="AF914" s="7">
        <v>7</v>
      </c>
      <c r="AG914" s="26">
        <f t="shared" ca="1" si="803"/>
        <v>2</v>
      </c>
      <c r="AH914" s="8">
        <v>20</v>
      </c>
      <c r="AI914" s="7">
        <v>0</v>
      </c>
      <c r="AJ914" s="7">
        <v>0</v>
      </c>
      <c r="AK914" s="7">
        <v>0</v>
      </c>
      <c r="AL914" s="7">
        <v>0</v>
      </c>
      <c r="AM914" s="7">
        <v>1</v>
      </c>
    </row>
    <row r="915" spans="1:39" ht="14" x14ac:dyDescent="0.15">
      <c r="A915" s="18" t="str">
        <f t="shared" ca="1" si="810"/>
        <v>26_5-5/57&lt;lv58&gt;s2</v>
      </c>
      <c r="B915" s="53">
        <v>26</v>
      </c>
      <c r="C915" s="51">
        <v>5</v>
      </c>
      <c r="D915" s="2" t="str">
        <f t="shared" si="811"/>
        <v>26_5</v>
      </c>
      <c r="E915" s="2" t="str">
        <f t="shared" si="811"/>
        <v>5_26_5</v>
      </c>
      <c r="F915" s="4" t="str">
        <f ca="1">VLOOKUP($D915,OFFSET([1]stages!$A$1,0,0,COUNTA([1]stages!$A:$A),MATCH(F$1,[1]stages!$2:$2,0)-MATCH($D$1,[1]stages!$2:$2,0)+1),MATCH(F$1,[1]stages!$2:$2,0)-MATCH($D$1,[1]stages!$2:$2,0)+1,FALSE)</f>
        <v>26-5．踊る強奪者</v>
      </c>
      <c r="G915" s="56">
        <v>5</v>
      </c>
      <c r="H915" s="17" t="str">
        <f t="shared" si="812"/>
        <v>26_5-5</v>
      </c>
      <c r="I915" s="17"/>
      <c r="J915" s="17"/>
      <c r="K915" s="65" t="s">
        <v>56</v>
      </c>
      <c r="L915" s="52">
        <v>57</v>
      </c>
      <c r="M915" s="21" t="str">
        <f ca="1">VLOOKUP($L915,OFFSET([2]enemies!$A$1,0,0,COUNTA([2]enemies!$A:$A),MATCH(M$1,[2]enemies!$1:$1,0)-MATCH($L$1,[2]enemies!$1:$1,0)+1),MATCH(M$1,[2]enemies!$1:$1,0)-MATCH($L$1,[2]enemies!$1:$1,0)+1,FALSE)</f>
        <v>チェン・リー</v>
      </c>
      <c r="N915" s="21" t="str">
        <f ca="1">VLOOKUP($L915,OFFSET([2]enemies!$A$1,0,0,COUNTA([2]enemies!$A:$A),MATCH(N$1,[2]enemies!$1:$1,0)-MATCH($L$1,[2]enemies!$1:$1,0)+1),MATCH(N$1,[2]enemies!$1:$1,0)-MATCH($L$1,[2]enemies!$1:$1,0)+1,FALSE)</f>
        <v>red</v>
      </c>
      <c r="O915" s="21" t="str">
        <f ca="1">VLOOKUP($L915,OFFSET([3]characters!$A$1,0,0,COUNTA([3]characters!$A:$A),MATCH(O$1,[3]characters!$1:$1,0)-MATCH($L$1,[3]characters!$1:$1,0)+1),MATCH(O$1,[3]characters!$1:$1,0)-MATCH($L$1,[3]characters!$1:$1,0)+1,FALSE)</f>
        <v>Drop1N</v>
      </c>
      <c r="P915" s="21" t="str">
        <f ca="1">VLOOKUP($L915,OFFSET([2]enemies!$A$1,0,0,COUNTA([2]enemies!$A:$A),MATCH(P$1,[2]enemies!$1:$1,0)-MATCH($L$1,[2]enemies!$1:$1,0)+1),MATCH(P$1,[2]enemies!$1:$1,0)-MATCH($L$1,[2]enemies!$1:$1,0)+1,FALSE)</f>
        <v>animal</v>
      </c>
      <c r="Q915" s="21">
        <f ca="1">VLOOKUP($L915,OFFSET([2]enemies!$A$1,0,0,COUNTA([2]enemies!$A:$A),MATCH(Q$1,[2]enemies!$1:$1,0)-MATCH($L$1,[2]enemies!$1:$1,0)+1),MATCH(Q$1,[2]enemies!$1:$1,0)-MATCH($L$1,[2]enemies!$1:$1,0)+1,FALSE)</f>
        <v>15</v>
      </c>
      <c r="R915" s="53">
        <v>58</v>
      </c>
      <c r="S915" s="27">
        <v>1</v>
      </c>
      <c r="T915" s="27">
        <v>1</v>
      </c>
      <c r="U915" s="5">
        <v>0</v>
      </c>
      <c r="V915" s="4" t="str">
        <f ca="1">VLOOKUP($W915,OFFSET([4]enemy_skill_sets!$B$1,0,0,COUNTA([4]enemy_skill_sets!$B:$B),MATCH(M$1,[4]enemy_skill_sets!$1:$1,0)-MATCH($W$1,[4]enemy_skill_sets!$1:$1,0)+2),MATCH(M$1,[4]enemy_skill_sets!$1:$1,0)-MATCH($W$1,[4]enemy_skill_sets!$1:$1,0)+2,FALSE)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915" s="4">
        <f ca="1">VLOOKUP($L915,OFFSET([2]enemies!$A$1,0,0,COUNTA([2]enemies!$A:$A),MATCH(W$1,[2]enemies!$1:$1,0)-MATCH($L$1,[2]enemies!$1:$1,0)+1),MATCH(W$1,[2]enemies!$1:$1,0)-MATCH($L$1,[2]enemies!$1:$1,0)+1,FALSE)</f>
        <v>57</v>
      </c>
      <c r="X915" s="6">
        <v>0</v>
      </c>
      <c r="Y915" s="6">
        <v>100</v>
      </c>
      <c r="Z915" s="6">
        <v>0</v>
      </c>
      <c r="AA915" s="4">
        <f ca="1">VLOOKUP($L915,OFFSET([2]enemies!$A$1,0,0,COUNTA([2]enemies!$A:$A),MATCH(AA$1,[2]enemies!$1:$1,0)-MATCH($L$1,[2]enemies!$1:$1,0)+1),MATCH(AA$1,[2]enemies!$1:$1,0)-MATCH($L$1,[2]enemies!$1:$1,0)+1,FALSE)</f>
        <v>2</v>
      </c>
      <c r="AB915" s="52">
        <v>57</v>
      </c>
      <c r="AC915" s="4" t="str">
        <f ca="1">VLOOKUP($AB915,OFFSET([3]characters!$A$1,0,0,COUNTA([3]characters!$A:$A),MATCH(AC$1,[3]characters!$1:$1,0)-MATCH("character_id",[3]characters!$1:$1,0)+1),MATCH(AC$1,[3]characters!$1:$1,0)-MATCH("character_id",[3]characters!$1:$1,0)+1,FALSE)</f>
        <v>チェン・リー</v>
      </c>
      <c r="AD915" s="4">
        <f ca="1">VLOOKUP($AB915,OFFSET([3]characters!$A$1,0,0,COUNTA([3]characters!$A:$A),MATCH(AD$1,[3]characters!$1:$1,0)-MATCH("character_id",[3]characters!$1:$1,0)+1),MATCH(AD$1,[3]characters!$1:$1,0)-MATCH("character_id",[3]characters!$1:$1,0)+1,FALSE)</f>
        <v>2</v>
      </c>
      <c r="AE915" s="4" t="str">
        <f ca="1">VLOOKUP($AB915,OFFSET([3]characters!$A$1,0,0,COUNTA([3]characters!$A:$A),MATCH(AE$1,[3]characters!$1:$1,0)-MATCH("character_id",[3]characters!$1:$1,0)+1),MATCH(AE$1,[3]characters!$1:$1,0)-MATCH("character_id",[3]characters!$1:$1,0)+1,FALSE)</f>
        <v>Drop1N</v>
      </c>
      <c r="AF915" s="7">
        <v>7</v>
      </c>
      <c r="AG915" s="26">
        <f t="shared" ca="1" si="803"/>
        <v>2</v>
      </c>
      <c r="AH915" s="8">
        <v>20</v>
      </c>
      <c r="AI915" s="7">
        <v>0</v>
      </c>
      <c r="AJ915" s="7">
        <v>0</v>
      </c>
      <c r="AK915" s="7">
        <v>0</v>
      </c>
      <c r="AL915" s="7">
        <v>0</v>
      </c>
      <c r="AM915" s="7">
        <v>1</v>
      </c>
    </row>
    <row r="916" spans="1:39" ht="14" x14ac:dyDescent="0.15">
      <c r="A916" s="18" t="str">
        <f t="shared" ca="1" si="810"/>
        <v>26_5-5/59&lt;lv58&gt;s2</v>
      </c>
      <c r="B916" s="53">
        <v>26</v>
      </c>
      <c r="C916" s="51">
        <v>5</v>
      </c>
      <c r="D916" s="2" t="str">
        <f t="shared" si="811"/>
        <v>26_5</v>
      </c>
      <c r="E916" s="2" t="str">
        <f t="shared" si="811"/>
        <v>5_26_5</v>
      </c>
      <c r="F916" s="4" t="str">
        <f ca="1">VLOOKUP($D916,OFFSET([1]stages!$A$1,0,0,COUNTA([1]stages!$A:$A),MATCH(F$1,[1]stages!$2:$2,0)-MATCH($D$1,[1]stages!$2:$2,0)+1),MATCH(F$1,[1]stages!$2:$2,0)-MATCH($D$1,[1]stages!$2:$2,0)+1,FALSE)</f>
        <v>26-5．踊る強奪者</v>
      </c>
      <c r="G916" s="56">
        <v>5</v>
      </c>
      <c r="H916" s="17" t="str">
        <f t="shared" si="812"/>
        <v>26_5-5</v>
      </c>
      <c r="I916" s="17"/>
      <c r="J916" s="17"/>
      <c r="K916" s="65" t="s">
        <v>56</v>
      </c>
      <c r="L916" s="52">
        <v>59</v>
      </c>
      <c r="M916" s="21" t="str">
        <f ca="1">VLOOKUP($L916,OFFSET([2]enemies!$A$1,0,0,COUNTA([2]enemies!$A:$A),MATCH(M$1,[2]enemies!$1:$1,0)-MATCH($L$1,[2]enemies!$1:$1,0)+1),MATCH(M$1,[2]enemies!$1:$1,0)-MATCH($L$1,[2]enemies!$1:$1,0)+1,FALSE)</f>
        <v>マーチ</v>
      </c>
      <c r="N916" s="21" t="str">
        <f ca="1">VLOOKUP($L916,OFFSET([2]enemies!$A$1,0,0,COUNTA([2]enemies!$A:$A),MATCH(N$1,[2]enemies!$1:$1,0)-MATCH($L$1,[2]enemies!$1:$1,0)+1),MATCH(N$1,[2]enemies!$1:$1,0)-MATCH($L$1,[2]enemies!$1:$1,0)+1,FALSE)</f>
        <v>green</v>
      </c>
      <c r="O916" s="21" t="str">
        <f ca="1">VLOOKUP($L916,OFFSET([3]characters!$A$1,0,0,COUNTA([3]characters!$A:$A),MATCH(O$1,[3]characters!$1:$1,0)-MATCH($L$1,[3]characters!$1:$1,0)+1),MATCH(O$1,[3]characters!$1:$1,0)-MATCH($L$1,[3]characters!$1:$1,0)+1,FALSE)</f>
        <v>Drop1N</v>
      </c>
      <c r="P916" s="21" t="str">
        <f ca="1">VLOOKUP($L916,OFFSET([2]enemies!$A$1,0,0,COUNTA([2]enemies!$A:$A),MATCH(P$1,[2]enemies!$1:$1,0)-MATCH($L$1,[2]enemies!$1:$1,0)+1),MATCH(P$1,[2]enemies!$1:$1,0)-MATCH($L$1,[2]enemies!$1:$1,0)+1,FALSE)</f>
        <v>animal</v>
      </c>
      <c r="Q916" s="21">
        <f ca="1">VLOOKUP($L916,OFFSET([2]enemies!$A$1,0,0,COUNTA([2]enemies!$A:$A),MATCH(Q$1,[2]enemies!$1:$1,0)-MATCH($L$1,[2]enemies!$1:$1,0)+1),MATCH(Q$1,[2]enemies!$1:$1,0)-MATCH($L$1,[2]enemies!$1:$1,0)+1,FALSE)</f>
        <v>15</v>
      </c>
      <c r="R916" s="53">
        <v>58</v>
      </c>
      <c r="S916" s="27">
        <v>1</v>
      </c>
      <c r="T916" s="27">
        <v>1</v>
      </c>
      <c r="U916" s="5">
        <v>0</v>
      </c>
      <c r="V916" s="4" t="str">
        <f ca="1">VLOOKUP($W916,OFFSET([4]enemy_skill_sets!$B$1,0,0,COUNTA([4]enemy_skill_sets!$B:$B),MATCH(M$1,[4]enemy_skill_sets!$1:$1,0)-MATCH($W$1,[4]enemy_skill_sets!$1:$1,0)+2),MATCH(M$1,[4]enemy_skill_sets!$1:$1,0)-MATCH($W$1,[4]enemy_skill_sets!$1:$1,0)+2,FALSE)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916" s="4">
        <f ca="1">VLOOKUP($L916,OFFSET([2]enemies!$A$1,0,0,COUNTA([2]enemies!$A:$A),MATCH(W$1,[2]enemies!$1:$1,0)-MATCH($L$1,[2]enemies!$1:$1,0)+1),MATCH(W$1,[2]enemies!$1:$1,0)-MATCH($L$1,[2]enemies!$1:$1,0)+1,FALSE)</f>
        <v>59</v>
      </c>
      <c r="X916" s="6">
        <v>0</v>
      </c>
      <c r="Y916" s="6">
        <v>100</v>
      </c>
      <c r="Z916" s="6">
        <v>0</v>
      </c>
      <c r="AA916" s="4">
        <f ca="1">VLOOKUP($L916,OFFSET([2]enemies!$A$1,0,0,COUNTA([2]enemies!$A:$A),MATCH(AA$1,[2]enemies!$1:$1,0)-MATCH($L$1,[2]enemies!$1:$1,0)+1),MATCH(AA$1,[2]enemies!$1:$1,0)-MATCH($L$1,[2]enemies!$1:$1,0)+1,FALSE)</f>
        <v>2</v>
      </c>
      <c r="AB916" s="52">
        <v>59</v>
      </c>
      <c r="AC916" s="4" t="str">
        <f ca="1">VLOOKUP($AB916,OFFSET([3]characters!$A$1,0,0,COUNTA([3]characters!$A:$A),MATCH(AC$1,[3]characters!$1:$1,0)-MATCH("character_id",[3]characters!$1:$1,0)+1),MATCH(AC$1,[3]characters!$1:$1,0)-MATCH("character_id",[3]characters!$1:$1,0)+1,FALSE)</f>
        <v>マーチ</v>
      </c>
      <c r="AD916" s="4">
        <f ca="1">VLOOKUP($AB916,OFFSET([3]characters!$A$1,0,0,COUNTA([3]characters!$A:$A),MATCH(AD$1,[3]characters!$1:$1,0)-MATCH("character_id",[3]characters!$1:$1,0)+1),MATCH(AD$1,[3]characters!$1:$1,0)-MATCH("character_id",[3]characters!$1:$1,0)+1,FALSE)</f>
        <v>2</v>
      </c>
      <c r="AE916" s="4" t="str">
        <f ca="1">VLOOKUP($AB916,OFFSET([3]characters!$A$1,0,0,COUNTA([3]characters!$A:$A),MATCH(AE$1,[3]characters!$1:$1,0)-MATCH("character_id",[3]characters!$1:$1,0)+1),MATCH(AE$1,[3]characters!$1:$1,0)-MATCH("character_id",[3]characters!$1:$1,0)+1,FALSE)</f>
        <v>Drop1N</v>
      </c>
      <c r="AF916" s="7">
        <v>7</v>
      </c>
      <c r="AG916" s="26">
        <f t="shared" ca="1" si="803"/>
        <v>2</v>
      </c>
      <c r="AH916" s="8">
        <v>20</v>
      </c>
      <c r="AI916" s="7">
        <v>0</v>
      </c>
      <c r="AJ916" s="7">
        <v>0</v>
      </c>
      <c r="AK916" s="7">
        <v>0</v>
      </c>
      <c r="AL916" s="7">
        <v>0</v>
      </c>
      <c r="AM916" s="7">
        <v>1</v>
      </c>
    </row>
    <row r="917" spans="1:39" ht="14" x14ac:dyDescent="0.15">
      <c r="A917" s="18" t="str">
        <f t="shared" ca="1" si="810"/>
        <v>26_5-5/61&lt;lv58&gt;s2</v>
      </c>
      <c r="B917" s="53">
        <v>26</v>
      </c>
      <c r="C917" s="51">
        <v>5</v>
      </c>
      <c r="D917" s="2" t="str">
        <f t="shared" si="811"/>
        <v>26_5</v>
      </c>
      <c r="E917" s="2" t="str">
        <f t="shared" si="811"/>
        <v>5_26_5</v>
      </c>
      <c r="F917" s="4" t="str">
        <f ca="1">VLOOKUP($D917,OFFSET([1]stages!$A$1,0,0,COUNTA([1]stages!$A:$A),MATCH(F$1,[1]stages!$2:$2,0)-MATCH($D$1,[1]stages!$2:$2,0)+1),MATCH(F$1,[1]stages!$2:$2,0)-MATCH($D$1,[1]stages!$2:$2,0)+1,FALSE)</f>
        <v>26-5．踊る強奪者</v>
      </c>
      <c r="G917" s="56">
        <v>5</v>
      </c>
      <c r="H917" s="17" t="str">
        <f t="shared" si="812"/>
        <v>26_5-5</v>
      </c>
      <c r="I917" s="17"/>
      <c r="J917" s="17"/>
      <c r="K917" s="65" t="s">
        <v>56</v>
      </c>
      <c r="L917" s="52">
        <v>61</v>
      </c>
      <c r="M917" s="21" t="str">
        <f ca="1">VLOOKUP($L917,OFFSET([2]enemies!$A$1,0,0,COUNTA([2]enemies!$A:$A),MATCH(M$1,[2]enemies!$1:$1,0)-MATCH($L$1,[2]enemies!$1:$1,0)+1),MATCH(M$1,[2]enemies!$1:$1,0)-MATCH($L$1,[2]enemies!$1:$1,0)+1,FALSE)</f>
        <v>クロウ</v>
      </c>
      <c r="N917" s="21" t="str">
        <f ca="1">VLOOKUP($L917,OFFSET([2]enemies!$A$1,0,0,COUNTA([2]enemies!$A:$A),MATCH(N$1,[2]enemies!$1:$1,0)-MATCH($L$1,[2]enemies!$1:$1,0)+1),MATCH(N$1,[2]enemies!$1:$1,0)-MATCH($L$1,[2]enemies!$1:$1,0)+1,FALSE)</f>
        <v>blue</v>
      </c>
      <c r="O917" s="21" t="str">
        <f ca="1">VLOOKUP($L917,OFFSET([3]characters!$A$1,0,0,COUNTA([3]characters!$A:$A),MATCH(O$1,[3]characters!$1:$1,0)-MATCH($L$1,[3]characters!$1:$1,0)+1),MATCH(O$1,[3]characters!$1:$1,0)-MATCH($L$1,[3]characters!$1:$1,0)+1,FALSE)</f>
        <v>Drop1N</v>
      </c>
      <c r="P917" s="21" t="str">
        <f ca="1">VLOOKUP($L917,OFFSET([2]enemies!$A$1,0,0,COUNTA([2]enemies!$A:$A),MATCH(P$1,[2]enemies!$1:$1,0)-MATCH($L$1,[2]enemies!$1:$1,0)+1),MATCH(P$1,[2]enemies!$1:$1,0)-MATCH($L$1,[2]enemies!$1:$1,0)+1,FALSE)</f>
        <v>animal</v>
      </c>
      <c r="Q917" s="21">
        <f ca="1">VLOOKUP($L917,OFFSET([2]enemies!$A$1,0,0,COUNTA([2]enemies!$A:$A),MATCH(Q$1,[2]enemies!$1:$1,0)-MATCH($L$1,[2]enemies!$1:$1,0)+1),MATCH(Q$1,[2]enemies!$1:$1,0)-MATCH($L$1,[2]enemies!$1:$1,0)+1,FALSE)</f>
        <v>15</v>
      </c>
      <c r="R917" s="53">
        <v>58</v>
      </c>
      <c r="S917" s="27">
        <v>1</v>
      </c>
      <c r="T917" s="27">
        <v>1</v>
      </c>
      <c r="U917" s="5">
        <v>0</v>
      </c>
      <c r="V917" s="4" t="str">
        <f ca="1">VLOOKUP($W917,OFFSET([4]enemy_skill_sets!$B$1,0,0,COUNTA([4]enemy_skill_sets!$B:$B),MATCH(M$1,[4]enemy_skill_sets!$1:$1,0)-MATCH($W$1,[4]enemy_skill_sets!$1:$1,0)+2),MATCH(M$1,[4]enemy_skill_sets!$1:$1,0)-MATCH($W$1,[4]enemy_skill_sets!$1:$1,0)+2,FALSE)</f>
        <v>回復</v>
      </c>
      <c r="W917" s="4">
        <f ca="1">VLOOKUP($L917,OFFSET([2]enemies!$A$1,0,0,COUNTA([2]enemies!$A:$A),MATCH(W$1,[2]enemies!$1:$1,0)-MATCH($L$1,[2]enemies!$1:$1,0)+1),MATCH(W$1,[2]enemies!$1:$1,0)-MATCH($L$1,[2]enemies!$1:$1,0)+1,FALSE)</f>
        <v>61</v>
      </c>
      <c r="X917" s="6">
        <v>0</v>
      </c>
      <c r="Y917" s="6">
        <v>100</v>
      </c>
      <c r="Z917" s="6">
        <v>0</v>
      </c>
      <c r="AA917" s="4">
        <f ca="1">VLOOKUP($L917,OFFSET([2]enemies!$A$1,0,0,COUNTA([2]enemies!$A:$A),MATCH(AA$1,[2]enemies!$1:$1,0)-MATCH($L$1,[2]enemies!$1:$1,0)+1),MATCH(AA$1,[2]enemies!$1:$1,0)-MATCH($L$1,[2]enemies!$1:$1,0)+1,FALSE)</f>
        <v>2</v>
      </c>
      <c r="AB917" s="52">
        <v>61</v>
      </c>
      <c r="AC917" s="4" t="str">
        <f ca="1">VLOOKUP($AB917,OFFSET([3]characters!$A$1,0,0,COUNTA([3]characters!$A:$A),MATCH(AC$1,[3]characters!$1:$1,0)-MATCH("character_id",[3]characters!$1:$1,0)+1),MATCH(AC$1,[3]characters!$1:$1,0)-MATCH("character_id",[3]characters!$1:$1,0)+1,FALSE)</f>
        <v>クロウ</v>
      </c>
      <c r="AD917" s="4">
        <f ca="1">VLOOKUP($AB917,OFFSET([3]characters!$A$1,0,0,COUNTA([3]characters!$A:$A),MATCH(AD$1,[3]characters!$1:$1,0)-MATCH("character_id",[3]characters!$1:$1,0)+1),MATCH(AD$1,[3]characters!$1:$1,0)-MATCH("character_id",[3]characters!$1:$1,0)+1,FALSE)</f>
        <v>2</v>
      </c>
      <c r="AE917" s="4" t="str">
        <f ca="1">VLOOKUP($AB917,OFFSET([3]characters!$A$1,0,0,COUNTA([3]characters!$A:$A),MATCH(AE$1,[3]characters!$1:$1,0)-MATCH("character_id",[3]characters!$1:$1,0)+1),MATCH(AE$1,[3]characters!$1:$1,0)-MATCH("character_id",[3]characters!$1:$1,0)+1,FALSE)</f>
        <v>Drop1N</v>
      </c>
      <c r="AF917" s="7">
        <v>7</v>
      </c>
      <c r="AG917" s="26">
        <f t="shared" ca="1" si="803"/>
        <v>2</v>
      </c>
      <c r="AH917" s="8">
        <v>20</v>
      </c>
      <c r="AI917" s="7">
        <v>0</v>
      </c>
      <c r="AJ917" s="7">
        <v>0</v>
      </c>
      <c r="AK917" s="7">
        <v>0</v>
      </c>
      <c r="AL917" s="7">
        <v>0</v>
      </c>
      <c r="AM917" s="7">
        <v>1</v>
      </c>
    </row>
    <row r="918" spans="1:39" ht="14" x14ac:dyDescent="0.15">
      <c r="A918" s="18" t="str">
        <f t="shared" ca="1" si="810"/>
        <v>26_5-5/63&lt;lv58&gt;s2</v>
      </c>
      <c r="B918" s="53">
        <v>26</v>
      </c>
      <c r="C918" s="51">
        <v>5</v>
      </c>
      <c r="D918" s="2" t="str">
        <f t="shared" si="811"/>
        <v>26_5</v>
      </c>
      <c r="E918" s="2" t="str">
        <f t="shared" si="811"/>
        <v>5_26_5</v>
      </c>
      <c r="F918" s="4" t="str">
        <f ca="1">VLOOKUP($D918,OFFSET([1]stages!$A$1,0,0,COUNTA([1]stages!$A:$A),MATCH(F$1,[1]stages!$2:$2,0)-MATCH($D$1,[1]stages!$2:$2,0)+1),MATCH(F$1,[1]stages!$2:$2,0)-MATCH($D$1,[1]stages!$2:$2,0)+1,FALSE)</f>
        <v>26-5．踊る強奪者</v>
      </c>
      <c r="G918" s="56">
        <v>5</v>
      </c>
      <c r="H918" s="17" t="str">
        <f t="shared" si="812"/>
        <v>26_5-5</v>
      </c>
      <c r="I918" s="17"/>
      <c r="J918" s="17"/>
      <c r="K918" s="65" t="s">
        <v>56</v>
      </c>
      <c r="L918" s="52">
        <v>63</v>
      </c>
      <c r="M918" s="21" t="str">
        <f ca="1">VLOOKUP($L918,OFFSET([2]enemies!$A$1,0,0,COUNTA([2]enemies!$A:$A),MATCH(M$1,[2]enemies!$1:$1,0)-MATCH($L$1,[2]enemies!$1:$1,0)+1),MATCH(M$1,[2]enemies!$1:$1,0)-MATCH($L$1,[2]enemies!$1:$1,0)+1,FALSE)</f>
        <v>トニー</v>
      </c>
      <c r="N918" s="21" t="str">
        <f ca="1">VLOOKUP($L918,OFFSET([2]enemies!$A$1,0,0,COUNTA([2]enemies!$A:$A),MATCH(N$1,[2]enemies!$1:$1,0)-MATCH($L$1,[2]enemies!$1:$1,0)+1),MATCH(N$1,[2]enemies!$1:$1,0)-MATCH($L$1,[2]enemies!$1:$1,0)+1,FALSE)</f>
        <v>yellow</v>
      </c>
      <c r="O918" s="21" t="str">
        <f ca="1">VLOOKUP($L918,OFFSET([3]characters!$A$1,0,0,COUNTA([3]characters!$A:$A),MATCH(O$1,[3]characters!$1:$1,0)-MATCH($L$1,[3]characters!$1:$1,0)+1),MATCH(O$1,[3]characters!$1:$1,0)-MATCH($L$1,[3]characters!$1:$1,0)+1,FALSE)</f>
        <v>Drop1N</v>
      </c>
      <c r="P918" s="21" t="str">
        <f ca="1">VLOOKUP($L918,OFFSET([2]enemies!$A$1,0,0,COUNTA([2]enemies!$A:$A),MATCH(P$1,[2]enemies!$1:$1,0)-MATCH($L$1,[2]enemies!$1:$1,0)+1),MATCH(P$1,[2]enemies!$1:$1,0)-MATCH($L$1,[2]enemies!$1:$1,0)+1,FALSE)</f>
        <v>animal</v>
      </c>
      <c r="Q918" s="21">
        <f ca="1">VLOOKUP($L918,OFFSET([2]enemies!$A$1,0,0,COUNTA([2]enemies!$A:$A),MATCH(Q$1,[2]enemies!$1:$1,0)-MATCH($L$1,[2]enemies!$1:$1,0)+1),MATCH(Q$1,[2]enemies!$1:$1,0)-MATCH($L$1,[2]enemies!$1:$1,0)+1,FALSE)</f>
        <v>15</v>
      </c>
      <c r="R918" s="53">
        <v>58</v>
      </c>
      <c r="S918" s="27">
        <v>1</v>
      </c>
      <c r="T918" s="27">
        <v>0.9</v>
      </c>
      <c r="U918" s="5">
        <v>0</v>
      </c>
      <c r="V918" s="4" t="str">
        <f ca="1">VLOOKUP($W918,OFFSET([4]enemy_skill_sets!$B$1,0,0,COUNTA([4]enemy_skill_sets!$B:$B),MATCH(M$1,[4]enemy_skill_sets!$1:$1,0)-MATCH($W$1,[4]enemy_skill_sets!$1:$1,0)+2),MATCH(M$1,[4]enemy_skill_sets!$1:$1,0)-MATCH($W$1,[4]enemy_skill_sets!$1:$1,0)+2,FALSE)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918" s="4">
        <f ca="1">VLOOKUP($L918,OFFSET([2]enemies!$A$1,0,0,COUNTA([2]enemies!$A:$A),MATCH(W$1,[2]enemies!$1:$1,0)-MATCH($L$1,[2]enemies!$1:$1,0)+1),MATCH(W$1,[2]enemies!$1:$1,0)-MATCH($L$1,[2]enemies!$1:$1,0)+1,FALSE)</f>
        <v>63</v>
      </c>
      <c r="X918" s="6">
        <v>0</v>
      </c>
      <c r="Y918" s="6">
        <v>100</v>
      </c>
      <c r="Z918" s="6">
        <v>0</v>
      </c>
      <c r="AA918" s="4">
        <f ca="1">VLOOKUP($L918,OFFSET([2]enemies!$A$1,0,0,COUNTA([2]enemies!$A:$A),MATCH(AA$1,[2]enemies!$1:$1,0)-MATCH($L$1,[2]enemies!$1:$1,0)+1),MATCH(AA$1,[2]enemies!$1:$1,0)-MATCH($L$1,[2]enemies!$1:$1,0)+1,FALSE)</f>
        <v>2</v>
      </c>
      <c r="AB918" s="52">
        <v>63</v>
      </c>
      <c r="AC918" s="4" t="str">
        <f ca="1">VLOOKUP($AB918,OFFSET([3]characters!$A$1,0,0,COUNTA([3]characters!$A:$A),MATCH(AC$1,[3]characters!$1:$1,0)-MATCH("character_id",[3]characters!$1:$1,0)+1),MATCH(AC$1,[3]characters!$1:$1,0)-MATCH("character_id",[3]characters!$1:$1,0)+1,FALSE)</f>
        <v>トニー</v>
      </c>
      <c r="AD918" s="4">
        <f ca="1">VLOOKUP($AB918,OFFSET([3]characters!$A$1,0,0,COUNTA([3]characters!$A:$A),MATCH(AD$1,[3]characters!$1:$1,0)-MATCH("character_id",[3]characters!$1:$1,0)+1),MATCH(AD$1,[3]characters!$1:$1,0)-MATCH("character_id",[3]characters!$1:$1,0)+1,FALSE)</f>
        <v>2</v>
      </c>
      <c r="AE918" s="4" t="str">
        <f ca="1">VLOOKUP($AB918,OFFSET([3]characters!$A$1,0,0,COUNTA([3]characters!$A:$A),MATCH(AE$1,[3]characters!$1:$1,0)-MATCH("character_id",[3]characters!$1:$1,0)+1),MATCH(AE$1,[3]characters!$1:$1,0)-MATCH("character_id",[3]characters!$1:$1,0)+1,FALSE)</f>
        <v>Drop1N</v>
      </c>
      <c r="AF918" s="7">
        <v>7</v>
      </c>
      <c r="AG918" s="26">
        <f t="shared" ca="1" si="803"/>
        <v>2</v>
      </c>
      <c r="AH918" s="8">
        <v>20</v>
      </c>
      <c r="AI918" s="7">
        <v>0</v>
      </c>
      <c r="AJ918" s="7">
        <v>0</v>
      </c>
      <c r="AK918" s="7">
        <v>0</v>
      </c>
      <c r="AL918" s="7">
        <v>0</v>
      </c>
      <c r="AM918" s="7">
        <v>1</v>
      </c>
    </row>
    <row r="919" spans="1:39" ht="14" x14ac:dyDescent="0.15">
      <c r="A919" s="18" t="str">
        <f t="shared" ca="1" si="810"/>
        <v>26_5-5/360&lt;lv58&gt;s3</v>
      </c>
      <c r="B919" s="53">
        <v>26</v>
      </c>
      <c r="C919" s="51">
        <v>5</v>
      </c>
      <c r="D919" s="2" t="str">
        <f t="shared" ref="D919:D922" si="813">B919&amp;"_"&amp;C919</f>
        <v>26_5</v>
      </c>
      <c r="E919" s="2" t="str">
        <f t="shared" ref="E919:E922" si="814">C919&amp;"_"&amp;D919</f>
        <v>5_26_5</v>
      </c>
      <c r="F919" s="4" t="str">
        <f ca="1">VLOOKUP($D919,OFFSET([1]stages!$A$1,0,0,COUNTA([1]stages!$A:$A),MATCH(F$1,[1]stages!$2:$2,0)-MATCH($D$1,[1]stages!$2:$2,0)+1),MATCH(F$1,[1]stages!$2:$2,0)-MATCH($D$1,[1]stages!$2:$2,0)+1,FALSE)</f>
        <v>26-5．踊る強奪者</v>
      </c>
      <c r="G919" s="56">
        <v>5</v>
      </c>
      <c r="H919" s="17" t="str">
        <f t="shared" ref="H919:H922" si="815">B919&amp;"_"&amp;C919&amp;"-"&amp;G919</f>
        <v>26_5-5</v>
      </c>
      <c r="I919" s="17"/>
      <c r="J919" s="17"/>
      <c r="K919" s="65" t="s">
        <v>56</v>
      </c>
      <c r="L919" s="52">
        <v>360</v>
      </c>
      <c r="M919" s="21" t="str">
        <f ca="1">VLOOKUP($L919,OFFSET([2]enemies!$A$1,0,0,COUNTA([2]enemies!$A:$A),MATCH(M$1,[2]enemies!$1:$1,0)-MATCH($L$1,[2]enemies!$1:$1,0)+1),MATCH(M$1,[2]enemies!$1:$1,0)-MATCH($L$1,[2]enemies!$1:$1,0)+1,FALSE)</f>
        <v>ガンテツ</v>
      </c>
      <c r="N919" s="21" t="str">
        <f ca="1">VLOOKUP($L919,OFFSET([2]enemies!$A$1,0,0,COUNTA([2]enemies!$A:$A),MATCH(N$1,[2]enemies!$1:$1,0)-MATCH($L$1,[2]enemies!$1:$1,0)+1),MATCH(N$1,[2]enemies!$1:$1,0)-MATCH($L$1,[2]enemies!$1:$1,0)+1,FALSE)</f>
        <v>red</v>
      </c>
      <c r="O919" s="21" t="str">
        <f ca="1">VLOOKUP($L919,OFFSET([3]characters!$A$1,0,0,COUNTA([3]characters!$A:$A),MATCH(O$1,[3]characters!$1:$1,0)-MATCH($L$1,[3]characters!$1:$1,0)+1),MATCH(O$1,[3]characters!$1:$1,0)-MATCH($L$1,[3]characters!$1:$1,0)+1,FALSE)</f>
        <v>Drop1S</v>
      </c>
      <c r="P919" s="21" t="str">
        <f ca="1">VLOOKUP($L919,OFFSET([2]enemies!$A$1,0,0,COUNTA([2]enemies!$A:$A),MATCH(P$1,[2]enemies!$1:$1,0)-MATCH($L$1,[2]enemies!$1:$1,0)+1),MATCH(P$1,[2]enemies!$1:$1,0)-MATCH($L$1,[2]enemies!$1:$1,0)+1,FALSE)</f>
        <v>animal</v>
      </c>
      <c r="Q919" s="21">
        <f ca="1">VLOOKUP($L919,OFFSET([2]enemies!$A$1,0,0,COUNTA([2]enemies!$A:$A),MATCH(Q$1,[2]enemies!$1:$1,0)-MATCH($L$1,[2]enemies!$1:$1,0)+1),MATCH(Q$1,[2]enemies!$1:$1,0)-MATCH($L$1,[2]enemies!$1:$1,0)+1,FALSE)</f>
        <v>15</v>
      </c>
      <c r="R919" s="53">
        <v>58</v>
      </c>
      <c r="S919" s="27">
        <v>1</v>
      </c>
      <c r="T919" s="27">
        <v>1</v>
      </c>
      <c r="U919" s="5">
        <v>0</v>
      </c>
      <c r="V919" s="4" t="str">
        <f ca="1">VLOOKUP($W919,OFFSET([4]enemy_skill_sets!$B$1,0,0,COUNTA([4]enemy_skill_sets!$B:$B),MATCH(M$1,[4]enemy_skill_sets!$1:$1,0)-MATCH($W$1,[4]enemy_skill_sets!$1:$1,0)+2),MATCH(M$1,[4]enemy_skill_sets!$1:$1,0)-MATCH($W$1,[4]enemy_skill_sets!$1:$1,0)+2,FALSE)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919" s="76">
        <v>360</v>
      </c>
      <c r="X919" s="6">
        <v>0</v>
      </c>
      <c r="Y919" s="6">
        <v>100</v>
      </c>
      <c r="Z919" s="6">
        <v>0</v>
      </c>
      <c r="AA919" s="4">
        <f ca="1">VLOOKUP($L919,OFFSET([2]enemies!$A$1,0,0,COUNTA([2]enemies!$A:$A),MATCH(AA$1,[2]enemies!$1:$1,0)-MATCH($L$1,[2]enemies!$1:$1,0)+1),MATCH(AA$1,[2]enemies!$1:$1,0)-MATCH($L$1,[2]enemies!$1:$1,0)+1,FALSE)</f>
        <v>3</v>
      </c>
      <c r="AB919" s="52">
        <v>360</v>
      </c>
      <c r="AC919" s="4" t="str">
        <f ca="1">VLOOKUP($AB919,OFFSET([3]characters!$A$1,0,0,COUNTA([3]characters!$A:$A),MATCH(AC$1,[3]characters!$1:$1,0)-MATCH("character_id",[3]characters!$1:$1,0)+1),MATCH(AC$1,[3]characters!$1:$1,0)-MATCH("character_id",[3]characters!$1:$1,0)+1,FALSE)</f>
        <v>ガンテツ</v>
      </c>
      <c r="AD919" s="4">
        <f ca="1">VLOOKUP($AB919,OFFSET([3]characters!$A$1,0,0,COUNTA([3]characters!$A:$A),MATCH(AD$1,[3]characters!$1:$1,0)-MATCH("character_id",[3]characters!$1:$1,0)+1),MATCH(AD$1,[3]characters!$1:$1,0)-MATCH("character_id",[3]characters!$1:$1,0)+1,FALSE)</f>
        <v>2</v>
      </c>
      <c r="AE919" s="4" t="str">
        <f ca="1">VLOOKUP($AB919,OFFSET([3]characters!$A$1,0,0,COUNTA([3]characters!$A:$A),MATCH(AE$1,[3]characters!$1:$1,0)-MATCH("character_id",[3]characters!$1:$1,0)+1),MATCH(AE$1,[3]characters!$1:$1,0)-MATCH("character_id",[3]characters!$1:$1,0)+1,FALSE)</f>
        <v>Drop1S</v>
      </c>
      <c r="AF919" s="7">
        <v>7</v>
      </c>
      <c r="AG919" s="26">
        <f t="shared" ca="1" si="803"/>
        <v>2</v>
      </c>
      <c r="AH919" s="8">
        <v>20</v>
      </c>
      <c r="AI919" s="7">
        <v>0</v>
      </c>
      <c r="AJ919" s="7">
        <v>0</v>
      </c>
      <c r="AK919" s="7">
        <v>0</v>
      </c>
      <c r="AL919" s="7">
        <v>0</v>
      </c>
      <c r="AM919" s="7">
        <v>1</v>
      </c>
    </row>
    <row r="920" spans="1:39" ht="14" x14ac:dyDescent="0.15">
      <c r="A920" s="18" t="str">
        <f t="shared" ca="1" si="810"/>
        <v>26_5-5/362&lt;lv58&gt;s3</v>
      </c>
      <c r="B920" s="53">
        <v>26</v>
      </c>
      <c r="C920" s="51">
        <v>5</v>
      </c>
      <c r="D920" s="2" t="str">
        <f t="shared" si="813"/>
        <v>26_5</v>
      </c>
      <c r="E920" s="2" t="str">
        <f t="shared" si="814"/>
        <v>5_26_5</v>
      </c>
      <c r="F920" s="4" t="str">
        <f ca="1">VLOOKUP($D920,OFFSET([1]stages!$A$1,0,0,COUNTA([1]stages!$A:$A),MATCH(F$1,[1]stages!$2:$2,0)-MATCH($D$1,[1]stages!$2:$2,0)+1),MATCH(F$1,[1]stages!$2:$2,0)-MATCH($D$1,[1]stages!$2:$2,0)+1,FALSE)</f>
        <v>26-5．踊る強奪者</v>
      </c>
      <c r="G920" s="56">
        <v>5</v>
      </c>
      <c r="H920" s="17" t="str">
        <f t="shared" si="815"/>
        <v>26_5-5</v>
      </c>
      <c r="I920" s="17"/>
      <c r="J920" s="17"/>
      <c r="K920" s="65" t="s">
        <v>56</v>
      </c>
      <c r="L920" s="52">
        <v>362</v>
      </c>
      <c r="M920" s="21" t="str">
        <f ca="1">VLOOKUP($L920,OFFSET([2]enemies!$A$1,0,0,COUNTA([2]enemies!$A:$A),MATCH(M$1,[2]enemies!$1:$1,0)-MATCH($L$1,[2]enemies!$1:$1,0)+1),MATCH(M$1,[2]enemies!$1:$1,0)-MATCH($L$1,[2]enemies!$1:$1,0)+1,FALSE)</f>
        <v>ゆらら</v>
      </c>
      <c r="N920" s="21" t="str">
        <f ca="1">VLOOKUP($L920,OFFSET([2]enemies!$A$1,0,0,COUNTA([2]enemies!$A:$A),MATCH(N$1,[2]enemies!$1:$1,0)-MATCH($L$1,[2]enemies!$1:$1,0)+1),MATCH(N$1,[2]enemies!$1:$1,0)-MATCH($L$1,[2]enemies!$1:$1,0)+1,FALSE)</f>
        <v>green</v>
      </c>
      <c r="O920" s="21" t="str">
        <f ca="1">VLOOKUP($L920,OFFSET([3]characters!$A$1,0,0,COUNTA([3]characters!$A:$A),MATCH(O$1,[3]characters!$1:$1,0)-MATCH($L$1,[3]characters!$1:$1,0)+1),MATCH(O$1,[3]characters!$1:$1,0)-MATCH($L$1,[3]characters!$1:$1,0)+1,FALSE)</f>
        <v>Drop1S</v>
      </c>
      <c r="P920" s="21" t="str">
        <f ca="1">VLOOKUP($L920,OFFSET([2]enemies!$A$1,0,0,COUNTA([2]enemies!$A:$A),MATCH(P$1,[2]enemies!$1:$1,0)-MATCH($L$1,[2]enemies!$1:$1,0)+1),MATCH(P$1,[2]enemies!$1:$1,0)-MATCH($L$1,[2]enemies!$1:$1,0)+1,FALSE)</f>
        <v>animal</v>
      </c>
      <c r="Q920" s="21">
        <f ca="1">VLOOKUP($L920,OFFSET([2]enemies!$A$1,0,0,COUNTA([2]enemies!$A:$A),MATCH(Q$1,[2]enemies!$1:$1,0)-MATCH($L$1,[2]enemies!$1:$1,0)+1),MATCH(Q$1,[2]enemies!$1:$1,0)-MATCH($L$1,[2]enemies!$1:$1,0)+1,FALSE)</f>
        <v>15</v>
      </c>
      <c r="R920" s="53">
        <v>58</v>
      </c>
      <c r="S920" s="27">
        <v>1</v>
      </c>
      <c r="T920" s="27">
        <v>1</v>
      </c>
      <c r="U920" s="5">
        <v>0</v>
      </c>
      <c r="V920" s="4" t="str">
        <f ca="1">VLOOKUP($W920,OFFSET([4]enemy_skill_sets!$B$1,0,0,COUNTA([4]enemy_skill_sets!$B:$B),MATCH(M$1,[4]enemy_skill_sets!$1:$1,0)-MATCH($W$1,[4]enemy_skill_sets!$1:$1,0)+2),MATCH(M$1,[4]enemy_skill_sets!$1:$1,0)-MATCH($W$1,[4]enemy_skill_sets!$1:$1,0)+2,FALSE)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赤属性ユニットの攻撃を1ターンカウンター</v>
      </c>
      <c r="W920" s="64">
        <v>362</v>
      </c>
      <c r="X920" s="6">
        <v>0</v>
      </c>
      <c r="Y920" s="6">
        <v>100</v>
      </c>
      <c r="Z920" s="6">
        <v>0</v>
      </c>
      <c r="AA920" s="4">
        <f ca="1">VLOOKUP($L920,OFFSET([2]enemies!$A$1,0,0,COUNTA([2]enemies!$A:$A),MATCH(AA$1,[2]enemies!$1:$1,0)-MATCH($L$1,[2]enemies!$1:$1,0)+1),MATCH(AA$1,[2]enemies!$1:$1,0)-MATCH($L$1,[2]enemies!$1:$1,0)+1,FALSE)</f>
        <v>3</v>
      </c>
      <c r="AB920" s="52">
        <v>362</v>
      </c>
      <c r="AC920" s="4" t="str">
        <f ca="1">VLOOKUP($AB920,OFFSET([3]characters!$A$1,0,0,COUNTA([3]characters!$A:$A),MATCH(AC$1,[3]characters!$1:$1,0)-MATCH("character_id",[3]characters!$1:$1,0)+1),MATCH(AC$1,[3]characters!$1:$1,0)-MATCH("character_id",[3]characters!$1:$1,0)+1,FALSE)</f>
        <v>ゆらら</v>
      </c>
      <c r="AD920" s="4">
        <f ca="1">VLOOKUP($AB920,OFFSET([3]characters!$A$1,0,0,COUNTA([3]characters!$A:$A),MATCH(AD$1,[3]characters!$1:$1,0)-MATCH("character_id",[3]characters!$1:$1,0)+1),MATCH(AD$1,[3]characters!$1:$1,0)-MATCH("character_id",[3]characters!$1:$1,0)+1,FALSE)</f>
        <v>2</v>
      </c>
      <c r="AE920" s="4" t="str">
        <f ca="1">VLOOKUP($AB920,OFFSET([3]characters!$A$1,0,0,COUNTA([3]characters!$A:$A),MATCH(AE$1,[3]characters!$1:$1,0)-MATCH("character_id",[3]characters!$1:$1,0)+1),MATCH(AE$1,[3]characters!$1:$1,0)-MATCH("character_id",[3]characters!$1:$1,0)+1,FALSE)</f>
        <v>Drop1S</v>
      </c>
      <c r="AF920" s="7">
        <v>7</v>
      </c>
      <c r="AG920" s="26">
        <f t="shared" ca="1" si="803"/>
        <v>2</v>
      </c>
      <c r="AH920" s="8">
        <v>20</v>
      </c>
      <c r="AI920" s="7">
        <v>0</v>
      </c>
      <c r="AJ920" s="7">
        <v>0</v>
      </c>
      <c r="AK920" s="7">
        <v>0</v>
      </c>
      <c r="AL920" s="7">
        <v>0</v>
      </c>
      <c r="AM920" s="7">
        <v>1</v>
      </c>
    </row>
    <row r="921" spans="1:39" ht="14" x14ac:dyDescent="0.15">
      <c r="A921" s="18" t="str">
        <f t="shared" ca="1" si="810"/>
        <v>26_5-5/364&lt;lv58&gt;s3</v>
      </c>
      <c r="B921" s="53">
        <v>26</v>
      </c>
      <c r="C921" s="51">
        <v>5</v>
      </c>
      <c r="D921" s="2" t="str">
        <f t="shared" si="813"/>
        <v>26_5</v>
      </c>
      <c r="E921" s="2" t="str">
        <f t="shared" si="814"/>
        <v>5_26_5</v>
      </c>
      <c r="F921" s="4" t="str">
        <f ca="1">VLOOKUP($D921,OFFSET([1]stages!$A$1,0,0,COUNTA([1]stages!$A:$A),MATCH(F$1,[1]stages!$2:$2,0)-MATCH($D$1,[1]stages!$2:$2,0)+1),MATCH(F$1,[1]stages!$2:$2,0)-MATCH($D$1,[1]stages!$2:$2,0)+1,FALSE)</f>
        <v>26-5．踊る強奪者</v>
      </c>
      <c r="G921" s="56">
        <v>5</v>
      </c>
      <c r="H921" s="17" t="str">
        <f t="shared" si="815"/>
        <v>26_5-5</v>
      </c>
      <c r="I921" s="17"/>
      <c r="J921" s="17"/>
      <c r="K921" s="65" t="s">
        <v>56</v>
      </c>
      <c r="L921" s="52">
        <v>364</v>
      </c>
      <c r="M921" s="21" t="str">
        <f ca="1">VLOOKUP($L921,OFFSET([2]enemies!$A$1,0,0,COUNTA([2]enemies!$A:$A),MATCH(M$1,[2]enemies!$1:$1,0)-MATCH($L$1,[2]enemies!$1:$1,0)+1),MATCH(M$1,[2]enemies!$1:$1,0)-MATCH($L$1,[2]enemies!$1:$1,0)+1,FALSE)</f>
        <v>ノエル</v>
      </c>
      <c r="N921" s="21" t="str">
        <f ca="1">VLOOKUP($L921,OFFSET([2]enemies!$A$1,0,0,COUNTA([2]enemies!$A:$A),MATCH(N$1,[2]enemies!$1:$1,0)-MATCH($L$1,[2]enemies!$1:$1,0)+1),MATCH(N$1,[2]enemies!$1:$1,0)-MATCH($L$1,[2]enemies!$1:$1,0)+1,FALSE)</f>
        <v>blue</v>
      </c>
      <c r="O921" s="21" t="str">
        <f ca="1">VLOOKUP($L921,OFFSET([3]characters!$A$1,0,0,COUNTA([3]characters!$A:$A),MATCH(O$1,[3]characters!$1:$1,0)-MATCH($L$1,[3]characters!$1:$1,0)+1),MATCH(O$1,[3]characters!$1:$1,0)-MATCH($L$1,[3]characters!$1:$1,0)+1,FALSE)</f>
        <v>Drop1S</v>
      </c>
      <c r="P921" s="21" t="str">
        <f ca="1">VLOOKUP($L921,OFFSET([2]enemies!$A$1,0,0,COUNTA([2]enemies!$A:$A),MATCH(P$1,[2]enemies!$1:$1,0)-MATCH($L$1,[2]enemies!$1:$1,0)+1),MATCH(P$1,[2]enemies!$1:$1,0)-MATCH($L$1,[2]enemies!$1:$1,0)+1,FALSE)</f>
        <v>animal</v>
      </c>
      <c r="Q921" s="21">
        <f ca="1">VLOOKUP($L921,OFFSET([2]enemies!$A$1,0,0,COUNTA([2]enemies!$A:$A),MATCH(Q$1,[2]enemies!$1:$1,0)-MATCH($L$1,[2]enemies!$1:$1,0)+1),MATCH(Q$1,[2]enemies!$1:$1,0)-MATCH($L$1,[2]enemies!$1:$1,0)+1,FALSE)</f>
        <v>15</v>
      </c>
      <c r="R921" s="53">
        <v>58</v>
      </c>
      <c r="S921" s="27">
        <v>1</v>
      </c>
      <c r="T921" s="27">
        <v>1</v>
      </c>
      <c r="U921" s="5">
        <v>0</v>
      </c>
      <c r="V921" s="4" t="str">
        <f ca="1">VLOOKUP($W921,OFFSET([4]enemy_skill_sets!$B$1,0,0,COUNTA([4]enemy_skill_sets!$B:$B),MATCH(M$1,[4]enemy_skill_sets!$1:$1,0)-MATCH($W$1,[4]enemy_skill_sets!$1:$1,0)+2),MATCH(M$1,[4]enemy_skill_sets!$1:$1,0)-MATCH($W$1,[4]enemy_skill_sets!$1:$1,0)+2,FALSE)</f>
        <v>3ターンタップ回数を1減少＋攻撃</v>
      </c>
      <c r="W921" s="64">
        <v>364</v>
      </c>
      <c r="X921" s="6">
        <v>0</v>
      </c>
      <c r="Y921" s="6">
        <v>100</v>
      </c>
      <c r="Z921" s="6">
        <v>0</v>
      </c>
      <c r="AA921" s="4">
        <f ca="1">VLOOKUP($L921,OFFSET([2]enemies!$A$1,0,0,COUNTA([2]enemies!$A:$A),MATCH(AA$1,[2]enemies!$1:$1,0)-MATCH($L$1,[2]enemies!$1:$1,0)+1),MATCH(AA$1,[2]enemies!$1:$1,0)-MATCH($L$1,[2]enemies!$1:$1,0)+1,FALSE)</f>
        <v>3</v>
      </c>
      <c r="AB921" s="52">
        <v>364</v>
      </c>
      <c r="AC921" s="4" t="str">
        <f ca="1">VLOOKUP($AB921,OFFSET([3]characters!$A$1,0,0,COUNTA([3]characters!$A:$A),MATCH(AC$1,[3]characters!$1:$1,0)-MATCH("character_id",[3]characters!$1:$1,0)+1),MATCH(AC$1,[3]characters!$1:$1,0)-MATCH("character_id",[3]characters!$1:$1,0)+1,FALSE)</f>
        <v>ノエル</v>
      </c>
      <c r="AD921" s="4">
        <f ca="1">VLOOKUP($AB921,OFFSET([3]characters!$A$1,0,0,COUNTA([3]characters!$A:$A),MATCH(AD$1,[3]characters!$1:$1,0)-MATCH("character_id",[3]characters!$1:$1,0)+1),MATCH(AD$1,[3]characters!$1:$1,0)-MATCH("character_id",[3]characters!$1:$1,0)+1,FALSE)</f>
        <v>2</v>
      </c>
      <c r="AE921" s="4" t="str">
        <f ca="1">VLOOKUP($AB921,OFFSET([3]characters!$A$1,0,0,COUNTA([3]characters!$A:$A),MATCH(AE$1,[3]characters!$1:$1,0)-MATCH("character_id",[3]characters!$1:$1,0)+1),MATCH(AE$1,[3]characters!$1:$1,0)-MATCH("character_id",[3]characters!$1:$1,0)+1,FALSE)</f>
        <v>Drop1S</v>
      </c>
      <c r="AF921" s="7">
        <v>7</v>
      </c>
      <c r="AG921" s="26">
        <f t="shared" ca="1" si="803"/>
        <v>2</v>
      </c>
      <c r="AH921" s="8">
        <v>20</v>
      </c>
      <c r="AI921" s="7">
        <v>0</v>
      </c>
      <c r="AJ921" s="7">
        <v>0</v>
      </c>
      <c r="AK921" s="7">
        <v>0</v>
      </c>
      <c r="AL921" s="7">
        <v>0</v>
      </c>
      <c r="AM921" s="7">
        <v>1</v>
      </c>
    </row>
    <row r="922" spans="1:39" ht="14" x14ac:dyDescent="0.15">
      <c r="A922" s="18" t="str">
        <f t="shared" ca="1" si="810"/>
        <v>26_5-5/366&lt;lv58&gt;s3</v>
      </c>
      <c r="B922" s="53">
        <v>26</v>
      </c>
      <c r="C922" s="51">
        <v>5</v>
      </c>
      <c r="D922" s="2" t="str">
        <f t="shared" si="813"/>
        <v>26_5</v>
      </c>
      <c r="E922" s="2" t="str">
        <f t="shared" si="814"/>
        <v>5_26_5</v>
      </c>
      <c r="F922" s="4" t="str">
        <f ca="1">VLOOKUP($D922,OFFSET([1]stages!$A$1,0,0,COUNTA([1]stages!$A:$A),MATCH(F$1,[1]stages!$2:$2,0)-MATCH($D$1,[1]stages!$2:$2,0)+1),MATCH(F$1,[1]stages!$2:$2,0)-MATCH($D$1,[1]stages!$2:$2,0)+1,FALSE)</f>
        <v>26-5．踊る強奪者</v>
      </c>
      <c r="G922" s="56">
        <v>5</v>
      </c>
      <c r="H922" s="17" t="str">
        <f t="shared" si="815"/>
        <v>26_5-5</v>
      </c>
      <c r="I922" s="17"/>
      <c r="J922" s="17"/>
      <c r="K922" s="65" t="s">
        <v>56</v>
      </c>
      <c r="L922" s="52">
        <v>366</v>
      </c>
      <c r="M922" s="21" t="str">
        <f ca="1">VLOOKUP($L922,OFFSET([2]enemies!$A$1,0,0,COUNTA([2]enemies!$A:$A),MATCH(M$1,[2]enemies!$1:$1,0)-MATCH($L$1,[2]enemies!$1:$1,0)+1),MATCH(M$1,[2]enemies!$1:$1,0)-MATCH($L$1,[2]enemies!$1:$1,0)+1,FALSE)</f>
        <v>トト</v>
      </c>
      <c r="N922" s="21" t="str">
        <f ca="1">VLOOKUP($L922,OFFSET([2]enemies!$A$1,0,0,COUNTA([2]enemies!$A:$A),MATCH(N$1,[2]enemies!$1:$1,0)-MATCH($L$1,[2]enemies!$1:$1,0)+1),MATCH(N$1,[2]enemies!$1:$1,0)-MATCH($L$1,[2]enemies!$1:$1,0)+1,FALSE)</f>
        <v>yellow</v>
      </c>
      <c r="O922" s="21" t="str">
        <f ca="1">VLOOKUP($L922,OFFSET([3]characters!$A$1,0,0,COUNTA([3]characters!$A:$A),MATCH(O$1,[3]characters!$1:$1,0)-MATCH($L$1,[3]characters!$1:$1,0)+1),MATCH(O$1,[3]characters!$1:$1,0)-MATCH($L$1,[3]characters!$1:$1,0)+1,FALSE)</f>
        <v>Drop1S</v>
      </c>
      <c r="P922" s="21" t="str">
        <f ca="1">VLOOKUP($L922,OFFSET([2]enemies!$A$1,0,0,COUNTA([2]enemies!$A:$A),MATCH(P$1,[2]enemies!$1:$1,0)-MATCH($L$1,[2]enemies!$1:$1,0)+1),MATCH(P$1,[2]enemies!$1:$1,0)-MATCH($L$1,[2]enemies!$1:$1,0)+1,FALSE)</f>
        <v>animal</v>
      </c>
      <c r="Q922" s="21">
        <f ca="1">VLOOKUP($L922,OFFSET([2]enemies!$A$1,0,0,COUNTA([2]enemies!$A:$A),MATCH(Q$1,[2]enemies!$1:$1,0)-MATCH($L$1,[2]enemies!$1:$1,0)+1),MATCH(Q$1,[2]enemies!$1:$1,0)-MATCH($L$1,[2]enemies!$1:$1,0)+1,FALSE)</f>
        <v>15</v>
      </c>
      <c r="R922" s="53">
        <v>58</v>
      </c>
      <c r="S922" s="27">
        <v>1</v>
      </c>
      <c r="T922" s="27">
        <v>1</v>
      </c>
      <c r="U922" s="5">
        <v>0</v>
      </c>
      <c r="V922" s="4" t="str">
        <f ca="1">VLOOKUP($W922,OFFSET([4]enemy_skill_sets!$B$1,0,0,COUNTA([4]enemy_skill_sets!$B:$B),MATCH(M$1,[4]enemy_skill_sets!$1:$1,0)-MATCH($W$1,[4]enemy_skill_sets!$1:$1,0)+2),MATCH(M$1,[4]enemy_skill_sets!$1:$1,0)-MATCH($W$1,[4]enemy_skill_sets!$1:$1,0)+2,FALSE)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922" s="64">
        <v>366</v>
      </c>
      <c r="X922" s="6">
        <v>0</v>
      </c>
      <c r="Y922" s="6">
        <v>100</v>
      </c>
      <c r="Z922" s="6">
        <v>0</v>
      </c>
      <c r="AA922" s="4">
        <f ca="1">VLOOKUP($L922,OFFSET([2]enemies!$A$1,0,0,COUNTA([2]enemies!$A:$A),MATCH(AA$1,[2]enemies!$1:$1,0)-MATCH($L$1,[2]enemies!$1:$1,0)+1),MATCH(AA$1,[2]enemies!$1:$1,0)-MATCH($L$1,[2]enemies!$1:$1,0)+1,FALSE)</f>
        <v>3</v>
      </c>
      <c r="AB922" s="52">
        <v>366</v>
      </c>
      <c r="AC922" s="4" t="str">
        <f ca="1">VLOOKUP($AB922,OFFSET([3]characters!$A$1,0,0,COUNTA([3]characters!$A:$A),MATCH(AC$1,[3]characters!$1:$1,0)-MATCH("character_id",[3]characters!$1:$1,0)+1),MATCH(AC$1,[3]characters!$1:$1,0)-MATCH("character_id",[3]characters!$1:$1,0)+1,FALSE)</f>
        <v>トト</v>
      </c>
      <c r="AD922" s="4">
        <f ca="1">VLOOKUP($AB922,OFFSET([3]characters!$A$1,0,0,COUNTA([3]characters!$A:$A),MATCH(AD$1,[3]characters!$1:$1,0)-MATCH("character_id",[3]characters!$1:$1,0)+1),MATCH(AD$1,[3]characters!$1:$1,0)-MATCH("character_id",[3]characters!$1:$1,0)+1,FALSE)</f>
        <v>2</v>
      </c>
      <c r="AE922" s="4" t="str">
        <f ca="1">VLOOKUP($AB922,OFFSET([3]characters!$A$1,0,0,COUNTA([3]characters!$A:$A),MATCH(AE$1,[3]characters!$1:$1,0)-MATCH("character_id",[3]characters!$1:$1,0)+1),MATCH(AE$1,[3]characters!$1:$1,0)-MATCH("character_id",[3]characters!$1:$1,0)+1,FALSE)</f>
        <v>Drop1S</v>
      </c>
      <c r="AF922" s="7">
        <v>7</v>
      </c>
      <c r="AG922" s="26">
        <f t="shared" ca="1" si="803"/>
        <v>2</v>
      </c>
      <c r="AH922" s="8">
        <v>20</v>
      </c>
      <c r="AI922" s="7">
        <v>0</v>
      </c>
      <c r="AJ922" s="7">
        <v>0</v>
      </c>
      <c r="AK922" s="7">
        <v>0</v>
      </c>
      <c r="AL922" s="7">
        <v>0</v>
      </c>
      <c r="AM922" s="7">
        <v>1</v>
      </c>
    </row>
    <row r="923" spans="1:39" ht="14" x14ac:dyDescent="0.15">
      <c r="A923" s="18" t="str">
        <f t="shared" ca="1" si="810"/>
        <v>26_5-5/350&lt;lv58&gt;s3</v>
      </c>
      <c r="B923" s="53">
        <v>26</v>
      </c>
      <c r="C923" s="51">
        <v>5</v>
      </c>
      <c r="D923" s="2" t="str">
        <f t="shared" ref="D923:D924" si="816">B923&amp;"_"&amp;C923</f>
        <v>26_5</v>
      </c>
      <c r="E923" s="2" t="str">
        <f t="shared" ref="E923:E924" si="817">C923&amp;"_"&amp;D923</f>
        <v>5_26_5</v>
      </c>
      <c r="F923" s="4" t="str">
        <f ca="1">VLOOKUP($D923,OFFSET([1]stages!$A$1,0,0,COUNTA([1]stages!$A:$A),MATCH(F$1,[1]stages!$2:$2,0)-MATCH($D$1,[1]stages!$2:$2,0)+1),MATCH(F$1,[1]stages!$2:$2,0)-MATCH($D$1,[1]stages!$2:$2,0)+1,FALSE)</f>
        <v>26-5．踊る強奪者</v>
      </c>
      <c r="G923" s="56">
        <v>5</v>
      </c>
      <c r="H923" s="17" t="str">
        <f t="shared" ref="H923:H924" si="818">B923&amp;"_"&amp;C923&amp;"-"&amp;G923</f>
        <v>26_5-5</v>
      </c>
      <c r="I923" s="17"/>
      <c r="J923" s="17"/>
      <c r="K923" s="65" t="s">
        <v>56</v>
      </c>
      <c r="L923" s="52">
        <v>350</v>
      </c>
      <c r="M923" s="21" t="str">
        <f ca="1">VLOOKUP($L923,OFFSET([2]enemies!$A$1,0,0,COUNTA([2]enemies!$A:$A),MATCH(M$1,[2]enemies!$1:$1,0)-MATCH($L$1,[2]enemies!$1:$1,0)+1),MATCH(M$1,[2]enemies!$1:$1,0)-MATCH($L$1,[2]enemies!$1:$1,0)+1,FALSE)</f>
        <v>森のケロケロ</v>
      </c>
      <c r="N923" s="21" t="str">
        <f ca="1">VLOOKUP($L923,OFFSET([2]enemies!$A$1,0,0,COUNTA([2]enemies!$A:$A),MATCH(N$1,[2]enemies!$1:$1,0)-MATCH($L$1,[2]enemies!$1:$1,0)+1),MATCH(N$1,[2]enemies!$1:$1,0)-MATCH($L$1,[2]enemies!$1:$1,0)+1,FALSE)</f>
        <v>green</v>
      </c>
      <c r="O923" s="21" t="str">
        <f ca="1">VLOOKUP($L923,OFFSET([3]characters!$A$1,0,0,COUNTA([3]characters!$A:$A),MATCH(O$1,[3]characters!$1:$1,0)-MATCH($L$1,[3]characters!$1:$1,0)+1),MATCH(O$1,[3]characters!$1:$1,0)-MATCH($L$1,[3]characters!$1:$1,0)+1,FALSE)</f>
        <v>Material</v>
      </c>
      <c r="P923" s="21" t="str">
        <f ca="1">VLOOKUP($L923,OFFSET([2]enemies!$A$1,0,0,COUNTA([2]enemies!$A:$A),MATCH(P$1,[2]enemies!$1:$1,0)-MATCH($L$1,[2]enemies!$1:$1,0)+1),MATCH(P$1,[2]enemies!$1:$1,0)-MATCH($L$1,[2]enemies!$1:$1,0)+1,FALSE)</f>
        <v>unknown</v>
      </c>
      <c r="Q923" s="21">
        <f ca="1">VLOOKUP($L923,OFFSET([2]enemies!$A$1,0,0,COUNTA([2]enemies!$A:$A),MATCH(Q$1,[2]enemies!$1:$1,0)-MATCH($L$1,[2]enemies!$1:$1,0)+1),MATCH(Q$1,[2]enemies!$1:$1,0)-MATCH($L$1,[2]enemies!$1:$1,0)+1,FALSE)</f>
        <v>15</v>
      </c>
      <c r="R923" s="53">
        <v>58</v>
      </c>
      <c r="S923" s="27">
        <v>1</v>
      </c>
      <c r="T923" s="27">
        <v>1</v>
      </c>
      <c r="U923" s="5">
        <v>0</v>
      </c>
      <c r="V923" s="4" t="str">
        <f ca="1">VLOOKUP($W923,OFFSET([4]enemy_skill_sets!$B$1,0,0,COUNTA([4]enemy_skill_sets!$B:$B),MATCH(M$1,[4]enemy_skill_sets!$1:$1,0)-MATCH($W$1,[4]enemy_skill_sets!$1:$1,0)+2),MATCH(M$1,[4]enemy_skill_sets!$1:$1,0)-MATCH($W$1,[4]enemy_skill_sets!$1:$1,0)+2,FALSE)</f>
        <v>2ターン緑パネルが使えない！</v>
      </c>
      <c r="W923" s="64">
        <v>350</v>
      </c>
      <c r="X923" s="6">
        <v>0</v>
      </c>
      <c r="Y923" s="6">
        <v>100</v>
      </c>
      <c r="Z923" s="6">
        <v>0</v>
      </c>
      <c r="AA923" s="4">
        <f ca="1">VLOOKUP($L923,OFFSET([2]enemies!$A$1,0,0,COUNTA([2]enemies!$A:$A),MATCH(AA$1,[2]enemies!$1:$1,0)-MATCH($L$1,[2]enemies!$1:$1,0)+1),MATCH(AA$1,[2]enemies!$1:$1,0)-MATCH($L$1,[2]enemies!$1:$1,0)+1,FALSE)</f>
        <v>3</v>
      </c>
      <c r="AB923" s="52">
        <v>350</v>
      </c>
      <c r="AC923" s="4" t="str">
        <f ca="1">VLOOKUP($AB923,OFFSET([3]characters!$A$1,0,0,COUNTA([3]characters!$A:$A),MATCH(AC$1,[3]characters!$1:$1,0)-MATCH("character_id",[3]characters!$1:$1,0)+1),MATCH(AC$1,[3]characters!$1:$1,0)-MATCH("character_id",[3]characters!$1:$1,0)+1,FALSE)</f>
        <v>森のケロケロ</v>
      </c>
      <c r="AD923" s="4">
        <f ca="1">VLOOKUP($AB923,OFFSET([3]characters!$A$1,0,0,COUNTA([3]characters!$A:$A),MATCH(AD$1,[3]characters!$1:$1,0)-MATCH("character_id",[3]characters!$1:$1,0)+1),MATCH(AD$1,[3]characters!$1:$1,0)-MATCH("character_id",[3]characters!$1:$1,0)+1,FALSE)</f>
        <v>2</v>
      </c>
      <c r="AE923" s="4" t="str">
        <f ca="1">VLOOKUP($AB923,OFFSET([3]characters!$A$1,0,0,COUNTA([3]characters!$A:$A),MATCH(AE$1,[3]characters!$1:$1,0)-MATCH("character_id",[3]characters!$1:$1,0)+1),MATCH(AE$1,[3]characters!$1:$1,0)-MATCH("character_id",[3]characters!$1:$1,0)+1,FALSE)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23" s="7">
        <v>10</v>
      </c>
      <c r="AG923" s="26">
        <f t="shared" ca="1" si="803"/>
        <v>2</v>
      </c>
      <c r="AH923" s="8">
        <v>20</v>
      </c>
      <c r="AI923" s="7">
        <v>0</v>
      </c>
      <c r="AJ923" s="7">
        <v>0</v>
      </c>
      <c r="AK923" s="7">
        <v>0</v>
      </c>
      <c r="AL923" s="7">
        <v>0</v>
      </c>
      <c r="AM923" s="7">
        <v>1</v>
      </c>
    </row>
    <row r="924" spans="1:39" ht="14" x14ac:dyDescent="0.15">
      <c r="A924" s="18" t="str">
        <f t="shared" ca="1" si="810"/>
        <v>26_5-5/354&lt;lv58&gt;s3</v>
      </c>
      <c r="B924" s="53">
        <v>26</v>
      </c>
      <c r="C924" s="51">
        <v>5</v>
      </c>
      <c r="D924" s="2" t="str">
        <f t="shared" si="816"/>
        <v>26_5</v>
      </c>
      <c r="E924" s="2" t="str">
        <f t="shared" si="817"/>
        <v>5_26_5</v>
      </c>
      <c r="F924" s="4" t="str">
        <f ca="1">VLOOKUP($D924,OFFSET([1]stages!$A$1,0,0,COUNTA([1]stages!$A:$A),MATCH(F$1,[1]stages!$2:$2,0)-MATCH($D$1,[1]stages!$2:$2,0)+1),MATCH(F$1,[1]stages!$2:$2,0)-MATCH($D$1,[1]stages!$2:$2,0)+1,FALSE)</f>
        <v>26-5．踊る強奪者</v>
      </c>
      <c r="G924" s="56">
        <v>5</v>
      </c>
      <c r="H924" s="17" t="str">
        <f t="shared" si="818"/>
        <v>26_5-5</v>
      </c>
      <c r="I924" s="17"/>
      <c r="J924" s="17"/>
      <c r="K924" s="65" t="s">
        <v>56</v>
      </c>
      <c r="L924" s="52">
        <v>354</v>
      </c>
      <c r="M924" s="21" t="str">
        <f ca="1">VLOOKUP($L924,OFFSET([2]enemies!$A$1,0,0,COUNTA([2]enemies!$A:$A),MATCH(M$1,[2]enemies!$1:$1,0)-MATCH($L$1,[2]enemies!$1:$1,0)+1),MATCH(M$1,[2]enemies!$1:$1,0)-MATCH($L$1,[2]enemies!$1:$1,0)+1,FALSE)</f>
        <v>雷のケロケロ</v>
      </c>
      <c r="N924" s="21" t="str">
        <f ca="1">VLOOKUP($L924,OFFSET([2]enemies!$A$1,0,0,COUNTA([2]enemies!$A:$A),MATCH(N$1,[2]enemies!$1:$1,0)-MATCH($L$1,[2]enemies!$1:$1,0)+1),MATCH(N$1,[2]enemies!$1:$1,0)-MATCH($L$1,[2]enemies!$1:$1,0)+1,FALSE)</f>
        <v>yellow</v>
      </c>
      <c r="O924" s="21" t="str">
        <f ca="1">VLOOKUP($L924,OFFSET([3]characters!$A$1,0,0,COUNTA([3]characters!$A:$A),MATCH(O$1,[3]characters!$1:$1,0)-MATCH($L$1,[3]characters!$1:$1,0)+1),MATCH(O$1,[3]characters!$1:$1,0)-MATCH($L$1,[3]characters!$1:$1,0)+1,FALSE)</f>
        <v>Material</v>
      </c>
      <c r="P924" s="21" t="str">
        <f ca="1">VLOOKUP($L924,OFFSET([2]enemies!$A$1,0,0,COUNTA([2]enemies!$A:$A),MATCH(P$1,[2]enemies!$1:$1,0)-MATCH($L$1,[2]enemies!$1:$1,0)+1),MATCH(P$1,[2]enemies!$1:$1,0)-MATCH($L$1,[2]enemies!$1:$1,0)+1,FALSE)</f>
        <v>unknown</v>
      </c>
      <c r="Q924" s="21">
        <f ca="1">VLOOKUP($L924,OFFSET([2]enemies!$A$1,0,0,COUNTA([2]enemies!$A:$A),MATCH(Q$1,[2]enemies!$1:$1,0)-MATCH($L$1,[2]enemies!$1:$1,0)+1),MATCH(Q$1,[2]enemies!$1:$1,0)-MATCH($L$1,[2]enemies!$1:$1,0)+1,FALSE)</f>
        <v>15</v>
      </c>
      <c r="R924" s="53">
        <v>58</v>
      </c>
      <c r="S924" s="27">
        <v>1</v>
      </c>
      <c r="T924" s="27">
        <v>1</v>
      </c>
      <c r="U924" s="5">
        <v>0</v>
      </c>
      <c r="V924" s="4" t="str">
        <f ca="1">VLOOKUP($W924,OFFSET([4]enemy_skill_sets!$B$1,0,0,COUNTA([4]enemy_skill_sets!$B:$B),MATCH(M$1,[4]enemy_skill_sets!$1:$1,0)-MATCH($W$1,[4]enemy_skill_sets!$1:$1,0)+2),MATCH(M$1,[4]enemy_skill_sets!$1:$1,0)-MATCH($W$1,[4]enemy_skill_sets!$1:$1,0)+2,FALSE)</f>
        <v>2ターン黄パネルが使えない！</v>
      </c>
      <c r="W924" s="64">
        <v>354</v>
      </c>
      <c r="X924" s="6">
        <v>1</v>
      </c>
      <c r="Y924" s="6">
        <v>100</v>
      </c>
      <c r="Z924" s="6">
        <v>0</v>
      </c>
      <c r="AA924" s="4">
        <f ca="1">VLOOKUP($L924,OFFSET([2]enemies!$A$1,0,0,COUNTA([2]enemies!$A:$A),MATCH(AA$1,[2]enemies!$1:$1,0)-MATCH($L$1,[2]enemies!$1:$1,0)+1),MATCH(AA$1,[2]enemies!$1:$1,0)-MATCH($L$1,[2]enemies!$1:$1,0)+1,FALSE)</f>
        <v>3</v>
      </c>
      <c r="AB924" s="52">
        <v>354</v>
      </c>
      <c r="AC924" s="4" t="str">
        <f ca="1">VLOOKUP($AB924,OFFSET([3]characters!$A$1,0,0,COUNTA([3]characters!$A:$A),MATCH(AC$1,[3]characters!$1:$1,0)-MATCH("character_id",[3]characters!$1:$1,0)+1),MATCH(AC$1,[3]characters!$1:$1,0)-MATCH("character_id",[3]characters!$1:$1,0)+1,FALSE)</f>
        <v>雷のケロケロ</v>
      </c>
      <c r="AD924" s="4">
        <f ca="1">VLOOKUP($AB924,OFFSET([3]characters!$A$1,0,0,COUNTA([3]characters!$A:$A),MATCH(AD$1,[3]characters!$1:$1,0)-MATCH("character_id",[3]characters!$1:$1,0)+1),MATCH(AD$1,[3]characters!$1:$1,0)-MATCH("character_id",[3]characters!$1:$1,0)+1,FALSE)</f>
        <v>2</v>
      </c>
      <c r="AE924" s="4" t="str">
        <f ca="1">VLOOKUP($AB924,OFFSET([3]characters!$A$1,0,0,COUNTA([3]characters!$A:$A),MATCH(AE$1,[3]characters!$1:$1,0)-MATCH("character_id",[3]characters!$1:$1,0)+1),MATCH(AE$1,[3]characters!$1:$1,0)-MATCH("character_id",[3]characters!$1:$1,0)+1,FALSE)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24" s="7">
        <v>10</v>
      </c>
      <c r="AG924" s="26">
        <f t="shared" ca="1" si="803"/>
        <v>2</v>
      </c>
      <c r="AH924" s="8">
        <v>100</v>
      </c>
      <c r="AI924" s="7">
        <v>0</v>
      </c>
      <c r="AJ924" s="7">
        <v>0</v>
      </c>
      <c r="AK924" s="7">
        <v>0</v>
      </c>
      <c r="AL924" s="7">
        <v>0</v>
      </c>
      <c r="AM924" s="7">
        <v>1</v>
      </c>
    </row>
    <row r="925" spans="1:39" ht="14" x14ac:dyDescent="0.15">
      <c r="A925" s="18" t="str">
        <f t="shared" ca="1" si="810"/>
        <v>26_5-6/252&lt;lv63&gt;s2</v>
      </c>
      <c r="B925" s="50">
        <v>26</v>
      </c>
      <c r="C925" s="49">
        <v>5</v>
      </c>
      <c r="D925" s="2" t="str">
        <f t="shared" ref="D925:E938" si="819">B925&amp;"_"&amp;C925</f>
        <v>26_5</v>
      </c>
      <c r="E925" s="2" t="str">
        <f t="shared" si="819"/>
        <v>5_26_5</v>
      </c>
      <c r="F925" s="4" t="str">
        <f ca="1">VLOOKUP($D925,OFFSET([1]stages!$A$1,0,0,COUNTA([1]stages!$A:$A),MATCH(F$1,[1]stages!$2:$2,0)-MATCH($D$1,[1]stages!$2:$2,0)+1),MATCH(F$1,[1]stages!$2:$2,0)-MATCH($D$1,[1]stages!$2:$2,0)+1,FALSE)</f>
        <v>26-5．踊る強奪者</v>
      </c>
      <c r="G925" s="60">
        <v>6</v>
      </c>
      <c r="H925" s="17" t="str">
        <f t="shared" ref="H925:H938" si="820">B925&amp;"_"&amp;C925&amp;"-"&amp;G925</f>
        <v>26_5-6</v>
      </c>
      <c r="I925" s="17"/>
      <c r="J925" s="17"/>
      <c r="K925" s="65">
        <v>252</v>
      </c>
      <c r="L925" s="52">
        <v>252</v>
      </c>
      <c r="M925" s="21" t="str">
        <f ca="1">VLOOKUP($L925,OFFSET([2]enemies!$A$1,0,0,COUNTA([2]enemies!$A:$A),MATCH(M$1,[2]enemies!$1:$1,0)-MATCH($L$1,[2]enemies!$1:$1,0)+1),MATCH(M$1,[2]enemies!$1:$1,0)-MATCH($L$1,[2]enemies!$1:$1,0)+1,FALSE)</f>
        <v>強欲の沸騰 マンモン</v>
      </c>
      <c r="N925" s="21" t="str">
        <f ca="1">VLOOKUP($L925,OFFSET([2]enemies!$A$1,0,0,COUNTA([2]enemies!$A:$A),MATCH(N$1,[2]enemies!$1:$1,0)-MATCH($L$1,[2]enemies!$1:$1,0)+1),MATCH(N$1,[2]enemies!$1:$1,0)-MATCH($L$1,[2]enemies!$1:$1,0)+1,FALSE)</f>
        <v>red</v>
      </c>
      <c r="O925" s="21" t="str">
        <f ca="1">VLOOKUP($L925,OFFSET([3]characters!$A$1,0,0,COUNTA([3]characters!$A:$A),MATCH(O$1,[3]characters!$1:$1,0)-MATCH($L$1,[3]characters!$1:$1,0)+1),MATCH(O$1,[3]characters!$1:$1,0)-MATCH($L$1,[3]characters!$1:$1,0)+1,FALSE)</f>
        <v>PremiumS</v>
      </c>
      <c r="P925" s="21" t="str">
        <f ca="1">VLOOKUP($L925,OFFSET([2]enemies!$A$1,0,0,COUNTA([2]enemies!$A:$A),MATCH(P$1,[2]enemies!$1:$1,0)-MATCH($L$1,[2]enemies!$1:$1,0)+1),MATCH(P$1,[2]enemies!$1:$1,0)-MATCH($L$1,[2]enemies!$1:$1,0)+1,FALSE)</f>
        <v>god</v>
      </c>
      <c r="Q925" s="21">
        <f ca="1">VLOOKUP($L925,OFFSET([2]enemies!$A$1,0,0,COUNTA([2]enemies!$A:$A),MATCH(Q$1,[2]enemies!$1:$1,0)-MATCH($L$1,[2]enemies!$1:$1,0)+1),MATCH(Q$1,[2]enemies!$1:$1,0)-MATCH($L$1,[2]enemies!$1:$1,0)+1,FALSE)</f>
        <v>60</v>
      </c>
      <c r="R925" s="53">
        <v>63</v>
      </c>
      <c r="S925" s="27">
        <v>1</v>
      </c>
      <c r="T925" s="27">
        <v>1</v>
      </c>
      <c r="U925" s="5">
        <v>0</v>
      </c>
      <c r="V925" s="4" t="str">
        <f ca="1">VLOOKUP($W925,OFFSET([4]enemy_skill_sets!$B$1,0,0,COUNTA([4]enemy_skill_sets!$B:$B),MATCH(M$1,[4]enemy_skill_sets!$1:$1,0)-MATCH($W$1,[4]enemy_skill_sets!$1:$1,0)+2),MATCH(M$1,[4]enemy_skill_sets!$1:$1,0)-MATCH($W$1,[4]enemy_skill_sets!$1:$1,0)+2,FALSE)</f>
        <v>10回連続攻撃</v>
      </c>
      <c r="W925" s="64">
        <v>25201</v>
      </c>
      <c r="X925" s="6">
        <v>1</v>
      </c>
      <c r="Y925" s="6">
        <v>100</v>
      </c>
      <c r="Z925" s="6">
        <v>1</v>
      </c>
      <c r="AA925" s="4">
        <f ca="1">VLOOKUP($L925,OFFSET([2]enemies!$A$1,0,0,COUNTA([2]enemies!$A:$A),MATCH(AA$1,[2]enemies!$1:$1,0)-MATCH($L$1,[2]enemies!$1:$1,0)+1),MATCH(AA$1,[2]enemies!$1:$1,0)-MATCH($L$1,[2]enemies!$1:$1,0)+1,FALSE)</f>
        <v>2</v>
      </c>
      <c r="AB925" s="52">
        <v>250</v>
      </c>
      <c r="AC925" s="4" t="str">
        <f ca="1">VLOOKUP($AB925,OFFSET([3]characters!$A$1,0,0,COUNTA([3]characters!$A:$A),MATCH(AC$1,[3]characters!$1:$1,0)-MATCH("character_id",[3]characters!$1:$1,0)+1),MATCH(AC$1,[3]characters!$1:$1,0)-MATCH("character_id",[3]characters!$1:$1,0)+1,FALSE)</f>
        <v>マンモン</v>
      </c>
      <c r="AD925" s="4">
        <f ca="1">VLOOKUP($AB925,OFFSET([3]characters!$A$1,0,0,COUNTA([3]characters!$A:$A),MATCH(AD$1,[3]characters!$1:$1,0)-MATCH("character_id",[3]characters!$1:$1,0)+1),MATCH(AD$1,[3]characters!$1:$1,0)-MATCH("character_id",[3]characters!$1:$1,0)+1,FALSE)</f>
        <v>3</v>
      </c>
      <c r="AE925" s="4" t="str">
        <f ca="1">VLOOKUP($AB925,OFFSET([3]characters!$A$1,0,0,COUNTA([3]characters!$A:$A),MATCH(AE$1,[3]characters!$1:$1,0)-MATCH("character_id",[3]characters!$1:$1,0)+1),MATCH(AE$1,[3]characters!$1:$1,0)-MATCH("character_id",[3]characters!$1:$1,0)+1,FALSE)</f>
        <v>PremiumS</v>
      </c>
      <c r="AF925" s="7">
        <v>1</v>
      </c>
      <c r="AG925" s="26">
        <f t="shared" ca="1" si="803"/>
        <v>3</v>
      </c>
      <c r="AH925" s="8">
        <v>0</v>
      </c>
      <c r="AI925" s="7">
        <v>0</v>
      </c>
      <c r="AJ925" s="7">
        <v>0</v>
      </c>
      <c r="AK925" s="7">
        <v>0</v>
      </c>
      <c r="AL925" s="7">
        <v>0</v>
      </c>
      <c r="AM925" s="7">
        <v>1</v>
      </c>
    </row>
    <row r="926" spans="1:39" ht="14" x14ac:dyDescent="0.15">
      <c r="A926" s="18" t="str">
        <f t="shared" ca="1" si="810"/>
        <v>26_6-1/121&lt;lv58&gt;s1</v>
      </c>
      <c r="B926" s="50">
        <v>26</v>
      </c>
      <c r="C926" s="49">
        <v>6</v>
      </c>
      <c r="D926" s="2" t="str">
        <f t="shared" si="819"/>
        <v>26_6</v>
      </c>
      <c r="E926" s="2" t="str">
        <f t="shared" si="819"/>
        <v>6_26_6</v>
      </c>
      <c r="F926" s="4" t="str">
        <f ca="1">VLOOKUP($D926,OFFSET([1]stages!$A$1,0,0,COUNTA([1]stages!$A:$A),MATCH(F$1,[1]stages!$2:$2,0)-MATCH($D$1,[1]stages!$2:$2,0)+1),MATCH(F$1,[1]stages!$2:$2,0)-MATCH($D$1,[1]stages!$2:$2,0)+1,FALSE)</f>
        <v>26-6．【1回のみ】ボーナスステージ</v>
      </c>
      <c r="G926" s="51">
        <v>1</v>
      </c>
      <c r="H926" s="17" t="str">
        <f t="shared" si="820"/>
        <v>26_6-1</v>
      </c>
      <c r="I926" s="17"/>
      <c r="J926" s="17"/>
      <c r="K926" s="65" t="s">
        <v>56</v>
      </c>
      <c r="L926" s="52">
        <v>121</v>
      </c>
      <c r="M926" s="21" t="str">
        <f ca="1">VLOOKUP($L926,OFFSET([2]enemies!$A$1,0,0,COUNTA([2]enemies!$A:$A),MATCH(M$1,[2]enemies!$1:$1,0)-MATCH($L$1,[2]enemies!$1:$1,0)+1),MATCH(M$1,[2]enemies!$1:$1,0)-MATCH($L$1,[2]enemies!$1:$1,0)+1,FALSE)</f>
        <v>攻めの果実</v>
      </c>
      <c r="N926" s="21" t="str">
        <f ca="1">VLOOKUP($L926,OFFSET([2]enemies!$A$1,0,0,COUNTA([2]enemies!$A:$A),MATCH(N$1,[2]enemies!$1:$1,0)-MATCH($L$1,[2]enemies!$1:$1,0)+1),MATCH(N$1,[2]enemies!$1:$1,0)-MATCH($L$1,[2]enemies!$1:$1,0)+1,FALSE)</f>
        <v>red</v>
      </c>
      <c r="O926" s="21" t="str">
        <f ca="1">VLOOKUP($L926,OFFSET([3]characters!$A$1,0,0,COUNTA([3]characters!$A:$A),MATCH(O$1,[3]characters!$1:$1,0)-MATCH($L$1,[3]characters!$1:$1,0)+1),MATCH(O$1,[3]characters!$1:$1,0)-MATCH($L$1,[3]characters!$1:$1,0)+1,FALSE)</f>
        <v>Material</v>
      </c>
      <c r="P926" s="21" t="str">
        <f ca="1">VLOOKUP($L926,OFFSET([2]enemies!$A$1,0,0,COUNTA([2]enemies!$A:$A),MATCH(P$1,[2]enemies!$1:$1,0)-MATCH($L$1,[2]enemies!$1:$1,0)+1),MATCH(P$1,[2]enemies!$1:$1,0)-MATCH($L$1,[2]enemies!$1:$1,0)+1,FALSE)</f>
        <v>unknown</v>
      </c>
      <c r="Q926" s="21">
        <f ca="1">VLOOKUP($L926,OFFSET([2]enemies!$A$1,0,0,COUNTA([2]enemies!$A:$A),MATCH(Q$1,[2]enemies!$1:$1,0)-MATCH($L$1,[2]enemies!$1:$1,0)+1),MATCH(Q$1,[2]enemies!$1:$1,0)-MATCH($L$1,[2]enemies!$1:$1,0)+1,FALSE)</f>
        <v>20</v>
      </c>
      <c r="R926" s="53">
        <v>58</v>
      </c>
      <c r="S926" s="27">
        <v>1</v>
      </c>
      <c r="T926" s="27">
        <v>1</v>
      </c>
      <c r="U926" s="5">
        <v>0</v>
      </c>
      <c r="V926" s="4" t="str">
        <f ca="1">VLOOKUP($W926,OFFSET([4]enemy_skill_sets!$B$1,0,0,COUNTA([4]enemy_skill_sets!$B:$B),MATCH(M$1,[4]enemy_skill_sets!$1:$1,0)-MATCH($W$1,[4]enemy_skill_sets!$1:$1,0)+2),MATCH(M$1,[4]enemy_skill_sets!$1:$1,0)-MATCH($W$1,[4]enemy_skill_sets!$1:$1,0)+2,FALSE)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26" s="4">
        <f ca="1">VLOOKUP($L926,OFFSET([2]enemies!$A$1,0,0,COUNTA([2]enemies!$A:$A),MATCH(W$1,[2]enemies!$1:$1,0)-MATCH($L$1,[2]enemies!$1:$1,0)+1),MATCH(W$1,[2]enemies!$1:$1,0)-MATCH($L$1,[2]enemies!$1:$1,0)+1,FALSE)</f>
        <v>0</v>
      </c>
      <c r="X926" s="6">
        <v>0</v>
      </c>
      <c r="Y926" s="6">
        <v>100</v>
      </c>
      <c r="Z926" s="6">
        <v>0</v>
      </c>
      <c r="AA926" s="4">
        <f ca="1">VLOOKUP($L926,OFFSET([2]enemies!$A$1,0,0,COUNTA([2]enemies!$A:$A),MATCH(AA$1,[2]enemies!$1:$1,0)-MATCH($L$1,[2]enemies!$1:$1,0)+1),MATCH(AA$1,[2]enemies!$1:$1,0)-MATCH($L$1,[2]enemies!$1:$1,0)+1,FALSE)</f>
        <v>1</v>
      </c>
      <c r="AB926" s="52">
        <v>121</v>
      </c>
      <c r="AC926" s="4" t="str">
        <f ca="1">VLOOKUP($AB926,OFFSET([3]characters!$A$1,0,0,COUNTA([3]characters!$A:$A),MATCH(AC$1,[3]characters!$1:$1,0)-MATCH("character_id",[3]characters!$1:$1,0)+1),MATCH(AC$1,[3]characters!$1:$1,0)-MATCH("character_id",[3]characters!$1:$1,0)+1,FALSE)</f>
        <v>攻めの果実</v>
      </c>
      <c r="AD926" s="4">
        <f ca="1">VLOOKUP($AB926,OFFSET([3]characters!$A$1,0,0,COUNTA([3]characters!$A:$A),MATCH(AD$1,[3]characters!$1:$1,0)-MATCH("character_id",[3]characters!$1:$1,0)+1),MATCH(AD$1,[3]characters!$1:$1,0)-MATCH("character_id",[3]characters!$1:$1,0)+1,FALSE)</f>
        <v>3</v>
      </c>
      <c r="AE926" s="4" t="str">
        <f ca="1">VLOOKUP($AB926,OFFSET([3]characters!$A$1,0,0,COUNTA([3]characters!$A:$A),MATCH(AE$1,[3]characters!$1:$1,0)-MATCH("character_id",[3]characters!$1:$1,0)+1),MATCH(AE$1,[3]characters!$1:$1,0)-MATCH("character_id",[3]characters!$1:$1,0)+1,FALSE)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26" s="7">
        <v>1</v>
      </c>
      <c r="AG926" s="26">
        <f t="shared" ca="1" si="803"/>
        <v>3</v>
      </c>
      <c r="AH926" s="8">
        <v>100</v>
      </c>
      <c r="AI926" s="7">
        <v>0</v>
      </c>
      <c r="AJ926" s="7">
        <v>0</v>
      </c>
      <c r="AK926" s="7">
        <v>0</v>
      </c>
      <c r="AL926" s="7">
        <v>0</v>
      </c>
      <c r="AM926" s="7">
        <v>1</v>
      </c>
    </row>
    <row r="927" spans="1:39" ht="14" x14ac:dyDescent="0.15">
      <c r="A927" s="18" t="str">
        <f t="shared" ca="1" si="810"/>
        <v>26_6-1/122&lt;lv58&gt;s3</v>
      </c>
      <c r="B927" s="50">
        <v>26</v>
      </c>
      <c r="C927" s="49">
        <v>6</v>
      </c>
      <c r="D927" s="2" t="str">
        <f t="shared" si="819"/>
        <v>26_6</v>
      </c>
      <c r="E927" s="2" t="str">
        <f t="shared" si="819"/>
        <v>6_26_6</v>
      </c>
      <c r="F927" s="4" t="str">
        <f ca="1">VLOOKUP($D927,OFFSET([1]stages!$A$1,0,0,COUNTA([1]stages!$A:$A),MATCH(F$1,[1]stages!$2:$2,0)-MATCH($D$1,[1]stages!$2:$2,0)+1),MATCH(F$1,[1]stages!$2:$2,0)-MATCH($D$1,[1]stages!$2:$2,0)+1,FALSE)</f>
        <v>26-6．【1回のみ】ボーナスステージ</v>
      </c>
      <c r="G927" s="51">
        <v>1</v>
      </c>
      <c r="H927" s="17" t="str">
        <f t="shared" si="820"/>
        <v>26_6-1</v>
      </c>
      <c r="I927" s="17"/>
      <c r="J927" s="17"/>
      <c r="K927" s="65" t="s">
        <v>56</v>
      </c>
      <c r="L927" s="52">
        <v>122</v>
      </c>
      <c r="M927" s="21" t="str">
        <f ca="1">VLOOKUP($L927,OFFSET([2]enemies!$A$1,0,0,COUNTA([2]enemies!$A:$A),MATCH(M$1,[2]enemies!$1:$1,0)-MATCH($L$1,[2]enemies!$1:$1,0)+1),MATCH(M$1,[2]enemies!$1:$1,0)-MATCH($L$1,[2]enemies!$1:$1,0)+1,FALSE)</f>
        <v>生命の果実</v>
      </c>
      <c r="N927" s="21" t="str">
        <f ca="1">VLOOKUP($L927,OFFSET([2]enemies!$A$1,0,0,COUNTA([2]enemies!$A:$A),MATCH(N$1,[2]enemies!$1:$1,0)-MATCH($L$1,[2]enemies!$1:$1,0)+1),MATCH(N$1,[2]enemies!$1:$1,0)-MATCH($L$1,[2]enemies!$1:$1,0)+1,FALSE)</f>
        <v>green</v>
      </c>
      <c r="O927" s="21" t="str">
        <f ca="1">VLOOKUP($L927,OFFSET([3]characters!$A$1,0,0,COUNTA([3]characters!$A:$A),MATCH(O$1,[3]characters!$1:$1,0)-MATCH($L$1,[3]characters!$1:$1,0)+1),MATCH(O$1,[3]characters!$1:$1,0)-MATCH($L$1,[3]characters!$1:$1,0)+1,FALSE)</f>
        <v>Material</v>
      </c>
      <c r="P927" s="21" t="str">
        <f ca="1">VLOOKUP($L927,OFFSET([2]enemies!$A$1,0,0,COUNTA([2]enemies!$A:$A),MATCH(P$1,[2]enemies!$1:$1,0)-MATCH($L$1,[2]enemies!$1:$1,0)+1),MATCH(P$1,[2]enemies!$1:$1,0)-MATCH($L$1,[2]enemies!$1:$1,0)+1,FALSE)</f>
        <v>unknown</v>
      </c>
      <c r="Q927" s="21">
        <f ca="1">VLOOKUP($L927,OFFSET([2]enemies!$A$1,0,0,COUNTA([2]enemies!$A:$A),MATCH(Q$1,[2]enemies!$1:$1,0)-MATCH($L$1,[2]enemies!$1:$1,0)+1),MATCH(Q$1,[2]enemies!$1:$1,0)-MATCH($L$1,[2]enemies!$1:$1,0)+1,FALSE)</f>
        <v>20</v>
      </c>
      <c r="R927" s="53">
        <v>58</v>
      </c>
      <c r="S927" s="27">
        <v>1</v>
      </c>
      <c r="T927" s="27">
        <v>1</v>
      </c>
      <c r="U927" s="5">
        <v>0</v>
      </c>
      <c r="V927" s="4" t="str">
        <f ca="1">VLOOKUP($W927,OFFSET([4]enemy_skill_sets!$B$1,0,0,COUNTA([4]enemy_skill_sets!$B:$B),MATCH(M$1,[4]enemy_skill_sets!$1:$1,0)-MATCH($W$1,[4]enemy_skill_sets!$1:$1,0)+2),MATCH(M$1,[4]enemy_skill_sets!$1:$1,0)-MATCH($W$1,[4]enemy_skill_sets!$1:$1,0)+2,FALSE)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27" s="4">
        <v>0</v>
      </c>
      <c r="X927" s="6">
        <v>0</v>
      </c>
      <c r="Y927" s="6">
        <v>100</v>
      </c>
      <c r="Z927" s="6">
        <v>0</v>
      </c>
      <c r="AA927" s="4">
        <f ca="1">VLOOKUP($L927,OFFSET([2]enemies!$A$1,0,0,COUNTA([2]enemies!$A:$A),MATCH(AA$1,[2]enemies!$1:$1,0)-MATCH($L$1,[2]enemies!$1:$1,0)+1),MATCH(AA$1,[2]enemies!$1:$1,0)-MATCH($L$1,[2]enemies!$1:$1,0)+1,FALSE)</f>
        <v>3</v>
      </c>
      <c r="AB927" s="52">
        <v>122</v>
      </c>
      <c r="AC927" s="4" t="str">
        <f ca="1">VLOOKUP($AB927,OFFSET([3]characters!$A$1,0,0,COUNTA([3]characters!$A:$A),MATCH(AC$1,[3]characters!$1:$1,0)-MATCH("character_id",[3]characters!$1:$1,0)+1),MATCH(AC$1,[3]characters!$1:$1,0)-MATCH("character_id",[3]characters!$1:$1,0)+1,FALSE)</f>
        <v>生命の果実</v>
      </c>
      <c r="AD927" s="4">
        <f ca="1">VLOOKUP($AB927,OFFSET([3]characters!$A$1,0,0,COUNTA([3]characters!$A:$A),MATCH(AD$1,[3]characters!$1:$1,0)-MATCH("character_id",[3]characters!$1:$1,0)+1),MATCH(AD$1,[3]characters!$1:$1,0)-MATCH("character_id",[3]characters!$1:$1,0)+1,FALSE)</f>
        <v>3</v>
      </c>
      <c r="AE927" s="4" t="str">
        <f ca="1">VLOOKUP($AB927,OFFSET([3]characters!$A$1,0,0,COUNTA([3]characters!$A:$A),MATCH(AE$1,[3]characters!$1:$1,0)-MATCH("character_id",[3]characters!$1:$1,0)+1),MATCH(AE$1,[3]characters!$1:$1,0)-MATCH("character_id",[3]characters!$1:$1,0)+1,FALSE)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27" s="7">
        <v>1</v>
      </c>
      <c r="AG927" s="26">
        <f t="shared" ca="1" si="803"/>
        <v>3</v>
      </c>
      <c r="AH927" s="8">
        <v>100</v>
      </c>
      <c r="AI927" s="7">
        <v>0</v>
      </c>
      <c r="AJ927" s="7">
        <v>0</v>
      </c>
      <c r="AK927" s="7">
        <v>0</v>
      </c>
      <c r="AL927" s="7">
        <v>0</v>
      </c>
      <c r="AM927" s="7">
        <v>1</v>
      </c>
    </row>
    <row r="928" spans="1:39" ht="14" x14ac:dyDescent="0.15">
      <c r="A928" s="18" t="str">
        <f t="shared" ca="1" si="810"/>
        <v>26_6-1/123&lt;lv58&gt;s2</v>
      </c>
      <c r="B928" s="50">
        <v>26</v>
      </c>
      <c r="C928" s="49">
        <v>6</v>
      </c>
      <c r="D928" s="2" t="str">
        <f t="shared" si="819"/>
        <v>26_6</v>
      </c>
      <c r="E928" s="2" t="str">
        <f t="shared" si="819"/>
        <v>6_26_6</v>
      </c>
      <c r="F928" s="4" t="str">
        <f ca="1">VLOOKUP($D928,OFFSET([1]stages!$A$1,0,0,COUNTA([1]stages!$A:$A),MATCH(F$1,[1]stages!$2:$2,0)-MATCH($D$1,[1]stages!$2:$2,0)+1),MATCH(F$1,[1]stages!$2:$2,0)-MATCH($D$1,[1]stages!$2:$2,0)+1,FALSE)</f>
        <v>26-6．【1回のみ】ボーナスステージ</v>
      </c>
      <c r="G928" s="51">
        <v>1</v>
      </c>
      <c r="H928" s="17" t="str">
        <f t="shared" si="820"/>
        <v>26_6-1</v>
      </c>
      <c r="I928" s="17"/>
      <c r="J928" s="17"/>
      <c r="K928" s="65" t="s">
        <v>56</v>
      </c>
      <c r="L928" s="52">
        <v>123</v>
      </c>
      <c r="M928" s="21" t="str">
        <f ca="1">VLOOKUP($L928,OFFSET([2]enemies!$A$1,0,0,COUNTA([2]enemies!$A:$A),MATCH(M$1,[2]enemies!$1:$1,0)-MATCH($L$1,[2]enemies!$1:$1,0)+1),MATCH(M$1,[2]enemies!$1:$1,0)-MATCH($L$1,[2]enemies!$1:$1,0)+1,FALSE)</f>
        <v>癒しの果実</v>
      </c>
      <c r="N928" s="21" t="str">
        <f ca="1">VLOOKUP($L928,OFFSET([2]enemies!$A$1,0,0,COUNTA([2]enemies!$A:$A),MATCH(N$1,[2]enemies!$1:$1,0)-MATCH($L$1,[2]enemies!$1:$1,0)+1),MATCH(N$1,[2]enemies!$1:$1,0)-MATCH($L$1,[2]enemies!$1:$1,0)+1,FALSE)</f>
        <v>blue</v>
      </c>
      <c r="O928" s="21" t="str">
        <f ca="1">VLOOKUP($L928,OFFSET([3]characters!$A$1,0,0,COUNTA([3]characters!$A:$A),MATCH(O$1,[3]characters!$1:$1,0)-MATCH($L$1,[3]characters!$1:$1,0)+1),MATCH(O$1,[3]characters!$1:$1,0)-MATCH($L$1,[3]characters!$1:$1,0)+1,FALSE)</f>
        <v>Material</v>
      </c>
      <c r="P928" s="21" t="str">
        <f ca="1">VLOOKUP($L928,OFFSET([2]enemies!$A$1,0,0,COUNTA([2]enemies!$A:$A),MATCH(P$1,[2]enemies!$1:$1,0)-MATCH($L$1,[2]enemies!$1:$1,0)+1),MATCH(P$1,[2]enemies!$1:$1,0)-MATCH($L$1,[2]enemies!$1:$1,0)+1,FALSE)</f>
        <v>unknown</v>
      </c>
      <c r="Q928" s="21">
        <f ca="1">VLOOKUP($L928,OFFSET([2]enemies!$A$1,0,0,COUNTA([2]enemies!$A:$A),MATCH(Q$1,[2]enemies!$1:$1,0)-MATCH($L$1,[2]enemies!$1:$1,0)+1),MATCH(Q$1,[2]enemies!$1:$1,0)-MATCH($L$1,[2]enemies!$1:$1,0)+1,FALSE)</f>
        <v>20</v>
      </c>
      <c r="R928" s="53">
        <v>58</v>
      </c>
      <c r="S928" s="27">
        <v>1</v>
      </c>
      <c r="T928" s="27">
        <v>1</v>
      </c>
      <c r="U928" s="5">
        <v>0</v>
      </c>
      <c r="V928" s="4" t="str">
        <f ca="1">VLOOKUP($W928,OFFSET([4]enemy_skill_sets!$B$1,0,0,COUNTA([4]enemy_skill_sets!$B:$B),MATCH(M$1,[4]enemy_skill_sets!$1:$1,0)-MATCH($W$1,[4]enemy_skill_sets!$1:$1,0)+2),MATCH(M$1,[4]enemy_skill_sets!$1:$1,0)-MATCH($W$1,[4]enemy_skill_sets!$1:$1,0)+2,FALSE)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28" s="4">
        <f ca="1">VLOOKUP($L928,OFFSET([2]enemies!$A$1,0,0,COUNTA([2]enemies!$A:$A),MATCH(W$1,[2]enemies!$1:$1,0)-MATCH($L$1,[2]enemies!$1:$1,0)+1),MATCH(W$1,[2]enemies!$1:$1,0)-MATCH($L$1,[2]enemies!$1:$1,0)+1,FALSE)</f>
        <v>0</v>
      </c>
      <c r="X928" s="6">
        <v>0</v>
      </c>
      <c r="Y928" s="6">
        <v>100</v>
      </c>
      <c r="Z928" s="6">
        <v>0</v>
      </c>
      <c r="AA928" s="4">
        <f ca="1">VLOOKUP($L928,OFFSET([2]enemies!$A$1,0,0,COUNTA([2]enemies!$A:$A),MATCH(AA$1,[2]enemies!$1:$1,0)-MATCH($L$1,[2]enemies!$1:$1,0)+1),MATCH(AA$1,[2]enemies!$1:$1,0)-MATCH($L$1,[2]enemies!$1:$1,0)+1,FALSE)</f>
        <v>2</v>
      </c>
      <c r="AB928" s="52">
        <v>123</v>
      </c>
      <c r="AC928" s="4" t="str">
        <f ca="1">VLOOKUP($AB928,OFFSET([3]characters!$A$1,0,0,COUNTA([3]characters!$A:$A),MATCH(AC$1,[3]characters!$1:$1,0)-MATCH("character_id",[3]characters!$1:$1,0)+1),MATCH(AC$1,[3]characters!$1:$1,0)-MATCH("character_id",[3]characters!$1:$1,0)+1,FALSE)</f>
        <v>癒しの果実</v>
      </c>
      <c r="AD928" s="4">
        <f ca="1">VLOOKUP($AB928,OFFSET([3]characters!$A$1,0,0,COUNTA([3]characters!$A:$A),MATCH(AD$1,[3]characters!$1:$1,0)-MATCH("character_id",[3]characters!$1:$1,0)+1),MATCH(AD$1,[3]characters!$1:$1,0)-MATCH("character_id",[3]characters!$1:$1,0)+1,FALSE)</f>
        <v>3</v>
      </c>
      <c r="AE928" s="4" t="str">
        <f ca="1">VLOOKUP($AB928,OFFSET([3]characters!$A$1,0,0,COUNTA([3]characters!$A:$A),MATCH(AE$1,[3]characters!$1:$1,0)-MATCH("character_id",[3]characters!$1:$1,0)+1),MATCH(AE$1,[3]characters!$1:$1,0)-MATCH("character_id",[3]characters!$1:$1,0)+1,FALSE)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28" s="7">
        <v>1</v>
      </c>
      <c r="AG928" s="26">
        <f t="shared" ca="1" si="803"/>
        <v>3</v>
      </c>
      <c r="AH928" s="8">
        <v>100</v>
      </c>
      <c r="AI928" s="7">
        <v>0</v>
      </c>
      <c r="AJ928" s="7">
        <v>0</v>
      </c>
      <c r="AK928" s="7">
        <v>0</v>
      </c>
      <c r="AL928" s="7">
        <v>0</v>
      </c>
      <c r="AM928" s="7">
        <v>1</v>
      </c>
    </row>
    <row r="929" spans="1:39" ht="14" x14ac:dyDescent="0.15">
      <c r="A929" s="18" t="str">
        <f t="shared" ca="1" si="810"/>
        <v>26_6-2/121&lt;lv58&gt;s1</v>
      </c>
      <c r="B929" s="50">
        <v>26</v>
      </c>
      <c r="C929" s="49">
        <v>6</v>
      </c>
      <c r="D929" s="2" t="str">
        <f t="shared" si="819"/>
        <v>26_6</v>
      </c>
      <c r="E929" s="2" t="str">
        <f t="shared" si="819"/>
        <v>6_26_6</v>
      </c>
      <c r="F929" s="4" t="str">
        <f ca="1">VLOOKUP($D929,OFFSET([1]stages!$A$1,0,0,COUNTA([1]stages!$A:$A),MATCH(F$1,[1]stages!$2:$2,0)-MATCH($D$1,[1]stages!$2:$2,0)+1),MATCH(F$1,[1]stages!$2:$2,0)-MATCH($D$1,[1]stages!$2:$2,0)+1,FALSE)</f>
        <v>26-6．【1回のみ】ボーナスステージ</v>
      </c>
      <c r="G929" s="51">
        <v>2</v>
      </c>
      <c r="H929" s="17" t="str">
        <f t="shared" si="820"/>
        <v>26_6-2</v>
      </c>
      <c r="I929" s="17"/>
      <c r="J929" s="17"/>
      <c r="K929" s="65" t="s">
        <v>56</v>
      </c>
      <c r="L929" s="52">
        <v>121</v>
      </c>
      <c r="M929" s="21" t="str">
        <f ca="1">VLOOKUP($L929,OFFSET([2]enemies!$A$1,0,0,COUNTA([2]enemies!$A:$A),MATCH(M$1,[2]enemies!$1:$1,0)-MATCH($L$1,[2]enemies!$1:$1,0)+1),MATCH(M$1,[2]enemies!$1:$1,0)-MATCH($L$1,[2]enemies!$1:$1,0)+1,FALSE)</f>
        <v>攻めの果実</v>
      </c>
      <c r="N929" s="21" t="str">
        <f ca="1">VLOOKUP($L929,OFFSET([2]enemies!$A$1,0,0,COUNTA([2]enemies!$A:$A),MATCH(N$1,[2]enemies!$1:$1,0)-MATCH($L$1,[2]enemies!$1:$1,0)+1),MATCH(N$1,[2]enemies!$1:$1,0)-MATCH($L$1,[2]enemies!$1:$1,0)+1,FALSE)</f>
        <v>red</v>
      </c>
      <c r="O929" s="21" t="str">
        <f ca="1">VLOOKUP($L929,OFFSET([3]characters!$A$1,0,0,COUNTA([3]characters!$A:$A),MATCH(O$1,[3]characters!$1:$1,0)-MATCH($L$1,[3]characters!$1:$1,0)+1),MATCH(O$1,[3]characters!$1:$1,0)-MATCH($L$1,[3]characters!$1:$1,0)+1,FALSE)</f>
        <v>Material</v>
      </c>
      <c r="P929" s="21" t="str">
        <f ca="1">VLOOKUP($L929,OFFSET([2]enemies!$A$1,0,0,COUNTA([2]enemies!$A:$A),MATCH(P$1,[2]enemies!$1:$1,0)-MATCH($L$1,[2]enemies!$1:$1,0)+1),MATCH(P$1,[2]enemies!$1:$1,0)-MATCH($L$1,[2]enemies!$1:$1,0)+1,FALSE)</f>
        <v>unknown</v>
      </c>
      <c r="Q929" s="21">
        <f ca="1">VLOOKUP($L929,OFFSET([2]enemies!$A$1,0,0,COUNTA([2]enemies!$A:$A),MATCH(Q$1,[2]enemies!$1:$1,0)-MATCH($L$1,[2]enemies!$1:$1,0)+1),MATCH(Q$1,[2]enemies!$1:$1,0)-MATCH($L$1,[2]enemies!$1:$1,0)+1,FALSE)</f>
        <v>20</v>
      </c>
      <c r="R929" s="53">
        <v>58</v>
      </c>
      <c r="S929" s="27">
        <v>1</v>
      </c>
      <c r="T929" s="27">
        <v>1</v>
      </c>
      <c r="U929" s="5">
        <v>0</v>
      </c>
      <c r="V929" s="4" t="str">
        <f ca="1">VLOOKUP($W929,OFFSET([4]enemy_skill_sets!$B$1,0,0,COUNTA([4]enemy_skill_sets!$B:$B),MATCH(M$1,[4]enemy_skill_sets!$1:$1,0)-MATCH($W$1,[4]enemy_skill_sets!$1:$1,0)+2),MATCH(M$1,[4]enemy_skill_sets!$1:$1,0)-MATCH($W$1,[4]enemy_skill_sets!$1:$1,0)+2,FALSE)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29" s="4">
        <f ca="1">VLOOKUP($L929,OFFSET([2]enemies!$A$1,0,0,COUNTA([2]enemies!$A:$A),MATCH(W$1,[2]enemies!$1:$1,0)-MATCH($L$1,[2]enemies!$1:$1,0)+1),MATCH(W$1,[2]enemies!$1:$1,0)-MATCH($L$1,[2]enemies!$1:$1,0)+1,FALSE)</f>
        <v>0</v>
      </c>
      <c r="X929" s="6">
        <v>0</v>
      </c>
      <c r="Y929" s="6">
        <v>100</v>
      </c>
      <c r="Z929" s="6">
        <v>0</v>
      </c>
      <c r="AA929" s="4">
        <f ca="1">VLOOKUP($L929,OFFSET([2]enemies!$A$1,0,0,COUNTA([2]enemies!$A:$A),MATCH(AA$1,[2]enemies!$1:$1,0)-MATCH($L$1,[2]enemies!$1:$1,0)+1),MATCH(AA$1,[2]enemies!$1:$1,0)-MATCH($L$1,[2]enemies!$1:$1,0)+1,FALSE)</f>
        <v>1</v>
      </c>
      <c r="AB929" s="52">
        <v>121</v>
      </c>
      <c r="AC929" s="4" t="str">
        <f ca="1">VLOOKUP($AB929,OFFSET([3]characters!$A$1,0,0,COUNTA([3]characters!$A:$A),MATCH(AC$1,[3]characters!$1:$1,0)-MATCH("character_id",[3]characters!$1:$1,0)+1),MATCH(AC$1,[3]characters!$1:$1,0)-MATCH("character_id",[3]characters!$1:$1,0)+1,FALSE)</f>
        <v>攻めの果実</v>
      </c>
      <c r="AD929" s="4">
        <f ca="1">VLOOKUP($AB929,OFFSET([3]characters!$A$1,0,0,COUNTA([3]characters!$A:$A),MATCH(AD$1,[3]characters!$1:$1,0)-MATCH("character_id",[3]characters!$1:$1,0)+1),MATCH(AD$1,[3]characters!$1:$1,0)-MATCH("character_id",[3]characters!$1:$1,0)+1,FALSE)</f>
        <v>3</v>
      </c>
      <c r="AE929" s="4" t="str">
        <f ca="1">VLOOKUP($AB929,OFFSET([3]characters!$A$1,0,0,COUNTA([3]characters!$A:$A),MATCH(AE$1,[3]characters!$1:$1,0)-MATCH("character_id",[3]characters!$1:$1,0)+1),MATCH(AE$1,[3]characters!$1:$1,0)-MATCH("character_id",[3]characters!$1:$1,0)+1,FALSE)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29" s="7">
        <v>1</v>
      </c>
      <c r="AG929" s="26">
        <f t="shared" ca="1" si="803"/>
        <v>3</v>
      </c>
      <c r="AH929" s="8">
        <v>100</v>
      </c>
      <c r="AI929" s="7">
        <v>0</v>
      </c>
      <c r="AJ929" s="7">
        <v>0</v>
      </c>
      <c r="AK929" s="7">
        <v>0</v>
      </c>
      <c r="AL929" s="7">
        <v>0</v>
      </c>
      <c r="AM929" s="7">
        <v>1</v>
      </c>
    </row>
    <row r="930" spans="1:39" ht="14" x14ac:dyDescent="0.15">
      <c r="A930" s="18" t="str">
        <f t="shared" ca="1" si="810"/>
        <v>26_6-2/122&lt;lv58&gt;s3</v>
      </c>
      <c r="B930" s="50">
        <v>26</v>
      </c>
      <c r="C930" s="49">
        <v>6</v>
      </c>
      <c r="D930" s="2" t="str">
        <f t="shared" si="819"/>
        <v>26_6</v>
      </c>
      <c r="E930" s="2" t="str">
        <f t="shared" si="819"/>
        <v>6_26_6</v>
      </c>
      <c r="F930" s="4" t="str">
        <f ca="1">VLOOKUP($D930,OFFSET([1]stages!$A$1,0,0,COUNTA([1]stages!$A:$A),MATCH(F$1,[1]stages!$2:$2,0)-MATCH($D$1,[1]stages!$2:$2,0)+1),MATCH(F$1,[1]stages!$2:$2,0)-MATCH($D$1,[1]stages!$2:$2,0)+1,FALSE)</f>
        <v>26-6．【1回のみ】ボーナスステージ</v>
      </c>
      <c r="G930" s="51">
        <v>2</v>
      </c>
      <c r="H930" s="17" t="str">
        <f t="shared" si="820"/>
        <v>26_6-2</v>
      </c>
      <c r="I930" s="17"/>
      <c r="J930" s="17"/>
      <c r="K930" s="65" t="s">
        <v>56</v>
      </c>
      <c r="L930" s="52">
        <v>122</v>
      </c>
      <c r="M930" s="21" t="str">
        <f ca="1">VLOOKUP($L930,OFFSET([2]enemies!$A$1,0,0,COUNTA([2]enemies!$A:$A),MATCH(M$1,[2]enemies!$1:$1,0)-MATCH($L$1,[2]enemies!$1:$1,0)+1),MATCH(M$1,[2]enemies!$1:$1,0)-MATCH($L$1,[2]enemies!$1:$1,0)+1,FALSE)</f>
        <v>生命の果実</v>
      </c>
      <c r="N930" s="21" t="str">
        <f ca="1">VLOOKUP($L930,OFFSET([2]enemies!$A$1,0,0,COUNTA([2]enemies!$A:$A),MATCH(N$1,[2]enemies!$1:$1,0)-MATCH($L$1,[2]enemies!$1:$1,0)+1),MATCH(N$1,[2]enemies!$1:$1,0)-MATCH($L$1,[2]enemies!$1:$1,0)+1,FALSE)</f>
        <v>green</v>
      </c>
      <c r="O930" s="21" t="str">
        <f ca="1">VLOOKUP($L930,OFFSET([3]characters!$A$1,0,0,COUNTA([3]characters!$A:$A),MATCH(O$1,[3]characters!$1:$1,0)-MATCH($L$1,[3]characters!$1:$1,0)+1),MATCH(O$1,[3]characters!$1:$1,0)-MATCH($L$1,[3]characters!$1:$1,0)+1,FALSE)</f>
        <v>Material</v>
      </c>
      <c r="P930" s="21" t="str">
        <f ca="1">VLOOKUP($L930,OFFSET([2]enemies!$A$1,0,0,COUNTA([2]enemies!$A:$A),MATCH(P$1,[2]enemies!$1:$1,0)-MATCH($L$1,[2]enemies!$1:$1,0)+1),MATCH(P$1,[2]enemies!$1:$1,0)-MATCH($L$1,[2]enemies!$1:$1,0)+1,FALSE)</f>
        <v>unknown</v>
      </c>
      <c r="Q930" s="21">
        <f ca="1">VLOOKUP($L930,OFFSET([2]enemies!$A$1,0,0,COUNTA([2]enemies!$A:$A),MATCH(Q$1,[2]enemies!$1:$1,0)-MATCH($L$1,[2]enemies!$1:$1,0)+1),MATCH(Q$1,[2]enemies!$1:$1,0)-MATCH($L$1,[2]enemies!$1:$1,0)+1,FALSE)</f>
        <v>20</v>
      </c>
      <c r="R930" s="53">
        <v>58</v>
      </c>
      <c r="S930" s="27">
        <v>1</v>
      </c>
      <c r="T930" s="27">
        <v>1</v>
      </c>
      <c r="U930" s="5">
        <v>0</v>
      </c>
      <c r="V930" s="4" t="str">
        <f ca="1">VLOOKUP($W930,OFFSET([4]enemy_skill_sets!$B$1,0,0,COUNTA([4]enemy_skill_sets!$B:$B),MATCH(M$1,[4]enemy_skill_sets!$1:$1,0)-MATCH($W$1,[4]enemy_skill_sets!$1:$1,0)+2),MATCH(M$1,[4]enemy_skill_sets!$1:$1,0)-MATCH($W$1,[4]enemy_skill_sets!$1:$1,0)+2,FALSE)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0" s="4">
        <f ca="1">VLOOKUP($L930,OFFSET([2]enemies!$A$1,0,0,COUNTA([2]enemies!$A:$A),MATCH(W$1,[2]enemies!$1:$1,0)-MATCH($L$1,[2]enemies!$1:$1,0)+1),MATCH(W$1,[2]enemies!$1:$1,0)-MATCH($L$1,[2]enemies!$1:$1,0)+1,FALSE)</f>
        <v>0</v>
      </c>
      <c r="X930" s="6">
        <v>0</v>
      </c>
      <c r="Y930" s="6">
        <v>100</v>
      </c>
      <c r="Z930" s="6">
        <v>0</v>
      </c>
      <c r="AA930" s="4">
        <f ca="1">VLOOKUP($L930,OFFSET([2]enemies!$A$1,0,0,COUNTA([2]enemies!$A:$A),MATCH(AA$1,[2]enemies!$1:$1,0)-MATCH($L$1,[2]enemies!$1:$1,0)+1),MATCH(AA$1,[2]enemies!$1:$1,0)-MATCH($L$1,[2]enemies!$1:$1,0)+1,FALSE)</f>
        <v>3</v>
      </c>
      <c r="AB930" s="52">
        <v>122</v>
      </c>
      <c r="AC930" s="4" t="str">
        <f ca="1">VLOOKUP($AB930,OFFSET([3]characters!$A$1,0,0,COUNTA([3]characters!$A:$A),MATCH(AC$1,[3]characters!$1:$1,0)-MATCH("character_id",[3]characters!$1:$1,0)+1),MATCH(AC$1,[3]characters!$1:$1,0)-MATCH("character_id",[3]characters!$1:$1,0)+1,FALSE)</f>
        <v>生命の果実</v>
      </c>
      <c r="AD930" s="4">
        <f ca="1">VLOOKUP($AB930,OFFSET([3]characters!$A$1,0,0,COUNTA([3]characters!$A:$A),MATCH(AD$1,[3]characters!$1:$1,0)-MATCH("character_id",[3]characters!$1:$1,0)+1),MATCH(AD$1,[3]characters!$1:$1,0)-MATCH("character_id",[3]characters!$1:$1,0)+1,FALSE)</f>
        <v>3</v>
      </c>
      <c r="AE930" s="4" t="str">
        <f ca="1">VLOOKUP($AB930,OFFSET([3]characters!$A$1,0,0,COUNTA([3]characters!$A:$A),MATCH(AE$1,[3]characters!$1:$1,0)-MATCH("character_id",[3]characters!$1:$1,0)+1),MATCH(AE$1,[3]characters!$1:$1,0)-MATCH("character_id",[3]characters!$1:$1,0)+1,FALSE)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0" s="7">
        <v>1</v>
      </c>
      <c r="AG930" s="26">
        <f t="shared" ca="1" si="803"/>
        <v>3</v>
      </c>
      <c r="AH930" s="8">
        <v>100</v>
      </c>
      <c r="AI930" s="7">
        <v>0</v>
      </c>
      <c r="AJ930" s="7">
        <v>0</v>
      </c>
      <c r="AK930" s="7">
        <v>0</v>
      </c>
      <c r="AL930" s="7">
        <v>0</v>
      </c>
      <c r="AM930" s="7">
        <v>1</v>
      </c>
    </row>
    <row r="931" spans="1:39" ht="14" x14ac:dyDescent="0.15">
      <c r="A931" s="18" t="str">
        <f t="shared" ca="1" si="810"/>
        <v>26_6-2/123&lt;lv58&gt;s2</v>
      </c>
      <c r="B931" s="50">
        <v>26</v>
      </c>
      <c r="C931" s="49">
        <v>6</v>
      </c>
      <c r="D931" s="2" t="str">
        <f t="shared" si="819"/>
        <v>26_6</v>
      </c>
      <c r="E931" s="2" t="str">
        <f t="shared" si="819"/>
        <v>6_26_6</v>
      </c>
      <c r="F931" s="4" t="str">
        <f ca="1">VLOOKUP($D931,OFFSET([1]stages!$A$1,0,0,COUNTA([1]stages!$A:$A),MATCH(F$1,[1]stages!$2:$2,0)-MATCH($D$1,[1]stages!$2:$2,0)+1),MATCH(F$1,[1]stages!$2:$2,0)-MATCH($D$1,[1]stages!$2:$2,0)+1,FALSE)</f>
        <v>26-6．【1回のみ】ボーナスステージ</v>
      </c>
      <c r="G931" s="51">
        <v>2</v>
      </c>
      <c r="H931" s="17" t="str">
        <f t="shared" si="820"/>
        <v>26_6-2</v>
      </c>
      <c r="I931" s="17"/>
      <c r="J931" s="17"/>
      <c r="K931" s="65" t="s">
        <v>56</v>
      </c>
      <c r="L931" s="52">
        <v>123</v>
      </c>
      <c r="M931" s="21" t="str">
        <f ca="1">VLOOKUP($L931,OFFSET([2]enemies!$A$1,0,0,COUNTA([2]enemies!$A:$A),MATCH(M$1,[2]enemies!$1:$1,0)-MATCH($L$1,[2]enemies!$1:$1,0)+1),MATCH(M$1,[2]enemies!$1:$1,0)-MATCH($L$1,[2]enemies!$1:$1,0)+1,FALSE)</f>
        <v>癒しの果実</v>
      </c>
      <c r="N931" s="21" t="str">
        <f ca="1">VLOOKUP($L931,OFFSET([2]enemies!$A$1,0,0,COUNTA([2]enemies!$A:$A),MATCH(N$1,[2]enemies!$1:$1,0)-MATCH($L$1,[2]enemies!$1:$1,0)+1),MATCH(N$1,[2]enemies!$1:$1,0)-MATCH($L$1,[2]enemies!$1:$1,0)+1,FALSE)</f>
        <v>blue</v>
      </c>
      <c r="O931" s="21" t="str">
        <f ca="1">VLOOKUP($L931,OFFSET([3]characters!$A$1,0,0,COUNTA([3]characters!$A:$A),MATCH(O$1,[3]characters!$1:$1,0)-MATCH($L$1,[3]characters!$1:$1,0)+1),MATCH(O$1,[3]characters!$1:$1,0)-MATCH($L$1,[3]characters!$1:$1,0)+1,FALSE)</f>
        <v>Material</v>
      </c>
      <c r="P931" s="21" t="str">
        <f ca="1">VLOOKUP($L931,OFFSET([2]enemies!$A$1,0,0,COUNTA([2]enemies!$A:$A),MATCH(P$1,[2]enemies!$1:$1,0)-MATCH($L$1,[2]enemies!$1:$1,0)+1),MATCH(P$1,[2]enemies!$1:$1,0)-MATCH($L$1,[2]enemies!$1:$1,0)+1,FALSE)</f>
        <v>unknown</v>
      </c>
      <c r="Q931" s="21">
        <f ca="1">VLOOKUP($L931,OFFSET([2]enemies!$A$1,0,0,COUNTA([2]enemies!$A:$A),MATCH(Q$1,[2]enemies!$1:$1,0)-MATCH($L$1,[2]enemies!$1:$1,0)+1),MATCH(Q$1,[2]enemies!$1:$1,0)-MATCH($L$1,[2]enemies!$1:$1,0)+1,FALSE)</f>
        <v>20</v>
      </c>
      <c r="R931" s="53">
        <v>58</v>
      </c>
      <c r="S931" s="27">
        <v>1</v>
      </c>
      <c r="T931" s="27">
        <v>1</v>
      </c>
      <c r="U931" s="5">
        <v>0</v>
      </c>
      <c r="V931" s="4" t="str">
        <f ca="1">VLOOKUP($W931,OFFSET([4]enemy_skill_sets!$B$1,0,0,COUNTA([4]enemy_skill_sets!$B:$B),MATCH(M$1,[4]enemy_skill_sets!$1:$1,0)-MATCH($W$1,[4]enemy_skill_sets!$1:$1,0)+2),MATCH(M$1,[4]enemy_skill_sets!$1:$1,0)-MATCH($W$1,[4]enemy_skill_sets!$1:$1,0)+2,FALSE)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1" s="4">
        <f ca="1">VLOOKUP($L931,OFFSET([2]enemies!$A$1,0,0,COUNTA([2]enemies!$A:$A),MATCH(W$1,[2]enemies!$1:$1,0)-MATCH($L$1,[2]enemies!$1:$1,0)+1),MATCH(W$1,[2]enemies!$1:$1,0)-MATCH($L$1,[2]enemies!$1:$1,0)+1,FALSE)</f>
        <v>0</v>
      </c>
      <c r="X931" s="6">
        <v>0</v>
      </c>
      <c r="Y931" s="6">
        <v>100</v>
      </c>
      <c r="Z931" s="6">
        <v>0</v>
      </c>
      <c r="AA931" s="4">
        <f ca="1">VLOOKUP($L931,OFFSET([2]enemies!$A$1,0,0,COUNTA([2]enemies!$A:$A),MATCH(AA$1,[2]enemies!$1:$1,0)-MATCH($L$1,[2]enemies!$1:$1,0)+1),MATCH(AA$1,[2]enemies!$1:$1,0)-MATCH($L$1,[2]enemies!$1:$1,0)+1,FALSE)</f>
        <v>2</v>
      </c>
      <c r="AB931" s="52">
        <v>123</v>
      </c>
      <c r="AC931" s="4" t="str">
        <f ca="1">VLOOKUP($AB931,OFFSET([3]characters!$A$1,0,0,COUNTA([3]characters!$A:$A),MATCH(AC$1,[3]characters!$1:$1,0)-MATCH("character_id",[3]characters!$1:$1,0)+1),MATCH(AC$1,[3]characters!$1:$1,0)-MATCH("character_id",[3]characters!$1:$1,0)+1,FALSE)</f>
        <v>癒しの果実</v>
      </c>
      <c r="AD931" s="4">
        <f ca="1">VLOOKUP($AB931,OFFSET([3]characters!$A$1,0,0,COUNTA([3]characters!$A:$A),MATCH(AD$1,[3]characters!$1:$1,0)-MATCH("character_id",[3]characters!$1:$1,0)+1),MATCH(AD$1,[3]characters!$1:$1,0)-MATCH("character_id",[3]characters!$1:$1,0)+1,FALSE)</f>
        <v>3</v>
      </c>
      <c r="AE931" s="4" t="str">
        <f ca="1">VLOOKUP($AB931,OFFSET([3]characters!$A$1,0,0,COUNTA([3]characters!$A:$A),MATCH(AE$1,[3]characters!$1:$1,0)-MATCH("character_id",[3]characters!$1:$1,0)+1),MATCH(AE$1,[3]characters!$1:$1,0)-MATCH("character_id",[3]characters!$1:$1,0)+1,FALSE)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1" s="7">
        <v>1</v>
      </c>
      <c r="AG931" s="26">
        <f t="shared" ca="1" si="803"/>
        <v>3</v>
      </c>
      <c r="AH931" s="8">
        <v>100</v>
      </c>
      <c r="AI931" s="7">
        <v>0</v>
      </c>
      <c r="AJ931" s="7">
        <v>0</v>
      </c>
      <c r="AK931" s="7">
        <v>0</v>
      </c>
      <c r="AL931" s="7">
        <v>0</v>
      </c>
      <c r="AM931" s="7">
        <v>1</v>
      </c>
    </row>
    <row r="932" spans="1:39" ht="14" x14ac:dyDescent="0.15">
      <c r="A932" s="18" t="str">
        <f t="shared" ca="1" si="810"/>
        <v>26_6-3/125&lt;lv58&gt;s4</v>
      </c>
      <c r="B932" s="50">
        <v>26</v>
      </c>
      <c r="C932" s="49">
        <v>6</v>
      </c>
      <c r="D932" s="2" t="str">
        <f t="shared" si="819"/>
        <v>26_6</v>
      </c>
      <c r="E932" s="2" t="str">
        <f t="shared" si="819"/>
        <v>6_26_6</v>
      </c>
      <c r="F932" s="4" t="str">
        <f ca="1">VLOOKUP($D932,OFFSET([1]stages!$A$1,0,0,COUNTA([1]stages!$A:$A),MATCH(F$1,[1]stages!$2:$2,0)-MATCH($D$1,[1]stages!$2:$2,0)+1),MATCH(F$1,[1]stages!$2:$2,0)-MATCH($D$1,[1]stages!$2:$2,0)+1,FALSE)</f>
        <v>26-6．【1回のみ】ボーナスステージ</v>
      </c>
      <c r="G932" s="51">
        <v>3</v>
      </c>
      <c r="H932" s="17" t="str">
        <f t="shared" si="820"/>
        <v>26_6-3</v>
      </c>
      <c r="I932" s="17"/>
      <c r="J932" s="17"/>
      <c r="K932" s="65" t="s">
        <v>56</v>
      </c>
      <c r="L932" s="52">
        <v>125</v>
      </c>
      <c r="M932" s="21" t="str">
        <f ca="1">VLOOKUP($L932,OFFSET([2]enemies!$A$1,0,0,COUNTA([2]enemies!$A:$A),MATCH(M$1,[2]enemies!$1:$1,0)-MATCH($L$1,[2]enemies!$1:$1,0)+1),MATCH(M$1,[2]enemies!$1:$1,0)-MATCH($L$1,[2]enemies!$1:$1,0)+1,FALSE)</f>
        <v>秘術の果実</v>
      </c>
      <c r="N932" s="21" t="str">
        <f ca="1">VLOOKUP($L932,OFFSET([2]enemies!$A$1,0,0,COUNTA([2]enemies!$A:$A),MATCH(N$1,[2]enemies!$1:$1,0)-MATCH($L$1,[2]enemies!$1:$1,0)+1),MATCH(N$1,[2]enemies!$1:$1,0)-MATCH($L$1,[2]enemies!$1:$1,0)+1,FALSE)</f>
        <v>blue</v>
      </c>
      <c r="O932" s="21" t="str">
        <f ca="1">VLOOKUP($L932,OFFSET([3]characters!$A$1,0,0,COUNTA([3]characters!$A:$A),MATCH(O$1,[3]characters!$1:$1,0)-MATCH($L$1,[3]characters!$1:$1,0)+1),MATCH(O$1,[3]characters!$1:$1,0)-MATCH($L$1,[3]characters!$1:$1,0)+1,FALSE)</f>
        <v>Material</v>
      </c>
      <c r="P932" s="21" t="str">
        <f ca="1">VLOOKUP($L932,OFFSET([2]enemies!$A$1,0,0,COUNTA([2]enemies!$A:$A),MATCH(P$1,[2]enemies!$1:$1,0)-MATCH($L$1,[2]enemies!$1:$1,0)+1),MATCH(P$1,[2]enemies!$1:$1,0)-MATCH($L$1,[2]enemies!$1:$1,0)+1,FALSE)</f>
        <v>unknown</v>
      </c>
      <c r="Q932" s="21">
        <f ca="1">VLOOKUP($L932,OFFSET([2]enemies!$A$1,0,0,COUNTA([2]enemies!$A:$A),MATCH(Q$1,[2]enemies!$1:$1,0)-MATCH($L$1,[2]enemies!$1:$1,0)+1),MATCH(Q$1,[2]enemies!$1:$1,0)-MATCH($L$1,[2]enemies!$1:$1,0)+1,FALSE)</f>
        <v>20</v>
      </c>
      <c r="R932" s="53">
        <v>58</v>
      </c>
      <c r="S932" s="27">
        <v>1</v>
      </c>
      <c r="T932" s="27">
        <v>1</v>
      </c>
      <c r="U932" s="5">
        <v>0</v>
      </c>
      <c r="V932" s="4" t="str">
        <f ca="1">VLOOKUP($W932,OFFSET([4]enemy_skill_sets!$B$1,0,0,COUNTA([4]enemy_skill_sets!$B:$B),MATCH(M$1,[4]enemy_skill_sets!$1:$1,0)-MATCH($W$1,[4]enemy_skill_sets!$1:$1,0)+2),MATCH(M$1,[4]enemy_skill_sets!$1:$1,0)-MATCH($W$1,[4]enemy_skill_sets!$1:$1,0)+2,FALSE)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2" s="4">
        <f ca="1">VLOOKUP($L932,OFFSET([2]enemies!$A$1,0,0,COUNTA([2]enemies!$A:$A),MATCH(W$1,[2]enemies!$1:$1,0)-MATCH($L$1,[2]enemies!$1:$1,0)+1),MATCH(W$1,[2]enemies!$1:$1,0)-MATCH($L$1,[2]enemies!$1:$1,0)+1,FALSE)</f>
        <v>0</v>
      </c>
      <c r="X932" s="6">
        <v>0</v>
      </c>
      <c r="Y932" s="6">
        <v>100</v>
      </c>
      <c r="Z932" s="6">
        <v>0</v>
      </c>
      <c r="AA932" s="4">
        <f ca="1">VLOOKUP($L932,OFFSET([2]enemies!$A$1,0,0,COUNTA([2]enemies!$A:$A),MATCH(AA$1,[2]enemies!$1:$1,0)-MATCH($L$1,[2]enemies!$1:$1,0)+1),MATCH(AA$1,[2]enemies!$1:$1,0)-MATCH($L$1,[2]enemies!$1:$1,0)+1,FALSE)</f>
        <v>4</v>
      </c>
      <c r="AB932" s="52">
        <v>125</v>
      </c>
      <c r="AC932" s="4" t="str">
        <f ca="1">VLOOKUP($AB932,OFFSET([3]characters!$A$1,0,0,COUNTA([3]characters!$A:$A),MATCH(AC$1,[3]characters!$1:$1,0)-MATCH("character_id",[3]characters!$1:$1,0)+1),MATCH(AC$1,[3]characters!$1:$1,0)-MATCH("character_id",[3]characters!$1:$1,0)+1,FALSE)</f>
        <v>秘術の果実</v>
      </c>
      <c r="AD932" s="4">
        <f ca="1">VLOOKUP($AB932,OFFSET([3]characters!$A$1,0,0,COUNTA([3]characters!$A:$A),MATCH(AD$1,[3]characters!$1:$1,0)-MATCH("character_id",[3]characters!$1:$1,0)+1),MATCH(AD$1,[3]characters!$1:$1,0)-MATCH("character_id",[3]characters!$1:$1,0)+1,FALSE)</f>
        <v>3</v>
      </c>
      <c r="AE932" s="4" t="str">
        <f ca="1">VLOOKUP($AB932,OFFSET([3]characters!$A$1,0,0,COUNTA([3]characters!$A:$A),MATCH(AE$1,[3]characters!$1:$1,0)-MATCH("character_id",[3]characters!$1:$1,0)+1),MATCH(AE$1,[3]characters!$1:$1,0)-MATCH("character_id",[3]characters!$1:$1,0)+1,FALSE)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2" s="7">
        <v>1</v>
      </c>
      <c r="AG932" s="26">
        <f t="shared" ca="1" si="803"/>
        <v>3</v>
      </c>
      <c r="AH932" s="8">
        <v>100</v>
      </c>
      <c r="AI932" s="7">
        <v>0</v>
      </c>
      <c r="AJ932" s="7">
        <v>0</v>
      </c>
      <c r="AK932" s="7">
        <v>0</v>
      </c>
      <c r="AL932" s="7">
        <v>0</v>
      </c>
      <c r="AM932" s="7">
        <v>1</v>
      </c>
    </row>
    <row r="933" spans="1:39" ht="14" x14ac:dyDescent="0.15">
      <c r="A933" s="18" t="str">
        <f t="shared" ca="1" si="810"/>
        <v>26_6-4/121&lt;lv58&gt;s1</v>
      </c>
      <c r="B933" s="50">
        <v>26</v>
      </c>
      <c r="C933" s="49">
        <v>6</v>
      </c>
      <c r="D933" s="2" t="str">
        <f t="shared" si="819"/>
        <v>26_6</v>
      </c>
      <c r="E933" s="2" t="str">
        <f t="shared" si="819"/>
        <v>6_26_6</v>
      </c>
      <c r="F933" s="4" t="str">
        <f ca="1">VLOOKUP($D933,OFFSET([1]stages!$A$1,0,0,COUNTA([1]stages!$A:$A),MATCH(F$1,[1]stages!$2:$2,0)-MATCH($D$1,[1]stages!$2:$2,0)+1),MATCH(F$1,[1]stages!$2:$2,0)-MATCH($D$1,[1]stages!$2:$2,0)+1,FALSE)</f>
        <v>26-6．【1回のみ】ボーナスステージ</v>
      </c>
      <c r="G933" s="51">
        <v>4</v>
      </c>
      <c r="H933" s="17" t="str">
        <f t="shared" si="820"/>
        <v>26_6-4</v>
      </c>
      <c r="I933" s="17"/>
      <c r="J933" s="17"/>
      <c r="K933" s="65" t="s">
        <v>56</v>
      </c>
      <c r="L933" s="52">
        <v>121</v>
      </c>
      <c r="M933" s="21" t="str">
        <f ca="1">VLOOKUP($L933,OFFSET([2]enemies!$A$1,0,0,COUNTA([2]enemies!$A:$A),MATCH(M$1,[2]enemies!$1:$1,0)-MATCH($L$1,[2]enemies!$1:$1,0)+1),MATCH(M$1,[2]enemies!$1:$1,0)-MATCH($L$1,[2]enemies!$1:$1,0)+1,FALSE)</f>
        <v>攻めの果実</v>
      </c>
      <c r="N933" s="21" t="str">
        <f ca="1">VLOOKUP($L933,OFFSET([2]enemies!$A$1,0,0,COUNTA([2]enemies!$A:$A),MATCH(N$1,[2]enemies!$1:$1,0)-MATCH($L$1,[2]enemies!$1:$1,0)+1),MATCH(N$1,[2]enemies!$1:$1,0)-MATCH($L$1,[2]enemies!$1:$1,0)+1,FALSE)</f>
        <v>red</v>
      </c>
      <c r="O933" s="21" t="str">
        <f ca="1">VLOOKUP($L933,OFFSET([3]characters!$A$1,0,0,COUNTA([3]characters!$A:$A),MATCH(O$1,[3]characters!$1:$1,0)-MATCH($L$1,[3]characters!$1:$1,0)+1),MATCH(O$1,[3]characters!$1:$1,0)-MATCH($L$1,[3]characters!$1:$1,0)+1,FALSE)</f>
        <v>Material</v>
      </c>
      <c r="P933" s="21" t="str">
        <f ca="1">VLOOKUP($L933,OFFSET([2]enemies!$A$1,0,0,COUNTA([2]enemies!$A:$A),MATCH(P$1,[2]enemies!$1:$1,0)-MATCH($L$1,[2]enemies!$1:$1,0)+1),MATCH(P$1,[2]enemies!$1:$1,0)-MATCH($L$1,[2]enemies!$1:$1,0)+1,FALSE)</f>
        <v>unknown</v>
      </c>
      <c r="Q933" s="21">
        <f ca="1">VLOOKUP($L933,OFFSET([2]enemies!$A$1,0,0,COUNTA([2]enemies!$A:$A),MATCH(Q$1,[2]enemies!$1:$1,0)-MATCH($L$1,[2]enemies!$1:$1,0)+1),MATCH(Q$1,[2]enemies!$1:$1,0)-MATCH($L$1,[2]enemies!$1:$1,0)+1,FALSE)</f>
        <v>20</v>
      </c>
      <c r="R933" s="53">
        <v>58</v>
      </c>
      <c r="S933" s="27">
        <v>1</v>
      </c>
      <c r="T933" s="27">
        <v>1</v>
      </c>
      <c r="U933" s="5">
        <v>0</v>
      </c>
      <c r="V933" s="4" t="str">
        <f ca="1">VLOOKUP($W933,OFFSET([4]enemy_skill_sets!$B$1,0,0,COUNTA([4]enemy_skill_sets!$B:$B),MATCH(M$1,[4]enemy_skill_sets!$1:$1,0)-MATCH($W$1,[4]enemy_skill_sets!$1:$1,0)+2),MATCH(M$1,[4]enemy_skill_sets!$1:$1,0)-MATCH($W$1,[4]enemy_skill_sets!$1:$1,0)+2,FALSE)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3" s="4">
        <f ca="1">VLOOKUP($L933,OFFSET([2]enemies!$A$1,0,0,COUNTA([2]enemies!$A:$A),MATCH(W$1,[2]enemies!$1:$1,0)-MATCH($L$1,[2]enemies!$1:$1,0)+1),MATCH(W$1,[2]enemies!$1:$1,0)-MATCH($L$1,[2]enemies!$1:$1,0)+1,FALSE)</f>
        <v>0</v>
      </c>
      <c r="X933" s="6">
        <v>0</v>
      </c>
      <c r="Y933" s="6">
        <v>100</v>
      </c>
      <c r="Z933" s="6">
        <v>0</v>
      </c>
      <c r="AA933" s="4">
        <f ca="1">VLOOKUP($L933,OFFSET([2]enemies!$A$1,0,0,COUNTA([2]enemies!$A:$A),MATCH(AA$1,[2]enemies!$1:$1,0)-MATCH($L$1,[2]enemies!$1:$1,0)+1),MATCH(AA$1,[2]enemies!$1:$1,0)-MATCH($L$1,[2]enemies!$1:$1,0)+1,FALSE)</f>
        <v>1</v>
      </c>
      <c r="AB933" s="52">
        <v>121</v>
      </c>
      <c r="AC933" s="4" t="str">
        <f ca="1">VLOOKUP($AB933,OFFSET([3]characters!$A$1,0,0,COUNTA([3]characters!$A:$A),MATCH(AC$1,[3]characters!$1:$1,0)-MATCH("character_id",[3]characters!$1:$1,0)+1),MATCH(AC$1,[3]characters!$1:$1,0)-MATCH("character_id",[3]characters!$1:$1,0)+1,FALSE)</f>
        <v>攻めの果実</v>
      </c>
      <c r="AD933" s="4">
        <f ca="1">VLOOKUP($AB933,OFFSET([3]characters!$A$1,0,0,COUNTA([3]characters!$A:$A),MATCH(AD$1,[3]characters!$1:$1,0)-MATCH("character_id",[3]characters!$1:$1,0)+1),MATCH(AD$1,[3]characters!$1:$1,0)-MATCH("character_id",[3]characters!$1:$1,0)+1,FALSE)</f>
        <v>3</v>
      </c>
      <c r="AE933" s="4" t="str">
        <f ca="1">VLOOKUP($AB933,OFFSET([3]characters!$A$1,0,0,COUNTA([3]characters!$A:$A),MATCH(AE$1,[3]characters!$1:$1,0)-MATCH("character_id",[3]characters!$1:$1,0)+1),MATCH(AE$1,[3]characters!$1:$1,0)-MATCH("character_id",[3]characters!$1:$1,0)+1,FALSE)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3" s="7">
        <v>1</v>
      </c>
      <c r="AG933" s="26">
        <f t="shared" ca="1" si="803"/>
        <v>3</v>
      </c>
      <c r="AH933" s="8">
        <v>100</v>
      </c>
      <c r="AI933" s="7">
        <v>0</v>
      </c>
      <c r="AJ933" s="7">
        <v>0</v>
      </c>
      <c r="AK933" s="7">
        <v>0</v>
      </c>
      <c r="AL933" s="7">
        <v>0</v>
      </c>
      <c r="AM933" s="7">
        <v>1</v>
      </c>
    </row>
    <row r="934" spans="1:39" ht="14" x14ac:dyDescent="0.15">
      <c r="A934" s="18" t="str">
        <f t="shared" ca="1" si="810"/>
        <v>26_6-4/122&lt;lv58&gt;s3</v>
      </c>
      <c r="B934" s="50">
        <v>26</v>
      </c>
      <c r="C934" s="49">
        <v>6</v>
      </c>
      <c r="D934" s="2" t="str">
        <f t="shared" si="819"/>
        <v>26_6</v>
      </c>
      <c r="E934" s="2" t="str">
        <f t="shared" si="819"/>
        <v>6_26_6</v>
      </c>
      <c r="F934" s="4" t="str">
        <f ca="1">VLOOKUP($D934,OFFSET([1]stages!$A$1,0,0,COUNTA([1]stages!$A:$A),MATCH(F$1,[1]stages!$2:$2,0)-MATCH($D$1,[1]stages!$2:$2,0)+1),MATCH(F$1,[1]stages!$2:$2,0)-MATCH($D$1,[1]stages!$2:$2,0)+1,FALSE)</f>
        <v>26-6．【1回のみ】ボーナスステージ</v>
      </c>
      <c r="G934" s="51">
        <v>4</v>
      </c>
      <c r="H934" s="17" t="str">
        <f t="shared" si="820"/>
        <v>26_6-4</v>
      </c>
      <c r="I934" s="17"/>
      <c r="J934" s="17"/>
      <c r="K934" s="65" t="s">
        <v>56</v>
      </c>
      <c r="L934" s="52">
        <v>122</v>
      </c>
      <c r="M934" s="21" t="str">
        <f ca="1">VLOOKUP($L934,OFFSET([2]enemies!$A$1,0,0,COUNTA([2]enemies!$A:$A),MATCH(M$1,[2]enemies!$1:$1,0)-MATCH($L$1,[2]enemies!$1:$1,0)+1),MATCH(M$1,[2]enemies!$1:$1,0)-MATCH($L$1,[2]enemies!$1:$1,0)+1,FALSE)</f>
        <v>生命の果実</v>
      </c>
      <c r="N934" s="21" t="str">
        <f ca="1">VLOOKUP($L934,OFFSET([2]enemies!$A$1,0,0,COUNTA([2]enemies!$A:$A),MATCH(N$1,[2]enemies!$1:$1,0)-MATCH($L$1,[2]enemies!$1:$1,0)+1),MATCH(N$1,[2]enemies!$1:$1,0)-MATCH($L$1,[2]enemies!$1:$1,0)+1,FALSE)</f>
        <v>green</v>
      </c>
      <c r="O934" s="21" t="str">
        <f ca="1">VLOOKUP($L934,OFFSET([3]characters!$A$1,0,0,COUNTA([3]characters!$A:$A),MATCH(O$1,[3]characters!$1:$1,0)-MATCH($L$1,[3]characters!$1:$1,0)+1),MATCH(O$1,[3]characters!$1:$1,0)-MATCH($L$1,[3]characters!$1:$1,0)+1,FALSE)</f>
        <v>Material</v>
      </c>
      <c r="P934" s="21" t="str">
        <f ca="1">VLOOKUP($L934,OFFSET([2]enemies!$A$1,0,0,COUNTA([2]enemies!$A:$A),MATCH(P$1,[2]enemies!$1:$1,0)-MATCH($L$1,[2]enemies!$1:$1,0)+1),MATCH(P$1,[2]enemies!$1:$1,0)-MATCH($L$1,[2]enemies!$1:$1,0)+1,FALSE)</f>
        <v>unknown</v>
      </c>
      <c r="Q934" s="21">
        <f ca="1">VLOOKUP($L934,OFFSET([2]enemies!$A$1,0,0,COUNTA([2]enemies!$A:$A),MATCH(Q$1,[2]enemies!$1:$1,0)-MATCH($L$1,[2]enemies!$1:$1,0)+1),MATCH(Q$1,[2]enemies!$1:$1,0)-MATCH($L$1,[2]enemies!$1:$1,0)+1,FALSE)</f>
        <v>20</v>
      </c>
      <c r="R934" s="53">
        <v>58</v>
      </c>
      <c r="S934" s="27">
        <v>1</v>
      </c>
      <c r="T934" s="27">
        <v>1</v>
      </c>
      <c r="U934" s="5">
        <v>0</v>
      </c>
      <c r="V934" s="4" t="str">
        <f ca="1">VLOOKUP($W934,OFFSET([4]enemy_skill_sets!$B$1,0,0,COUNTA([4]enemy_skill_sets!$B:$B),MATCH(M$1,[4]enemy_skill_sets!$1:$1,0)-MATCH($W$1,[4]enemy_skill_sets!$1:$1,0)+2),MATCH(M$1,[4]enemy_skill_sets!$1:$1,0)-MATCH($W$1,[4]enemy_skill_sets!$1:$1,0)+2,FALSE)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4" s="4">
        <f ca="1">VLOOKUP($L934,OFFSET([2]enemies!$A$1,0,0,COUNTA([2]enemies!$A:$A),MATCH(W$1,[2]enemies!$1:$1,0)-MATCH($L$1,[2]enemies!$1:$1,0)+1),MATCH(W$1,[2]enemies!$1:$1,0)-MATCH($L$1,[2]enemies!$1:$1,0)+1,FALSE)</f>
        <v>0</v>
      </c>
      <c r="X934" s="6">
        <v>0</v>
      </c>
      <c r="Y934" s="6">
        <v>100</v>
      </c>
      <c r="Z934" s="6">
        <v>0</v>
      </c>
      <c r="AA934" s="4">
        <f ca="1">VLOOKUP($L934,OFFSET([2]enemies!$A$1,0,0,COUNTA([2]enemies!$A:$A),MATCH(AA$1,[2]enemies!$1:$1,0)-MATCH($L$1,[2]enemies!$1:$1,0)+1),MATCH(AA$1,[2]enemies!$1:$1,0)-MATCH($L$1,[2]enemies!$1:$1,0)+1,FALSE)</f>
        <v>3</v>
      </c>
      <c r="AB934" s="52">
        <v>122</v>
      </c>
      <c r="AC934" s="4" t="str">
        <f ca="1">VLOOKUP($AB934,OFFSET([3]characters!$A$1,0,0,COUNTA([3]characters!$A:$A),MATCH(AC$1,[3]characters!$1:$1,0)-MATCH("character_id",[3]characters!$1:$1,0)+1),MATCH(AC$1,[3]characters!$1:$1,0)-MATCH("character_id",[3]characters!$1:$1,0)+1,FALSE)</f>
        <v>生命の果実</v>
      </c>
      <c r="AD934" s="4">
        <f ca="1">VLOOKUP($AB934,OFFSET([3]characters!$A$1,0,0,COUNTA([3]characters!$A:$A),MATCH(AD$1,[3]characters!$1:$1,0)-MATCH("character_id",[3]characters!$1:$1,0)+1),MATCH(AD$1,[3]characters!$1:$1,0)-MATCH("character_id",[3]characters!$1:$1,0)+1,FALSE)</f>
        <v>3</v>
      </c>
      <c r="AE934" s="4" t="str">
        <f ca="1">VLOOKUP($AB934,OFFSET([3]characters!$A$1,0,0,COUNTA([3]characters!$A:$A),MATCH(AE$1,[3]characters!$1:$1,0)-MATCH("character_id",[3]characters!$1:$1,0)+1),MATCH(AE$1,[3]characters!$1:$1,0)-MATCH("character_id",[3]characters!$1:$1,0)+1,FALSE)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4" s="7">
        <v>1</v>
      </c>
      <c r="AG934" s="26">
        <f t="shared" ca="1" si="803"/>
        <v>3</v>
      </c>
      <c r="AH934" s="8">
        <v>100</v>
      </c>
      <c r="AI934" s="7">
        <v>0</v>
      </c>
      <c r="AJ934" s="7">
        <v>0</v>
      </c>
      <c r="AK934" s="7">
        <v>0</v>
      </c>
      <c r="AL934" s="7">
        <v>0</v>
      </c>
      <c r="AM934" s="7">
        <v>1</v>
      </c>
    </row>
    <row r="935" spans="1:39" ht="14" x14ac:dyDescent="0.15">
      <c r="A935" s="18" t="str">
        <f t="shared" ca="1" si="810"/>
        <v>26_6-4/123&lt;lv58&gt;s2</v>
      </c>
      <c r="B935" s="50">
        <v>26</v>
      </c>
      <c r="C935" s="49">
        <v>6</v>
      </c>
      <c r="D935" s="2" t="str">
        <f t="shared" si="819"/>
        <v>26_6</v>
      </c>
      <c r="E935" s="2" t="str">
        <f t="shared" si="819"/>
        <v>6_26_6</v>
      </c>
      <c r="F935" s="4" t="str">
        <f ca="1">VLOOKUP($D935,OFFSET([1]stages!$A$1,0,0,COUNTA([1]stages!$A:$A),MATCH(F$1,[1]stages!$2:$2,0)-MATCH($D$1,[1]stages!$2:$2,0)+1),MATCH(F$1,[1]stages!$2:$2,0)-MATCH($D$1,[1]stages!$2:$2,0)+1,FALSE)</f>
        <v>26-6．【1回のみ】ボーナスステージ</v>
      </c>
      <c r="G935" s="51">
        <v>4</v>
      </c>
      <c r="H935" s="17" t="str">
        <f t="shared" si="820"/>
        <v>26_6-4</v>
      </c>
      <c r="I935" s="17"/>
      <c r="J935" s="17"/>
      <c r="K935" s="65" t="s">
        <v>56</v>
      </c>
      <c r="L935" s="52">
        <v>123</v>
      </c>
      <c r="M935" s="21" t="str">
        <f ca="1">VLOOKUP($L935,OFFSET([2]enemies!$A$1,0,0,COUNTA([2]enemies!$A:$A),MATCH(M$1,[2]enemies!$1:$1,0)-MATCH($L$1,[2]enemies!$1:$1,0)+1),MATCH(M$1,[2]enemies!$1:$1,0)-MATCH($L$1,[2]enemies!$1:$1,0)+1,FALSE)</f>
        <v>癒しの果実</v>
      </c>
      <c r="N935" s="21" t="str">
        <f ca="1">VLOOKUP($L935,OFFSET([2]enemies!$A$1,0,0,COUNTA([2]enemies!$A:$A),MATCH(N$1,[2]enemies!$1:$1,0)-MATCH($L$1,[2]enemies!$1:$1,0)+1),MATCH(N$1,[2]enemies!$1:$1,0)-MATCH($L$1,[2]enemies!$1:$1,0)+1,FALSE)</f>
        <v>blue</v>
      </c>
      <c r="O935" s="21" t="str">
        <f ca="1">VLOOKUP($L935,OFFSET([3]characters!$A$1,0,0,COUNTA([3]characters!$A:$A),MATCH(O$1,[3]characters!$1:$1,0)-MATCH($L$1,[3]characters!$1:$1,0)+1),MATCH(O$1,[3]characters!$1:$1,0)-MATCH($L$1,[3]characters!$1:$1,0)+1,FALSE)</f>
        <v>Material</v>
      </c>
      <c r="P935" s="21" t="str">
        <f ca="1">VLOOKUP($L935,OFFSET([2]enemies!$A$1,0,0,COUNTA([2]enemies!$A:$A),MATCH(P$1,[2]enemies!$1:$1,0)-MATCH($L$1,[2]enemies!$1:$1,0)+1),MATCH(P$1,[2]enemies!$1:$1,0)-MATCH($L$1,[2]enemies!$1:$1,0)+1,FALSE)</f>
        <v>unknown</v>
      </c>
      <c r="Q935" s="21">
        <f ca="1">VLOOKUP($L935,OFFSET([2]enemies!$A$1,0,0,COUNTA([2]enemies!$A:$A),MATCH(Q$1,[2]enemies!$1:$1,0)-MATCH($L$1,[2]enemies!$1:$1,0)+1),MATCH(Q$1,[2]enemies!$1:$1,0)-MATCH($L$1,[2]enemies!$1:$1,0)+1,FALSE)</f>
        <v>20</v>
      </c>
      <c r="R935" s="53">
        <v>58</v>
      </c>
      <c r="S935" s="27">
        <v>1</v>
      </c>
      <c r="T935" s="27">
        <v>1</v>
      </c>
      <c r="U935" s="5">
        <v>0</v>
      </c>
      <c r="V935" s="4" t="str">
        <f ca="1">VLOOKUP($W935,OFFSET([4]enemy_skill_sets!$B$1,0,0,COUNTA([4]enemy_skill_sets!$B:$B),MATCH(M$1,[4]enemy_skill_sets!$1:$1,0)-MATCH($W$1,[4]enemy_skill_sets!$1:$1,0)+2),MATCH(M$1,[4]enemy_skill_sets!$1:$1,0)-MATCH($W$1,[4]enemy_skill_sets!$1:$1,0)+2,FALSE)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5" s="4">
        <f ca="1">VLOOKUP($L935,OFFSET([2]enemies!$A$1,0,0,COUNTA([2]enemies!$A:$A),MATCH(W$1,[2]enemies!$1:$1,0)-MATCH($L$1,[2]enemies!$1:$1,0)+1),MATCH(W$1,[2]enemies!$1:$1,0)-MATCH($L$1,[2]enemies!$1:$1,0)+1,FALSE)</f>
        <v>0</v>
      </c>
      <c r="X935" s="6">
        <v>0</v>
      </c>
      <c r="Y935" s="6">
        <v>100</v>
      </c>
      <c r="Z935" s="6">
        <v>0</v>
      </c>
      <c r="AA935" s="4">
        <f ca="1">VLOOKUP($L935,OFFSET([2]enemies!$A$1,0,0,COUNTA([2]enemies!$A:$A),MATCH(AA$1,[2]enemies!$1:$1,0)-MATCH($L$1,[2]enemies!$1:$1,0)+1),MATCH(AA$1,[2]enemies!$1:$1,0)-MATCH($L$1,[2]enemies!$1:$1,0)+1,FALSE)</f>
        <v>2</v>
      </c>
      <c r="AB935" s="52">
        <v>123</v>
      </c>
      <c r="AC935" s="4" t="str">
        <f ca="1">VLOOKUP($AB935,OFFSET([3]characters!$A$1,0,0,COUNTA([3]characters!$A:$A),MATCH(AC$1,[3]characters!$1:$1,0)-MATCH("character_id",[3]characters!$1:$1,0)+1),MATCH(AC$1,[3]characters!$1:$1,0)-MATCH("character_id",[3]characters!$1:$1,0)+1,FALSE)</f>
        <v>癒しの果実</v>
      </c>
      <c r="AD935" s="4">
        <f ca="1">VLOOKUP($AB935,OFFSET([3]characters!$A$1,0,0,COUNTA([3]characters!$A:$A),MATCH(AD$1,[3]characters!$1:$1,0)-MATCH("character_id",[3]characters!$1:$1,0)+1),MATCH(AD$1,[3]characters!$1:$1,0)-MATCH("character_id",[3]characters!$1:$1,0)+1,FALSE)</f>
        <v>3</v>
      </c>
      <c r="AE935" s="4" t="str">
        <f ca="1">VLOOKUP($AB935,OFFSET([3]characters!$A$1,0,0,COUNTA([3]characters!$A:$A),MATCH(AE$1,[3]characters!$1:$1,0)-MATCH("character_id",[3]characters!$1:$1,0)+1),MATCH(AE$1,[3]characters!$1:$1,0)-MATCH("character_id",[3]characters!$1:$1,0)+1,FALSE)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5" s="7">
        <v>1</v>
      </c>
      <c r="AG935" s="26">
        <f t="shared" ca="1" si="803"/>
        <v>3</v>
      </c>
      <c r="AH935" s="8">
        <v>100</v>
      </c>
      <c r="AI935" s="7">
        <v>0</v>
      </c>
      <c r="AJ935" s="7">
        <v>0</v>
      </c>
      <c r="AK935" s="7">
        <v>0</v>
      </c>
      <c r="AL935" s="7">
        <v>0</v>
      </c>
      <c r="AM935" s="7">
        <v>1</v>
      </c>
    </row>
    <row r="936" spans="1:39" ht="14" x14ac:dyDescent="0.15">
      <c r="A936" s="18" t="str">
        <f t="shared" ca="1" si="810"/>
        <v>26_6-5/121&lt;lv58&gt;s1</v>
      </c>
      <c r="B936" s="50">
        <v>26</v>
      </c>
      <c r="C936" s="49">
        <v>6</v>
      </c>
      <c r="D936" s="2" t="str">
        <f t="shared" si="819"/>
        <v>26_6</v>
      </c>
      <c r="E936" s="2" t="str">
        <f t="shared" si="819"/>
        <v>6_26_6</v>
      </c>
      <c r="F936" s="4" t="str">
        <f ca="1">VLOOKUP($D936,OFFSET([1]stages!$A$1,0,0,COUNTA([1]stages!$A:$A),MATCH(F$1,[1]stages!$2:$2,0)-MATCH($D$1,[1]stages!$2:$2,0)+1),MATCH(F$1,[1]stages!$2:$2,0)-MATCH($D$1,[1]stages!$2:$2,0)+1,FALSE)</f>
        <v>26-6．【1回のみ】ボーナスステージ</v>
      </c>
      <c r="G936" s="51">
        <v>5</v>
      </c>
      <c r="H936" s="17" t="str">
        <f t="shared" si="820"/>
        <v>26_6-5</v>
      </c>
      <c r="I936" s="17"/>
      <c r="J936" s="17"/>
      <c r="K936" s="65" t="s">
        <v>56</v>
      </c>
      <c r="L936" s="52">
        <v>121</v>
      </c>
      <c r="M936" s="21" t="str">
        <f ca="1">VLOOKUP($L936,OFFSET([2]enemies!$A$1,0,0,COUNTA([2]enemies!$A:$A),MATCH(M$1,[2]enemies!$1:$1,0)-MATCH($L$1,[2]enemies!$1:$1,0)+1),MATCH(M$1,[2]enemies!$1:$1,0)-MATCH($L$1,[2]enemies!$1:$1,0)+1,FALSE)</f>
        <v>攻めの果実</v>
      </c>
      <c r="N936" s="21" t="str">
        <f ca="1">VLOOKUP($L936,OFFSET([2]enemies!$A$1,0,0,COUNTA([2]enemies!$A:$A),MATCH(N$1,[2]enemies!$1:$1,0)-MATCH($L$1,[2]enemies!$1:$1,0)+1),MATCH(N$1,[2]enemies!$1:$1,0)-MATCH($L$1,[2]enemies!$1:$1,0)+1,FALSE)</f>
        <v>red</v>
      </c>
      <c r="O936" s="21" t="str">
        <f ca="1">VLOOKUP($L936,OFFSET([3]characters!$A$1,0,0,COUNTA([3]characters!$A:$A),MATCH(O$1,[3]characters!$1:$1,0)-MATCH($L$1,[3]characters!$1:$1,0)+1),MATCH(O$1,[3]characters!$1:$1,0)-MATCH($L$1,[3]characters!$1:$1,0)+1,FALSE)</f>
        <v>Material</v>
      </c>
      <c r="P936" s="21" t="str">
        <f ca="1">VLOOKUP($L936,OFFSET([2]enemies!$A$1,0,0,COUNTA([2]enemies!$A:$A),MATCH(P$1,[2]enemies!$1:$1,0)-MATCH($L$1,[2]enemies!$1:$1,0)+1),MATCH(P$1,[2]enemies!$1:$1,0)-MATCH($L$1,[2]enemies!$1:$1,0)+1,FALSE)</f>
        <v>unknown</v>
      </c>
      <c r="Q936" s="21">
        <f ca="1">VLOOKUP($L936,OFFSET([2]enemies!$A$1,0,0,COUNTA([2]enemies!$A:$A),MATCH(Q$1,[2]enemies!$1:$1,0)-MATCH($L$1,[2]enemies!$1:$1,0)+1),MATCH(Q$1,[2]enemies!$1:$1,0)-MATCH($L$1,[2]enemies!$1:$1,0)+1,FALSE)</f>
        <v>20</v>
      </c>
      <c r="R936" s="53">
        <v>58</v>
      </c>
      <c r="S936" s="27">
        <v>1</v>
      </c>
      <c r="T936" s="27">
        <v>1</v>
      </c>
      <c r="U936" s="5">
        <v>0</v>
      </c>
      <c r="V936" s="4" t="str">
        <f ca="1">VLOOKUP($W936,OFFSET([4]enemy_skill_sets!$B$1,0,0,COUNTA([4]enemy_skill_sets!$B:$B),MATCH(M$1,[4]enemy_skill_sets!$1:$1,0)-MATCH($W$1,[4]enemy_skill_sets!$1:$1,0)+2),MATCH(M$1,[4]enemy_skill_sets!$1:$1,0)-MATCH($W$1,[4]enemy_skill_sets!$1:$1,0)+2,FALSE)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6" s="4">
        <f ca="1">VLOOKUP($L936,OFFSET([2]enemies!$A$1,0,0,COUNTA([2]enemies!$A:$A),MATCH(W$1,[2]enemies!$1:$1,0)-MATCH($L$1,[2]enemies!$1:$1,0)+1),MATCH(W$1,[2]enemies!$1:$1,0)-MATCH($L$1,[2]enemies!$1:$1,0)+1,FALSE)</f>
        <v>0</v>
      </c>
      <c r="X936" s="6">
        <v>0</v>
      </c>
      <c r="Y936" s="6">
        <v>100</v>
      </c>
      <c r="Z936" s="6">
        <v>0</v>
      </c>
      <c r="AA936" s="4">
        <f ca="1">VLOOKUP($L936,OFFSET([2]enemies!$A$1,0,0,COUNTA([2]enemies!$A:$A),MATCH(AA$1,[2]enemies!$1:$1,0)-MATCH($L$1,[2]enemies!$1:$1,0)+1),MATCH(AA$1,[2]enemies!$1:$1,0)-MATCH($L$1,[2]enemies!$1:$1,0)+1,FALSE)</f>
        <v>1</v>
      </c>
      <c r="AB936" s="52">
        <v>121</v>
      </c>
      <c r="AC936" s="4" t="str">
        <f ca="1">VLOOKUP($AB936,OFFSET([3]characters!$A$1,0,0,COUNTA([3]characters!$A:$A),MATCH(AC$1,[3]characters!$1:$1,0)-MATCH("character_id",[3]characters!$1:$1,0)+1),MATCH(AC$1,[3]characters!$1:$1,0)-MATCH("character_id",[3]characters!$1:$1,0)+1,FALSE)</f>
        <v>攻めの果実</v>
      </c>
      <c r="AD936" s="4">
        <f ca="1">VLOOKUP($AB936,OFFSET([3]characters!$A$1,0,0,COUNTA([3]characters!$A:$A),MATCH(AD$1,[3]characters!$1:$1,0)-MATCH("character_id",[3]characters!$1:$1,0)+1),MATCH(AD$1,[3]characters!$1:$1,0)-MATCH("character_id",[3]characters!$1:$1,0)+1,FALSE)</f>
        <v>3</v>
      </c>
      <c r="AE936" s="4" t="str">
        <f ca="1">VLOOKUP($AB936,OFFSET([3]characters!$A$1,0,0,COUNTA([3]characters!$A:$A),MATCH(AE$1,[3]characters!$1:$1,0)-MATCH("character_id",[3]characters!$1:$1,0)+1),MATCH(AE$1,[3]characters!$1:$1,0)-MATCH("character_id",[3]characters!$1:$1,0)+1,FALSE)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6" s="7">
        <v>1</v>
      </c>
      <c r="AG936" s="26">
        <f t="shared" ca="1" si="803"/>
        <v>3</v>
      </c>
      <c r="AH936" s="8">
        <v>0</v>
      </c>
      <c r="AI936" s="7">
        <v>0</v>
      </c>
      <c r="AJ936" s="7">
        <v>0</v>
      </c>
      <c r="AK936" s="7">
        <v>0</v>
      </c>
      <c r="AL936" s="7">
        <v>0</v>
      </c>
      <c r="AM936" s="7">
        <v>1</v>
      </c>
    </row>
    <row r="937" spans="1:39" ht="14" x14ac:dyDescent="0.15">
      <c r="A937" s="18" t="str">
        <f t="shared" ca="1" si="810"/>
        <v>26_6-5/122&lt;lv58&gt;s3</v>
      </c>
      <c r="B937" s="50">
        <v>26</v>
      </c>
      <c r="C937" s="49">
        <v>6</v>
      </c>
      <c r="D937" s="2" t="str">
        <f t="shared" si="819"/>
        <v>26_6</v>
      </c>
      <c r="E937" s="2" t="str">
        <f t="shared" si="819"/>
        <v>6_26_6</v>
      </c>
      <c r="F937" s="4" t="str">
        <f ca="1">VLOOKUP($D937,OFFSET([1]stages!$A$1,0,0,COUNTA([1]stages!$A:$A),MATCH(F$1,[1]stages!$2:$2,0)-MATCH($D$1,[1]stages!$2:$2,0)+1),MATCH(F$1,[1]stages!$2:$2,0)-MATCH($D$1,[1]stages!$2:$2,0)+1,FALSE)</f>
        <v>26-6．【1回のみ】ボーナスステージ</v>
      </c>
      <c r="G937" s="51">
        <v>5</v>
      </c>
      <c r="H937" s="17" t="str">
        <f t="shared" si="820"/>
        <v>26_6-5</v>
      </c>
      <c r="I937" s="17"/>
      <c r="J937" s="17"/>
      <c r="K937" s="65" t="s">
        <v>56</v>
      </c>
      <c r="L937" s="52">
        <v>122</v>
      </c>
      <c r="M937" s="21" t="str">
        <f ca="1">VLOOKUP($L937,OFFSET([2]enemies!$A$1,0,0,COUNTA([2]enemies!$A:$A),MATCH(M$1,[2]enemies!$1:$1,0)-MATCH($L$1,[2]enemies!$1:$1,0)+1),MATCH(M$1,[2]enemies!$1:$1,0)-MATCH($L$1,[2]enemies!$1:$1,0)+1,FALSE)</f>
        <v>生命の果実</v>
      </c>
      <c r="N937" s="21" t="str">
        <f ca="1">VLOOKUP($L937,OFFSET([2]enemies!$A$1,0,0,COUNTA([2]enemies!$A:$A),MATCH(N$1,[2]enemies!$1:$1,0)-MATCH($L$1,[2]enemies!$1:$1,0)+1),MATCH(N$1,[2]enemies!$1:$1,0)-MATCH($L$1,[2]enemies!$1:$1,0)+1,FALSE)</f>
        <v>green</v>
      </c>
      <c r="O937" s="21" t="str">
        <f ca="1">VLOOKUP($L937,OFFSET([3]characters!$A$1,0,0,COUNTA([3]characters!$A:$A),MATCH(O$1,[3]characters!$1:$1,0)-MATCH($L$1,[3]characters!$1:$1,0)+1),MATCH(O$1,[3]characters!$1:$1,0)-MATCH($L$1,[3]characters!$1:$1,0)+1,FALSE)</f>
        <v>Material</v>
      </c>
      <c r="P937" s="21" t="str">
        <f ca="1">VLOOKUP($L937,OFFSET([2]enemies!$A$1,0,0,COUNTA([2]enemies!$A:$A),MATCH(P$1,[2]enemies!$1:$1,0)-MATCH($L$1,[2]enemies!$1:$1,0)+1),MATCH(P$1,[2]enemies!$1:$1,0)-MATCH($L$1,[2]enemies!$1:$1,0)+1,FALSE)</f>
        <v>unknown</v>
      </c>
      <c r="Q937" s="21">
        <f ca="1">VLOOKUP($L937,OFFSET([2]enemies!$A$1,0,0,COUNTA([2]enemies!$A:$A),MATCH(Q$1,[2]enemies!$1:$1,0)-MATCH($L$1,[2]enemies!$1:$1,0)+1),MATCH(Q$1,[2]enemies!$1:$1,0)-MATCH($L$1,[2]enemies!$1:$1,0)+1,FALSE)</f>
        <v>20</v>
      </c>
      <c r="R937" s="53">
        <v>58</v>
      </c>
      <c r="S937" s="27">
        <v>1</v>
      </c>
      <c r="T937" s="27">
        <v>1</v>
      </c>
      <c r="U937" s="5">
        <v>0</v>
      </c>
      <c r="V937" s="4" t="str">
        <f ca="1">VLOOKUP($W937,OFFSET([4]enemy_skill_sets!$B$1,0,0,COUNTA([4]enemy_skill_sets!$B:$B),MATCH(M$1,[4]enemy_skill_sets!$1:$1,0)-MATCH($W$1,[4]enemy_skill_sets!$1:$1,0)+2),MATCH(M$1,[4]enemy_skill_sets!$1:$1,0)-MATCH($W$1,[4]enemy_skill_sets!$1:$1,0)+2,FALSE)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7" s="4">
        <f ca="1">VLOOKUP($L937,OFFSET([2]enemies!$A$1,0,0,COUNTA([2]enemies!$A:$A),MATCH(W$1,[2]enemies!$1:$1,0)-MATCH($L$1,[2]enemies!$1:$1,0)+1),MATCH(W$1,[2]enemies!$1:$1,0)-MATCH($L$1,[2]enemies!$1:$1,0)+1,FALSE)</f>
        <v>0</v>
      </c>
      <c r="X937" s="6">
        <v>0</v>
      </c>
      <c r="Y937" s="6">
        <v>100</v>
      </c>
      <c r="Z937" s="6">
        <v>0</v>
      </c>
      <c r="AA937" s="4">
        <f ca="1">VLOOKUP($L937,OFFSET([2]enemies!$A$1,0,0,COUNTA([2]enemies!$A:$A),MATCH(AA$1,[2]enemies!$1:$1,0)-MATCH($L$1,[2]enemies!$1:$1,0)+1),MATCH(AA$1,[2]enemies!$1:$1,0)-MATCH($L$1,[2]enemies!$1:$1,0)+1,FALSE)</f>
        <v>3</v>
      </c>
      <c r="AB937" s="52">
        <v>122</v>
      </c>
      <c r="AC937" s="4" t="str">
        <f ca="1">VLOOKUP($AB937,OFFSET([3]characters!$A$1,0,0,COUNTA([3]characters!$A:$A),MATCH(AC$1,[3]characters!$1:$1,0)-MATCH("character_id",[3]characters!$1:$1,0)+1),MATCH(AC$1,[3]characters!$1:$1,0)-MATCH("character_id",[3]characters!$1:$1,0)+1,FALSE)</f>
        <v>生命の果実</v>
      </c>
      <c r="AD937" s="4">
        <f ca="1">VLOOKUP($AB937,OFFSET([3]characters!$A$1,0,0,COUNTA([3]characters!$A:$A),MATCH(AD$1,[3]characters!$1:$1,0)-MATCH("character_id",[3]characters!$1:$1,0)+1),MATCH(AD$1,[3]characters!$1:$1,0)-MATCH("character_id",[3]characters!$1:$1,0)+1,FALSE)</f>
        <v>3</v>
      </c>
      <c r="AE937" s="4" t="str">
        <f ca="1">VLOOKUP($AB937,OFFSET([3]characters!$A$1,0,0,COUNTA([3]characters!$A:$A),MATCH(AE$1,[3]characters!$1:$1,0)-MATCH("character_id",[3]characters!$1:$1,0)+1),MATCH(AE$1,[3]characters!$1:$1,0)-MATCH("character_id",[3]characters!$1:$1,0)+1,FALSE)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7" s="7">
        <v>1</v>
      </c>
      <c r="AG937" s="26">
        <f t="shared" ca="1" si="803"/>
        <v>3</v>
      </c>
      <c r="AH937" s="8">
        <v>0</v>
      </c>
      <c r="AI937" s="7">
        <v>0</v>
      </c>
      <c r="AJ937" s="7">
        <v>0</v>
      </c>
      <c r="AK937" s="7">
        <v>0</v>
      </c>
      <c r="AL937" s="7">
        <v>0</v>
      </c>
      <c r="AM937" s="7">
        <v>1</v>
      </c>
    </row>
    <row r="938" spans="1:39" ht="14" x14ac:dyDescent="0.15">
      <c r="A938" s="18" t="str">
        <f t="shared" ca="1" si="810"/>
        <v>26_6-5/123&lt;lv58&gt;s2</v>
      </c>
      <c r="B938" s="50">
        <v>26</v>
      </c>
      <c r="C938" s="49">
        <v>6</v>
      </c>
      <c r="D938" s="2" t="str">
        <f t="shared" si="819"/>
        <v>26_6</v>
      </c>
      <c r="E938" s="2" t="str">
        <f t="shared" si="819"/>
        <v>6_26_6</v>
      </c>
      <c r="F938" s="4" t="str">
        <f ca="1">VLOOKUP($D938,OFFSET([1]stages!$A$1,0,0,COUNTA([1]stages!$A:$A),MATCH(F$1,[1]stages!$2:$2,0)-MATCH($D$1,[1]stages!$2:$2,0)+1),MATCH(F$1,[1]stages!$2:$2,0)-MATCH($D$1,[1]stages!$2:$2,0)+1,FALSE)</f>
        <v>26-6．【1回のみ】ボーナスステージ</v>
      </c>
      <c r="G938" s="51">
        <v>5</v>
      </c>
      <c r="H938" s="17" t="str">
        <f t="shared" si="820"/>
        <v>26_6-5</v>
      </c>
      <c r="I938" s="17"/>
      <c r="J938" s="17"/>
      <c r="K938" s="65" t="s">
        <v>56</v>
      </c>
      <c r="L938" s="52">
        <v>123</v>
      </c>
      <c r="M938" s="21" t="str">
        <f ca="1">VLOOKUP($L938,OFFSET([2]enemies!$A$1,0,0,COUNTA([2]enemies!$A:$A),MATCH(M$1,[2]enemies!$1:$1,0)-MATCH($L$1,[2]enemies!$1:$1,0)+1),MATCH(M$1,[2]enemies!$1:$1,0)-MATCH($L$1,[2]enemies!$1:$1,0)+1,FALSE)</f>
        <v>癒しの果実</v>
      </c>
      <c r="N938" s="21" t="str">
        <f ca="1">VLOOKUP($L938,OFFSET([2]enemies!$A$1,0,0,COUNTA([2]enemies!$A:$A),MATCH(N$1,[2]enemies!$1:$1,0)-MATCH($L$1,[2]enemies!$1:$1,0)+1),MATCH(N$1,[2]enemies!$1:$1,0)-MATCH($L$1,[2]enemies!$1:$1,0)+1,FALSE)</f>
        <v>blue</v>
      </c>
      <c r="O938" s="21" t="str">
        <f ca="1">VLOOKUP($L938,OFFSET([3]characters!$A$1,0,0,COUNTA([3]characters!$A:$A),MATCH(O$1,[3]characters!$1:$1,0)-MATCH($L$1,[3]characters!$1:$1,0)+1),MATCH(O$1,[3]characters!$1:$1,0)-MATCH($L$1,[3]characters!$1:$1,0)+1,FALSE)</f>
        <v>Material</v>
      </c>
      <c r="P938" s="21" t="str">
        <f ca="1">VLOOKUP($L938,OFFSET([2]enemies!$A$1,0,0,COUNTA([2]enemies!$A:$A),MATCH(P$1,[2]enemies!$1:$1,0)-MATCH($L$1,[2]enemies!$1:$1,0)+1),MATCH(P$1,[2]enemies!$1:$1,0)-MATCH($L$1,[2]enemies!$1:$1,0)+1,FALSE)</f>
        <v>unknown</v>
      </c>
      <c r="Q938" s="21">
        <f ca="1">VLOOKUP($L938,OFFSET([2]enemies!$A$1,0,0,COUNTA([2]enemies!$A:$A),MATCH(Q$1,[2]enemies!$1:$1,0)-MATCH($L$1,[2]enemies!$1:$1,0)+1),MATCH(Q$1,[2]enemies!$1:$1,0)-MATCH($L$1,[2]enemies!$1:$1,0)+1,FALSE)</f>
        <v>20</v>
      </c>
      <c r="R938" s="53">
        <v>58</v>
      </c>
      <c r="S938" s="27">
        <v>1</v>
      </c>
      <c r="T938" s="27">
        <v>1</v>
      </c>
      <c r="U938" s="5">
        <v>0</v>
      </c>
      <c r="V938" s="4" t="str">
        <f ca="1">VLOOKUP($W938,OFFSET([4]enemy_skill_sets!$B$1,0,0,COUNTA([4]enemy_skill_sets!$B:$B),MATCH(M$1,[4]enemy_skill_sets!$1:$1,0)-MATCH($W$1,[4]enemy_skill_sets!$1:$1,0)+2),MATCH(M$1,[4]enemy_skill_sets!$1:$1,0)-MATCH($W$1,[4]enemy_skill_sets!$1:$1,0)+2,FALSE)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8" s="4">
        <f ca="1">VLOOKUP($L938,OFFSET([2]enemies!$A$1,0,0,COUNTA([2]enemies!$A:$A),MATCH(W$1,[2]enemies!$1:$1,0)-MATCH($L$1,[2]enemies!$1:$1,0)+1),MATCH(W$1,[2]enemies!$1:$1,0)-MATCH($L$1,[2]enemies!$1:$1,0)+1,FALSE)</f>
        <v>0</v>
      </c>
      <c r="X938" s="6">
        <v>0</v>
      </c>
      <c r="Y938" s="6">
        <v>100</v>
      </c>
      <c r="Z938" s="6">
        <v>0</v>
      </c>
      <c r="AA938" s="4">
        <f ca="1">VLOOKUP($L938,OFFSET([2]enemies!$A$1,0,0,COUNTA([2]enemies!$A:$A),MATCH(AA$1,[2]enemies!$1:$1,0)-MATCH($L$1,[2]enemies!$1:$1,0)+1),MATCH(AA$1,[2]enemies!$1:$1,0)-MATCH($L$1,[2]enemies!$1:$1,0)+1,FALSE)</f>
        <v>2</v>
      </c>
      <c r="AB938" s="52">
        <v>123</v>
      </c>
      <c r="AC938" s="4" t="str">
        <f ca="1">VLOOKUP($AB938,OFFSET([3]characters!$A$1,0,0,COUNTA([3]characters!$A:$A),MATCH(AC$1,[3]characters!$1:$1,0)-MATCH("character_id",[3]characters!$1:$1,0)+1),MATCH(AC$1,[3]characters!$1:$1,0)-MATCH("character_id",[3]characters!$1:$1,0)+1,FALSE)</f>
        <v>癒しの果実</v>
      </c>
      <c r="AD938" s="4">
        <f ca="1">VLOOKUP($AB938,OFFSET([3]characters!$A$1,0,0,COUNTA([3]characters!$A:$A),MATCH(AD$1,[3]characters!$1:$1,0)-MATCH("character_id",[3]characters!$1:$1,0)+1),MATCH(AD$1,[3]characters!$1:$1,0)-MATCH("character_id",[3]characters!$1:$1,0)+1,FALSE)</f>
        <v>3</v>
      </c>
      <c r="AE938" s="4" t="str">
        <f ca="1">VLOOKUP($AB938,OFFSET([3]characters!$A$1,0,0,COUNTA([3]characters!$A:$A),MATCH(AE$1,[3]characters!$1:$1,0)-MATCH("character_id",[3]characters!$1:$1,0)+1),MATCH(AE$1,[3]characters!$1:$1,0)-MATCH("character_id",[3]characters!$1:$1,0)+1,FALSE)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8" s="7">
        <v>1</v>
      </c>
      <c r="AG938" s="26">
        <f t="shared" ca="1" si="803"/>
        <v>3</v>
      </c>
      <c r="AH938" s="8">
        <v>0</v>
      </c>
      <c r="AI938" s="7">
        <v>0</v>
      </c>
      <c r="AJ938" s="7">
        <v>0</v>
      </c>
      <c r="AK938" s="7">
        <v>0</v>
      </c>
      <c r="AL938" s="7">
        <v>0</v>
      </c>
      <c r="AM938" s="7">
        <v>1</v>
      </c>
    </row>
    <row r="939" spans="1:39" ht="14" x14ac:dyDescent="0.15">
      <c r="A939" s="18" t="str">
        <f t="shared" ca="1" si="810"/>
        <v>26_6-5/125&lt;lv59&gt;s4</v>
      </c>
      <c r="B939" s="50">
        <v>26</v>
      </c>
      <c r="C939" s="49">
        <v>6</v>
      </c>
      <c r="D939" s="2" t="str">
        <f>B939&amp;"_"&amp;C939</f>
        <v>26_6</v>
      </c>
      <c r="E939" s="2" t="str">
        <f>C939&amp;"_"&amp;D939</f>
        <v>6_26_6</v>
      </c>
      <c r="F939" s="4" t="str">
        <f ca="1">VLOOKUP($D939,OFFSET([1]stages!$A$1,0,0,COUNTA([1]stages!$A:$A),MATCH(F$1,[1]stages!$2:$2,0)-MATCH($D$1,[1]stages!$2:$2,0)+1),MATCH(F$1,[1]stages!$2:$2,0)-MATCH($D$1,[1]stages!$2:$2,0)+1,FALSE)</f>
        <v>26-6．【1回のみ】ボーナスステージ</v>
      </c>
      <c r="G939" s="51">
        <v>5</v>
      </c>
      <c r="H939" s="17" t="str">
        <f>B939&amp;"_"&amp;C939&amp;"-"&amp;G939</f>
        <v>26_6-5</v>
      </c>
      <c r="I939" s="17"/>
      <c r="J939" s="17"/>
      <c r="K939" s="65" t="s">
        <v>56</v>
      </c>
      <c r="L939" s="52">
        <v>125</v>
      </c>
      <c r="M939" s="21" t="str">
        <f ca="1">VLOOKUP($L939,OFFSET([2]enemies!$A$1,0,0,COUNTA([2]enemies!$A:$A),MATCH(M$1,[2]enemies!$1:$1,0)-MATCH($L$1,[2]enemies!$1:$1,0)+1),MATCH(M$1,[2]enemies!$1:$1,0)-MATCH($L$1,[2]enemies!$1:$1,0)+1,FALSE)</f>
        <v>秘術の果実</v>
      </c>
      <c r="N939" s="21" t="str">
        <f ca="1">VLOOKUP($L939,OFFSET([2]enemies!$A$1,0,0,COUNTA([2]enemies!$A:$A),MATCH(N$1,[2]enemies!$1:$1,0)-MATCH($L$1,[2]enemies!$1:$1,0)+1),MATCH(N$1,[2]enemies!$1:$1,0)-MATCH($L$1,[2]enemies!$1:$1,0)+1,FALSE)</f>
        <v>blue</v>
      </c>
      <c r="O939" s="21" t="str">
        <f ca="1">VLOOKUP($L939,OFFSET([3]characters!$A$1,0,0,COUNTA([3]characters!$A:$A),MATCH(O$1,[3]characters!$1:$1,0)-MATCH($L$1,[3]characters!$1:$1,0)+1),MATCH(O$1,[3]characters!$1:$1,0)-MATCH($L$1,[3]characters!$1:$1,0)+1,FALSE)</f>
        <v>Material</v>
      </c>
      <c r="P939" s="21" t="str">
        <f ca="1">VLOOKUP($L939,OFFSET([2]enemies!$A$1,0,0,COUNTA([2]enemies!$A:$A),MATCH(P$1,[2]enemies!$1:$1,0)-MATCH($L$1,[2]enemies!$1:$1,0)+1),MATCH(P$1,[2]enemies!$1:$1,0)-MATCH($L$1,[2]enemies!$1:$1,0)+1,FALSE)</f>
        <v>unknown</v>
      </c>
      <c r="Q939" s="21">
        <f ca="1">VLOOKUP($L939,OFFSET([2]enemies!$A$1,0,0,COUNTA([2]enemies!$A:$A),MATCH(Q$1,[2]enemies!$1:$1,0)-MATCH($L$1,[2]enemies!$1:$1,0)+1),MATCH(Q$1,[2]enemies!$1:$1,0)-MATCH($L$1,[2]enemies!$1:$1,0)+1,FALSE)</f>
        <v>20</v>
      </c>
      <c r="R939" s="53">
        <v>59</v>
      </c>
      <c r="S939" s="27">
        <v>1</v>
      </c>
      <c r="T939" s="27">
        <v>1</v>
      </c>
      <c r="U939" s="5">
        <v>0</v>
      </c>
      <c r="V939" s="4" t="str">
        <f ca="1">VLOOKUP($W939,OFFSET([4]enemy_skill_sets!$B$1,0,0,COUNTA([4]enemy_skill_sets!$B:$B),MATCH(M$1,[4]enemy_skill_sets!$1:$1,0)-MATCH($W$1,[4]enemy_skill_sets!$1:$1,0)+2),MATCH(M$1,[4]enemy_skill_sets!$1:$1,0)-MATCH($W$1,[4]enemy_skill_sets!$1:$1,0)+2,FALSE)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939" s="4">
        <f ca="1">VLOOKUP($L939,OFFSET([2]enemies!$A$1,0,0,COUNTA([2]enemies!$A:$A),MATCH(W$1,[2]enemies!$1:$1,0)-MATCH($L$1,[2]enemies!$1:$1,0)+1),MATCH(W$1,[2]enemies!$1:$1,0)-MATCH($L$1,[2]enemies!$1:$1,0)+1,FALSE)</f>
        <v>0</v>
      </c>
      <c r="X939" s="6">
        <v>1</v>
      </c>
      <c r="Y939" s="6">
        <v>100</v>
      </c>
      <c r="Z939" s="6">
        <v>1</v>
      </c>
      <c r="AA939" s="4">
        <f ca="1">VLOOKUP($L939,OFFSET([2]enemies!$A$1,0,0,COUNTA([2]enemies!$A:$A),MATCH(AA$1,[2]enemies!$1:$1,0)-MATCH($L$1,[2]enemies!$1:$1,0)+1),MATCH(AA$1,[2]enemies!$1:$1,0)-MATCH($L$1,[2]enemies!$1:$1,0)+1,FALSE)</f>
        <v>4</v>
      </c>
      <c r="AB939" s="52">
        <v>125</v>
      </c>
      <c r="AC939" s="4" t="str">
        <f ca="1">VLOOKUP($AB939,OFFSET([3]characters!$A$1,0,0,COUNTA([3]characters!$A:$A),MATCH(AC$1,[3]characters!$1:$1,0)-MATCH("character_id",[3]characters!$1:$1,0)+1),MATCH(AC$1,[3]characters!$1:$1,0)-MATCH("character_id",[3]characters!$1:$1,0)+1,FALSE)</f>
        <v>秘術の果実</v>
      </c>
      <c r="AD939" s="4">
        <f ca="1">VLOOKUP($AB939,OFFSET([3]characters!$A$1,0,0,COUNTA([3]characters!$A:$A),MATCH(AD$1,[3]characters!$1:$1,0)-MATCH("character_id",[3]characters!$1:$1,0)+1),MATCH(AD$1,[3]characters!$1:$1,0)-MATCH("character_id",[3]characters!$1:$1,0)+1,FALSE)</f>
        <v>3</v>
      </c>
      <c r="AE939" s="4" t="str">
        <f ca="1">VLOOKUP($AB939,OFFSET([3]characters!$A$1,0,0,COUNTA([3]characters!$A:$A),MATCH(AE$1,[3]characters!$1:$1,0)-MATCH("character_id",[3]characters!$1:$1,0)+1),MATCH(AE$1,[3]characters!$1:$1,0)-MATCH("character_id",[3]characters!$1:$1,0)+1,FALSE)</f>
        <v>Material</v>
      </c>
      <c r="AF939" s="7">
        <v>1</v>
      </c>
      <c r="AG939" s="26">
        <f t="shared" ca="1" si="803"/>
        <v>3</v>
      </c>
      <c r="AH939" s="8">
        <v>100</v>
      </c>
      <c r="AI939" s="7">
        <v>0</v>
      </c>
      <c r="AJ939" s="7">
        <v>0</v>
      </c>
      <c r="AK939" s="7">
        <v>0</v>
      </c>
      <c r="AL939" s="7">
        <v>0</v>
      </c>
      <c r="AM939" s="7">
        <v>1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4"/>
  <sheetViews>
    <sheetView showGridLines="0" zoomScale="75" zoomScaleNormal="75" zoomScalePageLayoutView="7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P1" sqref="P1:Q1048576"/>
    </sheetView>
  </sheetViews>
  <sheetFormatPr baseColWidth="12" defaultColWidth="13" defaultRowHeight="21" customHeight="1" outlineLevelCol="1" x14ac:dyDescent="0.15"/>
  <cols>
    <col min="1" max="1" width="17" style="24" bestFit="1" customWidth="1"/>
    <col min="2" max="2" width="10.83203125" style="3" bestFit="1" customWidth="1"/>
    <col min="3" max="3" width="10.6640625" style="3" bestFit="1" customWidth="1"/>
    <col min="4" max="4" width="13" style="12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1.6640625" style="3" bestFit="1" customWidth="1" outlineLevel="1"/>
    <col min="15" max="15" width="8.6640625" style="3" bestFit="1" customWidth="1" outlineLevel="1"/>
    <col min="16" max="16" width="12" style="3" bestFit="1" customWidth="1" outlineLevel="1"/>
    <col min="17" max="17" width="21" style="3" bestFit="1" customWidth="1" outlineLevel="1"/>
    <col min="18" max="18" width="8" style="3" bestFit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37" customFormat="1" ht="21" customHeight="1" x14ac:dyDescent="0.15">
      <c r="A1" s="29" t="s">
        <v>57</v>
      </c>
      <c r="B1" s="28" t="s">
        <v>0</v>
      </c>
      <c r="C1" s="28" t="s">
        <v>1</v>
      </c>
      <c r="D1" s="31" t="s">
        <v>58</v>
      </c>
      <c r="E1" s="31" t="s">
        <v>59</v>
      </c>
      <c r="F1" s="31" t="s">
        <v>59</v>
      </c>
      <c r="G1" s="28" t="s">
        <v>60</v>
      </c>
      <c r="H1" s="31" t="s">
        <v>61</v>
      </c>
      <c r="I1" s="31" t="s">
        <v>14</v>
      </c>
      <c r="J1" s="31" t="s">
        <v>15</v>
      </c>
      <c r="K1" s="66" t="s">
        <v>62</v>
      </c>
      <c r="L1" s="66" t="s">
        <v>63</v>
      </c>
      <c r="M1" s="66" t="s">
        <v>2</v>
      </c>
      <c r="N1" s="33" t="s">
        <v>59</v>
      </c>
      <c r="O1" s="31" t="s">
        <v>64</v>
      </c>
      <c r="P1" s="31" t="s">
        <v>65</v>
      </c>
      <c r="Q1" s="34" t="s">
        <v>66</v>
      </c>
      <c r="R1" s="31" t="s">
        <v>67</v>
      </c>
      <c r="S1" s="28" t="s">
        <v>3</v>
      </c>
      <c r="T1" s="28" t="s">
        <v>68</v>
      </c>
      <c r="U1" s="28" t="s">
        <v>69</v>
      </c>
      <c r="V1" s="28" t="s">
        <v>70</v>
      </c>
      <c r="W1" s="31" t="s">
        <v>71</v>
      </c>
      <c r="X1" s="28" t="s">
        <v>72</v>
      </c>
      <c r="Y1" s="28" t="s">
        <v>8</v>
      </c>
    </row>
    <row r="2" spans="1:25" ht="21" customHeight="1" x14ac:dyDescent="0.15">
      <c r="A2" s="18" t="str">
        <f t="shared" ref="A2:A14" si="0">B2&amp;"_"&amp;C2&amp;"-"&amp;G2&amp;"/"&amp;M2&amp;"&lt;lv"&amp;S2&amp;"&gt;sq"&amp;K2&amp;"st"&amp;L2</f>
        <v>22_1-5/130&lt;lv45&gt;sq130st2</v>
      </c>
      <c r="B2" s="67">
        <v>22</v>
      </c>
      <c r="C2" s="65">
        <v>1</v>
      </c>
      <c r="D2" s="17" t="str">
        <f t="shared" ref="D2:D14" si="1">B2&amp;"_"&amp;C2</f>
        <v>22_1</v>
      </c>
      <c r="E2" s="4" t="str">
        <f ca="1">VLOOKUP($B2,OFFSET([1]quests!$A$1,0,0,COUNTA([1]quests!$A:$A),MATCH(E$1,[1]quests!$1:$1,0)-MATCH($B$1,[1]quests!$1:$1,0)+1),MATCH(E$1,[1]quests!$1:$1,0)-MATCH($B$1,[1]quests!$1:$1,0)+1,FALSE)</f>
        <v>22．紫炎の例大祭</v>
      </c>
      <c r="F2" s="4" t="str">
        <f ca="1">VLOOKUP($D2,OFFSET([1]stages!$A$1,0,0,COUNTA([1]stages!$A:$A),MATCH(F$1,[1]stages!$2:$2,0)-MATCH($D$1,[1]stages!$2:$2,0)+1),MATCH(F$1,[1]stages!$2:$2,0)-MATCH($D$1,[1]stages!$2:$2,0)+1,FALSE)</f>
        <v>22-1．開宴の遠吠え</v>
      </c>
      <c r="G2" s="65">
        <v>5</v>
      </c>
      <c r="H2" s="17" t="str">
        <f t="shared" ref="H2:H14" si="2">B2&amp;"_"&amp;C2&amp;"-"&amp;G2</f>
        <v>22_1-5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44">
        <v>130</v>
      </c>
      <c r="L2" s="44">
        <v>2</v>
      </c>
      <c r="M2" s="68">
        <v>130</v>
      </c>
      <c r="N2" s="21" t="str">
        <f ca="1">VLOOKUP($M2,OFFSET([2]enemies!$A$1,0,0,COUNTA([2]enemies!$A:$A),MATCH(N$1,[2]enemies!$1:$1,0)-MATCH($M$1,[2]enemies!$1:$1,0)+1),MATCH(N$1,[2]enemies!$1:$1,0)-MATCH($M$1,[2]enemies!$1:$1,0)+1,FALSE)</f>
        <v>狼男 ローレンス</v>
      </c>
      <c r="O2" s="23" t="str">
        <f ca="1">VLOOKUP($M2,OFFSET([2]enemies!$A$1,0,0,COUNTA([2]enemies!$A:$A),MATCH(O$1,[2]enemies!$1:$1,0)-MATCH($M$1,[2]enemies!$1:$1,0)+1),MATCH(O$1,[2]enemies!$1:$1,0)-MATCH($M$1,[2]enemies!$1:$1,0)+1,FALSE)</f>
        <v>blue</v>
      </c>
      <c r="P2" s="23" t="str">
        <f ca="1">VLOOKUP($M2,OFFSET([3]characters!$A$1,0,0,COUNTA([3]characters!$A:$A),MATCH(P$1,[3]characters!$1:$1,0)-MATCH($M$1,[3]characters!$1:$1,0)+1),MATCH(P$1,[3]characters!$1:$1,0)-MATCH($M$1,[3]characters!$1:$1,0)+1,FALSE)</f>
        <v>PremiumW</v>
      </c>
      <c r="Q2" s="22" t="str">
        <f ca="1">VLOOKUP($M2,OFFSET([3]characters!$A$1,0,0,COUNTA([3]characters!$A:$A),MATCH(Q$1,[3]characters!$1:$1,0)-MATCH($M$1,[3]characters!$1:$1,0)+2),MATCH(Q$1,[3]characters!$1:$1,0)-MATCH($M$1,[3]characters!$1:$1,0)+2,FALSE)</f>
        <v>アニマル</v>
      </c>
      <c r="R2" s="4">
        <f ca="1">VLOOKUP($M2,OFFSET([2]enemies!$A$1,0,0,COUNTA([2]enemies!$A:$A),MATCH(R$1,[2]enemies!$1:$1,0)-MATCH($M$1,[2]enemies!$1:$1,0)+1),MATCH(R$1,[2]enemies!$1:$1,0)-MATCH($M$1,[2]enemies!$1:$1,0)+1,FALSE)</f>
        <v>20</v>
      </c>
      <c r="S2" s="5">
        <v>45</v>
      </c>
      <c r="T2" s="27">
        <v>1.5</v>
      </c>
      <c r="U2" s="27">
        <v>1</v>
      </c>
      <c r="V2" s="5">
        <v>0</v>
      </c>
      <c r="W2" s="4" t="str">
        <f ca="1">VLOOKUP($X2,OFFSET([4]enemy_skill_sets!$B$1,0,0,COUNTA([4]enemy_skill_sets!$B:$B),MATCH(N$1,[4]enemy_skill_sets!$1:$1,0)-MATCH($X$1,[4]enemy_skill_sets!$1:$1,0)+2),MATCH(N$1,[4]enemy_skill_sets!$1:$1,0)-MATCH($X$1,[4]enemy_skill_sets!$1:$1,0)+2,FALSE)</f>
        <v>黄属性ユニットの攻撃を3ターンカウンター</v>
      </c>
      <c r="X2" s="64">
        <v>13001</v>
      </c>
      <c r="Y2" s="69">
        <v>3</v>
      </c>
    </row>
    <row r="3" spans="1:25" ht="21" customHeight="1" x14ac:dyDescent="0.15">
      <c r="A3" s="18" t="str">
        <f t="shared" si="0"/>
        <v>22_4-5/86&lt;lv45&gt;sq86st2</v>
      </c>
      <c r="B3" s="67">
        <v>22</v>
      </c>
      <c r="C3" s="65">
        <v>4</v>
      </c>
      <c r="D3" s="17" t="str">
        <f t="shared" si="1"/>
        <v>22_4</v>
      </c>
      <c r="E3" s="4" t="str">
        <f ca="1">VLOOKUP($B3,OFFSET([1]quests!$A$1,0,0,COUNTA([1]quests!$A:$A),MATCH(E$1,[1]quests!$1:$1,0)-MATCH($B$1,[1]quests!$1:$1,0)+1),MATCH(E$1,[1]quests!$1:$1,0)-MATCH($B$1,[1]quests!$1:$1,0)+1,FALSE)</f>
        <v>22．紫炎の例大祭</v>
      </c>
      <c r="F3" s="4" t="str">
        <f ca="1">VLOOKUP($D3,OFFSET([1]stages!$A$1,0,0,COUNTA([1]stages!$A:$A),MATCH(F$1,[1]stages!$2:$2,0)-MATCH($D$1,[1]stages!$2:$2,0)+1),MATCH(F$1,[1]stages!$2:$2,0)-MATCH($D$1,[1]stages!$2:$2,0)+1,FALSE)</f>
        <v>22-4．聖火の啼き声</v>
      </c>
      <c r="G3" s="65">
        <v>5</v>
      </c>
      <c r="H3" s="17" t="str">
        <f t="shared" si="2"/>
        <v>22_4-5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44">
        <v>86</v>
      </c>
      <c r="L3" s="44">
        <v>2</v>
      </c>
      <c r="M3" s="68">
        <v>86</v>
      </c>
      <c r="N3" s="21" t="str">
        <f ca="1">VLOOKUP($M3,OFFSET([2]enemies!$A$1,0,0,COUNTA([2]enemies!$A:$A),MATCH(N$1,[2]enemies!$1:$1,0)-MATCH($M$1,[2]enemies!$1:$1,0)+1),MATCH(N$1,[2]enemies!$1:$1,0)-MATCH($M$1,[2]enemies!$1:$1,0)+1,FALSE)</f>
        <v>守護者 朱雀</v>
      </c>
      <c r="O3" s="23" t="str">
        <f ca="1">VLOOKUP($M3,OFFSET([2]enemies!$A$1,0,0,COUNTA([2]enemies!$A:$A),MATCH(O$1,[2]enemies!$1:$1,0)-MATCH($M$1,[2]enemies!$1:$1,0)+1),MATCH(O$1,[2]enemies!$1:$1,0)-MATCH($M$1,[2]enemies!$1:$1,0)+1,FALSE)</f>
        <v>red</v>
      </c>
      <c r="P3" s="23" t="str">
        <f ca="1">VLOOKUP($M3,OFFSET([3]characters!$A$1,0,0,COUNTA([3]characters!$A:$A),MATCH(P$1,[3]characters!$1:$1,0)-MATCH($M$1,[3]characters!$1:$1,0)+1),MATCH(P$1,[3]characters!$1:$1,0)-MATCH($M$1,[3]characters!$1:$1,0)+1,FALSE)</f>
        <v>Drop2N</v>
      </c>
      <c r="Q3" s="22" t="str">
        <f ca="1">VLOOKUP($M3,OFFSET([3]characters!$A$1,0,0,COUNTA([3]characters!$A:$A),MATCH(Q$1,[3]characters!$1:$1,0)-MATCH($M$1,[3]characters!$1:$1,0)+2),MATCH(Q$1,[3]characters!$1:$1,0)-MATCH($M$1,[3]characters!$1:$1,0)+2,FALSE)</f>
        <v>アニマル</v>
      </c>
      <c r="R3" s="4">
        <f ca="1">VLOOKUP($M3,OFFSET([2]enemies!$A$1,0,0,COUNTA([2]enemies!$A:$A),MATCH(R$1,[2]enemies!$1:$1,0)-MATCH($M$1,[2]enemies!$1:$1,0)+1),MATCH(R$1,[2]enemies!$1:$1,0)-MATCH($M$1,[2]enemies!$1:$1,0)+1,FALSE)</f>
        <v>30</v>
      </c>
      <c r="S3" s="5">
        <v>45</v>
      </c>
      <c r="T3" s="27">
        <v>0.7</v>
      </c>
      <c r="U3" s="27">
        <v>2</v>
      </c>
      <c r="V3" s="5">
        <v>0</v>
      </c>
      <c r="W3" s="4" t="str">
        <f ca="1">VLOOKUP($X3,OFFSET([4]enemy_skill_sets!$B$1,0,0,COUNTA([4]enemy_skill_sets!$B:$B),MATCH(N$1,[4]enemy_skill_sets!$1:$1,0)-MATCH($X$1,[4]enemy_skill_sets!$1:$1,0)+2),MATCH(N$1,[4]enemy_skill_sets!$1:$1,0)-MATCH($X$1,[4]enemy_skill_sets!$1:$1,0)+2,FALSE)</f>
        <v>お邪魔パネル出現+2ターンの間ダメージを受ける</v>
      </c>
      <c r="X3" s="64">
        <v>8602</v>
      </c>
      <c r="Y3" s="69">
        <v>2</v>
      </c>
    </row>
    <row r="4" spans="1:25" ht="21" customHeight="1" x14ac:dyDescent="0.15">
      <c r="A4" s="18" t="str">
        <f t="shared" si="0"/>
        <v>22_5-5/131&lt;lv53&gt;sq131st2</v>
      </c>
      <c r="B4" s="67">
        <v>22</v>
      </c>
      <c r="C4" s="65">
        <v>5</v>
      </c>
      <c r="D4" s="17" t="str">
        <f t="shared" si="1"/>
        <v>22_5</v>
      </c>
      <c r="E4" s="4" t="str">
        <f ca="1">VLOOKUP($B4,OFFSET([1]quests!$A$1,0,0,COUNTA([1]quests!$A:$A),MATCH(E$1,[1]quests!$1:$1,0)-MATCH($B$1,[1]quests!$1:$1,0)+1),MATCH(E$1,[1]quests!$1:$1,0)-MATCH($B$1,[1]quests!$1:$1,0)+1,FALSE)</f>
        <v>22．紫炎の例大祭</v>
      </c>
      <c r="F4" s="4" t="str">
        <f ca="1">VLOOKUP($D4,OFFSET([1]stages!$A$1,0,0,COUNTA([1]stages!$A:$A),MATCH(F$1,[1]stages!$2:$2,0)-MATCH($D$1,[1]stages!$2:$2,0)+1),MATCH(F$1,[1]stages!$2:$2,0)-MATCH($D$1,[1]stages!$2:$2,0)+1,FALSE)</f>
        <v>22-5．真宴の月光</v>
      </c>
      <c r="G4" s="65">
        <v>5</v>
      </c>
      <c r="H4" s="17" t="str">
        <f t="shared" si="2"/>
        <v>22_5-5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44">
        <v>131</v>
      </c>
      <c r="L4" s="44">
        <v>2</v>
      </c>
      <c r="M4" s="68">
        <v>131</v>
      </c>
      <c r="N4" s="21" t="str">
        <f ca="1">VLOOKUP($M4,OFFSET([2]enemies!$A$1,0,0,COUNTA([2]enemies!$A:$A),MATCH(N$1,[2]enemies!$1:$1,0)-MATCH($M$1,[2]enemies!$1:$1,0)+1),MATCH(N$1,[2]enemies!$1:$1,0)-MATCH($M$1,[2]enemies!$1:$1,0)+1,FALSE)</f>
        <v>月下の人狼 ローレンス</v>
      </c>
      <c r="O4" s="23" t="str">
        <f ca="1">VLOOKUP($M4,OFFSET([2]enemies!$A$1,0,0,COUNTA([2]enemies!$A:$A),MATCH(O$1,[2]enemies!$1:$1,0)-MATCH($M$1,[2]enemies!$1:$1,0)+1),MATCH(O$1,[2]enemies!$1:$1,0)-MATCH($M$1,[2]enemies!$1:$1,0)+1,FALSE)</f>
        <v>blue</v>
      </c>
      <c r="P4" s="23" t="str">
        <f ca="1">VLOOKUP($M4,OFFSET([3]characters!$A$1,0,0,COUNTA([3]characters!$A:$A),MATCH(P$1,[3]characters!$1:$1,0)-MATCH($M$1,[3]characters!$1:$1,0)+1),MATCH(P$1,[3]characters!$1:$1,0)-MATCH($M$1,[3]characters!$1:$1,0)+1,FALSE)</f>
        <v>PremiumW</v>
      </c>
      <c r="Q4" s="22" t="str">
        <f ca="1">VLOOKUP($M4,OFFSET([3]characters!$A$1,0,0,COUNTA([3]characters!$A:$A),MATCH(Q$1,[3]characters!$1:$1,0)-MATCH($M$1,[3]characters!$1:$1,0)+2),MATCH(Q$1,[3]characters!$1:$1,0)-MATCH($M$1,[3]characters!$1:$1,0)+2,FALSE)</f>
        <v>アニマル</v>
      </c>
      <c r="R4" s="4">
        <f ca="1">VLOOKUP($M4,OFFSET([2]enemies!$A$1,0,0,COUNTA([2]enemies!$A:$A),MATCH(R$1,[2]enemies!$1:$1,0)-MATCH($M$1,[2]enemies!$1:$1,0)+1),MATCH(R$1,[2]enemies!$1:$1,0)-MATCH($M$1,[2]enemies!$1:$1,0)+1,FALSE)</f>
        <v>30</v>
      </c>
      <c r="S4" s="5">
        <v>53</v>
      </c>
      <c r="T4" s="27">
        <v>1.2</v>
      </c>
      <c r="U4" s="27">
        <v>0.7</v>
      </c>
      <c r="V4" s="5">
        <v>0</v>
      </c>
      <c r="W4" s="4" t="str">
        <f ca="1">VLOOKUP($X4,OFFSET([4]enemy_skill_sets!$B$1,0,0,COUNTA([4]enemy_skill_sets!$B:$B),MATCH(N$1,[4]enemy_skill_sets!$1:$1,0)-MATCH($X$1,[4]enemy_skill_sets!$1:$1,0)+2),MATCH(N$1,[4]enemy_skill_sets!$1:$1,0)-MATCH($X$1,[4]enemy_skill_sets!$1:$1,0)+2,FALSE)</f>
        <v>3ターン攻撃頻度が1ターンにUP</v>
      </c>
      <c r="X4" s="64">
        <v>13002</v>
      </c>
      <c r="Y4" s="69">
        <v>2</v>
      </c>
    </row>
    <row r="5" spans="1:25" ht="21" customHeight="1" x14ac:dyDescent="0.15">
      <c r="A5" s="18" t="str">
        <f t="shared" si="0"/>
        <v>23_3-5/89&lt;lv49&gt;sq89st2</v>
      </c>
      <c r="B5" s="67">
        <v>23</v>
      </c>
      <c r="C5" s="65">
        <v>3</v>
      </c>
      <c r="D5" s="17" t="str">
        <f t="shared" si="1"/>
        <v>23_3</v>
      </c>
      <c r="E5" s="4" t="str">
        <f ca="1">VLOOKUP($B5,OFFSET([1]quests!$A$1,0,0,COUNTA([1]quests!$A:$A),MATCH(E$1,[1]quests!$1:$1,0)-MATCH($B$1,[1]quests!$1:$1,0)+1),MATCH(E$1,[1]quests!$1:$1,0)-MATCH($B$1,[1]quests!$1:$1,0)+1,FALSE)</f>
        <v>23．ファングフォレスト</v>
      </c>
      <c r="F5" s="4" t="str">
        <f ca="1">VLOOKUP($D5,OFFSET([1]stages!$A$1,0,0,COUNTA([1]stages!$A:$A),MATCH(F$1,[1]stages!$2:$2,0)-MATCH($D$1,[1]stages!$2:$2,0)+1),MATCH(F$1,[1]stages!$2:$2,0)-MATCH($D$1,[1]stages!$2:$2,0)+1,FALSE)</f>
        <v>23-3．震える大地</v>
      </c>
      <c r="G5" s="65">
        <v>5</v>
      </c>
      <c r="H5" s="17" t="str">
        <f t="shared" si="2"/>
        <v>23_3-5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44">
        <v>89</v>
      </c>
      <c r="L5" s="44">
        <v>2</v>
      </c>
      <c r="M5" s="68">
        <v>89</v>
      </c>
      <c r="N5" s="21" t="str">
        <f ca="1">VLOOKUP($M5,OFFSET([2]enemies!$A$1,0,0,COUNTA([2]enemies!$A:$A),MATCH(N$1,[2]enemies!$1:$1,0)-MATCH($M$1,[2]enemies!$1:$1,0)+1),MATCH(N$1,[2]enemies!$1:$1,0)-MATCH($M$1,[2]enemies!$1:$1,0)+1,FALSE)</f>
        <v>守護者 玄武</v>
      </c>
      <c r="O5" s="23" t="str">
        <f ca="1">VLOOKUP($M5,OFFSET([2]enemies!$A$1,0,0,COUNTA([2]enemies!$A:$A),MATCH(O$1,[2]enemies!$1:$1,0)-MATCH($M$1,[2]enemies!$1:$1,0)+1),MATCH(O$1,[2]enemies!$1:$1,0)-MATCH($M$1,[2]enemies!$1:$1,0)+1,FALSE)</f>
        <v>green</v>
      </c>
      <c r="P5" s="23" t="str">
        <f ca="1">VLOOKUP($M5,OFFSET([3]characters!$A$1,0,0,COUNTA([3]characters!$A:$A),MATCH(P$1,[3]characters!$1:$1,0)-MATCH($M$1,[3]characters!$1:$1,0)+1),MATCH(P$1,[3]characters!$1:$1,0)-MATCH($M$1,[3]characters!$1:$1,0)+1,FALSE)</f>
        <v>Drop2N</v>
      </c>
      <c r="Q5" s="22" t="str">
        <f ca="1">VLOOKUP($M5,OFFSET([3]characters!$A$1,0,0,COUNTA([3]characters!$A:$A),MATCH(Q$1,[3]characters!$1:$1,0)-MATCH($M$1,[3]characters!$1:$1,0)+2),MATCH(Q$1,[3]characters!$1:$1,0)-MATCH($M$1,[3]characters!$1:$1,0)+2,FALSE)</f>
        <v>ドラゴン</v>
      </c>
      <c r="R5" s="4">
        <f ca="1">VLOOKUP($M5,OFFSET([2]enemies!$A$1,0,0,COUNTA([2]enemies!$A:$A),MATCH(R$1,[2]enemies!$1:$1,0)-MATCH($M$1,[2]enemies!$1:$1,0)+1),MATCH(R$1,[2]enemies!$1:$1,0)-MATCH($M$1,[2]enemies!$1:$1,0)+1,FALSE)</f>
        <v>30</v>
      </c>
      <c r="S5" s="5">
        <v>49</v>
      </c>
      <c r="T5" s="27">
        <v>1.2</v>
      </c>
      <c r="U5" s="27">
        <v>1.7</v>
      </c>
      <c r="V5" s="5">
        <v>0</v>
      </c>
      <c r="W5" s="4" t="str">
        <f ca="1">VLOOKUP($X5,OFFSET([4]enemy_skill_sets!$B$1,0,0,COUNTA([4]enemy_skill_sets!$B:$B),MATCH(N$1,[4]enemy_skill_sets!$1:$1,0)-MATCH($X$1,[4]enemy_skill_sets!$1:$1,0)+2),MATCH(N$1,[4]enemy_skill_sets!$1:$1,0)-MATCH($X$1,[4]enemy_skill_sets!$1:$1,0)+2,FALSE)</f>
        <v>1ターンの間防御力超絶UP＋攻撃</v>
      </c>
      <c r="X5" s="64">
        <v>8902</v>
      </c>
      <c r="Y5" s="69">
        <v>2</v>
      </c>
    </row>
    <row r="6" spans="1:25" ht="21" customHeight="1" x14ac:dyDescent="0.15">
      <c r="A6" s="18" t="str">
        <f t="shared" si="0"/>
        <v>23_5-5/43&lt;lv53&gt;sq4301st2</v>
      </c>
      <c r="B6" s="67">
        <v>23</v>
      </c>
      <c r="C6" s="65">
        <v>5</v>
      </c>
      <c r="D6" s="17" t="str">
        <f t="shared" si="1"/>
        <v>23_5</v>
      </c>
      <c r="E6" s="4" t="str">
        <f ca="1">VLOOKUP($B6,OFFSET([1]quests!$A$1,0,0,COUNTA([1]quests!$A:$A),MATCH(E$1,[1]quests!$1:$1,0)-MATCH($B$1,[1]quests!$1:$1,0)+1),MATCH(E$1,[1]quests!$1:$1,0)-MATCH($B$1,[1]quests!$1:$1,0)+1,FALSE)</f>
        <v>23．ファングフォレスト</v>
      </c>
      <c r="F6" s="4" t="str">
        <f ca="1">VLOOKUP($D6,OFFSET([1]stages!$A$1,0,0,COUNTA([1]stages!$A:$A),MATCH(F$1,[1]stages!$2:$2,0)-MATCH($D$1,[1]stages!$2:$2,0)+1),MATCH(F$1,[1]stages!$2:$2,0)-MATCH($D$1,[1]stages!$2:$2,0)+1,FALSE)</f>
        <v>23-5．目醒めの子どもたち</v>
      </c>
      <c r="G6" s="65">
        <v>5</v>
      </c>
      <c r="H6" s="17" t="str">
        <f t="shared" si="2"/>
        <v>23_5-5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44">
        <v>4301</v>
      </c>
      <c r="L6" s="44">
        <v>2</v>
      </c>
      <c r="M6" s="68">
        <v>43</v>
      </c>
      <c r="N6" s="21" t="str">
        <f ca="1">VLOOKUP($M6,OFFSET([2]enemies!$A$1,0,0,COUNTA([2]enemies!$A:$A),MATCH(N$1,[2]enemies!$1:$1,0)-MATCH($M$1,[2]enemies!$1:$1,0)+1),MATCH(N$1,[2]enemies!$1:$1,0)-MATCH($M$1,[2]enemies!$1:$1,0)+1,FALSE)</f>
        <v>ムゥ</v>
      </c>
      <c r="O6" s="23" t="str">
        <f ca="1">VLOOKUP($M6,OFFSET([2]enemies!$A$1,0,0,COUNTA([2]enemies!$A:$A),MATCH(O$1,[2]enemies!$1:$1,0)-MATCH($M$1,[2]enemies!$1:$1,0)+1),MATCH(O$1,[2]enemies!$1:$1,0)-MATCH($M$1,[2]enemies!$1:$1,0)+1,FALSE)</f>
        <v>green</v>
      </c>
      <c r="P6" s="23" t="str">
        <f ca="1">VLOOKUP($M6,OFFSET([3]characters!$A$1,0,0,COUNTA([3]characters!$A:$A),MATCH(P$1,[3]characters!$1:$1,0)-MATCH($M$1,[3]characters!$1:$1,0)+1),MATCH(P$1,[3]characters!$1:$1,0)-MATCH($M$1,[3]characters!$1:$1,0)+1,FALSE)</f>
        <v>Drop1N</v>
      </c>
      <c r="Q6" s="22" t="str">
        <f ca="1">VLOOKUP($M6,OFFSET([3]characters!$A$1,0,0,COUNTA([3]characters!$A:$A),MATCH(Q$1,[3]characters!$1:$1,0)-MATCH($M$1,[3]characters!$1:$1,0)+2),MATCH(Q$1,[3]characters!$1:$1,0)-MATCH($M$1,[3]characters!$1:$1,0)+2,FALSE)</f>
        <v>ドラゴン</v>
      </c>
      <c r="R6" s="4">
        <f ca="1">VLOOKUP($M6,OFFSET([2]enemies!$A$1,0,0,COUNTA([2]enemies!$A:$A),MATCH(R$1,[2]enemies!$1:$1,0)-MATCH($M$1,[2]enemies!$1:$1,0)+1),MATCH(R$1,[2]enemies!$1:$1,0)-MATCH($M$1,[2]enemies!$1:$1,0)+1,FALSE)</f>
        <v>15</v>
      </c>
      <c r="S6" s="5">
        <v>53</v>
      </c>
      <c r="T6" s="27">
        <v>1</v>
      </c>
      <c r="U6" s="27">
        <v>1</v>
      </c>
      <c r="V6" s="5">
        <v>0</v>
      </c>
      <c r="W6" s="4" t="str">
        <f ca="1">VLOOKUP($X6,OFFSET([4]enemy_skill_sets!$B$1,0,0,COUNTA([4]enemy_skill_sets!$B:$B),MATCH(N$1,[4]enemy_skill_sets!$1:$1,0)-MATCH($X$1,[4]enemy_skill_sets!$1:$1,0)+2),MATCH(N$1,[4]enemy_skill_sets!$1:$1,0)-MATCH($X$1,[4]enemy_skill_sets!$1:$1,0)+2,FALSE)</f>
        <v>解除するまで攻撃力UP</v>
      </c>
      <c r="X6" s="64">
        <v>4401</v>
      </c>
      <c r="Y6" s="69">
        <v>2</v>
      </c>
    </row>
    <row r="7" spans="1:25" ht="21" customHeight="1" x14ac:dyDescent="0.15">
      <c r="A7" s="18" t="str">
        <f t="shared" si="0"/>
        <v>23_5-5/43&lt;lv52&gt;sq4302st2</v>
      </c>
      <c r="B7" s="67">
        <v>23</v>
      </c>
      <c r="C7" s="65">
        <v>5</v>
      </c>
      <c r="D7" s="17" t="str">
        <f t="shared" si="1"/>
        <v>23_5</v>
      </c>
      <c r="E7" s="4" t="str">
        <f ca="1">VLOOKUP($B7,OFFSET([1]quests!$A$1,0,0,COUNTA([1]quests!$A:$A),MATCH(E$1,[1]quests!$1:$1,0)-MATCH($B$1,[1]quests!$1:$1,0)+1),MATCH(E$1,[1]quests!$1:$1,0)-MATCH($B$1,[1]quests!$1:$1,0)+1,FALSE)</f>
        <v>23．ファングフォレスト</v>
      </c>
      <c r="F7" s="4" t="str">
        <f ca="1">VLOOKUP($D7,OFFSET([1]stages!$A$1,0,0,COUNTA([1]stages!$A:$A),MATCH(F$1,[1]stages!$2:$2,0)-MATCH($D$1,[1]stages!$2:$2,0)+1),MATCH(F$1,[1]stages!$2:$2,0)-MATCH($D$1,[1]stages!$2:$2,0)+1,FALSE)</f>
        <v>23-5．目醒めの子どもたち</v>
      </c>
      <c r="G7" s="65">
        <v>5</v>
      </c>
      <c r="H7" s="17" t="str">
        <f t="shared" si="2"/>
        <v>23_5-5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44">
        <v>4302</v>
      </c>
      <c r="L7" s="44">
        <v>2</v>
      </c>
      <c r="M7" s="68">
        <v>43</v>
      </c>
      <c r="N7" s="21" t="str">
        <f ca="1">VLOOKUP($M7,OFFSET([2]enemies!$A$1,0,0,COUNTA([2]enemies!$A:$A),MATCH(N$1,[2]enemies!$1:$1,0)-MATCH($M$1,[2]enemies!$1:$1,0)+1),MATCH(N$1,[2]enemies!$1:$1,0)-MATCH($M$1,[2]enemies!$1:$1,0)+1,FALSE)</f>
        <v>ムゥ</v>
      </c>
      <c r="O7" s="23" t="str">
        <f ca="1">VLOOKUP($M7,OFFSET([2]enemies!$A$1,0,0,COUNTA([2]enemies!$A:$A),MATCH(O$1,[2]enemies!$1:$1,0)-MATCH($M$1,[2]enemies!$1:$1,0)+1),MATCH(O$1,[2]enemies!$1:$1,0)-MATCH($M$1,[2]enemies!$1:$1,0)+1,FALSE)</f>
        <v>green</v>
      </c>
      <c r="P7" s="23" t="str">
        <f ca="1">VLOOKUP($M7,OFFSET([3]characters!$A$1,0,0,COUNTA([3]characters!$A:$A),MATCH(P$1,[3]characters!$1:$1,0)-MATCH($M$1,[3]characters!$1:$1,0)+1),MATCH(P$1,[3]characters!$1:$1,0)-MATCH($M$1,[3]characters!$1:$1,0)+1,FALSE)</f>
        <v>Drop1N</v>
      </c>
      <c r="Q7" s="22" t="str">
        <f ca="1">VLOOKUP($M7,OFFSET([3]characters!$A$1,0,0,COUNTA([3]characters!$A:$A),MATCH(Q$1,[3]characters!$1:$1,0)-MATCH($M$1,[3]characters!$1:$1,0)+2),MATCH(Q$1,[3]characters!$1:$1,0)-MATCH($M$1,[3]characters!$1:$1,0)+2,FALSE)</f>
        <v>ドラゴン</v>
      </c>
      <c r="R7" s="4">
        <f ca="1">VLOOKUP($M7,OFFSET([2]enemies!$A$1,0,0,COUNTA([2]enemies!$A:$A),MATCH(R$1,[2]enemies!$1:$1,0)-MATCH($M$1,[2]enemies!$1:$1,0)+1),MATCH(R$1,[2]enemies!$1:$1,0)-MATCH($M$1,[2]enemies!$1:$1,0)+1,FALSE)</f>
        <v>15</v>
      </c>
      <c r="S7" s="5">
        <v>52</v>
      </c>
      <c r="T7" s="27">
        <v>1</v>
      </c>
      <c r="U7" s="27">
        <v>1</v>
      </c>
      <c r="V7" s="5">
        <v>0</v>
      </c>
      <c r="W7" s="4" t="str">
        <f ca="1">VLOOKUP($X7,OFFSET([4]enemy_skill_sets!$B$1,0,0,COUNTA([4]enemy_skill_sets!$B:$B),MATCH(N$1,[4]enemy_skill_sets!$1:$1,0)-MATCH($X$1,[4]enemy_skill_sets!$1:$1,0)+2),MATCH(N$1,[4]enemy_skill_sets!$1:$1,0)-MATCH($X$1,[4]enemy_skill_sets!$1:$1,0)+2,FALSE)</f>
        <v>この戦闘の間攻撃頻度が1ターンにUP</v>
      </c>
      <c r="X7" s="64">
        <v>4402</v>
      </c>
      <c r="Y7" s="69">
        <v>2</v>
      </c>
    </row>
    <row r="8" spans="1:25" ht="21" customHeight="1" x14ac:dyDescent="0.15">
      <c r="A8" s="18" t="str">
        <f t="shared" si="0"/>
        <v>24_3-5/242&lt;lv53&gt;sq242st2</v>
      </c>
      <c r="B8" s="67">
        <v>24</v>
      </c>
      <c r="C8" s="65">
        <v>3</v>
      </c>
      <c r="D8" s="17" t="str">
        <f t="shared" si="1"/>
        <v>24_3</v>
      </c>
      <c r="E8" s="4" t="str">
        <f ca="1">VLOOKUP($B8,OFFSET([1]quests!$A$1,0,0,COUNTA([1]quests!$A:$A),MATCH(E$1,[1]quests!$1:$1,0)-MATCH($B$1,[1]quests!$1:$1,0)+1),MATCH(E$1,[1]quests!$1:$1,0)-MATCH($B$1,[1]quests!$1:$1,0)+1,FALSE)</f>
        <v>24．バトルフィールドヘヴン</v>
      </c>
      <c r="F8" s="4" t="str">
        <f ca="1">VLOOKUP($D8,OFFSET([1]stages!$A$1,0,0,COUNTA([1]stages!$A:$A),MATCH(F$1,[1]stages!$2:$2,0)-MATCH($D$1,[1]stages!$2:$2,0)+1),MATCH(F$1,[1]stages!$2:$2,0)-MATCH($D$1,[1]stages!$2:$2,0)+1,FALSE)</f>
        <v>24-3．武器を花に変えて</v>
      </c>
      <c r="G8" s="65">
        <v>5</v>
      </c>
      <c r="H8" s="17" t="str">
        <f t="shared" si="2"/>
        <v>24_3-5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44">
        <v>242</v>
      </c>
      <c r="L8" s="44">
        <v>2</v>
      </c>
      <c r="M8" s="68">
        <v>242</v>
      </c>
      <c r="N8" s="21" t="str">
        <f ca="1">VLOOKUP($M8,OFFSET([2]enemies!$A$1,0,0,COUNTA([2]enemies!$A:$A),MATCH(N$1,[2]enemies!$1:$1,0)-MATCH($M$1,[2]enemies!$1:$1,0)+1),MATCH(N$1,[2]enemies!$1:$1,0)-MATCH($M$1,[2]enemies!$1:$1,0)+1,FALSE)</f>
        <v>百花の天使 ガブリエル</v>
      </c>
      <c r="O8" s="23" t="str">
        <f ca="1">VLOOKUP($M8,OFFSET([2]enemies!$A$1,0,0,COUNTA([2]enemies!$A:$A),MATCH(O$1,[2]enemies!$1:$1,0)-MATCH($M$1,[2]enemies!$1:$1,0)+1),MATCH(O$1,[2]enemies!$1:$1,0)-MATCH($M$1,[2]enemies!$1:$1,0)+1,FALSE)</f>
        <v>green</v>
      </c>
      <c r="P8" s="23" t="str">
        <f ca="1">VLOOKUP($M8,OFFSET([3]characters!$A$1,0,0,COUNTA([3]characters!$A:$A),MATCH(P$1,[3]characters!$1:$1,0)-MATCH($M$1,[3]characters!$1:$1,0)+1),MATCH(P$1,[3]characters!$1:$1,0)-MATCH($M$1,[3]characters!$1:$1,0)+1,FALSE)</f>
        <v>PremiumS</v>
      </c>
      <c r="Q8" s="22" t="str">
        <f ca="1">VLOOKUP($M8,OFFSET([3]characters!$A$1,0,0,COUNTA([3]characters!$A:$A),MATCH(Q$1,[3]characters!$1:$1,0)-MATCH($M$1,[3]characters!$1:$1,0)+2),MATCH(Q$1,[3]characters!$1:$1,0)-MATCH($M$1,[3]characters!$1:$1,0)+2,FALSE)</f>
        <v>マシン</v>
      </c>
      <c r="R8" s="4">
        <f ca="1">VLOOKUP($M8,OFFSET([2]enemies!$A$1,0,0,COUNTA([2]enemies!$A:$A),MATCH(R$1,[2]enemies!$1:$1,0)-MATCH($M$1,[2]enemies!$1:$1,0)+1),MATCH(R$1,[2]enemies!$1:$1,0)-MATCH($M$1,[2]enemies!$1:$1,0)+1,FALSE)</f>
        <v>30</v>
      </c>
      <c r="S8" s="5">
        <v>53</v>
      </c>
      <c r="T8" s="27">
        <v>1</v>
      </c>
      <c r="U8" s="27">
        <v>1</v>
      </c>
      <c r="V8" s="5">
        <v>0</v>
      </c>
      <c r="W8" s="4" t="str">
        <f ca="1">VLOOKUP($X8,OFFSET([4]enemy_skill_sets!$B$1,0,0,COUNTA([4]enemy_skill_sets!$B:$B),MATCH(N$1,[4]enemy_skill_sets!$1:$1,0)-MATCH($X$1,[4]enemy_skill_sets!$1:$1,0)+2),MATCH(N$1,[4]enemy_skill_sets!$1:$1,0)-MATCH($X$1,[4]enemy_skill_sets!$1:$1,0)+2,FALSE)</f>
        <v>状態異常が効かなくなった！</v>
      </c>
      <c r="X8" s="64">
        <v>24202</v>
      </c>
      <c r="Y8" s="69">
        <v>2</v>
      </c>
    </row>
    <row r="9" spans="1:25" ht="21" customHeight="1" x14ac:dyDescent="0.15">
      <c r="A9" s="18" t="str">
        <f t="shared" ref="A9" si="3">B9&amp;"_"&amp;C9&amp;"-"&amp;G9&amp;"/"&amp;M9&amp;"&lt;lv"&amp;S9&amp;"&gt;sq"&amp;K9&amp;"st"&amp;L9</f>
        <v>24_4-5/28&lt;lv55&gt;sq28st2</v>
      </c>
      <c r="B9" s="67">
        <v>24</v>
      </c>
      <c r="C9" s="65">
        <v>4</v>
      </c>
      <c r="D9" s="17" t="str">
        <f t="shared" ref="D9" si="4">B9&amp;"_"&amp;C9</f>
        <v>24_4</v>
      </c>
      <c r="E9" s="4" t="str">
        <f ca="1">VLOOKUP($B9,OFFSET([1]quests!$A$1,0,0,COUNTA([1]quests!$A:$A),MATCH(E$1,[1]quests!$1:$1,0)-MATCH($B$1,[1]quests!$1:$1,0)+1),MATCH(E$1,[1]quests!$1:$1,0)-MATCH($B$1,[1]quests!$1:$1,0)+1,FALSE)</f>
        <v>24．バトルフィールドヘヴン</v>
      </c>
      <c r="F9" s="4" t="str">
        <f ca="1">VLOOKUP($D9,OFFSET([1]stages!$A$1,0,0,COUNTA([1]stages!$A:$A),MATCH(F$1,[1]stages!$2:$2,0)-MATCH($D$1,[1]stages!$2:$2,0)+1),MATCH(F$1,[1]stages!$2:$2,0)-MATCH($D$1,[1]stages!$2:$2,0)+1,FALSE)</f>
        <v>24-4．肉弾の虎将</v>
      </c>
      <c r="G9" s="65">
        <v>5</v>
      </c>
      <c r="H9" s="17" t="str">
        <f t="shared" ref="H9" si="5">B9&amp;"_"&amp;C9&amp;"-"&amp;G9</f>
        <v>24_4-5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44">
        <v>28</v>
      </c>
      <c r="L9" s="44">
        <v>2</v>
      </c>
      <c r="M9" s="68">
        <v>28</v>
      </c>
      <c r="N9" s="21" t="str">
        <f ca="1">VLOOKUP($M9,OFFSET([2]enemies!$A$1,0,0,COUNTA([2]enemies!$A:$A),MATCH(N$1,[2]enemies!$1:$1,0)-MATCH($M$1,[2]enemies!$1:$1,0)+1),MATCH(N$1,[2]enemies!$1:$1,0)-MATCH($M$1,[2]enemies!$1:$1,0)+1,FALSE)</f>
        <v>現場急行 パトラインカスタム</v>
      </c>
      <c r="O9" s="23" t="str">
        <f ca="1">VLOOKUP($M9,OFFSET([2]enemies!$A$1,0,0,COUNTA([2]enemies!$A:$A),MATCH(O$1,[2]enemies!$1:$1,0)-MATCH($M$1,[2]enemies!$1:$1,0)+1),MATCH(O$1,[2]enemies!$1:$1,0)-MATCH($M$1,[2]enemies!$1:$1,0)+1,FALSE)</f>
        <v>green</v>
      </c>
      <c r="P9" s="23" t="str">
        <f ca="1">VLOOKUP($M9,OFFSET([3]characters!$A$1,0,0,COUNTA([3]characters!$A:$A),MATCH(P$1,[3]characters!$1:$1,0)-MATCH($M$1,[3]characters!$1:$1,0)+1),MATCH(P$1,[3]characters!$1:$1,0)-MATCH($M$1,[3]characters!$1:$1,0)+1,FALSE)</f>
        <v>Drop1N</v>
      </c>
      <c r="Q9" s="22" t="str">
        <f ca="1">VLOOKUP($M9,OFFSET([3]characters!$A$1,0,0,COUNTA([3]characters!$A:$A),MATCH(Q$1,[3]characters!$1:$1,0)-MATCH($M$1,[3]characters!$1:$1,0)+2),MATCH(Q$1,[3]characters!$1:$1,0)-MATCH($M$1,[3]characters!$1:$1,0)+2,FALSE)</f>
        <v>マシン</v>
      </c>
      <c r="R9" s="4">
        <f ca="1">VLOOKUP($M9,OFFSET([2]enemies!$A$1,0,0,COUNTA([2]enemies!$A:$A),MATCH(R$1,[2]enemies!$1:$1,0)-MATCH($M$1,[2]enemies!$1:$1,0)+1),MATCH(R$1,[2]enemies!$1:$1,0)-MATCH($M$1,[2]enemies!$1:$1,0)+1,FALSE)</f>
        <v>15</v>
      </c>
      <c r="S9" s="5">
        <v>55</v>
      </c>
      <c r="T9" s="27">
        <v>1.3</v>
      </c>
      <c r="U9" s="27">
        <v>1</v>
      </c>
      <c r="V9" s="5">
        <v>0</v>
      </c>
      <c r="W9" s="4" t="str">
        <f ca="1">VLOOKUP($X9,OFFSET([4]enemy_skill_sets!$B$1,0,0,COUNTA([4]enemy_skill_sets!$B:$B),MATCH(N$1,[4]enemy_skill_sets!$1:$1,0)-MATCH($X$1,[4]enemy_skill_sets!$1:$1,0)+2),MATCH(N$1,[4]enemy_skill_sets!$1:$1,0)-MATCH($X$1,[4]enemy_skill_sets!$1:$1,0)+2,FALSE)</f>
        <v>回復</v>
      </c>
      <c r="X9" s="64">
        <v>28</v>
      </c>
      <c r="Y9" s="69">
        <v>1</v>
      </c>
    </row>
    <row r="10" spans="1:25" ht="21" customHeight="1" x14ac:dyDescent="0.15">
      <c r="A10" s="18" t="str">
        <f t="shared" ref="A10" si="6">B10&amp;"_"&amp;C10&amp;"-"&amp;G10&amp;"/"&amp;M10&amp;"&lt;lv"&amp;S10&amp;"&gt;sq"&amp;K10&amp;"st"&amp;L10</f>
        <v>24_5-5/248&lt;lv55&gt;sq248st2</v>
      </c>
      <c r="B10" s="67">
        <v>24</v>
      </c>
      <c r="C10" s="65">
        <v>5</v>
      </c>
      <c r="D10" s="17" t="str">
        <f t="shared" ref="D10" si="7">B10&amp;"_"&amp;C10</f>
        <v>24_5</v>
      </c>
      <c r="E10" s="4" t="str">
        <f ca="1">VLOOKUP($B10,OFFSET([1]quests!$A$1,0,0,COUNTA([1]quests!$A:$A),MATCH(E$1,[1]quests!$1:$1,0)-MATCH($B$1,[1]quests!$1:$1,0)+1),MATCH(E$1,[1]quests!$1:$1,0)-MATCH($B$1,[1]quests!$1:$1,0)+1,FALSE)</f>
        <v>24．バトルフィールドヘヴン</v>
      </c>
      <c r="F10" s="4" t="str">
        <f ca="1">VLOOKUP($D10,OFFSET([1]stages!$A$1,0,0,COUNTA([1]stages!$A:$A),MATCH(F$1,[1]stages!$2:$2,0)-MATCH($D$1,[1]stages!$2:$2,0)+1),MATCH(F$1,[1]stages!$2:$2,0)-MATCH($D$1,[1]stages!$2:$2,0)+1,FALSE)</f>
        <v>24-5．決戦のヘヴン</v>
      </c>
      <c r="G10" s="65">
        <v>5</v>
      </c>
      <c r="H10" s="17" t="str">
        <f t="shared" ref="H10" si="8">B10&amp;"_"&amp;C10&amp;"-"&amp;G10</f>
        <v>24_5-5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44">
        <v>248</v>
      </c>
      <c r="L10" s="44">
        <v>2</v>
      </c>
      <c r="M10" s="68">
        <v>248</v>
      </c>
      <c r="N10" s="21" t="str">
        <f ca="1">VLOOKUP($M10,OFFSET([2]enemies!$A$1,0,0,COUNTA([2]enemies!$A:$A),MATCH(N$1,[2]enemies!$1:$1,0)-MATCH($M$1,[2]enemies!$1:$1,0)+1),MATCH(N$1,[2]enemies!$1:$1,0)-MATCH($M$1,[2]enemies!$1:$1,0)+1,FALSE)</f>
        <v>彩電の天使 ミカエル</v>
      </c>
      <c r="O10" s="23" t="str">
        <f ca="1">VLOOKUP($M10,OFFSET([2]enemies!$A$1,0,0,COUNTA([2]enemies!$A:$A),MATCH(O$1,[2]enemies!$1:$1,0)-MATCH($M$1,[2]enemies!$1:$1,0)+1),MATCH(O$1,[2]enemies!$1:$1,0)-MATCH($M$1,[2]enemies!$1:$1,0)+1,FALSE)</f>
        <v>yellow</v>
      </c>
      <c r="P10" s="23" t="str">
        <f ca="1">VLOOKUP($M10,OFFSET([3]characters!$A$1,0,0,COUNTA([3]characters!$A:$A),MATCH(P$1,[3]characters!$1:$1,0)-MATCH($M$1,[3]characters!$1:$1,0)+1),MATCH(P$1,[3]characters!$1:$1,0)-MATCH($M$1,[3]characters!$1:$1,0)+1,FALSE)</f>
        <v>PremiumS</v>
      </c>
      <c r="Q10" s="22" t="str">
        <f ca="1">VLOOKUP($M10,OFFSET([3]characters!$A$1,0,0,COUNTA([3]characters!$A:$A),MATCH(Q$1,[3]characters!$1:$1,0)-MATCH($M$1,[3]characters!$1:$1,0)+2),MATCH(Q$1,[3]characters!$1:$1,0)-MATCH($M$1,[3]characters!$1:$1,0)+2,FALSE)</f>
        <v>マシン</v>
      </c>
      <c r="R10" s="4">
        <f ca="1">VLOOKUP($M10,OFFSET([2]enemies!$A$1,0,0,COUNTA([2]enemies!$A:$A),MATCH(R$1,[2]enemies!$1:$1,0)-MATCH($M$1,[2]enemies!$1:$1,0)+1),MATCH(R$1,[2]enemies!$1:$1,0)-MATCH($M$1,[2]enemies!$1:$1,0)+1,FALSE)</f>
        <v>30</v>
      </c>
      <c r="S10" s="5">
        <v>55</v>
      </c>
      <c r="T10" s="27">
        <v>1.3</v>
      </c>
      <c r="U10" s="27">
        <v>1.2</v>
      </c>
      <c r="V10" s="5">
        <v>0</v>
      </c>
      <c r="W10" s="4" t="str">
        <f ca="1">VLOOKUP($X10,OFFSET([4]enemy_skill_sets!$B$1,0,0,COUNTA([4]enemy_skill_sets!$B:$B),MATCH(N$1,[4]enemy_skill_sets!$1:$1,0)-MATCH($X$1,[4]enemy_skill_sets!$1:$1,0)+2),MATCH(N$1,[4]enemy_skill_sets!$1:$1,0)-MATCH($X$1,[4]enemy_skill_sets!$1:$1,0)+2,FALSE)</f>
        <v>3ターン緑パネルとスキルが使えない！</v>
      </c>
      <c r="X10" s="64">
        <v>24802</v>
      </c>
      <c r="Y10" s="69">
        <v>2</v>
      </c>
    </row>
    <row r="11" spans="1:25" ht="21" customHeight="1" x14ac:dyDescent="0.15">
      <c r="A11" s="18" t="str">
        <f t="shared" si="0"/>
        <v>25_3-5/165&lt;lv55&gt;sq165st2</v>
      </c>
      <c r="B11" s="67">
        <v>25</v>
      </c>
      <c r="C11" s="65">
        <v>3</v>
      </c>
      <c r="D11" s="17" t="str">
        <f t="shared" si="1"/>
        <v>25_3</v>
      </c>
      <c r="E11" s="4" t="str">
        <f ca="1">VLOOKUP($B11,OFFSET([1]quests!$A$1,0,0,COUNTA([1]quests!$A:$A),MATCH(E$1,[1]quests!$1:$1,0)-MATCH($B$1,[1]quests!$1:$1,0)+1),MATCH(E$1,[1]quests!$1:$1,0)-MATCH($B$1,[1]quests!$1:$1,0)+1,FALSE)</f>
        <v>25．サディスティックパーティ</v>
      </c>
      <c r="F11" s="4" t="str">
        <f ca="1">VLOOKUP($D11,OFFSET([1]stages!$A$1,0,0,COUNTA([1]stages!$A:$A),MATCH(F$1,[1]stages!$2:$2,0)-MATCH($D$1,[1]stages!$2:$2,0)+1),MATCH(F$1,[1]stages!$2:$2,0)-MATCH($D$1,[1]stages!$2:$2,0)+1,FALSE)</f>
        <v>25-3．暗闇との対話</v>
      </c>
      <c r="G11" s="65">
        <v>5</v>
      </c>
      <c r="H11" s="17" t="str">
        <f t="shared" si="2"/>
        <v>25_3-5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44">
        <v>165</v>
      </c>
      <c r="L11" s="44">
        <v>2</v>
      </c>
      <c r="M11" s="68">
        <v>165</v>
      </c>
      <c r="N11" s="21" t="str">
        <f ca="1">VLOOKUP($M11,OFFSET([2]enemies!$A$1,0,0,COUNTA([2]enemies!$A:$A),MATCH(N$1,[2]enemies!$1:$1,0)-MATCH($M$1,[2]enemies!$1:$1,0)+1),MATCH(N$1,[2]enemies!$1:$1,0)-MATCH($M$1,[2]enemies!$1:$1,0)+1,FALSE)</f>
        <v>イブとたったひとりのトモダチ</v>
      </c>
      <c r="O11" s="23" t="str">
        <f ca="1">VLOOKUP($M11,OFFSET([2]enemies!$A$1,0,0,COUNTA([2]enemies!$A:$A),MATCH(O$1,[2]enemies!$1:$1,0)-MATCH($M$1,[2]enemies!$1:$1,0)+1),MATCH(O$1,[2]enemies!$1:$1,0)-MATCH($M$1,[2]enemies!$1:$1,0)+1,FALSE)</f>
        <v>yellow</v>
      </c>
      <c r="P11" s="23" t="str">
        <f ca="1">VLOOKUP($M11,OFFSET([3]characters!$A$1,0,0,COUNTA([3]characters!$A:$A),MATCH(P$1,[3]characters!$1:$1,0)-MATCH($M$1,[3]characters!$1:$1,0)+1),MATCH(P$1,[3]characters!$1:$1,0)-MATCH($M$1,[3]characters!$1:$1,0)+1,FALSE)</f>
        <v>PremiumW</v>
      </c>
      <c r="Q11" s="22" t="str">
        <f ca="1">VLOOKUP($M11,OFFSET([3]characters!$A$1,0,0,COUNTA([3]characters!$A:$A),MATCH(Q$1,[3]characters!$1:$1,0)-MATCH($M$1,[3]characters!$1:$1,0)+2),MATCH(Q$1,[3]characters!$1:$1,0)-MATCH($M$1,[3]characters!$1:$1,0)+2,FALSE)</f>
        <v>ヒューマン</v>
      </c>
      <c r="R11" s="4">
        <f ca="1">VLOOKUP($M11,OFFSET([2]enemies!$A$1,0,0,COUNTA([2]enemies!$A:$A),MATCH(R$1,[2]enemies!$1:$1,0)-MATCH($M$1,[2]enemies!$1:$1,0)+1),MATCH(R$1,[2]enemies!$1:$1,0)-MATCH($M$1,[2]enemies!$1:$1,0)+1,FALSE)</f>
        <v>30</v>
      </c>
      <c r="S11" s="5">
        <v>55</v>
      </c>
      <c r="T11" s="27">
        <v>1.4</v>
      </c>
      <c r="U11" s="27">
        <v>1.3</v>
      </c>
      <c r="V11" s="5">
        <v>0</v>
      </c>
      <c r="W11" s="4" t="str">
        <f ca="1">VLOOKUP($X11,OFFSET([4]enemy_skill_sets!$B$1,0,0,COUNTA([4]enemy_skill_sets!$B:$B),MATCH(N$1,[4]enemy_skill_sets!$1:$1,0)-MATCH($X$1,[4]enemy_skill_sets!$1:$1,0)+2),MATCH(N$1,[4]enemy_skill_sets!$1:$1,0)-MATCH($X$1,[4]enemy_skill_sets!$1:$1,0)+2,FALSE)</f>
        <v>この戦闘ではスキルが使えない！</v>
      </c>
      <c r="X11" s="64">
        <v>16502</v>
      </c>
      <c r="Y11" s="69">
        <v>2</v>
      </c>
    </row>
    <row r="12" spans="1:25" ht="21" customHeight="1" x14ac:dyDescent="0.15">
      <c r="A12" s="18" t="str">
        <f t="shared" ref="A12" si="9">B12&amp;"_"&amp;C12&amp;"-"&amp;G12&amp;"/"&amp;M12&amp;"&lt;lv"&amp;S12&amp;"&gt;sq"&amp;K12&amp;"st"&amp;L12</f>
        <v>25_5-5/163&lt;lv59&gt;sq163st2</v>
      </c>
      <c r="B12" s="67">
        <v>25</v>
      </c>
      <c r="C12" s="65">
        <v>5</v>
      </c>
      <c r="D12" s="17" t="str">
        <f t="shared" ref="D12" si="10">B12&amp;"_"&amp;C12</f>
        <v>25_5</v>
      </c>
      <c r="E12" s="4" t="str">
        <f ca="1">VLOOKUP($B12,OFFSET([1]quests!$A$1,0,0,COUNTA([1]quests!$A:$A),MATCH(E$1,[1]quests!$1:$1,0)-MATCH($B$1,[1]quests!$1:$1,0)+1),MATCH(E$1,[1]quests!$1:$1,0)-MATCH($B$1,[1]quests!$1:$1,0)+1,FALSE)</f>
        <v>25．サディスティックパーティ</v>
      </c>
      <c r="F12" s="4" t="str">
        <f ca="1">VLOOKUP($D12,OFFSET([1]stages!$A$1,0,0,COUNTA([1]stages!$A:$A),MATCH(F$1,[1]stages!$2:$2,0)-MATCH($D$1,[1]stages!$2:$2,0)+1),MATCH(F$1,[1]stages!$2:$2,0)-MATCH($D$1,[1]stages!$2:$2,0)+1,FALSE)</f>
        <v>25-5．君はサディスティック</v>
      </c>
      <c r="G12" s="65">
        <v>5</v>
      </c>
      <c r="H12" s="17" t="str">
        <f t="shared" ref="H12" si="11">B12&amp;"_"&amp;C12&amp;"-"&amp;G12</f>
        <v>25_5-5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44">
        <v>163</v>
      </c>
      <c r="L12" s="44">
        <v>2</v>
      </c>
      <c r="M12" s="68">
        <v>163</v>
      </c>
      <c r="N12" s="21" t="str">
        <f ca="1">VLOOKUP($M12,OFFSET([2]enemies!$A$1,0,0,COUNTA([2]enemies!$A:$A),MATCH(N$1,[2]enemies!$1:$1,0)-MATCH($M$1,[2]enemies!$1:$1,0)+1),MATCH(N$1,[2]enemies!$1:$1,0)-MATCH($M$1,[2]enemies!$1:$1,0)+1,FALSE)</f>
        <v>冷酷な狂嬢 クララ</v>
      </c>
      <c r="O12" s="23" t="str">
        <f ca="1">VLOOKUP($M12,OFFSET([2]enemies!$A$1,0,0,COUNTA([2]enemies!$A:$A),MATCH(O$1,[2]enemies!$1:$1,0)-MATCH($M$1,[2]enemies!$1:$1,0)+1),MATCH(O$1,[2]enemies!$1:$1,0)-MATCH($M$1,[2]enemies!$1:$1,0)+1,FALSE)</f>
        <v>blue</v>
      </c>
      <c r="P12" s="23" t="str">
        <f ca="1">VLOOKUP($M12,OFFSET([3]characters!$A$1,0,0,COUNTA([3]characters!$A:$A),MATCH(P$1,[3]characters!$1:$1,0)-MATCH($M$1,[3]characters!$1:$1,0)+1),MATCH(P$1,[3]characters!$1:$1,0)-MATCH($M$1,[3]characters!$1:$1,0)+1,FALSE)</f>
        <v>PremiumW</v>
      </c>
      <c r="Q12" s="22" t="str">
        <f ca="1">VLOOKUP($M12,OFFSET([3]characters!$A$1,0,0,COUNTA([3]characters!$A:$A),MATCH(Q$1,[3]characters!$1:$1,0)-MATCH($M$1,[3]characters!$1:$1,0)+2),MATCH(Q$1,[3]characters!$1:$1,0)-MATCH($M$1,[3]characters!$1:$1,0)+2,FALSE)</f>
        <v>ヒューマン</v>
      </c>
      <c r="R12" s="4">
        <f ca="1">VLOOKUP($M12,OFFSET([2]enemies!$A$1,0,0,COUNTA([2]enemies!$A:$A),MATCH(R$1,[2]enemies!$1:$1,0)-MATCH($M$1,[2]enemies!$1:$1,0)+1),MATCH(R$1,[2]enemies!$1:$1,0)-MATCH($M$1,[2]enemies!$1:$1,0)+1,FALSE)</f>
        <v>30</v>
      </c>
      <c r="S12" s="5">
        <v>59</v>
      </c>
      <c r="T12" s="27">
        <v>1.8</v>
      </c>
      <c r="U12" s="27">
        <v>1.3</v>
      </c>
      <c r="V12" s="5">
        <v>0</v>
      </c>
      <c r="W12" s="4" t="str">
        <f ca="1">VLOOKUP($X12,OFFSET([4]enemy_skill_sets!$B$1,0,0,COUNTA([4]enemy_skill_sets!$B:$B),MATCH(N$1,[4]enemy_skill_sets!$1:$1,0)-MATCH($X$1,[4]enemy_skill_sets!$1:$1,0)+2),MATCH(N$1,[4]enemy_skill_sets!$1:$1,0)-MATCH($X$1,[4]enemy_skill_sets!$1:$1,0)+2,FALSE)</f>
        <v>4ターンパネルの色が分からなくなる !</v>
      </c>
      <c r="X12" s="75">
        <v>16302</v>
      </c>
      <c r="Y12" s="69">
        <v>2</v>
      </c>
    </row>
    <row r="13" spans="1:25" ht="21" customHeight="1" x14ac:dyDescent="0.15">
      <c r="A13" s="18" t="str">
        <f t="shared" si="0"/>
        <v>26_5-6/252&lt;lv63&gt;sq252st2</v>
      </c>
      <c r="B13" s="67">
        <v>26</v>
      </c>
      <c r="C13" s="65">
        <v>5</v>
      </c>
      <c r="D13" s="17" t="str">
        <f t="shared" si="1"/>
        <v>26_5</v>
      </c>
      <c r="E13" s="4" t="str">
        <f ca="1">VLOOKUP($B13,OFFSET([1]quests!$A$1,0,0,COUNTA([1]quests!$A:$A),MATCH(E$1,[1]quests!$1:$1,0)-MATCH($B$1,[1]quests!$1:$1,0)+1),MATCH(E$1,[1]quests!$1:$1,0)-MATCH($B$1,[1]quests!$1:$1,0)+1,FALSE)</f>
        <v>26．クラブ クラッシュビーツ</v>
      </c>
      <c r="F13" s="4" t="str">
        <f ca="1">VLOOKUP($D13,OFFSET([1]stages!$A$1,0,0,COUNTA([1]stages!$A:$A),MATCH(F$1,[1]stages!$2:$2,0)-MATCH($D$1,[1]stages!$2:$2,0)+1),MATCH(F$1,[1]stages!$2:$2,0)-MATCH($D$1,[1]stages!$2:$2,0)+1,FALSE)</f>
        <v>26-5．踊る強奪者</v>
      </c>
      <c r="G13" s="65">
        <v>6</v>
      </c>
      <c r="H13" s="17" t="str">
        <f t="shared" si="2"/>
        <v>26_5-6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44">
        <v>252</v>
      </c>
      <c r="L13" s="44">
        <v>2</v>
      </c>
      <c r="M13" s="68">
        <v>252</v>
      </c>
      <c r="N13" s="21" t="str">
        <f ca="1">VLOOKUP($M13,OFFSET([2]enemies!$A$1,0,0,COUNTA([2]enemies!$A:$A),MATCH(N$1,[2]enemies!$1:$1,0)-MATCH($M$1,[2]enemies!$1:$1,0)+1),MATCH(N$1,[2]enemies!$1:$1,0)-MATCH($M$1,[2]enemies!$1:$1,0)+1,FALSE)</f>
        <v>強欲の沸騰 マンモン</v>
      </c>
      <c r="O13" s="23" t="str">
        <f ca="1">VLOOKUP($M13,OFFSET([2]enemies!$A$1,0,0,COUNTA([2]enemies!$A:$A),MATCH(O$1,[2]enemies!$1:$1,0)-MATCH($M$1,[2]enemies!$1:$1,0)+1),MATCH(O$1,[2]enemies!$1:$1,0)-MATCH($M$1,[2]enemies!$1:$1,0)+1,FALSE)</f>
        <v>red</v>
      </c>
      <c r="P13" s="23" t="str">
        <f ca="1">VLOOKUP($M13,OFFSET([3]characters!$A$1,0,0,COUNTA([3]characters!$A:$A),MATCH(P$1,[3]characters!$1:$1,0)-MATCH($M$1,[3]characters!$1:$1,0)+1),MATCH(P$1,[3]characters!$1:$1,0)-MATCH($M$1,[3]characters!$1:$1,0)+1,FALSE)</f>
        <v>PremiumS</v>
      </c>
      <c r="Q13" s="22" t="str">
        <f ca="1">VLOOKUP($M13,OFFSET([3]characters!$A$1,0,0,COUNTA([3]characters!$A:$A),MATCH(Q$1,[3]characters!$1:$1,0)-MATCH($M$1,[3]characters!$1:$1,0)+2),MATCH(Q$1,[3]characters!$1:$1,0)-MATCH($M$1,[3]characters!$1:$1,0)+2,FALSE)</f>
        <v>ゴッド</v>
      </c>
      <c r="R13" s="4">
        <f ca="1">VLOOKUP($M13,OFFSET([2]enemies!$A$1,0,0,COUNTA([2]enemies!$A:$A),MATCH(R$1,[2]enemies!$1:$1,0)-MATCH($M$1,[2]enemies!$1:$1,0)+1),MATCH(R$1,[2]enemies!$1:$1,0)-MATCH($M$1,[2]enemies!$1:$1,0)+1,FALSE)</f>
        <v>60</v>
      </c>
      <c r="S13" s="5">
        <v>63</v>
      </c>
      <c r="T13" s="27">
        <v>0.8</v>
      </c>
      <c r="U13" s="27">
        <v>1.1000000000000001</v>
      </c>
      <c r="V13" s="5">
        <v>0</v>
      </c>
      <c r="W13" s="4" t="str">
        <f ca="1">VLOOKUP($X13,OFFSET([4]enemy_skill_sets!$B$1,0,0,COUNTA([4]enemy_skill_sets!$B:$B),MATCH(N$1,[4]enemy_skill_sets!$1:$1,0)-MATCH($X$1,[4]enemy_skill_sets!$1:$1,0)+2),MATCH(N$1,[4]enemy_skill_sets!$1:$1,0)-MATCH($X$1,[4]enemy_skill_sets!$1:$1,0)+2,FALSE)</f>
        <v>この戦闘の間タップ時間の制限！【4秒】</v>
      </c>
      <c r="X13" s="64">
        <v>25202</v>
      </c>
      <c r="Y13" s="69">
        <v>2</v>
      </c>
    </row>
    <row r="14" spans="1:25" ht="21" customHeight="1" x14ac:dyDescent="0.15">
      <c r="A14" s="18" t="str">
        <f t="shared" si="0"/>
        <v>26_5-6/252&lt;lv63&gt;sq252st3</v>
      </c>
      <c r="B14" s="67">
        <v>26</v>
      </c>
      <c r="C14" s="65">
        <v>5</v>
      </c>
      <c r="D14" s="17" t="str">
        <f t="shared" si="1"/>
        <v>26_5</v>
      </c>
      <c r="E14" s="4" t="str">
        <f ca="1">VLOOKUP($B14,OFFSET([1]quests!$A$1,0,0,COUNTA([1]quests!$A:$A),MATCH(E$1,[1]quests!$1:$1,0)-MATCH($B$1,[1]quests!$1:$1,0)+1),MATCH(E$1,[1]quests!$1:$1,0)-MATCH($B$1,[1]quests!$1:$1,0)+1,FALSE)</f>
        <v>26．クラブ クラッシュビーツ</v>
      </c>
      <c r="F14" s="4" t="str">
        <f ca="1">VLOOKUP($D14,OFFSET([1]stages!$A$1,0,0,COUNTA([1]stages!$A:$A),MATCH(F$1,[1]stages!$2:$2,0)-MATCH($D$1,[1]stages!$2:$2,0)+1),MATCH(F$1,[1]stages!$2:$2,0)-MATCH($D$1,[1]stages!$2:$2,0)+1,FALSE)</f>
        <v>26-5．踊る強奪者</v>
      </c>
      <c r="G14" s="65">
        <v>6</v>
      </c>
      <c r="H14" s="17" t="str">
        <f t="shared" si="2"/>
        <v>26_5-6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44">
        <v>252</v>
      </c>
      <c r="L14" s="44">
        <v>3</v>
      </c>
      <c r="M14" s="68">
        <v>252</v>
      </c>
      <c r="N14" s="21" t="str">
        <f ca="1">VLOOKUP($M14,OFFSET([2]enemies!$A$1,0,0,COUNTA([2]enemies!$A:$A),MATCH(N$1,[2]enemies!$1:$1,0)-MATCH($M$1,[2]enemies!$1:$1,0)+1),MATCH(N$1,[2]enemies!$1:$1,0)-MATCH($M$1,[2]enemies!$1:$1,0)+1,FALSE)</f>
        <v>強欲の沸騰 マンモン</v>
      </c>
      <c r="O14" s="23" t="str">
        <f ca="1">VLOOKUP($M14,OFFSET([2]enemies!$A$1,0,0,COUNTA([2]enemies!$A:$A),MATCH(O$1,[2]enemies!$1:$1,0)-MATCH($M$1,[2]enemies!$1:$1,0)+1),MATCH(O$1,[2]enemies!$1:$1,0)-MATCH($M$1,[2]enemies!$1:$1,0)+1,FALSE)</f>
        <v>red</v>
      </c>
      <c r="P14" s="23" t="str">
        <f ca="1">VLOOKUP($M14,OFFSET([3]characters!$A$1,0,0,COUNTA([3]characters!$A:$A),MATCH(P$1,[3]characters!$1:$1,0)-MATCH($M$1,[3]characters!$1:$1,0)+1),MATCH(P$1,[3]characters!$1:$1,0)-MATCH($M$1,[3]characters!$1:$1,0)+1,FALSE)</f>
        <v>PremiumS</v>
      </c>
      <c r="Q14" s="22" t="str">
        <f ca="1">VLOOKUP($M14,OFFSET([3]characters!$A$1,0,0,COUNTA([3]characters!$A:$A),MATCH(Q$1,[3]characters!$1:$1,0)-MATCH($M$1,[3]characters!$1:$1,0)+2),MATCH(Q$1,[3]characters!$1:$1,0)-MATCH($M$1,[3]characters!$1:$1,0)+2,FALSE)</f>
        <v>ゴッド</v>
      </c>
      <c r="R14" s="4">
        <f ca="1">VLOOKUP($M14,OFFSET([2]enemies!$A$1,0,0,COUNTA([2]enemies!$A:$A),MATCH(R$1,[2]enemies!$1:$1,0)-MATCH($M$1,[2]enemies!$1:$1,0)+1),MATCH(R$1,[2]enemies!$1:$1,0)-MATCH($M$1,[2]enemies!$1:$1,0)+1,FALSE)</f>
        <v>60</v>
      </c>
      <c r="S14" s="5">
        <v>63</v>
      </c>
      <c r="T14" s="27">
        <v>0.8</v>
      </c>
      <c r="U14" s="27">
        <v>1.2</v>
      </c>
      <c r="V14" s="5">
        <v>0</v>
      </c>
      <c r="W14" s="4" t="str">
        <f ca="1">VLOOKUP($X14,OFFSET([4]enemy_skill_sets!$B$1,0,0,COUNTA([4]enemy_skill_sets!$B:$B),MATCH(N$1,[4]enemy_skill_sets!$1:$1,0)-MATCH($X$1,[4]enemy_skill_sets!$1:$1,0)+2),MATCH(N$1,[4]enemy_skill_sets!$1:$1,0)-MATCH($X$1,[4]enemy_skill_sets!$1:$1,0)+2,FALSE)</f>
        <v>5ターンパネルの色が分からなくなる！</v>
      </c>
      <c r="X14" s="64">
        <v>25203</v>
      </c>
      <c r="Y14" s="69">
        <v>2</v>
      </c>
    </row>
  </sheetData>
  <sheetProtection selectLockedCells="1" selectUnlockedCells="1"/>
  <autoFilter ref="B1:Y1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56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" sqref="F2"/>
    </sheetView>
  </sheetViews>
  <sheetFormatPr baseColWidth="12" defaultColWidth="13" defaultRowHeight="15" x14ac:dyDescent="0.15"/>
  <cols>
    <col min="1" max="1" width="10.1640625" style="19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3" customFormat="1" x14ac:dyDescent="0.15">
      <c r="A1" s="13">
        <f>MATCH(A2,INDIRECT(C1&amp;"!A:A"),0)-2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SUBSTITUTE(RIGHT(CELL("filename",$C$1),LEN(CELL("filename",$C$1))-FIND("]",CELL("filename",$C$1))),".tmp","")</f>
        <v>floors_DL5</v>
      </c>
    </row>
    <row r="2" spans="1:6" s="15" customFormat="1" x14ac:dyDescent="0.15">
      <c r="A2" s="19" t="s">
        <v>32</v>
      </c>
      <c r="B2" s="15" t="s">
        <v>0</v>
      </c>
      <c r="C2" s="15" t="s">
        <v>1</v>
      </c>
      <c r="D2" s="15" t="s">
        <v>13</v>
      </c>
      <c r="E2" s="15" t="s">
        <v>14</v>
      </c>
      <c r="F2" s="15" t="s">
        <v>15</v>
      </c>
    </row>
    <row r="3" spans="1:6" x14ac:dyDescent="0.15">
      <c r="A3" s="20" t="str">
        <f t="shared" ref="A3:A66" si="0">INDIRECT(ADDRESS(ROW()+$A$1,COLUMN(),1,TRUE,$C$1))</f>
        <v>22_1-1</v>
      </c>
      <c r="B3" s="16">
        <f t="shared" ref="B3:F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3" s="16">
        <f t="shared" si="1"/>
        <v>1</v>
      </c>
      <c r="D3" s="16">
        <f t="shared" si="1"/>
        <v>1</v>
      </c>
      <c r="E3" s="16">
        <f t="shared" si="1"/>
        <v>30</v>
      </c>
      <c r="F3" s="16">
        <f t="shared" si="1"/>
        <v>30</v>
      </c>
    </row>
    <row r="4" spans="1:6" x14ac:dyDescent="0.15">
      <c r="A4" s="20" t="str">
        <f t="shared" si="0"/>
        <v>22_1-2</v>
      </c>
      <c r="B4" s="16">
        <f t="shared" si="1"/>
        <v>22</v>
      </c>
      <c r="C4" s="16">
        <f t="shared" si="1"/>
        <v>1</v>
      </c>
      <c r="D4" s="16">
        <f t="shared" si="1"/>
        <v>2</v>
      </c>
      <c r="E4" s="16">
        <f t="shared" si="1"/>
        <v>45</v>
      </c>
      <c r="F4" s="16">
        <f t="shared" si="1"/>
        <v>60</v>
      </c>
    </row>
    <row r="5" spans="1:6" x14ac:dyDescent="0.15">
      <c r="A5" s="20" t="str">
        <f t="shared" si="0"/>
        <v>22_1-3</v>
      </c>
      <c r="B5" s="16">
        <f t="shared" si="1"/>
        <v>22</v>
      </c>
      <c r="C5" s="16">
        <f t="shared" si="1"/>
        <v>1</v>
      </c>
      <c r="D5" s="16">
        <f t="shared" si="1"/>
        <v>3</v>
      </c>
      <c r="E5" s="16">
        <f t="shared" si="1"/>
        <v>60</v>
      </c>
      <c r="F5" s="16">
        <f t="shared" si="1"/>
        <v>60</v>
      </c>
    </row>
    <row r="6" spans="1:6" x14ac:dyDescent="0.15">
      <c r="A6" s="20" t="str">
        <f t="shared" si="0"/>
        <v>22_1-4</v>
      </c>
      <c r="B6" s="16">
        <f t="shared" si="1"/>
        <v>22</v>
      </c>
      <c r="C6" s="16">
        <f t="shared" si="1"/>
        <v>1</v>
      </c>
      <c r="D6" s="16">
        <f t="shared" si="1"/>
        <v>4</v>
      </c>
      <c r="E6" s="16">
        <f t="shared" si="1"/>
        <v>45</v>
      </c>
      <c r="F6" s="16">
        <f t="shared" si="1"/>
        <v>45</v>
      </c>
    </row>
    <row r="7" spans="1:6" x14ac:dyDescent="0.15">
      <c r="A7" s="20" t="str">
        <f t="shared" si="0"/>
        <v>22_1-5</v>
      </c>
      <c r="B7" s="16">
        <f t="shared" si="1"/>
        <v>22</v>
      </c>
      <c r="C7" s="16">
        <f t="shared" si="1"/>
        <v>1</v>
      </c>
      <c r="D7" s="16">
        <f t="shared" si="1"/>
        <v>5</v>
      </c>
      <c r="E7" s="16">
        <f t="shared" si="1"/>
        <v>60</v>
      </c>
      <c r="F7" s="16">
        <f t="shared" si="1"/>
        <v>60</v>
      </c>
    </row>
    <row r="8" spans="1:6" x14ac:dyDescent="0.15">
      <c r="A8" s="20" t="str">
        <f t="shared" si="0"/>
        <v>22_2-1</v>
      </c>
      <c r="B8" s="16">
        <f t="shared" si="1"/>
        <v>22</v>
      </c>
      <c r="C8" s="16">
        <f t="shared" si="1"/>
        <v>2</v>
      </c>
      <c r="D8" s="16">
        <f t="shared" si="1"/>
        <v>1</v>
      </c>
      <c r="E8" s="16">
        <f t="shared" si="1"/>
        <v>30</v>
      </c>
      <c r="F8" s="16">
        <f t="shared" si="1"/>
        <v>30</v>
      </c>
    </row>
    <row r="9" spans="1:6" x14ac:dyDescent="0.15">
      <c r="A9" s="20" t="str">
        <f t="shared" si="0"/>
        <v>22_2-2</v>
      </c>
      <c r="B9" s="16">
        <f t="shared" si="1"/>
        <v>22</v>
      </c>
      <c r="C9" s="16">
        <f t="shared" si="1"/>
        <v>2</v>
      </c>
      <c r="D9" s="16">
        <f t="shared" si="1"/>
        <v>2</v>
      </c>
      <c r="E9" s="16">
        <f t="shared" si="1"/>
        <v>45</v>
      </c>
      <c r="F9" s="16">
        <f t="shared" si="1"/>
        <v>60</v>
      </c>
    </row>
    <row r="10" spans="1:6" x14ac:dyDescent="0.15">
      <c r="A10" s="20" t="str">
        <f t="shared" si="0"/>
        <v>22_2-3</v>
      </c>
      <c r="B10" s="16">
        <f t="shared" si="1"/>
        <v>22</v>
      </c>
      <c r="C10" s="16">
        <f t="shared" si="1"/>
        <v>2</v>
      </c>
      <c r="D10" s="16">
        <f t="shared" si="1"/>
        <v>3</v>
      </c>
      <c r="E10" s="16">
        <f t="shared" si="1"/>
        <v>60</v>
      </c>
      <c r="F10" s="16">
        <f t="shared" si="1"/>
        <v>60</v>
      </c>
    </row>
    <row r="11" spans="1:6" x14ac:dyDescent="0.15">
      <c r="A11" s="20" t="str">
        <f t="shared" si="0"/>
        <v>22_2-4</v>
      </c>
      <c r="B11" s="16">
        <f t="shared" si="1"/>
        <v>22</v>
      </c>
      <c r="C11" s="16">
        <f t="shared" si="1"/>
        <v>2</v>
      </c>
      <c r="D11" s="16">
        <f t="shared" si="1"/>
        <v>4</v>
      </c>
      <c r="E11" s="16">
        <f t="shared" si="1"/>
        <v>45</v>
      </c>
      <c r="F11" s="16">
        <f t="shared" si="1"/>
        <v>45</v>
      </c>
    </row>
    <row r="12" spans="1:6" x14ac:dyDescent="0.15">
      <c r="A12" s="20" t="str">
        <f t="shared" si="0"/>
        <v>22_2-5</v>
      </c>
      <c r="B12" s="16">
        <f t="shared" si="1"/>
        <v>22</v>
      </c>
      <c r="C12" s="16">
        <f t="shared" si="1"/>
        <v>2</v>
      </c>
      <c r="D12" s="16">
        <f t="shared" si="1"/>
        <v>5</v>
      </c>
      <c r="E12" s="16">
        <f t="shared" si="1"/>
        <v>60</v>
      </c>
      <c r="F12" s="16">
        <f t="shared" si="1"/>
        <v>60</v>
      </c>
    </row>
    <row r="13" spans="1:6" x14ac:dyDescent="0.15">
      <c r="A13" s="20" t="str">
        <f t="shared" si="0"/>
        <v>22_3-1</v>
      </c>
      <c r="B13" s="16">
        <f t="shared" si="1"/>
        <v>22</v>
      </c>
      <c r="C13" s="16">
        <f t="shared" si="1"/>
        <v>3</v>
      </c>
      <c r="D13" s="16">
        <f t="shared" si="1"/>
        <v>1</v>
      </c>
      <c r="E13" s="16">
        <f t="shared" si="1"/>
        <v>30</v>
      </c>
      <c r="F13" s="16">
        <f t="shared" si="1"/>
        <v>30</v>
      </c>
    </row>
    <row r="14" spans="1:6" x14ac:dyDescent="0.15">
      <c r="A14" s="20" t="str">
        <f t="shared" si="0"/>
        <v>22_3-2</v>
      </c>
      <c r="B14" s="16">
        <f t="shared" si="1"/>
        <v>22</v>
      </c>
      <c r="C14" s="16">
        <f t="shared" si="1"/>
        <v>3</v>
      </c>
      <c r="D14" s="16">
        <f t="shared" si="1"/>
        <v>2</v>
      </c>
      <c r="E14" s="16">
        <f t="shared" si="1"/>
        <v>45</v>
      </c>
      <c r="F14" s="16">
        <f t="shared" si="1"/>
        <v>60</v>
      </c>
    </row>
    <row r="15" spans="1:6" x14ac:dyDescent="0.15">
      <c r="A15" s="20" t="str">
        <f t="shared" si="0"/>
        <v>22_3-3</v>
      </c>
      <c r="B15" s="16">
        <f t="shared" si="1"/>
        <v>22</v>
      </c>
      <c r="C15" s="16">
        <f t="shared" si="1"/>
        <v>3</v>
      </c>
      <c r="D15" s="16">
        <f t="shared" si="1"/>
        <v>3</v>
      </c>
      <c r="E15" s="16">
        <f t="shared" si="1"/>
        <v>60</v>
      </c>
      <c r="F15" s="16">
        <f t="shared" si="1"/>
        <v>60</v>
      </c>
    </row>
    <row r="16" spans="1:6" x14ac:dyDescent="0.15">
      <c r="A16" s="20" t="str">
        <f t="shared" si="0"/>
        <v>22_3-4</v>
      </c>
      <c r="B16" s="16">
        <f t="shared" si="1"/>
        <v>22</v>
      </c>
      <c r="C16" s="16">
        <f t="shared" si="1"/>
        <v>3</v>
      </c>
      <c r="D16" s="16">
        <f t="shared" si="1"/>
        <v>4</v>
      </c>
      <c r="E16" s="16">
        <f t="shared" si="1"/>
        <v>45</v>
      </c>
      <c r="F16" s="16">
        <f t="shared" si="1"/>
        <v>45</v>
      </c>
    </row>
    <row r="17" spans="1:6" x14ac:dyDescent="0.15">
      <c r="A17" s="20" t="str">
        <f t="shared" si="0"/>
        <v>22_3-5</v>
      </c>
      <c r="B17" s="16">
        <f t="shared" si="1"/>
        <v>22</v>
      </c>
      <c r="C17" s="16">
        <f t="shared" si="1"/>
        <v>3</v>
      </c>
      <c r="D17" s="16">
        <f t="shared" si="1"/>
        <v>5</v>
      </c>
      <c r="E17" s="16">
        <f t="shared" si="1"/>
        <v>60</v>
      </c>
      <c r="F17" s="16">
        <f t="shared" si="1"/>
        <v>60</v>
      </c>
    </row>
    <row r="18" spans="1:6" x14ac:dyDescent="0.15">
      <c r="A18" s="20" t="str">
        <f t="shared" si="0"/>
        <v>22_4-1</v>
      </c>
      <c r="B18" s="16">
        <f t="shared" si="1"/>
        <v>22</v>
      </c>
      <c r="C18" s="16">
        <f t="shared" si="1"/>
        <v>4</v>
      </c>
      <c r="D18" s="16">
        <f t="shared" si="1"/>
        <v>1</v>
      </c>
      <c r="E18" s="16">
        <f t="shared" si="1"/>
        <v>30</v>
      </c>
      <c r="F18" s="16">
        <f t="shared" si="1"/>
        <v>30</v>
      </c>
    </row>
    <row r="19" spans="1:6" x14ac:dyDescent="0.15">
      <c r="A19" s="20" t="str">
        <f t="shared" si="0"/>
        <v>22_4-2</v>
      </c>
      <c r="B19" s="16">
        <f t="shared" ref="B19:F69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19" s="16">
        <f t="shared" si="2"/>
        <v>4</v>
      </c>
      <c r="D19" s="16">
        <f t="shared" si="2"/>
        <v>2</v>
      </c>
      <c r="E19" s="16">
        <f t="shared" si="2"/>
        <v>45</v>
      </c>
      <c r="F19" s="16">
        <f t="shared" si="2"/>
        <v>60</v>
      </c>
    </row>
    <row r="20" spans="1:6" x14ac:dyDescent="0.15">
      <c r="A20" s="20" t="str">
        <f t="shared" si="0"/>
        <v>22_4-3</v>
      </c>
      <c r="B20" s="16">
        <f t="shared" si="2"/>
        <v>22</v>
      </c>
      <c r="C20" s="16">
        <f t="shared" si="2"/>
        <v>4</v>
      </c>
      <c r="D20" s="16">
        <f t="shared" si="2"/>
        <v>3</v>
      </c>
      <c r="E20" s="16">
        <f t="shared" si="2"/>
        <v>60</v>
      </c>
      <c r="F20" s="16">
        <f t="shared" si="2"/>
        <v>60</v>
      </c>
    </row>
    <row r="21" spans="1:6" x14ac:dyDescent="0.15">
      <c r="A21" s="20" t="str">
        <f t="shared" si="0"/>
        <v>22_4-4</v>
      </c>
      <c r="B21" s="16">
        <f t="shared" si="2"/>
        <v>22</v>
      </c>
      <c r="C21" s="16">
        <f t="shared" si="2"/>
        <v>4</v>
      </c>
      <c r="D21" s="16">
        <f t="shared" si="2"/>
        <v>4</v>
      </c>
      <c r="E21" s="16">
        <f t="shared" si="2"/>
        <v>45</v>
      </c>
      <c r="F21" s="16">
        <f t="shared" si="2"/>
        <v>45</v>
      </c>
    </row>
    <row r="22" spans="1:6" x14ac:dyDescent="0.15">
      <c r="A22" s="20" t="str">
        <f t="shared" si="0"/>
        <v>22_4-5</v>
      </c>
      <c r="B22" s="16">
        <f t="shared" si="2"/>
        <v>22</v>
      </c>
      <c r="C22" s="16">
        <f t="shared" si="2"/>
        <v>4</v>
      </c>
      <c r="D22" s="16">
        <f t="shared" si="2"/>
        <v>5</v>
      </c>
      <c r="E22" s="16">
        <f t="shared" si="2"/>
        <v>60</v>
      </c>
      <c r="F22" s="16">
        <f t="shared" si="2"/>
        <v>60</v>
      </c>
    </row>
    <row r="23" spans="1:6" x14ac:dyDescent="0.15">
      <c r="A23" s="20" t="str">
        <f t="shared" si="0"/>
        <v>22_5-1</v>
      </c>
      <c r="B23" s="16">
        <f t="shared" si="2"/>
        <v>22</v>
      </c>
      <c r="C23" s="16">
        <f t="shared" si="2"/>
        <v>5</v>
      </c>
      <c r="D23" s="16">
        <f t="shared" si="2"/>
        <v>1</v>
      </c>
      <c r="E23" s="16">
        <f t="shared" si="2"/>
        <v>30</v>
      </c>
      <c r="F23" s="16">
        <f t="shared" si="2"/>
        <v>30</v>
      </c>
    </row>
    <row r="24" spans="1:6" x14ac:dyDescent="0.15">
      <c r="A24" s="20" t="str">
        <f t="shared" si="0"/>
        <v>22_5-2</v>
      </c>
      <c r="B24" s="16">
        <f t="shared" si="2"/>
        <v>22</v>
      </c>
      <c r="C24" s="16">
        <f t="shared" si="2"/>
        <v>5</v>
      </c>
      <c r="D24" s="16">
        <f t="shared" si="2"/>
        <v>2</v>
      </c>
      <c r="E24" s="16">
        <f t="shared" si="2"/>
        <v>45</v>
      </c>
      <c r="F24" s="16">
        <f t="shared" si="2"/>
        <v>60</v>
      </c>
    </row>
    <row r="25" spans="1:6" x14ac:dyDescent="0.15">
      <c r="A25" s="20" t="str">
        <f t="shared" si="0"/>
        <v>22_5-3</v>
      </c>
      <c r="B25" s="16">
        <f t="shared" si="2"/>
        <v>22</v>
      </c>
      <c r="C25" s="16">
        <f t="shared" si="2"/>
        <v>5</v>
      </c>
      <c r="D25" s="16">
        <f t="shared" si="2"/>
        <v>3</v>
      </c>
      <c r="E25" s="16">
        <f t="shared" si="2"/>
        <v>60</v>
      </c>
      <c r="F25" s="16">
        <f t="shared" si="2"/>
        <v>60</v>
      </c>
    </row>
    <row r="26" spans="1:6" x14ac:dyDescent="0.15">
      <c r="A26" s="20" t="str">
        <f t="shared" si="0"/>
        <v>22_5-4</v>
      </c>
      <c r="B26" s="16">
        <f t="shared" si="2"/>
        <v>22</v>
      </c>
      <c r="C26" s="16">
        <f t="shared" si="2"/>
        <v>5</v>
      </c>
      <c r="D26" s="16">
        <f t="shared" si="2"/>
        <v>4</v>
      </c>
      <c r="E26" s="16">
        <f t="shared" si="2"/>
        <v>45</v>
      </c>
      <c r="F26" s="16">
        <f t="shared" si="2"/>
        <v>45</v>
      </c>
    </row>
    <row r="27" spans="1:6" x14ac:dyDescent="0.15">
      <c r="A27" s="20" t="str">
        <f t="shared" si="0"/>
        <v>22_5-5</v>
      </c>
      <c r="B27" s="16">
        <f t="shared" si="2"/>
        <v>22</v>
      </c>
      <c r="C27" s="16">
        <f t="shared" si="2"/>
        <v>5</v>
      </c>
      <c r="D27" s="16">
        <f t="shared" si="2"/>
        <v>5</v>
      </c>
      <c r="E27" s="16">
        <f t="shared" si="2"/>
        <v>60</v>
      </c>
      <c r="F27" s="16">
        <f t="shared" si="2"/>
        <v>60</v>
      </c>
    </row>
    <row r="28" spans="1:6" x14ac:dyDescent="0.15">
      <c r="A28" s="20" t="str">
        <f t="shared" si="0"/>
        <v>22_6-1</v>
      </c>
      <c r="B28" s="16">
        <f t="shared" si="2"/>
        <v>22</v>
      </c>
      <c r="C28" s="16">
        <f t="shared" si="2"/>
        <v>6</v>
      </c>
      <c r="D28" s="16">
        <f t="shared" si="2"/>
        <v>1</v>
      </c>
      <c r="E28" s="16">
        <f t="shared" si="2"/>
        <v>40</v>
      </c>
      <c r="F28" s="16">
        <f t="shared" si="2"/>
        <v>60</v>
      </c>
    </row>
    <row r="29" spans="1:6" x14ac:dyDescent="0.15">
      <c r="A29" s="20" t="str">
        <f t="shared" si="0"/>
        <v>22_6-2</v>
      </c>
      <c r="B29" s="16">
        <f t="shared" si="2"/>
        <v>22</v>
      </c>
      <c r="C29" s="16">
        <f t="shared" si="2"/>
        <v>6</v>
      </c>
      <c r="D29" s="16">
        <f t="shared" si="2"/>
        <v>2</v>
      </c>
      <c r="E29" s="16">
        <f t="shared" si="2"/>
        <v>40</v>
      </c>
      <c r="F29" s="16">
        <f t="shared" si="2"/>
        <v>60</v>
      </c>
    </row>
    <row r="30" spans="1:6" x14ac:dyDescent="0.15">
      <c r="A30" s="20" t="str">
        <f t="shared" si="0"/>
        <v>22_6-3</v>
      </c>
      <c r="B30" s="16">
        <f t="shared" si="2"/>
        <v>22</v>
      </c>
      <c r="C30" s="16">
        <f t="shared" si="2"/>
        <v>6</v>
      </c>
      <c r="D30" s="16">
        <f t="shared" si="2"/>
        <v>3</v>
      </c>
      <c r="E30" s="16">
        <f t="shared" si="2"/>
        <v>40</v>
      </c>
      <c r="F30" s="16">
        <f t="shared" si="2"/>
        <v>60</v>
      </c>
    </row>
    <row r="31" spans="1:6" x14ac:dyDescent="0.15">
      <c r="A31" s="20" t="str">
        <f t="shared" si="0"/>
        <v>22_6-4</v>
      </c>
      <c r="B31" s="16">
        <f t="shared" si="2"/>
        <v>22</v>
      </c>
      <c r="C31" s="16">
        <f t="shared" si="2"/>
        <v>6</v>
      </c>
      <c r="D31" s="16">
        <f t="shared" si="2"/>
        <v>4</v>
      </c>
      <c r="E31" s="16">
        <f t="shared" si="2"/>
        <v>60</v>
      </c>
      <c r="F31" s="16">
        <f t="shared" si="2"/>
        <v>60</v>
      </c>
    </row>
    <row r="32" spans="1:6" x14ac:dyDescent="0.15">
      <c r="A32" s="20" t="str">
        <f t="shared" si="0"/>
        <v>22_6-5</v>
      </c>
      <c r="B32" s="16">
        <f t="shared" si="2"/>
        <v>22</v>
      </c>
      <c r="C32" s="16">
        <f t="shared" si="2"/>
        <v>6</v>
      </c>
      <c r="D32" s="16">
        <f t="shared" si="2"/>
        <v>5</v>
      </c>
      <c r="E32" s="16">
        <f t="shared" si="2"/>
        <v>40</v>
      </c>
      <c r="F32" s="16">
        <f t="shared" si="2"/>
        <v>40</v>
      </c>
    </row>
    <row r="33" spans="1:6" x14ac:dyDescent="0.15">
      <c r="A33" s="20" t="str">
        <f t="shared" si="0"/>
        <v>23_1-1</v>
      </c>
      <c r="B33" s="16">
        <f t="shared" si="2"/>
        <v>23</v>
      </c>
      <c r="C33" s="16">
        <f t="shared" si="2"/>
        <v>1</v>
      </c>
      <c r="D33" s="16">
        <f t="shared" si="2"/>
        <v>1</v>
      </c>
      <c r="E33" s="16">
        <f t="shared" si="2"/>
        <v>30</v>
      </c>
      <c r="F33" s="16">
        <f t="shared" si="2"/>
        <v>30</v>
      </c>
    </row>
    <row r="34" spans="1:6" x14ac:dyDescent="0.15">
      <c r="A34" s="20" t="str">
        <f t="shared" si="0"/>
        <v>23_1-2</v>
      </c>
      <c r="B34" s="16">
        <f t="shared" si="2"/>
        <v>23</v>
      </c>
      <c r="C34" s="16">
        <f t="shared" si="2"/>
        <v>1</v>
      </c>
      <c r="D34" s="16">
        <f t="shared" si="2"/>
        <v>2</v>
      </c>
      <c r="E34" s="16">
        <f t="shared" si="2"/>
        <v>45</v>
      </c>
      <c r="F34" s="16">
        <f t="shared" si="2"/>
        <v>45</v>
      </c>
    </row>
    <row r="35" spans="1:6" x14ac:dyDescent="0.15">
      <c r="A35" s="20" t="str">
        <f t="shared" si="0"/>
        <v>23_1-3</v>
      </c>
      <c r="B35" s="16">
        <f t="shared" si="2"/>
        <v>23</v>
      </c>
      <c r="C35" s="16">
        <f t="shared" si="2"/>
        <v>1</v>
      </c>
      <c r="D35" s="16">
        <f t="shared" si="2"/>
        <v>3</v>
      </c>
      <c r="E35" s="16">
        <f t="shared" si="2"/>
        <v>45</v>
      </c>
      <c r="F35" s="16">
        <f t="shared" si="2"/>
        <v>60</v>
      </c>
    </row>
    <row r="36" spans="1:6" x14ac:dyDescent="0.15">
      <c r="A36" s="20" t="str">
        <f t="shared" si="0"/>
        <v>23_1-4</v>
      </c>
      <c r="B36" s="16">
        <f t="shared" si="2"/>
        <v>23</v>
      </c>
      <c r="C36" s="16">
        <f t="shared" si="2"/>
        <v>1</v>
      </c>
      <c r="D36" s="16">
        <f t="shared" si="2"/>
        <v>4</v>
      </c>
      <c r="E36" s="16">
        <f t="shared" si="2"/>
        <v>45</v>
      </c>
      <c r="F36" s="16">
        <f t="shared" si="2"/>
        <v>45</v>
      </c>
    </row>
    <row r="37" spans="1:6" x14ac:dyDescent="0.15">
      <c r="A37" s="20" t="str">
        <f t="shared" si="0"/>
        <v>23_1-5</v>
      </c>
      <c r="B37" s="16">
        <f t="shared" si="2"/>
        <v>23</v>
      </c>
      <c r="C37" s="16">
        <f t="shared" si="2"/>
        <v>1</v>
      </c>
      <c r="D37" s="16">
        <f t="shared" si="2"/>
        <v>5</v>
      </c>
      <c r="E37" s="16">
        <f t="shared" si="2"/>
        <v>60</v>
      </c>
      <c r="F37" s="16">
        <f t="shared" si="2"/>
        <v>60</v>
      </c>
    </row>
    <row r="38" spans="1:6" x14ac:dyDescent="0.15">
      <c r="A38" s="20" t="str">
        <f t="shared" si="0"/>
        <v>23_2-1</v>
      </c>
      <c r="B38" s="16">
        <f t="shared" si="2"/>
        <v>23</v>
      </c>
      <c r="C38" s="16">
        <f t="shared" si="2"/>
        <v>2</v>
      </c>
      <c r="D38" s="16">
        <f t="shared" si="2"/>
        <v>1</v>
      </c>
      <c r="E38" s="16">
        <f t="shared" si="2"/>
        <v>30</v>
      </c>
      <c r="F38" s="16">
        <f t="shared" si="2"/>
        <v>30</v>
      </c>
    </row>
    <row r="39" spans="1:6" x14ac:dyDescent="0.15">
      <c r="A39" s="20" t="str">
        <f t="shared" si="0"/>
        <v>23_2-2</v>
      </c>
      <c r="B39" s="16">
        <f t="shared" si="2"/>
        <v>23</v>
      </c>
      <c r="C39" s="16">
        <f t="shared" si="2"/>
        <v>2</v>
      </c>
      <c r="D39" s="16">
        <f t="shared" si="2"/>
        <v>2</v>
      </c>
      <c r="E39" s="16">
        <f t="shared" si="2"/>
        <v>45</v>
      </c>
      <c r="F39" s="16">
        <f t="shared" si="2"/>
        <v>45</v>
      </c>
    </row>
    <row r="40" spans="1:6" x14ac:dyDescent="0.15">
      <c r="A40" s="20" t="str">
        <f t="shared" si="0"/>
        <v>23_2-3</v>
      </c>
      <c r="B40" s="16">
        <f t="shared" si="2"/>
        <v>23</v>
      </c>
      <c r="C40" s="16">
        <f t="shared" si="2"/>
        <v>2</v>
      </c>
      <c r="D40" s="16">
        <f t="shared" si="2"/>
        <v>3</v>
      </c>
      <c r="E40" s="16">
        <f t="shared" si="2"/>
        <v>45</v>
      </c>
      <c r="F40" s="16">
        <f t="shared" si="2"/>
        <v>60</v>
      </c>
    </row>
    <row r="41" spans="1:6" x14ac:dyDescent="0.15">
      <c r="A41" s="20" t="str">
        <f t="shared" si="0"/>
        <v>23_2-4</v>
      </c>
      <c r="B41" s="16">
        <f t="shared" si="2"/>
        <v>23</v>
      </c>
      <c r="C41" s="16">
        <f t="shared" si="2"/>
        <v>2</v>
      </c>
      <c r="D41" s="16">
        <f t="shared" si="2"/>
        <v>4</v>
      </c>
      <c r="E41" s="16">
        <f t="shared" si="2"/>
        <v>45</v>
      </c>
      <c r="F41" s="16">
        <f t="shared" si="2"/>
        <v>45</v>
      </c>
    </row>
    <row r="42" spans="1:6" x14ac:dyDescent="0.15">
      <c r="A42" s="20" t="str">
        <f t="shared" si="0"/>
        <v>23_2-5</v>
      </c>
      <c r="B42" s="16">
        <f t="shared" si="2"/>
        <v>23</v>
      </c>
      <c r="C42" s="16">
        <f t="shared" si="2"/>
        <v>2</v>
      </c>
      <c r="D42" s="16">
        <f t="shared" si="2"/>
        <v>5</v>
      </c>
      <c r="E42" s="16">
        <f t="shared" si="2"/>
        <v>60</v>
      </c>
      <c r="F42" s="16">
        <f t="shared" si="2"/>
        <v>60</v>
      </c>
    </row>
    <row r="43" spans="1:6" x14ac:dyDescent="0.15">
      <c r="A43" s="20" t="str">
        <f t="shared" si="0"/>
        <v>23_3-1</v>
      </c>
      <c r="B43" s="16">
        <f t="shared" si="2"/>
        <v>23</v>
      </c>
      <c r="C43" s="16">
        <f t="shared" si="2"/>
        <v>3</v>
      </c>
      <c r="D43" s="16">
        <f t="shared" si="2"/>
        <v>1</v>
      </c>
      <c r="E43" s="16">
        <f t="shared" si="2"/>
        <v>30</v>
      </c>
      <c r="F43" s="16">
        <f t="shared" si="2"/>
        <v>30</v>
      </c>
    </row>
    <row r="44" spans="1:6" x14ac:dyDescent="0.15">
      <c r="A44" s="20" t="str">
        <f t="shared" si="0"/>
        <v>23_3-2</v>
      </c>
      <c r="B44" s="16">
        <f t="shared" si="2"/>
        <v>23</v>
      </c>
      <c r="C44" s="16">
        <f t="shared" si="2"/>
        <v>3</v>
      </c>
      <c r="D44" s="16">
        <f t="shared" si="2"/>
        <v>2</v>
      </c>
      <c r="E44" s="16">
        <f t="shared" si="2"/>
        <v>45</v>
      </c>
      <c r="F44" s="16">
        <f t="shared" si="2"/>
        <v>45</v>
      </c>
    </row>
    <row r="45" spans="1:6" x14ac:dyDescent="0.15">
      <c r="A45" s="20" t="str">
        <f t="shared" si="0"/>
        <v>23_3-3</v>
      </c>
      <c r="B45" s="16">
        <f t="shared" si="2"/>
        <v>23</v>
      </c>
      <c r="C45" s="16">
        <f t="shared" si="2"/>
        <v>3</v>
      </c>
      <c r="D45" s="16">
        <f t="shared" si="2"/>
        <v>3</v>
      </c>
      <c r="E45" s="16">
        <f t="shared" si="2"/>
        <v>60</v>
      </c>
      <c r="F45" s="16">
        <f t="shared" si="2"/>
        <v>60</v>
      </c>
    </row>
    <row r="46" spans="1:6" x14ac:dyDescent="0.15">
      <c r="A46" s="20" t="str">
        <f t="shared" si="0"/>
        <v>23_3-4</v>
      </c>
      <c r="B46" s="16">
        <f t="shared" si="2"/>
        <v>23</v>
      </c>
      <c r="C46" s="16">
        <f t="shared" si="2"/>
        <v>3</v>
      </c>
      <c r="D46" s="16">
        <f t="shared" si="2"/>
        <v>4</v>
      </c>
      <c r="E46" s="16">
        <f t="shared" si="2"/>
        <v>45</v>
      </c>
      <c r="F46" s="16">
        <f t="shared" si="2"/>
        <v>45</v>
      </c>
    </row>
    <row r="47" spans="1:6" x14ac:dyDescent="0.15">
      <c r="A47" s="20" t="str">
        <f t="shared" si="0"/>
        <v>23_3-5</v>
      </c>
      <c r="B47" s="16">
        <f t="shared" si="2"/>
        <v>23</v>
      </c>
      <c r="C47" s="16">
        <f t="shared" si="2"/>
        <v>3</v>
      </c>
      <c r="D47" s="16">
        <f t="shared" si="2"/>
        <v>5</v>
      </c>
      <c r="E47" s="16">
        <f t="shared" si="2"/>
        <v>60</v>
      </c>
      <c r="F47" s="16">
        <f t="shared" si="2"/>
        <v>60</v>
      </c>
    </row>
    <row r="48" spans="1:6" x14ac:dyDescent="0.15">
      <c r="A48" s="20" t="str">
        <f t="shared" si="0"/>
        <v>23_4-1</v>
      </c>
      <c r="B48" s="16">
        <f t="shared" si="2"/>
        <v>23</v>
      </c>
      <c r="C48" s="16">
        <f t="shared" si="2"/>
        <v>4</v>
      </c>
      <c r="D48" s="16">
        <f t="shared" si="2"/>
        <v>1</v>
      </c>
      <c r="E48" s="16">
        <f t="shared" si="2"/>
        <v>30</v>
      </c>
      <c r="F48" s="16">
        <f t="shared" si="2"/>
        <v>30</v>
      </c>
    </row>
    <row r="49" spans="1:6" x14ac:dyDescent="0.15">
      <c r="A49" s="20" t="str">
        <f t="shared" si="0"/>
        <v>23_4-2</v>
      </c>
      <c r="B49" s="16">
        <f t="shared" si="2"/>
        <v>23</v>
      </c>
      <c r="C49" s="16">
        <f t="shared" si="2"/>
        <v>4</v>
      </c>
      <c r="D49" s="16">
        <f t="shared" si="2"/>
        <v>2</v>
      </c>
      <c r="E49" s="16">
        <f t="shared" si="2"/>
        <v>45</v>
      </c>
      <c r="F49" s="16">
        <f t="shared" si="2"/>
        <v>45</v>
      </c>
    </row>
    <row r="50" spans="1:6" x14ac:dyDescent="0.15">
      <c r="A50" s="20" t="str">
        <f t="shared" si="0"/>
        <v>23_4-3</v>
      </c>
      <c r="B50" s="16">
        <f t="shared" si="2"/>
        <v>23</v>
      </c>
      <c r="C50" s="16">
        <f t="shared" si="2"/>
        <v>4</v>
      </c>
      <c r="D50" s="16">
        <f t="shared" si="2"/>
        <v>3</v>
      </c>
      <c r="E50" s="16">
        <f t="shared" si="2"/>
        <v>60</v>
      </c>
      <c r="F50" s="16">
        <f t="shared" si="2"/>
        <v>60</v>
      </c>
    </row>
    <row r="51" spans="1:6" x14ac:dyDescent="0.15">
      <c r="A51" s="20" t="str">
        <f t="shared" si="0"/>
        <v>23_4-4</v>
      </c>
      <c r="B51" s="16">
        <f t="shared" si="2"/>
        <v>23</v>
      </c>
      <c r="C51" s="16">
        <f t="shared" si="2"/>
        <v>4</v>
      </c>
      <c r="D51" s="16">
        <f t="shared" si="2"/>
        <v>4</v>
      </c>
      <c r="E51" s="16">
        <f t="shared" si="2"/>
        <v>45</v>
      </c>
      <c r="F51" s="16">
        <f t="shared" si="2"/>
        <v>45</v>
      </c>
    </row>
    <row r="52" spans="1:6" x14ac:dyDescent="0.15">
      <c r="A52" s="20" t="str">
        <f t="shared" si="0"/>
        <v>23_4-5</v>
      </c>
      <c r="B52" s="16">
        <f t="shared" si="2"/>
        <v>23</v>
      </c>
      <c r="C52" s="16">
        <f t="shared" si="2"/>
        <v>4</v>
      </c>
      <c r="D52" s="16">
        <f t="shared" si="2"/>
        <v>5</v>
      </c>
      <c r="E52" s="16">
        <f t="shared" si="2"/>
        <v>60</v>
      </c>
      <c r="F52" s="16">
        <f t="shared" si="2"/>
        <v>60</v>
      </c>
    </row>
    <row r="53" spans="1:6" x14ac:dyDescent="0.15">
      <c r="A53" s="20" t="str">
        <f t="shared" si="0"/>
        <v>23_5-1</v>
      </c>
      <c r="B53" s="16">
        <f t="shared" si="2"/>
        <v>23</v>
      </c>
      <c r="C53" s="16">
        <f t="shared" si="2"/>
        <v>5</v>
      </c>
      <c r="D53" s="16">
        <f t="shared" si="2"/>
        <v>1</v>
      </c>
      <c r="E53" s="16">
        <f t="shared" si="2"/>
        <v>30</v>
      </c>
      <c r="F53" s="16">
        <f t="shared" si="2"/>
        <v>30</v>
      </c>
    </row>
    <row r="54" spans="1:6" x14ac:dyDescent="0.15">
      <c r="A54" s="20" t="str">
        <f t="shared" si="0"/>
        <v>23_5-2</v>
      </c>
      <c r="B54" s="16">
        <f t="shared" si="2"/>
        <v>23</v>
      </c>
      <c r="C54" s="16">
        <f t="shared" si="2"/>
        <v>5</v>
      </c>
      <c r="D54" s="16">
        <f t="shared" si="2"/>
        <v>2</v>
      </c>
      <c r="E54" s="16">
        <f t="shared" si="2"/>
        <v>45</v>
      </c>
      <c r="F54" s="16">
        <f t="shared" si="2"/>
        <v>45</v>
      </c>
    </row>
    <row r="55" spans="1:6" x14ac:dyDescent="0.15">
      <c r="A55" s="20" t="str">
        <f t="shared" si="0"/>
        <v>23_5-3</v>
      </c>
      <c r="B55" s="16">
        <f t="shared" si="2"/>
        <v>23</v>
      </c>
      <c r="C55" s="16">
        <f t="shared" si="2"/>
        <v>5</v>
      </c>
      <c r="D55" s="16">
        <f t="shared" si="2"/>
        <v>3</v>
      </c>
      <c r="E55" s="16">
        <f t="shared" si="2"/>
        <v>60</v>
      </c>
      <c r="F55" s="16">
        <f t="shared" si="2"/>
        <v>60</v>
      </c>
    </row>
    <row r="56" spans="1:6" x14ac:dyDescent="0.15">
      <c r="A56" s="20" t="str">
        <f t="shared" si="0"/>
        <v>23_5-4</v>
      </c>
      <c r="B56" s="16">
        <f t="shared" si="2"/>
        <v>23</v>
      </c>
      <c r="C56" s="16">
        <f t="shared" si="2"/>
        <v>5</v>
      </c>
      <c r="D56" s="16">
        <f t="shared" si="2"/>
        <v>4</v>
      </c>
      <c r="E56" s="16">
        <f t="shared" si="2"/>
        <v>45</v>
      </c>
      <c r="F56" s="16">
        <f t="shared" si="2"/>
        <v>45</v>
      </c>
    </row>
    <row r="57" spans="1:6" x14ac:dyDescent="0.15">
      <c r="A57" s="20" t="str">
        <f t="shared" si="0"/>
        <v>23_5-5</v>
      </c>
      <c r="B57" s="16">
        <f t="shared" si="2"/>
        <v>23</v>
      </c>
      <c r="C57" s="16">
        <f t="shared" si="2"/>
        <v>5</v>
      </c>
      <c r="D57" s="16">
        <f t="shared" si="2"/>
        <v>5</v>
      </c>
      <c r="E57" s="16">
        <f t="shared" si="2"/>
        <v>60</v>
      </c>
      <c r="F57" s="16">
        <f t="shared" si="2"/>
        <v>60</v>
      </c>
    </row>
    <row r="58" spans="1:6" x14ac:dyDescent="0.15">
      <c r="A58" s="20" t="str">
        <f t="shared" si="0"/>
        <v>23_6-1</v>
      </c>
      <c r="B58" s="16">
        <f t="shared" si="2"/>
        <v>23</v>
      </c>
      <c r="C58" s="16">
        <f t="shared" si="2"/>
        <v>6</v>
      </c>
      <c r="D58" s="16">
        <f t="shared" si="2"/>
        <v>1</v>
      </c>
      <c r="E58" s="16">
        <f t="shared" si="2"/>
        <v>40</v>
      </c>
      <c r="F58" s="16">
        <f t="shared" si="2"/>
        <v>60</v>
      </c>
    </row>
    <row r="59" spans="1:6" x14ac:dyDescent="0.15">
      <c r="A59" s="20" t="str">
        <f t="shared" si="0"/>
        <v>23_6-2</v>
      </c>
      <c r="B59" s="16">
        <f t="shared" si="2"/>
        <v>23</v>
      </c>
      <c r="C59" s="16">
        <f t="shared" si="2"/>
        <v>6</v>
      </c>
      <c r="D59" s="16">
        <f t="shared" si="2"/>
        <v>2</v>
      </c>
      <c r="E59" s="16">
        <f t="shared" si="2"/>
        <v>40</v>
      </c>
      <c r="F59" s="16">
        <f t="shared" si="2"/>
        <v>60</v>
      </c>
    </row>
    <row r="60" spans="1:6" x14ac:dyDescent="0.15">
      <c r="A60" s="20" t="str">
        <f t="shared" si="0"/>
        <v>23_6-3</v>
      </c>
      <c r="B60" s="16">
        <f t="shared" si="2"/>
        <v>23</v>
      </c>
      <c r="C60" s="16">
        <f t="shared" si="2"/>
        <v>6</v>
      </c>
      <c r="D60" s="16">
        <f t="shared" si="2"/>
        <v>3</v>
      </c>
      <c r="E60" s="16">
        <f t="shared" si="2"/>
        <v>40</v>
      </c>
      <c r="F60" s="16">
        <f t="shared" si="2"/>
        <v>60</v>
      </c>
    </row>
    <row r="61" spans="1:6" x14ac:dyDescent="0.15">
      <c r="A61" s="20" t="str">
        <f t="shared" si="0"/>
        <v>23_6-4</v>
      </c>
      <c r="B61" s="16">
        <f t="shared" si="2"/>
        <v>23</v>
      </c>
      <c r="C61" s="16">
        <f t="shared" si="2"/>
        <v>6</v>
      </c>
      <c r="D61" s="16">
        <f t="shared" si="2"/>
        <v>4</v>
      </c>
      <c r="E61" s="16">
        <f t="shared" si="2"/>
        <v>60</v>
      </c>
      <c r="F61" s="16">
        <f t="shared" si="2"/>
        <v>60</v>
      </c>
    </row>
    <row r="62" spans="1:6" x14ac:dyDescent="0.15">
      <c r="A62" s="20" t="str">
        <f t="shared" si="0"/>
        <v>23_6-5</v>
      </c>
      <c r="B62" s="16">
        <f t="shared" si="2"/>
        <v>23</v>
      </c>
      <c r="C62" s="16">
        <f t="shared" si="2"/>
        <v>6</v>
      </c>
      <c r="D62" s="16">
        <f t="shared" si="2"/>
        <v>5</v>
      </c>
      <c r="E62" s="16">
        <f t="shared" si="2"/>
        <v>40</v>
      </c>
      <c r="F62" s="16">
        <f t="shared" si="2"/>
        <v>40</v>
      </c>
    </row>
    <row r="63" spans="1:6" x14ac:dyDescent="0.15">
      <c r="A63" s="20" t="str">
        <f t="shared" si="0"/>
        <v>24_1-1</v>
      </c>
      <c r="B63" s="16">
        <f t="shared" si="2"/>
        <v>24</v>
      </c>
      <c r="C63" s="16">
        <f t="shared" si="2"/>
        <v>1</v>
      </c>
      <c r="D63" s="16">
        <f t="shared" si="2"/>
        <v>1</v>
      </c>
      <c r="E63" s="16">
        <f t="shared" si="2"/>
        <v>30</v>
      </c>
      <c r="F63" s="16">
        <f t="shared" si="2"/>
        <v>30</v>
      </c>
    </row>
    <row r="64" spans="1:6" x14ac:dyDescent="0.15">
      <c r="A64" s="20" t="str">
        <f t="shared" si="0"/>
        <v>24_1-2</v>
      </c>
      <c r="B64" s="16">
        <f t="shared" si="2"/>
        <v>24</v>
      </c>
      <c r="C64" s="16">
        <f t="shared" si="2"/>
        <v>1</v>
      </c>
      <c r="D64" s="16">
        <f t="shared" si="2"/>
        <v>2</v>
      </c>
      <c r="E64" s="16">
        <f t="shared" si="2"/>
        <v>45</v>
      </c>
      <c r="F64" s="16">
        <f t="shared" si="2"/>
        <v>60</v>
      </c>
    </row>
    <row r="65" spans="1:6" x14ac:dyDescent="0.15">
      <c r="A65" s="20" t="str">
        <f t="shared" si="0"/>
        <v>24_1-3</v>
      </c>
      <c r="B65" s="16">
        <f t="shared" si="2"/>
        <v>24</v>
      </c>
      <c r="C65" s="16">
        <f t="shared" si="2"/>
        <v>1</v>
      </c>
      <c r="D65" s="16">
        <f t="shared" si="2"/>
        <v>3</v>
      </c>
      <c r="E65" s="16">
        <f t="shared" si="2"/>
        <v>60</v>
      </c>
      <c r="F65" s="16">
        <f t="shared" si="2"/>
        <v>60</v>
      </c>
    </row>
    <row r="66" spans="1:6" x14ac:dyDescent="0.15">
      <c r="A66" s="20" t="str">
        <f t="shared" si="0"/>
        <v>24_1-4</v>
      </c>
      <c r="B66" s="16">
        <f t="shared" si="2"/>
        <v>24</v>
      </c>
      <c r="C66" s="16">
        <f t="shared" si="2"/>
        <v>1</v>
      </c>
      <c r="D66" s="16">
        <f t="shared" si="2"/>
        <v>4</v>
      </c>
      <c r="E66" s="16">
        <f t="shared" si="2"/>
        <v>45</v>
      </c>
      <c r="F66" s="16">
        <f t="shared" si="2"/>
        <v>45</v>
      </c>
    </row>
    <row r="67" spans="1:6" x14ac:dyDescent="0.15">
      <c r="A67" s="20" t="str">
        <f t="shared" ref="A67:A130" si="3">INDIRECT(ADDRESS(ROW()+$A$1,COLUMN(),1,TRUE,$C$1))</f>
        <v>24_1-5</v>
      </c>
      <c r="B67" s="16">
        <f t="shared" si="2"/>
        <v>24</v>
      </c>
      <c r="C67" s="16">
        <f t="shared" si="2"/>
        <v>1</v>
      </c>
      <c r="D67" s="16">
        <f t="shared" si="2"/>
        <v>5</v>
      </c>
      <c r="E67" s="16">
        <f t="shared" si="2"/>
        <v>60</v>
      </c>
      <c r="F67" s="16">
        <f t="shared" si="2"/>
        <v>60</v>
      </c>
    </row>
    <row r="68" spans="1:6" x14ac:dyDescent="0.15">
      <c r="A68" s="20" t="str">
        <f t="shared" si="3"/>
        <v>24_2-1</v>
      </c>
      <c r="B68" s="16">
        <f t="shared" si="2"/>
        <v>24</v>
      </c>
      <c r="C68" s="16">
        <f t="shared" si="2"/>
        <v>2</v>
      </c>
      <c r="D68" s="16">
        <f t="shared" si="2"/>
        <v>1</v>
      </c>
      <c r="E68" s="16">
        <f t="shared" si="2"/>
        <v>30</v>
      </c>
      <c r="F68" s="16">
        <f t="shared" si="2"/>
        <v>30</v>
      </c>
    </row>
    <row r="69" spans="1:6" x14ac:dyDescent="0.15">
      <c r="A69" s="20" t="str">
        <f t="shared" si="3"/>
        <v>24_2-2</v>
      </c>
      <c r="B69" s="16">
        <f t="shared" si="2"/>
        <v>24</v>
      </c>
      <c r="C69" s="16">
        <f t="shared" si="2"/>
        <v>2</v>
      </c>
      <c r="D69" s="16">
        <f t="shared" si="2"/>
        <v>2</v>
      </c>
      <c r="E69" s="16">
        <f t="shared" si="2"/>
        <v>45</v>
      </c>
      <c r="F69" s="16">
        <f t="shared" si="2"/>
        <v>60</v>
      </c>
    </row>
    <row r="70" spans="1:6" x14ac:dyDescent="0.15">
      <c r="A70" s="20" t="str">
        <f t="shared" si="3"/>
        <v>24_2-3</v>
      </c>
      <c r="B70" s="16">
        <f t="shared" ref="B70:F120" si="4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70" s="16">
        <f t="shared" si="4"/>
        <v>2</v>
      </c>
      <c r="D70" s="16">
        <f t="shared" si="4"/>
        <v>3</v>
      </c>
      <c r="E70" s="16">
        <f t="shared" si="4"/>
        <v>60</v>
      </c>
      <c r="F70" s="16">
        <f t="shared" si="4"/>
        <v>60</v>
      </c>
    </row>
    <row r="71" spans="1:6" x14ac:dyDescent="0.15">
      <c r="A71" s="20" t="str">
        <f t="shared" si="3"/>
        <v>24_2-4</v>
      </c>
      <c r="B71" s="16">
        <f t="shared" si="4"/>
        <v>24</v>
      </c>
      <c r="C71" s="16">
        <f t="shared" si="4"/>
        <v>2</v>
      </c>
      <c r="D71" s="16">
        <f t="shared" si="4"/>
        <v>4</v>
      </c>
      <c r="E71" s="16">
        <f t="shared" si="4"/>
        <v>45</v>
      </c>
      <c r="F71" s="16">
        <f t="shared" si="4"/>
        <v>45</v>
      </c>
    </row>
    <row r="72" spans="1:6" x14ac:dyDescent="0.15">
      <c r="A72" s="20" t="str">
        <f t="shared" si="3"/>
        <v>24_2-5</v>
      </c>
      <c r="B72" s="16">
        <f t="shared" si="4"/>
        <v>24</v>
      </c>
      <c r="C72" s="16">
        <f t="shared" si="4"/>
        <v>2</v>
      </c>
      <c r="D72" s="16">
        <f t="shared" si="4"/>
        <v>5</v>
      </c>
      <c r="E72" s="16">
        <f t="shared" si="4"/>
        <v>60</v>
      </c>
      <c r="F72" s="16">
        <f t="shared" si="4"/>
        <v>60</v>
      </c>
    </row>
    <row r="73" spans="1:6" x14ac:dyDescent="0.15">
      <c r="A73" s="20" t="str">
        <f t="shared" si="3"/>
        <v>24_3-1</v>
      </c>
      <c r="B73" s="16">
        <f t="shared" si="4"/>
        <v>24</v>
      </c>
      <c r="C73" s="16">
        <f t="shared" si="4"/>
        <v>3</v>
      </c>
      <c r="D73" s="16">
        <f t="shared" si="4"/>
        <v>1</v>
      </c>
      <c r="E73" s="16">
        <f t="shared" si="4"/>
        <v>30</v>
      </c>
      <c r="F73" s="16">
        <f t="shared" si="4"/>
        <v>30</v>
      </c>
    </row>
    <row r="74" spans="1:6" x14ac:dyDescent="0.15">
      <c r="A74" s="20" t="str">
        <f t="shared" si="3"/>
        <v>24_3-2</v>
      </c>
      <c r="B74" s="16">
        <f t="shared" si="4"/>
        <v>24</v>
      </c>
      <c r="C74" s="16">
        <f t="shared" si="4"/>
        <v>3</v>
      </c>
      <c r="D74" s="16">
        <f t="shared" si="4"/>
        <v>2</v>
      </c>
      <c r="E74" s="16">
        <f t="shared" si="4"/>
        <v>45</v>
      </c>
      <c r="F74" s="16">
        <f t="shared" si="4"/>
        <v>60</v>
      </c>
    </row>
    <row r="75" spans="1:6" x14ac:dyDescent="0.15">
      <c r="A75" s="20" t="str">
        <f t="shared" si="3"/>
        <v>24_3-3</v>
      </c>
      <c r="B75" s="16">
        <f t="shared" si="4"/>
        <v>24</v>
      </c>
      <c r="C75" s="16">
        <f t="shared" si="4"/>
        <v>3</v>
      </c>
      <c r="D75" s="16">
        <f t="shared" si="4"/>
        <v>3</v>
      </c>
      <c r="E75" s="16">
        <f t="shared" si="4"/>
        <v>60</v>
      </c>
      <c r="F75" s="16">
        <f t="shared" si="4"/>
        <v>60</v>
      </c>
    </row>
    <row r="76" spans="1:6" x14ac:dyDescent="0.15">
      <c r="A76" s="20" t="str">
        <f t="shared" si="3"/>
        <v>24_3-4</v>
      </c>
      <c r="B76" s="16">
        <f t="shared" si="4"/>
        <v>24</v>
      </c>
      <c r="C76" s="16">
        <f t="shared" si="4"/>
        <v>3</v>
      </c>
      <c r="D76" s="16">
        <f t="shared" si="4"/>
        <v>4</v>
      </c>
      <c r="E76" s="16">
        <f t="shared" si="4"/>
        <v>45</v>
      </c>
      <c r="F76" s="16">
        <f t="shared" si="4"/>
        <v>45</v>
      </c>
    </row>
    <row r="77" spans="1:6" x14ac:dyDescent="0.15">
      <c r="A77" s="20" t="str">
        <f t="shared" si="3"/>
        <v>24_3-5</v>
      </c>
      <c r="B77" s="16">
        <f t="shared" si="4"/>
        <v>24</v>
      </c>
      <c r="C77" s="16">
        <f t="shared" si="4"/>
        <v>3</v>
      </c>
      <c r="D77" s="16">
        <f t="shared" si="4"/>
        <v>5</v>
      </c>
      <c r="E77" s="16">
        <f t="shared" si="4"/>
        <v>60</v>
      </c>
      <c r="F77" s="16">
        <f t="shared" si="4"/>
        <v>60</v>
      </c>
    </row>
    <row r="78" spans="1:6" x14ac:dyDescent="0.15">
      <c r="A78" s="20" t="str">
        <f t="shared" si="3"/>
        <v>24_4-1</v>
      </c>
      <c r="B78" s="16">
        <f t="shared" si="4"/>
        <v>24</v>
      </c>
      <c r="C78" s="16">
        <f t="shared" si="4"/>
        <v>4</v>
      </c>
      <c r="D78" s="16">
        <f t="shared" si="4"/>
        <v>1</v>
      </c>
      <c r="E78" s="16">
        <f t="shared" si="4"/>
        <v>30</v>
      </c>
      <c r="F78" s="16">
        <f t="shared" si="4"/>
        <v>30</v>
      </c>
    </row>
    <row r="79" spans="1:6" x14ac:dyDescent="0.15">
      <c r="A79" s="20" t="str">
        <f t="shared" si="3"/>
        <v>24_4-2</v>
      </c>
      <c r="B79" s="16">
        <f t="shared" si="4"/>
        <v>24</v>
      </c>
      <c r="C79" s="16">
        <f t="shared" si="4"/>
        <v>4</v>
      </c>
      <c r="D79" s="16">
        <f t="shared" si="4"/>
        <v>2</v>
      </c>
      <c r="E79" s="16">
        <f t="shared" si="4"/>
        <v>45</v>
      </c>
      <c r="F79" s="16">
        <f t="shared" si="4"/>
        <v>60</v>
      </c>
    </row>
    <row r="80" spans="1:6" x14ac:dyDescent="0.15">
      <c r="A80" s="20" t="str">
        <f t="shared" si="3"/>
        <v>24_4-3</v>
      </c>
      <c r="B80" s="16">
        <f t="shared" si="4"/>
        <v>24</v>
      </c>
      <c r="C80" s="16">
        <f t="shared" si="4"/>
        <v>4</v>
      </c>
      <c r="D80" s="16">
        <f t="shared" si="4"/>
        <v>3</v>
      </c>
      <c r="E80" s="16">
        <f t="shared" si="4"/>
        <v>60</v>
      </c>
      <c r="F80" s="16">
        <f t="shared" si="4"/>
        <v>60</v>
      </c>
    </row>
    <row r="81" spans="1:6" x14ac:dyDescent="0.15">
      <c r="A81" s="20" t="str">
        <f t="shared" si="3"/>
        <v>24_4-4</v>
      </c>
      <c r="B81" s="16">
        <f t="shared" si="4"/>
        <v>24</v>
      </c>
      <c r="C81" s="16">
        <f t="shared" si="4"/>
        <v>4</v>
      </c>
      <c r="D81" s="16">
        <f t="shared" si="4"/>
        <v>4</v>
      </c>
      <c r="E81" s="16">
        <f t="shared" si="4"/>
        <v>45</v>
      </c>
      <c r="F81" s="16">
        <f t="shared" si="4"/>
        <v>45</v>
      </c>
    </row>
    <row r="82" spans="1:6" x14ac:dyDescent="0.15">
      <c r="A82" s="20" t="str">
        <f t="shared" si="3"/>
        <v>24_4-5</v>
      </c>
      <c r="B82" s="16">
        <f t="shared" si="4"/>
        <v>24</v>
      </c>
      <c r="C82" s="16">
        <f t="shared" si="4"/>
        <v>4</v>
      </c>
      <c r="D82" s="16">
        <f t="shared" si="4"/>
        <v>5</v>
      </c>
      <c r="E82" s="16">
        <f t="shared" si="4"/>
        <v>60</v>
      </c>
      <c r="F82" s="16">
        <f t="shared" si="4"/>
        <v>60</v>
      </c>
    </row>
    <row r="83" spans="1:6" x14ac:dyDescent="0.15">
      <c r="A83" s="20" t="str">
        <f t="shared" si="3"/>
        <v>24_5-1</v>
      </c>
      <c r="B83" s="16">
        <f t="shared" si="4"/>
        <v>24</v>
      </c>
      <c r="C83" s="16">
        <f t="shared" si="4"/>
        <v>5</v>
      </c>
      <c r="D83" s="16">
        <f t="shared" si="4"/>
        <v>1</v>
      </c>
      <c r="E83" s="16">
        <f t="shared" si="4"/>
        <v>30</v>
      </c>
      <c r="F83" s="16">
        <f t="shared" si="4"/>
        <v>30</v>
      </c>
    </row>
    <row r="84" spans="1:6" x14ac:dyDescent="0.15">
      <c r="A84" s="20" t="str">
        <f t="shared" si="3"/>
        <v>24_5-2</v>
      </c>
      <c r="B84" s="16">
        <f t="shared" si="4"/>
        <v>24</v>
      </c>
      <c r="C84" s="16">
        <f t="shared" si="4"/>
        <v>5</v>
      </c>
      <c r="D84" s="16">
        <f t="shared" si="4"/>
        <v>2</v>
      </c>
      <c r="E84" s="16">
        <f t="shared" si="4"/>
        <v>45</v>
      </c>
      <c r="F84" s="16">
        <f t="shared" si="4"/>
        <v>60</v>
      </c>
    </row>
    <row r="85" spans="1:6" x14ac:dyDescent="0.15">
      <c r="A85" s="20" t="str">
        <f t="shared" si="3"/>
        <v>24_5-3</v>
      </c>
      <c r="B85" s="16">
        <f t="shared" si="4"/>
        <v>24</v>
      </c>
      <c r="C85" s="16">
        <f t="shared" si="4"/>
        <v>5</v>
      </c>
      <c r="D85" s="16">
        <f t="shared" si="4"/>
        <v>3</v>
      </c>
      <c r="E85" s="16">
        <f t="shared" si="4"/>
        <v>60</v>
      </c>
      <c r="F85" s="16">
        <f t="shared" si="4"/>
        <v>60</v>
      </c>
    </row>
    <row r="86" spans="1:6" x14ac:dyDescent="0.15">
      <c r="A86" s="20" t="str">
        <f t="shared" si="3"/>
        <v>24_5-4</v>
      </c>
      <c r="B86" s="16">
        <f t="shared" si="4"/>
        <v>24</v>
      </c>
      <c r="C86" s="16">
        <f t="shared" si="4"/>
        <v>5</v>
      </c>
      <c r="D86" s="16">
        <f t="shared" si="4"/>
        <v>4</v>
      </c>
      <c r="E86" s="16">
        <f t="shared" si="4"/>
        <v>45</v>
      </c>
      <c r="F86" s="16">
        <f t="shared" si="4"/>
        <v>45</v>
      </c>
    </row>
    <row r="87" spans="1:6" x14ac:dyDescent="0.15">
      <c r="A87" s="20" t="str">
        <f t="shared" si="3"/>
        <v>24_5-5</v>
      </c>
      <c r="B87" s="16">
        <f t="shared" si="4"/>
        <v>24</v>
      </c>
      <c r="C87" s="16">
        <f t="shared" si="4"/>
        <v>5</v>
      </c>
      <c r="D87" s="16">
        <f t="shared" si="4"/>
        <v>5</v>
      </c>
      <c r="E87" s="16">
        <f t="shared" si="4"/>
        <v>60</v>
      </c>
      <c r="F87" s="16">
        <f t="shared" si="4"/>
        <v>60</v>
      </c>
    </row>
    <row r="88" spans="1:6" x14ac:dyDescent="0.15">
      <c r="A88" s="20" t="str">
        <f t="shared" si="3"/>
        <v>24_6-1</v>
      </c>
      <c r="B88" s="16">
        <f t="shared" si="4"/>
        <v>24</v>
      </c>
      <c r="C88" s="16">
        <f t="shared" si="4"/>
        <v>6</v>
      </c>
      <c r="D88" s="16">
        <f t="shared" si="4"/>
        <v>1</v>
      </c>
      <c r="E88" s="16">
        <f t="shared" si="4"/>
        <v>40</v>
      </c>
      <c r="F88" s="16">
        <f t="shared" si="4"/>
        <v>60</v>
      </c>
    </row>
    <row r="89" spans="1:6" x14ac:dyDescent="0.15">
      <c r="A89" s="20" t="str">
        <f t="shared" si="3"/>
        <v>24_6-2</v>
      </c>
      <c r="B89" s="16">
        <f t="shared" si="4"/>
        <v>24</v>
      </c>
      <c r="C89" s="16">
        <f t="shared" si="4"/>
        <v>6</v>
      </c>
      <c r="D89" s="16">
        <f t="shared" si="4"/>
        <v>2</v>
      </c>
      <c r="E89" s="16">
        <f t="shared" si="4"/>
        <v>40</v>
      </c>
      <c r="F89" s="16">
        <f t="shared" si="4"/>
        <v>60</v>
      </c>
    </row>
    <row r="90" spans="1:6" x14ac:dyDescent="0.15">
      <c r="A90" s="20" t="str">
        <f t="shared" si="3"/>
        <v>24_6-3</v>
      </c>
      <c r="B90" s="16">
        <f t="shared" si="4"/>
        <v>24</v>
      </c>
      <c r="C90" s="16">
        <f t="shared" si="4"/>
        <v>6</v>
      </c>
      <c r="D90" s="16">
        <f t="shared" si="4"/>
        <v>3</v>
      </c>
      <c r="E90" s="16">
        <f t="shared" si="4"/>
        <v>40</v>
      </c>
      <c r="F90" s="16">
        <f t="shared" si="4"/>
        <v>60</v>
      </c>
    </row>
    <row r="91" spans="1:6" x14ac:dyDescent="0.15">
      <c r="A91" s="20" t="str">
        <f t="shared" si="3"/>
        <v>24_6-4</v>
      </c>
      <c r="B91" s="16">
        <f t="shared" si="4"/>
        <v>24</v>
      </c>
      <c r="C91" s="16">
        <f t="shared" si="4"/>
        <v>6</v>
      </c>
      <c r="D91" s="16">
        <f t="shared" si="4"/>
        <v>4</v>
      </c>
      <c r="E91" s="16">
        <f t="shared" si="4"/>
        <v>60</v>
      </c>
      <c r="F91" s="16">
        <f t="shared" si="4"/>
        <v>60</v>
      </c>
    </row>
    <row r="92" spans="1:6" x14ac:dyDescent="0.15">
      <c r="A92" s="20" t="str">
        <f t="shared" si="3"/>
        <v>24_6-5</v>
      </c>
      <c r="B92" s="16">
        <f t="shared" si="4"/>
        <v>24</v>
      </c>
      <c r="C92" s="16">
        <f t="shared" si="4"/>
        <v>6</v>
      </c>
      <c r="D92" s="16">
        <f t="shared" si="4"/>
        <v>5</v>
      </c>
      <c r="E92" s="16">
        <f t="shared" si="4"/>
        <v>40</v>
      </c>
      <c r="F92" s="16">
        <f t="shared" si="4"/>
        <v>40</v>
      </c>
    </row>
    <row r="93" spans="1:6" x14ac:dyDescent="0.15">
      <c r="A93" s="20" t="str">
        <f t="shared" si="3"/>
        <v>25_1-1</v>
      </c>
      <c r="B93" s="16">
        <f t="shared" si="4"/>
        <v>25</v>
      </c>
      <c r="C93" s="16">
        <f t="shared" si="4"/>
        <v>1</v>
      </c>
      <c r="D93" s="16">
        <f t="shared" si="4"/>
        <v>1</v>
      </c>
      <c r="E93" s="16">
        <f t="shared" si="4"/>
        <v>30</v>
      </c>
      <c r="F93" s="16">
        <f t="shared" si="4"/>
        <v>30</v>
      </c>
    </row>
    <row r="94" spans="1:6" x14ac:dyDescent="0.15">
      <c r="A94" s="20" t="str">
        <f t="shared" si="3"/>
        <v>25_1-2</v>
      </c>
      <c r="B94" s="16">
        <f t="shared" si="4"/>
        <v>25</v>
      </c>
      <c r="C94" s="16">
        <f t="shared" si="4"/>
        <v>1</v>
      </c>
      <c r="D94" s="16">
        <f t="shared" si="4"/>
        <v>2</v>
      </c>
      <c r="E94" s="16">
        <f t="shared" si="4"/>
        <v>45</v>
      </c>
      <c r="F94" s="16">
        <f t="shared" si="4"/>
        <v>60</v>
      </c>
    </row>
    <row r="95" spans="1:6" x14ac:dyDescent="0.15">
      <c r="A95" s="20" t="str">
        <f t="shared" si="3"/>
        <v>25_1-3</v>
      </c>
      <c r="B95" s="16">
        <f t="shared" si="4"/>
        <v>25</v>
      </c>
      <c r="C95" s="16">
        <f t="shared" si="4"/>
        <v>1</v>
      </c>
      <c r="D95" s="16">
        <f t="shared" si="4"/>
        <v>3</v>
      </c>
      <c r="E95" s="16">
        <f t="shared" si="4"/>
        <v>60</v>
      </c>
      <c r="F95" s="16">
        <f t="shared" si="4"/>
        <v>60</v>
      </c>
    </row>
    <row r="96" spans="1:6" x14ac:dyDescent="0.15">
      <c r="A96" s="20" t="str">
        <f t="shared" si="3"/>
        <v>25_1-4</v>
      </c>
      <c r="B96" s="16">
        <f t="shared" si="4"/>
        <v>25</v>
      </c>
      <c r="C96" s="16">
        <f t="shared" si="4"/>
        <v>1</v>
      </c>
      <c r="D96" s="16">
        <f t="shared" si="4"/>
        <v>4</v>
      </c>
      <c r="E96" s="16">
        <f t="shared" si="4"/>
        <v>45</v>
      </c>
      <c r="F96" s="16">
        <f t="shared" si="4"/>
        <v>45</v>
      </c>
    </row>
    <row r="97" spans="1:6" x14ac:dyDescent="0.15">
      <c r="A97" s="20" t="str">
        <f t="shared" si="3"/>
        <v>25_1-5</v>
      </c>
      <c r="B97" s="16">
        <f t="shared" si="4"/>
        <v>25</v>
      </c>
      <c r="C97" s="16">
        <f t="shared" si="4"/>
        <v>1</v>
      </c>
      <c r="D97" s="16">
        <f t="shared" si="4"/>
        <v>5</v>
      </c>
      <c r="E97" s="16">
        <f t="shared" si="4"/>
        <v>60</v>
      </c>
      <c r="F97" s="16">
        <f t="shared" si="4"/>
        <v>60</v>
      </c>
    </row>
    <row r="98" spans="1:6" x14ac:dyDescent="0.15">
      <c r="A98" s="20" t="str">
        <f t="shared" si="3"/>
        <v>25_2-1</v>
      </c>
      <c r="B98" s="16">
        <f t="shared" si="4"/>
        <v>25</v>
      </c>
      <c r="C98" s="16">
        <f t="shared" si="4"/>
        <v>2</v>
      </c>
      <c r="D98" s="16">
        <f t="shared" si="4"/>
        <v>1</v>
      </c>
      <c r="E98" s="16">
        <f t="shared" si="4"/>
        <v>30</v>
      </c>
      <c r="F98" s="16">
        <f t="shared" si="4"/>
        <v>30</v>
      </c>
    </row>
    <row r="99" spans="1:6" x14ac:dyDescent="0.15">
      <c r="A99" s="20" t="str">
        <f t="shared" si="3"/>
        <v>25_2-2</v>
      </c>
      <c r="B99" s="16">
        <f t="shared" si="4"/>
        <v>25</v>
      </c>
      <c r="C99" s="16">
        <f t="shared" si="4"/>
        <v>2</v>
      </c>
      <c r="D99" s="16">
        <f t="shared" si="4"/>
        <v>2</v>
      </c>
      <c r="E99" s="16">
        <f t="shared" si="4"/>
        <v>45</v>
      </c>
      <c r="F99" s="16">
        <f t="shared" si="4"/>
        <v>60</v>
      </c>
    </row>
    <row r="100" spans="1:6" x14ac:dyDescent="0.15">
      <c r="A100" s="20" t="str">
        <f t="shared" si="3"/>
        <v>25_2-3</v>
      </c>
      <c r="B100" s="16">
        <f t="shared" si="4"/>
        <v>25</v>
      </c>
      <c r="C100" s="16">
        <f t="shared" si="4"/>
        <v>2</v>
      </c>
      <c r="D100" s="16">
        <f t="shared" si="4"/>
        <v>3</v>
      </c>
      <c r="E100" s="16">
        <f t="shared" si="4"/>
        <v>60</v>
      </c>
      <c r="F100" s="16">
        <f t="shared" si="4"/>
        <v>60</v>
      </c>
    </row>
    <row r="101" spans="1:6" x14ac:dyDescent="0.15">
      <c r="A101" s="20" t="str">
        <f t="shared" si="3"/>
        <v>25_2-4</v>
      </c>
      <c r="B101" s="16">
        <f t="shared" si="4"/>
        <v>25</v>
      </c>
      <c r="C101" s="16">
        <f t="shared" si="4"/>
        <v>2</v>
      </c>
      <c r="D101" s="16">
        <f t="shared" si="4"/>
        <v>4</v>
      </c>
      <c r="E101" s="16">
        <f t="shared" si="4"/>
        <v>45</v>
      </c>
      <c r="F101" s="16">
        <f t="shared" si="4"/>
        <v>45</v>
      </c>
    </row>
    <row r="102" spans="1:6" x14ac:dyDescent="0.15">
      <c r="A102" s="20" t="str">
        <f t="shared" si="3"/>
        <v>25_2-5</v>
      </c>
      <c r="B102" s="16">
        <f t="shared" si="4"/>
        <v>25</v>
      </c>
      <c r="C102" s="16">
        <f t="shared" si="4"/>
        <v>2</v>
      </c>
      <c r="D102" s="16">
        <f t="shared" si="4"/>
        <v>5</v>
      </c>
      <c r="E102" s="16">
        <f t="shared" si="4"/>
        <v>60</v>
      </c>
      <c r="F102" s="16">
        <f t="shared" si="4"/>
        <v>60</v>
      </c>
    </row>
    <row r="103" spans="1:6" x14ac:dyDescent="0.15">
      <c r="A103" s="20" t="str">
        <f t="shared" si="3"/>
        <v>25_3-1</v>
      </c>
      <c r="B103" s="16">
        <f t="shared" si="4"/>
        <v>25</v>
      </c>
      <c r="C103" s="16">
        <f t="shared" si="4"/>
        <v>3</v>
      </c>
      <c r="D103" s="16">
        <f t="shared" si="4"/>
        <v>1</v>
      </c>
      <c r="E103" s="16">
        <f t="shared" si="4"/>
        <v>30</v>
      </c>
      <c r="F103" s="16">
        <f t="shared" si="4"/>
        <v>30</v>
      </c>
    </row>
    <row r="104" spans="1:6" x14ac:dyDescent="0.15">
      <c r="A104" s="20" t="str">
        <f t="shared" si="3"/>
        <v>25_3-2</v>
      </c>
      <c r="B104" s="16">
        <f t="shared" si="4"/>
        <v>25</v>
      </c>
      <c r="C104" s="16">
        <f t="shared" si="4"/>
        <v>3</v>
      </c>
      <c r="D104" s="16">
        <f t="shared" si="4"/>
        <v>2</v>
      </c>
      <c r="E104" s="16">
        <f t="shared" si="4"/>
        <v>45</v>
      </c>
      <c r="F104" s="16">
        <f t="shared" si="4"/>
        <v>60</v>
      </c>
    </row>
    <row r="105" spans="1:6" x14ac:dyDescent="0.15">
      <c r="A105" s="20" t="str">
        <f t="shared" si="3"/>
        <v>25_3-3</v>
      </c>
      <c r="B105" s="16">
        <f t="shared" si="4"/>
        <v>25</v>
      </c>
      <c r="C105" s="16">
        <f t="shared" si="4"/>
        <v>3</v>
      </c>
      <c r="D105" s="16">
        <f t="shared" si="4"/>
        <v>3</v>
      </c>
      <c r="E105" s="16">
        <f t="shared" si="4"/>
        <v>60</v>
      </c>
      <c r="F105" s="16">
        <f t="shared" si="4"/>
        <v>60</v>
      </c>
    </row>
    <row r="106" spans="1:6" x14ac:dyDescent="0.15">
      <c r="A106" s="20" t="str">
        <f t="shared" si="3"/>
        <v>25_3-4</v>
      </c>
      <c r="B106" s="16">
        <f t="shared" si="4"/>
        <v>25</v>
      </c>
      <c r="C106" s="16">
        <f t="shared" si="4"/>
        <v>3</v>
      </c>
      <c r="D106" s="16">
        <f t="shared" si="4"/>
        <v>4</v>
      </c>
      <c r="E106" s="16">
        <f t="shared" si="4"/>
        <v>45</v>
      </c>
      <c r="F106" s="16">
        <f t="shared" si="4"/>
        <v>45</v>
      </c>
    </row>
    <row r="107" spans="1:6" x14ac:dyDescent="0.15">
      <c r="A107" s="20" t="str">
        <f t="shared" si="3"/>
        <v>25_3-5</v>
      </c>
      <c r="B107" s="16">
        <f t="shared" si="4"/>
        <v>25</v>
      </c>
      <c r="C107" s="16">
        <f t="shared" si="4"/>
        <v>3</v>
      </c>
      <c r="D107" s="16">
        <f t="shared" si="4"/>
        <v>5</v>
      </c>
      <c r="E107" s="16">
        <f t="shared" si="4"/>
        <v>30</v>
      </c>
      <c r="F107" s="16">
        <f t="shared" si="4"/>
        <v>30</v>
      </c>
    </row>
    <row r="108" spans="1:6" x14ac:dyDescent="0.15">
      <c r="A108" s="20" t="str">
        <f t="shared" si="3"/>
        <v>25_4-1</v>
      </c>
      <c r="B108" s="16">
        <f t="shared" si="4"/>
        <v>25</v>
      </c>
      <c r="C108" s="16">
        <f t="shared" si="4"/>
        <v>4</v>
      </c>
      <c r="D108" s="16">
        <f t="shared" si="4"/>
        <v>1</v>
      </c>
      <c r="E108" s="16">
        <f t="shared" si="4"/>
        <v>30</v>
      </c>
      <c r="F108" s="16">
        <f t="shared" si="4"/>
        <v>30</v>
      </c>
    </row>
    <row r="109" spans="1:6" x14ac:dyDescent="0.15">
      <c r="A109" s="20" t="str">
        <f t="shared" si="3"/>
        <v>25_4-2</v>
      </c>
      <c r="B109" s="16">
        <f t="shared" si="4"/>
        <v>25</v>
      </c>
      <c r="C109" s="16">
        <f t="shared" si="4"/>
        <v>4</v>
      </c>
      <c r="D109" s="16">
        <f t="shared" si="4"/>
        <v>2</v>
      </c>
      <c r="E109" s="16">
        <f t="shared" si="4"/>
        <v>45</v>
      </c>
      <c r="F109" s="16">
        <f t="shared" si="4"/>
        <v>60</v>
      </c>
    </row>
    <row r="110" spans="1:6" x14ac:dyDescent="0.15">
      <c r="A110" s="20" t="str">
        <f t="shared" si="3"/>
        <v>25_4-3</v>
      </c>
      <c r="B110" s="16">
        <f t="shared" si="4"/>
        <v>25</v>
      </c>
      <c r="C110" s="16">
        <f t="shared" si="4"/>
        <v>4</v>
      </c>
      <c r="D110" s="16">
        <f t="shared" si="4"/>
        <v>3</v>
      </c>
      <c r="E110" s="16">
        <f t="shared" si="4"/>
        <v>60</v>
      </c>
      <c r="F110" s="16">
        <f t="shared" si="4"/>
        <v>60</v>
      </c>
    </row>
    <row r="111" spans="1:6" x14ac:dyDescent="0.15">
      <c r="A111" s="20" t="str">
        <f t="shared" si="3"/>
        <v>25_4-4</v>
      </c>
      <c r="B111" s="16">
        <f t="shared" si="4"/>
        <v>25</v>
      </c>
      <c r="C111" s="16">
        <f t="shared" si="4"/>
        <v>4</v>
      </c>
      <c r="D111" s="16">
        <f t="shared" si="4"/>
        <v>4</v>
      </c>
      <c r="E111" s="16">
        <f t="shared" si="4"/>
        <v>45</v>
      </c>
      <c r="F111" s="16">
        <f t="shared" si="4"/>
        <v>45</v>
      </c>
    </row>
    <row r="112" spans="1:6" x14ac:dyDescent="0.15">
      <c r="A112" s="20" t="str">
        <f t="shared" si="3"/>
        <v>25_4-5</v>
      </c>
      <c r="B112" s="16">
        <f t="shared" si="4"/>
        <v>25</v>
      </c>
      <c r="C112" s="16">
        <f t="shared" si="4"/>
        <v>4</v>
      </c>
      <c r="D112" s="16">
        <f t="shared" si="4"/>
        <v>5</v>
      </c>
      <c r="E112" s="16">
        <f t="shared" si="4"/>
        <v>60</v>
      </c>
      <c r="F112" s="16">
        <f t="shared" si="4"/>
        <v>60</v>
      </c>
    </row>
    <row r="113" spans="1:6" x14ac:dyDescent="0.15">
      <c r="A113" s="20" t="str">
        <f t="shared" si="3"/>
        <v>25_5-1</v>
      </c>
      <c r="B113" s="16">
        <f t="shared" si="4"/>
        <v>25</v>
      </c>
      <c r="C113" s="16">
        <f t="shared" si="4"/>
        <v>5</v>
      </c>
      <c r="D113" s="16">
        <f t="shared" si="4"/>
        <v>1</v>
      </c>
      <c r="E113" s="16">
        <f t="shared" si="4"/>
        <v>30</v>
      </c>
      <c r="F113" s="16">
        <f t="shared" si="4"/>
        <v>30</v>
      </c>
    </row>
    <row r="114" spans="1:6" x14ac:dyDescent="0.15">
      <c r="A114" s="20" t="str">
        <f t="shared" si="3"/>
        <v>25_5-2</v>
      </c>
      <c r="B114" s="16">
        <f t="shared" si="4"/>
        <v>25</v>
      </c>
      <c r="C114" s="16">
        <f t="shared" si="4"/>
        <v>5</v>
      </c>
      <c r="D114" s="16">
        <f t="shared" si="4"/>
        <v>2</v>
      </c>
      <c r="E114" s="16">
        <f t="shared" si="4"/>
        <v>45</v>
      </c>
      <c r="F114" s="16">
        <f t="shared" si="4"/>
        <v>60</v>
      </c>
    </row>
    <row r="115" spans="1:6" x14ac:dyDescent="0.15">
      <c r="A115" s="20" t="str">
        <f t="shared" si="3"/>
        <v>25_5-3</v>
      </c>
      <c r="B115" s="16">
        <f t="shared" si="4"/>
        <v>25</v>
      </c>
      <c r="C115" s="16">
        <f t="shared" si="4"/>
        <v>5</v>
      </c>
      <c r="D115" s="16">
        <f t="shared" si="4"/>
        <v>3</v>
      </c>
      <c r="E115" s="16">
        <f t="shared" si="4"/>
        <v>60</v>
      </c>
      <c r="F115" s="16">
        <f t="shared" si="4"/>
        <v>60</v>
      </c>
    </row>
    <row r="116" spans="1:6" x14ac:dyDescent="0.15">
      <c r="A116" s="20" t="str">
        <f t="shared" si="3"/>
        <v>25_5-4</v>
      </c>
      <c r="B116" s="16">
        <f t="shared" si="4"/>
        <v>25</v>
      </c>
      <c r="C116" s="16">
        <f t="shared" si="4"/>
        <v>5</v>
      </c>
      <c r="D116" s="16">
        <f t="shared" si="4"/>
        <v>4</v>
      </c>
      <c r="E116" s="16">
        <f t="shared" si="4"/>
        <v>45</v>
      </c>
      <c r="F116" s="16">
        <f t="shared" si="4"/>
        <v>45</v>
      </c>
    </row>
    <row r="117" spans="1:6" x14ac:dyDescent="0.15">
      <c r="A117" s="20" t="str">
        <f t="shared" si="3"/>
        <v>25_5-5</v>
      </c>
      <c r="B117" s="16">
        <f t="shared" si="4"/>
        <v>25</v>
      </c>
      <c r="C117" s="16">
        <f t="shared" si="4"/>
        <v>5</v>
      </c>
      <c r="D117" s="16">
        <f t="shared" si="4"/>
        <v>5</v>
      </c>
      <c r="E117" s="16">
        <f t="shared" si="4"/>
        <v>60</v>
      </c>
      <c r="F117" s="16">
        <f t="shared" si="4"/>
        <v>60</v>
      </c>
    </row>
    <row r="118" spans="1:6" x14ac:dyDescent="0.15">
      <c r="A118" s="20" t="str">
        <f t="shared" si="3"/>
        <v>25_6-1</v>
      </c>
      <c r="B118" s="16">
        <f t="shared" si="4"/>
        <v>25</v>
      </c>
      <c r="C118" s="16">
        <f t="shared" si="4"/>
        <v>6</v>
      </c>
      <c r="D118" s="16">
        <f t="shared" si="4"/>
        <v>1</v>
      </c>
      <c r="E118" s="16">
        <f t="shared" si="4"/>
        <v>40</v>
      </c>
      <c r="F118" s="16">
        <f t="shared" si="4"/>
        <v>60</v>
      </c>
    </row>
    <row r="119" spans="1:6" x14ac:dyDescent="0.15">
      <c r="A119" s="20" t="str">
        <f t="shared" si="3"/>
        <v>25_6-2</v>
      </c>
      <c r="B119" s="16">
        <f t="shared" si="4"/>
        <v>25</v>
      </c>
      <c r="C119" s="16">
        <f t="shared" si="4"/>
        <v>6</v>
      </c>
      <c r="D119" s="16">
        <f t="shared" si="4"/>
        <v>2</v>
      </c>
      <c r="E119" s="16">
        <f t="shared" si="4"/>
        <v>40</v>
      </c>
      <c r="F119" s="16">
        <f t="shared" si="4"/>
        <v>60</v>
      </c>
    </row>
    <row r="120" spans="1:6" x14ac:dyDescent="0.15">
      <c r="A120" s="20" t="str">
        <f t="shared" si="3"/>
        <v>25_6-3</v>
      </c>
      <c r="B120" s="16">
        <f t="shared" si="4"/>
        <v>25</v>
      </c>
      <c r="C120" s="16">
        <f t="shared" si="4"/>
        <v>6</v>
      </c>
      <c r="D120" s="16">
        <f t="shared" si="4"/>
        <v>3</v>
      </c>
      <c r="E120" s="16">
        <f t="shared" si="4"/>
        <v>40</v>
      </c>
      <c r="F120" s="16">
        <f t="shared" si="4"/>
        <v>60</v>
      </c>
    </row>
    <row r="121" spans="1:6" x14ac:dyDescent="0.15">
      <c r="A121" s="20" t="str">
        <f t="shared" si="3"/>
        <v>25_6-4</v>
      </c>
      <c r="B121" s="16">
        <f t="shared" ref="B121:F154" si="5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121" s="16">
        <f t="shared" si="5"/>
        <v>6</v>
      </c>
      <c r="D121" s="16">
        <f t="shared" si="5"/>
        <v>4</v>
      </c>
      <c r="E121" s="16">
        <f t="shared" si="5"/>
        <v>60</v>
      </c>
      <c r="F121" s="16">
        <f t="shared" si="5"/>
        <v>60</v>
      </c>
    </row>
    <row r="122" spans="1:6" x14ac:dyDescent="0.15">
      <c r="A122" s="20" t="str">
        <f t="shared" si="3"/>
        <v>25_6-5</v>
      </c>
      <c r="B122" s="16">
        <f t="shared" si="5"/>
        <v>25</v>
      </c>
      <c r="C122" s="16">
        <f t="shared" si="5"/>
        <v>6</v>
      </c>
      <c r="D122" s="16">
        <f t="shared" si="5"/>
        <v>5</v>
      </c>
      <c r="E122" s="16">
        <f t="shared" si="5"/>
        <v>40</v>
      </c>
      <c r="F122" s="16">
        <f t="shared" si="5"/>
        <v>40</v>
      </c>
    </row>
    <row r="123" spans="1:6" x14ac:dyDescent="0.15">
      <c r="A123" s="20" t="str">
        <f t="shared" si="3"/>
        <v>26_1-1</v>
      </c>
      <c r="B123" s="16">
        <f t="shared" si="5"/>
        <v>26</v>
      </c>
      <c r="C123" s="16">
        <f t="shared" si="5"/>
        <v>1</v>
      </c>
      <c r="D123" s="16">
        <f t="shared" si="5"/>
        <v>1</v>
      </c>
      <c r="E123" s="16">
        <f t="shared" si="5"/>
        <v>30</v>
      </c>
      <c r="F123" s="16">
        <f t="shared" si="5"/>
        <v>30</v>
      </c>
    </row>
    <row r="124" spans="1:6" x14ac:dyDescent="0.15">
      <c r="A124" s="20" t="str">
        <f t="shared" si="3"/>
        <v>26_1-2</v>
      </c>
      <c r="B124" s="16">
        <f t="shared" si="5"/>
        <v>26</v>
      </c>
      <c r="C124" s="16">
        <f t="shared" si="5"/>
        <v>1</v>
      </c>
      <c r="D124" s="16">
        <f t="shared" si="5"/>
        <v>2</v>
      </c>
      <c r="E124" s="16">
        <f t="shared" si="5"/>
        <v>30</v>
      </c>
      <c r="F124" s="16">
        <f t="shared" si="5"/>
        <v>45</v>
      </c>
    </row>
    <row r="125" spans="1:6" x14ac:dyDescent="0.15">
      <c r="A125" s="20" t="str">
        <f t="shared" si="3"/>
        <v>26_1-3</v>
      </c>
      <c r="B125" s="16">
        <f t="shared" si="5"/>
        <v>26</v>
      </c>
      <c r="C125" s="16">
        <f t="shared" si="5"/>
        <v>1</v>
      </c>
      <c r="D125" s="16">
        <f t="shared" si="5"/>
        <v>3</v>
      </c>
      <c r="E125" s="16">
        <f t="shared" si="5"/>
        <v>45</v>
      </c>
      <c r="F125" s="16">
        <f t="shared" si="5"/>
        <v>45</v>
      </c>
    </row>
    <row r="126" spans="1:6" x14ac:dyDescent="0.15">
      <c r="A126" s="20" t="str">
        <f t="shared" si="3"/>
        <v>26_1-4</v>
      </c>
      <c r="B126" s="16">
        <f t="shared" si="5"/>
        <v>26</v>
      </c>
      <c r="C126" s="16">
        <f t="shared" si="5"/>
        <v>1</v>
      </c>
      <c r="D126" s="16">
        <f t="shared" si="5"/>
        <v>4</v>
      </c>
      <c r="E126" s="16">
        <f t="shared" si="5"/>
        <v>60</v>
      </c>
      <c r="F126" s="16">
        <f t="shared" si="5"/>
        <v>60</v>
      </c>
    </row>
    <row r="127" spans="1:6" x14ac:dyDescent="0.15">
      <c r="A127" s="20" t="str">
        <f t="shared" si="3"/>
        <v>26_1-5</v>
      </c>
      <c r="B127" s="16">
        <f t="shared" si="5"/>
        <v>26</v>
      </c>
      <c r="C127" s="16">
        <f t="shared" si="5"/>
        <v>1</v>
      </c>
      <c r="D127" s="16">
        <f t="shared" si="5"/>
        <v>5</v>
      </c>
      <c r="E127" s="16">
        <f t="shared" si="5"/>
        <v>60</v>
      </c>
      <c r="F127" s="16">
        <f t="shared" si="5"/>
        <v>60</v>
      </c>
    </row>
    <row r="128" spans="1:6" x14ac:dyDescent="0.15">
      <c r="A128" s="20" t="str">
        <f t="shared" si="3"/>
        <v>26_2-1</v>
      </c>
      <c r="B128" s="16">
        <f t="shared" si="5"/>
        <v>26</v>
      </c>
      <c r="C128" s="16">
        <f t="shared" si="5"/>
        <v>2</v>
      </c>
      <c r="D128" s="16">
        <f t="shared" si="5"/>
        <v>1</v>
      </c>
      <c r="E128" s="16">
        <f t="shared" si="5"/>
        <v>30</v>
      </c>
      <c r="F128" s="16">
        <f t="shared" si="5"/>
        <v>30</v>
      </c>
    </row>
    <row r="129" spans="1:6" x14ac:dyDescent="0.15">
      <c r="A129" s="20" t="str">
        <f t="shared" si="3"/>
        <v>26_2-2</v>
      </c>
      <c r="B129" s="16">
        <f t="shared" si="5"/>
        <v>26</v>
      </c>
      <c r="C129" s="16">
        <f t="shared" si="5"/>
        <v>2</v>
      </c>
      <c r="D129" s="16">
        <f t="shared" si="5"/>
        <v>2</v>
      </c>
      <c r="E129" s="16">
        <f t="shared" si="5"/>
        <v>30</v>
      </c>
      <c r="F129" s="16">
        <f t="shared" si="5"/>
        <v>45</v>
      </c>
    </row>
    <row r="130" spans="1:6" x14ac:dyDescent="0.15">
      <c r="A130" s="20" t="str">
        <f t="shared" si="3"/>
        <v>26_2-3</v>
      </c>
      <c r="B130" s="16">
        <f t="shared" si="5"/>
        <v>26</v>
      </c>
      <c r="C130" s="16">
        <f t="shared" si="5"/>
        <v>2</v>
      </c>
      <c r="D130" s="16">
        <f t="shared" si="5"/>
        <v>3</v>
      </c>
      <c r="E130" s="16">
        <f t="shared" si="5"/>
        <v>60</v>
      </c>
      <c r="F130" s="16">
        <f t="shared" si="5"/>
        <v>60</v>
      </c>
    </row>
    <row r="131" spans="1:6" x14ac:dyDescent="0.15">
      <c r="A131" s="20" t="str">
        <f t="shared" ref="A131:A154" si="6">INDIRECT(ADDRESS(ROW()+$A$1,COLUMN(),1,TRUE,$C$1))</f>
        <v>26_2-4</v>
      </c>
      <c r="B131" s="16">
        <f t="shared" si="5"/>
        <v>26</v>
      </c>
      <c r="C131" s="16">
        <f t="shared" si="5"/>
        <v>2</v>
      </c>
      <c r="D131" s="16">
        <f t="shared" si="5"/>
        <v>4</v>
      </c>
      <c r="E131" s="16">
        <f t="shared" si="5"/>
        <v>60</v>
      </c>
      <c r="F131" s="16">
        <f t="shared" si="5"/>
        <v>60</v>
      </c>
    </row>
    <row r="132" spans="1:6" x14ac:dyDescent="0.15">
      <c r="A132" s="20" t="str">
        <f t="shared" si="6"/>
        <v>26_2-5</v>
      </c>
      <c r="B132" s="16">
        <f t="shared" si="5"/>
        <v>26</v>
      </c>
      <c r="C132" s="16">
        <f t="shared" si="5"/>
        <v>2</v>
      </c>
      <c r="D132" s="16">
        <f t="shared" si="5"/>
        <v>5</v>
      </c>
      <c r="E132" s="16">
        <f t="shared" si="5"/>
        <v>60</v>
      </c>
      <c r="F132" s="16">
        <f t="shared" si="5"/>
        <v>60</v>
      </c>
    </row>
    <row r="133" spans="1:6" x14ac:dyDescent="0.15">
      <c r="A133" s="20" t="str">
        <f t="shared" si="6"/>
        <v>26_3-1</v>
      </c>
      <c r="B133" s="16">
        <f t="shared" si="5"/>
        <v>26</v>
      </c>
      <c r="C133" s="16">
        <f t="shared" si="5"/>
        <v>3</v>
      </c>
      <c r="D133" s="16">
        <f t="shared" si="5"/>
        <v>1</v>
      </c>
      <c r="E133" s="16">
        <f t="shared" si="5"/>
        <v>30</v>
      </c>
      <c r="F133" s="16">
        <f t="shared" si="5"/>
        <v>30</v>
      </c>
    </row>
    <row r="134" spans="1:6" x14ac:dyDescent="0.15">
      <c r="A134" s="20" t="str">
        <f t="shared" si="6"/>
        <v>26_3-2</v>
      </c>
      <c r="B134" s="16">
        <f t="shared" si="5"/>
        <v>26</v>
      </c>
      <c r="C134" s="16">
        <f t="shared" si="5"/>
        <v>3</v>
      </c>
      <c r="D134" s="16">
        <f t="shared" si="5"/>
        <v>2</v>
      </c>
      <c r="E134" s="16">
        <f t="shared" si="5"/>
        <v>30</v>
      </c>
      <c r="F134" s="16">
        <f t="shared" si="5"/>
        <v>45</v>
      </c>
    </row>
    <row r="135" spans="1:6" x14ac:dyDescent="0.15">
      <c r="A135" s="20" t="str">
        <f t="shared" si="6"/>
        <v>26_3-3</v>
      </c>
      <c r="B135" s="16">
        <f t="shared" si="5"/>
        <v>26</v>
      </c>
      <c r="C135" s="16">
        <f t="shared" si="5"/>
        <v>3</v>
      </c>
      <c r="D135" s="16">
        <f t="shared" si="5"/>
        <v>3</v>
      </c>
      <c r="E135" s="16">
        <f t="shared" si="5"/>
        <v>30</v>
      </c>
      <c r="F135" s="16">
        <f t="shared" si="5"/>
        <v>30</v>
      </c>
    </row>
    <row r="136" spans="1:6" x14ac:dyDescent="0.15">
      <c r="A136" s="20" t="str">
        <f t="shared" si="6"/>
        <v>26_3-4</v>
      </c>
      <c r="B136" s="16">
        <f t="shared" si="5"/>
        <v>26</v>
      </c>
      <c r="C136" s="16">
        <f t="shared" si="5"/>
        <v>3</v>
      </c>
      <c r="D136" s="16">
        <f t="shared" si="5"/>
        <v>4</v>
      </c>
      <c r="E136" s="16">
        <f t="shared" si="5"/>
        <v>60</v>
      </c>
      <c r="F136" s="16">
        <f t="shared" si="5"/>
        <v>60</v>
      </c>
    </row>
    <row r="137" spans="1:6" x14ac:dyDescent="0.15">
      <c r="A137" s="20" t="str">
        <f t="shared" si="6"/>
        <v>26_3-5</v>
      </c>
      <c r="B137" s="16">
        <f t="shared" si="5"/>
        <v>26</v>
      </c>
      <c r="C137" s="16">
        <f t="shared" si="5"/>
        <v>3</v>
      </c>
      <c r="D137" s="16">
        <f t="shared" si="5"/>
        <v>5</v>
      </c>
      <c r="E137" s="16">
        <f t="shared" si="5"/>
        <v>60</v>
      </c>
      <c r="F137" s="16">
        <f t="shared" si="5"/>
        <v>60</v>
      </c>
    </row>
    <row r="138" spans="1:6" x14ac:dyDescent="0.15">
      <c r="A138" s="20" t="str">
        <f t="shared" si="6"/>
        <v>26_4-1</v>
      </c>
      <c r="B138" s="16">
        <f t="shared" si="5"/>
        <v>26</v>
      </c>
      <c r="C138" s="16">
        <f t="shared" si="5"/>
        <v>4</v>
      </c>
      <c r="D138" s="16">
        <f t="shared" si="5"/>
        <v>1</v>
      </c>
      <c r="E138" s="16">
        <f t="shared" si="5"/>
        <v>30</v>
      </c>
      <c r="F138" s="16">
        <f t="shared" si="5"/>
        <v>30</v>
      </c>
    </row>
    <row r="139" spans="1:6" x14ac:dyDescent="0.15">
      <c r="A139" s="20" t="str">
        <f t="shared" si="6"/>
        <v>26_4-2</v>
      </c>
      <c r="B139" s="16">
        <f t="shared" si="5"/>
        <v>26</v>
      </c>
      <c r="C139" s="16">
        <f t="shared" si="5"/>
        <v>4</v>
      </c>
      <c r="D139" s="16">
        <f t="shared" si="5"/>
        <v>2</v>
      </c>
      <c r="E139" s="16">
        <f t="shared" si="5"/>
        <v>30</v>
      </c>
      <c r="F139" s="16">
        <f t="shared" si="5"/>
        <v>45</v>
      </c>
    </row>
    <row r="140" spans="1:6" x14ac:dyDescent="0.15">
      <c r="A140" s="20" t="str">
        <f t="shared" si="6"/>
        <v>26_4-3</v>
      </c>
      <c r="B140" s="16">
        <f t="shared" si="5"/>
        <v>26</v>
      </c>
      <c r="C140" s="16">
        <f t="shared" si="5"/>
        <v>4</v>
      </c>
      <c r="D140" s="16">
        <f t="shared" si="5"/>
        <v>3</v>
      </c>
      <c r="E140" s="16">
        <f t="shared" si="5"/>
        <v>60</v>
      </c>
      <c r="F140" s="16">
        <f t="shared" si="5"/>
        <v>60</v>
      </c>
    </row>
    <row r="141" spans="1:6" x14ac:dyDescent="0.15">
      <c r="A141" s="20" t="str">
        <f t="shared" si="6"/>
        <v>26_4-4</v>
      </c>
      <c r="B141" s="16">
        <f t="shared" si="5"/>
        <v>26</v>
      </c>
      <c r="C141" s="16">
        <f t="shared" si="5"/>
        <v>4</v>
      </c>
      <c r="D141" s="16">
        <f t="shared" si="5"/>
        <v>4</v>
      </c>
      <c r="E141" s="16">
        <f t="shared" si="5"/>
        <v>45</v>
      </c>
      <c r="F141" s="16">
        <f t="shared" si="5"/>
        <v>45</v>
      </c>
    </row>
    <row r="142" spans="1:6" x14ac:dyDescent="0.15">
      <c r="A142" s="20" t="str">
        <f t="shared" si="6"/>
        <v>26_4-5</v>
      </c>
      <c r="B142" s="16">
        <f t="shared" si="5"/>
        <v>26</v>
      </c>
      <c r="C142" s="16">
        <f t="shared" si="5"/>
        <v>4</v>
      </c>
      <c r="D142" s="16">
        <f t="shared" si="5"/>
        <v>5</v>
      </c>
      <c r="E142" s="16">
        <f t="shared" si="5"/>
        <v>60</v>
      </c>
      <c r="F142" s="16">
        <f t="shared" si="5"/>
        <v>60</v>
      </c>
    </row>
    <row r="143" spans="1:6" x14ac:dyDescent="0.15">
      <c r="A143" s="20" t="str">
        <f t="shared" si="6"/>
        <v>26_4-6</v>
      </c>
      <c r="B143" s="16">
        <f t="shared" si="5"/>
        <v>26</v>
      </c>
      <c r="C143" s="16">
        <f t="shared" si="5"/>
        <v>4</v>
      </c>
      <c r="D143" s="16">
        <f t="shared" si="5"/>
        <v>6</v>
      </c>
      <c r="E143" s="16">
        <f t="shared" si="5"/>
        <v>60</v>
      </c>
      <c r="F143" s="16">
        <f t="shared" si="5"/>
        <v>60</v>
      </c>
    </row>
    <row r="144" spans="1:6" x14ac:dyDescent="0.15">
      <c r="A144" s="20" t="str">
        <f t="shared" si="6"/>
        <v>26_5-1</v>
      </c>
      <c r="B144" s="16">
        <f t="shared" si="5"/>
        <v>26</v>
      </c>
      <c r="C144" s="16">
        <f t="shared" si="5"/>
        <v>5</v>
      </c>
      <c r="D144" s="16">
        <f t="shared" si="5"/>
        <v>1</v>
      </c>
      <c r="E144" s="16">
        <f t="shared" si="5"/>
        <v>30</v>
      </c>
      <c r="F144" s="16">
        <f t="shared" si="5"/>
        <v>30</v>
      </c>
    </row>
    <row r="145" spans="1:6" x14ac:dyDescent="0.15">
      <c r="A145" s="20" t="str">
        <f t="shared" si="6"/>
        <v>26_5-2</v>
      </c>
      <c r="B145" s="16">
        <f t="shared" si="5"/>
        <v>26</v>
      </c>
      <c r="C145" s="16">
        <f t="shared" si="5"/>
        <v>5</v>
      </c>
      <c r="D145" s="16">
        <f t="shared" si="5"/>
        <v>2</v>
      </c>
      <c r="E145" s="16">
        <f t="shared" si="5"/>
        <v>30</v>
      </c>
      <c r="F145" s="16">
        <f t="shared" si="5"/>
        <v>45</v>
      </c>
    </row>
    <row r="146" spans="1:6" x14ac:dyDescent="0.15">
      <c r="A146" s="20" t="str">
        <f t="shared" si="6"/>
        <v>26_5-3</v>
      </c>
      <c r="B146" s="16">
        <f t="shared" si="5"/>
        <v>26</v>
      </c>
      <c r="C146" s="16">
        <f t="shared" si="5"/>
        <v>5</v>
      </c>
      <c r="D146" s="16">
        <f t="shared" si="5"/>
        <v>3</v>
      </c>
      <c r="E146" s="16">
        <f t="shared" si="5"/>
        <v>60</v>
      </c>
      <c r="F146" s="16">
        <f t="shared" si="5"/>
        <v>60</v>
      </c>
    </row>
    <row r="147" spans="1:6" x14ac:dyDescent="0.15">
      <c r="A147" s="20" t="str">
        <f t="shared" si="6"/>
        <v>26_5-4</v>
      </c>
      <c r="B147" s="16">
        <f t="shared" si="5"/>
        <v>26</v>
      </c>
      <c r="C147" s="16">
        <f t="shared" si="5"/>
        <v>5</v>
      </c>
      <c r="D147" s="16">
        <f t="shared" si="5"/>
        <v>4</v>
      </c>
      <c r="E147" s="16">
        <f t="shared" si="5"/>
        <v>45</v>
      </c>
      <c r="F147" s="16">
        <f t="shared" si="5"/>
        <v>45</v>
      </c>
    </row>
    <row r="148" spans="1:6" x14ac:dyDescent="0.15">
      <c r="A148" s="20" t="str">
        <f t="shared" si="6"/>
        <v>26_5-5</v>
      </c>
      <c r="B148" s="16">
        <f t="shared" si="5"/>
        <v>26</v>
      </c>
      <c r="C148" s="16">
        <f t="shared" si="5"/>
        <v>5</v>
      </c>
      <c r="D148" s="16">
        <f t="shared" si="5"/>
        <v>5</v>
      </c>
      <c r="E148" s="16">
        <f t="shared" si="5"/>
        <v>60</v>
      </c>
      <c r="F148" s="16">
        <f t="shared" si="5"/>
        <v>60</v>
      </c>
    </row>
    <row r="149" spans="1:6" x14ac:dyDescent="0.15">
      <c r="A149" s="20" t="str">
        <f t="shared" si="6"/>
        <v>26_5-6</v>
      </c>
      <c r="B149" s="16">
        <f t="shared" si="5"/>
        <v>26</v>
      </c>
      <c r="C149" s="16">
        <f t="shared" si="5"/>
        <v>5</v>
      </c>
      <c r="D149" s="16">
        <f t="shared" si="5"/>
        <v>6</v>
      </c>
      <c r="E149" s="16">
        <f t="shared" si="5"/>
        <v>60</v>
      </c>
      <c r="F149" s="16">
        <f t="shared" si="5"/>
        <v>60</v>
      </c>
    </row>
    <row r="150" spans="1:6" x14ac:dyDescent="0.15">
      <c r="A150" s="20" t="str">
        <f t="shared" si="6"/>
        <v>26_6-1</v>
      </c>
      <c r="B150" s="16">
        <f t="shared" si="5"/>
        <v>26</v>
      </c>
      <c r="C150" s="16">
        <f t="shared" si="5"/>
        <v>6</v>
      </c>
      <c r="D150" s="16">
        <f t="shared" si="5"/>
        <v>1</v>
      </c>
      <c r="E150" s="16">
        <f t="shared" si="5"/>
        <v>60</v>
      </c>
      <c r="F150" s="16">
        <f t="shared" si="5"/>
        <v>60</v>
      </c>
    </row>
    <row r="151" spans="1:6" x14ac:dyDescent="0.15">
      <c r="A151" s="20" t="str">
        <f t="shared" si="6"/>
        <v>26_6-2</v>
      </c>
      <c r="B151" s="16">
        <f t="shared" si="5"/>
        <v>26</v>
      </c>
      <c r="C151" s="16">
        <f t="shared" si="5"/>
        <v>6</v>
      </c>
      <c r="D151" s="16">
        <f t="shared" si="5"/>
        <v>2</v>
      </c>
      <c r="E151" s="16">
        <f t="shared" si="5"/>
        <v>60</v>
      </c>
      <c r="F151" s="16">
        <f t="shared" si="5"/>
        <v>60</v>
      </c>
    </row>
    <row r="152" spans="1:6" x14ac:dyDescent="0.15">
      <c r="A152" s="20" t="str">
        <f t="shared" si="6"/>
        <v>26_6-3</v>
      </c>
      <c r="B152" s="16">
        <f t="shared" si="5"/>
        <v>26</v>
      </c>
      <c r="C152" s="16">
        <f t="shared" si="5"/>
        <v>6</v>
      </c>
      <c r="D152" s="16">
        <f t="shared" si="5"/>
        <v>3</v>
      </c>
      <c r="E152" s="16">
        <f t="shared" si="5"/>
        <v>60</v>
      </c>
      <c r="F152" s="16">
        <f t="shared" si="5"/>
        <v>60</v>
      </c>
    </row>
    <row r="153" spans="1:6" x14ac:dyDescent="0.15">
      <c r="A153" s="20" t="str">
        <f t="shared" si="6"/>
        <v>26_6-4</v>
      </c>
      <c r="B153" s="16">
        <f t="shared" si="5"/>
        <v>26</v>
      </c>
      <c r="C153" s="16">
        <f t="shared" si="5"/>
        <v>6</v>
      </c>
      <c r="D153" s="16">
        <f t="shared" si="5"/>
        <v>4</v>
      </c>
      <c r="E153" s="16">
        <f t="shared" si="5"/>
        <v>60</v>
      </c>
      <c r="F153" s="16">
        <f t="shared" si="5"/>
        <v>60</v>
      </c>
    </row>
    <row r="154" spans="1:6" x14ac:dyDescent="0.15">
      <c r="A154" s="20" t="str">
        <f t="shared" si="6"/>
        <v>26_6-5</v>
      </c>
      <c r="B154" s="16">
        <f t="shared" si="5"/>
        <v>26</v>
      </c>
      <c r="C154" s="16">
        <f t="shared" si="5"/>
        <v>6</v>
      </c>
      <c r="D154" s="16">
        <f t="shared" si="5"/>
        <v>5</v>
      </c>
      <c r="E154" s="16">
        <f t="shared" si="5"/>
        <v>60</v>
      </c>
      <c r="F154" s="16">
        <f t="shared" si="5"/>
        <v>60</v>
      </c>
    </row>
    <row r="155" spans="1:6" x14ac:dyDescent="0.15">
      <c r="A155"/>
    </row>
    <row r="156" spans="1:6" x14ac:dyDescent="0.15">
      <c r="A156"/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X1568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2" sqref="H2"/>
    </sheetView>
  </sheetViews>
  <sheetFormatPr baseColWidth="12" defaultColWidth="13" defaultRowHeight="15" x14ac:dyDescent="0.15"/>
  <cols>
    <col min="1" max="1" width="15.83203125" style="19" bestFit="1" customWidth="1"/>
    <col min="2" max="2" width="8.6640625" bestFit="1" customWidth="1"/>
    <col min="3" max="3" width="18.8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  <col min="24" max="24" width="7.5" bestFit="1" customWidth="1"/>
  </cols>
  <sheetData>
    <row r="1" spans="1:24" s="13" customFormat="1" x14ac:dyDescent="0.15">
      <c r="A1" s="13">
        <f>MATCH(A2,INDIRECT(C1&amp;"!A:A"),0)-2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SUBSTITUTE(RIGHT(CELL("filename",$C$1),LEN(CELL("filename",$C$1))-FIND("]",CELL("filename",$C$1))),".tmp","")</f>
        <v>enemy_habitats_DL5</v>
      </c>
    </row>
    <row r="2" spans="1:24" s="15" customFormat="1" x14ac:dyDescent="0.15">
      <c r="A2" s="19" t="s">
        <v>30</v>
      </c>
      <c r="B2" s="15" t="s">
        <v>0</v>
      </c>
      <c r="C2" s="15" t="s">
        <v>1</v>
      </c>
      <c r="D2" s="15" t="s">
        <v>13</v>
      </c>
      <c r="E2" s="15" t="s">
        <v>2</v>
      </c>
      <c r="F2" s="15" t="s">
        <v>3</v>
      </c>
      <c r="G2" s="15" t="s">
        <v>49</v>
      </c>
      <c r="H2" s="15" t="s">
        <v>51</v>
      </c>
      <c r="I2" s="15" t="s">
        <v>53</v>
      </c>
      <c r="J2" s="15" t="s">
        <v>22</v>
      </c>
      <c r="K2" s="15" t="s">
        <v>5</v>
      </c>
      <c r="L2" s="15" t="s">
        <v>6</v>
      </c>
      <c r="M2" s="15" t="s">
        <v>7</v>
      </c>
      <c r="N2" s="15" t="s">
        <v>8</v>
      </c>
      <c r="O2" s="15" t="s">
        <v>9</v>
      </c>
      <c r="P2" s="15" t="s">
        <v>10</v>
      </c>
      <c r="Q2" s="15" t="s">
        <v>11</v>
      </c>
      <c r="R2" s="15" t="s">
        <v>12</v>
      </c>
      <c r="S2" s="15" t="s">
        <v>39</v>
      </c>
      <c r="T2" s="15" t="s">
        <v>41</v>
      </c>
      <c r="U2" s="15" t="s">
        <v>43</v>
      </c>
      <c r="V2" s="15" t="s">
        <v>45</v>
      </c>
      <c r="W2" s="15" t="s">
        <v>47</v>
      </c>
      <c r="X2" s="15" t="s">
        <v>82</v>
      </c>
    </row>
    <row r="3" spans="1:24" x14ac:dyDescent="0.15">
      <c r="A3" s="20" t="str">
        <f>INDIRECT(ADDRESS(ROW()+$A$1,COLUMN(),1,TRUE,$C$1))</f>
        <v>22_1-1/25&lt;lv40&gt;s3</v>
      </c>
      <c r="B3" s="16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3" s="16">
        <f t="shared" si="0"/>
        <v>1</v>
      </c>
      <c r="D3" s="16">
        <f t="shared" si="0"/>
        <v>1</v>
      </c>
      <c r="E3" s="16">
        <f t="shared" si="0"/>
        <v>25</v>
      </c>
      <c r="F3" s="16">
        <f t="shared" si="0"/>
        <v>40</v>
      </c>
      <c r="G3" s="16">
        <f t="shared" si="0"/>
        <v>1</v>
      </c>
      <c r="H3" s="16">
        <f t="shared" si="0"/>
        <v>1</v>
      </c>
      <c r="I3" s="16">
        <f t="shared" si="0"/>
        <v>0</v>
      </c>
      <c r="J3" s="16">
        <f t="shared" si="0"/>
        <v>0</v>
      </c>
      <c r="K3" s="16">
        <f t="shared" si="0"/>
        <v>0</v>
      </c>
      <c r="L3" s="16">
        <f t="shared" si="0"/>
        <v>100</v>
      </c>
      <c r="M3" s="16">
        <f t="shared" si="0"/>
        <v>0</v>
      </c>
      <c r="N3" s="16">
        <f t="shared" si="0"/>
        <v>3</v>
      </c>
      <c r="O3" s="16">
        <f t="shared" si="0"/>
        <v>25</v>
      </c>
      <c r="P3" s="16">
        <f t="shared" si="0"/>
        <v>7</v>
      </c>
      <c r="Q3" s="16">
        <f t="shared" si="0"/>
        <v>1</v>
      </c>
      <c r="R3" s="16">
        <f t="shared" si="0"/>
        <v>20</v>
      </c>
      <c r="S3" s="16">
        <f t="shared" si="0"/>
        <v>0</v>
      </c>
      <c r="T3" s="16">
        <f t="shared" si="0"/>
        <v>0</v>
      </c>
      <c r="U3" s="16">
        <f t="shared" si="0"/>
        <v>0</v>
      </c>
      <c r="V3" s="16">
        <f t="shared" si="0"/>
        <v>0</v>
      </c>
      <c r="W3" s="16">
        <f t="shared" si="0"/>
        <v>1</v>
      </c>
      <c r="X3" s="16" t="str">
        <f t="shared" ref="X3:X66" si="1">VLOOKUP($A3,OFFSET(INDIRECT($C$1&amp;"!$A1"),0,0,COUNTA(INDIRECT($C$1&amp;"!$A:$A"))+1,MATCH(X$2,INDIRECT($C$1&amp;"!"&amp;$B$1),0)-MATCH($A$2,INDIRECT($C$1&amp;"!"&amp;$B$1),0)+1),MATCH(X$2,INDIRECT($C$1&amp;"!"&amp;$B$1),0)-MATCH($A$2,INDIRECT($C$1&amp;"!"&amp;$B$1),0)+1,FALSE)</f>
        <v>null</v>
      </c>
    </row>
    <row r="4" spans="1:24" x14ac:dyDescent="0.15">
      <c r="A4" s="20" t="str">
        <f t="shared" ref="A4:A67" si="2">INDIRECT(ADDRESS(ROW()+$A$1,COLUMN(),1,TRUE,$C$1))</f>
        <v>22_1-1/37&lt;lv40&gt;s3</v>
      </c>
      <c r="B4" s="16">
        <f t="shared" si="0"/>
        <v>22</v>
      </c>
      <c r="C4" s="16">
        <f t="shared" si="0"/>
        <v>1</v>
      </c>
      <c r="D4" s="16">
        <f t="shared" si="0"/>
        <v>1</v>
      </c>
      <c r="E4" s="16">
        <f t="shared" si="0"/>
        <v>37</v>
      </c>
      <c r="F4" s="16">
        <f t="shared" si="0"/>
        <v>40</v>
      </c>
      <c r="G4" s="16">
        <f t="shared" si="0"/>
        <v>1</v>
      </c>
      <c r="H4" s="16">
        <f t="shared" si="0"/>
        <v>1</v>
      </c>
      <c r="I4" s="16">
        <f t="shared" si="0"/>
        <v>0</v>
      </c>
      <c r="J4" s="16">
        <f t="shared" si="0"/>
        <v>37</v>
      </c>
      <c r="K4" s="16">
        <f t="shared" si="0"/>
        <v>0</v>
      </c>
      <c r="L4" s="16">
        <f t="shared" si="0"/>
        <v>100</v>
      </c>
      <c r="M4" s="16">
        <f t="shared" si="0"/>
        <v>0</v>
      </c>
      <c r="N4" s="16">
        <f t="shared" si="0"/>
        <v>3</v>
      </c>
      <c r="O4" s="16">
        <f t="shared" si="0"/>
        <v>37</v>
      </c>
      <c r="P4" s="16">
        <f t="shared" si="0"/>
        <v>5</v>
      </c>
      <c r="Q4" s="16">
        <f t="shared" si="0"/>
        <v>2</v>
      </c>
      <c r="R4" s="16">
        <f t="shared" si="0"/>
        <v>20</v>
      </c>
      <c r="S4" s="16">
        <f t="shared" si="0"/>
        <v>0</v>
      </c>
      <c r="T4" s="16">
        <f t="shared" si="0"/>
        <v>0</v>
      </c>
      <c r="U4" s="16">
        <f t="shared" si="0"/>
        <v>0</v>
      </c>
      <c r="V4" s="16">
        <f t="shared" si="0"/>
        <v>0</v>
      </c>
      <c r="W4" s="16">
        <f t="shared" si="0"/>
        <v>1</v>
      </c>
      <c r="X4" s="16" t="str">
        <f t="shared" si="1"/>
        <v>null</v>
      </c>
    </row>
    <row r="5" spans="1:24" x14ac:dyDescent="0.15">
      <c r="A5" s="20" t="str">
        <f t="shared" si="2"/>
        <v>22_1-1/45&lt;lv40&gt;s3</v>
      </c>
      <c r="B5" s="16">
        <f t="shared" si="0"/>
        <v>22</v>
      </c>
      <c r="C5" s="16">
        <f t="shared" si="0"/>
        <v>1</v>
      </c>
      <c r="D5" s="16">
        <f t="shared" si="0"/>
        <v>1</v>
      </c>
      <c r="E5" s="16">
        <f t="shared" si="0"/>
        <v>45</v>
      </c>
      <c r="F5" s="16">
        <f t="shared" si="0"/>
        <v>40</v>
      </c>
      <c r="G5" s="16">
        <f t="shared" si="0"/>
        <v>1</v>
      </c>
      <c r="H5" s="16">
        <f t="shared" si="0"/>
        <v>1</v>
      </c>
      <c r="I5" s="16">
        <f t="shared" si="0"/>
        <v>0</v>
      </c>
      <c r="J5" s="16">
        <f t="shared" si="0"/>
        <v>0</v>
      </c>
      <c r="K5" s="16">
        <f t="shared" si="0"/>
        <v>0</v>
      </c>
      <c r="L5" s="16">
        <f t="shared" si="0"/>
        <v>100</v>
      </c>
      <c r="M5" s="16">
        <f t="shared" si="0"/>
        <v>0</v>
      </c>
      <c r="N5" s="16">
        <f t="shared" si="0"/>
        <v>3</v>
      </c>
      <c r="O5" s="16">
        <f t="shared" si="0"/>
        <v>45</v>
      </c>
      <c r="P5" s="16">
        <f t="shared" si="0"/>
        <v>7</v>
      </c>
      <c r="Q5" s="16">
        <f t="shared" si="0"/>
        <v>2</v>
      </c>
      <c r="R5" s="16">
        <f t="shared" si="0"/>
        <v>20</v>
      </c>
      <c r="S5" s="16">
        <f t="shared" si="0"/>
        <v>0</v>
      </c>
      <c r="T5" s="16">
        <f t="shared" si="0"/>
        <v>0</v>
      </c>
      <c r="U5" s="16">
        <f t="shared" si="0"/>
        <v>0</v>
      </c>
      <c r="V5" s="16">
        <f t="shared" si="0"/>
        <v>0</v>
      </c>
      <c r="W5" s="16">
        <f t="shared" si="0"/>
        <v>1</v>
      </c>
      <c r="X5" s="16" t="str">
        <f t="shared" si="1"/>
        <v>null</v>
      </c>
    </row>
    <row r="6" spans="1:24" x14ac:dyDescent="0.15">
      <c r="A6" s="20" t="str">
        <f t="shared" si="2"/>
        <v>22_1-1/61&lt;lv40&gt;s2</v>
      </c>
      <c r="B6" s="16">
        <f t="shared" si="0"/>
        <v>22</v>
      </c>
      <c r="C6" s="16">
        <f t="shared" si="0"/>
        <v>1</v>
      </c>
      <c r="D6" s="16">
        <f t="shared" si="0"/>
        <v>1</v>
      </c>
      <c r="E6" s="16">
        <f t="shared" si="0"/>
        <v>61</v>
      </c>
      <c r="F6" s="16">
        <f t="shared" si="0"/>
        <v>40</v>
      </c>
      <c r="G6" s="16">
        <f t="shared" si="0"/>
        <v>1</v>
      </c>
      <c r="H6" s="16">
        <f t="shared" si="0"/>
        <v>1</v>
      </c>
      <c r="I6" s="16">
        <f t="shared" si="0"/>
        <v>0</v>
      </c>
      <c r="J6" s="16">
        <f t="shared" si="0"/>
        <v>61</v>
      </c>
      <c r="K6" s="16">
        <f t="shared" si="0"/>
        <v>0</v>
      </c>
      <c r="L6" s="16">
        <f t="shared" si="0"/>
        <v>100</v>
      </c>
      <c r="M6" s="16">
        <f t="shared" si="0"/>
        <v>0</v>
      </c>
      <c r="N6" s="16">
        <f t="shared" si="0"/>
        <v>2</v>
      </c>
      <c r="O6" s="16">
        <f t="shared" si="0"/>
        <v>61</v>
      </c>
      <c r="P6" s="16">
        <f t="shared" si="0"/>
        <v>7</v>
      </c>
      <c r="Q6" s="16">
        <f t="shared" si="0"/>
        <v>2</v>
      </c>
      <c r="R6" s="16">
        <f t="shared" si="0"/>
        <v>20</v>
      </c>
      <c r="S6" s="16">
        <f t="shared" si="0"/>
        <v>0</v>
      </c>
      <c r="T6" s="16">
        <f t="shared" si="0"/>
        <v>0</v>
      </c>
      <c r="U6" s="16">
        <f t="shared" si="0"/>
        <v>0</v>
      </c>
      <c r="V6" s="16">
        <f t="shared" si="0"/>
        <v>0</v>
      </c>
      <c r="W6" s="16">
        <f t="shared" si="0"/>
        <v>1</v>
      </c>
      <c r="X6" s="16" t="str">
        <f t="shared" si="1"/>
        <v>null</v>
      </c>
    </row>
    <row r="7" spans="1:24" x14ac:dyDescent="0.15">
      <c r="A7" s="20" t="str">
        <f t="shared" si="2"/>
        <v>22_1-1/364&lt;lv40&gt;s3</v>
      </c>
      <c r="B7" s="16">
        <f t="shared" si="0"/>
        <v>22</v>
      </c>
      <c r="C7" s="16">
        <f t="shared" si="0"/>
        <v>1</v>
      </c>
      <c r="D7" s="16">
        <f t="shared" si="0"/>
        <v>1</v>
      </c>
      <c r="E7" s="16">
        <f t="shared" si="0"/>
        <v>364</v>
      </c>
      <c r="F7" s="16">
        <f t="shared" si="0"/>
        <v>40</v>
      </c>
      <c r="G7" s="16">
        <f t="shared" si="0"/>
        <v>1</v>
      </c>
      <c r="H7" s="16">
        <f t="shared" si="0"/>
        <v>1</v>
      </c>
      <c r="I7" s="16">
        <f t="shared" si="0"/>
        <v>0</v>
      </c>
      <c r="J7" s="16">
        <f t="shared" si="0"/>
        <v>364</v>
      </c>
      <c r="K7" s="16">
        <f t="shared" si="0"/>
        <v>0</v>
      </c>
      <c r="L7" s="16">
        <f t="shared" si="0"/>
        <v>100</v>
      </c>
      <c r="M7" s="16">
        <f t="shared" si="0"/>
        <v>0</v>
      </c>
      <c r="N7" s="16">
        <f t="shared" si="0"/>
        <v>3</v>
      </c>
      <c r="O7" s="16">
        <f t="shared" si="0"/>
        <v>364</v>
      </c>
      <c r="P7" s="16">
        <f t="shared" si="0"/>
        <v>7</v>
      </c>
      <c r="Q7" s="16">
        <f t="shared" si="0"/>
        <v>2</v>
      </c>
      <c r="R7" s="16">
        <f t="shared" si="0"/>
        <v>20</v>
      </c>
      <c r="S7" s="16">
        <f t="shared" si="0"/>
        <v>0</v>
      </c>
      <c r="T7" s="16">
        <f t="shared" si="0"/>
        <v>0</v>
      </c>
      <c r="U7" s="16">
        <f t="shared" si="0"/>
        <v>0</v>
      </c>
      <c r="V7" s="16">
        <f t="shared" si="0"/>
        <v>0</v>
      </c>
      <c r="W7" s="16">
        <f t="shared" si="0"/>
        <v>1</v>
      </c>
      <c r="X7" s="16" t="str">
        <f t="shared" si="1"/>
        <v>null</v>
      </c>
    </row>
    <row r="8" spans="1:24" x14ac:dyDescent="0.15">
      <c r="A8" s="20" t="str">
        <f t="shared" si="2"/>
        <v>22_1-1/352&lt;lv40&gt;s3</v>
      </c>
      <c r="B8" s="16">
        <f t="shared" si="0"/>
        <v>22</v>
      </c>
      <c r="C8" s="16">
        <f t="shared" si="0"/>
        <v>1</v>
      </c>
      <c r="D8" s="16">
        <f t="shared" si="0"/>
        <v>1</v>
      </c>
      <c r="E8" s="16">
        <f t="shared" si="0"/>
        <v>352</v>
      </c>
      <c r="F8" s="16">
        <f t="shared" si="0"/>
        <v>40</v>
      </c>
      <c r="G8" s="16">
        <f t="shared" si="0"/>
        <v>1</v>
      </c>
      <c r="H8" s="16">
        <f t="shared" si="0"/>
        <v>1</v>
      </c>
      <c r="I8" s="16">
        <f t="shared" si="0"/>
        <v>0</v>
      </c>
      <c r="J8" s="16">
        <f t="shared" si="0"/>
        <v>352</v>
      </c>
      <c r="K8" s="16">
        <f t="shared" si="0"/>
        <v>0</v>
      </c>
      <c r="L8" s="16">
        <f t="shared" si="0"/>
        <v>100</v>
      </c>
      <c r="M8" s="16">
        <f t="shared" si="0"/>
        <v>0</v>
      </c>
      <c r="N8" s="16">
        <f t="shared" si="0"/>
        <v>3</v>
      </c>
      <c r="O8" s="16">
        <f t="shared" si="0"/>
        <v>352</v>
      </c>
      <c r="P8" s="16">
        <f t="shared" si="0"/>
        <v>1</v>
      </c>
      <c r="Q8" s="16">
        <f t="shared" si="0"/>
        <v>2</v>
      </c>
      <c r="R8" s="16">
        <f t="shared" si="0"/>
        <v>24</v>
      </c>
      <c r="S8" s="16">
        <f t="shared" si="0"/>
        <v>0</v>
      </c>
      <c r="T8" s="16">
        <f t="shared" si="0"/>
        <v>0</v>
      </c>
      <c r="U8" s="16">
        <f t="shared" si="0"/>
        <v>0</v>
      </c>
      <c r="V8" s="16">
        <f t="shared" si="0"/>
        <v>0</v>
      </c>
      <c r="W8" s="16">
        <f t="shared" si="0"/>
        <v>1</v>
      </c>
      <c r="X8" s="16" t="str">
        <f t="shared" si="1"/>
        <v>null</v>
      </c>
    </row>
    <row r="9" spans="1:24" x14ac:dyDescent="0.15">
      <c r="A9" s="20" t="str">
        <f t="shared" si="2"/>
        <v>22_1-2/9&lt;lv40&gt;s2</v>
      </c>
      <c r="B9" s="16">
        <f t="shared" si="0"/>
        <v>22</v>
      </c>
      <c r="C9" s="16">
        <f t="shared" si="0"/>
        <v>1</v>
      </c>
      <c r="D9" s="16">
        <f t="shared" si="0"/>
        <v>2</v>
      </c>
      <c r="E9" s="16">
        <f t="shared" si="0"/>
        <v>9</v>
      </c>
      <c r="F9" s="16">
        <f t="shared" si="0"/>
        <v>40</v>
      </c>
      <c r="G9" s="16">
        <f t="shared" si="0"/>
        <v>1</v>
      </c>
      <c r="H9" s="16">
        <f t="shared" si="0"/>
        <v>1</v>
      </c>
      <c r="I9" s="16">
        <f t="shared" si="0"/>
        <v>0</v>
      </c>
      <c r="J9" s="16">
        <f t="shared" si="0"/>
        <v>0</v>
      </c>
      <c r="K9" s="16">
        <f t="shared" si="0"/>
        <v>0</v>
      </c>
      <c r="L9" s="16">
        <f t="shared" si="0"/>
        <v>100</v>
      </c>
      <c r="M9" s="16">
        <f t="shared" si="0"/>
        <v>0</v>
      </c>
      <c r="N9" s="16">
        <f t="shared" si="0"/>
        <v>2</v>
      </c>
      <c r="O9" s="16">
        <f t="shared" si="0"/>
        <v>9</v>
      </c>
      <c r="P9" s="16">
        <f t="shared" si="0"/>
        <v>9</v>
      </c>
      <c r="Q9" s="16">
        <f t="shared" si="0"/>
        <v>1</v>
      </c>
      <c r="R9" s="16">
        <f t="shared" si="0"/>
        <v>20</v>
      </c>
      <c r="S9" s="16">
        <f t="shared" si="0"/>
        <v>0</v>
      </c>
      <c r="T9" s="16">
        <f t="shared" si="0"/>
        <v>0</v>
      </c>
      <c r="U9" s="16">
        <f t="shared" si="0"/>
        <v>0</v>
      </c>
      <c r="V9" s="16">
        <f t="shared" si="0"/>
        <v>0</v>
      </c>
      <c r="W9" s="16">
        <f t="shared" si="0"/>
        <v>1</v>
      </c>
      <c r="X9" s="16" t="str">
        <f t="shared" si="1"/>
        <v>null</v>
      </c>
    </row>
    <row r="10" spans="1:24" x14ac:dyDescent="0.15">
      <c r="A10" s="20" t="str">
        <f t="shared" si="2"/>
        <v>22_1-2/33&lt;lv40&gt;s2</v>
      </c>
      <c r="B10" s="16">
        <f t="shared" si="0"/>
        <v>22</v>
      </c>
      <c r="C10" s="16">
        <f t="shared" si="0"/>
        <v>1</v>
      </c>
      <c r="D10" s="16">
        <f t="shared" si="0"/>
        <v>2</v>
      </c>
      <c r="E10" s="16">
        <f t="shared" si="0"/>
        <v>33</v>
      </c>
      <c r="F10" s="16">
        <f t="shared" si="0"/>
        <v>40</v>
      </c>
      <c r="G10" s="16">
        <f t="shared" si="0"/>
        <v>1</v>
      </c>
      <c r="H10" s="16">
        <f t="shared" si="0"/>
        <v>1</v>
      </c>
      <c r="I10" s="16">
        <f t="shared" si="0"/>
        <v>0</v>
      </c>
      <c r="J10" s="16">
        <f t="shared" si="0"/>
        <v>33</v>
      </c>
      <c r="K10" s="16">
        <f t="shared" si="0"/>
        <v>0</v>
      </c>
      <c r="L10" s="16">
        <f t="shared" si="0"/>
        <v>100</v>
      </c>
      <c r="M10" s="16">
        <f t="shared" si="0"/>
        <v>0</v>
      </c>
      <c r="N10" s="16">
        <f t="shared" si="0"/>
        <v>2</v>
      </c>
      <c r="O10" s="16">
        <f t="shared" si="0"/>
        <v>33</v>
      </c>
      <c r="P10" s="16">
        <f t="shared" si="0"/>
        <v>5</v>
      </c>
      <c r="Q10" s="16">
        <f t="shared" si="0"/>
        <v>2</v>
      </c>
      <c r="R10" s="16">
        <f t="shared" si="0"/>
        <v>20</v>
      </c>
      <c r="S10" s="16">
        <f t="shared" si="0"/>
        <v>0</v>
      </c>
      <c r="T10" s="16">
        <f t="shared" si="0"/>
        <v>0</v>
      </c>
      <c r="U10" s="16">
        <f t="shared" si="0"/>
        <v>0</v>
      </c>
      <c r="V10" s="16">
        <f t="shared" si="0"/>
        <v>0</v>
      </c>
      <c r="W10" s="16">
        <f t="shared" si="0"/>
        <v>1</v>
      </c>
      <c r="X10" s="16" t="str">
        <f t="shared" si="1"/>
        <v>null</v>
      </c>
    </row>
    <row r="11" spans="1:24" x14ac:dyDescent="0.15">
      <c r="A11" s="20" t="str">
        <f t="shared" si="2"/>
        <v>22_1-2/57&lt;lv40&gt;s2</v>
      </c>
      <c r="B11" s="16">
        <f t="shared" si="0"/>
        <v>22</v>
      </c>
      <c r="C11" s="16">
        <f t="shared" si="0"/>
        <v>1</v>
      </c>
      <c r="D11" s="16">
        <f t="shared" si="0"/>
        <v>2</v>
      </c>
      <c r="E11" s="16">
        <f t="shared" si="0"/>
        <v>57</v>
      </c>
      <c r="F11" s="16">
        <f t="shared" si="0"/>
        <v>40</v>
      </c>
      <c r="G11" s="16">
        <f t="shared" si="0"/>
        <v>1</v>
      </c>
      <c r="H11" s="16">
        <f t="shared" si="0"/>
        <v>1</v>
      </c>
      <c r="I11" s="16">
        <f t="shared" si="0"/>
        <v>0</v>
      </c>
      <c r="J11" s="16">
        <f t="shared" si="0"/>
        <v>57</v>
      </c>
      <c r="K11" s="16">
        <f t="shared" si="0"/>
        <v>0</v>
      </c>
      <c r="L11" s="16">
        <f t="shared" si="0"/>
        <v>100</v>
      </c>
      <c r="M11" s="16">
        <f t="shared" si="0"/>
        <v>0</v>
      </c>
      <c r="N11" s="16">
        <f t="shared" si="0"/>
        <v>2</v>
      </c>
      <c r="O11" s="16">
        <f t="shared" si="0"/>
        <v>57</v>
      </c>
      <c r="P11" s="16">
        <f t="shared" si="0"/>
        <v>7</v>
      </c>
      <c r="Q11" s="16">
        <f t="shared" si="0"/>
        <v>2</v>
      </c>
      <c r="R11" s="16">
        <f t="shared" si="0"/>
        <v>20</v>
      </c>
      <c r="S11" s="16">
        <f t="shared" si="0"/>
        <v>0</v>
      </c>
      <c r="T11" s="16">
        <f t="shared" si="0"/>
        <v>0</v>
      </c>
      <c r="U11" s="16">
        <f t="shared" si="0"/>
        <v>0</v>
      </c>
      <c r="V11" s="16">
        <f t="shared" si="0"/>
        <v>0</v>
      </c>
      <c r="W11" s="16">
        <f t="shared" si="0"/>
        <v>1</v>
      </c>
      <c r="X11" s="16" t="str">
        <f t="shared" si="1"/>
        <v>null</v>
      </c>
    </row>
    <row r="12" spans="1:24" x14ac:dyDescent="0.15">
      <c r="A12" s="20" t="str">
        <f t="shared" si="2"/>
        <v>22_1-2/360&lt;lv40&gt;s3</v>
      </c>
      <c r="B12" s="16">
        <f t="shared" si="0"/>
        <v>22</v>
      </c>
      <c r="C12" s="16">
        <f t="shared" si="0"/>
        <v>1</v>
      </c>
      <c r="D12" s="16">
        <f t="shared" si="0"/>
        <v>2</v>
      </c>
      <c r="E12" s="16">
        <f t="shared" si="0"/>
        <v>360</v>
      </c>
      <c r="F12" s="16">
        <f t="shared" si="0"/>
        <v>40</v>
      </c>
      <c r="G12" s="16">
        <f t="shared" si="0"/>
        <v>1</v>
      </c>
      <c r="H12" s="16">
        <f t="shared" si="0"/>
        <v>1</v>
      </c>
      <c r="I12" s="16">
        <f t="shared" si="0"/>
        <v>0</v>
      </c>
      <c r="J12" s="16">
        <f t="shared" si="0"/>
        <v>360</v>
      </c>
      <c r="K12" s="16">
        <f t="shared" si="0"/>
        <v>0</v>
      </c>
      <c r="L12" s="16">
        <f t="shared" si="0"/>
        <v>100</v>
      </c>
      <c r="M12" s="16">
        <f t="shared" si="0"/>
        <v>0</v>
      </c>
      <c r="N12" s="16">
        <f t="shared" si="0"/>
        <v>3</v>
      </c>
      <c r="O12" s="16">
        <f t="shared" si="0"/>
        <v>360</v>
      </c>
      <c r="P12" s="16">
        <f t="shared" si="0"/>
        <v>7</v>
      </c>
      <c r="Q12" s="16">
        <f t="shared" si="0"/>
        <v>2</v>
      </c>
      <c r="R12" s="16">
        <f t="shared" si="0"/>
        <v>20</v>
      </c>
      <c r="S12" s="16">
        <f t="shared" si="0"/>
        <v>0</v>
      </c>
      <c r="T12" s="16">
        <f t="shared" si="0"/>
        <v>0</v>
      </c>
      <c r="U12" s="16">
        <f t="shared" si="0"/>
        <v>0</v>
      </c>
      <c r="V12" s="16">
        <f t="shared" si="0"/>
        <v>0</v>
      </c>
      <c r="W12" s="16">
        <f t="shared" si="0"/>
        <v>1</v>
      </c>
      <c r="X12" s="16" t="str">
        <f t="shared" si="1"/>
        <v>null</v>
      </c>
    </row>
    <row r="13" spans="1:24" x14ac:dyDescent="0.15">
      <c r="A13" s="20" t="str">
        <f t="shared" si="2"/>
        <v>22_1-2/348&lt;lv40&gt;s3</v>
      </c>
      <c r="B13" s="16">
        <f t="shared" si="0"/>
        <v>22</v>
      </c>
      <c r="C13" s="16">
        <f t="shared" si="0"/>
        <v>1</v>
      </c>
      <c r="D13" s="16">
        <f t="shared" si="0"/>
        <v>2</v>
      </c>
      <c r="E13" s="16">
        <f t="shared" si="0"/>
        <v>348</v>
      </c>
      <c r="F13" s="16">
        <f t="shared" si="0"/>
        <v>40</v>
      </c>
      <c r="G13" s="16">
        <f t="shared" si="0"/>
        <v>1</v>
      </c>
      <c r="H13" s="16">
        <f t="shared" si="0"/>
        <v>1</v>
      </c>
      <c r="I13" s="16">
        <f t="shared" si="0"/>
        <v>0</v>
      </c>
      <c r="J13" s="16">
        <f t="shared" si="0"/>
        <v>348</v>
      </c>
      <c r="K13" s="16">
        <f t="shared" si="0"/>
        <v>0</v>
      </c>
      <c r="L13" s="16">
        <f t="shared" si="0"/>
        <v>100</v>
      </c>
      <c r="M13" s="16">
        <f t="shared" si="0"/>
        <v>0</v>
      </c>
      <c r="N13" s="16">
        <f t="shared" si="0"/>
        <v>3</v>
      </c>
      <c r="O13" s="16">
        <f t="shared" si="0"/>
        <v>348</v>
      </c>
      <c r="P13" s="16">
        <f t="shared" si="0"/>
        <v>1</v>
      </c>
      <c r="Q13" s="16">
        <f t="shared" si="0"/>
        <v>2</v>
      </c>
      <c r="R13" s="16">
        <f t="shared" si="0"/>
        <v>24</v>
      </c>
      <c r="S13" s="16">
        <f t="shared" si="0"/>
        <v>0</v>
      </c>
      <c r="T13" s="16">
        <f t="shared" si="0"/>
        <v>0</v>
      </c>
      <c r="U13" s="16">
        <f t="shared" si="0"/>
        <v>0</v>
      </c>
      <c r="V13" s="16">
        <f t="shared" si="0"/>
        <v>0</v>
      </c>
      <c r="W13" s="16">
        <f t="shared" si="0"/>
        <v>1</v>
      </c>
      <c r="X13" s="16" t="str">
        <f t="shared" si="1"/>
        <v>null</v>
      </c>
    </row>
    <row r="14" spans="1:24" x14ac:dyDescent="0.15">
      <c r="A14" s="20" t="str">
        <f t="shared" si="2"/>
        <v>22_1-3/9&lt;lv40&gt;s2</v>
      </c>
      <c r="B14" s="16">
        <f t="shared" si="0"/>
        <v>22</v>
      </c>
      <c r="C14" s="16">
        <f t="shared" si="0"/>
        <v>1</v>
      </c>
      <c r="D14" s="16">
        <f t="shared" si="0"/>
        <v>3</v>
      </c>
      <c r="E14" s="16">
        <f t="shared" si="0"/>
        <v>9</v>
      </c>
      <c r="F14" s="16">
        <f t="shared" si="0"/>
        <v>40</v>
      </c>
      <c r="G14" s="16">
        <f t="shared" si="0"/>
        <v>1</v>
      </c>
      <c r="H14" s="16">
        <f t="shared" si="0"/>
        <v>1</v>
      </c>
      <c r="I14" s="16">
        <f t="shared" si="0"/>
        <v>0</v>
      </c>
      <c r="J14" s="16">
        <f t="shared" si="0"/>
        <v>0</v>
      </c>
      <c r="K14" s="16">
        <f t="shared" si="0"/>
        <v>0</v>
      </c>
      <c r="L14" s="16">
        <f t="shared" si="0"/>
        <v>100</v>
      </c>
      <c r="M14" s="16">
        <f t="shared" si="0"/>
        <v>0</v>
      </c>
      <c r="N14" s="16">
        <f t="shared" si="0"/>
        <v>2</v>
      </c>
      <c r="O14" s="16">
        <f t="shared" ref="O14:W29" si="3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9</v>
      </c>
      <c r="P14" s="16">
        <f t="shared" si="3"/>
        <v>9</v>
      </c>
      <c r="Q14" s="16">
        <f t="shared" si="3"/>
        <v>1</v>
      </c>
      <c r="R14" s="16">
        <f t="shared" si="3"/>
        <v>20</v>
      </c>
      <c r="S14" s="16">
        <f t="shared" si="3"/>
        <v>0</v>
      </c>
      <c r="T14" s="16">
        <f t="shared" si="3"/>
        <v>0</v>
      </c>
      <c r="U14" s="16">
        <f t="shared" si="3"/>
        <v>0</v>
      </c>
      <c r="V14" s="16">
        <f t="shared" si="3"/>
        <v>0</v>
      </c>
      <c r="W14" s="16">
        <f t="shared" si="3"/>
        <v>1</v>
      </c>
      <c r="X14" s="16" t="str">
        <f t="shared" si="1"/>
        <v>null</v>
      </c>
    </row>
    <row r="15" spans="1:24" x14ac:dyDescent="0.15">
      <c r="A15" s="20" t="str">
        <f t="shared" si="2"/>
        <v>22_1-3/25&lt;lv40&gt;s3</v>
      </c>
      <c r="B15" s="16">
        <f t="shared" ref="B15:Q30" si="4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15" s="16">
        <f t="shared" si="4"/>
        <v>1</v>
      </c>
      <c r="D15" s="16">
        <f t="shared" si="4"/>
        <v>3</v>
      </c>
      <c r="E15" s="16">
        <f t="shared" si="4"/>
        <v>25</v>
      </c>
      <c r="F15" s="16">
        <f t="shared" si="4"/>
        <v>40</v>
      </c>
      <c r="G15" s="16">
        <f t="shared" si="4"/>
        <v>1</v>
      </c>
      <c r="H15" s="16">
        <f t="shared" si="4"/>
        <v>1</v>
      </c>
      <c r="I15" s="16">
        <f t="shared" si="4"/>
        <v>0</v>
      </c>
      <c r="J15" s="16">
        <f t="shared" si="4"/>
        <v>0</v>
      </c>
      <c r="K15" s="16">
        <f t="shared" si="4"/>
        <v>0</v>
      </c>
      <c r="L15" s="16">
        <f t="shared" si="4"/>
        <v>100</v>
      </c>
      <c r="M15" s="16">
        <f t="shared" si="4"/>
        <v>0</v>
      </c>
      <c r="N15" s="16">
        <f t="shared" si="4"/>
        <v>3</v>
      </c>
      <c r="O15" s="16">
        <f t="shared" si="4"/>
        <v>25</v>
      </c>
      <c r="P15" s="16">
        <f t="shared" si="4"/>
        <v>7</v>
      </c>
      <c r="Q15" s="16">
        <f t="shared" si="4"/>
        <v>1</v>
      </c>
      <c r="R15" s="16">
        <f t="shared" si="3"/>
        <v>20</v>
      </c>
      <c r="S15" s="16">
        <f t="shared" si="3"/>
        <v>0</v>
      </c>
      <c r="T15" s="16">
        <f t="shared" si="3"/>
        <v>0</v>
      </c>
      <c r="U15" s="16">
        <f t="shared" si="3"/>
        <v>0</v>
      </c>
      <c r="V15" s="16">
        <f t="shared" si="3"/>
        <v>0</v>
      </c>
      <c r="W15" s="16">
        <f t="shared" si="3"/>
        <v>1</v>
      </c>
      <c r="X15" s="16" t="str">
        <f t="shared" si="1"/>
        <v>null</v>
      </c>
    </row>
    <row r="16" spans="1:24" x14ac:dyDescent="0.15">
      <c r="A16" s="20" t="str">
        <f t="shared" si="2"/>
        <v>22_1-3/33&lt;lv40&gt;s2</v>
      </c>
      <c r="B16" s="16">
        <f t="shared" si="4"/>
        <v>22</v>
      </c>
      <c r="C16" s="16">
        <f t="shared" si="4"/>
        <v>1</v>
      </c>
      <c r="D16" s="16">
        <f t="shared" si="4"/>
        <v>3</v>
      </c>
      <c r="E16" s="16">
        <f t="shared" si="4"/>
        <v>33</v>
      </c>
      <c r="F16" s="16">
        <f t="shared" si="4"/>
        <v>40</v>
      </c>
      <c r="G16" s="16">
        <f t="shared" si="4"/>
        <v>1</v>
      </c>
      <c r="H16" s="16">
        <f t="shared" si="4"/>
        <v>1</v>
      </c>
      <c r="I16" s="16">
        <f t="shared" si="4"/>
        <v>0</v>
      </c>
      <c r="J16" s="16">
        <f t="shared" si="4"/>
        <v>33</v>
      </c>
      <c r="K16" s="16">
        <f t="shared" si="4"/>
        <v>0</v>
      </c>
      <c r="L16" s="16">
        <f t="shared" si="4"/>
        <v>100</v>
      </c>
      <c r="M16" s="16">
        <f t="shared" si="4"/>
        <v>0</v>
      </c>
      <c r="N16" s="16">
        <f t="shared" si="4"/>
        <v>2</v>
      </c>
      <c r="O16" s="16">
        <f t="shared" si="4"/>
        <v>33</v>
      </c>
      <c r="P16" s="16">
        <f t="shared" si="4"/>
        <v>5</v>
      </c>
      <c r="Q16" s="16">
        <f t="shared" si="4"/>
        <v>2</v>
      </c>
      <c r="R16" s="16">
        <f t="shared" si="3"/>
        <v>20</v>
      </c>
      <c r="S16" s="16">
        <f t="shared" si="3"/>
        <v>0</v>
      </c>
      <c r="T16" s="16">
        <f t="shared" si="3"/>
        <v>0</v>
      </c>
      <c r="U16" s="16">
        <f t="shared" si="3"/>
        <v>0</v>
      </c>
      <c r="V16" s="16">
        <f t="shared" si="3"/>
        <v>0</v>
      </c>
      <c r="W16" s="16">
        <f t="shared" si="3"/>
        <v>1</v>
      </c>
      <c r="X16" s="16" t="str">
        <f t="shared" si="1"/>
        <v>null</v>
      </c>
    </row>
    <row r="17" spans="1:24" x14ac:dyDescent="0.15">
      <c r="A17" s="20" t="str">
        <f t="shared" si="2"/>
        <v>22_1-3/37&lt;lv40&gt;s3</v>
      </c>
      <c r="B17" s="16">
        <f t="shared" si="4"/>
        <v>22</v>
      </c>
      <c r="C17" s="16">
        <f t="shared" si="4"/>
        <v>1</v>
      </c>
      <c r="D17" s="16">
        <f t="shared" si="4"/>
        <v>3</v>
      </c>
      <c r="E17" s="16">
        <f t="shared" si="4"/>
        <v>37</v>
      </c>
      <c r="F17" s="16">
        <f t="shared" si="4"/>
        <v>40</v>
      </c>
      <c r="G17" s="16">
        <f t="shared" si="4"/>
        <v>1</v>
      </c>
      <c r="H17" s="16">
        <f t="shared" si="4"/>
        <v>1</v>
      </c>
      <c r="I17" s="16">
        <f t="shared" si="4"/>
        <v>0</v>
      </c>
      <c r="J17" s="16">
        <f t="shared" si="4"/>
        <v>37</v>
      </c>
      <c r="K17" s="16">
        <f t="shared" si="4"/>
        <v>0</v>
      </c>
      <c r="L17" s="16">
        <f t="shared" si="4"/>
        <v>100</v>
      </c>
      <c r="M17" s="16">
        <f t="shared" si="4"/>
        <v>0</v>
      </c>
      <c r="N17" s="16">
        <f t="shared" si="4"/>
        <v>3</v>
      </c>
      <c r="O17" s="16">
        <f t="shared" si="4"/>
        <v>37</v>
      </c>
      <c r="P17" s="16">
        <f t="shared" si="4"/>
        <v>5</v>
      </c>
      <c r="Q17" s="16">
        <f t="shared" si="4"/>
        <v>2</v>
      </c>
      <c r="R17" s="16">
        <f t="shared" si="3"/>
        <v>20</v>
      </c>
      <c r="S17" s="16">
        <f t="shared" si="3"/>
        <v>0</v>
      </c>
      <c r="T17" s="16">
        <f t="shared" si="3"/>
        <v>0</v>
      </c>
      <c r="U17" s="16">
        <f t="shared" si="3"/>
        <v>0</v>
      </c>
      <c r="V17" s="16">
        <f t="shared" si="3"/>
        <v>0</v>
      </c>
      <c r="W17" s="16">
        <f t="shared" si="3"/>
        <v>1</v>
      </c>
      <c r="X17" s="16" t="str">
        <f t="shared" si="1"/>
        <v>null</v>
      </c>
    </row>
    <row r="18" spans="1:24" x14ac:dyDescent="0.15">
      <c r="A18" s="20" t="str">
        <f t="shared" si="2"/>
        <v>22_1-3/45&lt;lv40&gt;s3</v>
      </c>
      <c r="B18" s="16">
        <f t="shared" si="4"/>
        <v>22</v>
      </c>
      <c r="C18" s="16">
        <f t="shared" si="4"/>
        <v>1</v>
      </c>
      <c r="D18" s="16">
        <f t="shared" si="4"/>
        <v>3</v>
      </c>
      <c r="E18" s="16">
        <f t="shared" si="4"/>
        <v>45</v>
      </c>
      <c r="F18" s="16">
        <f t="shared" si="4"/>
        <v>40</v>
      </c>
      <c r="G18" s="16">
        <f t="shared" si="4"/>
        <v>1</v>
      </c>
      <c r="H18" s="16">
        <f t="shared" si="4"/>
        <v>1</v>
      </c>
      <c r="I18" s="16">
        <f t="shared" si="4"/>
        <v>0</v>
      </c>
      <c r="J18" s="16">
        <f t="shared" si="4"/>
        <v>0</v>
      </c>
      <c r="K18" s="16">
        <f t="shared" si="4"/>
        <v>0</v>
      </c>
      <c r="L18" s="16">
        <f t="shared" si="4"/>
        <v>100</v>
      </c>
      <c r="M18" s="16">
        <f t="shared" si="4"/>
        <v>0</v>
      </c>
      <c r="N18" s="16">
        <f t="shared" si="4"/>
        <v>3</v>
      </c>
      <c r="O18" s="16">
        <f t="shared" si="4"/>
        <v>45</v>
      </c>
      <c r="P18" s="16">
        <f t="shared" si="4"/>
        <v>7</v>
      </c>
      <c r="Q18" s="16">
        <f t="shared" si="4"/>
        <v>2</v>
      </c>
      <c r="R18" s="16">
        <f t="shared" si="3"/>
        <v>20</v>
      </c>
      <c r="S18" s="16">
        <f t="shared" si="3"/>
        <v>0</v>
      </c>
      <c r="T18" s="16">
        <f t="shared" si="3"/>
        <v>0</v>
      </c>
      <c r="U18" s="16">
        <f t="shared" si="3"/>
        <v>0</v>
      </c>
      <c r="V18" s="16">
        <f t="shared" si="3"/>
        <v>0</v>
      </c>
      <c r="W18" s="16">
        <f t="shared" si="3"/>
        <v>1</v>
      </c>
      <c r="X18" s="16" t="str">
        <f t="shared" si="1"/>
        <v>null</v>
      </c>
    </row>
    <row r="19" spans="1:24" x14ac:dyDescent="0.15">
      <c r="A19" s="20" t="str">
        <f t="shared" si="2"/>
        <v>22_1-3/57&lt;lv40&gt;s2</v>
      </c>
      <c r="B19" s="16">
        <f t="shared" si="4"/>
        <v>22</v>
      </c>
      <c r="C19" s="16">
        <f t="shared" si="4"/>
        <v>1</v>
      </c>
      <c r="D19" s="16">
        <f t="shared" si="4"/>
        <v>3</v>
      </c>
      <c r="E19" s="16">
        <f t="shared" si="4"/>
        <v>57</v>
      </c>
      <c r="F19" s="16">
        <f t="shared" si="4"/>
        <v>40</v>
      </c>
      <c r="G19" s="16">
        <f t="shared" si="4"/>
        <v>1</v>
      </c>
      <c r="H19" s="16">
        <f t="shared" si="4"/>
        <v>1</v>
      </c>
      <c r="I19" s="16">
        <f t="shared" si="4"/>
        <v>0</v>
      </c>
      <c r="J19" s="16">
        <f t="shared" si="4"/>
        <v>57</v>
      </c>
      <c r="K19" s="16">
        <f t="shared" si="4"/>
        <v>0</v>
      </c>
      <c r="L19" s="16">
        <f t="shared" si="4"/>
        <v>100</v>
      </c>
      <c r="M19" s="16">
        <f t="shared" si="4"/>
        <v>0</v>
      </c>
      <c r="N19" s="16">
        <f t="shared" si="4"/>
        <v>2</v>
      </c>
      <c r="O19" s="16">
        <f t="shared" si="4"/>
        <v>57</v>
      </c>
      <c r="P19" s="16">
        <f t="shared" si="4"/>
        <v>7</v>
      </c>
      <c r="Q19" s="16">
        <f t="shared" si="4"/>
        <v>2</v>
      </c>
      <c r="R19" s="16">
        <f t="shared" si="3"/>
        <v>20</v>
      </c>
      <c r="S19" s="16">
        <f t="shared" si="3"/>
        <v>0</v>
      </c>
      <c r="T19" s="16">
        <f t="shared" si="3"/>
        <v>0</v>
      </c>
      <c r="U19" s="16">
        <f t="shared" si="3"/>
        <v>0</v>
      </c>
      <c r="V19" s="16">
        <f t="shared" si="3"/>
        <v>0</v>
      </c>
      <c r="W19" s="16">
        <f t="shared" si="3"/>
        <v>1</v>
      </c>
      <c r="X19" s="16" t="str">
        <f t="shared" si="1"/>
        <v>null</v>
      </c>
    </row>
    <row r="20" spans="1:24" x14ac:dyDescent="0.15">
      <c r="A20" s="20" t="str">
        <f t="shared" si="2"/>
        <v>22_1-3/61&lt;lv40&gt;s2</v>
      </c>
      <c r="B20" s="16">
        <f t="shared" si="4"/>
        <v>22</v>
      </c>
      <c r="C20" s="16">
        <f t="shared" si="4"/>
        <v>1</v>
      </c>
      <c r="D20" s="16">
        <f t="shared" si="4"/>
        <v>3</v>
      </c>
      <c r="E20" s="16">
        <f t="shared" si="4"/>
        <v>61</v>
      </c>
      <c r="F20" s="16">
        <f t="shared" si="4"/>
        <v>40</v>
      </c>
      <c r="G20" s="16">
        <f t="shared" si="4"/>
        <v>1</v>
      </c>
      <c r="H20" s="16">
        <f t="shared" si="4"/>
        <v>1</v>
      </c>
      <c r="I20" s="16">
        <f t="shared" si="4"/>
        <v>0</v>
      </c>
      <c r="J20" s="16">
        <f t="shared" si="4"/>
        <v>61</v>
      </c>
      <c r="K20" s="16">
        <f t="shared" si="4"/>
        <v>0</v>
      </c>
      <c r="L20" s="16">
        <f t="shared" si="4"/>
        <v>100</v>
      </c>
      <c r="M20" s="16">
        <f t="shared" si="4"/>
        <v>0</v>
      </c>
      <c r="N20" s="16">
        <f t="shared" si="4"/>
        <v>2</v>
      </c>
      <c r="O20" s="16">
        <f t="shared" si="4"/>
        <v>61</v>
      </c>
      <c r="P20" s="16">
        <f t="shared" si="4"/>
        <v>7</v>
      </c>
      <c r="Q20" s="16">
        <f t="shared" si="4"/>
        <v>2</v>
      </c>
      <c r="R20" s="16">
        <f t="shared" si="3"/>
        <v>20</v>
      </c>
      <c r="S20" s="16">
        <f t="shared" si="3"/>
        <v>0</v>
      </c>
      <c r="T20" s="16">
        <f t="shared" si="3"/>
        <v>0</v>
      </c>
      <c r="U20" s="16">
        <f t="shared" si="3"/>
        <v>0</v>
      </c>
      <c r="V20" s="16">
        <f t="shared" si="3"/>
        <v>0</v>
      </c>
      <c r="W20" s="16">
        <f t="shared" si="3"/>
        <v>1</v>
      </c>
      <c r="X20" s="16" t="str">
        <f t="shared" si="1"/>
        <v>null</v>
      </c>
    </row>
    <row r="21" spans="1:24" x14ac:dyDescent="0.15">
      <c r="A21" s="20" t="str">
        <f t="shared" si="2"/>
        <v>22_1-3/360&lt;lv40&gt;s3</v>
      </c>
      <c r="B21" s="16">
        <f t="shared" si="4"/>
        <v>22</v>
      </c>
      <c r="C21" s="16">
        <f t="shared" si="4"/>
        <v>1</v>
      </c>
      <c r="D21" s="16">
        <f t="shared" si="4"/>
        <v>3</v>
      </c>
      <c r="E21" s="16">
        <f t="shared" si="4"/>
        <v>360</v>
      </c>
      <c r="F21" s="16">
        <f t="shared" si="4"/>
        <v>40</v>
      </c>
      <c r="G21" s="16">
        <f t="shared" si="4"/>
        <v>1</v>
      </c>
      <c r="H21" s="16">
        <f t="shared" si="4"/>
        <v>1</v>
      </c>
      <c r="I21" s="16">
        <f t="shared" si="4"/>
        <v>0</v>
      </c>
      <c r="J21" s="16">
        <f t="shared" si="4"/>
        <v>360</v>
      </c>
      <c r="K21" s="16">
        <f t="shared" si="4"/>
        <v>0</v>
      </c>
      <c r="L21" s="16">
        <f t="shared" si="4"/>
        <v>100</v>
      </c>
      <c r="M21" s="16">
        <f t="shared" si="4"/>
        <v>0</v>
      </c>
      <c r="N21" s="16">
        <f t="shared" si="4"/>
        <v>3</v>
      </c>
      <c r="O21" s="16">
        <f t="shared" si="4"/>
        <v>360</v>
      </c>
      <c r="P21" s="16">
        <f t="shared" si="4"/>
        <v>7</v>
      </c>
      <c r="Q21" s="16">
        <f t="shared" si="4"/>
        <v>2</v>
      </c>
      <c r="R21" s="16">
        <f t="shared" si="3"/>
        <v>20</v>
      </c>
      <c r="S21" s="16">
        <f t="shared" si="3"/>
        <v>0</v>
      </c>
      <c r="T21" s="16">
        <f t="shared" si="3"/>
        <v>0</v>
      </c>
      <c r="U21" s="16">
        <f t="shared" si="3"/>
        <v>0</v>
      </c>
      <c r="V21" s="16">
        <f t="shared" si="3"/>
        <v>0</v>
      </c>
      <c r="W21" s="16">
        <f t="shared" si="3"/>
        <v>1</v>
      </c>
      <c r="X21" s="16" t="str">
        <f t="shared" si="1"/>
        <v>null</v>
      </c>
    </row>
    <row r="22" spans="1:24" x14ac:dyDescent="0.15">
      <c r="A22" s="20" t="str">
        <f t="shared" si="2"/>
        <v>22_1-3/364&lt;lv40&gt;s3</v>
      </c>
      <c r="B22" s="16">
        <f t="shared" si="4"/>
        <v>22</v>
      </c>
      <c r="C22" s="16">
        <f t="shared" si="4"/>
        <v>1</v>
      </c>
      <c r="D22" s="16">
        <f t="shared" si="4"/>
        <v>3</v>
      </c>
      <c r="E22" s="16">
        <f t="shared" si="4"/>
        <v>364</v>
      </c>
      <c r="F22" s="16">
        <f t="shared" si="4"/>
        <v>40</v>
      </c>
      <c r="G22" s="16">
        <f t="shared" si="4"/>
        <v>1</v>
      </c>
      <c r="H22" s="16">
        <f t="shared" si="4"/>
        <v>1</v>
      </c>
      <c r="I22" s="16">
        <f t="shared" si="4"/>
        <v>0</v>
      </c>
      <c r="J22" s="16">
        <f t="shared" si="4"/>
        <v>364</v>
      </c>
      <c r="K22" s="16">
        <f t="shared" si="4"/>
        <v>0</v>
      </c>
      <c r="L22" s="16">
        <f t="shared" si="4"/>
        <v>100</v>
      </c>
      <c r="M22" s="16">
        <f t="shared" si="4"/>
        <v>0</v>
      </c>
      <c r="N22" s="16">
        <f t="shared" si="4"/>
        <v>3</v>
      </c>
      <c r="O22" s="16">
        <f t="shared" si="4"/>
        <v>364</v>
      </c>
      <c r="P22" s="16">
        <f t="shared" si="4"/>
        <v>7</v>
      </c>
      <c r="Q22" s="16">
        <f t="shared" si="4"/>
        <v>2</v>
      </c>
      <c r="R22" s="16">
        <f t="shared" si="3"/>
        <v>20</v>
      </c>
      <c r="S22" s="16">
        <f t="shared" si="3"/>
        <v>0</v>
      </c>
      <c r="T22" s="16">
        <f t="shared" si="3"/>
        <v>0</v>
      </c>
      <c r="U22" s="16">
        <f t="shared" si="3"/>
        <v>0</v>
      </c>
      <c r="V22" s="16">
        <f t="shared" si="3"/>
        <v>0</v>
      </c>
      <c r="W22" s="16">
        <f t="shared" si="3"/>
        <v>1</v>
      </c>
      <c r="X22" s="16" t="str">
        <f t="shared" si="1"/>
        <v>null</v>
      </c>
    </row>
    <row r="23" spans="1:24" x14ac:dyDescent="0.15">
      <c r="A23" s="20" t="str">
        <f t="shared" si="2"/>
        <v>22_1-3/352&lt;lv40&gt;s3</v>
      </c>
      <c r="B23" s="16">
        <f t="shared" si="4"/>
        <v>22</v>
      </c>
      <c r="C23" s="16">
        <f t="shared" si="4"/>
        <v>1</v>
      </c>
      <c r="D23" s="16">
        <f t="shared" si="4"/>
        <v>3</v>
      </c>
      <c r="E23" s="16">
        <f t="shared" si="4"/>
        <v>352</v>
      </c>
      <c r="F23" s="16">
        <f t="shared" si="4"/>
        <v>40</v>
      </c>
      <c r="G23" s="16">
        <f t="shared" si="4"/>
        <v>1</v>
      </c>
      <c r="H23" s="16">
        <f t="shared" si="4"/>
        <v>1</v>
      </c>
      <c r="I23" s="16">
        <f t="shared" si="4"/>
        <v>0</v>
      </c>
      <c r="J23" s="16">
        <f t="shared" si="4"/>
        <v>352</v>
      </c>
      <c r="K23" s="16">
        <f t="shared" si="4"/>
        <v>0</v>
      </c>
      <c r="L23" s="16">
        <f t="shared" si="4"/>
        <v>100</v>
      </c>
      <c r="M23" s="16">
        <f t="shared" si="4"/>
        <v>0</v>
      </c>
      <c r="N23" s="16">
        <f t="shared" si="4"/>
        <v>3</v>
      </c>
      <c r="O23" s="16">
        <f t="shared" si="4"/>
        <v>352</v>
      </c>
      <c r="P23" s="16">
        <f t="shared" si="4"/>
        <v>1</v>
      </c>
      <c r="Q23" s="16">
        <f t="shared" si="4"/>
        <v>2</v>
      </c>
      <c r="R23" s="16">
        <f t="shared" si="3"/>
        <v>24</v>
      </c>
      <c r="S23" s="16">
        <f t="shared" si="3"/>
        <v>0</v>
      </c>
      <c r="T23" s="16">
        <f t="shared" si="3"/>
        <v>0</v>
      </c>
      <c r="U23" s="16">
        <f t="shared" si="3"/>
        <v>0</v>
      </c>
      <c r="V23" s="16">
        <f t="shared" si="3"/>
        <v>0</v>
      </c>
      <c r="W23" s="16">
        <f t="shared" si="3"/>
        <v>1</v>
      </c>
      <c r="X23" s="16" t="str">
        <f t="shared" si="1"/>
        <v>null</v>
      </c>
    </row>
    <row r="24" spans="1:24" x14ac:dyDescent="0.15">
      <c r="A24" s="20" t="str">
        <f t="shared" si="2"/>
        <v>22_1-4/33&lt;lv40&gt;s2</v>
      </c>
      <c r="B24" s="16">
        <f t="shared" si="4"/>
        <v>22</v>
      </c>
      <c r="C24" s="16">
        <f t="shared" si="4"/>
        <v>1</v>
      </c>
      <c r="D24" s="16">
        <f t="shared" si="4"/>
        <v>4</v>
      </c>
      <c r="E24" s="16">
        <f t="shared" si="4"/>
        <v>33</v>
      </c>
      <c r="F24" s="16">
        <f t="shared" si="4"/>
        <v>40</v>
      </c>
      <c r="G24" s="16">
        <f t="shared" si="4"/>
        <v>1</v>
      </c>
      <c r="H24" s="16">
        <f t="shared" si="4"/>
        <v>1</v>
      </c>
      <c r="I24" s="16">
        <f t="shared" si="4"/>
        <v>0</v>
      </c>
      <c r="J24" s="16">
        <f t="shared" si="4"/>
        <v>33</v>
      </c>
      <c r="K24" s="16">
        <f t="shared" si="4"/>
        <v>0</v>
      </c>
      <c r="L24" s="16">
        <f t="shared" si="4"/>
        <v>100</v>
      </c>
      <c r="M24" s="16">
        <f t="shared" si="4"/>
        <v>0</v>
      </c>
      <c r="N24" s="16">
        <f t="shared" si="4"/>
        <v>2</v>
      </c>
      <c r="O24" s="16">
        <f t="shared" si="4"/>
        <v>33</v>
      </c>
      <c r="P24" s="16">
        <f t="shared" si="4"/>
        <v>5</v>
      </c>
      <c r="Q24" s="16">
        <f t="shared" si="4"/>
        <v>2</v>
      </c>
      <c r="R24" s="16">
        <f t="shared" si="3"/>
        <v>20</v>
      </c>
      <c r="S24" s="16">
        <f t="shared" si="3"/>
        <v>0</v>
      </c>
      <c r="T24" s="16">
        <f t="shared" si="3"/>
        <v>0</v>
      </c>
      <c r="U24" s="16">
        <f t="shared" si="3"/>
        <v>0</v>
      </c>
      <c r="V24" s="16">
        <f t="shared" si="3"/>
        <v>0</v>
      </c>
      <c r="W24" s="16">
        <f t="shared" si="3"/>
        <v>1</v>
      </c>
      <c r="X24" s="16" t="str">
        <f t="shared" si="1"/>
        <v>null</v>
      </c>
    </row>
    <row r="25" spans="1:24" x14ac:dyDescent="0.15">
      <c r="A25" s="20" t="str">
        <f t="shared" si="2"/>
        <v>22_1-4/37&lt;lv40&gt;s3</v>
      </c>
      <c r="B25" s="16">
        <f t="shared" si="4"/>
        <v>22</v>
      </c>
      <c r="C25" s="16">
        <f t="shared" si="4"/>
        <v>1</v>
      </c>
      <c r="D25" s="16">
        <f t="shared" si="4"/>
        <v>4</v>
      </c>
      <c r="E25" s="16">
        <f t="shared" si="4"/>
        <v>37</v>
      </c>
      <c r="F25" s="16">
        <f t="shared" si="4"/>
        <v>40</v>
      </c>
      <c r="G25" s="16">
        <f t="shared" si="4"/>
        <v>1</v>
      </c>
      <c r="H25" s="16">
        <f t="shared" si="4"/>
        <v>1</v>
      </c>
      <c r="I25" s="16">
        <f t="shared" si="4"/>
        <v>0</v>
      </c>
      <c r="J25" s="16">
        <f t="shared" si="4"/>
        <v>37</v>
      </c>
      <c r="K25" s="16">
        <f t="shared" si="4"/>
        <v>0</v>
      </c>
      <c r="L25" s="16">
        <f t="shared" si="4"/>
        <v>100</v>
      </c>
      <c r="M25" s="16">
        <f t="shared" si="4"/>
        <v>0</v>
      </c>
      <c r="N25" s="16">
        <f t="shared" si="4"/>
        <v>3</v>
      </c>
      <c r="O25" s="16">
        <f t="shared" si="4"/>
        <v>37</v>
      </c>
      <c r="P25" s="16">
        <f t="shared" si="4"/>
        <v>5</v>
      </c>
      <c r="Q25" s="16">
        <f t="shared" si="4"/>
        <v>2</v>
      </c>
      <c r="R25" s="16">
        <f t="shared" si="3"/>
        <v>20</v>
      </c>
      <c r="S25" s="16">
        <f t="shared" si="3"/>
        <v>0</v>
      </c>
      <c r="T25" s="16">
        <f t="shared" si="3"/>
        <v>0</v>
      </c>
      <c r="U25" s="16">
        <f t="shared" si="3"/>
        <v>0</v>
      </c>
      <c r="V25" s="16">
        <f t="shared" si="3"/>
        <v>0</v>
      </c>
      <c r="W25" s="16">
        <f t="shared" si="3"/>
        <v>1</v>
      </c>
      <c r="X25" s="16" t="str">
        <f t="shared" si="1"/>
        <v>null</v>
      </c>
    </row>
    <row r="26" spans="1:24" x14ac:dyDescent="0.15">
      <c r="A26" s="20" t="str">
        <f t="shared" si="2"/>
        <v>22_1-4/45&lt;lv40&gt;s3</v>
      </c>
      <c r="B26" s="16">
        <f t="shared" si="4"/>
        <v>22</v>
      </c>
      <c r="C26" s="16">
        <f t="shared" si="4"/>
        <v>1</v>
      </c>
      <c r="D26" s="16">
        <f t="shared" si="4"/>
        <v>4</v>
      </c>
      <c r="E26" s="16">
        <f t="shared" si="4"/>
        <v>45</v>
      </c>
      <c r="F26" s="16">
        <f t="shared" si="4"/>
        <v>40</v>
      </c>
      <c r="G26" s="16">
        <f t="shared" si="4"/>
        <v>1</v>
      </c>
      <c r="H26" s="16">
        <f t="shared" si="4"/>
        <v>1</v>
      </c>
      <c r="I26" s="16">
        <f t="shared" si="4"/>
        <v>0</v>
      </c>
      <c r="J26" s="16">
        <f t="shared" si="4"/>
        <v>0</v>
      </c>
      <c r="K26" s="16">
        <f t="shared" si="4"/>
        <v>0</v>
      </c>
      <c r="L26" s="16">
        <f t="shared" si="4"/>
        <v>100</v>
      </c>
      <c r="M26" s="16">
        <f t="shared" si="4"/>
        <v>0</v>
      </c>
      <c r="N26" s="16">
        <f t="shared" si="4"/>
        <v>3</v>
      </c>
      <c r="O26" s="16">
        <f t="shared" si="4"/>
        <v>45</v>
      </c>
      <c r="P26" s="16">
        <f t="shared" si="4"/>
        <v>7</v>
      </c>
      <c r="Q26" s="16">
        <f t="shared" si="4"/>
        <v>2</v>
      </c>
      <c r="R26" s="16">
        <f t="shared" si="3"/>
        <v>20</v>
      </c>
      <c r="S26" s="16">
        <f t="shared" si="3"/>
        <v>0</v>
      </c>
      <c r="T26" s="16">
        <f t="shared" si="3"/>
        <v>0</v>
      </c>
      <c r="U26" s="16">
        <f t="shared" si="3"/>
        <v>0</v>
      </c>
      <c r="V26" s="16">
        <f t="shared" si="3"/>
        <v>0</v>
      </c>
      <c r="W26" s="16">
        <f t="shared" si="3"/>
        <v>1</v>
      </c>
      <c r="X26" s="16" t="str">
        <f t="shared" si="1"/>
        <v>null</v>
      </c>
    </row>
    <row r="27" spans="1:24" x14ac:dyDescent="0.15">
      <c r="A27" s="20" t="str">
        <f t="shared" si="2"/>
        <v>22_1-4/57&lt;lv40&gt;s2</v>
      </c>
      <c r="B27" s="16">
        <f t="shared" si="4"/>
        <v>22</v>
      </c>
      <c r="C27" s="16">
        <f t="shared" si="4"/>
        <v>1</v>
      </c>
      <c r="D27" s="16">
        <f t="shared" si="4"/>
        <v>4</v>
      </c>
      <c r="E27" s="16">
        <f t="shared" si="4"/>
        <v>57</v>
      </c>
      <c r="F27" s="16">
        <f t="shared" si="4"/>
        <v>40</v>
      </c>
      <c r="G27" s="16">
        <f t="shared" si="4"/>
        <v>1</v>
      </c>
      <c r="H27" s="16">
        <f t="shared" si="4"/>
        <v>1</v>
      </c>
      <c r="I27" s="16">
        <f t="shared" si="4"/>
        <v>0</v>
      </c>
      <c r="J27" s="16">
        <f t="shared" si="4"/>
        <v>57</v>
      </c>
      <c r="K27" s="16">
        <f t="shared" si="4"/>
        <v>0</v>
      </c>
      <c r="L27" s="16">
        <f t="shared" si="4"/>
        <v>100</v>
      </c>
      <c r="M27" s="16">
        <f t="shared" si="4"/>
        <v>0</v>
      </c>
      <c r="N27" s="16">
        <f t="shared" si="4"/>
        <v>2</v>
      </c>
      <c r="O27" s="16">
        <f t="shared" si="4"/>
        <v>57</v>
      </c>
      <c r="P27" s="16">
        <f t="shared" si="4"/>
        <v>7</v>
      </c>
      <c r="Q27" s="16">
        <f t="shared" si="4"/>
        <v>2</v>
      </c>
      <c r="R27" s="16">
        <f t="shared" si="3"/>
        <v>20</v>
      </c>
      <c r="S27" s="16">
        <f t="shared" si="3"/>
        <v>0</v>
      </c>
      <c r="T27" s="16">
        <f t="shared" si="3"/>
        <v>0</v>
      </c>
      <c r="U27" s="16">
        <f t="shared" si="3"/>
        <v>0</v>
      </c>
      <c r="V27" s="16">
        <f t="shared" si="3"/>
        <v>0</v>
      </c>
      <c r="W27" s="16">
        <f t="shared" si="3"/>
        <v>1</v>
      </c>
      <c r="X27" s="16" t="str">
        <f t="shared" si="1"/>
        <v>null</v>
      </c>
    </row>
    <row r="28" spans="1:24" x14ac:dyDescent="0.15">
      <c r="A28" s="20" t="str">
        <f t="shared" si="2"/>
        <v>22_1-4/61&lt;lv40&gt;s2</v>
      </c>
      <c r="B28" s="16">
        <f t="shared" si="4"/>
        <v>22</v>
      </c>
      <c r="C28" s="16">
        <f t="shared" si="4"/>
        <v>1</v>
      </c>
      <c r="D28" s="16">
        <f t="shared" si="4"/>
        <v>4</v>
      </c>
      <c r="E28" s="16">
        <f t="shared" si="4"/>
        <v>61</v>
      </c>
      <c r="F28" s="16">
        <f t="shared" si="4"/>
        <v>40</v>
      </c>
      <c r="G28" s="16">
        <f t="shared" si="4"/>
        <v>1</v>
      </c>
      <c r="H28" s="16">
        <f t="shared" si="4"/>
        <v>1</v>
      </c>
      <c r="I28" s="16">
        <f t="shared" si="4"/>
        <v>0</v>
      </c>
      <c r="J28" s="16">
        <f t="shared" si="4"/>
        <v>61</v>
      </c>
      <c r="K28" s="16">
        <f t="shared" si="4"/>
        <v>0</v>
      </c>
      <c r="L28" s="16">
        <f t="shared" si="4"/>
        <v>100</v>
      </c>
      <c r="M28" s="16">
        <f t="shared" si="4"/>
        <v>0</v>
      </c>
      <c r="N28" s="16">
        <f t="shared" si="4"/>
        <v>2</v>
      </c>
      <c r="O28" s="16">
        <f t="shared" si="4"/>
        <v>61</v>
      </c>
      <c r="P28" s="16">
        <f t="shared" si="4"/>
        <v>7</v>
      </c>
      <c r="Q28" s="16">
        <f t="shared" si="4"/>
        <v>2</v>
      </c>
      <c r="R28" s="16">
        <f t="shared" si="3"/>
        <v>20</v>
      </c>
      <c r="S28" s="16">
        <f t="shared" si="3"/>
        <v>0</v>
      </c>
      <c r="T28" s="16">
        <f t="shared" si="3"/>
        <v>0</v>
      </c>
      <c r="U28" s="16">
        <f t="shared" si="3"/>
        <v>0</v>
      </c>
      <c r="V28" s="16">
        <f t="shared" si="3"/>
        <v>0</v>
      </c>
      <c r="W28" s="16">
        <f t="shared" si="3"/>
        <v>1</v>
      </c>
      <c r="X28" s="16" t="str">
        <f t="shared" si="1"/>
        <v>null</v>
      </c>
    </row>
    <row r="29" spans="1:24" x14ac:dyDescent="0.15">
      <c r="A29" s="20" t="str">
        <f t="shared" si="2"/>
        <v>22_1-4/360&lt;lv40&gt;s3</v>
      </c>
      <c r="B29" s="16">
        <f t="shared" si="4"/>
        <v>22</v>
      </c>
      <c r="C29" s="16">
        <f t="shared" si="4"/>
        <v>1</v>
      </c>
      <c r="D29" s="16">
        <f t="shared" si="4"/>
        <v>4</v>
      </c>
      <c r="E29" s="16">
        <f t="shared" si="4"/>
        <v>360</v>
      </c>
      <c r="F29" s="16">
        <f t="shared" si="4"/>
        <v>40</v>
      </c>
      <c r="G29" s="16">
        <f t="shared" si="4"/>
        <v>1</v>
      </c>
      <c r="H29" s="16">
        <f t="shared" si="4"/>
        <v>1</v>
      </c>
      <c r="I29" s="16">
        <f t="shared" si="4"/>
        <v>0</v>
      </c>
      <c r="J29" s="16">
        <f t="shared" si="4"/>
        <v>360</v>
      </c>
      <c r="K29" s="16">
        <f t="shared" si="4"/>
        <v>0</v>
      </c>
      <c r="L29" s="16">
        <f t="shared" si="4"/>
        <v>100</v>
      </c>
      <c r="M29" s="16">
        <f t="shared" si="4"/>
        <v>0</v>
      </c>
      <c r="N29" s="16">
        <f t="shared" si="4"/>
        <v>3</v>
      </c>
      <c r="O29" s="16">
        <f t="shared" si="4"/>
        <v>360</v>
      </c>
      <c r="P29" s="16">
        <f t="shared" si="4"/>
        <v>7</v>
      </c>
      <c r="Q29" s="16">
        <f t="shared" si="4"/>
        <v>2</v>
      </c>
      <c r="R29" s="16">
        <f t="shared" si="3"/>
        <v>20</v>
      </c>
      <c r="S29" s="16">
        <f t="shared" si="3"/>
        <v>0</v>
      </c>
      <c r="T29" s="16">
        <f t="shared" si="3"/>
        <v>0</v>
      </c>
      <c r="U29" s="16">
        <f t="shared" si="3"/>
        <v>0</v>
      </c>
      <c r="V29" s="16">
        <f t="shared" si="3"/>
        <v>0</v>
      </c>
      <c r="W29" s="16">
        <f t="shared" si="3"/>
        <v>1</v>
      </c>
      <c r="X29" s="16" t="str">
        <f t="shared" si="1"/>
        <v>null</v>
      </c>
    </row>
    <row r="30" spans="1:24" x14ac:dyDescent="0.15">
      <c r="A30" s="20" t="str">
        <f t="shared" si="2"/>
        <v>22_1-4/364&lt;lv40&gt;s3</v>
      </c>
      <c r="B30" s="16">
        <f t="shared" si="4"/>
        <v>22</v>
      </c>
      <c r="C30" s="16">
        <f t="shared" si="4"/>
        <v>1</v>
      </c>
      <c r="D30" s="16">
        <f t="shared" si="4"/>
        <v>4</v>
      </c>
      <c r="E30" s="16">
        <f t="shared" si="4"/>
        <v>364</v>
      </c>
      <c r="F30" s="16">
        <f t="shared" si="4"/>
        <v>40</v>
      </c>
      <c r="G30" s="16">
        <f t="shared" si="4"/>
        <v>1</v>
      </c>
      <c r="H30" s="16">
        <f t="shared" si="4"/>
        <v>1</v>
      </c>
      <c r="I30" s="16">
        <f t="shared" si="4"/>
        <v>0</v>
      </c>
      <c r="J30" s="16">
        <f t="shared" si="4"/>
        <v>364</v>
      </c>
      <c r="K30" s="16">
        <f t="shared" si="4"/>
        <v>0</v>
      </c>
      <c r="L30" s="16">
        <f t="shared" si="4"/>
        <v>100</v>
      </c>
      <c r="M30" s="16">
        <f t="shared" si="4"/>
        <v>0</v>
      </c>
      <c r="N30" s="16">
        <f t="shared" si="4"/>
        <v>3</v>
      </c>
      <c r="O30" s="16">
        <f t="shared" si="4"/>
        <v>364</v>
      </c>
      <c r="P30" s="16">
        <f t="shared" si="4"/>
        <v>7</v>
      </c>
      <c r="Q30" s="16">
        <f t="shared" ref="Q30:W45" si="5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" s="16">
        <f t="shared" si="5"/>
        <v>20</v>
      </c>
      <c r="S30" s="16">
        <f t="shared" si="5"/>
        <v>0</v>
      </c>
      <c r="T30" s="16">
        <f t="shared" si="5"/>
        <v>0</v>
      </c>
      <c r="U30" s="16">
        <f t="shared" si="5"/>
        <v>0</v>
      </c>
      <c r="V30" s="16">
        <f t="shared" si="5"/>
        <v>0</v>
      </c>
      <c r="W30" s="16">
        <f t="shared" si="5"/>
        <v>1</v>
      </c>
      <c r="X30" s="16" t="str">
        <f t="shared" si="1"/>
        <v>null</v>
      </c>
    </row>
    <row r="31" spans="1:24" x14ac:dyDescent="0.15">
      <c r="A31" s="20" t="str">
        <f t="shared" si="2"/>
        <v>22_1-4/348&lt;lv40&gt;s3</v>
      </c>
      <c r="B31" s="16">
        <f t="shared" ref="B31:Q46" si="6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31" s="16">
        <f t="shared" si="6"/>
        <v>1</v>
      </c>
      <c r="D31" s="16">
        <f t="shared" si="6"/>
        <v>4</v>
      </c>
      <c r="E31" s="16">
        <f t="shared" si="6"/>
        <v>348</v>
      </c>
      <c r="F31" s="16">
        <f t="shared" si="6"/>
        <v>40</v>
      </c>
      <c r="G31" s="16">
        <f t="shared" si="6"/>
        <v>1</v>
      </c>
      <c r="H31" s="16">
        <f t="shared" si="6"/>
        <v>1</v>
      </c>
      <c r="I31" s="16">
        <f t="shared" si="6"/>
        <v>0</v>
      </c>
      <c r="J31" s="16">
        <f t="shared" si="6"/>
        <v>348</v>
      </c>
      <c r="K31" s="16">
        <f t="shared" si="6"/>
        <v>0</v>
      </c>
      <c r="L31" s="16">
        <f t="shared" si="6"/>
        <v>100</v>
      </c>
      <c r="M31" s="16">
        <f t="shared" si="6"/>
        <v>0</v>
      </c>
      <c r="N31" s="16">
        <f t="shared" si="6"/>
        <v>3</v>
      </c>
      <c r="O31" s="16">
        <f t="shared" si="6"/>
        <v>348</v>
      </c>
      <c r="P31" s="16">
        <f t="shared" si="6"/>
        <v>1</v>
      </c>
      <c r="Q31" s="16">
        <f t="shared" si="6"/>
        <v>2</v>
      </c>
      <c r="R31" s="16">
        <f t="shared" si="5"/>
        <v>24</v>
      </c>
      <c r="S31" s="16">
        <f t="shared" si="5"/>
        <v>0</v>
      </c>
      <c r="T31" s="16">
        <f t="shared" si="5"/>
        <v>0</v>
      </c>
      <c r="U31" s="16">
        <f t="shared" si="5"/>
        <v>0</v>
      </c>
      <c r="V31" s="16">
        <f t="shared" si="5"/>
        <v>0</v>
      </c>
      <c r="W31" s="16">
        <f t="shared" si="5"/>
        <v>1</v>
      </c>
      <c r="X31" s="16" t="str">
        <f t="shared" si="1"/>
        <v>null</v>
      </c>
    </row>
    <row r="32" spans="1:24" x14ac:dyDescent="0.15">
      <c r="A32" s="20" t="str">
        <f t="shared" si="2"/>
        <v>22_1-5/130&lt;lv45&gt;s2</v>
      </c>
      <c r="B32" s="16">
        <f t="shared" si="6"/>
        <v>22</v>
      </c>
      <c r="C32" s="16">
        <f t="shared" si="6"/>
        <v>1</v>
      </c>
      <c r="D32" s="16">
        <f t="shared" si="6"/>
        <v>5</v>
      </c>
      <c r="E32" s="16">
        <f t="shared" si="6"/>
        <v>130</v>
      </c>
      <c r="F32" s="16">
        <f t="shared" si="6"/>
        <v>45</v>
      </c>
      <c r="G32" s="16">
        <f t="shared" si="6"/>
        <v>1.5</v>
      </c>
      <c r="H32" s="16">
        <f t="shared" si="6"/>
        <v>0.8</v>
      </c>
      <c r="I32" s="16">
        <f t="shared" si="6"/>
        <v>0</v>
      </c>
      <c r="J32" s="16">
        <f t="shared" si="6"/>
        <v>130</v>
      </c>
      <c r="K32" s="16">
        <f t="shared" si="6"/>
        <v>1</v>
      </c>
      <c r="L32" s="16">
        <f t="shared" si="6"/>
        <v>100</v>
      </c>
      <c r="M32" s="16">
        <f t="shared" si="6"/>
        <v>1</v>
      </c>
      <c r="N32" s="16">
        <f t="shared" si="6"/>
        <v>2</v>
      </c>
      <c r="O32" s="16">
        <f t="shared" si="6"/>
        <v>130</v>
      </c>
      <c r="P32" s="16">
        <f t="shared" si="6"/>
        <v>1</v>
      </c>
      <c r="Q32" s="16">
        <f t="shared" si="6"/>
        <v>3</v>
      </c>
      <c r="R32" s="16">
        <f t="shared" si="5"/>
        <v>0</v>
      </c>
      <c r="S32" s="16">
        <f t="shared" si="5"/>
        <v>0</v>
      </c>
      <c r="T32" s="16">
        <f t="shared" si="5"/>
        <v>0</v>
      </c>
      <c r="U32" s="16">
        <f t="shared" si="5"/>
        <v>0</v>
      </c>
      <c r="V32" s="16">
        <f t="shared" si="5"/>
        <v>0</v>
      </c>
      <c r="W32" s="16">
        <f t="shared" si="5"/>
        <v>1</v>
      </c>
      <c r="X32" s="16">
        <f t="shared" si="1"/>
        <v>130</v>
      </c>
    </row>
    <row r="33" spans="1:24" x14ac:dyDescent="0.15">
      <c r="A33" s="20" t="str">
        <f t="shared" si="2"/>
        <v>22_2-1/9&lt;lv42&gt;s2</v>
      </c>
      <c r="B33" s="16">
        <f t="shared" si="6"/>
        <v>22</v>
      </c>
      <c r="C33" s="16">
        <f t="shared" si="6"/>
        <v>2</v>
      </c>
      <c r="D33" s="16">
        <f t="shared" si="6"/>
        <v>1</v>
      </c>
      <c r="E33" s="16">
        <f t="shared" si="6"/>
        <v>9</v>
      </c>
      <c r="F33" s="16">
        <f t="shared" si="6"/>
        <v>42</v>
      </c>
      <c r="G33" s="16">
        <f t="shared" si="6"/>
        <v>1</v>
      </c>
      <c r="H33" s="16">
        <f t="shared" si="6"/>
        <v>1</v>
      </c>
      <c r="I33" s="16">
        <f t="shared" si="6"/>
        <v>0</v>
      </c>
      <c r="J33" s="16">
        <f t="shared" si="6"/>
        <v>0</v>
      </c>
      <c r="K33" s="16">
        <f t="shared" si="6"/>
        <v>0</v>
      </c>
      <c r="L33" s="16">
        <f t="shared" si="6"/>
        <v>100</v>
      </c>
      <c r="M33" s="16">
        <f t="shared" si="6"/>
        <v>0</v>
      </c>
      <c r="N33" s="16">
        <f t="shared" si="6"/>
        <v>2</v>
      </c>
      <c r="O33" s="16">
        <f t="shared" si="6"/>
        <v>9</v>
      </c>
      <c r="P33" s="16">
        <f t="shared" si="6"/>
        <v>9</v>
      </c>
      <c r="Q33" s="16">
        <f t="shared" si="6"/>
        <v>1</v>
      </c>
      <c r="R33" s="16">
        <f t="shared" si="5"/>
        <v>20</v>
      </c>
      <c r="S33" s="16">
        <f t="shared" si="5"/>
        <v>0</v>
      </c>
      <c r="T33" s="16">
        <f t="shared" si="5"/>
        <v>0</v>
      </c>
      <c r="U33" s="16">
        <f t="shared" si="5"/>
        <v>0</v>
      </c>
      <c r="V33" s="16">
        <f t="shared" si="5"/>
        <v>0</v>
      </c>
      <c r="W33" s="16">
        <f t="shared" si="5"/>
        <v>1</v>
      </c>
      <c r="X33" s="16" t="str">
        <f t="shared" si="1"/>
        <v>null</v>
      </c>
    </row>
    <row r="34" spans="1:24" x14ac:dyDescent="0.15">
      <c r="A34" s="20" t="str">
        <f t="shared" si="2"/>
        <v>22_2-1/33&lt;lv42&gt;s2</v>
      </c>
      <c r="B34" s="16">
        <f t="shared" si="6"/>
        <v>22</v>
      </c>
      <c r="C34" s="16">
        <f t="shared" si="6"/>
        <v>2</v>
      </c>
      <c r="D34" s="16">
        <f t="shared" si="6"/>
        <v>1</v>
      </c>
      <c r="E34" s="16">
        <f t="shared" si="6"/>
        <v>33</v>
      </c>
      <c r="F34" s="16">
        <f t="shared" si="6"/>
        <v>42</v>
      </c>
      <c r="G34" s="16">
        <f t="shared" si="6"/>
        <v>1</v>
      </c>
      <c r="H34" s="16">
        <f t="shared" si="6"/>
        <v>1</v>
      </c>
      <c r="I34" s="16">
        <f t="shared" si="6"/>
        <v>0</v>
      </c>
      <c r="J34" s="16">
        <f t="shared" si="6"/>
        <v>33</v>
      </c>
      <c r="K34" s="16">
        <f t="shared" si="6"/>
        <v>0</v>
      </c>
      <c r="L34" s="16">
        <f t="shared" si="6"/>
        <v>100</v>
      </c>
      <c r="M34" s="16">
        <f t="shared" si="6"/>
        <v>0</v>
      </c>
      <c r="N34" s="16">
        <f t="shared" si="6"/>
        <v>2</v>
      </c>
      <c r="O34" s="16">
        <f t="shared" si="6"/>
        <v>33</v>
      </c>
      <c r="P34" s="16">
        <f t="shared" si="6"/>
        <v>5</v>
      </c>
      <c r="Q34" s="16">
        <f t="shared" si="6"/>
        <v>2</v>
      </c>
      <c r="R34" s="16">
        <f t="shared" si="5"/>
        <v>20</v>
      </c>
      <c r="S34" s="16">
        <f t="shared" si="5"/>
        <v>0</v>
      </c>
      <c r="T34" s="16">
        <f t="shared" si="5"/>
        <v>0</v>
      </c>
      <c r="U34" s="16">
        <f t="shared" si="5"/>
        <v>0</v>
      </c>
      <c r="V34" s="16">
        <f t="shared" si="5"/>
        <v>0</v>
      </c>
      <c r="W34" s="16">
        <f t="shared" si="5"/>
        <v>1</v>
      </c>
      <c r="X34" s="16" t="str">
        <f t="shared" si="1"/>
        <v>null</v>
      </c>
    </row>
    <row r="35" spans="1:24" x14ac:dyDescent="0.15">
      <c r="A35" s="20" t="str">
        <f t="shared" si="2"/>
        <v>22_2-1/57&lt;lv42&gt;s2</v>
      </c>
      <c r="B35" s="16">
        <f t="shared" si="6"/>
        <v>22</v>
      </c>
      <c r="C35" s="16">
        <f t="shared" si="6"/>
        <v>2</v>
      </c>
      <c r="D35" s="16">
        <f t="shared" si="6"/>
        <v>1</v>
      </c>
      <c r="E35" s="16">
        <f t="shared" si="6"/>
        <v>57</v>
      </c>
      <c r="F35" s="16">
        <f t="shared" si="6"/>
        <v>42</v>
      </c>
      <c r="G35" s="16">
        <f t="shared" si="6"/>
        <v>1</v>
      </c>
      <c r="H35" s="16">
        <f t="shared" si="6"/>
        <v>1</v>
      </c>
      <c r="I35" s="16">
        <f t="shared" si="6"/>
        <v>0</v>
      </c>
      <c r="J35" s="16">
        <f t="shared" si="6"/>
        <v>57</v>
      </c>
      <c r="K35" s="16">
        <f t="shared" si="6"/>
        <v>0</v>
      </c>
      <c r="L35" s="16">
        <f t="shared" si="6"/>
        <v>100</v>
      </c>
      <c r="M35" s="16">
        <f t="shared" si="6"/>
        <v>0</v>
      </c>
      <c r="N35" s="16">
        <f t="shared" si="6"/>
        <v>2</v>
      </c>
      <c r="O35" s="16">
        <f t="shared" si="6"/>
        <v>57</v>
      </c>
      <c r="P35" s="16">
        <f t="shared" si="6"/>
        <v>7</v>
      </c>
      <c r="Q35" s="16">
        <f t="shared" si="6"/>
        <v>2</v>
      </c>
      <c r="R35" s="16">
        <f t="shared" si="5"/>
        <v>20</v>
      </c>
      <c r="S35" s="16">
        <f t="shared" si="5"/>
        <v>0</v>
      </c>
      <c r="T35" s="16">
        <f t="shared" si="5"/>
        <v>0</v>
      </c>
      <c r="U35" s="16">
        <f t="shared" si="5"/>
        <v>0</v>
      </c>
      <c r="V35" s="16">
        <f t="shared" si="5"/>
        <v>0</v>
      </c>
      <c r="W35" s="16">
        <f t="shared" si="5"/>
        <v>1</v>
      </c>
      <c r="X35" s="16" t="str">
        <f t="shared" si="1"/>
        <v>null</v>
      </c>
    </row>
    <row r="36" spans="1:24" x14ac:dyDescent="0.15">
      <c r="A36" s="20" t="str">
        <f t="shared" si="2"/>
        <v>22_2-1/360&lt;lv42&gt;s3</v>
      </c>
      <c r="B36" s="16">
        <f t="shared" si="6"/>
        <v>22</v>
      </c>
      <c r="C36" s="16">
        <f t="shared" si="6"/>
        <v>2</v>
      </c>
      <c r="D36" s="16">
        <f t="shared" si="6"/>
        <v>1</v>
      </c>
      <c r="E36" s="16">
        <f t="shared" si="6"/>
        <v>360</v>
      </c>
      <c r="F36" s="16">
        <f t="shared" si="6"/>
        <v>42</v>
      </c>
      <c r="G36" s="16">
        <f t="shared" si="6"/>
        <v>1</v>
      </c>
      <c r="H36" s="16">
        <f t="shared" si="6"/>
        <v>1</v>
      </c>
      <c r="I36" s="16">
        <f t="shared" si="6"/>
        <v>0</v>
      </c>
      <c r="J36" s="16">
        <f t="shared" si="6"/>
        <v>360</v>
      </c>
      <c r="K36" s="16">
        <f t="shared" si="6"/>
        <v>0</v>
      </c>
      <c r="L36" s="16">
        <f t="shared" si="6"/>
        <v>100</v>
      </c>
      <c r="M36" s="16">
        <f t="shared" si="6"/>
        <v>0</v>
      </c>
      <c r="N36" s="16">
        <f t="shared" si="6"/>
        <v>3</v>
      </c>
      <c r="O36" s="16">
        <f t="shared" si="6"/>
        <v>360</v>
      </c>
      <c r="P36" s="16">
        <f t="shared" si="6"/>
        <v>7</v>
      </c>
      <c r="Q36" s="16">
        <f t="shared" si="6"/>
        <v>2</v>
      </c>
      <c r="R36" s="16">
        <f t="shared" si="5"/>
        <v>20</v>
      </c>
      <c r="S36" s="16">
        <f t="shared" si="5"/>
        <v>0</v>
      </c>
      <c r="T36" s="16">
        <f t="shared" si="5"/>
        <v>0</v>
      </c>
      <c r="U36" s="16">
        <f t="shared" si="5"/>
        <v>0</v>
      </c>
      <c r="V36" s="16">
        <f t="shared" si="5"/>
        <v>0</v>
      </c>
      <c r="W36" s="16">
        <f t="shared" si="5"/>
        <v>1</v>
      </c>
      <c r="X36" s="16" t="str">
        <f t="shared" si="1"/>
        <v>null</v>
      </c>
    </row>
    <row r="37" spans="1:24" x14ac:dyDescent="0.15">
      <c r="A37" s="20" t="str">
        <f t="shared" si="2"/>
        <v>22_2-1/348&lt;lv42&gt;s3</v>
      </c>
      <c r="B37" s="16">
        <f t="shared" si="6"/>
        <v>22</v>
      </c>
      <c r="C37" s="16">
        <f t="shared" si="6"/>
        <v>2</v>
      </c>
      <c r="D37" s="16">
        <f t="shared" si="6"/>
        <v>1</v>
      </c>
      <c r="E37" s="16">
        <f t="shared" si="6"/>
        <v>348</v>
      </c>
      <c r="F37" s="16">
        <f t="shared" si="6"/>
        <v>42</v>
      </c>
      <c r="G37" s="16">
        <f t="shared" si="6"/>
        <v>1</v>
      </c>
      <c r="H37" s="16">
        <f t="shared" si="6"/>
        <v>1</v>
      </c>
      <c r="I37" s="16">
        <f t="shared" si="6"/>
        <v>0</v>
      </c>
      <c r="J37" s="16">
        <f t="shared" si="6"/>
        <v>348</v>
      </c>
      <c r="K37" s="16">
        <f t="shared" si="6"/>
        <v>0</v>
      </c>
      <c r="L37" s="16">
        <f t="shared" si="6"/>
        <v>100</v>
      </c>
      <c r="M37" s="16">
        <f t="shared" si="6"/>
        <v>0</v>
      </c>
      <c r="N37" s="16">
        <f t="shared" si="6"/>
        <v>3</v>
      </c>
      <c r="O37" s="16">
        <f t="shared" si="6"/>
        <v>348</v>
      </c>
      <c r="P37" s="16">
        <f t="shared" si="6"/>
        <v>1</v>
      </c>
      <c r="Q37" s="16">
        <f t="shared" si="6"/>
        <v>2</v>
      </c>
      <c r="R37" s="16">
        <f t="shared" si="5"/>
        <v>24</v>
      </c>
      <c r="S37" s="16">
        <f t="shared" si="5"/>
        <v>0</v>
      </c>
      <c r="T37" s="16">
        <f t="shared" si="5"/>
        <v>0</v>
      </c>
      <c r="U37" s="16">
        <f t="shared" si="5"/>
        <v>0</v>
      </c>
      <c r="V37" s="16">
        <f t="shared" si="5"/>
        <v>0</v>
      </c>
      <c r="W37" s="16">
        <f t="shared" si="5"/>
        <v>1</v>
      </c>
      <c r="X37" s="16" t="str">
        <f t="shared" si="1"/>
        <v>null</v>
      </c>
    </row>
    <row r="38" spans="1:24" x14ac:dyDescent="0.15">
      <c r="A38" s="20" t="str">
        <f t="shared" si="2"/>
        <v>22_2-2/25&lt;lv42&gt;s3</v>
      </c>
      <c r="B38" s="16">
        <f t="shared" si="6"/>
        <v>22</v>
      </c>
      <c r="C38" s="16">
        <f t="shared" si="6"/>
        <v>2</v>
      </c>
      <c r="D38" s="16">
        <f t="shared" si="6"/>
        <v>2</v>
      </c>
      <c r="E38" s="16">
        <f t="shared" si="6"/>
        <v>25</v>
      </c>
      <c r="F38" s="16">
        <f t="shared" si="6"/>
        <v>42</v>
      </c>
      <c r="G38" s="16">
        <f t="shared" si="6"/>
        <v>1</v>
      </c>
      <c r="H38" s="16">
        <f t="shared" si="6"/>
        <v>1</v>
      </c>
      <c r="I38" s="16">
        <f t="shared" si="6"/>
        <v>0</v>
      </c>
      <c r="J38" s="16">
        <f t="shared" si="6"/>
        <v>0</v>
      </c>
      <c r="K38" s="16">
        <f t="shared" si="6"/>
        <v>0</v>
      </c>
      <c r="L38" s="16">
        <f t="shared" si="6"/>
        <v>100</v>
      </c>
      <c r="M38" s="16">
        <f t="shared" si="6"/>
        <v>0</v>
      </c>
      <c r="N38" s="16">
        <f t="shared" si="6"/>
        <v>3</v>
      </c>
      <c r="O38" s="16">
        <f t="shared" si="6"/>
        <v>25</v>
      </c>
      <c r="P38" s="16">
        <f t="shared" si="6"/>
        <v>7</v>
      </c>
      <c r="Q38" s="16">
        <f t="shared" si="6"/>
        <v>1</v>
      </c>
      <c r="R38" s="16">
        <f t="shared" si="5"/>
        <v>20</v>
      </c>
      <c r="S38" s="16">
        <f t="shared" si="5"/>
        <v>0</v>
      </c>
      <c r="T38" s="16">
        <f t="shared" si="5"/>
        <v>0</v>
      </c>
      <c r="U38" s="16">
        <f t="shared" si="5"/>
        <v>0</v>
      </c>
      <c r="V38" s="16">
        <f t="shared" si="5"/>
        <v>0</v>
      </c>
      <c r="W38" s="16">
        <f t="shared" si="5"/>
        <v>1</v>
      </c>
      <c r="X38" s="16" t="str">
        <f t="shared" si="1"/>
        <v>null</v>
      </c>
    </row>
    <row r="39" spans="1:24" x14ac:dyDescent="0.15">
      <c r="A39" s="20" t="str">
        <f t="shared" si="2"/>
        <v>22_2-2/37&lt;lv42&gt;s3</v>
      </c>
      <c r="B39" s="16">
        <f t="shared" si="6"/>
        <v>22</v>
      </c>
      <c r="C39" s="16">
        <f t="shared" si="6"/>
        <v>2</v>
      </c>
      <c r="D39" s="16">
        <f t="shared" si="6"/>
        <v>2</v>
      </c>
      <c r="E39" s="16">
        <f t="shared" si="6"/>
        <v>37</v>
      </c>
      <c r="F39" s="16">
        <f t="shared" si="6"/>
        <v>42</v>
      </c>
      <c r="G39" s="16">
        <f t="shared" si="6"/>
        <v>1</v>
      </c>
      <c r="H39" s="16">
        <f t="shared" si="6"/>
        <v>1</v>
      </c>
      <c r="I39" s="16">
        <f t="shared" si="6"/>
        <v>0</v>
      </c>
      <c r="J39" s="16">
        <f t="shared" si="6"/>
        <v>37</v>
      </c>
      <c r="K39" s="16">
        <f t="shared" si="6"/>
        <v>0</v>
      </c>
      <c r="L39" s="16">
        <f t="shared" si="6"/>
        <v>100</v>
      </c>
      <c r="M39" s="16">
        <f t="shared" si="6"/>
        <v>0</v>
      </c>
      <c r="N39" s="16">
        <f t="shared" si="6"/>
        <v>3</v>
      </c>
      <c r="O39" s="16">
        <f t="shared" si="6"/>
        <v>37</v>
      </c>
      <c r="P39" s="16">
        <f t="shared" si="6"/>
        <v>5</v>
      </c>
      <c r="Q39" s="16">
        <f t="shared" si="6"/>
        <v>2</v>
      </c>
      <c r="R39" s="16">
        <f t="shared" si="5"/>
        <v>20</v>
      </c>
      <c r="S39" s="16">
        <f t="shared" si="5"/>
        <v>0</v>
      </c>
      <c r="T39" s="16">
        <f t="shared" si="5"/>
        <v>0</v>
      </c>
      <c r="U39" s="16">
        <f t="shared" si="5"/>
        <v>0</v>
      </c>
      <c r="V39" s="16">
        <f t="shared" si="5"/>
        <v>0</v>
      </c>
      <c r="W39" s="16">
        <f t="shared" si="5"/>
        <v>1</v>
      </c>
      <c r="X39" s="16" t="str">
        <f t="shared" si="1"/>
        <v>null</v>
      </c>
    </row>
    <row r="40" spans="1:24" x14ac:dyDescent="0.15">
      <c r="A40" s="20" t="str">
        <f t="shared" si="2"/>
        <v>22_2-2/45&lt;lv42&gt;s3</v>
      </c>
      <c r="B40" s="16">
        <f t="shared" si="6"/>
        <v>22</v>
      </c>
      <c r="C40" s="16">
        <f t="shared" si="6"/>
        <v>2</v>
      </c>
      <c r="D40" s="16">
        <f t="shared" si="6"/>
        <v>2</v>
      </c>
      <c r="E40" s="16">
        <f t="shared" si="6"/>
        <v>45</v>
      </c>
      <c r="F40" s="16">
        <f t="shared" si="6"/>
        <v>42</v>
      </c>
      <c r="G40" s="16">
        <f t="shared" si="6"/>
        <v>1</v>
      </c>
      <c r="H40" s="16">
        <f t="shared" si="6"/>
        <v>1</v>
      </c>
      <c r="I40" s="16">
        <f t="shared" si="6"/>
        <v>0</v>
      </c>
      <c r="J40" s="16">
        <f t="shared" si="6"/>
        <v>0</v>
      </c>
      <c r="K40" s="16">
        <f t="shared" si="6"/>
        <v>0</v>
      </c>
      <c r="L40" s="16">
        <f t="shared" si="6"/>
        <v>100</v>
      </c>
      <c r="M40" s="16">
        <f t="shared" si="6"/>
        <v>0</v>
      </c>
      <c r="N40" s="16">
        <f t="shared" si="6"/>
        <v>3</v>
      </c>
      <c r="O40" s="16">
        <f t="shared" si="6"/>
        <v>45</v>
      </c>
      <c r="P40" s="16">
        <f t="shared" si="6"/>
        <v>7</v>
      </c>
      <c r="Q40" s="16">
        <f t="shared" si="6"/>
        <v>2</v>
      </c>
      <c r="R40" s="16">
        <f t="shared" si="5"/>
        <v>20</v>
      </c>
      <c r="S40" s="16">
        <f t="shared" si="5"/>
        <v>0</v>
      </c>
      <c r="T40" s="16">
        <f t="shared" si="5"/>
        <v>0</v>
      </c>
      <c r="U40" s="16">
        <f t="shared" si="5"/>
        <v>0</v>
      </c>
      <c r="V40" s="16">
        <f t="shared" si="5"/>
        <v>0</v>
      </c>
      <c r="W40" s="16">
        <f t="shared" si="5"/>
        <v>1</v>
      </c>
      <c r="X40" s="16" t="str">
        <f t="shared" si="1"/>
        <v>null</v>
      </c>
    </row>
    <row r="41" spans="1:24" x14ac:dyDescent="0.15">
      <c r="A41" s="20" t="str">
        <f t="shared" si="2"/>
        <v>22_2-2/61&lt;lv42&gt;s2</v>
      </c>
      <c r="B41" s="16">
        <f t="shared" si="6"/>
        <v>22</v>
      </c>
      <c r="C41" s="16">
        <f t="shared" si="6"/>
        <v>2</v>
      </c>
      <c r="D41" s="16">
        <f t="shared" si="6"/>
        <v>2</v>
      </c>
      <c r="E41" s="16">
        <f t="shared" si="6"/>
        <v>61</v>
      </c>
      <c r="F41" s="16">
        <f t="shared" si="6"/>
        <v>42</v>
      </c>
      <c r="G41" s="16">
        <f t="shared" si="6"/>
        <v>1</v>
      </c>
      <c r="H41" s="16">
        <f t="shared" si="6"/>
        <v>1</v>
      </c>
      <c r="I41" s="16">
        <f t="shared" si="6"/>
        <v>0</v>
      </c>
      <c r="J41" s="16">
        <f t="shared" si="6"/>
        <v>61</v>
      </c>
      <c r="K41" s="16">
        <f t="shared" si="6"/>
        <v>0</v>
      </c>
      <c r="L41" s="16">
        <f t="shared" si="6"/>
        <v>100</v>
      </c>
      <c r="M41" s="16">
        <f t="shared" si="6"/>
        <v>0</v>
      </c>
      <c r="N41" s="16">
        <f t="shared" si="6"/>
        <v>2</v>
      </c>
      <c r="O41" s="16">
        <f t="shared" si="6"/>
        <v>61</v>
      </c>
      <c r="P41" s="16">
        <f t="shared" si="6"/>
        <v>7</v>
      </c>
      <c r="Q41" s="16">
        <f t="shared" si="6"/>
        <v>2</v>
      </c>
      <c r="R41" s="16">
        <f t="shared" si="5"/>
        <v>20</v>
      </c>
      <c r="S41" s="16">
        <f t="shared" si="5"/>
        <v>0</v>
      </c>
      <c r="T41" s="16">
        <f t="shared" si="5"/>
        <v>0</v>
      </c>
      <c r="U41" s="16">
        <f t="shared" si="5"/>
        <v>0</v>
      </c>
      <c r="V41" s="16">
        <f t="shared" si="5"/>
        <v>0</v>
      </c>
      <c r="W41" s="16">
        <f t="shared" si="5"/>
        <v>1</v>
      </c>
      <c r="X41" s="16" t="str">
        <f t="shared" si="1"/>
        <v>null</v>
      </c>
    </row>
    <row r="42" spans="1:24" x14ac:dyDescent="0.15">
      <c r="A42" s="20" t="str">
        <f t="shared" si="2"/>
        <v>22_2-2/364&lt;lv42&gt;s3</v>
      </c>
      <c r="B42" s="16">
        <f t="shared" si="6"/>
        <v>22</v>
      </c>
      <c r="C42" s="16">
        <f t="shared" si="6"/>
        <v>2</v>
      </c>
      <c r="D42" s="16">
        <f t="shared" si="6"/>
        <v>2</v>
      </c>
      <c r="E42" s="16">
        <f t="shared" si="6"/>
        <v>364</v>
      </c>
      <c r="F42" s="16">
        <f t="shared" si="6"/>
        <v>42</v>
      </c>
      <c r="G42" s="16">
        <f t="shared" si="6"/>
        <v>1</v>
      </c>
      <c r="H42" s="16">
        <f t="shared" si="6"/>
        <v>1</v>
      </c>
      <c r="I42" s="16">
        <f t="shared" si="6"/>
        <v>0</v>
      </c>
      <c r="J42" s="16">
        <f t="shared" si="6"/>
        <v>364</v>
      </c>
      <c r="K42" s="16">
        <f t="shared" si="6"/>
        <v>0</v>
      </c>
      <c r="L42" s="16">
        <f t="shared" si="6"/>
        <v>100</v>
      </c>
      <c r="M42" s="16">
        <f t="shared" si="6"/>
        <v>0</v>
      </c>
      <c r="N42" s="16">
        <f t="shared" si="6"/>
        <v>3</v>
      </c>
      <c r="O42" s="16">
        <f t="shared" si="6"/>
        <v>364</v>
      </c>
      <c r="P42" s="16">
        <f t="shared" si="6"/>
        <v>7</v>
      </c>
      <c r="Q42" s="16">
        <f t="shared" si="6"/>
        <v>2</v>
      </c>
      <c r="R42" s="16">
        <f t="shared" si="5"/>
        <v>20</v>
      </c>
      <c r="S42" s="16">
        <f t="shared" si="5"/>
        <v>0</v>
      </c>
      <c r="T42" s="16">
        <f t="shared" si="5"/>
        <v>0</v>
      </c>
      <c r="U42" s="16">
        <f t="shared" si="5"/>
        <v>0</v>
      </c>
      <c r="V42" s="16">
        <f t="shared" si="5"/>
        <v>0</v>
      </c>
      <c r="W42" s="16">
        <f t="shared" si="5"/>
        <v>1</v>
      </c>
      <c r="X42" s="16" t="str">
        <f t="shared" si="1"/>
        <v>null</v>
      </c>
    </row>
    <row r="43" spans="1:24" x14ac:dyDescent="0.15">
      <c r="A43" s="20" t="str">
        <f t="shared" si="2"/>
        <v>22_2-2/352&lt;lv42&gt;s3</v>
      </c>
      <c r="B43" s="16">
        <f t="shared" si="6"/>
        <v>22</v>
      </c>
      <c r="C43" s="16">
        <f t="shared" si="6"/>
        <v>2</v>
      </c>
      <c r="D43" s="16">
        <f t="shared" si="6"/>
        <v>2</v>
      </c>
      <c r="E43" s="16">
        <f t="shared" si="6"/>
        <v>352</v>
      </c>
      <c r="F43" s="16">
        <f t="shared" si="6"/>
        <v>42</v>
      </c>
      <c r="G43" s="16">
        <f t="shared" si="6"/>
        <v>1</v>
      </c>
      <c r="H43" s="16">
        <f t="shared" si="6"/>
        <v>1</v>
      </c>
      <c r="I43" s="16">
        <f t="shared" si="6"/>
        <v>0</v>
      </c>
      <c r="J43" s="16">
        <f t="shared" si="6"/>
        <v>352</v>
      </c>
      <c r="K43" s="16">
        <f t="shared" si="6"/>
        <v>0</v>
      </c>
      <c r="L43" s="16">
        <f t="shared" si="6"/>
        <v>100</v>
      </c>
      <c r="M43" s="16">
        <f t="shared" si="6"/>
        <v>0</v>
      </c>
      <c r="N43" s="16">
        <f t="shared" si="6"/>
        <v>3</v>
      </c>
      <c r="O43" s="16">
        <f t="shared" si="6"/>
        <v>352</v>
      </c>
      <c r="P43" s="16">
        <f t="shared" si="6"/>
        <v>1</v>
      </c>
      <c r="Q43" s="16">
        <f t="shared" si="6"/>
        <v>2</v>
      </c>
      <c r="R43" s="16">
        <f t="shared" si="5"/>
        <v>24</v>
      </c>
      <c r="S43" s="16">
        <f t="shared" si="5"/>
        <v>0</v>
      </c>
      <c r="T43" s="16">
        <f t="shared" si="5"/>
        <v>0</v>
      </c>
      <c r="U43" s="16">
        <f t="shared" si="5"/>
        <v>0</v>
      </c>
      <c r="V43" s="16">
        <f t="shared" si="5"/>
        <v>0</v>
      </c>
      <c r="W43" s="16">
        <f t="shared" si="5"/>
        <v>1</v>
      </c>
      <c r="X43" s="16" t="str">
        <f t="shared" si="1"/>
        <v>null</v>
      </c>
    </row>
    <row r="44" spans="1:24" x14ac:dyDescent="0.15">
      <c r="A44" s="20" t="str">
        <f t="shared" si="2"/>
        <v>22_2-3/9&lt;lv42&gt;s2</v>
      </c>
      <c r="B44" s="16">
        <f t="shared" si="6"/>
        <v>22</v>
      </c>
      <c r="C44" s="16">
        <f t="shared" si="6"/>
        <v>2</v>
      </c>
      <c r="D44" s="16">
        <f t="shared" si="6"/>
        <v>3</v>
      </c>
      <c r="E44" s="16">
        <f t="shared" si="6"/>
        <v>9</v>
      </c>
      <c r="F44" s="16">
        <f t="shared" si="6"/>
        <v>42</v>
      </c>
      <c r="G44" s="16">
        <f t="shared" si="6"/>
        <v>1</v>
      </c>
      <c r="H44" s="16">
        <f t="shared" si="6"/>
        <v>1</v>
      </c>
      <c r="I44" s="16">
        <f t="shared" si="6"/>
        <v>0</v>
      </c>
      <c r="J44" s="16">
        <f t="shared" si="6"/>
        <v>0</v>
      </c>
      <c r="K44" s="16">
        <f t="shared" si="6"/>
        <v>0</v>
      </c>
      <c r="L44" s="16">
        <f t="shared" si="6"/>
        <v>100</v>
      </c>
      <c r="M44" s="16">
        <f t="shared" si="6"/>
        <v>0</v>
      </c>
      <c r="N44" s="16">
        <f t="shared" si="6"/>
        <v>2</v>
      </c>
      <c r="O44" s="16">
        <f t="shared" si="6"/>
        <v>9</v>
      </c>
      <c r="P44" s="16">
        <f t="shared" si="6"/>
        <v>9</v>
      </c>
      <c r="Q44" s="16">
        <f t="shared" si="6"/>
        <v>1</v>
      </c>
      <c r="R44" s="16">
        <f t="shared" si="5"/>
        <v>20</v>
      </c>
      <c r="S44" s="16">
        <f t="shared" si="5"/>
        <v>0</v>
      </c>
      <c r="T44" s="16">
        <f t="shared" si="5"/>
        <v>0</v>
      </c>
      <c r="U44" s="16">
        <f t="shared" si="5"/>
        <v>0</v>
      </c>
      <c r="V44" s="16">
        <f t="shared" si="5"/>
        <v>0</v>
      </c>
      <c r="W44" s="16">
        <f t="shared" si="5"/>
        <v>1</v>
      </c>
      <c r="X44" s="16" t="str">
        <f t="shared" si="1"/>
        <v>null</v>
      </c>
    </row>
    <row r="45" spans="1:24" x14ac:dyDescent="0.15">
      <c r="A45" s="20" t="str">
        <f t="shared" si="2"/>
        <v>22_2-3/25&lt;lv42&gt;s3</v>
      </c>
      <c r="B45" s="16">
        <f t="shared" si="6"/>
        <v>22</v>
      </c>
      <c r="C45" s="16">
        <f t="shared" si="6"/>
        <v>2</v>
      </c>
      <c r="D45" s="16">
        <f t="shared" si="6"/>
        <v>3</v>
      </c>
      <c r="E45" s="16">
        <f t="shared" si="6"/>
        <v>25</v>
      </c>
      <c r="F45" s="16">
        <f t="shared" si="6"/>
        <v>42</v>
      </c>
      <c r="G45" s="16">
        <f t="shared" si="6"/>
        <v>1</v>
      </c>
      <c r="H45" s="16">
        <f t="shared" si="6"/>
        <v>1</v>
      </c>
      <c r="I45" s="16">
        <f t="shared" si="6"/>
        <v>0</v>
      </c>
      <c r="J45" s="16">
        <f t="shared" si="6"/>
        <v>0</v>
      </c>
      <c r="K45" s="16">
        <f t="shared" si="6"/>
        <v>0</v>
      </c>
      <c r="L45" s="16">
        <f t="shared" si="6"/>
        <v>100</v>
      </c>
      <c r="M45" s="16">
        <f t="shared" si="6"/>
        <v>0</v>
      </c>
      <c r="N45" s="16">
        <f t="shared" si="6"/>
        <v>3</v>
      </c>
      <c r="O45" s="16">
        <f t="shared" si="6"/>
        <v>25</v>
      </c>
      <c r="P45" s="16">
        <f t="shared" si="6"/>
        <v>7</v>
      </c>
      <c r="Q45" s="16">
        <f t="shared" si="6"/>
        <v>1</v>
      </c>
      <c r="R45" s="16">
        <f t="shared" si="5"/>
        <v>20</v>
      </c>
      <c r="S45" s="16">
        <f t="shared" si="5"/>
        <v>0</v>
      </c>
      <c r="T45" s="16">
        <f t="shared" si="5"/>
        <v>0</v>
      </c>
      <c r="U45" s="16">
        <f t="shared" si="5"/>
        <v>0</v>
      </c>
      <c r="V45" s="16">
        <f t="shared" si="5"/>
        <v>0</v>
      </c>
      <c r="W45" s="16">
        <f t="shared" si="5"/>
        <v>1</v>
      </c>
      <c r="X45" s="16" t="str">
        <f t="shared" si="1"/>
        <v>null</v>
      </c>
    </row>
    <row r="46" spans="1:24" x14ac:dyDescent="0.15">
      <c r="A46" s="20" t="str">
        <f t="shared" si="2"/>
        <v>22_2-3/33&lt;lv42&gt;s2</v>
      </c>
      <c r="B46" s="16">
        <f t="shared" si="6"/>
        <v>22</v>
      </c>
      <c r="C46" s="16">
        <f t="shared" si="6"/>
        <v>2</v>
      </c>
      <c r="D46" s="16">
        <f t="shared" si="6"/>
        <v>3</v>
      </c>
      <c r="E46" s="16">
        <f t="shared" si="6"/>
        <v>33</v>
      </c>
      <c r="F46" s="16">
        <f t="shared" si="6"/>
        <v>42</v>
      </c>
      <c r="G46" s="16">
        <f t="shared" si="6"/>
        <v>1</v>
      </c>
      <c r="H46" s="16">
        <f t="shared" si="6"/>
        <v>1</v>
      </c>
      <c r="I46" s="16">
        <f t="shared" si="6"/>
        <v>0</v>
      </c>
      <c r="J46" s="16">
        <f t="shared" si="6"/>
        <v>33</v>
      </c>
      <c r="K46" s="16">
        <f t="shared" si="6"/>
        <v>0</v>
      </c>
      <c r="L46" s="16">
        <f t="shared" si="6"/>
        <v>100</v>
      </c>
      <c r="M46" s="16">
        <f t="shared" si="6"/>
        <v>0</v>
      </c>
      <c r="N46" s="16">
        <f t="shared" si="6"/>
        <v>2</v>
      </c>
      <c r="O46" s="16">
        <f t="shared" si="6"/>
        <v>33</v>
      </c>
      <c r="P46" s="16">
        <f t="shared" si="6"/>
        <v>5</v>
      </c>
      <c r="Q46" s="16">
        <f t="shared" ref="Q46:W61" si="7">VLOOKUP($A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6" s="16">
        <f t="shared" si="7"/>
        <v>20</v>
      </c>
      <c r="S46" s="16">
        <f t="shared" si="7"/>
        <v>0</v>
      </c>
      <c r="T46" s="16">
        <f t="shared" si="7"/>
        <v>0</v>
      </c>
      <c r="U46" s="16">
        <f t="shared" si="7"/>
        <v>0</v>
      </c>
      <c r="V46" s="16">
        <f t="shared" si="7"/>
        <v>0</v>
      </c>
      <c r="W46" s="16">
        <f t="shared" si="7"/>
        <v>1</v>
      </c>
      <c r="X46" s="16" t="str">
        <f t="shared" si="1"/>
        <v>null</v>
      </c>
    </row>
    <row r="47" spans="1:24" x14ac:dyDescent="0.15">
      <c r="A47" s="20" t="str">
        <f t="shared" si="2"/>
        <v>22_2-3/37&lt;lv42&gt;s3</v>
      </c>
      <c r="B47" s="16">
        <f t="shared" ref="B47:Q62" si="8">VLOOKUP($A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47" s="16">
        <f t="shared" si="8"/>
        <v>2</v>
      </c>
      <c r="D47" s="16">
        <f t="shared" si="8"/>
        <v>3</v>
      </c>
      <c r="E47" s="16">
        <f t="shared" si="8"/>
        <v>37</v>
      </c>
      <c r="F47" s="16">
        <f t="shared" si="8"/>
        <v>42</v>
      </c>
      <c r="G47" s="16">
        <f t="shared" si="8"/>
        <v>1</v>
      </c>
      <c r="H47" s="16">
        <f t="shared" si="8"/>
        <v>1</v>
      </c>
      <c r="I47" s="16">
        <f t="shared" si="8"/>
        <v>0</v>
      </c>
      <c r="J47" s="16">
        <f t="shared" si="8"/>
        <v>37</v>
      </c>
      <c r="K47" s="16">
        <f t="shared" si="8"/>
        <v>0</v>
      </c>
      <c r="L47" s="16">
        <f t="shared" si="8"/>
        <v>100</v>
      </c>
      <c r="M47" s="16">
        <f t="shared" si="8"/>
        <v>0</v>
      </c>
      <c r="N47" s="16">
        <f t="shared" si="8"/>
        <v>3</v>
      </c>
      <c r="O47" s="16">
        <f t="shared" si="8"/>
        <v>37</v>
      </c>
      <c r="P47" s="16">
        <f t="shared" si="8"/>
        <v>5</v>
      </c>
      <c r="Q47" s="16">
        <f t="shared" si="8"/>
        <v>2</v>
      </c>
      <c r="R47" s="16">
        <f t="shared" si="7"/>
        <v>20</v>
      </c>
      <c r="S47" s="16">
        <f t="shared" si="7"/>
        <v>0</v>
      </c>
      <c r="T47" s="16">
        <f t="shared" si="7"/>
        <v>0</v>
      </c>
      <c r="U47" s="16">
        <f t="shared" si="7"/>
        <v>0</v>
      </c>
      <c r="V47" s="16">
        <f t="shared" si="7"/>
        <v>0</v>
      </c>
      <c r="W47" s="16">
        <f t="shared" si="7"/>
        <v>1</v>
      </c>
      <c r="X47" s="16" t="str">
        <f t="shared" si="1"/>
        <v>null</v>
      </c>
    </row>
    <row r="48" spans="1:24" x14ac:dyDescent="0.15">
      <c r="A48" s="20" t="str">
        <f t="shared" si="2"/>
        <v>22_2-3/45&lt;lv42&gt;s3</v>
      </c>
      <c r="B48" s="16">
        <f t="shared" si="8"/>
        <v>22</v>
      </c>
      <c r="C48" s="16">
        <f t="shared" si="8"/>
        <v>2</v>
      </c>
      <c r="D48" s="16">
        <f t="shared" si="8"/>
        <v>3</v>
      </c>
      <c r="E48" s="16">
        <f t="shared" si="8"/>
        <v>45</v>
      </c>
      <c r="F48" s="16">
        <f t="shared" si="8"/>
        <v>42</v>
      </c>
      <c r="G48" s="16">
        <f t="shared" si="8"/>
        <v>1</v>
      </c>
      <c r="H48" s="16">
        <f t="shared" si="8"/>
        <v>1</v>
      </c>
      <c r="I48" s="16">
        <f t="shared" si="8"/>
        <v>0</v>
      </c>
      <c r="J48" s="16">
        <f t="shared" si="8"/>
        <v>0</v>
      </c>
      <c r="K48" s="16">
        <f t="shared" si="8"/>
        <v>0</v>
      </c>
      <c r="L48" s="16">
        <f t="shared" si="8"/>
        <v>100</v>
      </c>
      <c r="M48" s="16">
        <f t="shared" si="8"/>
        <v>0</v>
      </c>
      <c r="N48" s="16">
        <f t="shared" si="8"/>
        <v>3</v>
      </c>
      <c r="O48" s="16">
        <f t="shared" si="8"/>
        <v>45</v>
      </c>
      <c r="P48" s="16">
        <f t="shared" si="8"/>
        <v>7</v>
      </c>
      <c r="Q48" s="16">
        <f t="shared" si="8"/>
        <v>2</v>
      </c>
      <c r="R48" s="16">
        <f t="shared" si="7"/>
        <v>20</v>
      </c>
      <c r="S48" s="16">
        <f t="shared" si="7"/>
        <v>0</v>
      </c>
      <c r="T48" s="16">
        <f t="shared" si="7"/>
        <v>0</v>
      </c>
      <c r="U48" s="16">
        <f t="shared" si="7"/>
        <v>0</v>
      </c>
      <c r="V48" s="16">
        <f t="shared" si="7"/>
        <v>0</v>
      </c>
      <c r="W48" s="16">
        <f t="shared" si="7"/>
        <v>1</v>
      </c>
      <c r="X48" s="16" t="str">
        <f t="shared" si="1"/>
        <v>null</v>
      </c>
    </row>
    <row r="49" spans="1:24" x14ac:dyDescent="0.15">
      <c r="A49" s="20" t="str">
        <f t="shared" si="2"/>
        <v>22_2-3/57&lt;lv42&gt;s2</v>
      </c>
      <c r="B49" s="16">
        <f t="shared" si="8"/>
        <v>22</v>
      </c>
      <c r="C49" s="16">
        <f t="shared" si="8"/>
        <v>2</v>
      </c>
      <c r="D49" s="16">
        <f t="shared" si="8"/>
        <v>3</v>
      </c>
      <c r="E49" s="16">
        <f t="shared" si="8"/>
        <v>57</v>
      </c>
      <c r="F49" s="16">
        <f t="shared" si="8"/>
        <v>42</v>
      </c>
      <c r="G49" s="16">
        <f t="shared" si="8"/>
        <v>1</v>
      </c>
      <c r="H49" s="16">
        <f t="shared" si="8"/>
        <v>1</v>
      </c>
      <c r="I49" s="16">
        <f t="shared" si="8"/>
        <v>0</v>
      </c>
      <c r="J49" s="16">
        <f t="shared" si="8"/>
        <v>57</v>
      </c>
      <c r="K49" s="16">
        <f t="shared" si="8"/>
        <v>0</v>
      </c>
      <c r="L49" s="16">
        <f t="shared" si="8"/>
        <v>100</v>
      </c>
      <c r="M49" s="16">
        <f t="shared" si="8"/>
        <v>0</v>
      </c>
      <c r="N49" s="16">
        <f t="shared" si="8"/>
        <v>2</v>
      </c>
      <c r="O49" s="16">
        <f t="shared" si="8"/>
        <v>57</v>
      </c>
      <c r="P49" s="16">
        <f t="shared" si="8"/>
        <v>7</v>
      </c>
      <c r="Q49" s="16">
        <f t="shared" si="8"/>
        <v>2</v>
      </c>
      <c r="R49" s="16">
        <f t="shared" si="7"/>
        <v>20</v>
      </c>
      <c r="S49" s="16">
        <f t="shared" si="7"/>
        <v>0</v>
      </c>
      <c r="T49" s="16">
        <f t="shared" si="7"/>
        <v>0</v>
      </c>
      <c r="U49" s="16">
        <f t="shared" si="7"/>
        <v>0</v>
      </c>
      <c r="V49" s="16">
        <f t="shared" si="7"/>
        <v>0</v>
      </c>
      <c r="W49" s="16">
        <f t="shared" si="7"/>
        <v>1</v>
      </c>
      <c r="X49" s="16" t="str">
        <f t="shared" si="1"/>
        <v>null</v>
      </c>
    </row>
    <row r="50" spans="1:24" x14ac:dyDescent="0.15">
      <c r="A50" s="20" t="str">
        <f t="shared" si="2"/>
        <v>22_2-3/61&lt;lv42&gt;s2</v>
      </c>
      <c r="B50" s="16">
        <f t="shared" si="8"/>
        <v>22</v>
      </c>
      <c r="C50" s="16">
        <f t="shared" si="8"/>
        <v>2</v>
      </c>
      <c r="D50" s="16">
        <f t="shared" si="8"/>
        <v>3</v>
      </c>
      <c r="E50" s="16">
        <f t="shared" si="8"/>
        <v>61</v>
      </c>
      <c r="F50" s="16">
        <f t="shared" si="8"/>
        <v>42</v>
      </c>
      <c r="G50" s="16">
        <f t="shared" si="8"/>
        <v>1</v>
      </c>
      <c r="H50" s="16">
        <f t="shared" si="8"/>
        <v>1</v>
      </c>
      <c r="I50" s="16">
        <f t="shared" si="8"/>
        <v>0</v>
      </c>
      <c r="J50" s="16">
        <f t="shared" si="8"/>
        <v>61</v>
      </c>
      <c r="K50" s="16">
        <f t="shared" si="8"/>
        <v>0</v>
      </c>
      <c r="L50" s="16">
        <f t="shared" si="8"/>
        <v>100</v>
      </c>
      <c r="M50" s="16">
        <f t="shared" si="8"/>
        <v>0</v>
      </c>
      <c r="N50" s="16">
        <f t="shared" si="8"/>
        <v>2</v>
      </c>
      <c r="O50" s="16">
        <f t="shared" si="8"/>
        <v>61</v>
      </c>
      <c r="P50" s="16">
        <f t="shared" si="8"/>
        <v>7</v>
      </c>
      <c r="Q50" s="16">
        <f t="shared" si="8"/>
        <v>2</v>
      </c>
      <c r="R50" s="16">
        <f t="shared" si="7"/>
        <v>20</v>
      </c>
      <c r="S50" s="16">
        <f t="shared" si="7"/>
        <v>0</v>
      </c>
      <c r="T50" s="16">
        <f t="shared" si="7"/>
        <v>0</v>
      </c>
      <c r="U50" s="16">
        <f t="shared" si="7"/>
        <v>0</v>
      </c>
      <c r="V50" s="16">
        <f t="shared" si="7"/>
        <v>0</v>
      </c>
      <c r="W50" s="16">
        <f t="shared" si="7"/>
        <v>1</v>
      </c>
      <c r="X50" s="16" t="str">
        <f t="shared" si="1"/>
        <v>null</v>
      </c>
    </row>
    <row r="51" spans="1:24" x14ac:dyDescent="0.15">
      <c r="A51" s="20" t="str">
        <f t="shared" si="2"/>
        <v>22_2-3/360&lt;lv42&gt;s3</v>
      </c>
      <c r="B51" s="16">
        <f t="shared" si="8"/>
        <v>22</v>
      </c>
      <c r="C51" s="16">
        <f t="shared" si="8"/>
        <v>2</v>
      </c>
      <c r="D51" s="16">
        <f t="shared" si="8"/>
        <v>3</v>
      </c>
      <c r="E51" s="16">
        <f t="shared" si="8"/>
        <v>360</v>
      </c>
      <c r="F51" s="16">
        <f t="shared" si="8"/>
        <v>42</v>
      </c>
      <c r="G51" s="16">
        <f t="shared" si="8"/>
        <v>1</v>
      </c>
      <c r="H51" s="16">
        <f t="shared" si="8"/>
        <v>1</v>
      </c>
      <c r="I51" s="16">
        <f t="shared" si="8"/>
        <v>0</v>
      </c>
      <c r="J51" s="16">
        <f t="shared" si="8"/>
        <v>360</v>
      </c>
      <c r="K51" s="16">
        <f t="shared" si="8"/>
        <v>0</v>
      </c>
      <c r="L51" s="16">
        <f t="shared" si="8"/>
        <v>100</v>
      </c>
      <c r="M51" s="16">
        <f t="shared" si="8"/>
        <v>0</v>
      </c>
      <c r="N51" s="16">
        <f t="shared" si="8"/>
        <v>3</v>
      </c>
      <c r="O51" s="16">
        <f t="shared" si="8"/>
        <v>360</v>
      </c>
      <c r="P51" s="16">
        <f t="shared" si="8"/>
        <v>7</v>
      </c>
      <c r="Q51" s="16">
        <f t="shared" si="8"/>
        <v>2</v>
      </c>
      <c r="R51" s="16">
        <f t="shared" si="7"/>
        <v>20</v>
      </c>
      <c r="S51" s="16">
        <f t="shared" si="7"/>
        <v>0</v>
      </c>
      <c r="T51" s="16">
        <f t="shared" si="7"/>
        <v>0</v>
      </c>
      <c r="U51" s="16">
        <f t="shared" si="7"/>
        <v>0</v>
      </c>
      <c r="V51" s="16">
        <f t="shared" si="7"/>
        <v>0</v>
      </c>
      <c r="W51" s="16">
        <f t="shared" si="7"/>
        <v>1</v>
      </c>
      <c r="X51" s="16" t="str">
        <f t="shared" si="1"/>
        <v>null</v>
      </c>
    </row>
    <row r="52" spans="1:24" x14ac:dyDescent="0.15">
      <c r="A52" s="20" t="str">
        <f t="shared" si="2"/>
        <v>22_2-3/364&lt;lv42&gt;s3</v>
      </c>
      <c r="B52" s="16">
        <f t="shared" si="8"/>
        <v>22</v>
      </c>
      <c r="C52" s="16">
        <f t="shared" si="8"/>
        <v>2</v>
      </c>
      <c r="D52" s="16">
        <f t="shared" si="8"/>
        <v>3</v>
      </c>
      <c r="E52" s="16">
        <f t="shared" si="8"/>
        <v>364</v>
      </c>
      <c r="F52" s="16">
        <f t="shared" si="8"/>
        <v>42</v>
      </c>
      <c r="G52" s="16">
        <f t="shared" si="8"/>
        <v>1</v>
      </c>
      <c r="H52" s="16">
        <f t="shared" si="8"/>
        <v>1</v>
      </c>
      <c r="I52" s="16">
        <f t="shared" si="8"/>
        <v>0</v>
      </c>
      <c r="J52" s="16">
        <f t="shared" si="8"/>
        <v>364</v>
      </c>
      <c r="K52" s="16">
        <f t="shared" si="8"/>
        <v>0</v>
      </c>
      <c r="L52" s="16">
        <f t="shared" si="8"/>
        <v>100</v>
      </c>
      <c r="M52" s="16">
        <f t="shared" si="8"/>
        <v>0</v>
      </c>
      <c r="N52" s="16">
        <f t="shared" si="8"/>
        <v>3</v>
      </c>
      <c r="O52" s="16">
        <f t="shared" si="8"/>
        <v>364</v>
      </c>
      <c r="P52" s="16">
        <f t="shared" si="8"/>
        <v>7</v>
      </c>
      <c r="Q52" s="16">
        <f t="shared" si="8"/>
        <v>2</v>
      </c>
      <c r="R52" s="16">
        <f t="shared" si="7"/>
        <v>20</v>
      </c>
      <c r="S52" s="16">
        <f t="shared" si="7"/>
        <v>0</v>
      </c>
      <c r="T52" s="16">
        <f t="shared" si="7"/>
        <v>0</v>
      </c>
      <c r="U52" s="16">
        <f t="shared" si="7"/>
        <v>0</v>
      </c>
      <c r="V52" s="16">
        <f t="shared" si="7"/>
        <v>0</v>
      </c>
      <c r="W52" s="16">
        <f t="shared" si="7"/>
        <v>1</v>
      </c>
      <c r="X52" s="16" t="str">
        <f t="shared" si="1"/>
        <v>null</v>
      </c>
    </row>
    <row r="53" spans="1:24" x14ac:dyDescent="0.15">
      <c r="A53" s="20" t="str">
        <f t="shared" si="2"/>
        <v>22_2-3/348&lt;lv42&gt;s3</v>
      </c>
      <c r="B53" s="16">
        <f t="shared" si="8"/>
        <v>22</v>
      </c>
      <c r="C53" s="16">
        <f t="shared" si="8"/>
        <v>2</v>
      </c>
      <c r="D53" s="16">
        <f t="shared" si="8"/>
        <v>3</v>
      </c>
      <c r="E53" s="16">
        <f t="shared" si="8"/>
        <v>348</v>
      </c>
      <c r="F53" s="16">
        <f t="shared" si="8"/>
        <v>42</v>
      </c>
      <c r="G53" s="16">
        <f t="shared" si="8"/>
        <v>1</v>
      </c>
      <c r="H53" s="16">
        <f t="shared" si="8"/>
        <v>1</v>
      </c>
      <c r="I53" s="16">
        <f t="shared" si="8"/>
        <v>0</v>
      </c>
      <c r="J53" s="16">
        <f t="shared" si="8"/>
        <v>348</v>
      </c>
      <c r="K53" s="16">
        <f t="shared" si="8"/>
        <v>0</v>
      </c>
      <c r="L53" s="16">
        <f t="shared" si="8"/>
        <v>100</v>
      </c>
      <c r="M53" s="16">
        <f t="shared" si="8"/>
        <v>0</v>
      </c>
      <c r="N53" s="16">
        <f t="shared" si="8"/>
        <v>3</v>
      </c>
      <c r="O53" s="16">
        <f t="shared" si="8"/>
        <v>348</v>
      </c>
      <c r="P53" s="16">
        <f t="shared" si="8"/>
        <v>1</v>
      </c>
      <c r="Q53" s="16">
        <f t="shared" si="8"/>
        <v>2</v>
      </c>
      <c r="R53" s="16">
        <f t="shared" si="7"/>
        <v>24</v>
      </c>
      <c r="S53" s="16">
        <f t="shared" si="7"/>
        <v>0</v>
      </c>
      <c r="T53" s="16">
        <f t="shared" si="7"/>
        <v>0</v>
      </c>
      <c r="U53" s="16">
        <f t="shared" si="7"/>
        <v>0</v>
      </c>
      <c r="V53" s="16">
        <f t="shared" si="7"/>
        <v>0</v>
      </c>
      <c r="W53" s="16">
        <f t="shared" si="7"/>
        <v>1</v>
      </c>
      <c r="X53" s="16" t="str">
        <f t="shared" si="1"/>
        <v>null</v>
      </c>
    </row>
    <row r="54" spans="1:24" x14ac:dyDescent="0.15">
      <c r="A54" s="20" t="str">
        <f t="shared" si="2"/>
        <v>22_2-4/33&lt;lv42&gt;s2</v>
      </c>
      <c r="B54" s="16">
        <f t="shared" si="8"/>
        <v>22</v>
      </c>
      <c r="C54" s="16">
        <f t="shared" si="8"/>
        <v>2</v>
      </c>
      <c r="D54" s="16">
        <f t="shared" si="8"/>
        <v>4</v>
      </c>
      <c r="E54" s="16">
        <f t="shared" si="8"/>
        <v>33</v>
      </c>
      <c r="F54" s="16">
        <f t="shared" si="8"/>
        <v>42</v>
      </c>
      <c r="G54" s="16">
        <f t="shared" si="8"/>
        <v>1</v>
      </c>
      <c r="H54" s="16">
        <f t="shared" si="8"/>
        <v>1</v>
      </c>
      <c r="I54" s="16">
        <f t="shared" si="8"/>
        <v>0</v>
      </c>
      <c r="J54" s="16">
        <f t="shared" si="8"/>
        <v>33</v>
      </c>
      <c r="K54" s="16">
        <f t="shared" si="8"/>
        <v>0</v>
      </c>
      <c r="L54" s="16">
        <f t="shared" si="8"/>
        <v>100</v>
      </c>
      <c r="M54" s="16">
        <f t="shared" si="8"/>
        <v>0</v>
      </c>
      <c r="N54" s="16">
        <f t="shared" si="8"/>
        <v>2</v>
      </c>
      <c r="O54" s="16">
        <f t="shared" si="8"/>
        <v>33</v>
      </c>
      <c r="P54" s="16">
        <f t="shared" si="8"/>
        <v>5</v>
      </c>
      <c r="Q54" s="16">
        <f t="shared" si="8"/>
        <v>2</v>
      </c>
      <c r="R54" s="16">
        <f t="shared" si="7"/>
        <v>20</v>
      </c>
      <c r="S54" s="16">
        <f t="shared" si="7"/>
        <v>0</v>
      </c>
      <c r="T54" s="16">
        <f t="shared" si="7"/>
        <v>0</v>
      </c>
      <c r="U54" s="16">
        <f t="shared" si="7"/>
        <v>0</v>
      </c>
      <c r="V54" s="16">
        <f t="shared" si="7"/>
        <v>0</v>
      </c>
      <c r="W54" s="16">
        <f t="shared" si="7"/>
        <v>1</v>
      </c>
      <c r="X54" s="16" t="str">
        <f t="shared" si="1"/>
        <v>null</v>
      </c>
    </row>
    <row r="55" spans="1:24" x14ac:dyDescent="0.15">
      <c r="A55" s="20" t="str">
        <f t="shared" si="2"/>
        <v>22_2-4/37&lt;lv42&gt;s3</v>
      </c>
      <c r="B55" s="16">
        <f t="shared" si="8"/>
        <v>22</v>
      </c>
      <c r="C55" s="16">
        <f t="shared" si="8"/>
        <v>2</v>
      </c>
      <c r="D55" s="16">
        <f t="shared" si="8"/>
        <v>4</v>
      </c>
      <c r="E55" s="16">
        <f t="shared" si="8"/>
        <v>37</v>
      </c>
      <c r="F55" s="16">
        <f t="shared" si="8"/>
        <v>42</v>
      </c>
      <c r="G55" s="16">
        <f t="shared" si="8"/>
        <v>1</v>
      </c>
      <c r="H55" s="16">
        <f t="shared" si="8"/>
        <v>1</v>
      </c>
      <c r="I55" s="16">
        <f t="shared" si="8"/>
        <v>0</v>
      </c>
      <c r="J55" s="16">
        <f t="shared" si="8"/>
        <v>37</v>
      </c>
      <c r="K55" s="16">
        <f t="shared" si="8"/>
        <v>0</v>
      </c>
      <c r="L55" s="16">
        <f t="shared" si="8"/>
        <v>100</v>
      </c>
      <c r="M55" s="16">
        <f t="shared" si="8"/>
        <v>0</v>
      </c>
      <c r="N55" s="16">
        <f t="shared" si="8"/>
        <v>3</v>
      </c>
      <c r="O55" s="16">
        <f t="shared" si="8"/>
        <v>37</v>
      </c>
      <c r="P55" s="16">
        <f t="shared" si="8"/>
        <v>5</v>
      </c>
      <c r="Q55" s="16">
        <f t="shared" si="8"/>
        <v>2</v>
      </c>
      <c r="R55" s="16">
        <f t="shared" si="7"/>
        <v>20</v>
      </c>
      <c r="S55" s="16">
        <f t="shared" si="7"/>
        <v>0</v>
      </c>
      <c r="T55" s="16">
        <f t="shared" si="7"/>
        <v>0</v>
      </c>
      <c r="U55" s="16">
        <f t="shared" si="7"/>
        <v>0</v>
      </c>
      <c r="V55" s="16">
        <f t="shared" si="7"/>
        <v>0</v>
      </c>
      <c r="W55" s="16">
        <f t="shared" si="7"/>
        <v>1</v>
      </c>
      <c r="X55" s="16" t="str">
        <f t="shared" si="1"/>
        <v>null</v>
      </c>
    </row>
    <row r="56" spans="1:24" x14ac:dyDescent="0.15">
      <c r="A56" s="20" t="str">
        <f t="shared" si="2"/>
        <v>22_2-4/45&lt;lv42&gt;s3</v>
      </c>
      <c r="B56" s="16">
        <f t="shared" si="8"/>
        <v>22</v>
      </c>
      <c r="C56" s="16">
        <f t="shared" si="8"/>
        <v>2</v>
      </c>
      <c r="D56" s="16">
        <f t="shared" si="8"/>
        <v>4</v>
      </c>
      <c r="E56" s="16">
        <f t="shared" si="8"/>
        <v>45</v>
      </c>
      <c r="F56" s="16">
        <f t="shared" si="8"/>
        <v>42</v>
      </c>
      <c r="G56" s="16">
        <f t="shared" si="8"/>
        <v>1</v>
      </c>
      <c r="H56" s="16">
        <f t="shared" si="8"/>
        <v>1</v>
      </c>
      <c r="I56" s="16">
        <f t="shared" si="8"/>
        <v>0</v>
      </c>
      <c r="J56" s="16">
        <f t="shared" si="8"/>
        <v>0</v>
      </c>
      <c r="K56" s="16">
        <f t="shared" si="8"/>
        <v>0</v>
      </c>
      <c r="L56" s="16">
        <f t="shared" si="8"/>
        <v>100</v>
      </c>
      <c r="M56" s="16">
        <f t="shared" si="8"/>
        <v>0</v>
      </c>
      <c r="N56" s="16">
        <f t="shared" si="8"/>
        <v>3</v>
      </c>
      <c r="O56" s="16">
        <f t="shared" si="8"/>
        <v>45</v>
      </c>
      <c r="P56" s="16">
        <f t="shared" si="8"/>
        <v>7</v>
      </c>
      <c r="Q56" s="16">
        <f t="shared" si="8"/>
        <v>2</v>
      </c>
      <c r="R56" s="16">
        <f t="shared" si="7"/>
        <v>20</v>
      </c>
      <c r="S56" s="16">
        <f t="shared" si="7"/>
        <v>0</v>
      </c>
      <c r="T56" s="16">
        <f t="shared" si="7"/>
        <v>0</v>
      </c>
      <c r="U56" s="16">
        <f t="shared" si="7"/>
        <v>0</v>
      </c>
      <c r="V56" s="16">
        <f t="shared" si="7"/>
        <v>0</v>
      </c>
      <c r="W56" s="16">
        <f t="shared" si="7"/>
        <v>1</v>
      </c>
      <c r="X56" s="16" t="str">
        <f t="shared" si="1"/>
        <v>null</v>
      </c>
    </row>
    <row r="57" spans="1:24" x14ac:dyDescent="0.15">
      <c r="A57" s="20" t="str">
        <f t="shared" si="2"/>
        <v>22_2-4/57&lt;lv42&gt;s2</v>
      </c>
      <c r="B57" s="16">
        <f t="shared" si="8"/>
        <v>22</v>
      </c>
      <c r="C57" s="16">
        <f t="shared" si="8"/>
        <v>2</v>
      </c>
      <c r="D57" s="16">
        <f t="shared" si="8"/>
        <v>4</v>
      </c>
      <c r="E57" s="16">
        <f t="shared" si="8"/>
        <v>57</v>
      </c>
      <c r="F57" s="16">
        <f t="shared" si="8"/>
        <v>42</v>
      </c>
      <c r="G57" s="16">
        <f t="shared" si="8"/>
        <v>1</v>
      </c>
      <c r="H57" s="16">
        <f t="shared" si="8"/>
        <v>1</v>
      </c>
      <c r="I57" s="16">
        <f t="shared" si="8"/>
        <v>0</v>
      </c>
      <c r="J57" s="16">
        <f t="shared" si="8"/>
        <v>57</v>
      </c>
      <c r="K57" s="16">
        <f t="shared" si="8"/>
        <v>0</v>
      </c>
      <c r="L57" s="16">
        <f t="shared" si="8"/>
        <v>100</v>
      </c>
      <c r="M57" s="16">
        <f t="shared" si="8"/>
        <v>0</v>
      </c>
      <c r="N57" s="16">
        <f t="shared" si="8"/>
        <v>2</v>
      </c>
      <c r="O57" s="16">
        <f t="shared" si="8"/>
        <v>57</v>
      </c>
      <c r="P57" s="16">
        <f t="shared" si="8"/>
        <v>7</v>
      </c>
      <c r="Q57" s="16">
        <f t="shared" si="8"/>
        <v>2</v>
      </c>
      <c r="R57" s="16">
        <f t="shared" si="7"/>
        <v>20</v>
      </c>
      <c r="S57" s="16">
        <f t="shared" si="7"/>
        <v>0</v>
      </c>
      <c r="T57" s="16">
        <f t="shared" si="7"/>
        <v>0</v>
      </c>
      <c r="U57" s="16">
        <f t="shared" si="7"/>
        <v>0</v>
      </c>
      <c r="V57" s="16">
        <f t="shared" si="7"/>
        <v>0</v>
      </c>
      <c r="W57" s="16">
        <f t="shared" si="7"/>
        <v>1</v>
      </c>
      <c r="X57" s="16" t="str">
        <f t="shared" si="1"/>
        <v>null</v>
      </c>
    </row>
    <row r="58" spans="1:24" x14ac:dyDescent="0.15">
      <c r="A58" s="20" t="str">
        <f t="shared" si="2"/>
        <v>22_2-4/61&lt;lv42&gt;s2</v>
      </c>
      <c r="B58" s="16">
        <f t="shared" si="8"/>
        <v>22</v>
      </c>
      <c r="C58" s="16">
        <f t="shared" si="8"/>
        <v>2</v>
      </c>
      <c r="D58" s="16">
        <f t="shared" si="8"/>
        <v>4</v>
      </c>
      <c r="E58" s="16">
        <f t="shared" si="8"/>
        <v>61</v>
      </c>
      <c r="F58" s="16">
        <f t="shared" si="8"/>
        <v>42</v>
      </c>
      <c r="G58" s="16">
        <f t="shared" si="8"/>
        <v>1</v>
      </c>
      <c r="H58" s="16">
        <f t="shared" si="8"/>
        <v>1</v>
      </c>
      <c r="I58" s="16">
        <f t="shared" si="8"/>
        <v>0</v>
      </c>
      <c r="J58" s="16">
        <f t="shared" si="8"/>
        <v>61</v>
      </c>
      <c r="K58" s="16">
        <f t="shared" si="8"/>
        <v>0</v>
      </c>
      <c r="L58" s="16">
        <f t="shared" si="8"/>
        <v>100</v>
      </c>
      <c r="M58" s="16">
        <f t="shared" si="8"/>
        <v>0</v>
      </c>
      <c r="N58" s="16">
        <f t="shared" si="8"/>
        <v>2</v>
      </c>
      <c r="O58" s="16">
        <f t="shared" si="8"/>
        <v>61</v>
      </c>
      <c r="P58" s="16">
        <f t="shared" si="8"/>
        <v>7</v>
      </c>
      <c r="Q58" s="16">
        <f t="shared" si="8"/>
        <v>2</v>
      </c>
      <c r="R58" s="16">
        <f t="shared" si="7"/>
        <v>20</v>
      </c>
      <c r="S58" s="16">
        <f t="shared" si="7"/>
        <v>0</v>
      </c>
      <c r="T58" s="16">
        <f t="shared" si="7"/>
        <v>0</v>
      </c>
      <c r="U58" s="16">
        <f t="shared" si="7"/>
        <v>0</v>
      </c>
      <c r="V58" s="16">
        <f t="shared" si="7"/>
        <v>0</v>
      </c>
      <c r="W58" s="16">
        <f t="shared" si="7"/>
        <v>1</v>
      </c>
      <c r="X58" s="16" t="str">
        <f t="shared" si="1"/>
        <v>null</v>
      </c>
    </row>
    <row r="59" spans="1:24" x14ac:dyDescent="0.15">
      <c r="A59" s="20" t="str">
        <f t="shared" si="2"/>
        <v>22_2-4/360&lt;lv42&gt;s3</v>
      </c>
      <c r="B59" s="16">
        <f t="shared" si="8"/>
        <v>22</v>
      </c>
      <c r="C59" s="16">
        <f t="shared" si="8"/>
        <v>2</v>
      </c>
      <c r="D59" s="16">
        <f t="shared" si="8"/>
        <v>4</v>
      </c>
      <c r="E59" s="16">
        <f t="shared" si="8"/>
        <v>360</v>
      </c>
      <c r="F59" s="16">
        <f t="shared" si="8"/>
        <v>42</v>
      </c>
      <c r="G59" s="16">
        <f t="shared" si="8"/>
        <v>1</v>
      </c>
      <c r="H59" s="16">
        <f t="shared" si="8"/>
        <v>1</v>
      </c>
      <c r="I59" s="16">
        <f t="shared" si="8"/>
        <v>0</v>
      </c>
      <c r="J59" s="16">
        <f t="shared" si="8"/>
        <v>360</v>
      </c>
      <c r="K59" s="16">
        <f t="shared" si="8"/>
        <v>0</v>
      </c>
      <c r="L59" s="16">
        <f t="shared" si="8"/>
        <v>100</v>
      </c>
      <c r="M59" s="16">
        <f t="shared" si="8"/>
        <v>0</v>
      </c>
      <c r="N59" s="16">
        <f t="shared" si="8"/>
        <v>3</v>
      </c>
      <c r="O59" s="16">
        <f t="shared" si="8"/>
        <v>360</v>
      </c>
      <c r="P59" s="16">
        <f t="shared" si="8"/>
        <v>7</v>
      </c>
      <c r="Q59" s="16">
        <f t="shared" si="8"/>
        <v>2</v>
      </c>
      <c r="R59" s="16">
        <f t="shared" si="7"/>
        <v>20</v>
      </c>
      <c r="S59" s="16">
        <f t="shared" si="7"/>
        <v>0</v>
      </c>
      <c r="T59" s="16">
        <f t="shared" si="7"/>
        <v>0</v>
      </c>
      <c r="U59" s="16">
        <f t="shared" si="7"/>
        <v>0</v>
      </c>
      <c r="V59" s="16">
        <f t="shared" si="7"/>
        <v>0</v>
      </c>
      <c r="W59" s="16">
        <f t="shared" si="7"/>
        <v>1</v>
      </c>
      <c r="X59" s="16" t="str">
        <f t="shared" si="1"/>
        <v>null</v>
      </c>
    </row>
    <row r="60" spans="1:24" x14ac:dyDescent="0.15">
      <c r="A60" s="20" t="str">
        <f t="shared" si="2"/>
        <v>22_2-4/364&lt;lv42&gt;s3</v>
      </c>
      <c r="B60" s="16">
        <f t="shared" si="8"/>
        <v>22</v>
      </c>
      <c r="C60" s="16">
        <f t="shared" si="8"/>
        <v>2</v>
      </c>
      <c r="D60" s="16">
        <f t="shared" si="8"/>
        <v>4</v>
      </c>
      <c r="E60" s="16">
        <f t="shared" si="8"/>
        <v>364</v>
      </c>
      <c r="F60" s="16">
        <f t="shared" si="8"/>
        <v>42</v>
      </c>
      <c r="G60" s="16">
        <f t="shared" si="8"/>
        <v>1</v>
      </c>
      <c r="H60" s="16">
        <f t="shared" si="8"/>
        <v>1</v>
      </c>
      <c r="I60" s="16">
        <f t="shared" si="8"/>
        <v>0</v>
      </c>
      <c r="J60" s="16">
        <f t="shared" si="8"/>
        <v>364</v>
      </c>
      <c r="K60" s="16">
        <f t="shared" si="8"/>
        <v>0</v>
      </c>
      <c r="L60" s="16">
        <f t="shared" si="8"/>
        <v>100</v>
      </c>
      <c r="M60" s="16">
        <f t="shared" si="8"/>
        <v>0</v>
      </c>
      <c r="N60" s="16">
        <f t="shared" si="8"/>
        <v>3</v>
      </c>
      <c r="O60" s="16">
        <f t="shared" si="8"/>
        <v>364</v>
      </c>
      <c r="P60" s="16">
        <f t="shared" si="8"/>
        <v>7</v>
      </c>
      <c r="Q60" s="16">
        <f t="shared" si="8"/>
        <v>2</v>
      </c>
      <c r="R60" s="16">
        <f t="shared" si="7"/>
        <v>20</v>
      </c>
      <c r="S60" s="16">
        <f t="shared" si="7"/>
        <v>0</v>
      </c>
      <c r="T60" s="16">
        <f t="shared" si="7"/>
        <v>0</v>
      </c>
      <c r="U60" s="16">
        <f t="shared" si="7"/>
        <v>0</v>
      </c>
      <c r="V60" s="16">
        <f t="shared" si="7"/>
        <v>0</v>
      </c>
      <c r="W60" s="16">
        <f t="shared" si="7"/>
        <v>1</v>
      </c>
      <c r="X60" s="16" t="str">
        <f t="shared" si="1"/>
        <v>null</v>
      </c>
    </row>
    <row r="61" spans="1:24" x14ac:dyDescent="0.15">
      <c r="A61" s="20" t="str">
        <f t="shared" si="2"/>
        <v>22_2-4/352&lt;lv42&gt;s3</v>
      </c>
      <c r="B61" s="16">
        <f t="shared" si="8"/>
        <v>22</v>
      </c>
      <c r="C61" s="16">
        <f t="shared" si="8"/>
        <v>2</v>
      </c>
      <c r="D61" s="16">
        <f t="shared" si="8"/>
        <v>4</v>
      </c>
      <c r="E61" s="16">
        <f t="shared" si="8"/>
        <v>352</v>
      </c>
      <c r="F61" s="16">
        <f t="shared" si="8"/>
        <v>42</v>
      </c>
      <c r="G61" s="16">
        <f t="shared" si="8"/>
        <v>1</v>
      </c>
      <c r="H61" s="16">
        <f t="shared" si="8"/>
        <v>1</v>
      </c>
      <c r="I61" s="16">
        <f t="shared" si="8"/>
        <v>0</v>
      </c>
      <c r="J61" s="16">
        <f t="shared" si="8"/>
        <v>352</v>
      </c>
      <c r="K61" s="16">
        <f t="shared" si="8"/>
        <v>0</v>
      </c>
      <c r="L61" s="16">
        <f t="shared" si="8"/>
        <v>100</v>
      </c>
      <c r="M61" s="16">
        <f t="shared" si="8"/>
        <v>0</v>
      </c>
      <c r="N61" s="16">
        <f t="shared" si="8"/>
        <v>3</v>
      </c>
      <c r="O61" s="16">
        <f t="shared" si="8"/>
        <v>352</v>
      </c>
      <c r="P61" s="16">
        <f t="shared" si="8"/>
        <v>1</v>
      </c>
      <c r="Q61" s="16">
        <f t="shared" si="8"/>
        <v>2</v>
      </c>
      <c r="R61" s="16">
        <f t="shared" si="7"/>
        <v>24</v>
      </c>
      <c r="S61" s="16">
        <f t="shared" si="7"/>
        <v>0</v>
      </c>
      <c r="T61" s="16">
        <f t="shared" si="7"/>
        <v>0</v>
      </c>
      <c r="U61" s="16">
        <f t="shared" si="7"/>
        <v>0</v>
      </c>
      <c r="V61" s="16">
        <f t="shared" si="7"/>
        <v>0</v>
      </c>
      <c r="W61" s="16">
        <f t="shared" si="7"/>
        <v>1</v>
      </c>
      <c r="X61" s="16" t="str">
        <f t="shared" si="1"/>
        <v>null</v>
      </c>
    </row>
    <row r="62" spans="1:24" x14ac:dyDescent="0.15">
      <c r="A62" s="20" t="str">
        <f t="shared" si="2"/>
        <v>22_2-5/178&lt;lv47&gt;s3</v>
      </c>
      <c r="B62" s="16">
        <f t="shared" si="8"/>
        <v>22</v>
      </c>
      <c r="C62" s="16">
        <f t="shared" si="8"/>
        <v>2</v>
      </c>
      <c r="D62" s="16">
        <f t="shared" si="8"/>
        <v>5</v>
      </c>
      <c r="E62" s="16">
        <f t="shared" si="8"/>
        <v>178</v>
      </c>
      <c r="F62" s="16">
        <f t="shared" si="8"/>
        <v>47</v>
      </c>
      <c r="G62" s="16">
        <f t="shared" si="8"/>
        <v>2.6</v>
      </c>
      <c r="H62" s="16">
        <f t="shared" si="8"/>
        <v>0.9</v>
      </c>
      <c r="I62" s="16">
        <f t="shared" si="8"/>
        <v>0</v>
      </c>
      <c r="J62" s="16">
        <f t="shared" si="8"/>
        <v>17801</v>
      </c>
      <c r="K62" s="16">
        <f t="shared" si="8"/>
        <v>1</v>
      </c>
      <c r="L62" s="16">
        <f t="shared" si="8"/>
        <v>100</v>
      </c>
      <c r="M62" s="16">
        <f t="shared" si="8"/>
        <v>1</v>
      </c>
      <c r="N62" s="16">
        <f t="shared" si="8"/>
        <v>3</v>
      </c>
      <c r="O62" s="16">
        <f t="shared" si="8"/>
        <v>178</v>
      </c>
      <c r="P62" s="16">
        <f t="shared" si="8"/>
        <v>7</v>
      </c>
      <c r="Q62" s="16">
        <f t="shared" ref="Q62:X125" si="9">VLOOKUP($A62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62" s="16">
        <f t="shared" si="9"/>
        <v>0</v>
      </c>
      <c r="S62" s="16">
        <f t="shared" si="9"/>
        <v>0</v>
      </c>
      <c r="T62" s="16">
        <f t="shared" si="9"/>
        <v>0</v>
      </c>
      <c r="U62" s="16">
        <f t="shared" si="9"/>
        <v>0</v>
      </c>
      <c r="V62" s="16">
        <f t="shared" si="9"/>
        <v>0</v>
      </c>
      <c r="W62" s="16">
        <f t="shared" si="9"/>
        <v>1</v>
      </c>
      <c r="X62" s="16" t="str">
        <f t="shared" si="1"/>
        <v>null</v>
      </c>
    </row>
    <row r="63" spans="1:24" x14ac:dyDescent="0.15">
      <c r="A63" s="20" t="str">
        <f t="shared" si="2"/>
        <v>22_2-5/38&lt;lv47&gt;s3</v>
      </c>
      <c r="B63" s="16">
        <f t="shared" ref="B63:Q78" si="10">VLOOKUP($A63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63" s="16">
        <f t="shared" si="10"/>
        <v>2</v>
      </c>
      <c r="D63" s="16">
        <f t="shared" si="10"/>
        <v>5</v>
      </c>
      <c r="E63" s="16">
        <f t="shared" si="10"/>
        <v>38</v>
      </c>
      <c r="F63" s="16">
        <f t="shared" si="10"/>
        <v>47</v>
      </c>
      <c r="G63" s="16">
        <f t="shared" si="10"/>
        <v>3</v>
      </c>
      <c r="H63" s="16">
        <f t="shared" si="10"/>
        <v>0.7</v>
      </c>
      <c r="I63" s="16">
        <f t="shared" si="10"/>
        <v>0</v>
      </c>
      <c r="J63" s="16">
        <f t="shared" si="10"/>
        <v>38</v>
      </c>
      <c r="K63" s="16">
        <f t="shared" si="10"/>
        <v>1</v>
      </c>
      <c r="L63" s="16">
        <f t="shared" si="10"/>
        <v>100</v>
      </c>
      <c r="M63" s="16">
        <f t="shared" si="10"/>
        <v>0</v>
      </c>
      <c r="N63" s="16">
        <f t="shared" si="10"/>
        <v>3</v>
      </c>
      <c r="O63" s="16">
        <f t="shared" si="10"/>
        <v>38</v>
      </c>
      <c r="P63" s="16">
        <f t="shared" si="10"/>
        <v>5</v>
      </c>
      <c r="Q63" s="16">
        <f t="shared" si="10"/>
        <v>3</v>
      </c>
      <c r="R63" s="16">
        <f t="shared" si="9"/>
        <v>0</v>
      </c>
      <c r="S63" s="16">
        <f t="shared" si="9"/>
        <v>0</v>
      </c>
      <c r="T63" s="16">
        <f t="shared" si="9"/>
        <v>0</v>
      </c>
      <c r="U63" s="16">
        <f t="shared" si="9"/>
        <v>0</v>
      </c>
      <c r="V63" s="16">
        <f t="shared" si="9"/>
        <v>0</v>
      </c>
      <c r="W63" s="16">
        <f t="shared" si="9"/>
        <v>1</v>
      </c>
      <c r="X63" s="16" t="str">
        <f t="shared" si="1"/>
        <v>null</v>
      </c>
    </row>
    <row r="64" spans="1:24" x14ac:dyDescent="0.15">
      <c r="A64" s="20" t="str">
        <f t="shared" si="2"/>
        <v>22_3-1/25&lt;lv44&gt;s3</v>
      </c>
      <c r="B64" s="16">
        <f t="shared" si="10"/>
        <v>22</v>
      </c>
      <c r="C64" s="16">
        <f t="shared" si="10"/>
        <v>3</v>
      </c>
      <c r="D64" s="16">
        <f t="shared" si="10"/>
        <v>1</v>
      </c>
      <c r="E64" s="16">
        <f t="shared" si="10"/>
        <v>25</v>
      </c>
      <c r="F64" s="16">
        <f t="shared" si="10"/>
        <v>44</v>
      </c>
      <c r="G64" s="16">
        <f t="shared" si="10"/>
        <v>1</v>
      </c>
      <c r="H64" s="16">
        <f t="shared" si="10"/>
        <v>1</v>
      </c>
      <c r="I64" s="16">
        <f t="shared" si="10"/>
        <v>0</v>
      </c>
      <c r="J64" s="16">
        <f t="shared" si="10"/>
        <v>0</v>
      </c>
      <c r="K64" s="16">
        <f t="shared" si="10"/>
        <v>0</v>
      </c>
      <c r="L64" s="16">
        <f t="shared" si="10"/>
        <v>100</v>
      </c>
      <c r="M64" s="16">
        <f t="shared" si="10"/>
        <v>0</v>
      </c>
      <c r="N64" s="16">
        <f t="shared" si="10"/>
        <v>3</v>
      </c>
      <c r="O64" s="16">
        <f t="shared" si="10"/>
        <v>25</v>
      </c>
      <c r="P64" s="16">
        <f t="shared" si="10"/>
        <v>7</v>
      </c>
      <c r="Q64" s="16">
        <f t="shared" si="10"/>
        <v>1</v>
      </c>
      <c r="R64" s="16">
        <f t="shared" si="9"/>
        <v>15</v>
      </c>
      <c r="S64" s="16">
        <f t="shared" si="9"/>
        <v>0</v>
      </c>
      <c r="T64" s="16">
        <f t="shared" si="9"/>
        <v>0</v>
      </c>
      <c r="U64" s="16">
        <f t="shared" si="9"/>
        <v>0</v>
      </c>
      <c r="V64" s="16">
        <f t="shared" si="9"/>
        <v>0</v>
      </c>
      <c r="W64" s="16">
        <f t="shared" si="9"/>
        <v>1</v>
      </c>
      <c r="X64" s="16" t="str">
        <f t="shared" si="1"/>
        <v>null</v>
      </c>
    </row>
    <row r="65" spans="1:24" x14ac:dyDescent="0.15">
      <c r="A65" s="20" t="str">
        <f t="shared" si="2"/>
        <v>22_3-1/37&lt;lv44&gt;s3</v>
      </c>
      <c r="B65" s="16">
        <f t="shared" si="10"/>
        <v>22</v>
      </c>
      <c r="C65" s="16">
        <f t="shared" si="10"/>
        <v>3</v>
      </c>
      <c r="D65" s="16">
        <f t="shared" si="10"/>
        <v>1</v>
      </c>
      <c r="E65" s="16">
        <f t="shared" si="10"/>
        <v>37</v>
      </c>
      <c r="F65" s="16">
        <f t="shared" si="10"/>
        <v>44</v>
      </c>
      <c r="G65" s="16">
        <f t="shared" si="10"/>
        <v>1</v>
      </c>
      <c r="H65" s="16">
        <f t="shared" si="10"/>
        <v>1</v>
      </c>
      <c r="I65" s="16">
        <f t="shared" si="10"/>
        <v>0</v>
      </c>
      <c r="J65" s="16">
        <f t="shared" si="10"/>
        <v>37</v>
      </c>
      <c r="K65" s="16">
        <f t="shared" si="10"/>
        <v>0</v>
      </c>
      <c r="L65" s="16">
        <f t="shared" si="10"/>
        <v>100</v>
      </c>
      <c r="M65" s="16">
        <f t="shared" si="10"/>
        <v>0</v>
      </c>
      <c r="N65" s="16">
        <f t="shared" si="10"/>
        <v>3</v>
      </c>
      <c r="O65" s="16">
        <f t="shared" si="10"/>
        <v>37</v>
      </c>
      <c r="P65" s="16">
        <f t="shared" si="10"/>
        <v>5</v>
      </c>
      <c r="Q65" s="16">
        <f t="shared" si="10"/>
        <v>2</v>
      </c>
      <c r="R65" s="16">
        <f t="shared" si="9"/>
        <v>20</v>
      </c>
      <c r="S65" s="16">
        <f t="shared" si="9"/>
        <v>0</v>
      </c>
      <c r="T65" s="16">
        <f t="shared" si="9"/>
        <v>0</v>
      </c>
      <c r="U65" s="16">
        <f t="shared" si="9"/>
        <v>0</v>
      </c>
      <c r="V65" s="16">
        <f t="shared" si="9"/>
        <v>0</v>
      </c>
      <c r="W65" s="16">
        <f t="shared" si="9"/>
        <v>1</v>
      </c>
      <c r="X65" s="16" t="str">
        <f t="shared" si="1"/>
        <v>null</v>
      </c>
    </row>
    <row r="66" spans="1:24" x14ac:dyDescent="0.15">
      <c r="A66" s="20" t="str">
        <f t="shared" si="2"/>
        <v>22_3-1/45&lt;lv44&gt;s3</v>
      </c>
      <c r="B66" s="16">
        <f t="shared" si="10"/>
        <v>22</v>
      </c>
      <c r="C66" s="16">
        <f t="shared" si="10"/>
        <v>3</v>
      </c>
      <c r="D66" s="16">
        <f t="shared" si="10"/>
        <v>1</v>
      </c>
      <c r="E66" s="16">
        <f t="shared" si="10"/>
        <v>45</v>
      </c>
      <c r="F66" s="16">
        <f t="shared" si="10"/>
        <v>44</v>
      </c>
      <c r="G66" s="16">
        <f t="shared" si="10"/>
        <v>1</v>
      </c>
      <c r="H66" s="16">
        <f t="shared" si="10"/>
        <v>1</v>
      </c>
      <c r="I66" s="16">
        <f t="shared" si="10"/>
        <v>0</v>
      </c>
      <c r="J66" s="16">
        <f t="shared" si="10"/>
        <v>0</v>
      </c>
      <c r="K66" s="16">
        <f t="shared" si="10"/>
        <v>0</v>
      </c>
      <c r="L66" s="16">
        <f t="shared" si="10"/>
        <v>100</v>
      </c>
      <c r="M66" s="16">
        <f t="shared" si="10"/>
        <v>0</v>
      </c>
      <c r="N66" s="16">
        <f t="shared" si="10"/>
        <v>3</v>
      </c>
      <c r="O66" s="16">
        <f t="shared" si="10"/>
        <v>45</v>
      </c>
      <c r="P66" s="16">
        <f t="shared" si="10"/>
        <v>7</v>
      </c>
      <c r="Q66" s="16">
        <f t="shared" si="10"/>
        <v>2</v>
      </c>
      <c r="R66" s="16">
        <f t="shared" si="9"/>
        <v>20</v>
      </c>
      <c r="S66" s="16">
        <f t="shared" si="9"/>
        <v>0</v>
      </c>
      <c r="T66" s="16">
        <f t="shared" si="9"/>
        <v>0</v>
      </c>
      <c r="U66" s="16">
        <f t="shared" si="9"/>
        <v>0</v>
      </c>
      <c r="V66" s="16">
        <f t="shared" si="9"/>
        <v>0</v>
      </c>
      <c r="W66" s="16">
        <f t="shared" si="9"/>
        <v>1</v>
      </c>
      <c r="X66" s="16" t="str">
        <f t="shared" si="1"/>
        <v>null</v>
      </c>
    </row>
    <row r="67" spans="1:24" x14ac:dyDescent="0.15">
      <c r="A67" s="20" t="str">
        <f t="shared" si="2"/>
        <v>22_3-1/61&lt;lv44&gt;s2</v>
      </c>
      <c r="B67" s="16">
        <f t="shared" si="10"/>
        <v>22</v>
      </c>
      <c r="C67" s="16">
        <f t="shared" si="10"/>
        <v>3</v>
      </c>
      <c r="D67" s="16">
        <f t="shared" si="10"/>
        <v>1</v>
      </c>
      <c r="E67" s="16">
        <f t="shared" si="10"/>
        <v>61</v>
      </c>
      <c r="F67" s="16">
        <f t="shared" si="10"/>
        <v>44</v>
      </c>
      <c r="G67" s="16">
        <f t="shared" si="10"/>
        <v>1</v>
      </c>
      <c r="H67" s="16">
        <f t="shared" si="10"/>
        <v>1</v>
      </c>
      <c r="I67" s="16">
        <f t="shared" si="10"/>
        <v>0</v>
      </c>
      <c r="J67" s="16">
        <f t="shared" si="10"/>
        <v>61</v>
      </c>
      <c r="K67" s="16">
        <f t="shared" si="10"/>
        <v>0</v>
      </c>
      <c r="L67" s="16">
        <f t="shared" si="10"/>
        <v>100</v>
      </c>
      <c r="M67" s="16">
        <f t="shared" si="10"/>
        <v>0</v>
      </c>
      <c r="N67" s="16">
        <f t="shared" si="10"/>
        <v>2</v>
      </c>
      <c r="O67" s="16">
        <f t="shared" si="10"/>
        <v>61</v>
      </c>
      <c r="P67" s="16">
        <f t="shared" si="10"/>
        <v>7</v>
      </c>
      <c r="Q67" s="16">
        <f t="shared" si="10"/>
        <v>2</v>
      </c>
      <c r="R67" s="16">
        <f t="shared" si="9"/>
        <v>20</v>
      </c>
      <c r="S67" s="16">
        <f t="shared" si="9"/>
        <v>0</v>
      </c>
      <c r="T67" s="16">
        <f t="shared" si="9"/>
        <v>0</v>
      </c>
      <c r="U67" s="16">
        <f t="shared" si="9"/>
        <v>0</v>
      </c>
      <c r="V67" s="16">
        <f t="shared" si="9"/>
        <v>0</v>
      </c>
      <c r="W67" s="16">
        <f t="shared" si="9"/>
        <v>1</v>
      </c>
      <c r="X67" s="16" t="str">
        <f t="shared" si="9"/>
        <v>null</v>
      </c>
    </row>
    <row r="68" spans="1:24" x14ac:dyDescent="0.15">
      <c r="A68" s="20" t="str">
        <f t="shared" ref="A68:A131" si="11">INDIRECT(ADDRESS(ROW()+$A$1,COLUMN(),1,TRUE,$C$1))</f>
        <v>22_3-1/364&lt;lv44&gt;s3</v>
      </c>
      <c r="B68" s="16">
        <f t="shared" si="10"/>
        <v>22</v>
      </c>
      <c r="C68" s="16">
        <f t="shared" si="10"/>
        <v>3</v>
      </c>
      <c r="D68" s="16">
        <f t="shared" si="10"/>
        <v>1</v>
      </c>
      <c r="E68" s="16">
        <f t="shared" si="10"/>
        <v>364</v>
      </c>
      <c r="F68" s="16">
        <f t="shared" si="10"/>
        <v>44</v>
      </c>
      <c r="G68" s="16">
        <f t="shared" si="10"/>
        <v>1</v>
      </c>
      <c r="H68" s="16">
        <f t="shared" si="10"/>
        <v>1</v>
      </c>
      <c r="I68" s="16">
        <f t="shared" si="10"/>
        <v>0</v>
      </c>
      <c r="J68" s="16">
        <f t="shared" si="10"/>
        <v>364</v>
      </c>
      <c r="K68" s="16">
        <f t="shared" si="10"/>
        <v>0</v>
      </c>
      <c r="L68" s="16">
        <f t="shared" si="10"/>
        <v>100</v>
      </c>
      <c r="M68" s="16">
        <f t="shared" si="10"/>
        <v>0</v>
      </c>
      <c r="N68" s="16">
        <f t="shared" si="10"/>
        <v>3</v>
      </c>
      <c r="O68" s="16">
        <f t="shared" si="10"/>
        <v>364</v>
      </c>
      <c r="P68" s="16">
        <f t="shared" si="10"/>
        <v>7</v>
      </c>
      <c r="Q68" s="16">
        <f t="shared" si="10"/>
        <v>2</v>
      </c>
      <c r="R68" s="16">
        <f t="shared" si="9"/>
        <v>20</v>
      </c>
      <c r="S68" s="16">
        <f t="shared" si="9"/>
        <v>0</v>
      </c>
      <c r="T68" s="16">
        <f t="shared" si="9"/>
        <v>0</v>
      </c>
      <c r="U68" s="16">
        <f t="shared" si="9"/>
        <v>0</v>
      </c>
      <c r="V68" s="16">
        <f t="shared" si="9"/>
        <v>0</v>
      </c>
      <c r="W68" s="16">
        <f t="shared" si="9"/>
        <v>1</v>
      </c>
      <c r="X68" s="16" t="str">
        <f t="shared" si="9"/>
        <v>null</v>
      </c>
    </row>
    <row r="69" spans="1:24" x14ac:dyDescent="0.15">
      <c r="A69" s="20" t="str">
        <f t="shared" si="11"/>
        <v>22_3-1/352&lt;lv44&gt;s3</v>
      </c>
      <c r="B69" s="16">
        <f t="shared" si="10"/>
        <v>22</v>
      </c>
      <c r="C69" s="16">
        <f t="shared" si="10"/>
        <v>3</v>
      </c>
      <c r="D69" s="16">
        <f t="shared" si="10"/>
        <v>1</v>
      </c>
      <c r="E69" s="16">
        <f t="shared" si="10"/>
        <v>352</v>
      </c>
      <c r="F69" s="16">
        <f t="shared" si="10"/>
        <v>44</v>
      </c>
      <c r="G69" s="16">
        <f t="shared" si="10"/>
        <v>1</v>
      </c>
      <c r="H69" s="16">
        <f t="shared" si="10"/>
        <v>1</v>
      </c>
      <c r="I69" s="16">
        <f t="shared" si="10"/>
        <v>0</v>
      </c>
      <c r="J69" s="16">
        <f t="shared" si="10"/>
        <v>352</v>
      </c>
      <c r="K69" s="16">
        <f t="shared" si="10"/>
        <v>0</v>
      </c>
      <c r="L69" s="16">
        <f t="shared" si="10"/>
        <v>100</v>
      </c>
      <c r="M69" s="16">
        <f t="shared" si="10"/>
        <v>0</v>
      </c>
      <c r="N69" s="16">
        <f t="shared" si="10"/>
        <v>3</v>
      </c>
      <c r="O69" s="16">
        <f t="shared" si="10"/>
        <v>352</v>
      </c>
      <c r="P69" s="16">
        <f t="shared" si="10"/>
        <v>1</v>
      </c>
      <c r="Q69" s="16">
        <f t="shared" si="10"/>
        <v>2</v>
      </c>
      <c r="R69" s="16">
        <f t="shared" si="9"/>
        <v>24</v>
      </c>
      <c r="S69" s="16">
        <f t="shared" si="9"/>
        <v>0</v>
      </c>
      <c r="T69" s="16">
        <f t="shared" si="9"/>
        <v>0</v>
      </c>
      <c r="U69" s="16">
        <f t="shared" si="9"/>
        <v>0</v>
      </c>
      <c r="V69" s="16">
        <f t="shared" si="9"/>
        <v>0</v>
      </c>
      <c r="W69" s="16">
        <f t="shared" si="9"/>
        <v>1</v>
      </c>
      <c r="X69" s="16" t="str">
        <f t="shared" si="9"/>
        <v>null</v>
      </c>
    </row>
    <row r="70" spans="1:24" x14ac:dyDescent="0.15">
      <c r="A70" s="20" t="str">
        <f t="shared" si="11"/>
        <v>22_3-2/9&lt;lv44&gt;s2</v>
      </c>
      <c r="B70" s="16">
        <f t="shared" si="10"/>
        <v>22</v>
      </c>
      <c r="C70" s="16">
        <f t="shared" si="10"/>
        <v>3</v>
      </c>
      <c r="D70" s="16">
        <f t="shared" si="10"/>
        <v>2</v>
      </c>
      <c r="E70" s="16">
        <f t="shared" si="10"/>
        <v>9</v>
      </c>
      <c r="F70" s="16">
        <f t="shared" si="10"/>
        <v>44</v>
      </c>
      <c r="G70" s="16">
        <f t="shared" si="10"/>
        <v>1</v>
      </c>
      <c r="H70" s="16">
        <f t="shared" si="10"/>
        <v>1</v>
      </c>
      <c r="I70" s="16">
        <f t="shared" si="10"/>
        <v>0</v>
      </c>
      <c r="J70" s="16">
        <f t="shared" si="10"/>
        <v>0</v>
      </c>
      <c r="K70" s="16">
        <f t="shared" si="10"/>
        <v>0</v>
      </c>
      <c r="L70" s="16">
        <f t="shared" si="10"/>
        <v>100</v>
      </c>
      <c r="M70" s="16">
        <f t="shared" si="10"/>
        <v>0</v>
      </c>
      <c r="N70" s="16">
        <f t="shared" si="10"/>
        <v>2</v>
      </c>
      <c r="O70" s="16">
        <f t="shared" si="10"/>
        <v>9</v>
      </c>
      <c r="P70" s="16">
        <f t="shared" si="10"/>
        <v>9</v>
      </c>
      <c r="Q70" s="16">
        <f t="shared" si="10"/>
        <v>1</v>
      </c>
      <c r="R70" s="16">
        <f t="shared" si="9"/>
        <v>15</v>
      </c>
      <c r="S70" s="16">
        <f t="shared" si="9"/>
        <v>0</v>
      </c>
      <c r="T70" s="16">
        <f t="shared" si="9"/>
        <v>0</v>
      </c>
      <c r="U70" s="16">
        <f t="shared" si="9"/>
        <v>0</v>
      </c>
      <c r="V70" s="16">
        <f t="shared" si="9"/>
        <v>0</v>
      </c>
      <c r="W70" s="16">
        <f t="shared" si="9"/>
        <v>1</v>
      </c>
      <c r="X70" s="16" t="str">
        <f t="shared" si="9"/>
        <v>null</v>
      </c>
    </row>
    <row r="71" spans="1:24" x14ac:dyDescent="0.15">
      <c r="A71" s="20" t="str">
        <f t="shared" si="11"/>
        <v>22_3-2/33&lt;lv44&gt;s2</v>
      </c>
      <c r="B71" s="16">
        <f t="shared" si="10"/>
        <v>22</v>
      </c>
      <c r="C71" s="16">
        <f t="shared" si="10"/>
        <v>3</v>
      </c>
      <c r="D71" s="16">
        <f t="shared" si="10"/>
        <v>2</v>
      </c>
      <c r="E71" s="16">
        <f t="shared" si="10"/>
        <v>33</v>
      </c>
      <c r="F71" s="16">
        <f t="shared" si="10"/>
        <v>44</v>
      </c>
      <c r="G71" s="16">
        <f t="shared" si="10"/>
        <v>1</v>
      </c>
      <c r="H71" s="16">
        <f t="shared" si="10"/>
        <v>1</v>
      </c>
      <c r="I71" s="16">
        <f t="shared" si="10"/>
        <v>0</v>
      </c>
      <c r="J71" s="16">
        <f t="shared" si="10"/>
        <v>33</v>
      </c>
      <c r="K71" s="16">
        <f t="shared" si="10"/>
        <v>0</v>
      </c>
      <c r="L71" s="16">
        <f t="shared" si="10"/>
        <v>100</v>
      </c>
      <c r="M71" s="16">
        <f t="shared" si="10"/>
        <v>0</v>
      </c>
      <c r="N71" s="16">
        <f t="shared" si="10"/>
        <v>2</v>
      </c>
      <c r="O71" s="16">
        <f t="shared" si="10"/>
        <v>33</v>
      </c>
      <c r="P71" s="16">
        <f t="shared" si="10"/>
        <v>5</v>
      </c>
      <c r="Q71" s="16">
        <f t="shared" si="10"/>
        <v>2</v>
      </c>
      <c r="R71" s="16">
        <f t="shared" si="9"/>
        <v>20</v>
      </c>
      <c r="S71" s="16">
        <f t="shared" si="9"/>
        <v>0</v>
      </c>
      <c r="T71" s="16">
        <f t="shared" si="9"/>
        <v>0</v>
      </c>
      <c r="U71" s="16">
        <f t="shared" si="9"/>
        <v>0</v>
      </c>
      <c r="V71" s="16">
        <f t="shared" si="9"/>
        <v>0</v>
      </c>
      <c r="W71" s="16">
        <f t="shared" si="9"/>
        <v>1</v>
      </c>
      <c r="X71" s="16" t="str">
        <f t="shared" si="9"/>
        <v>null</v>
      </c>
    </row>
    <row r="72" spans="1:24" x14ac:dyDescent="0.15">
      <c r="A72" s="20" t="str">
        <f t="shared" si="11"/>
        <v>22_3-2/57&lt;lv44&gt;s2</v>
      </c>
      <c r="B72" s="16">
        <f t="shared" si="10"/>
        <v>22</v>
      </c>
      <c r="C72" s="16">
        <f t="shared" si="10"/>
        <v>3</v>
      </c>
      <c r="D72" s="16">
        <f t="shared" si="10"/>
        <v>2</v>
      </c>
      <c r="E72" s="16">
        <f t="shared" si="10"/>
        <v>57</v>
      </c>
      <c r="F72" s="16">
        <f t="shared" si="10"/>
        <v>44</v>
      </c>
      <c r="G72" s="16">
        <f t="shared" si="10"/>
        <v>1</v>
      </c>
      <c r="H72" s="16">
        <f t="shared" si="10"/>
        <v>1</v>
      </c>
      <c r="I72" s="16">
        <f t="shared" si="10"/>
        <v>0</v>
      </c>
      <c r="J72" s="16">
        <f t="shared" si="10"/>
        <v>57</v>
      </c>
      <c r="K72" s="16">
        <f t="shared" si="10"/>
        <v>0</v>
      </c>
      <c r="L72" s="16">
        <f t="shared" si="10"/>
        <v>100</v>
      </c>
      <c r="M72" s="16">
        <f t="shared" si="10"/>
        <v>0</v>
      </c>
      <c r="N72" s="16">
        <f t="shared" si="10"/>
        <v>2</v>
      </c>
      <c r="O72" s="16">
        <f t="shared" si="10"/>
        <v>57</v>
      </c>
      <c r="P72" s="16">
        <f t="shared" si="10"/>
        <v>7</v>
      </c>
      <c r="Q72" s="16">
        <f t="shared" si="10"/>
        <v>2</v>
      </c>
      <c r="R72" s="16">
        <f t="shared" si="9"/>
        <v>20</v>
      </c>
      <c r="S72" s="16">
        <f t="shared" si="9"/>
        <v>0</v>
      </c>
      <c r="T72" s="16">
        <f t="shared" si="9"/>
        <v>0</v>
      </c>
      <c r="U72" s="16">
        <f t="shared" si="9"/>
        <v>0</v>
      </c>
      <c r="V72" s="16">
        <f t="shared" si="9"/>
        <v>0</v>
      </c>
      <c r="W72" s="16">
        <f t="shared" si="9"/>
        <v>1</v>
      </c>
      <c r="X72" s="16" t="str">
        <f t="shared" si="9"/>
        <v>null</v>
      </c>
    </row>
    <row r="73" spans="1:24" x14ac:dyDescent="0.15">
      <c r="A73" s="20" t="str">
        <f t="shared" si="11"/>
        <v>22_3-2/360&lt;lv44&gt;s3</v>
      </c>
      <c r="B73" s="16">
        <f t="shared" si="10"/>
        <v>22</v>
      </c>
      <c r="C73" s="16">
        <f t="shared" si="10"/>
        <v>3</v>
      </c>
      <c r="D73" s="16">
        <f t="shared" si="10"/>
        <v>2</v>
      </c>
      <c r="E73" s="16">
        <f t="shared" si="10"/>
        <v>360</v>
      </c>
      <c r="F73" s="16">
        <f t="shared" si="10"/>
        <v>44</v>
      </c>
      <c r="G73" s="16">
        <f t="shared" si="10"/>
        <v>1</v>
      </c>
      <c r="H73" s="16">
        <f t="shared" si="10"/>
        <v>1</v>
      </c>
      <c r="I73" s="16">
        <f t="shared" si="10"/>
        <v>0</v>
      </c>
      <c r="J73" s="16">
        <f t="shared" si="10"/>
        <v>360</v>
      </c>
      <c r="K73" s="16">
        <f t="shared" si="10"/>
        <v>0</v>
      </c>
      <c r="L73" s="16">
        <f t="shared" si="10"/>
        <v>100</v>
      </c>
      <c r="M73" s="16">
        <f t="shared" si="10"/>
        <v>0</v>
      </c>
      <c r="N73" s="16">
        <f t="shared" si="10"/>
        <v>3</v>
      </c>
      <c r="O73" s="16">
        <f t="shared" si="10"/>
        <v>360</v>
      </c>
      <c r="P73" s="16">
        <f t="shared" si="10"/>
        <v>7</v>
      </c>
      <c r="Q73" s="16">
        <f t="shared" si="10"/>
        <v>2</v>
      </c>
      <c r="R73" s="16">
        <f t="shared" si="9"/>
        <v>20</v>
      </c>
      <c r="S73" s="16">
        <f t="shared" si="9"/>
        <v>0</v>
      </c>
      <c r="T73" s="16">
        <f t="shared" si="9"/>
        <v>0</v>
      </c>
      <c r="U73" s="16">
        <f t="shared" si="9"/>
        <v>0</v>
      </c>
      <c r="V73" s="16">
        <f t="shared" si="9"/>
        <v>0</v>
      </c>
      <c r="W73" s="16">
        <f t="shared" si="9"/>
        <v>1</v>
      </c>
      <c r="X73" s="16" t="str">
        <f t="shared" si="9"/>
        <v>null</v>
      </c>
    </row>
    <row r="74" spans="1:24" x14ac:dyDescent="0.15">
      <c r="A74" s="20" t="str">
        <f t="shared" si="11"/>
        <v>22_3-2/348&lt;lv44&gt;s3</v>
      </c>
      <c r="B74" s="16">
        <f t="shared" si="10"/>
        <v>22</v>
      </c>
      <c r="C74" s="16">
        <f t="shared" si="10"/>
        <v>3</v>
      </c>
      <c r="D74" s="16">
        <f t="shared" si="10"/>
        <v>2</v>
      </c>
      <c r="E74" s="16">
        <f t="shared" si="10"/>
        <v>348</v>
      </c>
      <c r="F74" s="16">
        <f t="shared" si="10"/>
        <v>44</v>
      </c>
      <c r="G74" s="16">
        <f t="shared" si="10"/>
        <v>1</v>
      </c>
      <c r="H74" s="16">
        <f t="shared" si="10"/>
        <v>1</v>
      </c>
      <c r="I74" s="16">
        <f t="shared" si="10"/>
        <v>0</v>
      </c>
      <c r="J74" s="16">
        <f t="shared" si="10"/>
        <v>348</v>
      </c>
      <c r="K74" s="16">
        <f t="shared" si="10"/>
        <v>0</v>
      </c>
      <c r="L74" s="16">
        <f t="shared" si="10"/>
        <v>100</v>
      </c>
      <c r="M74" s="16">
        <f t="shared" si="10"/>
        <v>0</v>
      </c>
      <c r="N74" s="16">
        <f t="shared" si="10"/>
        <v>3</v>
      </c>
      <c r="O74" s="16">
        <f t="shared" si="10"/>
        <v>348</v>
      </c>
      <c r="P74" s="16">
        <f t="shared" si="10"/>
        <v>1</v>
      </c>
      <c r="Q74" s="16">
        <f t="shared" si="10"/>
        <v>2</v>
      </c>
      <c r="R74" s="16">
        <f t="shared" si="9"/>
        <v>24</v>
      </c>
      <c r="S74" s="16">
        <f t="shared" si="9"/>
        <v>0</v>
      </c>
      <c r="T74" s="16">
        <f t="shared" si="9"/>
        <v>0</v>
      </c>
      <c r="U74" s="16">
        <f t="shared" si="9"/>
        <v>0</v>
      </c>
      <c r="V74" s="16">
        <f t="shared" si="9"/>
        <v>0</v>
      </c>
      <c r="W74" s="16">
        <f t="shared" si="9"/>
        <v>1</v>
      </c>
      <c r="X74" s="16" t="str">
        <f t="shared" si="9"/>
        <v>null</v>
      </c>
    </row>
    <row r="75" spans="1:24" x14ac:dyDescent="0.15">
      <c r="A75" s="20" t="str">
        <f t="shared" si="11"/>
        <v>22_3-3/9&lt;lv44&gt;s2</v>
      </c>
      <c r="B75" s="16">
        <f t="shared" si="10"/>
        <v>22</v>
      </c>
      <c r="C75" s="16">
        <f t="shared" si="10"/>
        <v>3</v>
      </c>
      <c r="D75" s="16">
        <f t="shared" si="10"/>
        <v>3</v>
      </c>
      <c r="E75" s="16">
        <f t="shared" si="10"/>
        <v>9</v>
      </c>
      <c r="F75" s="16">
        <f t="shared" si="10"/>
        <v>44</v>
      </c>
      <c r="G75" s="16">
        <f t="shared" si="10"/>
        <v>1</v>
      </c>
      <c r="H75" s="16">
        <f t="shared" si="10"/>
        <v>1</v>
      </c>
      <c r="I75" s="16">
        <f t="shared" si="10"/>
        <v>0</v>
      </c>
      <c r="J75" s="16">
        <f t="shared" si="10"/>
        <v>0</v>
      </c>
      <c r="K75" s="16">
        <f t="shared" si="10"/>
        <v>0</v>
      </c>
      <c r="L75" s="16">
        <f t="shared" si="10"/>
        <v>100</v>
      </c>
      <c r="M75" s="16">
        <f t="shared" si="10"/>
        <v>0</v>
      </c>
      <c r="N75" s="16">
        <f t="shared" si="10"/>
        <v>2</v>
      </c>
      <c r="O75" s="16">
        <f t="shared" si="10"/>
        <v>9</v>
      </c>
      <c r="P75" s="16">
        <f t="shared" si="10"/>
        <v>9</v>
      </c>
      <c r="Q75" s="16">
        <f t="shared" si="10"/>
        <v>1</v>
      </c>
      <c r="R75" s="16">
        <f t="shared" si="9"/>
        <v>15</v>
      </c>
      <c r="S75" s="16">
        <f t="shared" si="9"/>
        <v>0</v>
      </c>
      <c r="T75" s="16">
        <f t="shared" si="9"/>
        <v>0</v>
      </c>
      <c r="U75" s="16">
        <f t="shared" si="9"/>
        <v>0</v>
      </c>
      <c r="V75" s="16">
        <f t="shared" si="9"/>
        <v>0</v>
      </c>
      <c r="W75" s="16">
        <f t="shared" si="9"/>
        <v>1</v>
      </c>
      <c r="X75" s="16" t="str">
        <f t="shared" si="9"/>
        <v>null</v>
      </c>
    </row>
    <row r="76" spans="1:24" x14ac:dyDescent="0.15">
      <c r="A76" s="20" t="str">
        <f t="shared" si="11"/>
        <v>22_3-3/25&lt;lv44&gt;s3</v>
      </c>
      <c r="B76" s="16">
        <f t="shared" si="10"/>
        <v>22</v>
      </c>
      <c r="C76" s="16">
        <f t="shared" si="10"/>
        <v>3</v>
      </c>
      <c r="D76" s="16">
        <f t="shared" si="10"/>
        <v>3</v>
      </c>
      <c r="E76" s="16">
        <f t="shared" si="10"/>
        <v>25</v>
      </c>
      <c r="F76" s="16">
        <f t="shared" si="10"/>
        <v>44</v>
      </c>
      <c r="G76" s="16">
        <f t="shared" si="10"/>
        <v>1</v>
      </c>
      <c r="H76" s="16">
        <f t="shared" si="10"/>
        <v>1</v>
      </c>
      <c r="I76" s="16">
        <f t="shared" si="10"/>
        <v>0</v>
      </c>
      <c r="J76" s="16">
        <f t="shared" si="10"/>
        <v>0</v>
      </c>
      <c r="K76" s="16">
        <f t="shared" si="10"/>
        <v>0</v>
      </c>
      <c r="L76" s="16">
        <f t="shared" si="10"/>
        <v>100</v>
      </c>
      <c r="M76" s="16">
        <f t="shared" si="10"/>
        <v>0</v>
      </c>
      <c r="N76" s="16">
        <f t="shared" si="10"/>
        <v>3</v>
      </c>
      <c r="O76" s="16">
        <f t="shared" si="10"/>
        <v>25</v>
      </c>
      <c r="P76" s="16">
        <f t="shared" si="10"/>
        <v>7</v>
      </c>
      <c r="Q76" s="16">
        <f t="shared" si="10"/>
        <v>1</v>
      </c>
      <c r="R76" s="16">
        <f t="shared" si="9"/>
        <v>15</v>
      </c>
      <c r="S76" s="16">
        <f t="shared" si="9"/>
        <v>0</v>
      </c>
      <c r="T76" s="16">
        <f t="shared" si="9"/>
        <v>0</v>
      </c>
      <c r="U76" s="16">
        <f t="shared" si="9"/>
        <v>0</v>
      </c>
      <c r="V76" s="16">
        <f t="shared" si="9"/>
        <v>0</v>
      </c>
      <c r="W76" s="16">
        <f t="shared" si="9"/>
        <v>1</v>
      </c>
      <c r="X76" s="16" t="str">
        <f t="shared" si="9"/>
        <v>null</v>
      </c>
    </row>
    <row r="77" spans="1:24" x14ac:dyDescent="0.15">
      <c r="A77" s="20" t="str">
        <f t="shared" si="11"/>
        <v>22_3-3/33&lt;lv44&gt;s2</v>
      </c>
      <c r="B77" s="16">
        <f t="shared" si="10"/>
        <v>22</v>
      </c>
      <c r="C77" s="16">
        <f t="shared" si="10"/>
        <v>3</v>
      </c>
      <c r="D77" s="16">
        <f t="shared" si="10"/>
        <v>3</v>
      </c>
      <c r="E77" s="16">
        <f t="shared" si="10"/>
        <v>33</v>
      </c>
      <c r="F77" s="16">
        <f t="shared" si="10"/>
        <v>44</v>
      </c>
      <c r="G77" s="16">
        <f t="shared" si="10"/>
        <v>1</v>
      </c>
      <c r="H77" s="16">
        <f t="shared" si="10"/>
        <v>1</v>
      </c>
      <c r="I77" s="16">
        <f t="shared" si="10"/>
        <v>0</v>
      </c>
      <c r="J77" s="16">
        <f t="shared" si="10"/>
        <v>33</v>
      </c>
      <c r="K77" s="16">
        <f t="shared" si="10"/>
        <v>0</v>
      </c>
      <c r="L77" s="16">
        <f t="shared" si="10"/>
        <v>100</v>
      </c>
      <c r="M77" s="16">
        <f t="shared" si="10"/>
        <v>0</v>
      </c>
      <c r="N77" s="16">
        <f t="shared" si="10"/>
        <v>2</v>
      </c>
      <c r="O77" s="16">
        <f t="shared" si="10"/>
        <v>33</v>
      </c>
      <c r="P77" s="16">
        <f t="shared" si="10"/>
        <v>5</v>
      </c>
      <c r="Q77" s="16">
        <f t="shared" si="10"/>
        <v>2</v>
      </c>
      <c r="R77" s="16">
        <f t="shared" si="9"/>
        <v>20</v>
      </c>
      <c r="S77" s="16">
        <f t="shared" si="9"/>
        <v>0</v>
      </c>
      <c r="T77" s="16">
        <f t="shared" si="9"/>
        <v>0</v>
      </c>
      <c r="U77" s="16">
        <f t="shared" si="9"/>
        <v>0</v>
      </c>
      <c r="V77" s="16">
        <f t="shared" si="9"/>
        <v>0</v>
      </c>
      <c r="W77" s="16">
        <f t="shared" si="9"/>
        <v>1</v>
      </c>
      <c r="X77" s="16" t="str">
        <f t="shared" si="9"/>
        <v>null</v>
      </c>
    </row>
    <row r="78" spans="1:24" x14ac:dyDescent="0.15">
      <c r="A78" s="20" t="str">
        <f t="shared" si="11"/>
        <v>22_3-3/37&lt;lv44&gt;s3</v>
      </c>
      <c r="B78" s="16">
        <f t="shared" si="10"/>
        <v>22</v>
      </c>
      <c r="C78" s="16">
        <f t="shared" si="10"/>
        <v>3</v>
      </c>
      <c r="D78" s="16">
        <f t="shared" si="10"/>
        <v>3</v>
      </c>
      <c r="E78" s="16">
        <f t="shared" si="10"/>
        <v>37</v>
      </c>
      <c r="F78" s="16">
        <f t="shared" si="10"/>
        <v>44</v>
      </c>
      <c r="G78" s="16">
        <f t="shared" si="10"/>
        <v>1</v>
      </c>
      <c r="H78" s="16">
        <f t="shared" si="10"/>
        <v>1</v>
      </c>
      <c r="I78" s="16">
        <f t="shared" si="10"/>
        <v>0</v>
      </c>
      <c r="J78" s="16">
        <f t="shared" si="10"/>
        <v>37</v>
      </c>
      <c r="K78" s="16">
        <f t="shared" si="10"/>
        <v>0</v>
      </c>
      <c r="L78" s="16">
        <f t="shared" si="10"/>
        <v>100</v>
      </c>
      <c r="M78" s="16">
        <f t="shared" si="10"/>
        <v>0</v>
      </c>
      <c r="N78" s="16">
        <f t="shared" si="10"/>
        <v>3</v>
      </c>
      <c r="O78" s="16">
        <f t="shared" si="10"/>
        <v>37</v>
      </c>
      <c r="P78" s="16">
        <f t="shared" si="10"/>
        <v>5</v>
      </c>
      <c r="Q78" s="16">
        <f t="shared" ref="Q78:W93" si="12">VLOOKUP($A78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78" s="16">
        <f t="shared" si="12"/>
        <v>20</v>
      </c>
      <c r="S78" s="16">
        <f t="shared" si="12"/>
        <v>0</v>
      </c>
      <c r="T78" s="16">
        <f t="shared" si="12"/>
        <v>0</v>
      </c>
      <c r="U78" s="16">
        <f t="shared" si="12"/>
        <v>0</v>
      </c>
      <c r="V78" s="16">
        <f t="shared" si="12"/>
        <v>0</v>
      </c>
      <c r="W78" s="16">
        <f t="shared" si="12"/>
        <v>1</v>
      </c>
      <c r="X78" s="16" t="str">
        <f t="shared" si="9"/>
        <v>null</v>
      </c>
    </row>
    <row r="79" spans="1:24" x14ac:dyDescent="0.15">
      <c r="A79" s="20" t="str">
        <f t="shared" si="11"/>
        <v>22_3-3/45&lt;lv44&gt;s3</v>
      </c>
      <c r="B79" s="16">
        <f t="shared" ref="B79:Q94" si="13">VLOOKUP($A79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79" s="16">
        <f t="shared" si="13"/>
        <v>3</v>
      </c>
      <c r="D79" s="16">
        <f t="shared" si="13"/>
        <v>3</v>
      </c>
      <c r="E79" s="16">
        <f t="shared" si="13"/>
        <v>45</v>
      </c>
      <c r="F79" s="16">
        <f t="shared" si="13"/>
        <v>44</v>
      </c>
      <c r="G79" s="16">
        <f t="shared" si="13"/>
        <v>1</v>
      </c>
      <c r="H79" s="16">
        <f t="shared" si="13"/>
        <v>1</v>
      </c>
      <c r="I79" s="16">
        <f t="shared" si="13"/>
        <v>0</v>
      </c>
      <c r="J79" s="16">
        <f t="shared" si="13"/>
        <v>0</v>
      </c>
      <c r="K79" s="16">
        <f t="shared" si="13"/>
        <v>0</v>
      </c>
      <c r="L79" s="16">
        <f t="shared" si="13"/>
        <v>100</v>
      </c>
      <c r="M79" s="16">
        <f t="shared" si="13"/>
        <v>0</v>
      </c>
      <c r="N79" s="16">
        <f t="shared" si="13"/>
        <v>3</v>
      </c>
      <c r="O79" s="16">
        <f t="shared" si="13"/>
        <v>45</v>
      </c>
      <c r="P79" s="16">
        <f t="shared" si="13"/>
        <v>7</v>
      </c>
      <c r="Q79" s="16">
        <f t="shared" si="13"/>
        <v>2</v>
      </c>
      <c r="R79" s="16">
        <f t="shared" si="12"/>
        <v>20</v>
      </c>
      <c r="S79" s="16">
        <f t="shared" si="12"/>
        <v>0</v>
      </c>
      <c r="T79" s="16">
        <f t="shared" si="12"/>
        <v>0</v>
      </c>
      <c r="U79" s="16">
        <f t="shared" si="12"/>
        <v>0</v>
      </c>
      <c r="V79" s="16">
        <f t="shared" si="12"/>
        <v>0</v>
      </c>
      <c r="W79" s="16">
        <f t="shared" si="12"/>
        <v>1</v>
      </c>
      <c r="X79" s="16" t="str">
        <f t="shared" si="9"/>
        <v>null</v>
      </c>
    </row>
    <row r="80" spans="1:24" x14ac:dyDescent="0.15">
      <c r="A80" s="20" t="str">
        <f t="shared" si="11"/>
        <v>22_3-3/57&lt;lv44&gt;s2</v>
      </c>
      <c r="B80" s="16">
        <f t="shared" si="13"/>
        <v>22</v>
      </c>
      <c r="C80" s="16">
        <f t="shared" si="13"/>
        <v>3</v>
      </c>
      <c r="D80" s="16">
        <f t="shared" si="13"/>
        <v>3</v>
      </c>
      <c r="E80" s="16">
        <f t="shared" si="13"/>
        <v>57</v>
      </c>
      <c r="F80" s="16">
        <f t="shared" si="13"/>
        <v>44</v>
      </c>
      <c r="G80" s="16">
        <f t="shared" si="13"/>
        <v>1</v>
      </c>
      <c r="H80" s="16">
        <f t="shared" si="13"/>
        <v>1</v>
      </c>
      <c r="I80" s="16">
        <f t="shared" si="13"/>
        <v>0</v>
      </c>
      <c r="J80" s="16">
        <f t="shared" si="13"/>
        <v>57</v>
      </c>
      <c r="K80" s="16">
        <f t="shared" si="13"/>
        <v>0</v>
      </c>
      <c r="L80" s="16">
        <f t="shared" si="13"/>
        <v>100</v>
      </c>
      <c r="M80" s="16">
        <f t="shared" si="13"/>
        <v>0</v>
      </c>
      <c r="N80" s="16">
        <f t="shared" si="13"/>
        <v>2</v>
      </c>
      <c r="O80" s="16">
        <f t="shared" si="13"/>
        <v>57</v>
      </c>
      <c r="P80" s="16">
        <f t="shared" si="13"/>
        <v>7</v>
      </c>
      <c r="Q80" s="16">
        <f t="shared" si="13"/>
        <v>2</v>
      </c>
      <c r="R80" s="16">
        <f t="shared" si="12"/>
        <v>20</v>
      </c>
      <c r="S80" s="16">
        <f t="shared" si="12"/>
        <v>0</v>
      </c>
      <c r="T80" s="16">
        <f t="shared" si="12"/>
        <v>0</v>
      </c>
      <c r="U80" s="16">
        <f t="shared" si="12"/>
        <v>0</v>
      </c>
      <c r="V80" s="16">
        <f t="shared" si="12"/>
        <v>0</v>
      </c>
      <c r="W80" s="16">
        <f t="shared" si="12"/>
        <v>1</v>
      </c>
      <c r="X80" s="16" t="str">
        <f t="shared" si="9"/>
        <v>null</v>
      </c>
    </row>
    <row r="81" spans="1:24" x14ac:dyDescent="0.15">
      <c r="A81" s="20" t="str">
        <f t="shared" si="11"/>
        <v>22_3-3/61&lt;lv44&gt;s2</v>
      </c>
      <c r="B81" s="16">
        <f t="shared" si="13"/>
        <v>22</v>
      </c>
      <c r="C81" s="16">
        <f t="shared" si="13"/>
        <v>3</v>
      </c>
      <c r="D81" s="16">
        <f t="shared" si="13"/>
        <v>3</v>
      </c>
      <c r="E81" s="16">
        <f t="shared" si="13"/>
        <v>61</v>
      </c>
      <c r="F81" s="16">
        <f t="shared" si="13"/>
        <v>44</v>
      </c>
      <c r="G81" s="16">
        <f t="shared" si="13"/>
        <v>1</v>
      </c>
      <c r="H81" s="16">
        <f t="shared" si="13"/>
        <v>1</v>
      </c>
      <c r="I81" s="16">
        <f t="shared" si="13"/>
        <v>0</v>
      </c>
      <c r="J81" s="16">
        <f t="shared" si="13"/>
        <v>61</v>
      </c>
      <c r="K81" s="16">
        <f t="shared" si="13"/>
        <v>0</v>
      </c>
      <c r="L81" s="16">
        <f t="shared" si="13"/>
        <v>100</v>
      </c>
      <c r="M81" s="16">
        <f t="shared" si="13"/>
        <v>0</v>
      </c>
      <c r="N81" s="16">
        <f t="shared" si="13"/>
        <v>2</v>
      </c>
      <c r="O81" s="16">
        <f t="shared" si="13"/>
        <v>61</v>
      </c>
      <c r="P81" s="16">
        <f t="shared" si="13"/>
        <v>7</v>
      </c>
      <c r="Q81" s="16">
        <f t="shared" si="13"/>
        <v>2</v>
      </c>
      <c r="R81" s="16">
        <f t="shared" si="12"/>
        <v>20</v>
      </c>
      <c r="S81" s="16">
        <f t="shared" si="12"/>
        <v>0</v>
      </c>
      <c r="T81" s="16">
        <f t="shared" si="12"/>
        <v>0</v>
      </c>
      <c r="U81" s="16">
        <f t="shared" si="12"/>
        <v>0</v>
      </c>
      <c r="V81" s="16">
        <f t="shared" si="12"/>
        <v>0</v>
      </c>
      <c r="W81" s="16">
        <f t="shared" si="12"/>
        <v>1</v>
      </c>
      <c r="X81" s="16" t="str">
        <f t="shared" si="9"/>
        <v>null</v>
      </c>
    </row>
    <row r="82" spans="1:24" x14ac:dyDescent="0.15">
      <c r="A82" s="20" t="str">
        <f t="shared" si="11"/>
        <v>22_3-3/360&lt;lv44&gt;s3</v>
      </c>
      <c r="B82" s="16">
        <f t="shared" si="13"/>
        <v>22</v>
      </c>
      <c r="C82" s="16">
        <f t="shared" si="13"/>
        <v>3</v>
      </c>
      <c r="D82" s="16">
        <f t="shared" si="13"/>
        <v>3</v>
      </c>
      <c r="E82" s="16">
        <f t="shared" si="13"/>
        <v>360</v>
      </c>
      <c r="F82" s="16">
        <f t="shared" si="13"/>
        <v>44</v>
      </c>
      <c r="G82" s="16">
        <f t="shared" si="13"/>
        <v>1</v>
      </c>
      <c r="H82" s="16">
        <f t="shared" si="13"/>
        <v>1</v>
      </c>
      <c r="I82" s="16">
        <f t="shared" si="13"/>
        <v>0</v>
      </c>
      <c r="J82" s="16">
        <f t="shared" si="13"/>
        <v>360</v>
      </c>
      <c r="K82" s="16">
        <f t="shared" si="13"/>
        <v>0</v>
      </c>
      <c r="L82" s="16">
        <f t="shared" si="13"/>
        <v>100</v>
      </c>
      <c r="M82" s="16">
        <f t="shared" si="13"/>
        <v>0</v>
      </c>
      <c r="N82" s="16">
        <f t="shared" si="13"/>
        <v>3</v>
      </c>
      <c r="O82" s="16">
        <f t="shared" si="13"/>
        <v>360</v>
      </c>
      <c r="P82" s="16">
        <f t="shared" si="13"/>
        <v>7</v>
      </c>
      <c r="Q82" s="16">
        <f t="shared" si="13"/>
        <v>2</v>
      </c>
      <c r="R82" s="16">
        <f t="shared" si="12"/>
        <v>20</v>
      </c>
      <c r="S82" s="16">
        <f t="shared" si="12"/>
        <v>0</v>
      </c>
      <c r="T82" s="16">
        <f t="shared" si="12"/>
        <v>0</v>
      </c>
      <c r="U82" s="16">
        <f t="shared" si="12"/>
        <v>0</v>
      </c>
      <c r="V82" s="16">
        <f t="shared" si="12"/>
        <v>0</v>
      </c>
      <c r="W82" s="16">
        <f t="shared" si="12"/>
        <v>1</v>
      </c>
      <c r="X82" s="16" t="str">
        <f t="shared" si="9"/>
        <v>null</v>
      </c>
    </row>
    <row r="83" spans="1:24" x14ac:dyDescent="0.15">
      <c r="A83" s="20" t="str">
        <f t="shared" si="11"/>
        <v>22_3-3/364&lt;lv44&gt;s3</v>
      </c>
      <c r="B83" s="16">
        <f t="shared" si="13"/>
        <v>22</v>
      </c>
      <c r="C83" s="16">
        <f t="shared" si="13"/>
        <v>3</v>
      </c>
      <c r="D83" s="16">
        <f t="shared" si="13"/>
        <v>3</v>
      </c>
      <c r="E83" s="16">
        <f t="shared" si="13"/>
        <v>364</v>
      </c>
      <c r="F83" s="16">
        <f t="shared" si="13"/>
        <v>44</v>
      </c>
      <c r="G83" s="16">
        <f t="shared" si="13"/>
        <v>1</v>
      </c>
      <c r="H83" s="16">
        <f t="shared" si="13"/>
        <v>1</v>
      </c>
      <c r="I83" s="16">
        <f t="shared" si="13"/>
        <v>0</v>
      </c>
      <c r="J83" s="16">
        <f t="shared" si="13"/>
        <v>364</v>
      </c>
      <c r="K83" s="16">
        <f t="shared" si="13"/>
        <v>0</v>
      </c>
      <c r="L83" s="16">
        <f t="shared" si="13"/>
        <v>100</v>
      </c>
      <c r="M83" s="16">
        <f t="shared" si="13"/>
        <v>0</v>
      </c>
      <c r="N83" s="16">
        <f t="shared" si="13"/>
        <v>3</v>
      </c>
      <c r="O83" s="16">
        <f t="shared" si="13"/>
        <v>364</v>
      </c>
      <c r="P83" s="16">
        <f t="shared" si="13"/>
        <v>7</v>
      </c>
      <c r="Q83" s="16">
        <f t="shared" si="13"/>
        <v>2</v>
      </c>
      <c r="R83" s="16">
        <f t="shared" si="12"/>
        <v>20</v>
      </c>
      <c r="S83" s="16">
        <f t="shared" si="12"/>
        <v>0</v>
      </c>
      <c r="T83" s="16">
        <f t="shared" si="12"/>
        <v>0</v>
      </c>
      <c r="U83" s="16">
        <f t="shared" si="12"/>
        <v>0</v>
      </c>
      <c r="V83" s="16">
        <f t="shared" si="12"/>
        <v>0</v>
      </c>
      <c r="W83" s="16">
        <f t="shared" si="12"/>
        <v>1</v>
      </c>
      <c r="X83" s="16" t="str">
        <f t="shared" si="9"/>
        <v>null</v>
      </c>
    </row>
    <row r="84" spans="1:24" x14ac:dyDescent="0.15">
      <c r="A84" s="20" t="str">
        <f t="shared" si="11"/>
        <v>22_3-3/352&lt;lv44&gt;s3</v>
      </c>
      <c r="B84" s="16">
        <f t="shared" si="13"/>
        <v>22</v>
      </c>
      <c r="C84" s="16">
        <f t="shared" si="13"/>
        <v>3</v>
      </c>
      <c r="D84" s="16">
        <f t="shared" si="13"/>
        <v>3</v>
      </c>
      <c r="E84" s="16">
        <f t="shared" si="13"/>
        <v>352</v>
      </c>
      <c r="F84" s="16">
        <f t="shared" si="13"/>
        <v>44</v>
      </c>
      <c r="G84" s="16">
        <f t="shared" si="13"/>
        <v>1</v>
      </c>
      <c r="H84" s="16">
        <f t="shared" si="13"/>
        <v>1</v>
      </c>
      <c r="I84" s="16">
        <f t="shared" si="13"/>
        <v>0</v>
      </c>
      <c r="J84" s="16">
        <f t="shared" si="13"/>
        <v>352</v>
      </c>
      <c r="K84" s="16">
        <f t="shared" si="13"/>
        <v>0</v>
      </c>
      <c r="L84" s="16">
        <f t="shared" si="13"/>
        <v>100</v>
      </c>
      <c r="M84" s="16">
        <f t="shared" si="13"/>
        <v>0</v>
      </c>
      <c r="N84" s="16">
        <f t="shared" si="13"/>
        <v>3</v>
      </c>
      <c r="O84" s="16">
        <f t="shared" si="13"/>
        <v>352</v>
      </c>
      <c r="P84" s="16">
        <f t="shared" si="13"/>
        <v>1</v>
      </c>
      <c r="Q84" s="16">
        <f t="shared" si="13"/>
        <v>2</v>
      </c>
      <c r="R84" s="16">
        <f t="shared" si="12"/>
        <v>24</v>
      </c>
      <c r="S84" s="16">
        <f t="shared" si="12"/>
        <v>0</v>
      </c>
      <c r="T84" s="16">
        <f t="shared" si="12"/>
        <v>0</v>
      </c>
      <c r="U84" s="16">
        <f t="shared" si="12"/>
        <v>0</v>
      </c>
      <c r="V84" s="16">
        <f t="shared" si="12"/>
        <v>0</v>
      </c>
      <c r="W84" s="16">
        <f t="shared" si="12"/>
        <v>1</v>
      </c>
      <c r="X84" s="16" t="str">
        <f t="shared" si="9"/>
        <v>null</v>
      </c>
    </row>
    <row r="85" spans="1:24" x14ac:dyDescent="0.15">
      <c r="A85" s="20" t="str">
        <f t="shared" si="11"/>
        <v>22_3-4/33&lt;lv44&gt;s2</v>
      </c>
      <c r="B85" s="16">
        <f t="shared" si="13"/>
        <v>22</v>
      </c>
      <c r="C85" s="16">
        <f t="shared" si="13"/>
        <v>3</v>
      </c>
      <c r="D85" s="16">
        <f t="shared" si="13"/>
        <v>4</v>
      </c>
      <c r="E85" s="16">
        <f t="shared" si="13"/>
        <v>33</v>
      </c>
      <c r="F85" s="16">
        <f t="shared" si="13"/>
        <v>44</v>
      </c>
      <c r="G85" s="16">
        <f t="shared" si="13"/>
        <v>1</v>
      </c>
      <c r="H85" s="16">
        <f t="shared" si="13"/>
        <v>1</v>
      </c>
      <c r="I85" s="16">
        <f t="shared" si="13"/>
        <v>0</v>
      </c>
      <c r="J85" s="16">
        <f t="shared" si="13"/>
        <v>33</v>
      </c>
      <c r="K85" s="16">
        <f t="shared" si="13"/>
        <v>0</v>
      </c>
      <c r="L85" s="16">
        <f t="shared" si="13"/>
        <v>100</v>
      </c>
      <c r="M85" s="16">
        <f t="shared" si="13"/>
        <v>0</v>
      </c>
      <c r="N85" s="16">
        <f t="shared" si="13"/>
        <v>2</v>
      </c>
      <c r="O85" s="16">
        <f t="shared" si="13"/>
        <v>33</v>
      </c>
      <c r="P85" s="16">
        <f t="shared" si="13"/>
        <v>5</v>
      </c>
      <c r="Q85" s="16">
        <f t="shared" si="13"/>
        <v>2</v>
      </c>
      <c r="R85" s="16">
        <f t="shared" si="12"/>
        <v>20</v>
      </c>
      <c r="S85" s="16">
        <f t="shared" si="12"/>
        <v>0</v>
      </c>
      <c r="T85" s="16">
        <f t="shared" si="12"/>
        <v>0</v>
      </c>
      <c r="U85" s="16">
        <f t="shared" si="12"/>
        <v>0</v>
      </c>
      <c r="V85" s="16">
        <f t="shared" si="12"/>
        <v>0</v>
      </c>
      <c r="W85" s="16">
        <f t="shared" si="12"/>
        <v>1</v>
      </c>
      <c r="X85" s="16" t="str">
        <f t="shared" si="9"/>
        <v>null</v>
      </c>
    </row>
    <row r="86" spans="1:24" x14ac:dyDescent="0.15">
      <c r="A86" s="20" t="str">
        <f t="shared" si="11"/>
        <v>22_3-4/37&lt;lv44&gt;s3</v>
      </c>
      <c r="B86" s="16">
        <f t="shared" si="13"/>
        <v>22</v>
      </c>
      <c r="C86" s="16">
        <f t="shared" si="13"/>
        <v>3</v>
      </c>
      <c r="D86" s="16">
        <f t="shared" si="13"/>
        <v>4</v>
      </c>
      <c r="E86" s="16">
        <f t="shared" si="13"/>
        <v>37</v>
      </c>
      <c r="F86" s="16">
        <f t="shared" si="13"/>
        <v>44</v>
      </c>
      <c r="G86" s="16">
        <f t="shared" si="13"/>
        <v>1</v>
      </c>
      <c r="H86" s="16">
        <f t="shared" si="13"/>
        <v>1</v>
      </c>
      <c r="I86" s="16">
        <f t="shared" si="13"/>
        <v>0</v>
      </c>
      <c r="J86" s="16">
        <f t="shared" si="13"/>
        <v>37</v>
      </c>
      <c r="K86" s="16">
        <f t="shared" si="13"/>
        <v>0</v>
      </c>
      <c r="L86" s="16">
        <f t="shared" si="13"/>
        <v>100</v>
      </c>
      <c r="M86" s="16">
        <f t="shared" si="13"/>
        <v>0</v>
      </c>
      <c r="N86" s="16">
        <f t="shared" si="13"/>
        <v>3</v>
      </c>
      <c r="O86" s="16">
        <f t="shared" si="13"/>
        <v>37</v>
      </c>
      <c r="P86" s="16">
        <f t="shared" si="13"/>
        <v>5</v>
      </c>
      <c r="Q86" s="16">
        <f t="shared" si="13"/>
        <v>2</v>
      </c>
      <c r="R86" s="16">
        <f t="shared" si="12"/>
        <v>20</v>
      </c>
      <c r="S86" s="16">
        <f t="shared" si="12"/>
        <v>0</v>
      </c>
      <c r="T86" s="16">
        <f t="shared" si="12"/>
        <v>0</v>
      </c>
      <c r="U86" s="16">
        <f t="shared" si="12"/>
        <v>0</v>
      </c>
      <c r="V86" s="16">
        <f t="shared" si="12"/>
        <v>0</v>
      </c>
      <c r="W86" s="16">
        <f t="shared" si="12"/>
        <v>1</v>
      </c>
      <c r="X86" s="16" t="str">
        <f t="shared" si="9"/>
        <v>null</v>
      </c>
    </row>
    <row r="87" spans="1:24" x14ac:dyDescent="0.15">
      <c r="A87" s="20" t="str">
        <f t="shared" si="11"/>
        <v>22_3-4/45&lt;lv44&gt;s3</v>
      </c>
      <c r="B87" s="16">
        <f t="shared" si="13"/>
        <v>22</v>
      </c>
      <c r="C87" s="16">
        <f t="shared" si="13"/>
        <v>3</v>
      </c>
      <c r="D87" s="16">
        <f t="shared" si="13"/>
        <v>4</v>
      </c>
      <c r="E87" s="16">
        <f t="shared" si="13"/>
        <v>45</v>
      </c>
      <c r="F87" s="16">
        <f t="shared" si="13"/>
        <v>44</v>
      </c>
      <c r="G87" s="16">
        <f t="shared" si="13"/>
        <v>1</v>
      </c>
      <c r="H87" s="16">
        <f t="shared" si="13"/>
        <v>1</v>
      </c>
      <c r="I87" s="16">
        <f t="shared" si="13"/>
        <v>0</v>
      </c>
      <c r="J87" s="16">
        <f t="shared" si="13"/>
        <v>0</v>
      </c>
      <c r="K87" s="16">
        <f t="shared" si="13"/>
        <v>0</v>
      </c>
      <c r="L87" s="16">
        <f t="shared" si="13"/>
        <v>100</v>
      </c>
      <c r="M87" s="16">
        <f t="shared" si="13"/>
        <v>0</v>
      </c>
      <c r="N87" s="16">
        <f t="shared" si="13"/>
        <v>3</v>
      </c>
      <c r="O87" s="16">
        <f t="shared" si="13"/>
        <v>45</v>
      </c>
      <c r="P87" s="16">
        <f t="shared" si="13"/>
        <v>7</v>
      </c>
      <c r="Q87" s="16">
        <f t="shared" si="13"/>
        <v>2</v>
      </c>
      <c r="R87" s="16">
        <f t="shared" si="12"/>
        <v>20</v>
      </c>
      <c r="S87" s="16">
        <f t="shared" si="12"/>
        <v>0</v>
      </c>
      <c r="T87" s="16">
        <f t="shared" si="12"/>
        <v>0</v>
      </c>
      <c r="U87" s="16">
        <f t="shared" si="12"/>
        <v>0</v>
      </c>
      <c r="V87" s="16">
        <f t="shared" si="12"/>
        <v>0</v>
      </c>
      <c r="W87" s="16">
        <f t="shared" si="12"/>
        <v>1</v>
      </c>
      <c r="X87" s="16" t="str">
        <f t="shared" si="9"/>
        <v>null</v>
      </c>
    </row>
    <row r="88" spans="1:24" x14ac:dyDescent="0.15">
      <c r="A88" s="20" t="str">
        <f t="shared" si="11"/>
        <v>22_3-4/57&lt;lv44&gt;s2</v>
      </c>
      <c r="B88" s="16">
        <f t="shared" si="13"/>
        <v>22</v>
      </c>
      <c r="C88" s="16">
        <f t="shared" si="13"/>
        <v>3</v>
      </c>
      <c r="D88" s="16">
        <f t="shared" si="13"/>
        <v>4</v>
      </c>
      <c r="E88" s="16">
        <f t="shared" si="13"/>
        <v>57</v>
      </c>
      <c r="F88" s="16">
        <f t="shared" si="13"/>
        <v>44</v>
      </c>
      <c r="G88" s="16">
        <f t="shared" si="13"/>
        <v>1</v>
      </c>
      <c r="H88" s="16">
        <f t="shared" si="13"/>
        <v>1</v>
      </c>
      <c r="I88" s="16">
        <f t="shared" si="13"/>
        <v>0</v>
      </c>
      <c r="J88" s="16">
        <f t="shared" si="13"/>
        <v>57</v>
      </c>
      <c r="K88" s="16">
        <f t="shared" si="13"/>
        <v>0</v>
      </c>
      <c r="L88" s="16">
        <f t="shared" si="13"/>
        <v>100</v>
      </c>
      <c r="M88" s="16">
        <f t="shared" si="13"/>
        <v>0</v>
      </c>
      <c r="N88" s="16">
        <f t="shared" si="13"/>
        <v>2</v>
      </c>
      <c r="O88" s="16">
        <f t="shared" si="13"/>
        <v>57</v>
      </c>
      <c r="P88" s="16">
        <f t="shared" si="13"/>
        <v>7</v>
      </c>
      <c r="Q88" s="16">
        <f t="shared" si="13"/>
        <v>2</v>
      </c>
      <c r="R88" s="16">
        <f t="shared" si="12"/>
        <v>20</v>
      </c>
      <c r="S88" s="16">
        <f t="shared" si="12"/>
        <v>0</v>
      </c>
      <c r="T88" s="16">
        <f t="shared" si="12"/>
        <v>0</v>
      </c>
      <c r="U88" s="16">
        <f t="shared" si="12"/>
        <v>0</v>
      </c>
      <c r="V88" s="16">
        <f t="shared" si="12"/>
        <v>0</v>
      </c>
      <c r="W88" s="16">
        <f t="shared" si="12"/>
        <v>1</v>
      </c>
      <c r="X88" s="16" t="str">
        <f t="shared" si="9"/>
        <v>null</v>
      </c>
    </row>
    <row r="89" spans="1:24" x14ac:dyDescent="0.15">
      <c r="A89" s="20" t="str">
        <f t="shared" si="11"/>
        <v>22_3-4/61&lt;lv44&gt;s2</v>
      </c>
      <c r="B89" s="16">
        <f t="shared" si="13"/>
        <v>22</v>
      </c>
      <c r="C89" s="16">
        <f t="shared" si="13"/>
        <v>3</v>
      </c>
      <c r="D89" s="16">
        <f t="shared" si="13"/>
        <v>4</v>
      </c>
      <c r="E89" s="16">
        <f t="shared" si="13"/>
        <v>61</v>
      </c>
      <c r="F89" s="16">
        <f t="shared" si="13"/>
        <v>44</v>
      </c>
      <c r="G89" s="16">
        <f t="shared" si="13"/>
        <v>1</v>
      </c>
      <c r="H89" s="16">
        <f t="shared" si="13"/>
        <v>1</v>
      </c>
      <c r="I89" s="16">
        <f t="shared" si="13"/>
        <v>0</v>
      </c>
      <c r="J89" s="16">
        <f t="shared" si="13"/>
        <v>61</v>
      </c>
      <c r="K89" s="16">
        <f t="shared" si="13"/>
        <v>0</v>
      </c>
      <c r="L89" s="16">
        <f t="shared" si="13"/>
        <v>100</v>
      </c>
      <c r="M89" s="16">
        <f t="shared" si="13"/>
        <v>0</v>
      </c>
      <c r="N89" s="16">
        <f t="shared" si="13"/>
        <v>2</v>
      </c>
      <c r="O89" s="16">
        <f t="shared" si="13"/>
        <v>61</v>
      </c>
      <c r="P89" s="16">
        <f t="shared" si="13"/>
        <v>7</v>
      </c>
      <c r="Q89" s="16">
        <f t="shared" si="13"/>
        <v>2</v>
      </c>
      <c r="R89" s="16">
        <f t="shared" si="12"/>
        <v>20</v>
      </c>
      <c r="S89" s="16">
        <f t="shared" si="12"/>
        <v>0</v>
      </c>
      <c r="T89" s="16">
        <f t="shared" si="12"/>
        <v>0</v>
      </c>
      <c r="U89" s="16">
        <f t="shared" si="12"/>
        <v>0</v>
      </c>
      <c r="V89" s="16">
        <f t="shared" si="12"/>
        <v>0</v>
      </c>
      <c r="W89" s="16">
        <f t="shared" si="12"/>
        <v>1</v>
      </c>
      <c r="X89" s="16" t="str">
        <f t="shared" si="9"/>
        <v>null</v>
      </c>
    </row>
    <row r="90" spans="1:24" x14ac:dyDescent="0.15">
      <c r="A90" s="20" t="str">
        <f t="shared" si="11"/>
        <v>22_3-4/360&lt;lv44&gt;s3</v>
      </c>
      <c r="B90" s="16">
        <f t="shared" si="13"/>
        <v>22</v>
      </c>
      <c r="C90" s="16">
        <f t="shared" si="13"/>
        <v>3</v>
      </c>
      <c r="D90" s="16">
        <f t="shared" si="13"/>
        <v>4</v>
      </c>
      <c r="E90" s="16">
        <f t="shared" si="13"/>
        <v>360</v>
      </c>
      <c r="F90" s="16">
        <f t="shared" si="13"/>
        <v>44</v>
      </c>
      <c r="G90" s="16">
        <f t="shared" si="13"/>
        <v>1</v>
      </c>
      <c r="H90" s="16">
        <f t="shared" si="13"/>
        <v>1</v>
      </c>
      <c r="I90" s="16">
        <f t="shared" si="13"/>
        <v>0</v>
      </c>
      <c r="J90" s="16">
        <f t="shared" si="13"/>
        <v>360</v>
      </c>
      <c r="K90" s="16">
        <f t="shared" si="13"/>
        <v>0</v>
      </c>
      <c r="L90" s="16">
        <f t="shared" si="13"/>
        <v>100</v>
      </c>
      <c r="M90" s="16">
        <f t="shared" si="13"/>
        <v>0</v>
      </c>
      <c r="N90" s="16">
        <f t="shared" si="13"/>
        <v>3</v>
      </c>
      <c r="O90" s="16">
        <f t="shared" si="13"/>
        <v>360</v>
      </c>
      <c r="P90" s="16">
        <f t="shared" si="13"/>
        <v>7</v>
      </c>
      <c r="Q90" s="16">
        <f t="shared" si="13"/>
        <v>2</v>
      </c>
      <c r="R90" s="16">
        <f t="shared" si="12"/>
        <v>20</v>
      </c>
      <c r="S90" s="16">
        <f t="shared" si="12"/>
        <v>0</v>
      </c>
      <c r="T90" s="16">
        <f t="shared" si="12"/>
        <v>0</v>
      </c>
      <c r="U90" s="16">
        <f t="shared" si="12"/>
        <v>0</v>
      </c>
      <c r="V90" s="16">
        <f t="shared" si="12"/>
        <v>0</v>
      </c>
      <c r="W90" s="16">
        <f t="shared" si="12"/>
        <v>1</v>
      </c>
      <c r="X90" s="16" t="str">
        <f t="shared" si="9"/>
        <v>null</v>
      </c>
    </row>
    <row r="91" spans="1:24" x14ac:dyDescent="0.15">
      <c r="A91" s="20" t="str">
        <f t="shared" si="11"/>
        <v>22_3-4/364&lt;lv44&gt;s3</v>
      </c>
      <c r="B91" s="16">
        <f t="shared" si="13"/>
        <v>22</v>
      </c>
      <c r="C91" s="16">
        <f t="shared" si="13"/>
        <v>3</v>
      </c>
      <c r="D91" s="16">
        <f t="shared" si="13"/>
        <v>4</v>
      </c>
      <c r="E91" s="16">
        <f t="shared" si="13"/>
        <v>364</v>
      </c>
      <c r="F91" s="16">
        <f t="shared" si="13"/>
        <v>44</v>
      </c>
      <c r="G91" s="16">
        <f t="shared" si="13"/>
        <v>1</v>
      </c>
      <c r="H91" s="16">
        <f t="shared" si="13"/>
        <v>1</v>
      </c>
      <c r="I91" s="16">
        <f t="shared" si="13"/>
        <v>0</v>
      </c>
      <c r="J91" s="16">
        <f t="shared" si="13"/>
        <v>364</v>
      </c>
      <c r="K91" s="16">
        <f t="shared" si="13"/>
        <v>0</v>
      </c>
      <c r="L91" s="16">
        <f t="shared" si="13"/>
        <v>100</v>
      </c>
      <c r="M91" s="16">
        <f t="shared" si="13"/>
        <v>0</v>
      </c>
      <c r="N91" s="16">
        <f t="shared" si="13"/>
        <v>3</v>
      </c>
      <c r="O91" s="16">
        <f t="shared" si="13"/>
        <v>364</v>
      </c>
      <c r="P91" s="16">
        <f t="shared" si="13"/>
        <v>7</v>
      </c>
      <c r="Q91" s="16">
        <f t="shared" si="13"/>
        <v>2</v>
      </c>
      <c r="R91" s="16">
        <f t="shared" si="12"/>
        <v>20</v>
      </c>
      <c r="S91" s="16">
        <f t="shared" si="12"/>
        <v>0</v>
      </c>
      <c r="T91" s="16">
        <f t="shared" si="12"/>
        <v>0</v>
      </c>
      <c r="U91" s="16">
        <f t="shared" si="12"/>
        <v>0</v>
      </c>
      <c r="V91" s="16">
        <f t="shared" si="12"/>
        <v>0</v>
      </c>
      <c r="W91" s="16">
        <f t="shared" si="12"/>
        <v>1</v>
      </c>
      <c r="X91" s="16" t="str">
        <f t="shared" si="9"/>
        <v>null</v>
      </c>
    </row>
    <row r="92" spans="1:24" x14ac:dyDescent="0.15">
      <c r="A92" s="20" t="str">
        <f t="shared" si="11"/>
        <v>22_3-4/348&lt;lv44&gt;s3</v>
      </c>
      <c r="B92" s="16">
        <f t="shared" si="13"/>
        <v>22</v>
      </c>
      <c r="C92" s="16">
        <f t="shared" si="13"/>
        <v>3</v>
      </c>
      <c r="D92" s="16">
        <f t="shared" si="13"/>
        <v>4</v>
      </c>
      <c r="E92" s="16">
        <f t="shared" si="13"/>
        <v>348</v>
      </c>
      <c r="F92" s="16">
        <f t="shared" si="13"/>
        <v>44</v>
      </c>
      <c r="G92" s="16">
        <f t="shared" si="13"/>
        <v>1</v>
      </c>
      <c r="H92" s="16">
        <f t="shared" si="13"/>
        <v>1</v>
      </c>
      <c r="I92" s="16">
        <f t="shared" si="13"/>
        <v>0</v>
      </c>
      <c r="J92" s="16">
        <f t="shared" si="13"/>
        <v>348</v>
      </c>
      <c r="K92" s="16">
        <f t="shared" si="13"/>
        <v>0</v>
      </c>
      <c r="L92" s="16">
        <f t="shared" si="13"/>
        <v>100</v>
      </c>
      <c r="M92" s="16">
        <f t="shared" si="13"/>
        <v>0</v>
      </c>
      <c r="N92" s="16">
        <f t="shared" si="13"/>
        <v>3</v>
      </c>
      <c r="O92" s="16">
        <f t="shared" si="13"/>
        <v>348</v>
      </c>
      <c r="P92" s="16">
        <f t="shared" si="13"/>
        <v>1</v>
      </c>
      <c r="Q92" s="16">
        <f t="shared" si="13"/>
        <v>2</v>
      </c>
      <c r="R92" s="16">
        <f t="shared" si="12"/>
        <v>24</v>
      </c>
      <c r="S92" s="16">
        <f t="shared" si="12"/>
        <v>0</v>
      </c>
      <c r="T92" s="16">
        <f t="shared" si="12"/>
        <v>0</v>
      </c>
      <c r="U92" s="16">
        <f t="shared" si="12"/>
        <v>0</v>
      </c>
      <c r="V92" s="16">
        <f t="shared" si="12"/>
        <v>0</v>
      </c>
      <c r="W92" s="16">
        <f t="shared" si="12"/>
        <v>1</v>
      </c>
      <c r="X92" s="16" t="str">
        <f t="shared" si="9"/>
        <v>null</v>
      </c>
    </row>
    <row r="93" spans="1:24" x14ac:dyDescent="0.15">
      <c r="A93" s="20" t="str">
        <f t="shared" si="11"/>
        <v>22_3-5/185&lt;lv49&gt;s3</v>
      </c>
      <c r="B93" s="16">
        <f t="shared" si="13"/>
        <v>22</v>
      </c>
      <c r="C93" s="16">
        <f t="shared" si="13"/>
        <v>3</v>
      </c>
      <c r="D93" s="16">
        <f t="shared" si="13"/>
        <v>5</v>
      </c>
      <c r="E93" s="16">
        <f t="shared" si="13"/>
        <v>185</v>
      </c>
      <c r="F93" s="16">
        <f t="shared" si="13"/>
        <v>49</v>
      </c>
      <c r="G93" s="16">
        <f t="shared" si="13"/>
        <v>2</v>
      </c>
      <c r="H93" s="16">
        <f t="shared" si="13"/>
        <v>1.9</v>
      </c>
      <c r="I93" s="16">
        <f t="shared" si="13"/>
        <v>0</v>
      </c>
      <c r="J93" s="16">
        <f t="shared" si="13"/>
        <v>18502</v>
      </c>
      <c r="K93" s="16">
        <f t="shared" si="13"/>
        <v>1</v>
      </c>
      <c r="L93" s="16">
        <f t="shared" si="13"/>
        <v>100</v>
      </c>
      <c r="M93" s="16">
        <f t="shared" si="13"/>
        <v>1</v>
      </c>
      <c r="N93" s="16">
        <f t="shared" si="13"/>
        <v>3</v>
      </c>
      <c r="O93" s="16">
        <f t="shared" si="13"/>
        <v>184</v>
      </c>
      <c r="P93" s="16">
        <f t="shared" si="13"/>
        <v>1</v>
      </c>
      <c r="Q93" s="16">
        <f t="shared" si="13"/>
        <v>3</v>
      </c>
      <c r="R93" s="16">
        <f t="shared" si="12"/>
        <v>0</v>
      </c>
      <c r="S93" s="16">
        <f t="shared" si="12"/>
        <v>0</v>
      </c>
      <c r="T93" s="16">
        <f t="shared" si="12"/>
        <v>0</v>
      </c>
      <c r="U93" s="16">
        <f t="shared" si="12"/>
        <v>0</v>
      </c>
      <c r="V93" s="16">
        <f t="shared" si="12"/>
        <v>0</v>
      </c>
      <c r="W93" s="16">
        <f t="shared" si="12"/>
        <v>1</v>
      </c>
      <c r="X93" s="16" t="str">
        <f t="shared" si="9"/>
        <v>null</v>
      </c>
    </row>
    <row r="94" spans="1:24" x14ac:dyDescent="0.15">
      <c r="A94" s="20" t="str">
        <f t="shared" si="11"/>
        <v>22_4-1/9&lt;lv46&gt;s2</v>
      </c>
      <c r="B94" s="16">
        <f t="shared" si="13"/>
        <v>22</v>
      </c>
      <c r="C94" s="16">
        <f t="shared" si="13"/>
        <v>4</v>
      </c>
      <c r="D94" s="16">
        <f t="shared" si="13"/>
        <v>1</v>
      </c>
      <c r="E94" s="16">
        <f t="shared" si="13"/>
        <v>9</v>
      </c>
      <c r="F94" s="16">
        <f t="shared" si="13"/>
        <v>46</v>
      </c>
      <c r="G94" s="16">
        <f t="shared" si="13"/>
        <v>1</v>
      </c>
      <c r="H94" s="16">
        <f t="shared" si="13"/>
        <v>1</v>
      </c>
      <c r="I94" s="16">
        <f t="shared" si="13"/>
        <v>0</v>
      </c>
      <c r="J94" s="16">
        <f t="shared" si="13"/>
        <v>0</v>
      </c>
      <c r="K94" s="16">
        <f t="shared" si="13"/>
        <v>0</v>
      </c>
      <c r="L94" s="16">
        <f t="shared" si="13"/>
        <v>100</v>
      </c>
      <c r="M94" s="16">
        <f t="shared" si="13"/>
        <v>0</v>
      </c>
      <c r="N94" s="16">
        <f t="shared" si="13"/>
        <v>2</v>
      </c>
      <c r="O94" s="16">
        <f t="shared" si="13"/>
        <v>9</v>
      </c>
      <c r="P94" s="16">
        <f t="shared" si="13"/>
        <v>9</v>
      </c>
      <c r="Q94" s="16">
        <f t="shared" ref="Q94:W109" si="14">VLOOKUP($A94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94" s="16">
        <f t="shared" si="14"/>
        <v>15</v>
      </c>
      <c r="S94" s="16">
        <f t="shared" si="14"/>
        <v>0</v>
      </c>
      <c r="T94" s="16">
        <f t="shared" si="14"/>
        <v>0</v>
      </c>
      <c r="U94" s="16">
        <f t="shared" si="14"/>
        <v>0</v>
      </c>
      <c r="V94" s="16">
        <f t="shared" si="14"/>
        <v>0</v>
      </c>
      <c r="W94" s="16">
        <f t="shared" si="14"/>
        <v>1</v>
      </c>
      <c r="X94" s="16" t="str">
        <f t="shared" si="9"/>
        <v>null</v>
      </c>
    </row>
    <row r="95" spans="1:24" x14ac:dyDescent="0.15">
      <c r="A95" s="20" t="str">
        <f t="shared" si="11"/>
        <v>22_4-1/33&lt;lv46&gt;s2</v>
      </c>
      <c r="B95" s="16">
        <f t="shared" ref="B95:Q110" si="15">VLOOKUP($A95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95" s="16">
        <f t="shared" si="15"/>
        <v>4</v>
      </c>
      <c r="D95" s="16">
        <f t="shared" si="15"/>
        <v>1</v>
      </c>
      <c r="E95" s="16">
        <f t="shared" si="15"/>
        <v>33</v>
      </c>
      <c r="F95" s="16">
        <f t="shared" si="15"/>
        <v>46</v>
      </c>
      <c r="G95" s="16">
        <f t="shared" si="15"/>
        <v>1</v>
      </c>
      <c r="H95" s="16">
        <f t="shared" si="15"/>
        <v>1</v>
      </c>
      <c r="I95" s="16">
        <f t="shared" si="15"/>
        <v>0</v>
      </c>
      <c r="J95" s="16">
        <f t="shared" si="15"/>
        <v>33</v>
      </c>
      <c r="K95" s="16">
        <f t="shared" si="15"/>
        <v>0</v>
      </c>
      <c r="L95" s="16">
        <f t="shared" si="15"/>
        <v>100</v>
      </c>
      <c r="M95" s="16">
        <f t="shared" si="15"/>
        <v>0</v>
      </c>
      <c r="N95" s="16">
        <f t="shared" si="15"/>
        <v>2</v>
      </c>
      <c r="O95" s="16">
        <f t="shared" si="15"/>
        <v>33</v>
      </c>
      <c r="P95" s="16">
        <f t="shared" si="15"/>
        <v>5</v>
      </c>
      <c r="Q95" s="16">
        <f t="shared" si="15"/>
        <v>2</v>
      </c>
      <c r="R95" s="16">
        <f t="shared" si="14"/>
        <v>20</v>
      </c>
      <c r="S95" s="16">
        <f t="shared" si="14"/>
        <v>0</v>
      </c>
      <c r="T95" s="16">
        <f t="shared" si="14"/>
        <v>0</v>
      </c>
      <c r="U95" s="16">
        <f t="shared" si="14"/>
        <v>0</v>
      </c>
      <c r="V95" s="16">
        <f t="shared" si="14"/>
        <v>0</v>
      </c>
      <c r="W95" s="16">
        <f t="shared" si="14"/>
        <v>1</v>
      </c>
      <c r="X95" s="16" t="str">
        <f t="shared" si="9"/>
        <v>null</v>
      </c>
    </row>
    <row r="96" spans="1:24" x14ac:dyDescent="0.15">
      <c r="A96" s="20" t="str">
        <f t="shared" si="11"/>
        <v>22_4-1/57&lt;lv46&gt;s2</v>
      </c>
      <c r="B96" s="16">
        <f t="shared" si="15"/>
        <v>22</v>
      </c>
      <c r="C96" s="16">
        <f t="shared" si="15"/>
        <v>4</v>
      </c>
      <c r="D96" s="16">
        <f t="shared" si="15"/>
        <v>1</v>
      </c>
      <c r="E96" s="16">
        <f t="shared" si="15"/>
        <v>57</v>
      </c>
      <c r="F96" s="16">
        <f t="shared" si="15"/>
        <v>46</v>
      </c>
      <c r="G96" s="16">
        <f t="shared" si="15"/>
        <v>1</v>
      </c>
      <c r="H96" s="16">
        <f t="shared" si="15"/>
        <v>1</v>
      </c>
      <c r="I96" s="16">
        <f t="shared" si="15"/>
        <v>0</v>
      </c>
      <c r="J96" s="16">
        <f t="shared" si="15"/>
        <v>57</v>
      </c>
      <c r="K96" s="16">
        <f t="shared" si="15"/>
        <v>0</v>
      </c>
      <c r="L96" s="16">
        <f t="shared" si="15"/>
        <v>100</v>
      </c>
      <c r="M96" s="16">
        <f t="shared" si="15"/>
        <v>0</v>
      </c>
      <c r="N96" s="16">
        <f t="shared" si="15"/>
        <v>2</v>
      </c>
      <c r="O96" s="16">
        <f t="shared" si="15"/>
        <v>57</v>
      </c>
      <c r="P96" s="16">
        <f t="shared" si="15"/>
        <v>7</v>
      </c>
      <c r="Q96" s="16">
        <f t="shared" si="15"/>
        <v>2</v>
      </c>
      <c r="R96" s="16">
        <f t="shared" si="14"/>
        <v>20</v>
      </c>
      <c r="S96" s="16">
        <f t="shared" si="14"/>
        <v>0</v>
      </c>
      <c r="T96" s="16">
        <f t="shared" si="14"/>
        <v>0</v>
      </c>
      <c r="U96" s="16">
        <f t="shared" si="14"/>
        <v>0</v>
      </c>
      <c r="V96" s="16">
        <f t="shared" si="14"/>
        <v>0</v>
      </c>
      <c r="W96" s="16">
        <f t="shared" si="14"/>
        <v>1</v>
      </c>
      <c r="X96" s="16" t="str">
        <f t="shared" si="9"/>
        <v>null</v>
      </c>
    </row>
    <row r="97" spans="1:24" x14ac:dyDescent="0.15">
      <c r="A97" s="20" t="str">
        <f t="shared" si="11"/>
        <v>22_4-1/360&lt;lv46&gt;s3</v>
      </c>
      <c r="B97" s="16">
        <f t="shared" si="15"/>
        <v>22</v>
      </c>
      <c r="C97" s="16">
        <f t="shared" si="15"/>
        <v>4</v>
      </c>
      <c r="D97" s="16">
        <f t="shared" si="15"/>
        <v>1</v>
      </c>
      <c r="E97" s="16">
        <f t="shared" si="15"/>
        <v>360</v>
      </c>
      <c r="F97" s="16">
        <f t="shared" si="15"/>
        <v>46</v>
      </c>
      <c r="G97" s="16">
        <f t="shared" si="15"/>
        <v>1</v>
      </c>
      <c r="H97" s="16">
        <f t="shared" si="15"/>
        <v>1</v>
      </c>
      <c r="I97" s="16">
        <f t="shared" si="15"/>
        <v>0</v>
      </c>
      <c r="J97" s="16">
        <f t="shared" si="15"/>
        <v>360</v>
      </c>
      <c r="K97" s="16">
        <f t="shared" si="15"/>
        <v>0</v>
      </c>
      <c r="L97" s="16">
        <f t="shared" si="15"/>
        <v>100</v>
      </c>
      <c r="M97" s="16">
        <f t="shared" si="15"/>
        <v>0</v>
      </c>
      <c r="N97" s="16">
        <f t="shared" si="15"/>
        <v>3</v>
      </c>
      <c r="O97" s="16">
        <f t="shared" si="15"/>
        <v>360</v>
      </c>
      <c r="P97" s="16">
        <f t="shared" si="15"/>
        <v>7</v>
      </c>
      <c r="Q97" s="16">
        <f t="shared" si="15"/>
        <v>2</v>
      </c>
      <c r="R97" s="16">
        <f t="shared" si="14"/>
        <v>20</v>
      </c>
      <c r="S97" s="16">
        <f t="shared" si="14"/>
        <v>0</v>
      </c>
      <c r="T97" s="16">
        <f t="shared" si="14"/>
        <v>0</v>
      </c>
      <c r="U97" s="16">
        <f t="shared" si="14"/>
        <v>0</v>
      </c>
      <c r="V97" s="16">
        <f t="shared" si="14"/>
        <v>0</v>
      </c>
      <c r="W97" s="16">
        <f t="shared" si="14"/>
        <v>1</v>
      </c>
      <c r="X97" s="16" t="str">
        <f t="shared" si="9"/>
        <v>null</v>
      </c>
    </row>
    <row r="98" spans="1:24" x14ac:dyDescent="0.15">
      <c r="A98" s="20" t="str">
        <f t="shared" si="11"/>
        <v>22_4-1/348&lt;lv46&gt;s3</v>
      </c>
      <c r="B98" s="16">
        <f t="shared" si="15"/>
        <v>22</v>
      </c>
      <c r="C98" s="16">
        <f t="shared" si="15"/>
        <v>4</v>
      </c>
      <c r="D98" s="16">
        <f t="shared" si="15"/>
        <v>1</v>
      </c>
      <c r="E98" s="16">
        <f t="shared" si="15"/>
        <v>348</v>
      </c>
      <c r="F98" s="16">
        <f t="shared" si="15"/>
        <v>46</v>
      </c>
      <c r="G98" s="16">
        <f t="shared" si="15"/>
        <v>1</v>
      </c>
      <c r="H98" s="16">
        <f t="shared" si="15"/>
        <v>1</v>
      </c>
      <c r="I98" s="16">
        <f t="shared" si="15"/>
        <v>0</v>
      </c>
      <c r="J98" s="16">
        <f t="shared" si="15"/>
        <v>348</v>
      </c>
      <c r="K98" s="16">
        <f t="shared" si="15"/>
        <v>0</v>
      </c>
      <c r="L98" s="16">
        <f t="shared" si="15"/>
        <v>100</v>
      </c>
      <c r="M98" s="16">
        <f t="shared" si="15"/>
        <v>0</v>
      </c>
      <c r="N98" s="16">
        <f t="shared" si="15"/>
        <v>3</v>
      </c>
      <c r="O98" s="16">
        <f t="shared" si="15"/>
        <v>348</v>
      </c>
      <c r="P98" s="16">
        <f t="shared" si="15"/>
        <v>1</v>
      </c>
      <c r="Q98" s="16">
        <f t="shared" si="15"/>
        <v>2</v>
      </c>
      <c r="R98" s="16">
        <f t="shared" si="14"/>
        <v>30</v>
      </c>
      <c r="S98" s="16">
        <f t="shared" si="14"/>
        <v>0</v>
      </c>
      <c r="T98" s="16">
        <f t="shared" si="14"/>
        <v>0</v>
      </c>
      <c r="U98" s="16">
        <f t="shared" si="14"/>
        <v>0</v>
      </c>
      <c r="V98" s="16">
        <f t="shared" si="14"/>
        <v>0</v>
      </c>
      <c r="W98" s="16">
        <f t="shared" si="14"/>
        <v>1</v>
      </c>
      <c r="X98" s="16" t="str">
        <f t="shared" si="9"/>
        <v>null</v>
      </c>
    </row>
    <row r="99" spans="1:24" x14ac:dyDescent="0.15">
      <c r="A99" s="20" t="str">
        <f t="shared" si="11"/>
        <v>22_4-2/25&lt;lv46&gt;s3</v>
      </c>
      <c r="B99" s="16">
        <f t="shared" si="15"/>
        <v>22</v>
      </c>
      <c r="C99" s="16">
        <f t="shared" si="15"/>
        <v>4</v>
      </c>
      <c r="D99" s="16">
        <f t="shared" si="15"/>
        <v>2</v>
      </c>
      <c r="E99" s="16">
        <f t="shared" si="15"/>
        <v>25</v>
      </c>
      <c r="F99" s="16">
        <f t="shared" si="15"/>
        <v>46</v>
      </c>
      <c r="G99" s="16">
        <f t="shared" si="15"/>
        <v>1</v>
      </c>
      <c r="H99" s="16">
        <f t="shared" si="15"/>
        <v>1</v>
      </c>
      <c r="I99" s="16">
        <f t="shared" si="15"/>
        <v>0</v>
      </c>
      <c r="J99" s="16">
        <f t="shared" si="15"/>
        <v>0</v>
      </c>
      <c r="K99" s="16">
        <f t="shared" si="15"/>
        <v>0</v>
      </c>
      <c r="L99" s="16">
        <f t="shared" si="15"/>
        <v>100</v>
      </c>
      <c r="M99" s="16">
        <f t="shared" si="15"/>
        <v>0</v>
      </c>
      <c r="N99" s="16">
        <f t="shared" si="15"/>
        <v>3</v>
      </c>
      <c r="O99" s="16">
        <f t="shared" si="15"/>
        <v>25</v>
      </c>
      <c r="P99" s="16">
        <f t="shared" si="15"/>
        <v>7</v>
      </c>
      <c r="Q99" s="16">
        <f t="shared" si="15"/>
        <v>1</v>
      </c>
      <c r="R99" s="16">
        <f t="shared" si="14"/>
        <v>15</v>
      </c>
      <c r="S99" s="16">
        <f t="shared" si="14"/>
        <v>0</v>
      </c>
      <c r="T99" s="16">
        <f t="shared" si="14"/>
        <v>0</v>
      </c>
      <c r="U99" s="16">
        <f t="shared" si="14"/>
        <v>0</v>
      </c>
      <c r="V99" s="16">
        <f t="shared" si="14"/>
        <v>0</v>
      </c>
      <c r="W99" s="16">
        <f t="shared" si="14"/>
        <v>1</v>
      </c>
      <c r="X99" s="16" t="str">
        <f t="shared" si="9"/>
        <v>null</v>
      </c>
    </row>
    <row r="100" spans="1:24" x14ac:dyDescent="0.15">
      <c r="A100" s="20" t="str">
        <f t="shared" si="11"/>
        <v>22_4-2/37&lt;lv46&gt;s3</v>
      </c>
      <c r="B100" s="16">
        <f t="shared" si="15"/>
        <v>22</v>
      </c>
      <c r="C100" s="16">
        <f t="shared" si="15"/>
        <v>4</v>
      </c>
      <c r="D100" s="16">
        <f t="shared" si="15"/>
        <v>2</v>
      </c>
      <c r="E100" s="16">
        <f t="shared" si="15"/>
        <v>37</v>
      </c>
      <c r="F100" s="16">
        <f t="shared" si="15"/>
        <v>46</v>
      </c>
      <c r="G100" s="16">
        <f t="shared" si="15"/>
        <v>1</v>
      </c>
      <c r="H100" s="16">
        <f t="shared" si="15"/>
        <v>1</v>
      </c>
      <c r="I100" s="16">
        <f t="shared" si="15"/>
        <v>0</v>
      </c>
      <c r="J100" s="16">
        <f t="shared" si="15"/>
        <v>37</v>
      </c>
      <c r="K100" s="16">
        <f t="shared" si="15"/>
        <v>0</v>
      </c>
      <c r="L100" s="16">
        <f t="shared" si="15"/>
        <v>100</v>
      </c>
      <c r="M100" s="16">
        <f t="shared" si="15"/>
        <v>0</v>
      </c>
      <c r="N100" s="16">
        <f t="shared" si="15"/>
        <v>3</v>
      </c>
      <c r="O100" s="16">
        <f t="shared" si="15"/>
        <v>37</v>
      </c>
      <c r="P100" s="16">
        <f t="shared" si="15"/>
        <v>5</v>
      </c>
      <c r="Q100" s="16">
        <f t="shared" si="15"/>
        <v>2</v>
      </c>
      <c r="R100" s="16">
        <f t="shared" si="14"/>
        <v>15</v>
      </c>
      <c r="S100" s="16">
        <f t="shared" si="14"/>
        <v>0</v>
      </c>
      <c r="T100" s="16">
        <f t="shared" si="14"/>
        <v>0</v>
      </c>
      <c r="U100" s="16">
        <f t="shared" si="14"/>
        <v>0</v>
      </c>
      <c r="V100" s="16">
        <f t="shared" si="14"/>
        <v>0</v>
      </c>
      <c r="W100" s="16">
        <f t="shared" si="14"/>
        <v>1</v>
      </c>
      <c r="X100" s="16" t="str">
        <f t="shared" si="9"/>
        <v>null</v>
      </c>
    </row>
    <row r="101" spans="1:24" x14ac:dyDescent="0.15">
      <c r="A101" s="20" t="str">
        <f t="shared" si="11"/>
        <v>22_4-2/45&lt;lv46&gt;s3</v>
      </c>
      <c r="B101" s="16">
        <f t="shared" si="15"/>
        <v>22</v>
      </c>
      <c r="C101" s="16">
        <f t="shared" si="15"/>
        <v>4</v>
      </c>
      <c r="D101" s="16">
        <f t="shared" si="15"/>
        <v>2</v>
      </c>
      <c r="E101" s="16">
        <f t="shared" si="15"/>
        <v>45</v>
      </c>
      <c r="F101" s="16">
        <f t="shared" si="15"/>
        <v>46</v>
      </c>
      <c r="G101" s="16">
        <f t="shared" si="15"/>
        <v>1</v>
      </c>
      <c r="H101" s="16">
        <f t="shared" si="15"/>
        <v>1</v>
      </c>
      <c r="I101" s="16">
        <f t="shared" si="15"/>
        <v>0</v>
      </c>
      <c r="J101" s="16">
        <f t="shared" si="15"/>
        <v>0</v>
      </c>
      <c r="K101" s="16">
        <f t="shared" si="15"/>
        <v>0</v>
      </c>
      <c r="L101" s="16">
        <f t="shared" si="15"/>
        <v>100</v>
      </c>
      <c r="M101" s="16">
        <f t="shared" si="15"/>
        <v>0</v>
      </c>
      <c r="N101" s="16">
        <f t="shared" si="15"/>
        <v>3</v>
      </c>
      <c r="O101" s="16">
        <f t="shared" si="15"/>
        <v>45</v>
      </c>
      <c r="P101" s="16">
        <f t="shared" si="15"/>
        <v>7</v>
      </c>
      <c r="Q101" s="16">
        <f t="shared" si="15"/>
        <v>2</v>
      </c>
      <c r="R101" s="16">
        <f t="shared" si="14"/>
        <v>15</v>
      </c>
      <c r="S101" s="16">
        <f t="shared" si="14"/>
        <v>0</v>
      </c>
      <c r="T101" s="16">
        <f t="shared" si="14"/>
        <v>0</v>
      </c>
      <c r="U101" s="16">
        <f t="shared" si="14"/>
        <v>0</v>
      </c>
      <c r="V101" s="16">
        <f t="shared" si="14"/>
        <v>0</v>
      </c>
      <c r="W101" s="16">
        <f t="shared" si="14"/>
        <v>1</v>
      </c>
      <c r="X101" s="16" t="str">
        <f t="shared" si="9"/>
        <v>null</v>
      </c>
    </row>
    <row r="102" spans="1:24" x14ac:dyDescent="0.15">
      <c r="A102" s="20" t="str">
        <f t="shared" si="11"/>
        <v>22_4-2/61&lt;lv46&gt;s2</v>
      </c>
      <c r="B102" s="16">
        <f t="shared" si="15"/>
        <v>22</v>
      </c>
      <c r="C102" s="16">
        <f t="shared" si="15"/>
        <v>4</v>
      </c>
      <c r="D102" s="16">
        <f t="shared" si="15"/>
        <v>2</v>
      </c>
      <c r="E102" s="16">
        <f t="shared" si="15"/>
        <v>61</v>
      </c>
      <c r="F102" s="16">
        <f t="shared" si="15"/>
        <v>46</v>
      </c>
      <c r="G102" s="16">
        <f t="shared" si="15"/>
        <v>1</v>
      </c>
      <c r="H102" s="16">
        <f t="shared" si="15"/>
        <v>1</v>
      </c>
      <c r="I102" s="16">
        <f t="shared" si="15"/>
        <v>0</v>
      </c>
      <c r="J102" s="16">
        <f t="shared" si="15"/>
        <v>61</v>
      </c>
      <c r="K102" s="16">
        <f t="shared" si="15"/>
        <v>0</v>
      </c>
      <c r="L102" s="16">
        <f t="shared" si="15"/>
        <v>100</v>
      </c>
      <c r="M102" s="16">
        <f t="shared" si="15"/>
        <v>0</v>
      </c>
      <c r="N102" s="16">
        <f t="shared" si="15"/>
        <v>2</v>
      </c>
      <c r="O102" s="16">
        <f t="shared" si="15"/>
        <v>61</v>
      </c>
      <c r="P102" s="16">
        <f t="shared" si="15"/>
        <v>7</v>
      </c>
      <c r="Q102" s="16">
        <f t="shared" si="15"/>
        <v>2</v>
      </c>
      <c r="R102" s="16">
        <f t="shared" si="14"/>
        <v>15</v>
      </c>
      <c r="S102" s="16">
        <f t="shared" si="14"/>
        <v>0</v>
      </c>
      <c r="T102" s="16">
        <f t="shared" si="14"/>
        <v>0</v>
      </c>
      <c r="U102" s="16">
        <f t="shared" si="14"/>
        <v>0</v>
      </c>
      <c r="V102" s="16">
        <f t="shared" si="14"/>
        <v>0</v>
      </c>
      <c r="W102" s="16">
        <f t="shared" si="14"/>
        <v>1</v>
      </c>
      <c r="X102" s="16" t="str">
        <f t="shared" si="9"/>
        <v>null</v>
      </c>
    </row>
    <row r="103" spans="1:24" x14ac:dyDescent="0.15">
      <c r="A103" s="20" t="str">
        <f t="shared" si="11"/>
        <v>22_4-2/364&lt;lv46&gt;s3</v>
      </c>
      <c r="B103" s="16">
        <f t="shared" si="15"/>
        <v>22</v>
      </c>
      <c r="C103" s="16">
        <f t="shared" si="15"/>
        <v>4</v>
      </c>
      <c r="D103" s="16">
        <f t="shared" si="15"/>
        <v>2</v>
      </c>
      <c r="E103" s="16">
        <f t="shared" si="15"/>
        <v>364</v>
      </c>
      <c r="F103" s="16">
        <f t="shared" si="15"/>
        <v>46</v>
      </c>
      <c r="G103" s="16">
        <f t="shared" si="15"/>
        <v>1</v>
      </c>
      <c r="H103" s="16">
        <f t="shared" si="15"/>
        <v>1</v>
      </c>
      <c r="I103" s="16">
        <f t="shared" si="15"/>
        <v>0</v>
      </c>
      <c r="J103" s="16">
        <f t="shared" si="15"/>
        <v>364</v>
      </c>
      <c r="K103" s="16">
        <f t="shared" si="15"/>
        <v>0</v>
      </c>
      <c r="L103" s="16">
        <f t="shared" si="15"/>
        <v>100</v>
      </c>
      <c r="M103" s="16">
        <f t="shared" si="15"/>
        <v>0</v>
      </c>
      <c r="N103" s="16">
        <f t="shared" si="15"/>
        <v>3</v>
      </c>
      <c r="O103" s="16">
        <f t="shared" si="15"/>
        <v>364</v>
      </c>
      <c r="P103" s="16">
        <f t="shared" si="15"/>
        <v>7</v>
      </c>
      <c r="Q103" s="16">
        <f t="shared" si="15"/>
        <v>2</v>
      </c>
      <c r="R103" s="16">
        <f t="shared" si="14"/>
        <v>20</v>
      </c>
      <c r="S103" s="16">
        <f t="shared" si="14"/>
        <v>0</v>
      </c>
      <c r="T103" s="16">
        <f t="shared" si="14"/>
        <v>0</v>
      </c>
      <c r="U103" s="16">
        <f t="shared" si="14"/>
        <v>0</v>
      </c>
      <c r="V103" s="16">
        <f t="shared" si="14"/>
        <v>0</v>
      </c>
      <c r="W103" s="16">
        <f t="shared" si="14"/>
        <v>1</v>
      </c>
      <c r="X103" s="16" t="str">
        <f t="shared" si="9"/>
        <v>null</v>
      </c>
    </row>
    <row r="104" spans="1:24" x14ac:dyDescent="0.15">
      <c r="A104" s="20" t="str">
        <f t="shared" si="11"/>
        <v>22_4-2/352&lt;lv47&gt;s3</v>
      </c>
      <c r="B104" s="16">
        <f t="shared" si="15"/>
        <v>22</v>
      </c>
      <c r="C104" s="16">
        <f t="shared" si="15"/>
        <v>4</v>
      </c>
      <c r="D104" s="16">
        <f t="shared" si="15"/>
        <v>2</v>
      </c>
      <c r="E104" s="16">
        <f t="shared" si="15"/>
        <v>352</v>
      </c>
      <c r="F104" s="16">
        <f t="shared" si="15"/>
        <v>47</v>
      </c>
      <c r="G104" s="16">
        <f t="shared" si="15"/>
        <v>1</v>
      </c>
      <c r="H104" s="16">
        <f t="shared" si="15"/>
        <v>1</v>
      </c>
      <c r="I104" s="16">
        <f t="shared" si="15"/>
        <v>0</v>
      </c>
      <c r="J104" s="16">
        <f t="shared" si="15"/>
        <v>352</v>
      </c>
      <c r="K104" s="16">
        <f t="shared" si="15"/>
        <v>0</v>
      </c>
      <c r="L104" s="16">
        <f t="shared" si="15"/>
        <v>100</v>
      </c>
      <c r="M104" s="16">
        <f t="shared" si="15"/>
        <v>0</v>
      </c>
      <c r="N104" s="16">
        <f t="shared" si="15"/>
        <v>3</v>
      </c>
      <c r="O104" s="16">
        <f t="shared" si="15"/>
        <v>352</v>
      </c>
      <c r="P104" s="16">
        <f t="shared" si="15"/>
        <v>1</v>
      </c>
      <c r="Q104" s="16">
        <f t="shared" si="15"/>
        <v>2</v>
      </c>
      <c r="R104" s="16">
        <f t="shared" si="14"/>
        <v>30</v>
      </c>
      <c r="S104" s="16">
        <f t="shared" si="14"/>
        <v>0</v>
      </c>
      <c r="T104" s="16">
        <f t="shared" si="14"/>
        <v>0</v>
      </c>
      <c r="U104" s="16">
        <f t="shared" si="14"/>
        <v>0</v>
      </c>
      <c r="V104" s="16">
        <f t="shared" si="14"/>
        <v>0</v>
      </c>
      <c r="W104" s="16">
        <f t="shared" si="14"/>
        <v>1</v>
      </c>
      <c r="X104" s="16" t="str">
        <f t="shared" si="9"/>
        <v>null</v>
      </c>
    </row>
    <row r="105" spans="1:24" x14ac:dyDescent="0.15">
      <c r="A105" s="20" t="str">
        <f t="shared" si="11"/>
        <v>22_4-3/126&lt;lv48&gt;s1</v>
      </c>
      <c r="B105" s="16">
        <f t="shared" si="15"/>
        <v>22</v>
      </c>
      <c r="C105" s="16">
        <f t="shared" si="15"/>
        <v>4</v>
      </c>
      <c r="D105" s="16">
        <f t="shared" si="15"/>
        <v>3</v>
      </c>
      <c r="E105" s="16">
        <f t="shared" si="15"/>
        <v>126</v>
      </c>
      <c r="F105" s="16">
        <f t="shared" si="15"/>
        <v>48</v>
      </c>
      <c r="G105" s="16">
        <f t="shared" si="15"/>
        <v>1</v>
      </c>
      <c r="H105" s="16">
        <f t="shared" si="15"/>
        <v>1.3</v>
      </c>
      <c r="I105" s="16">
        <f t="shared" si="15"/>
        <v>0</v>
      </c>
      <c r="J105" s="16">
        <f t="shared" si="15"/>
        <v>126</v>
      </c>
      <c r="K105" s="16">
        <f t="shared" si="15"/>
        <v>1</v>
      </c>
      <c r="L105" s="16">
        <f t="shared" si="15"/>
        <v>100</v>
      </c>
      <c r="M105" s="16">
        <f t="shared" si="15"/>
        <v>1</v>
      </c>
      <c r="N105" s="16">
        <f t="shared" si="15"/>
        <v>1</v>
      </c>
      <c r="O105" s="16">
        <f t="shared" si="15"/>
        <v>126</v>
      </c>
      <c r="P105" s="16">
        <f t="shared" si="15"/>
        <v>1</v>
      </c>
      <c r="Q105" s="16">
        <f t="shared" si="15"/>
        <v>3</v>
      </c>
      <c r="R105" s="16">
        <f t="shared" si="14"/>
        <v>0</v>
      </c>
      <c r="S105" s="16">
        <f t="shared" si="14"/>
        <v>0</v>
      </c>
      <c r="T105" s="16">
        <f t="shared" si="14"/>
        <v>0</v>
      </c>
      <c r="U105" s="16">
        <f t="shared" si="14"/>
        <v>0</v>
      </c>
      <c r="V105" s="16">
        <f t="shared" si="14"/>
        <v>0</v>
      </c>
      <c r="W105" s="16">
        <f t="shared" si="14"/>
        <v>1</v>
      </c>
      <c r="X105" s="16" t="str">
        <f t="shared" si="9"/>
        <v>null</v>
      </c>
    </row>
    <row r="106" spans="1:24" x14ac:dyDescent="0.15">
      <c r="A106" s="20" t="str">
        <f t="shared" si="11"/>
        <v>22_4-3/33&lt;lv48&gt;s2</v>
      </c>
      <c r="B106" s="16">
        <f t="shared" si="15"/>
        <v>22</v>
      </c>
      <c r="C106" s="16">
        <f t="shared" si="15"/>
        <v>4</v>
      </c>
      <c r="D106" s="16">
        <f t="shared" si="15"/>
        <v>3</v>
      </c>
      <c r="E106" s="16">
        <f t="shared" si="15"/>
        <v>33</v>
      </c>
      <c r="F106" s="16">
        <f t="shared" si="15"/>
        <v>48</v>
      </c>
      <c r="G106" s="16">
        <f t="shared" si="15"/>
        <v>1</v>
      </c>
      <c r="H106" s="16">
        <f t="shared" si="15"/>
        <v>1</v>
      </c>
      <c r="I106" s="16">
        <f t="shared" si="15"/>
        <v>0</v>
      </c>
      <c r="J106" s="16">
        <f t="shared" si="15"/>
        <v>33</v>
      </c>
      <c r="K106" s="16">
        <f t="shared" si="15"/>
        <v>2</v>
      </c>
      <c r="L106" s="16">
        <f t="shared" si="15"/>
        <v>100</v>
      </c>
      <c r="M106" s="16">
        <f t="shared" si="15"/>
        <v>0</v>
      </c>
      <c r="N106" s="16">
        <f t="shared" si="15"/>
        <v>2</v>
      </c>
      <c r="O106" s="16">
        <f t="shared" si="15"/>
        <v>33</v>
      </c>
      <c r="P106" s="16">
        <f t="shared" si="15"/>
        <v>5</v>
      </c>
      <c r="Q106" s="16">
        <f t="shared" si="15"/>
        <v>2</v>
      </c>
      <c r="R106" s="16">
        <f t="shared" si="14"/>
        <v>0</v>
      </c>
      <c r="S106" s="16">
        <f t="shared" si="14"/>
        <v>0</v>
      </c>
      <c r="T106" s="16">
        <f t="shared" si="14"/>
        <v>0</v>
      </c>
      <c r="U106" s="16">
        <f t="shared" si="14"/>
        <v>0</v>
      </c>
      <c r="V106" s="16">
        <f t="shared" si="14"/>
        <v>0</v>
      </c>
      <c r="W106" s="16">
        <f t="shared" si="14"/>
        <v>1</v>
      </c>
      <c r="X106" s="16" t="str">
        <f t="shared" si="9"/>
        <v>null</v>
      </c>
    </row>
    <row r="107" spans="1:24" x14ac:dyDescent="0.15">
      <c r="A107" s="20" t="str">
        <f t="shared" si="11"/>
        <v>22_4-4/33&lt;lv46&gt;s2</v>
      </c>
      <c r="B107" s="16">
        <f t="shared" si="15"/>
        <v>22</v>
      </c>
      <c r="C107" s="16">
        <f t="shared" si="15"/>
        <v>4</v>
      </c>
      <c r="D107" s="16">
        <f t="shared" si="15"/>
        <v>4</v>
      </c>
      <c r="E107" s="16">
        <f t="shared" si="15"/>
        <v>33</v>
      </c>
      <c r="F107" s="16">
        <f t="shared" si="15"/>
        <v>46</v>
      </c>
      <c r="G107" s="16">
        <f t="shared" si="15"/>
        <v>1</v>
      </c>
      <c r="H107" s="16">
        <f t="shared" si="15"/>
        <v>1</v>
      </c>
      <c r="I107" s="16">
        <f t="shared" si="15"/>
        <v>0</v>
      </c>
      <c r="J107" s="16">
        <f t="shared" si="15"/>
        <v>33</v>
      </c>
      <c r="K107" s="16">
        <f t="shared" si="15"/>
        <v>0</v>
      </c>
      <c r="L107" s="16">
        <f t="shared" si="15"/>
        <v>100</v>
      </c>
      <c r="M107" s="16">
        <f t="shared" si="15"/>
        <v>0</v>
      </c>
      <c r="N107" s="16">
        <f t="shared" si="15"/>
        <v>2</v>
      </c>
      <c r="O107" s="16">
        <f t="shared" si="15"/>
        <v>33</v>
      </c>
      <c r="P107" s="16">
        <f t="shared" si="15"/>
        <v>5</v>
      </c>
      <c r="Q107" s="16">
        <f t="shared" si="15"/>
        <v>2</v>
      </c>
      <c r="R107" s="16">
        <f t="shared" si="14"/>
        <v>20</v>
      </c>
      <c r="S107" s="16">
        <f t="shared" si="14"/>
        <v>0</v>
      </c>
      <c r="T107" s="16">
        <f t="shared" si="14"/>
        <v>0</v>
      </c>
      <c r="U107" s="16">
        <f t="shared" si="14"/>
        <v>0</v>
      </c>
      <c r="V107" s="16">
        <f t="shared" si="14"/>
        <v>0</v>
      </c>
      <c r="W107" s="16">
        <f t="shared" si="14"/>
        <v>1</v>
      </c>
      <c r="X107" s="16" t="str">
        <f t="shared" si="9"/>
        <v>null</v>
      </c>
    </row>
    <row r="108" spans="1:24" x14ac:dyDescent="0.15">
      <c r="A108" s="20" t="str">
        <f t="shared" si="11"/>
        <v>22_4-4/37&lt;lv46&gt;s3</v>
      </c>
      <c r="B108" s="16">
        <f t="shared" si="15"/>
        <v>22</v>
      </c>
      <c r="C108" s="16">
        <f t="shared" si="15"/>
        <v>4</v>
      </c>
      <c r="D108" s="16">
        <f t="shared" si="15"/>
        <v>4</v>
      </c>
      <c r="E108" s="16">
        <f t="shared" si="15"/>
        <v>37</v>
      </c>
      <c r="F108" s="16">
        <f t="shared" si="15"/>
        <v>46</v>
      </c>
      <c r="G108" s="16">
        <f t="shared" si="15"/>
        <v>1</v>
      </c>
      <c r="H108" s="16">
        <f t="shared" si="15"/>
        <v>1</v>
      </c>
      <c r="I108" s="16">
        <f t="shared" si="15"/>
        <v>0</v>
      </c>
      <c r="J108" s="16">
        <f t="shared" si="15"/>
        <v>37</v>
      </c>
      <c r="K108" s="16">
        <f t="shared" si="15"/>
        <v>0</v>
      </c>
      <c r="L108" s="16">
        <f t="shared" si="15"/>
        <v>100</v>
      </c>
      <c r="M108" s="16">
        <f t="shared" si="15"/>
        <v>0</v>
      </c>
      <c r="N108" s="16">
        <f t="shared" si="15"/>
        <v>3</v>
      </c>
      <c r="O108" s="16">
        <f t="shared" si="15"/>
        <v>37</v>
      </c>
      <c r="P108" s="16">
        <f t="shared" si="15"/>
        <v>5</v>
      </c>
      <c r="Q108" s="16">
        <f t="shared" si="15"/>
        <v>2</v>
      </c>
      <c r="R108" s="16">
        <f t="shared" si="14"/>
        <v>20</v>
      </c>
      <c r="S108" s="16">
        <f t="shared" si="14"/>
        <v>0</v>
      </c>
      <c r="T108" s="16">
        <f t="shared" si="14"/>
        <v>0</v>
      </c>
      <c r="U108" s="16">
        <f t="shared" si="14"/>
        <v>0</v>
      </c>
      <c r="V108" s="16">
        <f t="shared" si="14"/>
        <v>0</v>
      </c>
      <c r="W108" s="16">
        <f t="shared" si="14"/>
        <v>1</v>
      </c>
      <c r="X108" s="16" t="str">
        <f t="shared" si="9"/>
        <v>null</v>
      </c>
    </row>
    <row r="109" spans="1:24" x14ac:dyDescent="0.15">
      <c r="A109" s="20" t="str">
        <f t="shared" si="11"/>
        <v>22_4-4/45&lt;lv46&gt;s3</v>
      </c>
      <c r="B109" s="16">
        <f t="shared" si="15"/>
        <v>22</v>
      </c>
      <c r="C109" s="16">
        <f t="shared" si="15"/>
        <v>4</v>
      </c>
      <c r="D109" s="16">
        <f t="shared" si="15"/>
        <v>4</v>
      </c>
      <c r="E109" s="16">
        <f t="shared" si="15"/>
        <v>45</v>
      </c>
      <c r="F109" s="16">
        <f t="shared" si="15"/>
        <v>46</v>
      </c>
      <c r="G109" s="16">
        <f t="shared" si="15"/>
        <v>1</v>
      </c>
      <c r="H109" s="16">
        <f t="shared" si="15"/>
        <v>1</v>
      </c>
      <c r="I109" s="16">
        <f t="shared" si="15"/>
        <v>0</v>
      </c>
      <c r="J109" s="16">
        <f t="shared" si="15"/>
        <v>0</v>
      </c>
      <c r="K109" s="16">
        <f t="shared" si="15"/>
        <v>0</v>
      </c>
      <c r="L109" s="16">
        <f t="shared" si="15"/>
        <v>100</v>
      </c>
      <c r="M109" s="16">
        <f t="shared" si="15"/>
        <v>0</v>
      </c>
      <c r="N109" s="16">
        <f t="shared" si="15"/>
        <v>3</v>
      </c>
      <c r="O109" s="16">
        <f t="shared" si="15"/>
        <v>45</v>
      </c>
      <c r="P109" s="16">
        <f t="shared" si="15"/>
        <v>7</v>
      </c>
      <c r="Q109" s="16">
        <f t="shared" si="15"/>
        <v>2</v>
      </c>
      <c r="R109" s="16">
        <f t="shared" si="14"/>
        <v>20</v>
      </c>
      <c r="S109" s="16">
        <f t="shared" si="14"/>
        <v>0</v>
      </c>
      <c r="T109" s="16">
        <f t="shared" si="14"/>
        <v>0</v>
      </c>
      <c r="U109" s="16">
        <f t="shared" si="14"/>
        <v>0</v>
      </c>
      <c r="V109" s="16">
        <f t="shared" si="14"/>
        <v>0</v>
      </c>
      <c r="W109" s="16">
        <f t="shared" si="14"/>
        <v>1</v>
      </c>
      <c r="X109" s="16" t="str">
        <f t="shared" si="9"/>
        <v>null</v>
      </c>
    </row>
    <row r="110" spans="1:24" x14ac:dyDescent="0.15">
      <c r="A110" s="20" t="str">
        <f t="shared" si="11"/>
        <v>22_4-4/57&lt;lv46&gt;s2</v>
      </c>
      <c r="B110" s="16">
        <f t="shared" si="15"/>
        <v>22</v>
      </c>
      <c r="C110" s="16">
        <f t="shared" si="15"/>
        <v>4</v>
      </c>
      <c r="D110" s="16">
        <f t="shared" si="15"/>
        <v>4</v>
      </c>
      <c r="E110" s="16">
        <f t="shared" si="15"/>
        <v>57</v>
      </c>
      <c r="F110" s="16">
        <f t="shared" si="15"/>
        <v>46</v>
      </c>
      <c r="G110" s="16">
        <f t="shared" si="15"/>
        <v>1</v>
      </c>
      <c r="H110" s="16">
        <f t="shared" si="15"/>
        <v>1</v>
      </c>
      <c r="I110" s="16">
        <f t="shared" si="15"/>
        <v>0</v>
      </c>
      <c r="J110" s="16">
        <f t="shared" si="15"/>
        <v>57</v>
      </c>
      <c r="K110" s="16">
        <f t="shared" si="15"/>
        <v>0</v>
      </c>
      <c r="L110" s="16">
        <f t="shared" si="15"/>
        <v>100</v>
      </c>
      <c r="M110" s="16">
        <f t="shared" si="15"/>
        <v>0</v>
      </c>
      <c r="N110" s="16">
        <f t="shared" si="15"/>
        <v>2</v>
      </c>
      <c r="O110" s="16">
        <f t="shared" si="15"/>
        <v>57</v>
      </c>
      <c r="P110" s="16">
        <f t="shared" si="15"/>
        <v>7</v>
      </c>
      <c r="Q110" s="16">
        <f t="shared" ref="Q110:W125" si="16">VLOOKUP($A110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10" s="16">
        <f t="shared" si="16"/>
        <v>20</v>
      </c>
      <c r="S110" s="16">
        <f t="shared" si="16"/>
        <v>0</v>
      </c>
      <c r="T110" s="16">
        <f t="shared" si="16"/>
        <v>0</v>
      </c>
      <c r="U110" s="16">
        <f t="shared" si="16"/>
        <v>0</v>
      </c>
      <c r="V110" s="16">
        <f t="shared" si="16"/>
        <v>0</v>
      </c>
      <c r="W110" s="16">
        <f t="shared" si="16"/>
        <v>1</v>
      </c>
      <c r="X110" s="16" t="str">
        <f t="shared" si="9"/>
        <v>null</v>
      </c>
    </row>
    <row r="111" spans="1:24" x14ac:dyDescent="0.15">
      <c r="A111" s="20" t="str">
        <f t="shared" si="11"/>
        <v>22_4-4/61&lt;lv46&gt;s2</v>
      </c>
      <c r="B111" s="16">
        <f t="shared" ref="B111:Q126" si="17">VLOOKUP($A111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111" s="16">
        <f t="shared" si="17"/>
        <v>4</v>
      </c>
      <c r="D111" s="16">
        <f t="shared" si="17"/>
        <v>4</v>
      </c>
      <c r="E111" s="16">
        <f t="shared" si="17"/>
        <v>61</v>
      </c>
      <c r="F111" s="16">
        <f t="shared" si="17"/>
        <v>46</v>
      </c>
      <c r="G111" s="16">
        <f t="shared" si="17"/>
        <v>1</v>
      </c>
      <c r="H111" s="16">
        <f t="shared" si="17"/>
        <v>1</v>
      </c>
      <c r="I111" s="16">
        <f t="shared" si="17"/>
        <v>0</v>
      </c>
      <c r="J111" s="16">
        <f t="shared" si="17"/>
        <v>61</v>
      </c>
      <c r="K111" s="16">
        <f t="shared" si="17"/>
        <v>0</v>
      </c>
      <c r="L111" s="16">
        <f t="shared" si="17"/>
        <v>100</v>
      </c>
      <c r="M111" s="16">
        <f t="shared" si="17"/>
        <v>0</v>
      </c>
      <c r="N111" s="16">
        <f t="shared" si="17"/>
        <v>2</v>
      </c>
      <c r="O111" s="16">
        <f t="shared" si="17"/>
        <v>61</v>
      </c>
      <c r="P111" s="16">
        <f t="shared" si="17"/>
        <v>7</v>
      </c>
      <c r="Q111" s="16">
        <f t="shared" si="17"/>
        <v>2</v>
      </c>
      <c r="R111" s="16">
        <f t="shared" si="16"/>
        <v>20</v>
      </c>
      <c r="S111" s="16">
        <f t="shared" si="16"/>
        <v>0</v>
      </c>
      <c r="T111" s="16">
        <f t="shared" si="16"/>
        <v>0</v>
      </c>
      <c r="U111" s="16">
        <f t="shared" si="16"/>
        <v>0</v>
      </c>
      <c r="V111" s="16">
        <f t="shared" si="16"/>
        <v>0</v>
      </c>
      <c r="W111" s="16">
        <f t="shared" si="16"/>
        <v>1</v>
      </c>
      <c r="X111" s="16" t="str">
        <f t="shared" si="9"/>
        <v>null</v>
      </c>
    </row>
    <row r="112" spans="1:24" x14ac:dyDescent="0.15">
      <c r="A112" s="20" t="str">
        <f t="shared" si="11"/>
        <v>22_4-4/360&lt;lv46&gt;s3</v>
      </c>
      <c r="B112" s="16">
        <f t="shared" si="17"/>
        <v>22</v>
      </c>
      <c r="C112" s="16">
        <f t="shared" si="17"/>
        <v>4</v>
      </c>
      <c r="D112" s="16">
        <f t="shared" si="17"/>
        <v>4</v>
      </c>
      <c r="E112" s="16">
        <f t="shared" si="17"/>
        <v>360</v>
      </c>
      <c r="F112" s="16">
        <f t="shared" si="17"/>
        <v>46</v>
      </c>
      <c r="G112" s="16">
        <f t="shared" si="17"/>
        <v>1</v>
      </c>
      <c r="H112" s="16">
        <f t="shared" si="17"/>
        <v>1</v>
      </c>
      <c r="I112" s="16">
        <f t="shared" si="17"/>
        <v>0</v>
      </c>
      <c r="J112" s="16">
        <f t="shared" si="17"/>
        <v>360</v>
      </c>
      <c r="K112" s="16">
        <f t="shared" si="17"/>
        <v>0</v>
      </c>
      <c r="L112" s="16">
        <f t="shared" si="17"/>
        <v>100</v>
      </c>
      <c r="M112" s="16">
        <f t="shared" si="17"/>
        <v>0</v>
      </c>
      <c r="N112" s="16">
        <f t="shared" si="17"/>
        <v>3</v>
      </c>
      <c r="O112" s="16">
        <f t="shared" si="17"/>
        <v>360</v>
      </c>
      <c r="P112" s="16">
        <f t="shared" si="17"/>
        <v>7</v>
      </c>
      <c r="Q112" s="16">
        <f t="shared" si="17"/>
        <v>2</v>
      </c>
      <c r="R112" s="16">
        <f t="shared" si="16"/>
        <v>20</v>
      </c>
      <c r="S112" s="16">
        <f t="shared" si="16"/>
        <v>0</v>
      </c>
      <c r="T112" s="16">
        <f t="shared" si="16"/>
        <v>0</v>
      </c>
      <c r="U112" s="16">
        <f t="shared" si="16"/>
        <v>0</v>
      </c>
      <c r="V112" s="16">
        <f t="shared" si="16"/>
        <v>0</v>
      </c>
      <c r="W112" s="16">
        <f t="shared" si="16"/>
        <v>1</v>
      </c>
      <c r="X112" s="16" t="str">
        <f t="shared" si="9"/>
        <v>null</v>
      </c>
    </row>
    <row r="113" spans="1:24" x14ac:dyDescent="0.15">
      <c r="A113" s="20" t="str">
        <f t="shared" si="11"/>
        <v>22_4-4/364&lt;lv46&gt;s3</v>
      </c>
      <c r="B113" s="16">
        <f t="shared" si="17"/>
        <v>22</v>
      </c>
      <c r="C113" s="16">
        <f t="shared" si="17"/>
        <v>4</v>
      </c>
      <c r="D113" s="16">
        <f t="shared" si="17"/>
        <v>4</v>
      </c>
      <c r="E113" s="16">
        <f t="shared" si="17"/>
        <v>364</v>
      </c>
      <c r="F113" s="16">
        <f t="shared" si="17"/>
        <v>46</v>
      </c>
      <c r="G113" s="16">
        <f t="shared" si="17"/>
        <v>1</v>
      </c>
      <c r="H113" s="16">
        <f t="shared" si="17"/>
        <v>1</v>
      </c>
      <c r="I113" s="16">
        <f t="shared" si="17"/>
        <v>0</v>
      </c>
      <c r="J113" s="16">
        <f t="shared" si="17"/>
        <v>364</v>
      </c>
      <c r="K113" s="16">
        <f t="shared" si="17"/>
        <v>0</v>
      </c>
      <c r="L113" s="16">
        <f t="shared" si="17"/>
        <v>100</v>
      </c>
      <c r="M113" s="16">
        <f t="shared" si="17"/>
        <v>0</v>
      </c>
      <c r="N113" s="16">
        <f t="shared" si="17"/>
        <v>3</v>
      </c>
      <c r="O113" s="16">
        <f t="shared" si="17"/>
        <v>364</v>
      </c>
      <c r="P113" s="16">
        <f t="shared" si="17"/>
        <v>7</v>
      </c>
      <c r="Q113" s="16">
        <f t="shared" si="17"/>
        <v>2</v>
      </c>
      <c r="R113" s="16">
        <f t="shared" si="16"/>
        <v>20</v>
      </c>
      <c r="S113" s="16">
        <f t="shared" si="16"/>
        <v>0</v>
      </c>
      <c r="T113" s="16">
        <f t="shared" si="16"/>
        <v>0</v>
      </c>
      <c r="U113" s="16">
        <f t="shared" si="16"/>
        <v>0</v>
      </c>
      <c r="V113" s="16">
        <f t="shared" si="16"/>
        <v>0</v>
      </c>
      <c r="W113" s="16">
        <f t="shared" si="16"/>
        <v>1</v>
      </c>
      <c r="X113" s="16" t="str">
        <f t="shared" si="9"/>
        <v>null</v>
      </c>
    </row>
    <row r="114" spans="1:24" x14ac:dyDescent="0.15">
      <c r="A114" s="20" t="str">
        <f t="shared" si="11"/>
        <v>22_4-4/348&lt;lv46&gt;s3</v>
      </c>
      <c r="B114" s="16">
        <f t="shared" si="17"/>
        <v>22</v>
      </c>
      <c r="C114" s="16">
        <f t="shared" si="17"/>
        <v>4</v>
      </c>
      <c r="D114" s="16">
        <f t="shared" si="17"/>
        <v>4</v>
      </c>
      <c r="E114" s="16">
        <f t="shared" si="17"/>
        <v>348</v>
      </c>
      <c r="F114" s="16">
        <f t="shared" si="17"/>
        <v>46</v>
      </c>
      <c r="G114" s="16">
        <f t="shared" si="17"/>
        <v>1</v>
      </c>
      <c r="H114" s="16">
        <f t="shared" si="17"/>
        <v>1</v>
      </c>
      <c r="I114" s="16">
        <f t="shared" si="17"/>
        <v>0</v>
      </c>
      <c r="J114" s="16">
        <f t="shared" si="17"/>
        <v>348</v>
      </c>
      <c r="K114" s="16">
        <f t="shared" si="17"/>
        <v>0</v>
      </c>
      <c r="L114" s="16">
        <f t="shared" si="17"/>
        <v>100</v>
      </c>
      <c r="M114" s="16">
        <f t="shared" si="17"/>
        <v>0</v>
      </c>
      <c r="N114" s="16">
        <f t="shared" si="17"/>
        <v>3</v>
      </c>
      <c r="O114" s="16">
        <f t="shared" si="17"/>
        <v>348</v>
      </c>
      <c r="P114" s="16">
        <f t="shared" si="17"/>
        <v>1</v>
      </c>
      <c r="Q114" s="16">
        <f t="shared" si="17"/>
        <v>2</v>
      </c>
      <c r="R114" s="16">
        <f t="shared" si="16"/>
        <v>30</v>
      </c>
      <c r="S114" s="16">
        <f t="shared" si="16"/>
        <v>0</v>
      </c>
      <c r="T114" s="16">
        <f t="shared" si="16"/>
        <v>0</v>
      </c>
      <c r="U114" s="16">
        <f t="shared" si="16"/>
        <v>0</v>
      </c>
      <c r="V114" s="16">
        <f t="shared" si="16"/>
        <v>0</v>
      </c>
      <c r="W114" s="16">
        <f t="shared" si="16"/>
        <v>1</v>
      </c>
      <c r="X114" s="16" t="str">
        <f t="shared" si="9"/>
        <v>null</v>
      </c>
    </row>
    <row r="115" spans="1:24" x14ac:dyDescent="0.15">
      <c r="A115" s="20" t="str">
        <f t="shared" si="11"/>
        <v>22_4-5/86&lt;lv51&gt;s2</v>
      </c>
      <c r="B115" s="16">
        <f t="shared" si="17"/>
        <v>22</v>
      </c>
      <c r="C115" s="16">
        <f t="shared" si="17"/>
        <v>4</v>
      </c>
      <c r="D115" s="16">
        <f t="shared" si="17"/>
        <v>5</v>
      </c>
      <c r="E115" s="16">
        <f t="shared" si="17"/>
        <v>86</v>
      </c>
      <c r="F115" s="16">
        <f t="shared" si="17"/>
        <v>51</v>
      </c>
      <c r="G115" s="16">
        <f t="shared" si="17"/>
        <v>0.7</v>
      </c>
      <c r="H115" s="16">
        <f t="shared" si="17"/>
        <v>1.9</v>
      </c>
      <c r="I115" s="16">
        <f t="shared" si="17"/>
        <v>0</v>
      </c>
      <c r="J115" s="16">
        <f t="shared" si="17"/>
        <v>8601</v>
      </c>
      <c r="K115" s="16">
        <f t="shared" si="17"/>
        <v>1</v>
      </c>
      <c r="L115" s="16">
        <f t="shared" si="17"/>
        <v>100</v>
      </c>
      <c r="M115" s="16">
        <f t="shared" si="17"/>
        <v>1</v>
      </c>
      <c r="N115" s="16">
        <f t="shared" si="17"/>
        <v>2</v>
      </c>
      <c r="O115" s="16">
        <f t="shared" si="17"/>
        <v>85</v>
      </c>
      <c r="P115" s="16">
        <f t="shared" si="17"/>
        <v>1</v>
      </c>
      <c r="Q115" s="16">
        <f t="shared" si="17"/>
        <v>3</v>
      </c>
      <c r="R115" s="16">
        <f t="shared" si="16"/>
        <v>0</v>
      </c>
      <c r="S115" s="16">
        <f t="shared" si="16"/>
        <v>0</v>
      </c>
      <c r="T115" s="16">
        <f t="shared" si="16"/>
        <v>0</v>
      </c>
      <c r="U115" s="16">
        <f t="shared" si="16"/>
        <v>0</v>
      </c>
      <c r="V115" s="16">
        <f t="shared" si="16"/>
        <v>0</v>
      </c>
      <c r="W115" s="16">
        <f t="shared" si="16"/>
        <v>1</v>
      </c>
      <c r="X115" s="16">
        <f t="shared" si="9"/>
        <v>86</v>
      </c>
    </row>
    <row r="116" spans="1:24" x14ac:dyDescent="0.15">
      <c r="A116" s="20" t="str">
        <f t="shared" si="11"/>
        <v>22_4-5/361&lt;lv51&gt;s3</v>
      </c>
      <c r="B116" s="16">
        <f t="shared" si="17"/>
        <v>22</v>
      </c>
      <c r="C116" s="16">
        <f t="shared" si="17"/>
        <v>4</v>
      </c>
      <c r="D116" s="16">
        <f t="shared" si="17"/>
        <v>5</v>
      </c>
      <c r="E116" s="16">
        <f t="shared" si="17"/>
        <v>361</v>
      </c>
      <c r="F116" s="16">
        <f t="shared" si="17"/>
        <v>51</v>
      </c>
      <c r="G116" s="16">
        <f t="shared" si="17"/>
        <v>1</v>
      </c>
      <c r="H116" s="16">
        <f t="shared" si="17"/>
        <v>1</v>
      </c>
      <c r="I116" s="16">
        <f t="shared" si="17"/>
        <v>0</v>
      </c>
      <c r="J116" s="16">
        <f t="shared" si="17"/>
        <v>360</v>
      </c>
      <c r="K116" s="16">
        <f t="shared" si="17"/>
        <v>2</v>
      </c>
      <c r="L116" s="16">
        <f t="shared" si="17"/>
        <v>100</v>
      </c>
      <c r="M116" s="16">
        <f t="shared" si="17"/>
        <v>0</v>
      </c>
      <c r="N116" s="16">
        <f t="shared" si="17"/>
        <v>3</v>
      </c>
      <c r="O116" s="16">
        <f t="shared" si="17"/>
        <v>360</v>
      </c>
      <c r="P116" s="16">
        <f t="shared" si="17"/>
        <v>5</v>
      </c>
      <c r="Q116" s="16">
        <f t="shared" si="17"/>
        <v>2</v>
      </c>
      <c r="R116" s="16">
        <f t="shared" si="16"/>
        <v>0</v>
      </c>
      <c r="S116" s="16">
        <f t="shared" si="16"/>
        <v>0</v>
      </c>
      <c r="T116" s="16">
        <f t="shared" si="16"/>
        <v>0</v>
      </c>
      <c r="U116" s="16">
        <f t="shared" si="16"/>
        <v>0</v>
      </c>
      <c r="V116" s="16">
        <f t="shared" si="16"/>
        <v>0</v>
      </c>
      <c r="W116" s="16">
        <f t="shared" si="16"/>
        <v>1</v>
      </c>
      <c r="X116" s="16" t="str">
        <f t="shared" si="9"/>
        <v>null</v>
      </c>
    </row>
    <row r="117" spans="1:24" x14ac:dyDescent="0.15">
      <c r="A117" s="20" t="str">
        <f t="shared" si="11"/>
        <v>22_5-1/25&lt;lv48&gt;s3</v>
      </c>
      <c r="B117" s="16">
        <f t="shared" si="17"/>
        <v>22</v>
      </c>
      <c r="C117" s="16">
        <f t="shared" si="17"/>
        <v>5</v>
      </c>
      <c r="D117" s="16">
        <f t="shared" si="17"/>
        <v>1</v>
      </c>
      <c r="E117" s="16">
        <f t="shared" si="17"/>
        <v>25</v>
      </c>
      <c r="F117" s="16">
        <f t="shared" si="17"/>
        <v>48</v>
      </c>
      <c r="G117" s="16">
        <f t="shared" si="17"/>
        <v>1</v>
      </c>
      <c r="H117" s="16">
        <f t="shared" si="17"/>
        <v>1</v>
      </c>
      <c r="I117" s="16">
        <f t="shared" si="17"/>
        <v>0</v>
      </c>
      <c r="J117" s="16">
        <f t="shared" si="17"/>
        <v>0</v>
      </c>
      <c r="K117" s="16">
        <f t="shared" si="17"/>
        <v>0</v>
      </c>
      <c r="L117" s="16">
        <f t="shared" si="17"/>
        <v>100</v>
      </c>
      <c r="M117" s="16">
        <f t="shared" si="17"/>
        <v>0</v>
      </c>
      <c r="N117" s="16">
        <f t="shared" si="17"/>
        <v>3</v>
      </c>
      <c r="O117" s="16">
        <f t="shared" si="17"/>
        <v>25</v>
      </c>
      <c r="P117" s="16">
        <f t="shared" si="17"/>
        <v>7</v>
      </c>
      <c r="Q117" s="16">
        <f t="shared" si="17"/>
        <v>1</v>
      </c>
      <c r="R117" s="16">
        <f t="shared" si="16"/>
        <v>15</v>
      </c>
      <c r="S117" s="16">
        <f t="shared" si="16"/>
        <v>0</v>
      </c>
      <c r="T117" s="16">
        <f t="shared" si="16"/>
        <v>0</v>
      </c>
      <c r="U117" s="16">
        <f t="shared" si="16"/>
        <v>0</v>
      </c>
      <c r="V117" s="16">
        <f t="shared" si="16"/>
        <v>0</v>
      </c>
      <c r="W117" s="16">
        <f t="shared" si="16"/>
        <v>1</v>
      </c>
      <c r="X117" s="16" t="str">
        <f t="shared" si="9"/>
        <v>null</v>
      </c>
    </row>
    <row r="118" spans="1:24" x14ac:dyDescent="0.15">
      <c r="A118" s="20" t="str">
        <f t="shared" si="11"/>
        <v>22_5-1/37&lt;lv48&gt;s3</v>
      </c>
      <c r="B118" s="16">
        <f t="shared" si="17"/>
        <v>22</v>
      </c>
      <c r="C118" s="16">
        <f t="shared" si="17"/>
        <v>5</v>
      </c>
      <c r="D118" s="16">
        <f t="shared" si="17"/>
        <v>1</v>
      </c>
      <c r="E118" s="16">
        <f t="shared" si="17"/>
        <v>37</v>
      </c>
      <c r="F118" s="16">
        <f t="shared" si="17"/>
        <v>48</v>
      </c>
      <c r="G118" s="16">
        <f t="shared" si="17"/>
        <v>1</v>
      </c>
      <c r="H118" s="16">
        <f t="shared" si="17"/>
        <v>1</v>
      </c>
      <c r="I118" s="16">
        <f t="shared" si="17"/>
        <v>0</v>
      </c>
      <c r="J118" s="16">
        <f t="shared" si="17"/>
        <v>37</v>
      </c>
      <c r="K118" s="16">
        <f t="shared" si="17"/>
        <v>0</v>
      </c>
      <c r="L118" s="16">
        <f t="shared" si="17"/>
        <v>100</v>
      </c>
      <c r="M118" s="16">
        <f t="shared" si="17"/>
        <v>0</v>
      </c>
      <c r="N118" s="16">
        <f t="shared" si="17"/>
        <v>3</v>
      </c>
      <c r="O118" s="16">
        <f t="shared" si="17"/>
        <v>37</v>
      </c>
      <c r="P118" s="16">
        <f t="shared" si="17"/>
        <v>5</v>
      </c>
      <c r="Q118" s="16">
        <f t="shared" si="17"/>
        <v>2</v>
      </c>
      <c r="R118" s="16">
        <f t="shared" si="16"/>
        <v>20</v>
      </c>
      <c r="S118" s="16">
        <f t="shared" si="16"/>
        <v>0</v>
      </c>
      <c r="T118" s="16">
        <f t="shared" si="16"/>
        <v>0</v>
      </c>
      <c r="U118" s="16">
        <f t="shared" si="16"/>
        <v>0</v>
      </c>
      <c r="V118" s="16">
        <f t="shared" si="16"/>
        <v>0</v>
      </c>
      <c r="W118" s="16">
        <f t="shared" si="16"/>
        <v>1</v>
      </c>
      <c r="X118" s="16" t="str">
        <f t="shared" si="9"/>
        <v>null</v>
      </c>
    </row>
    <row r="119" spans="1:24" x14ac:dyDescent="0.15">
      <c r="A119" s="20" t="str">
        <f t="shared" si="11"/>
        <v>22_5-1/45&lt;lv48&gt;s3</v>
      </c>
      <c r="B119" s="16">
        <f t="shared" si="17"/>
        <v>22</v>
      </c>
      <c r="C119" s="16">
        <f t="shared" si="17"/>
        <v>5</v>
      </c>
      <c r="D119" s="16">
        <f t="shared" si="17"/>
        <v>1</v>
      </c>
      <c r="E119" s="16">
        <f t="shared" si="17"/>
        <v>45</v>
      </c>
      <c r="F119" s="16">
        <f t="shared" si="17"/>
        <v>48</v>
      </c>
      <c r="G119" s="16">
        <f t="shared" si="17"/>
        <v>1</v>
      </c>
      <c r="H119" s="16">
        <f t="shared" si="17"/>
        <v>1</v>
      </c>
      <c r="I119" s="16">
        <f t="shared" si="17"/>
        <v>0</v>
      </c>
      <c r="J119" s="16">
        <f t="shared" si="17"/>
        <v>0</v>
      </c>
      <c r="K119" s="16">
        <f t="shared" si="17"/>
        <v>0</v>
      </c>
      <c r="L119" s="16">
        <f t="shared" si="17"/>
        <v>100</v>
      </c>
      <c r="M119" s="16">
        <f t="shared" si="17"/>
        <v>0</v>
      </c>
      <c r="N119" s="16">
        <f t="shared" si="17"/>
        <v>3</v>
      </c>
      <c r="O119" s="16">
        <f t="shared" si="17"/>
        <v>45</v>
      </c>
      <c r="P119" s="16">
        <f t="shared" si="17"/>
        <v>7</v>
      </c>
      <c r="Q119" s="16">
        <f t="shared" si="17"/>
        <v>2</v>
      </c>
      <c r="R119" s="16">
        <f t="shared" si="16"/>
        <v>20</v>
      </c>
      <c r="S119" s="16">
        <f t="shared" si="16"/>
        <v>0</v>
      </c>
      <c r="T119" s="16">
        <f t="shared" si="16"/>
        <v>0</v>
      </c>
      <c r="U119" s="16">
        <f t="shared" si="16"/>
        <v>0</v>
      </c>
      <c r="V119" s="16">
        <f t="shared" si="16"/>
        <v>0</v>
      </c>
      <c r="W119" s="16">
        <f t="shared" si="16"/>
        <v>1</v>
      </c>
      <c r="X119" s="16" t="str">
        <f t="shared" si="9"/>
        <v>null</v>
      </c>
    </row>
    <row r="120" spans="1:24" x14ac:dyDescent="0.15">
      <c r="A120" s="20" t="str">
        <f t="shared" si="11"/>
        <v>22_5-1/61&lt;lv48&gt;s2</v>
      </c>
      <c r="B120" s="16">
        <f t="shared" si="17"/>
        <v>22</v>
      </c>
      <c r="C120" s="16">
        <f t="shared" si="17"/>
        <v>5</v>
      </c>
      <c r="D120" s="16">
        <f t="shared" si="17"/>
        <v>1</v>
      </c>
      <c r="E120" s="16">
        <f t="shared" si="17"/>
        <v>61</v>
      </c>
      <c r="F120" s="16">
        <f t="shared" si="17"/>
        <v>48</v>
      </c>
      <c r="G120" s="16">
        <f t="shared" si="17"/>
        <v>1</v>
      </c>
      <c r="H120" s="16">
        <f t="shared" si="17"/>
        <v>1</v>
      </c>
      <c r="I120" s="16">
        <f t="shared" si="17"/>
        <v>0</v>
      </c>
      <c r="J120" s="16">
        <f t="shared" si="17"/>
        <v>61</v>
      </c>
      <c r="K120" s="16">
        <f t="shared" si="17"/>
        <v>0</v>
      </c>
      <c r="L120" s="16">
        <f t="shared" si="17"/>
        <v>100</v>
      </c>
      <c r="M120" s="16">
        <f t="shared" si="17"/>
        <v>0</v>
      </c>
      <c r="N120" s="16">
        <f t="shared" si="17"/>
        <v>2</v>
      </c>
      <c r="O120" s="16">
        <f t="shared" si="17"/>
        <v>61</v>
      </c>
      <c r="P120" s="16">
        <f t="shared" si="17"/>
        <v>7</v>
      </c>
      <c r="Q120" s="16">
        <f t="shared" si="17"/>
        <v>2</v>
      </c>
      <c r="R120" s="16">
        <f t="shared" si="16"/>
        <v>20</v>
      </c>
      <c r="S120" s="16">
        <f t="shared" si="16"/>
        <v>0</v>
      </c>
      <c r="T120" s="16">
        <f t="shared" si="16"/>
        <v>0</v>
      </c>
      <c r="U120" s="16">
        <f t="shared" si="16"/>
        <v>0</v>
      </c>
      <c r="V120" s="16">
        <f t="shared" si="16"/>
        <v>0</v>
      </c>
      <c r="W120" s="16">
        <f t="shared" si="16"/>
        <v>1</v>
      </c>
      <c r="X120" s="16" t="str">
        <f t="shared" si="9"/>
        <v>null</v>
      </c>
    </row>
    <row r="121" spans="1:24" x14ac:dyDescent="0.15">
      <c r="A121" s="20" t="str">
        <f t="shared" si="11"/>
        <v>22_5-1/364&lt;lv48&gt;s3</v>
      </c>
      <c r="B121" s="16">
        <f t="shared" si="17"/>
        <v>22</v>
      </c>
      <c r="C121" s="16">
        <f t="shared" si="17"/>
        <v>5</v>
      </c>
      <c r="D121" s="16">
        <f t="shared" si="17"/>
        <v>1</v>
      </c>
      <c r="E121" s="16">
        <f t="shared" si="17"/>
        <v>364</v>
      </c>
      <c r="F121" s="16">
        <f t="shared" si="17"/>
        <v>48</v>
      </c>
      <c r="G121" s="16">
        <f t="shared" si="17"/>
        <v>1</v>
      </c>
      <c r="H121" s="16">
        <f t="shared" si="17"/>
        <v>1</v>
      </c>
      <c r="I121" s="16">
        <f t="shared" si="17"/>
        <v>0</v>
      </c>
      <c r="J121" s="16">
        <f t="shared" si="17"/>
        <v>364</v>
      </c>
      <c r="K121" s="16">
        <f t="shared" si="17"/>
        <v>0</v>
      </c>
      <c r="L121" s="16">
        <f t="shared" si="17"/>
        <v>100</v>
      </c>
      <c r="M121" s="16">
        <f t="shared" si="17"/>
        <v>0</v>
      </c>
      <c r="N121" s="16">
        <f t="shared" si="17"/>
        <v>3</v>
      </c>
      <c r="O121" s="16">
        <f t="shared" si="17"/>
        <v>364</v>
      </c>
      <c r="P121" s="16">
        <f t="shared" si="17"/>
        <v>7</v>
      </c>
      <c r="Q121" s="16">
        <f t="shared" si="17"/>
        <v>2</v>
      </c>
      <c r="R121" s="16">
        <f t="shared" si="16"/>
        <v>20</v>
      </c>
      <c r="S121" s="16">
        <f t="shared" si="16"/>
        <v>0</v>
      </c>
      <c r="T121" s="16">
        <f t="shared" si="16"/>
        <v>0</v>
      </c>
      <c r="U121" s="16">
        <f t="shared" si="16"/>
        <v>0</v>
      </c>
      <c r="V121" s="16">
        <f t="shared" si="16"/>
        <v>0</v>
      </c>
      <c r="W121" s="16">
        <f t="shared" si="16"/>
        <v>1</v>
      </c>
      <c r="X121" s="16" t="str">
        <f t="shared" si="9"/>
        <v>null</v>
      </c>
    </row>
    <row r="122" spans="1:24" x14ac:dyDescent="0.15">
      <c r="A122" s="20" t="str">
        <f t="shared" si="11"/>
        <v>22_5-1/352&lt;lv48&gt;s3</v>
      </c>
      <c r="B122" s="16">
        <f t="shared" si="17"/>
        <v>22</v>
      </c>
      <c r="C122" s="16">
        <f t="shared" si="17"/>
        <v>5</v>
      </c>
      <c r="D122" s="16">
        <f t="shared" si="17"/>
        <v>1</v>
      </c>
      <c r="E122" s="16">
        <f t="shared" si="17"/>
        <v>352</v>
      </c>
      <c r="F122" s="16">
        <f t="shared" si="17"/>
        <v>48</v>
      </c>
      <c r="G122" s="16">
        <f t="shared" si="17"/>
        <v>1</v>
      </c>
      <c r="H122" s="16">
        <f t="shared" si="17"/>
        <v>1</v>
      </c>
      <c r="I122" s="16">
        <f t="shared" si="17"/>
        <v>0</v>
      </c>
      <c r="J122" s="16">
        <f t="shared" si="17"/>
        <v>352</v>
      </c>
      <c r="K122" s="16">
        <f t="shared" si="17"/>
        <v>0</v>
      </c>
      <c r="L122" s="16">
        <f t="shared" si="17"/>
        <v>100</v>
      </c>
      <c r="M122" s="16">
        <f t="shared" si="17"/>
        <v>0</v>
      </c>
      <c r="N122" s="16">
        <f t="shared" si="17"/>
        <v>3</v>
      </c>
      <c r="O122" s="16">
        <f t="shared" si="17"/>
        <v>352</v>
      </c>
      <c r="P122" s="16">
        <f t="shared" si="17"/>
        <v>1</v>
      </c>
      <c r="Q122" s="16">
        <f t="shared" si="17"/>
        <v>2</v>
      </c>
      <c r="R122" s="16">
        <f t="shared" si="16"/>
        <v>40</v>
      </c>
      <c r="S122" s="16">
        <f t="shared" si="16"/>
        <v>0</v>
      </c>
      <c r="T122" s="16">
        <f t="shared" si="16"/>
        <v>0</v>
      </c>
      <c r="U122" s="16">
        <f t="shared" si="16"/>
        <v>0</v>
      </c>
      <c r="V122" s="16">
        <f t="shared" si="16"/>
        <v>0</v>
      </c>
      <c r="W122" s="16">
        <f t="shared" si="16"/>
        <v>1</v>
      </c>
      <c r="X122" s="16" t="str">
        <f t="shared" si="9"/>
        <v>null</v>
      </c>
    </row>
    <row r="123" spans="1:24" x14ac:dyDescent="0.15">
      <c r="A123" s="20" t="str">
        <f t="shared" si="11"/>
        <v>22_5-2/9&lt;lv48&gt;s2</v>
      </c>
      <c r="B123" s="16">
        <f t="shared" si="17"/>
        <v>22</v>
      </c>
      <c r="C123" s="16">
        <f t="shared" si="17"/>
        <v>5</v>
      </c>
      <c r="D123" s="16">
        <f t="shared" si="17"/>
        <v>2</v>
      </c>
      <c r="E123" s="16">
        <f t="shared" si="17"/>
        <v>9</v>
      </c>
      <c r="F123" s="16">
        <f t="shared" si="17"/>
        <v>48</v>
      </c>
      <c r="G123" s="16">
        <f t="shared" si="17"/>
        <v>1</v>
      </c>
      <c r="H123" s="16">
        <f t="shared" si="17"/>
        <v>1</v>
      </c>
      <c r="I123" s="16">
        <f t="shared" si="17"/>
        <v>0</v>
      </c>
      <c r="J123" s="16">
        <f t="shared" si="17"/>
        <v>0</v>
      </c>
      <c r="K123" s="16">
        <f t="shared" si="17"/>
        <v>0</v>
      </c>
      <c r="L123" s="16">
        <f t="shared" si="17"/>
        <v>100</v>
      </c>
      <c r="M123" s="16">
        <f t="shared" si="17"/>
        <v>0</v>
      </c>
      <c r="N123" s="16">
        <f t="shared" si="17"/>
        <v>2</v>
      </c>
      <c r="O123" s="16">
        <f t="shared" si="17"/>
        <v>9</v>
      </c>
      <c r="P123" s="16">
        <f t="shared" si="17"/>
        <v>9</v>
      </c>
      <c r="Q123" s="16">
        <f t="shared" si="17"/>
        <v>1</v>
      </c>
      <c r="R123" s="16">
        <f t="shared" si="16"/>
        <v>15</v>
      </c>
      <c r="S123" s="16">
        <f t="shared" si="16"/>
        <v>0</v>
      </c>
      <c r="T123" s="16">
        <f t="shared" si="16"/>
        <v>0</v>
      </c>
      <c r="U123" s="16">
        <f t="shared" si="16"/>
        <v>0</v>
      </c>
      <c r="V123" s="16">
        <f t="shared" si="16"/>
        <v>0</v>
      </c>
      <c r="W123" s="16">
        <f t="shared" si="16"/>
        <v>1</v>
      </c>
      <c r="X123" s="16" t="str">
        <f t="shared" si="9"/>
        <v>null</v>
      </c>
    </row>
    <row r="124" spans="1:24" x14ac:dyDescent="0.15">
      <c r="A124" s="20" t="str">
        <f t="shared" si="11"/>
        <v>22_5-2/33&lt;lv48&gt;s2</v>
      </c>
      <c r="B124" s="16">
        <f t="shared" si="17"/>
        <v>22</v>
      </c>
      <c r="C124" s="16">
        <f t="shared" si="17"/>
        <v>5</v>
      </c>
      <c r="D124" s="16">
        <f t="shared" si="17"/>
        <v>2</v>
      </c>
      <c r="E124" s="16">
        <f t="shared" si="17"/>
        <v>33</v>
      </c>
      <c r="F124" s="16">
        <f t="shared" si="17"/>
        <v>48</v>
      </c>
      <c r="G124" s="16">
        <f t="shared" si="17"/>
        <v>1</v>
      </c>
      <c r="H124" s="16">
        <f t="shared" si="17"/>
        <v>1</v>
      </c>
      <c r="I124" s="16">
        <f t="shared" si="17"/>
        <v>0</v>
      </c>
      <c r="J124" s="16">
        <f t="shared" si="17"/>
        <v>33</v>
      </c>
      <c r="K124" s="16">
        <f t="shared" si="17"/>
        <v>0</v>
      </c>
      <c r="L124" s="16">
        <f t="shared" si="17"/>
        <v>100</v>
      </c>
      <c r="M124" s="16">
        <f t="shared" si="17"/>
        <v>0</v>
      </c>
      <c r="N124" s="16">
        <f t="shared" si="17"/>
        <v>2</v>
      </c>
      <c r="O124" s="16">
        <f t="shared" si="17"/>
        <v>33</v>
      </c>
      <c r="P124" s="16">
        <f t="shared" si="17"/>
        <v>5</v>
      </c>
      <c r="Q124" s="16">
        <f t="shared" si="17"/>
        <v>2</v>
      </c>
      <c r="R124" s="16">
        <f t="shared" si="16"/>
        <v>20</v>
      </c>
      <c r="S124" s="16">
        <f t="shared" si="16"/>
        <v>0</v>
      </c>
      <c r="T124" s="16">
        <f t="shared" si="16"/>
        <v>0</v>
      </c>
      <c r="U124" s="16">
        <f t="shared" si="16"/>
        <v>0</v>
      </c>
      <c r="V124" s="16">
        <f t="shared" si="16"/>
        <v>0</v>
      </c>
      <c r="W124" s="16">
        <f t="shared" si="16"/>
        <v>1</v>
      </c>
      <c r="X124" s="16" t="str">
        <f t="shared" si="9"/>
        <v>null</v>
      </c>
    </row>
    <row r="125" spans="1:24" x14ac:dyDescent="0.15">
      <c r="A125" s="20" t="str">
        <f t="shared" si="11"/>
        <v>22_5-2/57&lt;lv48&gt;s2</v>
      </c>
      <c r="B125" s="16">
        <f t="shared" si="17"/>
        <v>22</v>
      </c>
      <c r="C125" s="16">
        <f t="shared" si="17"/>
        <v>5</v>
      </c>
      <c r="D125" s="16">
        <f t="shared" si="17"/>
        <v>2</v>
      </c>
      <c r="E125" s="16">
        <f t="shared" si="17"/>
        <v>57</v>
      </c>
      <c r="F125" s="16">
        <f t="shared" si="17"/>
        <v>48</v>
      </c>
      <c r="G125" s="16">
        <f t="shared" si="17"/>
        <v>1</v>
      </c>
      <c r="H125" s="16">
        <f t="shared" si="17"/>
        <v>1</v>
      </c>
      <c r="I125" s="16">
        <f t="shared" si="17"/>
        <v>0</v>
      </c>
      <c r="J125" s="16">
        <f t="shared" si="17"/>
        <v>57</v>
      </c>
      <c r="K125" s="16">
        <f t="shared" si="17"/>
        <v>0</v>
      </c>
      <c r="L125" s="16">
        <f t="shared" si="17"/>
        <v>100</v>
      </c>
      <c r="M125" s="16">
        <f t="shared" si="17"/>
        <v>0</v>
      </c>
      <c r="N125" s="16">
        <f t="shared" si="17"/>
        <v>2</v>
      </c>
      <c r="O125" s="16">
        <f t="shared" si="17"/>
        <v>57</v>
      </c>
      <c r="P125" s="16">
        <f t="shared" si="17"/>
        <v>7</v>
      </c>
      <c r="Q125" s="16">
        <f t="shared" si="17"/>
        <v>2</v>
      </c>
      <c r="R125" s="16">
        <f t="shared" si="16"/>
        <v>20</v>
      </c>
      <c r="S125" s="16">
        <f t="shared" si="16"/>
        <v>0</v>
      </c>
      <c r="T125" s="16">
        <f t="shared" si="16"/>
        <v>0</v>
      </c>
      <c r="U125" s="16">
        <f t="shared" si="16"/>
        <v>0</v>
      </c>
      <c r="V125" s="16">
        <f t="shared" si="16"/>
        <v>0</v>
      </c>
      <c r="W125" s="16">
        <f t="shared" si="16"/>
        <v>1</v>
      </c>
      <c r="X125" s="16" t="str">
        <f t="shared" si="9"/>
        <v>null</v>
      </c>
    </row>
    <row r="126" spans="1:24" x14ac:dyDescent="0.15">
      <c r="A126" s="20" t="str">
        <f t="shared" si="11"/>
        <v>22_5-2/360&lt;lv48&gt;s3</v>
      </c>
      <c r="B126" s="16">
        <f t="shared" si="17"/>
        <v>22</v>
      </c>
      <c r="C126" s="16">
        <f t="shared" si="17"/>
        <v>5</v>
      </c>
      <c r="D126" s="16">
        <f t="shared" si="17"/>
        <v>2</v>
      </c>
      <c r="E126" s="16">
        <f t="shared" si="17"/>
        <v>360</v>
      </c>
      <c r="F126" s="16">
        <f t="shared" si="17"/>
        <v>48</v>
      </c>
      <c r="G126" s="16">
        <f t="shared" si="17"/>
        <v>1</v>
      </c>
      <c r="H126" s="16">
        <f t="shared" si="17"/>
        <v>1</v>
      </c>
      <c r="I126" s="16">
        <f t="shared" si="17"/>
        <v>0</v>
      </c>
      <c r="J126" s="16">
        <f t="shared" si="17"/>
        <v>360</v>
      </c>
      <c r="K126" s="16">
        <f t="shared" si="17"/>
        <v>0</v>
      </c>
      <c r="L126" s="16">
        <f t="shared" si="17"/>
        <v>100</v>
      </c>
      <c r="M126" s="16">
        <f t="shared" si="17"/>
        <v>0</v>
      </c>
      <c r="N126" s="16">
        <f t="shared" si="17"/>
        <v>3</v>
      </c>
      <c r="O126" s="16">
        <f t="shared" si="17"/>
        <v>360</v>
      </c>
      <c r="P126" s="16">
        <f t="shared" si="17"/>
        <v>7</v>
      </c>
      <c r="Q126" s="16">
        <f t="shared" ref="Q126:X189" si="18">VLOOKUP($A126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26" s="16">
        <f t="shared" si="18"/>
        <v>20</v>
      </c>
      <c r="S126" s="16">
        <f t="shared" si="18"/>
        <v>0</v>
      </c>
      <c r="T126" s="16">
        <f t="shared" si="18"/>
        <v>0</v>
      </c>
      <c r="U126" s="16">
        <f t="shared" si="18"/>
        <v>0</v>
      </c>
      <c r="V126" s="16">
        <f t="shared" si="18"/>
        <v>0</v>
      </c>
      <c r="W126" s="16">
        <f t="shared" si="18"/>
        <v>1</v>
      </c>
      <c r="X126" s="16" t="str">
        <f t="shared" si="18"/>
        <v>null</v>
      </c>
    </row>
    <row r="127" spans="1:24" x14ac:dyDescent="0.15">
      <c r="A127" s="20" t="str">
        <f t="shared" si="11"/>
        <v>22_5-2/348&lt;lv48&gt;s3</v>
      </c>
      <c r="B127" s="16">
        <f t="shared" ref="B127:Q142" si="19">VLOOKUP($A127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127" s="16">
        <f t="shared" si="19"/>
        <v>5</v>
      </c>
      <c r="D127" s="16">
        <f t="shared" si="19"/>
        <v>2</v>
      </c>
      <c r="E127" s="16">
        <f t="shared" si="19"/>
        <v>348</v>
      </c>
      <c r="F127" s="16">
        <f t="shared" si="19"/>
        <v>48</v>
      </c>
      <c r="G127" s="16">
        <f t="shared" si="19"/>
        <v>1</v>
      </c>
      <c r="H127" s="16">
        <f t="shared" si="19"/>
        <v>1</v>
      </c>
      <c r="I127" s="16">
        <f t="shared" si="19"/>
        <v>0</v>
      </c>
      <c r="J127" s="16">
        <f t="shared" si="19"/>
        <v>348</v>
      </c>
      <c r="K127" s="16">
        <f t="shared" si="19"/>
        <v>0</v>
      </c>
      <c r="L127" s="16">
        <f t="shared" si="19"/>
        <v>100</v>
      </c>
      <c r="M127" s="16">
        <f t="shared" si="19"/>
        <v>0</v>
      </c>
      <c r="N127" s="16">
        <f t="shared" si="19"/>
        <v>3</v>
      </c>
      <c r="O127" s="16">
        <f t="shared" si="19"/>
        <v>348</v>
      </c>
      <c r="P127" s="16">
        <f t="shared" si="19"/>
        <v>1</v>
      </c>
      <c r="Q127" s="16">
        <f t="shared" si="19"/>
        <v>2</v>
      </c>
      <c r="R127" s="16">
        <f t="shared" si="18"/>
        <v>40</v>
      </c>
      <c r="S127" s="16">
        <f t="shared" si="18"/>
        <v>0</v>
      </c>
      <c r="T127" s="16">
        <f t="shared" si="18"/>
        <v>0</v>
      </c>
      <c r="U127" s="16">
        <f t="shared" si="18"/>
        <v>0</v>
      </c>
      <c r="V127" s="16">
        <f t="shared" si="18"/>
        <v>0</v>
      </c>
      <c r="W127" s="16">
        <f t="shared" si="18"/>
        <v>1</v>
      </c>
      <c r="X127" s="16" t="str">
        <f t="shared" si="18"/>
        <v>null</v>
      </c>
    </row>
    <row r="128" spans="1:24" x14ac:dyDescent="0.15">
      <c r="A128" s="20" t="str">
        <f t="shared" si="11"/>
        <v>22_5-3/38&lt;lv50&gt;s3</v>
      </c>
      <c r="B128" s="16">
        <f t="shared" si="19"/>
        <v>22</v>
      </c>
      <c r="C128" s="16">
        <f t="shared" si="19"/>
        <v>5</v>
      </c>
      <c r="D128" s="16">
        <f t="shared" si="19"/>
        <v>3</v>
      </c>
      <c r="E128" s="16">
        <f t="shared" si="19"/>
        <v>38</v>
      </c>
      <c r="F128" s="16">
        <f t="shared" si="19"/>
        <v>50</v>
      </c>
      <c r="G128" s="16">
        <f t="shared" si="19"/>
        <v>1.5</v>
      </c>
      <c r="H128" s="16">
        <f t="shared" si="19"/>
        <v>1</v>
      </c>
      <c r="I128" s="16">
        <f t="shared" si="19"/>
        <v>0</v>
      </c>
      <c r="J128" s="16">
        <f t="shared" si="19"/>
        <v>38</v>
      </c>
      <c r="K128" s="16">
        <f t="shared" si="19"/>
        <v>1</v>
      </c>
      <c r="L128" s="16">
        <f t="shared" si="19"/>
        <v>100</v>
      </c>
      <c r="M128" s="16">
        <f t="shared" si="19"/>
        <v>1</v>
      </c>
      <c r="N128" s="16">
        <f t="shared" si="19"/>
        <v>3</v>
      </c>
      <c r="O128" s="16">
        <f t="shared" si="19"/>
        <v>38</v>
      </c>
      <c r="P128" s="16">
        <f t="shared" si="19"/>
        <v>5</v>
      </c>
      <c r="Q128" s="16">
        <f t="shared" si="19"/>
        <v>3</v>
      </c>
      <c r="R128" s="16">
        <f t="shared" si="18"/>
        <v>0</v>
      </c>
      <c r="S128" s="16">
        <f t="shared" si="18"/>
        <v>0</v>
      </c>
      <c r="T128" s="16">
        <f t="shared" si="18"/>
        <v>0</v>
      </c>
      <c r="U128" s="16">
        <f t="shared" si="18"/>
        <v>0</v>
      </c>
      <c r="V128" s="16">
        <f t="shared" si="18"/>
        <v>0</v>
      </c>
      <c r="W128" s="16">
        <f t="shared" si="18"/>
        <v>1</v>
      </c>
      <c r="X128" s="16" t="str">
        <f t="shared" si="18"/>
        <v>null</v>
      </c>
    </row>
    <row r="129" spans="1:24" x14ac:dyDescent="0.15">
      <c r="A129" s="20" t="str">
        <f t="shared" si="11"/>
        <v>22_5-3/37&lt;lv50&gt;s3</v>
      </c>
      <c r="B129" s="16">
        <f t="shared" si="19"/>
        <v>22</v>
      </c>
      <c r="C129" s="16">
        <f t="shared" si="19"/>
        <v>5</v>
      </c>
      <c r="D129" s="16">
        <f t="shared" si="19"/>
        <v>3</v>
      </c>
      <c r="E129" s="16">
        <f t="shared" si="19"/>
        <v>37</v>
      </c>
      <c r="F129" s="16">
        <f t="shared" si="19"/>
        <v>50</v>
      </c>
      <c r="G129" s="16">
        <f t="shared" si="19"/>
        <v>1.5</v>
      </c>
      <c r="H129" s="16">
        <f t="shared" si="19"/>
        <v>1</v>
      </c>
      <c r="I129" s="16">
        <f t="shared" si="19"/>
        <v>0</v>
      </c>
      <c r="J129" s="16">
        <f t="shared" si="19"/>
        <v>37</v>
      </c>
      <c r="K129" s="16">
        <f t="shared" si="19"/>
        <v>2</v>
      </c>
      <c r="L129" s="16">
        <f t="shared" si="19"/>
        <v>100</v>
      </c>
      <c r="M129" s="16">
        <f t="shared" si="19"/>
        <v>0</v>
      </c>
      <c r="N129" s="16">
        <f t="shared" si="19"/>
        <v>3</v>
      </c>
      <c r="O129" s="16">
        <f t="shared" si="19"/>
        <v>38</v>
      </c>
      <c r="P129" s="16">
        <f t="shared" si="19"/>
        <v>5</v>
      </c>
      <c r="Q129" s="16">
        <f t="shared" si="19"/>
        <v>3</v>
      </c>
      <c r="R129" s="16">
        <f t="shared" si="18"/>
        <v>0</v>
      </c>
      <c r="S129" s="16">
        <f t="shared" si="18"/>
        <v>0</v>
      </c>
      <c r="T129" s="16">
        <f t="shared" si="18"/>
        <v>0</v>
      </c>
      <c r="U129" s="16">
        <f t="shared" si="18"/>
        <v>0</v>
      </c>
      <c r="V129" s="16">
        <f t="shared" si="18"/>
        <v>0</v>
      </c>
      <c r="W129" s="16">
        <f t="shared" si="18"/>
        <v>1</v>
      </c>
      <c r="X129" s="16" t="str">
        <f t="shared" si="18"/>
        <v>null</v>
      </c>
    </row>
    <row r="130" spans="1:24" x14ac:dyDescent="0.15">
      <c r="A130" s="20" t="str">
        <f t="shared" si="11"/>
        <v>22_5-4/33&lt;lv48&gt;s2</v>
      </c>
      <c r="B130" s="16">
        <f t="shared" si="19"/>
        <v>22</v>
      </c>
      <c r="C130" s="16">
        <f t="shared" si="19"/>
        <v>5</v>
      </c>
      <c r="D130" s="16">
        <f t="shared" si="19"/>
        <v>4</v>
      </c>
      <c r="E130" s="16">
        <f t="shared" si="19"/>
        <v>33</v>
      </c>
      <c r="F130" s="16">
        <f t="shared" si="19"/>
        <v>48</v>
      </c>
      <c r="G130" s="16">
        <f t="shared" si="19"/>
        <v>1</v>
      </c>
      <c r="H130" s="16">
        <f t="shared" si="19"/>
        <v>1</v>
      </c>
      <c r="I130" s="16">
        <f t="shared" si="19"/>
        <v>0</v>
      </c>
      <c r="J130" s="16">
        <f t="shared" si="19"/>
        <v>33</v>
      </c>
      <c r="K130" s="16">
        <f t="shared" si="19"/>
        <v>0</v>
      </c>
      <c r="L130" s="16">
        <f t="shared" si="19"/>
        <v>100</v>
      </c>
      <c r="M130" s="16">
        <f t="shared" si="19"/>
        <v>0</v>
      </c>
      <c r="N130" s="16">
        <f t="shared" si="19"/>
        <v>2</v>
      </c>
      <c r="O130" s="16">
        <f t="shared" si="19"/>
        <v>33</v>
      </c>
      <c r="P130" s="16">
        <f t="shared" si="19"/>
        <v>5</v>
      </c>
      <c r="Q130" s="16">
        <f t="shared" si="19"/>
        <v>2</v>
      </c>
      <c r="R130" s="16">
        <f t="shared" si="18"/>
        <v>20</v>
      </c>
      <c r="S130" s="16">
        <f t="shared" si="18"/>
        <v>0</v>
      </c>
      <c r="T130" s="16">
        <f t="shared" si="18"/>
        <v>0</v>
      </c>
      <c r="U130" s="16">
        <f t="shared" si="18"/>
        <v>0</v>
      </c>
      <c r="V130" s="16">
        <f t="shared" si="18"/>
        <v>0</v>
      </c>
      <c r="W130" s="16">
        <f t="shared" si="18"/>
        <v>1</v>
      </c>
      <c r="X130" s="16" t="str">
        <f t="shared" si="18"/>
        <v>null</v>
      </c>
    </row>
    <row r="131" spans="1:24" x14ac:dyDescent="0.15">
      <c r="A131" s="20" t="str">
        <f t="shared" si="11"/>
        <v>22_5-4/45&lt;lv48&gt;s3</v>
      </c>
      <c r="B131" s="16">
        <f t="shared" si="19"/>
        <v>22</v>
      </c>
      <c r="C131" s="16">
        <f t="shared" si="19"/>
        <v>5</v>
      </c>
      <c r="D131" s="16">
        <f t="shared" si="19"/>
        <v>4</v>
      </c>
      <c r="E131" s="16">
        <f t="shared" si="19"/>
        <v>45</v>
      </c>
      <c r="F131" s="16">
        <f t="shared" si="19"/>
        <v>48</v>
      </c>
      <c r="G131" s="16">
        <f t="shared" si="19"/>
        <v>1</v>
      </c>
      <c r="H131" s="16">
        <f t="shared" si="19"/>
        <v>1</v>
      </c>
      <c r="I131" s="16">
        <f t="shared" si="19"/>
        <v>0</v>
      </c>
      <c r="J131" s="16">
        <f t="shared" si="19"/>
        <v>0</v>
      </c>
      <c r="K131" s="16">
        <f t="shared" si="19"/>
        <v>0</v>
      </c>
      <c r="L131" s="16">
        <f t="shared" si="19"/>
        <v>100</v>
      </c>
      <c r="M131" s="16">
        <f t="shared" si="19"/>
        <v>0</v>
      </c>
      <c r="N131" s="16">
        <f t="shared" si="19"/>
        <v>3</v>
      </c>
      <c r="O131" s="16">
        <f t="shared" si="19"/>
        <v>45</v>
      </c>
      <c r="P131" s="16">
        <f t="shared" si="19"/>
        <v>7</v>
      </c>
      <c r="Q131" s="16">
        <f t="shared" si="19"/>
        <v>2</v>
      </c>
      <c r="R131" s="16">
        <f t="shared" si="18"/>
        <v>20</v>
      </c>
      <c r="S131" s="16">
        <f t="shared" si="18"/>
        <v>0</v>
      </c>
      <c r="T131" s="16">
        <f t="shared" si="18"/>
        <v>0</v>
      </c>
      <c r="U131" s="16">
        <f t="shared" si="18"/>
        <v>0</v>
      </c>
      <c r="V131" s="16">
        <f t="shared" si="18"/>
        <v>0</v>
      </c>
      <c r="W131" s="16">
        <f t="shared" si="18"/>
        <v>1</v>
      </c>
      <c r="X131" s="16" t="str">
        <f t="shared" si="18"/>
        <v>null</v>
      </c>
    </row>
    <row r="132" spans="1:24" x14ac:dyDescent="0.15">
      <c r="A132" s="20" t="str">
        <f t="shared" ref="A132:A195" si="20">INDIRECT(ADDRESS(ROW()+$A$1,COLUMN(),1,TRUE,$C$1))</f>
        <v>22_5-4/57&lt;lv48&gt;s2</v>
      </c>
      <c r="B132" s="16">
        <f t="shared" si="19"/>
        <v>22</v>
      </c>
      <c r="C132" s="16">
        <f t="shared" si="19"/>
        <v>5</v>
      </c>
      <c r="D132" s="16">
        <f t="shared" si="19"/>
        <v>4</v>
      </c>
      <c r="E132" s="16">
        <f t="shared" si="19"/>
        <v>57</v>
      </c>
      <c r="F132" s="16">
        <f t="shared" si="19"/>
        <v>48</v>
      </c>
      <c r="G132" s="16">
        <f t="shared" si="19"/>
        <v>1</v>
      </c>
      <c r="H132" s="16">
        <f t="shared" si="19"/>
        <v>1</v>
      </c>
      <c r="I132" s="16">
        <f t="shared" si="19"/>
        <v>0</v>
      </c>
      <c r="J132" s="16">
        <f t="shared" si="19"/>
        <v>57</v>
      </c>
      <c r="K132" s="16">
        <f t="shared" si="19"/>
        <v>0</v>
      </c>
      <c r="L132" s="16">
        <f t="shared" si="19"/>
        <v>100</v>
      </c>
      <c r="M132" s="16">
        <f t="shared" si="19"/>
        <v>0</v>
      </c>
      <c r="N132" s="16">
        <f t="shared" si="19"/>
        <v>2</v>
      </c>
      <c r="O132" s="16">
        <f t="shared" si="19"/>
        <v>57</v>
      </c>
      <c r="P132" s="16">
        <f t="shared" si="19"/>
        <v>7</v>
      </c>
      <c r="Q132" s="16">
        <f t="shared" si="19"/>
        <v>2</v>
      </c>
      <c r="R132" s="16">
        <f t="shared" si="18"/>
        <v>20</v>
      </c>
      <c r="S132" s="16">
        <f t="shared" si="18"/>
        <v>0</v>
      </c>
      <c r="T132" s="16">
        <f t="shared" si="18"/>
        <v>0</v>
      </c>
      <c r="U132" s="16">
        <f t="shared" si="18"/>
        <v>0</v>
      </c>
      <c r="V132" s="16">
        <f t="shared" si="18"/>
        <v>0</v>
      </c>
      <c r="W132" s="16">
        <f t="shared" si="18"/>
        <v>1</v>
      </c>
      <c r="X132" s="16" t="str">
        <f t="shared" si="18"/>
        <v>null</v>
      </c>
    </row>
    <row r="133" spans="1:24" x14ac:dyDescent="0.15">
      <c r="A133" s="20" t="str">
        <f t="shared" si="20"/>
        <v>22_5-4/61&lt;lv48&gt;s2</v>
      </c>
      <c r="B133" s="16">
        <f t="shared" si="19"/>
        <v>22</v>
      </c>
      <c r="C133" s="16">
        <f t="shared" si="19"/>
        <v>5</v>
      </c>
      <c r="D133" s="16">
        <f t="shared" si="19"/>
        <v>4</v>
      </c>
      <c r="E133" s="16">
        <f t="shared" si="19"/>
        <v>61</v>
      </c>
      <c r="F133" s="16">
        <f t="shared" si="19"/>
        <v>48</v>
      </c>
      <c r="G133" s="16">
        <f t="shared" si="19"/>
        <v>1</v>
      </c>
      <c r="H133" s="16">
        <f t="shared" si="19"/>
        <v>1</v>
      </c>
      <c r="I133" s="16">
        <f t="shared" si="19"/>
        <v>0</v>
      </c>
      <c r="J133" s="16">
        <f t="shared" si="19"/>
        <v>61</v>
      </c>
      <c r="K133" s="16">
        <f t="shared" si="19"/>
        <v>0</v>
      </c>
      <c r="L133" s="16">
        <f t="shared" si="19"/>
        <v>100</v>
      </c>
      <c r="M133" s="16">
        <f t="shared" si="19"/>
        <v>0</v>
      </c>
      <c r="N133" s="16">
        <f t="shared" si="19"/>
        <v>2</v>
      </c>
      <c r="O133" s="16">
        <f t="shared" si="19"/>
        <v>61</v>
      </c>
      <c r="P133" s="16">
        <f t="shared" si="19"/>
        <v>7</v>
      </c>
      <c r="Q133" s="16">
        <f t="shared" si="19"/>
        <v>2</v>
      </c>
      <c r="R133" s="16">
        <f t="shared" si="18"/>
        <v>20</v>
      </c>
      <c r="S133" s="16">
        <f t="shared" si="18"/>
        <v>0</v>
      </c>
      <c r="T133" s="16">
        <f t="shared" si="18"/>
        <v>0</v>
      </c>
      <c r="U133" s="16">
        <f t="shared" si="18"/>
        <v>0</v>
      </c>
      <c r="V133" s="16">
        <f t="shared" si="18"/>
        <v>0</v>
      </c>
      <c r="W133" s="16">
        <f t="shared" si="18"/>
        <v>1</v>
      </c>
      <c r="X133" s="16" t="str">
        <f t="shared" si="18"/>
        <v>null</v>
      </c>
    </row>
    <row r="134" spans="1:24" x14ac:dyDescent="0.15">
      <c r="A134" s="20" t="str">
        <f t="shared" si="20"/>
        <v>22_5-4/360&lt;lv48&gt;s3</v>
      </c>
      <c r="B134" s="16">
        <f t="shared" si="19"/>
        <v>22</v>
      </c>
      <c r="C134" s="16">
        <f t="shared" si="19"/>
        <v>5</v>
      </c>
      <c r="D134" s="16">
        <f t="shared" si="19"/>
        <v>4</v>
      </c>
      <c r="E134" s="16">
        <f t="shared" si="19"/>
        <v>360</v>
      </c>
      <c r="F134" s="16">
        <f t="shared" si="19"/>
        <v>48</v>
      </c>
      <c r="G134" s="16">
        <f t="shared" si="19"/>
        <v>1</v>
      </c>
      <c r="H134" s="16">
        <f t="shared" si="19"/>
        <v>1</v>
      </c>
      <c r="I134" s="16">
        <f t="shared" si="19"/>
        <v>0</v>
      </c>
      <c r="J134" s="16">
        <f t="shared" si="19"/>
        <v>360</v>
      </c>
      <c r="K134" s="16">
        <f t="shared" si="19"/>
        <v>0</v>
      </c>
      <c r="L134" s="16">
        <f t="shared" si="19"/>
        <v>100</v>
      </c>
      <c r="M134" s="16">
        <f t="shared" si="19"/>
        <v>0</v>
      </c>
      <c r="N134" s="16">
        <f t="shared" si="19"/>
        <v>3</v>
      </c>
      <c r="O134" s="16">
        <f t="shared" si="19"/>
        <v>360</v>
      </c>
      <c r="P134" s="16">
        <f t="shared" si="19"/>
        <v>7</v>
      </c>
      <c r="Q134" s="16">
        <f t="shared" si="19"/>
        <v>2</v>
      </c>
      <c r="R134" s="16">
        <f t="shared" si="18"/>
        <v>20</v>
      </c>
      <c r="S134" s="16">
        <f t="shared" si="18"/>
        <v>0</v>
      </c>
      <c r="T134" s="16">
        <f t="shared" si="18"/>
        <v>0</v>
      </c>
      <c r="U134" s="16">
        <f t="shared" si="18"/>
        <v>0</v>
      </c>
      <c r="V134" s="16">
        <f t="shared" si="18"/>
        <v>0</v>
      </c>
      <c r="W134" s="16">
        <f t="shared" si="18"/>
        <v>1</v>
      </c>
      <c r="X134" s="16" t="str">
        <f t="shared" si="18"/>
        <v>null</v>
      </c>
    </row>
    <row r="135" spans="1:24" x14ac:dyDescent="0.15">
      <c r="A135" s="20" t="str">
        <f t="shared" si="20"/>
        <v>22_5-4/364&lt;lv48&gt;s3</v>
      </c>
      <c r="B135" s="16">
        <f t="shared" si="19"/>
        <v>22</v>
      </c>
      <c r="C135" s="16">
        <f t="shared" si="19"/>
        <v>5</v>
      </c>
      <c r="D135" s="16">
        <f t="shared" si="19"/>
        <v>4</v>
      </c>
      <c r="E135" s="16">
        <f t="shared" si="19"/>
        <v>364</v>
      </c>
      <c r="F135" s="16">
        <f t="shared" si="19"/>
        <v>48</v>
      </c>
      <c r="G135" s="16">
        <f t="shared" si="19"/>
        <v>1</v>
      </c>
      <c r="H135" s="16">
        <f t="shared" si="19"/>
        <v>1</v>
      </c>
      <c r="I135" s="16">
        <f t="shared" si="19"/>
        <v>0</v>
      </c>
      <c r="J135" s="16">
        <f t="shared" si="19"/>
        <v>364</v>
      </c>
      <c r="K135" s="16">
        <f t="shared" si="19"/>
        <v>0</v>
      </c>
      <c r="L135" s="16">
        <f t="shared" si="19"/>
        <v>100</v>
      </c>
      <c r="M135" s="16">
        <f t="shared" si="19"/>
        <v>0</v>
      </c>
      <c r="N135" s="16">
        <f t="shared" si="19"/>
        <v>3</v>
      </c>
      <c r="O135" s="16">
        <f t="shared" si="19"/>
        <v>364</v>
      </c>
      <c r="P135" s="16">
        <f t="shared" si="19"/>
        <v>7</v>
      </c>
      <c r="Q135" s="16">
        <f t="shared" si="19"/>
        <v>2</v>
      </c>
      <c r="R135" s="16">
        <f t="shared" si="18"/>
        <v>20</v>
      </c>
      <c r="S135" s="16">
        <f t="shared" si="18"/>
        <v>0</v>
      </c>
      <c r="T135" s="16">
        <f t="shared" si="18"/>
        <v>0</v>
      </c>
      <c r="U135" s="16">
        <f t="shared" si="18"/>
        <v>0</v>
      </c>
      <c r="V135" s="16">
        <f t="shared" si="18"/>
        <v>0</v>
      </c>
      <c r="W135" s="16">
        <f t="shared" si="18"/>
        <v>1</v>
      </c>
      <c r="X135" s="16" t="str">
        <f t="shared" si="18"/>
        <v>null</v>
      </c>
    </row>
    <row r="136" spans="1:24" x14ac:dyDescent="0.15">
      <c r="A136" s="20" t="str">
        <f t="shared" si="20"/>
        <v>22_5-4/352&lt;lv49&gt;s3</v>
      </c>
      <c r="B136" s="16">
        <f t="shared" si="19"/>
        <v>22</v>
      </c>
      <c r="C136" s="16">
        <f t="shared" si="19"/>
        <v>5</v>
      </c>
      <c r="D136" s="16">
        <f t="shared" si="19"/>
        <v>4</v>
      </c>
      <c r="E136" s="16">
        <f t="shared" si="19"/>
        <v>352</v>
      </c>
      <c r="F136" s="16">
        <f t="shared" si="19"/>
        <v>49</v>
      </c>
      <c r="G136" s="16">
        <f t="shared" si="19"/>
        <v>1</v>
      </c>
      <c r="H136" s="16">
        <f t="shared" si="19"/>
        <v>1</v>
      </c>
      <c r="I136" s="16">
        <f t="shared" si="19"/>
        <v>0</v>
      </c>
      <c r="J136" s="16">
        <f t="shared" si="19"/>
        <v>352</v>
      </c>
      <c r="K136" s="16">
        <f t="shared" si="19"/>
        <v>0</v>
      </c>
      <c r="L136" s="16">
        <f t="shared" si="19"/>
        <v>100</v>
      </c>
      <c r="M136" s="16">
        <f t="shared" si="19"/>
        <v>0</v>
      </c>
      <c r="N136" s="16">
        <f t="shared" si="19"/>
        <v>3</v>
      </c>
      <c r="O136" s="16">
        <f t="shared" si="19"/>
        <v>352</v>
      </c>
      <c r="P136" s="16">
        <f t="shared" si="19"/>
        <v>1</v>
      </c>
      <c r="Q136" s="16">
        <f t="shared" si="19"/>
        <v>2</v>
      </c>
      <c r="R136" s="16">
        <f t="shared" si="18"/>
        <v>40</v>
      </c>
      <c r="S136" s="16">
        <f t="shared" si="18"/>
        <v>0</v>
      </c>
      <c r="T136" s="16">
        <f t="shared" si="18"/>
        <v>0</v>
      </c>
      <c r="U136" s="16">
        <f t="shared" si="18"/>
        <v>0</v>
      </c>
      <c r="V136" s="16">
        <f t="shared" si="18"/>
        <v>0</v>
      </c>
      <c r="W136" s="16">
        <f t="shared" si="18"/>
        <v>1</v>
      </c>
      <c r="X136" s="16" t="str">
        <f t="shared" si="18"/>
        <v>null</v>
      </c>
    </row>
    <row r="137" spans="1:24" x14ac:dyDescent="0.15">
      <c r="A137" s="20" t="str">
        <f t="shared" si="20"/>
        <v>22_5-5/131&lt;lv53&gt;s3</v>
      </c>
      <c r="B137" s="16">
        <f t="shared" si="19"/>
        <v>22</v>
      </c>
      <c r="C137" s="16">
        <f t="shared" si="19"/>
        <v>5</v>
      </c>
      <c r="D137" s="16">
        <f t="shared" si="19"/>
        <v>5</v>
      </c>
      <c r="E137" s="16">
        <f t="shared" si="19"/>
        <v>131</v>
      </c>
      <c r="F137" s="16">
        <f t="shared" si="19"/>
        <v>53</v>
      </c>
      <c r="G137" s="16">
        <f t="shared" si="19"/>
        <v>1.2</v>
      </c>
      <c r="H137" s="16">
        <f t="shared" si="19"/>
        <v>0.6</v>
      </c>
      <c r="I137" s="16">
        <f t="shared" si="19"/>
        <v>0</v>
      </c>
      <c r="J137" s="16">
        <f t="shared" si="19"/>
        <v>130</v>
      </c>
      <c r="K137" s="16">
        <f t="shared" si="19"/>
        <v>1</v>
      </c>
      <c r="L137" s="16">
        <f t="shared" si="19"/>
        <v>100</v>
      </c>
      <c r="M137" s="16">
        <f t="shared" si="19"/>
        <v>1</v>
      </c>
      <c r="N137" s="16">
        <f t="shared" si="19"/>
        <v>3</v>
      </c>
      <c r="O137" s="16">
        <f t="shared" si="19"/>
        <v>130</v>
      </c>
      <c r="P137" s="16">
        <f t="shared" si="19"/>
        <v>9</v>
      </c>
      <c r="Q137" s="16">
        <f t="shared" si="19"/>
        <v>3</v>
      </c>
      <c r="R137" s="16">
        <f t="shared" si="18"/>
        <v>0</v>
      </c>
      <c r="S137" s="16">
        <f t="shared" si="18"/>
        <v>0</v>
      </c>
      <c r="T137" s="16">
        <f t="shared" si="18"/>
        <v>0</v>
      </c>
      <c r="U137" s="16">
        <f t="shared" si="18"/>
        <v>0</v>
      </c>
      <c r="V137" s="16">
        <f t="shared" si="18"/>
        <v>0</v>
      </c>
      <c r="W137" s="16">
        <f t="shared" si="18"/>
        <v>1</v>
      </c>
      <c r="X137" s="16">
        <f t="shared" si="18"/>
        <v>131</v>
      </c>
    </row>
    <row r="138" spans="1:24" x14ac:dyDescent="0.15">
      <c r="A138" s="20" t="str">
        <f t="shared" si="20"/>
        <v>22_6-1/334&lt;lv1&gt;s3</v>
      </c>
      <c r="B138" s="16">
        <f t="shared" si="19"/>
        <v>22</v>
      </c>
      <c r="C138" s="16">
        <f t="shared" si="19"/>
        <v>6</v>
      </c>
      <c r="D138" s="16">
        <f t="shared" si="19"/>
        <v>1</v>
      </c>
      <c r="E138" s="16">
        <f t="shared" si="19"/>
        <v>334</v>
      </c>
      <c r="F138" s="16">
        <f t="shared" si="19"/>
        <v>1</v>
      </c>
      <c r="G138" s="16">
        <f t="shared" si="19"/>
        <v>1</v>
      </c>
      <c r="H138" s="16">
        <f t="shared" si="19"/>
        <v>1</v>
      </c>
      <c r="I138" s="16">
        <f t="shared" si="19"/>
        <v>0</v>
      </c>
      <c r="J138" s="16">
        <f t="shared" si="19"/>
        <v>0</v>
      </c>
      <c r="K138" s="16">
        <f t="shared" si="19"/>
        <v>0</v>
      </c>
      <c r="L138" s="16">
        <f t="shared" si="19"/>
        <v>100</v>
      </c>
      <c r="M138" s="16">
        <f t="shared" si="19"/>
        <v>0</v>
      </c>
      <c r="N138" s="16">
        <f t="shared" si="19"/>
        <v>3</v>
      </c>
      <c r="O138" s="16">
        <f t="shared" si="19"/>
        <v>334</v>
      </c>
      <c r="P138" s="16">
        <f t="shared" si="19"/>
        <v>1</v>
      </c>
      <c r="Q138" s="16">
        <f t="shared" si="19"/>
        <v>5</v>
      </c>
      <c r="R138" s="16">
        <f t="shared" si="18"/>
        <v>100</v>
      </c>
      <c r="S138" s="16">
        <f t="shared" si="18"/>
        <v>0</v>
      </c>
      <c r="T138" s="16">
        <f t="shared" si="18"/>
        <v>0</v>
      </c>
      <c r="U138" s="16">
        <f t="shared" si="18"/>
        <v>0</v>
      </c>
      <c r="V138" s="16">
        <f t="shared" si="18"/>
        <v>0</v>
      </c>
      <c r="W138" s="16">
        <f t="shared" si="18"/>
        <v>1</v>
      </c>
      <c r="X138" s="16" t="str">
        <f t="shared" si="18"/>
        <v>null</v>
      </c>
    </row>
    <row r="139" spans="1:24" x14ac:dyDescent="0.15">
      <c r="A139" s="20" t="str">
        <f t="shared" si="20"/>
        <v>22_6-2/342&lt;lv1&gt;s3</v>
      </c>
      <c r="B139" s="16">
        <f t="shared" si="19"/>
        <v>22</v>
      </c>
      <c r="C139" s="16">
        <f t="shared" si="19"/>
        <v>6</v>
      </c>
      <c r="D139" s="16">
        <f t="shared" si="19"/>
        <v>2</v>
      </c>
      <c r="E139" s="16">
        <f t="shared" si="19"/>
        <v>342</v>
      </c>
      <c r="F139" s="16">
        <f t="shared" si="19"/>
        <v>1</v>
      </c>
      <c r="G139" s="16">
        <f t="shared" si="19"/>
        <v>1</v>
      </c>
      <c r="H139" s="16">
        <f t="shared" si="19"/>
        <v>1</v>
      </c>
      <c r="I139" s="16">
        <f t="shared" si="19"/>
        <v>0</v>
      </c>
      <c r="J139" s="16">
        <f t="shared" si="19"/>
        <v>0</v>
      </c>
      <c r="K139" s="16">
        <f t="shared" si="19"/>
        <v>0</v>
      </c>
      <c r="L139" s="16">
        <f t="shared" si="19"/>
        <v>100</v>
      </c>
      <c r="M139" s="16">
        <f t="shared" si="19"/>
        <v>0</v>
      </c>
      <c r="N139" s="16">
        <f t="shared" si="19"/>
        <v>3</v>
      </c>
      <c r="O139" s="16">
        <f t="shared" si="19"/>
        <v>342</v>
      </c>
      <c r="P139" s="16">
        <f t="shared" si="19"/>
        <v>1</v>
      </c>
      <c r="Q139" s="16">
        <f t="shared" si="19"/>
        <v>5</v>
      </c>
      <c r="R139" s="16">
        <f t="shared" si="18"/>
        <v>100</v>
      </c>
      <c r="S139" s="16">
        <f t="shared" si="18"/>
        <v>0</v>
      </c>
      <c r="T139" s="16">
        <f t="shared" si="18"/>
        <v>0</v>
      </c>
      <c r="U139" s="16">
        <f t="shared" si="18"/>
        <v>0</v>
      </c>
      <c r="V139" s="16">
        <f t="shared" si="18"/>
        <v>0</v>
      </c>
      <c r="W139" s="16">
        <f t="shared" si="18"/>
        <v>1</v>
      </c>
      <c r="X139" s="16" t="str">
        <f t="shared" si="18"/>
        <v>null</v>
      </c>
    </row>
    <row r="140" spans="1:24" x14ac:dyDescent="0.15">
      <c r="A140" s="20" t="str">
        <f t="shared" si="20"/>
        <v>22_6-3/119&lt;lv1&gt;s3</v>
      </c>
      <c r="B140" s="16">
        <f t="shared" si="19"/>
        <v>22</v>
      </c>
      <c r="C140" s="16">
        <f t="shared" si="19"/>
        <v>6</v>
      </c>
      <c r="D140" s="16">
        <f t="shared" si="19"/>
        <v>3</v>
      </c>
      <c r="E140" s="16">
        <f t="shared" si="19"/>
        <v>119</v>
      </c>
      <c r="F140" s="16">
        <f t="shared" si="19"/>
        <v>1</v>
      </c>
      <c r="G140" s="16">
        <f t="shared" si="19"/>
        <v>1</v>
      </c>
      <c r="H140" s="16">
        <f t="shared" si="19"/>
        <v>1</v>
      </c>
      <c r="I140" s="16">
        <f t="shared" si="19"/>
        <v>0</v>
      </c>
      <c r="J140" s="16">
        <f t="shared" si="19"/>
        <v>0</v>
      </c>
      <c r="K140" s="16">
        <f t="shared" si="19"/>
        <v>0</v>
      </c>
      <c r="L140" s="16">
        <f t="shared" si="19"/>
        <v>100</v>
      </c>
      <c r="M140" s="16">
        <f t="shared" si="19"/>
        <v>0</v>
      </c>
      <c r="N140" s="16">
        <f t="shared" si="19"/>
        <v>3</v>
      </c>
      <c r="O140" s="16">
        <f t="shared" si="19"/>
        <v>119</v>
      </c>
      <c r="P140" s="16">
        <f t="shared" si="19"/>
        <v>1</v>
      </c>
      <c r="Q140" s="16">
        <f t="shared" si="19"/>
        <v>5</v>
      </c>
      <c r="R140" s="16">
        <f t="shared" si="18"/>
        <v>100</v>
      </c>
      <c r="S140" s="16">
        <f t="shared" si="18"/>
        <v>0</v>
      </c>
      <c r="T140" s="16">
        <f t="shared" si="18"/>
        <v>0</v>
      </c>
      <c r="U140" s="16">
        <f t="shared" si="18"/>
        <v>0</v>
      </c>
      <c r="V140" s="16">
        <f t="shared" si="18"/>
        <v>0</v>
      </c>
      <c r="W140" s="16">
        <f t="shared" si="18"/>
        <v>1</v>
      </c>
      <c r="X140" s="16" t="str">
        <f t="shared" si="18"/>
        <v>null</v>
      </c>
    </row>
    <row r="141" spans="1:24" x14ac:dyDescent="0.15">
      <c r="A141" s="20" t="str">
        <f t="shared" si="20"/>
        <v>22_6-4/334&lt;lv1&gt;s3</v>
      </c>
      <c r="B141" s="16">
        <f t="shared" si="19"/>
        <v>22</v>
      </c>
      <c r="C141" s="16">
        <f t="shared" si="19"/>
        <v>6</v>
      </c>
      <c r="D141" s="16">
        <f t="shared" si="19"/>
        <v>4</v>
      </c>
      <c r="E141" s="16">
        <f t="shared" si="19"/>
        <v>334</v>
      </c>
      <c r="F141" s="16">
        <f t="shared" si="19"/>
        <v>1</v>
      </c>
      <c r="G141" s="16">
        <f t="shared" si="19"/>
        <v>1</v>
      </c>
      <c r="H141" s="16">
        <f t="shared" si="19"/>
        <v>1</v>
      </c>
      <c r="I141" s="16">
        <f t="shared" si="19"/>
        <v>0</v>
      </c>
      <c r="J141" s="16">
        <f t="shared" si="19"/>
        <v>0</v>
      </c>
      <c r="K141" s="16">
        <f t="shared" si="19"/>
        <v>1</v>
      </c>
      <c r="L141" s="16">
        <f t="shared" si="19"/>
        <v>100</v>
      </c>
      <c r="M141" s="16">
        <f t="shared" si="19"/>
        <v>0</v>
      </c>
      <c r="N141" s="16">
        <f t="shared" si="19"/>
        <v>3</v>
      </c>
      <c r="O141" s="16">
        <f t="shared" si="19"/>
        <v>334</v>
      </c>
      <c r="P141" s="16">
        <f t="shared" si="19"/>
        <v>1</v>
      </c>
      <c r="Q141" s="16">
        <f t="shared" si="19"/>
        <v>5</v>
      </c>
      <c r="R141" s="16">
        <f t="shared" si="18"/>
        <v>0</v>
      </c>
      <c r="S141" s="16">
        <f t="shared" si="18"/>
        <v>0</v>
      </c>
      <c r="T141" s="16">
        <f t="shared" si="18"/>
        <v>0</v>
      </c>
      <c r="U141" s="16">
        <f t="shared" si="18"/>
        <v>0</v>
      </c>
      <c r="V141" s="16">
        <f t="shared" si="18"/>
        <v>0</v>
      </c>
      <c r="W141" s="16">
        <f t="shared" si="18"/>
        <v>1</v>
      </c>
      <c r="X141" s="16" t="str">
        <f t="shared" si="18"/>
        <v>null</v>
      </c>
    </row>
    <row r="142" spans="1:24" x14ac:dyDescent="0.15">
      <c r="A142" s="20" t="str">
        <f t="shared" si="20"/>
        <v>22_6-4/342&lt;lv1&gt;s3</v>
      </c>
      <c r="B142" s="16">
        <f t="shared" si="19"/>
        <v>22</v>
      </c>
      <c r="C142" s="16">
        <f t="shared" si="19"/>
        <v>6</v>
      </c>
      <c r="D142" s="16">
        <f t="shared" si="19"/>
        <v>4</v>
      </c>
      <c r="E142" s="16">
        <f t="shared" si="19"/>
        <v>342</v>
      </c>
      <c r="F142" s="16">
        <f t="shared" si="19"/>
        <v>1</v>
      </c>
      <c r="G142" s="16">
        <f t="shared" si="19"/>
        <v>1</v>
      </c>
      <c r="H142" s="16">
        <f t="shared" si="19"/>
        <v>1</v>
      </c>
      <c r="I142" s="16">
        <f t="shared" si="19"/>
        <v>0</v>
      </c>
      <c r="J142" s="16">
        <f t="shared" si="19"/>
        <v>0</v>
      </c>
      <c r="K142" s="16">
        <f t="shared" si="19"/>
        <v>1</v>
      </c>
      <c r="L142" s="16">
        <f t="shared" si="19"/>
        <v>100</v>
      </c>
      <c r="M142" s="16">
        <f t="shared" si="19"/>
        <v>0</v>
      </c>
      <c r="N142" s="16">
        <f t="shared" si="19"/>
        <v>3</v>
      </c>
      <c r="O142" s="16">
        <f t="shared" si="19"/>
        <v>342</v>
      </c>
      <c r="P142" s="16">
        <f t="shared" si="19"/>
        <v>1</v>
      </c>
      <c r="Q142" s="16">
        <f t="shared" ref="Q142:W157" si="21">VLOOKUP($A142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5</v>
      </c>
      <c r="R142" s="16">
        <f t="shared" si="21"/>
        <v>0</v>
      </c>
      <c r="S142" s="16">
        <f t="shared" si="21"/>
        <v>0</v>
      </c>
      <c r="T142" s="16">
        <f t="shared" si="21"/>
        <v>0</v>
      </c>
      <c r="U142" s="16">
        <f t="shared" si="21"/>
        <v>0</v>
      </c>
      <c r="V142" s="16">
        <f t="shared" si="21"/>
        <v>0</v>
      </c>
      <c r="W142" s="16">
        <f t="shared" si="21"/>
        <v>1</v>
      </c>
      <c r="X142" s="16" t="str">
        <f t="shared" si="18"/>
        <v>null</v>
      </c>
    </row>
    <row r="143" spans="1:24" x14ac:dyDescent="0.15">
      <c r="A143" s="20" t="str">
        <f t="shared" si="20"/>
        <v>22_6-4/120&lt;lv1&gt;s4</v>
      </c>
      <c r="B143" s="16">
        <f t="shared" ref="B143:Q158" si="22">VLOOKUP($A143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143" s="16">
        <f t="shared" si="22"/>
        <v>6</v>
      </c>
      <c r="D143" s="16">
        <f t="shared" si="22"/>
        <v>4</v>
      </c>
      <c r="E143" s="16">
        <f t="shared" si="22"/>
        <v>120</v>
      </c>
      <c r="F143" s="16">
        <f t="shared" si="22"/>
        <v>1</v>
      </c>
      <c r="G143" s="16">
        <f t="shared" si="22"/>
        <v>1</v>
      </c>
      <c r="H143" s="16">
        <f t="shared" si="22"/>
        <v>1</v>
      </c>
      <c r="I143" s="16">
        <f t="shared" si="22"/>
        <v>0</v>
      </c>
      <c r="J143" s="16">
        <f t="shared" si="22"/>
        <v>0</v>
      </c>
      <c r="K143" s="16">
        <f t="shared" si="22"/>
        <v>1</v>
      </c>
      <c r="L143" s="16">
        <f t="shared" si="22"/>
        <v>100</v>
      </c>
      <c r="M143" s="16">
        <f t="shared" si="22"/>
        <v>1</v>
      </c>
      <c r="N143" s="16">
        <f t="shared" si="22"/>
        <v>4</v>
      </c>
      <c r="O143" s="16">
        <f t="shared" si="22"/>
        <v>120</v>
      </c>
      <c r="P143" s="16">
        <f t="shared" si="22"/>
        <v>1</v>
      </c>
      <c r="Q143" s="16">
        <f t="shared" si="22"/>
        <v>6</v>
      </c>
      <c r="R143" s="16">
        <f t="shared" si="21"/>
        <v>100</v>
      </c>
      <c r="S143" s="16">
        <f t="shared" si="21"/>
        <v>0</v>
      </c>
      <c r="T143" s="16">
        <f t="shared" si="21"/>
        <v>0</v>
      </c>
      <c r="U143" s="16">
        <f t="shared" si="21"/>
        <v>0</v>
      </c>
      <c r="V143" s="16">
        <f t="shared" si="21"/>
        <v>0</v>
      </c>
      <c r="W143" s="16">
        <f t="shared" si="21"/>
        <v>1</v>
      </c>
      <c r="X143" s="16" t="str">
        <f t="shared" si="18"/>
        <v>null</v>
      </c>
    </row>
    <row r="144" spans="1:24" x14ac:dyDescent="0.15">
      <c r="A144" s="20" t="str">
        <f t="shared" si="20"/>
        <v>22_6-5/335&lt;lv1&gt;s4</v>
      </c>
      <c r="B144" s="16">
        <f t="shared" si="22"/>
        <v>22</v>
      </c>
      <c r="C144" s="16">
        <f t="shared" si="22"/>
        <v>6</v>
      </c>
      <c r="D144" s="16">
        <f t="shared" si="22"/>
        <v>5</v>
      </c>
      <c r="E144" s="16">
        <f t="shared" si="22"/>
        <v>335</v>
      </c>
      <c r="F144" s="16">
        <f t="shared" si="22"/>
        <v>1</v>
      </c>
      <c r="G144" s="16">
        <f t="shared" si="22"/>
        <v>1</v>
      </c>
      <c r="H144" s="16">
        <f t="shared" si="22"/>
        <v>1</v>
      </c>
      <c r="I144" s="16">
        <f t="shared" si="22"/>
        <v>0</v>
      </c>
      <c r="J144" s="16">
        <f t="shared" si="22"/>
        <v>0</v>
      </c>
      <c r="K144" s="16">
        <f t="shared" si="22"/>
        <v>1</v>
      </c>
      <c r="L144" s="16">
        <f t="shared" si="22"/>
        <v>100</v>
      </c>
      <c r="M144" s="16">
        <f t="shared" si="22"/>
        <v>0</v>
      </c>
      <c r="N144" s="16">
        <f t="shared" si="22"/>
        <v>4</v>
      </c>
      <c r="O144" s="16">
        <f t="shared" si="22"/>
        <v>335</v>
      </c>
      <c r="P144" s="16">
        <f t="shared" si="22"/>
        <v>1</v>
      </c>
      <c r="Q144" s="16">
        <f t="shared" si="22"/>
        <v>6</v>
      </c>
      <c r="R144" s="16">
        <f t="shared" si="21"/>
        <v>100</v>
      </c>
      <c r="S144" s="16">
        <f t="shared" si="21"/>
        <v>0</v>
      </c>
      <c r="T144" s="16">
        <f t="shared" si="21"/>
        <v>0</v>
      </c>
      <c r="U144" s="16">
        <f t="shared" si="21"/>
        <v>0</v>
      </c>
      <c r="V144" s="16">
        <f t="shared" si="21"/>
        <v>0</v>
      </c>
      <c r="W144" s="16">
        <f t="shared" si="21"/>
        <v>1</v>
      </c>
      <c r="X144" s="16" t="str">
        <f t="shared" si="18"/>
        <v>null</v>
      </c>
    </row>
    <row r="145" spans="1:24" x14ac:dyDescent="0.15">
      <c r="A145" s="20" t="str">
        <f t="shared" si="20"/>
        <v>22_6-5/343&lt;lv1&gt;s4</v>
      </c>
      <c r="B145" s="16">
        <f t="shared" si="22"/>
        <v>22</v>
      </c>
      <c r="C145" s="16">
        <f t="shared" si="22"/>
        <v>6</v>
      </c>
      <c r="D145" s="16">
        <f t="shared" si="22"/>
        <v>5</v>
      </c>
      <c r="E145" s="16">
        <f t="shared" si="22"/>
        <v>343</v>
      </c>
      <c r="F145" s="16">
        <f t="shared" si="22"/>
        <v>1</v>
      </c>
      <c r="G145" s="16">
        <f t="shared" si="22"/>
        <v>1</v>
      </c>
      <c r="H145" s="16">
        <f t="shared" si="22"/>
        <v>1</v>
      </c>
      <c r="I145" s="16">
        <f t="shared" si="22"/>
        <v>0</v>
      </c>
      <c r="J145" s="16">
        <f t="shared" si="22"/>
        <v>0</v>
      </c>
      <c r="K145" s="16">
        <f t="shared" si="22"/>
        <v>1</v>
      </c>
      <c r="L145" s="16">
        <f t="shared" si="22"/>
        <v>100</v>
      </c>
      <c r="M145" s="16">
        <f t="shared" si="22"/>
        <v>0</v>
      </c>
      <c r="N145" s="16">
        <f t="shared" si="22"/>
        <v>4</v>
      </c>
      <c r="O145" s="16">
        <f t="shared" si="22"/>
        <v>343</v>
      </c>
      <c r="P145" s="16">
        <f t="shared" si="22"/>
        <v>1</v>
      </c>
      <c r="Q145" s="16">
        <f t="shared" si="22"/>
        <v>6</v>
      </c>
      <c r="R145" s="16">
        <f t="shared" si="21"/>
        <v>100</v>
      </c>
      <c r="S145" s="16">
        <f t="shared" si="21"/>
        <v>0</v>
      </c>
      <c r="T145" s="16">
        <f t="shared" si="21"/>
        <v>0</v>
      </c>
      <c r="U145" s="16">
        <f t="shared" si="21"/>
        <v>0</v>
      </c>
      <c r="V145" s="16">
        <f t="shared" si="21"/>
        <v>0</v>
      </c>
      <c r="W145" s="16">
        <f t="shared" si="21"/>
        <v>1</v>
      </c>
      <c r="X145" s="16" t="str">
        <f t="shared" si="18"/>
        <v>null</v>
      </c>
    </row>
    <row r="146" spans="1:24" x14ac:dyDescent="0.15">
      <c r="A146" s="20" t="str">
        <f t="shared" si="20"/>
        <v>23_1-1/11&lt;lv42&gt;s3</v>
      </c>
      <c r="B146" s="16">
        <f t="shared" si="22"/>
        <v>23</v>
      </c>
      <c r="C146" s="16">
        <f t="shared" si="22"/>
        <v>1</v>
      </c>
      <c r="D146" s="16">
        <f t="shared" si="22"/>
        <v>1</v>
      </c>
      <c r="E146" s="16">
        <f t="shared" si="22"/>
        <v>11</v>
      </c>
      <c r="F146" s="16">
        <f t="shared" si="22"/>
        <v>42</v>
      </c>
      <c r="G146" s="16">
        <f t="shared" si="22"/>
        <v>1</v>
      </c>
      <c r="H146" s="16">
        <f t="shared" si="22"/>
        <v>1</v>
      </c>
      <c r="I146" s="16">
        <f t="shared" si="22"/>
        <v>0</v>
      </c>
      <c r="J146" s="16">
        <f t="shared" si="22"/>
        <v>0</v>
      </c>
      <c r="K146" s="16">
        <f t="shared" si="22"/>
        <v>0</v>
      </c>
      <c r="L146" s="16">
        <f t="shared" si="22"/>
        <v>100</v>
      </c>
      <c r="M146" s="16">
        <f t="shared" si="22"/>
        <v>0</v>
      </c>
      <c r="N146" s="16">
        <f t="shared" si="22"/>
        <v>3</v>
      </c>
      <c r="O146" s="16">
        <f t="shared" si="22"/>
        <v>11</v>
      </c>
      <c r="P146" s="16">
        <f t="shared" si="22"/>
        <v>9</v>
      </c>
      <c r="Q146" s="16">
        <f t="shared" si="22"/>
        <v>1</v>
      </c>
      <c r="R146" s="16">
        <f t="shared" si="21"/>
        <v>15</v>
      </c>
      <c r="S146" s="16">
        <f t="shared" si="21"/>
        <v>0</v>
      </c>
      <c r="T146" s="16">
        <f t="shared" si="21"/>
        <v>0</v>
      </c>
      <c r="U146" s="16">
        <f t="shared" si="21"/>
        <v>0</v>
      </c>
      <c r="V146" s="16">
        <f t="shared" si="21"/>
        <v>0</v>
      </c>
      <c r="W146" s="16">
        <f t="shared" si="21"/>
        <v>1</v>
      </c>
      <c r="X146" s="16" t="str">
        <f t="shared" si="18"/>
        <v>null</v>
      </c>
    </row>
    <row r="147" spans="1:24" x14ac:dyDescent="0.15">
      <c r="A147" s="20" t="str">
        <f t="shared" si="20"/>
        <v>23_1-1/23&lt;lv42&gt;s4</v>
      </c>
      <c r="B147" s="16">
        <f t="shared" si="22"/>
        <v>23</v>
      </c>
      <c r="C147" s="16">
        <f t="shared" si="22"/>
        <v>1</v>
      </c>
      <c r="D147" s="16">
        <f t="shared" si="22"/>
        <v>1</v>
      </c>
      <c r="E147" s="16">
        <f t="shared" si="22"/>
        <v>23</v>
      </c>
      <c r="F147" s="16">
        <f t="shared" si="22"/>
        <v>42</v>
      </c>
      <c r="G147" s="16">
        <f t="shared" si="22"/>
        <v>1</v>
      </c>
      <c r="H147" s="16">
        <f t="shared" si="22"/>
        <v>1</v>
      </c>
      <c r="I147" s="16">
        <f t="shared" si="22"/>
        <v>0</v>
      </c>
      <c r="J147" s="16">
        <f t="shared" si="22"/>
        <v>0</v>
      </c>
      <c r="K147" s="16">
        <f t="shared" si="22"/>
        <v>0</v>
      </c>
      <c r="L147" s="16">
        <f t="shared" si="22"/>
        <v>100</v>
      </c>
      <c r="M147" s="16">
        <f t="shared" si="22"/>
        <v>0</v>
      </c>
      <c r="N147" s="16">
        <f t="shared" si="22"/>
        <v>4</v>
      </c>
      <c r="O147" s="16">
        <f t="shared" si="22"/>
        <v>23</v>
      </c>
      <c r="P147" s="16">
        <f t="shared" si="22"/>
        <v>7</v>
      </c>
      <c r="Q147" s="16">
        <f t="shared" si="22"/>
        <v>1</v>
      </c>
      <c r="R147" s="16">
        <f t="shared" si="21"/>
        <v>15</v>
      </c>
      <c r="S147" s="16">
        <f t="shared" si="21"/>
        <v>0</v>
      </c>
      <c r="T147" s="16">
        <f t="shared" si="21"/>
        <v>0</v>
      </c>
      <c r="U147" s="16">
        <f t="shared" si="21"/>
        <v>0</v>
      </c>
      <c r="V147" s="16">
        <f t="shared" si="21"/>
        <v>0</v>
      </c>
      <c r="W147" s="16">
        <f t="shared" si="21"/>
        <v>1</v>
      </c>
      <c r="X147" s="16" t="str">
        <f t="shared" si="18"/>
        <v>null</v>
      </c>
    </row>
    <row r="148" spans="1:24" x14ac:dyDescent="0.15">
      <c r="A148" s="20" t="str">
        <f t="shared" si="20"/>
        <v>23_1-1/59&lt;lv42&gt;s2</v>
      </c>
      <c r="B148" s="16">
        <f t="shared" si="22"/>
        <v>23</v>
      </c>
      <c r="C148" s="16">
        <f t="shared" si="22"/>
        <v>1</v>
      </c>
      <c r="D148" s="16">
        <f t="shared" si="22"/>
        <v>1</v>
      </c>
      <c r="E148" s="16">
        <f t="shared" si="22"/>
        <v>59</v>
      </c>
      <c r="F148" s="16">
        <f t="shared" si="22"/>
        <v>42</v>
      </c>
      <c r="G148" s="16">
        <f t="shared" si="22"/>
        <v>1</v>
      </c>
      <c r="H148" s="16">
        <f t="shared" si="22"/>
        <v>1</v>
      </c>
      <c r="I148" s="16">
        <f t="shared" si="22"/>
        <v>0</v>
      </c>
      <c r="J148" s="16">
        <f t="shared" si="22"/>
        <v>59</v>
      </c>
      <c r="K148" s="16">
        <f t="shared" si="22"/>
        <v>0</v>
      </c>
      <c r="L148" s="16">
        <f t="shared" si="22"/>
        <v>100</v>
      </c>
      <c r="M148" s="16">
        <f t="shared" si="22"/>
        <v>0</v>
      </c>
      <c r="N148" s="16">
        <f t="shared" si="22"/>
        <v>2</v>
      </c>
      <c r="O148" s="16">
        <f t="shared" si="22"/>
        <v>59</v>
      </c>
      <c r="P148" s="16">
        <f t="shared" si="22"/>
        <v>7</v>
      </c>
      <c r="Q148" s="16">
        <f t="shared" si="22"/>
        <v>2</v>
      </c>
      <c r="R148" s="16">
        <f t="shared" si="21"/>
        <v>20</v>
      </c>
      <c r="S148" s="16">
        <f t="shared" si="21"/>
        <v>0</v>
      </c>
      <c r="T148" s="16">
        <f t="shared" si="21"/>
        <v>0</v>
      </c>
      <c r="U148" s="16">
        <f t="shared" si="21"/>
        <v>0</v>
      </c>
      <c r="V148" s="16">
        <f t="shared" si="21"/>
        <v>0</v>
      </c>
      <c r="W148" s="16">
        <f t="shared" si="21"/>
        <v>1</v>
      </c>
      <c r="X148" s="16" t="str">
        <f t="shared" si="18"/>
        <v>null</v>
      </c>
    </row>
    <row r="149" spans="1:24" x14ac:dyDescent="0.15">
      <c r="A149" s="20" t="str">
        <f t="shared" si="20"/>
        <v>23_1-1/43&lt;lv42&gt;s2</v>
      </c>
      <c r="B149" s="16">
        <f t="shared" si="22"/>
        <v>23</v>
      </c>
      <c r="C149" s="16">
        <f t="shared" si="22"/>
        <v>1</v>
      </c>
      <c r="D149" s="16">
        <f t="shared" si="22"/>
        <v>1</v>
      </c>
      <c r="E149" s="16">
        <f t="shared" si="22"/>
        <v>43</v>
      </c>
      <c r="F149" s="16">
        <f t="shared" si="22"/>
        <v>42</v>
      </c>
      <c r="G149" s="16">
        <f t="shared" si="22"/>
        <v>1</v>
      </c>
      <c r="H149" s="16">
        <f t="shared" si="22"/>
        <v>1</v>
      </c>
      <c r="I149" s="16">
        <f t="shared" si="22"/>
        <v>0</v>
      </c>
      <c r="J149" s="16">
        <f t="shared" si="22"/>
        <v>0</v>
      </c>
      <c r="K149" s="16">
        <f t="shared" si="22"/>
        <v>0</v>
      </c>
      <c r="L149" s="16">
        <f t="shared" si="22"/>
        <v>100</v>
      </c>
      <c r="M149" s="16">
        <f t="shared" si="22"/>
        <v>0</v>
      </c>
      <c r="N149" s="16">
        <f t="shared" si="22"/>
        <v>2</v>
      </c>
      <c r="O149" s="16">
        <f t="shared" si="22"/>
        <v>43</v>
      </c>
      <c r="P149" s="16">
        <f t="shared" si="22"/>
        <v>7</v>
      </c>
      <c r="Q149" s="16">
        <f t="shared" si="22"/>
        <v>2</v>
      </c>
      <c r="R149" s="16">
        <f t="shared" si="21"/>
        <v>20</v>
      </c>
      <c r="S149" s="16">
        <f t="shared" si="21"/>
        <v>0</v>
      </c>
      <c r="T149" s="16">
        <f t="shared" si="21"/>
        <v>0</v>
      </c>
      <c r="U149" s="16">
        <f t="shared" si="21"/>
        <v>0</v>
      </c>
      <c r="V149" s="16">
        <f t="shared" si="21"/>
        <v>0</v>
      </c>
      <c r="W149" s="16">
        <f t="shared" si="21"/>
        <v>1</v>
      </c>
      <c r="X149" s="16" t="str">
        <f t="shared" si="18"/>
        <v>null</v>
      </c>
    </row>
    <row r="150" spans="1:24" x14ac:dyDescent="0.15">
      <c r="A150" s="20" t="str">
        <f t="shared" si="20"/>
        <v>23_1-1/362&lt;lv42&gt;s3</v>
      </c>
      <c r="B150" s="16">
        <f t="shared" si="22"/>
        <v>23</v>
      </c>
      <c r="C150" s="16">
        <f t="shared" si="22"/>
        <v>1</v>
      </c>
      <c r="D150" s="16">
        <f t="shared" si="22"/>
        <v>1</v>
      </c>
      <c r="E150" s="16">
        <f t="shared" si="22"/>
        <v>362</v>
      </c>
      <c r="F150" s="16">
        <f t="shared" si="22"/>
        <v>42</v>
      </c>
      <c r="G150" s="16">
        <f t="shared" si="22"/>
        <v>1</v>
      </c>
      <c r="H150" s="16">
        <f t="shared" si="22"/>
        <v>1</v>
      </c>
      <c r="I150" s="16">
        <f t="shared" si="22"/>
        <v>0</v>
      </c>
      <c r="J150" s="16">
        <f t="shared" si="22"/>
        <v>362</v>
      </c>
      <c r="K150" s="16">
        <f t="shared" si="22"/>
        <v>0</v>
      </c>
      <c r="L150" s="16">
        <f t="shared" si="22"/>
        <v>100</v>
      </c>
      <c r="M150" s="16">
        <f t="shared" si="22"/>
        <v>0</v>
      </c>
      <c r="N150" s="16">
        <f t="shared" si="22"/>
        <v>3</v>
      </c>
      <c r="O150" s="16">
        <f t="shared" si="22"/>
        <v>362</v>
      </c>
      <c r="P150" s="16">
        <f t="shared" si="22"/>
        <v>7</v>
      </c>
      <c r="Q150" s="16">
        <f t="shared" si="22"/>
        <v>2</v>
      </c>
      <c r="R150" s="16">
        <f t="shared" si="21"/>
        <v>20</v>
      </c>
      <c r="S150" s="16">
        <f t="shared" si="21"/>
        <v>0</v>
      </c>
      <c r="T150" s="16">
        <f t="shared" si="21"/>
        <v>0</v>
      </c>
      <c r="U150" s="16">
        <f t="shared" si="21"/>
        <v>0</v>
      </c>
      <c r="V150" s="16">
        <f t="shared" si="21"/>
        <v>0</v>
      </c>
      <c r="W150" s="16">
        <f t="shared" si="21"/>
        <v>1</v>
      </c>
      <c r="X150" s="16" t="str">
        <f t="shared" si="18"/>
        <v>null</v>
      </c>
    </row>
    <row r="151" spans="1:24" x14ac:dyDescent="0.15">
      <c r="A151" s="20" t="str">
        <f t="shared" si="20"/>
        <v>23_1-1/350&lt;lv42&gt;s3</v>
      </c>
      <c r="B151" s="16">
        <f t="shared" si="22"/>
        <v>23</v>
      </c>
      <c r="C151" s="16">
        <f t="shared" si="22"/>
        <v>1</v>
      </c>
      <c r="D151" s="16">
        <f t="shared" si="22"/>
        <v>1</v>
      </c>
      <c r="E151" s="16">
        <f t="shared" si="22"/>
        <v>350</v>
      </c>
      <c r="F151" s="16">
        <f t="shared" si="22"/>
        <v>42</v>
      </c>
      <c r="G151" s="16">
        <f t="shared" si="22"/>
        <v>1</v>
      </c>
      <c r="H151" s="16">
        <f t="shared" si="22"/>
        <v>1</v>
      </c>
      <c r="I151" s="16">
        <f t="shared" si="22"/>
        <v>0</v>
      </c>
      <c r="J151" s="16">
        <f t="shared" si="22"/>
        <v>350</v>
      </c>
      <c r="K151" s="16">
        <f t="shared" si="22"/>
        <v>0</v>
      </c>
      <c r="L151" s="16">
        <f t="shared" si="22"/>
        <v>100</v>
      </c>
      <c r="M151" s="16">
        <f t="shared" si="22"/>
        <v>0</v>
      </c>
      <c r="N151" s="16">
        <f t="shared" si="22"/>
        <v>3</v>
      </c>
      <c r="O151" s="16">
        <f t="shared" si="22"/>
        <v>350</v>
      </c>
      <c r="P151" s="16">
        <f t="shared" si="22"/>
        <v>1</v>
      </c>
      <c r="Q151" s="16">
        <f t="shared" si="22"/>
        <v>2</v>
      </c>
      <c r="R151" s="16">
        <f t="shared" si="21"/>
        <v>27</v>
      </c>
      <c r="S151" s="16">
        <f t="shared" si="21"/>
        <v>0</v>
      </c>
      <c r="T151" s="16">
        <f t="shared" si="21"/>
        <v>0</v>
      </c>
      <c r="U151" s="16">
        <f t="shared" si="21"/>
        <v>0</v>
      </c>
      <c r="V151" s="16">
        <f t="shared" si="21"/>
        <v>0</v>
      </c>
      <c r="W151" s="16">
        <f t="shared" si="21"/>
        <v>1</v>
      </c>
      <c r="X151" s="16" t="str">
        <f t="shared" si="18"/>
        <v>null</v>
      </c>
    </row>
    <row r="152" spans="1:24" x14ac:dyDescent="0.15">
      <c r="A152" s="20" t="str">
        <f t="shared" si="20"/>
        <v>23_1-2/9&lt;lv40&gt;s2</v>
      </c>
      <c r="B152" s="16">
        <f t="shared" si="22"/>
        <v>23</v>
      </c>
      <c r="C152" s="16">
        <f t="shared" si="22"/>
        <v>1</v>
      </c>
      <c r="D152" s="16">
        <f t="shared" si="22"/>
        <v>2</v>
      </c>
      <c r="E152" s="16">
        <f t="shared" si="22"/>
        <v>9</v>
      </c>
      <c r="F152" s="16">
        <f t="shared" si="22"/>
        <v>40</v>
      </c>
      <c r="G152" s="16">
        <f t="shared" si="22"/>
        <v>1</v>
      </c>
      <c r="H152" s="16">
        <f t="shared" si="22"/>
        <v>1</v>
      </c>
      <c r="I152" s="16">
        <f t="shared" si="22"/>
        <v>0</v>
      </c>
      <c r="J152" s="16">
        <f t="shared" si="22"/>
        <v>0</v>
      </c>
      <c r="K152" s="16">
        <f t="shared" si="22"/>
        <v>0</v>
      </c>
      <c r="L152" s="16">
        <f t="shared" si="22"/>
        <v>100</v>
      </c>
      <c r="M152" s="16">
        <f t="shared" si="22"/>
        <v>0</v>
      </c>
      <c r="N152" s="16">
        <f t="shared" si="22"/>
        <v>2</v>
      </c>
      <c r="O152" s="16">
        <f t="shared" si="22"/>
        <v>9</v>
      </c>
      <c r="P152" s="16">
        <f t="shared" si="22"/>
        <v>9</v>
      </c>
      <c r="Q152" s="16">
        <f t="shared" si="22"/>
        <v>1</v>
      </c>
      <c r="R152" s="16">
        <f t="shared" si="21"/>
        <v>15</v>
      </c>
      <c r="S152" s="16">
        <f t="shared" si="21"/>
        <v>0</v>
      </c>
      <c r="T152" s="16">
        <f t="shared" si="21"/>
        <v>0</v>
      </c>
      <c r="U152" s="16">
        <f t="shared" si="21"/>
        <v>0</v>
      </c>
      <c r="V152" s="16">
        <f t="shared" si="21"/>
        <v>0</v>
      </c>
      <c r="W152" s="16">
        <f t="shared" si="21"/>
        <v>1</v>
      </c>
      <c r="X152" s="16" t="str">
        <f t="shared" si="18"/>
        <v>null</v>
      </c>
    </row>
    <row r="153" spans="1:24" x14ac:dyDescent="0.15">
      <c r="A153" s="20" t="str">
        <f t="shared" si="20"/>
        <v>23_1-2/33&lt;lv40&gt;s2</v>
      </c>
      <c r="B153" s="16">
        <f t="shared" si="22"/>
        <v>23</v>
      </c>
      <c r="C153" s="16">
        <f t="shared" si="22"/>
        <v>1</v>
      </c>
      <c r="D153" s="16">
        <f t="shared" si="22"/>
        <v>2</v>
      </c>
      <c r="E153" s="16">
        <f t="shared" si="22"/>
        <v>33</v>
      </c>
      <c r="F153" s="16">
        <f t="shared" si="22"/>
        <v>40</v>
      </c>
      <c r="G153" s="16">
        <f t="shared" si="22"/>
        <v>1</v>
      </c>
      <c r="H153" s="16">
        <f t="shared" si="22"/>
        <v>1</v>
      </c>
      <c r="I153" s="16">
        <f t="shared" si="22"/>
        <v>0</v>
      </c>
      <c r="J153" s="16">
        <f t="shared" si="22"/>
        <v>33</v>
      </c>
      <c r="K153" s="16">
        <f t="shared" si="22"/>
        <v>0</v>
      </c>
      <c r="L153" s="16">
        <f t="shared" si="22"/>
        <v>100</v>
      </c>
      <c r="M153" s="16">
        <f t="shared" si="22"/>
        <v>0</v>
      </c>
      <c r="N153" s="16">
        <f t="shared" si="22"/>
        <v>2</v>
      </c>
      <c r="O153" s="16">
        <f t="shared" si="22"/>
        <v>33</v>
      </c>
      <c r="P153" s="16">
        <f t="shared" si="22"/>
        <v>5</v>
      </c>
      <c r="Q153" s="16">
        <f t="shared" si="22"/>
        <v>2</v>
      </c>
      <c r="R153" s="16">
        <f t="shared" si="21"/>
        <v>20</v>
      </c>
      <c r="S153" s="16">
        <f t="shared" si="21"/>
        <v>0</v>
      </c>
      <c r="T153" s="16">
        <f t="shared" si="21"/>
        <v>0</v>
      </c>
      <c r="U153" s="16">
        <f t="shared" si="21"/>
        <v>0</v>
      </c>
      <c r="V153" s="16">
        <f t="shared" si="21"/>
        <v>0</v>
      </c>
      <c r="W153" s="16">
        <f t="shared" si="21"/>
        <v>1</v>
      </c>
      <c r="X153" s="16" t="str">
        <f t="shared" si="18"/>
        <v>null</v>
      </c>
    </row>
    <row r="154" spans="1:24" x14ac:dyDescent="0.15">
      <c r="A154" s="20" t="str">
        <f t="shared" si="20"/>
        <v>23_1-2/57&lt;lv40&gt;s2</v>
      </c>
      <c r="B154" s="16">
        <f t="shared" si="22"/>
        <v>23</v>
      </c>
      <c r="C154" s="16">
        <f t="shared" si="22"/>
        <v>1</v>
      </c>
      <c r="D154" s="16">
        <f t="shared" si="22"/>
        <v>2</v>
      </c>
      <c r="E154" s="16">
        <f t="shared" si="22"/>
        <v>57</v>
      </c>
      <c r="F154" s="16">
        <f t="shared" si="22"/>
        <v>40</v>
      </c>
      <c r="G154" s="16">
        <f t="shared" si="22"/>
        <v>1</v>
      </c>
      <c r="H154" s="16">
        <f t="shared" si="22"/>
        <v>1</v>
      </c>
      <c r="I154" s="16">
        <f t="shared" si="22"/>
        <v>0</v>
      </c>
      <c r="J154" s="16">
        <f t="shared" si="22"/>
        <v>57</v>
      </c>
      <c r="K154" s="16">
        <f t="shared" si="22"/>
        <v>0</v>
      </c>
      <c r="L154" s="16">
        <f t="shared" si="22"/>
        <v>100</v>
      </c>
      <c r="M154" s="16">
        <f t="shared" si="22"/>
        <v>0</v>
      </c>
      <c r="N154" s="16">
        <f t="shared" si="22"/>
        <v>2</v>
      </c>
      <c r="O154" s="16">
        <f t="shared" si="22"/>
        <v>57</v>
      </c>
      <c r="P154" s="16">
        <f t="shared" si="22"/>
        <v>7</v>
      </c>
      <c r="Q154" s="16">
        <f t="shared" si="22"/>
        <v>2</v>
      </c>
      <c r="R154" s="16">
        <f t="shared" si="21"/>
        <v>20</v>
      </c>
      <c r="S154" s="16">
        <f t="shared" si="21"/>
        <v>0</v>
      </c>
      <c r="T154" s="16">
        <f t="shared" si="21"/>
        <v>0</v>
      </c>
      <c r="U154" s="16">
        <f t="shared" si="21"/>
        <v>0</v>
      </c>
      <c r="V154" s="16">
        <f t="shared" si="21"/>
        <v>0</v>
      </c>
      <c r="W154" s="16">
        <f t="shared" si="21"/>
        <v>1</v>
      </c>
      <c r="X154" s="16" t="str">
        <f t="shared" si="18"/>
        <v>null</v>
      </c>
    </row>
    <row r="155" spans="1:24" x14ac:dyDescent="0.15">
      <c r="A155" s="20" t="str">
        <f t="shared" si="20"/>
        <v>23_1-2/21&lt;lv40&gt;s2</v>
      </c>
      <c r="B155" s="16">
        <f t="shared" si="22"/>
        <v>23</v>
      </c>
      <c r="C155" s="16">
        <f t="shared" si="22"/>
        <v>1</v>
      </c>
      <c r="D155" s="16">
        <f t="shared" si="22"/>
        <v>2</v>
      </c>
      <c r="E155" s="16">
        <f t="shared" si="22"/>
        <v>21</v>
      </c>
      <c r="F155" s="16">
        <f t="shared" si="22"/>
        <v>40</v>
      </c>
      <c r="G155" s="16">
        <f t="shared" si="22"/>
        <v>1</v>
      </c>
      <c r="H155" s="16">
        <f t="shared" si="22"/>
        <v>1</v>
      </c>
      <c r="I155" s="16">
        <f t="shared" si="22"/>
        <v>0</v>
      </c>
      <c r="J155" s="16">
        <f t="shared" si="22"/>
        <v>0</v>
      </c>
      <c r="K155" s="16">
        <f t="shared" si="22"/>
        <v>0</v>
      </c>
      <c r="L155" s="16">
        <f t="shared" si="22"/>
        <v>100</v>
      </c>
      <c r="M155" s="16">
        <f t="shared" si="22"/>
        <v>0</v>
      </c>
      <c r="N155" s="16">
        <f t="shared" si="22"/>
        <v>2</v>
      </c>
      <c r="O155" s="16">
        <f t="shared" si="22"/>
        <v>21</v>
      </c>
      <c r="P155" s="16">
        <f t="shared" si="22"/>
        <v>7</v>
      </c>
      <c r="Q155" s="16">
        <f t="shared" si="22"/>
        <v>1</v>
      </c>
      <c r="R155" s="16">
        <f t="shared" si="21"/>
        <v>15</v>
      </c>
      <c r="S155" s="16">
        <f t="shared" si="21"/>
        <v>0</v>
      </c>
      <c r="T155" s="16">
        <f t="shared" si="21"/>
        <v>0</v>
      </c>
      <c r="U155" s="16">
        <f t="shared" si="21"/>
        <v>0</v>
      </c>
      <c r="V155" s="16">
        <f t="shared" si="21"/>
        <v>0</v>
      </c>
      <c r="W155" s="16">
        <f t="shared" si="21"/>
        <v>1</v>
      </c>
      <c r="X155" s="16" t="str">
        <f t="shared" si="18"/>
        <v>null</v>
      </c>
    </row>
    <row r="156" spans="1:24" x14ac:dyDescent="0.15">
      <c r="A156" s="20" t="str">
        <f t="shared" si="20"/>
        <v>23_1-2/41&lt;lv40&gt;s1</v>
      </c>
      <c r="B156" s="16">
        <f t="shared" si="22"/>
        <v>23</v>
      </c>
      <c r="C156" s="16">
        <f t="shared" si="22"/>
        <v>1</v>
      </c>
      <c r="D156" s="16">
        <f t="shared" si="22"/>
        <v>2</v>
      </c>
      <c r="E156" s="16">
        <f t="shared" si="22"/>
        <v>41</v>
      </c>
      <c r="F156" s="16">
        <f t="shared" si="22"/>
        <v>40</v>
      </c>
      <c r="G156" s="16">
        <f t="shared" si="22"/>
        <v>1</v>
      </c>
      <c r="H156" s="16">
        <f t="shared" si="22"/>
        <v>1</v>
      </c>
      <c r="I156" s="16">
        <f t="shared" si="22"/>
        <v>0</v>
      </c>
      <c r="J156" s="16">
        <f t="shared" si="22"/>
        <v>0</v>
      </c>
      <c r="K156" s="16">
        <f t="shared" si="22"/>
        <v>0</v>
      </c>
      <c r="L156" s="16">
        <f t="shared" si="22"/>
        <v>100</v>
      </c>
      <c r="M156" s="16">
        <f t="shared" si="22"/>
        <v>0</v>
      </c>
      <c r="N156" s="16">
        <f t="shared" si="22"/>
        <v>1</v>
      </c>
      <c r="O156" s="16">
        <f t="shared" si="22"/>
        <v>41</v>
      </c>
      <c r="P156" s="16">
        <f t="shared" si="22"/>
        <v>7</v>
      </c>
      <c r="Q156" s="16">
        <f t="shared" si="22"/>
        <v>2</v>
      </c>
      <c r="R156" s="16">
        <f t="shared" si="21"/>
        <v>20</v>
      </c>
      <c r="S156" s="16">
        <f t="shared" si="21"/>
        <v>0</v>
      </c>
      <c r="T156" s="16">
        <f t="shared" si="21"/>
        <v>0</v>
      </c>
      <c r="U156" s="16">
        <f t="shared" si="21"/>
        <v>0</v>
      </c>
      <c r="V156" s="16">
        <f t="shared" si="21"/>
        <v>0</v>
      </c>
      <c r="W156" s="16">
        <f t="shared" si="21"/>
        <v>1</v>
      </c>
      <c r="X156" s="16" t="str">
        <f t="shared" si="18"/>
        <v>null</v>
      </c>
    </row>
    <row r="157" spans="1:24" x14ac:dyDescent="0.15">
      <c r="A157" s="20" t="str">
        <f t="shared" si="20"/>
        <v>23_1-2/360&lt;lv40&gt;s3</v>
      </c>
      <c r="B157" s="16">
        <f t="shared" si="22"/>
        <v>23</v>
      </c>
      <c r="C157" s="16">
        <f t="shared" si="22"/>
        <v>1</v>
      </c>
      <c r="D157" s="16">
        <f t="shared" si="22"/>
        <v>2</v>
      </c>
      <c r="E157" s="16">
        <f t="shared" si="22"/>
        <v>360</v>
      </c>
      <c r="F157" s="16">
        <f t="shared" si="22"/>
        <v>40</v>
      </c>
      <c r="G157" s="16">
        <f t="shared" si="22"/>
        <v>1</v>
      </c>
      <c r="H157" s="16">
        <f t="shared" si="22"/>
        <v>1</v>
      </c>
      <c r="I157" s="16">
        <f t="shared" si="22"/>
        <v>0</v>
      </c>
      <c r="J157" s="16">
        <f t="shared" si="22"/>
        <v>360</v>
      </c>
      <c r="K157" s="16">
        <f t="shared" si="22"/>
        <v>0</v>
      </c>
      <c r="L157" s="16">
        <f t="shared" si="22"/>
        <v>100</v>
      </c>
      <c r="M157" s="16">
        <f t="shared" si="22"/>
        <v>0</v>
      </c>
      <c r="N157" s="16">
        <f t="shared" si="22"/>
        <v>3</v>
      </c>
      <c r="O157" s="16">
        <f t="shared" si="22"/>
        <v>360</v>
      </c>
      <c r="P157" s="16">
        <f t="shared" si="22"/>
        <v>7</v>
      </c>
      <c r="Q157" s="16">
        <f t="shared" si="22"/>
        <v>2</v>
      </c>
      <c r="R157" s="16">
        <f t="shared" si="21"/>
        <v>20</v>
      </c>
      <c r="S157" s="16">
        <f t="shared" si="21"/>
        <v>0</v>
      </c>
      <c r="T157" s="16">
        <f t="shared" si="21"/>
        <v>0</v>
      </c>
      <c r="U157" s="16">
        <f t="shared" si="21"/>
        <v>0</v>
      </c>
      <c r="V157" s="16">
        <f t="shared" si="21"/>
        <v>0</v>
      </c>
      <c r="W157" s="16">
        <f t="shared" si="21"/>
        <v>1</v>
      </c>
      <c r="X157" s="16" t="str">
        <f t="shared" si="18"/>
        <v>null</v>
      </c>
    </row>
    <row r="158" spans="1:24" x14ac:dyDescent="0.15">
      <c r="A158" s="20" t="str">
        <f t="shared" si="20"/>
        <v>23_1-2/348&lt;lv40&gt;s3</v>
      </c>
      <c r="B158" s="16">
        <f t="shared" si="22"/>
        <v>23</v>
      </c>
      <c r="C158" s="16">
        <f t="shared" si="22"/>
        <v>1</v>
      </c>
      <c r="D158" s="16">
        <f t="shared" si="22"/>
        <v>2</v>
      </c>
      <c r="E158" s="16">
        <f t="shared" si="22"/>
        <v>348</v>
      </c>
      <c r="F158" s="16">
        <f t="shared" si="22"/>
        <v>40</v>
      </c>
      <c r="G158" s="16">
        <f t="shared" si="22"/>
        <v>1</v>
      </c>
      <c r="H158" s="16">
        <f t="shared" si="22"/>
        <v>1</v>
      </c>
      <c r="I158" s="16">
        <f t="shared" si="22"/>
        <v>0</v>
      </c>
      <c r="J158" s="16">
        <f t="shared" si="22"/>
        <v>348</v>
      </c>
      <c r="K158" s="16">
        <f t="shared" si="22"/>
        <v>0</v>
      </c>
      <c r="L158" s="16">
        <f t="shared" si="22"/>
        <v>100</v>
      </c>
      <c r="M158" s="16">
        <f t="shared" si="22"/>
        <v>0</v>
      </c>
      <c r="N158" s="16">
        <f t="shared" si="22"/>
        <v>3</v>
      </c>
      <c r="O158" s="16">
        <f t="shared" si="22"/>
        <v>348</v>
      </c>
      <c r="P158" s="16">
        <f t="shared" si="22"/>
        <v>1</v>
      </c>
      <c r="Q158" s="16">
        <f t="shared" ref="Q158:W173" si="23">VLOOKUP($A158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58" s="16">
        <f t="shared" si="23"/>
        <v>27</v>
      </c>
      <c r="S158" s="16">
        <f t="shared" si="23"/>
        <v>0</v>
      </c>
      <c r="T158" s="16">
        <f t="shared" si="23"/>
        <v>0</v>
      </c>
      <c r="U158" s="16">
        <f t="shared" si="23"/>
        <v>0</v>
      </c>
      <c r="V158" s="16">
        <f t="shared" si="23"/>
        <v>0</v>
      </c>
      <c r="W158" s="16">
        <f t="shared" si="23"/>
        <v>1</v>
      </c>
      <c r="X158" s="16" t="str">
        <f t="shared" si="18"/>
        <v>null</v>
      </c>
    </row>
    <row r="159" spans="1:24" x14ac:dyDescent="0.15">
      <c r="A159" s="20" t="str">
        <f t="shared" si="20"/>
        <v>23_1-3/9&lt;lv40&gt;s2</v>
      </c>
      <c r="B159" s="16">
        <f t="shared" ref="B159:Q174" si="24">VLOOKUP($A159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159" s="16">
        <f t="shared" si="24"/>
        <v>1</v>
      </c>
      <c r="D159" s="16">
        <f t="shared" si="24"/>
        <v>3</v>
      </c>
      <c r="E159" s="16">
        <f t="shared" si="24"/>
        <v>9</v>
      </c>
      <c r="F159" s="16">
        <f t="shared" si="24"/>
        <v>40</v>
      </c>
      <c r="G159" s="16">
        <f t="shared" si="24"/>
        <v>1</v>
      </c>
      <c r="H159" s="16">
        <f t="shared" si="24"/>
        <v>1</v>
      </c>
      <c r="I159" s="16">
        <f t="shared" si="24"/>
        <v>0</v>
      </c>
      <c r="J159" s="16">
        <f t="shared" si="24"/>
        <v>0</v>
      </c>
      <c r="K159" s="16">
        <f t="shared" si="24"/>
        <v>0</v>
      </c>
      <c r="L159" s="16">
        <f t="shared" si="24"/>
        <v>100</v>
      </c>
      <c r="M159" s="16">
        <f t="shared" si="24"/>
        <v>0</v>
      </c>
      <c r="N159" s="16">
        <f t="shared" si="24"/>
        <v>2</v>
      </c>
      <c r="O159" s="16">
        <f t="shared" si="24"/>
        <v>9</v>
      </c>
      <c r="P159" s="16">
        <f t="shared" si="24"/>
        <v>9</v>
      </c>
      <c r="Q159" s="16">
        <f t="shared" si="24"/>
        <v>1</v>
      </c>
      <c r="R159" s="16">
        <f t="shared" si="23"/>
        <v>15</v>
      </c>
      <c r="S159" s="16">
        <f t="shared" si="23"/>
        <v>0</v>
      </c>
      <c r="T159" s="16">
        <f t="shared" si="23"/>
        <v>0</v>
      </c>
      <c r="U159" s="16">
        <f t="shared" si="23"/>
        <v>0</v>
      </c>
      <c r="V159" s="16">
        <f t="shared" si="23"/>
        <v>0</v>
      </c>
      <c r="W159" s="16">
        <f t="shared" si="23"/>
        <v>1</v>
      </c>
      <c r="X159" s="16" t="str">
        <f t="shared" si="18"/>
        <v>null</v>
      </c>
    </row>
    <row r="160" spans="1:24" x14ac:dyDescent="0.15">
      <c r="A160" s="20" t="str">
        <f t="shared" si="20"/>
        <v>23_1-3/11&lt;lv42&gt;s3</v>
      </c>
      <c r="B160" s="16">
        <f t="shared" si="24"/>
        <v>23</v>
      </c>
      <c r="C160" s="16">
        <f t="shared" si="24"/>
        <v>1</v>
      </c>
      <c r="D160" s="16">
        <f t="shared" si="24"/>
        <v>3</v>
      </c>
      <c r="E160" s="16">
        <f t="shared" si="24"/>
        <v>11</v>
      </c>
      <c r="F160" s="16">
        <f t="shared" si="24"/>
        <v>42</v>
      </c>
      <c r="G160" s="16">
        <f t="shared" si="24"/>
        <v>1</v>
      </c>
      <c r="H160" s="16">
        <f t="shared" si="24"/>
        <v>1</v>
      </c>
      <c r="I160" s="16">
        <f t="shared" si="24"/>
        <v>0</v>
      </c>
      <c r="J160" s="16">
        <f t="shared" si="24"/>
        <v>0</v>
      </c>
      <c r="K160" s="16">
        <f t="shared" si="24"/>
        <v>0</v>
      </c>
      <c r="L160" s="16">
        <f t="shared" si="24"/>
        <v>100</v>
      </c>
      <c r="M160" s="16">
        <f t="shared" si="24"/>
        <v>0</v>
      </c>
      <c r="N160" s="16">
        <f t="shared" si="24"/>
        <v>3</v>
      </c>
      <c r="O160" s="16">
        <f t="shared" si="24"/>
        <v>11</v>
      </c>
      <c r="P160" s="16">
        <f t="shared" si="24"/>
        <v>9</v>
      </c>
      <c r="Q160" s="16">
        <f t="shared" si="24"/>
        <v>1</v>
      </c>
      <c r="R160" s="16">
        <f t="shared" si="23"/>
        <v>15</v>
      </c>
      <c r="S160" s="16">
        <f t="shared" si="23"/>
        <v>0</v>
      </c>
      <c r="T160" s="16">
        <f t="shared" si="23"/>
        <v>0</v>
      </c>
      <c r="U160" s="16">
        <f t="shared" si="23"/>
        <v>0</v>
      </c>
      <c r="V160" s="16">
        <f t="shared" si="23"/>
        <v>0</v>
      </c>
      <c r="W160" s="16">
        <f t="shared" si="23"/>
        <v>1</v>
      </c>
      <c r="X160" s="16" t="str">
        <f t="shared" si="18"/>
        <v>null</v>
      </c>
    </row>
    <row r="161" spans="1:24" x14ac:dyDescent="0.15">
      <c r="A161" s="20" t="str">
        <f t="shared" si="20"/>
        <v>23_1-3/23&lt;lv42&gt;s4</v>
      </c>
      <c r="B161" s="16">
        <f t="shared" si="24"/>
        <v>23</v>
      </c>
      <c r="C161" s="16">
        <f t="shared" si="24"/>
        <v>1</v>
      </c>
      <c r="D161" s="16">
        <f t="shared" si="24"/>
        <v>3</v>
      </c>
      <c r="E161" s="16">
        <f t="shared" si="24"/>
        <v>23</v>
      </c>
      <c r="F161" s="16">
        <f t="shared" si="24"/>
        <v>42</v>
      </c>
      <c r="G161" s="16">
        <f t="shared" si="24"/>
        <v>1</v>
      </c>
      <c r="H161" s="16">
        <f t="shared" si="24"/>
        <v>1</v>
      </c>
      <c r="I161" s="16">
        <f t="shared" si="24"/>
        <v>0</v>
      </c>
      <c r="J161" s="16">
        <f t="shared" si="24"/>
        <v>0</v>
      </c>
      <c r="K161" s="16">
        <f t="shared" si="24"/>
        <v>0</v>
      </c>
      <c r="L161" s="16">
        <f t="shared" si="24"/>
        <v>100</v>
      </c>
      <c r="M161" s="16">
        <f t="shared" si="24"/>
        <v>0</v>
      </c>
      <c r="N161" s="16">
        <f t="shared" si="24"/>
        <v>4</v>
      </c>
      <c r="O161" s="16">
        <f t="shared" si="24"/>
        <v>23</v>
      </c>
      <c r="P161" s="16">
        <f t="shared" si="24"/>
        <v>7</v>
      </c>
      <c r="Q161" s="16">
        <f t="shared" si="24"/>
        <v>1</v>
      </c>
      <c r="R161" s="16">
        <f t="shared" si="23"/>
        <v>15</v>
      </c>
      <c r="S161" s="16">
        <f t="shared" si="23"/>
        <v>0</v>
      </c>
      <c r="T161" s="16">
        <f t="shared" si="23"/>
        <v>0</v>
      </c>
      <c r="U161" s="16">
        <f t="shared" si="23"/>
        <v>0</v>
      </c>
      <c r="V161" s="16">
        <f t="shared" si="23"/>
        <v>0</v>
      </c>
      <c r="W161" s="16">
        <f t="shared" si="23"/>
        <v>1</v>
      </c>
      <c r="X161" s="16" t="str">
        <f t="shared" si="18"/>
        <v>null</v>
      </c>
    </row>
    <row r="162" spans="1:24" x14ac:dyDescent="0.15">
      <c r="A162" s="20" t="str">
        <f t="shared" si="20"/>
        <v>23_1-3/33&lt;lv40&gt;s2</v>
      </c>
      <c r="B162" s="16">
        <f t="shared" si="24"/>
        <v>23</v>
      </c>
      <c r="C162" s="16">
        <f t="shared" si="24"/>
        <v>1</v>
      </c>
      <c r="D162" s="16">
        <f t="shared" si="24"/>
        <v>3</v>
      </c>
      <c r="E162" s="16">
        <f t="shared" si="24"/>
        <v>33</v>
      </c>
      <c r="F162" s="16">
        <f t="shared" si="24"/>
        <v>40</v>
      </c>
      <c r="G162" s="16">
        <f t="shared" si="24"/>
        <v>1</v>
      </c>
      <c r="H162" s="16">
        <f t="shared" si="24"/>
        <v>1</v>
      </c>
      <c r="I162" s="16">
        <f t="shared" si="24"/>
        <v>0</v>
      </c>
      <c r="J162" s="16">
        <f t="shared" si="24"/>
        <v>33</v>
      </c>
      <c r="K162" s="16">
        <f t="shared" si="24"/>
        <v>0</v>
      </c>
      <c r="L162" s="16">
        <f t="shared" si="24"/>
        <v>100</v>
      </c>
      <c r="M162" s="16">
        <f t="shared" si="24"/>
        <v>0</v>
      </c>
      <c r="N162" s="16">
        <f t="shared" si="24"/>
        <v>2</v>
      </c>
      <c r="O162" s="16">
        <f t="shared" si="24"/>
        <v>33</v>
      </c>
      <c r="P162" s="16">
        <f t="shared" si="24"/>
        <v>5</v>
      </c>
      <c r="Q162" s="16">
        <f t="shared" si="24"/>
        <v>2</v>
      </c>
      <c r="R162" s="16">
        <f t="shared" si="23"/>
        <v>20</v>
      </c>
      <c r="S162" s="16">
        <f t="shared" si="23"/>
        <v>0</v>
      </c>
      <c r="T162" s="16">
        <f t="shared" si="23"/>
        <v>0</v>
      </c>
      <c r="U162" s="16">
        <f t="shared" si="23"/>
        <v>0</v>
      </c>
      <c r="V162" s="16">
        <f t="shared" si="23"/>
        <v>0</v>
      </c>
      <c r="W162" s="16">
        <f t="shared" si="23"/>
        <v>1</v>
      </c>
      <c r="X162" s="16" t="str">
        <f t="shared" si="18"/>
        <v>null</v>
      </c>
    </row>
    <row r="163" spans="1:24" x14ac:dyDescent="0.15">
      <c r="A163" s="20" t="str">
        <f t="shared" si="20"/>
        <v>23_1-3/57&lt;lv40&gt;s2</v>
      </c>
      <c r="B163" s="16">
        <f t="shared" si="24"/>
        <v>23</v>
      </c>
      <c r="C163" s="16">
        <f t="shared" si="24"/>
        <v>1</v>
      </c>
      <c r="D163" s="16">
        <f t="shared" si="24"/>
        <v>3</v>
      </c>
      <c r="E163" s="16">
        <f t="shared" si="24"/>
        <v>57</v>
      </c>
      <c r="F163" s="16">
        <f t="shared" si="24"/>
        <v>40</v>
      </c>
      <c r="G163" s="16">
        <f t="shared" si="24"/>
        <v>1</v>
      </c>
      <c r="H163" s="16">
        <f t="shared" si="24"/>
        <v>1</v>
      </c>
      <c r="I163" s="16">
        <f t="shared" si="24"/>
        <v>0</v>
      </c>
      <c r="J163" s="16">
        <f t="shared" si="24"/>
        <v>57</v>
      </c>
      <c r="K163" s="16">
        <f t="shared" si="24"/>
        <v>0</v>
      </c>
      <c r="L163" s="16">
        <f t="shared" si="24"/>
        <v>100</v>
      </c>
      <c r="M163" s="16">
        <f t="shared" si="24"/>
        <v>0</v>
      </c>
      <c r="N163" s="16">
        <f t="shared" si="24"/>
        <v>2</v>
      </c>
      <c r="O163" s="16">
        <f t="shared" si="24"/>
        <v>57</v>
      </c>
      <c r="P163" s="16">
        <f t="shared" si="24"/>
        <v>7</v>
      </c>
      <c r="Q163" s="16">
        <f t="shared" si="24"/>
        <v>2</v>
      </c>
      <c r="R163" s="16">
        <f t="shared" si="23"/>
        <v>20</v>
      </c>
      <c r="S163" s="16">
        <f t="shared" si="23"/>
        <v>0</v>
      </c>
      <c r="T163" s="16">
        <f t="shared" si="23"/>
        <v>0</v>
      </c>
      <c r="U163" s="16">
        <f t="shared" si="23"/>
        <v>0</v>
      </c>
      <c r="V163" s="16">
        <f t="shared" si="23"/>
        <v>0</v>
      </c>
      <c r="W163" s="16">
        <f t="shared" si="23"/>
        <v>1</v>
      </c>
      <c r="X163" s="16" t="str">
        <f t="shared" si="18"/>
        <v>null</v>
      </c>
    </row>
    <row r="164" spans="1:24" x14ac:dyDescent="0.15">
      <c r="A164" s="20" t="str">
        <f t="shared" si="20"/>
        <v>23_1-3/59&lt;lv42&gt;s2</v>
      </c>
      <c r="B164" s="16">
        <f t="shared" si="24"/>
        <v>23</v>
      </c>
      <c r="C164" s="16">
        <f t="shared" si="24"/>
        <v>1</v>
      </c>
      <c r="D164" s="16">
        <f t="shared" si="24"/>
        <v>3</v>
      </c>
      <c r="E164" s="16">
        <f t="shared" si="24"/>
        <v>59</v>
      </c>
      <c r="F164" s="16">
        <f t="shared" si="24"/>
        <v>42</v>
      </c>
      <c r="G164" s="16">
        <f t="shared" si="24"/>
        <v>1</v>
      </c>
      <c r="H164" s="16">
        <f t="shared" si="24"/>
        <v>1</v>
      </c>
      <c r="I164" s="16">
        <f t="shared" si="24"/>
        <v>0</v>
      </c>
      <c r="J164" s="16">
        <f t="shared" si="24"/>
        <v>59</v>
      </c>
      <c r="K164" s="16">
        <f t="shared" si="24"/>
        <v>0</v>
      </c>
      <c r="L164" s="16">
        <f t="shared" si="24"/>
        <v>100</v>
      </c>
      <c r="M164" s="16">
        <f t="shared" si="24"/>
        <v>0</v>
      </c>
      <c r="N164" s="16">
        <f t="shared" si="24"/>
        <v>2</v>
      </c>
      <c r="O164" s="16">
        <f t="shared" si="24"/>
        <v>59</v>
      </c>
      <c r="P164" s="16">
        <f t="shared" si="24"/>
        <v>7</v>
      </c>
      <c r="Q164" s="16">
        <f t="shared" si="24"/>
        <v>2</v>
      </c>
      <c r="R164" s="16">
        <f t="shared" si="23"/>
        <v>20</v>
      </c>
      <c r="S164" s="16">
        <f t="shared" si="23"/>
        <v>0</v>
      </c>
      <c r="T164" s="16">
        <f t="shared" si="23"/>
        <v>0</v>
      </c>
      <c r="U164" s="16">
        <f t="shared" si="23"/>
        <v>0</v>
      </c>
      <c r="V164" s="16">
        <f t="shared" si="23"/>
        <v>0</v>
      </c>
      <c r="W164" s="16">
        <f t="shared" si="23"/>
        <v>1</v>
      </c>
      <c r="X164" s="16" t="str">
        <f t="shared" si="18"/>
        <v>null</v>
      </c>
    </row>
    <row r="165" spans="1:24" x14ac:dyDescent="0.15">
      <c r="A165" s="20" t="str">
        <f t="shared" si="20"/>
        <v>23_1-3/21&lt;lv40&gt;s2</v>
      </c>
      <c r="B165" s="16">
        <f t="shared" si="24"/>
        <v>23</v>
      </c>
      <c r="C165" s="16">
        <f t="shared" si="24"/>
        <v>1</v>
      </c>
      <c r="D165" s="16">
        <f t="shared" si="24"/>
        <v>3</v>
      </c>
      <c r="E165" s="16">
        <f t="shared" si="24"/>
        <v>21</v>
      </c>
      <c r="F165" s="16">
        <f t="shared" si="24"/>
        <v>40</v>
      </c>
      <c r="G165" s="16">
        <f t="shared" si="24"/>
        <v>1</v>
      </c>
      <c r="H165" s="16">
        <f t="shared" si="24"/>
        <v>1</v>
      </c>
      <c r="I165" s="16">
        <f t="shared" si="24"/>
        <v>0</v>
      </c>
      <c r="J165" s="16">
        <f t="shared" si="24"/>
        <v>0</v>
      </c>
      <c r="K165" s="16">
        <f t="shared" si="24"/>
        <v>0</v>
      </c>
      <c r="L165" s="16">
        <f t="shared" si="24"/>
        <v>100</v>
      </c>
      <c r="M165" s="16">
        <f t="shared" si="24"/>
        <v>0</v>
      </c>
      <c r="N165" s="16">
        <f t="shared" si="24"/>
        <v>2</v>
      </c>
      <c r="O165" s="16">
        <f t="shared" si="24"/>
        <v>21</v>
      </c>
      <c r="P165" s="16">
        <f t="shared" si="24"/>
        <v>7</v>
      </c>
      <c r="Q165" s="16">
        <f t="shared" si="24"/>
        <v>1</v>
      </c>
      <c r="R165" s="16">
        <f t="shared" si="23"/>
        <v>15</v>
      </c>
      <c r="S165" s="16">
        <f t="shared" si="23"/>
        <v>0</v>
      </c>
      <c r="T165" s="16">
        <f t="shared" si="23"/>
        <v>0</v>
      </c>
      <c r="U165" s="16">
        <f t="shared" si="23"/>
        <v>0</v>
      </c>
      <c r="V165" s="16">
        <f t="shared" si="23"/>
        <v>0</v>
      </c>
      <c r="W165" s="16">
        <f t="shared" si="23"/>
        <v>1</v>
      </c>
      <c r="X165" s="16" t="str">
        <f t="shared" si="18"/>
        <v>null</v>
      </c>
    </row>
    <row r="166" spans="1:24" x14ac:dyDescent="0.15">
      <c r="A166" s="20" t="str">
        <f t="shared" si="20"/>
        <v>23_1-3/41&lt;lv40&gt;s1</v>
      </c>
      <c r="B166" s="16">
        <f t="shared" si="24"/>
        <v>23</v>
      </c>
      <c r="C166" s="16">
        <f t="shared" si="24"/>
        <v>1</v>
      </c>
      <c r="D166" s="16">
        <f t="shared" si="24"/>
        <v>3</v>
      </c>
      <c r="E166" s="16">
        <f t="shared" si="24"/>
        <v>41</v>
      </c>
      <c r="F166" s="16">
        <f t="shared" si="24"/>
        <v>40</v>
      </c>
      <c r="G166" s="16">
        <f t="shared" si="24"/>
        <v>1</v>
      </c>
      <c r="H166" s="16">
        <f t="shared" si="24"/>
        <v>1</v>
      </c>
      <c r="I166" s="16">
        <f t="shared" si="24"/>
        <v>0</v>
      </c>
      <c r="J166" s="16">
        <f t="shared" si="24"/>
        <v>0</v>
      </c>
      <c r="K166" s="16">
        <f t="shared" si="24"/>
        <v>0</v>
      </c>
      <c r="L166" s="16">
        <f t="shared" si="24"/>
        <v>100</v>
      </c>
      <c r="M166" s="16">
        <f t="shared" si="24"/>
        <v>0</v>
      </c>
      <c r="N166" s="16">
        <f t="shared" si="24"/>
        <v>1</v>
      </c>
      <c r="O166" s="16">
        <f t="shared" si="24"/>
        <v>41</v>
      </c>
      <c r="P166" s="16">
        <f t="shared" si="24"/>
        <v>7</v>
      </c>
      <c r="Q166" s="16">
        <f t="shared" si="24"/>
        <v>2</v>
      </c>
      <c r="R166" s="16">
        <f t="shared" si="23"/>
        <v>20</v>
      </c>
      <c r="S166" s="16">
        <f t="shared" si="23"/>
        <v>0</v>
      </c>
      <c r="T166" s="16">
        <f t="shared" si="23"/>
        <v>0</v>
      </c>
      <c r="U166" s="16">
        <f t="shared" si="23"/>
        <v>0</v>
      </c>
      <c r="V166" s="16">
        <f t="shared" si="23"/>
        <v>0</v>
      </c>
      <c r="W166" s="16">
        <f t="shared" si="23"/>
        <v>1</v>
      </c>
      <c r="X166" s="16" t="str">
        <f t="shared" si="18"/>
        <v>null</v>
      </c>
    </row>
    <row r="167" spans="1:24" x14ac:dyDescent="0.15">
      <c r="A167" s="20" t="str">
        <f t="shared" si="20"/>
        <v>23_1-3/43&lt;lv42&gt;s2</v>
      </c>
      <c r="B167" s="16">
        <f t="shared" si="24"/>
        <v>23</v>
      </c>
      <c r="C167" s="16">
        <f t="shared" si="24"/>
        <v>1</v>
      </c>
      <c r="D167" s="16">
        <f t="shared" si="24"/>
        <v>3</v>
      </c>
      <c r="E167" s="16">
        <f t="shared" si="24"/>
        <v>43</v>
      </c>
      <c r="F167" s="16">
        <f t="shared" si="24"/>
        <v>42</v>
      </c>
      <c r="G167" s="16">
        <f t="shared" si="24"/>
        <v>1</v>
      </c>
      <c r="H167" s="16">
        <f t="shared" si="24"/>
        <v>1</v>
      </c>
      <c r="I167" s="16">
        <f t="shared" si="24"/>
        <v>0</v>
      </c>
      <c r="J167" s="16">
        <f t="shared" si="24"/>
        <v>0</v>
      </c>
      <c r="K167" s="16">
        <f t="shared" si="24"/>
        <v>0</v>
      </c>
      <c r="L167" s="16">
        <f t="shared" si="24"/>
        <v>100</v>
      </c>
      <c r="M167" s="16">
        <f t="shared" si="24"/>
        <v>0</v>
      </c>
      <c r="N167" s="16">
        <f t="shared" si="24"/>
        <v>2</v>
      </c>
      <c r="O167" s="16">
        <f t="shared" si="24"/>
        <v>43</v>
      </c>
      <c r="P167" s="16">
        <f t="shared" si="24"/>
        <v>7</v>
      </c>
      <c r="Q167" s="16">
        <f t="shared" si="24"/>
        <v>2</v>
      </c>
      <c r="R167" s="16">
        <f t="shared" si="23"/>
        <v>20</v>
      </c>
      <c r="S167" s="16">
        <f t="shared" si="23"/>
        <v>0</v>
      </c>
      <c r="T167" s="16">
        <f t="shared" si="23"/>
        <v>0</v>
      </c>
      <c r="U167" s="16">
        <f t="shared" si="23"/>
        <v>0</v>
      </c>
      <c r="V167" s="16">
        <f t="shared" si="23"/>
        <v>0</v>
      </c>
      <c r="W167" s="16">
        <f t="shared" si="23"/>
        <v>1</v>
      </c>
      <c r="X167" s="16" t="str">
        <f t="shared" si="18"/>
        <v>null</v>
      </c>
    </row>
    <row r="168" spans="1:24" x14ac:dyDescent="0.15">
      <c r="A168" s="20" t="str">
        <f t="shared" si="20"/>
        <v>23_1-3/360&lt;lv40&gt;s3</v>
      </c>
      <c r="B168" s="16">
        <f t="shared" si="24"/>
        <v>23</v>
      </c>
      <c r="C168" s="16">
        <f t="shared" si="24"/>
        <v>1</v>
      </c>
      <c r="D168" s="16">
        <f t="shared" si="24"/>
        <v>3</v>
      </c>
      <c r="E168" s="16">
        <f t="shared" si="24"/>
        <v>360</v>
      </c>
      <c r="F168" s="16">
        <f t="shared" si="24"/>
        <v>40</v>
      </c>
      <c r="G168" s="16">
        <f t="shared" si="24"/>
        <v>1</v>
      </c>
      <c r="H168" s="16">
        <f t="shared" si="24"/>
        <v>1</v>
      </c>
      <c r="I168" s="16">
        <f t="shared" si="24"/>
        <v>0</v>
      </c>
      <c r="J168" s="16">
        <f t="shared" si="24"/>
        <v>360</v>
      </c>
      <c r="K168" s="16">
        <f t="shared" si="24"/>
        <v>0</v>
      </c>
      <c r="L168" s="16">
        <f t="shared" si="24"/>
        <v>100</v>
      </c>
      <c r="M168" s="16">
        <f t="shared" si="24"/>
        <v>0</v>
      </c>
      <c r="N168" s="16">
        <f t="shared" si="24"/>
        <v>3</v>
      </c>
      <c r="O168" s="16">
        <f t="shared" si="24"/>
        <v>360</v>
      </c>
      <c r="P168" s="16">
        <f t="shared" si="24"/>
        <v>7</v>
      </c>
      <c r="Q168" s="16">
        <f t="shared" si="24"/>
        <v>2</v>
      </c>
      <c r="R168" s="16">
        <f t="shared" si="23"/>
        <v>20</v>
      </c>
      <c r="S168" s="16">
        <f t="shared" si="23"/>
        <v>0</v>
      </c>
      <c r="T168" s="16">
        <f t="shared" si="23"/>
        <v>0</v>
      </c>
      <c r="U168" s="16">
        <f t="shared" si="23"/>
        <v>0</v>
      </c>
      <c r="V168" s="16">
        <f t="shared" si="23"/>
        <v>0</v>
      </c>
      <c r="W168" s="16">
        <f t="shared" si="23"/>
        <v>1</v>
      </c>
      <c r="X168" s="16" t="str">
        <f t="shared" si="18"/>
        <v>null</v>
      </c>
    </row>
    <row r="169" spans="1:24" x14ac:dyDescent="0.15">
      <c r="A169" s="20" t="str">
        <f t="shared" si="20"/>
        <v>23_1-3/362&lt;lv42&gt;s3</v>
      </c>
      <c r="B169" s="16">
        <f t="shared" si="24"/>
        <v>23</v>
      </c>
      <c r="C169" s="16">
        <f t="shared" si="24"/>
        <v>1</v>
      </c>
      <c r="D169" s="16">
        <f t="shared" si="24"/>
        <v>3</v>
      </c>
      <c r="E169" s="16">
        <f t="shared" si="24"/>
        <v>362</v>
      </c>
      <c r="F169" s="16">
        <f t="shared" si="24"/>
        <v>42</v>
      </c>
      <c r="G169" s="16">
        <f t="shared" si="24"/>
        <v>1</v>
      </c>
      <c r="H169" s="16">
        <f t="shared" si="24"/>
        <v>1</v>
      </c>
      <c r="I169" s="16">
        <f t="shared" si="24"/>
        <v>0</v>
      </c>
      <c r="J169" s="16">
        <f t="shared" si="24"/>
        <v>362</v>
      </c>
      <c r="K169" s="16">
        <f t="shared" si="24"/>
        <v>0</v>
      </c>
      <c r="L169" s="16">
        <f t="shared" si="24"/>
        <v>100</v>
      </c>
      <c r="M169" s="16">
        <f t="shared" si="24"/>
        <v>0</v>
      </c>
      <c r="N169" s="16">
        <f t="shared" si="24"/>
        <v>3</v>
      </c>
      <c r="O169" s="16">
        <f t="shared" si="24"/>
        <v>362</v>
      </c>
      <c r="P169" s="16">
        <f t="shared" si="24"/>
        <v>7</v>
      </c>
      <c r="Q169" s="16">
        <f t="shared" si="24"/>
        <v>2</v>
      </c>
      <c r="R169" s="16">
        <f t="shared" si="23"/>
        <v>20</v>
      </c>
      <c r="S169" s="16">
        <f t="shared" si="23"/>
        <v>0</v>
      </c>
      <c r="T169" s="16">
        <f t="shared" si="23"/>
        <v>0</v>
      </c>
      <c r="U169" s="16">
        <f t="shared" si="23"/>
        <v>0</v>
      </c>
      <c r="V169" s="16">
        <f t="shared" si="23"/>
        <v>0</v>
      </c>
      <c r="W169" s="16">
        <f t="shared" si="23"/>
        <v>1</v>
      </c>
      <c r="X169" s="16" t="str">
        <f t="shared" si="18"/>
        <v>null</v>
      </c>
    </row>
    <row r="170" spans="1:24" x14ac:dyDescent="0.15">
      <c r="A170" s="20" t="str">
        <f t="shared" si="20"/>
        <v>23_1-3/350&lt;lv42&gt;s3</v>
      </c>
      <c r="B170" s="16">
        <f t="shared" si="24"/>
        <v>23</v>
      </c>
      <c r="C170" s="16">
        <f t="shared" si="24"/>
        <v>1</v>
      </c>
      <c r="D170" s="16">
        <f t="shared" si="24"/>
        <v>3</v>
      </c>
      <c r="E170" s="16">
        <f t="shared" si="24"/>
        <v>350</v>
      </c>
      <c r="F170" s="16">
        <f t="shared" si="24"/>
        <v>42</v>
      </c>
      <c r="G170" s="16">
        <f t="shared" si="24"/>
        <v>1</v>
      </c>
      <c r="H170" s="16">
        <f t="shared" si="24"/>
        <v>1</v>
      </c>
      <c r="I170" s="16">
        <f t="shared" si="24"/>
        <v>0</v>
      </c>
      <c r="J170" s="16">
        <f t="shared" si="24"/>
        <v>350</v>
      </c>
      <c r="K170" s="16">
        <f t="shared" si="24"/>
        <v>0</v>
      </c>
      <c r="L170" s="16">
        <f t="shared" si="24"/>
        <v>100</v>
      </c>
      <c r="M170" s="16">
        <f t="shared" si="24"/>
        <v>0</v>
      </c>
      <c r="N170" s="16">
        <f t="shared" si="24"/>
        <v>3</v>
      </c>
      <c r="O170" s="16">
        <f t="shared" si="24"/>
        <v>350</v>
      </c>
      <c r="P170" s="16">
        <f t="shared" si="24"/>
        <v>1</v>
      </c>
      <c r="Q170" s="16">
        <f t="shared" si="24"/>
        <v>2</v>
      </c>
      <c r="R170" s="16">
        <f t="shared" si="23"/>
        <v>27</v>
      </c>
      <c r="S170" s="16">
        <f t="shared" si="23"/>
        <v>0</v>
      </c>
      <c r="T170" s="16">
        <f t="shared" si="23"/>
        <v>0</v>
      </c>
      <c r="U170" s="16">
        <f t="shared" si="23"/>
        <v>0</v>
      </c>
      <c r="V170" s="16">
        <f t="shared" si="23"/>
        <v>0</v>
      </c>
      <c r="W170" s="16">
        <f t="shared" si="23"/>
        <v>1</v>
      </c>
      <c r="X170" s="16" t="str">
        <f t="shared" si="18"/>
        <v>null</v>
      </c>
    </row>
    <row r="171" spans="1:24" x14ac:dyDescent="0.15">
      <c r="A171" s="20" t="str">
        <f t="shared" si="20"/>
        <v>23_1-4/33&lt;lv40&gt;s2</v>
      </c>
      <c r="B171" s="16">
        <f t="shared" si="24"/>
        <v>23</v>
      </c>
      <c r="C171" s="16">
        <f t="shared" si="24"/>
        <v>1</v>
      </c>
      <c r="D171" s="16">
        <f t="shared" si="24"/>
        <v>4</v>
      </c>
      <c r="E171" s="16">
        <f t="shared" si="24"/>
        <v>33</v>
      </c>
      <c r="F171" s="16">
        <f t="shared" si="24"/>
        <v>40</v>
      </c>
      <c r="G171" s="16">
        <f t="shared" si="24"/>
        <v>1</v>
      </c>
      <c r="H171" s="16">
        <f t="shared" si="24"/>
        <v>1</v>
      </c>
      <c r="I171" s="16">
        <f t="shared" si="24"/>
        <v>0</v>
      </c>
      <c r="J171" s="16">
        <f t="shared" si="24"/>
        <v>33</v>
      </c>
      <c r="K171" s="16">
        <f t="shared" si="24"/>
        <v>0</v>
      </c>
      <c r="L171" s="16">
        <f t="shared" si="24"/>
        <v>100</v>
      </c>
      <c r="M171" s="16">
        <f t="shared" si="24"/>
        <v>0</v>
      </c>
      <c r="N171" s="16">
        <f t="shared" si="24"/>
        <v>2</v>
      </c>
      <c r="O171" s="16">
        <f t="shared" si="24"/>
        <v>33</v>
      </c>
      <c r="P171" s="16">
        <f t="shared" si="24"/>
        <v>5</v>
      </c>
      <c r="Q171" s="16">
        <f t="shared" si="24"/>
        <v>2</v>
      </c>
      <c r="R171" s="16">
        <f t="shared" si="23"/>
        <v>20</v>
      </c>
      <c r="S171" s="16">
        <f t="shared" si="23"/>
        <v>0</v>
      </c>
      <c r="T171" s="16">
        <f t="shared" si="23"/>
        <v>0</v>
      </c>
      <c r="U171" s="16">
        <f t="shared" si="23"/>
        <v>0</v>
      </c>
      <c r="V171" s="16">
        <f t="shared" si="23"/>
        <v>0</v>
      </c>
      <c r="W171" s="16">
        <f t="shared" si="23"/>
        <v>1</v>
      </c>
      <c r="X171" s="16" t="str">
        <f t="shared" si="18"/>
        <v>null</v>
      </c>
    </row>
    <row r="172" spans="1:24" x14ac:dyDescent="0.15">
      <c r="A172" s="20" t="str">
        <f t="shared" si="20"/>
        <v>23_1-4/57&lt;lv40&gt;s2</v>
      </c>
      <c r="B172" s="16">
        <f t="shared" si="24"/>
        <v>23</v>
      </c>
      <c r="C172" s="16">
        <f t="shared" si="24"/>
        <v>1</v>
      </c>
      <c r="D172" s="16">
        <f t="shared" si="24"/>
        <v>4</v>
      </c>
      <c r="E172" s="16">
        <f t="shared" si="24"/>
        <v>57</v>
      </c>
      <c r="F172" s="16">
        <f t="shared" si="24"/>
        <v>40</v>
      </c>
      <c r="G172" s="16">
        <f t="shared" si="24"/>
        <v>1</v>
      </c>
      <c r="H172" s="16">
        <f t="shared" si="24"/>
        <v>1</v>
      </c>
      <c r="I172" s="16">
        <f t="shared" si="24"/>
        <v>0</v>
      </c>
      <c r="J172" s="16">
        <f t="shared" si="24"/>
        <v>57</v>
      </c>
      <c r="K172" s="16">
        <f t="shared" si="24"/>
        <v>0</v>
      </c>
      <c r="L172" s="16">
        <f t="shared" si="24"/>
        <v>100</v>
      </c>
      <c r="M172" s="16">
        <f t="shared" si="24"/>
        <v>0</v>
      </c>
      <c r="N172" s="16">
        <f t="shared" si="24"/>
        <v>2</v>
      </c>
      <c r="O172" s="16">
        <f t="shared" si="24"/>
        <v>57</v>
      </c>
      <c r="P172" s="16">
        <f t="shared" si="24"/>
        <v>7</v>
      </c>
      <c r="Q172" s="16">
        <f t="shared" si="24"/>
        <v>2</v>
      </c>
      <c r="R172" s="16">
        <f t="shared" si="23"/>
        <v>20</v>
      </c>
      <c r="S172" s="16">
        <f t="shared" si="23"/>
        <v>0</v>
      </c>
      <c r="T172" s="16">
        <f t="shared" si="23"/>
        <v>0</v>
      </c>
      <c r="U172" s="16">
        <f t="shared" si="23"/>
        <v>0</v>
      </c>
      <c r="V172" s="16">
        <f t="shared" si="23"/>
        <v>0</v>
      </c>
      <c r="W172" s="16">
        <f t="shared" si="23"/>
        <v>1</v>
      </c>
      <c r="X172" s="16" t="str">
        <f t="shared" si="18"/>
        <v>null</v>
      </c>
    </row>
    <row r="173" spans="1:24" x14ac:dyDescent="0.15">
      <c r="A173" s="20" t="str">
        <f t="shared" si="20"/>
        <v>23_1-4/59&lt;lv42&gt;s2</v>
      </c>
      <c r="B173" s="16">
        <f t="shared" si="24"/>
        <v>23</v>
      </c>
      <c r="C173" s="16">
        <f t="shared" si="24"/>
        <v>1</v>
      </c>
      <c r="D173" s="16">
        <f t="shared" si="24"/>
        <v>4</v>
      </c>
      <c r="E173" s="16">
        <f t="shared" si="24"/>
        <v>59</v>
      </c>
      <c r="F173" s="16">
        <f t="shared" si="24"/>
        <v>42</v>
      </c>
      <c r="G173" s="16">
        <f t="shared" si="24"/>
        <v>1</v>
      </c>
      <c r="H173" s="16">
        <f t="shared" si="24"/>
        <v>1</v>
      </c>
      <c r="I173" s="16">
        <f t="shared" si="24"/>
        <v>0</v>
      </c>
      <c r="J173" s="16">
        <f t="shared" si="24"/>
        <v>59</v>
      </c>
      <c r="K173" s="16">
        <f t="shared" si="24"/>
        <v>0</v>
      </c>
      <c r="L173" s="16">
        <f t="shared" si="24"/>
        <v>100</v>
      </c>
      <c r="M173" s="16">
        <f t="shared" si="24"/>
        <v>0</v>
      </c>
      <c r="N173" s="16">
        <f t="shared" si="24"/>
        <v>2</v>
      </c>
      <c r="O173" s="16">
        <f t="shared" si="24"/>
        <v>59</v>
      </c>
      <c r="P173" s="16">
        <f t="shared" si="24"/>
        <v>7</v>
      </c>
      <c r="Q173" s="16">
        <f t="shared" si="24"/>
        <v>2</v>
      </c>
      <c r="R173" s="16">
        <f t="shared" si="23"/>
        <v>20</v>
      </c>
      <c r="S173" s="16">
        <f t="shared" si="23"/>
        <v>0</v>
      </c>
      <c r="T173" s="16">
        <f t="shared" si="23"/>
        <v>0</v>
      </c>
      <c r="U173" s="16">
        <f t="shared" si="23"/>
        <v>0</v>
      </c>
      <c r="V173" s="16">
        <f t="shared" si="23"/>
        <v>0</v>
      </c>
      <c r="W173" s="16">
        <f t="shared" si="23"/>
        <v>1</v>
      </c>
      <c r="X173" s="16" t="str">
        <f t="shared" si="18"/>
        <v>null</v>
      </c>
    </row>
    <row r="174" spans="1:24" x14ac:dyDescent="0.15">
      <c r="A174" s="20" t="str">
        <f t="shared" si="20"/>
        <v>23_1-4/41&lt;lv40&gt;s1</v>
      </c>
      <c r="B174" s="16">
        <f t="shared" si="24"/>
        <v>23</v>
      </c>
      <c r="C174" s="16">
        <f t="shared" si="24"/>
        <v>1</v>
      </c>
      <c r="D174" s="16">
        <f t="shared" si="24"/>
        <v>4</v>
      </c>
      <c r="E174" s="16">
        <f t="shared" si="24"/>
        <v>41</v>
      </c>
      <c r="F174" s="16">
        <f t="shared" si="24"/>
        <v>40</v>
      </c>
      <c r="G174" s="16">
        <f t="shared" si="24"/>
        <v>1</v>
      </c>
      <c r="H174" s="16">
        <f t="shared" si="24"/>
        <v>1</v>
      </c>
      <c r="I174" s="16">
        <f t="shared" si="24"/>
        <v>0</v>
      </c>
      <c r="J174" s="16">
        <f t="shared" si="24"/>
        <v>0</v>
      </c>
      <c r="K174" s="16">
        <f t="shared" si="24"/>
        <v>0</v>
      </c>
      <c r="L174" s="16">
        <f t="shared" si="24"/>
        <v>100</v>
      </c>
      <c r="M174" s="16">
        <f t="shared" si="24"/>
        <v>0</v>
      </c>
      <c r="N174" s="16">
        <f t="shared" si="24"/>
        <v>1</v>
      </c>
      <c r="O174" s="16">
        <f t="shared" si="24"/>
        <v>41</v>
      </c>
      <c r="P174" s="16">
        <f t="shared" si="24"/>
        <v>7</v>
      </c>
      <c r="Q174" s="16">
        <f t="shared" ref="Q174:W189" si="25">VLOOKUP($A174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74" s="16">
        <f t="shared" si="25"/>
        <v>20</v>
      </c>
      <c r="S174" s="16">
        <f t="shared" si="25"/>
        <v>0</v>
      </c>
      <c r="T174" s="16">
        <f t="shared" si="25"/>
        <v>0</v>
      </c>
      <c r="U174" s="16">
        <f t="shared" si="25"/>
        <v>0</v>
      </c>
      <c r="V174" s="16">
        <f t="shared" si="25"/>
        <v>0</v>
      </c>
      <c r="W174" s="16">
        <f t="shared" si="25"/>
        <v>1</v>
      </c>
      <c r="X174" s="16" t="str">
        <f t="shared" si="18"/>
        <v>null</v>
      </c>
    </row>
    <row r="175" spans="1:24" x14ac:dyDescent="0.15">
      <c r="A175" s="20" t="str">
        <f t="shared" si="20"/>
        <v>23_1-4/43&lt;lv42&gt;s2</v>
      </c>
      <c r="B175" s="16">
        <f t="shared" ref="B175:Q190" si="26">VLOOKUP($A175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175" s="16">
        <f t="shared" si="26"/>
        <v>1</v>
      </c>
      <c r="D175" s="16">
        <f t="shared" si="26"/>
        <v>4</v>
      </c>
      <c r="E175" s="16">
        <f t="shared" si="26"/>
        <v>43</v>
      </c>
      <c r="F175" s="16">
        <f t="shared" si="26"/>
        <v>42</v>
      </c>
      <c r="G175" s="16">
        <f t="shared" si="26"/>
        <v>1</v>
      </c>
      <c r="H175" s="16">
        <f t="shared" si="26"/>
        <v>1</v>
      </c>
      <c r="I175" s="16">
        <f t="shared" si="26"/>
        <v>0</v>
      </c>
      <c r="J175" s="16">
        <f t="shared" si="26"/>
        <v>0</v>
      </c>
      <c r="K175" s="16">
        <f t="shared" si="26"/>
        <v>0</v>
      </c>
      <c r="L175" s="16">
        <f t="shared" si="26"/>
        <v>100</v>
      </c>
      <c r="M175" s="16">
        <f t="shared" si="26"/>
        <v>0</v>
      </c>
      <c r="N175" s="16">
        <f t="shared" si="26"/>
        <v>2</v>
      </c>
      <c r="O175" s="16">
        <f t="shared" si="26"/>
        <v>43</v>
      </c>
      <c r="P175" s="16">
        <f t="shared" si="26"/>
        <v>7</v>
      </c>
      <c r="Q175" s="16">
        <f t="shared" si="26"/>
        <v>2</v>
      </c>
      <c r="R175" s="16">
        <f t="shared" si="25"/>
        <v>20</v>
      </c>
      <c r="S175" s="16">
        <f t="shared" si="25"/>
        <v>0</v>
      </c>
      <c r="T175" s="16">
        <f t="shared" si="25"/>
        <v>0</v>
      </c>
      <c r="U175" s="16">
        <f t="shared" si="25"/>
        <v>0</v>
      </c>
      <c r="V175" s="16">
        <f t="shared" si="25"/>
        <v>0</v>
      </c>
      <c r="W175" s="16">
        <f t="shared" si="25"/>
        <v>1</v>
      </c>
      <c r="X175" s="16" t="str">
        <f t="shared" si="18"/>
        <v>null</v>
      </c>
    </row>
    <row r="176" spans="1:24" x14ac:dyDescent="0.15">
      <c r="A176" s="20" t="str">
        <f t="shared" si="20"/>
        <v>23_1-4/360&lt;lv40&gt;s3</v>
      </c>
      <c r="B176" s="16">
        <f t="shared" si="26"/>
        <v>23</v>
      </c>
      <c r="C176" s="16">
        <f t="shared" si="26"/>
        <v>1</v>
      </c>
      <c r="D176" s="16">
        <f t="shared" si="26"/>
        <v>4</v>
      </c>
      <c r="E176" s="16">
        <f t="shared" si="26"/>
        <v>360</v>
      </c>
      <c r="F176" s="16">
        <f t="shared" si="26"/>
        <v>40</v>
      </c>
      <c r="G176" s="16">
        <f t="shared" si="26"/>
        <v>1</v>
      </c>
      <c r="H176" s="16">
        <f t="shared" si="26"/>
        <v>1</v>
      </c>
      <c r="I176" s="16">
        <f t="shared" si="26"/>
        <v>0</v>
      </c>
      <c r="J176" s="16">
        <f t="shared" si="26"/>
        <v>360</v>
      </c>
      <c r="K176" s="16">
        <f t="shared" si="26"/>
        <v>0</v>
      </c>
      <c r="L176" s="16">
        <f t="shared" si="26"/>
        <v>100</v>
      </c>
      <c r="M176" s="16">
        <f t="shared" si="26"/>
        <v>0</v>
      </c>
      <c r="N176" s="16">
        <f t="shared" si="26"/>
        <v>3</v>
      </c>
      <c r="O176" s="16">
        <f t="shared" si="26"/>
        <v>360</v>
      </c>
      <c r="P176" s="16">
        <f t="shared" si="26"/>
        <v>7</v>
      </c>
      <c r="Q176" s="16">
        <f t="shared" si="26"/>
        <v>2</v>
      </c>
      <c r="R176" s="16">
        <f t="shared" si="25"/>
        <v>20</v>
      </c>
      <c r="S176" s="16">
        <f t="shared" si="25"/>
        <v>0</v>
      </c>
      <c r="T176" s="16">
        <f t="shared" si="25"/>
        <v>0</v>
      </c>
      <c r="U176" s="16">
        <f t="shared" si="25"/>
        <v>0</v>
      </c>
      <c r="V176" s="16">
        <f t="shared" si="25"/>
        <v>0</v>
      </c>
      <c r="W176" s="16">
        <f t="shared" si="25"/>
        <v>1</v>
      </c>
      <c r="X176" s="16" t="str">
        <f t="shared" si="18"/>
        <v>null</v>
      </c>
    </row>
    <row r="177" spans="1:24" x14ac:dyDescent="0.15">
      <c r="A177" s="20" t="str">
        <f t="shared" si="20"/>
        <v>23_1-4/362&lt;lv42&gt;s3</v>
      </c>
      <c r="B177" s="16">
        <f t="shared" si="26"/>
        <v>23</v>
      </c>
      <c r="C177" s="16">
        <f t="shared" si="26"/>
        <v>1</v>
      </c>
      <c r="D177" s="16">
        <f t="shared" si="26"/>
        <v>4</v>
      </c>
      <c r="E177" s="16">
        <f t="shared" si="26"/>
        <v>362</v>
      </c>
      <c r="F177" s="16">
        <f t="shared" si="26"/>
        <v>42</v>
      </c>
      <c r="G177" s="16">
        <f t="shared" si="26"/>
        <v>1</v>
      </c>
      <c r="H177" s="16">
        <f t="shared" si="26"/>
        <v>1</v>
      </c>
      <c r="I177" s="16">
        <f t="shared" si="26"/>
        <v>0</v>
      </c>
      <c r="J177" s="16">
        <f t="shared" si="26"/>
        <v>362</v>
      </c>
      <c r="K177" s="16">
        <f t="shared" si="26"/>
        <v>0</v>
      </c>
      <c r="L177" s="16">
        <f t="shared" si="26"/>
        <v>100</v>
      </c>
      <c r="M177" s="16">
        <f t="shared" si="26"/>
        <v>0</v>
      </c>
      <c r="N177" s="16">
        <f t="shared" si="26"/>
        <v>3</v>
      </c>
      <c r="O177" s="16">
        <f t="shared" si="26"/>
        <v>362</v>
      </c>
      <c r="P177" s="16">
        <f t="shared" si="26"/>
        <v>7</v>
      </c>
      <c r="Q177" s="16">
        <f t="shared" si="26"/>
        <v>2</v>
      </c>
      <c r="R177" s="16">
        <f t="shared" si="25"/>
        <v>20</v>
      </c>
      <c r="S177" s="16">
        <f t="shared" si="25"/>
        <v>0</v>
      </c>
      <c r="T177" s="16">
        <f t="shared" si="25"/>
        <v>0</v>
      </c>
      <c r="U177" s="16">
        <f t="shared" si="25"/>
        <v>0</v>
      </c>
      <c r="V177" s="16">
        <f t="shared" si="25"/>
        <v>0</v>
      </c>
      <c r="W177" s="16">
        <f t="shared" si="25"/>
        <v>1</v>
      </c>
      <c r="X177" s="16" t="str">
        <f t="shared" si="18"/>
        <v>null</v>
      </c>
    </row>
    <row r="178" spans="1:24" x14ac:dyDescent="0.15">
      <c r="A178" s="20" t="str">
        <f t="shared" si="20"/>
        <v>23_1-4/348&lt;lv40&gt;s3</v>
      </c>
      <c r="B178" s="16">
        <f t="shared" si="26"/>
        <v>23</v>
      </c>
      <c r="C178" s="16">
        <f t="shared" si="26"/>
        <v>1</v>
      </c>
      <c r="D178" s="16">
        <f t="shared" si="26"/>
        <v>4</v>
      </c>
      <c r="E178" s="16">
        <f t="shared" si="26"/>
        <v>348</v>
      </c>
      <c r="F178" s="16">
        <f t="shared" si="26"/>
        <v>40</v>
      </c>
      <c r="G178" s="16">
        <f t="shared" si="26"/>
        <v>1</v>
      </c>
      <c r="H178" s="16">
        <f t="shared" si="26"/>
        <v>1</v>
      </c>
      <c r="I178" s="16">
        <f t="shared" si="26"/>
        <v>0</v>
      </c>
      <c r="J178" s="16">
        <f t="shared" si="26"/>
        <v>348</v>
      </c>
      <c r="K178" s="16">
        <f t="shared" si="26"/>
        <v>0</v>
      </c>
      <c r="L178" s="16">
        <f t="shared" si="26"/>
        <v>100</v>
      </c>
      <c r="M178" s="16">
        <f t="shared" si="26"/>
        <v>0</v>
      </c>
      <c r="N178" s="16">
        <f t="shared" si="26"/>
        <v>3</v>
      </c>
      <c r="O178" s="16">
        <f t="shared" si="26"/>
        <v>348</v>
      </c>
      <c r="P178" s="16">
        <f t="shared" si="26"/>
        <v>1</v>
      </c>
      <c r="Q178" s="16">
        <f t="shared" si="26"/>
        <v>2</v>
      </c>
      <c r="R178" s="16">
        <f t="shared" si="25"/>
        <v>27</v>
      </c>
      <c r="S178" s="16">
        <f t="shared" si="25"/>
        <v>0</v>
      </c>
      <c r="T178" s="16">
        <f t="shared" si="25"/>
        <v>0</v>
      </c>
      <c r="U178" s="16">
        <f t="shared" si="25"/>
        <v>0</v>
      </c>
      <c r="V178" s="16">
        <f t="shared" si="25"/>
        <v>0</v>
      </c>
      <c r="W178" s="16">
        <f t="shared" si="25"/>
        <v>1</v>
      </c>
      <c r="X178" s="16" t="str">
        <f t="shared" si="18"/>
        <v>null</v>
      </c>
    </row>
    <row r="179" spans="1:24" x14ac:dyDescent="0.15">
      <c r="A179" s="20" t="str">
        <f t="shared" si="20"/>
        <v>23_1-5/217&lt;lv45&gt;s3</v>
      </c>
      <c r="B179" s="16">
        <f t="shared" si="26"/>
        <v>23</v>
      </c>
      <c r="C179" s="16">
        <f t="shared" si="26"/>
        <v>1</v>
      </c>
      <c r="D179" s="16">
        <f t="shared" si="26"/>
        <v>5</v>
      </c>
      <c r="E179" s="16">
        <f t="shared" si="26"/>
        <v>217</v>
      </c>
      <c r="F179" s="16">
        <f t="shared" si="26"/>
        <v>45</v>
      </c>
      <c r="G179" s="16">
        <f t="shared" si="26"/>
        <v>1</v>
      </c>
      <c r="H179" s="16">
        <f t="shared" si="26"/>
        <v>1.2</v>
      </c>
      <c r="I179" s="16">
        <f t="shared" si="26"/>
        <v>0</v>
      </c>
      <c r="J179" s="16">
        <f t="shared" si="26"/>
        <v>21702</v>
      </c>
      <c r="K179" s="16">
        <f t="shared" si="26"/>
        <v>1</v>
      </c>
      <c r="L179" s="16">
        <f t="shared" si="26"/>
        <v>100</v>
      </c>
      <c r="M179" s="16">
        <f t="shared" si="26"/>
        <v>1</v>
      </c>
      <c r="N179" s="16">
        <f t="shared" si="26"/>
        <v>3</v>
      </c>
      <c r="O179" s="16">
        <f t="shared" si="26"/>
        <v>217</v>
      </c>
      <c r="P179" s="16">
        <f t="shared" si="26"/>
        <v>1</v>
      </c>
      <c r="Q179" s="16">
        <f t="shared" si="26"/>
        <v>3</v>
      </c>
      <c r="R179" s="16">
        <f t="shared" si="25"/>
        <v>0</v>
      </c>
      <c r="S179" s="16">
        <f t="shared" si="25"/>
        <v>0</v>
      </c>
      <c r="T179" s="16">
        <f t="shared" si="25"/>
        <v>0</v>
      </c>
      <c r="U179" s="16">
        <f t="shared" si="25"/>
        <v>0</v>
      </c>
      <c r="V179" s="16">
        <f t="shared" si="25"/>
        <v>0</v>
      </c>
      <c r="W179" s="16">
        <f t="shared" si="25"/>
        <v>1</v>
      </c>
      <c r="X179" s="16" t="str">
        <f t="shared" si="18"/>
        <v>null</v>
      </c>
    </row>
    <row r="180" spans="1:24" x14ac:dyDescent="0.15">
      <c r="A180" s="20" t="str">
        <f t="shared" si="20"/>
        <v>23_1-5/43&lt;lv45&gt;s2</v>
      </c>
      <c r="B180" s="16">
        <f t="shared" si="26"/>
        <v>23</v>
      </c>
      <c r="C180" s="16">
        <f t="shared" si="26"/>
        <v>1</v>
      </c>
      <c r="D180" s="16">
        <f t="shared" si="26"/>
        <v>5</v>
      </c>
      <c r="E180" s="16">
        <f t="shared" si="26"/>
        <v>43</v>
      </c>
      <c r="F180" s="16">
        <f t="shared" si="26"/>
        <v>45</v>
      </c>
      <c r="G180" s="16">
        <f t="shared" si="26"/>
        <v>2</v>
      </c>
      <c r="H180" s="16">
        <f t="shared" si="26"/>
        <v>1</v>
      </c>
      <c r="I180" s="16">
        <f t="shared" si="26"/>
        <v>0</v>
      </c>
      <c r="J180" s="16">
        <f t="shared" si="26"/>
        <v>0</v>
      </c>
      <c r="K180" s="16">
        <f t="shared" si="26"/>
        <v>2</v>
      </c>
      <c r="L180" s="16">
        <f t="shared" si="26"/>
        <v>100</v>
      </c>
      <c r="M180" s="16">
        <f t="shared" si="26"/>
        <v>0</v>
      </c>
      <c r="N180" s="16">
        <f t="shared" si="26"/>
        <v>2</v>
      </c>
      <c r="O180" s="16">
        <f t="shared" si="26"/>
        <v>43</v>
      </c>
      <c r="P180" s="16">
        <f t="shared" si="26"/>
        <v>7</v>
      </c>
      <c r="Q180" s="16">
        <f t="shared" si="26"/>
        <v>2</v>
      </c>
      <c r="R180" s="16">
        <f t="shared" si="25"/>
        <v>0</v>
      </c>
      <c r="S180" s="16">
        <f t="shared" si="25"/>
        <v>0</v>
      </c>
      <c r="T180" s="16">
        <f t="shared" si="25"/>
        <v>0</v>
      </c>
      <c r="U180" s="16">
        <f t="shared" si="25"/>
        <v>0</v>
      </c>
      <c r="V180" s="16">
        <f t="shared" si="25"/>
        <v>0</v>
      </c>
      <c r="W180" s="16">
        <f t="shared" si="25"/>
        <v>1</v>
      </c>
      <c r="X180" s="16" t="str">
        <f t="shared" si="18"/>
        <v>null</v>
      </c>
    </row>
    <row r="181" spans="1:24" x14ac:dyDescent="0.15">
      <c r="A181" s="20" t="str">
        <f t="shared" si="20"/>
        <v>23_2-1/9&lt;lv42&gt;s2</v>
      </c>
      <c r="B181" s="16">
        <f t="shared" si="26"/>
        <v>23</v>
      </c>
      <c r="C181" s="16">
        <f t="shared" si="26"/>
        <v>2</v>
      </c>
      <c r="D181" s="16">
        <f t="shared" si="26"/>
        <v>1</v>
      </c>
      <c r="E181" s="16">
        <f t="shared" si="26"/>
        <v>9</v>
      </c>
      <c r="F181" s="16">
        <f t="shared" si="26"/>
        <v>42</v>
      </c>
      <c r="G181" s="16">
        <f t="shared" si="26"/>
        <v>1</v>
      </c>
      <c r="H181" s="16">
        <f t="shared" si="26"/>
        <v>1</v>
      </c>
      <c r="I181" s="16">
        <f t="shared" si="26"/>
        <v>0</v>
      </c>
      <c r="J181" s="16">
        <f t="shared" si="26"/>
        <v>0</v>
      </c>
      <c r="K181" s="16">
        <f t="shared" si="26"/>
        <v>0</v>
      </c>
      <c r="L181" s="16">
        <f t="shared" si="26"/>
        <v>100</v>
      </c>
      <c r="M181" s="16">
        <f t="shared" si="26"/>
        <v>0</v>
      </c>
      <c r="N181" s="16">
        <f t="shared" si="26"/>
        <v>2</v>
      </c>
      <c r="O181" s="16">
        <f t="shared" si="26"/>
        <v>9</v>
      </c>
      <c r="P181" s="16">
        <f t="shared" si="26"/>
        <v>9</v>
      </c>
      <c r="Q181" s="16">
        <f t="shared" si="26"/>
        <v>1</v>
      </c>
      <c r="R181" s="16">
        <f t="shared" si="25"/>
        <v>15</v>
      </c>
      <c r="S181" s="16">
        <f t="shared" si="25"/>
        <v>0</v>
      </c>
      <c r="T181" s="16">
        <f t="shared" si="25"/>
        <v>0</v>
      </c>
      <c r="U181" s="16">
        <f t="shared" si="25"/>
        <v>0</v>
      </c>
      <c r="V181" s="16">
        <f t="shared" si="25"/>
        <v>0</v>
      </c>
      <c r="W181" s="16">
        <f t="shared" si="25"/>
        <v>1</v>
      </c>
      <c r="X181" s="16" t="str">
        <f t="shared" si="18"/>
        <v>null</v>
      </c>
    </row>
    <row r="182" spans="1:24" x14ac:dyDescent="0.15">
      <c r="A182" s="20" t="str">
        <f t="shared" si="20"/>
        <v>23_2-1/33&lt;lv42&gt;s2</v>
      </c>
      <c r="B182" s="16">
        <f t="shared" si="26"/>
        <v>23</v>
      </c>
      <c r="C182" s="16">
        <f t="shared" si="26"/>
        <v>2</v>
      </c>
      <c r="D182" s="16">
        <f t="shared" si="26"/>
        <v>1</v>
      </c>
      <c r="E182" s="16">
        <f t="shared" si="26"/>
        <v>33</v>
      </c>
      <c r="F182" s="16">
        <f t="shared" si="26"/>
        <v>42</v>
      </c>
      <c r="G182" s="16">
        <f t="shared" si="26"/>
        <v>1</v>
      </c>
      <c r="H182" s="16">
        <f t="shared" si="26"/>
        <v>1</v>
      </c>
      <c r="I182" s="16">
        <f t="shared" si="26"/>
        <v>0</v>
      </c>
      <c r="J182" s="16">
        <f t="shared" si="26"/>
        <v>33</v>
      </c>
      <c r="K182" s="16">
        <f t="shared" si="26"/>
        <v>0</v>
      </c>
      <c r="L182" s="16">
        <f t="shared" si="26"/>
        <v>100</v>
      </c>
      <c r="M182" s="16">
        <f t="shared" si="26"/>
        <v>0</v>
      </c>
      <c r="N182" s="16">
        <f t="shared" si="26"/>
        <v>2</v>
      </c>
      <c r="O182" s="16">
        <f t="shared" si="26"/>
        <v>33</v>
      </c>
      <c r="P182" s="16">
        <f t="shared" si="26"/>
        <v>5</v>
      </c>
      <c r="Q182" s="16">
        <f t="shared" si="26"/>
        <v>2</v>
      </c>
      <c r="R182" s="16">
        <f t="shared" si="25"/>
        <v>20</v>
      </c>
      <c r="S182" s="16">
        <f t="shared" si="25"/>
        <v>0</v>
      </c>
      <c r="T182" s="16">
        <f t="shared" si="25"/>
        <v>0</v>
      </c>
      <c r="U182" s="16">
        <f t="shared" si="25"/>
        <v>0</v>
      </c>
      <c r="V182" s="16">
        <f t="shared" si="25"/>
        <v>0</v>
      </c>
      <c r="W182" s="16">
        <f t="shared" si="25"/>
        <v>1</v>
      </c>
      <c r="X182" s="16" t="str">
        <f t="shared" si="18"/>
        <v>null</v>
      </c>
    </row>
    <row r="183" spans="1:24" x14ac:dyDescent="0.15">
      <c r="A183" s="20" t="str">
        <f t="shared" si="20"/>
        <v>23_2-1/57&lt;lv42&gt;s2</v>
      </c>
      <c r="B183" s="16">
        <f t="shared" si="26"/>
        <v>23</v>
      </c>
      <c r="C183" s="16">
        <f t="shared" si="26"/>
        <v>2</v>
      </c>
      <c r="D183" s="16">
        <f t="shared" si="26"/>
        <v>1</v>
      </c>
      <c r="E183" s="16">
        <f t="shared" si="26"/>
        <v>57</v>
      </c>
      <c r="F183" s="16">
        <f t="shared" si="26"/>
        <v>42</v>
      </c>
      <c r="G183" s="16">
        <f t="shared" si="26"/>
        <v>1</v>
      </c>
      <c r="H183" s="16">
        <f t="shared" si="26"/>
        <v>1</v>
      </c>
      <c r="I183" s="16">
        <f t="shared" si="26"/>
        <v>0</v>
      </c>
      <c r="J183" s="16">
        <f t="shared" si="26"/>
        <v>57</v>
      </c>
      <c r="K183" s="16">
        <f t="shared" si="26"/>
        <v>0</v>
      </c>
      <c r="L183" s="16">
        <f t="shared" si="26"/>
        <v>100</v>
      </c>
      <c r="M183" s="16">
        <f t="shared" si="26"/>
        <v>0</v>
      </c>
      <c r="N183" s="16">
        <f t="shared" si="26"/>
        <v>2</v>
      </c>
      <c r="O183" s="16">
        <f t="shared" si="26"/>
        <v>57</v>
      </c>
      <c r="P183" s="16">
        <f t="shared" si="26"/>
        <v>7</v>
      </c>
      <c r="Q183" s="16">
        <f t="shared" si="26"/>
        <v>2</v>
      </c>
      <c r="R183" s="16">
        <f t="shared" si="25"/>
        <v>20</v>
      </c>
      <c r="S183" s="16">
        <f t="shared" si="25"/>
        <v>0</v>
      </c>
      <c r="T183" s="16">
        <f t="shared" si="25"/>
        <v>0</v>
      </c>
      <c r="U183" s="16">
        <f t="shared" si="25"/>
        <v>0</v>
      </c>
      <c r="V183" s="16">
        <f t="shared" si="25"/>
        <v>0</v>
      </c>
      <c r="W183" s="16">
        <f t="shared" si="25"/>
        <v>1</v>
      </c>
      <c r="X183" s="16" t="str">
        <f t="shared" si="18"/>
        <v>null</v>
      </c>
    </row>
    <row r="184" spans="1:24" x14ac:dyDescent="0.15">
      <c r="A184" s="20" t="str">
        <f t="shared" si="20"/>
        <v>23_2-1/21&lt;lv42&gt;s2</v>
      </c>
      <c r="B184" s="16">
        <f t="shared" si="26"/>
        <v>23</v>
      </c>
      <c r="C184" s="16">
        <f t="shared" si="26"/>
        <v>2</v>
      </c>
      <c r="D184" s="16">
        <f t="shared" si="26"/>
        <v>1</v>
      </c>
      <c r="E184" s="16">
        <f t="shared" si="26"/>
        <v>21</v>
      </c>
      <c r="F184" s="16">
        <f t="shared" si="26"/>
        <v>42</v>
      </c>
      <c r="G184" s="16">
        <f t="shared" si="26"/>
        <v>1</v>
      </c>
      <c r="H184" s="16">
        <f t="shared" si="26"/>
        <v>1</v>
      </c>
      <c r="I184" s="16">
        <f t="shared" si="26"/>
        <v>0</v>
      </c>
      <c r="J184" s="16">
        <f t="shared" si="26"/>
        <v>0</v>
      </c>
      <c r="K184" s="16">
        <f t="shared" si="26"/>
        <v>0</v>
      </c>
      <c r="L184" s="16">
        <f t="shared" si="26"/>
        <v>100</v>
      </c>
      <c r="M184" s="16">
        <f t="shared" si="26"/>
        <v>0</v>
      </c>
      <c r="N184" s="16">
        <f t="shared" si="26"/>
        <v>2</v>
      </c>
      <c r="O184" s="16">
        <f t="shared" si="26"/>
        <v>21</v>
      </c>
      <c r="P184" s="16">
        <f t="shared" si="26"/>
        <v>7</v>
      </c>
      <c r="Q184" s="16">
        <f t="shared" si="26"/>
        <v>1</v>
      </c>
      <c r="R184" s="16">
        <f t="shared" si="25"/>
        <v>15</v>
      </c>
      <c r="S184" s="16">
        <f t="shared" si="25"/>
        <v>0</v>
      </c>
      <c r="T184" s="16">
        <f t="shared" si="25"/>
        <v>0</v>
      </c>
      <c r="U184" s="16">
        <f t="shared" si="25"/>
        <v>0</v>
      </c>
      <c r="V184" s="16">
        <f t="shared" si="25"/>
        <v>0</v>
      </c>
      <c r="W184" s="16">
        <f t="shared" si="25"/>
        <v>1</v>
      </c>
      <c r="X184" s="16" t="str">
        <f t="shared" si="18"/>
        <v>null</v>
      </c>
    </row>
    <row r="185" spans="1:24" x14ac:dyDescent="0.15">
      <c r="A185" s="20" t="str">
        <f t="shared" si="20"/>
        <v>23_2-1/41&lt;lv42&gt;s1</v>
      </c>
      <c r="B185" s="16">
        <f t="shared" si="26"/>
        <v>23</v>
      </c>
      <c r="C185" s="16">
        <f t="shared" si="26"/>
        <v>2</v>
      </c>
      <c r="D185" s="16">
        <f t="shared" si="26"/>
        <v>1</v>
      </c>
      <c r="E185" s="16">
        <f t="shared" si="26"/>
        <v>41</v>
      </c>
      <c r="F185" s="16">
        <f t="shared" si="26"/>
        <v>42</v>
      </c>
      <c r="G185" s="16">
        <f t="shared" si="26"/>
        <v>1</v>
      </c>
      <c r="H185" s="16">
        <f t="shared" si="26"/>
        <v>1</v>
      </c>
      <c r="I185" s="16">
        <f t="shared" si="26"/>
        <v>0</v>
      </c>
      <c r="J185" s="16">
        <f t="shared" si="26"/>
        <v>0</v>
      </c>
      <c r="K185" s="16">
        <f t="shared" si="26"/>
        <v>0</v>
      </c>
      <c r="L185" s="16">
        <f t="shared" si="26"/>
        <v>100</v>
      </c>
      <c r="M185" s="16">
        <f t="shared" si="26"/>
        <v>0</v>
      </c>
      <c r="N185" s="16">
        <f t="shared" si="26"/>
        <v>1</v>
      </c>
      <c r="O185" s="16">
        <f t="shared" si="26"/>
        <v>41</v>
      </c>
      <c r="P185" s="16">
        <f t="shared" si="26"/>
        <v>7</v>
      </c>
      <c r="Q185" s="16">
        <f t="shared" si="26"/>
        <v>2</v>
      </c>
      <c r="R185" s="16">
        <f t="shared" si="25"/>
        <v>20</v>
      </c>
      <c r="S185" s="16">
        <f t="shared" si="25"/>
        <v>0</v>
      </c>
      <c r="T185" s="16">
        <f t="shared" si="25"/>
        <v>0</v>
      </c>
      <c r="U185" s="16">
        <f t="shared" si="25"/>
        <v>0</v>
      </c>
      <c r="V185" s="16">
        <f t="shared" si="25"/>
        <v>0</v>
      </c>
      <c r="W185" s="16">
        <f t="shared" si="25"/>
        <v>1</v>
      </c>
      <c r="X185" s="16" t="str">
        <f t="shared" si="18"/>
        <v>null</v>
      </c>
    </row>
    <row r="186" spans="1:24" x14ac:dyDescent="0.15">
      <c r="A186" s="20" t="str">
        <f t="shared" si="20"/>
        <v>23_2-1/360&lt;lv42&gt;s3</v>
      </c>
      <c r="B186" s="16">
        <f t="shared" si="26"/>
        <v>23</v>
      </c>
      <c r="C186" s="16">
        <f t="shared" si="26"/>
        <v>2</v>
      </c>
      <c r="D186" s="16">
        <f t="shared" si="26"/>
        <v>1</v>
      </c>
      <c r="E186" s="16">
        <f t="shared" si="26"/>
        <v>360</v>
      </c>
      <c r="F186" s="16">
        <f t="shared" si="26"/>
        <v>42</v>
      </c>
      <c r="G186" s="16">
        <f t="shared" si="26"/>
        <v>1</v>
      </c>
      <c r="H186" s="16">
        <f t="shared" si="26"/>
        <v>1</v>
      </c>
      <c r="I186" s="16">
        <f t="shared" si="26"/>
        <v>0</v>
      </c>
      <c r="J186" s="16">
        <f t="shared" si="26"/>
        <v>360</v>
      </c>
      <c r="K186" s="16">
        <f t="shared" si="26"/>
        <v>0</v>
      </c>
      <c r="L186" s="16">
        <f t="shared" si="26"/>
        <v>100</v>
      </c>
      <c r="M186" s="16">
        <f t="shared" si="26"/>
        <v>0</v>
      </c>
      <c r="N186" s="16">
        <f t="shared" si="26"/>
        <v>3</v>
      </c>
      <c r="O186" s="16">
        <f t="shared" si="26"/>
        <v>360</v>
      </c>
      <c r="P186" s="16">
        <f t="shared" si="26"/>
        <v>7</v>
      </c>
      <c r="Q186" s="16">
        <f t="shared" si="26"/>
        <v>2</v>
      </c>
      <c r="R186" s="16">
        <f t="shared" si="25"/>
        <v>20</v>
      </c>
      <c r="S186" s="16">
        <f t="shared" si="25"/>
        <v>0</v>
      </c>
      <c r="T186" s="16">
        <f t="shared" si="25"/>
        <v>0</v>
      </c>
      <c r="U186" s="16">
        <f t="shared" si="25"/>
        <v>0</v>
      </c>
      <c r="V186" s="16">
        <f t="shared" si="25"/>
        <v>0</v>
      </c>
      <c r="W186" s="16">
        <f t="shared" si="25"/>
        <v>1</v>
      </c>
      <c r="X186" s="16" t="str">
        <f t="shared" si="18"/>
        <v>null</v>
      </c>
    </row>
    <row r="187" spans="1:24" x14ac:dyDescent="0.15">
      <c r="A187" s="20" t="str">
        <f t="shared" si="20"/>
        <v>23_2-1/348&lt;lv42&gt;s3</v>
      </c>
      <c r="B187" s="16">
        <f t="shared" si="26"/>
        <v>23</v>
      </c>
      <c r="C187" s="16">
        <f t="shared" si="26"/>
        <v>2</v>
      </c>
      <c r="D187" s="16">
        <f t="shared" si="26"/>
        <v>1</v>
      </c>
      <c r="E187" s="16">
        <f t="shared" si="26"/>
        <v>348</v>
      </c>
      <c r="F187" s="16">
        <f t="shared" si="26"/>
        <v>42</v>
      </c>
      <c r="G187" s="16">
        <f t="shared" si="26"/>
        <v>1</v>
      </c>
      <c r="H187" s="16">
        <f t="shared" si="26"/>
        <v>1</v>
      </c>
      <c r="I187" s="16">
        <f t="shared" si="26"/>
        <v>0</v>
      </c>
      <c r="J187" s="16">
        <f t="shared" si="26"/>
        <v>348</v>
      </c>
      <c r="K187" s="16">
        <f t="shared" si="26"/>
        <v>0</v>
      </c>
      <c r="L187" s="16">
        <f t="shared" si="26"/>
        <v>100</v>
      </c>
      <c r="M187" s="16">
        <f t="shared" si="26"/>
        <v>0</v>
      </c>
      <c r="N187" s="16">
        <f t="shared" si="26"/>
        <v>3</v>
      </c>
      <c r="O187" s="16">
        <f t="shared" si="26"/>
        <v>348</v>
      </c>
      <c r="P187" s="16">
        <f t="shared" si="26"/>
        <v>1</v>
      </c>
      <c r="Q187" s="16">
        <f t="shared" si="26"/>
        <v>2</v>
      </c>
      <c r="R187" s="16">
        <f t="shared" si="25"/>
        <v>27</v>
      </c>
      <c r="S187" s="16">
        <f t="shared" si="25"/>
        <v>0</v>
      </c>
      <c r="T187" s="16">
        <f t="shared" si="25"/>
        <v>0</v>
      </c>
      <c r="U187" s="16">
        <f t="shared" si="25"/>
        <v>0</v>
      </c>
      <c r="V187" s="16">
        <f t="shared" si="25"/>
        <v>0</v>
      </c>
      <c r="W187" s="16">
        <f t="shared" si="25"/>
        <v>1</v>
      </c>
      <c r="X187" s="16" t="str">
        <f t="shared" si="18"/>
        <v>null</v>
      </c>
    </row>
    <row r="188" spans="1:24" x14ac:dyDescent="0.15">
      <c r="A188" s="20" t="str">
        <f t="shared" si="20"/>
        <v>23_2-2/11&lt;lv44&gt;s3</v>
      </c>
      <c r="B188" s="16">
        <f t="shared" si="26"/>
        <v>23</v>
      </c>
      <c r="C188" s="16">
        <f t="shared" si="26"/>
        <v>2</v>
      </c>
      <c r="D188" s="16">
        <f t="shared" si="26"/>
        <v>2</v>
      </c>
      <c r="E188" s="16">
        <f t="shared" si="26"/>
        <v>11</v>
      </c>
      <c r="F188" s="16">
        <f t="shared" si="26"/>
        <v>44</v>
      </c>
      <c r="G188" s="16">
        <f t="shared" si="26"/>
        <v>1</v>
      </c>
      <c r="H188" s="16">
        <f t="shared" si="26"/>
        <v>1</v>
      </c>
      <c r="I188" s="16">
        <f t="shared" si="26"/>
        <v>0</v>
      </c>
      <c r="J188" s="16">
        <f t="shared" si="26"/>
        <v>0</v>
      </c>
      <c r="K188" s="16">
        <f t="shared" si="26"/>
        <v>0</v>
      </c>
      <c r="L188" s="16">
        <f t="shared" si="26"/>
        <v>100</v>
      </c>
      <c r="M188" s="16">
        <f t="shared" si="26"/>
        <v>0</v>
      </c>
      <c r="N188" s="16">
        <f t="shared" si="26"/>
        <v>3</v>
      </c>
      <c r="O188" s="16">
        <f t="shared" si="26"/>
        <v>11</v>
      </c>
      <c r="P188" s="16">
        <f t="shared" si="26"/>
        <v>9</v>
      </c>
      <c r="Q188" s="16">
        <f t="shared" si="26"/>
        <v>1</v>
      </c>
      <c r="R188" s="16">
        <f t="shared" si="25"/>
        <v>15</v>
      </c>
      <c r="S188" s="16">
        <f t="shared" si="25"/>
        <v>0</v>
      </c>
      <c r="T188" s="16">
        <f t="shared" si="25"/>
        <v>0</v>
      </c>
      <c r="U188" s="16">
        <f t="shared" si="25"/>
        <v>0</v>
      </c>
      <c r="V188" s="16">
        <f t="shared" si="25"/>
        <v>0</v>
      </c>
      <c r="W188" s="16">
        <f t="shared" si="25"/>
        <v>1</v>
      </c>
      <c r="X188" s="16" t="str">
        <f t="shared" si="18"/>
        <v>null</v>
      </c>
    </row>
    <row r="189" spans="1:24" x14ac:dyDescent="0.15">
      <c r="A189" s="20" t="str">
        <f t="shared" si="20"/>
        <v>23_2-2/23&lt;lv44&gt;s4</v>
      </c>
      <c r="B189" s="16">
        <f t="shared" si="26"/>
        <v>23</v>
      </c>
      <c r="C189" s="16">
        <f t="shared" si="26"/>
        <v>2</v>
      </c>
      <c r="D189" s="16">
        <f t="shared" si="26"/>
        <v>2</v>
      </c>
      <c r="E189" s="16">
        <f t="shared" si="26"/>
        <v>23</v>
      </c>
      <c r="F189" s="16">
        <f t="shared" si="26"/>
        <v>44</v>
      </c>
      <c r="G189" s="16">
        <f t="shared" si="26"/>
        <v>1</v>
      </c>
      <c r="H189" s="16">
        <f t="shared" si="26"/>
        <v>1</v>
      </c>
      <c r="I189" s="16">
        <f t="shared" si="26"/>
        <v>0</v>
      </c>
      <c r="J189" s="16">
        <f t="shared" si="26"/>
        <v>0</v>
      </c>
      <c r="K189" s="16">
        <f t="shared" si="26"/>
        <v>0</v>
      </c>
      <c r="L189" s="16">
        <f t="shared" si="26"/>
        <v>100</v>
      </c>
      <c r="M189" s="16">
        <f t="shared" si="26"/>
        <v>0</v>
      </c>
      <c r="N189" s="16">
        <f t="shared" si="26"/>
        <v>4</v>
      </c>
      <c r="O189" s="16">
        <f t="shared" si="26"/>
        <v>23</v>
      </c>
      <c r="P189" s="16">
        <f t="shared" si="26"/>
        <v>7</v>
      </c>
      <c r="Q189" s="16">
        <f t="shared" si="26"/>
        <v>1</v>
      </c>
      <c r="R189" s="16">
        <f t="shared" si="25"/>
        <v>15</v>
      </c>
      <c r="S189" s="16">
        <f t="shared" si="25"/>
        <v>0</v>
      </c>
      <c r="T189" s="16">
        <f t="shared" si="25"/>
        <v>0</v>
      </c>
      <c r="U189" s="16">
        <f t="shared" si="25"/>
        <v>0</v>
      </c>
      <c r="V189" s="16">
        <f t="shared" si="25"/>
        <v>0</v>
      </c>
      <c r="W189" s="16">
        <f t="shared" si="25"/>
        <v>1</v>
      </c>
      <c r="X189" s="16" t="str">
        <f t="shared" si="18"/>
        <v>null</v>
      </c>
    </row>
    <row r="190" spans="1:24" x14ac:dyDescent="0.15">
      <c r="A190" s="20" t="str">
        <f t="shared" si="20"/>
        <v>23_2-2/59&lt;lv44&gt;s2</v>
      </c>
      <c r="B190" s="16">
        <f t="shared" si="26"/>
        <v>23</v>
      </c>
      <c r="C190" s="16">
        <f t="shared" si="26"/>
        <v>2</v>
      </c>
      <c r="D190" s="16">
        <f t="shared" si="26"/>
        <v>2</v>
      </c>
      <c r="E190" s="16">
        <f t="shared" si="26"/>
        <v>59</v>
      </c>
      <c r="F190" s="16">
        <f t="shared" si="26"/>
        <v>44</v>
      </c>
      <c r="G190" s="16">
        <f t="shared" si="26"/>
        <v>1</v>
      </c>
      <c r="H190" s="16">
        <f t="shared" si="26"/>
        <v>1</v>
      </c>
      <c r="I190" s="16">
        <f t="shared" si="26"/>
        <v>0</v>
      </c>
      <c r="J190" s="16">
        <f t="shared" si="26"/>
        <v>59</v>
      </c>
      <c r="K190" s="16">
        <f t="shared" si="26"/>
        <v>0</v>
      </c>
      <c r="L190" s="16">
        <f t="shared" si="26"/>
        <v>100</v>
      </c>
      <c r="M190" s="16">
        <f t="shared" si="26"/>
        <v>0</v>
      </c>
      <c r="N190" s="16">
        <f t="shared" si="26"/>
        <v>2</v>
      </c>
      <c r="O190" s="16">
        <f t="shared" si="26"/>
        <v>59</v>
      </c>
      <c r="P190" s="16">
        <f t="shared" si="26"/>
        <v>7</v>
      </c>
      <c r="Q190" s="16">
        <f t="shared" ref="Q190:X253" si="27">VLOOKUP($A190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90" s="16">
        <f t="shared" si="27"/>
        <v>20</v>
      </c>
      <c r="S190" s="16">
        <f t="shared" si="27"/>
        <v>0</v>
      </c>
      <c r="T190" s="16">
        <f t="shared" si="27"/>
        <v>0</v>
      </c>
      <c r="U190" s="16">
        <f t="shared" si="27"/>
        <v>0</v>
      </c>
      <c r="V190" s="16">
        <f t="shared" si="27"/>
        <v>0</v>
      </c>
      <c r="W190" s="16">
        <f t="shared" si="27"/>
        <v>1</v>
      </c>
      <c r="X190" s="16" t="str">
        <f t="shared" si="27"/>
        <v>null</v>
      </c>
    </row>
    <row r="191" spans="1:24" x14ac:dyDescent="0.15">
      <c r="A191" s="20" t="str">
        <f t="shared" si="20"/>
        <v>23_2-2/43&lt;lv44&gt;s2</v>
      </c>
      <c r="B191" s="16">
        <f t="shared" ref="B191:Q206" si="28">VLOOKUP($A191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191" s="16">
        <f t="shared" si="28"/>
        <v>2</v>
      </c>
      <c r="D191" s="16">
        <f t="shared" si="28"/>
        <v>2</v>
      </c>
      <c r="E191" s="16">
        <f t="shared" si="28"/>
        <v>43</v>
      </c>
      <c r="F191" s="16">
        <f t="shared" si="28"/>
        <v>44</v>
      </c>
      <c r="G191" s="16">
        <f t="shared" si="28"/>
        <v>1</v>
      </c>
      <c r="H191" s="16">
        <f t="shared" si="28"/>
        <v>1</v>
      </c>
      <c r="I191" s="16">
        <f t="shared" si="28"/>
        <v>0</v>
      </c>
      <c r="J191" s="16">
        <f t="shared" si="28"/>
        <v>0</v>
      </c>
      <c r="K191" s="16">
        <f t="shared" si="28"/>
        <v>0</v>
      </c>
      <c r="L191" s="16">
        <f t="shared" si="28"/>
        <v>100</v>
      </c>
      <c r="M191" s="16">
        <f t="shared" si="28"/>
        <v>0</v>
      </c>
      <c r="N191" s="16">
        <f t="shared" si="28"/>
        <v>2</v>
      </c>
      <c r="O191" s="16">
        <f t="shared" si="28"/>
        <v>43</v>
      </c>
      <c r="P191" s="16">
        <f t="shared" si="28"/>
        <v>7</v>
      </c>
      <c r="Q191" s="16">
        <f t="shared" si="28"/>
        <v>2</v>
      </c>
      <c r="R191" s="16">
        <f t="shared" si="27"/>
        <v>20</v>
      </c>
      <c r="S191" s="16">
        <f t="shared" si="27"/>
        <v>0</v>
      </c>
      <c r="T191" s="16">
        <f t="shared" si="27"/>
        <v>0</v>
      </c>
      <c r="U191" s="16">
        <f t="shared" si="27"/>
        <v>0</v>
      </c>
      <c r="V191" s="16">
        <f t="shared" si="27"/>
        <v>0</v>
      </c>
      <c r="W191" s="16">
        <f t="shared" si="27"/>
        <v>1</v>
      </c>
      <c r="X191" s="16" t="str">
        <f t="shared" si="27"/>
        <v>null</v>
      </c>
    </row>
    <row r="192" spans="1:24" x14ac:dyDescent="0.15">
      <c r="A192" s="20" t="str">
        <f t="shared" si="20"/>
        <v>23_2-2/362&lt;lv44&gt;s3</v>
      </c>
      <c r="B192" s="16">
        <f t="shared" si="28"/>
        <v>23</v>
      </c>
      <c r="C192" s="16">
        <f t="shared" si="28"/>
        <v>2</v>
      </c>
      <c r="D192" s="16">
        <f t="shared" si="28"/>
        <v>2</v>
      </c>
      <c r="E192" s="16">
        <f t="shared" si="28"/>
        <v>362</v>
      </c>
      <c r="F192" s="16">
        <f t="shared" si="28"/>
        <v>44</v>
      </c>
      <c r="G192" s="16">
        <f t="shared" si="28"/>
        <v>1</v>
      </c>
      <c r="H192" s="16">
        <f t="shared" si="28"/>
        <v>1</v>
      </c>
      <c r="I192" s="16">
        <f t="shared" si="28"/>
        <v>0</v>
      </c>
      <c r="J192" s="16">
        <f t="shared" si="28"/>
        <v>362</v>
      </c>
      <c r="K192" s="16">
        <f t="shared" si="28"/>
        <v>0</v>
      </c>
      <c r="L192" s="16">
        <f t="shared" si="28"/>
        <v>100</v>
      </c>
      <c r="M192" s="16">
        <f t="shared" si="28"/>
        <v>0</v>
      </c>
      <c r="N192" s="16">
        <f t="shared" si="28"/>
        <v>3</v>
      </c>
      <c r="O192" s="16">
        <f t="shared" si="28"/>
        <v>362</v>
      </c>
      <c r="P192" s="16">
        <f t="shared" si="28"/>
        <v>7</v>
      </c>
      <c r="Q192" s="16">
        <f t="shared" si="28"/>
        <v>2</v>
      </c>
      <c r="R192" s="16">
        <f t="shared" si="27"/>
        <v>20</v>
      </c>
      <c r="S192" s="16">
        <f t="shared" si="27"/>
        <v>0</v>
      </c>
      <c r="T192" s="16">
        <f t="shared" si="27"/>
        <v>0</v>
      </c>
      <c r="U192" s="16">
        <f t="shared" si="27"/>
        <v>0</v>
      </c>
      <c r="V192" s="16">
        <f t="shared" si="27"/>
        <v>0</v>
      </c>
      <c r="W192" s="16">
        <f t="shared" si="27"/>
        <v>1</v>
      </c>
      <c r="X192" s="16" t="str">
        <f t="shared" si="27"/>
        <v>null</v>
      </c>
    </row>
    <row r="193" spans="1:24" x14ac:dyDescent="0.15">
      <c r="A193" s="20" t="str">
        <f t="shared" si="20"/>
        <v>23_2-2/350&lt;lv44&gt;s3</v>
      </c>
      <c r="B193" s="16">
        <f t="shared" si="28"/>
        <v>23</v>
      </c>
      <c r="C193" s="16">
        <f t="shared" si="28"/>
        <v>2</v>
      </c>
      <c r="D193" s="16">
        <f t="shared" si="28"/>
        <v>2</v>
      </c>
      <c r="E193" s="16">
        <f t="shared" si="28"/>
        <v>350</v>
      </c>
      <c r="F193" s="16">
        <f t="shared" si="28"/>
        <v>44</v>
      </c>
      <c r="G193" s="16">
        <f t="shared" si="28"/>
        <v>1</v>
      </c>
      <c r="H193" s="16">
        <f t="shared" si="28"/>
        <v>1</v>
      </c>
      <c r="I193" s="16">
        <f t="shared" si="28"/>
        <v>0</v>
      </c>
      <c r="J193" s="16">
        <f t="shared" si="28"/>
        <v>350</v>
      </c>
      <c r="K193" s="16">
        <f t="shared" si="28"/>
        <v>0</v>
      </c>
      <c r="L193" s="16">
        <f t="shared" si="28"/>
        <v>100</v>
      </c>
      <c r="M193" s="16">
        <f t="shared" si="28"/>
        <v>0</v>
      </c>
      <c r="N193" s="16">
        <f t="shared" si="28"/>
        <v>3</v>
      </c>
      <c r="O193" s="16">
        <f t="shared" si="28"/>
        <v>350</v>
      </c>
      <c r="P193" s="16">
        <f t="shared" si="28"/>
        <v>1</v>
      </c>
      <c r="Q193" s="16">
        <f t="shared" si="28"/>
        <v>2</v>
      </c>
      <c r="R193" s="16">
        <f t="shared" si="27"/>
        <v>27</v>
      </c>
      <c r="S193" s="16">
        <f t="shared" si="27"/>
        <v>0</v>
      </c>
      <c r="T193" s="16">
        <f t="shared" si="27"/>
        <v>0</v>
      </c>
      <c r="U193" s="16">
        <f t="shared" si="27"/>
        <v>0</v>
      </c>
      <c r="V193" s="16">
        <f t="shared" si="27"/>
        <v>0</v>
      </c>
      <c r="W193" s="16">
        <f t="shared" si="27"/>
        <v>1</v>
      </c>
      <c r="X193" s="16" t="str">
        <f t="shared" si="27"/>
        <v>null</v>
      </c>
    </row>
    <row r="194" spans="1:24" x14ac:dyDescent="0.15">
      <c r="A194" s="20" t="str">
        <f t="shared" si="20"/>
        <v>23_2-3/9&lt;lv42&gt;s2</v>
      </c>
      <c r="B194" s="16">
        <f t="shared" si="28"/>
        <v>23</v>
      </c>
      <c r="C194" s="16">
        <f t="shared" si="28"/>
        <v>2</v>
      </c>
      <c r="D194" s="16">
        <f t="shared" si="28"/>
        <v>3</v>
      </c>
      <c r="E194" s="16">
        <f t="shared" si="28"/>
        <v>9</v>
      </c>
      <c r="F194" s="16">
        <f t="shared" si="28"/>
        <v>42</v>
      </c>
      <c r="G194" s="16">
        <f t="shared" si="28"/>
        <v>1</v>
      </c>
      <c r="H194" s="16">
        <f t="shared" si="28"/>
        <v>1</v>
      </c>
      <c r="I194" s="16">
        <f t="shared" si="28"/>
        <v>0</v>
      </c>
      <c r="J194" s="16">
        <f t="shared" si="28"/>
        <v>0</v>
      </c>
      <c r="K194" s="16">
        <f t="shared" si="28"/>
        <v>0</v>
      </c>
      <c r="L194" s="16">
        <f t="shared" si="28"/>
        <v>100</v>
      </c>
      <c r="M194" s="16">
        <f t="shared" si="28"/>
        <v>0</v>
      </c>
      <c r="N194" s="16">
        <f t="shared" si="28"/>
        <v>2</v>
      </c>
      <c r="O194" s="16">
        <f t="shared" si="28"/>
        <v>9</v>
      </c>
      <c r="P194" s="16">
        <f t="shared" si="28"/>
        <v>9</v>
      </c>
      <c r="Q194" s="16">
        <f t="shared" si="28"/>
        <v>1</v>
      </c>
      <c r="R194" s="16">
        <f t="shared" si="27"/>
        <v>15</v>
      </c>
      <c r="S194" s="16">
        <f t="shared" si="27"/>
        <v>0</v>
      </c>
      <c r="T194" s="16">
        <f t="shared" si="27"/>
        <v>0</v>
      </c>
      <c r="U194" s="16">
        <f t="shared" si="27"/>
        <v>0</v>
      </c>
      <c r="V194" s="16">
        <f t="shared" si="27"/>
        <v>0</v>
      </c>
      <c r="W194" s="16">
        <f t="shared" si="27"/>
        <v>1</v>
      </c>
      <c r="X194" s="16" t="str">
        <f t="shared" si="27"/>
        <v>null</v>
      </c>
    </row>
    <row r="195" spans="1:24" x14ac:dyDescent="0.15">
      <c r="A195" s="20" t="str">
        <f t="shared" si="20"/>
        <v>23_2-3/11&lt;lv44&gt;s3</v>
      </c>
      <c r="B195" s="16">
        <f t="shared" si="28"/>
        <v>23</v>
      </c>
      <c r="C195" s="16">
        <f t="shared" si="28"/>
        <v>2</v>
      </c>
      <c r="D195" s="16">
        <f t="shared" si="28"/>
        <v>3</v>
      </c>
      <c r="E195" s="16">
        <f t="shared" si="28"/>
        <v>11</v>
      </c>
      <c r="F195" s="16">
        <f t="shared" si="28"/>
        <v>44</v>
      </c>
      <c r="G195" s="16">
        <f t="shared" si="28"/>
        <v>1</v>
      </c>
      <c r="H195" s="16">
        <f t="shared" si="28"/>
        <v>1</v>
      </c>
      <c r="I195" s="16">
        <f t="shared" si="28"/>
        <v>0</v>
      </c>
      <c r="J195" s="16">
        <f t="shared" si="28"/>
        <v>0</v>
      </c>
      <c r="K195" s="16">
        <f t="shared" si="28"/>
        <v>0</v>
      </c>
      <c r="L195" s="16">
        <f t="shared" si="28"/>
        <v>100</v>
      </c>
      <c r="M195" s="16">
        <f t="shared" si="28"/>
        <v>0</v>
      </c>
      <c r="N195" s="16">
        <f t="shared" si="28"/>
        <v>3</v>
      </c>
      <c r="O195" s="16">
        <f t="shared" si="28"/>
        <v>11</v>
      </c>
      <c r="P195" s="16">
        <f t="shared" si="28"/>
        <v>9</v>
      </c>
      <c r="Q195" s="16">
        <f t="shared" si="28"/>
        <v>1</v>
      </c>
      <c r="R195" s="16">
        <f t="shared" si="27"/>
        <v>15</v>
      </c>
      <c r="S195" s="16">
        <f t="shared" si="27"/>
        <v>0</v>
      </c>
      <c r="T195" s="16">
        <f t="shared" si="27"/>
        <v>0</v>
      </c>
      <c r="U195" s="16">
        <f t="shared" si="27"/>
        <v>0</v>
      </c>
      <c r="V195" s="16">
        <f t="shared" si="27"/>
        <v>0</v>
      </c>
      <c r="W195" s="16">
        <f t="shared" si="27"/>
        <v>1</v>
      </c>
      <c r="X195" s="16" t="str">
        <f t="shared" si="27"/>
        <v>null</v>
      </c>
    </row>
    <row r="196" spans="1:24" x14ac:dyDescent="0.15">
      <c r="A196" s="20" t="str">
        <f t="shared" ref="A196:A259" si="29">INDIRECT(ADDRESS(ROW()+$A$1,COLUMN(),1,TRUE,$C$1))</f>
        <v>23_2-3/23&lt;lv44&gt;s4</v>
      </c>
      <c r="B196" s="16">
        <f t="shared" si="28"/>
        <v>23</v>
      </c>
      <c r="C196" s="16">
        <f t="shared" si="28"/>
        <v>2</v>
      </c>
      <c r="D196" s="16">
        <f t="shared" si="28"/>
        <v>3</v>
      </c>
      <c r="E196" s="16">
        <f t="shared" si="28"/>
        <v>23</v>
      </c>
      <c r="F196" s="16">
        <f t="shared" si="28"/>
        <v>44</v>
      </c>
      <c r="G196" s="16">
        <f t="shared" si="28"/>
        <v>1</v>
      </c>
      <c r="H196" s="16">
        <f t="shared" si="28"/>
        <v>1</v>
      </c>
      <c r="I196" s="16">
        <f t="shared" si="28"/>
        <v>0</v>
      </c>
      <c r="J196" s="16">
        <f t="shared" si="28"/>
        <v>0</v>
      </c>
      <c r="K196" s="16">
        <f t="shared" si="28"/>
        <v>0</v>
      </c>
      <c r="L196" s="16">
        <f t="shared" si="28"/>
        <v>100</v>
      </c>
      <c r="M196" s="16">
        <f t="shared" si="28"/>
        <v>0</v>
      </c>
      <c r="N196" s="16">
        <f t="shared" si="28"/>
        <v>4</v>
      </c>
      <c r="O196" s="16">
        <f t="shared" si="28"/>
        <v>23</v>
      </c>
      <c r="P196" s="16">
        <f t="shared" si="28"/>
        <v>7</v>
      </c>
      <c r="Q196" s="16">
        <f t="shared" si="28"/>
        <v>1</v>
      </c>
      <c r="R196" s="16">
        <f t="shared" si="27"/>
        <v>15</v>
      </c>
      <c r="S196" s="16">
        <f t="shared" si="27"/>
        <v>0</v>
      </c>
      <c r="T196" s="16">
        <f t="shared" si="27"/>
        <v>0</v>
      </c>
      <c r="U196" s="16">
        <f t="shared" si="27"/>
        <v>0</v>
      </c>
      <c r="V196" s="16">
        <f t="shared" si="27"/>
        <v>0</v>
      </c>
      <c r="W196" s="16">
        <f t="shared" si="27"/>
        <v>1</v>
      </c>
      <c r="X196" s="16" t="str">
        <f t="shared" si="27"/>
        <v>null</v>
      </c>
    </row>
    <row r="197" spans="1:24" x14ac:dyDescent="0.15">
      <c r="A197" s="20" t="str">
        <f t="shared" si="29"/>
        <v>23_2-3/33&lt;lv42&gt;s2</v>
      </c>
      <c r="B197" s="16">
        <f t="shared" si="28"/>
        <v>23</v>
      </c>
      <c r="C197" s="16">
        <f t="shared" si="28"/>
        <v>2</v>
      </c>
      <c r="D197" s="16">
        <f t="shared" si="28"/>
        <v>3</v>
      </c>
      <c r="E197" s="16">
        <f t="shared" si="28"/>
        <v>33</v>
      </c>
      <c r="F197" s="16">
        <f t="shared" si="28"/>
        <v>42</v>
      </c>
      <c r="G197" s="16">
        <f t="shared" si="28"/>
        <v>1</v>
      </c>
      <c r="H197" s="16">
        <f t="shared" si="28"/>
        <v>1</v>
      </c>
      <c r="I197" s="16">
        <f t="shared" si="28"/>
        <v>0</v>
      </c>
      <c r="J197" s="16">
        <f t="shared" si="28"/>
        <v>33</v>
      </c>
      <c r="K197" s="16">
        <f t="shared" si="28"/>
        <v>0</v>
      </c>
      <c r="L197" s="16">
        <f t="shared" si="28"/>
        <v>100</v>
      </c>
      <c r="M197" s="16">
        <f t="shared" si="28"/>
        <v>0</v>
      </c>
      <c r="N197" s="16">
        <f t="shared" si="28"/>
        <v>2</v>
      </c>
      <c r="O197" s="16">
        <f t="shared" si="28"/>
        <v>33</v>
      </c>
      <c r="P197" s="16">
        <f t="shared" si="28"/>
        <v>5</v>
      </c>
      <c r="Q197" s="16">
        <f t="shared" si="28"/>
        <v>2</v>
      </c>
      <c r="R197" s="16">
        <f t="shared" si="27"/>
        <v>20</v>
      </c>
      <c r="S197" s="16">
        <f t="shared" si="27"/>
        <v>0</v>
      </c>
      <c r="T197" s="16">
        <f t="shared" si="27"/>
        <v>0</v>
      </c>
      <c r="U197" s="16">
        <f t="shared" si="27"/>
        <v>0</v>
      </c>
      <c r="V197" s="16">
        <f t="shared" si="27"/>
        <v>0</v>
      </c>
      <c r="W197" s="16">
        <f t="shared" si="27"/>
        <v>1</v>
      </c>
      <c r="X197" s="16" t="str">
        <f t="shared" si="27"/>
        <v>null</v>
      </c>
    </row>
    <row r="198" spans="1:24" x14ac:dyDescent="0.15">
      <c r="A198" s="20" t="str">
        <f t="shared" si="29"/>
        <v>23_2-3/57&lt;lv42&gt;s2</v>
      </c>
      <c r="B198" s="16">
        <f t="shared" si="28"/>
        <v>23</v>
      </c>
      <c r="C198" s="16">
        <f t="shared" si="28"/>
        <v>2</v>
      </c>
      <c r="D198" s="16">
        <f t="shared" si="28"/>
        <v>3</v>
      </c>
      <c r="E198" s="16">
        <f t="shared" si="28"/>
        <v>57</v>
      </c>
      <c r="F198" s="16">
        <f t="shared" si="28"/>
        <v>42</v>
      </c>
      <c r="G198" s="16">
        <f t="shared" si="28"/>
        <v>1</v>
      </c>
      <c r="H198" s="16">
        <f t="shared" si="28"/>
        <v>1</v>
      </c>
      <c r="I198" s="16">
        <f t="shared" si="28"/>
        <v>0</v>
      </c>
      <c r="J198" s="16">
        <f t="shared" si="28"/>
        <v>57</v>
      </c>
      <c r="K198" s="16">
        <f t="shared" si="28"/>
        <v>0</v>
      </c>
      <c r="L198" s="16">
        <f t="shared" si="28"/>
        <v>100</v>
      </c>
      <c r="M198" s="16">
        <f t="shared" si="28"/>
        <v>0</v>
      </c>
      <c r="N198" s="16">
        <f t="shared" si="28"/>
        <v>2</v>
      </c>
      <c r="O198" s="16">
        <f t="shared" si="28"/>
        <v>57</v>
      </c>
      <c r="P198" s="16">
        <f t="shared" si="28"/>
        <v>7</v>
      </c>
      <c r="Q198" s="16">
        <f t="shared" si="28"/>
        <v>2</v>
      </c>
      <c r="R198" s="16">
        <f t="shared" si="27"/>
        <v>20</v>
      </c>
      <c r="S198" s="16">
        <f t="shared" si="27"/>
        <v>0</v>
      </c>
      <c r="T198" s="16">
        <f t="shared" si="27"/>
        <v>0</v>
      </c>
      <c r="U198" s="16">
        <f t="shared" si="27"/>
        <v>0</v>
      </c>
      <c r="V198" s="16">
        <f t="shared" si="27"/>
        <v>0</v>
      </c>
      <c r="W198" s="16">
        <f t="shared" si="27"/>
        <v>1</v>
      </c>
      <c r="X198" s="16" t="str">
        <f t="shared" si="27"/>
        <v>null</v>
      </c>
    </row>
    <row r="199" spans="1:24" x14ac:dyDescent="0.15">
      <c r="A199" s="20" t="str">
        <f t="shared" si="29"/>
        <v>23_2-3/59&lt;lv44&gt;s2</v>
      </c>
      <c r="B199" s="16">
        <f t="shared" si="28"/>
        <v>23</v>
      </c>
      <c r="C199" s="16">
        <f t="shared" si="28"/>
        <v>2</v>
      </c>
      <c r="D199" s="16">
        <f t="shared" si="28"/>
        <v>3</v>
      </c>
      <c r="E199" s="16">
        <f t="shared" si="28"/>
        <v>59</v>
      </c>
      <c r="F199" s="16">
        <f t="shared" si="28"/>
        <v>44</v>
      </c>
      <c r="G199" s="16">
        <f t="shared" si="28"/>
        <v>1</v>
      </c>
      <c r="H199" s="16">
        <f t="shared" si="28"/>
        <v>1</v>
      </c>
      <c r="I199" s="16">
        <f t="shared" si="28"/>
        <v>0</v>
      </c>
      <c r="J199" s="16">
        <f t="shared" si="28"/>
        <v>59</v>
      </c>
      <c r="K199" s="16">
        <f t="shared" si="28"/>
        <v>0</v>
      </c>
      <c r="L199" s="16">
        <f t="shared" si="28"/>
        <v>100</v>
      </c>
      <c r="M199" s="16">
        <f t="shared" si="28"/>
        <v>0</v>
      </c>
      <c r="N199" s="16">
        <f t="shared" si="28"/>
        <v>2</v>
      </c>
      <c r="O199" s="16">
        <f t="shared" si="28"/>
        <v>59</v>
      </c>
      <c r="P199" s="16">
        <f t="shared" si="28"/>
        <v>7</v>
      </c>
      <c r="Q199" s="16">
        <f t="shared" si="28"/>
        <v>2</v>
      </c>
      <c r="R199" s="16">
        <f t="shared" si="27"/>
        <v>20</v>
      </c>
      <c r="S199" s="16">
        <f t="shared" si="27"/>
        <v>0</v>
      </c>
      <c r="T199" s="16">
        <f t="shared" si="27"/>
        <v>0</v>
      </c>
      <c r="U199" s="16">
        <f t="shared" si="27"/>
        <v>0</v>
      </c>
      <c r="V199" s="16">
        <f t="shared" si="27"/>
        <v>0</v>
      </c>
      <c r="W199" s="16">
        <f t="shared" si="27"/>
        <v>1</v>
      </c>
      <c r="X199" s="16" t="str">
        <f t="shared" si="27"/>
        <v>null</v>
      </c>
    </row>
    <row r="200" spans="1:24" x14ac:dyDescent="0.15">
      <c r="A200" s="20" t="str">
        <f t="shared" si="29"/>
        <v>23_2-3/21&lt;lv42&gt;s2</v>
      </c>
      <c r="B200" s="16">
        <f t="shared" si="28"/>
        <v>23</v>
      </c>
      <c r="C200" s="16">
        <f t="shared" si="28"/>
        <v>2</v>
      </c>
      <c r="D200" s="16">
        <f t="shared" si="28"/>
        <v>3</v>
      </c>
      <c r="E200" s="16">
        <f t="shared" si="28"/>
        <v>21</v>
      </c>
      <c r="F200" s="16">
        <f t="shared" si="28"/>
        <v>42</v>
      </c>
      <c r="G200" s="16">
        <f t="shared" si="28"/>
        <v>1</v>
      </c>
      <c r="H200" s="16">
        <f t="shared" si="28"/>
        <v>1</v>
      </c>
      <c r="I200" s="16">
        <f t="shared" si="28"/>
        <v>0</v>
      </c>
      <c r="J200" s="16">
        <f t="shared" si="28"/>
        <v>0</v>
      </c>
      <c r="K200" s="16">
        <f t="shared" si="28"/>
        <v>0</v>
      </c>
      <c r="L200" s="16">
        <f t="shared" si="28"/>
        <v>100</v>
      </c>
      <c r="M200" s="16">
        <f t="shared" si="28"/>
        <v>0</v>
      </c>
      <c r="N200" s="16">
        <f t="shared" si="28"/>
        <v>2</v>
      </c>
      <c r="O200" s="16">
        <f t="shared" si="28"/>
        <v>21</v>
      </c>
      <c r="P200" s="16">
        <f t="shared" si="28"/>
        <v>7</v>
      </c>
      <c r="Q200" s="16">
        <f t="shared" si="28"/>
        <v>1</v>
      </c>
      <c r="R200" s="16">
        <f t="shared" si="27"/>
        <v>15</v>
      </c>
      <c r="S200" s="16">
        <f t="shared" si="27"/>
        <v>0</v>
      </c>
      <c r="T200" s="16">
        <f t="shared" si="27"/>
        <v>0</v>
      </c>
      <c r="U200" s="16">
        <f t="shared" si="27"/>
        <v>0</v>
      </c>
      <c r="V200" s="16">
        <f t="shared" si="27"/>
        <v>0</v>
      </c>
      <c r="W200" s="16">
        <f t="shared" si="27"/>
        <v>1</v>
      </c>
      <c r="X200" s="16" t="str">
        <f t="shared" si="27"/>
        <v>null</v>
      </c>
    </row>
    <row r="201" spans="1:24" x14ac:dyDescent="0.15">
      <c r="A201" s="20" t="str">
        <f t="shared" si="29"/>
        <v>23_2-3/41&lt;lv42&gt;s1</v>
      </c>
      <c r="B201" s="16">
        <f t="shared" si="28"/>
        <v>23</v>
      </c>
      <c r="C201" s="16">
        <f t="shared" si="28"/>
        <v>2</v>
      </c>
      <c r="D201" s="16">
        <f t="shared" si="28"/>
        <v>3</v>
      </c>
      <c r="E201" s="16">
        <f t="shared" si="28"/>
        <v>41</v>
      </c>
      <c r="F201" s="16">
        <f t="shared" si="28"/>
        <v>42</v>
      </c>
      <c r="G201" s="16">
        <f t="shared" si="28"/>
        <v>1</v>
      </c>
      <c r="H201" s="16">
        <f t="shared" si="28"/>
        <v>1</v>
      </c>
      <c r="I201" s="16">
        <f t="shared" si="28"/>
        <v>0</v>
      </c>
      <c r="J201" s="16">
        <f t="shared" si="28"/>
        <v>0</v>
      </c>
      <c r="K201" s="16">
        <f t="shared" si="28"/>
        <v>0</v>
      </c>
      <c r="L201" s="16">
        <f t="shared" si="28"/>
        <v>100</v>
      </c>
      <c r="M201" s="16">
        <f t="shared" si="28"/>
        <v>0</v>
      </c>
      <c r="N201" s="16">
        <f t="shared" si="28"/>
        <v>1</v>
      </c>
      <c r="O201" s="16">
        <f t="shared" si="28"/>
        <v>41</v>
      </c>
      <c r="P201" s="16">
        <f t="shared" si="28"/>
        <v>7</v>
      </c>
      <c r="Q201" s="16">
        <f t="shared" si="28"/>
        <v>2</v>
      </c>
      <c r="R201" s="16">
        <f t="shared" si="27"/>
        <v>20</v>
      </c>
      <c r="S201" s="16">
        <f t="shared" si="27"/>
        <v>0</v>
      </c>
      <c r="T201" s="16">
        <f t="shared" si="27"/>
        <v>0</v>
      </c>
      <c r="U201" s="16">
        <f t="shared" si="27"/>
        <v>0</v>
      </c>
      <c r="V201" s="16">
        <f t="shared" si="27"/>
        <v>0</v>
      </c>
      <c r="W201" s="16">
        <f t="shared" si="27"/>
        <v>1</v>
      </c>
      <c r="X201" s="16" t="str">
        <f t="shared" si="27"/>
        <v>null</v>
      </c>
    </row>
    <row r="202" spans="1:24" x14ac:dyDescent="0.15">
      <c r="A202" s="20" t="str">
        <f t="shared" si="29"/>
        <v>23_2-3/43&lt;lv44&gt;s2</v>
      </c>
      <c r="B202" s="16">
        <f t="shared" si="28"/>
        <v>23</v>
      </c>
      <c r="C202" s="16">
        <f t="shared" si="28"/>
        <v>2</v>
      </c>
      <c r="D202" s="16">
        <f t="shared" si="28"/>
        <v>3</v>
      </c>
      <c r="E202" s="16">
        <f t="shared" si="28"/>
        <v>43</v>
      </c>
      <c r="F202" s="16">
        <f t="shared" si="28"/>
        <v>44</v>
      </c>
      <c r="G202" s="16">
        <f t="shared" si="28"/>
        <v>1</v>
      </c>
      <c r="H202" s="16">
        <f t="shared" si="28"/>
        <v>1</v>
      </c>
      <c r="I202" s="16">
        <f t="shared" si="28"/>
        <v>0</v>
      </c>
      <c r="J202" s="16">
        <f t="shared" si="28"/>
        <v>0</v>
      </c>
      <c r="K202" s="16">
        <f t="shared" si="28"/>
        <v>0</v>
      </c>
      <c r="L202" s="16">
        <f t="shared" si="28"/>
        <v>100</v>
      </c>
      <c r="M202" s="16">
        <f t="shared" si="28"/>
        <v>0</v>
      </c>
      <c r="N202" s="16">
        <f t="shared" si="28"/>
        <v>2</v>
      </c>
      <c r="O202" s="16">
        <f t="shared" si="28"/>
        <v>43</v>
      </c>
      <c r="P202" s="16">
        <f t="shared" si="28"/>
        <v>7</v>
      </c>
      <c r="Q202" s="16">
        <f t="shared" si="28"/>
        <v>2</v>
      </c>
      <c r="R202" s="16">
        <f t="shared" si="27"/>
        <v>20</v>
      </c>
      <c r="S202" s="16">
        <f t="shared" si="27"/>
        <v>0</v>
      </c>
      <c r="T202" s="16">
        <f t="shared" si="27"/>
        <v>0</v>
      </c>
      <c r="U202" s="16">
        <f t="shared" si="27"/>
        <v>0</v>
      </c>
      <c r="V202" s="16">
        <f t="shared" si="27"/>
        <v>0</v>
      </c>
      <c r="W202" s="16">
        <f t="shared" si="27"/>
        <v>1</v>
      </c>
      <c r="X202" s="16" t="str">
        <f t="shared" si="27"/>
        <v>null</v>
      </c>
    </row>
    <row r="203" spans="1:24" x14ac:dyDescent="0.15">
      <c r="A203" s="20" t="str">
        <f t="shared" si="29"/>
        <v>23_2-3/360&lt;lv42&gt;s3</v>
      </c>
      <c r="B203" s="16">
        <f t="shared" si="28"/>
        <v>23</v>
      </c>
      <c r="C203" s="16">
        <f t="shared" si="28"/>
        <v>2</v>
      </c>
      <c r="D203" s="16">
        <f t="shared" si="28"/>
        <v>3</v>
      </c>
      <c r="E203" s="16">
        <f t="shared" si="28"/>
        <v>360</v>
      </c>
      <c r="F203" s="16">
        <f t="shared" si="28"/>
        <v>42</v>
      </c>
      <c r="G203" s="16">
        <f t="shared" si="28"/>
        <v>1</v>
      </c>
      <c r="H203" s="16">
        <f t="shared" si="28"/>
        <v>1</v>
      </c>
      <c r="I203" s="16">
        <f t="shared" si="28"/>
        <v>0</v>
      </c>
      <c r="J203" s="16">
        <f t="shared" si="28"/>
        <v>360</v>
      </c>
      <c r="K203" s="16">
        <f t="shared" si="28"/>
        <v>0</v>
      </c>
      <c r="L203" s="16">
        <f t="shared" si="28"/>
        <v>100</v>
      </c>
      <c r="M203" s="16">
        <f t="shared" si="28"/>
        <v>0</v>
      </c>
      <c r="N203" s="16">
        <f t="shared" si="28"/>
        <v>3</v>
      </c>
      <c r="O203" s="16">
        <f t="shared" si="28"/>
        <v>360</v>
      </c>
      <c r="P203" s="16">
        <f t="shared" si="28"/>
        <v>7</v>
      </c>
      <c r="Q203" s="16">
        <f t="shared" si="28"/>
        <v>2</v>
      </c>
      <c r="R203" s="16">
        <f t="shared" si="27"/>
        <v>20</v>
      </c>
      <c r="S203" s="16">
        <f t="shared" si="27"/>
        <v>0</v>
      </c>
      <c r="T203" s="16">
        <f t="shared" si="27"/>
        <v>0</v>
      </c>
      <c r="U203" s="16">
        <f t="shared" si="27"/>
        <v>0</v>
      </c>
      <c r="V203" s="16">
        <f t="shared" si="27"/>
        <v>0</v>
      </c>
      <c r="W203" s="16">
        <f t="shared" si="27"/>
        <v>1</v>
      </c>
      <c r="X203" s="16" t="str">
        <f t="shared" si="27"/>
        <v>null</v>
      </c>
    </row>
    <row r="204" spans="1:24" x14ac:dyDescent="0.15">
      <c r="A204" s="20" t="str">
        <f t="shared" si="29"/>
        <v>23_2-3/362&lt;lv44&gt;s3</v>
      </c>
      <c r="B204" s="16">
        <f t="shared" si="28"/>
        <v>23</v>
      </c>
      <c r="C204" s="16">
        <f t="shared" si="28"/>
        <v>2</v>
      </c>
      <c r="D204" s="16">
        <f t="shared" si="28"/>
        <v>3</v>
      </c>
      <c r="E204" s="16">
        <f t="shared" si="28"/>
        <v>362</v>
      </c>
      <c r="F204" s="16">
        <f t="shared" si="28"/>
        <v>44</v>
      </c>
      <c r="G204" s="16">
        <f t="shared" si="28"/>
        <v>1</v>
      </c>
      <c r="H204" s="16">
        <f t="shared" si="28"/>
        <v>1</v>
      </c>
      <c r="I204" s="16">
        <f t="shared" si="28"/>
        <v>0</v>
      </c>
      <c r="J204" s="16">
        <f t="shared" si="28"/>
        <v>362</v>
      </c>
      <c r="K204" s="16">
        <f t="shared" si="28"/>
        <v>0</v>
      </c>
      <c r="L204" s="16">
        <f t="shared" si="28"/>
        <v>100</v>
      </c>
      <c r="M204" s="16">
        <f t="shared" si="28"/>
        <v>0</v>
      </c>
      <c r="N204" s="16">
        <f t="shared" si="28"/>
        <v>3</v>
      </c>
      <c r="O204" s="16">
        <f t="shared" si="28"/>
        <v>362</v>
      </c>
      <c r="P204" s="16">
        <f t="shared" si="28"/>
        <v>7</v>
      </c>
      <c r="Q204" s="16">
        <f t="shared" si="28"/>
        <v>2</v>
      </c>
      <c r="R204" s="16">
        <f t="shared" si="27"/>
        <v>20</v>
      </c>
      <c r="S204" s="16">
        <f t="shared" si="27"/>
        <v>0</v>
      </c>
      <c r="T204" s="16">
        <f t="shared" si="27"/>
        <v>0</v>
      </c>
      <c r="U204" s="16">
        <f t="shared" si="27"/>
        <v>0</v>
      </c>
      <c r="V204" s="16">
        <f t="shared" si="27"/>
        <v>0</v>
      </c>
      <c r="W204" s="16">
        <f t="shared" si="27"/>
        <v>1</v>
      </c>
      <c r="X204" s="16" t="str">
        <f t="shared" si="27"/>
        <v>null</v>
      </c>
    </row>
    <row r="205" spans="1:24" x14ac:dyDescent="0.15">
      <c r="A205" s="20" t="str">
        <f t="shared" si="29"/>
        <v>23_2-3/348&lt;lv42&gt;s3</v>
      </c>
      <c r="B205" s="16">
        <f t="shared" si="28"/>
        <v>23</v>
      </c>
      <c r="C205" s="16">
        <f t="shared" si="28"/>
        <v>2</v>
      </c>
      <c r="D205" s="16">
        <f t="shared" si="28"/>
        <v>3</v>
      </c>
      <c r="E205" s="16">
        <f t="shared" si="28"/>
        <v>348</v>
      </c>
      <c r="F205" s="16">
        <f t="shared" si="28"/>
        <v>42</v>
      </c>
      <c r="G205" s="16">
        <f t="shared" si="28"/>
        <v>1</v>
      </c>
      <c r="H205" s="16">
        <f t="shared" si="28"/>
        <v>1</v>
      </c>
      <c r="I205" s="16">
        <f t="shared" si="28"/>
        <v>0</v>
      </c>
      <c r="J205" s="16">
        <f t="shared" si="28"/>
        <v>348</v>
      </c>
      <c r="K205" s="16">
        <f t="shared" si="28"/>
        <v>0</v>
      </c>
      <c r="L205" s="16">
        <f t="shared" si="28"/>
        <v>100</v>
      </c>
      <c r="M205" s="16">
        <f t="shared" si="28"/>
        <v>0</v>
      </c>
      <c r="N205" s="16">
        <f t="shared" si="28"/>
        <v>3</v>
      </c>
      <c r="O205" s="16">
        <f t="shared" si="28"/>
        <v>348</v>
      </c>
      <c r="P205" s="16">
        <f t="shared" si="28"/>
        <v>1</v>
      </c>
      <c r="Q205" s="16">
        <f t="shared" si="28"/>
        <v>2</v>
      </c>
      <c r="R205" s="16">
        <f t="shared" si="27"/>
        <v>27</v>
      </c>
      <c r="S205" s="16">
        <f t="shared" si="27"/>
        <v>0</v>
      </c>
      <c r="T205" s="16">
        <f t="shared" si="27"/>
        <v>0</v>
      </c>
      <c r="U205" s="16">
        <f t="shared" si="27"/>
        <v>0</v>
      </c>
      <c r="V205" s="16">
        <f t="shared" si="27"/>
        <v>0</v>
      </c>
      <c r="W205" s="16">
        <f t="shared" si="27"/>
        <v>1</v>
      </c>
      <c r="X205" s="16" t="str">
        <f t="shared" si="27"/>
        <v>null</v>
      </c>
    </row>
    <row r="206" spans="1:24" x14ac:dyDescent="0.15">
      <c r="A206" s="20" t="str">
        <f t="shared" si="29"/>
        <v>23_2-4/33&lt;lv42&gt;s2</v>
      </c>
      <c r="B206" s="16">
        <f t="shared" si="28"/>
        <v>23</v>
      </c>
      <c r="C206" s="16">
        <f t="shared" si="28"/>
        <v>2</v>
      </c>
      <c r="D206" s="16">
        <f t="shared" si="28"/>
        <v>4</v>
      </c>
      <c r="E206" s="16">
        <f t="shared" si="28"/>
        <v>33</v>
      </c>
      <c r="F206" s="16">
        <f t="shared" si="28"/>
        <v>42</v>
      </c>
      <c r="G206" s="16">
        <f t="shared" si="28"/>
        <v>1</v>
      </c>
      <c r="H206" s="16">
        <f t="shared" si="28"/>
        <v>1</v>
      </c>
      <c r="I206" s="16">
        <f t="shared" si="28"/>
        <v>0</v>
      </c>
      <c r="J206" s="16">
        <f t="shared" si="28"/>
        <v>33</v>
      </c>
      <c r="K206" s="16">
        <f t="shared" si="28"/>
        <v>0</v>
      </c>
      <c r="L206" s="16">
        <f t="shared" si="28"/>
        <v>100</v>
      </c>
      <c r="M206" s="16">
        <f t="shared" si="28"/>
        <v>0</v>
      </c>
      <c r="N206" s="16">
        <f t="shared" si="28"/>
        <v>2</v>
      </c>
      <c r="O206" s="16">
        <f t="shared" si="28"/>
        <v>33</v>
      </c>
      <c r="P206" s="16">
        <f t="shared" si="28"/>
        <v>5</v>
      </c>
      <c r="Q206" s="16">
        <f t="shared" ref="Q206:W221" si="30">VLOOKUP($A206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06" s="16">
        <f t="shared" si="30"/>
        <v>20</v>
      </c>
      <c r="S206" s="16">
        <f t="shared" si="30"/>
        <v>0</v>
      </c>
      <c r="T206" s="16">
        <f t="shared" si="30"/>
        <v>0</v>
      </c>
      <c r="U206" s="16">
        <f t="shared" si="30"/>
        <v>0</v>
      </c>
      <c r="V206" s="16">
        <f t="shared" si="30"/>
        <v>0</v>
      </c>
      <c r="W206" s="16">
        <f t="shared" si="30"/>
        <v>1</v>
      </c>
      <c r="X206" s="16" t="str">
        <f t="shared" si="27"/>
        <v>null</v>
      </c>
    </row>
    <row r="207" spans="1:24" x14ac:dyDescent="0.15">
      <c r="A207" s="20" t="str">
        <f t="shared" si="29"/>
        <v>23_2-4/57&lt;lv42&gt;s2</v>
      </c>
      <c r="B207" s="16">
        <f t="shared" ref="B207:Q222" si="31">VLOOKUP($A207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207" s="16">
        <f t="shared" si="31"/>
        <v>2</v>
      </c>
      <c r="D207" s="16">
        <f t="shared" si="31"/>
        <v>4</v>
      </c>
      <c r="E207" s="16">
        <f t="shared" si="31"/>
        <v>57</v>
      </c>
      <c r="F207" s="16">
        <f t="shared" si="31"/>
        <v>42</v>
      </c>
      <c r="G207" s="16">
        <f t="shared" si="31"/>
        <v>1</v>
      </c>
      <c r="H207" s="16">
        <f t="shared" si="31"/>
        <v>1</v>
      </c>
      <c r="I207" s="16">
        <f t="shared" si="31"/>
        <v>0</v>
      </c>
      <c r="J207" s="16">
        <f t="shared" si="31"/>
        <v>57</v>
      </c>
      <c r="K207" s="16">
        <f t="shared" si="31"/>
        <v>0</v>
      </c>
      <c r="L207" s="16">
        <f t="shared" si="31"/>
        <v>100</v>
      </c>
      <c r="M207" s="16">
        <f t="shared" si="31"/>
        <v>0</v>
      </c>
      <c r="N207" s="16">
        <f t="shared" si="31"/>
        <v>2</v>
      </c>
      <c r="O207" s="16">
        <f t="shared" si="31"/>
        <v>57</v>
      </c>
      <c r="P207" s="16">
        <f t="shared" si="31"/>
        <v>7</v>
      </c>
      <c r="Q207" s="16">
        <f t="shared" si="31"/>
        <v>2</v>
      </c>
      <c r="R207" s="16">
        <f t="shared" si="30"/>
        <v>20</v>
      </c>
      <c r="S207" s="16">
        <f t="shared" si="30"/>
        <v>0</v>
      </c>
      <c r="T207" s="16">
        <f t="shared" si="30"/>
        <v>0</v>
      </c>
      <c r="U207" s="16">
        <f t="shared" si="30"/>
        <v>0</v>
      </c>
      <c r="V207" s="16">
        <f t="shared" si="30"/>
        <v>0</v>
      </c>
      <c r="W207" s="16">
        <f t="shared" si="30"/>
        <v>1</v>
      </c>
      <c r="X207" s="16" t="str">
        <f t="shared" si="27"/>
        <v>null</v>
      </c>
    </row>
    <row r="208" spans="1:24" x14ac:dyDescent="0.15">
      <c r="A208" s="20" t="str">
        <f t="shared" si="29"/>
        <v>23_2-4/59&lt;lv44&gt;s2</v>
      </c>
      <c r="B208" s="16">
        <f t="shared" si="31"/>
        <v>23</v>
      </c>
      <c r="C208" s="16">
        <f t="shared" si="31"/>
        <v>2</v>
      </c>
      <c r="D208" s="16">
        <f t="shared" si="31"/>
        <v>4</v>
      </c>
      <c r="E208" s="16">
        <f t="shared" si="31"/>
        <v>59</v>
      </c>
      <c r="F208" s="16">
        <f t="shared" si="31"/>
        <v>44</v>
      </c>
      <c r="G208" s="16">
        <f t="shared" si="31"/>
        <v>1</v>
      </c>
      <c r="H208" s="16">
        <f t="shared" si="31"/>
        <v>1</v>
      </c>
      <c r="I208" s="16">
        <f t="shared" si="31"/>
        <v>0</v>
      </c>
      <c r="J208" s="16">
        <f t="shared" si="31"/>
        <v>59</v>
      </c>
      <c r="K208" s="16">
        <f t="shared" si="31"/>
        <v>0</v>
      </c>
      <c r="L208" s="16">
        <f t="shared" si="31"/>
        <v>100</v>
      </c>
      <c r="M208" s="16">
        <f t="shared" si="31"/>
        <v>0</v>
      </c>
      <c r="N208" s="16">
        <f t="shared" si="31"/>
        <v>2</v>
      </c>
      <c r="O208" s="16">
        <f t="shared" si="31"/>
        <v>59</v>
      </c>
      <c r="P208" s="16">
        <f t="shared" si="31"/>
        <v>7</v>
      </c>
      <c r="Q208" s="16">
        <f t="shared" si="31"/>
        <v>2</v>
      </c>
      <c r="R208" s="16">
        <f t="shared" si="30"/>
        <v>20</v>
      </c>
      <c r="S208" s="16">
        <f t="shared" si="30"/>
        <v>0</v>
      </c>
      <c r="T208" s="16">
        <f t="shared" si="30"/>
        <v>0</v>
      </c>
      <c r="U208" s="16">
        <f t="shared" si="30"/>
        <v>0</v>
      </c>
      <c r="V208" s="16">
        <f t="shared" si="30"/>
        <v>0</v>
      </c>
      <c r="W208" s="16">
        <f t="shared" si="30"/>
        <v>1</v>
      </c>
      <c r="X208" s="16" t="str">
        <f t="shared" si="27"/>
        <v>null</v>
      </c>
    </row>
    <row r="209" spans="1:24" x14ac:dyDescent="0.15">
      <c r="A209" s="20" t="str">
        <f t="shared" si="29"/>
        <v>23_2-4/41&lt;lv42&gt;s1</v>
      </c>
      <c r="B209" s="16">
        <f t="shared" si="31"/>
        <v>23</v>
      </c>
      <c r="C209" s="16">
        <f t="shared" si="31"/>
        <v>2</v>
      </c>
      <c r="D209" s="16">
        <f t="shared" si="31"/>
        <v>4</v>
      </c>
      <c r="E209" s="16">
        <f t="shared" si="31"/>
        <v>41</v>
      </c>
      <c r="F209" s="16">
        <f t="shared" si="31"/>
        <v>42</v>
      </c>
      <c r="G209" s="16">
        <f t="shared" si="31"/>
        <v>1</v>
      </c>
      <c r="H209" s="16">
        <f t="shared" si="31"/>
        <v>1</v>
      </c>
      <c r="I209" s="16">
        <f t="shared" si="31"/>
        <v>0</v>
      </c>
      <c r="J209" s="16">
        <f t="shared" si="31"/>
        <v>0</v>
      </c>
      <c r="K209" s="16">
        <f t="shared" si="31"/>
        <v>0</v>
      </c>
      <c r="L209" s="16">
        <f t="shared" si="31"/>
        <v>100</v>
      </c>
      <c r="M209" s="16">
        <f t="shared" si="31"/>
        <v>0</v>
      </c>
      <c r="N209" s="16">
        <f t="shared" si="31"/>
        <v>1</v>
      </c>
      <c r="O209" s="16">
        <f t="shared" si="31"/>
        <v>41</v>
      </c>
      <c r="P209" s="16">
        <f t="shared" si="31"/>
        <v>7</v>
      </c>
      <c r="Q209" s="16">
        <f t="shared" si="31"/>
        <v>2</v>
      </c>
      <c r="R209" s="16">
        <f t="shared" si="30"/>
        <v>20</v>
      </c>
      <c r="S209" s="16">
        <f t="shared" si="30"/>
        <v>0</v>
      </c>
      <c r="T209" s="16">
        <f t="shared" si="30"/>
        <v>0</v>
      </c>
      <c r="U209" s="16">
        <f t="shared" si="30"/>
        <v>0</v>
      </c>
      <c r="V209" s="16">
        <f t="shared" si="30"/>
        <v>0</v>
      </c>
      <c r="W209" s="16">
        <f t="shared" si="30"/>
        <v>1</v>
      </c>
      <c r="X209" s="16" t="str">
        <f t="shared" si="27"/>
        <v>null</v>
      </c>
    </row>
    <row r="210" spans="1:24" x14ac:dyDescent="0.15">
      <c r="A210" s="20" t="str">
        <f t="shared" si="29"/>
        <v>23_2-4/43&lt;lv44&gt;s2</v>
      </c>
      <c r="B210" s="16">
        <f t="shared" si="31"/>
        <v>23</v>
      </c>
      <c r="C210" s="16">
        <f t="shared" si="31"/>
        <v>2</v>
      </c>
      <c r="D210" s="16">
        <f t="shared" si="31"/>
        <v>4</v>
      </c>
      <c r="E210" s="16">
        <f t="shared" si="31"/>
        <v>43</v>
      </c>
      <c r="F210" s="16">
        <f t="shared" si="31"/>
        <v>44</v>
      </c>
      <c r="G210" s="16">
        <f t="shared" si="31"/>
        <v>1</v>
      </c>
      <c r="H210" s="16">
        <f t="shared" si="31"/>
        <v>1</v>
      </c>
      <c r="I210" s="16">
        <f t="shared" si="31"/>
        <v>0</v>
      </c>
      <c r="J210" s="16">
        <f t="shared" si="31"/>
        <v>0</v>
      </c>
      <c r="K210" s="16">
        <f t="shared" si="31"/>
        <v>0</v>
      </c>
      <c r="L210" s="16">
        <f t="shared" si="31"/>
        <v>100</v>
      </c>
      <c r="M210" s="16">
        <f t="shared" si="31"/>
        <v>0</v>
      </c>
      <c r="N210" s="16">
        <f t="shared" si="31"/>
        <v>2</v>
      </c>
      <c r="O210" s="16">
        <f t="shared" si="31"/>
        <v>43</v>
      </c>
      <c r="P210" s="16">
        <f t="shared" si="31"/>
        <v>7</v>
      </c>
      <c r="Q210" s="16">
        <f t="shared" si="31"/>
        <v>2</v>
      </c>
      <c r="R210" s="16">
        <f t="shared" si="30"/>
        <v>20</v>
      </c>
      <c r="S210" s="16">
        <f t="shared" si="30"/>
        <v>0</v>
      </c>
      <c r="T210" s="16">
        <f t="shared" si="30"/>
        <v>0</v>
      </c>
      <c r="U210" s="16">
        <f t="shared" si="30"/>
        <v>0</v>
      </c>
      <c r="V210" s="16">
        <f t="shared" si="30"/>
        <v>0</v>
      </c>
      <c r="W210" s="16">
        <f t="shared" si="30"/>
        <v>1</v>
      </c>
      <c r="X210" s="16" t="str">
        <f t="shared" si="27"/>
        <v>null</v>
      </c>
    </row>
    <row r="211" spans="1:24" x14ac:dyDescent="0.15">
      <c r="A211" s="20" t="str">
        <f t="shared" si="29"/>
        <v>23_2-4/360&lt;lv42&gt;s3</v>
      </c>
      <c r="B211" s="16">
        <f t="shared" si="31"/>
        <v>23</v>
      </c>
      <c r="C211" s="16">
        <f t="shared" si="31"/>
        <v>2</v>
      </c>
      <c r="D211" s="16">
        <f t="shared" si="31"/>
        <v>4</v>
      </c>
      <c r="E211" s="16">
        <f t="shared" si="31"/>
        <v>360</v>
      </c>
      <c r="F211" s="16">
        <f t="shared" si="31"/>
        <v>42</v>
      </c>
      <c r="G211" s="16">
        <f t="shared" si="31"/>
        <v>1</v>
      </c>
      <c r="H211" s="16">
        <f t="shared" si="31"/>
        <v>1</v>
      </c>
      <c r="I211" s="16">
        <f t="shared" si="31"/>
        <v>0</v>
      </c>
      <c r="J211" s="16">
        <f t="shared" si="31"/>
        <v>360</v>
      </c>
      <c r="K211" s="16">
        <f t="shared" si="31"/>
        <v>0</v>
      </c>
      <c r="L211" s="16">
        <f t="shared" si="31"/>
        <v>100</v>
      </c>
      <c r="M211" s="16">
        <f t="shared" si="31"/>
        <v>0</v>
      </c>
      <c r="N211" s="16">
        <f t="shared" si="31"/>
        <v>3</v>
      </c>
      <c r="O211" s="16">
        <f t="shared" si="31"/>
        <v>360</v>
      </c>
      <c r="P211" s="16">
        <f t="shared" si="31"/>
        <v>7</v>
      </c>
      <c r="Q211" s="16">
        <f t="shared" si="31"/>
        <v>2</v>
      </c>
      <c r="R211" s="16">
        <f t="shared" si="30"/>
        <v>20</v>
      </c>
      <c r="S211" s="16">
        <f t="shared" si="30"/>
        <v>0</v>
      </c>
      <c r="T211" s="16">
        <f t="shared" si="30"/>
        <v>0</v>
      </c>
      <c r="U211" s="16">
        <f t="shared" si="30"/>
        <v>0</v>
      </c>
      <c r="V211" s="16">
        <f t="shared" si="30"/>
        <v>0</v>
      </c>
      <c r="W211" s="16">
        <f t="shared" si="30"/>
        <v>1</v>
      </c>
      <c r="X211" s="16" t="str">
        <f t="shared" si="27"/>
        <v>null</v>
      </c>
    </row>
    <row r="212" spans="1:24" x14ac:dyDescent="0.15">
      <c r="A212" s="20" t="str">
        <f t="shared" si="29"/>
        <v>23_2-4/362&lt;lv44&gt;s3</v>
      </c>
      <c r="B212" s="16">
        <f t="shared" si="31"/>
        <v>23</v>
      </c>
      <c r="C212" s="16">
        <f t="shared" si="31"/>
        <v>2</v>
      </c>
      <c r="D212" s="16">
        <f t="shared" si="31"/>
        <v>4</v>
      </c>
      <c r="E212" s="16">
        <f t="shared" si="31"/>
        <v>362</v>
      </c>
      <c r="F212" s="16">
        <f t="shared" si="31"/>
        <v>44</v>
      </c>
      <c r="G212" s="16">
        <f t="shared" si="31"/>
        <v>1</v>
      </c>
      <c r="H212" s="16">
        <f t="shared" si="31"/>
        <v>1</v>
      </c>
      <c r="I212" s="16">
        <f t="shared" si="31"/>
        <v>0</v>
      </c>
      <c r="J212" s="16">
        <f t="shared" si="31"/>
        <v>362</v>
      </c>
      <c r="K212" s="16">
        <f t="shared" si="31"/>
        <v>0</v>
      </c>
      <c r="L212" s="16">
        <f t="shared" si="31"/>
        <v>100</v>
      </c>
      <c r="M212" s="16">
        <f t="shared" si="31"/>
        <v>0</v>
      </c>
      <c r="N212" s="16">
        <f t="shared" si="31"/>
        <v>3</v>
      </c>
      <c r="O212" s="16">
        <f t="shared" si="31"/>
        <v>362</v>
      </c>
      <c r="P212" s="16">
        <f t="shared" si="31"/>
        <v>7</v>
      </c>
      <c r="Q212" s="16">
        <f t="shared" si="31"/>
        <v>2</v>
      </c>
      <c r="R212" s="16">
        <f t="shared" si="30"/>
        <v>20</v>
      </c>
      <c r="S212" s="16">
        <f t="shared" si="30"/>
        <v>0</v>
      </c>
      <c r="T212" s="16">
        <f t="shared" si="30"/>
        <v>0</v>
      </c>
      <c r="U212" s="16">
        <f t="shared" si="30"/>
        <v>0</v>
      </c>
      <c r="V212" s="16">
        <f t="shared" si="30"/>
        <v>0</v>
      </c>
      <c r="W212" s="16">
        <f t="shared" si="30"/>
        <v>1</v>
      </c>
      <c r="X212" s="16" t="str">
        <f t="shared" si="27"/>
        <v>null</v>
      </c>
    </row>
    <row r="213" spans="1:24" x14ac:dyDescent="0.15">
      <c r="A213" s="20" t="str">
        <f t="shared" si="29"/>
        <v>23_2-4/350&lt;lv44&gt;s3</v>
      </c>
      <c r="B213" s="16">
        <f t="shared" si="31"/>
        <v>23</v>
      </c>
      <c r="C213" s="16">
        <f t="shared" si="31"/>
        <v>2</v>
      </c>
      <c r="D213" s="16">
        <f t="shared" si="31"/>
        <v>4</v>
      </c>
      <c r="E213" s="16">
        <f t="shared" si="31"/>
        <v>350</v>
      </c>
      <c r="F213" s="16">
        <f t="shared" si="31"/>
        <v>44</v>
      </c>
      <c r="G213" s="16">
        <f t="shared" si="31"/>
        <v>1</v>
      </c>
      <c r="H213" s="16">
        <f t="shared" si="31"/>
        <v>1</v>
      </c>
      <c r="I213" s="16">
        <f t="shared" si="31"/>
        <v>0</v>
      </c>
      <c r="J213" s="16">
        <f t="shared" si="31"/>
        <v>350</v>
      </c>
      <c r="K213" s="16">
        <f t="shared" si="31"/>
        <v>0</v>
      </c>
      <c r="L213" s="16">
        <f t="shared" si="31"/>
        <v>100</v>
      </c>
      <c r="M213" s="16">
        <f t="shared" si="31"/>
        <v>0</v>
      </c>
      <c r="N213" s="16">
        <f t="shared" si="31"/>
        <v>3</v>
      </c>
      <c r="O213" s="16">
        <f t="shared" si="31"/>
        <v>350</v>
      </c>
      <c r="P213" s="16">
        <f t="shared" si="31"/>
        <v>1</v>
      </c>
      <c r="Q213" s="16">
        <f t="shared" si="31"/>
        <v>2</v>
      </c>
      <c r="R213" s="16">
        <f t="shared" si="30"/>
        <v>27</v>
      </c>
      <c r="S213" s="16">
        <f t="shared" si="30"/>
        <v>0</v>
      </c>
      <c r="T213" s="16">
        <f t="shared" si="30"/>
        <v>0</v>
      </c>
      <c r="U213" s="16">
        <f t="shared" si="30"/>
        <v>0</v>
      </c>
      <c r="V213" s="16">
        <f t="shared" si="30"/>
        <v>0</v>
      </c>
      <c r="W213" s="16">
        <f t="shared" si="30"/>
        <v>1</v>
      </c>
      <c r="X213" s="16" t="str">
        <f t="shared" si="27"/>
        <v>null</v>
      </c>
    </row>
    <row r="214" spans="1:24" x14ac:dyDescent="0.15">
      <c r="A214" s="20" t="str">
        <f t="shared" si="29"/>
        <v>23_2-5/41&lt;lv48&gt;s1</v>
      </c>
      <c r="B214" s="16">
        <f t="shared" si="31"/>
        <v>23</v>
      </c>
      <c r="C214" s="16">
        <f t="shared" si="31"/>
        <v>2</v>
      </c>
      <c r="D214" s="16">
        <f t="shared" si="31"/>
        <v>5</v>
      </c>
      <c r="E214" s="16">
        <f t="shared" si="31"/>
        <v>41</v>
      </c>
      <c r="F214" s="16">
        <f t="shared" si="31"/>
        <v>48</v>
      </c>
      <c r="G214" s="16">
        <f t="shared" si="31"/>
        <v>4.0999999999999996</v>
      </c>
      <c r="H214" s="16">
        <f t="shared" si="31"/>
        <v>1.5</v>
      </c>
      <c r="I214" s="16">
        <f t="shared" si="31"/>
        <v>0</v>
      </c>
      <c r="J214" s="16">
        <f t="shared" si="31"/>
        <v>0</v>
      </c>
      <c r="K214" s="16">
        <f t="shared" si="31"/>
        <v>2</v>
      </c>
      <c r="L214" s="16">
        <f t="shared" si="31"/>
        <v>100</v>
      </c>
      <c r="M214" s="16">
        <f t="shared" si="31"/>
        <v>0</v>
      </c>
      <c r="N214" s="16">
        <f t="shared" si="31"/>
        <v>1</v>
      </c>
      <c r="O214" s="16">
        <f t="shared" si="31"/>
        <v>41</v>
      </c>
      <c r="P214" s="16">
        <f t="shared" si="31"/>
        <v>7</v>
      </c>
      <c r="Q214" s="16">
        <f t="shared" si="31"/>
        <v>2</v>
      </c>
      <c r="R214" s="16">
        <f t="shared" si="30"/>
        <v>0</v>
      </c>
      <c r="S214" s="16">
        <f t="shared" si="30"/>
        <v>0</v>
      </c>
      <c r="T214" s="16">
        <f t="shared" si="30"/>
        <v>0</v>
      </c>
      <c r="U214" s="16">
        <f t="shared" si="30"/>
        <v>0</v>
      </c>
      <c r="V214" s="16">
        <f t="shared" si="30"/>
        <v>0</v>
      </c>
      <c r="W214" s="16">
        <f t="shared" si="30"/>
        <v>1</v>
      </c>
      <c r="X214" s="16" t="str">
        <f t="shared" si="27"/>
        <v>null</v>
      </c>
    </row>
    <row r="215" spans="1:24" x14ac:dyDescent="0.15">
      <c r="A215" s="20" t="str">
        <f t="shared" si="29"/>
        <v>23_2-5/229&lt;lv47&gt;s2</v>
      </c>
      <c r="B215" s="16">
        <f t="shared" si="31"/>
        <v>23</v>
      </c>
      <c r="C215" s="16">
        <f t="shared" si="31"/>
        <v>2</v>
      </c>
      <c r="D215" s="16">
        <f t="shared" si="31"/>
        <v>5</v>
      </c>
      <c r="E215" s="16">
        <f t="shared" si="31"/>
        <v>229</v>
      </c>
      <c r="F215" s="16">
        <f t="shared" si="31"/>
        <v>47</v>
      </c>
      <c r="G215" s="16">
        <f t="shared" si="31"/>
        <v>2</v>
      </c>
      <c r="H215" s="16">
        <f t="shared" si="31"/>
        <v>1.8</v>
      </c>
      <c r="I215" s="16">
        <f t="shared" si="31"/>
        <v>0</v>
      </c>
      <c r="J215" s="16">
        <f t="shared" si="31"/>
        <v>22901</v>
      </c>
      <c r="K215" s="16">
        <f t="shared" si="31"/>
        <v>1</v>
      </c>
      <c r="L215" s="16">
        <f t="shared" si="31"/>
        <v>100</v>
      </c>
      <c r="M215" s="16">
        <f t="shared" si="31"/>
        <v>1</v>
      </c>
      <c r="N215" s="16">
        <f t="shared" si="31"/>
        <v>2</v>
      </c>
      <c r="O215" s="16">
        <f t="shared" si="31"/>
        <v>229</v>
      </c>
      <c r="P215" s="16">
        <f t="shared" si="31"/>
        <v>1</v>
      </c>
      <c r="Q215" s="16">
        <f t="shared" si="31"/>
        <v>3</v>
      </c>
      <c r="R215" s="16">
        <f t="shared" si="30"/>
        <v>0</v>
      </c>
      <c r="S215" s="16">
        <f t="shared" si="30"/>
        <v>0</v>
      </c>
      <c r="T215" s="16">
        <f t="shared" si="30"/>
        <v>0</v>
      </c>
      <c r="U215" s="16">
        <f t="shared" si="30"/>
        <v>0</v>
      </c>
      <c r="V215" s="16">
        <f t="shared" si="30"/>
        <v>0</v>
      </c>
      <c r="W215" s="16">
        <f t="shared" si="30"/>
        <v>1</v>
      </c>
      <c r="X215" s="16" t="str">
        <f t="shared" si="27"/>
        <v>null</v>
      </c>
    </row>
    <row r="216" spans="1:24" x14ac:dyDescent="0.15">
      <c r="A216" s="20" t="str">
        <f t="shared" si="29"/>
        <v>23_3-1/11&lt;lv46&gt;s3</v>
      </c>
      <c r="B216" s="16">
        <f t="shared" si="31"/>
        <v>23</v>
      </c>
      <c r="C216" s="16">
        <f t="shared" si="31"/>
        <v>3</v>
      </c>
      <c r="D216" s="16">
        <f t="shared" si="31"/>
        <v>1</v>
      </c>
      <c r="E216" s="16">
        <f t="shared" si="31"/>
        <v>11</v>
      </c>
      <c r="F216" s="16">
        <f t="shared" si="31"/>
        <v>46</v>
      </c>
      <c r="G216" s="16">
        <f t="shared" si="31"/>
        <v>1</v>
      </c>
      <c r="H216" s="16">
        <f t="shared" si="31"/>
        <v>1</v>
      </c>
      <c r="I216" s="16">
        <f t="shared" si="31"/>
        <v>0</v>
      </c>
      <c r="J216" s="16">
        <f t="shared" si="31"/>
        <v>0</v>
      </c>
      <c r="K216" s="16">
        <f t="shared" si="31"/>
        <v>0</v>
      </c>
      <c r="L216" s="16">
        <f t="shared" si="31"/>
        <v>100</v>
      </c>
      <c r="M216" s="16">
        <f t="shared" si="31"/>
        <v>0</v>
      </c>
      <c r="N216" s="16">
        <f t="shared" si="31"/>
        <v>3</v>
      </c>
      <c r="O216" s="16">
        <f t="shared" si="31"/>
        <v>11</v>
      </c>
      <c r="P216" s="16">
        <f t="shared" si="31"/>
        <v>9</v>
      </c>
      <c r="Q216" s="16">
        <f t="shared" si="31"/>
        <v>1</v>
      </c>
      <c r="R216" s="16">
        <f t="shared" si="30"/>
        <v>15</v>
      </c>
      <c r="S216" s="16">
        <f t="shared" si="30"/>
        <v>0</v>
      </c>
      <c r="T216" s="16">
        <f t="shared" si="30"/>
        <v>0</v>
      </c>
      <c r="U216" s="16">
        <f t="shared" si="30"/>
        <v>0</v>
      </c>
      <c r="V216" s="16">
        <f t="shared" si="30"/>
        <v>0</v>
      </c>
      <c r="W216" s="16">
        <f t="shared" si="30"/>
        <v>1</v>
      </c>
      <c r="X216" s="16" t="str">
        <f t="shared" si="27"/>
        <v>null</v>
      </c>
    </row>
    <row r="217" spans="1:24" x14ac:dyDescent="0.15">
      <c r="A217" s="20" t="str">
        <f t="shared" si="29"/>
        <v>23_3-1/23&lt;lv46&gt;s4</v>
      </c>
      <c r="B217" s="16">
        <f t="shared" si="31"/>
        <v>23</v>
      </c>
      <c r="C217" s="16">
        <f t="shared" si="31"/>
        <v>3</v>
      </c>
      <c r="D217" s="16">
        <f t="shared" si="31"/>
        <v>1</v>
      </c>
      <c r="E217" s="16">
        <f t="shared" si="31"/>
        <v>23</v>
      </c>
      <c r="F217" s="16">
        <f t="shared" si="31"/>
        <v>46</v>
      </c>
      <c r="G217" s="16">
        <f t="shared" si="31"/>
        <v>1</v>
      </c>
      <c r="H217" s="16">
        <f t="shared" si="31"/>
        <v>1</v>
      </c>
      <c r="I217" s="16">
        <f t="shared" si="31"/>
        <v>0</v>
      </c>
      <c r="J217" s="16">
        <f t="shared" si="31"/>
        <v>0</v>
      </c>
      <c r="K217" s="16">
        <f t="shared" si="31"/>
        <v>0</v>
      </c>
      <c r="L217" s="16">
        <f t="shared" si="31"/>
        <v>100</v>
      </c>
      <c r="M217" s="16">
        <f t="shared" si="31"/>
        <v>0</v>
      </c>
      <c r="N217" s="16">
        <f t="shared" si="31"/>
        <v>4</v>
      </c>
      <c r="O217" s="16">
        <f t="shared" si="31"/>
        <v>23</v>
      </c>
      <c r="P217" s="16">
        <f t="shared" si="31"/>
        <v>7</v>
      </c>
      <c r="Q217" s="16">
        <f t="shared" si="31"/>
        <v>1</v>
      </c>
      <c r="R217" s="16">
        <f t="shared" si="30"/>
        <v>15</v>
      </c>
      <c r="S217" s="16">
        <f t="shared" si="30"/>
        <v>0</v>
      </c>
      <c r="T217" s="16">
        <f t="shared" si="30"/>
        <v>0</v>
      </c>
      <c r="U217" s="16">
        <f t="shared" si="30"/>
        <v>0</v>
      </c>
      <c r="V217" s="16">
        <f t="shared" si="30"/>
        <v>0</v>
      </c>
      <c r="W217" s="16">
        <f t="shared" si="30"/>
        <v>1</v>
      </c>
      <c r="X217" s="16" t="str">
        <f t="shared" si="27"/>
        <v>null</v>
      </c>
    </row>
    <row r="218" spans="1:24" x14ac:dyDescent="0.15">
      <c r="A218" s="20" t="str">
        <f t="shared" si="29"/>
        <v>23_3-1/59&lt;lv46&gt;s2</v>
      </c>
      <c r="B218" s="16">
        <f t="shared" si="31"/>
        <v>23</v>
      </c>
      <c r="C218" s="16">
        <f t="shared" si="31"/>
        <v>3</v>
      </c>
      <c r="D218" s="16">
        <f t="shared" si="31"/>
        <v>1</v>
      </c>
      <c r="E218" s="16">
        <f t="shared" si="31"/>
        <v>59</v>
      </c>
      <c r="F218" s="16">
        <f t="shared" si="31"/>
        <v>46</v>
      </c>
      <c r="G218" s="16">
        <f t="shared" si="31"/>
        <v>1</v>
      </c>
      <c r="H218" s="16">
        <f t="shared" si="31"/>
        <v>1</v>
      </c>
      <c r="I218" s="16">
        <f t="shared" si="31"/>
        <v>0</v>
      </c>
      <c r="J218" s="16">
        <f t="shared" si="31"/>
        <v>59</v>
      </c>
      <c r="K218" s="16">
        <f t="shared" si="31"/>
        <v>0</v>
      </c>
      <c r="L218" s="16">
        <f t="shared" si="31"/>
        <v>100</v>
      </c>
      <c r="M218" s="16">
        <f t="shared" si="31"/>
        <v>0</v>
      </c>
      <c r="N218" s="16">
        <f t="shared" si="31"/>
        <v>2</v>
      </c>
      <c r="O218" s="16">
        <f t="shared" si="31"/>
        <v>59</v>
      </c>
      <c r="P218" s="16">
        <f t="shared" si="31"/>
        <v>7</v>
      </c>
      <c r="Q218" s="16">
        <f t="shared" si="31"/>
        <v>2</v>
      </c>
      <c r="R218" s="16">
        <f t="shared" si="30"/>
        <v>20</v>
      </c>
      <c r="S218" s="16">
        <f t="shared" si="30"/>
        <v>0</v>
      </c>
      <c r="T218" s="16">
        <f t="shared" si="30"/>
        <v>0</v>
      </c>
      <c r="U218" s="16">
        <f t="shared" si="30"/>
        <v>0</v>
      </c>
      <c r="V218" s="16">
        <f t="shared" si="30"/>
        <v>0</v>
      </c>
      <c r="W218" s="16">
        <f t="shared" si="30"/>
        <v>1</v>
      </c>
      <c r="X218" s="16" t="str">
        <f t="shared" si="27"/>
        <v>null</v>
      </c>
    </row>
    <row r="219" spans="1:24" x14ac:dyDescent="0.15">
      <c r="A219" s="20" t="str">
        <f t="shared" si="29"/>
        <v>23_3-1/43&lt;lv46&gt;s2</v>
      </c>
      <c r="B219" s="16">
        <f t="shared" si="31"/>
        <v>23</v>
      </c>
      <c r="C219" s="16">
        <f t="shared" si="31"/>
        <v>3</v>
      </c>
      <c r="D219" s="16">
        <f t="shared" si="31"/>
        <v>1</v>
      </c>
      <c r="E219" s="16">
        <f t="shared" si="31"/>
        <v>43</v>
      </c>
      <c r="F219" s="16">
        <f t="shared" si="31"/>
        <v>46</v>
      </c>
      <c r="G219" s="16">
        <f t="shared" si="31"/>
        <v>1</v>
      </c>
      <c r="H219" s="16">
        <f t="shared" si="31"/>
        <v>1</v>
      </c>
      <c r="I219" s="16">
        <f t="shared" si="31"/>
        <v>0</v>
      </c>
      <c r="J219" s="16">
        <f t="shared" si="31"/>
        <v>0</v>
      </c>
      <c r="K219" s="16">
        <f t="shared" si="31"/>
        <v>0</v>
      </c>
      <c r="L219" s="16">
        <f t="shared" si="31"/>
        <v>100</v>
      </c>
      <c r="M219" s="16">
        <f t="shared" si="31"/>
        <v>0</v>
      </c>
      <c r="N219" s="16">
        <f t="shared" si="31"/>
        <v>2</v>
      </c>
      <c r="O219" s="16">
        <f t="shared" si="31"/>
        <v>43</v>
      </c>
      <c r="P219" s="16">
        <f t="shared" si="31"/>
        <v>7</v>
      </c>
      <c r="Q219" s="16">
        <f t="shared" si="31"/>
        <v>2</v>
      </c>
      <c r="R219" s="16">
        <f t="shared" si="30"/>
        <v>20</v>
      </c>
      <c r="S219" s="16">
        <f t="shared" si="30"/>
        <v>0</v>
      </c>
      <c r="T219" s="16">
        <f t="shared" si="30"/>
        <v>0</v>
      </c>
      <c r="U219" s="16">
        <f t="shared" si="30"/>
        <v>0</v>
      </c>
      <c r="V219" s="16">
        <f t="shared" si="30"/>
        <v>0</v>
      </c>
      <c r="W219" s="16">
        <f t="shared" si="30"/>
        <v>1</v>
      </c>
      <c r="X219" s="16" t="str">
        <f t="shared" si="27"/>
        <v>null</v>
      </c>
    </row>
    <row r="220" spans="1:24" x14ac:dyDescent="0.15">
      <c r="A220" s="20" t="str">
        <f t="shared" si="29"/>
        <v>23_3-1/362&lt;lv46&gt;s3</v>
      </c>
      <c r="B220" s="16">
        <f t="shared" si="31"/>
        <v>23</v>
      </c>
      <c r="C220" s="16">
        <f t="shared" si="31"/>
        <v>3</v>
      </c>
      <c r="D220" s="16">
        <f t="shared" si="31"/>
        <v>1</v>
      </c>
      <c r="E220" s="16">
        <f t="shared" si="31"/>
        <v>362</v>
      </c>
      <c r="F220" s="16">
        <f t="shared" si="31"/>
        <v>46</v>
      </c>
      <c r="G220" s="16">
        <f t="shared" si="31"/>
        <v>1</v>
      </c>
      <c r="H220" s="16">
        <f t="shared" si="31"/>
        <v>1</v>
      </c>
      <c r="I220" s="16">
        <f t="shared" si="31"/>
        <v>0</v>
      </c>
      <c r="J220" s="16">
        <f t="shared" si="31"/>
        <v>362</v>
      </c>
      <c r="K220" s="16">
        <f t="shared" si="31"/>
        <v>0</v>
      </c>
      <c r="L220" s="16">
        <f t="shared" si="31"/>
        <v>100</v>
      </c>
      <c r="M220" s="16">
        <f t="shared" si="31"/>
        <v>0</v>
      </c>
      <c r="N220" s="16">
        <f t="shared" si="31"/>
        <v>3</v>
      </c>
      <c r="O220" s="16">
        <f t="shared" si="31"/>
        <v>362</v>
      </c>
      <c r="P220" s="16">
        <f t="shared" si="31"/>
        <v>7</v>
      </c>
      <c r="Q220" s="16">
        <f t="shared" si="31"/>
        <v>2</v>
      </c>
      <c r="R220" s="16">
        <f t="shared" si="30"/>
        <v>20</v>
      </c>
      <c r="S220" s="16">
        <f t="shared" si="30"/>
        <v>0</v>
      </c>
      <c r="T220" s="16">
        <f t="shared" si="30"/>
        <v>0</v>
      </c>
      <c r="U220" s="16">
        <f t="shared" si="30"/>
        <v>0</v>
      </c>
      <c r="V220" s="16">
        <f t="shared" si="30"/>
        <v>0</v>
      </c>
      <c r="W220" s="16">
        <f t="shared" si="30"/>
        <v>1</v>
      </c>
      <c r="X220" s="16" t="str">
        <f t="shared" si="27"/>
        <v>null</v>
      </c>
    </row>
    <row r="221" spans="1:24" x14ac:dyDescent="0.15">
      <c r="A221" s="20" t="str">
        <f t="shared" si="29"/>
        <v>23_3-1/350&lt;lv46&gt;s3</v>
      </c>
      <c r="B221" s="16">
        <f t="shared" si="31"/>
        <v>23</v>
      </c>
      <c r="C221" s="16">
        <f t="shared" si="31"/>
        <v>3</v>
      </c>
      <c r="D221" s="16">
        <f t="shared" si="31"/>
        <v>1</v>
      </c>
      <c r="E221" s="16">
        <f t="shared" si="31"/>
        <v>350</v>
      </c>
      <c r="F221" s="16">
        <f t="shared" si="31"/>
        <v>46</v>
      </c>
      <c r="G221" s="16">
        <f t="shared" si="31"/>
        <v>1</v>
      </c>
      <c r="H221" s="16">
        <f t="shared" si="31"/>
        <v>1</v>
      </c>
      <c r="I221" s="16">
        <f t="shared" si="31"/>
        <v>0</v>
      </c>
      <c r="J221" s="16">
        <f t="shared" si="31"/>
        <v>350</v>
      </c>
      <c r="K221" s="16">
        <f t="shared" si="31"/>
        <v>0</v>
      </c>
      <c r="L221" s="16">
        <f t="shared" si="31"/>
        <v>100</v>
      </c>
      <c r="M221" s="16">
        <f t="shared" si="31"/>
        <v>0</v>
      </c>
      <c r="N221" s="16">
        <f t="shared" si="31"/>
        <v>3</v>
      </c>
      <c r="O221" s="16">
        <f t="shared" si="31"/>
        <v>350</v>
      </c>
      <c r="P221" s="16">
        <f t="shared" si="31"/>
        <v>1</v>
      </c>
      <c r="Q221" s="16">
        <f t="shared" si="31"/>
        <v>2</v>
      </c>
      <c r="R221" s="16">
        <f t="shared" si="30"/>
        <v>27</v>
      </c>
      <c r="S221" s="16">
        <f t="shared" si="30"/>
        <v>0</v>
      </c>
      <c r="T221" s="16">
        <f t="shared" si="30"/>
        <v>0</v>
      </c>
      <c r="U221" s="16">
        <f t="shared" si="30"/>
        <v>0</v>
      </c>
      <c r="V221" s="16">
        <f t="shared" si="30"/>
        <v>0</v>
      </c>
      <c r="W221" s="16">
        <f t="shared" si="30"/>
        <v>1</v>
      </c>
      <c r="X221" s="16" t="str">
        <f t="shared" si="27"/>
        <v>null</v>
      </c>
    </row>
    <row r="222" spans="1:24" x14ac:dyDescent="0.15">
      <c r="A222" s="20" t="str">
        <f t="shared" si="29"/>
        <v>23_3-2/9&lt;lv44&gt;s2</v>
      </c>
      <c r="B222" s="16">
        <f t="shared" si="31"/>
        <v>23</v>
      </c>
      <c r="C222" s="16">
        <f t="shared" si="31"/>
        <v>3</v>
      </c>
      <c r="D222" s="16">
        <f t="shared" si="31"/>
        <v>2</v>
      </c>
      <c r="E222" s="16">
        <f t="shared" si="31"/>
        <v>9</v>
      </c>
      <c r="F222" s="16">
        <f t="shared" si="31"/>
        <v>44</v>
      </c>
      <c r="G222" s="16">
        <f t="shared" si="31"/>
        <v>1</v>
      </c>
      <c r="H222" s="16">
        <f t="shared" si="31"/>
        <v>1</v>
      </c>
      <c r="I222" s="16">
        <f t="shared" si="31"/>
        <v>0</v>
      </c>
      <c r="J222" s="16">
        <f t="shared" si="31"/>
        <v>0</v>
      </c>
      <c r="K222" s="16">
        <f t="shared" si="31"/>
        <v>0</v>
      </c>
      <c r="L222" s="16">
        <f t="shared" si="31"/>
        <v>100</v>
      </c>
      <c r="M222" s="16">
        <f t="shared" si="31"/>
        <v>0</v>
      </c>
      <c r="N222" s="16">
        <f t="shared" si="31"/>
        <v>2</v>
      </c>
      <c r="O222" s="16">
        <f t="shared" si="31"/>
        <v>9</v>
      </c>
      <c r="P222" s="16">
        <f t="shared" si="31"/>
        <v>9</v>
      </c>
      <c r="Q222" s="16">
        <f t="shared" ref="Q222:W237" si="32">VLOOKUP($A222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222" s="16">
        <f t="shared" si="32"/>
        <v>15</v>
      </c>
      <c r="S222" s="16">
        <f t="shared" si="32"/>
        <v>0</v>
      </c>
      <c r="T222" s="16">
        <f t="shared" si="32"/>
        <v>0</v>
      </c>
      <c r="U222" s="16">
        <f t="shared" si="32"/>
        <v>0</v>
      </c>
      <c r="V222" s="16">
        <f t="shared" si="32"/>
        <v>0</v>
      </c>
      <c r="W222" s="16">
        <f t="shared" si="32"/>
        <v>1</v>
      </c>
      <c r="X222" s="16" t="str">
        <f t="shared" si="27"/>
        <v>null</v>
      </c>
    </row>
    <row r="223" spans="1:24" x14ac:dyDescent="0.15">
      <c r="A223" s="20" t="str">
        <f t="shared" si="29"/>
        <v>23_3-2/33&lt;lv44&gt;s2</v>
      </c>
      <c r="B223" s="16">
        <f t="shared" ref="B223:Q238" si="3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223" s="16">
        <f t="shared" si="33"/>
        <v>3</v>
      </c>
      <c r="D223" s="16">
        <f t="shared" si="33"/>
        <v>2</v>
      </c>
      <c r="E223" s="16">
        <f t="shared" si="33"/>
        <v>33</v>
      </c>
      <c r="F223" s="16">
        <f t="shared" si="33"/>
        <v>44</v>
      </c>
      <c r="G223" s="16">
        <f t="shared" si="33"/>
        <v>1</v>
      </c>
      <c r="H223" s="16">
        <f t="shared" si="33"/>
        <v>1</v>
      </c>
      <c r="I223" s="16">
        <f t="shared" si="33"/>
        <v>0</v>
      </c>
      <c r="J223" s="16">
        <f t="shared" si="33"/>
        <v>33</v>
      </c>
      <c r="K223" s="16">
        <f t="shared" si="33"/>
        <v>0</v>
      </c>
      <c r="L223" s="16">
        <f t="shared" si="33"/>
        <v>100</v>
      </c>
      <c r="M223" s="16">
        <f t="shared" si="33"/>
        <v>0</v>
      </c>
      <c r="N223" s="16">
        <f t="shared" si="33"/>
        <v>2</v>
      </c>
      <c r="O223" s="16">
        <f t="shared" si="33"/>
        <v>33</v>
      </c>
      <c r="P223" s="16">
        <f t="shared" si="33"/>
        <v>5</v>
      </c>
      <c r="Q223" s="16">
        <f t="shared" si="33"/>
        <v>2</v>
      </c>
      <c r="R223" s="16">
        <f t="shared" si="32"/>
        <v>20</v>
      </c>
      <c r="S223" s="16">
        <f t="shared" si="32"/>
        <v>0</v>
      </c>
      <c r="T223" s="16">
        <f t="shared" si="32"/>
        <v>0</v>
      </c>
      <c r="U223" s="16">
        <f t="shared" si="32"/>
        <v>0</v>
      </c>
      <c r="V223" s="16">
        <f t="shared" si="32"/>
        <v>0</v>
      </c>
      <c r="W223" s="16">
        <f t="shared" si="32"/>
        <v>1</v>
      </c>
      <c r="X223" s="16" t="str">
        <f t="shared" si="27"/>
        <v>null</v>
      </c>
    </row>
    <row r="224" spans="1:24" x14ac:dyDescent="0.15">
      <c r="A224" s="20" t="str">
        <f t="shared" si="29"/>
        <v>23_3-2/57&lt;lv44&gt;s2</v>
      </c>
      <c r="B224" s="16">
        <f t="shared" si="33"/>
        <v>23</v>
      </c>
      <c r="C224" s="16">
        <f t="shared" si="33"/>
        <v>3</v>
      </c>
      <c r="D224" s="16">
        <f t="shared" si="33"/>
        <v>2</v>
      </c>
      <c r="E224" s="16">
        <f t="shared" si="33"/>
        <v>57</v>
      </c>
      <c r="F224" s="16">
        <f t="shared" si="33"/>
        <v>44</v>
      </c>
      <c r="G224" s="16">
        <f t="shared" si="33"/>
        <v>1</v>
      </c>
      <c r="H224" s="16">
        <f t="shared" si="33"/>
        <v>1</v>
      </c>
      <c r="I224" s="16">
        <f t="shared" si="33"/>
        <v>0</v>
      </c>
      <c r="J224" s="16">
        <f t="shared" si="33"/>
        <v>57</v>
      </c>
      <c r="K224" s="16">
        <f t="shared" si="33"/>
        <v>0</v>
      </c>
      <c r="L224" s="16">
        <f t="shared" si="33"/>
        <v>100</v>
      </c>
      <c r="M224" s="16">
        <f t="shared" si="33"/>
        <v>0</v>
      </c>
      <c r="N224" s="16">
        <f t="shared" si="33"/>
        <v>2</v>
      </c>
      <c r="O224" s="16">
        <f t="shared" si="33"/>
        <v>57</v>
      </c>
      <c r="P224" s="16">
        <f t="shared" si="33"/>
        <v>7</v>
      </c>
      <c r="Q224" s="16">
        <f t="shared" si="33"/>
        <v>2</v>
      </c>
      <c r="R224" s="16">
        <f t="shared" si="32"/>
        <v>20</v>
      </c>
      <c r="S224" s="16">
        <f t="shared" si="32"/>
        <v>0</v>
      </c>
      <c r="T224" s="16">
        <f t="shared" si="32"/>
        <v>0</v>
      </c>
      <c r="U224" s="16">
        <f t="shared" si="32"/>
        <v>0</v>
      </c>
      <c r="V224" s="16">
        <f t="shared" si="32"/>
        <v>0</v>
      </c>
      <c r="W224" s="16">
        <f t="shared" si="32"/>
        <v>1</v>
      </c>
      <c r="X224" s="16" t="str">
        <f t="shared" si="27"/>
        <v>null</v>
      </c>
    </row>
    <row r="225" spans="1:24" x14ac:dyDescent="0.15">
      <c r="A225" s="20" t="str">
        <f t="shared" si="29"/>
        <v>23_3-2/21&lt;lv44&gt;s2</v>
      </c>
      <c r="B225" s="16">
        <f t="shared" si="33"/>
        <v>23</v>
      </c>
      <c r="C225" s="16">
        <f t="shared" si="33"/>
        <v>3</v>
      </c>
      <c r="D225" s="16">
        <f t="shared" si="33"/>
        <v>2</v>
      </c>
      <c r="E225" s="16">
        <f t="shared" si="33"/>
        <v>21</v>
      </c>
      <c r="F225" s="16">
        <f t="shared" si="33"/>
        <v>44</v>
      </c>
      <c r="G225" s="16">
        <f t="shared" si="33"/>
        <v>1</v>
      </c>
      <c r="H225" s="16">
        <f t="shared" si="33"/>
        <v>1</v>
      </c>
      <c r="I225" s="16">
        <f t="shared" si="33"/>
        <v>0</v>
      </c>
      <c r="J225" s="16">
        <f t="shared" si="33"/>
        <v>0</v>
      </c>
      <c r="K225" s="16">
        <f t="shared" si="33"/>
        <v>0</v>
      </c>
      <c r="L225" s="16">
        <f t="shared" si="33"/>
        <v>100</v>
      </c>
      <c r="M225" s="16">
        <f t="shared" si="33"/>
        <v>0</v>
      </c>
      <c r="N225" s="16">
        <f t="shared" si="33"/>
        <v>2</v>
      </c>
      <c r="O225" s="16">
        <f t="shared" si="33"/>
        <v>21</v>
      </c>
      <c r="P225" s="16">
        <f t="shared" si="33"/>
        <v>7</v>
      </c>
      <c r="Q225" s="16">
        <f t="shared" si="33"/>
        <v>1</v>
      </c>
      <c r="R225" s="16">
        <f t="shared" si="32"/>
        <v>15</v>
      </c>
      <c r="S225" s="16">
        <f t="shared" si="32"/>
        <v>0</v>
      </c>
      <c r="T225" s="16">
        <f t="shared" si="32"/>
        <v>0</v>
      </c>
      <c r="U225" s="16">
        <f t="shared" si="32"/>
        <v>0</v>
      </c>
      <c r="V225" s="16">
        <f t="shared" si="32"/>
        <v>0</v>
      </c>
      <c r="W225" s="16">
        <f t="shared" si="32"/>
        <v>1</v>
      </c>
      <c r="X225" s="16" t="str">
        <f t="shared" si="27"/>
        <v>null</v>
      </c>
    </row>
    <row r="226" spans="1:24" x14ac:dyDescent="0.15">
      <c r="A226" s="20" t="str">
        <f t="shared" si="29"/>
        <v>23_3-2/41&lt;lv44&gt;s1</v>
      </c>
      <c r="B226" s="16">
        <f t="shared" si="33"/>
        <v>23</v>
      </c>
      <c r="C226" s="16">
        <f t="shared" si="33"/>
        <v>3</v>
      </c>
      <c r="D226" s="16">
        <f t="shared" si="33"/>
        <v>2</v>
      </c>
      <c r="E226" s="16">
        <f t="shared" si="33"/>
        <v>41</v>
      </c>
      <c r="F226" s="16">
        <f t="shared" si="33"/>
        <v>44</v>
      </c>
      <c r="G226" s="16">
        <f t="shared" si="33"/>
        <v>1</v>
      </c>
      <c r="H226" s="16">
        <f t="shared" si="33"/>
        <v>1</v>
      </c>
      <c r="I226" s="16">
        <f t="shared" si="33"/>
        <v>0</v>
      </c>
      <c r="J226" s="16">
        <f t="shared" si="33"/>
        <v>0</v>
      </c>
      <c r="K226" s="16">
        <f t="shared" si="33"/>
        <v>0</v>
      </c>
      <c r="L226" s="16">
        <f t="shared" si="33"/>
        <v>100</v>
      </c>
      <c r="M226" s="16">
        <f t="shared" si="33"/>
        <v>0</v>
      </c>
      <c r="N226" s="16">
        <f t="shared" si="33"/>
        <v>1</v>
      </c>
      <c r="O226" s="16">
        <f t="shared" si="33"/>
        <v>41</v>
      </c>
      <c r="P226" s="16">
        <f t="shared" si="33"/>
        <v>7</v>
      </c>
      <c r="Q226" s="16">
        <f t="shared" si="33"/>
        <v>2</v>
      </c>
      <c r="R226" s="16">
        <f t="shared" si="32"/>
        <v>20</v>
      </c>
      <c r="S226" s="16">
        <f t="shared" si="32"/>
        <v>0</v>
      </c>
      <c r="T226" s="16">
        <f t="shared" si="32"/>
        <v>0</v>
      </c>
      <c r="U226" s="16">
        <f t="shared" si="32"/>
        <v>0</v>
      </c>
      <c r="V226" s="16">
        <f t="shared" si="32"/>
        <v>0</v>
      </c>
      <c r="W226" s="16">
        <f t="shared" si="32"/>
        <v>1</v>
      </c>
      <c r="X226" s="16" t="str">
        <f t="shared" si="27"/>
        <v>null</v>
      </c>
    </row>
    <row r="227" spans="1:24" x14ac:dyDescent="0.15">
      <c r="A227" s="20" t="str">
        <f t="shared" si="29"/>
        <v>23_3-2/360&lt;lv44&gt;s3</v>
      </c>
      <c r="B227" s="16">
        <f t="shared" si="33"/>
        <v>23</v>
      </c>
      <c r="C227" s="16">
        <f t="shared" si="33"/>
        <v>3</v>
      </c>
      <c r="D227" s="16">
        <f t="shared" si="33"/>
        <v>2</v>
      </c>
      <c r="E227" s="16">
        <f t="shared" si="33"/>
        <v>360</v>
      </c>
      <c r="F227" s="16">
        <f t="shared" si="33"/>
        <v>44</v>
      </c>
      <c r="G227" s="16">
        <f t="shared" si="33"/>
        <v>1</v>
      </c>
      <c r="H227" s="16">
        <f t="shared" si="33"/>
        <v>1</v>
      </c>
      <c r="I227" s="16">
        <f t="shared" si="33"/>
        <v>0</v>
      </c>
      <c r="J227" s="16">
        <f t="shared" si="33"/>
        <v>360</v>
      </c>
      <c r="K227" s="16">
        <f t="shared" si="33"/>
        <v>0</v>
      </c>
      <c r="L227" s="16">
        <f t="shared" si="33"/>
        <v>100</v>
      </c>
      <c r="M227" s="16">
        <f t="shared" si="33"/>
        <v>0</v>
      </c>
      <c r="N227" s="16">
        <f t="shared" si="33"/>
        <v>3</v>
      </c>
      <c r="O227" s="16">
        <f t="shared" si="33"/>
        <v>360</v>
      </c>
      <c r="P227" s="16">
        <f t="shared" si="33"/>
        <v>7</v>
      </c>
      <c r="Q227" s="16">
        <f t="shared" si="33"/>
        <v>2</v>
      </c>
      <c r="R227" s="16">
        <f t="shared" si="32"/>
        <v>20</v>
      </c>
      <c r="S227" s="16">
        <f t="shared" si="32"/>
        <v>0</v>
      </c>
      <c r="T227" s="16">
        <f t="shared" si="32"/>
        <v>0</v>
      </c>
      <c r="U227" s="16">
        <f t="shared" si="32"/>
        <v>0</v>
      </c>
      <c r="V227" s="16">
        <f t="shared" si="32"/>
        <v>0</v>
      </c>
      <c r="W227" s="16">
        <f t="shared" si="32"/>
        <v>1</v>
      </c>
      <c r="X227" s="16" t="str">
        <f t="shared" si="27"/>
        <v>null</v>
      </c>
    </row>
    <row r="228" spans="1:24" x14ac:dyDescent="0.15">
      <c r="A228" s="20" t="str">
        <f t="shared" si="29"/>
        <v>23_3-2/348&lt;lv44&gt;s3</v>
      </c>
      <c r="B228" s="16">
        <f t="shared" si="33"/>
        <v>23</v>
      </c>
      <c r="C228" s="16">
        <f t="shared" si="33"/>
        <v>3</v>
      </c>
      <c r="D228" s="16">
        <f t="shared" si="33"/>
        <v>2</v>
      </c>
      <c r="E228" s="16">
        <f t="shared" si="33"/>
        <v>348</v>
      </c>
      <c r="F228" s="16">
        <f t="shared" si="33"/>
        <v>44</v>
      </c>
      <c r="G228" s="16">
        <f t="shared" si="33"/>
        <v>1</v>
      </c>
      <c r="H228" s="16">
        <f t="shared" si="33"/>
        <v>1</v>
      </c>
      <c r="I228" s="16">
        <f t="shared" si="33"/>
        <v>0</v>
      </c>
      <c r="J228" s="16">
        <f t="shared" si="33"/>
        <v>348</v>
      </c>
      <c r="K228" s="16">
        <f t="shared" si="33"/>
        <v>0</v>
      </c>
      <c r="L228" s="16">
        <f t="shared" si="33"/>
        <v>100</v>
      </c>
      <c r="M228" s="16">
        <f t="shared" si="33"/>
        <v>0</v>
      </c>
      <c r="N228" s="16">
        <f t="shared" si="33"/>
        <v>3</v>
      </c>
      <c r="O228" s="16">
        <f t="shared" si="33"/>
        <v>348</v>
      </c>
      <c r="P228" s="16">
        <f t="shared" si="33"/>
        <v>1</v>
      </c>
      <c r="Q228" s="16">
        <f t="shared" si="33"/>
        <v>2</v>
      </c>
      <c r="R228" s="16">
        <f t="shared" si="32"/>
        <v>27</v>
      </c>
      <c r="S228" s="16">
        <f t="shared" si="32"/>
        <v>0</v>
      </c>
      <c r="T228" s="16">
        <f t="shared" si="32"/>
        <v>0</v>
      </c>
      <c r="U228" s="16">
        <f t="shared" si="32"/>
        <v>0</v>
      </c>
      <c r="V228" s="16">
        <f t="shared" si="32"/>
        <v>0</v>
      </c>
      <c r="W228" s="16">
        <f t="shared" si="32"/>
        <v>1</v>
      </c>
      <c r="X228" s="16" t="str">
        <f t="shared" si="27"/>
        <v>null</v>
      </c>
    </row>
    <row r="229" spans="1:24" x14ac:dyDescent="0.15">
      <c r="A229" s="20" t="str">
        <f t="shared" si="29"/>
        <v>23_3-3/9&lt;lv44&gt;s2</v>
      </c>
      <c r="B229" s="16">
        <f t="shared" si="33"/>
        <v>23</v>
      </c>
      <c r="C229" s="16">
        <f t="shared" si="33"/>
        <v>3</v>
      </c>
      <c r="D229" s="16">
        <f t="shared" si="33"/>
        <v>3</v>
      </c>
      <c r="E229" s="16">
        <f t="shared" si="33"/>
        <v>9</v>
      </c>
      <c r="F229" s="16">
        <f t="shared" si="33"/>
        <v>44</v>
      </c>
      <c r="G229" s="16">
        <f t="shared" si="33"/>
        <v>1</v>
      </c>
      <c r="H229" s="16">
        <f t="shared" si="33"/>
        <v>1</v>
      </c>
      <c r="I229" s="16">
        <f t="shared" si="33"/>
        <v>0</v>
      </c>
      <c r="J229" s="16">
        <f t="shared" si="33"/>
        <v>0</v>
      </c>
      <c r="K229" s="16">
        <f t="shared" si="33"/>
        <v>0</v>
      </c>
      <c r="L229" s="16">
        <f t="shared" si="33"/>
        <v>100</v>
      </c>
      <c r="M229" s="16">
        <f t="shared" si="33"/>
        <v>0</v>
      </c>
      <c r="N229" s="16">
        <f t="shared" si="33"/>
        <v>2</v>
      </c>
      <c r="O229" s="16">
        <f t="shared" si="33"/>
        <v>9</v>
      </c>
      <c r="P229" s="16">
        <f t="shared" si="33"/>
        <v>9</v>
      </c>
      <c r="Q229" s="16">
        <f t="shared" si="33"/>
        <v>1</v>
      </c>
      <c r="R229" s="16">
        <f t="shared" si="32"/>
        <v>15</v>
      </c>
      <c r="S229" s="16">
        <f t="shared" si="32"/>
        <v>0</v>
      </c>
      <c r="T229" s="16">
        <f t="shared" si="32"/>
        <v>0</v>
      </c>
      <c r="U229" s="16">
        <f t="shared" si="32"/>
        <v>0</v>
      </c>
      <c r="V229" s="16">
        <f t="shared" si="32"/>
        <v>0</v>
      </c>
      <c r="W229" s="16">
        <f t="shared" si="32"/>
        <v>1</v>
      </c>
      <c r="X229" s="16" t="str">
        <f t="shared" si="27"/>
        <v>null</v>
      </c>
    </row>
    <row r="230" spans="1:24" x14ac:dyDescent="0.15">
      <c r="A230" s="20" t="str">
        <f t="shared" si="29"/>
        <v>23_3-3/11&lt;lv46&gt;s3</v>
      </c>
      <c r="B230" s="16">
        <f t="shared" si="33"/>
        <v>23</v>
      </c>
      <c r="C230" s="16">
        <f t="shared" si="33"/>
        <v>3</v>
      </c>
      <c r="D230" s="16">
        <f t="shared" si="33"/>
        <v>3</v>
      </c>
      <c r="E230" s="16">
        <f t="shared" si="33"/>
        <v>11</v>
      </c>
      <c r="F230" s="16">
        <f t="shared" si="33"/>
        <v>46</v>
      </c>
      <c r="G230" s="16">
        <f t="shared" si="33"/>
        <v>1</v>
      </c>
      <c r="H230" s="16">
        <f t="shared" si="33"/>
        <v>1</v>
      </c>
      <c r="I230" s="16">
        <f t="shared" si="33"/>
        <v>0</v>
      </c>
      <c r="J230" s="16">
        <f t="shared" si="33"/>
        <v>0</v>
      </c>
      <c r="K230" s="16">
        <f t="shared" si="33"/>
        <v>0</v>
      </c>
      <c r="L230" s="16">
        <f t="shared" si="33"/>
        <v>100</v>
      </c>
      <c r="M230" s="16">
        <f t="shared" si="33"/>
        <v>0</v>
      </c>
      <c r="N230" s="16">
        <f t="shared" si="33"/>
        <v>3</v>
      </c>
      <c r="O230" s="16">
        <f t="shared" si="33"/>
        <v>11</v>
      </c>
      <c r="P230" s="16">
        <f t="shared" si="33"/>
        <v>9</v>
      </c>
      <c r="Q230" s="16">
        <f t="shared" si="33"/>
        <v>1</v>
      </c>
      <c r="R230" s="16">
        <f t="shared" si="32"/>
        <v>15</v>
      </c>
      <c r="S230" s="16">
        <f t="shared" si="32"/>
        <v>0</v>
      </c>
      <c r="T230" s="16">
        <f t="shared" si="32"/>
        <v>0</v>
      </c>
      <c r="U230" s="16">
        <f t="shared" si="32"/>
        <v>0</v>
      </c>
      <c r="V230" s="16">
        <f t="shared" si="32"/>
        <v>0</v>
      </c>
      <c r="W230" s="16">
        <f t="shared" si="32"/>
        <v>1</v>
      </c>
      <c r="X230" s="16" t="str">
        <f t="shared" si="27"/>
        <v>null</v>
      </c>
    </row>
    <row r="231" spans="1:24" x14ac:dyDescent="0.15">
      <c r="A231" s="20" t="str">
        <f t="shared" si="29"/>
        <v>23_3-3/23&lt;lv46&gt;s4</v>
      </c>
      <c r="B231" s="16">
        <f t="shared" si="33"/>
        <v>23</v>
      </c>
      <c r="C231" s="16">
        <f t="shared" si="33"/>
        <v>3</v>
      </c>
      <c r="D231" s="16">
        <f t="shared" si="33"/>
        <v>3</v>
      </c>
      <c r="E231" s="16">
        <f t="shared" si="33"/>
        <v>23</v>
      </c>
      <c r="F231" s="16">
        <f t="shared" si="33"/>
        <v>46</v>
      </c>
      <c r="G231" s="16">
        <f t="shared" si="33"/>
        <v>1</v>
      </c>
      <c r="H231" s="16">
        <f t="shared" si="33"/>
        <v>1</v>
      </c>
      <c r="I231" s="16">
        <f t="shared" si="33"/>
        <v>0</v>
      </c>
      <c r="J231" s="16">
        <f t="shared" si="33"/>
        <v>0</v>
      </c>
      <c r="K231" s="16">
        <f t="shared" si="33"/>
        <v>0</v>
      </c>
      <c r="L231" s="16">
        <f t="shared" si="33"/>
        <v>100</v>
      </c>
      <c r="M231" s="16">
        <f t="shared" si="33"/>
        <v>0</v>
      </c>
      <c r="N231" s="16">
        <f t="shared" si="33"/>
        <v>4</v>
      </c>
      <c r="O231" s="16">
        <f t="shared" si="33"/>
        <v>23</v>
      </c>
      <c r="P231" s="16">
        <f t="shared" si="33"/>
        <v>7</v>
      </c>
      <c r="Q231" s="16">
        <f t="shared" si="33"/>
        <v>1</v>
      </c>
      <c r="R231" s="16">
        <f t="shared" si="32"/>
        <v>15</v>
      </c>
      <c r="S231" s="16">
        <f t="shared" si="32"/>
        <v>0</v>
      </c>
      <c r="T231" s="16">
        <f t="shared" si="32"/>
        <v>0</v>
      </c>
      <c r="U231" s="16">
        <f t="shared" si="32"/>
        <v>0</v>
      </c>
      <c r="V231" s="16">
        <f t="shared" si="32"/>
        <v>0</v>
      </c>
      <c r="W231" s="16">
        <f t="shared" si="32"/>
        <v>1</v>
      </c>
      <c r="X231" s="16" t="str">
        <f t="shared" si="27"/>
        <v>null</v>
      </c>
    </row>
    <row r="232" spans="1:24" x14ac:dyDescent="0.15">
      <c r="A232" s="20" t="str">
        <f t="shared" si="29"/>
        <v>23_3-3/33&lt;lv44&gt;s2</v>
      </c>
      <c r="B232" s="16">
        <f t="shared" si="33"/>
        <v>23</v>
      </c>
      <c r="C232" s="16">
        <f t="shared" si="33"/>
        <v>3</v>
      </c>
      <c r="D232" s="16">
        <f t="shared" si="33"/>
        <v>3</v>
      </c>
      <c r="E232" s="16">
        <f t="shared" si="33"/>
        <v>33</v>
      </c>
      <c r="F232" s="16">
        <f t="shared" si="33"/>
        <v>44</v>
      </c>
      <c r="G232" s="16">
        <f t="shared" si="33"/>
        <v>1</v>
      </c>
      <c r="H232" s="16">
        <f t="shared" si="33"/>
        <v>1</v>
      </c>
      <c r="I232" s="16">
        <f t="shared" si="33"/>
        <v>0</v>
      </c>
      <c r="J232" s="16">
        <f t="shared" si="33"/>
        <v>33</v>
      </c>
      <c r="K232" s="16">
        <f t="shared" si="33"/>
        <v>0</v>
      </c>
      <c r="L232" s="16">
        <f t="shared" si="33"/>
        <v>100</v>
      </c>
      <c r="M232" s="16">
        <f t="shared" si="33"/>
        <v>0</v>
      </c>
      <c r="N232" s="16">
        <f t="shared" si="33"/>
        <v>2</v>
      </c>
      <c r="O232" s="16">
        <f t="shared" si="33"/>
        <v>33</v>
      </c>
      <c r="P232" s="16">
        <f t="shared" si="33"/>
        <v>5</v>
      </c>
      <c r="Q232" s="16">
        <f t="shared" si="33"/>
        <v>2</v>
      </c>
      <c r="R232" s="16">
        <f t="shared" si="32"/>
        <v>20</v>
      </c>
      <c r="S232" s="16">
        <f t="shared" si="32"/>
        <v>0</v>
      </c>
      <c r="T232" s="16">
        <f t="shared" si="32"/>
        <v>0</v>
      </c>
      <c r="U232" s="16">
        <f t="shared" si="32"/>
        <v>0</v>
      </c>
      <c r="V232" s="16">
        <f t="shared" si="32"/>
        <v>0</v>
      </c>
      <c r="W232" s="16">
        <f t="shared" si="32"/>
        <v>1</v>
      </c>
      <c r="X232" s="16" t="str">
        <f t="shared" si="27"/>
        <v>null</v>
      </c>
    </row>
    <row r="233" spans="1:24" x14ac:dyDescent="0.15">
      <c r="A233" s="20" t="str">
        <f t="shared" si="29"/>
        <v>23_3-3/57&lt;lv44&gt;s2</v>
      </c>
      <c r="B233" s="16">
        <f t="shared" si="33"/>
        <v>23</v>
      </c>
      <c r="C233" s="16">
        <f t="shared" si="33"/>
        <v>3</v>
      </c>
      <c r="D233" s="16">
        <f t="shared" si="33"/>
        <v>3</v>
      </c>
      <c r="E233" s="16">
        <f t="shared" si="33"/>
        <v>57</v>
      </c>
      <c r="F233" s="16">
        <f t="shared" si="33"/>
        <v>44</v>
      </c>
      <c r="G233" s="16">
        <f t="shared" si="33"/>
        <v>1</v>
      </c>
      <c r="H233" s="16">
        <f t="shared" si="33"/>
        <v>1</v>
      </c>
      <c r="I233" s="16">
        <f t="shared" si="33"/>
        <v>0</v>
      </c>
      <c r="J233" s="16">
        <f t="shared" si="33"/>
        <v>57</v>
      </c>
      <c r="K233" s="16">
        <f t="shared" si="33"/>
        <v>0</v>
      </c>
      <c r="L233" s="16">
        <f t="shared" si="33"/>
        <v>100</v>
      </c>
      <c r="M233" s="16">
        <f t="shared" si="33"/>
        <v>0</v>
      </c>
      <c r="N233" s="16">
        <f t="shared" si="33"/>
        <v>2</v>
      </c>
      <c r="O233" s="16">
        <f t="shared" si="33"/>
        <v>57</v>
      </c>
      <c r="P233" s="16">
        <f t="shared" si="33"/>
        <v>7</v>
      </c>
      <c r="Q233" s="16">
        <f t="shared" si="33"/>
        <v>2</v>
      </c>
      <c r="R233" s="16">
        <f t="shared" si="32"/>
        <v>20</v>
      </c>
      <c r="S233" s="16">
        <f t="shared" si="32"/>
        <v>0</v>
      </c>
      <c r="T233" s="16">
        <f t="shared" si="32"/>
        <v>0</v>
      </c>
      <c r="U233" s="16">
        <f t="shared" si="32"/>
        <v>0</v>
      </c>
      <c r="V233" s="16">
        <f t="shared" si="32"/>
        <v>0</v>
      </c>
      <c r="W233" s="16">
        <f t="shared" si="32"/>
        <v>1</v>
      </c>
      <c r="X233" s="16" t="str">
        <f t="shared" si="27"/>
        <v>null</v>
      </c>
    </row>
    <row r="234" spans="1:24" x14ac:dyDescent="0.15">
      <c r="A234" s="20" t="str">
        <f t="shared" si="29"/>
        <v>23_3-3/59&lt;lv46&gt;s2</v>
      </c>
      <c r="B234" s="16">
        <f t="shared" si="33"/>
        <v>23</v>
      </c>
      <c r="C234" s="16">
        <f t="shared" si="33"/>
        <v>3</v>
      </c>
      <c r="D234" s="16">
        <f t="shared" si="33"/>
        <v>3</v>
      </c>
      <c r="E234" s="16">
        <f t="shared" si="33"/>
        <v>59</v>
      </c>
      <c r="F234" s="16">
        <f t="shared" si="33"/>
        <v>46</v>
      </c>
      <c r="G234" s="16">
        <f t="shared" si="33"/>
        <v>1</v>
      </c>
      <c r="H234" s="16">
        <f t="shared" si="33"/>
        <v>1</v>
      </c>
      <c r="I234" s="16">
        <f t="shared" si="33"/>
        <v>0</v>
      </c>
      <c r="J234" s="16">
        <f t="shared" si="33"/>
        <v>59</v>
      </c>
      <c r="K234" s="16">
        <f t="shared" si="33"/>
        <v>0</v>
      </c>
      <c r="L234" s="16">
        <f t="shared" si="33"/>
        <v>100</v>
      </c>
      <c r="M234" s="16">
        <f t="shared" si="33"/>
        <v>0</v>
      </c>
      <c r="N234" s="16">
        <f t="shared" si="33"/>
        <v>2</v>
      </c>
      <c r="O234" s="16">
        <f t="shared" si="33"/>
        <v>59</v>
      </c>
      <c r="P234" s="16">
        <f t="shared" si="33"/>
        <v>7</v>
      </c>
      <c r="Q234" s="16">
        <f t="shared" si="33"/>
        <v>2</v>
      </c>
      <c r="R234" s="16">
        <f t="shared" si="32"/>
        <v>20</v>
      </c>
      <c r="S234" s="16">
        <f t="shared" si="32"/>
        <v>0</v>
      </c>
      <c r="T234" s="16">
        <f t="shared" si="32"/>
        <v>0</v>
      </c>
      <c r="U234" s="16">
        <f t="shared" si="32"/>
        <v>0</v>
      </c>
      <c r="V234" s="16">
        <f t="shared" si="32"/>
        <v>0</v>
      </c>
      <c r="W234" s="16">
        <f t="shared" si="32"/>
        <v>1</v>
      </c>
      <c r="X234" s="16" t="str">
        <f t="shared" si="27"/>
        <v>null</v>
      </c>
    </row>
    <row r="235" spans="1:24" x14ac:dyDescent="0.15">
      <c r="A235" s="20" t="str">
        <f t="shared" si="29"/>
        <v>23_3-3/21&lt;lv44&gt;s2</v>
      </c>
      <c r="B235" s="16">
        <f t="shared" si="33"/>
        <v>23</v>
      </c>
      <c r="C235" s="16">
        <f t="shared" si="33"/>
        <v>3</v>
      </c>
      <c r="D235" s="16">
        <f t="shared" si="33"/>
        <v>3</v>
      </c>
      <c r="E235" s="16">
        <f t="shared" si="33"/>
        <v>21</v>
      </c>
      <c r="F235" s="16">
        <f t="shared" si="33"/>
        <v>44</v>
      </c>
      <c r="G235" s="16">
        <f t="shared" si="33"/>
        <v>1</v>
      </c>
      <c r="H235" s="16">
        <f t="shared" si="33"/>
        <v>1</v>
      </c>
      <c r="I235" s="16">
        <f t="shared" si="33"/>
        <v>0</v>
      </c>
      <c r="J235" s="16">
        <f t="shared" si="33"/>
        <v>0</v>
      </c>
      <c r="K235" s="16">
        <f t="shared" si="33"/>
        <v>0</v>
      </c>
      <c r="L235" s="16">
        <f t="shared" si="33"/>
        <v>100</v>
      </c>
      <c r="M235" s="16">
        <f t="shared" si="33"/>
        <v>0</v>
      </c>
      <c r="N235" s="16">
        <f t="shared" si="33"/>
        <v>2</v>
      </c>
      <c r="O235" s="16">
        <f t="shared" si="33"/>
        <v>21</v>
      </c>
      <c r="P235" s="16">
        <f t="shared" si="33"/>
        <v>7</v>
      </c>
      <c r="Q235" s="16">
        <f t="shared" si="33"/>
        <v>1</v>
      </c>
      <c r="R235" s="16">
        <f t="shared" si="32"/>
        <v>15</v>
      </c>
      <c r="S235" s="16">
        <f t="shared" si="32"/>
        <v>0</v>
      </c>
      <c r="T235" s="16">
        <f t="shared" si="32"/>
        <v>0</v>
      </c>
      <c r="U235" s="16">
        <f t="shared" si="32"/>
        <v>0</v>
      </c>
      <c r="V235" s="16">
        <f t="shared" si="32"/>
        <v>0</v>
      </c>
      <c r="W235" s="16">
        <f t="shared" si="32"/>
        <v>1</v>
      </c>
      <c r="X235" s="16" t="str">
        <f t="shared" si="27"/>
        <v>null</v>
      </c>
    </row>
    <row r="236" spans="1:24" x14ac:dyDescent="0.15">
      <c r="A236" s="20" t="str">
        <f t="shared" si="29"/>
        <v>23_3-3/41&lt;lv44&gt;s1</v>
      </c>
      <c r="B236" s="16">
        <f t="shared" si="33"/>
        <v>23</v>
      </c>
      <c r="C236" s="16">
        <f t="shared" si="33"/>
        <v>3</v>
      </c>
      <c r="D236" s="16">
        <f t="shared" si="33"/>
        <v>3</v>
      </c>
      <c r="E236" s="16">
        <f t="shared" si="33"/>
        <v>41</v>
      </c>
      <c r="F236" s="16">
        <f t="shared" si="33"/>
        <v>44</v>
      </c>
      <c r="G236" s="16">
        <f t="shared" si="33"/>
        <v>1</v>
      </c>
      <c r="H236" s="16">
        <f t="shared" si="33"/>
        <v>1</v>
      </c>
      <c r="I236" s="16">
        <f t="shared" si="33"/>
        <v>0</v>
      </c>
      <c r="J236" s="16">
        <f t="shared" si="33"/>
        <v>0</v>
      </c>
      <c r="K236" s="16">
        <f t="shared" si="33"/>
        <v>0</v>
      </c>
      <c r="L236" s="16">
        <f t="shared" si="33"/>
        <v>100</v>
      </c>
      <c r="M236" s="16">
        <f t="shared" si="33"/>
        <v>0</v>
      </c>
      <c r="N236" s="16">
        <f t="shared" si="33"/>
        <v>1</v>
      </c>
      <c r="O236" s="16">
        <f t="shared" si="33"/>
        <v>41</v>
      </c>
      <c r="P236" s="16">
        <f t="shared" si="33"/>
        <v>7</v>
      </c>
      <c r="Q236" s="16">
        <f t="shared" si="33"/>
        <v>2</v>
      </c>
      <c r="R236" s="16">
        <f t="shared" si="32"/>
        <v>20</v>
      </c>
      <c r="S236" s="16">
        <f t="shared" si="32"/>
        <v>0</v>
      </c>
      <c r="T236" s="16">
        <f t="shared" si="32"/>
        <v>0</v>
      </c>
      <c r="U236" s="16">
        <f t="shared" si="32"/>
        <v>0</v>
      </c>
      <c r="V236" s="16">
        <f t="shared" si="32"/>
        <v>0</v>
      </c>
      <c r="W236" s="16">
        <f t="shared" si="32"/>
        <v>1</v>
      </c>
      <c r="X236" s="16" t="str">
        <f t="shared" si="27"/>
        <v>null</v>
      </c>
    </row>
    <row r="237" spans="1:24" x14ac:dyDescent="0.15">
      <c r="A237" s="20" t="str">
        <f t="shared" si="29"/>
        <v>23_3-3/43&lt;lv46&gt;s2</v>
      </c>
      <c r="B237" s="16">
        <f t="shared" si="33"/>
        <v>23</v>
      </c>
      <c r="C237" s="16">
        <f t="shared" si="33"/>
        <v>3</v>
      </c>
      <c r="D237" s="16">
        <f t="shared" si="33"/>
        <v>3</v>
      </c>
      <c r="E237" s="16">
        <f t="shared" si="33"/>
        <v>43</v>
      </c>
      <c r="F237" s="16">
        <f t="shared" si="33"/>
        <v>46</v>
      </c>
      <c r="G237" s="16">
        <f t="shared" si="33"/>
        <v>1</v>
      </c>
      <c r="H237" s="16">
        <f t="shared" si="33"/>
        <v>1</v>
      </c>
      <c r="I237" s="16">
        <f t="shared" si="33"/>
        <v>0</v>
      </c>
      <c r="J237" s="16">
        <f t="shared" si="33"/>
        <v>0</v>
      </c>
      <c r="K237" s="16">
        <f t="shared" si="33"/>
        <v>0</v>
      </c>
      <c r="L237" s="16">
        <f t="shared" si="33"/>
        <v>100</v>
      </c>
      <c r="M237" s="16">
        <f t="shared" si="33"/>
        <v>0</v>
      </c>
      <c r="N237" s="16">
        <f t="shared" si="33"/>
        <v>2</v>
      </c>
      <c r="O237" s="16">
        <f t="shared" si="33"/>
        <v>43</v>
      </c>
      <c r="P237" s="16">
        <f t="shared" si="33"/>
        <v>7</v>
      </c>
      <c r="Q237" s="16">
        <f t="shared" si="33"/>
        <v>2</v>
      </c>
      <c r="R237" s="16">
        <f t="shared" si="32"/>
        <v>20</v>
      </c>
      <c r="S237" s="16">
        <f t="shared" si="32"/>
        <v>0</v>
      </c>
      <c r="T237" s="16">
        <f t="shared" si="32"/>
        <v>0</v>
      </c>
      <c r="U237" s="16">
        <f t="shared" si="32"/>
        <v>0</v>
      </c>
      <c r="V237" s="16">
        <f t="shared" si="32"/>
        <v>0</v>
      </c>
      <c r="W237" s="16">
        <f t="shared" si="32"/>
        <v>1</v>
      </c>
      <c r="X237" s="16" t="str">
        <f t="shared" si="27"/>
        <v>null</v>
      </c>
    </row>
    <row r="238" spans="1:24" x14ac:dyDescent="0.15">
      <c r="A238" s="20" t="str">
        <f t="shared" si="29"/>
        <v>23_3-3/360&lt;lv44&gt;s3</v>
      </c>
      <c r="B238" s="16">
        <f t="shared" si="33"/>
        <v>23</v>
      </c>
      <c r="C238" s="16">
        <f t="shared" si="33"/>
        <v>3</v>
      </c>
      <c r="D238" s="16">
        <f t="shared" si="33"/>
        <v>3</v>
      </c>
      <c r="E238" s="16">
        <f t="shared" si="33"/>
        <v>360</v>
      </c>
      <c r="F238" s="16">
        <f t="shared" si="33"/>
        <v>44</v>
      </c>
      <c r="G238" s="16">
        <f t="shared" si="33"/>
        <v>1</v>
      </c>
      <c r="H238" s="16">
        <f t="shared" si="33"/>
        <v>1</v>
      </c>
      <c r="I238" s="16">
        <f t="shared" si="33"/>
        <v>0</v>
      </c>
      <c r="J238" s="16">
        <f t="shared" si="33"/>
        <v>360</v>
      </c>
      <c r="K238" s="16">
        <f t="shared" si="33"/>
        <v>0</v>
      </c>
      <c r="L238" s="16">
        <f t="shared" si="33"/>
        <v>100</v>
      </c>
      <c r="M238" s="16">
        <f t="shared" si="33"/>
        <v>0</v>
      </c>
      <c r="N238" s="16">
        <f t="shared" si="33"/>
        <v>3</v>
      </c>
      <c r="O238" s="16">
        <f t="shared" si="33"/>
        <v>360</v>
      </c>
      <c r="P238" s="16">
        <f t="shared" si="33"/>
        <v>7</v>
      </c>
      <c r="Q238" s="16">
        <f t="shared" ref="Q238:W253" si="34">VLOOKUP($A238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38" s="16">
        <f t="shared" si="34"/>
        <v>20</v>
      </c>
      <c r="S238" s="16">
        <f t="shared" si="34"/>
        <v>0</v>
      </c>
      <c r="T238" s="16">
        <f t="shared" si="34"/>
        <v>0</v>
      </c>
      <c r="U238" s="16">
        <f t="shared" si="34"/>
        <v>0</v>
      </c>
      <c r="V238" s="16">
        <f t="shared" si="34"/>
        <v>0</v>
      </c>
      <c r="W238" s="16">
        <f t="shared" si="34"/>
        <v>1</v>
      </c>
      <c r="X238" s="16" t="str">
        <f t="shared" si="27"/>
        <v>null</v>
      </c>
    </row>
    <row r="239" spans="1:24" x14ac:dyDescent="0.15">
      <c r="A239" s="20" t="str">
        <f t="shared" si="29"/>
        <v>23_3-3/362&lt;lv46&gt;s3</v>
      </c>
      <c r="B239" s="16">
        <f t="shared" ref="B239:Q254" si="35">VLOOKUP($A239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239" s="16">
        <f t="shared" si="35"/>
        <v>3</v>
      </c>
      <c r="D239" s="16">
        <f t="shared" si="35"/>
        <v>3</v>
      </c>
      <c r="E239" s="16">
        <f t="shared" si="35"/>
        <v>362</v>
      </c>
      <c r="F239" s="16">
        <f t="shared" si="35"/>
        <v>46</v>
      </c>
      <c r="G239" s="16">
        <f t="shared" si="35"/>
        <v>1</v>
      </c>
      <c r="H239" s="16">
        <f t="shared" si="35"/>
        <v>1</v>
      </c>
      <c r="I239" s="16">
        <f t="shared" si="35"/>
        <v>0</v>
      </c>
      <c r="J239" s="16">
        <f t="shared" si="35"/>
        <v>362</v>
      </c>
      <c r="K239" s="16">
        <f t="shared" si="35"/>
        <v>0</v>
      </c>
      <c r="L239" s="16">
        <f t="shared" si="35"/>
        <v>100</v>
      </c>
      <c r="M239" s="16">
        <f t="shared" si="35"/>
        <v>0</v>
      </c>
      <c r="N239" s="16">
        <f t="shared" si="35"/>
        <v>3</v>
      </c>
      <c r="O239" s="16">
        <f t="shared" si="35"/>
        <v>362</v>
      </c>
      <c r="P239" s="16">
        <f t="shared" si="35"/>
        <v>7</v>
      </c>
      <c r="Q239" s="16">
        <f t="shared" si="35"/>
        <v>2</v>
      </c>
      <c r="R239" s="16">
        <f t="shared" si="34"/>
        <v>20</v>
      </c>
      <c r="S239" s="16">
        <f t="shared" si="34"/>
        <v>0</v>
      </c>
      <c r="T239" s="16">
        <f t="shared" si="34"/>
        <v>0</v>
      </c>
      <c r="U239" s="16">
        <f t="shared" si="34"/>
        <v>0</v>
      </c>
      <c r="V239" s="16">
        <f t="shared" si="34"/>
        <v>0</v>
      </c>
      <c r="W239" s="16">
        <f t="shared" si="34"/>
        <v>1</v>
      </c>
      <c r="X239" s="16" t="str">
        <f t="shared" si="27"/>
        <v>null</v>
      </c>
    </row>
    <row r="240" spans="1:24" x14ac:dyDescent="0.15">
      <c r="A240" s="20" t="str">
        <f t="shared" si="29"/>
        <v>23_3-3/350&lt;lv47&gt;s3</v>
      </c>
      <c r="B240" s="16">
        <f t="shared" si="35"/>
        <v>23</v>
      </c>
      <c r="C240" s="16">
        <f t="shared" si="35"/>
        <v>3</v>
      </c>
      <c r="D240" s="16">
        <f t="shared" si="35"/>
        <v>3</v>
      </c>
      <c r="E240" s="16">
        <f t="shared" si="35"/>
        <v>350</v>
      </c>
      <c r="F240" s="16">
        <f t="shared" si="35"/>
        <v>47</v>
      </c>
      <c r="G240" s="16">
        <f t="shared" si="35"/>
        <v>1</v>
      </c>
      <c r="H240" s="16">
        <f t="shared" si="35"/>
        <v>1</v>
      </c>
      <c r="I240" s="16">
        <f t="shared" si="35"/>
        <v>0</v>
      </c>
      <c r="J240" s="16">
        <f t="shared" si="35"/>
        <v>350</v>
      </c>
      <c r="K240" s="16">
        <f t="shared" si="35"/>
        <v>0</v>
      </c>
      <c r="L240" s="16">
        <f t="shared" si="35"/>
        <v>100</v>
      </c>
      <c r="M240" s="16">
        <f t="shared" si="35"/>
        <v>0</v>
      </c>
      <c r="N240" s="16">
        <f t="shared" si="35"/>
        <v>3</v>
      </c>
      <c r="O240" s="16">
        <f t="shared" si="35"/>
        <v>350</v>
      </c>
      <c r="P240" s="16">
        <f t="shared" si="35"/>
        <v>1</v>
      </c>
      <c r="Q240" s="16">
        <f t="shared" si="35"/>
        <v>2</v>
      </c>
      <c r="R240" s="16">
        <f t="shared" si="34"/>
        <v>27</v>
      </c>
      <c r="S240" s="16">
        <f t="shared" si="34"/>
        <v>0</v>
      </c>
      <c r="T240" s="16">
        <f t="shared" si="34"/>
        <v>0</v>
      </c>
      <c r="U240" s="16">
        <f t="shared" si="34"/>
        <v>0</v>
      </c>
      <c r="V240" s="16">
        <f t="shared" si="34"/>
        <v>0</v>
      </c>
      <c r="W240" s="16">
        <f t="shared" si="34"/>
        <v>1</v>
      </c>
      <c r="X240" s="16" t="str">
        <f t="shared" si="27"/>
        <v>null</v>
      </c>
    </row>
    <row r="241" spans="1:24" x14ac:dyDescent="0.15">
      <c r="A241" s="20" t="str">
        <f t="shared" si="29"/>
        <v>23_3-4/33&lt;lv44&gt;s2</v>
      </c>
      <c r="B241" s="16">
        <f t="shared" si="35"/>
        <v>23</v>
      </c>
      <c r="C241" s="16">
        <f t="shared" si="35"/>
        <v>3</v>
      </c>
      <c r="D241" s="16">
        <f t="shared" si="35"/>
        <v>4</v>
      </c>
      <c r="E241" s="16">
        <f t="shared" si="35"/>
        <v>33</v>
      </c>
      <c r="F241" s="16">
        <f t="shared" si="35"/>
        <v>44</v>
      </c>
      <c r="G241" s="16">
        <f t="shared" si="35"/>
        <v>1</v>
      </c>
      <c r="H241" s="16">
        <f t="shared" si="35"/>
        <v>1</v>
      </c>
      <c r="I241" s="16">
        <f t="shared" si="35"/>
        <v>0</v>
      </c>
      <c r="J241" s="16">
        <f t="shared" si="35"/>
        <v>33</v>
      </c>
      <c r="K241" s="16">
        <f t="shared" si="35"/>
        <v>0</v>
      </c>
      <c r="L241" s="16">
        <f t="shared" si="35"/>
        <v>100</v>
      </c>
      <c r="M241" s="16">
        <f t="shared" si="35"/>
        <v>0</v>
      </c>
      <c r="N241" s="16">
        <f t="shared" si="35"/>
        <v>2</v>
      </c>
      <c r="O241" s="16">
        <f t="shared" si="35"/>
        <v>33</v>
      </c>
      <c r="P241" s="16">
        <f t="shared" si="35"/>
        <v>5</v>
      </c>
      <c r="Q241" s="16">
        <f t="shared" si="35"/>
        <v>2</v>
      </c>
      <c r="R241" s="16">
        <f t="shared" si="34"/>
        <v>20</v>
      </c>
      <c r="S241" s="16">
        <f t="shared" si="34"/>
        <v>0</v>
      </c>
      <c r="T241" s="16">
        <f t="shared" si="34"/>
        <v>0</v>
      </c>
      <c r="U241" s="16">
        <f t="shared" si="34"/>
        <v>0</v>
      </c>
      <c r="V241" s="16">
        <f t="shared" si="34"/>
        <v>0</v>
      </c>
      <c r="W241" s="16">
        <f t="shared" si="34"/>
        <v>1</v>
      </c>
      <c r="X241" s="16" t="str">
        <f t="shared" si="27"/>
        <v>null</v>
      </c>
    </row>
    <row r="242" spans="1:24" x14ac:dyDescent="0.15">
      <c r="A242" s="20" t="str">
        <f t="shared" si="29"/>
        <v>23_3-4/57&lt;lv44&gt;s2</v>
      </c>
      <c r="B242" s="16">
        <f t="shared" si="35"/>
        <v>23</v>
      </c>
      <c r="C242" s="16">
        <f t="shared" si="35"/>
        <v>3</v>
      </c>
      <c r="D242" s="16">
        <f t="shared" si="35"/>
        <v>4</v>
      </c>
      <c r="E242" s="16">
        <f t="shared" si="35"/>
        <v>57</v>
      </c>
      <c r="F242" s="16">
        <f t="shared" si="35"/>
        <v>44</v>
      </c>
      <c r="G242" s="16">
        <f t="shared" si="35"/>
        <v>1</v>
      </c>
      <c r="H242" s="16">
        <f t="shared" si="35"/>
        <v>1</v>
      </c>
      <c r="I242" s="16">
        <f t="shared" si="35"/>
        <v>0</v>
      </c>
      <c r="J242" s="16">
        <f t="shared" si="35"/>
        <v>57</v>
      </c>
      <c r="K242" s="16">
        <f t="shared" si="35"/>
        <v>0</v>
      </c>
      <c r="L242" s="16">
        <f t="shared" si="35"/>
        <v>100</v>
      </c>
      <c r="M242" s="16">
        <f t="shared" si="35"/>
        <v>0</v>
      </c>
      <c r="N242" s="16">
        <f t="shared" si="35"/>
        <v>2</v>
      </c>
      <c r="O242" s="16">
        <f t="shared" si="35"/>
        <v>57</v>
      </c>
      <c r="P242" s="16">
        <f t="shared" si="35"/>
        <v>7</v>
      </c>
      <c r="Q242" s="16">
        <f t="shared" si="35"/>
        <v>2</v>
      </c>
      <c r="R242" s="16">
        <f t="shared" si="34"/>
        <v>20</v>
      </c>
      <c r="S242" s="16">
        <f t="shared" si="34"/>
        <v>0</v>
      </c>
      <c r="T242" s="16">
        <f t="shared" si="34"/>
        <v>0</v>
      </c>
      <c r="U242" s="16">
        <f t="shared" si="34"/>
        <v>0</v>
      </c>
      <c r="V242" s="16">
        <f t="shared" si="34"/>
        <v>0</v>
      </c>
      <c r="W242" s="16">
        <f t="shared" si="34"/>
        <v>1</v>
      </c>
      <c r="X242" s="16" t="str">
        <f t="shared" si="27"/>
        <v>null</v>
      </c>
    </row>
    <row r="243" spans="1:24" x14ac:dyDescent="0.15">
      <c r="A243" s="20" t="str">
        <f t="shared" si="29"/>
        <v>23_3-4/59&lt;lv46&gt;s2</v>
      </c>
      <c r="B243" s="16">
        <f t="shared" si="35"/>
        <v>23</v>
      </c>
      <c r="C243" s="16">
        <f t="shared" si="35"/>
        <v>3</v>
      </c>
      <c r="D243" s="16">
        <f t="shared" si="35"/>
        <v>4</v>
      </c>
      <c r="E243" s="16">
        <f t="shared" si="35"/>
        <v>59</v>
      </c>
      <c r="F243" s="16">
        <f t="shared" si="35"/>
        <v>46</v>
      </c>
      <c r="G243" s="16">
        <f t="shared" si="35"/>
        <v>1</v>
      </c>
      <c r="H243" s="16">
        <f t="shared" si="35"/>
        <v>1</v>
      </c>
      <c r="I243" s="16">
        <f t="shared" si="35"/>
        <v>0</v>
      </c>
      <c r="J243" s="16">
        <f t="shared" si="35"/>
        <v>59</v>
      </c>
      <c r="K243" s="16">
        <f t="shared" si="35"/>
        <v>0</v>
      </c>
      <c r="L243" s="16">
        <f t="shared" si="35"/>
        <v>100</v>
      </c>
      <c r="M243" s="16">
        <f t="shared" si="35"/>
        <v>0</v>
      </c>
      <c r="N243" s="16">
        <f t="shared" si="35"/>
        <v>2</v>
      </c>
      <c r="O243" s="16">
        <f t="shared" si="35"/>
        <v>59</v>
      </c>
      <c r="P243" s="16">
        <f t="shared" si="35"/>
        <v>7</v>
      </c>
      <c r="Q243" s="16">
        <f t="shared" si="35"/>
        <v>2</v>
      </c>
      <c r="R243" s="16">
        <f t="shared" si="34"/>
        <v>20</v>
      </c>
      <c r="S243" s="16">
        <f t="shared" si="34"/>
        <v>0</v>
      </c>
      <c r="T243" s="16">
        <f t="shared" si="34"/>
        <v>0</v>
      </c>
      <c r="U243" s="16">
        <f t="shared" si="34"/>
        <v>0</v>
      </c>
      <c r="V243" s="16">
        <f t="shared" si="34"/>
        <v>0</v>
      </c>
      <c r="W243" s="16">
        <f t="shared" si="34"/>
        <v>1</v>
      </c>
      <c r="X243" s="16" t="str">
        <f t="shared" si="27"/>
        <v>null</v>
      </c>
    </row>
    <row r="244" spans="1:24" x14ac:dyDescent="0.15">
      <c r="A244" s="20" t="str">
        <f t="shared" si="29"/>
        <v>23_3-4/41&lt;lv44&gt;s1</v>
      </c>
      <c r="B244" s="16">
        <f t="shared" si="35"/>
        <v>23</v>
      </c>
      <c r="C244" s="16">
        <f t="shared" si="35"/>
        <v>3</v>
      </c>
      <c r="D244" s="16">
        <f t="shared" si="35"/>
        <v>4</v>
      </c>
      <c r="E244" s="16">
        <f t="shared" si="35"/>
        <v>41</v>
      </c>
      <c r="F244" s="16">
        <f t="shared" si="35"/>
        <v>44</v>
      </c>
      <c r="G244" s="16">
        <f t="shared" si="35"/>
        <v>1</v>
      </c>
      <c r="H244" s="16">
        <f t="shared" si="35"/>
        <v>1</v>
      </c>
      <c r="I244" s="16">
        <f t="shared" si="35"/>
        <v>0</v>
      </c>
      <c r="J244" s="16">
        <f t="shared" si="35"/>
        <v>0</v>
      </c>
      <c r="K244" s="16">
        <f t="shared" si="35"/>
        <v>0</v>
      </c>
      <c r="L244" s="16">
        <f t="shared" si="35"/>
        <v>100</v>
      </c>
      <c r="M244" s="16">
        <f t="shared" si="35"/>
        <v>0</v>
      </c>
      <c r="N244" s="16">
        <f t="shared" si="35"/>
        <v>1</v>
      </c>
      <c r="O244" s="16">
        <f t="shared" si="35"/>
        <v>41</v>
      </c>
      <c r="P244" s="16">
        <f t="shared" si="35"/>
        <v>7</v>
      </c>
      <c r="Q244" s="16">
        <f t="shared" si="35"/>
        <v>2</v>
      </c>
      <c r="R244" s="16">
        <f t="shared" si="34"/>
        <v>20</v>
      </c>
      <c r="S244" s="16">
        <f t="shared" si="34"/>
        <v>0</v>
      </c>
      <c r="T244" s="16">
        <f t="shared" si="34"/>
        <v>0</v>
      </c>
      <c r="U244" s="16">
        <f t="shared" si="34"/>
        <v>0</v>
      </c>
      <c r="V244" s="16">
        <f t="shared" si="34"/>
        <v>0</v>
      </c>
      <c r="W244" s="16">
        <f t="shared" si="34"/>
        <v>1</v>
      </c>
      <c r="X244" s="16" t="str">
        <f t="shared" si="27"/>
        <v>null</v>
      </c>
    </row>
    <row r="245" spans="1:24" x14ac:dyDescent="0.15">
      <c r="A245" s="20" t="str">
        <f t="shared" si="29"/>
        <v>23_3-4/43&lt;lv46&gt;s2</v>
      </c>
      <c r="B245" s="16">
        <f t="shared" si="35"/>
        <v>23</v>
      </c>
      <c r="C245" s="16">
        <f t="shared" si="35"/>
        <v>3</v>
      </c>
      <c r="D245" s="16">
        <f t="shared" si="35"/>
        <v>4</v>
      </c>
      <c r="E245" s="16">
        <f t="shared" si="35"/>
        <v>43</v>
      </c>
      <c r="F245" s="16">
        <f t="shared" si="35"/>
        <v>46</v>
      </c>
      <c r="G245" s="16">
        <f t="shared" si="35"/>
        <v>1</v>
      </c>
      <c r="H245" s="16">
        <f t="shared" si="35"/>
        <v>1</v>
      </c>
      <c r="I245" s="16">
        <f t="shared" si="35"/>
        <v>0</v>
      </c>
      <c r="J245" s="16">
        <f t="shared" si="35"/>
        <v>0</v>
      </c>
      <c r="K245" s="16">
        <f t="shared" si="35"/>
        <v>0</v>
      </c>
      <c r="L245" s="16">
        <f t="shared" si="35"/>
        <v>100</v>
      </c>
      <c r="M245" s="16">
        <f t="shared" si="35"/>
        <v>0</v>
      </c>
      <c r="N245" s="16">
        <f t="shared" si="35"/>
        <v>2</v>
      </c>
      <c r="O245" s="16">
        <f t="shared" si="35"/>
        <v>43</v>
      </c>
      <c r="P245" s="16">
        <f t="shared" si="35"/>
        <v>7</v>
      </c>
      <c r="Q245" s="16">
        <f t="shared" si="35"/>
        <v>2</v>
      </c>
      <c r="R245" s="16">
        <f t="shared" si="34"/>
        <v>20</v>
      </c>
      <c r="S245" s="16">
        <f t="shared" si="34"/>
        <v>0</v>
      </c>
      <c r="T245" s="16">
        <f t="shared" si="34"/>
        <v>0</v>
      </c>
      <c r="U245" s="16">
        <f t="shared" si="34"/>
        <v>0</v>
      </c>
      <c r="V245" s="16">
        <f t="shared" si="34"/>
        <v>0</v>
      </c>
      <c r="W245" s="16">
        <f t="shared" si="34"/>
        <v>1</v>
      </c>
      <c r="X245" s="16" t="str">
        <f t="shared" si="27"/>
        <v>null</v>
      </c>
    </row>
    <row r="246" spans="1:24" x14ac:dyDescent="0.15">
      <c r="A246" s="20" t="str">
        <f t="shared" si="29"/>
        <v>23_3-4/360&lt;lv44&gt;s3</v>
      </c>
      <c r="B246" s="16">
        <f t="shared" si="35"/>
        <v>23</v>
      </c>
      <c r="C246" s="16">
        <f t="shared" si="35"/>
        <v>3</v>
      </c>
      <c r="D246" s="16">
        <f t="shared" si="35"/>
        <v>4</v>
      </c>
      <c r="E246" s="16">
        <f t="shared" si="35"/>
        <v>360</v>
      </c>
      <c r="F246" s="16">
        <f t="shared" si="35"/>
        <v>44</v>
      </c>
      <c r="G246" s="16">
        <f t="shared" si="35"/>
        <v>1</v>
      </c>
      <c r="H246" s="16">
        <f t="shared" si="35"/>
        <v>1</v>
      </c>
      <c r="I246" s="16">
        <f t="shared" si="35"/>
        <v>0</v>
      </c>
      <c r="J246" s="16">
        <f t="shared" si="35"/>
        <v>360</v>
      </c>
      <c r="K246" s="16">
        <f t="shared" si="35"/>
        <v>0</v>
      </c>
      <c r="L246" s="16">
        <f t="shared" si="35"/>
        <v>100</v>
      </c>
      <c r="M246" s="16">
        <f t="shared" si="35"/>
        <v>0</v>
      </c>
      <c r="N246" s="16">
        <f t="shared" si="35"/>
        <v>3</v>
      </c>
      <c r="O246" s="16">
        <f t="shared" si="35"/>
        <v>360</v>
      </c>
      <c r="P246" s="16">
        <f t="shared" si="35"/>
        <v>7</v>
      </c>
      <c r="Q246" s="16">
        <f t="shared" si="35"/>
        <v>2</v>
      </c>
      <c r="R246" s="16">
        <f t="shared" si="34"/>
        <v>20</v>
      </c>
      <c r="S246" s="16">
        <f t="shared" si="34"/>
        <v>0</v>
      </c>
      <c r="T246" s="16">
        <f t="shared" si="34"/>
        <v>0</v>
      </c>
      <c r="U246" s="16">
        <f t="shared" si="34"/>
        <v>0</v>
      </c>
      <c r="V246" s="16">
        <f t="shared" si="34"/>
        <v>0</v>
      </c>
      <c r="W246" s="16">
        <f t="shared" si="34"/>
        <v>1</v>
      </c>
      <c r="X246" s="16" t="str">
        <f t="shared" si="27"/>
        <v>null</v>
      </c>
    </row>
    <row r="247" spans="1:24" x14ac:dyDescent="0.15">
      <c r="A247" s="20" t="str">
        <f t="shared" si="29"/>
        <v>23_3-4/362&lt;lv46&gt;s3</v>
      </c>
      <c r="B247" s="16">
        <f t="shared" si="35"/>
        <v>23</v>
      </c>
      <c r="C247" s="16">
        <f t="shared" si="35"/>
        <v>3</v>
      </c>
      <c r="D247" s="16">
        <f t="shared" si="35"/>
        <v>4</v>
      </c>
      <c r="E247" s="16">
        <f t="shared" si="35"/>
        <v>362</v>
      </c>
      <c r="F247" s="16">
        <f t="shared" si="35"/>
        <v>46</v>
      </c>
      <c r="G247" s="16">
        <f t="shared" si="35"/>
        <v>1</v>
      </c>
      <c r="H247" s="16">
        <f t="shared" si="35"/>
        <v>1</v>
      </c>
      <c r="I247" s="16">
        <f t="shared" si="35"/>
        <v>0</v>
      </c>
      <c r="J247" s="16">
        <f t="shared" si="35"/>
        <v>362</v>
      </c>
      <c r="K247" s="16">
        <f t="shared" si="35"/>
        <v>0</v>
      </c>
      <c r="L247" s="16">
        <f t="shared" si="35"/>
        <v>100</v>
      </c>
      <c r="M247" s="16">
        <f t="shared" si="35"/>
        <v>0</v>
      </c>
      <c r="N247" s="16">
        <f t="shared" si="35"/>
        <v>3</v>
      </c>
      <c r="O247" s="16">
        <f t="shared" si="35"/>
        <v>362</v>
      </c>
      <c r="P247" s="16">
        <f t="shared" si="35"/>
        <v>7</v>
      </c>
      <c r="Q247" s="16">
        <f t="shared" si="35"/>
        <v>2</v>
      </c>
      <c r="R247" s="16">
        <f t="shared" si="34"/>
        <v>20</v>
      </c>
      <c r="S247" s="16">
        <f t="shared" si="34"/>
        <v>0</v>
      </c>
      <c r="T247" s="16">
        <f t="shared" si="34"/>
        <v>0</v>
      </c>
      <c r="U247" s="16">
        <f t="shared" si="34"/>
        <v>0</v>
      </c>
      <c r="V247" s="16">
        <f t="shared" si="34"/>
        <v>0</v>
      </c>
      <c r="W247" s="16">
        <f t="shared" si="34"/>
        <v>1</v>
      </c>
      <c r="X247" s="16" t="str">
        <f t="shared" si="27"/>
        <v>null</v>
      </c>
    </row>
    <row r="248" spans="1:24" x14ac:dyDescent="0.15">
      <c r="A248" s="20" t="str">
        <f t="shared" si="29"/>
        <v>23_3-4/348&lt;lv44&gt;s3</v>
      </c>
      <c r="B248" s="16">
        <f t="shared" si="35"/>
        <v>23</v>
      </c>
      <c r="C248" s="16">
        <f t="shared" si="35"/>
        <v>3</v>
      </c>
      <c r="D248" s="16">
        <f t="shared" si="35"/>
        <v>4</v>
      </c>
      <c r="E248" s="16">
        <f t="shared" si="35"/>
        <v>348</v>
      </c>
      <c r="F248" s="16">
        <f t="shared" si="35"/>
        <v>44</v>
      </c>
      <c r="G248" s="16">
        <f t="shared" si="35"/>
        <v>1</v>
      </c>
      <c r="H248" s="16">
        <f t="shared" si="35"/>
        <v>1</v>
      </c>
      <c r="I248" s="16">
        <f t="shared" si="35"/>
        <v>0</v>
      </c>
      <c r="J248" s="16">
        <f t="shared" si="35"/>
        <v>348</v>
      </c>
      <c r="K248" s="16">
        <f t="shared" si="35"/>
        <v>0</v>
      </c>
      <c r="L248" s="16">
        <f t="shared" si="35"/>
        <v>100</v>
      </c>
      <c r="M248" s="16">
        <f t="shared" si="35"/>
        <v>0</v>
      </c>
      <c r="N248" s="16">
        <f t="shared" si="35"/>
        <v>3</v>
      </c>
      <c r="O248" s="16">
        <f t="shared" si="35"/>
        <v>348</v>
      </c>
      <c r="P248" s="16">
        <f t="shared" si="35"/>
        <v>1</v>
      </c>
      <c r="Q248" s="16">
        <f t="shared" si="35"/>
        <v>2</v>
      </c>
      <c r="R248" s="16">
        <f t="shared" si="34"/>
        <v>27</v>
      </c>
      <c r="S248" s="16">
        <f t="shared" si="34"/>
        <v>0</v>
      </c>
      <c r="T248" s="16">
        <f t="shared" si="34"/>
        <v>0</v>
      </c>
      <c r="U248" s="16">
        <f t="shared" si="34"/>
        <v>0</v>
      </c>
      <c r="V248" s="16">
        <f t="shared" si="34"/>
        <v>0</v>
      </c>
      <c r="W248" s="16">
        <f t="shared" si="34"/>
        <v>1</v>
      </c>
      <c r="X248" s="16" t="str">
        <f t="shared" si="27"/>
        <v>null</v>
      </c>
    </row>
    <row r="249" spans="1:24" x14ac:dyDescent="0.15">
      <c r="A249" s="20" t="str">
        <f t="shared" si="29"/>
        <v>23_3-5/89&lt;lv49&gt;s2</v>
      </c>
      <c r="B249" s="16">
        <f t="shared" si="35"/>
        <v>23</v>
      </c>
      <c r="C249" s="16">
        <f t="shared" si="35"/>
        <v>3</v>
      </c>
      <c r="D249" s="16">
        <f t="shared" si="35"/>
        <v>5</v>
      </c>
      <c r="E249" s="16">
        <f t="shared" si="35"/>
        <v>89</v>
      </c>
      <c r="F249" s="16">
        <f t="shared" si="35"/>
        <v>49</v>
      </c>
      <c r="G249" s="16">
        <f t="shared" si="35"/>
        <v>1.1000000000000001</v>
      </c>
      <c r="H249" s="16">
        <f t="shared" si="35"/>
        <v>1.5</v>
      </c>
      <c r="I249" s="16">
        <f t="shared" si="35"/>
        <v>0</v>
      </c>
      <c r="J249" s="16">
        <f t="shared" si="35"/>
        <v>8901</v>
      </c>
      <c r="K249" s="16">
        <f t="shared" si="35"/>
        <v>1</v>
      </c>
      <c r="L249" s="16">
        <f t="shared" si="35"/>
        <v>100</v>
      </c>
      <c r="M249" s="16">
        <f t="shared" si="35"/>
        <v>1</v>
      </c>
      <c r="N249" s="16">
        <f t="shared" si="35"/>
        <v>2</v>
      </c>
      <c r="O249" s="16">
        <f t="shared" si="35"/>
        <v>88</v>
      </c>
      <c r="P249" s="16">
        <f t="shared" si="35"/>
        <v>1</v>
      </c>
      <c r="Q249" s="16">
        <f t="shared" si="35"/>
        <v>3</v>
      </c>
      <c r="R249" s="16">
        <f t="shared" si="34"/>
        <v>0</v>
      </c>
      <c r="S249" s="16">
        <f t="shared" si="34"/>
        <v>0</v>
      </c>
      <c r="T249" s="16">
        <f t="shared" si="34"/>
        <v>0</v>
      </c>
      <c r="U249" s="16">
        <f t="shared" si="34"/>
        <v>0</v>
      </c>
      <c r="V249" s="16">
        <f t="shared" si="34"/>
        <v>0</v>
      </c>
      <c r="W249" s="16">
        <f t="shared" si="34"/>
        <v>1</v>
      </c>
      <c r="X249" s="16">
        <f t="shared" si="27"/>
        <v>89</v>
      </c>
    </row>
    <row r="250" spans="1:24" x14ac:dyDescent="0.15">
      <c r="A250" s="20" t="str">
        <f t="shared" si="29"/>
        <v>23_4-1/9&lt;lv46&gt;s2</v>
      </c>
      <c r="B250" s="16">
        <f t="shared" si="35"/>
        <v>23</v>
      </c>
      <c r="C250" s="16">
        <f t="shared" si="35"/>
        <v>4</v>
      </c>
      <c r="D250" s="16">
        <f t="shared" si="35"/>
        <v>1</v>
      </c>
      <c r="E250" s="16">
        <f t="shared" si="35"/>
        <v>9</v>
      </c>
      <c r="F250" s="16">
        <f t="shared" si="35"/>
        <v>46</v>
      </c>
      <c r="G250" s="16">
        <f t="shared" si="35"/>
        <v>1</v>
      </c>
      <c r="H250" s="16">
        <f t="shared" si="35"/>
        <v>1</v>
      </c>
      <c r="I250" s="16">
        <f t="shared" si="35"/>
        <v>0</v>
      </c>
      <c r="J250" s="16">
        <f t="shared" si="35"/>
        <v>0</v>
      </c>
      <c r="K250" s="16">
        <f t="shared" si="35"/>
        <v>0</v>
      </c>
      <c r="L250" s="16">
        <f t="shared" si="35"/>
        <v>100</v>
      </c>
      <c r="M250" s="16">
        <f t="shared" si="35"/>
        <v>0</v>
      </c>
      <c r="N250" s="16">
        <f t="shared" si="35"/>
        <v>2</v>
      </c>
      <c r="O250" s="16">
        <f t="shared" si="35"/>
        <v>9</v>
      </c>
      <c r="P250" s="16">
        <f t="shared" si="35"/>
        <v>9</v>
      </c>
      <c r="Q250" s="16">
        <f t="shared" si="35"/>
        <v>1</v>
      </c>
      <c r="R250" s="16">
        <f t="shared" si="34"/>
        <v>15</v>
      </c>
      <c r="S250" s="16">
        <f t="shared" si="34"/>
        <v>0</v>
      </c>
      <c r="T250" s="16">
        <f t="shared" si="34"/>
        <v>0</v>
      </c>
      <c r="U250" s="16">
        <f t="shared" si="34"/>
        <v>0</v>
      </c>
      <c r="V250" s="16">
        <f t="shared" si="34"/>
        <v>0</v>
      </c>
      <c r="W250" s="16">
        <f t="shared" si="34"/>
        <v>1</v>
      </c>
      <c r="X250" s="16" t="str">
        <f t="shared" si="27"/>
        <v>null</v>
      </c>
    </row>
    <row r="251" spans="1:24" x14ac:dyDescent="0.15">
      <c r="A251" s="20" t="str">
        <f t="shared" si="29"/>
        <v>23_4-1/33&lt;lv46&gt;s2</v>
      </c>
      <c r="B251" s="16">
        <f t="shared" si="35"/>
        <v>23</v>
      </c>
      <c r="C251" s="16">
        <f t="shared" si="35"/>
        <v>4</v>
      </c>
      <c r="D251" s="16">
        <f t="shared" si="35"/>
        <v>1</v>
      </c>
      <c r="E251" s="16">
        <f t="shared" si="35"/>
        <v>33</v>
      </c>
      <c r="F251" s="16">
        <f t="shared" si="35"/>
        <v>46</v>
      </c>
      <c r="G251" s="16">
        <f t="shared" si="35"/>
        <v>1</v>
      </c>
      <c r="H251" s="16">
        <f t="shared" si="35"/>
        <v>1</v>
      </c>
      <c r="I251" s="16">
        <f t="shared" si="35"/>
        <v>0</v>
      </c>
      <c r="J251" s="16">
        <f t="shared" si="35"/>
        <v>33</v>
      </c>
      <c r="K251" s="16">
        <f t="shared" si="35"/>
        <v>0</v>
      </c>
      <c r="L251" s="16">
        <f t="shared" si="35"/>
        <v>100</v>
      </c>
      <c r="M251" s="16">
        <f t="shared" si="35"/>
        <v>0</v>
      </c>
      <c r="N251" s="16">
        <f t="shared" si="35"/>
        <v>2</v>
      </c>
      <c r="O251" s="16">
        <f t="shared" si="35"/>
        <v>33</v>
      </c>
      <c r="P251" s="16">
        <f t="shared" si="35"/>
        <v>5</v>
      </c>
      <c r="Q251" s="16">
        <f t="shared" si="35"/>
        <v>2</v>
      </c>
      <c r="R251" s="16">
        <f t="shared" si="34"/>
        <v>20</v>
      </c>
      <c r="S251" s="16">
        <f t="shared" si="34"/>
        <v>0</v>
      </c>
      <c r="T251" s="16">
        <f t="shared" si="34"/>
        <v>0</v>
      </c>
      <c r="U251" s="16">
        <f t="shared" si="34"/>
        <v>0</v>
      </c>
      <c r="V251" s="16">
        <f t="shared" si="34"/>
        <v>0</v>
      </c>
      <c r="W251" s="16">
        <f t="shared" si="34"/>
        <v>1</v>
      </c>
      <c r="X251" s="16" t="str">
        <f t="shared" si="27"/>
        <v>null</v>
      </c>
    </row>
    <row r="252" spans="1:24" x14ac:dyDescent="0.15">
      <c r="A252" s="20" t="str">
        <f t="shared" si="29"/>
        <v>23_4-1/57&lt;lv46&gt;s2</v>
      </c>
      <c r="B252" s="16">
        <f t="shared" si="35"/>
        <v>23</v>
      </c>
      <c r="C252" s="16">
        <f t="shared" si="35"/>
        <v>4</v>
      </c>
      <c r="D252" s="16">
        <f t="shared" si="35"/>
        <v>1</v>
      </c>
      <c r="E252" s="16">
        <f t="shared" si="35"/>
        <v>57</v>
      </c>
      <c r="F252" s="16">
        <f t="shared" si="35"/>
        <v>46</v>
      </c>
      <c r="G252" s="16">
        <f t="shared" si="35"/>
        <v>1</v>
      </c>
      <c r="H252" s="16">
        <f t="shared" si="35"/>
        <v>1</v>
      </c>
      <c r="I252" s="16">
        <f t="shared" si="35"/>
        <v>0</v>
      </c>
      <c r="J252" s="16">
        <f t="shared" si="35"/>
        <v>57</v>
      </c>
      <c r="K252" s="16">
        <f t="shared" si="35"/>
        <v>0</v>
      </c>
      <c r="L252" s="16">
        <f t="shared" si="35"/>
        <v>100</v>
      </c>
      <c r="M252" s="16">
        <f t="shared" si="35"/>
        <v>0</v>
      </c>
      <c r="N252" s="16">
        <f t="shared" si="35"/>
        <v>2</v>
      </c>
      <c r="O252" s="16">
        <f t="shared" si="35"/>
        <v>57</v>
      </c>
      <c r="P252" s="16">
        <f t="shared" si="35"/>
        <v>7</v>
      </c>
      <c r="Q252" s="16">
        <f t="shared" si="35"/>
        <v>2</v>
      </c>
      <c r="R252" s="16">
        <f t="shared" si="34"/>
        <v>20</v>
      </c>
      <c r="S252" s="16">
        <f t="shared" si="34"/>
        <v>0</v>
      </c>
      <c r="T252" s="16">
        <f t="shared" si="34"/>
        <v>0</v>
      </c>
      <c r="U252" s="16">
        <f t="shared" si="34"/>
        <v>0</v>
      </c>
      <c r="V252" s="16">
        <f t="shared" si="34"/>
        <v>0</v>
      </c>
      <c r="W252" s="16">
        <f t="shared" si="34"/>
        <v>1</v>
      </c>
      <c r="X252" s="16" t="str">
        <f t="shared" si="27"/>
        <v>null</v>
      </c>
    </row>
    <row r="253" spans="1:24" x14ac:dyDescent="0.15">
      <c r="A253" s="20" t="str">
        <f t="shared" si="29"/>
        <v>23_4-1/21&lt;lv46&gt;s2</v>
      </c>
      <c r="B253" s="16">
        <f t="shared" si="35"/>
        <v>23</v>
      </c>
      <c r="C253" s="16">
        <f t="shared" si="35"/>
        <v>4</v>
      </c>
      <c r="D253" s="16">
        <f t="shared" si="35"/>
        <v>1</v>
      </c>
      <c r="E253" s="16">
        <f t="shared" si="35"/>
        <v>21</v>
      </c>
      <c r="F253" s="16">
        <f t="shared" si="35"/>
        <v>46</v>
      </c>
      <c r="G253" s="16">
        <f t="shared" si="35"/>
        <v>1</v>
      </c>
      <c r="H253" s="16">
        <f t="shared" si="35"/>
        <v>1</v>
      </c>
      <c r="I253" s="16">
        <f t="shared" si="35"/>
        <v>0</v>
      </c>
      <c r="J253" s="16">
        <f t="shared" si="35"/>
        <v>0</v>
      </c>
      <c r="K253" s="16">
        <f t="shared" si="35"/>
        <v>0</v>
      </c>
      <c r="L253" s="16">
        <f t="shared" si="35"/>
        <v>100</v>
      </c>
      <c r="M253" s="16">
        <f t="shared" si="35"/>
        <v>0</v>
      </c>
      <c r="N253" s="16">
        <f t="shared" si="35"/>
        <v>2</v>
      </c>
      <c r="O253" s="16">
        <f t="shared" si="35"/>
        <v>21</v>
      </c>
      <c r="P253" s="16">
        <f t="shared" si="35"/>
        <v>7</v>
      </c>
      <c r="Q253" s="16">
        <f t="shared" si="35"/>
        <v>1</v>
      </c>
      <c r="R253" s="16">
        <f t="shared" si="34"/>
        <v>15</v>
      </c>
      <c r="S253" s="16">
        <f t="shared" si="34"/>
        <v>0</v>
      </c>
      <c r="T253" s="16">
        <f t="shared" si="34"/>
        <v>0</v>
      </c>
      <c r="U253" s="16">
        <f t="shared" si="34"/>
        <v>0</v>
      </c>
      <c r="V253" s="16">
        <f t="shared" si="34"/>
        <v>0</v>
      </c>
      <c r="W253" s="16">
        <f t="shared" si="34"/>
        <v>1</v>
      </c>
      <c r="X253" s="16" t="str">
        <f t="shared" si="27"/>
        <v>null</v>
      </c>
    </row>
    <row r="254" spans="1:24" x14ac:dyDescent="0.15">
      <c r="A254" s="20" t="str">
        <f t="shared" si="29"/>
        <v>23_4-1/41&lt;lv46&gt;s1</v>
      </c>
      <c r="B254" s="16">
        <f t="shared" si="35"/>
        <v>23</v>
      </c>
      <c r="C254" s="16">
        <f t="shared" si="35"/>
        <v>4</v>
      </c>
      <c r="D254" s="16">
        <f t="shared" si="35"/>
        <v>1</v>
      </c>
      <c r="E254" s="16">
        <f t="shared" si="35"/>
        <v>41</v>
      </c>
      <c r="F254" s="16">
        <f t="shared" si="35"/>
        <v>46</v>
      </c>
      <c r="G254" s="16">
        <f t="shared" si="35"/>
        <v>1</v>
      </c>
      <c r="H254" s="16">
        <f t="shared" si="35"/>
        <v>1</v>
      </c>
      <c r="I254" s="16">
        <f t="shared" si="35"/>
        <v>0</v>
      </c>
      <c r="J254" s="16">
        <f t="shared" si="35"/>
        <v>0</v>
      </c>
      <c r="K254" s="16">
        <f t="shared" si="35"/>
        <v>0</v>
      </c>
      <c r="L254" s="16">
        <f t="shared" si="35"/>
        <v>100</v>
      </c>
      <c r="M254" s="16">
        <f t="shared" si="35"/>
        <v>0</v>
      </c>
      <c r="N254" s="16">
        <f t="shared" si="35"/>
        <v>1</v>
      </c>
      <c r="O254" s="16">
        <f t="shared" si="35"/>
        <v>41</v>
      </c>
      <c r="P254" s="16">
        <f t="shared" si="35"/>
        <v>7</v>
      </c>
      <c r="Q254" s="16">
        <f t="shared" ref="Q254:X317" si="36">VLOOKUP($A254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54" s="16">
        <f t="shared" si="36"/>
        <v>20</v>
      </c>
      <c r="S254" s="16">
        <f t="shared" si="36"/>
        <v>0</v>
      </c>
      <c r="T254" s="16">
        <f t="shared" si="36"/>
        <v>0</v>
      </c>
      <c r="U254" s="16">
        <f t="shared" si="36"/>
        <v>0</v>
      </c>
      <c r="V254" s="16">
        <f t="shared" si="36"/>
        <v>0</v>
      </c>
      <c r="W254" s="16">
        <f t="shared" si="36"/>
        <v>1</v>
      </c>
      <c r="X254" s="16" t="str">
        <f t="shared" si="36"/>
        <v>null</v>
      </c>
    </row>
    <row r="255" spans="1:24" x14ac:dyDescent="0.15">
      <c r="A255" s="20" t="str">
        <f t="shared" si="29"/>
        <v>23_4-1/360&lt;lv46&gt;s3</v>
      </c>
      <c r="B255" s="16">
        <f t="shared" ref="B255:Q270" si="37">VLOOKUP($A255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255" s="16">
        <f t="shared" si="37"/>
        <v>4</v>
      </c>
      <c r="D255" s="16">
        <f t="shared" si="37"/>
        <v>1</v>
      </c>
      <c r="E255" s="16">
        <f t="shared" si="37"/>
        <v>360</v>
      </c>
      <c r="F255" s="16">
        <f t="shared" si="37"/>
        <v>46</v>
      </c>
      <c r="G255" s="16">
        <f t="shared" si="37"/>
        <v>1</v>
      </c>
      <c r="H255" s="16">
        <f t="shared" si="37"/>
        <v>1</v>
      </c>
      <c r="I255" s="16">
        <f t="shared" si="37"/>
        <v>0</v>
      </c>
      <c r="J255" s="16">
        <f t="shared" si="37"/>
        <v>360</v>
      </c>
      <c r="K255" s="16">
        <f t="shared" si="37"/>
        <v>0</v>
      </c>
      <c r="L255" s="16">
        <f t="shared" si="37"/>
        <v>100</v>
      </c>
      <c r="M255" s="16">
        <f t="shared" si="37"/>
        <v>0</v>
      </c>
      <c r="N255" s="16">
        <f t="shared" si="37"/>
        <v>3</v>
      </c>
      <c r="O255" s="16">
        <f t="shared" si="37"/>
        <v>360</v>
      </c>
      <c r="P255" s="16">
        <f t="shared" si="37"/>
        <v>7</v>
      </c>
      <c r="Q255" s="16">
        <f t="shared" si="37"/>
        <v>2</v>
      </c>
      <c r="R255" s="16">
        <f t="shared" si="36"/>
        <v>20</v>
      </c>
      <c r="S255" s="16">
        <f t="shared" si="36"/>
        <v>0</v>
      </c>
      <c r="T255" s="16">
        <f t="shared" si="36"/>
        <v>0</v>
      </c>
      <c r="U255" s="16">
        <f t="shared" si="36"/>
        <v>0</v>
      </c>
      <c r="V255" s="16">
        <f t="shared" si="36"/>
        <v>0</v>
      </c>
      <c r="W255" s="16">
        <f t="shared" si="36"/>
        <v>1</v>
      </c>
      <c r="X255" s="16" t="str">
        <f t="shared" si="36"/>
        <v>null</v>
      </c>
    </row>
    <row r="256" spans="1:24" x14ac:dyDescent="0.15">
      <c r="A256" s="20" t="str">
        <f t="shared" si="29"/>
        <v>23_4-1/348&lt;lv46&gt;s3</v>
      </c>
      <c r="B256" s="16">
        <f t="shared" si="37"/>
        <v>23</v>
      </c>
      <c r="C256" s="16">
        <f t="shared" si="37"/>
        <v>4</v>
      </c>
      <c r="D256" s="16">
        <f t="shared" si="37"/>
        <v>1</v>
      </c>
      <c r="E256" s="16">
        <f t="shared" si="37"/>
        <v>348</v>
      </c>
      <c r="F256" s="16">
        <f t="shared" si="37"/>
        <v>46</v>
      </c>
      <c r="G256" s="16">
        <f t="shared" si="37"/>
        <v>1</v>
      </c>
      <c r="H256" s="16">
        <f t="shared" si="37"/>
        <v>1</v>
      </c>
      <c r="I256" s="16">
        <f t="shared" si="37"/>
        <v>0</v>
      </c>
      <c r="J256" s="16">
        <f t="shared" si="37"/>
        <v>348</v>
      </c>
      <c r="K256" s="16">
        <f t="shared" si="37"/>
        <v>0</v>
      </c>
      <c r="L256" s="16">
        <f t="shared" si="37"/>
        <v>100</v>
      </c>
      <c r="M256" s="16">
        <f t="shared" si="37"/>
        <v>0</v>
      </c>
      <c r="N256" s="16">
        <f t="shared" si="37"/>
        <v>3</v>
      </c>
      <c r="O256" s="16">
        <f t="shared" si="37"/>
        <v>348</v>
      </c>
      <c r="P256" s="16">
        <f t="shared" si="37"/>
        <v>1</v>
      </c>
      <c r="Q256" s="16">
        <f t="shared" si="37"/>
        <v>2</v>
      </c>
      <c r="R256" s="16">
        <f t="shared" si="36"/>
        <v>32</v>
      </c>
      <c r="S256" s="16">
        <f t="shared" si="36"/>
        <v>0</v>
      </c>
      <c r="T256" s="16">
        <f t="shared" si="36"/>
        <v>0</v>
      </c>
      <c r="U256" s="16">
        <f t="shared" si="36"/>
        <v>0</v>
      </c>
      <c r="V256" s="16">
        <f t="shared" si="36"/>
        <v>0</v>
      </c>
      <c r="W256" s="16">
        <f t="shared" si="36"/>
        <v>1</v>
      </c>
      <c r="X256" s="16" t="str">
        <f t="shared" si="36"/>
        <v>null</v>
      </c>
    </row>
    <row r="257" spans="1:24" x14ac:dyDescent="0.15">
      <c r="A257" s="20" t="str">
        <f t="shared" si="29"/>
        <v>23_4-2/11&lt;lv48&gt;s3</v>
      </c>
      <c r="B257" s="16">
        <f t="shared" si="37"/>
        <v>23</v>
      </c>
      <c r="C257" s="16">
        <f t="shared" si="37"/>
        <v>4</v>
      </c>
      <c r="D257" s="16">
        <f t="shared" si="37"/>
        <v>2</v>
      </c>
      <c r="E257" s="16">
        <f t="shared" si="37"/>
        <v>11</v>
      </c>
      <c r="F257" s="16">
        <f t="shared" si="37"/>
        <v>48</v>
      </c>
      <c r="G257" s="16">
        <f t="shared" si="37"/>
        <v>1.1000000000000001</v>
      </c>
      <c r="H257" s="16">
        <f t="shared" si="37"/>
        <v>1</v>
      </c>
      <c r="I257" s="16">
        <f t="shared" si="37"/>
        <v>0</v>
      </c>
      <c r="J257" s="16">
        <f t="shared" si="37"/>
        <v>0</v>
      </c>
      <c r="K257" s="16">
        <f t="shared" si="37"/>
        <v>0</v>
      </c>
      <c r="L257" s="16">
        <f t="shared" si="37"/>
        <v>100</v>
      </c>
      <c r="M257" s="16">
        <f t="shared" si="37"/>
        <v>0</v>
      </c>
      <c r="N257" s="16">
        <f t="shared" si="37"/>
        <v>3</v>
      </c>
      <c r="O257" s="16">
        <f t="shared" si="37"/>
        <v>11</v>
      </c>
      <c r="P257" s="16">
        <f t="shared" si="37"/>
        <v>9</v>
      </c>
      <c r="Q257" s="16">
        <f t="shared" si="37"/>
        <v>1</v>
      </c>
      <c r="R257" s="16">
        <f t="shared" si="36"/>
        <v>15</v>
      </c>
      <c r="S257" s="16">
        <f t="shared" si="36"/>
        <v>0</v>
      </c>
      <c r="T257" s="16">
        <f t="shared" si="36"/>
        <v>0</v>
      </c>
      <c r="U257" s="16">
        <f t="shared" si="36"/>
        <v>0</v>
      </c>
      <c r="V257" s="16">
        <f t="shared" si="36"/>
        <v>0</v>
      </c>
      <c r="W257" s="16">
        <f t="shared" si="36"/>
        <v>1</v>
      </c>
      <c r="X257" s="16" t="str">
        <f t="shared" si="36"/>
        <v>null</v>
      </c>
    </row>
    <row r="258" spans="1:24" x14ac:dyDescent="0.15">
      <c r="A258" s="20" t="str">
        <f t="shared" si="29"/>
        <v>23_4-2/23&lt;lv48&gt;s4</v>
      </c>
      <c r="B258" s="16">
        <f t="shared" si="37"/>
        <v>23</v>
      </c>
      <c r="C258" s="16">
        <f t="shared" si="37"/>
        <v>4</v>
      </c>
      <c r="D258" s="16">
        <f t="shared" si="37"/>
        <v>2</v>
      </c>
      <c r="E258" s="16">
        <f t="shared" si="37"/>
        <v>23</v>
      </c>
      <c r="F258" s="16">
        <f t="shared" si="37"/>
        <v>48</v>
      </c>
      <c r="G258" s="16">
        <f t="shared" si="37"/>
        <v>1.1000000000000001</v>
      </c>
      <c r="H258" s="16">
        <f t="shared" si="37"/>
        <v>1</v>
      </c>
      <c r="I258" s="16">
        <f t="shared" si="37"/>
        <v>0</v>
      </c>
      <c r="J258" s="16">
        <f t="shared" si="37"/>
        <v>0</v>
      </c>
      <c r="K258" s="16">
        <f t="shared" si="37"/>
        <v>0</v>
      </c>
      <c r="L258" s="16">
        <f t="shared" si="37"/>
        <v>100</v>
      </c>
      <c r="M258" s="16">
        <f t="shared" si="37"/>
        <v>0</v>
      </c>
      <c r="N258" s="16">
        <f t="shared" si="37"/>
        <v>4</v>
      </c>
      <c r="O258" s="16">
        <f t="shared" si="37"/>
        <v>23</v>
      </c>
      <c r="P258" s="16">
        <f t="shared" si="37"/>
        <v>7</v>
      </c>
      <c r="Q258" s="16">
        <f t="shared" si="37"/>
        <v>1</v>
      </c>
      <c r="R258" s="16">
        <f t="shared" si="36"/>
        <v>15</v>
      </c>
      <c r="S258" s="16">
        <f t="shared" si="36"/>
        <v>0</v>
      </c>
      <c r="T258" s="16">
        <f t="shared" si="36"/>
        <v>0</v>
      </c>
      <c r="U258" s="16">
        <f t="shared" si="36"/>
        <v>0</v>
      </c>
      <c r="V258" s="16">
        <f t="shared" si="36"/>
        <v>0</v>
      </c>
      <c r="W258" s="16">
        <f t="shared" si="36"/>
        <v>1</v>
      </c>
      <c r="X258" s="16" t="str">
        <f t="shared" si="36"/>
        <v>null</v>
      </c>
    </row>
    <row r="259" spans="1:24" x14ac:dyDescent="0.15">
      <c r="A259" s="20" t="str">
        <f t="shared" si="29"/>
        <v>23_4-2/59&lt;lv48&gt;s2</v>
      </c>
      <c r="B259" s="16">
        <f t="shared" si="37"/>
        <v>23</v>
      </c>
      <c r="C259" s="16">
        <f t="shared" si="37"/>
        <v>4</v>
      </c>
      <c r="D259" s="16">
        <f t="shared" si="37"/>
        <v>2</v>
      </c>
      <c r="E259" s="16">
        <f t="shared" si="37"/>
        <v>59</v>
      </c>
      <c r="F259" s="16">
        <f t="shared" si="37"/>
        <v>48</v>
      </c>
      <c r="G259" s="16">
        <f t="shared" si="37"/>
        <v>1.1000000000000001</v>
      </c>
      <c r="H259" s="16">
        <f t="shared" si="37"/>
        <v>1</v>
      </c>
      <c r="I259" s="16">
        <f t="shared" si="37"/>
        <v>0</v>
      </c>
      <c r="J259" s="16">
        <f t="shared" si="37"/>
        <v>59</v>
      </c>
      <c r="K259" s="16">
        <f t="shared" si="37"/>
        <v>0</v>
      </c>
      <c r="L259" s="16">
        <f t="shared" si="37"/>
        <v>100</v>
      </c>
      <c r="M259" s="16">
        <f t="shared" si="37"/>
        <v>0</v>
      </c>
      <c r="N259" s="16">
        <f t="shared" si="37"/>
        <v>2</v>
      </c>
      <c r="O259" s="16">
        <f t="shared" si="37"/>
        <v>59</v>
      </c>
      <c r="P259" s="16">
        <f t="shared" si="37"/>
        <v>7</v>
      </c>
      <c r="Q259" s="16">
        <f t="shared" si="37"/>
        <v>2</v>
      </c>
      <c r="R259" s="16">
        <f t="shared" si="36"/>
        <v>20</v>
      </c>
      <c r="S259" s="16">
        <f t="shared" si="36"/>
        <v>0</v>
      </c>
      <c r="T259" s="16">
        <f t="shared" si="36"/>
        <v>0</v>
      </c>
      <c r="U259" s="16">
        <f t="shared" si="36"/>
        <v>0</v>
      </c>
      <c r="V259" s="16">
        <f t="shared" si="36"/>
        <v>0</v>
      </c>
      <c r="W259" s="16">
        <f t="shared" si="36"/>
        <v>1</v>
      </c>
      <c r="X259" s="16" t="str">
        <f t="shared" si="36"/>
        <v>null</v>
      </c>
    </row>
    <row r="260" spans="1:24" x14ac:dyDescent="0.15">
      <c r="A260" s="20" t="str">
        <f t="shared" ref="A260:A323" si="38">INDIRECT(ADDRESS(ROW()+$A$1,COLUMN(),1,TRUE,$C$1))</f>
        <v>23_4-2/43&lt;lv48&gt;s2</v>
      </c>
      <c r="B260" s="16">
        <f t="shared" si="37"/>
        <v>23</v>
      </c>
      <c r="C260" s="16">
        <f t="shared" si="37"/>
        <v>4</v>
      </c>
      <c r="D260" s="16">
        <f t="shared" si="37"/>
        <v>2</v>
      </c>
      <c r="E260" s="16">
        <f t="shared" si="37"/>
        <v>43</v>
      </c>
      <c r="F260" s="16">
        <f t="shared" si="37"/>
        <v>48</v>
      </c>
      <c r="G260" s="16">
        <f t="shared" si="37"/>
        <v>1.1000000000000001</v>
      </c>
      <c r="H260" s="16">
        <f t="shared" si="37"/>
        <v>1</v>
      </c>
      <c r="I260" s="16">
        <f t="shared" si="37"/>
        <v>0</v>
      </c>
      <c r="J260" s="16">
        <f t="shared" si="37"/>
        <v>0</v>
      </c>
      <c r="K260" s="16">
        <f t="shared" si="37"/>
        <v>0</v>
      </c>
      <c r="L260" s="16">
        <f t="shared" si="37"/>
        <v>100</v>
      </c>
      <c r="M260" s="16">
        <f t="shared" si="37"/>
        <v>0</v>
      </c>
      <c r="N260" s="16">
        <f t="shared" si="37"/>
        <v>2</v>
      </c>
      <c r="O260" s="16">
        <f t="shared" si="37"/>
        <v>43</v>
      </c>
      <c r="P260" s="16">
        <f t="shared" si="37"/>
        <v>7</v>
      </c>
      <c r="Q260" s="16">
        <f t="shared" si="37"/>
        <v>2</v>
      </c>
      <c r="R260" s="16">
        <f t="shared" si="36"/>
        <v>20</v>
      </c>
      <c r="S260" s="16">
        <f t="shared" si="36"/>
        <v>0</v>
      </c>
      <c r="T260" s="16">
        <f t="shared" si="36"/>
        <v>0</v>
      </c>
      <c r="U260" s="16">
        <f t="shared" si="36"/>
        <v>0</v>
      </c>
      <c r="V260" s="16">
        <f t="shared" si="36"/>
        <v>0</v>
      </c>
      <c r="W260" s="16">
        <f t="shared" si="36"/>
        <v>1</v>
      </c>
      <c r="X260" s="16" t="str">
        <f t="shared" si="36"/>
        <v>null</v>
      </c>
    </row>
    <row r="261" spans="1:24" x14ac:dyDescent="0.15">
      <c r="A261" s="20" t="str">
        <f t="shared" si="38"/>
        <v>23_4-2/362&lt;lv48&gt;s3</v>
      </c>
      <c r="B261" s="16">
        <f t="shared" si="37"/>
        <v>23</v>
      </c>
      <c r="C261" s="16">
        <f t="shared" si="37"/>
        <v>4</v>
      </c>
      <c r="D261" s="16">
        <f t="shared" si="37"/>
        <v>2</v>
      </c>
      <c r="E261" s="16">
        <f t="shared" si="37"/>
        <v>362</v>
      </c>
      <c r="F261" s="16">
        <f t="shared" si="37"/>
        <v>48</v>
      </c>
      <c r="G261" s="16">
        <f t="shared" si="37"/>
        <v>1.1000000000000001</v>
      </c>
      <c r="H261" s="16">
        <f t="shared" si="37"/>
        <v>1</v>
      </c>
      <c r="I261" s="16">
        <f t="shared" si="37"/>
        <v>0</v>
      </c>
      <c r="J261" s="16">
        <f t="shared" si="37"/>
        <v>362</v>
      </c>
      <c r="K261" s="16">
        <f t="shared" si="37"/>
        <v>0</v>
      </c>
      <c r="L261" s="16">
        <f t="shared" si="37"/>
        <v>100</v>
      </c>
      <c r="M261" s="16">
        <f t="shared" si="37"/>
        <v>0</v>
      </c>
      <c r="N261" s="16">
        <f t="shared" si="37"/>
        <v>3</v>
      </c>
      <c r="O261" s="16">
        <f t="shared" si="37"/>
        <v>362</v>
      </c>
      <c r="P261" s="16">
        <f t="shared" si="37"/>
        <v>7</v>
      </c>
      <c r="Q261" s="16">
        <f t="shared" si="37"/>
        <v>2</v>
      </c>
      <c r="R261" s="16">
        <f t="shared" si="36"/>
        <v>20</v>
      </c>
      <c r="S261" s="16">
        <f t="shared" si="36"/>
        <v>0</v>
      </c>
      <c r="T261" s="16">
        <f t="shared" si="36"/>
        <v>0</v>
      </c>
      <c r="U261" s="16">
        <f t="shared" si="36"/>
        <v>0</v>
      </c>
      <c r="V261" s="16">
        <f t="shared" si="36"/>
        <v>0</v>
      </c>
      <c r="W261" s="16">
        <f t="shared" si="36"/>
        <v>1</v>
      </c>
      <c r="X261" s="16" t="str">
        <f t="shared" si="36"/>
        <v>null</v>
      </c>
    </row>
    <row r="262" spans="1:24" x14ac:dyDescent="0.15">
      <c r="A262" s="20" t="str">
        <f t="shared" si="38"/>
        <v>23_4-2/350&lt;lv48&gt;s3</v>
      </c>
      <c r="B262" s="16">
        <f t="shared" si="37"/>
        <v>23</v>
      </c>
      <c r="C262" s="16">
        <f t="shared" si="37"/>
        <v>4</v>
      </c>
      <c r="D262" s="16">
        <f t="shared" si="37"/>
        <v>2</v>
      </c>
      <c r="E262" s="16">
        <f t="shared" si="37"/>
        <v>350</v>
      </c>
      <c r="F262" s="16">
        <f t="shared" si="37"/>
        <v>48</v>
      </c>
      <c r="G262" s="16">
        <f t="shared" si="37"/>
        <v>1</v>
      </c>
      <c r="H262" s="16">
        <f t="shared" si="37"/>
        <v>1</v>
      </c>
      <c r="I262" s="16">
        <f t="shared" si="37"/>
        <v>0</v>
      </c>
      <c r="J262" s="16">
        <f t="shared" si="37"/>
        <v>350</v>
      </c>
      <c r="K262" s="16">
        <f t="shared" si="37"/>
        <v>0</v>
      </c>
      <c r="L262" s="16">
        <f t="shared" si="37"/>
        <v>100</v>
      </c>
      <c r="M262" s="16">
        <f t="shared" si="37"/>
        <v>0</v>
      </c>
      <c r="N262" s="16">
        <f t="shared" si="37"/>
        <v>3</v>
      </c>
      <c r="O262" s="16">
        <f t="shared" si="37"/>
        <v>350</v>
      </c>
      <c r="P262" s="16">
        <f t="shared" si="37"/>
        <v>1</v>
      </c>
      <c r="Q262" s="16">
        <f t="shared" si="37"/>
        <v>2</v>
      </c>
      <c r="R262" s="16">
        <f t="shared" si="36"/>
        <v>32</v>
      </c>
      <c r="S262" s="16">
        <f t="shared" si="36"/>
        <v>0</v>
      </c>
      <c r="T262" s="16">
        <f t="shared" si="36"/>
        <v>0</v>
      </c>
      <c r="U262" s="16">
        <f t="shared" si="36"/>
        <v>0</v>
      </c>
      <c r="V262" s="16">
        <f t="shared" si="36"/>
        <v>0</v>
      </c>
      <c r="W262" s="16">
        <f t="shared" si="36"/>
        <v>1</v>
      </c>
      <c r="X262" s="16" t="str">
        <f t="shared" si="36"/>
        <v>null</v>
      </c>
    </row>
    <row r="263" spans="1:24" x14ac:dyDescent="0.15">
      <c r="A263" s="20" t="str">
        <f t="shared" si="38"/>
        <v>23_4-3/128&lt;lv46&gt;s2</v>
      </c>
      <c r="B263" s="16">
        <f t="shared" si="37"/>
        <v>23</v>
      </c>
      <c r="C263" s="16">
        <f t="shared" si="37"/>
        <v>4</v>
      </c>
      <c r="D263" s="16">
        <f t="shared" si="37"/>
        <v>3</v>
      </c>
      <c r="E263" s="16">
        <f t="shared" si="37"/>
        <v>128</v>
      </c>
      <c r="F263" s="16">
        <f t="shared" si="37"/>
        <v>46</v>
      </c>
      <c r="G263" s="16">
        <f t="shared" si="37"/>
        <v>1.5</v>
      </c>
      <c r="H263" s="16">
        <f t="shared" si="37"/>
        <v>1.2</v>
      </c>
      <c r="I263" s="16">
        <f t="shared" si="37"/>
        <v>0</v>
      </c>
      <c r="J263" s="16">
        <f t="shared" si="37"/>
        <v>128</v>
      </c>
      <c r="K263" s="16">
        <f t="shared" si="37"/>
        <v>1</v>
      </c>
      <c r="L263" s="16">
        <f t="shared" si="37"/>
        <v>100</v>
      </c>
      <c r="M263" s="16">
        <f t="shared" si="37"/>
        <v>1</v>
      </c>
      <c r="N263" s="16">
        <f t="shared" si="37"/>
        <v>2</v>
      </c>
      <c r="O263" s="16">
        <f t="shared" si="37"/>
        <v>128</v>
      </c>
      <c r="P263" s="16">
        <f t="shared" si="37"/>
        <v>1</v>
      </c>
      <c r="Q263" s="16">
        <f t="shared" si="37"/>
        <v>3</v>
      </c>
      <c r="R263" s="16">
        <f t="shared" si="36"/>
        <v>0</v>
      </c>
      <c r="S263" s="16">
        <f t="shared" si="36"/>
        <v>0</v>
      </c>
      <c r="T263" s="16">
        <f t="shared" si="36"/>
        <v>0</v>
      </c>
      <c r="U263" s="16">
        <f t="shared" si="36"/>
        <v>0</v>
      </c>
      <c r="V263" s="16">
        <f t="shared" si="36"/>
        <v>0</v>
      </c>
      <c r="W263" s="16">
        <f t="shared" si="36"/>
        <v>1</v>
      </c>
      <c r="X263" s="16" t="str">
        <f t="shared" si="36"/>
        <v>null</v>
      </c>
    </row>
    <row r="264" spans="1:24" x14ac:dyDescent="0.15">
      <c r="A264" s="20" t="str">
        <f t="shared" si="38"/>
        <v>23_4-4/33&lt;lv46&gt;s2</v>
      </c>
      <c r="B264" s="16">
        <f t="shared" si="37"/>
        <v>23</v>
      </c>
      <c r="C264" s="16">
        <f t="shared" si="37"/>
        <v>4</v>
      </c>
      <c r="D264" s="16">
        <f t="shared" si="37"/>
        <v>4</v>
      </c>
      <c r="E264" s="16">
        <f t="shared" si="37"/>
        <v>33</v>
      </c>
      <c r="F264" s="16">
        <f t="shared" si="37"/>
        <v>46</v>
      </c>
      <c r="G264" s="16">
        <f t="shared" si="37"/>
        <v>1</v>
      </c>
      <c r="H264" s="16">
        <f t="shared" si="37"/>
        <v>1</v>
      </c>
      <c r="I264" s="16">
        <f t="shared" si="37"/>
        <v>0</v>
      </c>
      <c r="J264" s="16">
        <f t="shared" si="37"/>
        <v>33</v>
      </c>
      <c r="K264" s="16">
        <f t="shared" si="37"/>
        <v>0</v>
      </c>
      <c r="L264" s="16">
        <f t="shared" si="37"/>
        <v>100</v>
      </c>
      <c r="M264" s="16">
        <f t="shared" si="37"/>
        <v>0</v>
      </c>
      <c r="N264" s="16">
        <f t="shared" si="37"/>
        <v>2</v>
      </c>
      <c r="O264" s="16">
        <f t="shared" si="37"/>
        <v>33</v>
      </c>
      <c r="P264" s="16">
        <f t="shared" si="37"/>
        <v>5</v>
      </c>
      <c r="Q264" s="16">
        <f t="shared" si="37"/>
        <v>2</v>
      </c>
      <c r="R264" s="16">
        <f t="shared" si="36"/>
        <v>20</v>
      </c>
      <c r="S264" s="16">
        <f t="shared" si="36"/>
        <v>0</v>
      </c>
      <c r="T264" s="16">
        <f t="shared" si="36"/>
        <v>0</v>
      </c>
      <c r="U264" s="16">
        <f t="shared" si="36"/>
        <v>0</v>
      </c>
      <c r="V264" s="16">
        <f t="shared" si="36"/>
        <v>0</v>
      </c>
      <c r="W264" s="16">
        <f t="shared" si="36"/>
        <v>1</v>
      </c>
      <c r="X264" s="16" t="str">
        <f t="shared" si="36"/>
        <v>null</v>
      </c>
    </row>
    <row r="265" spans="1:24" x14ac:dyDescent="0.15">
      <c r="A265" s="20" t="str">
        <f t="shared" si="38"/>
        <v>23_4-4/57&lt;lv46&gt;s2</v>
      </c>
      <c r="B265" s="16">
        <f t="shared" si="37"/>
        <v>23</v>
      </c>
      <c r="C265" s="16">
        <f t="shared" si="37"/>
        <v>4</v>
      </c>
      <c r="D265" s="16">
        <f t="shared" si="37"/>
        <v>4</v>
      </c>
      <c r="E265" s="16">
        <f t="shared" si="37"/>
        <v>57</v>
      </c>
      <c r="F265" s="16">
        <f t="shared" si="37"/>
        <v>46</v>
      </c>
      <c r="G265" s="16">
        <f t="shared" si="37"/>
        <v>1</v>
      </c>
      <c r="H265" s="16">
        <f t="shared" si="37"/>
        <v>1</v>
      </c>
      <c r="I265" s="16">
        <f t="shared" si="37"/>
        <v>0</v>
      </c>
      <c r="J265" s="16">
        <f t="shared" si="37"/>
        <v>57</v>
      </c>
      <c r="K265" s="16">
        <f t="shared" si="37"/>
        <v>0</v>
      </c>
      <c r="L265" s="16">
        <f t="shared" si="37"/>
        <v>100</v>
      </c>
      <c r="M265" s="16">
        <f t="shared" si="37"/>
        <v>0</v>
      </c>
      <c r="N265" s="16">
        <f t="shared" si="37"/>
        <v>2</v>
      </c>
      <c r="O265" s="16">
        <f t="shared" si="37"/>
        <v>57</v>
      </c>
      <c r="P265" s="16">
        <f t="shared" si="37"/>
        <v>7</v>
      </c>
      <c r="Q265" s="16">
        <f t="shared" si="37"/>
        <v>2</v>
      </c>
      <c r="R265" s="16">
        <f t="shared" si="36"/>
        <v>20</v>
      </c>
      <c r="S265" s="16">
        <f t="shared" si="36"/>
        <v>0</v>
      </c>
      <c r="T265" s="16">
        <f t="shared" si="36"/>
        <v>0</v>
      </c>
      <c r="U265" s="16">
        <f t="shared" si="36"/>
        <v>0</v>
      </c>
      <c r="V265" s="16">
        <f t="shared" si="36"/>
        <v>0</v>
      </c>
      <c r="W265" s="16">
        <f t="shared" si="36"/>
        <v>1</v>
      </c>
      <c r="X265" s="16" t="str">
        <f t="shared" si="36"/>
        <v>null</v>
      </c>
    </row>
    <row r="266" spans="1:24" x14ac:dyDescent="0.15">
      <c r="A266" s="20" t="str">
        <f t="shared" si="38"/>
        <v>23_4-4/59&lt;lv48&gt;s2</v>
      </c>
      <c r="B266" s="16">
        <f t="shared" si="37"/>
        <v>23</v>
      </c>
      <c r="C266" s="16">
        <f t="shared" si="37"/>
        <v>4</v>
      </c>
      <c r="D266" s="16">
        <f t="shared" si="37"/>
        <v>4</v>
      </c>
      <c r="E266" s="16">
        <f t="shared" si="37"/>
        <v>59</v>
      </c>
      <c r="F266" s="16">
        <f t="shared" si="37"/>
        <v>48</v>
      </c>
      <c r="G266" s="16">
        <f t="shared" si="37"/>
        <v>1.1000000000000001</v>
      </c>
      <c r="H266" s="16">
        <f t="shared" si="37"/>
        <v>1</v>
      </c>
      <c r="I266" s="16">
        <f t="shared" si="37"/>
        <v>0</v>
      </c>
      <c r="J266" s="16">
        <f t="shared" si="37"/>
        <v>59</v>
      </c>
      <c r="K266" s="16">
        <f t="shared" si="37"/>
        <v>0</v>
      </c>
      <c r="L266" s="16">
        <f t="shared" si="37"/>
        <v>100</v>
      </c>
      <c r="M266" s="16">
        <f t="shared" si="37"/>
        <v>0</v>
      </c>
      <c r="N266" s="16">
        <f t="shared" si="37"/>
        <v>2</v>
      </c>
      <c r="O266" s="16">
        <f t="shared" si="37"/>
        <v>59</v>
      </c>
      <c r="P266" s="16">
        <f t="shared" si="37"/>
        <v>7</v>
      </c>
      <c r="Q266" s="16">
        <f t="shared" si="37"/>
        <v>2</v>
      </c>
      <c r="R266" s="16">
        <f t="shared" si="36"/>
        <v>20</v>
      </c>
      <c r="S266" s="16">
        <f t="shared" si="36"/>
        <v>0</v>
      </c>
      <c r="T266" s="16">
        <f t="shared" si="36"/>
        <v>0</v>
      </c>
      <c r="U266" s="16">
        <f t="shared" si="36"/>
        <v>0</v>
      </c>
      <c r="V266" s="16">
        <f t="shared" si="36"/>
        <v>0</v>
      </c>
      <c r="W266" s="16">
        <f t="shared" si="36"/>
        <v>1</v>
      </c>
      <c r="X266" s="16" t="str">
        <f t="shared" si="36"/>
        <v>null</v>
      </c>
    </row>
    <row r="267" spans="1:24" x14ac:dyDescent="0.15">
      <c r="A267" s="20" t="str">
        <f t="shared" si="38"/>
        <v>23_4-4/41&lt;lv46&gt;s1</v>
      </c>
      <c r="B267" s="16">
        <f t="shared" si="37"/>
        <v>23</v>
      </c>
      <c r="C267" s="16">
        <f t="shared" si="37"/>
        <v>4</v>
      </c>
      <c r="D267" s="16">
        <f t="shared" si="37"/>
        <v>4</v>
      </c>
      <c r="E267" s="16">
        <f t="shared" si="37"/>
        <v>41</v>
      </c>
      <c r="F267" s="16">
        <f t="shared" si="37"/>
        <v>46</v>
      </c>
      <c r="G267" s="16">
        <f t="shared" si="37"/>
        <v>1</v>
      </c>
      <c r="H267" s="16">
        <f t="shared" si="37"/>
        <v>1</v>
      </c>
      <c r="I267" s="16">
        <f t="shared" si="37"/>
        <v>0</v>
      </c>
      <c r="J267" s="16">
        <f t="shared" si="37"/>
        <v>0</v>
      </c>
      <c r="K267" s="16">
        <f t="shared" si="37"/>
        <v>0</v>
      </c>
      <c r="L267" s="16">
        <f t="shared" si="37"/>
        <v>100</v>
      </c>
      <c r="M267" s="16">
        <f t="shared" si="37"/>
        <v>0</v>
      </c>
      <c r="N267" s="16">
        <f t="shared" si="37"/>
        <v>1</v>
      </c>
      <c r="O267" s="16">
        <f t="shared" si="37"/>
        <v>41</v>
      </c>
      <c r="P267" s="16">
        <f t="shared" si="37"/>
        <v>7</v>
      </c>
      <c r="Q267" s="16">
        <f t="shared" si="37"/>
        <v>2</v>
      </c>
      <c r="R267" s="16">
        <f t="shared" si="36"/>
        <v>20</v>
      </c>
      <c r="S267" s="16">
        <f t="shared" si="36"/>
        <v>0</v>
      </c>
      <c r="T267" s="16">
        <f t="shared" si="36"/>
        <v>0</v>
      </c>
      <c r="U267" s="16">
        <f t="shared" si="36"/>
        <v>0</v>
      </c>
      <c r="V267" s="16">
        <f t="shared" si="36"/>
        <v>0</v>
      </c>
      <c r="W267" s="16">
        <f t="shared" si="36"/>
        <v>1</v>
      </c>
      <c r="X267" s="16" t="str">
        <f t="shared" si="36"/>
        <v>null</v>
      </c>
    </row>
    <row r="268" spans="1:24" x14ac:dyDescent="0.15">
      <c r="A268" s="20" t="str">
        <f t="shared" si="38"/>
        <v>23_4-4/43&lt;lv48&gt;s2</v>
      </c>
      <c r="B268" s="16">
        <f t="shared" si="37"/>
        <v>23</v>
      </c>
      <c r="C268" s="16">
        <f t="shared" si="37"/>
        <v>4</v>
      </c>
      <c r="D268" s="16">
        <f t="shared" si="37"/>
        <v>4</v>
      </c>
      <c r="E268" s="16">
        <f t="shared" si="37"/>
        <v>43</v>
      </c>
      <c r="F268" s="16">
        <f t="shared" si="37"/>
        <v>48</v>
      </c>
      <c r="G268" s="16">
        <f t="shared" si="37"/>
        <v>1.1000000000000001</v>
      </c>
      <c r="H268" s="16">
        <f t="shared" si="37"/>
        <v>1</v>
      </c>
      <c r="I268" s="16">
        <f t="shared" si="37"/>
        <v>0</v>
      </c>
      <c r="J268" s="16">
        <f t="shared" si="37"/>
        <v>0</v>
      </c>
      <c r="K268" s="16">
        <f t="shared" si="37"/>
        <v>0</v>
      </c>
      <c r="L268" s="16">
        <f t="shared" si="37"/>
        <v>100</v>
      </c>
      <c r="M268" s="16">
        <f t="shared" si="37"/>
        <v>0</v>
      </c>
      <c r="N268" s="16">
        <f t="shared" si="37"/>
        <v>2</v>
      </c>
      <c r="O268" s="16">
        <f t="shared" si="37"/>
        <v>43</v>
      </c>
      <c r="P268" s="16">
        <f t="shared" si="37"/>
        <v>7</v>
      </c>
      <c r="Q268" s="16">
        <f t="shared" si="37"/>
        <v>2</v>
      </c>
      <c r="R268" s="16">
        <f t="shared" si="36"/>
        <v>20</v>
      </c>
      <c r="S268" s="16">
        <f t="shared" si="36"/>
        <v>0</v>
      </c>
      <c r="T268" s="16">
        <f t="shared" si="36"/>
        <v>0</v>
      </c>
      <c r="U268" s="16">
        <f t="shared" si="36"/>
        <v>0</v>
      </c>
      <c r="V268" s="16">
        <f t="shared" si="36"/>
        <v>0</v>
      </c>
      <c r="W268" s="16">
        <f t="shared" si="36"/>
        <v>1</v>
      </c>
      <c r="X268" s="16" t="str">
        <f t="shared" si="36"/>
        <v>null</v>
      </c>
    </row>
    <row r="269" spans="1:24" x14ac:dyDescent="0.15">
      <c r="A269" s="20" t="str">
        <f t="shared" si="38"/>
        <v>23_4-4/360&lt;lv46&gt;s3</v>
      </c>
      <c r="B269" s="16">
        <f t="shared" si="37"/>
        <v>23</v>
      </c>
      <c r="C269" s="16">
        <f t="shared" si="37"/>
        <v>4</v>
      </c>
      <c r="D269" s="16">
        <f t="shared" si="37"/>
        <v>4</v>
      </c>
      <c r="E269" s="16">
        <f t="shared" si="37"/>
        <v>360</v>
      </c>
      <c r="F269" s="16">
        <f t="shared" si="37"/>
        <v>46</v>
      </c>
      <c r="G269" s="16">
        <f t="shared" si="37"/>
        <v>1</v>
      </c>
      <c r="H269" s="16">
        <f t="shared" si="37"/>
        <v>1</v>
      </c>
      <c r="I269" s="16">
        <f t="shared" si="37"/>
        <v>0</v>
      </c>
      <c r="J269" s="16">
        <f t="shared" si="37"/>
        <v>360</v>
      </c>
      <c r="K269" s="16">
        <f t="shared" si="37"/>
        <v>0</v>
      </c>
      <c r="L269" s="16">
        <f t="shared" si="37"/>
        <v>100</v>
      </c>
      <c r="M269" s="16">
        <f t="shared" si="37"/>
        <v>0</v>
      </c>
      <c r="N269" s="16">
        <f t="shared" si="37"/>
        <v>3</v>
      </c>
      <c r="O269" s="16">
        <f t="shared" si="37"/>
        <v>360</v>
      </c>
      <c r="P269" s="16">
        <f t="shared" si="37"/>
        <v>7</v>
      </c>
      <c r="Q269" s="16">
        <f t="shared" si="37"/>
        <v>2</v>
      </c>
      <c r="R269" s="16">
        <f t="shared" si="36"/>
        <v>20</v>
      </c>
      <c r="S269" s="16">
        <f t="shared" si="36"/>
        <v>0</v>
      </c>
      <c r="T269" s="16">
        <f t="shared" si="36"/>
        <v>0</v>
      </c>
      <c r="U269" s="16">
        <f t="shared" si="36"/>
        <v>0</v>
      </c>
      <c r="V269" s="16">
        <f t="shared" si="36"/>
        <v>0</v>
      </c>
      <c r="W269" s="16">
        <f t="shared" si="36"/>
        <v>1</v>
      </c>
      <c r="X269" s="16" t="str">
        <f t="shared" si="36"/>
        <v>null</v>
      </c>
    </row>
    <row r="270" spans="1:24" x14ac:dyDescent="0.15">
      <c r="A270" s="20" t="str">
        <f t="shared" si="38"/>
        <v>23_4-4/362&lt;lv48&gt;s3</v>
      </c>
      <c r="B270" s="16">
        <f t="shared" si="37"/>
        <v>23</v>
      </c>
      <c r="C270" s="16">
        <f t="shared" si="37"/>
        <v>4</v>
      </c>
      <c r="D270" s="16">
        <f t="shared" si="37"/>
        <v>4</v>
      </c>
      <c r="E270" s="16">
        <f t="shared" si="37"/>
        <v>362</v>
      </c>
      <c r="F270" s="16">
        <f t="shared" si="37"/>
        <v>48</v>
      </c>
      <c r="G270" s="16">
        <f t="shared" si="37"/>
        <v>1.1000000000000001</v>
      </c>
      <c r="H270" s="16">
        <f t="shared" si="37"/>
        <v>1</v>
      </c>
      <c r="I270" s="16">
        <f t="shared" si="37"/>
        <v>0</v>
      </c>
      <c r="J270" s="16">
        <f t="shared" si="37"/>
        <v>362</v>
      </c>
      <c r="K270" s="16">
        <f t="shared" si="37"/>
        <v>0</v>
      </c>
      <c r="L270" s="16">
        <f t="shared" si="37"/>
        <v>100</v>
      </c>
      <c r="M270" s="16">
        <f t="shared" si="37"/>
        <v>0</v>
      </c>
      <c r="N270" s="16">
        <f t="shared" si="37"/>
        <v>3</v>
      </c>
      <c r="O270" s="16">
        <f t="shared" si="37"/>
        <v>362</v>
      </c>
      <c r="P270" s="16">
        <f t="shared" si="37"/>
        <v>7</v>
      </c>
      <c r="Q270" s="16">
        <f t="shared" ref="Q270:W285" si="39">VLOOKUP($A270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70" s="16">
        <f t="shared" si="39"/>
        <v>20</v>
      </c>
      <c r="S270" s="16">
        <f t="shared" si="39"/>
        <v>0</v>
      </c>
      <c r="T270" s="16">
        <f t="shared" si="39"/>
        <v>0</v>
      </c>
      <c r="U270" s="16">
        <f t="shared" si="39"/>
        <v>0</v>
      </c>
      <c r="V270" s="16">
        <f t="shared" si="39"/>
        <v>0</v>
      </c>
      <c r="W270" s="16">
        <f t="shared" si="39"/>
        <v>1</v>
      </c>
      <c r="X270" s="16" t="str">
        <f t="shared" si="36"/>
        <v>null</v>
      </c>
    </row>
    <row r="271" spans="1:24" x14ac:dyDescent="0.15">
      <c r="A271" s="20" t="str">
        <f t="shared" si="38"/>
        <v>23_4-4/348&lt;lv46&gt;s3</v>
      </c>
      <c r="B271" s="16">
        <f t="shared" ref="B271:Q286" si="40">VLOOKUP($A271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271" s="16">
        <f t="shared" si="40"/>
        <v>4</v>
      </c>
      <c r="D271" s="16">
        <f t="shared" si="40"/>
        <v>4</v>
      </c>
      <c r="E271" s="16">
        <f t="shared" si="40"/>
        <v>348</v>
      </c>
      <c r="F271" s="16">
        <f t="shared" si="40"/>
        <v>46</v>
      </c>
      <c r="G271" s="16">
        <f t="shared" si="40"/>
        <v>1</v>
      </c>
      <c r="H271" s="16">
        <f t="shared" si="40"/>
        <v>1</v>
      </c>
      <c r="I271" s="16">
        <f t="shared" si="40"/>
        <v>0</v>
      </c>
      <c r="J271" s="16">
        <f t="shared" si="40"/>
        <v>348</v>
      </c>
      <c r="K271" s="16">
        <f t="shared" si="40"/>
        <v>0</v>
      </c>
      <c r="L271" s="16">
        <f t="shared" si="40"/>
        <v>100</v>
      </c>
      <c r="M271" s="16">
        <f t="shared" si="40"/>
        <v>0</v>
      </c>
      <c r="N271" s="16">
        <f t="shared" si="40"/>
        <v>3</v>
      </c>
      <c r="O271" s="16">
        <f t="shared" si="40"/>
        <v>348</v>
      </c>
      <c r="P271" s="16">
        <f t="shared" si="40"/>
        <v>1</v>
      </c>
      <c r="Q271" s="16">
        <f t="shared" si="40"/>
        <v>2</v>
      </c>
      <c r="R271" s="16">
        <f t="shared" si="39"/>
        <v>32</v>
      </c>
      <c r="S271" s="16">
        <f t="shared" si="39"/>
        <v>0</v>
      </c>
      <c r="T271" s="16">
        <f t="shared" si="39"/>
        <v>0</v>
      </c>
      <c r="U271" s="16">
        <f t="shared" si="39"/>
        <v>0</v>
      </c>
      <c r="V271" s="16">
        <f t="shared" si="39"/>
        <v>0</v>
      </c>
      <c r="W271" s="16">
        <f t="shared" si="39"/>
        <v>1</v>
      </c>
      <c r="X271" s="16" t="str">
        <f t="shared" si="36"/>
        <v>null</v>
      </c>
    </row>
    <row r="272" spans="1:24" x14ac:dyDescent="0.15">
      <c r="A272" s="20" t="str">
        <f t="shared" si="38"/>
        <v>23_4-5/182&lt;lv48&gt;s2</v>
      </c>
      <c r="B272" s="16">
        <f t="shared" si="40"/>
        <v>23</v>
      </c>
      <c r="C272" s="16">
        <f t="shared" si="40"/>
        <v>4</v>
      </c>
      <c r="D272" s="16">
        <f t="shared" si="40"/>
        <v>5</v>
      </c>
      <c r="E272" s="16">
        <f t="shared" si="40"/>
        <v>182</v>
      </c>
      <c r="F272" s="16">
        <f t="shared" si="40"/>
        <v>48</v>
      </c>
      <c r="G272" s="16">
        <f t="shared" si="40"/>
        <v>0.9</v>
      </c>
      <c r="H272" s="16">
        <f t="shared" si="40"/>
        <v>1.1000000000000001</v>
      </c>
      <c r="I272" s="16">
        <f t="shared" si="40"/>
        <v>0</v>
      </c>
      <c r="J272" s="16">
        <f t="shared" si="40"/>
        <v>18201</v>
      </c>
      <c r="K272" s="16">
        <f t="shared" si="40"/>
        <v>1</v>
      </c>
      <c r="L272" s="16">
        <f t="shared" si="40"/>
        <v>100</v>
      </c>
      <c r="M272" s="16">
        <f t="shared" si="40"/>
        <v>1</v>
      </c>
      <c r="N272" s="16">
        <f t="shared" si="40"/>
        <v>2</v>
      </c>
      <c r="O272" s="16">
        <f t="shared" si="40"/>
        <v>181</v>
      </c>
      <c r="P272" s="16">
        <f t="shared" si="40"/>
        <v>1</v>
      </c>
      <c r="Q272" s="16">
        <f t="shared" si="40"/>
        <v>3</v>
      </c>
      <c r="R272" s="16">
        <f t="shared" si="39"/>
        <v>0</v>
      </c>
      <c r="S272" s="16">
        <f t="shared" si="39"/>
        <v>0</v>
      </c>
      <c r="T272" s="16">
        <f t="shared" si="39"/>
        <v>0</v>
      </c>
      <c r="U272" s="16">
        <f t="shared" si="39"/>
        <v>0</v>
      </c>
      <c r="V272" s="16">
        <f t="shared" si="39"/>
        <v>0</v>
      </c>
      <c r="W272" s="16">
        <f t="shared" si="39"/>
        <v>1</v>
      </c>
      <c r="X272" s="16" t="str">
        <f t="shared" si="36"/>
        <v>null</v>
      </c>
    </row>
    <row r="273" spans="1:24" x14ac:dyDescent="0.15">
      <c r="A273" s="20" t="str">
        <f t="shared" si="38"/>
        <v>23_4-5/230&lt;lv48&gt;s5</v>
      </c>
      <c r="B273" s="16">
        <f t="shared" si="40"/>
        <v>23</v>
      </c>
      <c r="C273" s="16">
        <f t="shared" si="40"/>
        <v>4</v>
      </c>
      <c r="D273" s="16">
        <f t="shared" si="40"/>
        <v>5</v>
      </c>
      <c r="E273" s="16">
        <f t="shared" si="40"/>
        <v>230</v>
      </c>
      <c r="F273" s="16">
        <f t="shared" si="40"/>
        <v>48</v>
      </c>
      <c r="G273" s="16">
        <f t="shared" si="40"/>
        <v>0.9</v>
      </c>
      <c r="H273" s="16">
        <f t="shared" si="40"/>
        <v>0.9</v>
      </c>
      <c r="I273" s="16">
        <f t="shared" si="40"/>
        <v>0</v>
      </c>
      <c r="J273" s="16">
        <f t="shared" si="40"/>
        <v>230</v>
      </c>
      <c r="K273" s="16">
        <f t="shared" si="40"/>
        <v>1</v>
      </c>
      <c r="L273" s="16">
        <f t="shared" si="40"/>
        <v>100</v>
      </c>
      <c r="M273" s="16">
        <f t="shared" si="40"/>
        <v>1</v>
      </c>
      <c r="N273" s="16">
        <f t="shared" si="40"/>
        <v>5</v>
      </c>
      <c r="O273" s="16">
        <f t="shared" si="40"/>
        <v>229</v>
      </c>
      <c r="P273" s="16">
        <f t="shared" si="40"/>
        <v>1</v>
      </c>
      <c r="Q273" s="16">
        <f t="shared" si="40"/>
        <v>3</v>
      </c>
      <c r="R273" s="16">
        <f t="shared" si="39"/>
        <v>0</v>
      </c>
      <c r="S273" s="16">
        <f t="shared" si="39"/>
        <v>0</v>
      </c>
      <c r="T273" s="16">
        <f t="shared" si="39"/>
        <v>0</v>
      </c>
      <c r="U273" s="16">
        <f t="shared" si="39"/>
        <v>0</v>
      </c>
      <c r="V273" s="16">
        <f t="shared" si="39"/>
        <v>0</v>
      </c>
      <c r="W273" s="16">
        <f t="shared" si="39"/>
        <v>1</v>
      </c>
      <c r="X273" s="16" t="str">
        <f t="shared" si="36"/>
        <v>null</v>
      </c>
    </row>
    <row r="274" spans="1:24" x14ac:dyDescent="0.15">
      <c r="A274" s="20" t="str">
        <f t="shared" si="38"/>
        <v>23_5-1/9&lt;lv48&gt;s2</v>
      </c>
      <c r="B274" s="16">
        <f t="shared" si="40"/>
        <v>23</v>
      </c>
      <c r="C274" s="16">
        <f t="shared" si="40"/>
        <v>5</v>
      </c>
      <c r="D274" s="16">
        <f t="shared" si="40"/>
        <v>1</v>
      </c>
      <c r="E274" s="16">
        <f t="shared" si="40"/>
        <v>9</v>
      </c>
      <c r="F274" s="16">
        <f t="shared" si="40"/>
        <v>48</v>
      </c>
      <c r="G274" s="16">
        <f t="shared" si="40"/>
        <v>1</v>
      </c>
      <c r="H274" s="16">
        <f t="shared" si="40"/>
        <v>1</v>
      </c>
      <c r="I274" s="16">
        <f t="shared" si="40"/>
        <v>0</v>
      </c>
      <c r="J274" s="16">
        <f t="shared" si="40"/>
        <v>0</v>
      </c>
      <c r="K274" s="16">
        <f t="shared" si="40"/>
        <v>0</v>
      </c>
      <c r="L274" s="16">
        <f t="shared" si="40"/>
        <v>100</v>
      </c>
      <c r="M274" s="16">
        <f t="shared" si="40"/>
        <v>0</v>
      </c>
      <c r="N274" s="16">
        <f t="shared" si="40"/>
        <v>2</v>
      </c>
      <c r="O274" s="16">
        <f t="shared" si="40"/>
        <v>9</v>
      </c>
      <c r="P274" s="16">
        <f t="shared" si="40"/>
        <v>9</v>
      </c>
      <c r="Q274" s="16">
        <f t="shared" si="40"/>
        <v>1</v>
      </c>
      <c r="R274" s="16">
        <f t="shared" si="39"/>
        <v>15</v>
      </c>
      <c r="S274" s="16">
        <f t="shared" si="39"/>
        <v>0</v>
      </c>
      <c r="T274" s="16">
        <f t="shared" si="39"/>
        <v>0</v>
      </c>
      <c r="U274" s="16">
        <f t="shared" si="39"/>
        <v>0</v>
      </c>
      <c r="V274" s="16">
        <f t="shared" si="39"/>
        <v>0</v>
      </c>
      <c r="W274" s="16">
        <f t="shared" si="39"/>
        <v>1</v>
      </c>
      <c r="X274" s="16" t="str">
        <f t="shared" si="36"/>
        <v>null</v>
      </c>
    </row>
    <row r="275" spans="1:24" x14ac:dyDescent="0.15">
      <c r="A275" s="20" t="str">
        <f t="shared" si="38"/>
        <v>23_5-1/33&lt;lv48&gt;s2</v>
      </c>
      <c r="B275" s="16">
        <f t="shared" si="40"/>
        <v>23</v>
      </c>
      <c r="C275" s="16">
        <f t="shared" si="40"/>
        <v>5</v>
      </c>
      <c r="D275" s="16">
        <f t="shared" si="40"/>
        <v>1</v>
      </c>
      <c r="E275" s="16">
        <f t="shared" si="40"/>
        <v>33</v>
      </c>
      <c r="F275" s="16">
        <f t="shared" si="40"/>
        <v>48</v>
      </c>
      <c r="G275" s="16">
        <f t="shared" si="40"/>
        <v>1</v>
      </c>
      <c r="H275" s="16">
        <f t="shared" si="40"/>
        <v>1</v>
      </c>
      <c r="I275" s="16">
        <f t="shared" si="40"/>
        <v>0</v>
      </c>
      <c r="J275" s="16">
        <f t="shared" si="40"/>
        <v>33</v>
      </c>
      <c r="K275" s="16">
        <f t="shared" si="40"/>
        <v>0</v>
      </c>
      <c r="L275" s="16">
        <f t="shared" si="40"/>
        <v>100</v>
      </c>
      <c r="M275" s="16">
        <f t="shared" si="40"/>
        <v>0</v>
      </c>
      <c r="N275" s="16">
        <f t="shared" si="40"/>
        <v>2</v>
      </c>
      <c r="O275" s="16">
        <f t="shared" si="40"/>
        <v>33</v>
      </c>
      <c r="P275" s="16">
        <f t="shared" si="40"/>
        <v>5</v>
      </c>
      <c r="Q275" s="16">
        <f t="shared" si="40"/>
        <v>2</v>
      </c>
      <c r="R275" s="16">
        <f t="shared" si="39"/>
        <v>20</v>
      </c>
      <c r="S275" s="16">
        <f t="shared" si="39"/>
        <v>0</v>
      </c>
      <c r="T275" s="16">
        <f t="shared" si="39"/>
        <v>0</v>
      </c>
      <c r="U275" s="16">
        <f t="shared" si="39"/>
        <v>0</v>
      </c>
      <c r="V275" s="16">
        <f t="shared" si="39"/>
        <v>0</v>
      </c>
      <c r="W275" s="16">
        <f t="shared" si="39"/>
        <v>1</v>
      </c>
      <c r="X275" s="16" t="str">
        <f t="shared" si="36"/>
        <v>null</v>
      </c>
    </row>
    <row r="276" spans="1:24" x14ac:dyDescent="0.15">
      <c r="A276" s="20" t="str">
        <f t="shared" si="38"/>
        <v>23_5-1/57&lt;lv48&gt;s2</v>
      </c>
      <c r="B276" s="16">
        <f t="shared" si="40"/>
        <v>23</v>
      </c>
      <c r="C276" s="16">
        <f t="shared" si="40"/>
        <v>5</v>
      </c>
      <c r="D276" s="16">
        <f t="shared" si="40"/>
        <v>1</v>
      </c>
      <c r="E276" s="16">
        <f t="shared" si="40"/>
        <v>57</v>
      </c>
      <c r="F276" s="16">
        <f t="shared" si="40"/>
        <v>48</v>
      </c>
      <c r="G276" s="16">
        <f t="shared" si="40"/>
        <v>1</v>
      </c>
      <c r="H276" s="16">
        <f t="shared" si="40"/>
        <v>1</v>
      </c>
      <c r="I276" s="16">
        <f t="shared" si="40"/>
        <v>0</v>
      </c>
      <c r="J276" s="16">
        <f t="shared" si="40"/>
        <v>57</v>
      </c>
      <c r="K276" s="16">
        <f t="shared" si="40"/>
        <v>0</v>
      </c>
      <c r="L276" s="16">
        <f t="shared" si="40"/>
        <v>100</v>
      </c>
      <c r="M276" s="16">
        <f t="shared" si="40"/>
        <v>0</v>
      </c>
      <c r="N276" s="16">
        <f t="shared" si="40"/>
        <v>2</v>
      </c>
      <c r="O276" s="16">
        <f t="shared" si="40"/>
        <v>57</v>
      </c>
      <c r="P276" s="16">
        <f t="shared" si="40"/>
        <v>7</v>
      </c>
      <c r="Q276" s="16">
        <f t="shared" si="40"/>
        <v>2</v>
      </c>
      <c r="R276" s="16">
        <f t="shared" si="39"/>
        <v>20</v>
      </c>
      <c r="S276" s="16">
        <f t="shared" si="39"/>
        <v>0</v>
      </c>
      <c r="T276" s="16">
        <f t="shared" si="39"/>
        <v>0</v>
      </c>
      <c r="U276" s="16">
        <f t="shared" si="39"/>
        <v>0</v>
      </c>
      <c r="V276" s="16">
        <f t="shared" si="39"/>
        <v>0</v>
      </c>
      <c r="W276" s="16">
        <f t="shared" si="39"/>
        <v>1</v>
      </c>
      <c r="X276" s="16" t="str">
        <f t="shared" si="36"/>
        <v>null</v>
      </c>
    </row>
    <row r="277" spans="1:24" x14ac:dyDescent="0.15">
      <c r="A277" s="20" t="str">
        <f t="shared" si="38"/>
        <v>23_5-1/21&lt;lv48&gt;s2</v>
      </c>
      <c r="B277" s="16">
        <f t="shared" si="40"/>
        <v>23</v>
      </c>
      <c r="C277" s="16">
        <f t="shared" si="40"/>
        <v>5</v>
      </c>
      <c r="D277" s="16">
        <f t="shared" si="40"/>
        <v>1</v>
      </c>
      <c r="E277" s="16">
        <f t="shared" si="40"/>
        <v>21</v>
      </c>
      <c r="F277" s="16">
        <f t="shared" si="40"/>
        <v>48</v>
      </c>
      <c r="G277" s="16">
        <f t="shared" si="40"/>
        <v>1</v>
      </c>
      <c r="H277" s="16">
        <f t="shared" si="40"/>
        <v>1</v>
      </c>
      <c r="I277" s="16">
        <f t="shared" si="40"/>
        <v>0</v>
      </c>
      <c r="J277" s="16">
        <f t="shared" si="40"/>
        <v>0</v>
      </c>
      <c r="K277" s="16">
        <f t="shared" si="40"/>
        <v>0</v>
      </c>
      <c r="L277" s="16">
        <f t="shared" si="40"/>
        <v>100</v>
      </c>
      <c r="M277" s="16">
        <f t="shared" si="40"/>
        <v>0</v>
      </c>
      <c r="N277" s="16">
        <f t="shared" si="40"/>
        <v>2</v>
      </c>
      <c r="O277" s="16">
        <f t="shared" si="40"/>
        <v>21</v>
      </c>
      <c r="P277" s="16">
        <f t="shared" si="40"/>
        <v>7</v>
      </c>
      <c r="Q277" s="16">
        <f t="shared" si="40"/>
        <v>1</v>
      </c>
      <c r="R277" s="16">
        <f t="shared" si="39"/>
        <v>15</v>
      </c>
      <c r="S277" s="16">
        <f t="shared" si="39"/>
        <v>0</v>
      </c>
      <c r="T277" s="16">
        <f t="shared" si="39"/>
        <v>0</v>
      </c>
      <c r="U277" s="16">
        <f t="shared" si="39"/>
        <v>0</v>
      </c>
      <c r="V277" s="16">
        <f t="shared" si="39"/>
        <v>0</v>
      </c>
      <c r="W277" s="16">
        <f t="shared" si="39"/>
        <v>1</v>
      </c>
      <c r="X277" s="16" t="str">
        <f t="shared" si="36"/>
        <v>null</v>
      </c>
    </row>
    <row r="278" spans="1:24" x14ac:dyDescent="0.15">
      <c r="A278" s="20" t="str">
        <f t="shared" si="38"/>
        <v>23_5-1/41&lt;lv48&gt;s1</v>
      </c>
      <c r="B278" s="16">
        <f t="shared" si="40"/>
        <v>23</v>
      </c>
      <c r="C278" s="16">
        <f t="shared" si="40"/>
        <v>5</v>
      </c>
      <c r="D278" s="16">
        <f t="shared" si="40"/>
        <v>1</v>
      </c>
      <c r="E278" s="16">
        <f t="shared" si="40"/>
        <v>41</v>
      </c>
      <c r="F278" s="16">
        <f t="shared" si="40"/>
        <v>48</v>
      </c>
      <c r="G278" s="16">
        <f t="shared" si="40"/>
        <v>1</v>
      </c>
      <c r="H278" s="16">
        <f t="shared" si="40"/>
        <v>1</v>
      </c>
      <c r="I278" s="16">
        <f t="shared" si="40"/>
        <v>0</v>
      </c>
      <c r="J278" s="16">
        <f t="shared" si="40"/>
        <v>0</v>
      </c>
      <c r="K278" s="16">
        <f t="shared" si="40"/>
        <v>0</v>
      </c>
      <c r="L278" s="16">
        <f t="shared" si="40"/>
        <v>100</v>
      </c>
      <c r="M278" s="16">
        <f t="shared" si="40"/>
        <v>0</v>
      </c>
      <c r="N278" s="16">
        <f t="shared" si="40"/>
        <v>1</v>
      </c>
      <c r="O278" s="16">
        <f t="shared" si="40"/>
        <v>41</v>
      </c>
      <c r="P278" s="16">
        <f t="shared" si="40"/>
        <v>7</v>
      </c>
      <c r="Q278" s="16">
        <f t="shared" si="40"/>
        <v>2</v>
      </c>
      <c r="R278" s="16">
        <f t="shared" si="39"/>
        <v>20</v>
      </c>
      <c r="S278" s="16">
        <f t="shared" si="39"/>
        <v>0</v>
      </c>
      <c r="T278" s="16">
        <f t="shared" si="39"/>
        <v>0</v>
      </c>
      <c r="U278" s="16">
        <f t="shared" si="39"/>
        <v>0</v>
      </c>
      <c r="V278" s="16">
        <f t="shared" si="39"/>
        <v>0</v>
      </c>
      <c r="W278" s="16">
        <f t="shared" si="39"/>
        <v>1</v>
      </c>
      <c r="X278" s="16" t="str">
        <f t="shared" si="36"/>
        <v>null</v>
      </c>
    </row>
    <row r="279" spans="1:24" x14ac:dyDescent="0.15">
      <c r="A279" s="20" t="str">
        <f t="shared" si="38"/>
        <v>23_5-1/360&lt;lv48&gt;s3</v>
      </c>
      <c r="B279" s="16">
        <f t="shared" si="40"/>
        <v>23</v>
      </c>
      <c r="C279" s="16">
        <f t="shared" si="40"/>
        <v>5</v>
      </c>
      <c r="D279" s="16">
        <f t="shared" si="40"/>
        <v>1</v>
      </c>
      <c r="E279" s="16">
        <f t="shared" si="40"/>
        <v>360</v>
      </c>
      <c r="F279" s="16">
        <f t="shared" si="40"/>
        <v>48</v>
      </c>
      <c r="G279" s="16">
        <f t="shared" si="40"/>
        <v>1</v>
      </c>
      <c r="H279" s="16">
        <f t="shared" si="40"/>
        <v>1</v>
      </c>
      <c r="I279" s="16">
        <f t="shared" si="40"/>
        <v>0</v>
      </c>
      <c r="J279" s="16">
        <f t="shared" si="40"/>
        <v>360</v>
      </c>
      <c r="K279" s="16">
        <f t="shared" si="40"/>
        <v>0</v>
      </c>
      <c r="L279" s="16">
        <f t="shared" si="40"/>
        <v>100</v>
      </c>
      <c r="M279" s="16">
        <f t="shared" si="40"/>
        <v>0</v>
      </c>
      <c r="N279" s="16">
        <f t="shared" si="40"/>
        <v>3</v>
      </c>
      <c r="O279" s="16">
        <f t="shared" si="40"/>
        <v>360</v>
      </c>
      <c r="P279" s="16">
        <f t="shared" si="40"/>
        <v>7</v>
      </c>
      <c r="Q279" s="16">
        <f t="shared" si="40"/>
        <v>2</v>
      </c>
      <c r="R279" s="16">
        <f t="shared" si="39"/>
        <v>20</v>
      </c>
      <c r="S279" s="16">
        <f t="shared" si="39"/>
        <v>0</v>
      </c>
      <c r="T279" s="16">
        <f t="shared" si="39"/>
        <v>0</v>
      </c>
      <c r="U279" s="16">
        <f t="shared" si="39"/>
        <v>0</v>
      </c>
      <c r="V279" s="16">
        <f t="shared" si="39"/>
        <v>0</v>
      </c>
      <c r="W279" s="16">
        <f t="shared" si="39"/>
        <v>1</v>
      </c>
      <c r="X279" s="16" t="str">
        <f t="shared" si="36"/>
        <v>null</v>
      </c>
    </row>
    <row r="280" spans="1:24" x14ac:dyDescent="0.15">
      <c r="A280" s="20" t="str">
        <f t="shared" si="38"/>
        <v>23_5-1/348&lt;lv48&gt;s3</v>
      </c>
      <c r="B280" s="16">
        <f t="shared" si="40"/>
        <v>23</v>
      </c>
      <c r="C280" s="16">
        <f t="shared" si="40"/>
        <v>5</v>
      </c>
      <c r="D280" s="16">
        <f t="shared" si="40"/>
        <v>1</v>
      </c>
      <c r="E280" s="16">
        <f t="shared" si="40"/>
        <v>348</v>
      </c>
      <c r="F280" s="16">
        <f t="shared" si="40"/>
        <v>48</v>
      </c>
      <c r="G280" s="16">
        <f t="shared" si="40"/>
        <v>1</v>
      </c>
      <c r="H280" s="16">
        <f t="shared" si="40"/>
        <v>1</v>
      </c>
      <c r="I280" s="16">
        <f t="shared" si="40"/>
        <v>0</v>
      </c>
      <c r="J280" s="16">
        <f t="shared" si="40"/>
        <v>348</v>
      </c>
      <c r="K280" s="16">
        <f t="shared" si="40"/>
        <v>0</v>
      </c>
      <c r="L280" s="16">
        <f t="shared" si="40"/>
        <v>100</v>
      </c>
      <c r="M280" s="16">
        <f t="shared" si="40"/>
        <v>0</v>
      </c>
      <c r="N280" s="16">
        <f t="shared" si="40"/>
        <v>3</v>
      </c>
      <c r="O280" s="16">
        <f t="shared" si="40"/>
        <v>348</v>
      </c>
      <c r="P280" s="16">
        <f t="shared" si="40"/>
        <v>1</v>
      </c>
      <c r="Q280" s="16">
        <f t="shared" si="40"/>
        <v>2</v>
      </c>
      <c r="R280" s="16">
        <f t="shared" si="39"/>
        <v>40</v>
      </c>
      <c r="S280" s="16">
        <f t="shared" si="39"/>
        <v>0</v>
      </c>
      <c r="T280" s="16">
        <f t="shared" si="39"/>
        <v>0</v>
      </c>
      <c r="U280" s="16">
        <f t="shared" si="39"/>
        <v>0</v>
      </c>
      <c r="V280" s="16">
        <f t="shared" si="39"/>
        <v>0</v>
      </c>
      <c r="W280" s="16">
        <f t="shared" si="39"/>
        <v>1</v>
      </c>
      <c r="X280" s="16" t="str">
        <f t="shared" si="36"/>
        <v>null</v>
      </c>
    </row>
    <row r="281" spans="1:24" x14ac:dyDescent="0.15">
      <c r="A281" s="20" t="str">
        <f t="shared" si="38"/>
        <v>23_5-2/11&lt;lv50&gt;s3</v>
      </c>
      <c r="B281" s="16">
        <f t="shared" si="40"/>
        <v>23</v>
      </c>
      <c r="C281" s="16">
        <f t="shared" si="40"/>
        <v>5</v>
      </c>
      <c r="D281" s="16">
        <f t="shared" si="40"/>
        <v>2</v>
      </c>
      <c r="E281" s="16">
        <f t="shared" si="40"/>
        <v>11</v>
      </c>
      <c r="F281" s="16">
        <f t="shared" si="40"/>
        <v>50</v>
      </c>
      <c r="G281" s="16">
        <f t="shared" si="40"/>
        <v>1.1000000000000001</v>
      </c>
      <c r="H281" s="16">
        <f t="shared" si="40"/>
        <v>1</v>
      </c>
      <c r="I281" s="16">
        <f t="shared" si="40"/>
        <v>0</v>
      </c>
      <c r="J281" s="16">
        <f t="shared" si="40"/>
        <v>0</v>
      </c>
      <c r="K281" s="16">
        <f t="shared" si="40"/>
        <v>0</v>
      </c>
      <c r="L281" s="16">
        <f t="shared" si="40"/>
        <v>100</v>
      </c>
      <c r="M281" s="16">
        <f t="shared" si="40"/>
        <v>0</v>
      </c>
      <c r="N281" s="16">
        <f t="shared" si="40"/>
        <v>3</v>
      </c>
      <c r="O281" s="16">
        <f t="shared" si="40"/>
        <v>11</v>
      </c>
      <c r="P281" s="16">
        <f t="shared" si="40"/>
        <v>9</v>
      </c>
      <c r="Q281" s="16">
        <f t="shared" si="40"/>
        <v>1</v>
      </c>
      <c r="R281" s="16">
        <f t="shared" si="39"/>
        <v>15</v>
      </c>
      <c r="S281" s="16">
        <f t="shared" si="39"/>
        <v>0</v>
      </c>
      <c r="T281" s="16">
        <f t="shared" si="39"/>
        <v>0</v>
      </c>
      <c r="U281" s="16">
        <f t="shared" si="39"/>
        <v>0</v>
      </c>
      <c r="V281" s="16">
        <f t="shared" si="39"/>
        <v>0</v>
      </c>
      <c r="W281" s="16">
        <f t="shared" si="39"/>
        <v>1</v>
      </c>
      <c r="X281" s="16" t="str">
        <f t="shared" si="36"/>
        <v>null</v>
      </c>
    </row>
    <row r="282" spans="1:24" x14ac:dyDescent="0.15">
      <c r="A282" s="20" t="str">
        <f t="shared" si="38"/>
        <v>23_5-2/23&lt;lv50&gt;s4</v>
      </c>
      <c r="B282" s="16">
        <f t="shared" si="40"/>
        <v>23</v>
      </c>
      <c r="C282" s="16">
        <f t="shared" si="40"/>
        <v>5</v>
      </c>
      <c r="D282" s="16">
        <f t="shared" si="40"/>
        <v>2</v>
      </c>
      <c r="E282" s="16">
        <f t="shared" si="40"/>
        <v>23</v>
      </c>
      <c r="F282" s="16">
        <f t="shared" si="40"/>
        <v>50</v>
      </c>
      <c r="G282" s="16">
        <f t="shared" si="40"/>
        <v>1.1000000000000001</v>
      </c>
      <c r="H282" s="16">
        <f t="shared" si="40"/>
        <v>1</v>
      </c>
      <c r="I282" s="16">
        <f t="shared" si="40"/>
        <v>0</v>
      </c>
      <c r="J282" s="16">
        <f t="shared" si="40"/>
        <v>0</v>
      </c>
      <c r="K282" s="16">
        <f t="shared" si="40"/>
        <v>0</v>
      </c>
      <c r="L282" s="16">
        <f t="shared" si="40"/>
        <v>100</v>
      </c>
      <c r="M282" s="16">
        <f t="shared" si="40"/>
        <v>0</v>
      </c>
      <c r="N282" s="16">
        <f t="shared" si="40"/>
        <v>4</v>
      </c>
      <c r="O282" s="16">
        <f t="shared" si="40"/>
        <v>23</v>
      </c>
      <c r="P282" s="16">
        <f t="shared" si="40"/>
        <v>7</v>
      </c>
      <c r="Q282" s="16">
        <f t="shared" si="40"/>
        <v>1</v>
      </c>
      <c r="R282" s="16">
        <f t="shared" si="39"/>
        <v>15</v>
      </c>
      <c r="S282" s="16">
        <f t="shared" si="39"/>
        <v>0</v>
      </c>
      <c r="T282" s="16">
        <f t="shared" si="39"/>
        <v>0</v>
      </c>
      <c r="U282" s="16">
        <f t="shared" si="39"/>
        <v>0</v>
      </c>
      <c r="V282" s="16">
        <f t="shared" si="39"/>
        <v>0</v>
      </c>
      <c r="W282" s="16">
        <f t="shared" si="39"/>
        <v>1</v>
      </c>
      <c r="X282" s="16" t="str">
        <f t="shared" si="36"/>
        <v>null</v>
      </c>
    </row>
    <row r="283" spans="1:24" x14ac:dyDescent="0.15">
      <c r="A283" s="20" t="str">
        <f t="shared" si="38"/>
        <v>23_5-2/59&lt;lv50&gt;s2</v>
      </c>
      <c r="B283" s="16">
        <f t="shared" si="40"/>
        <v>23</v>
      </c>
      <c r="C283" s="16">
        <f t="shared" si="40"/>
        <v>5</v>
      </c>
      <c r="D283" s="16">
        <f t="shared" si="40"/>
        <v>2</v>
      </c>
      <c r="E283" s="16">
        <f t="shared" si="40"/>
        <v>59</v>
      </c>
      <c r="F283" s="16">
        <f t="shared" si="40"/>
        <v>50</v>
      </c>
      <c r="G283" s="16">
        <f t="shared" si="40"/>
        <v>1.1000000000000001</v>
      </c>
      <c r="H283" s="16">
        <f t="shared" si="40"/>
        <v>1</v>
      </c>
      <c r="I283" s="16">
        <f t="shared" si="40"/>
        <v>0</v>
      </c>
      <c r="J283" s="16">
        <f t="shared" si="40"/>
        <v>59</v>
      </c>
      <c r="K283" s="16">
        <f t="shared" si="40"/>
        <v>0</v>
      </c>
      <c r="L283" s="16">
        <f t="shared" si="40"/>
        <v>100</v>
      </c>
      <c r="M283" s="16">
        <f t="shared" si="40"/>
        <v>0</v>
      </c>
      <c r="N283" s="16">
        <f t="shared" si="40"/>
        <v>2</v>
      </c>
      <c r="O283" s="16">
        <f t="shared" si="40"/>
        <v>59</v>
      </c>
      <c r="P283" s="16">
        <f t="shared" si="40"/>
        <v>7</v>
      </c>
      <c r="Q283" s="16">
        <f t="shared" si="40"/>
        <v>2</v>
      </c>
      <c r="R283" s="16">
        <f t="shared" si="39"/>
        <v>20</v>
      </c>
      <c r="S283" s="16">
        <f t="shared" si="39"/>
        <v>0</v>
      </c>
      <c r="T283" s="16">
        <f t="shared" si="39"/>
        <v>0</v>
      </c>
      <c r="U283" s="16">
        <f t="shared" si="39"/>
        <v>0</v>
      </c>
      <c r="V283" s="16">
        <f t="shared" si="39"/>
        <v>0</v>
      </c>
      <c r="W283" s="16">
        <f t="shared" si="39"/>
        <v>1</v>
      </c>
      <c r="X283" s="16" t="str">
        <f t="shared" si="36"/>
        <v>null</v>
      </c>
    </row>
    <row r="284" spans="1:24" x14ac:dyDescent="0.15">
      <c r="A284" s="20" t="str">
        <f t="shared" si="38"/>
        <v>23_5-2/43&lt;lv50&gt;s2</v>
      </c>
      <c r="B284" s="16">
        <f t="shared" si="40"/>
        <v>23</v>
      </c>
      <c r="C284" s="16">
        <f t="shared" si="40"/>
        <v>5</v>
      </c>
      <c r="D284" s="16">
        <f t="shared" si="40"/>
        <v>2</v>
      </c>
      <c r="E284" s="16">
        <f t="shared" si="40"/>
        <v>43</v>
      </c>
      <c r="F284" s="16">
        <f t="shared" si="40"/>
        <v>50</v>
      </c>
      <c r="G284" s="16">
        <f t="shared" si="40"/>
        <v>1.1000000000000001</v>
      </c>
      <c r="H284" s="16">
        <f t="shared" si="40"/>
        <v>1</v>
      </c>
      <c r="I284" s="16">
        <f t="shared" si="40"/>
        <v>0</v>
      </c>
      <c r="J284" s="16">
        <f t="shared" si="40"/>
        <v>0</v>
      </c>
      <c r="K284" s="16">
        <f t="shared" si="40"/>
        <v>0</v>
      </c>
      <c r="L284" s="16">
        <f t="shared" si="40"/>
        <v>100</v>
      </c>
      <c r="M284" s="16">
        <f t="shared" si="40"/>
        <v>0</v>
      </c>
      <c r="N284" s="16">
        <f t="shared" si="40"/>
        <v>2</v>
      </c>
      <c r="O284" s="16">
        <f t="shared" si="40"/>
        <v>43</v>
      </c>
      <c r="P284" s="16">
        <f t="shared" si="40"/>
        <v>7</v>
      </c>
      <c r="Q284" s="16">
        <f t="shared" si="40"/>
        <v>2</v>
      </c>
      <c r="R284" s="16">
        <f t="shared" si="39"/>
        <v>20</v>
      </c>
      <c r="S284" s="16">
        <f t="shared" si="39"/>
        <v>0</v>
      </c>
      <c r="T284" s="16">
        <f t="shared" si="39"/>
        <v>0</v>
      </c>
      <c r="U284" s="16">
        <f t="shared" si="39"/>
        <v>0</v>
      </c>
      <c r="V284" s="16">
        <f t="shared" si="39"/>
        <v>0</v>
      </c>
      <c r="W284" s="16">
        <f t="shared" si="39"/>
        <v>1</v>
      </c>
      <c r="X284" s="16" t="str">
        <f t="shared" si="36"/>
        <v>null</v>
      </c>
    </row>
    <row r="285" spans="1:24" x14ac:dyDescent="0.15">
      <c r="A285" s="20" t="str">
        <f t="shared" si="38"/>
        <v>23_5-2/362&lt;lv50&gt;s3</v>
      </c>
      <c r="B285" s="16">
        <f t="shared" si="40"/>
        <v>23</v>
      </c>
      <c r="C285" s="16">
        <f t="shared" si="40"/>
        <v>5</v>
      </c>
      <c r="D285" s="16">
        <f t="shared" si="40"/>
        <v>2</v>
      </c>
      <c r="E285" s="16">
        <f t="shared" si="40"/>
        <v>362</v>
      </c>
      <c r="F285" s="16">
        <f t="shared" si="40"/>
        <v>50</v>
      </c>
      <c r="G285" s="16">
        <f t="shared" si="40"/>
        <v>1.1000000000000001</v>
      </c>
      <c r="H285" s="16">
        <f t="shared" si="40"/>
        <v>1</v>
      </c>
      <c r="I285" s="16">
        <f t="shared" si="40"/>
        <v>0</v>
      </c>
      <c r="J285" s="16">
        <f t="shared" si="40"/>
        <v>362</v>
      </c>
      <c r="K285" s="16">
        <f t="shared" si="40"/>
        <v>0</v>
      </c>
      <c r="L285" s="16">
        <f t="shared" si="40"/>
        <v>100</v>
      </c>
      <c r="M285" s="16">
        <f t="shared" si="40"/>
        <v>0</v>
      </c>
      <c r="N285" s="16">
        <f t="shared" si="40"/>
        <v>3</v>
      </c>
      <c r="O285" s="16">
        <f t="shared" si="40"/>
        <v>362</v>
      </c>
      <c r="P285" s="16">
        <f t="shared" si="40"/>
        <v>7</v>
      </c>
      <c r="Q285" s="16">
        <f t="shared" si="40"/>
        <v>2</v>
      </c>
      <c r="R285" s="16">
        <f t="shared" si="39"/>
        <v>20</v>
      </c>
      <c r="S285" s="16">
        <f t="shared" si="39"/>
        <v>0</v>
      </c>
      <c r="T285" s="16">
        <f t="shared" si="39"/>
        <v>0</v>
      </c>
      <c r="U285" s="16">
        <f t="shared" si="39"/>
        <v>0</v>
      </c>
      <c r="V285" s="16">
        <f t="shared" si="39"/>
        <v>0</v>
      </c>
      <c r="W285" s="16">
        <f t="shared" si="39"/>
        <v>1</v>
      </c>
      <c r="X285" s="16" t="str">
        <f t="shared" si="36"/>
        <v>null</v>
      </c>
    </row>
    <row r="286" spans="1:24" x14ac:dyDescent="0.15">
      <c r="A286" s="20" t="str">
        <f t="shared" si="38"/>
        <v>23_5-2/350&lt;lv50&gt;s3</v>
      </c>
      <c r="B286" s="16">
        <f t="shared" si="40"/>
        <v>23</v>
      </c>
      <c r="C286" s="16">
        <f t="shared" si="40"/>
        <v>5</v>
      </c>
      <c r="D286" s="16">
        <f t="shared" si="40"/>
        <v>2</v>
      </c>
      <c r="E286" s="16">
        <f t="shared" si="40"/>
        <v>350</v>
      </c>
      <c r="F286" s="16">
        <f t="shared" si="40"/>
        <v>50</v>
      </c>
      <c r="G286" s="16">
        <f t="shared" si="40"/>
        <v>1</v>
      </c>
      <c r="H286" s="16">
        <f t="shared" si="40"/>
        <v>1</v>
      </c>
      <c r="I286" s="16">
        <f t="shared" si="40"/>
        <v>0</v>
      </c>
      <c r="J286" s="16">
        <f t="shared" si="40"/>
        <v>350</v>
      </c>
      <c r="K286" s="16">
        <f t="shared" si="40"/>
        <v>0</v>
      </c>
      <c r="L286" s="16">
        <f t="shared" si="40"/>
        <v>100</v>
      </c>
      <c r="M286" s="16">
        <f t="shared" si="40"/>
        <v>0</v>
      </c>
      <c r="N286" s="16">
        <f t="shared" si="40"/>
        <v>3</v>
      </c>
      <c r="O286" s="16">
        <f t="shared" si="40"/>
        <v>350</v>
      </c>
      <c r="P286" s="16">
        <f t="shared" si="40"/>
        <v>1</v>
      </c>
      <c r="Q286" s="16">
        <f t="shared" ref="Q286:W301" si="41">VLOOKUP($A286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86" s="16">
        <f t="shared" si="41"/>
        <v>40</v>
      </c>
      <c r="S286" s="16">
        <f t="shared" si="41"/>
        <v>0</v>
      </c>
      <c r="T286" s="16">
        <f t="shared" si="41"/>
        <v>0</v>
      </c>
      <c r="U286" s="16">
        <f t="shared" si="41"/>
        <v>0</v>
      </c>
      <c r="V286" s="16">
        <f t="shared" si="41"/>
        <v>0</v>
      </c>
      <c r="W286" s="16">
        <f t="shared" si="41"/>
        <v>1</v>
      </c>
      <c r="X286" s="16" t="str">
        <f t="shared" si="36"/>
        <v>null</v>
      </c>
    </row>
    <row r="287" spans="1:24" x14ac:dyDescent="0.15">
      <c r="A287" s="20" t="str">
        <f t="shared" si="38"/>
        <v>23_5-3/134&lt;lv48&gt;s3</v>
      </c>
      <c r="B287" s="16">
        <f t="shared" ref="B287:Q302" si="42">VLOOKUP($A287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287" s="16">
        <f t="shared" si="42"/>
        <v>5</v>
      </c>
      <c r="D287" s="16">
        <f t="shared" si="42"/>
        <v>3</v>
      </c>
      <c r="E287" s="16">
        <f t="shared" si="42"/>
        <v>134</v>
      </c>
      <c r="F287" s="16">
        <f t="shared" si="42"/>
        <v>48</v>
      </c>
      <c r="G287" s="16">
        <f t="shared" si="42"/>
        <v>1.8</v>
      </c>
      <c r="H287" s="16">
        <f t="shared" si="42"/>
        <v>1.3</v>
      </c>
      <c r="I287" s="16">
        <f t="shared" si="42"/>
        <v>0</v>
      </c>
      <c r="J287" s="16">
        <f t="shared" si="42"/>
        <v>134</v>
      </c>
      <c r="K287" s="16">
        <f t="shared" si="42"/>
        <v>1</v>
      </c>
      <c r="L287" s="16">
        <f t="shared" si="42"/>
        <v>100</v>
      </c>
      <c r="M287" s="16">
        <f t="shared" si="42"/>
        <v>1</v>
      </c>
      <c r="N287" s="16">
        <f t="shared" si="42"/>
        <v>3</v>
      </c>
      <c r="O287" s="16">
        <f t="shared" si="42"/>
        <v>134</v>
      </c>
      <c r="P287" s="16">
        <f t="shared" si="42"/>
        <v>1</v>
      </c>
      <c r="Q287" s="16">
        <f t="shared" si="42"/>
        <v>3</v>
      </c>
      <c r="R287" s="16">
        <f t="shared" si="41"/>
        <v>0</v>
      </c>
      <c r="S287" s="16">
        <f t="shared" si="41"/>
        <v>0</v>
      </c>
      <c r="T287" s="16">
        <f t="shared" si="41"/>
        <v>0</v>
      </c>
      <c r="U287" s="16">
        <f t="shared" si="41"/>
        <v>0</v>
      </c>
      <c r="V287" s="16">
        <f t="shared" si="41"/>
        <v>0</v>
      </c>
      <c r="W287" s="16">
        <f t="shared" si="41"/>
        <v>1</v>
      </c>
      <c r="X287" s="16" t="str">
        <f t="shared" si="36"/>
        <v>null</v>
      </c>
    </row>
    <row r="288" spans="1:24" x14ac:dyDescent="0.15">
      <c r="A288" s="20" t="str">
        <f t="shared" si="38"/>
        <v>23_5-3/23&lt;lv50&gt;s4</v>
      </c>
      <c r="B288" s="16">
        <f t="shared" si="42"/>
        <v>23</v>
      </c>
      <c r="C288" s="16">
        <f t="shared" si="42"/>
        <v>5</v>
      </c>
      <c r="D288" s="16">
        <f t="shared" si="42"/>
        <v>3</v>
      </c>
      <c r="E288" s="16">
        <f t="shared" si="42"/>
        <v>23</v>
      </c>
      <c r="F288" s="16">
        <f t="shared" si="42"/>
        <v>50</v>
      </c>
      <c r="G288" s="16">
        <f t="shared" si="42"/>
        <v>2</v>
      </c>
      <c r="H288" s="16">
        <f t="shared" si="42"/>
        <v>1</v>
      </c>
      <c r="I288" s="16">
        <f t="shared" si="42"/>
        <v>0</v>
      </c>
      <c r="J288" s="16">
        <f t="shared" si="42"/>
        <v>0</v>
      </c>
      <c r="K288" s="16">
        <f t="shared" si="42"/>
        <v>2</v>
      </c>
      <c r="L288" s="16">
        <f t="shared" si="42"/>
        <v>100</v>
      </c>
      <c r="M288" s="16">
        <f t="shared" si="42"/>
        <v>0</v>
      </c>
      <c r="N288" s="16">
        <f t="shared" si="42"/>
        <v>4</v>
      </c>
      <c r="O288" s="16">
        <f t="shared" si="42"/>
        <v>23</v>
      </c>
      <c r="P288" s="16">
        <f t="shared" si="42"/>
        <v>7</v>
      </c>
      <c r="Q288" s="16">
        <f t="shared" si="42"/>
        <v>1</v>
      </c>
      <c r="R288" s="16">
        <f t="shared" si="41"/>
        <v>0</v>
      </c>
      <c r="S288" s="16">
        <f t="shared" si="41"/>
        <v>0</v>
      </c>
      <c r="T288" s="16">
        <f t="shared" si="41"/>
        <v>0</v>
      </c>
      <c r="U288" s="16">
        <f t="shared" si="41"/>
        <v>0</v>
      </c>
      <c r="V288" s="16">
        <f t="shared" si="41"/>
        <v>0</v>
      </c>
      <c r="W288" s="16">
        <f t="shared" si="41"/>
        <v>1</v>
      </c>
      <c r="X288" s="16" t="str">
        <f t="shared" si="36"/>
        <v>null</v>
      </c>
    </row>
    <row r="289" spans="1:24" x14ac:dyDescent="0.15">
      <c r="A289" s="20" t="str">
        <f t="shared" si="38"/>
        <v>23_5-4/33&lt;lv48&gt;s2</v>
      </c>
      <c r="B289" s="16">
        <f t="shared" si="42"/>
        <v>23</v>
      </c>
      <c r="C289" s="16">
        <f t="shared" si="42"/>
        <v>5</v>
      </c>
      <c r="D289" s="16">
        <f t="shared" si="42"/>
        <v>4</v>
      </c>
      <c r="E289" s="16">
        <f t="shared" si="42"/>
        <v>33</v>
      </c>
      <c r="F289" s="16">
        <f t="shared" si="42"/>
        <v>48</v>
      </c>
      <c r="G289" s="16">
        <f t="shared" si="42"/>
        <v>1</v>
      </c>
      <c r="H289" s="16">
        <f t="shared" si="42"/>
        <v>1</v>
      </c>
      <c r="I289" s="16">
        <f t="shared" si="42"/>
        <v>0</v>
      </c>
      <c r="J289" s="16">
        <f t="shared" si="42"/>
        <v>33</v>
      </c>
      <c r="K289" s="16">
        <f t="shared" si="42"/>
        <v>0</v>
      </c>
      <c r="L289" s="16">
        <f t="shared" si="42"/>
        <v>100</v>
      </c>
      <c r="M289" s="16">
        <f t="shared" si="42"/>
        <v>0</v>
      </c>
      <c r="N289" s="16">
        <f t="shared" si="42"/>
        <v>2</v>
      </c>
      <c r="O289" s="16">
        <f t="shared" si="42"/>
        <v>33</v>
      </c>
      <c r="P289" s="16">
        <f t="shared" si="42"/>
        <v>5</v>
      </c>
      <c r="Q289" s="16">
        <f t="shared" si="42"/>
        <v>2</v>
      </c>
      <c r="R289" s="16">
        <f t="shared" si="41"/>
        <v>20</v>
      </c>
      <c r="S289" s="16">
        <f t="shared" si="41"/>
        <v>0</v>
      </c>
      <c r="T289" s="16">
        <f t="shared" si="41"/>
        <v>0</v>
      </c>
      <c r="U289" s="16">
        <f t="shared" si="41"/>
        <v>0</v>
      </c>
      <c r="V289" s="16">
        <f t="shared" si="41"/>
        <v>0</v>
      </c>
      <c r="W289" s="16">
        <f t="shared" si="41"/>
        <v>1</v>
      </c>
      <c r="X289" s="16" t="str">
        <f t="shared" si="36"/>
        <v>null</v>
      </c>
    </row>
    <row r="290" spans="1:24" x14ac:dyDescent="0.15">
      <c r="A290" s="20" t="str">
        <f t="shared" si="38"/>
        <v>23_5-4/57&lt;lv48&gt;s2</v>
      </c>
      <c r="B290" s="16">
        <f t="shared" si="42"/>
        <v>23</v>
      </c>
      <c r="C290" s="16">
        <f t="shared" si="42"/>
        <v>5</v>
      </c>
      <c r="D290" s="16">
        <f t="shared" si="42"/>
        <v>4</v>
      </c>
      <c r="E290" s="16">
        <f t="shared" si="42"/>
        <v>57</v>
      </c>
      <c r="F290" s="16">
        <f t="shared" si="42"/>
        <v>48</v>
      </c>
      <c r="G290" s="16">
        <f t="shared" si="42"/>
        <v>1</v>
      </c>
      <c r="H290" s="16">
        <f t="shared" si="42"/>
        <v>1</v>
      </c>
      <c r="I290" s="16">
        <f t="shared" si="42"/>
        <v>0</v>
      </c>
      <c r="J290" s="16">
        <f t="shared" si="42"/>
        <v>57</v>
      </c>
      <c r="K290" s="16">
        <f t="shared" si="42"/>
        <v>0</v>
      </c>
      <c r="L290" s="16">
        <f t="shared" si="42"/>
        <v>100</v>
      </c>
      <c r="M290" s="16">
        <f t="shared" si="42"/>
        <v>0</v>
      </c>
      <c r="N290" s="16">
        <f t="shared" si="42"/>
        <v>2</v>
      </c>
      <c r="O290" s="16">
        <f t="shared" si="42"/>
        <v>57</v>
      </c>
      <c r="P290" s="16">
        <f t="shared" si="42"/>
        <v>7</v>
      </c>
      <c r="Q290" s="16">
        <f t="shared" si="42"/>
        <v>2</v>
      </c>
      <c r="R290" s="16">
        <f t="shared" si="41"/>
        <v>20</v>
      </c>
      <c r="S290" s="16">
        <f t="shared" si="41"/>
        <v>0</v>
      </c>
      <c r="T290" s="16">
        <f t="shared" si="41"/>
        <v>0</v>
      </c>
      <c r="U290" s="16">
        <f t="shared" si="41"/>
        <v>0</v>
      </c>
      <c r="V290" s="16">
        <f t="shared" si="41"/>
        <v>0</v>
      </c>
      <c r="W290" s="16">
        <f t="shared" si="41"/>
        <v>1</v>
      </c>
      <c r="X290" s="16" t="str">
        <f t="shared" si="36"/>
        <v>null</v>
      </c>
    </row>
    <row r="291" spans="1:24" x14ac:dyDescent="0.15">
      <c r="A291" s="20" t="str">
        <f t="shared" si="38"/>
        <v>23_5-4/59&lt;lv50&gt;s2</v>
      </c>
      <c r="B291" s="16">
        <f t="shared" si="42"/>
        <v>23</v>
      </c>
      <c r="C291" s="16">
        <f t="shared" si="42"/>
        <v>5</v>
      </c>
      <c r="D291" s="16">
        <f t="shared" si="42"/>
        <v>4</v>
      </c>
      <c r="E291" s="16">
        <f t="shared" si="42"/>
        <v>59</v>
      </c>
      <c r="F291" s="16">
        <f t="shared" si="42"/>
        <v>50</v>
      </c>
      <c r="G291" s="16">
        <f t="shared" si="42"/>
        <v>1.1000000000000001</v>
      </c>
      <c r="H291" s="16">
        <f t="shared" si="42"/>
        <v>1</v>
      </c>
      <c r="I291" s="16">
        <f t="shared" si="42"/>
        <v>0</v>
      </c>
      <c r="J291" s="16">
        <f t="shared" si="42"/>
        <v>59</v>
      </c>
      <c r="K291" s="16">
        <f t="shared" si="42"/>
        <v>0</v>
      </c>
      <c r="L291" s="16">
        <f t="shared" si="42"/>
        <v>100</v>
      </c>
      <c r="M291" s="16">
        <f t="shared" si="42"/>
        <v>0</v>
      </c>
      <c r="N291" s="16">
        <f t="shared" si="42"/>
        <v>2</v>
      </c>
      <c r="O291" s="16">
        <f t="shared" si="42"/>
        <v>59</v>
      </c>
      <c r="P291" s="16">
        <f t="shared" si="42"/>
        <v>7</v>
      </c>
      <c r="Q291" s="16">
        <f t="shared" si="42"/>
        <v>2</v>
      </c>
      <c r="R291" s="16">
        <f t="shared" si="41"/>
        <v>20</v>
      </c>
      <c r="S291" s="16">
        <f t="shared" si="41"/>
        <v>0</v>
      </c>
      <c r="T291" s="16">
        <f t="shared" si="41"/>
        <v>0</v>
      </c>
      <c r="U291" s="16">
        <f t="shared" si="41"/>
        <v>0</v>
      </c>
      <c r="V291" s="16">
        <f t="shared" si="41"/>
        <v>0</v>
      </c>
      <c r="W291" s="16">
        <f t="shared" si="41"/>
        <v>1</v>
      </c>
      <c r="X291" s="16" t="str">
        <f t="shared" si="36"/>
        <v>null</v>
      </c>
    </row>
    <row r="292" spans="1:24" x14ac:dyDescent="0.15">
      <c r="A292" s="20" t="str">
        <f t="shared" si="38"/>
        <v>23_5-4/41&lt;lv48&gt;s1</v>
      </c>
      <c r="B292" s="16">
        <f t="shared" si="42"/>
        <v>23</v>
      </c>
      <c r="C292" s="16">
        <f t="shared" si="42"/>
        <v>5</v>
      </c>
      <c r="D292" s="16">
        <f t="shared" si="42"/>
        <v>4</v>
      </c>
      <c r="E292" s="16">
        <f t="shared" si="42"/>
        <v>41</v>
      </c>
      <c r="F292" s="16">
        <f t="shared" si="42"/>
        <v>48</v>
      </c>
      <c r="G292" s="16">
        <f t="shared" si="42"/>
        <v>1</v>
      </c>
      <c r="H292" s="16">
        <f t="shared" si="42"/>
        <v>1</v>
      </c>
      <c r="I292" s="16">
        <f t="shared" si="42"/>
        <v>0</v>
      </c>
      <c r="J292" s="16">
        <f t="shared" si="42"/>
        <v>0</v>
      </c>
      <c r="K292" s="16">
        <f t="shared" si="42"/>
        <v>0</v>
      </c>
      <c r="L292" s="16">
        <f t="shared" si="42"/>
        <v>100</v>
      </c>
      <c r="M292" s="16">
        <f t="shared" si="42"/>
        <v>0</v>
      </c>
      <c r="N292" s="16">
        <f t="shared" si="42"/>
        <v>1</v>
      </c>
      <c r="O292" s="16">
        <f t="shared" si="42"/>
        <v>41</v>
      </c>
      <c r="P292" s="16">
        <f t="shared" si="42"/>
        <v>7</v>
      </c>
      <c r="Q292" s="16">
        <f t="shared" si="42"/>
        <v>2</v>
      </c>
      <c r="R292" s="16">
        <f t="shared" si="41"/>
        <v>20</v>
      </c>
      <c r="S292" s="16">
        <f t="shared" si="41"/>
        <v>0</v>
      </c>
      <c r="T292" s="16">
        <f t="shared" si="41"/>
        <v>0</v>
      </c>
      <c r="U292" s="16">
        <f t="shared" si="41"/>
        <v>0</v>
      </c>
      <c r="V292" s="16">
        <f t="shared" si="41"/>
        <v>0</v>
      </c>
      <c r="W292" s="16">
        <f t="shared" si="41"/>
        <v>1</v>
      </c>
      <c r="X292" s="16" t="str">
        <f t="shared" si="36"/>
        <v>null</v>
      </c>
    </row>
    <row r="293" spans="1:24" x14ac:dyDescent="0.15">
      <c r="A293" s="20" t="str">
        <f t="shared" si="38"/>
        <v>23_5-4/43&lt;lv50&gt;s2</v>
      </c>
      <c r="B293" s="16">
        <f t="shared" si="42"/>
        <v>23</v>
      </c>
      <c r="C293" s="16">
        <f t="shared" si="42"/>
        <v>5</v>
      </c>
      <c r="D293" s="16">
        <f t="shared" si="42"/>
        <v>4</v>
      </c>
      <c r="E293" s="16">
        <f t="shared" si="42"/>
        <v>43</v>
      </c>
      <c r="F293" s="16">
        <f t="shared" si="42"/>
        <v>50</v>
      </c>
      <c r="G293" s="16">
        <f t="shared" si="42"/>
        <v>1.1000000000000001</v>
      </c>
      <c r="H293" s="16">
        <f t="shared" si="42"/>
        <v>1</v>
      </c>
      <c r="I293" s="16">
        <f t="shared" si="42"/>
        <v>0</v>
      </c>
      <c r="J293" s="16">
        <f t="shared" si="42"/>
        <v>0</v>
      </c>
      <c r="K293" s="16">
        <f t="shared" si="42"/>
        <v>0</v>
      </c>
      <c r="L293" s="16">
        <f t="shared" si="42"/>
        <v>100</v>
      </c>
      <c r="M293" s="16">
        <f t="shared" si="42"/>
        <v>0</v>
      </c>
      <c r="N293" s="16">
        <f t="shared" si="42"/>
        <v>2</v>
      </c>
      <c r="O293" s="16">
        <f t="shared" si="42"/>
        <v>43</v>
      </c>
      <c r="P293" s="16">
        <f t="shared" si="42"/>
        <v>7</v>
      </c>
      <c r="Q293" s="16">
        <f t="shared" si="42"/>
        <v>2</v>
      </c>
      <c r="R293" s="16">
        <f t="shared" si="41"/>
        <v>20</v>
      </c>
      <c r="S293" s="16">
        <f t="shared" si="41"/>
        <v>0</v>
      </c>
      <c r="T293" s="16">
        <f t="shared" si="41"/>
        <v>0</v>
      </c>
      <c r="U293" s="16">
        <f t="shared" si="41"/>
        <v>0</v>
      </c>
      <c r="V293" s="16">
        <f t="shared" si="41"/>
        <v>0</v>
      </c>
      <c r="W293" s="16">
        <f t="shared" si="41"/>
        <v>1</v>
      </c>
      <c r="X293" s="16" t="str">
        <f t="shared" si="36"/>
        <v>null</v>
      </c>
    </row>
    <row r="294" spans="1:24" x14ac:dyDescent="0.15">
      <c r="A294" s="20" t="str">
        <f t="shared" si="38"/>
        <v>23_5-4/360&lt;lv48&gt;s3</v>
      </c>
      <c r="B294" s="16">
        <f t="shared" si="42"/>
        <v>23</v>
      </c>
      <c r="C294" s="16">
        <f t="shared" si="42"/>
        <v>5</v>
      </c>
      <c r="D294" s="16">
        <f t="shared" si="42"/>
        <v>4</v>
      </c>
      <c r="E294" s="16">
        <f t="shared" si="42"/>
        <v>360</v>
      </c>
      <c r="F294" s="16">
        <f t="shared" si="42"/>
        <v>48</v>
      </c>
      <c r="G294" s="16">
        <f t="shared" si="42"/>
        <v>1</v>
      </c>
      <c r="H294" s="16">
        <f t="shared" si="42"/>
        <v>1</v>
      </c>
      <c r="I294" s="16">
        <f t="shared" si="42"/>
        <v>0</v>
      </c>
      <c r="J294" s="16">
        <f t="shared" si="42"/>
        <v>360</v>
      </c>
      <c r="K294" s="16">
        <f t="shared" si="42"/>
        <v>0</v>
      </c>
      <c r="L294" s="16">
        <f t="shared" si="42"/>
        <v>100</v>
      </c>
      <c r="M294" s="16">
        <f t="shared" si="42"/>
        <v>0</v>
      </c>
      <c r="N294" s="16">
        <f t="shared" si="42"/>
        <v>3</v>
      </c>
      <c r="O294" s="16">
        <f t="shared" si="42"/>
        <v>360</v>
      </c>
      <c r="P294" s="16">
        <f t="shared" si="42"/>
        <v>7</v>
      </c>
      <c r="Q294" s="16">
        <f t="shared" si="42"/>
        <v>2</v>
      </c>
      <c r="R294" s="16">
        <f t="shared" si="41"/>
        <v>20</v>
      </c>
      <c r="S294" s="16">
        <f t="shared" si="41"/>
        <v>0</v>
      </c>
      <c r="T294" s="16">
        <f t="shared" si="41"/>
        <v>0</v>
      </c>
      <c r="U294" s="16">
        <f t="shared" si="41"/>
        <v>0</v>
      </c>
      <c r="V294" s="16">
        <f t="shared" si="41"/>
        <v>0</v>
      </c>
      <c r="W294" s="16">
        <f t="shared" si="41"/>
        <v>1</v>
      </c>
      <c r="X294" s="16" t="str">
        <f t="shared" si="36"/>
        <v>null</v>
      </c>
    </row>
    <row r="295" spans="1:24" x14ac:dyDescent="0.15">
      <c r="A295" s="20" t="str">
        <f t="shared" si="38"/>
        <v>23_5-4/362&lt;lv50&gt;s3</v>
      </c>
      <c r="B295" s="16">
        <f t="shared" si="42"/>
        <v>23</v>
      </c>
      <c r="C295" s="16">
        <f t="shared" si="42"/>
        <v>5</v>
      </c>
      <c r="D295" s="16">
        <f t="shared" si="42"/>
        <v>4</v>
      </c>
      <c r="E295" s="16">
        <f t="shared" si="42"/>
        <v>362</v>
      </c>
      <c r="F295" s="16">
        <f t="shared" si="42"/>
        <v>50</v>
      </c>
      <c r="G295" s="16">
        <f t="shared" si="42"/>
        <v>1.1000000000000001</v>
      </c>
      <c r="H295" s="16">
        <f t="shared" si="42"/>
        <v>1</v>
      </c>
      <c r="I295" s="16">
        <f t="shared" si="42"/>
        <v>0</v>
      </c>
      <c r="J295" s="16">
        <f t="shared" si="42"/>
        <v>362</v>
      </c>
      <c r="K295" s="16">
        <f t="shared" si="42"/>
        <v>0</v>
      </c>
      <c r="L295" s="16">
        <f t="shared" si="42"/>
        <v>100</v>
      </c>
      <c r="M295" s="16">
        <f t="shared" si="42"/>
        <v>0</v>
      </c>
      <c r="N295" s="16">
        <f t="shared" si="42"/>
        <v>3</v>
      </c>
      <c r="O295" s="16">
        <f t="shared" si="42"/>
        <v>362</v>
      </c>
      <c r="P295" s="16">
        <f t="shared" si="42"/>
        <v>7</v>
      </c>
      <c r="Q295" s="16">
        <f t="shared" si="42"/>
        <v>2</v>
      </c>
      <c r="R295" s="16">
        <f t="shared" si="41"/>
        <v>20</v>
      </c>
      <c r="S295" s="16">
        <f t="shared" si="41"/>
        <v>0</v>
      </c>
      <c r="T295" s="16">
        <f t="shared" si="41"/>
        <v>0</v>
      </c>
      <c r="U295" s="16">
        <f t="shared" si="41"/>
        <v>0</v>
      </c>
      <c r="V295" s="16">
        <f t="shared" si="41"/>
        <v>0</v>
      </c>
      <c r="W295" s="16">
        <f t="shared" si="41"/>
        <v>1</v>
      </c>
      <c r="X295" s="16" t="str">
        <f t="shared" si="36"/>
        <v>null</v>
      </c>
    </row>
    <row r="296" spans="1:24" x14ac:dyDescent="0.15">
      <c r="A296" s="20" t="str">
        <f t="shared" si="38"/>
        <v>23_5-4/348&lt;lv48&gt;s3</v>
      </c>
      <c r="B296" s="16">
        <f t="shared" si="42"/>
        <v>23</v>
      </c>
      <c r="C296" s="16">
        <f t="shared" si="42"/>
        <v>5</v>
      </c>
      <c r="D296" s="16">
        <f t="shared" si="42"/>
        <v>4</v>
      </c>
      <c r="E296" s="16">
        <f t="shared" si="42"/>
        <v>348</v>
      </c>
      <c r="F296" s="16">
        <f t="shared" si="42"/>
        <v>48</v>
      </c>
      <c r="G296" s="16">
        <f t="shared" si="42"/>
        <v>1</v>
      </c>
      <c r="H296" s="16">
        <f t="shared" si="42"/>
        <v>1</v>
      </c>
      <c r="I296" s="16">
        <f t="shared" si="42"/>
        <v>0</v>
      </c>
      <c r="J296" s="16">
        <f t="shared" si="42"/>
        <v>348</v>
      </c>
      <c r="K296" s="16">
        <f t="shared" si="42"/>
        <v>0</v>
      </c>
      <c r="L296" s="16">
        <f t="shared" si="42"/>
        <v>100</v>
      </c>
      <c r="M296" s="16">
        <f t="shared" si="42"/>
        <v>0</v>
      </c>
      <c r="N296" s="16">
        <f t="shared" si="42"/>
        <v>3</v>
      </c>
      <c r="O296" s="16">
        <f t="shared" si="42"/>
        <v>348</v>
      </c>
      <c r="P296" s="16">
        <f t="shared" si="42"/>
        <v>1</v>
      </c>
      <c r="Q296" s="16">
        <f t="shared" si="42"/>
        <v>2</v>
      </c>
      <c r="R296" s="16">
        <f t="shared" si="41"/>
        <v>40</v>
      </c>
      <c r="S296" s="16">
        <f t="shared" si="41"/>
        <v>0</v>
      </c>
      <c r="T296" s="16">
        <f t="shared" si="41"/>
        <v>0</v>
      </c>
      <c r="U296" s="16">
        <f t="shared" si="41"/>
        <v>0</v>
      </c>
      <c r="V296" s="16">
        <f t="shared" si="41"/>
        <v>0</v>
      </c>
      <c r="W296" s="16">
        <f t="shared" si="41"/>
        <v>1</v>
      </c>
      <c r="X296" s="16" t="str">
        <f t="shared" si="36"/>
        <v>null</v>
      </c>
    </row>
    <row r="297" spans="1:24" x14ac:dyDescent="0.15">
      <c r="A297" s="20" t="str">
        <f t="shared" si="38"/>
        <v>23_5-5/218&lt;lv45&gt;s3</v>
      </c>
      <c r="B297" s="16">
        <f t="shared" si="42"/>
        <v>23</v>
      </c>
      <c r="C297" s="16">
        <f t="shared" si="42"/>
        <v>5</v>
      </c>
      <c r="D297" s="16">
        <f t="shared" si="42"/>
        <v>5</v>
      </c>
      <c r="E297" s="16">
        <f t="shared" si="42"/>
        <v>218</v>
      </c>
      <c r="F297" s="16">
        <f t="shared" si="42"/>
        <v>45</v>
      </c>
      <c r="G297" s="16">
        <f t="shared" si="42"/>
        <v>0.9</v>
      </c>
      <c r="H297" s="16">
        <f t="shared" si="42"/>
        <v>1</v>
      </c>
      <c r="I297" s="16">
        <f t="shared" si="42"/>
        <v>0</v>
      </c>
      <c r="J297" s="16">
        <f t="shared" si="42"/>
        <v>21801</v>
      </c>
      <c r="K297" s="16">
        <f t="shared" si="42"/>
        <v>1</v>
      </c>
      <c r="L297" s="16">
        <f t="shared" si="42"/>
        <v>100</v>
      </c>
      <c r="M297" s="16">
        <f t="shared" si="42"/>
        <v>1</v>
      </c>
      <c r="N297" s="16">
        <f t="shared" si="42"/>
        <v>3</v>
      </c>
      <c r="O297" s="16">
        <f t="shared" si="42"/>
        <v>217</v>
      </c>
      <c r="P297" s="16">
        <f t="shared" si="42"/>
        <v>1</v>
      </c>
      <c r="Q297" s="16">
        <f t="shared" si="42"/>
        <v>3</v>
      </c>
      <c r="R297" s="16">
        <f t="shared" si="41"/>
        <v>0</v>
      </c>
      <c r="S297" s="16">
        <f t="shared" si="41"/>
        <v>0</v>
      </c>
      <c r="T297" s="16">
        <f t="shared" si="41"/>
        <v>0</v>
      </c>
      <c r="U297" s="16">
        <f t="shared" si="41"/>
        <v>0</v>
      </c>
      <c r="V297" s="16">
        <f t="shared" si="41"/>
        <v>0</v>
      </c>
      <c r="W297" s="16">
        <f t="shared" si="41"/>
        <v>1</v>
      </c>
      <c r="X297" s="16" t="str">
        <f t="shared" si="36"/>
        <v>null</v>
      </c>
    </row>
    <row r="298" spans="1:24" x14ac:dyDescent="0.15">
      <c r="A298" s="20" t="str">
        <f t="shared" si="38"/>
        <v>23_5-5/43&lt;lv53&gt;s2</v>
      </c>
      <c r="B298" s="16">
        <f t="shared" si="42"/>
        <v>23</v>
      </c>
      <c r="C298" s="16">
        <f t="shared" si="42"/>
        <v>5</v>
      </c>
      <c r="D298" s="16">
        <f t="shared" si="42"/>
        <v>5</v>
      </c>
      <c r="E298" s="16">
        <f t="shared" si="42"/>
        <v>43</v>
      </c>
      <c r="F298" s="16">
        <f t="shared" si="42"/>
        <v>53</v>
      </c>
      <c r="G298" s="16">
        <f t="shared" si="42"/>
        <v>2</v>
      </c>
      <c r="H298" s="16">
        <f t="shared" si="42"/>
        <v>0.9</v>
      </c>
      <c r="I298" s="16">
        <f t="shared" si="42"/>
        <v>0</v>
      </c>
      <c r="J298" s="16">
        <f t="shared" si="42"/>
        <v>0</v>
      </c>
      <c r="K298" s="16">
        <f t="shared" si="42"/>
        <v>1</v>
      </c>
      <c r="L298" s="16">
        <f t="shared" si="42"/>
        <v>100</v>
      </c>
      <c r="M298" s="16">
        <f t="shared" si="42"/>
        <v>0</v>
      </c>
      <c r="N298" s="16">
        <f t="shared" si="42"/>
        <v>2</v>
      </c>
      <c r="O298" s="16">
        <f t="shared" si="42"/>
        <v>43</v>
      </c>
      <c r="P298" s="16">
        <f t="shared" si="42"/>
        <v>7</v>
      </c>
      <c r="Q298" s="16">
        <f t="shared" si="42"/>
        <v>2</v>
      </c>
      <c r="R298" s="16">
        <f t="shared" si="41"/>
        <v>0</v>
      </c>
      <c r="S298" s="16">
        <f t="shared" si="41"/>
        <v>0</v>
      </c>
      <c r="T298" s="16">
        <f t="shared" si="41"/>
        <v>0</v>
      </c>
      <c r="U298" s="16">
        <f t="shared" si="41"/>
        <v>0</v>
      </c>
      <c r="V298" s="16">
        <f t="shared" si="41"/>
        <v>0</v>
      </c>
      <c r="W298" s="16">
        <f t="shared" si="41"/>
        <v>1</v>
      </c>
      <c r="X298" s="16">
        <f t="shared" si="36"/>
        <v>4301</v>
      </c>
    </row>
    <row r="299" spans="1:24" x14ac:dyDescent="0.15">
      <c r="A299" s="20" t="str">
        <f t="shared" si="38"/>
        <v>23_5-5/43&lt;lv52&gt;s2</v>
      </c>
      <c r="B299" s="16">
        <f t="shared" si="42"/>
        <v>23</v>
      </c>
      <c r="C299" s="16">
        <f t="shared" si="42"/>
        <v>5</v>
      </c>
      <c r="D299" s="16">
        <f t="shared" si="42"/>
        <v>5</v>
      </c>
      <c r="E299" s="16">
        <f t="shared" si="42"/>
        <v>43</v>
      </c>
      <c r="F299" s="16">
        <f t="shared" si="42"/>
        <v>52</v>
      </c>
      <c r="G299" s="16">
        <f t="shared" si="42"/>
        <v>2</v>
      </c>
      <c r="H299" s="16">
        <f t="shared" si="42"/>
        <v>0.9</v>
      </c>
      <c r="I299" s="16">
        <f t="shared" si="42"/>
        <v>0</v>
      </c>
      <c r="J299" s="16">
        <f t="shared" si="42"/>
        <v>0</v>
      </c>
      <c r="K299" s="16">
        <f t="shared" si="42"/>
        <v>1</v>
      </c>
      <c r="L299" s="16">
        <f t="shared" si="42"/>
        <v>100</v>
      </c>
      <c r="M299" s="16">
        <f t="shared" si="42"/>
        <v>0</v>
      </c>
      <c r="N299" s="16">
        <f t="shared" si="42"/>
        <v>2</v>
      </c>
      <c r="O299" s="16">
        <f t="shared" si="42"/>
        <v>43</v>
      </c>
      <c r="P299" s="16">
        <f t="shared" si="42"/>
        <v>7</v>
      </c>
      <c r="Q299" s="16">
        <f t="shared" si="42"/>
        <v>2</v>
      </c>
      <c r="R299" s="16">
        <f t="shared" si="41"/>
        <v>0</v>
      </c>
      <c r="S299" s="16">
        <f t="shared" si="41"/>
        <v>0</v>
      </c>
      <c r="T299" s="16">
        <f t="shared" si="41"/>
        <v>0</v>
      </c>
      <c r="U299" s="16">
        <f t="shared" si="41"/>
        <v>0</v>
      </c>
      <c r="V299" s="16">
        <f t="shared" si="41"/>
        <v>0</v>
      </c>
      <c r="W299" s="16">
        <f t="shared" si="41"/>
        <v>1</v>
      </c>
      <c r="X299" s="16">
        <f t="shared" si="36"/>
        <v>4302</v>
      </c>
    </row>
    <row r="300" spans="1:24" x14ac:dyDescent="0.15">
      <c r="A300" s="20" t="str">
        <f t="shared" si="38"/>
        <v>23_6-1/338&lt;lv1&gt;s3</v>
      </c>
      <c r="B300" s="16">
        <f t="shared" si="42"/>
        <v>23</v>
      </c>
      <c r="C300" s="16">
        <f t="shared" si="42"/>
        <v>6</v>
      </c>
      <c r="D300" s="16">
        <f t="shared" si="42"/>
        <v>1</v>
      </c>
      <c r="E300" s="16">
        <f t="shared" si="42"/>
        <v>338</v>
      </c>
      <c r="F300" s="16">
        <f t="shared" si="42"/>
        <v>1</v>
      </c>
      <c r="G300" s="16">
        <f t="shared" si="42"/>
        <v>1</v>
      </c>
      <c r="H300" s="16">
        <f t="shared" si="42"/>
        <v>1</v>
      </c>
      <c r="I300" s="16">
        <f t="shared" si="42"/>
        <v>0</v>
      </c>
      <c r="J300" s="16">
        <f t="shared" si="42"/>
        <v>0</v>
      </c>
      <c r="K300" s="16">
        <f t="shared" si="42"/>
        <v>0</v>
      </c>
      <c r="L300" s="16">
        <f t="shared" si="42"/>
        <v>100</v>
      </c>
      <c r="M300" s="16">
        <f t="shared" si="42"/>
        <v>0</v>
      </c>
      <c r="N300" s="16">
        <f t="shared" si="42"/>
        <v>3</v>
      </c>
      <c r="O300" s="16">
        <f t="shared" si="42"/>
        <v>338</v>
      </c>
      <c r="P300" s="16">
        <f t="shared" si="42"/>
        <v>1</v>
      </c>
      <c r="Q300" s="16">
        <f t="shared" si="42"/>
        <v>5</v>
      </c>
      <c r="R300" s="16">
        <f t="shared" si="41"/>
        <v>100</v>
      </c>
      <c r="S300" s="16">
        <f t="shared" si="41"/>
        <v>0</v>
      </c>
      <c r="T300" s="16">
        <f t="shared" si="41"/>
        <v>0</v>
      </c>
      <c r="U300" s="16">
        <f t="shared" si="41"/>
        <v>0</v>
      </c>
      <c r="V300" s="16">
        <f t="shared" si="41"/>
        <v>0</v>
      </c>
      <c r="W300" s="16">
        <f t="shared" si="41"/>
        <v>1</v>
      </c>
      <c r="X300" s="16" t="str">
        <f t="shared" si="36"/>
        <v>null</v>
      </c>
    </row>
    <row r="301" spans="1:24" x14ac:dyDescent="0.15">
      <c r="A301" s="20" t="str">
        <f t="shared" si="38"/>
        <v>23_6-2/334&lt;lv1&gt;s3</v>
      </c>
      <c r="B301" s="16">
        <f t="shared" si="42"/>
        <v>23</v>
      </c>
      <c r="C301" s="16">
        <f t="shared" si="42"/>
        <v>6</v>
      </c>
      <c r="D301" s="16">
        <f t="shared" si="42"/>
        <v>2</v>
      </c>
      <c r="E301" s="16">
        <f t="shared" si="42"/>
        <v>334</v>
      </c>
      <c r="F301" s="16">
        <f t="shared" si="42"/>
        <v>1</v>
      </c>
      <c r="G301" s="16">
        <f t="shared" si="42"/>
        <v>1</v>
      </c>
      <c r="H301" s="16">
        <f t="shared" si="42"/>
        <v>1</v>
      </c>
      <c r="I301" s="16">
        <f t="shared" si="42"/>
        <v>0</v>
      </c>
      <c r="J301" s="16">
        <f t="shared" si="42"/>
        <v>0</v>
      </c>
      <c r="K301" s="16">
        <f t="shared" si="42"/>
        <v>0</v>
      </c>
      <c r="L301" s="16">
        <f t="shared" si="42"/>
        <v>100</v>
      </c>
      <c r="M301" s="16">
        <f t="shared" si="42"/>
        <v>0</v>
      </c>
      <c r="N301" s="16">
        <f t="shared" si="42"/>
        <v>3</v>
      </c>
      <c r="O301" s="16">
        <f t="shared" si="42"/>
        <v>334</v>
      </c>
      <c r="P301" s="16">
        <f t="shared" si="42"/>
        <v>1</v>
      </c>
      <c r="Q301" s="16">
        <f t="shared" si="42"/>
        <v>5</v>
      </c>
      <c r="R301" s="16">
        <f t="shared" si="41"/>
        <v>100</v>
      </c>
      <c r="S301" s="16">
        <f t="shared" si="41"/>
        <v>0</v>
      </c>
      <c r="T301" s="16">
        <f t="shared" si="41"/>
        <v>0</v>
      </c>
      <c r="U301" s="16">
        <f t="shared" si="41"/>
        <v>0</v>
      </c>
      <c r="V301" s="16">
        <f t="shared" si="41"/>
        <v>0</v>
      </c>
      <c r="W301" s="16">
        <f t="shared" si="41"/>
        <v>1</v>
      </c>
      <c r="X301" s="16" t="str">
        <f t="shared" si="36"/>
        <v>null</v>
      </c>
    </row>
    <row r="302" spans="1:24" x14ac:dyDescent="0.15">
      <c r="A302" s="20" t="str">
        <f t="shared" si="38"/>
        <v>23_6-3/119&lt;lv1&gt;s3</v>
      </c>
      <c r="B302" s="16">
        <f t="shared" si="42"/>
        <v>23</v>
      </c>
      <c r="C302" s="16">
        <f t="shared" si="42"/>
        <v>6</v>
      </c>
      <c r="D302" s="16">
        <f t="shared" si="42"/>
        <v>3</v>
      </c>
      <c r="E302" s="16">
        <f t="shared" si="42"/>
        <v>119</v>
      </c>
      <c r="F302" s="16">
        <f t="shared" si="42"/>
        <v>1</v>
      </c>
      <c r="G302" s="16">
        <f t="shared" si="42"/>
        <v>1</v>
      </c>
      <c r="H302" s="16">
        <f t="shared" si="42"/>
        <v>1</v>
      </c>
      <c r="I302" s="16">
        <f t="shared" si="42"/>
        <v>0</v>
      </c>
      <c r="J302" s="16">
        <f t="shared" si="42"/>
        <v>0</v>
      </c>
      <c r="K302" s="16">
        <f t="shared" si="42"/>
        <v>0</v>
      </c>
      <c r="L302" s="16">
        <f t="shared" si="42"/>
        <v>100</v>
      </c>
      <c r="M302" s="16">
        <f t="shared" si="42"/>
        <v>0</v>
      </c>
      <c r="N302" s="16">
        <f t="shared" si="42"/>
        <v>3</v>
      </c>
      <c r="O302" s="16">
        <f t="shared" si="42"/>
        <v>119</v>
      </c>
      <c r="P302" s="16">
        <f t="shared" si="42"/>
        <v>1</v>
      </c>
      <c r="Q302" s="16">
        <f t="shared" ref="Q302:W317" si="43">VLOOKUP($A302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5</v>
      </c>
      <c r="R302" s="16">
        <f t="shared" si="43"/>
        <v>100</v>
      </c>
      <c r="S302" s="16">
        <f t="shared" si="43"/>
        <v>0</v>
      </c>
      <c r="T302" s="16">
        <f t="shared" si="43"/>
        <v>0</v>
      </c>
      <c r="U302" s="16">
        <f t="shared" si="43"/>
        <v>0</v>
      </c>
      <c r="V302" s="16">
        <f t="shared" si="43"/>
        <v>0</v>
      </c>
      <c r="W302" s="16">
        <f t="shared" si="43"/>
        <v>1</v>
      </c>
      <c r="X302" s="16" t="str">
        <f t="shared" si="36"/>
        <v>null</v>
      </c>
    </row>
    <row r="303" spans="1:24" x14ac:dyDescent="0.15">
      <c r="A303" s="20" t="str">
        <f t="shared" si="38"/>
        <v>23_6-4/338&lt;lv1&gt;s3</v>
      </c>
      <c r="B303" s="16">
        <f t="shared" ref="B303:Q318" si="44">VLOOKUP($A303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303" s="16">
        <f t="shared" si="44"/>
        <v>6</v>
      </c>
      <c r="D303" s="16">
        <f t="shared" si="44"/>
        <v>4</v>
      </c>
      <c r="E303" s="16">
        <f t="shared" si="44"/>
        <v>338</v>
      </c>
      <c r="F303" s="16">
        <f t="shared" si="44"/>
        <v>1</v>
      </c>
      <c r="G303" s="16">
        <f t="shared" si="44"/>
        <v>1</v>
      </c>
      <c r="H303" s="16">
        <f t="shared" si="44"/>
        <v>1</v>
      </c>
      <c r="I303" s="16">
        <f t="shared" si="44"/>
        <v>0</v>
      </c>
      <c r="J303" s="16">
        <f t="shared" si="44"/>
        <v>0</v>
      </c>
      <c r="K303" s="16">
        <f t="shared" si="44"/>
        <v>1</v>
      </c>
      <c r="L303" s="16">
        <f t="shared" si="44"/>
        <v>100</v>
      </c>
      <c r="M303" s="16">
        <f t="shared" si="44"/>
        <v>0</v>
      </c>
      <c r="N303" s="16">
        <f t="shared" si="44"/>
        <v>3</v>
      </c>
      <c r="O303" s="16">
        <f t="shared" si="44"/>
        <v>338</v>
      </c>
      <c r="P303" s="16">
        <f t="shared" si="44"/>
        <v>1</v>
      </c>
      <c r="Q303" s="16">
        <f t="shared" si="44"/>
        <v>5</v>
      </c>
      <c r="R303" s="16">
        <f t="shared" si="43"/>
        <v>0</v>
      </c>
      <c r="S303" s="16">
        <f t="shared" si="43"/>
        <v>0</v>
      </c>
      <c r="T303" s="16">
        <f t="shared" si="43"/>
        <v>0</v>
      </c>
      <c r="U303" s="16">
        <f t="shared" si="43"/>
        <v>0</v>
      </c>
      <c r="V303" s="16">
        <f t="shared" si="43"/>
        <v>0</v>
      </c>
      <c r="W303" s="16">
        <f t="shared" si="43"/>
        <v>1</v>
      </c>
      <c r="X303" s="16" t="str">
        <f t="shared" si="36"/>
        <v>null</v>
      </c>
    </row>
    <row r="304" spans="1:24" x14ac:dyDescent="0.15">
      <c r="A304" s="20" t="str">
        <f t="shared" si="38"/>
        <v>23_6-4/334&lt;lv1&gt;s3</v>
      </c>
      <c r="B304" s="16">
        <f t="shared" si="44"/>
        <v>23</v>
      </c>
      <c r="C304" s="16">
        <f t="shared" si="44"/>
        <v>6</v>
      </c>
      <c r="D304" s="16">
        <f t="shared" si="44"/>
        <v>4</v>
      </c>
      <c r="E304" s="16">
        <f t="shared" si="44"/>
        <v>334</v>
      </c>
      <c r="F304" s="16">
        <f t="shared" si="44"/>
        <v>1</v>
      </c>
      <c r="G304" s="16">
        <f t="shared" si="44"/>
        <v>1</v>
      </c>
      <c r="H304" s="16">
        <f t="shared" si="44"/>
        <v>1</v>
      </c>
      <c r="I304" s="16">
        <f t="shared" si="44"/>
        <v>0</v>
      </c>
      <c r="J304" s="16">
        <f t="shared" si="44"/>
        <v>0</v>
      </c>
      <c r="K304" s="16">
        <f t="shared" si="44"/>
        <v>1</v>
      </c>
      <c r="L304" s="16">
        <f t="shared" si="44"/>
        <v>100</v>
      </c>
      <c r="M304" s="16">
        <f t="shared" si="44"/>
        <v>0</v>
      </c>
      <c r="N304" s="16">
        <f t="shared" si="44"/>
        <v>3</v>
      </c>
      <c r="O304" s="16">
        <f t="shared" si="44"/>
        <v>334</v>
      </c>
      <c r="P304" s="16">
        <f t="shared" si="44"/>
        <v>1</v>
      </c>
      <c r="Q304" s="16">
        <f t="shared" si="44"/>
        <v>5</v>
      </c>
      <c r="R304" s="16">
        <f t="shared" si="43"/>
        <v>0</v>
      </c>
      <c r="S304" s="16">
        <f t="shared" si="43"/>
        <v>0</v>
      </c>
      <c r="T304" s="16">
        <f t="shared" si="43"/>
        <v>0</v>
      </c>
      <c r="U304" s="16">
        <f t="shared" si="43"/>
        <v>0</v>
      </c>
      <c r="V304" s="16">
        <f t="shared" si="43"/>
        <v>0</v>
      </c>
      <c r="W304" s="16">
        <f t="shared" si="43"/>
        <v>1</v>
      </c>
      <c r="X304" s="16" t="str">
        <f t="shared" si="36"/>
        <v>null</v>
      </c>
    </row>
    <row r="305" spans="1:24" x14ac:dyDescent="0.15">
      <c r="A305" s="20" t="str">
        <f t="shared" si="38"/>
        <v>23_6-4/120&lt;lv1&gt;s4</v>
      </c>
      <c r="B305" s="16">
        <f t="shared" si="44"/>
        <v>23</v>
      </c>
      <c r="C305" s="16">
        <f t="shared" si="44"/>
        <v>6</v>
      </c>
      <c r="D305" s="16">
        <f t="shared" si="44"/>
        <v>4</v>
      </c>
      <c r="E305" s="16">
        <f t="shared" si="44"/>
        <v>120</v>
      </c>
      <c r="F305" s="16">
        <f t="shared" si="44"/>
        <v>1</v>
      </c>
      <c r="G305" s="16">
        <f t="shared" si="44"/>
        <v>1</v>
      </c>
      <c r="H305" s="16">
        <f t="shared" si="44"/>
        <v>1</v>
      </c>
      <c r="I305" s="16">
        <f t="shared" si="44"/>
        <v>0</v>
      </c>
      <c r="J305" s="16">
        <f t="shared" si="44"/>
        <v>0</v>
      </c>
      <c r="K305" s="16">
        <f t="shared" si="44"/>
        <v>1</v>
      </c>
      <c r="L305" s="16">
        <f t="shared" si="44"/>
        <v>100</v>
      </c>
      <c r="M305" s="16">
        <f t="shared" si="44"/>
        <v>1</v>
      </c>
      <c r="N305" s="16">
        <f t="shared" si="44"/>
        <v>4</v>
      </c>
      <c r="O305" s="16">
        <f t="shared" si="44"/>
        <v>120</v>
      </c>
      <c r="P305" s="16">
        <f t="shared" si="44"/>
        <v>1</v>
      </c>
      <c r="Q305" s="16">
        <f t="shared" si="44"/>
        <v>6</v>
      </c>
      <c r="R305" s="16">
        <f t="shared" si="43"/>
        <v>100</v>
      </c>
      <c r="S305" s="16">
        <f t="shared" si="43"/>
        <v>0</v>
      </c>
      <c r="T305" s="16">
        <f t="shared" si="43"/>
        <v>0</v>
      </c>
      <c r="U305" s="16">
        <f t="shared" si="43"/>
        <v>0</v>
      </c>
      <c r="V305" s="16">
        <f t="shared" si="43"/>
        <v>0</v>
      </c>
      <c r="W305" s="16">
        <f t="shared" si="43"/>
        <v>1</v>
      </c>
      <c r="X305" s="16" t="str">
        <f t="shared" si="36"/>
        <v>null</v>
      </c>
    </row>
    <row r="306" spans="1:24" x14ac:dyDescent="0.15">
      <c r="A306" s="20" t="str">
        <f t="shared" si="38"/>
        <v>23_6-5/335&lt;lv1&gt;s4</v>
      </c>
      <c r="B306" s="16">
        <f t="shared" si="44"/>
        <v>23</v>
      </c>
      <c r="C306" s="16">
        <f t="shared" si="44"/>
        <v>6</v>
      </c>
      <c r="D306" s="16">
        <f t="shared" si="44"/>
        <v>5</v>
      </c>
      <c r="E306" s="16">
        <f t="shared" si="44"/>
        <v>335</v>
      </c>
      <c r="F306" s="16">
        <f t="shared" si="44"/>
        <v>1</v>
      </c>
      <c r="G306" s="16">
        <f t="shared" si="44"/>
        <v>1</v>
      </c>
      <c r="H306" s="16">
        <f t="shared" si="44"/>
        <v>1</v>
      </c>
      <c r="I306" s="16">
        <f t="shared" si="44"/>
        <v>0</v>
      </c>
      <c r="J306" s="16">
        <f t="shared" si="44"/>
        <v>0</v>
      </c>
      <c r="K306" s="16">
        <f t="shared" si="44"/>
        <v>1</v>
      </c>
      <c r="L306" s="16">
        <f t="shared" si="44"/>
        <v>100</v>
      </c>
      <c r="M306" s="16">
        <f t="shared" si="44"/>
        <v>0</v>
      </c>
      <c r="N306" s="16">
        <f t="shared" si="44"/>
        <v>4</v>
      </c>
      <c r="O306" s="16">
        <f t="shared" si="44"/>
        <v>335</v>
      </c>
      <c r="P306" s="16">
        <f t="shared" si="44"/>
        <v>1</v>
      </c>
      <c r="Q306" s="16">
        <f t="shared" si="44"/>
        <v>6</v>
      </c>
      <c r="R306" s="16">
        <f t="shared" si="43"/>
        <v>100</v>
      </c>
      <c r="S306" s="16">
        <f t="shared" si="43"/>
        <v>0</v>
      </c>
      <c r="T306" s="16">
        <f t="shared" si="43"/>
        <v>0</v>
      </c>
      <c r="U306" s="16">
        <f t="shared" si="43"/>
        <v>0</v>
      </c>
      <c r="V306" s="16">
        <f t="shared" si="43"/>
        <v>0</v>
      </c>
      <c r="W306" s="16">
        <f t="shared" si="43"/>
        <v>1</v>
      </c>
      <c r="X306" s="16" t="str">
        <f t="shared" si="36"/>
        <v>null</v>
      </c>
    </row>
    <row r="307" spans="1:24" x14ac:dyDescent="0.15">
      <c r="A307" s="20" t="str">
        <f t="shared" si="38"/>
        <v>23_6-5/339&lt;lv1&gt;s4</v>
      </c>
      <c r="B307" s="16">
        <f t="shared" si="44"/>
        <v>23</v>
      </c>
      <c r="C307" s="16">
        <f t="shared" si="44"/>
        <v>6</v>
      </c>
      <c r="D307" s="16">
        <f t="shared" si="44"/>
        <v>5</v>
      </c>
      <c r="E307" s="16">
        <f t="shared" si="44"/>
        <v>339</v>
      </c>
      <c r="F307" s="16">
        <f t="shared" si="44"/>
        <v>1</v>
      </c>
      <c r="G307" s="16">
        <f t="shared" si="44"/>
        <v>1</v>
      </c>
      <c r="H307" s="16">
        <f t="shared" si="44"/>
        <v>1</v>
      </c>
      <c r="I307" s="16">
        <f t="shared" si="44"/>
        <v>0</v>
      </c>
      <c r="J307" s="16">
        <f t="shared" si="44"/>
        <v>0</v>
      </c>
      <c r="K307" s="16">
        <f t="shared" si="44"/>
        <v>1</v>
      </c>
      <c r="L307" s="16">
        <f t="shared" si="44"/>
        <v>100</v>
      </c>
      <c r="M307" s="16">
        <f t="shared" si="44"/>
        <v>0</v>
      </c>
      <c r="N307" s="16">
        <f t="shared" si="44"/>
        <v>4</v>
      </c>
      <c r="O307" s="16">
        <f t="shared" si="44"/>
        <v>339</v>
      </c>
      <c r="P307" s="16">
        <f t="shared" si="44"/>
        <v>1</v>
      </c>
      <c r="Q307" s="16">
        <f t="shared" si="44"/>
        <v>6</v>
      </c>
      <c r="R307" s="16">
        <f t="shared" si="43"/>
        <v>100</v>
      </c>
      <c r="S307" s="16">
        <f t="shared" si="43"/>
        <v>0</v>
      </c>
      <c r="T307" s="16">
        <f t="shared" si="43"/>
        <v>0</v>
      </c>
      <c r="U307" s="16">
        <f t="shared" si="43"/>
        <v>0</v>
      </c>
      <c r="V307" s="16">
        <f t="shared" si="43"/>
        <v>0</v>
      </c>
      <c r="W307" s="16">
        <f t="shared" si="43"/>
        <v>1</v>
      </c>
      <c r="X307" s="16" t="str">
        <f t="shared" si="36"/>
        <v>null</v>
      </c>
    </row>
    <row r="308" spans="1:24" x14ac:dyDescent="0.15">
      <c r="A308" s="20" t="str">
        <f t="shared" si="38"/>
        <v>24_1-1/13&lt;lv44&gt;s2</v>
      </c>
      <c r="B308" s="16">
        <f t="shared" si="44"/>
        <v>24</v>
      </c>
      <c r="C308" s="16">
        <f t="shared" si="44"/>
        <v>1</v>
      </c>
      <c r="D308" s="16">
        <f t="shared" si="44"/>
        <v>1</v>
      </c>
      <c r="E308" s="16">
        <f t="shared" si="44"/>
        <v>13</v>
      </c>
      <c r="F308" s="16">
        <f t="shared" si="44"/>
        <v>44</v>
      </c>
      <c r="G308" s="16">
        <f t="shared" si="44"/>
        <v>1</v>
      </c>
      <c r="H308" s="16">
        <f t="shared" si="44"/>
        <v>1</v>
      </c>
      <c r="I308" s="16">
        <f t="shared" si="44"/>
        <v>0</v>
      </c>
      <c r="J308" s="16">
        <f t="shared" si="44"/>
        <v>0</v>
      </c>
      <c r="K308" s="16">
        <f t="shared" si="44"/>
        <v>0</v>
      </c>
      <c r="L308" s="16">
        <f t="shared" si="44"/>
        <v>100</v>
      </c>
      <c r="M308" s="16">
        <f t="shared" si="44"/>
        <v>0</v>
      </c>
      <c r="N308" s="16">
        <f t="shared" si="44"/>
        <v>2</v>
      </c>
      <c r="O308" s="16">
        <f t="shared" si="44"/>
        <v>13</v>
      </c>
      <c r="P308" s="16">
        <f t="shared" si="44"/>
        <v>9</v>
      </c>
      <c r="Q308" s="16">
        <f t="shared" si="44"/>
        <v>1</v>
      </c>
      <c r="R308" s="16">
        <f t="shared" si="43"/>
        <v>15</v>
      </c>
      <c r="S308" s="16">
        <f t="shared" si="43"/>
        <v>0</v>
      </c>
      <c r="T308" s="16">
        <f t="shared" si="43"/>
        <v>0</v>
      </c>
      <c r="U308" s="16">
        <f t="shared" si="43"/>
        <v>0</v>
      </c>
      <c r="V308" s="16">
        <f t="shared" si="43"/>
        <v>0</v>
      </c>
      <c r="W308" s="16">
        <f t="shared" si="43"/>
        <v>1</v>
      </c>
      <c r="X308" s="16" t="str">
        <f t="shared" si="36"/>
        <v>null</v>
      </c>
    </row>
    <row r="309" spans="1:24" x14ac:dyDescent="0.15">
      <c r="A309" s="20" t="str">
        <f t="shared" si="38"/>
        <v>24_1-1/47&lt;lv44&gt;s1</v>
      </c>
      <c r="B309" s="16">
        <f t="shared" si="44"/>
        <v>24</v>
      </c>
      <c r="C309" s="16">
        <f t="shared" si="44"/>
        <v>1</v>
      </c>
      <c r="D309" s="16">
        <f t="shared" si="44"/>
        <v>1</v>
      </c>
      <c r="E309" s="16">
        <f t="shared" si="44"/>
        <v>47</v>
      </c>
      <c r="F309" s="16">
        <f t="shared" si="44"/>
        <v>44</v>
      </c>
      <c r="G309" s="16">
        <f t="shared" si="44"/>
        <v>1</v>
      </c>
      <c r="H309" s="16">
        <f t="shared" si="44"/>
        <v>1</v>
      </c>
      <c r="I309" s="16">
        <f t="shared" si="44"/>
        <v>0</v>
      </c>
      <c r="J309" s="16">
        <f t="shared" si="44"/>
        <v>0</v>
      </c>
      <c r="K309" s="16">
        <f t="shared" si="44"/>
        <v>0</v>
      </c>
      <c r="L309" s="16">
        <f t="shared" si="44"/>
        <v>100</v>
      </c>
      <c r="M309" s="16">
        <f t="shared" si="44"/>
        <v>0</v>
      </c>
      <c r="N309" s="16">
        <f t="shared" si="44"/>
        <v>1</v>
      </c>
      <c r="O309" s="16">
        <f t="shared" si="44"/>
        <v>47</v>
      </c>
      <c r="P309" s="16">
        <f t="shared" si="44"/>
        <v>7</v>
      </c>
      <c r="Q309" s="16">
        <f t="shared" si="44"/>
        <v>2</v>
      </c>
      <c r="R309" s="16">
        <f t="shared" si="43"/>
        <v>20</v>
      </c>
      <c r="S309" s="16">
        <f t="shared" si="43"/>
        <v>0</v>
      </c>
      <c r="T309" s="16">
        <f t="shared" si="43"/>
        <v>0</v>
      </c>
      <c r="U309" s="16">
        <f t="shared" si="43"/>
        <v>0</v>
      </c>
      <c r="V309" s="16">
        <f t="shared" si="43"/>
        <v>0</v>
      </c>
      <c r="W309" s="16">
        <f t="shared" si="43"/>
        <v>1</v>
      </c>
      <c r="X309" s="16" t="str">
        <f t="shared" si="36"/>
        <v>null</v>
      </c>
    </row>
    <row r="310" spans="1:24" x14ac:dyDescent="0.15">
      <c r="A310" s="20" t="str">
        <f t="shared" si="38"/>
        <v>24_1-1/63&lt;lv44&gt;s2</v>
      </c>
      <c r="B310" s="16">
        <f t="shared" si="44"/>
        <v>24</v>
      </c>
      <c r="C310" s="16">
        <f t="shared" si="44"/>
        <v>1</v>
      </c>
      <c r="D310" s="16">
        <f t="shared" si="44"/>
        <v>1</v>
      </c>
      <c r="E310" s="16">
        <f t="shared" si="44"/>
        <v>63</v>
      </c>
      <c r="F310" s="16">
        <f t="shared" si="44"/>
        <v>44</v>
      </c>
      <c r="G310" s="16">
        <f t="shared" si="44"/>
        <v>1</v>
      </c>
      <c r="H310" s="16">
        <f t="shared" si="44"/>
        <v>1</v>
      </c>
      <c r="I310" s="16">
        <f t="shared" si="44"/>
        <v>0</v>
      </c>
      <c r="J310" s="16">
        <f t="shared" si="44"/>
        <v>63</v>
      </c>
      <c r="K310" s="16">
        <f t="shared" si="44"/>
        <v>0</v>
      </c>
      <c r="L310" s="16">
        <f t="shared" si="44"/>
        <v>100</v>
      </c>
      <c r="M310" s="16">
        <f t="shared" si="44"/>
        <v>0</v>
      </c>
      <c r="N310" s="16">
        <f t="shared" si="44"/>
        <v>2</v>
      </c>
      <c r="O310" s="16">
        <f t="shared" si="44"/>
        <v>63</v>
      </c>
      <c r="P310" s="16">
        <f t="shared" si="44"/>
        <v>7</v>
      </c>
      <c r="Q310" s="16">
        <f t="shared" si="44"/>
        <v>2</v>
      </c>
      <c r="R310" s="16">
        <f t="shared" si="43"/>
        <v>20</v>
      </c>
      <c r="S310" s="16">
        <f t="shared" si="43"/>
        <v>0</v>
      </c>
      <c r="T310" s="16">
        <f t="shared" si="43"/>
        <v>0</v>
      </c>
      <c r="U310" s="16">
        <f t="shared" si="43"/>
        <v>0</v>
      </c>
      <c r="V310" s="16">
        <f t="shared" si="43"/>
        <v>0</v>
      </c>
      <c r="W310" s="16">
        <f t="shared" si="43"/>
        <v>1</v>
      </c>
      <c r="X310" s="16" t="str">
        <f t="shared" si="36"/>
        <v>null</v>
      </c>
    </row>
    <row r="311" spans="1:24" x14ac:dyDescent="0.15">
      <c r="A311" s="20" t="str">
        <f t="shared" si="38"/>
        <v>24_1-1/31&lt;lv44&gt;s2</v>
      </c>
      <c r="B311" s="16">
        <f t="shared" si="44"/>
        <v>24</v>
      </c>
      <c r="C311" s="16">
        <f t="shared" si="44"/>
        <v>1</v>
      </c>
      <c r="D311" s="16">
        <f t="shared" si="44"/>
        <v>1</v>
      </c>
      <c r="E311" s="16">
        <f t="shared" si="44"/>
        <v>31</v>
      </c>
      <c r="F311" s="16">
        <f t="shared" si="44"/>
        <v>44</v>
      </c>
      <c r="G311" s="16">
        <f t="shared" si="44"/>
        <v>1</v>
      </c>
      <c r="H311" s="16">
        <f t="shared" si="44"/>
        <v>1</v>
      </c>
      <c r="I311" s="16">
        <f t="shared" si="44"/>
        <v>0</v>
      </c>
      <c r="J311" s="16">
        <f t="shared" si="44"/>
        <v>0</v>
      </c>
      <c r="K311" s="16">
        <f t="shared" si="44"/>
        <v>0</v>
      </c>
      <c r="L311" s="16">
        <f t="shared" si="44"/>
        <v>100</v>
      </c>
      <c r="M311" s="16">
        <f t="shared" si="44"/>
        <v>0</v>
      </c>
      <c r="N311" s="16">
        <f t="shared" si="44"/>
        <v>2</v>
      </c>
      <c r="O311" s="16">
        <f t="shared" si="44"/>
        <v>31</v>
      </c>
      <c r="P311" s="16">
        <f t="shared" si="44"/>
        <v>7</v>
      </c>
      <c r="Q311" s="16">
        <f t="shared" si="44"/>
        <v>1</v>
      </c>
      <c r="R311" s="16">
        <f t="shared" si="43"/>
        <v>15</v>
      </c>
      <c r="S311" s="16">
        <f t="shared" si="43"/>
        <v>0</v>
      </c>
      <c r="T311" s="16">
        <f t="shared" si="43"/>
        <v>0</v>
      </c>
      <c r="U311" s="16">
        <f t="shared" si="43"/>
        <v>0</v>
      </c>
      <c r="V311" s="16">
        <f t="shared" si="43"/>
        <v>0</v>
      </c>
      <c r="W311" s="16">
        <f t="shared" si="43"/>
        <v>1</v>
      </c>
      <c r="X311" s="16" t="str">
        <f t="shared" si="36"/>
        <v>null</v>
      </c>
    </row>
    <row r="312" spans="1:24" x14ac:dyDescent="0.15">
      <c r="A312" s="20" t="str">
        <f t="shared" si="38"/>
        <v>24_1-1/366&lt;lv44&gt;s3</v>
      </c>
      <c r="B312" s="16">
        <f t="shared" si="44"/>
        <v>24</v>
      </c>
      <c r="C312" s="16">
        <f t="shared" si="44"/>
        <v>1</v>
      </c>
      <c r="D312" s="16">
        <f t="shared" si="44"/>
        <v>1</v>
      </c>
      <c r="E312" s="16">
        <f t="shared" si="44"/>
        <v>366</v>
      </c>
      <c r="F312" s="16">
        <f t="shared" si="44"/>
        <v>44</v>
      </c>
      <c r="G312" s="16">
        <f t="shared" si="44"/>
        <v>1</v>
      </c>
      <c r="H312" s="16">
        <f t="shared" si="44"/>
        <v>1</v>
      </c>
      <c r="I312" s="16">
        <f t="shared" si="44"/>
        <v>0</v>
      </c>
      <c r="J312" s="16">
        <f t="shared" si="44"/>
        <v>366</v>
      </c>
      <c r="K312" s="16">
        <f t="shared" si="44"/>
        <v>0</v>
      </c>
      <c r="L312" s="16">
        <f t="shared" si="44"/>
        <v>100</v>
      </c>
      <c r="M312" s="16">
        <f t="shared" si="44"/>
        <v>0</v>
      </c>
      <c r="N312" s="16">
        <f t="shared" si="44"/>
        <v>3</v>
      </c>
      <c r="O312" s="16">
        <f t="shared" si="44"/>
        <v>366</v>
      </c>
      <c r="P312" s="16">
        <f t="shared" si="44"/>
        <v>7</v>
      </c>
      <c r="Q312" s="16">
        <f t="shared" si="44"/>
        <v>2</v>
      </c>
      <c r="R312" s="16">
        <f t="shared" si="43"/>
        <v>20</v>
      </c>
      <c r="S312" s="16">
        <f t="shared" si="43"/>
        <v>0</v>
      </c>
      <c r="T312" s="16">
        <f t="shared" si="43"/>
        <v>0</v>
      </c>
      <c r="U312" s="16">
        <f t="shared" si="43"/>
        <v>0</v>
      </c>
      <c r="V312" s="16">
        <f t="shared" si="43"/>
        <v>0</v>
      </c>
      <c r="W312" s="16">
        <f t="shared" si="43"/>
        <v>1</v>
      </c>
      <c r="X312" s="16" t="str">
        <f t="shared" si="36"/>
        <v>null</v>
      </c>
    </row>
    <row r="313" spans="1:24" x14ac:dyDescent="0.15">
      <c r="A313" s="20" t="str">
        <f t="shared" si="38"/>
        <v>24_1-1/354&lt;lv44&gt;s3</v>
      </c>
      <c r="B313" s="16">
        <f t="shared" si="44"/>
        <v>24</v>
      </c>
      <c r="C313" s="16">
        <f t="shared" si="44"/>
        <v>1</v>
      </c>
      <c r="D313" s="16">
        <f t="shared" si="44"/>
        <v>1</v>
      </c>
      <c r="E313" s="16">
        <f t="shared" si="44"/>
        <v>354</v>
      </c>
      <c r="F313" s="16">
        <f t="shared" si="44"/>
        <v>44</v>
      </c>
      <c r="G313" s="16">
        <f t="shared" si="44"/>
        <v>1</v>
      </c>
      <c r="H313" s="16">
        <f t="shared" si="44"/>
        <v>1</v>
      </c>
      <c r="I313" s="16">
        <f t="shared" si="44"/>
        <v>0</v>
      </c>
      <c r="J313" s="16">
        <f t="shared" si="44"/>
        <v>354</v>
      </c>
      <c r="K313" s="16">
        <f t="shared" si="44"/>
        <v>0</v>
      </c>
      <c r="L313" s="16">
        <f t="shared" si="44"/>
        <v>100</v>
      </c>
      <c r="M313" s="16">
        <f t="shared" si="44"/>
        <v>0</v>
      </c>
      <c r="N313" s="16">
        <f t="shared" si="44"/>
        <v>3</v>
      </c>
      <c r="O313" s="16">
        <f t="shared" si="44"/>
        <v>354</v>
      </c>
      <c r="P313" s="16">
        <f t="shared" si="44"/>
        <v>1</v>
      </c>
      <c r="Q313" s="16">
        <f t="shared" si="44"/>
        <v>2</v>
      </c>
      <c r="R313" s="16">
        <f t="shared" si="43"/>
        <v>26</v>
      </c>
      <c r="S313" s="16">
        <f t="shared" si="43"/>
        <v>0</v>
      </c>
      <c r="T313" s="16">
        <f t="shared" si="43"/>
        <v>0</v>
      </c>
      <c r="U313" s="16">
        <f t="shared" si="43"/>
        <v>0</v>
      </c>
      <c r="V313" s="16">
        <f t="shared" si="43"/>
        <v>0</v>
      </c>
      <c r="W313" s="16">
        <f t="shared" si="43"/>
        <v>1</v>
      </c>
      <c r="X313" s="16" t="str">
        <f t="shared" si="36"/>
        <v>null</v>
      </c>
    </row>
    <row r="314" spans="1:24" x14ac:dyDescent="0.15">
      <c r="A314" s="20" t="str">
        <f t="shared" si="38"/>
        <v>24_1-2/11&lt;lv46&gt;s3</v>
      </c>
      <c r="B314" s="16">
        <f t="shared" si="44"/>
        <v>24</v>
      </c>
      <c r="C314" s="16">
        <f t="shared" si="44"/>
        <v>1</v>
      </c>
      <c r="D314" s="16">
        <f t="shared" si="44"/>
        <v>2</v>
      </c>
      <c r="E314" s="16">
        <f t="shared" si="44"/>
        <v>11</v>
      </c>
      <c r="F314" s="16">
        <f t="shared" si="44"/>
        <v>46</v>
      </c>
      <c r="G314" s="16">
        <f t="shared" si="44"/>
        <v>1</v>
      </c>
      <c r="H314" s="16">
        <f t="shared" si="44"/>
        <v>1</v>
      </c>
      <c r="I314" s="16">
        <f t="shared" si="44"/>
        <v>0</v>
      </c>
      <c r="J314" s="16">
        <f t="shared" si="44"/>
        <v>0</v>
      </c>
      <c r="K314" s="16">
        <f t="shared" si="44"/>
        <v>0</v>
      </c>
      <c r="L314" s="16">
        <f t="shared" si="44"/>
        <v>100</v>
      </c>
      <c r="M314" s="16">
        <f t="shared" si="44"/>
        <v>0</v>
      </c>
      <c r="N314" s="16">
        <f t="shared" si="44"/>
        <v>3</v>
      </c>
      <c r="O314" s="16">
        <f t="shared" si="44"/>
        <v>11</v>
      </c>
      <c r="P314" s="16">
        <f t="shared" si="44"/>
        <v>9</v>
      </c>
      <c r="Q314" s="16">
        <f t="shared" si="44"/>
        <v>1</v>
      </c>
      <c r="R314" s="16">
        <f t="shared" si="43"/>
        <v>15</v>
      </c>
      <c r="S314" s="16">
        <f t="shared" si="43"/>
        <v>0</v>
      </c>
      <c r="T314" s="16">
        <f t="shared" si="43"/>
        <v>0</v>
      </c>
      <c r="U314" s="16">
        <f t="shared" si="43"/>
        <v>0</v>
      </c>
      <c r="V314" s="16">
        <f t="shared" si="43"/>
        <v>0</v>
      </c>
      <c r="W314" s="16">
        <f t="shared" si="43"/>
        <v>1</v>
      </c>
      <c r="X314" s="16" t="str">
        <f t="shared" si="36"/>
        <v>null</v>
      </c>
    </row>
    <row r="315" spans="1:24" x14ac:dyDescent="0.15">
      <c r="A315" s="20" t="str">
        <f t="shared" si="38"/>
        <v>24_1-2/23&lt;lv46&gt;s4</v>
      </c>
      <c r="B315" s="16">
        <f t="shared" si="44"/>
        <v>24</v>
      </c>
      <c r="C315" s="16">
        <f t="shared" si="44"/>
        <v>1</v>
      </c>
      <c r="D315" s="16">
        <f t="shared" si="44"/>
        <v>2</v>
      </c>
      <c r="E315" s="16">
        <f t="shared" si="44"/>
        <v>23</v>
      </c>
      <c r="F315" s="16">
        <f t="shared" si="44"/>
        <v>46</v>
      </c>
      <c r="G315" s="16">
        <f t="shared" si="44"/>
        <v>1</v>
      </c>
      <c r="H315" s="16">
        <f t="shared" si="44"/>
        <v>1</v>
      </c>
      <c r="I315" s="16">
        <f t="shared" si="44"/>
        <v>0</v>
      </c>
      <c r="J315" s="16">
        <f t="shared" si="44"/>
        <v>0</v>
      </c>
      <c r="K315" s="16">
        <f t="shared" si="44"/>
        <v>0</v>
      </c>
      <c r="L315" s="16">
        <f t="shared" si="44"/>
        <v>100</v>
      </c>
      <c r="M315" s="16">
        <f t="shared" si="44"/>
        <v>0</v>
      </c>
      <c r="N315" s="16">
        <f t="shared" si="44"/>
        <v>4</v>
      </c>
      <c r="O315" s="16">
        <f t="shared" si="44"/>
        <v>23</v>
      </c>
      <c r="P315" s="16">
        <f t="shared" si="44"/>
        <v>7</v>
      </c>
      <c r="Q315" s="16">
        <f t="shared" si="44"/>
        <v>1</v>
      </c>
      <c r="R315" s="16">
        <f t="shared" si="43"/>
        <v>15</v>
      </c>
      <c r="S315" s="16">
        <f t="shared" si="43"/>
        <v>0</v>
      </c>
      <c r="T315" s="16">
        <f t="shared" si="43"/>
        <v>0</v>
      </c>
      <c r="U315" s="16">
        <f t="shared" si="43"/>
        <v>0</v>
      </c>
      <c r="V315" s="16">
        <f t="shared" si="43"/>
        <v>0</v>
      </c>
      <c r="W315" s="16">
        <f t="shared" si="43"/>
        <v>1</v>
      </c>
      <c r="X315" s="16" t="str">
        <f t="shared" si="36"/>
        <v>null</v>
      </c>
    </row>
    <row r="316" spans="1:24" x14ac:dyDescent="0.15">
      <c r="A316" s="20" t="str">
        <f t="shared" si="38"/>
        <v>24_1-2/59&lt;lv46&gt;s2</v>
      </c>
      <c r="B316" s="16">
        <f t="shared" si="44"/>
        <v>24</v>
      </c>
      <c r="C316" s="16">
        <f t="shared" si="44"/>
        <v>1</v>
      </c>
      <c r="D316" s="16">
        <f t="shared" si="44"/>
        <v>2</v>
      </c>
      <c r="E316" s="16">
        <f t="shared" si="44"/>
        <v>59</v>
      </c>
      <c r="F316" s="16">
        <f t="shared" si="44"/>
        <v>46</v>
      </c>
      <c r="G316" s="16">
        <f t="shared" si="44"/>
        <v>1</v>
      </c>
      <c r="H316" s="16">
        <f t="shared" si="44"/>
        <v>1</v>
      </c>
      <c r="I316" s="16">
        <f t="shared" si="44"/>
        <v>0</v>
      </c>
      <c r="J316" s="16">
        <f t="shared" si="44"/>
        <v>59</v>
      </c>
      <c r="K316" s="16">
        <f t="shared" si="44"/>
        <v>0</v>
      </c>
      <c r="L316" s="16">
        <f t="shared" si="44"/>
        <v>100</v>
      </c>
      <c r="M316" s="16">
        <f t="shared" si="44"/>
        <v>0</v>
      </c>
      <c r="N316" s="16">
        <f t="shared" si="44"/>
        <v>2</v>
      </c>
      <c r="O316" s="16">
        <f t="shared" si="44"/>
        <v>59</v>
      </c>
      <c r="P316" s="16">
        <f t="shared" si="44"/>
        <v>7</v>
      </c>
      <c r="Q316" s="16">
        <f t="shared" si="44"/>
        <v>2</v>
      </c>
      <c r="R316" s="16">
        <f t="shared" si="43"/>
        <v>20</v>
      </c>
      <c r="S316" s="16">
        <f t="shared" si="43"/>
        <v>0</v>
      </c>
      <c r="T316" s="16">
        <f t="shared" si="43"/>
        <v>0</v>
      </c>
      <c r="U316" s="16">
        <f t="shared" si="43"/>
        <v>0</v>
      </c>
      <c r="V316" s="16">
        <f t="shared" si="43"/>
        <v>0</v>
      </c>
      <c r="W316" s="16">
        <f t="shared" si="43"/>
        <v>1</v>
      </c>
      <c r="X316" s="16" t="str">
        <f t="shared" si="36"/>
        <v>null</v>
      </c>
    </row>
    <row r="317" spans="1:24" x14ac:dyDescent="0.15">
      <c r="A317" s="20" t="str">
        <f t="shared" si="38"/>
        <v>24_1-2/27&lt;lv46&gt;s1</v>
      </c>
      <c r="B317" s="16">
        <f t="shared" si="44"/>
        <v>24</v>
      </c>
      <c r="C317" s="16">
        <f t="shared" si="44"/>
        <v>1</v>
      </c>
      <c r="D317" s="16">
        <f t="shared" si="44"/>
        <v>2</v>
      </c>
      <c r="E317" s="16">
        <f t="shared" si="44"/>
        <v>27</v>
      </c>
      <c r="F317" s="16">
        <f t="shared" si="44"/>
        <v>46</v>
      </c>
      <c r="G317" s="16">
        <f t="shared" si="44"/>
        <v>1</v>
      </c>
      <c r="H317" s="16">
        <f t="shared" si="44"/>
        <v>1</v>
      </c>
      <c r="I317" s="16">
        <f t="shared" si="44"/>
        <v>0</v>
      </c>
      <c r="J317" s="16">
        <f t="shared" si="44"/>
        <v>0</v>
      </c>
      <c r="K317" s="16">
        <f t="shared" si="44"/>
        <v>0</v>
      </c>
      <c r="L317" s="16">
        <f t="shared" si="44"/>
        <v>100</v>
      </c>
      <c r="M317" s="16">
        <f t="shared" si="44"/>
        <v>0</v>
      </c>
      <c r="N317" s="16">
        <f t="shared" si="44"/>
        <v>1</v>
      </c>
      <c r="O317" s="16">
        <f t="shared" si="44"/>
        <v>27</v>
      </c>
      <c r="P317" s="16">
        <f t="shared" si="44"/>
        <v>7</v>
      </c>
      <c r="Q317" s="16">
        <f t="shared" si="44"/>
        <v>1</v>
      </c>
      <c r="R317" s="16">
        <f t="shared" si="43"/>
        <v>15</v>
      </c>
      <c r="S317" s="16">
        <f t="shared" si="43"/>
        <v>0</v>
      </c>
      <c r="T317" s="16">
        <f t="shared" si="43"/>
        <v>0</v>
      </c>
      <c r="U317" s="16">
        <f t="shared" si="43"/>
        <v>0</v>
      </c>
      <c r="V317" s="16">
        <f t="shared" si="43"/>
        <v>0</v>
      </c>
      <c r="W317" s="16">
        <f t="shared" si="43"/>
        <v>1</v>
      </c>
      <c r="X317" s="16" t="str">
        <f t="shared" si="36"/>
        <v>null</v>
      </c>
    </row>
    <row r="318" spans="1:24" x14ac:dyDescent="0.15">
      <c r="A318" s="20" t="str">
        <f t="shared" si="38"/>
        <v>24_1-2/35&lt;lv46&gt;s4</v>
      </c>
      <c r="B318" s="16">
        <f t="shared" si="44"/>
        <v>24</v>
      </c>
      <c r="C318" s="16">
        <f t="shared" si="44"/>
        <v>1</v>
      </c>
      <c r="D318" s="16">
        <f t="shared" si="44"/>
        <v>2</v>
      </c>
      <c r="E318" s="16">
        <f t="shared" si="44"/>
        <v>35</v>
      </c>
      <c r="F318" s="16">
        <f t="shared" si="44"/>
        <v>46</v>
      </c>
      <c r="G318" s="16">
        <f t="shared" si="44"/>
        <v>1</v>
      </c>
      <c r="H318" s="16">
        <f t="shared" si="44"/>
        <v>1</v>
      </c>
      <c r="I318" s="16">
        <f t="shared" si="44"/>
        <v>0</v>
      </c>
      <c r="J318" s="16">
        <f t="shared" si="44"/>
        <v>35</v>
      </c>
      <c r="K318" s="16">
        <f t="shared" si="44"/>
        <v>0</v>
      </c>
      <c r="L318" s="16">
        <f t="shared" si="44"/>
        <v>100</v>
      </c>
      <c r="M318" s="16">
        <f t="shared" si="44"/>
        <v>0</v>
      </c>
      <c r="N318" s="16">
        <f t="shared" si="44"/>
        <v>4</v>
      </c>
      <c r="O318" s="16">
        <f t="shared" si="44"/>
        <v>35</v>
      </c>
      <c r="P318" s="16">
        <f t="shared" si="44"/>
        <v>5</v>
      </c>
      <c r="Q318" s="16">
        <f t="shared" ref="Q318:X381" si="45">VLOOKUP($A318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18" s="16">
        <f t="shared" si="45"/>
        <v>20</v>
      </c>
      <c r="S318" s="16">
        <f t="shared" si="45"/>
        <v>0</v>
      </c>
      <c r="T318" s="16">
        <f t="shared" si="45"/>
        <v>0</v>
      </c>
      <c r="U318" s="16">
        <f t="shared" si="45"/>
        <v>0</v>
      </c>
      <c r="V318" s="16">
        <f t="shared" si="45"/>
        <v>0</v>
      </c>
      <c r="W318" s="16">
        <f t="shared" si="45"/>
        <v>1</v>
      </c>
      <c r="X318" s="16" t="str">
        <f t="shared" si="45"/>
        <v>null</v>
      </c>
    </row>
    <row r="319" spans="1:24" x14ac:dyDescent="0.15">
      <c r="A319" s="20" t="str">
        <f t="shared" si="38"/>
        <v>24_1-2/362&lt;lv46&gt;s3</v>
      </c>
      <c r="B319" s="16">
        <f t="shared" ref="B319:Q334" si="46">VLOOKUP($A319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319" s="16">
        <f t="shared" si="46"/>
        <v>1</v>
      </c>
      <c r="D319" s="16">
        <f t="shared" si="46"/>
        <v>2</v>
      </c>
      <c r="E319" s="16">
        <f t="shared" si="46"/>
        <v>362</v>
      </c>
      <c r="F319" s="16">
        <f t="shared" si="46"/>
        <v>46</v>
      </c>
      <c r="G319" s="16">
        <f t="shared" si="46"/>
        <v>1</v>
      </c>
      <c r="H319" s="16">
        <f t="shared" si="46"/>
        <v>1</v>
      </c>
      <c r="I319" s="16">
        <f t="shared" si="46"/>
        <v>0</v>
      </c>
      <c r="J319" s="16">
        <f t="shared" si="46"/>
        <v>362</v>
      </c>
      <c r="K319" s="16">
        <f t="shared" si="46"/>
        <v>0</v>
      </c>
      <c r="L319" s="16">
        <f t="shared" si="46"/>
        <v>100</v>
      </c>
      <c r="M319" s="16">
        <f t="shared" si="46"/>
        <v>0</v>
      </c>
      <c r="N319" s="16">
        <f t="shared" si="46"/>
        <v>3</v>
      </c>
      <c r="O319" s="16">
        <f t="shared" si="46"/>
        <v>362</v>
      </c>
      <c r="P319" s="16">
        <f t="shared" si="46"/>
        <v>5</v>
      </c>
      <c r="Q319" s="16">
        <f t="shared" si="46"/>
        <v>2</v>
      </c>
      <c r="R319" s="16">
        <f t="shared" si="45"/>
        <v>20</v>
      </c>
      <c r="S319" s="16">
        <f t="shared" si="45"/>
        <v>0</v>
      </c>
      <c r="T319" s="16">
        <f t="shared" si="45"/>
        <v>0</v>
      </c>
      <c r="U319" s="16">
        <f t="shared" si="45"/>
        <v>0</v>
      </c>
      <c r="V319" s="16">
        <f t="shared" si="45"/>
        <v>0</v>
      </c>
      <c r="W319" s="16">
        <f t="shared" si="45"/>
        <v>1</v>
      </c>
      <c r="X319" s="16" t="str">
        <f t="shared" si="45"/>
        <v>null</v>
      </c>
    </row>
    <row r="320" spans="1:24" x14ac:dyDescent="0.15">
      <c r="A320" s="20" t="str">
        <f t="shared" si="38"/>
        <v>24_1-2/350&lt;lv46&gt;s3</v>
      </c>
      <c r="B320" s="16">
        <f t="shared" si="46"/>
        <v>24</v>
      </c>
      <c r="C320" s="16">
        <f t="shared" si="46"/>
        <v>1</v>
      </c>
      <c r="D320" s="16">
        <f t="shared" si="46"/>
        <v>2</v>
      </c>
      <c r="E320" s="16">
        <f t="shared" si="46"/>
        <v>350</v>
      </c>
      <c r="F320" s="16">
        <f t="shared" si="46"/>
        <v>46</v>
      </c>
      <c r="G320" s="16">
        <f t="shared" si="46"/>
        <v>1</v>
      </c>
      <c r="H320" s="16">
        <f t="shared" si="46"/>
        <v>1</v>
      </c>
      <c r="I320" s="16">
        <f t="shared" si="46"/>
        <v>0</v>
      </c>
      <c r="J320" s="16">
        <f t="shared" si="46"/>
        <v>350</v>
      </c>
      <c r="K320" s="16">
        <f t="shared" si="46"/>
        <v>0</v>
      </c>
      <c r="L320" s="16">
        <f t="shared" si="46"/>
        <v>100</v>
      </c>
      <c r="M320" s="16">
        <f t="shared" si="46"/>
        <v>0</v>
      </c>
      <c r="N320" s="16">
        <f t="shared" si="46"/>
        <v>3</v>
      </c>
      <c r="O320" s="16">
        <f t="shared" si="46"/>
        <v>350</v>
      </c>
      <c r="P320" s="16">
        <f t="shared" si="46"/>
        <v>1</v>
      </c>
      <c r="Q320" s="16">
        <f t="shared" si="46"/>
        <v>2</v>
      </c>
      <c r="R320" s="16">
        <f t="shared" si="45"/>
        <v>26</v>
      </c>
      <c r="S320" s="16">
        <f t="shared" si="45"/>
        <v>0</v>
      </c>
      <c r="T320" s="16">
        <f t="shared" si="45"/>
        <v>0</v>
      </c>
      <c r="U320" s="16">
        <f t="shared" si="45"/>
        <v>0</v>
      </c>
      <c r="V320" s="16">
        <f t="shared" si="45"/>
        <v>0</v>
      </c>
      <c r="W320" s="16">
        <f t="shared" si="45"/>
        <v>1</v>
      </c>
      <c r="X320" s="16" t="str">
        <f t="shared" si="45"/>
        <v>null</v>
      </c>
    </row>
    <row r="321" spans="1:24" x14ac:dyDescent="0.15">
      <c r="A321" s="20" t="str">
        <f t="shared" si="38"/>
        <v>24_1-3/11&lt;lv46&gt;s3</v>
      </c>
      <c r="B321" s="16">
        <f t="shared" si="46"/>
        <v>24</v>
      </c>
      <c r="C321" s="16">
        <f t="shared" si="46"/>
        <v>1</v>
      </c>
      <c r="D321" s="16">
        <f t="shared" si="46"/>
        <v>3</v>
      </c>
      <c r="E321" s="16">
        <f t="shared" si="46"/>
        <v>11</v>
      </c>
      <c r="F321" s="16">
        <f t="shared" si="46"/>
        <v>46</v>
      </c>
      <c r="G321" s="16">
        <f t="shared" si="46"/>
        <v>1</v>
      </c>
      <c r="H321" s="16">
        <f t="shared" si="46"/>
        <v>1</v>
      </c>
      <c r="I321" s="16">
        <f t="shared" si="46"/>
        <v>0</v>
      </c>
      <c r="J321" s="16">
        <f t="shared" si="46"/>
        <v>0</v>
      </c>
      <c r="K321" s="16">
        <f t="shared" si="46"/>
        <v>0</v>
      </c>
      <c r="L321" s="16">
        <f t="shared" si="46"/>
        <v>100</v>
      </c>
      <c r="M321" s="16">
        <f t="shared" si="46"/>
        <v>0</v>
      </c>
      <c r="N321" s="16">
        <f t="shared" si="46"/>
        <v>3</v>
      </c>
      <c r="O321" s="16">
        <f t="shared" si="46"/>
        <v>11</v>
      </c>
      <c r="P321" s="16">
        <f t="shared" si="46"/>
        <v>9</v>
      </c>
      <c r="Q321" s="16">
        <f t="shared" si="46"/>
        <v>1</v>
      </c>
      <c r="R321" s="16">
        <f t="shared" si="45"/>
        <v>15</v>
      </c>
      <c r="S321" s="16">
        <f t="shared" si="45"/>
        <v>0</v>
      </c>
      <c r="T321" s="16">
        <f t="shared" si="45"/>
        <v>0</v>
      </c>
      <c r="U321" s="16">
        <f t="shared" si="45"/>
        <v>0</v>
      </c>
      <c r="V321" s="16">
        <f t="shared" si="45"/>
        <v>0</v>
      </c>
      <c r="W321" s="16">
        <f t="shared" si="45"/>
        <v>1</v>
      </c>
      <c r="X321" s="16" t="str">
        <f t="shared" si="45"/>
        <v>null</v>
      </c>
    </row>
    <row r="322" spans="1:24" x14ac:dyDescent="0.15">
      <c r="A322" s="20" t="str">
        <f t="shared" si="38"/>
        <v>24_1-3/13&lt;lv44&gt;s2</v>
      </c>
      <c r="B322" s="16">
        <f t="shared" si="46"/>
        <v>24</v>
      </c>
      <c r="C322" s="16">
        <f t="shared" si="46"/>
        <v>1</v>
      </c>
      <c r="D322" s="16">
        <f t="shared" si="46"/>
        <v>3</v>
      </c>
      <c r="E322" s="16">
        <f t="shared" si="46"/>
        <v>13</v>
      </c>
      <c r="F322" s="16">
        <f t="shared" si="46"/>
        <v>44</v>
      </c>
      <c r="G322" s="16">
        <f t="shared" si="46"/>
        <v>1.1000000000000001</v>
      </c>
      <c r="H322" s="16">
        <f t="shared" si="46"/>
        <v>1</v>
      </c>
      <c r="I322" s="16">
        <f t="shared" si="46"/>
        <v>0</v>
      </c>
      <c r="J322" s="16">
        <f t="shared" si="46"/>
        <v>0</v>
      </c>
      <c r="K322" s="16">
        <f t="shared" si="46"/>
        <v>0</v>
      </c>
      <c r="L322" s="16">
        <f t="shared" si="46"/>
        <v>100</v>
      </c>
      <c r="M322" s="16">
        <f t="shared" si="46"/>
        <v>0</v>
      </c>
      <c r="N322" s="16">
        <f t="shared" si="46"/>
        <v>2</v>
      </c>
      <c r="O322" s="16">
        <f t="shared" si="46"/>
        <v>13</v>
      </c>
      <c r="P322" s="16">
        <f t="shared" si="46"/>
        <v>9</v>
      </c>
      <c r="Q322" s="16">
        <f t="shared" si="46"/>
        <v>1</v>
      </c>
      <c r="R322" s="16">
        <f t="shared" si="45"/>
        <v>15</v>
      </c>
      <c r="S322" s="16">
        <f t="shared" si="45"/>
        <v>0</v>
      </c>
      <c r="T322" s="16">
        <f t="shared" si="45"/>
        <v>0</v>
      </c>
      <c r="U322" s="16">
        <f t="shared" si="45"/>
        <v>0</v>
      </c>
      <c r="V322" s="16">
        <f t="shared" si="45"/>
        <v>0</v>
      </c>
      <c r="W322" s="16">
        <f t="shared" si="45"/>
        <v>1</v>
      </c>
      <c r="X322" s="16" t="str">
        <f t="shared" si="45"/>
        <v>null</v>
      </c>
    </row>
    <row r="323" spans="1:24" x14ac:dyDescent="0.15">
      <c r="A323" s="20" t="str">
        <f t="shared" si="38"/>
        <v>24_1-3/23&lt;lv46&gt;s4</v>
      </c>
      <c r="B323" s="16">
        <f t="shared" si="46"/>
        <v>24</v>
      </c>
      <c r="C323" s="16">
        <f t="shared" si="46"/>
        <v>1</v>
      </c>
      <c r="D323" s="16">
        <f t="shared" si="46"/>
        <v>3</v>
      </c>
      <c r="E323" s="16">
        <f t="shared" si="46"/>
        <v>23</v>
      </c>
      <c r="F323" s="16">
        <f t="shared" si="46"/>
        <v>46</v>
      </c>
      <c r="G323" s="16">
        <f t="shared" si="46"/>
        <v>1</v>
      </c>
      <c r="H323" s="16">
        <f t="shared" si="46"/>
        <v>1</v>
      </c>
      <c r="I323" s="16">
        <f t="shared" si="46"/>
        <v>0</v>
      </c>
      <c r="J323" s="16">
        <f t="shared" si="46"/>
        <v>0</v>
      </c>
      <c r="K323" s="16">
        <f t="shared" si="46"/>
        <v>0</v>
      </c>
      <c r="L323" s="16">
        <f t="shared" si="46"/>
        <v>100</v>
      </c>
      <c r="M323" s="16">
        <f t="shared" si="46"/>
        <v>0</v>
      </c>
      <c r="N323" s="16">
        <f t="shared" si="46"/>
        <v>4</v>
      </c>
      <c r="O323" s="16">
        <f t="shared" si="46"/>
        <v>23</v>
      </c>
      <c r="P323" s="16">
        <f t="shared" si="46"/>
        <v>7</v>
      </c>
      <c r="Q323" s="16">
        <f t="shared" si="46"/>
        <v>1</v>
      </c>
      <c r="R323" s="16">
        <f t="shared" si="45"/>
        <v>15</v>
      </c>
      <c r="S323" s="16">
        <f t="shared" si="45"/>
        <v>0</v>
      </c>
      <c r="T323" s="16">
        <f t="shared" si="45"/>
        <v>0</v>
      </c>
      <c r="U323" s="16">
        <f t="shared" si="45"/>
        <v>0</v>
      </c>
      <c r="V323" s="16">
        <f t="shared" si="45"/>
        <v>0</v>
      </c>
      <c r="W323" s="16">
        <f t="shared" si="45"/>
        <v>1</v>
      </c>
      <c r="X323" s="16" t="str">
        <f t="shared" si="45"/>
        <v>null</v>
      </c>
    </row>
    <row r="324" spans="1:24" x14ac:dyDescent="0.15">
      <c r="A324" s="20" t="str">
        <f t="shared" ref="A324:A387" si="47">INDIRECT(ADDRESS(ROW()+$A$1,COLUMN(),1,TRUE,$C$1))</f>
        <v>24_1-3/47&lt;lv44&gt;s1</v>
      </c>
      <c r="B324" s="16">
        <f t="shared" si="46"/>
        <v>24</v>
      </c>
      <c r="C324" s="16">
        <f t="shared" si="46"/>
        <v>1</v>
      </c>
      <c r="D324" s="16">
        <f t="shared" si="46"/>
        <v>3</v>
      </c>
      <c r="E324" s="16">
        <f t="shared" si="46"/>
        <v>47</v>
      </c>
      <c r="F324" s="16">
        <f t="shared" si="46"/>
        <v>44</v>
      </c>
      <c r="G324" s="16">
        <f t="shared" si="46"/>
        <v>1.1000000000000001</v>
      </c>
      <c r="H324" s="16">
        <f t="shared" si="46"/>
        <v>1</v>
      </c>
      <c r="I324" s="16">
        <f t="shared" si="46"/>
        <v>0</v>
      </c>
      <c r="J324" s="16">
        <f t="shared" si="46"/>
        <v>0</v>
      </c>
      <c r="K324" s="16">
        <f t="shared" si="46"/>
        <v>0</v>
      </c>
      <c r="L324" s="16">
        <f t="shared" si="46"/>
        <v>100</v>
      </c>
      <c r="M324" s="16">
        <f t="shared" si="46"/>
        <v>0</v>
      </c>
      <c r="N324" s="16">
        <f t="shared" si="46"/>
        <v>1</v>
      </c>
      <c r="O324" s="16">
        <f t="shared" si="46"/>
        <v>47</v>
      </c>
      <c r="P324" s="16">
        <f t="shared" si="46"/>
        <v>7</v>
      </c>
      <c r="Q324" s="16">
        <f t="shared" si="46"/>
        <v>2</v>
      </c>
      <c r="R324" s="16">
        <f t="shared" si="45"/>
        <v>20</v>
      </c>
      <c r="S324" s="16">
        <f t="shared" si="45"/>
        <v>0</v>
      </c>
      <c r="T324" s="16">
        <f t="shared" si="45"/>
        <v>0</v>
      </c>
      <c r="U324" s="16">
        <f t="shared" si="45"/>
        <v>0</v>
      </c>
      <c r="V324" s="16">
        <f t="shared" si="45"/>
        <v>0</v>
      </c>
      <c r="W324" s="16">
        <f t="shared" si="45"/>
        <v>1</v>
      </c>
      <c r="X324" s="16" t="str">
        <f t="shared" si="45"/>
        <v>null</v>
      </c>
    </row>
    <row r="325" spans="1:24" x14ac:dyDescent="0.15">
      <c r="A325" s="20" t="str">
        <f t="shared" si="47"/>
        <v>24_1-3/59&lt;lv46&gt;s2</v>
      </c>
      <c r="B325" s="16">
        <f t="shared" si="46"/>
        <v>24</v>
      </c>
      <c r="C325" s="16">
        <f t="shared" si="46"/>
        <v>1</v>
      </c>
      <c r="D325" s="16">
        <f t="shared" si="46"/>
        <v>3</v>
      </c>
      <c r="E325" s="16">
        <f t="shared" si="46"/>
        <v>59</v>
      </c>
      <c r="F325" s="16">
        <f t="shared" si="46"/>
        <v>46</v>
      </c>
      <c r="G325" s="16">
        <f t="shared" si="46"/>
        <v>1</v>
      </c>
      <c r="H325" s="16">
        <f t="shared" si="46"/>
        <v>1</v>
      </c>
      <c r="I325" s="16">
        <f t="shared" si="46"/>
        <v>0</v>
      </c>
      <c r="J325" s="16">
        <f t="shared" si="46"/>
        <v>59</v>
      </c>
      <c r="K325" s="16">
        <f t="shared" si="46"/>
        <v>0</v>
      </c>
      <c r="L325" s="16">
        <f t="shared" si="46"/>
        <v>100</v>
      </c>
      <c r="M325" s="16">
        <f t="shared" si="46"/>
        <v>0</v>
      </c>
      <c r="N325" s="16">
        <f t="shared" si="46"/>
        <v>2</v>
      </c>
      <c r="O325" s="16">
        <f t="shared" si="46"/>
        <v>59</v>
      </c>
      <c r="P325" s="16">
        <f t="shared" si="46"/>
        <v>7</v>
      </c>
      <c r="Q325" s="16">
        <f t="shared" si="46"/>
        <v>2</v>
      </c>
      <c r="R325" s="16">
        <f t="shared" si="45"/>
        <v>20</v>
      </c>
      <c r="S325" s="16">
        <f t="shared" si="45"/>
        <v>0</v>
      </c>
      <c r="T325" s="16">
        <f t="shared" si="45"/>
        <v>0</v>
      </c>
      <c r="U325" s="16">
        <f t="shared" si="45"/>
        <v>0</v>
      </c>
      <c r="V325" s="16">
        <f t="shared" si="45"/>
        <v>0</v>
      </c>
      <c r="W325" s="16">
        <f t="shared" si="45"/>
        <v>1</v>
      </c>
      <c r="X325" s="16" t="str">
        <f t="shared" si="45"/>
        <v>null</v>
      </c>
    </row>
    <row r="326" spans="1:24" x14ac:dyDescent="0.15">
      <c r="A326" s="20" t="str">
        <f t="shared" si="47"/>
        <v>24_1-3/63&lt;lv44&gt;s2</v>
      </c>
      <c r="B326" s="16">
        <f t="shared" si="46"/>
        <v>24</v>
      </c>
      <c r="C326" s="16">
        <f t="shared" si="46"/>
        <v>1</v>
      </c>
      <c r="D326" s="16">
        <f t="shared" si="46"/>
        <v>3</v>
      </c>
      <c r="E326" s="16">
        <f t="shared" si="46"/>
        <v>63</v>
      </c>
      <c r="F326" s="16">
        <f t="shared" si="46"/>
        <v>44</v>
      </c>
      <c r="G326" s="16">
        <f t="shared" si="46"/>
        <v>1.1000000000000001</v>
      </c>
      <c r="H326" s="16">
        <f t="shared" si="46"/>
        <v>1</v>
      </c>
      <c r="I326" s="16">
        <f t="shared" si="46"/>
        <v>0</v>
      </c>
      <c r="J326" s="16">
        <f t="shared" si="46"/>
        <v>63</v>
      </c>
      <c r="K326" s="16">
        <f t="shared" si="46"/>
        <v>0</v>
      </c>
      <c r="L326" s="16">
        <f t="shared" si="46"/>
        <v>100</v>
      </c>
      <c r="M326" s="16">
        <f t="shared" si="46"/>
        <v>0</v>
      </c>
      <c r="N326" s="16">
        <f t="shared" si="46"/>
        <v>2</v>
      </c>
      <c r="O326" s="16">
        <f t="shared" si="46"/>
        <v>63</v>
      </c>
      <c r="P326" s="16">
        <f t="shared" si="46"/>
        <v>7</v>
      </c>
      <c r="Q326" s="16">
        <f t="shared" si="46"/>
        <v>2</v>
      </c>
      <c r="R326" s="16">
        <f t="shared" si="45"/>
        <v>20</v>
      </c>
      <c r="S326" s="16">
        <f t="shared" si="45"/>
        <v>0</v>
      </c>
      <c r="T326" s="16">
        <f t="shared" si="45"/>
        <v>0</v>
      </c>
      <c r="U326" s="16">
        <f t="shared" si="45"/>
        <v>0</v>
      </c>
      <c r="V326" s="16">
        <f t="shared" si="45"/>
        <v>0</v>
      </c>
      <c r="W326" s="16">
        <f t="shared" si="45"/>
        <v>1</v>
      </c>
      <c r="X326" s="16" t="str">
        <f t="shared" si="45"/>
        <v>null</v>
      </c>
    </row>
    <row r="327" spans="1:24" x14ac:dyDescent="0.15">
      <c r="A327" s="20" t="str">
        <f t="shared" si="47"/>
        <v>24_1-3/27&lt;lv46&gt;s1</v>
      </c>
      <c r="B327" s="16">
        <f t="shared" si="46"/>
        <v>24</v>
      </c>
      <c r="C327" s="16">
        <f t="shared" si="46"/>
        <v>1</v>
      </c>
      <c r="D327" s="16">
        <f t="shared" si="46"/>
        <v>3</v>
      </c>
      <c r="E327" s="16">
        <f t="shared" si="46"/>
        <v>27</v>
      </c>
      <c r="F327" s="16">
        <f t="shared" si="46"/>
        <v>46</v>
      </c>
      <c r="G327" s="16">
        <f t="shared" si="46"/>
        <v>1</v>
      </c>
      <c r="H327" s="16">
        <f t="shared" si="46"/>
        <v>1</v>
      </c>
      <c r="I327" s="16">
        <f t="shared" si="46"/>
        <v>0</v>
      </c>
      <c r="J327" s="16">
        <f t="shared" si="46"/>
        <v>0</v>
      </c>
      <c r="K327" s="16">
        <f t="shared" si="46"/>
        <v>0</v>
      </c>
      <c r="L327" s="16">
        <f t="shared" si="46"/>
        <v>100</v>
      </c>
      <c r="M327" s="16">
        <f t="shared" si="46"/>
        <v>0</v>
      </c>
      <c r="N327" s="16">
        <f t="shared" si="46"/>
        <v>1</v>
      </c>
      <c r="O327" s="16">
        <f t="shared" si="46"/>
        <v>27</v>
      </c>
      <c r="P327" s="16">
        <f t="shared" si="46"/>
        <v>7</v>
      </c>
      <c r="Q327" s="16">
        <f t="shared" si="46"/>
        <v>1</v>
      </c>
      <c r="R327" s="16">
        <f t="shared" si="45"/>
        <v>15</v>
      </c>
      <c r="S327" s="16">
        <f t="shared" si="45"/>
        <v>0</v>
      </c>
      <c r="T327" s="16">
        <f t="shared" si="45"/>
        <v>0</v>
      </c>
      <c r="U327" s="16">
        <f t="shared" si="45"/>
        <v>0</v>
      </c>
      <c r="V327" s="16">
        <f t="shared" si="45"/>
        <v>0</v>
      </c>
      <c r="W327" s="16">
        <f t="shared" si="45"/>
        <v>1</v>
      </c>
      <c r="X327" s="16" t="str">
        <f t="shared" si="45"/>
        <v>null</v>
      </c>
    </row>
    <row r="328" spans="1:24" x14ac:dyDescent="0.15">
      <c r="A328" s="20" t="str">
        <f t="shared" si="47"/>
        <v>24_1-3/31&lt;lv44&gt;s2</v>
      </c>
      <c r="B328" s="16">
        <f t="shared" si="46"/>
        <v>24</v>
      </c>
      <c r="C328" s="16">
        <f t="shared" si="46"/>
        <v>1</v>
      </c>
      <c r="D328" s="16">
        <f t="shared" si="46"/>
        <v>3</v>
      </c>
      <c r="E328" s="16">
        <f t="shared" si="46"/>
        <v>31</v>
      </c>
      <c r="F328" s="16">
        <f t="shared" si="46"/>
        <v>44</v>
      </c>
      <c r="G328" s="16">
        <f t="shared" si="46"/>
        <v>1.1000000000000001</v>
      </c>
      <c r="H328" s="16">
        <f t="shared" si="46"/>
        <v>1</v>
      </c>
      <c r="I328" s="16">
        <f t="shared" si="46"/>
        <v>0</v>
      </c>
      <c r="J328" s="16">
        <f t="shared" si="46"/>
        <v>0</v>
      </c>
      <c r="K328" s="16">
        <f t="shared" si="46"/>
        <v>0</v>
      </c>
      <c r="L328" s="16">
        <f t="shared" si="46"/>
        <v>100</v>
      </c>
      <c r="M328" s="16">
        <f t="shared" si="46"/>
        <v>0</v>
      </c>
      <c r="N328" s="16">
        <f t="shared" si="46"/>
        <v>2</v>
      </c>
      <c r="O328" s="16">
        <f t="shared" si="46"/>
        <v>31</v>
      </c>
      <c r="P328" s="16">
        <f t="shared" si="46"/>
        <v>7</v>
      </c>
      <c r="Q328" s="16">
        <f t="shared" si="46"/>
        <v>1</v>
      </c>
      <c r="R328" s="16">
        <f t="shared" si="45"/>
        <v>15</v>
      </c>
      <c r="S328" s="16">
        <f t="shared" si="45"/>
        <v>0</v>
      </c>
      <c r="T328" s="16">
        <f t="shared" si="45"/>
        <v>0</v>
      </c>
      <c r="U328" s="16">
        <f t="shared" si="45"/>
        <v>0</v>
      </c>
      <c r="V328" s="16">
        <f t="shared" si="45"/>
        <v>0</v>
      </c>
      <c r="W328" s="16">
        <f t="shared" si="45"/>
        <v>1</v>
      </c>
      <c r="X328" s="16" t="str">
        <f t="shared" si="45"/>
        <v>null</v>
      </c>
    </row>
    <row r="329" spans="1:24" x14ac:dyDescent="0.15">
      <c r="A329" s="20" t="str">
        <f t="shared" si="47"/>
        <v>24_1-3/35&lt;lv46&gt;s4</v>
      </c>
      <c r="B329" s="16">
        <f t="shared" si="46"/>
        <v>24</v>
      </c>
      <c r="C329" s="16">
        <f t="shared" si="46"/>
        <v>1</v>
      </c>
      <c r="D329" s="16">
        <f t="shared" si="46"/>
        <v>3</v>
      </c>
      <c r="E329" s="16">
        <f t="shared" si="46"/>
        <v>35</v>
      </c>
      <c r="F329" s="16">
        <f t="shared" si="46"/>
        <v>46</v>
      </c>
      <c r="G329" s="16">
        <f t="shared" si="46"/>
        <v>1</v>
      </c>
      <c r="H329" s="16">
        <f t="shared" si="46"/>
        <v>1</v>
      </c>
      <c r="I329" s="16">
        <f t="shared" si="46"/>
        <v>0</v>
      </c>
      <c r="J329" s="16">
        <f t="shared" si="46"/>
        <v>35</v>
      </c>
      <c r="K329" s="16">
        <f t="shared" si="46"/>
        <v>0</v>
      </c>
      <c r="L329" s="16">
        <f t="shared" si="46"/>
        <v>100</v>
      </c>
      <c r="M329" s="16">
        <f t="shared" si="46"/>
        <v>0</v>
      </c>
      <c r="N329" s="16">
        <f t="shared" si="46"/>
        <v>4</v>
      </c>
      <c r="O329" s="16">
        <f t="shared" si="46"/>
        <v>35</v>
      </c>
      <c r="P329" s="16">
        <f t="shared" si="46"/>
        <v>5</v>
      </c>
      <c r="Q329" s="16">
        <f t="shared" si="46"/>
        <v>2</v>
      </c>
      <c r="R329" s="16">
        <f t="shared" si="45"/>
        <v>20</v>
      </c>
      <c r="S329" s="16">
        <f t="shared" si="45"/>
        <v>0</v>
      </c>
      <c r="T329" s="16">
        <f t="shared" si="45"/>
        <v>0</v>
      </c>
      <c r="U329" s="16">
        <f t="shared" si="45"/>
        <v>0</v>
      </c>
      <c r="V329" s="16">
        <f t="shared" si="45"/>
        <v>0</v>
      </c>
      <c r="W329" s="16">
        <f t="shared" si="45"/>
        <v>1</v>
      </c>
      <c r="X329" s="16" t="str">
        <f t="shared" si="45"/>
        <v>null</v>
      </c>
    </row>
    <row r="330" spans="1:24" x14ac:dyDescent="0.15">
      <c r="A330" s="20" t="str">
        <f t="shared" si="47"/>
        <v>24_1-3/362&lt;lv46&gt;s3</v>
      </c>
      <c r="B330" s="16">
        <f t="shared" si="46"/>
        <v>24</v>
      </c>
      <c r="C330" s="16">
        <f t="shared" si="46"/>
        <v>1</v>
      </c>
      <c r="D330" s="16">
        <f t="shared" si="46"/>
        <v>3</v>
      </c>
      <c r="E330" s="16">
        <f t="shared" si="46"/>
        <v>362</v>
      </c>
      <c r="F330" s="16">
        <f t="shared" si="46"/>
        <v>46</v>
      </c>
      <c r="G330" s="16">
        <f t="shared" si="46"/>
        <v>1</v>
      </c>
      <c r="H330" s="16">
        <f t="shared" si="46"/>
        <v>1</v>
      </c>
      <c r="I330" s="16">
        <f t="shared" si="46"/>
        <v>0</v>
      </c>
      <c r="J330" s="16">
        <f t="shared" si="46"/>
        <v>362</v>
      </c>
      <c r="K330" s="16">
        <f t="shared" si="46"/>
        <v>0</v>
      </c>
      <c r="L330" s="16">
        <f t="shared" si="46"/>
        <v>100</v>
      </c>
      <c r="M330" s="16">
        <f t="shared" si="46"/>
        <v>0</v>
      </c>
      <c r="N330" s="16">
        <f t="shared" si="46"/>
        <v>3</v>
      </c>
      <c r="O330" s="16">
        <f t="shared" si="46"/>
        <v>362</v>
      </c>
      <c r="P330" s="16">
        <f t="shared" si="46"/>
        <v>7</v>
      </c>
      <c r="Q330" s="16">
        <f t="shared" si="46"/>
        <v>2</v>
      </c>
      <c r="R330" s="16">
        <f t="shared" si="45"/>
        <v>20</v>
      </c>
      <c r="S330" s="16">
        <f t="shared" si="45"/>
        <v>0</v>
      </c>
      <c r="T330" s="16">
        <f t="shared" si="45"/>
        <v>0</v>
      </c>
      <c r="U330" s="16">
        <f t="shared" si="45"/>
        <v>0</v>
      </c>
      <c r="V330" s="16">
        <f t="shared" si="45"/>
        <v>0</v>
      </c>
      <c r="W330" s="16">
        <f t="shared" si="45"/>
        <v>1</v>
      </c>
      <c r="X330" s="16" t="str">
        <f t="shared" si="45"/>
        <v>null</v>
      </c>
    </row>
    <row r="331" spans="1:24" x14ac:dyDescent="0.15">
      <c r="A331" s="20" t="str">
        <f t="shared" si="47"/>
        <v>24_1-3/366&lt;lv44&gt;s3</v>
      </c>
      <c r="B331" s="16">
        <f t="shared" si="46"/>
        <v>24</v>
      </c>
      <c r="C331" s="16">
        <f t="shared" si="46"/>
        <v>1</v>
      </c>
      <c r="D331" s="16">
        <f t="shared" si="46"/>
        <v>3</v>
      </c>
      <c r="E331" s="16">
        <f t="shared" si="46"/>
        <v>366</v>
      </c>
      <c r="F331" s="16">
        <f t="shared" si="46"/>
        <v>44</v>
      </c>
      <c r="G331" s="16">
        <f t="shared" si="46"/>
        <v>1.1000000000000001</v>
      </c>
      <c r="H331" s="16">
        <f t="shared" si="46"/>
        <v>1</v>
      </c>
      <c r="I331" s="16">
        <f t="shared" si="46"/>
        <v>0</v>
      </c>
      <c r="J331" s="16">
        <f t="shared" si="46"/>
        <v>366</v>
      </c>
      <c r="K331" s="16">
        <f t="shared" si="46"/>
        <v>0</v>
      </c>
      <c r="L331" s="16">
        <f t="shared" si="46"/>
        <v>100</v>
      </c>
      <c r="M331" s="16">
        <f t="shared" si="46"/>
        <v>0</v>
      </c>
      <c r="N331" s="16">
        <f t="shared" si="46"/>
        <v>3</v>
      </c>
      <c r="O331" s="16">
        <f t="shared" si="46"/>
        <v>366</v>
      </c>
      <c r="P331" s="16">
        <f t="shared" si="46"/>
        <v>5</v>
      </c>
      <c r="Q331" s="16">
        <f t="shared" si="46"/>
        <v>2</v>
      </c>
      <c r="R331" s="16">
        <f t="shared" si="45"/>
        <v>20</v>
      </c>
      <c r="S331" s="16">
        <f t="shared" si="45"/>
        <v>0</v>
      </c>
      <c r="T331" s="16">
        <f t="shared" si="45"/>
        <v>0</v>
      </c>
      <c r="U331" s="16">
        <f t="shared" si="45"/>
        <v>0</v>
      </c>
      <c r="V331" s="16">
        <f t="shared" si="45"/>
        <v>0</v>
      </c>
      <c r="W331" s="16">
        <f t="shared" si="45"/>
        <v>1</v>
      </c>
      <c r="X331" s="16" t="str">
        <f t="shared" si="45"/>
        <v>null</v>
      </c>
    </row>
    <row r="332" spans="1:24" x14ac:dyDescent="0.15">
      <c r="A332" s="20" t="str">
        <f t="shared" si="47"/>
        <v>24_1-3/354&lt;lv44&gt;s3</v>
      </c>
      <c r="B332" s="16">
        <f t="shared" si="46"/>
        <v>24</v>
      </c>
      <c r="C332" s="16">
        <f t="shared" si="46"/>
        <v>1</v>
      </c>
      <c r="D332" s="16">
        <f t="shared" si="46"/>
        <v>3</v>
      </c>
      <c r="E332" s="16">
        <f t="shared" si="46"/>
        <v>354</v>
      </c>
      <c r="F332" s="16">
        <f t="shared" si="46"/>
        <v>44</v>
      </c>
      <c r="G332" s="16">
        <f t="shared" si="46"/>
        <v>1</v>
      </c>
      <c r="H332" s="16">
        <f t="shared" si="46"/>
        <v>1</v>
      </c>
      <c r="I332" s="16">
        <f t="shared" si="46"/>
        <v>0</v>
      </c>
      <c r="J332" s="16">
        <f t="shared" si="46"/>
        <v>354</v>
      </c>
      <c r="K332" s="16">
        <f t="shared" si="46"/>
        <v>0</v>
      </c>
      <c r="L332" s="16">
        <f t="shared" si="46"/>
        <v>100</v>
      </c>
      <c r="M332" s="16">
        <f t="shared" si="46"/>
        <v>0</v>
      </c>
      <c r="N332" s="16">
        <f t="shared" si="46"/>
        <v>3</v>
      </c>
      <c r="O332" s="16">
        <f t="shared" si="46"/>
        <v>354</v>
      </c>
      <c r="P332" s="16">
        <f t="shared" si="46"/>
        <v>1</v>
      </c>
      <c r="Q332" s="16">
        <f t="shared" si="46"/>
        <v>2</v>
      </c>
      <c r="R332" s="16">
        <f t="shared" si="45"/>
        <v>26</v>
      </c>
      <c r="S332" s="16">
        <f t="shared" si="45"/>
        <v>0</v>
      </c>
      <c r="T332" s="16">
        <f t="shared" si="45"/>
        <v>0</v>
      </c>
      <c r="U332" s="16">
        <f t="shared" si="45"/>
        <v>0</v>
      </c>
      <c r="V332" s="16">
        <f t="shared" si="45"/>
        <v>0</v>
      </c>
      <c r="W332" s="16">
        <f t="shared" si="45"/>
        <v>1</v>
      </c>
      <c r="X332" s="16" t="str">
        <f t="shared" si="45"/>
        <v>null</v>
      </c>
    </row>
    <row r="333" spans="1:24" x14ac:dyDescent="0.15">
      <c r="A333" s="20" t="str">
        <f t="shared" si="47"/>
        <v>24_1-4/47&lt;lv44&gt;s1</v>
      </c>
      <c r="B333" s="16">
        <f t="shared" si="46"/>
        <v>24</v>
      </c>
      <c r="C333" s="16">
        <f t="shared" si="46"/>
        <v>1</v>
      </c>
      <c r="D333" s="16">
        <f t="shared" si="46"/>
        <v>4</v>
      </c>
      <c r="E333" s="16">
        <f t="shared" si="46"/>
        <v>47</v>
      </c>
      <c r="F333" s="16">
        <f t="shared" si="46"/>
        <v>44</v>
      </c>
      <c r="G333" s="16">
        <f t="shared" si="46"/>
        <v>1.1000000000000001</v>
      </c>
      <c r="H333" s="16">
        <f t="shared" si="46"/>
        <v>1</v>
      </c>
      <c r="I333" s="16">
        <f t="shared" si="46"/>
        <v>0</v>
      </c>
      <c r="J333" s="16">
        <f t="shared" si="46"/>
        <v>0</v>
      </c>
      <c r="K333" s="16">
        <f t="shared" si="46"/>
        <v>0</v>
      </c>
      <c r="L333" s="16">
        <f t="shared" si="46"/>
        <v>100</v>
      </c>
      <c r="M333" s="16">
        <f t="shared" si="46"/>
        <v>0</v>
      </c>
      <c r="N333" s="16">
        <f t="shared" si="46"/>
        <v>1</v>
      </c>
      <c r="O333" s="16">
        <f t="shared" si="46"/>
        <v>47</v>
      </c>
      <c r="P333" s="16">
        <f t="shared" si="46"/>
        <v>7</v>
      </c>
      <c r="Q333" s="16">
        <f t="shared" si="46"/>
        <v>2</v>
      </c>
      <c r="R333" s="16">
        <f t="shared" si="45"/>
        <v>20</v>
      </c>
      <c r="S333" s="16">
        <f t="shared" si="45"/>
        <v>0</v>
      </c>
      <c r="T333" s="16">
        <f t="shared" si="45"/>
        <v>0</v>
      </c>
      <c r="U333" s="16">
        <f t="shared" si="45"/>
        <v>0</v>
      </c>
      <c r="V333" s="16">
        <f t="shared" si="45"/>
        <v>0</v>
      </c>
      <c r="W333" s="16">
        <f t="shared" si="45"/>
        <v>1</v>
      </c>
      <c r="X333" s="16" t="str">
        <f t="shared" si="45"/>
        <v>null</v>
      </c>
    </row>
    <row r="334" spans="1:24" x14ac:dyDescent="0.15">
      <c r="A334" s="20" t="str">
        <f t="shared" si="47"/>
        <v>24_1-4/59&lt;lv46&gt;s2</v>
      </c>
      <c r="B334" s="16">
        <f t="shared" si="46"/>
        <v>24</v>
      </c>
      <c r="C334" s="16">
        <f t="shared" si="46"/>
        <v>1</v>
      </c>
      <c r="D334" s="16">
        <f t="shared" si="46"/>
        <v>4</v>
      </c>
      <c r="E334" s="16">
        <f t="shared" si="46"/>
        <v>59</v>
      </c>
      <c r="F334" s="16">
        <f t="shared" si="46"/>
        <v>46</v>
      </c>
      <c r="G334" s="16">
        <f t="shared" si="46"/>
        <v>1</v>
      </c>
      <c r="H334" s="16">
        <f t="shared" si="46"/>
        <v>1</v>
      </c>
      <c r="I334" s="16">
        <f t="shared" si="46"/>
        <v>0</v>
      </c>
      <c r="J334" s="16">
        <f t="shared" si="46"/>
        <v>59</v>
      </c>
      <c r="K334" s="16">
        <f t="shared" si="46"/>
        <v>0</v>
      </c>
      <c r="L334" s="16">
        <f t="shared" si="46"/>
        <v>100</v>
      </c>
      <c r="M334" s="16">
        <f t="shared" si="46"/>
        <v>0</v>
      </c>
      <c r="N334" s="16">
        <f t="shared" si="46"/>
        <v>2</v>
      </c>
      <c r="O334" s="16">
        <f t="shared" si="46"/>
        <v>59</v>
      </c>
      <c r="P334" s="16">
        <f t="shared" si="46"/>
        <v>7</v>
      </c>
      <c r="Q334" s="16">
        <f t="shared" ref="Q334:W349" si="48">VLOOKUP($A334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34" s="16">
        <f t="shared" si="48"/>
        <v>20</v>
      </c>
      <c r="S334" s="16">
        <f t="shared" si="48"/>
        <v>0</v>
      </c>
      <c r="T334" s="16">
        <f t="shared" si="48"/>
        <v>0</v>
      </c>
      <c r="U334" s="16">
        <f t="shared" si="48"/>
        <v>0</v>
      </c>
      <c r="V334" s="16">
        <f t="shared" si="48"/>
        <v>0</v>
      </c>
      <c r="W334" s="16">
        <f t="shared" si="48"/>
        <v>1</v>
      </c>
      <c r="X334" s="16" t="str">
        <f t="shared" si="45"/>
        <v>null</v>
      </c>
    </row>
    <row r="335" spans="1:24" x14ac:dyDescent="0.15">
      <c r="A335" s="20" t="str">
        <f t="shared" si="47"/>
        <v>24_1-4/63&lt;lv44&gt;s2</v>
      </c>
      <c r="B335" s="16">
        <f t="shared" ref="B335:Q350" si="49">VLOOKUP($A335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335" s="16">
        <f t="shared" si="49"/>
        <v>1</v>
      </c>
      <c r="D335" s="16">
        <f t="shared" si="49"/>
        <v>4</v>
      </c>
      <c r="E335" s="16">
        <f t="shared" si="49"/>
        <v>63</v>
      </c>
      <c r="F335" s="16">
        <f t="shared" si="49"/>
        <v>44</v>
      </c>
      <c r="G335" s="16">
        <f t="shared" si="49"/>
        <v>1.1000000000000001</v>
      </c>
      <c r="H335" s="16">
        <f t="shared" si="49"/>
        <v>1</v>
      </c>
      <c r="I335" s="16">
        <f t="shared" si="49"/>
        <v>0</v>
      </c>
      <c r="J335" s="16">
        <f t="shared" si="49"/>
        <v>63</v>
      </c>
      <c r="K335" s="16">
        <f t="shared" si="49"/>
        <v>0</v>
      </c>
      <c r="L335" s="16">
        <f t="shared" si="49"/>
        <v>100</v>
      </c>
      <c r="M335" s="16">
        <f t="shared" si="49"/>
        <v>0</v>
      </c>
      <c r="N335" s="16">
        <f t="shared" si="49"/>
        <v>2</v>
      </c>
      <c r="O335" s="16">
        <f t="shared" si="49"/>
        <v>63</v>
      </c>
      <c r="P335" s="16">
        <f t="shared" si="49"/>
        <v>7</v>
      </c>
      <c r="Q335" s="16">
        <f t="shared" si="49"/>
        <v>2</v>
      </c>
      <c r="R335" s="16">
        <f t="shared" si="48"/>
        <v>20</v>
      </c>
      <c r="S335" s="16">
        <f t="shared" si="48"/>
        <v>0</v>
      </c>
      <c r="T335" s="16">
        <f t="shared" si="48"/>
        <v>0</v>
      </c>
      <c r="U335" s="16">
        <f t="shared" si="48"/>
        <v>0</v>
      </c>
      <c r="V335" s="16">
        <f t="shared" si="48"/>
        <v>0</v>
      </c>
      <c r="W335" s="16">
        <f t="shared" si="48"/>
        <v>1</v>
      </c>
      <c r="X335" s="16" t="str">
        <f t="shared" si="45"/>
        <v>null</v>
      </c>
    </row>
    <row r="336" spans="1:24" x14ac:dyDescent="0.15">
      <c r="A336" s="20" t="str">
        <f t="shared" si="47"/>
        <v>24_1-4/35&lt;lv46&gt;s4</v>
      </c>
      <c r="B336" s="16">
        <f t="shared" si="49"/>
        <v>24</v>
      </c>
      <c r="C336" s="16">
        <f t="shared" si="49"/>
        <v>1</v>
      </c>
      <c r="D336" s="16">
        <f t="shared" si="49"/>
        <v>4</v>
      </c>
      <c r="E336" s="16">
        <f t="shared" si="49"/>
        <v>35</v>
      </c>
      <c r="F336" s="16">
        <f t="shared" si="49"/>
        <v>46</v>
      </c>
      <c r="G336" s="16">
        <f t="shared" si="49"/>
        <v>1</v>
      </c>
      <c r="H336" s="16">
        <f t="shared" si="49"/>
        <v>1</v>
      </c>
      <c r="I336" s="16">
        <f t="shared" si="49"/>
        <v>0</v>
      </c>
      <c r="J336" s="16">
        <f t="shared" si="49"/>
        <v>35</v>
      </c>
      <c r="K336" s="16">
        <f t="shared" si="49"/>
        <v>0</v>
      </c>
      <c r="L336" s="16">
        <f t="shared" si="49"/>
        <v>100</v>
      </c>
      <c r="M336" s="16">
        <f t="shared" si="49"/>
        <v>0</v>
      </c>
      <c r="N336" s="16">
        <f t="shared" si="49"/>
        <v>4</v>
      </c>
      <c r="O336" s="16">
        <f t="shared" si="49"/>
        <v>35</v>
      </c>
      <c r="P336" s="16">
        <f t="shared" si="49"/>
        <v>5</v>
      </c>
      <c r="Q336" s="16">
        <f t="shared" si="49"/>
        <v>2</v>
      </c>
      <c r="R336" s="16">
        <f t="shared" si="48"/>
        <v>20</v>
      </c>
      <c r="S336" s="16">
        <f t="shared" si="48"/>
        <v>0</v>
      </c>
      <c r="T336" s="16">
        <f t="shared" si="48"/>
        <v>0</v>
      </c>
      <c r="U336" s="16">
        <f t="shared" si="48"/>
        <v>0</v>
      </c>
      <c r="V336" s="16">
        <f t="shared" si="48"/>
        <v>0</v>
      </c>
      <c r="W336" s="16">
        <f t="shared" si="48"/>
        <v>1</v>
      </c>
      <c r="X336" s="16" t="str">
        <f t="shared" si="45"/>
        <v>null</v>
      </c>
    </row>
    <row r="337" spans="1:24" x14ac:dyDescent="0.15">
      <c r="A337" s="20" t="str">
        <f t="shared" si="47"/>
        <v>24_1-4/362&lt;lv46&gt;s3</v>
      </c>
      <c r="B337" s="16">
        <f t="shared" si="49"/>
        <v>24</v>
      </c>
      <c r="C337" s="16">
        <f t="shared" si="49"/>
        <v>1</v>
      </c>
      <c r="D337" s="16">
        <f t="shared" si="49"/>
        <v>4</v>
      </c>
      <c r="E337" s="16">
        <f t="shared" si="49"/>
        <v>362</v>
      </c>
      <c r="F337" s="16">
        <f t="shared" si="49"/>
        <v>46</v>
      </c>
      <c r="G337" s="16">
        <f t="shared" si="49"/>
        <v>1</v>
      </c>
      <c r="H337" s="16">
        <f t="shared" si="49"/>
        <v>1</v>
      </c>
      <c r="I337" s="16">
        <f t="shared" si="49"/>
        <v>0</v>
      </c>
      <c r="J337" s="16">
        <f t="shared" si="49"/>
        <v>362</v>
      </c>
      <c r="K337" s="16">
        <f t="shared" si="49"/>
        <v>0</v>
      </c>
      <c r="L337" s="16">
        <f t="shared" si="49"/>
        <v>100</v>
      </c>
      <c r="M337" s="16">
        <f t="shared" si="49"/>
        <v>0</v>
      </c>
      <c r="N337" s="16">
        <f t="shared" si="49"/>
        <v>3</v>
      </c>
      <c r="O337" s="16">
        <f t="shared" si="49"/>
        <v>362</v>
      </c>
      <c r="P337" s="16">
        <f t="shared" si="49"/>
        <v>7</v>
      </c>
      <c r="Q337" s="16">
        <f t="shared" si="49"/>
        <v>2</v>
      </c>
      <c r="R337" s="16">
        <f t="shared" si="48"/>
        <v>20</v>
      </c>
      <c r="S337" s="16">
        <f t="shared" si="48"/>
        <v>0</v>
      </c>
      <c r="T337" s="16">
        <f t="shared" si="48"/>
        <v>0</v>
      </c>
      <c r="U337" s="16">
        <f t="shared" si="48"/>
        <v>0</v>
      </c>
      <c r="V337" s="16">
        <f t="shared" si="48"/>
        <v>0</v>
      </c>
      <c r="W337" s="16">
        <f t="shared" si="48"/>
        <v>1</v>
      </c>
      <c r="X337" s="16" t="str">
        <f t="shared" si="45"/>
        <v>null</v>
      </c>
    </row>
    <row r="338" spans="1:24" x14ac:dyDescent="0.15">
      <c r="A338" s="20" t="str">
        <f t="shared" si="47"/>
        <v>24_1-4/366&lt;lv44&gt;s3</v>
      </c>
      <c r="B338" s="16">
        <f t="shared" si="49"/>
        <v>24</v>
      </c>
      <c r="C338" s="16">
        <f t="shared" si="49"/>
        <v>1</v>
      </c>
      <c r="D338" s="16">
        <f t="shared" si="49"/>
        <v>4</v>
      </c>
      <c r="E338" s="16">
        <f t="shared" si="49"/>
        <v>366</v>
      </c>
      <c r="F338" s="16">
        <f t="shared" si="49"/>
        <v>44</v>
      </c>
      <c r="G338" s="16">
        <f t="shared" si="49"/>
        <v>1.1000000000000001</v>
      </c>
      <c r="H338" s="16">
        <f t="shared" si="49"/>
        <v>1</v>
      </c>
      <c r="I338" s="16">
        <f t="shared" si="49"/>
        <v>0</v>
      </c>
      <c r="J338" s="16">
        <f t="shared" si="49"/>
        <v>366</v>
      </c>
      <c r="K338" s="16">
        <f t="shared" si="49"/>
        <v>0</v>
      </c>
      <c r="L338" s="16">
        <f t="shared" si="49"/>
        <v>100</v>
      </c>
      <c r="M338" s="16">
        <f t="shared" si="49"/>
        <v>0</v>
      </c>
      <c r="N338" s="16">
        <f t="shared" si="49"/>
        <v>3</v>
      </c>
      <c r="O338" s="16">
        <f t="shared" si="49"/>
        <v>366</v>
      </c>
      <c r="P338" s="16">
        <f t="shared" si="49"/>
        <v>5</v>
      </c>
      <c r="Q338" s="16">
        <f t="shared" si="49"/>
        <v>2</v>
      </c>
      <c r="R338" s="16">
        <f t="shared" si="48"/>
        <v>20</v>
      </c>
      <c r="S338" s="16">
        <f t="shared" si="48"/>
        <v>0</v>
      </c>
      <c r="T338" s="16">
        <f t="shared" si="48"/>
        <v>0</v>
      </c>
      <c r="U338" s="16">
        <f t="shared" si="48"/>
        <v>0</v>
      </c>
      <c r="V338" s="16">
        <f t="shared" si="48"/>
        <v>0</v>
      </c>
      <c r="W338" s="16">
        <f t="shared" si="48"/>
        <v>1</v>
      </c>
      <c r="X338" s="16" t="str">
        <f t="shared" si="45"/>
        <v>null</v>
      </c>
    </row>
    <row r="339" spans="1:24" x14ac:dyDescent="0.15">
      <c r="A339" s="20" t="str">
        <f t="shared" si="47"/>
        <v>24_1-4/350&lt;lv46&gt;s3</v>
      </c>
      <c r="B339" s="16">
        <f t="shared" si="49"/>
        <v>24</v>
      </c>
      <c r="C339" s="16">
        <f t="shared" si="49"/>
        <v>1</v>
      </c>
      <c r="D339" s="16">
        <f t="shared" si="49"/>
        <v>4</v>
      </c>
      <c r="E339" s="16">
        <f t="shared" si="49"/>
        <v>350</v>
      </c>
      <c r="F339" s="16">
        <f t="shared" si="49"/>
        <v>46</v>
      </c>
      <c r="G339" s="16">
        <f t="shared" si="49"/>
        <v>1</v>
      </c>
      <c r="H339" s="16">
        <f t="shared" si="49"/>
        <v>1</v>
      </c>
      <c r="I339" s="16">
        <f t="shared" si="49"/>
        <v>0</v>
      </c>
      <c r="J339" s="16">
        <f t="shared" si="49"/>
        <v>350</v>
      </c>
      <c r="K339" s="16">
        <f t="shared" si="49"/>
        <v>0</v>
      </c>
      <c r="L339" s="16">
        <f t="shared" si="49"/>
        <v>100</v>
      </c>
      <c r="M339" s="16">
        <f t="shared" si="49"/>
        <v>0</v>
      </c>
      <c r="N339" s="16">
        <f t="shared" si="49"/>
        <v>3</v>
      </c>
      <c r="O339" s="16">
        <f t="shared" si="49"/>
        <v>350</v>
      </c>
      <c r="P339" s="16">
        <f t="shared" si="49"/>
        <v>1</v>
      </c>
      <c r="Q339" s="16">
        <f t="shared" si="49"/>
        <v>2</v>
      </c>
      <c r="R339" s="16">
        <f t="shared" si="48"/>
        <v>26</v>
      </c>
      <c r="S339" s="16">
        <f t="shared" si="48"/>
        <v>0</v>
      </c>
      <c r="T339" s="16">
        <f t="shared" si="48"/>
        <v>0</v>
      </c>
      <c r="U339" s="16">
        <f t="shared" si="48"/>
        <v>0</v>
      </c>
      <c r="V339" s="16">
        <f t="shared" si="48"/>
        <v>0</v>
      </c>
      <c r="W339" s="16">
        <f t="shared" si="48"/>
        <v>1</v>
      </c>
      <c r="X339" s="16" t="str">
        <f t="shared" si="45"/>
        <v>null</v>
      </c>
    </row>
    <row r="340" spans="1:24" x14ac:dyDescent="0.15">
      <c r="A340" s="20" t="str">
        <f t="shared" si="47"/>
        <v>24_1-5/247&lt;lv49&gt;s2</v>
      </c>
      <c r="B340" s="16">
        <f t="shared" si="49"/>
        <v>24</v>
      </c>
      <c r="C340" s="16">
        <f t="shared" si="49"/>
        <v>1</v>
      </c>
      <c r="D340" s="16">
        <f t="shared" si="49"/>
        <v>5</v>
      </c>
      <c r="E340" s="16">
        <f t="shared" si="49"/>
        <v>247</v>
      </c>
      <c r="F340" s="16">
        <f t="shared" si="49"/>
        <v>49</v>
      </c>
      <c r="G340" s="16">
        <f t="shared" si="49"/>
        <v>2.2999999999999998</v>
      </c>
      <c r="H340" s="16">
        <f t="shared" si="49"/>
        <v>1.1000000000000001</v>
      </c>
      <c r="I340" s="16">
        <f t="shared" si="49"/>
        <v>0</v>
      </c>
      <c r="J340" s="16">
        <f t="shared" si="49"/>
        <v>24701</v>
      </c>
      <c r="K340" s="16">
        <f t="shared" si="49"/>
        <v>0</v>
      </c>
      <c r="L340" s="16">
        <f t="shared" si="49"/>
        <v>100</v>
      </c>
      <c r="M340" s="16">
        <f t="shared" si="49"/>
        <v>1</v>
      </c>
      <c r="N340" s="16">
        <f t="shared" si="49"/>
        <v>2</v>
      </c>
      <c r="O340" s="16">
        <f t="shared" si="49"/>
        <v>247</v>
      </c>
      <c r="P340" s="16">
        <f t="shared" si="49"/>
        <v>1</v>
      </c>
      <c r="Q340" s="16">
        <f t="shared" si="49"/>
        <v>3</v>
      </c>
      <c r="R340" s="16">
        <f t="shared" si="48"/>
        <v>0</v>
      </c>
      <c r="S340" s="16">
        <f t="shared" si="48"/>
        <v>0</v>
      </c>
      <c r="T340" s="16">
        <f t="shared" si="48"/>
        <v>0</v>
      </c>
      <c r="U340" s="16">
        <f t="shared" si="48"/>
        <v>0</v>
      </c>
      <c r="V340" s="16">
        <f t="shared" si="48"/>
        <v>0</v>
      </c>
      <c r="W340" s="16">
        <f t="shared" si="48"/>
        <v>1</v>
      </c>
      <c r="X340" s="16" t="str">
        <f t="shared" si="45"/>
        <v>null</v>
      </c>
    </row>
    <row r="341" spans="1:24" x14ac:dyDescent="0.15">
      <c r="A341" s="20" t="str">
        <f t="shared" si="47"/>
        <v>24_2-1/11&lt;lv48&gt;s3</v>
      </c>
      <c r="B341" s="16">
        <f t="shared" si="49"/>
        <v>24</v>
      </c>
      <c r="C341" s="16">
        <f t="shared" si="49"/>
        <v>2</v>
      </c>
      <c r="D341" s="16">
        <f t="shared" si="49"/>
        <v>1</v>
      </c>
      <c r="E341" s="16">
        <f t="shared" si="49"/>
        <v>11</v>
      </c>
      <c r="F341" s="16">
        <f t="shared" si="49"/>
        <v>48</v>
      </c>
      <c r="G341" s="16">
        <f t="shared" si="49"/>
        <v>1</v>
      </c>
      <c r="H341" s="16">
        <f t="shared" si="49"/>
        <v>1</v>
      </c>
      <c r="I341" s="16">
        <f t="shared" si="49"/>
        <v>0</v>
      </c>
      <c r="J341" s="16">
        <f t="shared" si="49"/>
        <v>0</v>
      </c>
      <c r="K341" s="16">
        <f t="shared" si="49"/>
        <v>0</v>
      </c>
      <c r="L341" s="16">
        <f t="shared" si="49"/>
        <v>100</v>
      </c>
      <c r="M341" s="16">
        <f t="shared" si="49"/>
        <v>0</v>
      </c>
      <c r="N341" s="16">
        <f t="shared" si="49"/>
        <v>3</v>
      </c>
      <c r="O341" s="16">
        <f t="shared" si="49"/>
        <v>11</v>
      </c>
      <c r="P341" s="16">
        <f t="shared" si="49"/>
        <v>9</v>
      </c>
      <c r="Q341" s="16">
        <f t="shared" si="49"/>
        <v>1</v>
      </c>
      <c r="R341" s="16">
        <f t="shared" si="48"/>
        <v>15</v>
      </c>
      <c r="S341" s="16">
        <f t="shared" si="48"/>
        <v>0</v>
      </c>
      <c r="T341" s="16">
        <f t="shared" si="48"/>
        <v>0</v>
      </c>
      <c r="U341" s="16">
        <f t="shared" si="48"/>
        <v>0</v>
      </c>
      <c r="V341" s="16">
        <f t="shared" si="48"/>
        <v>0</v>
      </c>
      <c r="W341" s="16">
        <f t="shared" si="48"/>
        <v>1</v>
      </c>
      <c r="X341" s="16" t="str">
        <f t="shared" si="45"/>
        <v>null</v>
      </c>
    </row>
    <row r="342" spans="1:24" x14ac:dyDescent="0.15">
      <c r="A342" s="20" t="str">
        <f t="shared" si="47"/>
        <v>24_2-1/23&lt;lv48&gt;s4</v>
      </c>
      <c r="B342" s="16">
        <f t="shared" si="49"/>
        <v>24</v>
      </c>
      <c r="C342" s="16">
        <f t="shared" si="49"/>
        <v>2</v>
      </c>
      <c r="D342" s="16">
        <f t="shared" si="49"/>
        <v>1</v>
      </c>
      <c r="E342" s="16">
        <f t="shared" si="49"/>
        <v>23</v>
      </c>
      <c r="F342" s="16">
        <f t="shared" si="49"/>
        <v>48</v>
      </c>
      <c r="G342" s="16">
        <f t="shared" si="49"/>
        <v>1</v>
      </c>
      <c r="H342" s="16">
        <f t="shared" si="49"/>
        <v>1</v>
      </c>
      <c r="I342" s="16">
        <f t="shared" si="49"/>
        <v>0</v>
      </c>
      <c r="J342" s="16">
        <f t="shared" si="49"/>
        <v>0</v>
      </c>
      <c r="K342" s="16">
        <f t="shared" si="49"/>
        <v>0</v>
      </c>
      <c r="L342" s="16">
        <f t="shared" si="49"/>
        <v>100</v>
      </c>
      <c r="M342" s="16">
        <f t="shared" si="49"/>
        <v>0</v>
      </c>
      <c r="N342" s="16">
        <f t="shared" si="49"/>
        <v>4</v>
      </c>
      <c r="O342" s="16">
        <f t="shared" si="49"/>
        <v>23</v>
      </c>
      <c r="P342" s="16">
        <f t="shared" si="49"/>
        <v>7</v>
      </c>
      <c r="Q342" s="16">
        <f t="shared" si="49"/>
        <v>1</v>
      </c>
      <c r="R342" s="16">
        <f t="shared" si="48"/>
        <v>15</v>
      </c>
      <c r="S342" s="16">
        <f t="shared" si="48"/>
        <v>0</v>
      </c>
      <c r="T342" s="16">
        <f t="shared" si="48"/>
        <v>0</v>
      </c>
      <c r="U342" s="16">
        <f t="shared" si="48"/>
        <v>0</v>
      </c>
      <c r="V342" s="16">
        <f t="shared" si="48"/>
        <v>0</v>
      </c>
      <c r="W342" s="16">
        <f t="shared" si="48"/>
        <v>1</v>
      </c>
      <c r="X342" s="16" t="str">
        <f t="shared" si="45"/>
        <v>null</v>
      </c>
    </row>
    <row r="343" spans="1:24" x14ac:dyDescent="0.15">
      <c r="A343" s="20" t="str">
        <f t="shared" si="47"/>
        <v>24_2-1/59&lt;lv48&gt;s2</v>
      </c>
      <c r="B343" s="16">
        <f t="shared" si="49"/>
        <v>24</v>
      </c>
      <c r="C343" s="16">
        <f t="shared" si="49"/>
        <v>2</v>
      </c>
      <c r="D343" s="16">
        <f t="shared" si="49"/>
        <v>1</v>
      </c>
      <c r="E343" s="16">
        <f t="shared" si="49"/>
        <v>59</v>
      </c>
      <c r="F343" s="16">
        <f t="shared" si="49"/>
        <v>48</v>
      </c>
      <c r="G343" s="16">
        <f t="shared" si="49"/>
        <v>1</v>
      </c>
      <c r="H343" s="16">
        <f t="shared" si="49"/>
        <v>1</v>
      </c>
      <c r="I343" s="16">
        <f t="shared" si="49"/>
        <v>0</v>
      </c>
      <c r="J343" s="16">
        <f t="shared" si="49"/>
        <v>59</v>
      </c>
      <c r="K343" s="16">
        <f t="shared" si="49"/>
        <v>0</v>
      </c>
      <c r="L343" s="16">
        <f t="shared" si="49"/>
        <v>100</v>
      </c>
      <c r="M343" s="16">
        <f t="shared" si="49"/>
        <v>0</v>
      </c>
      <c r="N343" s="16">
        <f t="shared" si="49"/>
        <v>2</v>
      </c>
      <c r="O343" s="16">
        <f t="shared" si="49"/>
        <v>59</v>
      </c>
      <c r="P343" s="16">
        <f t="shared" si="49"/>
        <v>7</v>
      </c>
      <c r="Q343" s="16">
        <f t="shared" si="49"/>
        <v>2</v>
      </c>
      <c r="R343" s="16">
        <f t="shared" si="48"/>
        <v>20</v>
      </c>
      <c r="S343" s="16">
        <f t="shared" si="48"/>
        <v>0</v>
      </c>
      <c r="T343" s="16">
        <f t="shared" si="48"/>
        <v>0</v>
      </c>
      <c r="U343" s="16">
        <f t="shared" si="48"/>
        <v>0</v>
      </c>
      <c r="V343" s="16">
        <f t="shared" si="48"/>
        <v>0</v>
      </c>
      <c r="W343" s="16">
        <f t="shared" si="48"/>
        <v>1</v>
      </c>
      <c r="X343" s="16" t="str">
        <f t="shared" si="45"/>
        <v>null</v>
      </c>
    </row>
    <row r="344" spans="1:24" x14ac:dyDescent="0.15">
      <c r="A344" s="20" t="str">
        <f t="shared" si="47"/>
        <v>24_2-1/27&lt;lv48&gt;s1</v>
      </c>
      <c r="B344" s="16">
        <f t="shared" si="49"/>
        <v>24</v>
      </c>
      <c r="C344" s="16">
        <f t="shared" si="49"/>
        <v>2</v>
      </c>
      <c r="D344" s="16">
        <f t="shared" si="49"/>
        <v>1</v>
      </c>
      <c r="E344" s="16">
        <f t="shared" si="49"/>
        <v>27</v>
      </c>
      <c r="F344" s="16">
        <f t="shared" si="49"/>
        <v>48</v>
      </c>
      <c r="G344" s="16">
        <f t="shared" si="49"/>
        <v>1</v>
      </c>
      <c r="H344" s="16">
        <f t="shared" si="49"/>
        <v>1</v>
      </c>
      <c r="I344" s="16">
        <f t="shared" si="49"/>
        <v>0</v>
      </c>
      <c r="J344" s="16">
        <f t="shared" si="49"/>
        <v>0</v>
      </c>
      <c r="K344" s="16">
        <f t="shared" si="49"/>
        <v>0</v>
      </c>
      <c r="L344" s="16">
        <f t="shared" si="49"/>
        <v>100</v>
      </c>
      <c r="M344" s="16">
        <f t="shared" si="49"/>
        <v>0</v>
      </c>
      <c r="N344" s="16">
        <f t="shared" si="49"/>
        <v>1</v>
      </c>
      <c r="O344" s="16">
        <f t="shared" si="49"/>
        <v>27</v>
      </c>
      <c r="P344" s="16">
        <f t="shared" si="49"/>
        <v>7</v>
      </c>
      <c r="Q344" s="16">
        <f t="shared" si="49"/>
        <v>1</v>
      </c>
      <c r="R344" s="16">
        <f t="shared" si="48"/>
        <v>15</v>
      </c>
      <c r="S344" s="16">
        <f t="shared" si="48"/>
        <v>0</v>
      </c>
      <c r="T344" s="16">
        <f t="shared" si="48"/>
        <v>0</v>
      </c>
      <c r="U344" s="16">
        <f t="shared" si="48"/>
        <v>0</v>
      </c>
      <c r="V344" s="16">
        <f t="shared" si="48"/>
        <v>0</v>
      </c>
      <c r="W344" s="16">
        <f t="shared" si="48"/>
        <v>1</v>
      </c>
      <c r="X344" s="16" t="str">
        <f t="shared" si="45"/>
        <v>null</v>
      </c>
    </row>
    <row r="345" spans="1:24" x14ac:dyDescent="0.15">
      <c r="A345" s="20" t="str">
        <f t="shared" si="47"/>
        <v>24_2-1/35&lt;lv48&gt;s4</v>
      </c>
      <c r="B345" s="16">
        <f t="shared" si="49"/>
        <v>24</v>
      </c>
      <c r="C345" s="16">
        <f t="shared" si="49"/>
        <v>2</v>
      </c>
      <c r="D345" s="16">
        <f t="shared" si="49"/>
        <v>1</v>
      </c>
      <c r="E345" s="16">
        <f t="shared" si="49"/>
        <v>35</v>
      </c>
      <c r="F345" s="16">
        <f t="shared" si="49"/>
        <v>48</v>
      </c>
      <c r="G345" s="16">
        <f t="shared" si="49"/>
        <v>1</v>
      </c>
      <c r="H345" s="16">
        <f t="shared" si="49"/>
        <v>1</v>
      </c>
      <c r="I345" s="16">
        <f t="shared" si="49"/>
        <v>0</v>
      </c>
      <c r="J345" s="16">
        <f t="shared" si="49"/>
        <v>35</v>
      </c>
      <c r="K345" s="16">
        <f t="shared" si="49"/>
        <v>0</v>
      </c>
      <c r="L345" s="16">
        <f t="shared" si="49"/>
        <v>100</v>
      </c>
      <c r="M345" s="16">
        <f t="shared" si="49"/>
        <v>0</v>
      </c>
      <c r="N345" s="16">
        <f t="shared" si="49"/>
        <v>4</v>
      </c>
      <c r="O345" s="16">
        <f t="shared" si="49"/>
        <v>35</v>
      </c>
      <c r="P345" s="16">
        <f t="shared" si="49"/>
        <v>5</v>
      </c>
      <c r="Q345" s="16">
        <f t="shared" si="49"/>
        <v>2</v>
      </c>
      <c r="R345" s="16">
        <f t="shared" si="48"/>
        <v>20</v>
      </c>
      <c r="S345" s="16">
        <f t="shared" si="48"/>
        <v>0</v>
      </c>
      <c r="T345" s="16">
        <f t="shared" si="48"/>
        <v>0</v>
      </c>
      <c r="U345" s="16">
        <f t="shared" si="48"/>
        <v>0</v>
      </c>
      <c r="V345" s="16">
        <f t="shared" si="48"/>
        <v>0</v>
      </c>
      <c r="W345" s="16">
        <f t="shared" si="48"/>
        <v>1</v>
      </c>
      <c r="X345" s="16" t="str">
        <f t="shared" si="45"/>
        <v>null</v>
      </c>
    </row>
    <row r="346" spans="1:24" x14ac:dyDescent="0.15">
      <c r="A346" s="20" t="str">
        <f t="shared" si="47"/>
        <v>24_2-1/362&lt;lv48&gt;s3</v>
      </c>
      <c r="B346" s="16">
        <f t="shared" si="49"/>
        <v>24</v>
      </c>
      <c r="C346" s="16">
        <f t="shared" si="49"/>
        <v>2</v>
      </c>
      <c r="D346" s="16">
        <f t="shared" si="49"/>
        <v>1</v>
      </c>
      <c r="E346" s="16">
        <f t="shared" si="49"/>
        <v>362</v>
      </c>
      <c r="F346" s="16">
        <f t="shared" si="49"/>
        <v>48</v>
      </c>
      <c r="G346" s="16">
        <f t="shared" si="49"/>
        <v>1</v>
      </c>
      <c r="H346" s="16">
        <f t="shared" si="49"/>
        <v>1</v>
      </c>
      <c r="I346" s="16">
        <f t="shared" si="49"/>
        <v>0</v>
      </c>
      <c r="J346" s="16">
        <f t="shared" si="49"/>
        <v>362</v>
      </c>
      <c r="K346" s="16">
        <f t="shared" si="49"/>
        <v>0</v>
      </c>
      <c r="L346" s="16">
        <f t="shared" si="49"/>
        <v>100</v>
      </c>
      <c r="M346" s="16">
        <f t="shared" si="49"/>
        <v>0</v>
      </c>
      <c r="N346" s="16">
        <f t="shared" si="49"/>
        <v>3</v>
      </c>
      <c r="O346" s="16">
        <f t="shared" si="49"/>
        <v>362</v>
      </c>
      <c r="P346" s="16">
        <f t="shared" si="49"/>
        <v>5</v>
      </c>
      <c r="Q346" s="16">
        <f t="shared" si="49"/>
        <v>2</v>
      </c>
      <c r="R346" s="16">
        <f t="shared" si="48"/>
        <v>20</v>
      </c>
      <c r="S346" s="16">
        <f t="shared" si="48"/>
        <v>0</v>
      </c>
      <c r="T346" s="16">
        <f t="shared" si="48"/>
        <v>0</v>
      </c>
      <c r="U346" s="16">
        <f t="shared" si="48"/>
        <v>0</v>
      </c>
      <c r="V346" s="16">
        <f t="shared" si="48"/>
        <v>0</v>
      </c>
      <c r="W346" s="16">
        <f t="shared" si="48"/>
        <v>1</v>
      </c>
      <c r="X346" s="16" t="str">
        <f t="shared" si="45"/>
        <v>null</v>
      </c>
    </row>
    <row r="347" spans="1:24" x14ac:dyDescent="0.15">
      <c r="A347" s="20" t="str">
        <f t="shared" si="47"/>
        <v>24_2-1/350&lt;lv48&gt;s3</v>
      </c>
      <c r="B347" s="16">
        <f t="shared" si="49"/>
        <v>24</v>
      </c>
      <c r="C347" s="16">
        <f t="shared" si="49"/>
        <v>2</v>
      </c>
      <c r="D347" s="16">
        <f t="shared" si="49"/>
        <v>1</v>
      </c>
      <c r="E347" s="16">
        <f t="shared" si="49"/>
        <v>350</v>
      </c>
      <c r="F347" s="16">
        <f t="shared" si="49"/>
        <v>48</v>
      </c>
      <c r="G347" s="16">
        <f t="shared" si="49"/>
        <v>1</v>
      </c>
      <c r="H347" s="16">
        <f t="shared" si="49"/>
        <v>1</v>
      </c>
      <c r="I347" s="16">
        <f t="shared" si="49"/>
        <v>0</v>
      </c>
      <c r="J347" s="16">
        <f t="shared" si="49"/>
        <v>350</v>
      </c>
      <c r="K347" s="16">
        <f t="shared" si="49"/>
        <v>0</v>
      </c>
      <c r="L347" s="16">
        <f t="shared" si="49"/>
        <v>100</v>
      </c>
      <c r="M347" s="16">
        <f t="shared" si="49"/>
        <v>0</v>
      </c>
      <c r="N347" s="16">
        <f t="shared" si="49"/>
        <v>3</v>
      </c>
      <c r="O347" s="16">
        <f t="shared" si="49"/>
        <v>350</v>
      </c>
      <c r="P347" s="16">
        <f t="shared" si="49"/>
        <v>1</v>
      </c>
      <c r="Q347" s="16">
        <f t="shared" si="49"/>
        <v>2</v>
      </c>
      <c r="R347" s="16">
        <f t="shared" si="48"/>
        <v>26</v>
      </c>
      <c r="S347" s="16">
        <f t="shared" si="48"/>
        <v>0</v>
      </c>
      <c r="T347" s="16">
        <f t="shared" si="48"/>
        <v>0</v>
      </c>
      <c r="U347" s="16">
        <f t="shared" si="48"/>
        <v>0</v>
      </c>
      <c r="V347" s="16">
        <f t="shared" si="48"/>
        <v>0</v>
      </c>
      <c r="W347" s="16">
        <f t="shared" si="48"/>
        <v>1</v>
      </c>
      <c r="X347" s="16" t="str">
        <f t="shared" si="45"/>
        <v>null</v>
      </c>
    </row>
    <row r="348" spans="1:24" x14ac:dyDescent="0.15">
      <c r="A348" s="20" t="str">
        <f t="shared" si="47"/>
        <v>24_2-2/13&lt;lv46&gt;s2</v>
      </c>
      <c r="B348" s="16">
        <f t="shared" si="49"/>
        <v>24</v>
      </c>
      <c r="C348" s="16">
        <f t="shared" si="49"/>
        <v>2</v>
      </c>
      <c r="D348" s="16">
        <f t="shared" si="49"/>
        <v>2</v>
      </c>
      <c r="E348" s="16">
        <f t="shared" si="49"/>
        <v>13</v>
      </c>
      <c r="F348" s="16">
        <f t="shared" si="49"/>
        <v>46</v>
      </c>
      <c r="G348" s="16">
        <f t="shared" si="49"/>
        <v>1</v>
      </c>
      <c r="H348" s="16">
        <f t="shared" si="49"/>
        <v>1</v>
      </c>
      <c r="I348" s="16">
        <f t="shared" si="49"/>
        <v>0</v>
      </c>
      <c r="J348" s="16">
        <f t="shared" si="49"/>
        <v>0</v>
      </c>
      <c r="K348" s="16">
        <f t="shared" si="49"/>
        <v>0</v>
      </c>
      <c r="L348" s="16">
        <f t="shared" si="49"/>
        <v>100</v>
      </c>
      <c r="M348" s="16">
        <f t="shared" si="49"/>
        <v>0</v>
      </c>
      <c r="N348" s="16">
        <f t="shared" si="49"/>
        <v>2</v>
      </c>
      <c r="O348" s="16">
        <f t="shared" si="49"/>
        <v>13</v>
      </c>
      <c r="P348" s="16">
        <f t="shared" si="49"/>
        <v>9</v>
      </c>
      <c r="Q348" s="16">
        <f t="shared" si="49"/>
        <v>1</v>
      </c>
      <c r="R348" s="16">
        <f t="shared" si="48"/>
        <v>15</v>
      </c>
      <c r="S348" s="16">
        <f t="shared" si="48"/>
        <v>0</v>
      </c>
      <c r="T348" s="16">
        <f t="shared" si="48"/>
        <v>0</v>
      </c>
      <c r="U348" s="16">
        <f t="shared" si="48"/>
        <v>0</v>
      </c>
      <c r="V348" s="16">
        <f t="shared" si="48"/>
        <v>0</v>
      </c>
      <c r="W348" s="16">
        <f t="shared" si="48"/>
        <v>1</v>
      </c>
      <c r="X348" s="16" t="str">
        <f t="shared" si="45"/>
        <v>null</v>
      </c>
    </row>
    <row r="349" spans="1:24" x14ac:dyDescent="0.15">
      <c r="A349" s="20" t="str">
        <f t="shared" si="47"/>
        <v>24_2-2/47&lt;lv46&gt;s1</v>
      </c>
      <c r="B349" s="16">
        <f t="shared" si="49"/>
        <v>24</v>
      </c>
      <c r="C349" s="16">
        <f t="shared" si="49"/>
        <v>2</v>
      </c>
      <c r="D349" s="16">
        <f t="shared" si="49"/>
        <v>2</v>
      </c>
      <c r="E349" s="16">
        <f t="shared" si="49"/>
        <v>47</v>
      </c>
      <c r="F349" s="16">
        <f t="shared" si="49"/>
        <v>46</v>
      </c>
      <c r="G349" s="16">
        <f t="shared" si="49"/>
        <v>1</v>
      </c>
      <c r="H349" s="16">
        <f t="shared" si="49"/>
        <v>1</v>
      </c>
      <c r="I349" s="16">
        <f t="shared" si="49"/>
        <v>0</v>
      </c>
      <c r="J349" s="16">
        <f t="shared" si="49"/>
        <v>0</v>
      </c>
      <c r="K349" s="16">
        <f t="shared" si="49"/>
        <v>0</v>
      </c>
      <c r="L349" s="16">
        <f t="shared" si="49"/>
        <v>100</v>
      </c>
      <c r="M349" s="16">
        <f t="shared" si="49"/>
        <v>0</v>
      </c>
      <c r="N349" s="16">
        <f t="shared" si="49"/>
        <v>1</v>
      </c>
      <c r="O349" s="16">
        <f t="shared" si="49"/>
        <v>47</v>
      </c>
      <c r="P349" s="16">
        <f t="shared" si="49"/>
        <v>7</v>
      </c>
      <c r="Q349" s="16">
        <f t="shared" si="49"/>
        <v>2</v>
      </c>
      <c r="R349" s="16">
        <f t="shared" si="48"/>
        <v>20</v>
      </c>
      <c r="S349" s="16">
        <f t="shared" si="48"/>
        <v>0</v>
      </c>
      <c r="T349" s="16">
        <f t="shared" si="48"/>
        <v>0</v>
      </c>
      <c r="U349" s="16">
        <f t="shared" si="48"/>
        <v>0</v>
      </c>
      <c r="V349" s="16">
        <f t="shared" si="48"/>
        <v>0</v>
      </c>
      <c r="W349" s="16">
        <f t="shared" si="48"/>
        <v>1</v>
      </c>
      <c r="X349" s="16" t="str">
        <f t="shared" si="45"/>
        <v>null</v>
      </c>
    </row>
    <row r="350" spans="1:24" x14ac:dyDescent="0.15">
      <c r="A350" s="20" t="str">
        <f t="shared" si="47"/>
        <v>24_2-2/63&lt;lv46&gt;s2</v>
      </c>
      <c r="B350" s="16">
        <f t="shared" si="49"/>
        <v>24</v>
      </c>
      <c r="C350" s="16">
        <f t="shared" si="49"/>
        <v>2</v>
      </c>
      <c r="D350" s="16">
        <f t="shared" si="49"/>
        <v>2</v>
      </c>
      <c r="E350" s="16">
        <f t="shared" si="49"/>
        <v>63</v>
      </c>
      <c r="F350" s="16">
        <f t="shared" si="49"/>
        <v>46</v>
      </c>
      <c r="G350" s="16">
        <f t="shared" si="49"/>
        <v>1</v>
      </c>
      <c r="H350" s="16">
        <f t="shared" si="49"/>
        <v>1</v>
      </c>
      <c r="I350" s="16">
        <f t="shared" si="49"/>
        <v>0</v>
      </c>
      <c r="J350" s="16">
        <f t="shared" si="49"/>
        <v>63</v>
      </c>
      <c r="K350" s="16">
        <f t="shared" si="49"/>
        <v>0</v>
      </c>
      <c r="L350" s="16">
        <f t="shared" si="49"/>
        <v>100</v>
      </c>
      <c r="M350" s="16">
        <f t="shared" si="49"/>
        <v>0</v>
      </c>
      <c r="N350" s="16">
        <f t="shared" si="49"/>
        <v>2</v>
      </c>
      <c r="O350" s="16">
        <f t="shared" si="49"/>
        <v>63</v>
      </c>
      <c r="P350" s="16">
        <f t="shared" si="49"/>
        <v>7</v>
      </c>
      <c r="Q350" s="16">
        <f t="shared" ref="Q350:W365" si="50">VLOOKUP($A350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50" s="16">
        <f t="shared" si="50"/>
        <v>20</v>
      </c>
      <c r="S350" s="16">
        <f t="shared" si="50"/>
        <v>0</v>
      </c>
      <c r="T350" s="16">
        <f t="shared" si="50"/>
        <v>0</v>
      </c>
      <c r="U350" s="16">
        <f t="shared" si="50"/>
        <v>0</v>
      </c>
      <c r="V350" s="16">
        <f t="shared" si="50"/>
        <v>0</v>
      </c>
      <c r="W350" s="16">
        <f t="shared" si="50"/>
        <v>1</v>
      </c>
      <c r="X350" s="16" t="str">
        <f t="shared" si="45"/>
        <v>null</v>
      </c>
    </row>
    <row r="351" spans="1:24" x14ac:dyDescent="0.15">
      <c r="A351" s="20" t="str">
        <f t="shared" si="47"/>
        <v>24_2-2/31&lt;lv46&gt;s2</v>
      </c>
      <c r="B351" s="16">
        <f t="shared" ref="B351:Q366" si="51">VLOOKUP($A351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351" s="16">
        <f t="shared" si="51"/>
        <v>2</v>
      </c>
      <c r="D351" s="16">
        <f t="shared" si="51"/>
        <v>2</v>
      </c>
      <c r="E351" s="16">
        <f t="shared" si="51"/>
        <v>31</v>
      </c>
      <c r="F351" s="16">
        <f t="shared" si="51"/>
        <v>46</v>
      </c>
      <c r="G351" s="16">
        <f t="shared" si="51"/>
        <v>1</v>
      </c>
      <c r="H351" s="16">
        <f t="shared" si="51"/>
        <v>1</v>
      </c>
      <c r="I351" s="16">
        <f t="shared" si="51"/>
        <v>0</v>
      </c>
      <c r="J351" s="16">
        <f t="shared" si="51"/>
        <v>0</v>
      </c>
      <c r="K351" s="16">
        <f t="shared" si="51"/>
        <v>0</v>
      </c>
      <c r="L351" s="16">
        <f t="shared" si="51"/>
        <v>100</v>
      </c>
      <c r="M351" s="16">
        <f t="shared" si="51"/>
        <v>0</v>
      </c>
      <c r="N351" s="16">
        <f t="shared" si="51"/>
        <v>2</v>
      </c>
      <c r="O351" s="16">
        <f t="shared" si="51"/>
        <v>31</v>
      </c>
      <c r="P351" s="16">
        <f t="shared" si="51"/>
        <v>7</v>
      </c>
      <c r="Q351" s="16">
        <f t="shared" si="51"/>
        <v>1</v>
      </c>
      <c r="R351" s="16">
        <f t="shared" si="50"/>
        <v>15</v>
      </c>
      <c r="S351" s="16">
        <f t="shared" si="50"/>
        <v>0</v>
      </c>
      <c r="T351" s="16">
        <f t="shared" si="50"/>
        <v>0</v>
      </c>
      <c r="U351" s="16">
        <f t="shared" si="50"/>
        <v>0</v>
      </c>
      <c r="V351" s="16">
        <f t="shared" si="50"/>
        <v>0</v>
      </c>
      <c r="W351" s="16">
        <f t="shared" si="50"/>
        <v>1</v>
      </c>
      <c r="X351" s="16" t="str">
        <f t="shared" si="45"/>
        <v>null</v>
      </c>
    </row>
    <row r="352" spans="1:24" x14ac:dyDescent="0.15">
      <c r="A352" s="20" t="str">
        <f t="shared" si="47"/>
        <v>24_2-2/366&lt;lv46&gt;s3</v>
      </c>
      <c r="B352" s="16">
        <f t="shared" si="51"/>
        <v>24</v>
      </c>
      <c r="C352" s="16">
        <f t="shared" si="51"/>
        <v>2</v>
      </c>
      <c r="D352" s="16">
        <f t="shared" si="51"/>
        <v>2</v>
      </c>
      <c r="E352" s="16">
        <f t="shared" si="51"/>
        <v>366</v>
      </c>
      <c r="F352" s="16">
        <f t="shared" si="51"/>
        <v>46</v>
      </c>
      <c r="G352" s="16">
        <f t="shared" si="51"/>
        <v>1</v>
      </c>
      <c r="H352" s="16">
        <f t="shared" si="51"/>
        <v>1</v>
      </c>
      <c r="I352" s="16">
        <f t="shared" si="51"/>
        <v>0</v>
      </c>
      <c r="J352" s="16">
        <f t="shared" si="51"/>
        <v>366</v>
      </c>
      <c r="K352" s="16">
        <f t="shared" si="51"/>
        <v>0</v>
      </c>
      <c r="L352" s="16">
        <f t="shared" si="51"/>
        <v>100</v>
      </c>
      <c r="M352" s="16">
        <f t="shared" si="51"/>
        <v>0</v>
      </c>
      <c r="N352" s="16">
        <f t="shared" si="51"/>
        <v>3</v>
      </c>
      <c r="O352" s="16">
        <f t="shared" si="51"/>
        <v>366</v>
      </c>
      <c r="P352" s="16">
        <f t="shared" si="51"/>
        <v>7</v>
      </c>
      <c r="Q352" s="16">
        <f t="shared" si="51"/>
        <v>2</v>
      </c>
      <c r="R352" s="16">
        <f t="shared" si="50"/>
        <v>20</v>
      </c>
      <c r="S352" s="16">
        <f t="shared" si="50"/>
        <v>0</v>
      </c>
      <c r="T352" s="16">
        <f t="shared" si="50"/>
        <v>0</v>
      </c>
      <c r="U352" s="16">
        <f t="shared" si="50"/>
        <v>0</v>
      </c>
      <c r="V352" s="16">
        <f t="shared" si="50"/>
        <v>0</v>
      </c>
      <c r="W352" s="16">
        <f t="shared" si="50"/>
        <v>1</v>
      </c>
      <c r="X352" s="16" t="str">
        <f t="shared" si="45"/>
        <v>null</v>
      </c>
    </row>
    <row r="353" spans="1:24" x14ac:dyDescent="0.15">
      <c r="A353" s="20" t="str">
        <f t="shared" si="47"/>
        <v>24_2-2/354&lt;lv46&gt;s3</v>
      </c>
      <c r="B353" s="16">
        <f t="shared" si="51"/>
        <v>24</v>
      </c>
      <c r="C353" s="16">
        <f t="shared" si="51"/>
        <v>2</v>
      </c>
      <c r="D353" s="16">
        <f t="shared" si="51"/>
        <v>2</v>
      </c>
      <c r="E353" s="16">
        <f t="shared" si="51"/>
        <v>354</v>
      </c>
      <c r="F353" s="16">
        <f t="shared" si="51"/>
        <v>46</v>
      </c>
      <c r="G353" s="16">
        <f t="shared" si="51"/>
        <v>1</v>
      </c>
      <c r="H353" s="16">
        <f t="shared" si="51"/>
        <v>1</v>
      </c>
      <c r="I353" s="16">
        <f t="shared" si="51"/>
        <v>0</v>
      </c>
      <c r="J353" s="16">
        <f t="shared" si="51"/>
        <v>354</v>
      </c>
      <c r="K353" s="16">
        <f t="shared" si="51"/>
        <v>0</v>
      </c>
      <c r="L353" s="16">
        <f t="shared" si="51"/>
        <v>100</v>
      </c>
      <c r="M353" s="16">
        <f t="shared" si="51"/>
        <v>0</v>
      </c>
      <c r="N353" s="16">
        <f t="shared" si="51"/>
        <v>3</v>
      </c>
      <c r="O353" s="16">
        <f t="shared" si="51"/>
        <v>354</v>
      </c>
      <c r="P353" s="16">
        <f t="shared" si="51"/>
        <v>1</v>
      </c>
      <c r="Q353" s="16">
        <f t="shared" si="51"/>
        <v>2</v>
      </c>
      <c r="R353" s="16">
        <f t="shared" si="50"/>
        <v>26</v>
      </c>
      <c r="S353" s="16">
        <f t="shared" si="50"/>
        <v>0</v>
      </c>
      <c r="T353" s="16">
        <f t="shared" si="50"/>
        <v>0</v>
      </c>
      <c r="U353" s="16">
        <f t="shared" si="50"/>
        <v>0</v>
      </c>
      <c r="V353" s="16">
        <f t="shared" si="50"/>
        <v>0</v>
      </c>
      <c r="W353" s="16">
        <f t="shared" si="50"/>
        <v>1</v>
      </c>
      <c r="X353" s="16" t="str">
        <f t="shared" si="45"/>
        <v>null</v>
      </c>
    </row>
    <row r="354" spans="1:24" x14ac:dyDescent="0.15">
      <c r="A354" s="20" t="str">
        <f t="shared" si="47"/>
        <v>24_2-3/11&lt;lv48&gt;s3</v>
      </c>
      <c r="B354" s="16">
        <f t="shared" si="51"/>
        <v>24</v>
      </c>
      <c r="C354" s="16">
        <f t="shared" si="51"/>
        <v>2</v>
      </c>
      <c r="D354" s="16">
        <f t="shared" si="51"/>
        <v>3</v>
      </c>
      <c r="E354" s="16">
        <f t="shared" si="51"/>
        <v>11</v>
      </c>
      <c r="F354" s="16">
        <f t="shared" si="51"/>
        <v>48</v>
      </c>
      <c r="G354" s="16">
        <f t="shared" si="51"/>
        <v>1</v>
      </c>
      <c r="H354" s="16">
        <f t="shared" si="51"/>
        <v>1</v>
      </c>
      <c r="I354" s="16">
        <f t="shared" si="51"/>
        <v>0</v>
      </c>
      <c r="J354" s="16">
        <f t="shared" si="51"/>
        <v>0</v>
      </c>
      <c r="K354" s="16">
        <f t="shared" si="51"/>
        <v>0</v>
      </c>
      <c r="L354" s="16">
        <f t="shared" si="51"/>
        <v>100</v>
      </c>
      <c r="M354" s="16">
        <f t="shared" si="51"/>
        <v>0</v>
      </c>
      <c r="N354" s="16">
        <f t="shared" si="51"/>
        <v>3</v>
      </c>
      <c r="O354" s="16">
        <f t="shared" si="51"/>
        <v>11</v>
      </c>
      <c r="P354" s="16">
        <f t="shared" si="51"/>
        <v>9</v>
      </c>
      <c r="Q354" s="16">
        <f t="shared" si="51"/>
        <v>1</v>
      </c>
      <c r="R354" s="16">
        <f t="shared" si="50"/>
        <v>15</v>
      </c>
      <c r="S354" s="16">
        <f t="shared" si="50"/>
        <v>0</v>
      </c>
      <c r="T354" s="16">
        <f t="shared" si="50"/>
        <v>0</v>
      </c>
      <c r="U354" s="16">
        <f t="shared" si="50"/>
        <v>0</v>
      </c>
      <c r="V354" s="16">
        <f t="shared" si="50"/>
        <v>0</v>
      </c>
      <c r="W354" s="16">
        <f t="shared" si="50"/>
        <v>1</v>
      </c>
      <c r="X354" s="16" t="str">
        <f t="shared" si="45"/>
        <v>null</v>
      </c>
    </row>
    <row r="355" spans="1:24" x14ac:dyDescent="0.15">
      <c r="A355" s="20" t="str">
        <f t="shared" si="47"/>
        <v>24_2-3/13&lt;lv46&gt;s2</v>
      </c>
      <c r="B355" s="16">
        <f t="shared" si="51"/>
        <v>24</v>
      </c>
      <c r="C355" s="16">
        <f t="shared" si="51"/>
        <v>2</v>
      </c>
      <c r="D355" s="16">
        <f t="shared" si="51"/>
        <v>3</v>
      </c>
      <c r="E355" s="16">
        <f t="shared" si="51"/>
        <v>13</v>
      </c>
      <c r="F355" s="16">
        <f t="shared" si="51"/>
        <v>46</v>
      </c>
      <c r="G355" s="16">
        <f t="shared" si="51"/>
        <v>1.1000000000000001</v>
      </c>
      <c r="H355" s="16">
        <f t="shared" si="51"/>
        <v>1</v>
      </c>
      <c r="I355" s="16">
        <f t="shared" si="51"/>
        <v>0</v>
      </c>
      <c r="J355" s="16">
        <f t="shared" si="51"/>
        <v>0</v>
      </c>
      <c r="K355" s="16">
        <f t="shared" si="51"/>
        <v>0</v>
      </c>
      <c r="L355" s="16">
        <f t="shared" si="51"/>
        <v>100</v>
      </c>
      <c r="M355" s="16">
        <f t="shared" si="51"/>
        <v>0</v>
      </c>
      <c r="N355" s="16">
        <f t="shared" si="51"/>
        <v>2</v>
      </c>
      <c r="O355" s="16">
        <f t="shared" si="51"/>
        <v>13</v>
      </c>
      <c r="P355" s="16">
        <f t="shared" si="51"/>
        <v>9</v>
      </c>
      <c r="Q355" s="16">
        <f t="shared" si="51"/>
        <v>1</v>
      </c>
      <c r="R355" s="16">
        <f t="shared" si="50"/>
        <v>15</v>
      </c>
      <c r="S355" s="16">
        <f t="shared" si="50"/>
        <v>0</v>
      </c>
      <c r="T355" s="16">
        <f t="shared" si="50"/>
        <v>0</v>
      </c>
      <c r="U355" s="16">
        <f t="shared" si="50"/>
        <v>0</v>
      </c>
      <c r="V355" s="16">
        <f t="shared" si="50"/>
        <v>0</v>
      </c>
      <c r="W355" s="16">
        <f t="shared" si="50"/>
        <v>1</v>
      </c>
      <c r="X355" s="16" t="str">
        <f t="shared" si="45"/>
        <v>null</v>
      </c>
    </row>
    <row r="356" spans="1:24" x14ac:dyDescent="0.15">
      <c r="A356" s="20" t="str">
        <f t="shared" si="47"/>
        <v>24_2-3/23&lt;lv48&gt;s4</v>
      </c>
      <c r="B356" s="16">
        <f t="shared" si="51"/>
        <v>24</v>
      </c>
      <c r="C356" s="16">
        <f t="shared" si="51"/>
        <v>2</v>
      </c>
      <c r="D356" s="16">
        <f t="shared" si="51"/>
        <v>3</v>
      </c>
      <c r="E356" s="16">
        <f t="shared" si="51"/>
        <v>23</v>
      </c>
      <c r="F356" s="16">
        <f t="shared" si="51"/>
        <v>48</v>
      </c>
      <c r="G356" s="16">
        <f t="shared" si="51"/>
        <v>1</v>
      </c>
      <c r="H356" s="16">
        <f t="shared" si="51"/>
        <v>1</v>
      </c>
      <c r="I356" s="16">
        <f t="shared" si="51"/>
        <v>0</v>
      </c>
      <c r="J356" s="16">
        <f t="shared" si="51"/>
        <v>0</v>
      </c>
      <c r="K356" s="16">
        <f t="shared" si="51"/>
        <v>0</v>
      </c>
      <c r="L356" s="16">
        <f t="shared" si="51"/>
        <v>100</v>
      </c>
      <c r="M356" s="16">
        <f t="shared" si="51"/>
        <v>0</v>
      </c>
      <c r="N356" s="16">
        <f t="shared" si="51"/>
        <v>4</v>
      </c>
      <c r="O356" s="16">
        <f t="shared" si="51"/>
        <v>23</v>
      </c>
      <c r="P356" s="16">
        <f t="shared" si="51"/>
        <v>7</v>
      </c>
      <c r="Q356" s="16">
        <f t="shared" si="51"/>
        <v>1</v>
      </c>
      <c r="R356" s="16">
        <f t="shared" si="50"/>
        <v>15</v>
      </c>
      <c r="S356" s="16">
        <f t="shared" si="50"/>
        <v>0</v>
      </c>
      <c r="T356" s="16">
        <f t="shared" si="50"/>
        <v>0</v>
      </c>
      <c r="U356" s="16">
        <f t="shared" si="50"/>
        <v>0</v>
      </c>
      <c r="V356" s="16">
        <f t="shared" si="50"/>
        <v>0</v>
      </c>
      <c r="W356" s="16">
        <f t="shared" si="50"/>
        <v>1</v>
      </c>
      <c r="X356" s="16" t="str">
        <f t="shared" si="45"/>
        <v>null</v>
      </c>
    </row>
    <row r="357" spans="1:24" x14ac:dyDescent="0.15">
      <c r="A357" s="20" t="str">
        <f t="shared" si="47"/>
        <v>24_2-3/47&lt;lv46&gt;s1</v>
      </c>
      <c r="B357" s="16">
        <f t="shared" si="51"/>
        <v>24</v>
      </c>
      <c r="C357" s="16">
        <f t="shared" si="51"/>
        <v>2</v>
      </c>
      <c r="D357" s="16">
        <f t="shared" si="51"/>
        <v>3</v>
      </c>
      <c r="E357" s="16">
        <f t="shared" si="51"/>
        <v>47</v>
      </c>
      <c r="F357" s="16">
        <f t="shared" si="51"/>
        <v>46</v>
      </c>
      <c r="G357" s="16">
        <f t="shared" si="51"/>
        <v>1.1000000000000001</v>
      </c>
      <c r="H357" s="16">
        <f t="shared" si="51"/>
        <v>1</v>
      </c>
      <c r="I357" s="16">
        <f t="shared" si="51"/>
        <v>0</v>
      </c>
      <c r="J357" s="16">
        <f t="shared" si="51"/>
        <v>0</v>
      </c>
      <c r="K357" s="16">
        <f t="shared" si="51"/>
        <v>0</v>
      </c>
      <c r="L357" s="16">
        <f t="shared" si="51"/>
        <v>100</v>
      </c>
      <c r="M357" s="16">
        <f t="shared" si="51"/>
        <v>0</v>
      </c>
      <c r="N357" s="16">
        <f t="shared" si="51"/>
        <v>1</v>
      </c>
      <c r="O357" s="16">
        <f t="shared" si="51"/>
        <v>47</v>
      </c>
      <c r="P357" s="16">
        <f t="shared" si="51"/>
        <v>7</v>
      </c>
      <c r="Q357" s="16">
        <f t="shared" si="51"/>
        <v>2</v>
      </c>
      <c r="R357" s="16">
        <f t="shared" si="50"/>
        <v>20</v>
      </c>
      <c r="S357" s="16">
        <f t="shared" si="50"/>
        <v>0</v>
      </c>
      <c r="T357" s="16">
        <f t="shared" si="50"/>
        <v>0</v>
      </c>
      <c r="U357" s="16">
        <f t="shared" si="50"/>
        <v>0</v>
      </c>
      <c r="V357" s="16">
        <f t="shared" si="50"/>
        <v>0</v>
      </c>
      <c r="W357" s="16">
        <f t="shared" si="50"/>
        <v>1</v>
      </c>
      <c r="X357" s="16" t="str">
        <f t="shared" si="45"/>
        <v>null</v>
      </c>
    </row>
    <row r="358" spans="1:24" x14ac:dyDescent="0.15">
      <c r="A358" s="20" t="str">
        <f t="shared" si="47"/>
        <v>24_2-3/59&lt;lv48&gt;s2</v>
      </c>
      <c r="B358" s="16">
        <f t="shared" si="51"/>
        <v>24</v>
      </c>
      <c r="C358" s="16">
        <f t="shared" si="51"/>
        <v>2</v>
      </c>
      <c r="D358" s="16">
        <f t="shared" si="51"/>
        <v>3</v>
      </c>
      <c r="E358" s="16">
        <f t="shared" si="51"/>
        <v>59</v>
      </c>
      <c r="F358" s="16">
        <f t="shared" si="51"/>
        <v>48</v>
      </c>
      <c r="G358" s="16">
        <f t="shared" si="51"/>
        <v>1</v>
      </c>
      <c r="H358" s="16">
        <f t="shared" si="51"/>
        <v>1</v>
      </c>
      <c r="I358" s="16">
        <f t="shared" si="51"/>
        <v>0</v>
      </c>
      <c r="J358" s="16">
        <f t="shared" si="51"/>
        <v>59</v>
      </c>
      <c r="K358" s="16">
        <f t="shared" si="51"/>
        <v>0</v>
      </c>
      <c r="L358" s="16">
        <f t="shared" si="51"/>
        <v>100</v>
      </c>
      <c r="M358" s="16">
        <f t="shared" si="51"/>
        <v>0</v>
      </c>
      <c r="N358" s="16">
        <f t="shared" si="51"/>
        <v>2</v>
      </c>
      <c r="O358" s="16">
        <f t="shared" si="51"/>
        <v>59</v>
      </c>
      <c r="P358" s="16">
        <f t="shared" si="51"/>
        <v>7</v>
      </c>
      <c r="Q358" s="16">
        <f t="shared" si="51"/>
        <v>2</v>
      </c>
      <c r="R358" s="16">
        <f t="shared" si="50"/>
        <v>20</v>
      </c>
      <c r="S358" s="16">
        <f t="shared" si="50"/>
        <v>0</v>
      </c>
      <c r="T358" s="16">
        <f t="shared" si="50"/>
        <v>0</v>
      </c>
      <c r="U358" s="16">
        <f t="shared" si="50"/>
        <v>0</v>
      </c>
      <c r="V358" s="16">
        <f t="shared" si="50"/>
        <v>0</v>
      </c>
      <c r="W358" s="16">
        <f t="shared" si="50"/>
        <v>1</v>
      </c>
      <c r="X358" s="16" t="str">
        <f t="shared" si="45"/>
        <v>null</v>
      </c>
    </row>
    <row r="359" spans="1:24" x14ac:dyDescent="0.15">
      <c r="A359" s="20" t="str">
        <f t="shared" si="47"/>
        <v>24_2-3/63&lt;lv46&gt;s2</v>
      </c>
      <c r="B359" s="16">
        <f t="shared" si="51"/>
        <v>24</v>
      </c>
      <c r="C359" s="16">
        <f t="shared" si="51"/>
        <v>2</v>
      </c>
      <c r="D359" s="16">
        <f t="shared" si="51"/>
        <v>3</v>
      </c>
      <c r="E359" s="16">
        <f t="shared" si="51"/>
        <v>63</v>
      </c>
      <c r="F359" s="16">
        <f t="shared" si="51"/>
        <v>46</v>
      </c>
      <c r="G359" s="16">
        <f t="shared" si="51"/>
        <v>1.1000000000000001</v>
      </c>
      <c r="H359" s="16">
        <f t="shared" si="51"/>
        <v>1</v>
      </c>
      <c r="I359" s="16">
        <f t="shared" si="51"/>
        <v>0</v>
      </c>
      <c r="J359" s="16">
        <f t="shared" si="51"/>
        <v>63</v>
      </c>
      <c r="K359" s="16">
        <f t="shared" si="51"/>
        <v>0</v>
      </c>
      <c r="L359" s="16">
        <f t="shared" si="51"/>
        <v>100</v>
      </c>
      <c r="M359" s="16">
        <f t="shared" si="51"/>
        <v>0</v>
      </c>
      <c r="N359" s="16">
        <f t="shared" si="51"/>
        <v>2</v>
      </c>
      <c r="O359" s="16">
        <f t="shared" si="51"/>
        <v>63</v>
      </c>
      <c r="P359" s="16">
        <f t="shared" si="51"/>
        <v>7</v>
      </c>
      <c r="Q359" s="16">
        <f t="shared" si="51"/>
        <v>2</v>
      </c>
      <c r="R359" s="16">
        <f t="shared" si="50"/>
        <v>20</v>
      </c>
      <c r="S359" s="16">
        <f t="shared" si="50"/>
        <v>0</v>
      </c>
      <c r="T359" s="16">
        <f t="shared" si="50"/>
        <v>0</v>
      </c>
      <c r="U359" s="16">
        <f t="shared" si="50"/>
        <v>0</v>
      </c>
      <c r="V359" s="16">
        <f t="shared" si="50"/>
        <v>0</v>
      </c>
      <c r="W359" s="16">
        <f t="shared" si="50"/>
        <v>1</v>
      </c>
      <c r="X359" s="16" t="str">
        <f t="shared" si="45"/>
        <v>null</v>
      </c>
    </row>
    <row r="360" spans="1:24" x14ac:dyDescent="0.15">
      <c r="A360" s="20" t="str">
        <f t="shared" si="47"/>
        <v>24_2-3/27&lt;lv48&gt;s1</v>
      </c>
      <c r="B360" s="16">
        <f t="shared" si="51"/>
        <v>24</v>
      </c>
      <c r="C360" s="16">
        <f t="shared" si="51"/>
        <v>2</v>
      </c>
      <c r="D360" s="16">
        <f t="shared" si="51"/>
        <v>3</v>
      </c>
      <c r="E360" s="16">
        <f t="shared" si="51"/>
        <v>27</v>
      </c>
      <c r="F360" s="16">
        <f t="shared" si="51"/>
        <v>48</v>
      </c>
      <c r="G360" s="16">
        <f t="shared" si="51"/>
        <v>1</v>
      </c>
      <c r="H360" s="16">
        <f t="shared" si="51"/>
        <v>1</v>
      </c>
      <c r="I360" s="16">
        <f t="shared" si="51"/>
        <v>0</v>
      </c>
      <c r="J360" s="16">
        <f t="shared" si="51"/>
        <v>0</v>
      </c>
      <c r="K360" s="16">
        <f t="shared" si="51"/>
        <v>0</v>
      </c>
      <c r="L360" s="16">
        <f t="shared" si="51"/>
        <v>100</v>
      </c>
      <c r="M360" s="16">
        <f t="shared" si="51"/>
        <v>0</v>
      </c>
      <c r="N360" s="16">
        <f t="shared" si="51"/>
        <v>1</v>
      </c>
      <c r="O360" s="16">
        <f t="shared" si="51"/>
        <v>27</v>
      </c>
      <c r="P360" s="16">
        <f t="shared" si="51"/>
        <v>7</v>
      </c>
      <c r="Q360" s="16">
        <f t="shared" si="51"/>
        <v>1</v>
      </c>
      <c r="R360" s="16">
        <f t="shared" si="50"/>
        <v>15</v>
      </c>
      <c r="S360" s="16">
        <f t="shared" si="50"/>
        <v>0</v>
      </c>
      <c r="T360" s="16">
        <f t="shared" si="50"/>
        <v>0</v>
      </c>
      <c r="U360" s="16">
        <f t="shared" si="50"/>
        <v>0</v>
      </c>
      <c r="V360" s="16">
        <f t="shared" si="50"/>
        <v>0</v>
      </c>
      <c r="W360" s="16">
        <f t="shared" si="50"/>
        <v>1</v>
      </c>
      <c r="X360" s="16" t="str">
        <f t="shared" si="45"/>
        <v>null</v>
      </c>
    </row>
    <row r="361" spans="1:24" x14ac:dyDescent="0.15">
      <c r="A361" s="20" t="str">
        <f t="shared" si="47"/>
        <v>24_2-3/31&lt;lv46&gt;s2</v>
      </c>
      <c r="B361" s="16">
        <f t="shared" si="51"/>
        <v>24</v>
      </c>
      <c r="C361" s="16">
        <f t="shared" si="51"/>
        <v>2</v>
      </c>
      <c r="D361" s="16">
        <f t="shared" si="51"/>
        <v>3</v>
      </c>
      <c r="E361" s="16">
        <f t="shared" si="51"/>
        <v>31</v>
      </c>
      <c r="F361" s="16">
        <f t="shared" si="51"/>
        <v>46</v>
      </c>
      <c r="G361" s="16">
        <f t="shared" si="51"/>
        <v>1.1000000000000001</v>
      </c>
      <c r="H361" s="16">
        <f t="shared" si="51"/>
        <v>1</v>
      </c>
      <c r="I361" s="16">
        <f t="shared" si="51"/>
        <v>0</v>
      </c>
      <c r="J361" s="16">
        <f t="shared" si="51"/>
        <v>0</v>
      </c>
      <c r="K361" s="16">
        <f t="shared" si="51"/>
        <v>0</v>
      </c>
      <c r="L361" s="16">
        <f t="shared" si="51"/>
        <v>100</v>
      </c>
      <c r="M361" s="16">
        <f t="shared" si="51"/>
        <v>0</v>
      </c>
      <c r="N361" s="16">
        <f t="shared" si="51"/>
        <v>2</v>
      </c>
      <c r="O361" s="16">
        <f t="shared" si="51"/>
        <v>31</v>
      </c>
      <c r="P361" s="16">
        <f t="shared" si="51"/>
        <v>7</v>
      </c>
      <c r="Q361" s="16">
        <f t="shared" si="51"/>
        <v>1</v>
      </c>
      <c r="R361" s="16">
        <f t="shared" si="50"/>
        <v>15</v>
      </c>
      <c r="S361" s="16">
        <f t="shared" si="50"/>
        <v>0</v>
      </c>
      <c r="T361" s="16">
        <f t="shared" si="50"/>
        <v>0</v>
      </c>
      <c r="U361" s="16">
        <f t="shared" si="50"/>
        <v>0</v>
      </c>
      <c r="V361" s="16">
        <f t="shared" si="50"/>
        <v>0</v>
      </c>
      <c r="W361" s="16">
        <f t="shared" si="50"/>
        <v>1</v>
      </c>
      <c r="X361" s="16" t="str">
        <f t="shared" si="45"/>
        <v>null</v>
      </c>
    </row>
    <row r="362" spans="1:24" x14ac:dyDescent="0.15">
      <c r="A362" s="20" t="str">
        <f t="shared" si="47"/>
        <v>24_2-3/35&lt;lv48&gt;s4</v>
      </c>
      <c r="B362" s="16">
        <f t="shared" si="51"/>
        <v>24</v>
      </c>
      <c r="C362" s="16">
        <f t="shared" si="51"/>
        <v>2</v>
      </c>
      <c r="D362" s="16">
        <f t="shared" si="51"/>
        <v>3</v>
      </c>
      <c r="E362" s="16">
        <f t="shared" si="51"/>
        <v>35</v>
      </c>
      <c r="F362" s="16">
        <f t="shared" si="51"/>
        <v>48</v>
      </c>
      <c r="G362" s="16">
        <f t="shared" si="51"/>
        <v>1</v>
      </c>
      <c r="H362" s="16">
        <f t="shared" si="51"/>
        <v>1</v>
      </c>
      <c r="I362" s="16">
        <f t="shared" si="51"/>
        <v>0</v>
      </c>
      <c r="J362" s="16">
        <f t="shared" si="51"/>
        <v>35</v>
      </c>
      <c r="K362" s="16">
        <f t="shared" si="51"/>
        <v>0</v>
      </c>
      <c r="L362" s="16">
        <f t="shared" si="51"/>
        <v>100</v>
      </c>
      <c r="M362" s="16">
        <f t="shared" si="51"/>
        <v>0</v>
      </c>
      <c r="N362" s="16">
        <f t="shared" si="51"/>
        <v>4</v>
      </c>
      <c r="O362" s="16">
        <f t="shared" si="51"/>
        <v>35</v>
      </c>
      <c r="P362" s="16">
        <f t="shared" si="51"/>
        <v>5</v>
      </c>
      <c r="Q362" s="16">
        <f t="shared" si="51"/>
        <v>2</v>
      </c>
      <c r="R362" s="16">
        <f t="shared" si="50"/>
        <v>20</v>
      </c>
      <c r="S362" s="16">
        <f t="shared" si="50"/>
        <v>0</v>
      </c>
      <c r="T362" s="16">
        <f t="shared" si="50"/>
        <v>0</v>
      </c>
      <c r="U362" s="16">
        <f t="shared" si="50"/>
        <v>0</v>
      </c>
      <c r="V362" s="16">
        <f t="shared" si="50"/>
        <v>0</v>
      </c>
      <c r="W362" s="16">
        <f t="shared" si="50"/>
        <v>1</v>
      </c>
      <c r="X362" s="16" t="str">
        <f t="shared" si="45"/>
        <v>null</v>
      </c>
    </row>
    <row r="363" spans="1:24" x14ac:dyDescent="0.15">
      <c r="A363" s="20" t="str">
        <f t="shared" si="47"/>
        <v>24_2-3/362&lt;lv48&gt;s3</v>
      </c>
      <c r="B363" s="16">
        <f t="shared" si="51"/>
        <v>24</v>
      </c>
      <c r="C363" s="16">
        <f t="shared" si="51"/>
        <v>2</v>
      </c>
      <c r="D363" s="16">
        <f t="shared" si="51"/>
        <v>3</v>
      </c>
      <c r="E363" s="16">
        <f t="shared" si="51"/>
        <v>362</v>
      </c>
      <c r="F363" s="16">
        <f t="shared" si="51"/>
        <v>48</v>
      </c>
      <c r="G363" s="16">
        <f t="shared" si="51"/>
        <v>1</v>
      </c>
      <c r="H363" s="16">
        <f t="shared" si="51"/>
        <v>1</v>
      </c>
      <c r="I363" s="16">
        <f t="shared" si="51"/>
        <v>0</v>
      </c>
      <c r="J363" s="16">
        <f t="shared" si="51"/>
        <v>362</v>
      </c>
      <c r="K363" s="16">
        <f t="shared" si="51"/>
        <v>0</v>
      </c>
      <c r="L363" s="16">
        <f t="shared" si="51"/>
        <v>100</v>
      </c>
      <c r="M363" s="16">
        <f t="shared" si="51"/>
        <v>0</v>
      </c>
      <c r="N363" s="16">
        <f t="shared" si="51"/>
        <v>3</v>
      </c>
      <c r="O363" s="16">
        <f t="shared" si="51"/>
        <v>362</v>
      </c>
      <c r="P363" s="16">
        <f t="shared" si="51"/>
        <v>7</v>
      </c>
      <c r="Q363" s="16">
        <f t="shared" si="51"/>
        <v>2</v>
      </c>
      <c r="R363" s="16">
        <f t="shared" si="50"/>
        <v>20</v>
      </c>
      <c r="S363" s="16">
        <f t="shared" si="50"/>
        <v>0</v>
      </c>
      <c r="T363" s="16">
        <f t="shared" si="50"/>
        <v>0</v>
      </c>
      <c r="U363" s="16">
        <f t="shared" si="50"/>
        <v>0</v>
      </c>
      <c r="V363" s="16">
        <f t="shared" si="50"/>
        <v>0</v>
      </c>
      <c r="W363" s="16">
        <f t="shared" si="50"/>
        <v>1</v>
      </c>
      <c r="X363" s="16" t="str">
        <f t="shared" si="45"/>
        <v>null</v>
      </c>
    </row>
    <row r="364" spans="1:24" x14ac:dyDescent="0.15">
      <c r="A364" s="20" t="str">
        <f t="shared" si="47"/>
        <v>24_2-3/366&lt;lv46&gt;s3</v>
      </c>
      <c r="B364" s="16">
        <f t="shared" si="51"/>
        <v>24</v>
      </c>
      <c r="C364" s="16">
        <f t="shared" si="51"/>
        <v>2</v>
      </c>
      <c r="D364" s="16">
        <f t="shared" si="51"/>
        <v>3</v>
      </c>
      <c r="E364" s="16">
        <f t="shared" si="51"/>
        <v>366</v>
      </c>
      <c r="F364" s="16">
        <f t="shared" si="51"/>
        <v>46</v>
      </c>
      <c r="G364" s="16">
        <f t="shared" si="51"/>
        <v>1.1000000000000001</v>
      </c>
      <c r="H364" s="16">
        <f t="shared" si="51"/>
        <v>1</v>
      </c>
      <c r="I364" s="16">
        <f t="shared" si="51"/>
        <v>0</v>
      </c>
      <c r="J364" s="16">
        <f t="shared" si="51"/>
        <v>366</v>
      </c>
      <c r="K364" s="16">
        <f t="shared" si="51"/>
        <v>0</v>
      </c>
      <c r="L364" s="16">
        <f t="shared" si="51"/>
        <v>100</v>
      </c>
      <c r="M364" s="16">
        <f t="shared" si="51"/>
        <v>0</v>
      </c>
      <c r="N364" s="16">
        <f t="shared" si="51"/>
        <v>3</v>
      </c>
      <c r="O364" s="16">
        <f t="shared" si="51"/>
        <v>366</v>
      </c>
      <c r="P364" s="16">
        <f t="shared" si="51"/>
        <v>5</v>
      </c>
      <c r="Q364" s="16">
        <f t="shared" si="51"/>
        <v>2</v>
      </c>
      <c r="R364" s="16">
        <f t="shared" si="50"/>
        <v>20</v>
      </c>
      <c r="S364" s="16">
        <f t="shared" si="50"/>
        <v>0</v>
      </c>
      <c r="T364" s="16">
        <f t="shared" si="50"/>
        <v>0</v>
      </c>
      <c r="U364" s="16">
        <f t="shared" si="50"/>
        <v>0</v>
      </c>
      <c r="V364" s="16">
        <f t="shared" si="50"/>
        <v>0</v>
      </c>
      <c r="W364" s="16">
        <f t="shared" si="50"/>
        <v>1</v>
      </c>
      <c r="X364" s="16" t="str">
        <f t="shared" si="45"/>
        <v>null</v>
      </c>
    </row>
    <row r="365" spans="1:24" x14ac:dyDescent="0.15">
      <c r="A365" s="20" t="str">
        <f t="shared" si="47"/>
        <v>24_2-3/350&lt;lv48&gt;s3</v>
      </c>
      <c r="B365" s="16">
        <f t="shared" si="51"/>
        <v>24</v>
      </c>
      <c r="C365" s="16">
        <f t="shared" si="51"/>
        <v>2</v>
      </c>
      <c r="D365" s="16">
        <f t="shared" si="51"/>
        <v>3</v>
      </c>
      <c r="E365" s="16">
        <f t="shared" si="51"/>
        <v>350</v>
      </c>
      <c r="F365" s="16">
        <f t="shared" si="51"/>
        <v>48</v>
      </c>
      <c r="G365" s="16">
        <f t="shared" si="51"/>
        <v>1</v>
      </c>
      <c r="H365" s="16">
        <f t="shared" si="51"/>
        <v>1</v>
      </c>
      <c r="I365" s="16">
        <f t="shared" si="51"/>
        <v>0</v>
      </c>
      <c r="J365" s="16">
        <f t="shared" si="51"/>
        <v>350</v>
      </c>
      <c r="K365" s="16">
        <f t="shared" si="51"/>
        <v>0</v>
      </c>
      <c r="L365" s="16">
        <f t="shared" si="51"/>
        <v>100</v>
      </c>
      <c r="M365" s="16">
        <f t="shared" si="51"/>
        <v>0</v>
      </c>
      <c r="N365" s="16">
        <f t="shared" si="51"/>
        <v>3</v>
      </c>
      <c r="O365" s="16">
        <f t="shared" si="51"/>
        <v>350</v>
      </c>
      <c r="P365" s="16">
        <f t="shared" si="51"/>
        <v>1</v>
      </c>
      <c r="Q365" s="16">
        <f t="shared" si="51"/>
        <v>2</v>
      </c>
      <c r="R365" s="16">
        <f t="shared" si="50"/>
        <v>26</v>
      </c>
      <c r="S365" s="16">
        <f t="shared" si="50"/>
        <v>0</v>
      </c>
      <c r="T365" s="16">
        <f t="shared" si="50"/>
        <v>0</v>
      </c>
      <c r="U365" s="16">
        <f t="shared" si="50"/>
        <v>0</v>
      </c>
      <c r="V365" s="16">
        <f t="shared" si="50"/>
        <v>0</v>
      </c>
      <c r="W365" s="16">
        <f t="shared" si="50"/>
        <v>1</v>
      </c>
      <c r="X365" s="16" t="str">
        <f t="shared" si="45"/>
        <v>null</v>
      </c>
    </row>
    <row r="366" spans="1:24" x14ac:dyDescent="0.15">
      <c r="A366" s="20" t="str">
        <f t="shared" si="47"/>
        <v>24_2-4/47&lt;lv46&gt;s1</v>
      </c>
      <c r="B366" s="16">
        <f t="shared" si="51"/>
        <v>24</v>
      </c>
      <c r="C366" s="16">
        <f t="shared" si="51"/>
        <v>2</v>
      </c>
      <c r="D366" s="16">
        <f t="shared" si="51"/>
        <v>4</v>
      </c>
      <c r="E366" s="16">
        <f t="shared" si="51"/>
        <v>47</v>
      </c>
      <c r="F366" s="16">
        <f t="shared" si="51"/>
        <v>46</v>
      </c>
      <c r="G366" s="16">
        <f t="shared" si="51"/>
        <v>1.1000000000000001</v>
      </c>
      <c r="H366" s="16">
        <f t="shared" si="51"/>
        <v>1</v>
      </c>
      <c r="I366" s="16">
        <f t="shared" si="51"/>
        <v>0</v>
      </c>
      <c r="J366" s="16">
        <f t="shared" si="51"/>
        <v>0</v>
      </c>
      <c r="K366" s="16">
        <f t="shared" si="51"/>
        <v>0</v>
      </c>
      <c r="L366" s="16">
        <f t="shared" si="51"/>
        <v>100</v>
      </c>
      <c r="M366" s="16">
        <f t="shared" si="51"/>
        <v>0</v>
      </c>
      <c r="N366" s="16">
        <f t="shared" si="51"/>
        <v>1</v>
      </c>
      <c r="O366" s="16">
        <f t="shared" si="51"/>
        <v>47</v>
      </c>
      <c r="P366" s="16">
        <f t="shared" si="51"/>
        <v>7</v>
      </c>
      <c r="Q366" s="16">
        <f t="shared" ref="Q366:W381" si="52">VLOOKUP($A366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66" s="16">
        <f t="shared" si="52"/>
        <v>20</v>
      </c>
      <c r="S366" s="16">
        <f t="shared" si="52"/>
        <v>0</v>
      </c>
      <c r="T366" s="16">
        <f t="shared" si="52"/>
        <v>0</v>
      </c>
      <c r="U366" s="16">
        <f t="shared" si="52"/>
        <v>0</v>
      </c>
      <c r="V366" s="16">
        <f t="shared" si="52"/>
        <v>0</v>
      </c>
      <c r="W366" s="16">
        <f t="shared" si="52"/>
        <v>1</v>
      </c>
      <c r="X366" s="16" t="str">
        <f t="shared" si="45"/>
        <v>null</v>
      </c>
    </row>
    <row r="367" spans="1:24" x14ac:dyDescent="0.15">
      <c r="A367" s="20" t="str">
        <f t="shared" si="47"/>
        <v>24_2-4/59&lt;lv48&gt;s2</v>
      </c>
      <c r="B367" s="16">
        <f t="shared" ref="B367:Q382" si="53">VLOOKUP($A367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367" s="16">
        <f t="shared" si="53"/>
        <v>2</v>
      </c>
      <c r="D367" s="16">
        <f t="shared" si="53"/>
        <v>4</v>
      </c>
      <c r="E367" s="16">
        <f t="shared" si="53"/>
        <v>59</v>
      </c>
      <c r="F367" s="16">
        <f t="shared" si="53"/>
        <v>48</v>
      </c>
      <c r="G367" s="16">
        <f t="shared" si="53"/>
        <v>1</v>
      </c>
      <c r="H367" s="16">
        <f t="shared" si="53"/>
        <v>1</v>
      </c>
      <c r="I367" s="16">
        <f t="shared" si="53"/>
        <v>0</v>
      </c>
      <c r="J367" s="16">
        <f t="shared" si="53"/>
        <v>59</v>
      </c>
      <c r="K367" s="16">
        <f t="shared" si="53"/>
        <v>0</v>
      </c>
      <c r="L367" s="16">
        <f t="shared" si="53"/>
        <v>100</v>
      </c>
      <c r="M367" s="16">
        <f t="shared" si="53"/>
        <v>0</v>
      </c>
      <c r="N367" s="16">
        <f t="shared" si="53"/>
        <v>2</v>
      </c>
      <c r="O367" s="16">
        <f t="shared" si="53"/>
        <v>59</v>
      </c>
      <c r="P367" s="16">
        <f t="shared" si="53"/>
        <v>7</v>
      </c>
      <c r="Q367" s="16">
        <f t="shared" si="53"/>
        <v>2</v>
      </c>
      <c r="R367" s="16">
        <f t="shared" si="52"/>
        <v>20</v>
      </c>
      <c r="S367" s="16">
        <f t="shared" si="52"/>
        <v>0</v>
      </c>
      <c r="T367" s="16">
        <f t="shared" si="52"/>
        <v>0</v>
      </c>
      <c r="U367" s="16">
        <f t="shared" si="52"/>
        <v>0</v>
      </c>
      <c r="V367" s="16">
        <f t="shared" si="52"/>
        <v>0</v>
      </c>
      <c r="W367" s="16">
        <f t="shared" si="52"/>
        <v>1</v>
      </c>
      <c r="X367" s="16" t="str">
        <f t="shared" si="45"/>
        <v>null</v>
      </c>
    </row>
    <row r="368" spans="1:24" x14ac:dyDescent="0.15">
      <c r="A368" s="20" t="str">
        <f t="shared" si="47"/>
        <v>24_2-4/63&lt;lv46&gt;s2</v>
      </c>
      <c r="B368" s="16">
        <f t="shared" si="53"/>
        <v>24</v>
      </c>
      <c r="C368" s="16">
        <f t="shared" si="53"/>
        <v>2</v>
      </c>
      <c r="D368" s="16">
        <f t="shared" si="53"/>
        <v>4</v>
      </c>
      <c r="E368" s="16">
        <f t="shared" si="53"/>
        <v>63</v>
      </c>
      <c r="F368" s="16">
        <f t="shared" si="53"/>
        <v>46</v>
      </c>
      <c r="G368" s="16">
        <f t="shared" si="53"/>
        <v>1.1000000000000001</v>
      </c>
      <c r="H368" s="16">
        <f t="shared" si="53"/>
        <v>1</v>
      </c>
      <c r="I368" s="16">
        <f t="shared" si="53"/>
        <v>0</v>
      </c>
      <c r="J368" s="16">
        <f t="shared" si="53"/>
        <v>63</v>
      </c>
      <c r="K368" s="16">
        <f t="shared" si="53"/>
        <v>0</v>
      </c>
      <c r="L368" s="16">
        <f t="shared" si="53"/>
        <v>100</v>
      </c>
      <c r="M368" s="16">
        <f t="shared" si="53"/>
        <v>0</v>
      </c>
      <c r="N368" s="16">
        <f t="shared" si="53"/>
        <v>2</v>
      </c>
      <c r="O368" s="16">
        <f t="shared" si="53"/>
        <v>63</v>
      </c>
      <c r="P368" s="16">
        <f t="shared" si="53"/>
        <v>7</v>
      </c>
      <c r="Q368" s="16">
        <f t="shared" si="53"/>
        <v>2</v>
      </c>
      <c r="R368" s="16">
        <f t="shared" si="52"/>
        <v>20</v>
      </c>
      <c r="S368" s="16">
        <f t="shared" si="52"/>
        <v>0</v>
      </c>
      <c r="T368" s="16">
        <f t="shared" si="52"/>
        <v>0</v>
      </c>
      <c r="U368" s="16">
        <f t="shared" si="52"/>
        <v>0</v>
      </c>
      <c r="V368" s="16">
        <f t="shared" si="52"/>
        <v>0</v>
      </c>
      <c r="W368" s="16">
        <f t="shared" si="52"/>
        <v>1</v>
      </c>
      <c r="X368" s="16" t="str">
        <f t="shared" si="45"/>
        <v>null</v>
      </c>
    </row>
    <row r="369" spans="1:24" x14ac:dyDescent="0.15">
      <c r="A369" s="20" t="str">
        <f t="shared" si="47"/>
        <v>24_2-4/35&lt;lv48&gt;s4</v>
      </c>
      <c r="B369" s="16">
        <f t="shared" si="53"/>
        <v>24</v>
      </c>
      <c r="C369" s="16">
        <f t="shared" si="53"/>
        <v>2</v>
      </c>
      <c r="D369" s="16">
        <f t="shared" si="53"/>
        <v>4</v>
      </c>
      <c r="E369" s="16">
        <f t="shared" si="53"/>
        <v>35</v>
      </c>
      <c r="F369" s="16">
        <f t="shared" si="53"/>
        <v>48</v>
      </c>
      <c r="G369" s="16">
        <f t="shared" si="53"/>
        <v>1</v>
      </c>
      <c r="H369" s="16">
        <f t="shared" si="53"/>
        <v>1</v>
      </c>
      <c r="I369" s="16">
        <f t="shared" si="53"/>
        <v>0</v>
      </c>
      <c r="J369" s="16">
        <f t="shared" si="53"/>
        <v>35</v>
      </c>
      <c r="K369" s="16">
        <f t="shared" si="53"/>
        <v>0</v>
      </c>
      <c r="L369" s="16">
        <f t="shared" si="53"/>
        <v>100</v>
      </c>
      <c r="M369" s="16">
        <f t="shared" si="53"/>
        <v>0</v>
      </c>
      <c r="N369" s="16">
        <f t="shared" si="53"/>
        <v>4</v>
      </c>
      <c r="O369" s="16">
        <f t="shared" si="53"/>
        <v>35</v>
      </c>
      <c r="P369" s="16">
        <f t="shared" si="53"/>
        <v>5</v>
      </c>
      <c r="Q369" s="16">
        <f t="shared" si="53"/>
        <v>2</v>
      </c>
      <c r="R369" s="16">
        <f t="shared" si="52"/>
        <v>20</v>
      </c>
      <c r="S369" s="16">
        <f t="shared" si="52"/>
        <v>0</v>
      </c>
      <c r="T369" s="16">
        <f t="shared" si="52"/>
        <v>0</v>
      </c>
      <c r="U369" s="16">
        <f t="shared" si="52"/>
        <v>0</v>
      </c>
      <c r="V369" s="16">
        <f t="shared" si="52"/>
        <v>0</v>
      </c>
      <c r="W369" s="16">
        <f t="shared" si="52"/>
        <v>1</v>
      </c>
      <c r="X369" s="16" t="str">
        <f t="shared" si="45"/>
        <v>null</v>
      </c>
    </row>
    <row r="370" spans="1:24" x14ac:dyDescent="0.15">
      <c r="A370" s="20" t="str">
        <f t="shared" si="47"/>
        <v>24_2-4/362&lt;lv48&gt;s3</v>
      </c>
      <c r="B370" s="16">
        <f t="shared" si="53"/>
        <v>24</v>
      </c>
      <c r="C370" s="16">
        <f t="shared" si="53"/>
        <v>2</v>
      </c>
      <c r="D370" s="16">
        <f t="shared" si="53"/>
        <v>4</v>
      </c>
      <c r="E370" s="16">
        <f t="shared" si="53"/>
        <v>362</v>
      </c>
      <c r="F370" s="16">
        <f t="shared" si="53"/>
        <v>48</v>
      </c>
      <c r="G370" s="16">
        <f t="shared" si="53"/>
        <v>1</v>
      </c>
      <c r="H370" s="16">
        <f t="shared" si="53"/>
        <v>1</v>
      </c>
      <c r="I370" s="16">
        <f t="shared" si="53"/>
        <v>0</v>
      </c>
      <c r="J370" s="16">
        <f t="shared" si="53"/>
        <v>362</v>
      </c>
      <c r="K370" s="16">
        <f t="shared" si="53"/>
        <v>0</v>
      </c>
      <c r="L370" s="16">
        <f t="shared" si="53"/>
        <v>100</v>
      </c>
      <c r="M370" s="16">
        <f t="shared" si="53"/>
        <v>0</v>
      </c>
      <c r="N370" s="16">
        <f t="shared" si="53"/>
        <v>3</v>
      </c>
      <c r="O370" s="16">
        <f t="shared" si="53"/>
        <v>362</v>
      </c>
      <c r="P370" s="16">
        <f t="shared" si="53"/>
        <v>7</v>
      </c>
      <c r="Q370" s="16">
        <f t="shared" si="53"/>
        <v>2</v>
      </c>
      <c r="R370" s="16">
        <f t="shared" si="52"/>
        <v>20</v>
      </c>
      <c r="S370" s="16">
        <f t="shared" si="52"/>
        <v>0</v>
      </c>
      <c r="T370" s="16">
        <f t="shared" si="52"/>
        <v>0</v>
      </c>
      <c r="U370" s="16">
        <f t="shared" si="52"/>
        <v>0</v>
      </c>
      <c r="V370" s="16">
        <f t="shared" si="52"/>
        <v>0</v>
      </c>
      <c r="W370" s="16">
        <f t="shared" si="52"/>
        <v>1</v>
      </c>
      <c r="X370" s="16" t="str">
        <f t="shared" si="45"/>
        <v>null</v>
      </c>
    </row>
    <row r="371" spans="1:24" x14ac:dyDescent="0.15">
      <c r="A371" s="20" t="str">
        <f t="shared" si="47"/>
        <v>24_2-4/366&lt;lv46&gt;s3</v>
      </c>
      <c r="B371" s="16">
        <f t="shared" si="53"/>
        <v>24</v>
      </c>
      <c r="C371" s="16">
        <f t="shared" si="53"/>
        <v>2</v>
      </c>
      <c r="D371" s="16">
        <f t="shared" si="53"/>
        <v>4</v>
      </c>
      <c r="E371" s="16">
        <f t="shared" si="53"/>
        <v>366</v>
      </c>
      <c r="F371" s="16">
        <f t="shared" si="53"/>
        <v>46</v>
      </c>
      <c r="G371" s="16">
        <f t="shared" si="53"/>
        <v>1.1000000000000001</v>
      </c>
      <c r="H371" s="16">
        <f t="shared" si="53"/>
        <v>1</v>
      </c>
      <c r="I371" s="16">
        <f t="shared" si="53"/>
        <v>0</v>
      </c>
      <c r="J371" s="16">
        <f t="shared" si="53"/>
        <v>366</v>
      </c>
      <c r="K371" s="16">
        <f t="shared" si="53"/>
        <v>0</v>
      </c>
      <c r="L371" s="16">
        <f t="shared" si="53"/>
        <v>100</v>
      </c>
      <c r="M371" s="16">
        <f t="shared" si="53"/>
        <v>0</v>
      </c>
      <c r="N371" s="16">
        <f t="shared" si="53"/>
        <v>3</v>
      </c>
      <c r="O371" s="16">
        <f t="shared" si="53"/>
        <v>366</v>
      </c>
      <c r="P371" s="16">
        <f t="shared" si="53"/>
        <v>5</v>
      </c>
      <c r="Q371" s="16">
        <f t="shared" si="53"/>
        <v>2</v>
      </c>
      <c r="R371" s="16">
        <f t="shared" si="52"/>
        <v>20</v>
      </c>
      <c r="S371" s="16">
        <f t="shared" si="52"/>
        <v>0</v>
      </c>
      <c r="T371" s="16">
        <f t="shared" si="52"/>
        <v>0</v>
      </c>
      <c r="U371" s="16">
        <f t="shared" si="52"/>
        <v>0</v>
      </c>
      <c r="V371" s="16">
        <f t="shared" si="52"/>
        <v>0</v>
      </c>
      <c r="W371" s="16">
        <f t="shared" si="52"/>
        <v>1</v>
      </c>
      <c r="X371" s="16" t="str">
        <f t="shared" si="45"/>
        <v>null</v>
      </c>
    </row>
    <row r="372" spans="1:24" x14ac:dyDescent="0.15">
      <c r="A372" s="20" t="str">
        <f t="shared" si="47"/>
        <v>24_2-4/354&lt;lv46&gt;s3</v>
      </c>
      <c r="B372" s="16">
        <f t="shared" si="53"/>
        <v>24</v>
      </c>
      <c r="C372" s="16">
        <f t="shared" si="53"/>
        <v>2</v>
      </c>
      <c r="D372" s="16">
        <f t="shared" si="53"/>
        <v>4</v>
      </c>
      <c r="E372" s="16">
        <f t="shared" si="53"/>
        <v>354</v>
      </c>
      <c r="F372" s="16">
        <f t="shared" si="53"/>
        <v>46</v>
      </c>
      <c r="G372" s="16">
        <f t="shared" si="53"/>
        <v>1</v>
      </c>
      <c r="H372" s="16">
        <f t="shared" si="53"/>
        <v>1</v>
      </c>
      <c r="I372" s="16">
        <f t="shared" si="53"/>
        <v>0</v>
      </c>
      <c r="J372" s="16">
        <f t="shared" si="53"/>
        <v>354</v>
      </c>
      <c r="K372" s="16">
        <f t="shared" si="53"/>
        <v>0</v>
      </c>
      <c r="L372" s="16">
        <f t="shared" si="53"/>
        <v>100</v>
      </c>
      <c r="M372" s="16">
        <f t="shared" si="53"/>
        <v>0</v>
      </c>
      <c r="N372" s="16">
        <f t="shared" si="53"/>
        <v>3</v>
      </c>
      <c r="O372" s="16">
        <f t="shared" si="53"/>
        <v>354</v>
      </c>
      <c r="P372" s="16">
        <f t="shared" si="53"/>
        <v>1</v>
      </c>
      <c r="Q372" s="16">
        <f t="shared" si="53"/>
        <v>2</v>
      </c>
      <c r="R372" s="16">
        <f t="shared" si="52"/>
        <v>26</v>
      </c>
      <c r="S372" s="16">
        <f t="shared" si="52"/>
        <v>0</v>
      </c>
      <c r="T372" s="16">
        <f t="shared" si="52"/>
        <v>0</v>
      </c>
      <c r="U372" s="16">
        <f t="shared" si="52"/>
        <v>0</v>
      </c>
      <c r="V372" s="16">
        <f t="shared" si="52"/>
        <v>0</v>
      </c>
      <c r="W372" s="16">
        <f t="shared" si="52"/>
        <v>1</v>
      </c>
      <c r="X372" s="16" t="str">
        <f t="shared" si="45"/>
        <v>null</v>
      </c>
    </row>
    <row r="373" spans="1:24" x14ac:dyDescent="0.15">
      <c r="A373" s="20" t="str">
        <f t="shared" si="47"/>
        <v>24_2-5/187&lt;lv51&gt;s1</v>
      </c>
      <c r="B373" s="16">
        <f t="shared" si="53"/>
        <v>24</v>
      </c>
      <c r="C373" s="16">
        <f t="shared" si="53"/>
        <v>2</v>
      </c>
      <c r="D373" s="16">
        <f t="shared" si="53"/>
        <v>5</v>
      </c>
      <c r="E373" s="16">
        <f t="shared" si="53"/>
        <v>187</v>
      </c>
      <c r="F373" s="16">
        <f t="shared" si="53"/>
        <v>51</v>
      </c>
      <c r="G373" s="16">
        <f t="shared" si="53"/>
        <v>1.6</v>
      </c>
      <c r="H373" s="16">
        <f t="shared" si="53"/>
        <v>1</v>
      </c>
      <c r="I373" s="16">
        <f t="shared" si="53"/>
        <v>0</v>
      </c>
      <c r="J373" s="16">
        <f t="shared" si="53"/>
        <v>18701</v>
      </c>
      <c r="K373" s="16">
        <f t="shared" si="53"/>
        <v>1</v>
      </c>
      <c r="L373" s="16">
        <f t="shared" si="53"/>
        <v>100</v>
      </c>
      <c r="M373" s="16">
        <f t="shared" si="53"/>
        <v>1</v>
      </c>
      <c r="N373" s="16">
        <f t="shared" si="53"/>
        <v>1</v>
      </c>
      <c r="O373" s="16">
        <f t="shared" si="53"/>
        <v>187</v>
      </c>
      <c r="P373" s="16">
        <f t="shared" si="53"/>
        <v>1</v>
      </c>
      <c r="Q373" s="16">
        <f t="shared" si="53"/>
        <v>3</v>
      </c>
      <c r="R373" s="16">
        <f t="shared" si="52"/>
        <v>0</v>
      </c>
      <c r="S373" s="16">
        <f t="shared" si="52"/>
        <v>0</v>
      </c>
      <c r="T373" s="16">
        <f t="shared" si="52"/>
        <v>0</v>
      </c>
      <c r="U373" s="16">
        <f t="shared" si="52"/>
        <v>0</v>
      </c>
      <c r="V373" s="16">
        <f t="shared" si="52"/>
        <v>0</v>
      </c>
      <c r="W373" s="16">
        <f t="shared" si="52"/>
        <v>1</v>
      </c>
      <c r="X373" s="16" t="str">
        <f t="shared" si="45"/>
        <v>null</v>
      </c>
    </row>
    <row r="374" spans="1:24" x14ac:dyDescent="0.15">
      <c r="A374" s="20" t="str">
        <f t="shared" si="47"/>
        <v>24_2-5/36&lt;lv51&gt;s3</v>
      </c>
      <c r="B374" s="16">
        <f t="shared" si="53"/>
        <v>24</v>
      </c>
      <c r="C374" s="16">
        <f t="shared" si="53"/>
        <v>2</v>
      </c>
      <c r="D374" s="16">
        <f t="shared" si="53"/>
        <v>5</v>
      </c>
      <c r="E374" s="16">
        <f t="shared" si="53"/>
        <v>36</v>
      </c>
      <c r="F374" s="16">
        <f t="shared" si="53"/>
        <v>51</v>
      </c>
      <c r="G374" s="16">
        <f t="shared" si="53"/>
        <v>1.5</v>
      </c>
      <c r="H374" s="16">
        <f t="shared" si="53"/>
        <v>1</v>
      </c>
      <c r="I374" s="16">
        <f t="shared" si="53"/>
        <v>0</v>
      </c>
      <c r="J374" s="16">
        <f t="shared" si="53"/>
        <v>36</v>
      </c>
      <c r="K374" s="16">
        <f t="shared" si="53"/>
        <v>1</v>
      </c>
      <c r="L374" s="16">
        <f t="shared" si="53"/>
        <v>100</v>
      </c>
      <c r="M374" s="16">
        <f t="shared" si="53"/>
        <v>0</v>
      </c>
      <c r="N374" s="16">
        <f t="shared" si="53"/>
        <v>3</v>
      </c>
      <c r="O374" s="16">
        <f t="shared" si="53"/>
        <v>35</v>
      </c>
      <c r="P374" s="16">
        <f t="shared" si="53"/>
        <v>1</v>
      </c>
      <c r="Q374" s="16">
        <f t="shared" si="53"/>
        <v>2</v>
      </c>
      <c r="R374" s="16">
        <f t="shared" si="52"/>
        <v>0</v>
      </c>
      <c r="S374" s="16">
        <f t="shared" si="52"/>
        <v>0</v>
      </c>
      <c r="T374" s="16">
        <f t="shared" si="52"/>
        <v>0</v>
      </c>
      <c r="U374" s="16">
        <f t="shared" si="52"/>
        <v>0</v>
      </c>
      <c r="V374" s="16">
        <f t="shared" si="52"/>
        <v>0</v>
      </c>
      <c r="W374" s="16">
        <f t="shared" si="52"/>
        <v>1</v>
      </c>
      <c r="X374" s="16" t="str">
        <f t="shared" si="45"/>
        <v>null</v>
      </c>
    </row>
    <row r="375" spans="1:24" x14ac:dyDescent="0.15">
      <c r="A375" s="20" t="str">
        <f t="shared" si="47"/>
        <v>24_2-5/47&lt;lv51&gt;s1</v>
      </c>
      <c r="B375" s="16">
        <f t="shared" si="53"/>
        <v>24</v>
      </c>
      <c r="C375" s="16">
        <f t="shared" si="53"/>
        <v>2</v>
      </c>
      <c r="D375" s="16">
        <f t="shared" si="53"/>
        <v>5</v>
      </c>
      <c r="E375" s="16">
        <f t="shared" si="53"/>
        <v>47</v>
      </c>
      <c r="F375" s="16">
        <f t="shared" si="53"/>
        <v>51</v>
      </c>
      <c r="G375" s="16">
        <f t="shared" si="53"/>
        <v>2.1</v>
      </c>
      <c r="H375" s="16">
        <f t="shared" si="53"/>
        <v>0.5</v>
      </c>
      <c r="I375" s="16">
        <f t="shared" si="53"/>
        <v>0</v>
      </c>
      <c r="J375" s="16">
        <f t="shared" si="53"/>
        <v>0</v>
      </c>
      <c r="K375" s="16">
        <f t="shared" si="53"/>
        <v>1</v>
      </c>
      <c r="L375" s="16">
        <f t="shared" si="53"/>
        <v>100</v>
      </c>
      <c r="M375" s="16">
        <f t="shared" si="53"/>
        <v>0</v>
      </c>
      <c r="N375" s="16">
        <f t="shared" si="53"/>
        <v>1</v>
      </c>
      <c r="O375" s="16">
        <f t="shared" si="53"/>
        <v>47</v>
      </c>
      <c r="P375" s="16">
        <f t="shared" si="53"/>
        <v>1</v>
      </c>
      <c r="Q375" s="16">
        <f t="shared" si="53"/>
        <v>2</v>
      </c>
      <c r="R375" s="16">
        <f t="shared" si="52"/>
        <v>0</v>
      </c>
      <c r="S375" s="16">
        <f t="shared" si="52"/>
        <v>0</v>
      </c>
      <c r="T375" s="16">
        <f t="shared" si="52"/>
        <v>0</v>
      </c>
      <c r="U375" s="16">
        <f t="shared" si="52"/>
        <v>0</v>
      </c>
      <c r="V375" s="16">
        <f t="shared" si="52"/>
        <v>0</v>
      </c>
      <c r="W375" s="16">
        <f t="shared" si="52"/>
        <v>1</v>
      </c>
      <c r="X375" s="16" t="str">
        <f t="shared" si="45"/>
        <v>null</v>
      </c>
    </row>
    <row r="376" spans="1:24" x14ac:dyDescent="0.15">
      <c r="A376" s="20" t="str">
        <f t="shared" si="47"/>
        <v>24_3-1/13&lt;lv48&gt;s2</v>
      </c>
      <c r="B376" s="16">
        <f t="shared" si="53"/>
        <v>24</v>
      </c>
      <c r="C376" s="16">
        <f t="shared" si="53"/>
        <v>3</v>
      </c>
      <c r="D376" s="16">
        <f t="shared" si="53"/>
        <v>1</v>
      </c>
      <c r="E376" s="16">
        <f t="shared" si="53"/>
        <v>13</v>
      </c>
      <c r="F376" s="16">
        <f t="shared" si="53"/>
        <v>48</v>
      </c>
      <c r="G376" s="16">
        <f t="shared" si="53"/>
        <v>1</v>
      </c>
      <c r="H376" s="16">
        <f t="shared" si="53"/>
        <v>1</v>
      </c>
      <c r="I376" s="16">
        <f t="shared" si="53"/>
        <v>0</v>
      </c>
      <c r="J376" s="16">
        <f t="shared" si="53"/>
        <v>0</v>
      </c>
      <c r="K376" s="16">
        <f t="shared" si="53"/>
        <v>0</v>
      </c>
      <c r="L376" s="16">
        <f t="shared" si="53"/>
        <v>100</v>
      </c>
      <c r="M376" s="16">
        <f t="shared" si="53"/>
        <v>0</v>
      </c>
      <c r="N376" s="16">
        <f t="shared" si="53"/>
        <v>2</v>
      </c>
      <c r="O376" s="16">
        <f t="shared" si="53"/>
        <v>13</v>
      </c>
      <c r="P376" s="16">
        <f t="shared" si="53"/>
        <v>9</v>
      </c>
      <c r="Q376" s="16">
        <f t="shared" si="53"/>
        <v>1</v>
      </c>
      <c r="R376" s="16">
        <f t="shared" si="52"/>
        <v>15</v>
      </c>
      <c r="S376" s="16">
        <f t="shared" si="52"/>
        <v>0</v>
      </c>
      <c r="T376" s="16">
        <f t="shared" si="52"/>
        <v>0</v>
      </c>
      <c r="U376" s="16">
        <f t="shared" si="52"/>
        <v>0</v>
      </c>
      <c r="V376" s="16">
        <f t="shared" si="52"/>
        <v>0</v>
      </c>
      <c r="W376" s="16">
        <f t="shared" si="52"/>
        <v>1</v>
      </c>
      <c r="X376" s="16" t="str">
        <f t="shared" si="45"/>
        <v>null</v>
      </c>
    </row>
    <row r="377" spans="1:24" x14ac:dyDescent="0.15">
      <c r="A377" s="20" t="str">
        <f t="shared" si="47"/>
        <v>24_3-1/47&lt;lv48&gt;s1</v>
      </c>
      <c r="B377" s="16">
        <f t="shared" si="53"/>
        <v>24</v>
      </c>
      <c r="C377" s="16">
        <f t="shared" si="53"/>
        <v>3</v>
      </c>
      <c r="D377" s="16">
        <f t="shared" si="53"/>
        <v>1</v>
      </c>
      <c r="E377" s="16">
        <f t="shared" si="53"/>
        <v>47</v>
      </c>
      <c r="F377" s="16">
        <f t="shared" si="53"/>
        <v>48</v>
      </c>
      <c r="G377" s="16">
        <f t="shared" si="53"/>
        <v>1</v>
      </c>
      <c r="H377" s="16">
        <f t="shared" si="53"/>
        <v>1</v>
      </c>
      <c r="I377" s="16">
        <f t="shared" si="53"/>
        <v>0</v>
      </c>
      <c r="J377" s="16">
        <f t="shared" si="53"/>
        <v>0</v>
      </c>
      <c r="K377" s="16">
        <f t="shared" si="53"/>
        <v>0</v>
      </c>
      <c r="L377" s="16">
        <f t="shared" si="53"/>
        <v>100</v>
      </c>
      <c r="M377" s="16">
        <f t="shared" si="53"/>
        <v>0</v>
      </c>
      <c r="N377" s="16">
        <f t="shared" si="53"/>
        <v>1</v>
      </c>
      <c r="O377" s="16">
        <f t="shared" si="53"/>
        <v>47</v>
      </c>
      <c r="P377" s="16">
        <f t="shared" si="53"/>
        <v>7</v>
      </c>
      <c r="Q377" s="16">
        <f t="shared" si="53"/>
        <v>2</v>
      </c>
      <c r="R377" s="16">
        <f t="shared" si="52"/>
        <v>20</v>
      </c>
      <c r="S377" s="16">
        <f t="shared" si="52"/>
        <v>0</v>
      </c>
      <c r="T377" s="16">
        <f t="shared" si="52"/>
        <v>0</v>
      </c>
      <c r="U377" s="16">
        <f t="shared" si="52"/>
        <v>0</v>
      </c>
      <c r="V377" s="16">
        <f t="shared" si="52"/>
        <v>0</v>
      </c>
      <c r="W377" s="16">
        <f t="shared" si="52"/>
        <v>1</v>
      </c>
      <c r="X377" s="16" t="str">
        <f t="shared" si="45"/>
        <v>null</v>
      </c>
    </row>
    <row r="378" spans="1:24" x14ac:dyDescent="0.15">
      <c r="A378" s="20" t="str">
        <f t="shared" si="47"/>
        <v>24_3-1/63&lt;lv48&gt;s2</v>
      </c>
      <c r="B378" s="16">
        <f t="shared" si="53"/>
        <v>24</v>
      </c>
      <c r="C378" s="16">
        <f t="shared" si="53"/>
        <v>3</v>
      </c>
      <c r="D378" s="16">
        <f t="shared" si="53"/>
        <v>1</v>
      </c>
      <c r="E378" s="16">
        <f t="shared" si="53"/>
        <v>63</v>
      </c>
      <c r="F378" s="16">
        <f t="shared" si="53"/>
        <v>48</v>
      </c>
      <c r="G378" s="16">
        <f t="shared" si="53"/>
        <v>1</v>
      </c>
      <c r="H378" s="16">
        <f t="shared" si="53"/>
        <v>1</v>
      </c>
      <c r="I378" s="16">
        <f t="shared" si="53"/>
        <v>0</v>
      </c>
      <c r="J378" s="16">
        <f t="shared" si="53"/>
        <v>63</v>
      </c>
      <c r="K378" s="16">
        <f t="shared" si="53"/>
        <v>0</v>
      </c>
      <c r="L378" s="16">
        <f t="shared" si="53"/>
        <v>100</v>
      </c>
      <c r="M378" s="16">
        <f t="shared" si="53"/>
        <v>0</v>
      </c>
      <c r="N378" s="16">
        <f t="shared" si="53"/>
        <v>2</v>
      </c>
      <c r="O378" s="16">
        <f t="shared" si="53"/>
        <v>63</v>
      </c>
      <c r="P378" s="16">
        <f t="shared" si="53"/>
        <v>7</v>
      </c>
      <c r="Q378" s="16">
        <f t="shared" si="53"/>
        <v>2</v>
      </c>
      <c r="R378" s="16">
        <f t="shared" si="52"/>
        <v>20</v>
      </c>
      <c r="S378" s="16">
        <f t="shared" si="52"/>
        <v>0</v>
      </c>
      <c r="T378" s="16">
        <f t="shared" si="52"/>
        <v>0</v>
      </c>
      <c r="U378" s="16">
        <f t="shared" si="52"/>
        <v>0</v>
      </c>
      <c r="V378" s="16">
        <f t="shared" si="52"/>
        <v>0</v>
      </c>
      <c r="W378" s="16">
        <f t="shared" si="52"/>
        <v>1</v>
      </c>
      <c r="X378" s="16" t="str">
        <f t="shared" si="45"/>
        <v>null</v>
      </c>
    </row>
    <row r="379" spans="1:24" x14ac:dyDescent="0.15">
      <c r="A379" s="20" t="str">
        <f t="shared" si="47"/>
        <v>24_3-1/31&lt;lv48&gt;s2</v>
      </c>
      <c r="B379" s="16">
        <f t="shared" si="53"/>
        <v>24</v>
      </c>
      <c r="C379" s="16">
        <f t="shared" si="53"/>
        <v>3</v>
      </c>
      <c r="D379" s="16">
        <f t="shared" si="53"/>
        <v>1</v>
      </c>
      <c r="E379" s="16">
        <f t="shared" si="53"/>
        <v>31</v>
      </c>
      <c r="F379" s="16">
        <f t="shared" si="53"/>
        <v>48</v>
      </c>
      <c r="G379" s="16">
        <f t="shared" si="53"/>
        <v>1</v>
      </c>
      <c r="H379" s="16">
        <f t="shared" si="53"/>
        <v>1</v>
      </c>
      <c r="I379" s="16">
        <f t="shared" si="53"/>
        <v>0</v>
      </c>
      <c r="J379" s="16">
        <f t="shared" si="53"/>
        <v>0</v>
      </c>
      <c r="K379" s="16">
        <f t="shared" si="53"/>
        <v>0</v>
      </c>
      <c r="L379" s="16">
        <f t="shared" si="53"/>
        <v>100</v>
      </c>
      <c r="M379" s="16">
        <f t="shared" si="53"/>
        <v>0</v>
      </c>
      <c r="N379" s="16">
        <f t="shared" si="53"/>
        <v>2</v>
      </c>
      <c r="O379" s="16">
        <f t="shared" si="53"/>
        <v>31</v>
      </c>
      <c r="P379" s="16">
        <f t="shared" si="53"/>
        <v>7</v>
      </c>
      <c r="Q379" s="16">
        <f t="shared" si="53"/>
        <v>1</v>
      </c>
      <c r="R379" s="16">
        <f t="shared" si="52"/>
        <v>15</v>
      </c>
      <c r="S379" s="16">
        <f t="shared" si="52"/>
        <v>0</v>
      </c>
      <c r="T379" s="16">
        <f t="shared" si="52"/>
        <v>0</v>
      </c>
      <c r="U379" s="16">
        <f t="shared" si="52"/>
        <v>0</v>
      </c>
      <c r="V379" s="16">
        <f t="shared" si="52"/>
        <v>0</v>
      </c>
      <c r="W379" s="16">
        <f t="shared" si="52"/>
        <v>1</v>
      </c>
      <c r="X379" s="16" t="str">
        <f t="shared" si="45"/>
        <v>null</v>
      </c>
    </row>
    <row r="380" spans="1:24" x14ac:dyDescent="0.15">
      <c r="A380" s="20" t="str">
        <f t="shared" si="47"/>
        <v>24_3-1/366&lt;lv48&gt;s3</v>
      </c>
      <c r="B380" s="16">
        <f t="shared" si="53"/>
        <v>24</v>
      </c>
      <c r="C380" s="16">
        <f t="shared" si="53"/>
        <v>3</v>
      </c>
      <c r="D380" s="16">
        <f t="shared" si="53"/>
        <v>1</v>
      </c>
      <c r="E380" s="16">
        <f t="shared" si="53"/>
        <v>366</v>
      </c>
      <c r="F380" s="16">
        <f t="shared" si="53"/>
        <v>48</v>
      </c>
      <c r="G380" s="16">
        <f t="shared" si="53"/>
        <v>1</v>
      </c>
      <c r="H380" s="16">
        <f t="shared" si="53"/>
        <v>1</v>
      </c>
      <c r="I380" s="16">
        <f t="shared" si="53"/>
        <v>0</v>
      </c>
      <c r="J380" s="16">
        <f t="shared" si="53"/>
        <v>366</v>
      </c>
      <c r="K380" s="16">
        <f t="shared" si="53"/>
        <v>0</v>
      </c>
      <c r="L380" s="16">
        <f t="shared" si="53"/>
        <v>100</v>
      </c>
      <c r="M380" s="16">
        <f t="shared" si="53"/>
        <v>0</v>
      </c>
      <c r="N380" s="16">
        <f t="shared" si="53"/>
        <v>3</v>
      </c>
      <c r="O380" s="16">
        <f t="shared" si="53"/>
        <v>366</v>
      </c>
      <c r="P380" s="16">
        <f t="shared" si="53"/>
        <v>7</v>
      </c>
      <c r="Q380" s="16">
        <f t="shared" si="53"/>
        <v>2</v>
      </c>
      <c r="R380" s="16">
        <f t="shared" si="52"/>
        <v>20</v>
      </c>
      <c r="S380" s="16">
        <f t="shared" si="52"/>
        <v>0</v>
      </c>
      <c r="T380" s="16">
        <f t="shared" si="52"/>
        <v>0</v>
      </c>
      <c r="U380" s="16">
        <f t="shared" si="52"/>
        <v>0</v>
      </c>
      <c r="V380" s="16">
        <f t="shared" si="52"/>
        <v>0</v>
      </c>
      <c r="W380" s="16">
        <f t="shared" si="52"/>
        <v>1</v>
      </c>
      <c r="X380" s="16" t="str">
        <f t="shared" si="45"/>
        <v>null</v>
      </c>
    </row>
    <row r="381" spans="1:24" x14ac:dyDescent="0.15">
      <c r="A381" s="20" t="str">
        <f t="shared" si="47"/>
        <v>24_3-1/354&lt;lv48&gt;s3</v>
      </c>
      <c r="B381" s="16">
        <f t="shared" si="53"/>
        <v>24</v>
      </c>
      <c r="C381" s="16">
        <f t="shared" si="53"/>
        <v>3</v>
      </c>
      <c r="D381" s="16">
        <f t="shared" si="53"/>
        <v>1</v>
      </c>
      <c r="E381" s="16">
        <f t="shared" si="53"/>
        <v>354</v>
      </c>
      <c r="F381" s="16">
        <f t="shared" si="53"/>
        <v>48</v>
      </c>
      <c r="G381" s="16">
        <f t="shared" si="53"/>
        <v>1</v>
      </c>
      <c r="H381" s="16">
        <f t="shared" si="53"/>
        <v>1</v>
      </c>
      <c r="I381" s="16">
        <f t="shared" si="53"/>
        <v>0</v>
      </c>
      <c r="J381" s="16">
        <f t="shared" si="53"/>
        <v>354</v>
      </c>
      <c r="K381" s="16">
        <f t="shared" si="53"/>
        <v>0</v>
      </c>
      <c r="L381" s="16">
        <f t="shared" si="53"/>
        <v>100</v>
      </c>
      <c r="M381" s="16">
        <f t="shared" si="53"/>
        <v>0</v>
      </c>
      <c r="N381" s="16">
        <f t="shared" si="53"/>
        <v>3</v>
      </c>
      <c r="O381" s="16">
        <f t="shared" si="53"/>
        <v>354</v>
      </c>
      <c r="P381" s="16">
        <f t="shared" si="53"/>
        <v>1</v>
      </c>
      <c r="Q381" s="16">
        <f t="shared" si="53"/>
        <v>2</v>
      </c>
      <c r="R381" s="16">
        <f t="shared" si="52"/>
        <v>26</v>
      </c>
      <c r="S381" s="16">
        <f t="shared" si="52"/>
        <v>0</v>
      </c>
      <c r="T381" s="16">
        <f t="shared" si="52"/>
        <v>0</v>
      </c>
      <c r="U381" s="16">
        <f t="shared" si="52"/>
        <v>0</v>
      </c>
      <c r="V381" s="16">
        <f t="shared" si="52"/>
        <v>0</v>
      </c>
      <c r="W381" s="16">
        <f t="shared" si="52"/>
        <v>1</v>
      </c>
      <c r="X381" s="16" t="str">
        <f t="shared" si="45"/>
        <v>null</v>
      </c>
    </row>
    <row r="382" spans="1:24" x14ac:dyDescent="0.15">
      <c r="A382" s="20" t="str">
        <f t="shared" si="47"/>
        <v>24_3-2/11&lt;lv50&gt;s3</v>
      </c>
      <c r="B382" s="16">
        <f t="shared" si="53"/>
        <v>24</v>
      </c>
      <c r="C382" s="16">
        <f t="shared" si="53"/>
        <v>3</v>
      </c>
      <c r="D382" s="16">
        <f t="shared" si="53"/>
        <v>2</v>
      </c>
      <c r="E382" s="16">
        <f t="shared" si="53"/>
        <v>11</v>
      </c>
      <c r="F382" s="16">
        <f t="shared" si="53"/>
        <v>50</v>
      </c>
      <c r="G382" s="16">
        <f t="shared" si="53"/>
        <v>1</v>
      </c>
      <c r="H382" s="16">
        <f t="shared" si="53"/>
        <v>1</v>
      </c>
      <c r="I382" s="16">
        <f t="shared" si="53"/>
        <v>0</v>
      </c>
      <c r="J382" s="16">
        <f t="shared" si="53"/>
        <v>0</v>
      </c>
      <c r="K382" s="16">
        <f t="shared" si="53"/>
        <v>0</v>
      </c>
      <c r="L382" s="16">
        <f t="shared" si="53"/>
        <v>100</v>
      </c>
      <c r="M382" s="16">
        <f t="shared" si="53"/>
        <v>0</v>
      </c>
      <c r="N382" s="16">
        <f t="shared" si="53"/>
        <v>3</v>
      </c>
      <c r="O382" s="16">
        <f t="shared" si="53"/>
        <v>11</v>
      </c>
      <c r="P382" s="16">
        <f t="shared" si="53"/>
        <v>9</v>
      </c>
      <c r="Q382" s="16">
        <f t="shared" ref="Q382:X445" si="54">VLOOKUP($A382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82" s="16">
        <f t="shared" si="54"/>
        <v>15</v>
      </c>
      <c r="S382" s="16">
        <f t="shared" si="54"/>
        <v>0</v>
      </c>
      <c r="T382" s="16">
        <f t="shared" si="54"/>
        <v>0</v>
      </c>
      <c r="U382" s="16">
        <f t="shared" si="54"/>
        <v>0</v>
      </c>
      <c r="V382" s="16">
        <f t="shared" si="54"/>
        <v>0</v>
      </c>
      <c r="W382" s="16">
        <f t="shared" si="54"/>
        <v>1</v>
      </c>
      <c r="X382" s="16" t="str">
        <f t="shared" si="54"/>
        <v>null</v>
      </c>
    </row>
    <row r="383" spans="1:24" x14ac:dyDescent="0.15">
      <c r="A383" s="20" t="str">
        <f t="shared" si="47"/>
        <v>24_3-2/23&lt;lv50&gt;s4</v>
      </c>
      <c r="B383" s="16">
        <f t="shared" ref="B383:Q398" si="55">VLOOKUP($A383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383" s="16">
        <f t="shared" si="55"/>
        <v>3</v>
      </c>
      <c r="D383" s="16">
        <f t="shared" si="55"/>
        <v>2</v>
      </c>
      <c r="E383" s="16">
        <f t="shared" si="55"/>
        <v>23</v>
      </c>
      <c r="F383" s="16">
        <f t="shared" si="55"/>
        <v>50</v>
      </c>
      <c r="G383" s="16">
        <f t="shared" si="55"/>
        <v>1</v>
      </c>
      <c r="H383" s="16">
        <f t="shared" si="55"/>
        <v>1</v>
      </c>
      <c r="I383" s="16">
        <f t="shared" si="55"/>
        <v>0</v>
      </c>
      <c r="J383" s="16">
        <f t="shared" si="55"/>
        <v>0</v>
      </c>
      <c r="K383" s="16">
        <f t="shared" si="55"/>
        <v>0</v>
      </c>
      <c r="L383" s="16">
        <f t="shared" si="55"/>
        <v>100</v>
      </c>
      <c r="M383" s="16">
        <f t="shared" si="55"/>
        <v>0</v>
      </c>
      <c r="N383" s="16">
        <f t="shared" si="55"/>
        <v>4</v>
      </c>
      <c r="O383" s="16">
        <f t="shared" si="55"/>
        <v>23</v>
      </c>
      <c r="P383" s="16">
        <f t="shared" si="55"/>
        <v>7</v>
      </c>
      <c r="Q383" s="16">
        <f t="shared" si="55"/>
        <v>1</v>
      </c>
      <c r="R383" s="16">
        <f t="shared" si="54"/>
        <v>15</v>
      </c>
      <c r="S383" s="16">
        <f t="shared" si="54"/>
        <v>0</v>
      </c>
      <c r="T383" s="16">
        <f t="shared" si="54"/>
        <v>0</v>
      </c>
      <c r="U383" s="16">
        <f t="shared" si="54"/>
        <v>0</v>
      </c>
      <c r="V383" s="16">
        <f t="shared" si="54"/>
        <v>0</v>
      </c>
      <c r="W383" s="16">
        <f t="shared" si="54"/>
        <v>1</v>
      </c>
      <c r="X383" s="16" t="str">
        <f t="shared" si="54"/>
        <v>null</v>
      </c>
    </row>
    <row r="384" spans="1:24" x14ac:dyDescent="0.15">
      <c r="A384" s="20" t="str">
        <f t="shared" si="47"/>
        <v>24_3-2/59&lt;lv50&gt;s2</v>
      </c>
      <c r="B384" s="16">
        <f t="shared" si="55"/>
        <v>24</v>
      </c>
      <c r="C384" s="16">
        <f t="shared" si="55"/>
        <v>3</v>
      </c>
      <c r="D384" s="16">
        <f t="shared" si="55"/>
        <v>2</v>
      </c>
      <c r="E384" s="16">
        <f t="shared" si="55"/>
        <v>59</v>
      </c>
      <c r="F384" s="16">
        <f t="shared" si="55"/>
        <v>50</v>
      </c>
      <c r="G384" s="16">
        <f t="shared" si="55"/>
        <v>1</v>
      </c>
      <c r="H384" s="16">
        <f t="shared" si="55"/>
        <v>1</v>
      </c>
      <c r="I384" s="16">
        <f t="shared" si="55"/>
        <v>0</v>
      </c>
      <c r="J384" s="16">
        <f t="shared" si="55"/>
        <v>59</v>
      </c>
      <c r="K384" s="16">
        <f t="shared" si="55"/>
        <v>0</v>
      </c>
      <c r="L384" s="16">
        <f t="shared" si="55"/>
        <v>100</v>
      </c>
      <c r="M384" s="16">
        <f t="shared" si="55"/>
        <v>0</v>
      </c>
      <c r="N384" s="16">
        <f t="shared" si="55"/>
        <v>2</v>
      </c>
      <c r="O384" s="16">
        <f t="shared" si="55"/>
        <v>59</v>
      </c>
      <c r="P384" s="16">
        <f t="shared" si="55"/>
        <v>7</v>
      </c>
      <c r="Q384" s="16">
        <f t="shared" si="55"/>
        <v>2</v>
      </c>
      <c r="R384" s="16">
        <f t="shared" si="54"/>
        <v>20</v>
      </c>
      <c r="S384" s="16">
        <f t="shared" si="54"/>
        <v>0</v>
      </c>
      <c r="T384" s="16">
        <f t="shared" si="54"/>
        <v>0</v>
      </c>
      <c r="U384" s="16">
        <f t="shared" si="54"/>
        <v>0</v>
      </c>
      <c r="V384" s="16">
        <f t="shared" si="54"/>
        <v>0</v>
      </c>
      <c r="W384" s="16">
        <f t="shared" si="54"/>
        <v>1</v>
      </c>
      <c r="X384" s="16" t="str">
        <f t="shared" si="54"/>
        <v>null</v>
      </c>
    </row>
    <row r="385" spans="1:24" x14ac:dyDescent="0.15">
      <c r="A385" s="20" t="str">
        <f t="shared" si="47"/>
        <v>24_3-2/27&lt;lv50&gt;s1</v>
      </c>
      <c r="B385" s="16">
        <f t="shared" si="55"/>
        <v>24</v>
      </c>
      <c r="C385" s="16">
        <f t="shared" si="55"/>
        <v>3</v>
      </c>
      <c r="D385" s="16">
        <f t="shared" si="55"/>
        <v>2</v>
      </c>
      <c r="E385" s="16">
        <f t="shared" si="55"/>
        <v>27</v>
      </c>
      <c r="F385" s="16">
        <f t="shared" si="55"/>
        <v>50</v>
      </c>
      <c r="G385" s="16">
        <f t="shared" si="55"/>
        <v>1</v>
      </c>
      <c r="H385" s="16">
        <f t="shared" si="55"/>
        <v>1</v>
      </c>
      <c r="I385" s="16">
        <f t="shared" si="55"/>
        <v>0</v>
      </c>
      <c r="J385" s="16">
        <f t="shared" si="55"/>
        <v>0</v>
      </c>
      <c r="K385" s="16">
        <f t="shared" si="55"/>
        <v>0</v>
      </c>
      <c r="L385" s="16">
        <f t="shared" si="55"/>
        <v>100</v>
      </c>
      <c r="M385" s="16">
        <f t="shared" si="55"/>
        <v>0</v>
      </c>
      <c r="N385" s="16">
        <f t="shared" si="55"/>
        <v>1</v>
      </c>
      <c r="O385" s="16">
        <f t="shared" si="55"/>
        <v>27</v>
      </c>
      <c r="P385" s="16">
        <f t="shared" si="55"/>
        <v>7</v>
      </c>
      <c r="Q385" s="16">
        <f t="shared" si="55"/>
        <v>1</v>
      </c>
      <c r="R385" s="16">
        <f t="shared" si="54"/>
        <v>15</v>
      </c>
      <c r="S385" s="16">
        <f t="shared" si="54"/>
        <v>0</v>
      </c>
      <c r="T385" s="16">
        <f t="shared" si="54"/>
        <v>0</v>
      </c>
      <c r="U385" s="16">
        <f t="shared" si="54"/>
        <v>0</v>
      </c>
      <c r="V385" s="16">
        <f t="shared" si="54"/>
        <v>0</v>
      </c>
      <c r="W385" s="16">
        <f t="shared" si="54"/>
        <v>1</v>
      </c>
      <c r="X385" s="16" t="str">
        <f t="shared" si="54"/>
        <v>null</v>
      </c>
    </row>
    <row r="386" spans="1:24" x14ac:dyDescent="0.15">
      <c r="A386" s="20" t="str">
        <f t="shared" si="47"/>
        <v>24_3-2/35&lt;lv50&gt;s4</v>
      </c>
      <c r="B386" s="16">
        <f t="shared" si="55"/>
        <v>24</v>
      </c>
      <c r="C386" s="16">
        <f t="shared" si="55"/>
        <v>3</v>
      </c>
      <c r="D386" s="16">
        <f t="shared" si="55"/>
        <v>2</v>
      </c>
      <c r="E386" s="16">
        <f t="shared" si="55"/>
        <v>35</v>
      </c>
      <c r="F386" s="16">
        <f t="shared" si="55"/>
        <v>50</v>
      </c>
      <c r="G386" s="16">
        <f t="shared" si="55"/>
        <v>1</v>
      </c>
      <c r="H386" s="16">
        <f t="shared" si="55"/>
        <v>1</v>
      </c>
      <c r="I386" s="16">
        <f t="shared" si="55"/>
        <v>0</v>
      </c>
      <c r="J386" s="16">
        <f t="shared" si="55"/>
        <v>35</v>
      </c>
      <c r="K386" s="16">
        <f t="shared" si="55"/>
        <v>0</v>
      </c>
      <c r="L386" s="16">
        <f t="shared" si="55"/>
        <v>100</v>
      </c>
      <c r="M386" s="16">
        <f t="shared" si="55"/>
        <v>0</v>
      </c>
      <c r="N386" s="16">
        <f t="shared" si="55"/>
        <v>4</v>
      </c>
      <c r="O386" s="16">
        <f t="shared" si="55"/>
        <v>35</v>
      </c>
      <c r="P386" s="16">
        <f t="shared" si="55"/>
        <v>5</v>
      </c>
      <c r="Q386" s="16">
        <f t="shared" si="55"/>
        <v>2</v>
      </c>
      <c r="R386" s="16">
        <f t="shared" si="54"/>
        <v>20</v>
      </c>
      <c r="S386" s="16">
        <f t="shared" si="54"/>
        <v>0</v>
      </c>
      <c r="T386" s="16">
        <f t="shared" si="54"/>
        <v>0</v>
      </c>
      <c r="U386" s="16">
        <f t="shared" si="54"/>
        <v>0</v>
      </c>
      <c r="V386" s="16">
        <f t="shared" si="54"/>
        <v>0</v>
      </c>
      <c r="W386" s="16">
        <f t="shared" si="54"/>
        <v>1</v>
      </c>
      <c r="X386" s="16" t="str">
        <f t="shared" si="54"/>
        <v>null</v>
      </c>
    </row>
    <row r="387" spans="1:24" x14ac:dyDescent="0.15">
      <c r="A387" s="20" t="str">
        <f t="shared" si="47"/>
        <v>24_3-2/362&lt;lv50&gt;s3</v>
      </c>
      <c r="B387" s="16">
        <f t="shared" si="55"/>
        <v>24</v>
      </c>
      <c r="C387" s="16">
        <f t="shared" si="55"/>
        <v>3</v>
      </c>
      <c r="D387" s="16">
        <f t="shared" si="55"/>
        <v>2</v>
      </c>
      <c r="E387" s="16">
        <f t="shared" si="55"/>
        <v>362</v>
      </c>
      <c r="F387" s="16">
        <f t="shared" si="55"/>
        <v>50</v>
      </c>
      <c r="G387" s="16">
        <f t="shared" si="55"/>
        <v>1</v>
      </c>
      <c r="H387" s="16">
        <f t="shared" si="55"/>
        <v>1</v>
      </c>
      <c r="I387" s="16">
        <f t="shared" si="55"/>
        <v>0</v>
      </c>
      <c r="J387" s="16">
        <f t="shared" si="55"/>
        <v>362</v>
      </c>
      <c r="K387" s="16">
        <f t="shared" si="55"/>
        <v>0</v>
      </c>
      <c r="L387" s="16">
        <f t="shared" si="55"/>
        <v>100</v>
      </c>
      <c r="M387" s="16">
        <f t="shared" si="55"/>
        <v>0</v>
      </c>
      <c r="N387" s="16">
        <f t="shared" si="55"/>
        <v>3</v>
      </c>
      <c r="O387" s="16">
        <f t="shared" si="55"/>
        <v>362</v>
      </c>
      <c r="P387" s="16">
        <f t="shared" si="55"/>
        <v>5</v>
      </c>
      <c r="Q387" s="16">
        <f t="shared" si="55"/>
        <v>2</v>
      </c>
      <c r="R387" s="16">
        <f t="shared" si="54"/>
        <v>20</v>
      </c>
      <c r="S387" s="16">
        <f t="shared" si="54"/>
        <v>0</v>
      </c>
      <c r="T387" s="16">
        <f t="shared" si="54"/>
        <v>0</v>
      </c>
      <c r="U387" s="16">
        <f t="shared" si="54"/>
        <v>0</v>
      </c>
      <c r="V387" s="16">
        <f t="shared" si="54"/>
        <v>0</v>
      </c>
      <c r="W387" s="16">
        <f t="shared" si="54"/>
        <v>1</v>
      </c>
      <c r="X387" s="16" t="str">
        <f t="shared" si="54"/>
        <v>null</v>
      </c>
    </row>
    <row r="388" spans="1:24" x14ac:dyDescent="0.15">
      <c r="A388" s="20" t="str">
        <f t="shared" ref="A388:A451" si="56">INDIRECT(ADDRESS(ROW()+$A$1,COLUMN(),1,TRUE,$C$1))</f>
        <v>24_3-2/350&lt;lv50&gt;s3</v>
      </c>
      <c r="B388" s="16">
        <f t="shared" si="55"/>
        <v>24</v>
      </c>
      <c r="C388" s="16">
        <f t="shared" si="55"/>
        <v>3</v>
      </c>
      <c r="D388" s="16">
        <f t="shared" si="55"/>
        <v>2</v>
      </c>
      <c r="E388" s="16">
        <f t="shared" si="55"/>
        <v>350</v>
      </c>
      <c r="F388" s="16">
        <f t="shared" si="55"/>
        <v>50</v>
      </c>
      <c r="G388" s="16">
        <f t="shared" si="55"/>
        <v>1</v>
      </c>
      <c r="H388" s="16">
        <f t="shared" si="55"/>
        <v>1</v>
      </c>
      <c r="I388" s="16">
        <f t="shared" si="55"/>
        <v>0</v>
      </c>
      <c r="J388" s="16">
        <f t="shared" si="55"/>
        <v>350</v>
      </c>
      <c r="K388" s="16">
        <f t="shared" si="55"/>
        <v>0</v>
      </c>
      <c r="L388" s="16">
        <f t="shared" si="55"/>
        <v>100</v>
      </c>
      <c r="M388" s="16">
        <f t="shared" si="55"/>
        <v>0</v>
      </c>
      <c r="N388" s="16">
        <f t="shared" si="55"/>
        <v>3</v>
      </c>
      <c r="O388" s="16">
        <f t="shared" si="55"/>
        <v>350</v>
      </c>
      <c r="P388" s="16">
        <f t="shared" si="55"/>
        <v>1</v>
      </c>
      <c r="Q388" s="16">
        <f t="shared" si="55"/>
        <v>2</v>
      </c>
      <c r="R388" s="16">
        <f t="shared" si="54"/>
        <v>26</v>
      </c>
      <c r="S388" s="16">
        <f t="shared" si="54"/>
        <v>0</v>
      </c>
      <c r="T388" s="16">
        <f t="shared" si="54"/>
        <v>0</v>
      </c>
      <c r="U388" s="16">
        <f t="shared" si="54"/>
        <v>0</v>
      </c>
      <c r="V388" s="16">
        <f t="shared" si="54"/>
        <v>0</v>
      </c>
      <c r="W388" s="16">
        <f t="shared" si="54"/>
        <v>1</v>
      </c>
      <c r="X388" s="16" t="str">
        <f t="shared" si="54"/>
        <v>null</v>
      </c>
    </row>
    <row r="389" spans="1:24" x14ac:dyDescent="0.15">
      <c r="A389" s="20" t="str">
        <f t="shared" si="56"/>
        <v>24_3-3/11&lt;lv50&gt;s3</v>
      </c>
      <c r="B389" s="16">
        <f t="shared" si="55"/>
        <v>24</v>
      </c>
      <c r="C389" s="16">
        <f t="shared" si="55"/>
        <v>3</v>
      </c>
      <c r="D389" s="16">
        <f t="shared" si="55"/>
        <v>3</v>
      </c>
      <c r="E389" s="16">
        <f t="shared" si="55"/>
        <v>11</v>
      </c>
      <c r="F389" s="16">
        <f t="shared" si="55"/>
        <v>50</v>
      </c>
      <c r="G389" s="16">
        <f t="shared" si="55"/>
        <v>1</v>
      </c>
      <c r="H389" s="16">
        <f t="shared" si="55"/>
        <v>1</v>
      </c>
      <c r="I389" s="16">
        <f t="shared" si="55"/>
        <v>0</v>
      </c>
      <c r="J389" s="16">
        <f t="shared" si="55"/>
        <v>0</v>
      </c>
      <c r="K389" s="16">
        <f t="shared" si="55"/>
        <v>0</v>
      </c>
      <c r="L389" s="16">
        <f t="shared" si="55"/>
        <v>100</v>
      </c>
      <c r="M389" s="16">
        <f t="shared" si="55"/>
        <v>0</v>
      </c>
      <c r="N389" s="16">
        <f t="shared" si="55"/>
        <v>3</v>
      </c>
      <c r="O389" s="16">
        <f t="shared" si="55"/>
        <v>11</v>
      </c>
      <c r="P389" s="16">
        <f t="shared" si="55"/>
        <v>9</v>
      </c>
      <c r="Q389" s="16">
        <f t="shared" si="55"/>
        <v>1</v>
      </c>
      <c r="R389" s="16">
        <f t="shared" si="54"/>
        <v>15</v>
      </c>
      <c r="S389" s="16">
        <f t="shared" si="54"/>
        <v>0</v>
      </c>
      <c r="T389" s="16">
        <f t="shared" si="54"/>
        <v>0</v>
      </c>
      <c r="U389" s="16">
        <f t="shared" si="54"/>
        <v>0</v>
      </c>
      <c r="V389" s="16">
        <f t="shared" si="54"/>
        <v>0</v>
      </c>
      <c r="W389" s="16">
        <f t="shared" si="54"/>
        <v>1</v>
      </c>
      <c r="X389" s="16" t="str">
        <f t="shared" si="54"/>
        <v>null</v>
      </c>
    </row>
    <row r="390" spans="1:24" x14ac:dyDescent="0.15">
      <c r="A390" s="20" t="str">
        <f t="shared" si="56"/>
        <v>24_3-3/13&lt;lv48&gt;s2</v>
      </c>
      <c r="B390" s="16">
        <f t="shared" si="55"/>
        <v>24</v>
      </c>
      <c r="C390" s="16">
        <f t="shared" si="55"/>
        <v>3</v>
      </c>
      <c r="D390" s="16">
        <f t="shared" si="55"/>
        <v>3</v>
      </c>
      <c r="E390" s="16">
        <f t="shared" si="55"/>
        <v>13</v>
      </c>
      <c r="F390" s="16">
        <f t="shared" si="55"/>
        <v>48</v>
      </c>
      <c r="G390" s="16">
        <f t="shared" si="55"/>
        <v>1.1000000000000001</v>
      </c>
      <c r="H390" s="16">
        <f t="shared" si="55"/>
        <v>1</v>
      </c>
      <c r="I390" s="16">
        <f t="shared" si="55"/>
        <v>0</v>
      </c>
      <c r="J390" s="16">
        <f t="shared" si="55"/>
        <v>0</v>
      </c>
      <c r="K390" s="16">
        <f t="shared" si="55"/>
        <v>0</v>
      </c>
      <c r="L390" s="16">
        <f t="shared" si="55"/>
        <v>100</v>
      </c>
      <c r="M390" s="16">
        <f t="shared" si="55"/>
        <v>0</v>
      </c>
      <c r="N390" s="16">
        <f t="shared" si="55"/>
        <v>2</v>
      </c>
      <c r="O390" s="16">
        <f t="shared" si="55"/>
        <v>13</v>
      </c>
      <c r="P390" s="16">
        <f t="shared" si="55"/>
        <v>9</v>
      </c>
      <c r="Q390" s="16">
        <f t="shared" si="55"/>
        <v>1</v>
      </c>
      <c r="R390" s="16">
        <f t="shared" si="54"/>
        <v>15</v>
      </c>
      <c r="S390" s="16">
        <f t="shared" si="54"/>
        <v>0</v>
      </c>
      <c r="T390" s="16">
        <f t="shared" si="54"/>
        <v>0</v>
      </c>
      <c r="U390" s="16">
        <f t="shared" si="54"/>
        <v>0</v>
      </c>
      <c r="V390" s="16">
        <f t="shared" si="54"/>
        <v>0</v>
      </c>
      <c r="W390" s="16">
        <f t="shared" si="54"/>
        <v>1</v>
      </c>
      <c r="X390" s="16" t="str">
        <f t="shared" si="54"/>
        <v>null</v>
      </c>
    </row>
    <row r="391" spans="1:24" x14ac:dyDescent="0.15">
      <c r="A391" s="20" t="str">
        <f t="shared" si="56"/>
        <v>24_3-3/23&lt;lv50&gt;s4</v>
      </c>
      <c r="B391" s="16">
        <f t="shared" si="55"/>
        <v>24</v>
      </c>
      <c r="C391" s="16">
        <f t="shared" si="55"/>
        <v>3</v>
      </c>
      <c r="D391" s="16">
        <f t="shared" si="55"/>
        <v>3</v>
      </c>
      <c r="E391" s="16">
        <f t="shared" si="55"/>
        <v>23</v>
      </c>
      <c r="F391" s="16">
        <f t="shared" si="55"/>
        <v>50</v>
      </c>
      <c r="G391" s="16">
        <f t="shared" si="55"/>
        <v>1</v>
      </c>
      <c r="H391" s="16">
        <f t="shared" si="55"/>
        <v>1</v>
      </c>
      <c r="I391" s="16">
        <f t="shared" si="55"/>
        <v>0</v>
      </c>
      <c r="J391" s="16">
        <f t="shared" si="55"/>
        <v>0</v>
      </c>
      <c r="K391" s="16">
        <f t="shared" si="55"/>
        <v>0</v>
      </c>
      <c r="L391" s="16">
        <f t="shared" si="55"/>
        <v>100</v>
      </c>
      <c r="M391" s="16">
        <f t="shared" si="55"/>
        <v>0</v>
      </c>
      <c r="N391" s="16">
        <f t="shared" si="55"/>
        <v>4</v>
      </c>
      <c r="O391" s="16">
        <f t="shared" si="55"/>
        <v>23</v>
      </c>
      <c r="P391" s="16">
        <f t="shared" si="55"/>
        <v>7</v>
      </c>
      <c r="Q391" s="16">
        <f t="shared" si="55"/>
        <v>1</v>
      </c>
      <c r="R391" s="16">
        <f t="shared" si="54"/>
        <v>15</v>
      </c>
      <c r="S391" s="16">
        <f t="shared" si="54"/>
        <v>0</v>
      </c>
      <c r="T391" s="16">
        <f t="shared" si="54"/>
        <v>0</v>
      </c>
      <c r="U391" s="16">
        <f t="shared" si="54"/>
        <v>0</v>
      </c>
      <c r="V391" s="16">
        <f t="shared" si="54"/>
        <v>0</v>
      </c>
      <c r="W391" s="16">
        <f t="shared" si="54"/>
        <v>1</v>
      </c>
      <c r="X391" s="16" t="str">
        <f t="shared" si="54"/>
        <v>null</v>
      </c>
    </row>
    <row r="392" spans="1:24" x14ac:dyDescent="0.15">
      <c r="A392" s="20" t="str">
        <f t="shared" si="56"/>
        <v>24_3-3/47&lt;lv48&gt;s1</v>
      </c>
      <c r="B392" s="16">
        <f t="shared" si="55"/>
        <v>24</v>
      </c>
      <c r="C392" s="16">
        <f t="shared" si="55"/>
        <v>3</v>
      </c>
      <c r="D392" s="16">
        <f t="shared" si="55"/>
        <v>3</v>
      </c>
      <c r="E392" s="16">
        <f t="shared" si="55"/>
        <v>47</v>
      </c>
      <c r="F392" s="16">
        <f t="shared" si="55"/>
        <v>48</v>
      </c>
      <c r="G392" s="16">
        <f t="shared" si="55"/>
        <v>1.1000000000000001</v>
      </c>
      <c r="H392" s="16">
        <f t="shared" si="55"/>
        <v>1</v>
      </c>
      <c r="I392" s="16">
        <f t="shared" si="55"/>
        <v>0</v>
      </c>
      <c r="J392" s="16">
        <f t="shared" si="55"/>
        <v>0</v>
      </c>
      <c r="K392" s="16">
        <f t="shared" si="55"/>
        <v>0</v>
      </c>
      <c r="L392" s="16">
        <f t="shared" si="55"/>
        <v>100</v>
      </c>
      <c r="M392" s="16">
        <f t="shared" si="55"/>
        <v>0</v>
      </c>
      <c r="N392" s="16">
        <f t="shared" si="55"/>
        <v>1</v>
      </c>
      <c r="O392" s="16">
        <f t="shared" si="55"/>
        <v>47</v>
      </c>
      <c r="P392" s="16">
        <f t="shared" si="55"/>
        <v>7</v>
      </c>
      <c r="Q392" s="16">
        <f t="shared" si="55"/>
        <v>2</v>
      </c>
      <c r="R392" s="16">
        <f t="shared" si="54"/>
        <v>20</v>
      </c>
      <c r="S392" s="16">
        <f t="shared" si="54"/>
        <v>0</v>
      </c>
      <c r="T392" s="16">
        <f t="shared" si="54"/>
        <v>0</v>
      </c>
      <c r="U392" s="16">
        <f t="shared" si="54"/>
        <v>0</v>
      </c>
      <c r="V392" s="16">
        <f t="shared" si="54"/>
        <v>0</v>
      </c>
      <c r="W392" s="16">
        <f t="shared" si="54"/>
        <v>1</v>
      </c>
      <c r="X392" s="16" t="str">
        <f t="shared" si="54"/>
        <v>null</v>
      </c>
    </row>
    <row r="393" spans="1:24" x14ac:dyDescent="0.15">
      <c r="A393" s="20" t="str">
        <f t="shared" si="56"/>
        <v>24_3-3/59&lt;lv50&gt;s2</v>
      </c>
      <c r="B393" s="16">
        <f t="shared" si="55"/>
        <v>24</v>
      </c>
      <c r="C393" s="16">
        <f t="shared" si="55"/>
        <v>3</v>
      </c>
      <c r="D393" s="16">
        <f t="shared" si="55"/>
        <v>3</v>
      </c>
      <c r="E393" s="16">
        <f t="shared" si="55"/>
        <v>59</v>
      </c>
      <c r="F393" s="16">
        <f t="shared" si="55"/>
        <v>50</v>
      </c>
      <c r="G393" s="16">
        <f t="shared" si="55"/>
        <v>1</v>
      </c>
      <c r="H393" s="16">
        <f t="shared" si="55"/>
        <v>1</v>
      </c>
      <c r="I393" s="16">
        <f t="shared" si="55"/>
        <v>0</v>
      </c>
      <c r="J393" s="16">
        <f t="shared" si="55"/>
        <v>59</v>
      </c>
      <c r="K393" s="16">
        <f t="shared" si="55"/>
        <v>0</v>
      </c>
      <c r="L393" s="16">
        <f t="shared" si="55"/>
        <v>100</v>
      </c>
      <c r="M393" s="16">
        <f t="shared" si="55"/>
        <v>0</v>
      </c>
      <c r="N393" s="16">
        <f t="shared" si="55"/>
        <v>2</v>
      </c>
      <c r="O393" s="16">
        <f t="shared" si="55"/>
        <v>59</v>
      </c>
      <c r="P393" s="16">
        <f t="shared" si="55"/>
        <v>7</v>
      </c>
      <c r="Q393" s="16">
        <f t="shared" si="55"/>
        <v>2</v>
      </c>
      <c r="R393" s="16">
        <f t="shared" si="54"/>
        <v>20</v>
      </c>
      <c r="S393" s="16">
        <f t="shared" si="54"/>
        <v>0</v>
      </c>
      <c r="T393" s="16">
        <f t="shared" si="54"/>
        <v>0</v>
      </c>
      <c r="U393" s="16">
        <f t="shared" si="54"/>
        <v>0</v>
      </c>
      <c r="V393" s="16">
        <f t="shared" si="54"/>
        <v>0</v>
      </c>
      <c r="W393" s="16">
        <f t="shared" si="54"/>
        <v>1</v>
      </c>
      <c r="X393" s="16" t="str">
        <f t="shared" si="54"/>
        <v>null</v>
      </c>
    </row>
    <row r="394" spans="1:24" x14ac:dyDescent="0.15">
      <c r="A394" s="20" t="str">
        <f t="shared" si="56"/>
        <v>24_3-3/63&lt;lv48&gt;s2</v>
      </c>
      <c r="B394" s="16">
        <f t="shared" si="55"/>
        <v>24</v>
      </c>
      <c r="C394" s="16">
        <f t="shared" si="55"/>
        <v>3</v>
      </c>
      <c r="D394" s="16">
        <f t="shared" si="55"/>
        <v>3</v>
      </c>
      <c r="E394" s="16">
        <f t="shared" si="55"/>
        <v>63</v>
      </c>
      <c r="F394" s="16">
        <f t="shared" si="55"/>
        <v>48</v>
      </c>
      <c r="G394" s="16">
        <f t="shared" si="55"/>
        <v>1.1000000000000001</v>
      </c>
      <c r="H394" s="16">
        <f t="shared" si="55"/>
        <v>1</v>
      </c>
      <c r="I394" s="16">
        <f t="shared" si="55"/>
        <v>0</v>
      </c>
      <c r="J394" s="16">
        <f t="shared" si="55"/>
        <v>63</v>
      </c>
      <c r="K394" s="16">
        <f t="shared" si="55"/>
        <v>0</v>
      </c>
      <c r="L394" s="16">
        <f t="shared" si="55"/>
        <v>100</v>
      </c>
      <c r="M394" s="16">
        <f t="shared" si="55"/>
        <v>0</v>
      </c>
      <c r="N394" s="16">
        <f t="shared" si="55"/>
        <v>2</v>
      </c>
      <c r="O394" s="16">
        <f t="shared" si="55"/>
        <v>63</v>
      </c>
      <c r="P394" s="16">
        <f t="shared" si="55"/>
        <v>7</v>
      </c>
      <c r="Q394" s="16">
        <f t="shared" si="55"/>
        <v>2</v>
      </c>
      <c r="R394" s="16">
        <f t="shared" si="54"/>
        <v>20</v>
      </c>
      <c r="S394" s="16">
        <f t="shared" si="54"/>
        <v>0</v>
      </c>
      <c r="T394" s="16">
        <f t="shared" si="54"/>
        <v>0</v>
      </c>
      <c r="U394" s="16">
        <f t="shared" si="54"/>
        <v>0</v>
      </c>
      <c r="V394" s="16">
        <f t="shared" si="54"/>
        <v>0</v>
      </c>
      <c r="W394" s="16">
        <f t="shared" si="54"/>
        <v>1</v>
      </c>
      <c r="X394" s="16" t="str">
        <f t="shared" si="54"/>
        <v>null</v>
      </c>
    </row>
    <row r="395" spans="1:24" x14ac:dyDescent="0.15">
      <c r="A395" s="20" t="str">
        <f t="shared" si="56"/>
        <v>24_3-3/27&lt;lv50&gt;s1</v>
      </c>
      <c r="B395" s="16">
        <f t="shared" si="55"/>
        <v>24</v>
      </c>
      <c r="C395" s="16">
        <f t="shared" si="55"/>
        <v>3</v>
      </c>
      <c r="D395" s="16">
        <f t="shared" si="55"/>
        <v>3</v>
      </c>
      <c r="E395" s="16">
        <f t="shared" si="55"/>
        <v>27</v>
      </c>
      <c r="F395" s="16">
        <f t="shared" si="55"/>
        <v>50</v>
      </c>
      <c r="G395" s="16">
        <f t="shared" si="55"/>
        <v>1</v>
      </c>
      <c r="H395" s="16">
        <f t="shared" si="55"/>
        <v>1</v>
      </c>
      <c r="I395" s="16">
        <f t="shared" si="55"/>
        <v>0</v>
      </c>
      <c r="J395" s="16">
        <f t="shared" si="55"/>
        <v>0</v>
      </c>
      <c r="K395" s="16">
        <f t="shared" si="55"/>
        <v>0</v>
      </c>
      <c r="L395" s="16">
        <f t="shared" si="55"/>
        <v>100</v>
      </c>
      <c r="M395" s="16">
        <f t="shared" si="55"/>
        <v>0</v>
      </c>
      <c r="N395" s="16">
        <f t="shared" si="55"/>
        <v>1</v>
      </c>
      <c r="O395" s="16">
        <f t="shared" si="55"/>
        <v>27</v>
      </c>
      <c r="P395" s="16">
        <f t="shared" si="55"/>
        <v>7</v>
      </c>
      <c r="Q395" s="16">
        <f t="shared" si="55"/>
        <v>1</v>
      </c>
      <c r="R395" s="16">
        <f t="shared" si="54"/>
        <v>15</v>
      </c>
      <c r="S395" s="16">
        <f t="shared" si="54"/>
        <v>0</v>
      </c>
      <c r="T395" s="16">
        <f t="shared" si="54"/>
        <v>0</v>
      </c>
      <c r="U395" s="16">
        <f t="shared" si="54"/>
        <v>0</v>
      </c>
      <c r="V395" s="16">
        <f t="shared" si="54"/>
        <v>0</v>
      </c>
      <c r="W395" s="16">
        <f t="shared" si="54"/>
        <v>1</v>
      </c>
      <c r="X395" s="16" t="str">
        <f t="shared" si="54"/>
        <v>null</v>
      </c>
    </row>
    <row r="396" spans="1:24" x14ac:dyDescent="0.15">
      <c r="A396" s="20" t="str">
        <f t="shared" si="56"/>
        <v>24_3-3/31&lt;lv48&gt;s2</v>
      </c>
      <c r="B396" s="16">
        <f t="shared" si="55"/>
        <v>24</v>
      </c>
      <c r="C396" s="16">
        <f t="shared" si="55"/>
        <v>3</v>
      </c>
      <c r="D396" s="16">
        <f t="shared" si="55"/>
        <v>3</v>
      </c>
      <c r="E396" s="16">
        <f t="shared" si="55"/>
        <v>31</v>
      </c>
      <c r="F396" s="16">
        <f t="shared" si="55"/>
        <v>48</v>
      </c>
      <c r="G396" s="16">
        <f t="shared" si="55"/>
        <v>1.1000000000000001</v>
      </c>
      <c r="H396" s="16">
        <f t="shared" si="55"/>
        <v>1</v>
      </c>
      <c r="I396" s="16">
        <f t="shared" si="55"/>
        <v>0</v>
      </c>
      <c r="J396" s="16">
        <f t="shared" si="55"/>
        <v>0</v>
      </c>
      <c r="K396" s="16">
        <f t="shared" si="55"/>
        <v>0</v>
      </c>
      <c r="L396" s="16">
        <f t="shared" si="55"/>
        <v>100</v>
      </c>
      <c r="M396" s="16">
        <f t="shared" si="55"/>
        <v>0</v>
      </c>
      <c r="N396" s="16">
        <f t="shared" si="55"/>
        <v>2</v>
      </c>
      <c r="O396" s="16">
        <f t="shared" si="55"/>
        <v>31</v>
      </c>
      <c r="P396" s="16">
        <f t="shared" si="55"/>
        <v>7</v>
      </c>
      <c r="Q396" s="16">
        <f t="shared" si="55"/>
        <v>1</v>
      </c>
      <c r="R396" s="16">
        <f t="shared" si="54"/>
        <v>15</v>
      </c>
      <c r="S396" s="16">
        <f t="shared" si="54"/>
        <v>0</v>
      </c>
      <c r="T396" s="16">
        <f t="shared" si="54"/>
        <v>0</v>
      </c>
      <c r="U396" s="16">
        <f t="shared" si="54"/>
        <v>0</v>
      </c>
      <c r="V396" s="16">
        <f t="shared" si="54"/>
        <v>0</v>
      </c>
      <c r="W396" s="16">
        <f t="shared" si="54"/>
        <v>1</v>
      </c>
      <c r="X396" s="16" t="str">
        <f t="shared" si="54"/>
        <v>null</v>
      </c>
    </row>
    <row r="397" spans="1:24" x14ac:dyDescent="0.15">
      <c r="A397" s="20" t="str">
        <f t="shared" si="56"/>
        <v>24_3-3/35&lt;lv50&gt;s4</v>
      </c>
      <c r="B397" s="16">
        <f t="shared" si="55"/>
        <v>24</v>
      </c>
      <c r="C397" s="16">
        <f t="shared" si="55"/>
        <v>3</v>
      </c>
      <c r="D397" s="16">
        <f t="shared" si="55"/>
        <v>3</v>
      </c>
      <c r="E397" s="16">
        <f t="shared" si="55"/>
        <v>35</v>
      </c>
      <c r="F397" s="16">
        <f t="shared" si="55"/>
        <v>50</v>
      </c>
      <c r="G397" s="16">
        <f t="shared" si="55"/>
        <v>1</v>
      </c>
      <c r="H397" s="16">
        <f t="shared" si="55"/>
        <v>1</v>
      </c>
      <c r="I397" s="16">
        <f t="shared" si="55"/>
        <v>0</v>
      </c>
      <c r="J397" s="16">
        <f t="shared" si="55"/>
        <v>35</v>
      </c>
      <c r="K397" s="16">
        <f t="shared" si="55"/>
        <v>0</v>
      </c>
      <c r="L397" s="16">
        <f t="shared" si="55"/>
        <v>100</v>
      </c>
      <c r="M397" s="16">
        <f t="shared" si="55"/>
        <v>0</v>
      </c>
      <c r="N397" s="16">
        <f t="shared" si="55"/>
        <v>4</v>
      </c>
      <c r="O397" s="16">
        <f t="shared" si="55"/>
        <v>35</v>
      </c>
      <c r="P397" s="16">
        <f t="shared" si="55"/>
        <v>5</v>
      </c>
      <c r="Q397" s="16">
        <f t="shared" si="55"/>
        <v>2</v>
      </c>
      <c r="R397" s="16">
        <f t="shared" si="54"/>
        <v>20</v>
      </c>
      <c r="S397" s="16">
        <f t="shared" si="54"/>
        <v>0</v>
      </c>
      <c r="T397" s="16">
        <f t="shared" si="54"/>
        <v>0</v>
      </c>
      <c r="U397" s="16">
        <f t="shared" si="54"/>
        <v>0</v>
      </c>
      <c r="V397" s="16">
        <f t="shared" si="54"/>
        <v>0</v>
      </c>
      <c r="W397" s="16">
        <f t="shared" si="54"/>
        <v>1</v>
      </c>
      <c r="X397" s="16" t="str">
        <f t="shared" si="54"/>
        <v>null</v>
      </c>
    </row>
    <row r="398" spans="1:24" x14ac:dyDescent="0.15">
      <c r="A398" s="20" t="str">
        <f t="shared" si="56"/>
        <v>24_3-3/362&lt;lv50&gt;s3</v>
      </c>
      <c r="B398" s="16">
        <f t="shared" si="55"/>
        <v>24</v>
      </c>
      <c r="C398" s="16">
        <f t="shared" si="55"/>
        <v>3</v>
      </c>
      <c r="D398" s="16">
        <f t="shared" si="55"/>
        <v>3</v>
      </c>
      <c r="E398" s="16">
        <f t="shared" si="55"/>
        <v>362</v>
      </c>
      <c r="F398" s="16">
        <f t="shared" si="55"/>
        <v>50</v>
      </c>
      <c r="G398" s="16">
        <f t="shared" si="55"/>
        <v>1</v>
      </c>
      <c r="H398" s="16">
        <f t="shared" si="55"/>
        <v>1</v>
      </c>
      <c r="I398" s="16">
        <f t="shared" si="55"/>
        <v>0</v>
      </c>
      <c r="J398" s="16">
        <f t="shared" si="55"/>
        <v>362</v>
      </c>
      <c r="K398" s="16">
        <f t="shared" si="55"/>
        <v>0</v>
      </c>
      <c r="L398" s="16">
        <f t="shared" si="55"/>
        <v>100</v>
      </c>
      <c r="M398" s="16">
        <f t="shared" si="55"/>
        <v>0</v>
      </c>
      <c r="N398" s="16">
        <f t="shared" si="55"/>
        <v>3</v>
      </c>
      <c r="O398" s="16">
        <f t="shared" si="55"/>
        <v>362</v>
      </c>
      <c r="P398" s="16">
        <f t="shared" si="55"/>
        <v>7</v>
      </c>
      <c r="Q398" s="16">
        <f t="shared" ref="Q398:W413" si="57">VLOOKUP($A398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98" s="16">
        <f t="shared" si="57"/>
        <v>20</v>
      </c>
      <c r="S398" s="16">
        <f t="shared" si="57"/>
        <v>0</v>
      </c>
      <c r="T398" s="16">
        <f t="shared" si="57"/>
        <v>0</v>
      </c>
      <c r="U398" s="16">
        <f t="shared" si="57"/>
        <v>0</v>
      </c>
      <c r="V398" s="16">
        <f t="shared" si="57"/>
        <v>0</v>
      </c>
      <c r="W398" s="16">
        <f t="shared" si="57"/>
        <v>1</v>
      </c>
      <c r="X398" s="16" t="str">
        <f t="shared" si="54"/>
        <v>null</v>
      </c>
    </row>
    <row r="399" spans="1:24" x14ac:dyDescent="0.15">
      <c r="A399" s="20" t="str">
        <f t="shared" si="56"/>
        <v>24_3-3/366&lt;lv48&gt;s3</v>
      </c>
      <c r="B399" s="16">
        <f t="shared" ref="B399:Q414" si="58">VLOOKUP($A399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399" s="16">
        <f t="shared" si="58"/>
        <v>3</v>
      </c>
      <c r="D399" s="16">
        <f t="shared" si="58"/>
        <v>3</v>
      </c>
      <c r="E399" s="16">
        <f t="shared" si="58"/>
        <v>366</v>
      </c>
      <c r="F399" s="16">
        <f t="shared" si="58"/>
        <v>48</v>
      </c>
      <c r="G399" s="16">
        <f t="shared" si="58"/>
        <v>1.1000000000000001</v>
      </c>
      <c r="H399" s="16">
        <f t="shared" si="58"/>
        <v>1</v>
      </c>
      <c r="I399" s="16">
        <f t="shared" si="58"/>
        <v>0</v>
      </c>
      <c r="J399" s="16">
        <f t="shared" si="58"/>
        <v>366</v>
      </c>
      <c r="K399" s="16">
        <f t="shared" si="58"/>
        <v>0</v>
      </c>
      <c r="L399" s="16">
        <f t="shared" si="58"/>
        <v>100</v>
      </c>
      <c r="M399" s="16">
        <f t="shared" si="58"/>
        <v>0</v>
      </c>
      <c r="N399" s="16">
        <f t="shared" si="58"/>
        <v>3</v>
      </c>
      <c r="O399" s="16">
        <f t="shared" si="58"/>
        <v>366</v>
      </c>
      <c r="P399" s="16">
        <f t="shared" si="58"/>
        <v>5</v>
      </c>
      <c r="Q399" s="16">
        <f t="shared" si="58"/>
        <v>2</v>
      </c>
      <c r="R399" s="16">
        <f t="shared" si="57"/>
        <v>20</v>
      </c>
      <c r="S399" s="16">
        <f t="shared" si="57"/>
        <v>0</v>
      </c>
      <c r="T399" s="16">
        <f t="shared" si="57"/>
        <v>0</v>
      </c>
      <c r="U399" s="16">
        <f t="shared" si="57"/>
        <v>0</v>
      </c>
      <c r="V399" s="16">
        <f t="shared" si="57"/>
        <v>0</v>
      </c>
      <c r="W399" s="16">
        <f t="shared" si="57"/>
        <v>1</v>
      </c>
      <c r="X399" s="16" t="str">
        <f t="shared" si="54"/>
        <v>null</v>
      </c>
    </row>
    <row r="400" spans="1:24" x14ac:dyDescent="0.15">
      <c r="A400" s="20" t="str">
        <f t="shared" si="56"/>
        <v>24_3-3/354&lt;lv48&gt;s3</v>
      </c>
      <c r="B400" s="16">
        <f t="shared" si="58"/>
        <v>24</v>
      </c>
      <c r="C400" s="16">
        <f t="shared" si="58"/>
        <v>3</v>
      </c>
      <c r="D400" s="16">
        <f t="shared" si="58"/>
        <v>3</v>
      </c>
      <c r="E400" s="16">
        <f t="shared" si="58"/>
        <v>354</v>
      </c>
      <c r="F400" s="16">
        <f t="shared" si="58"/>
        <v>48</v>
      </c>
      <c r="G400" s="16">
        <f t="shared" si="58"/>
        <v>1</v>
      </c>
      <c r="H400" s="16">
        <f t="shared" si="58"/>
        <v>1</v>
      </c>
      <c r="I400" s="16">
        <f t="shared" si="58"/>
        <v>0</v>
      </c>
      <c r="J400" s="16">
        <f t="shared" si="58"/>
        <v>354</v>
      </c>
      <c r="K400" s="16">
        <f t="shared" si="58"/>
        <v>0</v>
      </c>
      <c r="L400" s="16">
        <f t="shared" si="58"/>
        <v>100</v>
      </c>
      <c r="M400" s="16">
        <f t="shared" si="58"/>
        <v>0</v>
      </c>
      <c r="N400" s="16">
        <f t="shared" si="58"/>
        <v>3</v>
      </c>
      <c r="O400" s="16">
        <f t="shared" si="58"/>
        <v>354</v>
      </c>
      <c r="P400" s="16">
        <f t="shared" si="58"/>
        <v>1</v>
      </c>
      <c r="Q400" s="16">
        <f t="shared" si="58"/>
        <v>2</v>
      </c>
      <c r="R400" s="16">
        <f t="shared" si="57"/>
        <v>26</v>
      </c>
      <c r="S400" s="16">
        <f t="shared" si="57"/>
        <v>0</v>
      </c>
      <c r="T400" s="16">
        <f t="shared" si="57"/>
        <v>0</v>
      </c>
      <c r="U400" s="16">
        <f t="shared" si="57"/>
        <v>0</v>
      </c>
      <c r="V400" s="16">
        <f t="shared" si="57"/>
        <v>0</v>
      </c>
      <c r="W400" s="16">
        <f t="shared" si="57"/>
        <v>1</v>
      </c>
      <c r="X400" s="16" t="str">
        <f t="shared" si="54"/>
        <v>null</v>
      </c>
    </row>
    <row r="401" spans="1:24" x14ac:dyDescent="0.15">
      <c r="A401" s="20" t="str">
        <f t="shared" si="56"/>
        <v>24_3-4/47&lt;lv48&gt;s1</v>
      </c>
      <c r="B401" s="16">
        <f t="shared" si="58"/>
        <v>24</v>
      </c>
      <c r="C401" s="16">
        <f t="shared" si="58"/>
        <v>3</v>
      </c>
      <c r="D401" s="16">
        <f t="shared" si="58"/>
        <v>4</v>
      </c>
      <c r="E401" s="16">
        <f t="shared" si="58"/>
        <v>47</v>
      </c>
      <c r="F401" s="16">
        <f t="shared" si="58"/>
        <v>48</v>
      </c>
      <c r="G401" s="16">
        <f t="shared" si="58"/>
        <v>1.1000000000000001</v>
      </c>
      <c r="H401" s="16">
        <f t="shared" si="58"/>
        <v>1</v>
      </c>
      <c r="I401" s="16">
        <f t="shared" si="58"/>
        <v>0</v>
      </c>
      <c r="J401" s="16">
        <f t="shared" si="58"/>
        <v>0</v>
      </c>
      <c r="K401" s="16">
        <f t="shared" si="58"/>
        <v>0</v>
      </c>
      <c r="L401" s="16">
        <f t="shared" si="58"/>
        <v>100</v>
      </c>
      <c r="M401" s="16">
        <f t="shared" si="58"/>
        <v>0</v>
      </c>
      <c r="N401" s="16">
        <f t="shared" si="58"/>
        <v>1</v>
      </c>
      <c r="O401" s="16">
        <f t="shared" si="58"/>
        <v>47</v>
      </c>
      <c r="P401" s="16">
        <f t="shared" si="58"/>
        <v>7</v>
      </c>
      <c r="Q401" s="16">
        <f t="shared" si="58"/>
        <v>2</v>
      </c>
      <c r="R401" s="16">
        <f t="shared" si="57"/>
        <v>20</v>
      </c>
      <c r="S401" s="16">
        <f t="shared" si="57"/>
        <v>0</v>
      </c>
      <c r="T401" s="16">
        <f t="shared" si="57"/>
        <v>0</v>
      </c>
      <c r="U401" s="16">
        <f t="shared" si="57"/>
        <v>0</v>
      </c>
      <c r="V401" s="16">
        <f t="shared" si="57"/>
        <v>0</v>
      </c>
      <c r="W401" s="16">
        <f t="shared" si="57"/>
        <v>1</v>
      </c>
      <c r="X401" s="16" t="str">
        <f t="shared" si="54"/>
        <v>null</v>
      </c>
    </row>
    <row r="402" spans="1:24" x14ac:dyDescent="0.15">
      <c r="A402" s="20" t="str">
        <f t="shared" si="56"/>
        <v>24_3-4/59&lt;lv50&gt;s2</v>
      </c>
      <c r="B402" s="16">
        <f t="shared" si="58"/>
        <v>24</v>
      </c>
      <c r="C402" s="16">
        <f t="shared" si="58"/>
        <v>3</v>
      </c>
      <c r="D402" s="16">
        <f t="shared" si="58"/>
        <v>4</v>
      </c>
      <c r="E402" s="16">
        <f t="shared" si="58"/>
        <v>59</v>
      </c>
      <c r="F402" s="16">
        <f t="shared" si="58"/>
        <v>50</v>
      </c>
      <c r="G402" s="16">
        <f t="shared" si="58"/>
        <v>1</v>
      </c>
      <c r="H402" s="16">
        <f t="shared" si="58"/>
        <v>1</v>
      </c>
      <c r="I402" s="16">
        <f t="shared" si="58"/>
        <v>0</v>
      </c>
      <c r="J402" s="16">
        <f t="shared" si="58"/>
        <v>59</v>
      </c>
      <c r="K402" s="16">
        <f t="shared" si="58"/>
        <v>0</v>
      </c>
      <c r="L402" s="16">
        <f t="shared" si="58"/>
        <v>100</v>
      </c>
      <c r="M402" s="16">
        <f t="shared" si="58"/>
        <v>0</v>
      </c>
      <c r="N402" s="16">
        <f t="shared" si="58"/>
        <v>2</v>
      </c>
      <c r="O402" s="16">
        <f t="shared" si="58"/>
        <v>59</v>
      </c>
      <c r="P402" s="16">
        <f t="shared" si="58"/>
        <v>7</v>
      </c>
      <c r="Q402" s="16">
        <f t="shared" si="58"/>
        <v>2</v>
      </c>
      <c r="R402" s="16">
        <f t="shared" si="57"/>
        <v>20</v>
      </c>
      <c r="S402" s="16">
        <f t="shared" si="57"/>
        <v>0</v>
      </c>
      <c r="T402" s="16">
        <f t="shared" si="57"/>
        <v>0</v>
      </c>
      <c r="U402" s="16">
        <f t="shared" si="57"/>
        <v>0</v>
      </c>
      <c r="V402" s="16">
        <f t="shared" si="57"/>
        <v>0</v>
      </c>
      <c r="W402" s="16">
        <f t="shared" si="57"/>
        <v>1</v>
      </c>
      <c r="X402" s="16" t="str">
        <f t="shared" si="54"/>
        <v>null</v>
      </c>
    </row>
    <row r="403" spans="1:24" x14ac:dyDescent="0.15">
      <c r="A403" s="20" t="str">
        <f t="shared" si="56"/>
        <v>24_3-4/63&lt;lv48&gt;s2</v>
      </c>
      <c r="B403" s="16">
        <f t="shared" si="58"/>
        <v>24</v>
      </c>
      <c r="C403" s="16">
        <f t="shared" si="58"/>
        <v>3</v>
      </c>
      <c r="D403" s="16">
        <f t="shared" si="58"/>
        <v>4</v>
      </c>
      <c r="E403" s="16">
        <f t="shared" si="58"/>
        <v>63</v>
      </c>
      <c r="F403" s="16">
        <f t="shared" si="58"/>
        <v>48</v>
      </c>
      <c r="G403" s="16">
        <f t="shared" si="58"/>
        <v>1.1000000000000001</v>
      </c>
      <c r="H403" s="16">
        <f t="shared" si="58"/>
        <v>1</v>
      </c>
      <c r="I403" s="16">
        <f t="shared" si="58"/>
        <v>0</v>
      </c>
      <c r="J403" s="16">
        <f t="shared" si="58"/>
        <v>63</v>
      </c>
      <c r="K403" s="16">
        <f t="shared" si="58"/>
        <v>0</v>
      </c>
      <c r="L403" s="16">
        <f t="shared" si="58"/>
        <v>100</v>
      </c>
      <c r="M403" s="16">
        <f t="shared" si="58"/>
        <v>0</v>
      </c>
      <c r="N403" s="16">
        <f t="shared" si="58"/>
        <v>2</v>
      </c>
      <c r="O403" s="16">
        <f t="shared" si="58"/>
        <v>63</v>
      </c>
      <c r="P403" s="16">
        <f t="shared" si="58"/>
        <v>7</v>
      </c>
      <c r="Q403" s="16">
        <f t="shared" si="58"/>
        <v>2</v>
      </c>
      <c r="R403" s="16">
        <f t="shared" si="57"/>
        <v>20</v>
      </c>
      <c r="S403" s="16">
        <f t="shared" si="57"/>
        <v>0</v>
      </c>
      <c r="T403" s="16">
        <f t="shared" si="57"/>
        <v>0</v>
      </c>
      <c r="U403" s="16">
        <f t="shared" si="57"/>
        <v>0</v>
      </c>
      <c r="V403" s="16">
        <f t="shared" si="57"/>
        <v>0</v>
      </c>
      <c r="W403" s="16">
        <f t="shared" si="57"/>
        <v>1</v>
      </c>
      <c r="X403" s="16" t="str">
        <f t="shared" si="54"/>
        <v>null</v>
      </c>
    </row>
    <row r="404" spans="1:24" x14ac:dyDescent="0.15">
      <c r="A404" s="20" t="str">
        <f t="shared" si="56"/>
        <v>24_3-4/35&lt;lv50&gt;s4</v>
      </c>
      <c r="B404" s="16">
        <f t="shared" si="58"/>
        <v>24</v>
      </c>
      <c r="C404" s="16">
        <f t="shared" si="58"/>
        <v>3</v>
      </c>
      <c r="D404" s="16">
        <f t="shared" si="58"/>
        <v>4</v>
      </c>
      <c r="E404" s="16">
        <f t="shared" si="58"/>
        <v>35</v>
      </c>
      <c r="F404" s="16">
        <f t="shared" si="58"/>
        <v>50</v>
      </c>
      <c r="G404" s="16">
        <f t="shared" si="58"/>
        <v>1</v>
      </c>
      <c r="H404" s="16">
        <f t="shared" si="58"/>
        <v>1</v>
      </c>
      <c r="I404" s="16">
        <f t="shared" si="58"/>
        <v>0</v>
      </c>
      <c r="J404" s="16">
        <f t="shared" si="58"/>
        <v>35</v>
      </c>
      <c r="K404" s="16">
        <f t="shared" si="58"/>
        <v>0</v>
      </c>
      <c r="L404" s="16">
        <f t="shared" si="58"/>
        <v>100</v>
      </c>
      <c r="M404" s="16">
        <f t="shared" si="58"/>
        <v>0</v>
      </c>
      <c r="N404" s="16">
        <f t="shared" si="58"/>
        <v>4</v>
      </c>
      <c r="O404" s="16">
        <f t="shared" si="58"/>
        <v>35</v>
      </c>
      <c r="P404" s="16">
        <f t="shared" si="58"/>
        <v>5</v>
      </c>
      <c r="Q404" s="16">
        <f t="shared" si="58"/>
        <v>2</v>
      </c>
      <c r="R404" s="16">
        <f t="shared" si="57"/>
        <v>20</v>
      </c>
      <c r="S404" s="16">
        <f t="shared" si="57"/>
        <v>0</v>
      </c>
      <c r="T404" s="16">
        <f t="shared" si="57"/>
        <v>0</v>
      </c>
      <c r="U404" s="16">
        <f t="shared" si="57"/>
        <v>0</v>
      </c>
      <c r="V404" s="16">
        <f t="shared" si="57"/>
        <v>0</v>
      </c>
      <c r="W404" s="16">
        <f t="shared" si="57"/>
        <v>1</v>
      </c>
      <c r="X404" s="16" t="str">
        <f t="shared" si="54"/>
        <v>null</v>
      </c>
    </row>
    <row r="405" spans="1:24" x14ac:dyDescent="0.15">
      <c r="A405" s="20" t="str">
        <f t="shared" si="56"/>
        <v>24_3-4/362&lt;lv50&gt;s3</v>
      </c>
      <c r="B405" s="16">
        <f t="shared" si="58"/>
        <v>24</v>
      </c>
      <c r="C405" s="16">
        <f t="shared" si="58"/>
        <v>3</v>
      </c>
      <c r="D405" s="16">
        <f t="shared" si="58"/>
        <v>4</v>
      </c>
      <c r="E405" s="16">
        <f t="shared" si="58"/>
        <v>362</v>
      </c>
      <c r="F405" s="16">
        <f t="shared" si="58"/>
        <v>50</v>
      </c>
      <c r="G405" s="16">
        <f t="shared" si="58"/>
        <v>1</v>
      </c>
      <c r="H405" s="16">
        <f t="shared" si="58"/>
        <v>1</v>
      </c>
      <c r="I405" s="16">
        <f t="shared" si="58"/>
        <v>0</v>
      </c>
      <c r="J405" s="16">
        <f t="shared" si="58"/>
        <v>362</v>
      </c>
      <c r="K405" s="16">
        <f t="shared" si="58"/>
        <v>0</v>
      </c>
      <c r="L405" s="16">
        <f t="shared" si="58"/>
        <v>100</v>
      </c>
      <c r="M405" s="16">
        <f t="shared" si="58"/>
        <v>0</v>
      </c>
      <c r="N405" s="16">
        <f t="shared" si="58"/>
        <v>3</v>
      </c>
      <c r="O405" s="16">
        <f t="shared" si="58"/>
        <v>362</v>
      </c>
      <c r="P405" s="16">
        <f t="shared" si="58"/>
        <v>7</v>
      </c>
      <c r="Q405" s="16">
        <f t="shared" si="58"/>
        <v>2</v>
      </c>
      <c r="R405" s="16">
        <f t="shared" si="57"/>
        <v>20</v>
      </c>
      <c r="S405" s="16">
        <f t="shared" si="57"/>
        <v>0</v>
      </c>
      <c r="T405" s="16">
        <f t="shared" si="57"/>
        <v>0</v>
      </c>
      <c r="U405" s="16">
        <f t="shared" si="57"/>
        <v>0</v>
      </c>
      <c r="V405" s="16">
        <f t="shared" si="57"/>
        <v>0</v>
      </c>
      <c r="W405" s="16">
        <f t="shared" si="57"/>
        <v>1</v>
      </c>
      <c r="X405" s="16" t="str">
        <f t="shared" si="54"/>
        <v>null</v>
      </c>
    </row>
    <row r="406" spans="1:24" x14ac:dyDescent="0.15">
      <c r="A406" s="20" t="str">
        <f t="shared" si="56"/>
        <v>24_3-4/366&lt;lv48&gt;s3</v>
      </c>
      <c r="B406" s="16">
        <f t="shared" si="58"/>
        <v>24</v>
      </c>
      <c r="C406" s="16">
        <f t="shared" si="58"/>
        <v>3</v>
      </c>
      <c r="D406" s="16">
        <f t="shared" si="58"/>
        <v>4</v>
      </c>
      <c r="E406" s="16">
        <f t="shared" si="58"/>
        <v>366</v>
      </c>
      <c r="F406" s="16">
        <f t="shared" si="58"/>
        <v>48</v>
      </c>
      <c r="G406" s="16">
        <f t="shared" si="58"/>
        <v>1.1000000000000001</v>
      </c>
      <c r="H406" s="16">
        <f t="shared" si="58"/>
        <v>1</v>
      </c>
      <c r="I406" s="16">
        <f t="shared" si="58"/>
        <v>0</v>
      </c>
      <c r="J406" s="16">
        <f t="shared" si="58"/>
        <v>366</v>
      </c>
      <c r="K406" s="16">
        <f t="shared" si="58"/>
        <v>0</v>
      </c>
      <c r="L406" s="16">
        <f t="shared" si="58"/>
        <v>100</v>
      </c>
      <c r="M406" s="16">
        <f t="shared" si="58"/>
        <v>0</v>
      </c>
      <c r="N406" s="16">
        <f t="shared" si="58"/>
        <v>3</v>
      </c>
      <c r="O406" s="16">
        <f t="shared" si="58"/>
        <v>366</v>
      </c>
      <c r="P406" s="16">
        <f t="shared" si="58"/>
        <v>5</v>
      </c>
      <c r="Q406" s="16">
        <f t="shared" si="58"/>
        <v>2</v>
      </c>
      <c r="R406" s="16">
        <f t="shared" si="57"/>
        <v>20</v>
      </c>
      <c r="S406" s="16">
        <f t="shared" si="57"/>
        <v>0</v>
      </c>
      <c r="T406" s="16">
        <f t="shared" si="57"/>
        <v>0</v>
      </c>
      <c r="U406" s="16">
        <f t="shared" si="57"/>
        <v>0</v>
      </c>
      <c r="V406" s="16">
        <f t="shared" si="57"/>
        <v>0</v>
      </c>
      <c r="W406" s="16">
        <f t="shared" si="57"/>
        <v>1</v>
      </c>
      <c r="X406" s="16" t="str">
        <f t="shared" si="54"/>
        <v>null</v>
      </c>
    </row>
    <row r="407" spans="1:24" x14ac:dyDescent="0.15">
      <c r="A407" s="20" t="str">
        <f t="shared" si="56"/>
        <v>24_3-4/350&lt;lv50&gt;s3</v>
      </c>
      <c r="B407" s="16">
        <f t="shared" si="58"/>
        <v>24</v>
      </c>
      <c r="C407" s="16">
        <f t="shared" si="58"/>
        <v>3</v>
      </c>
      <c r="D407" s="16">
        <f t="shared" si="58"/>
        <v>4</v>
      </c>
      <c r="E407" s="16">
        <f t="shared" si="58"/>
        <v>350</v>
      </c>
      <c r="F407" s="16">
        <f t="shared" si="58"/>
        <v>50</v>
      </c>
      <c r="G407" s="16">
        <f t="shared" si="58"/>
        <v>1</v>
      </c>
      <c r="H407" s="16">
        <f t="shared" si="58"/>
        <v>1</v>
      </c>
      <c r="I407" s="16">
        <f t="shared" si="58"/>
        <v>0</v>
      </c>
      <c r="J407" s="16">
        <f t="shared" si="58"/>
        <v>350</v>
      </c>
      <c r="K407" s="16">
        <f t="shared" si="58"/>
        <v>0</v>
      </c>
      <c r="L407" s="16">
        <f t="shared" si="58"/>
        <v>100</v>
      </c>
      <c r="M407" s="16">
        <f t="shared" si="58"/>
        <v>0</v>
      </c>
      <c r="N407" s="16">
        <f t="shared" si="58"/>
        <v>3</v>
      </c>
      <c r="O407" s="16">
        <f t="shared" si="58"/>
        <v>350</v>
      </c>
      <c r="P407" s="16">
        <f t="shared" si="58"/>
        <v>1</v>
      </c>
      <c r="Q407" s="16">
        <f t="shared" si="58"/>
        <v>2</v>
      </c>
      <c r="R407" s="16">
        <f t="shared" si="57"/>
        <v>26</v>
      </c>
      <c r="S407" s="16">
        <f t="shared" si="57"/>
        <v>0</v>
      </c>
      <c r="T407" s="16">
        <f t="shared" si="57"/>
        <v>0</v>
      </c>
      <c r="U407" s="16">
        <f t="shared" si="57"/>
        <v>0</v>
      </c>
      <c r="V407" s="16">
        <f t="shared" si="57"/>
        <v>0</v>
      </c>
      <c r="W407" s="16">
        <f t="shared" si="57"/>
        <v>1</v>
      </c>
      <c r="X407" s="16" t="str">
        <f t="shared" si="54"/>
        <v>null</v>
      </c>
    </row>
    <row r="408" spans="1:24" x14ac:dyDescent="0.15">
      <c r="A408" s="20" t="str">
        <f t="shared" si="56"/>
        <v>24_3-5/242&lt;lv53&gt;s3</v>
      </c>
      <c r="B408" s="16">
        <f t="shared" si="58"/>
        <v>24</v>
      </c>
      <c r="C408" s="16">
        <f t="shared" si="58"/>
        <v>3</v>
      </c>
      <c r="D408" s="16">
        <f t="shared" si="58"/>
        <v>5</v>
      </c>
      <c r="E408" s="16">
        <f t="shared" si="58"/>
        <v>242</v>
      </c>
      <c r="F408" s="16">
        <f t="shared" si="58"/>
        <v>53</v>
      </c>
      <c r="G408" s="16">
        <f t="shared" si="58"/>
        <v>0.9</v>
      </c>
      <c r="H408" s="16">
        <f t="shared" si="58"/>
        <v>0.7</v>
      </c>
      <c r="I408" s="16">
        <f t="shared" si="58"/>
        <v>0</v>
      </c>
      <c r="J408" s="16">
        <f t="shared" si="58"/>
        <v>24201</v>
      </c>
      <c r="K408" s="16">
        <f t="shared" si="58"/>
        <v>1</v>
      </c>
      <c r="L408" s="16">
        <f t="shared" si="58"/>
        <v>100</v>
      </c>
      <c r="M408" s="16">
        <f t="shared" si="58"/>
        <v>1</v>
      </c>
      <c r="N408" s="16">
        <f t="shared" si="58"/>
        <v>3</v>
      </c>
      <c r="O408" s="16">
        <f t="shared" si="58"/>
        <v>241</v>
      </c>
      <c r="P408" s="16">
        <f t="shared" si="58"/>
        <v>1</v>
      </c>
      <c r="Q408" s="16">
        <f t="shared" si="58"/>
        <v>3</v>
      </c>
      <c r="R408" s="16">
        <f t="shared" si="57"/>
        <v>0</v>
      </c>
      <c r="S408" s="16">
        <f t="shared" si="57"/>
        <v>0</v>
      </c>
      <c r="T408" s="16">
        <f t="shared" si="57"/>
        <v>0</v>
      </c>
      <c r="U408" s="16">
        <f t="shared" si="57"/>
        <v>0</v>
      </c>
      <c r="V408" s="16">
        <f t="shared" si="57"/>
        <v>0</v>
      </c>
      <c r="W408" s="16">
        <f t="shared" si="57"/>
        <v>1</v>
      </c>
      <c r="X408" s="16">
        <f t="shared" si="54"/>
        <v>242</v>
      </c>
    </row>
    <row r="409" spans="1:24" x14ac:dyDescent="0.15">
      <c r="A409" s="20" t="str">
        <f t="shared" si="56"/>
        <v>24_4-1/11&lt;lv52&gt;s3</v>
      </c>
      <c r="B409" s="16">
        <f t="shared" si="58"/>
        <v>24</v>
      </c>
      <c r="C409" s="16">
        <f t="shared" si="58"/>
        <v>4</v>
      </c>
      <c r="D409" s="16">
        <f t="shared" si="58"/>
        <v>1</v>
      </c>
      <c r="E409" s="16">
        <f t="shared" si="58"/>
        <v>11</v>
      </c>
      <c r="F409" s="16">
        <f t="shared" si="58"/>
        <v>52</v>
      </c>
      <c r="G409" s="16">
        <f t="shared" si="58"/>
        <v>1</v>
      </c>
      <c r="H409" s="16">
        <f t="shared" si="58"/>
        <v>1</v>
      </c>
      <c r="I409" s="16">
        <f t="shared" si="58"/>
        <v>0</v>
      </c>
      <c r="J409" s="16">
        <f t="shared" si="58"/>
        <v>0</v>
      </c>
      <c r="K409" s="16">
        <f t="shared" si="58"/>
        <v>0</v>
      </c>
      <c r="L409" s="16">
        <f t="shared" si="58"/>
        <v>100</v>
      </c>
      <c r="M409" s="16">
        <f t="shared" si="58"/>
        <v>0</v>
      </c>
      <c r="N409" s="16">
        <f t="shared" si="58"/>
        <v>3</v>
      </c>
      <c r="O409" s="16">
        <f t="shared" si="58"/>
        <v>11</v>
      </c>
      <c r="P409" s="16">
        <f t="shared" si="58"/>
        <v>9</v>
      </c>
      <c r="Q409" s="16">
        <f t="shared" si="58"/>
        <v>1</v>
      </c>
      <c r="R409" s="16">
        <f t="shared" si="57"/>
        <v>15</v>
      </c>
      <c r="S409" s="16">
        <f t="shared" si="57"/>
        <v>0</v>
      </c>
      <c r="T409" s="16">
        <f t="shared" si="57"/>
        <v>0</v>
      </c>
      <c r="U409" s="16">
        <f t="shared" si="57"/>
        <v>0</v>
      </c>
      <c r="V409" s="16">
        <f t="shared" si="57"/>
        <v>0</v>
      </c>
      <c r="W409" s="16">
        <f t="shared" si="57"/>
        <v>1</v>
      </c>
      <c r="X409" s="16" t="str">
        <f t="shared" si="54"/>
        <v>null</v>
      </c>
    </row>
    <row r="410" spans="1:24" x14ac:dyDescent="0.15">
      <c r="A410" s="20" t="str">
        <f t="shared" si="56"/>
        <v>24_4-1/23&lt;lv52&gt;s4</v>
      </c>
      <c r="B410" s="16">
        <f t="shared" si="58"/>
        <v>24</v>
      </c>
      <c r="C410" s="16">
        <f t="shared" si="58"/>
        <v>4</v>
      </c>
      <c r="D410" s="16">
        <f t="shared" si="58"/>
        <v>1</v>
      </c>
      <c r="E410" s="16">
        <f t="shared" si="58"/>
        <v>23</v>
      </c>
      <c r="F410" s="16">
        <f t="shared" si="58"/>
        <v>52</v>
      </c>
      <c r="G410" s="16">
        <f t="shared" si="58"/>
        <v>1</v>
      </c>
      <c r="H410" s="16">
        <f t="shared" si="58"/>
        <v>1</v>
      </c>
      <c r="I410" s="16">
        <f t="shared" si="58"/>
        <v>0</v>
      </c>
      <c r="J410" s="16">
        <f t="shared" si="58"/>
        <v>0</v>
      </c>
      <c r="K410" s="16">
        <f t="shared" si="58"/>
        <v>0</v>
      </c>
      <c r="L410" s="16">
        <f t="shared" si="58"/>
        <v>100</v>
      </c>
      <c r="M410" s="16">
        <f t="shared" si="58"/>
        <v>0</v>
      </c>
      <c r="N410" s="16">
        <f t="shared" si="58"/>
        <v>4</v>
      </c>
      <c r="O410" s="16">
        <f t="shared" si="58"/>
        <v>23</v>
      </c>
      <c r="P410" s="16">
        <f t="shared" si="58"/>
        <v>7</v>
      </c>
      <c r="Q410" s="16">
        <f t="shared" si="58"/>
        <v>1</v>
      </c>
      <c r="R410" s="16">
        <f t="shared" si="57"/>
        <v>15</v>
      </c>
      <c r="S410" s="16">
        <f t="shared" si="57"/>
        <v>0</v>
      </c>
      <c r="T410" s="16">
        <f t="shared" si="57"/>
        <v>0</v>
      </c>
      <c r="U410" s="16">
        <f t="shared" si="57"/>
        <v>0</v>
      </c>
      <c r="V410" s="16">
        <f t="shared" si="57"/>
        <v>0</v>
      </c>
      <c r="W410" s="16">
        <f t="shared" si="57"/>
        <v>1</v>
      </c>
      <c r="X410" s="16" t="str">
        <f t="shared" si="54"/>
        <v>null</v>
      </c>
    </row>
    <row r="411" spans="1:24" x14ac:dyDescent="0.15">
      <c r="A411" s="20" t="str">
        <f t="shared" si="56"/>
        <v>24_4-1/59&lt;lv52&gt;s2</v>
      </c>
      <c r="B411" s="16">
        <f t="shared" si="58"/>
        <v>24</v>
      </c>
      <c r="C411" s="16">
        <f t="shared" si="58"/>
        <v>4</v>
      </c>
      <c r="D411" s="16">
        <f t="shared" si="58"/>
        <v>1</v>
      </c>
      <c r="E411" s="16">
        <f t="shared" si="58"/>
        <v>59</v>
      </c>
      <c r="F411" s="16">
        <f t="shared" si="58"/>
        <v>52</v>
      </c>
      <c r="G411" s="16">
        <f t="shared" si="58"/>
        <v>1</v>
      </c>
      <c r="H411" s="16">
        <f t="shared" si="58"/>
        <v>1</v>
      </c>
      <c r="I411" s="16">
        <f t="shared" si="58"/>
        <v>0</v>
      </c>
      <c r="J411" s="16">
        <f t="shared" si="58"/>
        <v>59</v>
      </c>
      <c r="K411" s="16">
        <f t="shared" si="58"/>
        <v>0</v>
      </c>
      <c r="L411" s="16">
        <f t="shared" si="58"/>
        <v>100</v>
      </c>
      <c r="M411" s="16">
        <f t="shared" si="58"/>
        <v>0</v>
      </c>
      <c r="N411" s="16">
        <f t="shared" si="58"/>
        <v>2</v>
      </c>
      <c r="O411" s="16">
        <f t="shared" si="58"/>
        <v>59</v>
      </c>
      <c r="P411" s="16">
        <f t="shared" si="58"/>
        <v>7</v>
      </c>
      <c r="Q411" s="16">
        <f t="shared" si="58"/>
        <v>2</v>
      </c>
      <c r="R411" s="16">
        <f t="shared" si="57"/>
        <v>20</v>
      </c>
      <c r="S411" s="16">
        <f t="shared" si="57"/>
        <v>0</v>
      </c>
      <c r="T411" s="16">
        <f t="shared" si="57"/>
        <v>0</v>
      </c>
      <c r="U411" s="16">
        <f t="shared" si="57"/>
        <v>0</v>
      </c>
      <c r="V411" s="16">
        <f t="shared" si="57"/>
        <v>0</v>
      </c>
      <c r="W411" s="16">
        <f t="shared" si="57"/>
        <v>1</v>
      </c>
      <c r="X411" s="16" t="str">
        <f t="shared" si="54"/>
        <v>null</v>
      </c>
    </row>
    <row r="412" spans="1:24" x14ac:dyDescent="0.15">
      <c r="A412" s="20" t="str">
        <f t="shared" si="56"/>
        <v>24_4-1/27&lt;lv52&gt;s1</v>
      </c>
      <c r="B412" s="16">
        <f t="shared" si="58"/>
        <v>24</v>
      </c>
      <c r="C412" s="16">
        <f t="shared" si="58"/>
        <v>4</v>
      </c>
      <c r="D412" s="16">
        <f t="shared" si="58"/>
        <v>1</v>
      </c>
      <c r="E412" s="16">
        <f t="shared" si="58"/>
        <v>27</v>
      </c>
      <c r="F412" s="16">
        <f t="shared" si="58"/>
        <v>52</v>
      </c>
      <c r="G412" s="16">
        <f t="shared" si="58"/>
        <v>1</v>
      </c>
      <c r="H412" s="16">
        <f t="shared" si="58"/>
        <v>1</v>
      </c>
      <c r="I412" s="16">
        <f t="shared" si="58"/>
        <v>0</v>
      </c>
      <c r="J412" s="16">
        <f t="shared" si="58"/>
        <v>0</v>
      </c>
      <c r="K412" s="16">
        <f t="shared" si="58"/>
        <v>0</v>
      </c>
      <c r="L412" s="16">
        <f t="shared" si="58"/>
        <v>100</v>
      </c>
      <c r="M412" s="16">
        <f t="shared" si="58"/>
        <v>0</v>
      </c>
      <c r="N412" s="16">
        <f t="shared" si="58"/>
        <v>1</v>
      </c>
      <c r="O412" s="16">
        <f t="shared" si="58"/>
        <v>27</v>
      </c>
      <c r="P412" s="16">
        <f t="shared" si="58"/>
        <v>7</v>
      </c>
      <c r="Q412" s="16">
        <f t="shared" si="58"/>
        <v>1</v>
      </c>
      <c r="R412" s="16">
        <f t="shared" si="57"/>
        <v>15</v>
      </c>
      <c r="S412" s="16">
        <f t="shared" si="57"/>
        <v>0</v>
      </c>
      <c r="T412" s="16">
        <f t="shared" si="57"/>
        <v>0</v>
      </c>
      <c r="U412" s="16">
        <f t="shared" si="57"/>
        <v>0</v>
      </c>
      <c r="V412" s="16">
        <f t="shared" si="57"/>
        <v>0</v>
      </c>
      <c r="W412" s="16">
        <f t="shared" si="57"/>
        <v>1</v>
      </c>
      <c r="X412" s="16" t="str">
        <f t="shared" si="54"/>
        <v>null</v>
      </c>
    </row>
    <row r="413" spans="1:24" x14ac:dyDescent="0.15">
      <c r="A413" s="20" t="str">
        <f t="shared" si="56"/>
        <v>24_4-1/35&lt;lv52&gt;s4</v>
      </c>
      <c r="B413" s="16">
        <f t="shared" si="58"/>
        <v>24</v>
      </c>
      <c r="C413" s="16">
        <f t="shared" si="58"/>
        <v>4</v>
      </c>
      <c r="D413" s="16">
        <f t="shared" si="58"/>
        <v>1</v>
      </c>
      <c r="E413" s="16">
        <f t="shared" si="58"/>
        <v>35</v>
      </c>
      <c r="F413" s="16">
        <f t="shared" si="58"/>
        <v>52</v>
      </c>
      <c r="G413" s="16">
        <f t="shared" si="58"/>
        <v>1</v>
      </c>
      <c r="H413" s="16">
        <f t="shared" si="58"/>
        <v>1</v>
      </c>
      <c r="I413" s="16">
        <f t="shared" si="58"/>
        <v>0</v>
      </c>
      <c r="J413" s="16">
        <f t="shared" si="58"/>
        <v>35</v>
      </c>
      <c r="K413" s="16">
        <f t="shared" si="58"/>
        <v>0</v>
      </c>
      <c r="L413" s="16">
        <f t="shared" si="58"/>
        <v>100</v>
      </c>
      <c r="M413" s="16">
        <f t="shared" si="58"/>
        <v>0</v>
      </c>
      <c r="N413" s="16">
        <f t="shared" si="58"/>
        <v>4</v>
      </c>
      <c r="O413" s="16">
        <f t="shared" si="58"/>
        <v>35</v>
      </c>
      <c r="P413" s="16">
        <f t="shared" si="58"/>
        <v>5</v>
      </c>
      <c r="Q413" s="16">
        <f t="shared" si="58"/>
        <v>2</v>
      </c>
      <c r="R413" s="16">
        <f t="shared" si="57"/>
        <v>20</v>
      </c>
      <c r="S413" s="16">
        <f t="shared" si="57"/>
        <v>0</v>
      </c>
      <c r="T413" s="16">
        <f t="shared" si="57"/>
        <v>0</v>
      </c>
      <c r="U413" s="16">
        <f t="shared" si="57"/>
        <v>0</v>
      </c>
      <c r="V413" s="16">
        <f t="shared" si="57"/>
        <v>0</v>
      </c>
      <c r="W413" s="16">
        <f t="shared" si="57"/>
        <v>1</v>
      </c>
      <c r="X413" s="16" t="str">
        <f t="shared" si="54"/>
        <v>null</v>
      </c>
    </row>
    <row r="414" spans="1:24" x14ac:dyDescent="0.15">
      <c r="A414" s="20" t="str">
        <f t="shared" si="56"/>
        <v>24_4-1/362&lt;lv52&gt;s3</v>
      </c>
      <c r="B414" s="16">
        <f t="shared" si="58"/>
        <v>24</v>
      </c>
      <c r="C414" s="16">
        <f t="shared" si="58"/>
        <v>4</v>
      </c>
      <c r="D414" s="16">
        <f t="shared" si="58"/>
        <v>1</v>
      </c>
      <c r="E414" s="16">
        <f t="shared" si="58"/>
        <v>362</v>
      </c>
      <c r="F414" s="16">
        <f t="shared" si="58"/>
        <v>52</v>
      </c>
      <c r="G414" s="16">
        <f t="shared" si="58"/>
        <v>1</v>
      </c>
      <c r="H414" s="16">
        <f t="shared" si="58"/>
        <v>1</v>
      </c>
      <c r="I414" s="16">
        <f t="shared" si="58"/>
        <v>0</v>
      </c>
      <c r="J414" s="16">
        <f t="shared" si="58"/>
        <v>362</v>
      </c>
      <c r="K414" s="16">
        <f t="shared" si="58"/>
        <v>0</v>
      </c>
      <c r="L414" s="16">
        <f t="shared" si="58"/>
        <v>100</v>
      </c>
      <c r="M414" s="16">
        <f t="shared" si="58"/>
        <v>0</v>
      </c>
      <c r="N414" s="16">
        <f t="shared" si="58"/>
        <v>3</v>
      </c>
      <c r="O414" s="16">
        <f t="shared" si="58"/>
        <v>362</v>
      </c>
      <c r="P414" s="16">
        <f t="shared" si="58"/>
        <v>5</v>
      </c>
      <c r="Q414" s="16">
        <f t="shared" ref="Q414:W429" si="59">VLOOKUP($A414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14" s="16">
        <f t="shared" si="59"/>
        <v>20</v>
      </c>
      <c r="S414" s="16">
        <f t="shared" si="59"/>
        <v>0</v>
      </c>
      <c r="T414" s="16">
        <f t="shared" si="59"/>
        <v>0</v>
      </c>
      <c r="U414" s="16">
        <f t="shared" si="59"/>
        <v>0</v>
      </c>
      <c r="V414" s="16">
        <f t="shared" si="59"/>
        <v>0</v>
      </c>
      <c r="W414" s="16">
        <f t="shared" si="59"/>
        <v>1</v>
      </c>
      <c r="X414" s="16" t="str">
        <f t="shared" si="54"/>
        <v>null</v>
      </c>
    </row>
    <row r="415" spans="1:24" x14ac:dyDescent="0.15">
      <c r="A415" s="20" t="str">
        <f t="shared" si="56"/>
        <v>24_4-1/350&lt;lv52&gt;s3</v>
      </c>
      <c r="B415" s="16">
        <f t="shared" ref="B415:Q430" si="60">VLOOKUP($A415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415" s="16">
        <f t="shared" si="60"/>
        <v>4</v>
      </c>
      <c r="D415" s="16">
        <f t="shared" si="60"/>
        <v>1</v>
      </c>
      <c r="E415" s="16">
        <f t="shared" si="60"/>
        <v>350</v>
      </c>
      <c r="F415" s="16">
        <f t="shared" si="60"/>
        <v>52</v>
      </c>
      <c r="G415" s="16">
        <f t="shared" si="60"/>
        <v>1</v>
      </c>
      <c r="H415" s="16">
        <f t="shared" si="60"/>
        <v>1</v>
      </c>
      <c r="I415" s="16">
        <f t="shared" si="60"/>
        <v>0</v>
      </c>
      <c r="J415" s="16">
        <f t="shared" si="60"/>
        <v>350</v>
      </c>
      <c r="K415" s="16">
        <f t="shared" si="60"/>
        <v>0</v>
      </c>
      <c r="L415" s="16">
        <f t="shared" si="60"/>
        <v>100</v>
      </c>
      <c r="M415" s="16">
        <f t="shared" si="60"/>
        <v>0</v>
      </c>
      <c r="N415" s="16">
        <f t="shared" si="60"/>
        <v>3</v>
      </c>
      <c r="O415" s="16">
        <f t="shared" si="60"/>
        <v>350</v>
      </c>
      <c r="P415" s="16">
        <f t="shared" si="60"/>
        <v>1</v>
      </c>
      <c r="Q415" s="16">
        <f t="shared" si="60"/>
        <v>2</v>
      </c>
      <c r="R415" s="16">
        <f t="shared" si="59"/>
        <v>30</v>
      </c>
      <c r="S415" s="16">
        <f t="shared" si="59"/>
        <v>0</v>
      </c>
      <c r="T415" s="16">
        <f t="shared" si="59"/>
        <v>0</v>
      </c>
      <c r="U415" s="16">
        <f t="shared" si="59"/>
        <v>0</v>
      </c>
      <c r="V415" s="16">
        <f t="shared" si="59"/>
        <v>0</v>
      </c>
      <c r="W415" s="16">
        <f t="shared" si="59"/>
        <v>1</v>
      </c>
      <c r="X415" s="16" t="str">
        <f t="shared" si="54"/>
        <v>null</v>
      </c>
    </row>
    <row r="416" spans="1:24" x14ac:dyDescent="0.15">
      <c r="A416" s="20" t="str">
        <f t="shared" si="56"/>
        <v>24_4-2/13&lt;lv50&gt;s2</v>
      </c>
      <c r="B416" s="16">
        <f t="shared" si="60"/>
        <v>24</v>
      </c>
      <c r="C416" s="16">
        <f t="shared" si="60"/>
        <v>4</v>
      </c>
      <c r="D416" s="16">
        <f t="shared" si="60"/>
        <v>2</v>
      </c>
      <c r="E416" s="16">
        <f t="shared" si="60"/>
        <v>13</v>
      </c>
      <c r="F416" s="16">
        <f t="shared" si="60"/>
        <v>50</v>
      </c>
      <c r="G416" s="16">
        <f t="shared" si="60"/>
        <v>1</v>
      </c>
      <c r="H416" s="16">
        <f t="shared" si="60"/>
        <v>1</v>
      </c>
      <c r="I416" s="16">
        <f t="shared" si="60"/>
        <v>0</v>
      </c>
      <c r="J416" s="16">
        <f t="shared" si="60"/>
        <v>0</v>
      </c>
      <c r="K416" s="16">
        <f t="shared" si="60"/>
        <v>0</v>
      </c>
      <c r="L416" s="16">
        <f t="shared" si="60"/>
        <v>100</v>
      </c>
      <c r="M416" s="16">
        <f t="shared" si="60"/>
        <v>0</v>
      </c>
      <c r="N416" s="16">
        <f t="shared" si="60"/>
        <v>2</v>
      </c>
      <c r="O416" s="16">
        <f t="shared" si="60"/>
        <v>13</v>
      </c>
      <c r="P416" s="16">
        <f t="shared" si="60"/>
        <v>9</v>
      </c>
      <c r="Q416" s="16">
        <f t="shared" si="60"/>
        <v>1</v>
      </c>
      <c r="R416" s="16">
        <f t="shared" si="59"/>
        <v>15</v>
      </c>
      <c r="S416" s="16">
        <f t="shared" si="59"/>
        <v>0</v>
      </c>
      <c r="T416" s="16">
        <f t="shared" si="59"/>
        <v>0</v>
      </c>
      <c r="U416" s="16">
        <f t="shared" si="59"/>
        <v>0</v>
      </c>
      <c r="V416" s="16">
        <f t="shared" si="59"/>
        <v>0</v>
      </c>
      <c r="W416" s="16">
        <f t="shared" si="59"/>
        <v>1</v>
      </c>
      <c r="X416" s="16" t="str">
        <f t="shared" si="54"/>
        <v>null</v>
      </c>
    </row>
    <row r="417" spans="1:24" x14ac:dyDescent="0.15">
      <c r="A417" s="20" t="str">
        <f t="shared" si="56"/>
        <v>24_4-2/47&lt;lv50&gt;s1</v>
      </c>
      <c r="B417" s="16">
        <f t="shared" si="60"/>
        <v>24</v>
      </c>
      <c r="C417" s="16">
        <f t="shared" si="60"/>
        <v>4</v>
      </c>
      <c r="D417" s="16">
        <f t="shared" si="60"/>
        <v>2</v>
      </c>
      <c r="E417" s="16">
        <f t="shared" si="60"/>
        <v>47</v>
      </c>
      <c r="F417" s="16">
        <f t="shared" si="60"/>
        <v>50</v>
      </c>
      <c r="G417" s="16">
        <f t="shared" si="60"/>
        <v>1</v>
      </c>
      <c r="H417" s="16">
        <f t="shared" si="60"/>
        <v>1</v>
      </c>
      <c r="I417" s="16">
        <f t="shared" si="60"/>
        <v>0</v>
      </c>
      <c r="J417" s="16">
        <f t="shared" si="60"/>
        <v>0</v>
      </c>
      <c r="K417" s="16">
        <f t="shared" si="60"/>
        <v>0</v>
      </c>
      <c r="L417" s="16">
        <f t="shared" si="60"/>
        <v>100</v>
      </c>
      <c r="M417" s="16">
        <f t="shared" si="60"/>
        <v>0</v>
      </c>
      <c r="N417" s="16">
        <f t="shared" si="60"/>
        <v>1</v>
      </c>
      <c r="O417" s="16">
        <f t="shared" si="60"/>
        <v>47</v>
      </c>
      <c r="P417" s="16">
        <f t="shared" si="60"/>
        <v>7</v>
      </c>
      <c r="Q417" s="16">
        <f t="shared" si="60"/>
        <v>2</v>
      </c>
      <c r="R417" s="16">
        <f t="shared" si="59"/>
        <v>20</v>
      </c>
      <c r="S417" s="16">
        <f t="shared" si="59"/>
        <v>0</v>
      </c>
      <c r="T417" s="16">
        <f t="shared" si="59"/>
        <v>0</v>
      </c>
      <c r="U417" s="16">
        <f t="shared" si="59"/>
        <v>0</v>
      </c>
      <c r="V417" s="16">
        <f t="shared" si="59"/>
        <v>0</v>
      </c>
      <c r="W417" s="16">
        <f t="shared" si="59"/>
        <v>1</v>
      </c>
      <c r="X417" s="16" t="str">
        <f t="shared" si="54"/>
        <v>null</v>
      </c>
    </row>
    <row r="418" spans="1:24" x14ac:dyDescent="0.15">
      <c r="A418" s="20" t="str">
        <f t="shared" si="56"/>
        <v>24_4-2/63&lt;lv50&gt;s2</v>
      </c>
      <c r="B418" s="16">
        <f t="shared" si="60"/>
        <v>24</v>
      </c>
      <c r="C418" s="16">
        <f t="shared" si="60"/>
        <v>4</v>
      </c>
      <c r="D418" s="16">
        <f t="shared" si="60"/>
        <v>2</v>
      </c>
      <c r="E418" s="16">
        <f t="shared" si="60"/>
        <v>63</v>
      </c>
      <c r="F418" s="16">
        <f t="shared" si="60"/>
        <v>50</v>
      </c>
      <c r="G418" s="16">
        <f t="shared" si="60"/>
        <v>1</v>
      </c>
      <c r="H418" s="16">
        <f t="shared" si="60"/>
        <v>1</v>
      </c>
      <c r="I418" s="16">
        <f t="shared" si="60"/>
        <v>0</v>
      </c>
      <c r="J418" s="16">
        <f t="shared" si="60"/>
        <v>63</v>
      </c>
      <c r="K418" s="16">
        <f t="shared" si="60"/>
        <v>0</v>
      </c>
      <c r="L418" s="16">
        <f t="shared" si="60"/>
        <v>100</v>
      </c>
      <c r="M418" s="16">
        <f t="shared" si="60"/>
        <v>0</v>
      </c>
      <c r="N418" s="16">
        <f t="shared" si="60"/>
        <v>2</v>
      </c>
      <c r="O418" s="16">
        <f t="shared" si="60"/>
        <v>63</v>
      </c>
      <c r="P418" s="16">
        <f t="shared" si="60"/>
        <v>7</v>
      </c>
      <c r="Q418" s="16">
        <f t="shared" si="60"/>
        <v>2</v>
      </c>
      <c r="R418" s="16">
        <f t="shared" si="59"/>
        <v>20</v>
      </c>
      <c r="S418" s="16">
        <f t="shared" si="59"/>
        <v>0</v>
      </c>
      <c r="T418" s="16">
        <f t="shared" si="59"/>
        <v>0</v>
      </c>
      <c r="U418" s="16">
        <f t="shared" si="59"/>
        <v>0</v>
      </c>
      <c r="V418" s="16">
        <f t="shared" si="59"/>
        <v>0</v>
      </c>
      <c r="W418" s="16">
        <f t="shared" si="59"/>
        <v>1</v>
      </c>
      <c r="X418" s="16" t="str">
        <f t="shared" si="54"/>
        <v>null</v>
      </c>
    </row>
    <row r="419" spans="1:24" x14ac:dyDescent="0.15">
      <c r="A419" s="20" t="str">
        <f t="shared" si="56"/>
        <v>24_4-2/31&lt;lv50&gt;s2</v>
      </c>
      <c r="B419" s="16">
        <f t="shared" si="60"/>
        <v>24</v>
      </c>
      <c r="C419" s="16">
        <f t="shared" si="60"/>
        <v>4</v>
      </c>
      <c r="D419" s="16">
        <f t="shared" si="60"/>
        <v>2</v>
      </c>
      <c r="E419" s="16">
        <f t="shared" si="60"/>
        <v>31</v>
      </c>
      <c r="F419" s="16">
        <f t="shared" si="60"/>
        <v>50</v>
      </c>
      <c r="G419" s="16">
        <f t="shared" si="60"/>
        <v>1</v>
      </c>
      <c r="H419" s="16">
        <f t="shared" si="60"/>
        <v>1</v>
      </c>
      <c r="I419" s="16">
        <f t="shared" si="60"/>
        <v>0</v>
      </c>
      <c r="J419" s="16">
        <f t="shared" si="60"/>
        <v>0</v>
      </c>
      <c r="K419" s="16">
        <f t="shared" si="60"/>
        <v>0</v>
      </c>
      <c r="L419" s="16">
        <f t="shared" si="60"/>
        <v>100</v>
      </c>
      <c r="M419" s="16">
        <f t="shared" si="60"/>
        <v>0</v>
      </c>
      <c r="N419" s="16">
        <f t="shared" si="60"/>
        <v>2</v>
      </c>
      <c r="O419" s="16">
        <f t="shared" si="60"/>
        <v>31</v>
      </c>
      <c r="P419" s="16">
        <f t="shared" si="60"/>
        <v>7</v>
      </c>
      <c r="Q419" s="16">
        <f t="shared" si="60"/>
        <v>1</v>
      </c>
      <c r="R419" s="16">
        <f t="shared" si="59"/>
        <v>15</v>
      </c>
      <c r="S419" s="16">
        <f t="shared" si="59"/>
        <v>0</v>
      </c>
      <c r="T419" s="16">
        <f t="shared" si="59"/>
        <v>0</v>
      </c>
      <c r="U419" s="16">
        <f t="shared" si="59"/>
        <v>0</v>
      </c>
      <c r="V419" s="16">
        <f t="shared" si="59"/>
        <v>0</v>
      </c>
      <c r="W419" s="16">
        <f t="shared" si="59"/>
        <v>1</v>
      </c>
      <c r="X419" s="16" t="str">
        <f t="shared" si="54"/>
        <v>null</v>
      </c>
    </row>
    <row r="420" spans="1:24" x14ac:dyDescent="0.15">
      <c r="A420" s="20" t="str">
        <f t="shared" si="56"/>
        <v>24_4-2/366&lt;lv50&gt;s3</v>
      </c>
      <c r="B420" s="16">
        <f t="shared" si="60"/>
        <v>24</v>
      </c>
      <c r="C420" s="16">
        <f t="shared" si="60"/>
        <v>4</v>
      </c>
      <c r="D420" s="16">
        <f t="shared" si="60"/>
        <v>2</v>
      </c>
      <c r="E420" s="16">
        <f t="shared" si="60"/>
        <v>366</v>
      </c>
      <c r="F420" s="16">
        <f t="shared" si="60"/>
        <v>50</v>
      </c>
      <c r="G420" s="16">
        <f t="shared" si="60"/>
        <v>1</v>
      </c>
      <c r="H420" s="16">
        <f t="shared" si="60"/>
        <v>1</v>
      </c>
      <c r="I420" s="16">
        <f t="shared" si="60"/>
        <v>0</v>
      </c>
      <c r="J420" s="16">
        <f t="shared" si="60"/>
        <v>366</v>
      </c>
      <c r="K420" s="16">
        <f t="shared" si="60"/>
        <v>0</v>
      </c>
      <c r="L420" s="16">
        <f t="shared" si="60"/>
        <v>100</v>
      </c>
      <c r="M420" s="16">
        <f t="shared" si="60"/>
        <v>0</v>
      </c>
      <c r="N420" s="16">
        <f t="shared" si="60"/>
        <v>3</v>
      </c>
      <c r="O420" s="16">
        <f t="shared" si="60"/>
        <v>366</v>
      </c>
      <c r="P420" s="16">
        <f t="shared" si="60"/>
        <v>7</v>
      </c>
      <c r="Q420" s="16">
        <f t="shared" si="60"/>
        <v>2</v>
      </c>
      <c r="R420" s="16">
        <f t="shared" si="59"/>
        <v>20</v>
      </c>
      <c r="S420" s="16">
        <f t="shared" si="59"/>
        <v>0</v>
      </c>
      <c r="T420" s="16">
        <f t="shared" si="59"/>
        <v>0</v>
      </c>
      <c r="U420" s="16">
        <f t="shared" si="59"/>
        <v>0</v>
      </c>
      <c r="V420" s="16">
        <f t="shared" si="59"/>
        <v>0</v>
      </c>
      <c r="W420" s="16">
        <f t="shared" si="59"/>
        <v>1</v>
      </c>
      <c r="X420" s="16" t="str">
        <f t="shared" si="54"/>
        <v>null</v>
      </c>
    </row>
    <row r="421" spans="1:24" x14ac:dyDescent="0.15">
      <c r="A421" s="20" t="str">
        <f t="shared" si="56"/>
        <v>24_4-2/354&lt;lv50&gt;s3</v>
      </c>
      <c r="B421" s="16">
        <f t="shared" si="60"/>
        <v>24</v>
      </c>
      <c r="C421" s="16">
        <f t="shared" si="60"/>
        <v>4</v>
      </c>
      <c r="D421" s="16">
        <f t="shared" si="60"/>
        <v>2</v>
      </c>
      <c r="E421" s="16">
        <f t="shared" si="60"/>
        <v>354</v>
      </c>
      <c r="F421" s="16">
        <f t="shared" si="60"/>
        <v>50</v>
      </c>
      <c r="G421" s="16">
        <f t="shared" si="60"/>
        <v>1</v>
      </c>
      <c r="H421" s="16">
        <f t="shared" si="60"/>
        <v>1</v>
      </c>
      <c r="I421" s="16">
        <f t="shared" si="60"/>
        <v>0</v>
      </c>
      <c r="J421" s="16">
        <f t="shared" si="60"/>
        <v>354</v>
      </c>
      <c r="K421" s="16">
        <f t="shared" si="60"/>
        <v>0</v>
      </c>
      <c r="L421" s="16">
        <f t="shared" si="60"/>
        <v>100</v>
      </c>
      <c r="M421" s="16">
        <f t="shared" si="60"/>
        <v>0</v>
      </c>
      <c r="N421" s="16">
        <f t="shared" si="60"/>
        <v>3</v>
      </c>
      <c r="O421" s="16">
        <f t="shared" si="60"/>
        <v>354</v>
      </c>
      <c r="P421" s="16">
        <f t="shared" si="60"/>
        <v>1</v>
      </c>
      <c r="Q421" s="16">
        <f t="shared" si="60"/>
        <v>2</v>
      </c>
      <c r="R421" s="16">
        <f t="shared" si="59"/>
        <v>30</v>
      </c>
      <c r="S421" s="16">
        <f t="shared" si="59"/>
        <v>0</v>
      </c>
      <c r="T421" s="16">
        <f t="shared" si="59"/>
        <v>0</v>
      </c>
      <c r="U421" s="16">
        <f t="shared" si="59"/>
        <v>0</v>
      </c>
      <c r="V421" s="16">
        <f t="shared" si="59"/>
        <v>0</v>
      </c>
      <c r="W421" s="16">
        <f t="shared" si="59"/>
        <v>1</v>
      </c>
      <c r="X421" s="16" t="str">
        <f t="shared" si="54"/>
        <v>null</v>
      </c>
    </row>
    <row r="422" spans="1:24" x14ac:dyDescent="0.15">
      <c r="A422" s="20" t="str">
        <f t="shared" si="56"/>
        <v>24_4-3/132&lt;lv55&gt;s3</v>
      </c>
      <c r="B422" s="16">
        <f t="shared" si="60"/>
        <v>24</v>
      </c>
      <c r="C422" s="16">
        <f t="shared" si="60"/>
        <v>4</v>
      </c>
      <c r="D422" s="16">
        <f t="shared" si="60"/>
        <v>3</v>
      </c>
      <c r="E422" s="16">
        <f t="shared" si="60"/>
        <v>132</v>
      </c>
      <c r="F422" s="16">
        <f t="shared" si="60"/>
        <v>55</v>
      </c>
      <c r="G422" s="16">
        <f t="shared" si="60"/>
        <v>2</v>
      </c>
      <c r="H422" s="16">
        <f t="shared" si="60"/>
        <v>0.6</v>
      </c>
      <c r="I422" s="16">
        <f t="shared" si="60"/>
        <v>0</v>
      </c>
      <c r="J422" s="16">
        <f t="shared" si="60"/>
        <v>132</v>
      </c>
      <c r="K422" s="16">
        <f t="shared" si="60"/>
        <v>0</v>
      </c>
      <c r="L422" s="16">
        <f t="shared" si="60"/>
        <v>100</v>
      </c>
      <c r="M422" s="16">
        <f t="shared" si="60"/>
        <v>1</v>
      </c>
      <c r="N422" s="16">
        <f t="shared" si="60"/>
        <v>3</v>
      </c>
      <c r="O422" s="16">
        <f t="shared" si="60"/>
        <v>132</v>
      </c>
      <c r="P422" s="16">
        <f t="shared" si="60"/>
        <v>1</v>
      </c>
      <c r="Q422" s="16">
        <f t="shared" si="60"/>
        <v>3</v>
      </c>
      <c r="R422" s="16">
        <f t="shared" si="59"/>
        <v>0</v>
      </c>
      <c r="S422" s="16">
        <f t="shared" si="59"/>
        <v>0</v>
      </c>
      <c r="T422" s="16">
        <f t="shared" si="59"/>
        <v>0</v>
      </c>
      <c r="U422" s="16">
        <f t="shared" si="59"/>
        <v>0</v>
      </c>
      <c r="V422" s="16">
        <f t="shared" si="59"/>
        <v>0</v>
      </c>
      <c r="W422" s="16">
        <f t="shared" si="59"/>
        <v>1</v>
      </c>
      <c r="X422" s="16" t="str">
        <f t="shared" si="54"/>
        <v>null</v>
      </c>
    </row>
    <row r="423" spans="1:24" x14ac:dyDescent="0.15">
      <c r="A423" s="20" t="str">
        <f t="shared" si="56"/>
        <v>24_4-4/47&lt;lv50&gt;s1</v>
      </c>
      <c r="B423" s="16">
        <f t="shared" si="60"/>
        <v>24</v>
      </c>
      <c r="C423" s="16">
        <f t="shared" si="60"/>
        <v>4</v>
      </c>
      <c r="D423" s="16">
        <f t="shared" si="60"/>
        <v>4</v>
      </c>
      <c r="E423" s="16">
        <f t="shared" si="60"/>
        <v>47</v>
      </c>
      <c r="F423" s="16">
        <f t="shared" si="60"/>
        <v>50</v>
      </c>
      <c r="G423" s="16">
        <f t="shared" si="60"/>
        <v>1.1000000000000001</v>
      </c>
      <c r="H423" s="16">
        <f t="shared" si="60"/>
        <v>1</v>
      </c>
      <c r="I423" s="16">
        <f t="shared" si="60"/>
        <v>0</v>
      </c>
      <c r="J423" s="16">
        <f t="shared" si="60"/>
        <v>0</v>
      </c>
      <c r="K423" s="16">
        <f t="shared" si="60"/>
        <v>0</v>
      </c>
      <c r="L423" s="16">
        <f t="shared" si="60"/>
        <v>100</v>
      </c>
      <c r="M423" s="16">
        <f t="shared" si="60"/>
        <v>0</v>
      </c>
      <c r="N423" s="16">
        <f t="shared" si="60"/>
        <v>1</v>
      </c>
      <c r="O423" s="16">
        <f t="shared" si="60"/>
        <v>47</v>
      </c>
      <c r="P423" s="16">
        <f t="shared" si="60"/>
        <v>7</v>
      </c>
      <c r="Q423" s="16">
        <f t="shared" si="60"/>
        <v>2</v>
      </c>
      <c r="R423" s="16">
        <f t="shared" si="59"/>
        <v>20</v>
      </c>
      <c r="S423" s="16">
        <f t="shared" si="59"/>
        <v>0</v>
      </c>
      <c r="T423" s="16">
        <f t="shared" si="59"/>
        <v>0</v>
      </c>
      <c r="U423" s="16">
        <f t="shared" si="59"/>
        <v>0</v>
      </c>
      <c r="V423" s="16">
        <f t="shared" si="59"/>
        <v>0</v>
      </c>
      <c r="W423" s="16">
        <f t="shared" si="59"/>
        <v>1</v>
      </c>
      <c r="X423" s="16" t="str">
        <f t="shared" si="54"/>
        <v>null</v>
      </c>
    </row>
    <row r="424" spans="1:24" x14ac:dyDescent="0.15">
      <c r="A424" s="20" t="str">
        <f t="shared" si="56"/>
        <v>24_4-4/59&lt;lv52&gt;s2</v>
      </c>
      <c r="B424" s="16">
        <f t="shared" si="60"/>
        <v>24</v>
      </c>
      <c r="C424" s="16">
        <f t="shared" si="60"/>
        <v>4</v>
      </c>
      <c r="D424" s="16">
        <f t="shared" si="60"/>
        <v>4</v>
      </c>
      <c r="E424" s="16">
        <f t="shared" si="60"/>
        <v>59</v>
      </c>
      <c r="F424" s="16">
        <f t="shared" si="60"/>
        <v>52</v>
      </c>
      <c r="G424" s="16">
        <f t="shared" si="60"/>
        <v>1</v>
      </c>
      <c r="H424" s="16">
        <f t="shared" si="60"/>
        <v>1</v>
      </c>
      <c r="I424" s="16">
        <f t="shared" si="60"/>
        <v>0</v>
      </c>
      <c r="J424" s="16">
        <f t="shared" si="60"/>
        <v>59</v>
      </c>
      <c r="K424" s="16">
        <f t="shared" si="60"/>
        <v>0</v>
      </c>
      <c r="L424" s="16">
        <f t="shared" si="60"/>
        <v>100</v>
      </c>
      <c r="M424" s="16">
        <f t="shared" si="60"/>
        <v>0</v>
      </c>
      <c r="N424" s="16">
        <f t="shared" si="60"/>
        <v>2</v>
      </c>
      <c r="O424" s="16">
        <f t="shared" si="60"/>
        <v>59</v>
      </c>
      <c r="P424" s="16">
        <f t="shared" si="60"/>
        <v>7</v>
      </c>
      <c r="Q424" s="16">
        <f t="shared" si="60"/>
        <v>2</v>
      </c>
      <c r="R424" s="16">
        <f t="shared" si="59"/>
        <v>20</v>
      </c>
      <c r="S424" s="16">
        <f t="shared" si="59"/>
        <v>0</v>
      </c>
      <c r="T424" s="16">
        <f t="shared" si="59"/>
        <v>0</v>
      </c>
      <c r="U424" s="16">
        <f t="shared" si="59"/>
        <v>0</v>
      </c>
      <c r="V424" s="16">
        <f t="shared" si="59"/>
        <v>0</v>
      </c>
      <c r="W424" s="16">
        <f t="shared" si="59"/>
        <v>1</v>
      </c>
      <c r="X424" s="16" t="str">
        <f t="shared" si="54"/>
        <v>null</v>
      </c>
    </row>
    <row r="425" spans="1:24" x14ac:dyDescent="0.15">
      <c r="A425" s="20" t="str">
        <f t="shared" si="56"/>
        <v>24_4-4/63&lt;lv50&gt;s2</v>
      </c>
      <c r="B425" s="16">
        <f t="shared" si="60"/>
        <v>24</v>
      </c>
      <c r="C425" s="16">
        <f t="shared" si="60"/>
        <v>4</v>
      </c>
      <c r="D425" s="16">
        <f t="shared" si="60"/>
        <v>4</v>
      </c>
      <c r="E425" s="16">
        <f t="shared" si="60"/>
        <v>63</v>
      </c>
      <c r="F425" s="16">
        <f t="shared" si="60"/>
        <v>50</v>
      </c>
      <c r="G425" s="16">
        <f t="shared" si="60"/>
        <v>1.1000000000000001</v>
      </c>
      <c r="H425" s="16">
        <f t="shared" si="60"/>
        <v>1</v>
      </c>
      <c r="I425" s="16">
        <f t="shared" si="60"/>
        <v>0</v>
      </c>
      <c r="J425" s="16">
        <f t="shared" si="60"/>
        <v>63</v>
      </c>
      <c r="K425" s="16">
        <f t="shared" si="60"/>
        <v>0</v>
      </c>
      <c r="L425" s="16">
        <f t="shared" si="60"/>
        <v>100</v>
      </c>
      <c r="M425" s="16">
        <f t="shared" si="60"/>
        <v>0</v>
      </c>
      <c r="N425" s="16">
        <f t="shared" si="60"/>
        <v>2</v>
      </c>
      <c r="O425" s="16">
        <f t="shared" si="60"/>
        <v>63</v>
      </c>
      <c r="P425" s="16">
        <f t="shared" si="60"/>
        <v>7</v>
      </c>
      <c r="Q425" s="16">
        <f t="shared" si="60"/>
        <v>2</v>
      </c>
      <c r="R425" s="16">
        <f t="shared" si="59"/>
        <v>20</v>
      </c>
      <c r="S425" s="16">
        <f t="shared" si="59"/>
        <v>0</v>
      </c>
      <c r="T425" s="16">
        <f t="shared" si="59"/>
        <v>0</v>
      </c>
      <c r="U425" s="16">
        <f t="shared" si="59"/>
        <v>0</v>
      </c>
      <c r="V425" s="16">
        <f t="shared" si="59"/>
        <v>0</v>
      </c>
      <c r="W425" s="16">
        <f t="shared" si="59"/>
        <v>1</v>
      </c>
      <c r="X425" s="16" t="str">
        <f t="shared" si="54"/>
        <v>null</v>
      </c>
    </row>
    <row r="426" spans="1:24" x14ac:dyDescent="0.15">
      <c r="A426" s="20" t="str">
        <f t="shared" si="56"/>
        <v>24_4-4/35&lt;lv52&gt;s4</v>
      </c>
      <c r="B426" s="16">
        <f t="shared" si="60"/>
        <v>24</v>
      </c>
      <c r="C426" s="16">
        <f t="shared" si="60"/>
        <v>4</v>
      </c>
      <c r="D426" s="16">
        <f t="shared" si="60"/>
        <v>4</v>
      </c>
      <c r="E426" s="16">
        <f t="shared" si="60"/>
        <v>35</v>
      </c>
      <c r="F426" s="16">
        <f t="shared" si="60"/>
        <v>52</v>
      </c>
      <c r="G426" s="16">
        <f t="shared" si="60"/>
        <v>1</v>
      </c>
      <c r="H426" s="16">
        <f t="shared" si="60"/>
        <v>1</v>
      </c>
      <c r="I426" s="16">
        <f t="shared" si="60"/>
        <v>0</v>
      </c>
      <c r="J426" s="16">
        <f t="shared" si="60"/>
        <v>35</v>
      </c>
      <c r="K426" s="16">
        <f t="shared" si="60"/>
        <v>0</v>
      </c>
      <c r="L426" s="16">
        <f t="shared" si="60"/>
        <v>100</v>
      </c>
      <c r="M426" s="16">
        <f t="shared" si="60"/>
        <v>0</v>
      </c>
      <c r="N426" s="16">
        <f t="shared" si="60"/>
        <v>4</v>
      </c>
      <c r="O426" s="16">
        <f t="shared" si="60"/>
        <v>35</v>
      </c>
      <c r="P426" s="16">
        <f t="shared" si="60"/>
        <v>5</v>
      </c>
      <c r="Q426" s="16">
        <f t="shared" si="60"/>
        <v>2</v>
      </c>
      <c r="R426" s="16">
        <f t="shared" si="59"/>
        <v>20</v>
      </c>
      <c r="S426" s="16">
        <f t="shared" si="59"/>
        <v>0</v>
      </c>
      <c r="T426" s="16">
        <f t="shared" si="59"/>
        <v>0</v>
      </c>
      <c r="U426" s="16">
        <f t="shared" si="59"/>
        <v>0</v>
      </c>
      <c r="V426" s="16">
        <f t="shared" si="59"/>
        <v>0</v>
      </c>
      <c r="W426" s="16">
        <f t="shared" si="59"/>
        <v>1</v>
      </c>
      <c r="X426" s="16" t="str">
        <f t="shared" si="54"/>
        <v>null</v>
      </c>
    </row>
    <row r="427" spans="1:24" x14ac:dyDescent="0.15">
      <c r="A427" s="20" t="str">
        <f t="shared" si="56"/>
        <v>24_4-4/362&lt;lv52&gt;s3</v>
      </c>
      <c r="B427" s="16">
        <f t="shared" si="60"/>
        <v>24</v>
      </c>
      <c r="C427" s="16">
        <f t="shared" si="60"/>
        <v>4</v>
      </c>
      <c r="D427" s="16">
        <f t="shared" si="60"/>
        <v>4</v>
      </c>
      <c r="E427" s="16">
        <f t="shared" si="60"/>
        <v>362</v>
      </c>
      <c r="F427" s="16">
        <f t="shared" si="60"/>
        <v>52</v>
      </c>
      <c r="G427" s="16">
        <f t="shared" si="60"/>
        <v>1</v>
      </c>
      <c r="H427" s="16">
        <f t="shared" si="60"/>
        <v>1</v>
      </c>
      <c r="I427" s="16">
        <f t="shared" si="60"/>
        <v>0</v>
      </c>
      <c r="J427" s="16">
        <f t="shared" si="60"/>
        <v>362</v>
      </c>
      <c r="K427" s="16">
        <f t="shared" si="60"/>
        <v>0</v>
      </c>
      <c r="L427" s="16">
        <f t="shared" si="60"/>
        <v>100</v>
      </c>
      <c r="M427" s="16">
        <f t="shared" si="60"/>
        <v>0</v>
      </c>
      <c r="N427" s="16">
        <f t="shared" si="60"/>
        <v>3</v>
      </c>
      <c r="O427" s="16">
        <f t="shared" si="60"/>
        <v>362</v>
      </c>
      <c r="P427" s="16">
        <f t="shared" si="60"/>
        <v>7</v>
      </c>
      <c r="Q427" s="16">
        <f t="shared" si="60"/>
        <v>2</v>
      </c>
      <c r="R427" s="16">
        <f t="shared" si="59"/>
        <v>20</v>
      </c>
      <c r="S427" s="16">
        <f t="shared" si="59"/>
        <v>0</v>
      </c>
      <c r="T427" s="16">
        <f t="shared" si="59"/>
        <v>0</v>
      </c>
      <c r="U427" s="16">
        <f t="shared" si="59"/>
        <v>0</v>
      </c>
      <c r="V427" s="16">
        <f t="shared" si="59"/>
        <v>0</v>
      </c>
      <c r="W427" s="16">
        <f t="shared" si="59"/>
        <v>1</v>
      </c>
      <c r="X427" s="16" t="str">
        <f t="shared" si="54"/>
        <v>null</v>
      </c>
    </row>
    <row r="428" spans="1:24" x14ac:dyDescent="0.15">
      <c r="A428" s="20" t="str">
        <f t="shared" si="56"/>
        <v>24_4-4/366&lt;lv50&gt;s3</v>
      </c>
      <c r="B428" s="16">
        <f t="shared" si="60"/>
        <v>24</v>
      </c>
      <c r="C428" s="16">
        <f t="shared" si="60"/>
        <v>4</v>
      </c>
      <c r="D428" s="16">
        <f t="shared" si="60"/>
        <v>4</v>
      </c>
      <c r="E428" s="16">
        <f t="shared" si="60"/>
        <v>366</v>
      </c>
      <c r="F428" s="16">
        <f t="shared" si="60"/>
        <v>50</v>
      </c>
      <c r="G428" s="16">
        <f t="shared" si="60"/>
        <v>1.1000000000000001</v>
      </c>
      <c r="H428" s="16">
        <f t="shared" si="60"/>
        <v>1</v>
      </c>
      <c r="I428" s="16">
        <f t="shared" si="60"/>
        <v>0</v>
      </c>
      <c r="J428" s="16">
        <f t="shared" si="60"/>
        <v>366</v>
      </c>
      <c r="K428" s="16">
        <f t="shared" si="60"/>
        <v>0</v>
      </c>
      <c r="L428" s="16">
        <f t="shared" si="60"/>
        <v>100</v>
      </c>
      <c r="M428" s="16">
        <f t="shared" si="60"/>
        <v>0</v>
      </c>
      <c r="N428" s="16">
        <f t="shared" si="60"/>
        <v>3</v>
      </c>
      <c r="O428" s="16">
        <f t="shared" si="60"/>
        <v>366</v>
      </c>
      <c r="P428" s="16">
        <f t="shared" si="60"/>
        <v>5</v>
      </c>
      <c r="Q428" s="16">
        <f t="shared" si="60"/>
        <v>2</v>
      </c>
      <c r="R428" s="16">
        <f t="shared" si="59"/>
        <v>20</v>
      </c>
      <c r="S428" s="16">
        <f t="shared" si="59"/>
        <v>0</v>
      </c>
      <c r="T428" s="16">
        <f t="shared" si="59"/>
        <v>0</v>
      </c>
      <c r="U428" s="16">
        <f t="shared" si="59"/>
        <v>0</v>
      </c>
      <c r="V428" s="16">
        <f t="shared" si="59"/>
        <v>0</v>
      </c>
      <c r="W428" s="16">
        <f t="shared" si="59"/>
        <v>1</v>
      </c>
      <c r="X428" s="16" t="str">
        <f t="shared" si="54"/>
        <v>null</v>
      </c>
    </row>
    <row r="429" spans="1:24" x14ac:dyDescent="0.15">
      <c r="A429" s="20" t="str">
        <f t="shared" si="56"/>
        <v>24_4-4/350&lt;lv52&gt;s3</v>
      </c>
      <c r="B429" s="16">
        <f t="shared" si="60"/>
        <v>24</v>
      </c>
      <c r="C429" s="16">
        <f t="shared" si="60"/>
        <v>4</v>
      </c>
      <c r="D429" s="16">
        <f t="shared" si="60"/>
        <v>4</v>
      </c>
      <c r="E429" s="16">
        <f t="shared" si="60"/>
        <v>350</v>
      </c>
      <c r="F429" s="16">
        <f t="shared" si="60"/>
        <v>52</v>
      </c>
      <c r="G429" s="16">
        <f t="shared" si="60"/>
        <v>1</v>
      </c>
      <c r="H429" s="16">
        <f t="shared" si="60"/>
        <v>1</v>
      </c>
      <c r="I429" s="16">
        <f t="shared" si="60"/>
        <v>0</v>
      </c>
      <c r="J429" s="16">
        <f t="shared" si="60"/>
        <v>350</v>
      </c>
      <c r="K429" s="16">
        <f t="shared" si="60"/>
        <v>0</v>
      </c>
      <c r="L429" s="16">
        <f t="shared" si="60"/>
        <v>100</v>
      </c>
      <c r="M429" s="16">
        <f t="shared" si="60"/>
        <v>0</v>
      </c>
      <c r="N429" s="16">
        <f t="shared" si="60"/>
        <v>3</v>
      </c>
      <c r="O429" s="16">
        <f t="shared" si="60"/>
        <v>350</v>
      </c>
      <c r="P429" s="16">
        <f t="shared" si="60"/>
        <v>1</v>
      </c>
      <c r="Q429" s="16">
        <f t="shared" si="60"/>
        <v>2</v>
      </c>
      <c r="R429" s="16">
        <f t="shared" si="59"/>
        <v>30</v>
      </c>
      <c r="S429" s="16">
        <f t="shared" si="59"/>
        <v>0</v>
      </c>
      <c r="T429" s="16">
        <f t="shared" si="59"/>
        <v>0</v>
      </c>
      <c r="U429" s="16">
        <f t="shared" si="59"/>
        <v>0</v>
      </c>
      <c r="V429" s="16">
        <f t="shared" si="59"/>
        <v>0</v>
      </c>
      <c r="W429" s="16">
        <f t="shared" si="59"/>
        <v>1</v>
      </c>
      <c r="X429" s="16" t="str">
        <f t="shared" si="54"/>
        <v>null</v>
      </c>
    </row>
    <row r="430" spans="1:24" x14ac:dyDescent="0.15">
      <c r="A430" s="20" t="str">
        <f t="shared" si="56"/>
        <v>24_4-5/95&lt;lv55&gt;s3</v>
      </c>
      <c r="B430" s="16">
        <f t="shared" si="60"/>
        <v>24</v>
      </c>
      <c r="C430" s="16">
        <f t="shared" si="60"/>
        <v>4</v>
      </c>
      <c r="D430" s="16">
        <f t="shared" si="60"/>
        <v>5</v>
      </c>
      <c r="E430" s="16">
        <f t="shared" si="60"/>
        <v>95</v>
      </c>
      <c r="F430" s="16">
        <f t="shared" si="60"/>
        <v>55</v>
      </c>
      <c r="G430" s="16">
        <f t="shared" si="60"/>
        <v>1.5</v>
      </c>
      <c r="H430" s="16">
        <f t="shared" si="60"/>
        <v>0.4</v>
      </c>
      <c r="I430" s="16">
        <f t="shared" si="60"/>
        <v>0</v>
      </c>
      <c r="J430" s="16">
        <f t="shared" si="60"/>
        <v>9501</v>
      </c>
      <c r="K430" s="16">
        <f t="shared" si="60"/>
        <v>1</v>
      </c>
      <c r="L430" s="16">
        <f t="shared" si="60"/>
        <v>100</v>
      </c>
      <c r="M430" s="16">
        <f t="shared" si="60"/>
        <v>1</v>
      </c>
      <c r="N430" s="16">
        <f t="shared" si="60"/>
        <v>3</v>
      </c>
      <c r="O430" s="16">
        <f t="shared" si="60"/>
        <v>94</v>
      </c>
      <c r="P430" s="16">
        <f t="shared" si="60"/>
        <v>1</v>
      </c>
      <c r="Q430" s="16">
        <f t="shared" ref="Q430:W445" si="61">VLOOKUP($A430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430" s="16">
        <f t="shared" si="61"/>
        <v>0</v>
      </c>
      <c r="S430" s="16">
        <f t="shared" si="61"/>
        <v>0</v>
      </c>
      <c r="T430" s="16">
        <f t="shared" si="61"/>
        <v>0</v>
      </c>
      <c r="U430" s="16">
        <f t="shared" si="61"/>
        <v>0</v>
      </c>
      <c r="V430" s="16">
        <f t="shared" si="61"/>
        <v>0</v>
      </c>
      <c r="W430" s="16">
        <f t="shared" si="61"/>
        <v>1</v>
      </c>
      <c r="X430" s="16" t="str">
        <f t="shared" si="54"/>
        <v>null</v>
      </c>
    </row>
    <row r="431" spans="1:24" x14ac:dyDescent="0.15">
      <c r="A431" s="20" t="str">
        <f t="shared" si="56"/>
        <v>24_4-5/28&lt;lv55&gt;s1</v>
      </c>
      <c r="B431" s="16">
        <f t="shared" ref="B431:Q446" si="62">VLOOKUP($A431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431" s="16">
        <f t="shared" si="62"/>
        <v>4</v>
      </c>
      <c r="D431" s="16">
        <f t="shared" si="62"/>
        <v>5</v>
      </c>
      <c r="E431" s="16">
        <f t="shared" si="62"/>
        <v>28</v>
      </c>
      <c r="F431" s="16">
        <f t="shared" si="62"/>
        <v>55</v>
      </c>
      <c r="G431" s="16">
        <f t="shared" si="62"/>
        <v>1.3</v>
      </c>
      <c r="H431" s="16">
        <f t="shared" si="62"/>
        <v>1</v>
      </c>
      <c r="I431" s="16">
        <f t="shared" si="62"/>
        <v>0</v>
      </c>
      <c r="J431" s="16">
        <f t="shared" si="62"/>
        <v>28</v>
      </c>
      <c r="K431" s="16">
        <f t="shared" si="62"/>
        <v>2</v>
      </c>
      <c r="L431" s="16">
        <f t="shared" si="62"/>
        <v>100</v>
      </c>
      <c r="M431" s="16">
        <f t="shared" si="62"/>
        <v>0</v>
      </c>
      <c r="N431" s="16">
        <f t="shared" si="62"/>
        <v>1</v>
      </c>
      <c r="O431" s="16">
        <f t="shared" si="62"/>
        <v>27</v>
      </c>
      <c r="P431" s="16">
        <f t="shared" si="62"/>
        <v>7</v>
      </c>
      <c r="Q431" s="16">
        <f t="shared" si="62"/>
        <v>1</v>
      </c>
      <c r="R431" s="16">
        <f t="shared" si="61"/>
        <v>0</v>
      </c>
      <c r="S431" s="16">
        <f t="shared" si="61"/>
        <v>0</v>
      </c>
      <c r="T431" s="16">
        <f t="shared" si="61"/>
        <v>0</v>
      </c>
      <c r="U431" s="16">
        <f t="shared" si="61"/>
        <v>0</v>
      </c>
      <c r="V431" s="16">
        <f t="shared" si="61"/>
        <v>0</v>
      </c>
      <c r="W431" s="16">
        <f t="shared" si="61"/>
        <v>1</v>
      </c>
      <c r="X431" s="16">
        <f t="shared" si="54"/>
        <v>28</v>
      </c>
    </row>
    <row r="432" spans="1:24" x14ac:dyDescent="0.15">
      <c r="A432" s="20" t="str">
        <f t="shared" si="56"/>
        <v>24_5-1/13&lt;lv52&gt;s2</v>
      </c>
      <c r="B432" s="16">
        <f t="shared" si="62"/>
        <v>24</v>
      </c>
      <c r="C432" s="16">
        <f t="shared" si="62"/>
        <v>5</v>
      </c>
      <c r="D432" s="16">
        <f t="shared" si="62"/>
        <v>1</v>
      </c>
      <c r="E432" s="16">
        <f t="shared" si="62"/>
        <v>13</v>
      </c>
      <c r="F432" s="16">
        <f t="shared" si="62"/>
        <v>52</v>
      </c>
      <c r="G432" s="16">
        <f t="shared" si="62"/>
        <v>1</v>
      </c>
      <c r="H432" s="16">
        <f t="shared" si="62"/>
        <v>1</v>
      </c>
      <c r="I432" s="16">
        <f t="shared" si="62"/>
        <v>0</v>
      </c>
      <c r="J432" s="16">
        <f t="shared" si="62"/>
        <v>0</v>
      </c>
      <c r="K432" s="16">
        <f t="shared" si="62"/>
        <v>0</v>
      </c>
      <c r="L432" s="16">
        <f t="shared" si="62"/>
        <v>100</v>
      </c>
      <c r="M432" s="16">
        <f t="shared" si="62"/>
        <v>0</v>
      </c>
      <c r="N432" s="16">
        <f t="shared" si="62"/>
        <v>2</v>
      </c>
      <c r="O432" s="16">
        <f t="shared" si="62"/>
        <v>13</v>
      </c>
      <c r="P432" s="16">
        <f t="shared" si="62"/>
        <v>9</v>
      </c>
      <c r="Q432" s="16">
        <f t="shared" si="62"/>
        <v>1</v>
      </c>
      <c r="R432" s="16">
        <f t="shared" si="61"/>
        <v>15</v>
      </c>
      <c r="S432" s="16">
        <f t="shared" si="61"/>
        <v>0</v>
      </c>
      <c r="T432" s="16">
        <f t="shared" si="61"/>
        <v>0</v>
      </c>
      <c r="U432" s="16">
        <f t="shared" si="61"/>
        <v>0</v>
      </c>
      <c r="V432" s="16">
        <f t="shared" si="61"/>
        <v>0</v>
      </c>
      <c r="W432" s="16">
        <f t="shared" si="61"/>
        <v>1</v>
      </c>
      <c r="X432" s="16" t="str">
        <f t="shared" si="54"/>
        <v>null</v>
      </c>
    </row>
    <row r="433" spans="1:24" x14ac:dyDescent="0.15">
      <c r="A433" s="20" t="str">
        <f t="shared" si="56"/>
        <v>24_5-1/47&lt;lv52&gt;s1</v>
      </c>
      <c r="B433" s="16">
        <f t="shared" si="62"/>
        <v>24</v>
      </c>
      <c r="C433" s="16">
        <f t="shared" si="62"/>
        <v>5</v>
      </c>
      <c r="D433" s="16">
        <f t="shared" si="62"/>
        <v>1</v>
      </c>
      <c r="E433" s="16">
        <f t="shared" si="62"/>
        <v>47</v>
      </c>
      <c r="F433" s="16">
        <f t="shared" si="62"/>
        <v>52</v>
      </c>
      <c r="G433" s="16">
        <f t="shared" si="62"/>
        <v>1</v>
      </c>
      <c r="H433" s="16">
        <f t="shared" si="62"/>
        <v>1</v>
      </c>
      <c r="I433" s="16">
        <f t="shared" si="62"/>
        <v>0</v>
      </c>
      <c r="J433" s="16">
        <f t="shared" si="62"/>
        <v>0</v>
      </c>
      <c r="K433" s="16">
        <f t="shared" si="62"/>
        <v>0</v>
      </c>
      <c r="L433" s="16">
        <f t="shared" si="62"/>
        <v>100</v>
      </c>
      <c r="M433" s="16">
        <f t="shared" si="62"/>
        <v>0</v>
      </c>
      <c r="N433" s="16">
        <f t="shared" si="62"/>
        <v>1</v>
      </c>
      <c r="O433" s="16">
        <f t="shared" si="62"/>
        <v>47</v>
      </c>
      <c r="P433" s="16">
        <f t="shared" si="62"/>
        <v>7</v>
      </c>
      <c r="Q433" s="16">
        <f t="shared" si="62"/>
        <v>2</v>
      </c>
      <c r="R433" s="16">
        <f t="shared" si="61"/>
        <v>20</v>
      </c>
      <c r="S433" s="16">
        <f t="shared" si="61"/>
        <v>0</v>
      </c>
      <c r="T433" s="16">
        <f t="shared" si="61"/>
        <v>0</v>
      </c>
      <c r="U433" s="16">
        <f t="shared" si="61"/>
        <v>0</v>
      </c>
      <c r="V433" s="16">
        <f t="shared" si="61"/>
        <v>0</v>
      </c>
      <c r="W433" s="16">
        <f t="shared" si="61"/>
        <v>1</v>
      </c>
      <c r="X433" s="16" t="str">
        <f t="shared" si="54"/>
        <v>null</v>
      </c>
    </row>
    <row r="434" spans="1:24" x14ac:dyDescent="0.15">
      <c r="A434" s="20" t="str">
        <f t="shared" si="56"/>
        <v>24_5-1/63&lt;lv52&gt;s2</v>
      </c>
      <c r="B434" s="16">
        <f t="shared" si="62"/>
        <v>24</v>
      </c>
      <c r="C434" s="16">
        <f t="shared" si="62"/>
        <v>5</v>
      </c>
      <c r="D434" s="16">
        <f t="shared" si="62"/>
        <v>1</v>
      </c>
      <c r="E434" s="16">
        <f t="shared" si="62"/>
        <v>63</v>
      </c>
      <c r="F434" s="16">
        <f t="shared" si="62"/>
        <v>52</v>
      </c>
      <c r="G434" s="16">
        <f t="shared" si="62"/>
        <v>1</v>
      </c>
      <c r="H434" s="16">
        <f t="shared" si="62"/>
        <v>1</v>
      </c>
      <c r="I434" s="16">
        <f t="shared" si="62"/>
        <v>0</v>
      </c>
      <c r="J434" s="16">
        <f t="shared" si="62"/>
        <v>63</v>
      </c>
      <c r="K434" s="16">
        <f t="shared" si="62"/>
        <v>0</v>
      </c>
      <c r="L434" s="16">
        <f t="shared" si="62"/>
        <v>100</v>
      </c>
      <c r="M434" s="16">
        <f t="shared" si="62"/>
        <v>0</v>
      </c>
      <c r="N434" s="16">
        <f t="shared" si="62"/>
        <v>2</v>
      </c>
      <c r="O434" s="16">
        <f t="shared" si="62"/>
        <v>63</v>
      </c>
      <c r="P434" s="16">
        <f t="shared" si="62"/>
        <v>7</v>
      </c>
      <c r="Q434" s="16">
        <f t="shared" si="62"/>
        <v>2</v>
      </c>
      <c r="R434" s="16">
        <f t="shared" si="61"/>
        <v>20</v>
      </c>
      <c r="S434" s="16">
        <f t="shared" si="61"/>
        <v>0</v>
      </c>
      <c r="T434" s="16">
        <f t="shared" si="61"/>
        <v>0</v>
      </c>
      <c r="U434" s="16">
        <f t="shared" si="61"/>
        <v>0</v>
      </c>
      <c r="V434" s="16">
        <f t="shared" si="61"/>
        <v>0</v>
      </c>
      <c r="W434" s="16">
        <f t="shared" si="61"/>
        <v>1</v>
      </c>
      <c r="X434" s="16" t="str">
        <f t="shared" si="54"/>
        <v>null</v>
      </c>
    </row>
    <row r="435" spans="1:24" x14ac:dyDescent="0.15">
      <c r="A435" s="20" t="str">
        <f t="shared" si="56"/>
        <v>24_5-1/366&lt;lv52&gt;s3</v>
      </c>
      <c r="B435" s="16">
        <f t="shared" si="62"/>
        <v>24</v>
      </c>
      <c r="C435" s="16">
        <f t="shared" si="62"/>
        <v>5</v>
      </c>
      <c r="D435" s="16">
        <f t="shared" si="62"/>
        <v>1</v>
      </c>
      <c r="E435" s="16">
        <f t="shared" si="62"/>
        <v>366</v>
      </c>
      <c r="F435" s="16">
        <f t="shared" si="62"/>
        <v>52</v>
      </c>
      <c r="G435" s="16">
        <f t="shared" si="62"/>
        <v>1</v>
      </c>
      <c r="H435" s="16">
        <f t="shared" si="62"/>
        <v>1</v>
      </c>
      <c r="I435" s="16">
        <f t="shared" si="62"/>
        <v>0</v>
      </c>
      <c r="J435" s="16">
        <f t="shared" si="62"/>
        <v>366</v>
      </c>
      <c r="K435" s="16">
        <f t="shared" si="62"/>
        <v>0</v>
      </c>
      <c r="L435" s="16">
        <f t="shared" si="62"/>
        <v>100</v>
      </c>
      <c r="M435" s="16">
        <f t="shared" si="62"/>
        <v>0</v>
      </c>
      <c r="N435" s="16">
        <f t="shared" si="62"/>
        <v>3</v>
      </c>
      <c r="O435" s="16">
        <f t="shared" si="62"/>
        <v>366</v>
      </c>
      <c r="P435" s="16">
        <f t="shared" si="62"/>
        <v>7</v>
      </c>
      <c r="Q435" s="16">
        <f t="shared" si="62"/>
        <v>2</v>
      </c>
      <c r="R435" s="16">
        <f t="shared" si="61"/>
        <v>20</v>
      </c>
      <c r="S435" s="16">
        <f t="shared" si="61"/>
        <v>0</v>
      </c>
      <c r="T435" s="16">
        <f t="shared" si="61"/>
        <v>0</v>
      </c>
      <c r="U435" s="16">
        <f t="shared" si="61"/>
        <v>0</v>
      </c>
      <c r="V435" s="16">
        <f t="shared" si="61"/>
        <v>0</v>
      </c>
      <c r="W435" s="16">
        <f t="shared" si="61"/>
        <v>1</v>
      </c>
      <c r="X435" s="16" t="str">
        <f t="shared" si="54"/>
        <v>null</v>
      </c>
    </row>
    <row r="436" spans="1:24" x14ac:dyDescent="0.15">
      <c r="A436" s="20" t="str">
        <f t="shared" si="56"/>
        <v>24_5-1/354&lt;lv52&gt;s3</v>
      </c>
      <c r="B436" s="16">
        <f t="shared" si="62"/>
        <v>24</v>
      </c>
      <c r="C436" s="16">
        <f t="shared" si="62"/>
        <v>5</v>
      </c>
      <c r="D436" s="16">
        <f t="shared" si="62"/>
        <v>1</v>
      </c>
      <c r="E436" s="16">
        <f t="shared" si="62"/>
        <v>354</v>
      </c>
      <c r="F436" s="16">
        <f t="shared" si="62"/>
        <v>52</v>
      </c>
      <c r="G436" s="16">
        <f t="shared" si="62"/>
        <v>1</v>
      </c>
      <c r="H436" s="16">
        <f t="shared" si="62"/>
        <v>1</v>
      </c>
      <c r="I436" s="16">
        <f t="shared" si="62"/>
        <v>0</v>
      </c>
      <c r="J436" s="16">
        <f t="shared" si="62"/>
        <v>354</v>
      </c>
      <c r="K436" s="16">
        <f t="shared" si="62"/>
        <v>0</v>
      </c>
      <c r="L436" s="16">
        <f t="shared" si="62"/>
        <v>100</v>
      </c>
      <c r="M436" s="16">
        <f t="shared" si="62"/>
        <v>0</v>
      </c>
      <c r="N436" s="16">
        <f t="shared" si="62"/>
        <v>3</v>
      </c>
      <c r="O436" s="16">
        <f t="shared" si="62"/>
        <v>354</v>
      </c>
      <c r="P436" s="16">
        <f t="shared" si="62"/>
        <v>1</v>
      </c>
      <c r="Q436" s="16">
        <f t="shared" si="62"/>
        <v>2</v>
      </c>
      <c r="R436" s="16">
        <f t="shared" si="61"/>
        <v>40</v>
      </c>
      <c r="S436" s="16">
        <f t="shared" si="61"/>
        <v>0</v>
      </c>
      <c r="T436" s="16">
        <f t="shared" si="61"/>
        <v>0</v>
      </c>
      <c r="U436" s="16">
        <f t="shared" si="61"/>
        <v>0</v>
      </c>
      <c r="V436" s="16">
        <f t="shared" si="61"/>
        <v>0</v>
      </c>
      <c r="W436" s="16">
        <f t="shared" si="61"/>
        <v>1</v>
      </c>
      <c r="X436" s="16" t="str">
        <f t="shared" si="54"/>
        <v>null</v>
      </c>
    </row>
    <row r="437" spans="1:24" x14ac:dyDescent="0.15">
      <c r="A437" s="20" t="str">
        <f t="shared" si="56"/>
        <v>24_5-2/11&lt;lv54&gt;s3</v>
      </c>
      <c r="B437" s="16">
        <f t="shared" si="62"/>
        <v>24</v>
      </c>
      <c r="C437" s="16">
        <f t="shared" si="62"/>
        <v>5</v>
      </c>
      <c r="D437" s="16">
        <f t="shared" si="62"/>
        <v>2</v>
      </c>
      <c r="E437" s="16">
        <f t="shared" si="62"/>
        <v>11</v>
      </c>
      <c r="F437" s="16">
        <f t="shared" si="62"/>
        <v>54</v>
      </c>
      <c r="G437" s="16">
        <f t="shared" si="62"/>
        <v>1</v>
      </c>
      <c r="H437" s="16">
        <f t="shared" si="62"/>
        <v>1</v>
      </c>
      <c r="I437" s="16">
        <f t="shared" si="62"/>
        <v>0</v>
      </c>
      <c r="J437" s="16">
        <f t="shared" si="62"/>
        <v>0</v>
      </c>
      <c r="K437" s="16">
        <f t="shared" si="62"/>
        <v>0</v>
      </c>
      <c r="L437" s="16">
        <f t="shared" si="62"/>
        <v>100</v>
      </c>
      <c r="M437" s="16">
        <f t="shared" si="62"/>
        <v>0</v>
      </c>
      <c r="N437" s="16">
        <f t="shared" si="62"/>
        <v>3</v>
      </c>
      <c r="O437" s="16">
        <f t="shared" si="62"/>
        <v>11</v>
      </c>
      <c r="P437" s="16">
        <f t="shared" si="62"/>
        <v>9</v>
      </c>
      <c r="Q437" s="16">
        <f t="shared" si="62"/>
        <v>1</v>
      </c>
      <c r="R437" s="16">
        <f t="shared" si="61"/>
        <v>15</v>
      </c>
      <c r="S437" s="16">
        <f t="shared" si="61"/>
        <v>0</v>
      </c>
      <c r="T437" s="16">
        <f t="shared" si="61"/>
        <v>0</v>
      </c>
      <c r="U437" s="16">
        <f t="shared" si="61"/>
        <v>0</v>
      </c>
      <c r="V437" s="16">
        <f t="shared" si="61"/>
        <v>0</v>
      </c>
      <c r="W437" s="16">
        <f t="shared" si="61"/>
        <v>1</v>
      </c>
      <c r="X437" s="16" t="str">
        <f t="shared" si="54"/>
        <v>null</v>
      </c>
    </row>
    <row r="438" spans="1:24" x14ac:dyDescent="0.15">
      <c r="A438" s="20" t="str">
        <f t="shared" si="56"/>
        <v>24_5-2/23&lt;lv54&gt;s4</v>
      </c>
      <c r="B438" s="16">
        <f t="shared" si="62"/>
        <v>24</v>
      </c>
      <c r="C438" s="16">
        <f t="shared" si="62"/>
        <v>5</v>
      </c>
      <c r="D438" s="16">
        <f t="shared" si="62"/>
        <v>2</v>
      </c>
      <c r="E438" s="16">
        <f t="shared" si="62"/>
        <v>23</v>
      </c>
      <c r="F438" s="16">
        <f t="shared" si="62"/>
        <v>54</v>
      </c>
      <c r="G438" s="16">
        <f t="shared" si="62"/>
        <v>1</v>
      </c>
      <c r="H438" s="16">
        <f t="shared" si="62"/>
        <v>1</v>
      </c>
      <c r="I438" s="16">
        <f t="shared" si="62"/>
        <v>0</v>
      </c>
      <c r="J438" s="16">
        <f t="shared" si="62"/>
        <v>0</v>
      </c>
      <c r="K438" s="16">
        <f t="shared" si="62"/>
        <v>0</v>
      </c>
      <c r="L438" s="16">
        <f t="shared" si="62"/>
        <v>100</v>
      </c>
      <c r="M438" s="16">
        <f t="shared" si="62"/>
        <v>0</v>
      </c>
      <c r="N438" s="16">
        <f t="shared" si="62"/>
        <v>4</v>
      </c>
      <c r="O438" s="16">
        <f t="shared" si="62"/>
        <v>23</v>
      </c>
      <c r="P438" s="16">
        <f t="shared" si="62"/>
        <v>7</v>
      </c>
      <c r="Q438" s="16">
        <f t="shared" si="62"/>
        <v>1</v>
      </c>
      <c r="R438" s="16">
        <f t="shared" si="61"/>
        <v>15</v>
      </c>
      <c r="S438" s="16">
        <f t="shared" si="61"/>
        <v>0</v>
      </c>
      <c r="T438" s="16">
        <f t="shared" si="61"/>
        <v>0</v>
      </c>
      <c r="U438" s="16">
        <f t="shared" si="61"/>
        <v>0</v>
      </c>
      <c r="V438" s="16">
        <f t="shared" si="61"/>
        <v>0</v>
      </c>
      <c r="W438" s="16">
        <f t="shared" si="61"/>
        <v>1</v>
      </c>
      <c r="X438" s="16" t="str">
        <f t="shared" si="54"/>
        <v>null</v>
      </c>
    </row>
    <row r="439" spans="1:24" x14ac:dyDescent="0.15">
      <c r="A439" s="20" t="str">
        <f t="shared" si="56"/>
        <v>24_5-2/59&lt;lv54&gt;s2</v>
      </c>
      <c r="B439" s="16">
        <f t="shared" si="62"/>
        <v>24</v>
      </c>
      <c r="C439" s="16">
        <f t="shared" si="62"/>
        <v>5</v>
      </c>
      <c r="D439" s="16">
        <f t="shared" si="62"/>
        <v>2</v>
      </c>
      <c r="E439" s="16">
        <f t="shared" si="62"/>
        <v>59</v>
      </c>
      <c r="F439" s="16">
        <f t="shared" si="62"/>
        <v>54</v>
      </c>
      <c r="G439" s="16">
        <f t="shared" si="62"/>
        <v>1</v>
      </c>
      <c r="H439" s="16">
        <f t="shared" si="62"/>
        <v>1</v>
      </c>
      <c r="I439" s="16">
        <f t="shared" si="62"/>
        <v>0</v>
      </c>
      <c r="J439" s="16">
        <f t="shared" si="62"/>
        <v>59</v>
      </c>
      <c r="K439" s="16">
        <f t="shared" si="62"/>
        <v>0</v>
      </c>
      <c r="L439" s="16">
        <f t="shared" si="62"/>
        <v>100</v>
      </c>
      <c r="M439" s="16">
        <f t="shared" si="62"/>
        <v>0</v>
      </c>
      <c r="N439" s="16">
        <f t="shared" si="62"/>
        <v>2</v>
      </c>
      <c r="O439" s="16">
        <f t="shared" si="62"/>
        <v>59</v>
      </c>
      <c r="P439" s="16">
        <f t="shared" si="62"/>
        <v>7</v>
      </c>
      <c r="Q439" s="16">
        <f t="shared" si="62"/>
        <v>2</v>
      </c>
      <c r="R439" s="16">
        <f t="shared" si="61"/>
        <v>20</v>
      </c>
      <c r="S439" s="16">
        <f t="shared" si="61"/>
        <v>0</v>
      </c>
      <c r="T439" s="16">
        <f t="shared" si="61"/>
        <v>0</v>
      </c>
      <c r="U439" s="16">
        <f t="shared" si="61"/>
        <v>0</v>
      </c>
      <c r="V439" s="16">
        <f t="shared" si="61"/>
        <v>0</v>
      </c>
      <c r="W439" s="16">
        <f t="shared" si="61"/>
        <v>1</v>
      </c>
      <c r="X439" s="16" t="str">
        <f t="shared" si="54"/>
        <v>null</v>
      </c>
    </row>
    <row r="440" spans="1:24" x14ac:dyDescent="0.15">
      <c r="A440" s="20" t="str">
        <f t="shared" si="56"/>
        <v>24_5-2/27&lt;lv54&gt;s1</v>
      </c>
      <c r="B440" s="16">
        <f t="shared" si="62"/>
        <v>24</v>
      </c>
      <c r="C440" s="16">
        <f t="shared" si="62"/>
        <v>5</v>
      </c>
      <c r="D440" s="16">
        <f t="shared" si="62"/>
        <v>2</v>
      </c>
      <c r="E440" s="16">
        <f t="shared" si="62"/>
        <v>27</v>
      </c>
      <c r="F440" s="16">
        <f t="shared" si="62"/>
        <v>54</v>
      </c>
      <c r="G440" s="16">
        <f t="shared" si="62"/>
        <v>1</v>
      </c>
      <c r="H440" s="16">
        <f t="shared" si="62"/>
        <v>1</v>
      </c>
      <c r="I440" s="16">
        <f t="shared" si="62"/>
        <v>0</v>
      </c>
      <c r="J440" s="16">
        <f t="shared" si="62"/>
        <v>0</v>
      </c>
      <c r="K440" s="16">
        <f t="shared" si="62"/>
        <v>0</v>
      </c>
      <c r="L440" s="16">
        <f t="shared" si="62"/>
        <v>100</v>
      </c>
      <c r="M440" s="16">
        <f t="shared" si="62"/>
        <v>0</v>
      </c>
      <c r="N440" s="16">
        <f t="shared" si="62"/>
        <v>1</v>
      </c>
      <c r="O440" s="16">
        <f t="shared" si="62"/>
        <v>27</v>
      </c>
      <c r="P440" s="16">
        <f t="shared" si="62"/>
        <v>7</v>
      </c>
      <c r="Q440" s="16">
        <f t="shared" si="62"/>
        <v>1</v>
      </c>
      <c r="R440" s="16">
        <f t="shared" si="61"/>
        <v>15</v>
      </c>
      <c r="S440" s="16">
        <f t="shared" si="61"/>
        <v>0</v>
      </c>
      <c r="T440" s="16">
        <f t="shared" si="61"/>
        <v>0</v>
      </c>
      <c r="U440" s="16">
        <f t="shared" si="61"/>
        <v>0</v>
      </c>
      <c r="V440" s="16">
        <f t="shared" si="61"/>
        <v>0</v>
      </c>
      <c r="W440" s="16">
        <f t="shared" si="61"/>
        <v>1</v>
      </c>
      <c r="X440" s="16" t="str">
        <f t="shared" si="54"/>
        <v>null</v>
      </c>
    </row>
    <row r="441" spans="1:24" x14ac:dyDescent="0.15">
      <c r="A441" s="20" t="str">
        <f t="shared" si="56"/>
        <v>24_5-2/35&lt;lv54&gt;s4</v>
      </c>
      <c r="B441" s="16">
        <f t="shared" si="62"/>
        <v>24</v>
      </c>
      <c r="C441" s="16">
        <f t="shared" si="62"/>
        <v>5</v>
      </c>
      <c r="D441" s="16">
        <f t="shared" si="62"/>
        <v>2</v>
      </c>
      <c r="E441" s="16">
        <f t="shared" si="62"/>
        <v>35</v>
      </c>
      <c r="F441" s="16">
        <f t="shared" si="62"/>
        <v>54</v>
      </c>
      <c r="G441" s="16">
        <f t="shared" si="62"/>
        <v>1</v>
      </c>
      <c r="H441" s="16">
        <f t="shared" si="62"/>
        <v>1</v>
      </c>
      <c r="I441" s="16">
        <f t="shared" si="62"/>
        <v>0</v>
      </c>
      <c r="J441" s="16">
        <f t="shared" si="62"/>
        <v>35</v>
      </c>
      <c r="K441" s="16">
        <f t="shared" si="62"/>
        <v>0</v>
      </c>
      <c r="L441" s="16">
        <f t="shared" si="62"/>
        <v>100</v>
      </c>
      <c r="M441" s="16">
        <f t="shared" si="62"/>
        <v>0</v>
      </c>
      <c r="N441" s="16">
        <f t="shared" si="62"/>
        <v>4</v>
      </c>
      <c r="O441" s="16">
        <f t="shared" si="62"/>
        <v>35</v>
      </c>
      <c r="P441" s="16">
        <f t="shared" si="62"/>
        <v>5</v>
      </c>
      <c r="Q441" s="16">
        <f t="shared" si="62"/>
        <v>2</v>
      </c>
      <c r="R441" s="16">
        <f t="shared" si="61"/>
        <v>20</v>
      </c>
      <c r="S441" s="16">
        <f t="shared" si="61"/>
        <v>0</v>
      </c>
      <c r="T441" s="16">
        <f t="shared" si="61"/>
        <v>0</v>
      </c>
      <c r="U441" s="16">
        <f t="shared" si="61"/>
        <v>0</v>
      </c>
      <c r="V441" s="16">
        <f t="shared" si="61"/>
        <v>0</v>
      </c>
      <c r="W441" s="16">
        <f t="shared" si="61"/>
        <v>1</v>
      </c>
      <c r="X441" s="16" t="str">
        <f t="shared" si="54"/>
        <v>null</v>
      </c>
    </row>
    <row r="442" spans="1:24" x14ac:dyDescent="0.15">
      <c r="A442" s="20" t="str">
        <f t="shared" si="56"/>
        <v>24_5-2/362&lt;lv54&gt;s3</v>
      </c>
      <c r="B442" s="16">
        <f t="shared" si="62"/>
        <v>24</v>
      </c>
      <c r="C442" s="16">
        <f t="shared" si="62"/>
        <v>5</v>
      </c>
      <c r="D442" s="16">
        <f t="shared" si="62"/>
        <v>2</v>
      </c>
      <c r="E442" s="16">
        <f t="shared" si="62"/>
        <v>362</v>
      </c>
      <c r="F442" s="16">
        <f t="shared" si="62"/>
        <v>54</v>
      </c>
      <c r="G442" s="16">
        <f t="shared" si="62"/>
        <v>1</v>
      </c>
      <c r="H442" s="16">
        <f t="shared" si="62"/>
        <v>1</v>
      </c>
      <c r="I442" s="16">
        <f t="shared" si="62"/>
        <v>0</v>
      </c>
      <c r="J442" s="16">
        <f t="shared" si="62"/>
        <v>362</v>
      </c>
      <c r="K442" s="16">
        <f t="shared" si="62"/>
        <v>0</v>
      </c>
      <c r="L442" s="16">
        <f t="shared" si="62"/>
        <v>100</v>
      </c>
      <c r="M442" s="16">
        <f t="shared" si="62"/>
        <v>0</v>
      </c>
      <c r="N442" s="16">
        <f t="shared" si="62"/>
        <v>3</v>
      </c>
      <c r="O442" s="16">
        <f t="shared" si="62"/>
        <v>362</v>
      </c>
      <c r="P442" s="16">
        <f t="shared" si="62"/>
        <v>5</v>
      </c>
      <c r="Q442" s="16">
        <f t="shared" si="62"/>
        <v>2</v>
      </c>
      <c r="R442" s="16">
        <f t="shared" si="61"/>
        <v>20</v>
      </c>
      <c r="S442" s="16">
        <f t="shared" si="61"/>
        <v>0</v>
      </c>
      <c r="T442" s="16">
        <f t="shared" si="61"/>
        <v>0</v>
      </c>
      <c r="U442" s="16">
        <f t="shared" si="61"/>
        <v>0</v>
      </c>
      <c r="V442" s="16">
        <f t="shared" si="61"/>
        <v>0</v>
      </c>
      <c r="W442" s="16">
        <f t="shared" si="61"/>
        <v>1</v>
      </c>
      <c r="X442" s="16" t="str">
        <f t="shared" si="54"/>
        <v>null</v>
      </c>
    </row>
    <row r="443" spans="1:24" x14ac:dyDescent="0.15">
      <c r="A443" s="20" t="str">
        <f t="shared" si="56"/>
        <v>24_5-2/350&lt;lv54&gt;s3</v>
      </c>
      <c r="B443" s="16">
        <f t="shared" si="62"/>
        <v>24</v>
      </c>
      <c r="C443" s="16">
        <f t="shared" si="62"/>
        <v>5</v>
      </c>
      <c r="D443" s="16">
        <f t="shared" si="62"/>
        <v>2</v>
      </c>
      <c r="E443" s="16">
        <f t="shared" si="62"/>
        <v>350</v>
      </c>
      <c r="F443" s="16">
        <f t="shared" si="62"/>
        <v>54</v>
      </c>
      <c r="G443" s="16">
        <f t="shared" si="62"/>
        <v>1</v>
      </c>
      <c r="H443" s="16">
        <f t="shared" si="62"/>
        <v>1</v>
      </c>
      <c r="I443" s="16">
        <f t="shared" si="62"/>
        <v>0</v>
      </c>
      <c r="J443" s="16">
        <f t="shared" si="62"/>
        <v>350</v>
      </c>
      <c r="K443" s="16">
        <f t="shared" si="62"/>
        <v>0</v>
      </c>
      <c r="L443" s="16">
        <f t="shared" si="62"/>
        <v>100</v>
      </c>
      <c r="M443" s="16">
        <f t="shared" si="62"/>
        <v>0</v>
      </c>
      <c r="N443" s="16">
        <f t="shared" si="62"/>
        <v>3</v>
      </c>
      <c r="O443" s="16">
        <f t="shared" si="62"/>
        <v>350</v>
      </c>
      <c r="P443" s="16">
        <f t="shared" si="62"/>
        <v>1</v>
      </c>
      <c r="Q443" s="16">
        <f t="shared" si="62"/>
        <v>2</v>
      </c>
      <c r="R443" s="16">
        <f t="shared" si="61"/>
        <v>40</v>
      </c>
      <c r="S443" s="16">
        <f t="shared" si="61"/>
        <v>0</v>
      </c>
      <c r="T443" s="16">
        <f t="shared" si="61"/>
        <v>0</v>
      </c>
      <c r="U443" s="16">
        <f t="shared" si="61"/>
        <v>0</v>
      </c>
      <c r="V443" s="16">
        <f t="shared" si="61"/>
        <v>0</v>
      </c>
      <c r="W443" s="16">
        <f t="shared" si="61"/>
        <v>1</v>
      </c>
      <c r="X443" s="16" t="str">
        <f t="shared" si="54"/>
        <v>null</v>
      </c>
    </row>
    <row r="444" spans="1:24" x14ac:dyDescent="0.15">
      <c r="A444" s="20" t="str">
        <f t="shared" si="56"/>
        <v>24_5-3/140&lt;lv52&gt;s2</v>
      </c>
      <c r="B444" s="16">
        <f t="shared" si="62"/>
        <v>24</v>
      </c>
      <c r="C444" s="16">
        <f t="shared" si="62"/>
        <v>5</v>
      </c>
      <c r="D444" s="16">
        <f t="shared" si="62"/>
        <v>3</v>
      </c>
      <c r="E444" s="16">
        <f t="shared" si="62"/>
        <v>140</v>
      </c>
      <c r="F444" s="16">
        <f t="shared" si="62"/>
        <v>52</v>
      </c>
      <c r="G444" s="16">
        <f t="shared" si="62"/>
        <v>1.8</v>
      </c>
      <c r="H444" s="16">
        <f t="shared" si="62"/>
        <v>1.1000000000000001</v>
      </c>
      <c r="I444" s="16">
        <f t="shared" si="62"/>
        <v>0</v>
      </c>
      <c r="J444" s="16">
        <f t="shared" si="62"/>
        <v>14001</v>
      </c>
      <c r="K444" s="16">
        <f t="shared" si="62"/>
        <v>1</v>
      </c>
      <c r="L444" s="16">
        <f t="shared" si="62"/>
        <v>100</v>
      </c>
      <c r="M444" s="16">
        <f t="shared" si="62"/>
        <v>1</v>
      </c>
      <c r="N444" s="16">
        <f t="shared" si="62"/>
        <v>2</v>
      </c>
      <c r="O444" s="16">
        <f t="shared" si="62"/>
        <v>140</v>
      </c>
      <c r="P444" s="16">
        <f t="shared" si="62"/>
        <v>1</v>
      </c>
      <c r="Q444" s="16">
        <f t="shared" si="62"/>
        <v>3</v>
      </c>
      <c r="R444" s="16">
        <f t="shared" si="61"/>
        <v>0</v>
      </c>
      <c r="S444" s="16">
        <f t="shared" si="61"/>
        <v>0</v>
      </c>
      <c r="T444" s="16">
        <f t="shared" si="61"/>
        <v>0</v>
      </c>
      <c r="U444" s="16">
        <f t="shared" si="61"/>
        <v>0</v>
      </c>
      <c r="V444" s="16">
        <f t="shared" si="61"/>
        <v>0</v>
      </c>
      <c r="W444" s="16">
        <f t="shared" si="61"/>
        <v>1</v>
      </c>
      <c r="X444" s="16" t="str">
        <f t="shared" si="54"/>
        <v>null</v>
      </c>
    </row>
    <row r="445" spans="1:24" x14ac:dyDescent="0.15">
      <c r="A445" s="20" t="str">
        <f t="shared" si="56"/>
        <v>24_5-3/12&lt;lv54&gt;s3</v>
      </c>
      <c r="B445" s="16">
        <f t="shared" si="62"/>
        <v>24</v>
      </c>
      <c r="C445" s="16">
        <f t="shared" si="62"/>
        <v>5</v>
      </c>
      <c r="D445" s="16">
        <f t="shared" si="62"/>
        <v>3</v>
      </c>
      <c r="E445" s="16">
        <f t="shared" si="62"/>
        <v>12</v>
      </c>
      <c r="F445" s="16">
        <f t="shared" si="62"/>
        <v>54</v>
      </c>
      <c r="G445" s="16">
        <f t="shared" si="62"/>
        <v>3</v>
      </c>
      <c r="H445" s="16">
        <f t="shared" si="62"/>
        <v>1.2</v>
      </c>
      <c r="I445" s="16">
        <f t="shared" si="62"/>
        <v>0</v>
      </c>
      <c r="J445" s="16">
        <f t="shared" si="62"/>
        <v>0</v>
      </c>
      <c r="K445" s="16">
        <f t="shared" si="62"/>
        <v>2</v>
      </c>
      <c r="L445" s="16">
        <f t="shared" si="62"/>
        <v>100</v>
      </c>
      <c r="M445" s="16">
        <f t="shared" si="62"/>
        <v>0</v>
      </c>
      <c r="N445" s="16">
        <f t="shared" si="62"/>
        <v>3</v>
      </c>
      <c r="O445" s="16">
        <f t="shared" si="62"/>
        <v>11</v>
      </c>
      <c r="P445" s="16">
        <f t="shared" si="62"/>
        <v>9</v>
      </c>
      <c r="Q445" s="16">
        <f t="shared" si="62"/>
        <v>1</v>
      </c>
      <c r="R445" s="16">
        <f t="shared" si="61"/>
        <v>0</v>
      </c>
      <c r="S445" s="16">
        <f t="shared" si="61"/>
        <v>0</v>
      </c>
      <c r="T445" s="16">
        <f t="shared" si="61"/>
        <v>0</v>
      </c>
      <c r="U445" s="16">
        <f t="shared" si="61"/>
        <v>0</v>
      </c>
      <c r="V445" s="16">
        <f t="shared" si="61"/>
        <v>0</v>
      </c>
      <c r="W445" s="16">
        <f t="shared" si="61"/>
        <v>1</v>
      </c>
      <c r="X445" s="16" t="str">
        <f t="shared" si="54"/>
        <v>null</v>
      </c>
    </row>
    <row r="446" spans="1:24" x14ac:dyDescent="0.15">
      <c r="A446" s="20" t="str">
        <f t="shared" si="56"/>
        <v>24_5-4/47&lt;lv52&gt;s1</v>
      </c>
      <c r="B446" s="16">
        <f t="shared" si="62"/>
        <v>24</v>
      </c>
      <c r="C446" s="16">
        <f t="shared" si="62"/>
        <v>5</v>
      </c>
      <c r="D446" s="16">
        <f t="shared" si="62"/>
        <v>4</v>
      </c>
      <c r="E446" s="16">
        <f t="shared" si="62"/>
        <v>47</v>
      </c>
      <c r="F446" s="16">
        <f t="shared" si="62"/>
        <v>52</v>
      </c>
      <c r="G446" s="16">
        <f t="shared" si="62"/>
        <v>1.1000000000000001</v>
      </c>
      <c r="H446" s="16">
        <f t="shared" si="62"/>
        <v>1</v>
      </c>
      <c r="I446" s="16">
        <f t="shared" si="62"/>
        <v>0</v>
      </c>
      <c r="J446" s="16">
        <f t="shared" si="62"/>
        <v>0</v>
      </c>
      <c r="K446" s="16">
        <f t="shared" si="62"/>
        <v>0</v>
      </c>
      <c r="L446" s="16">
        <f t="shared" si="62"/>
        <v>100</v>
      </c>
      <c r="M446" s="16">
        <f t="shared" si="62"/>
        <v>0</v>
      </c>
      <c r="N446" s="16">
        <f t="shared" si="62"/>
        <v>1</v>
      </c>
      <c r="O446" s="16">
        <f t="shared" si="62"/>
        <v>47</v>
      </c>
      <c r="P446" s="16">
        <f t="shared" si="62"/>
        <v>7</v>
      </c>
      <c r="Q446" s="16">
        <f t="shared" ref="Q446:X509" si="63">VLOOKUP($A446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46" s="16">
        <f t="shared" si="63"/>
        <v>20</v>
      </c>
      <c r="S446" s="16">
        <f t="shared" si="63"/>
        <v>0</v>
      </c>
      <c r="T446" s="16">
        <f t="shared" si="63"/>
        <v>0</v>
      </c>
      <c r="U446" s="16">
        <f t="shared" si="63"/>
        <v>0</v>
      </c>
      <c r="V446" s="16">
        <f t="shared" si="63"/>
        <v>0</v>
      </c>
      <c r="W446" s="16">
        <f t="shared" si="63"/>
        <v>1</v>
      </c>
      <c r="X446" s="16" t="str">
        <f t="shared" si="63"/>
        <v>null</v>
      </c>
    </row>
    <row r="447" spans="1:24" x14ac:dyDescent="0.15">
      <c r="A447" s="20" t="str">
        <f t="shared" si="56"/>
        <v>24_5-4/59&lt;lv54&gt;s2</v>
      </c>
      <c r="B447" s="16">
        <f t="shared" ref="B447:Q462" si="64">VLOOKUP($A447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447" s="16">
        <f t="shared" si="64"/>
        <v>5</v>
      </c>
      <c r="D447" s="16">
        <f t="shared" si="64"/>
        <v>4</v>
      </c>
      <c r="E447" s="16">
        <f t="shared" si="64"/>
        <v>59</v>
      </c>
      <c r="F447" s="16">
        <f t="shared" si="64"/>
        <v>54</v>
      </c>
      <c r="G447" s="16">
        <f t="shared" si="64"/>
        <v>1</v>
      </c>
      <c r="H447" s="16">
        <f t="shared" si="64"/>
        <v>1</v>
      </c>
      <c r="I447" s="16">
        <f t="shared" si="64"/>
        <v>0</v>
      </c>
      <c r="J447" s="16">
        <f t="shared" si="64"/>
        <v>59</v>
      </c>
      <c r="K447" s="16">
        <f t="shared" si="64"/>
        <v>0</v>
      </c>
      <c r="L447" s="16">
        <f t="shared" si="64"/>
        <v>100</v>
      </c>
      <c r="M447" s="16">
        <f t="shared" si="64"/>
        <v>0</v>
      </c>
      <c r="N447" s="16">
        <f t="shared" si="64"/>
        <v>2</v>
      </c>
      <c r="O447" s="16">
        <f t="shared" si="64"/>
        <v>59</v>
      </c>
      <c r="P447" s="16">
        <f t="shared" si="64"/>
        <v>7</v>
      </c>
      <c r="Q447" s="16">
        <f t="shared" si="64"/>
        <v>2</v>
      </c>
      <c r="R447" s="16">
        <f t="shared" si="63"/>
        <v>20</v>
      </c>
      <c r="S447" s="16">
        <f t="shared" si="63"/>
        <v>0</v>
      </c>
      <c r="T447" s="16">
        <f t="shared" si="63"/>
        <v>0</v>
      </c>
      <c r="U447" s="16">
        <f t="shared" si="63"/>
        <v>0</v>
      </c>
      <c r="V447" s="16">
        <f t="shared" si="63"/>
        <v>0</v>
      </c>
      <c r="W447" s="16">
        <f t="shared" si="63"/>
        <v>1</v>
      </c>
      <c r="X447" s="16" t="str">
        <f t="shared" si="63"/>
        <v>null</v>
      </c>
    </row>
    <row r="448" spans="1:24" x14ac:dyDescent="0.15">
      <c r="A448" s="20" t="str">
        <f t="shared" si="56"/>
        <v>24_5-4/63&lt;lv52&gt;s2</v>
      </c>
      <c r="B448" s="16">
        <f t="shared" si="64"/>
        <v>24</v>
      </c>
      <c r="C448" s="16">
        <f t="shared" si="64"/>
        <v>5</v>
      </c>
      <c r="D448" s="16">
        <f t="shared" si="64"/>
        <v>4</v>
      </c>
      <c r="E448" s="16">
        <f t="shared" si="64"/>
        <v>63</v>
      </c>
      <c r="F448" s="16">
        <f t="shared" si="64"/>
        <v>52</v>
      </c>
      <c r="G448" s="16">
        <f t="shared" si="64"/>
        <v>1.1000000000000001</v>
      </c>
      <c r="H448" s="16">
        <f t="shared" si="64"/>
        <v>1</v>
      </c>
      <c r="I448" s="16">
        <f t="shared" si="64"/>
        <v>0</v>
      </c>
      <c r="J448" s="16">
        <f t="shared" si="64"/>
        <v>63</v>
      </c>
      <c r="K448" s="16">
        <f t="shared" si="64"/>
        <v>0</v>
      </c>
      <c r="L448" s="16">
        <f t="shared" si="64"/>
        <v>100</v>
      </c>
      <c r="M448" s="16">
        <f t="shared" si="64"/>
        <v>0</v>
      </c>
      <c r="N448" s="16">
        <f t="shared" si="64"/>
        <v>2</v>
      </c>
      <c r="O448" s="16">
        <f t="shared" si="64"/>
        <v>63</v>
      </c>
      <c r="P448" s="16">
        <f t="shared" si="64"/>
        <v>7</v>
      </c>
      <c r="Q448" s="16">
        <f t="shared" si="64"/>
        <v>2</v>
      </c>
      <c r="R448" s="16">
        <f t="shared" si="63"/>
        <v>20</v>
      </c>
      <c r="S448" s="16">
        <f t="shared" si="63"/>
        <v>0</v>
      </c>
      <c r="T448" s="16">
        <f t="shared" si="63"/>
        <v>0</v>
      </c>
      <c r="U448" s="16">
        <f t="shared" si="63"/>
        <v>0</v>
      </c>
      <c r="V448" s="16">
        <f t="shared" si="63"/>
        <v>0</v>
      </c>
      <c r="W448" s="16">
        <f t="shared" si="63"/>
        <v>1</v>
      </c>
      <c r="X448" s="16" t="str">
        <f t="shared" si="63"/>
        <v>null</v>
      </c>
    </row>
    <row r="449" spans="1:24" x14ac:dyDescent="0.15">
      <c r="A449" s="20" t="str">
        <f t="shared" si="56"/>
        <v>24_5-4/35&lt;lv54&gt;s4</v>
      </c>
      <c r="B449" s="16">
        <f t="shared" si="64"/>
        <v>24</v>
      </c>
      <c r="C449" s="16">
        <f t="shared" si="64"/>
        <v>5</v>
      </c>
      <c r="D449" s="16">
        <f t="shared" si="64"/>
        <v>4</v>
      </c>
      <c r="E449" s="16">
        <f t="shared" si="64"/>
        <v>35</v>
      </c>
      <c r="F449" s="16">
        <f t="shared" si="64"/>
        <v>54</v>
      </c>
      <c r="G449" s="16">
        <f t="shared" si="64"/>
        <v>1</v>
      </c>
      <c r="H449" s="16">
        <f t="shared" si="64"/>
        <v>1</v>
      </c>
      <c r="I449" s="16">
        <f t="shared" si="64"/>
        <v>0</v>
      </c>
      <c r="J449" s="16">
        <f t="shared" si="64"/>
        <v>35</v>
      </c>
      <c r="K449" s="16">
        <f t="shared" si="64"/>
        <v>0</v>
      </c>
      <c r="L449" s="16">
        <f t="shared" si="64"/>
        <v>100</v>
      </c>
      <c r="M449" s="16">
        <f t="shared" si="64"/>
        <v>0</v>
      </c>
      <c r="N449" s="16">
        <f t="shared" si="64"/>
        <v>4</v>
      </c>
      <c r="O449" s="16">
        <f t="shared" si="64"/>
        <v>35</v>
      </c>
      <c r="P449" s="16">
        <f t="shared" si="64"/>
        <v>5</v>
      </c>
      <c r="Q449" s="16">
        <f t="shared" si="64"/>
        <v>2</v>
      </c>
      <c r="R449" s="16">
        <f t="shared" si="63"/>
        <v>20</v>
      </c>
      <c r="S449" s="16">
        <f t="shared" si="63"/>
        <v>0</v>
      </c>
      <c r="T449" s="16">
        <f t="shared" si="63"/>
        <v>0</v>
      </c>
      <c r="U449" s="16">
        <f t="shared" si="63"/>
        <v>0</v>
      </c>
      <c r="V449" s="16">
        <f t="shared" si="63"/>
        <v>0</v>
      </c>
      <c r="W449" s="16">
        <f t="shared" si="63"/>
        <v>1</v>
      </c>
      <c r="X449" s="16" t="str">
        <f t="shared" si="63"/>
        <v>null</v>
      </c>
    </row>
    <row r="450" spans="1:24" x14ac:dyDescent="0.15">
      <c r="A450" s="20" t="str">
        <f t="shared" si="56"/>
        <v>24_5-4/362&lt;lv54&gt;s3</v>
      </c>
      <c r="B450" s="16">
        <f t="shared" si="64"/>
        <v>24</v>
      </c>
      <c r="C450" s="16">
        <f t="shared" si="64"/>
        <v>5</v>
      </c>
      <c r="D450" s="16">
        <f t="shared" si="64"/>
        <v>4</v>
      </c>
      <c r="E450" s="16">
        <f t="shared" si="64"/>
        <v>362</v>
      </c>
      <c r="F450" s="16">
        <f t="shared" si="64"/>
        <v>54</v>
      </c>
      <c r="G450" s="16">
        <f t="shared" si="64"/>
        <v>1</v>
      </c>
      <c r="H450" s="16">
        <f t="shared" si="64"/>
        <v>1</v>
      </c>
      <c r="I450" s="16">
        <f t="shared" si="64"/>
        <v>0</v>
      </c>
      <c r="J450" s="16">
        <f t="shared" si="64"/>
        <v>362</v>
      </c>
      <c r="K450" s="16">
        <f t="shared" si="64"/>
        <v>0</v>
      </c>
      <c r="L450" s="16">
        <f t="shared" si="64"/>
        <v>100</v>
      </c>
      <c r="M450" s="16">
        <f t="shared" si="64"/>
        <v>0</v>
      </c>
      <c r="N450" s="16">
        <f t="shared" si="64"/>
        <v>3</v>
      </c>
      <c r="O450" s="16">
        <f t="shared" si="64"/>
        <v>362</v>
      </c>
      <c r="P450" s="16">
        <f t="shared" si="64"/>
        <v>7</v>
      </c>
      <c r="Q450" s="16">
        <f t="shared" si="64"/>
        <v>2</v>
      </c>
      <c r="R450" s="16">
        <f t="shared" si="63"/>
        <v>20</v>
      </c>
      <c r="S450" s="16">
        <f t="shared" si="63"/>
        <v>0</v>
      </c>
      <c r="T450" s="16">
        <f t="shared" si="63"/>
        <v>0</v>
      </c>
      <c r="U450" s="16">
        <f t="shared" si="63"/>
        <v>0</v>
      </c>
      <c r="V450" s="16">
        <f t="shared" si="63"/>
        <v>0</v>
      </c>
      <c r="W450" s="16">
        <f t="shared" si="63"/>
        <v>1</v>
      </c>
      <c r="X450" s="16" t="str">
        <f t="shared" si="63"/>
        <v>null</v>
      </c>
    </row>
    <row r="451" spans="1:24" x14ac:dyDescent="0.15">
      <c r="A451" s="20" t="str">
        <f t="shared" si="56"/>
        <v>24_5-4/366&lt;lv52&gt;s3</v>
      </c>
      <c r="B451" s="16">
        <f t="shared" si="64"/>
        <v>24</v>
      </c>
      <c r="C451" s="16">
        <f t="shared" si="64"/>
        <v>5</v>
      </c>
      <c r="D451" s="16">
        <f t="shared" si="64"/>
        <v>4</v>
      </c>
      <c r="E451" s="16">
        <f t="shared" si="64"/>
        <v>366</v>
      </c>
      <c r="F451" s="16">
        <f t="shared" si="64"/>
        <v>52</v>
      </c>
      <c r="G451" s="16">
        <f t="shared" si="64"/>
        <v>1.1000000000000001</v>
      </c>
      <c r="H451" s="16">
        <f t="shared" si="64"/>
        <v>1</v>
      </c>
      <c r="I451" s="16">
        <f t="shared" si="64"/>
        <v>0</v>
      </c>
      <c r="J451" s="16">
        <f t="shared" si="64"/>
        <v>366</v>
      </c>
      <c r="K451" s="16">
        <f t="shared" si="64"/>
        <v>0</v>
      </c>
      <c r="L451" s="16">
        <f t="shared" si="64"/>
        <v>100</v>
      </c>
      <c r="M451" s="16">
        <f t="shared" si="64"/>
        <v>0</v>
      </c>
      <c r="N451" s="16">
        <f t="shared" si="64"/>
        <v>3</v>
      </c>
      <c r="O451" s="16">
        <f t="shared" si="64"/>
        <v>366</v>
      </c>
      <c r="P451" s="16">
        <f t="shared" si="64"/>
        <v>5</v>
      </c>
      <c r="Q451" s="16">
        <f t="shared" si="64"/>
        <v>2</v>
      </c>
      <c r="R451" s="16">
        <f t="shared" si="63"/>
        <v>20</v>
      </c>
      <c r="S451" s="16">
        <f t="shared" si="63"/>
        <v>0</v>
      </c>
      <c r="T451" s="16">
        <f t="shared" si="63"/>
        <v>0</v>
      </c>
      <c r="U451" s="16">
        <f t="shared" si="63"/>
        <v>0</v>
      </c>
      <c r="V451" s="16">
        <f t="shared" si="63"/>
        <v>0</v>
      </c>
      <c r="W451" s="16">
        <f t="shared" si="63"/>
        <v>1</v>
      </c>
      <c r="X451" s="16" t="str">
        <f t="shared" si="63"/>
        <v>null</v>
      </c>
    </row>
    <row r="452" spans="1:24" x14ac:dyDescent="0.15">
      <c r="A452" s="20" t="str">
        <f t="shared" ref="A452:A515" si="65">INDIRECT(ADDRESS(ROW()+$A$1,COLUMN(),1,TRUE,$C$1))</f>
        <v>24_5-4/354&lt;lv52&gt;s3</v>
      </c>
      <c r="B452" s="16">
        <f t="shared" si="64"/>
        <v>24</v>
      </c>
      <c r="C452" s="16">
        <f t="shared" si="64"/>
        <v>5</v>
      </c>
      <c r="D452" s="16">
        <f t="shared" si="64"/>
        <v>4</v>
      </c>
      <c r="E452" s="16">
        <f t="shared" si="64"/>
        <v>354</v>
      </c>
      <c r="F452" s="16">
        <f t="shared" si="64"/>
        <v>52</v>
      </c>
      <c r="G452" s="16">
        <f t="shared" si="64"/>
        <v>1</v>
      </c>
      <c r="H452" s="16">
        <f t="shared" si="64"/>
        <v>1</v>
      </c>
      <c r="I452" s="16">
        <f t="shared" si="64"/>
        <v>0</v>
      </c>
      <c r="J452" s="16">
        <f t="shared" si="64"/>
        <v>354</v>
      </c>
      <c r="K452" s="16">
        <f t="shared" si="64"/>
        <v>0</v>
      </c>
      <c r="L452" s="16">
        <f t="shared" si="64"/>
        <v>100</v>
      </c>
      <c r="M452" s="16">
        <f t="shared" si="64"/>
        <v>0</v>
      </c>
      <c r="N452" s="16">
        <f t="shared" si="64"/>
        <v>3</v>
      </c>
      <c r="O452" s="16">
        <f t="shared" si="64"/>
        <v>354</v>
      </c>
      <c r="P452" s="16">
        <f t="shared" si="64"/>
        <v>1</v>
      </c>
      <c r="Q452" s="16">
        <f t="shared" si="64"/>
        <v>2</v>
      </c>
      <c r="R452" s="16">
        <f t="shared" si="63"/>
        <v>40</v>
      </c>
      <c r="S452" s="16">
        <f t="shared" si="63"/>
        <v>0</v>
      </c>
      <c r="T452" s="16">
        <f t="shared" si="63"/>
        <v>0</v>
      </c>
      <c r="U452" s="16">
        <f t="shared" si="63"/>
        <v>0</v>
      </c>
      <c r="V452" s="16">
        <f t="shared" si="63"/>
        <v>0</v>
      </c>
      <c r="W452" s="16">
        <f t="shared" si="63"/>
        <v>1</v>
      </c>
      <c r="X452" s="16" t="str">
        <f t="shared" si="63"/>
        <v>null</v>
      </c>
    </row>
    <row r="453" spans="1:24" x14ac:dyDescent="0.15">
      <c r="A453" s="20" t="str">
        <f t="shared" si="65"/>
        <v>24_5-5/248&lt;lv57&gt;s2</v>
      </c>
      <c r="B453" s="16">
        <f t="shared" si="64"/>
        <v>24</v>
      </c>
      <c r="C453" s="16">
        <f t="shared" si="64"/>
        <v>5</v>
      </c>
      <c r="D453" s="16">
        <f t="shared" si="64"/>
        <v>5</v>
      </c>
      <c r="E453" s="16">
        <f t="shared" si="64"/>
        <v>248</v>
      </c>
      <c r="F453" s="16">
        <f t="shared" si="64"/>
        <v>57</v>
      </c>
      <c r="G453" s="16">
        <f t="shared" si="64"/>
        <v>0.9</v>
      </c>
      <c r="H453" s="16">
        <f t="shared" si="64"/>
        <v>1</v>
      </c>
      <c r="I453" s="16">
        <f t="shared" si="64"/>
        <v>0</v>
      </c>
      <c r="J453" s="16">
        <f t="shared" si="64"/>
        <v>24801</v>
      </c>
      <c r="K453" s="16">
        <f t="shared" si="64"/>
        <v>1</v>
      </c>
      <c r="L453" s="16">
        <f t="shared" si="64"/>
        <v>100</v>
      </c>
      <c r="M453" s="16">
        <f t="shared" si="64"/>
        <v>1</v>
      </c>
      <c r="N453" s="16">
        <f t="shared" si="64"/>
        <v>2</v>
      </c>
      <c r="O453" s="16">
        <f t="shared" si="64"/>
        <v>247</v>
      </c>
      <c r="P453" s="16">
        <f t="shared" si="64"/>
        <v>1</v>
      </c>
      <c r="Q453" s="16">
        <f t="shared" si="64"/>
        <v>3</v>
      </c>
      <c r="R453" s="16">
        <f t="shared" si="63"/>
        <v>0</v>
      </c>
      <c r="S453" s="16">
        <f t="shared" si="63"/>
        <v>0</v>
      </c>
      <c r="T453" s="16">
        <f t="shared" si="63"/>
        <v>0</v>
      </c>
      <c r="U453" s="16">
        <f t="shared" si="63"/>
        <v>0</v>
      </c>
      <c r="V453" s="16">
        <f t="shared" si="63"/>
        <v>0</v>
      </c>
      <c r="W453" s="16">
        <f t="shared" si="63"/>
        <v>1</v>
      </c>
      <c r="X453" s="16">
        <f t="shared" si="63"/>
        <v>248</v>
      </c>
    </row>
    <row r="454" spans="1:24" x14ac:dyDescent="0.15">
      <c r="A454" s="20" t="str">
        <f t="shared" si="65"/>
        <v>24_6-1/346&lt;lv1&gt;s3</v>
      </c>
      <c r="B454" s="16">
        <f t="shared" si="64"/>
        <v>24</v>
      </c>
      <c r="C454" s="16">
        <f t="shared" si="64"/>
        <v>6</v>
      </c>
      <c r="D454" s="16">
        <f t="shared" si="64"/>
        <v>1</v>
      </c>
      <c r="E454" s="16">
        <f t="shared" si="64"/>
        <v>346</v>
      </c>
      <c r="F454" s="16">
        <f t="shared" si="64"/>
        <v>1</v>
      </c>
      <c r="G454" s="16">
        <f t="shared" si="64"/>
        <v>1</v>
      </c>
      <c r="H454" s="16">
        <f t="shared" si="64"/>
        <v>1</v>
      </c>
      <c r="I454" s="16">
        <f t="shared" si="64"/>
        <v>0</v>
      </c>
      <c r="J454" s="16">
        <f t="shared" si="64"/>
        <v>0</v>
      </c>
      <c r="K454" s="16">
        <f t="shared" si="64"/>
        <v>0</v>
      </c>
      <c r="L454" s="16">
        <f t="shared" si="64"/>
        <v>100</v>
      </c>
      <c r="M454" s="16">
        <f t="shared" si="64"/>
        <v>0</v>
      </c>
      <c r="N454" s="16">
        <f t="shared" si="64"/>
        <v>3</v>
      </c>
      <c r="O454" s="16">
        <f t="shared" si="64"/>
        <v>346</v>
      </c>
      <c r="P454" s="16">
        <f t="shared" si="64"/>
        <v>1</v>
      </c>
      <c r="Q454" s="16">
        <f t="shared" si="64"/>
        <v>5</v>
      </c>
      <c r="R454" s="16">
        <f t="shared" si="63"/>
        <v>100</v>
      </c>
      <c r="S454" s="16">
        <f t="shared" si="63"/>
        <v>0</v>
      </c>
      <c r="T454" s="16">
        <f t="shared" si="63"/>
        <v>0</v>
      </c>
      <c r="U454" s="16">
        <f t="shared" si="63"/>
        <v>0</v>
      </c>
      <c r="V454" s="16">
        <f t="shared" si="63"/>
        <v>0</v>
      </c>
      <c r="W454" s="16">
        <f t="shared" si="63"/>
        <v>1</v>
      </c>
      <c r="X454" s="16" t="str">
        <f t="shared" si="63"/>
        <v>null</v>
      </c>
    </row>
    <row r="455" spans="1:24" x14ac:dyDescent="0.15">
      <c r="A455" s="20" t="str">
        <f t="shared" si="65"/>
        <v>24_6-2/338&lt;lv1&gt;s3</v>
      </c>
      <c r="B455" s="16">
        <f t="shared" si="64"/>
        <v>24</v>
      </c>
      <c r="C455" s="16">
        <f t="shared" si="64"/>
        <v>6</v>
      </c>
      <c r="D455" s="16">
        <f t="shared" si="64"/>
        <v>2</v>
      </c>
      <c r="E455" s="16">
        <f t="shared" si="64"/>
        <v>338</v>
      </c>
      <c r="F455" s="16">
        <f t="shared" si="64"/>
        <v>1</v>
      </c>
      <c r="G455" s="16">
        <f t="shared" si="64"/>
        <v>1</v>
      </c>
      <c r="H455" s="16">
        <f t="shared" si="64"/>
        <v>1</v>
      </c>
      <c r="I455" s="16">
        <f t="shared" si="64"/>
        <v>0</v>
      </c>
      <c r="J455" s="16">
        <f t="shared" si="64"/>
        <v>0</v>
      </c>
      <c r="K455" s="16">
        <f t="shared" si="64"/>
        <v>0</v>
      </c>
      <c r="L455" s="16">
        <f t="shared" si="64"/>
        <v>100</v>
      </c>
      <c r="M455" s="16">
        <f t="shared" si="64"/>
        <v>0</v>
      </c>
      <c r="N455" s="16">
        <f t="shared" si="64"/>
        <v>3</v>
      </c>
      <c r="O455" s="16">
        <f t="shared" si="64"/>
        <v>338</v>
      </c>
      <c r="P455" s="16">
        <f t="shared" si="64"/>
        <v>1</v>
      </c>
      <c r="Q455" s="16">
        <f t="shared" si="64"/>
        <v>5</v>
      </c>
      <c r="R455" s="16">
        <f t="shared" si="63"/>
        <v>100</v>
      </c>
      <c r="S455" s="16">
        <f t="shared" si="63"/>
        <v>0</v>
      </c>
      <c r="T455" s="16">
        <f t="shared" si="63"/>
        <v>0</v>
      </c>
      <c r="U455" s="16">
        <f t="shared" si="63"/>
        <v>0</v>
      </c>
      <c r="V455" s="16">
        <f t="shared" si="63"/>
        <v>0</v>
      </c>
      <c r="W455" s="16">
        <f t="shared" si="63"/>
        <v>1</v>
      </c>
      <c r="X455" s="16" t="str">
        <f t="shared" si="63"/>
        <v>null</v>
      </c>
    </row>
    <row r="456" spans="1:24" x14ac:dyDescent="0.15">
      <c r="A456" s="20" t="str">
        <f t="shared" si="65"/>
        <v>24_6-3/119&lt;lv1&gt;s3</v>
      </c>
      <c r="B456" s="16">
        <f t="shared" si="64"/>
        <v>24</v>
      </c>
      <c r="C456" s="16">
        <f t="shared" si="64"/>
        <v>6</v>
      </c>
      <c r="D456" s="16">
        <f t="shared" si="64"/>
        <v>3</v>
      </c>
      <c r="E456" s="16">
        <f t="shared" si="64"/>
        <v>119</v>
      </c>
      <c r="F456" s="16">
        <f t="shared" si="64"/>
        <v>1</v>
      </c>
      <c r="G456" s="16">
        <f t="shared" si="64"/>
        <v>1</v>
      </c>
      <c r="H456" s="16">
        <f t="shared" si="64"/>
        <v>1</v>
      </c>
      <c r="I456" s="16">
        <f t="shared" si="64"/>
        <v>0</v>
      </c>
      <c r="J456" s="16">
        <f t="shared" si="64"/>
        <v>0</v>
      </c>
      <c r="K456" s="16">
        <f t="shared" si="64"/>
        <v>0</v>
      </c>
      <c r="L456" s="16">
        <f t="shared" si="64"/>
        <v>100</v>
      </c>
      <c r="M456" s="16">
        <f t="shared" si="64"/>
        <v>0</v>
      </c>
      <c r="N456" s="16">
        <f t="shared" si="64"/>
        <v>3</v>
      </c>
      <c r="O456" s="16">
        <f t="shared" si="64"/>
        <v>119</v>
      </c>
      <c r="P456" s="16">
        <f t="shared" si="64"/>
        <v>1</v>
      </c>
      <c r="Q456" s="16">
        <f t="shared" si="64"/>
        <v>5</v>
      </c>
      <c r="R456" s="16">
        <f t="shared" si="63"/>
        <v>100</v>
      </c>
      <c r="S456" s="16">
        <f t="shared" si="63"/>
        <v>0</v>
      </c>
      <c r="T456" s="16">
        <f t="shared" si="63"/>
        <v>0</v>
      </c>
      <c r="U456" s="16">
        <f t="shared" si="63"/>
        <v>0</v>
      </c>
      <c r="V456" s="16">
        <f t="shared" si="63"/>
        <v>0</v>
      </c>
      <c r="W456" s="16">
        <f t="shared" si="63"/>
        <v>1</v>
      </c>
      <c r="X456" s="16" t="str">
        <f t="shared" si="63"/>
        <v>null</v>
      </c>
    </row>
    <row r="457" spans="1:24" x14ac:dyDescent="0.15">
      <c r="A457" s="20" t="str">
        <f t="shared" si="65"/>
        <v>24_6-4/346&lt;lv1&gt;s3</v>
      </c>
      <c r="B457" s="16">
        <f t="shared" si="64"/>
        <v>24</v>
      </c>
      <c r="C457" s="16">
        <f t="shared" si="64"/>
        <v>6</v>
      </c>
      <c r="D457" s="16">
        <f t="shared" si="64"/>
        <v>4</v>
      </c>
      <c r="E457" s="16">
        <f t="shared" si="64"/>
        <v>346</v>
      </c>
      <c r="F457" s="16">
        <f t="shared" si="64"/>
        <v>1</v>
      </c>
      <c r="G457" s="16">
        <f t="shared" si="64"/>
        <v>1</v>
      </c>
      <c r="H457" s="16">
        <f t="shared" si="64"/>
        <v>1</v>
      </c>
      <c r="I457" s="16">
        <f t="shared" si="64"/>
        <v>0</v>
      </c>
      <c r="J457" s="16">
        <f t="shared" si="64"/>
        <v>0</v>
      </c>
      <c r="K457" s="16">
        <f t="shared" si="64"/>
        <v>1</v>
      </c>
      <c r="L457" s="16">
        <f t="shared" si="64"/>
        <v>100</v>
      </c>
      <c r="M457" s="16">
        <f t="shared" si="64"/>
        <v>0</v>
      </c>
      <c r="N457" s="16">
        <f t="shared" si="64"/>
        <v>3</v>
      </c>
      <c r="O457" s="16">
        <f t="shared" si="64"/>
        <v>346</v>
      </c>
      <c r="P457" s="16">
        <f t="shared" si="64"/>
        <v>1</v>
      </c>
      <c r="Q457" s="16">
        <f t="shared" si="64"/>
        <v>5</v>
      </c>
      <c r="R457" s="16">
        <f t="shared" si="63"/>
        <v>0</v>
      </c>
      <c r="S457" s="16">
        <f t="shared" si="63"/>
        <v>0</v>
      </c>
      <c r="T457" s="16">
        <f t="shared" si="63"/>
        <v>0</v>
      </c>
      <c r="U457" s="16">
        <f t="shared" si="63"/>
        <v>0</v>
      </c>
      <c r="V457" s="16">
        <f t="shared" si="63"/>
        <v>0</v>
      </c>
      <c r="W457" s="16">
        <f t="shared" si="63"/>
        <v>1</v>
      </c>
      <c r="X457" s="16" t="str">
        <f t="shared" si="63"/>
        <v>null</v>
      </c>
    </row>
    <row r="458" spans="1:24" x14ac:dyDescent="0.15">
      <c r="A458" s="20" t="str">
        <f t="shared" si="65"/>
        <v>24_6-4/338&lt;lv1&gt;s3</v>
      </c>
      <c r="B458" s="16">
        <f t="shared" si="64"/>
        <v>24</v>
      </c>
      <c r="C458" s="16">
        <f t="shared" si="64"/>
        <v>6</v>
      </c>
      <c r="D458" s="16">
        <f t="shared" si="64"/>
        <v>4</v>
      </c>
      <c r="E458" s="16">
        <f t="shared" si="64"/>
        <v>338</v>
      </c>
      <c r="F458" s="16">
        <f t="shared" si="64"/>
        <v>1</v>
      </c>
      <c r="G458" s="16">
        <f t="shared" si="64"/>
        <v>1</v>
      </c>
      <c r="H458" s="16">
        <f t="shared" si="64"/>
        <v>1</v>
      </c>
      <c r="I458" s="16">
        <f t="shared" si="64"/>
        <v>0</v>
      </c>
      <c r="J458" s="16">
        <f t="shared" si="64"/>
        <v>0</v>
      </c>
      <c r="K458" s="16">
        <f t="shared" si="64"/>
        <v>1</v>
      </c>
      <c r="L458" s="16">
        <f t="shared" si="64"/>
        <v>100</v>
      </c>
      <c r="M458" s="16">
        <f t="shared" si="64"/>
        <v>0</v>
      </c>
      <c r="N458" s="16">
        <f t="shared" si="64"/>
        <v>3</v>
      </c>
      <c r="O458" s="16">
        <f t="shared" si="64"/>
        <v>338</v>
      </c>
      <c r="P458" s="16">
        <f t="shared" si="64"/>
        <v>1</v>
      </c>
      <c r="Q458" s="16">
        <f t="shared" si="64"/>
        <v>5</v>
      </c>
      <c r="R458" s="16">
        <f t="shared" si="63"/>
        <v>0</v>
      </c>
      <c r="S458" s="16">
        <f t="shared" si="63"/>
        <v>0</v>
      </c>
      <c r="T458" s="16">
        <f t="shared" si="63"/>
        <v>0</v>
      </c>
      <c r="U458" s="16">
        <f t="shared" si="63"/>
        <v>0</v>
      </c>
      <c r="V458" s="16">
        <f t="shared" si="63"/>
        <v>0</v>
      </c>
      <c r="W458" s="16">
        <f t="shared" si="63"/>
        <v>1</v>
      </c>
      <c r="X458" s="16" t="str">
        <f t="shared" si="63"/>
        <v>null</v>
      </c>
    </row>
    <row r="459" spans="1:24" x14ac:dyDescent="0.15">
      <c r="A459" s="20" t="str">
        <f t="shared" si="65"/>
        <v>24_6-4/120&lt;lv1&gt;s4</v>
      </c>
      <c r="B459" s="16">
        <f t="shared" si="64"/>
        <v>24</v>
      </c>
      <c r="C459" s="16">
        <f t="shared" si="64"/>
        <v>6</v>
      </c>
      <c r="D459" s="16">
        <f t="shared" si="64"/>
        <v>4</v>
      </c>
      <c r="E459" s="16">
        <f t="shared" si="64"/>
        <v>120</v>
      </c>
      <c r="F459" s="16">
        <f t="shared" si="64"/>
        <v>1</v>
      </c>
      <c r="G459" s="16">
        <f t="shared" si="64"/>
        <v>1</v>
      </c>
      <c r="H459" s="16">
        <f t="shared" si="64"/>
        <v>1</v>
      </c>
      <c r="I459" s="16">
        <f t="shared" si="64"/>
        <v>0</v>
      </c>
      <c r="J459" s="16">
        <f t="shared" si="64"/>
        <v>0</v>
      </c>
      <c r="K459" s="16">
        <f t="shared" si="64"/>
        <v>1</v>
      </c>
      <c r="L459" s="16">
        <f t="shared" si="64"/>
        <v>100</v>
      </c>
      <c r="M459" s="16">
        <f t="shared" si="64"/>
        <v>1</v>
      </c>
      <c r="N459" s="16">
        <f t="shared" si="64"/>
        <v>4</v>
      </c>
      <c r="O459" s="16">
        <f t="shared" si="64"/>
        <v>120</v>
      </c>
      <c r="P459" s="16">
        <f t="shared" si="64"/>
        <v>1</v>
      </c>
      <c r="Q459" s="16">
        <f t="shared" si="64"/>
        <v>6</v>
      </c>
      <c r="R459" s="16">
        <f t="shared" si="63"/>
        <v>100</v>
      </c>
      <c r="S459" s="16">
        <f t="shared" si="63"/>
        <v>0</v>
      </c>
      <c r="T459" s="16">
        <f t="shared" si="63"/>
        <v>0</v>
      </c>
      <c r="U459" s="16">
        <f t="shared" si="63"/>
        <v>0</v>
      </c>
      <c r="V459" s="16">
        <f t="shared" si="63"/>
        <v>0</v>
      </c>
      <c r="W459" s="16">
        <f t="shared" si="63"/>
        <v>1</v>
      </c>
      <c r="X459" s="16" t="str">
        <f t="shared" si="63"/>
        <v>null</v>
      </c>
    </row>
    <row r="460" spans="1:24" x14ac:dyDescent="0.15">
      <c r="A460" s="20" t="str">
        <f t="shared" si="65"/>
        <v>24_6-5/347&lt;lv1&gt;s4</v>
      </c>
      <c r="B460" s="16">
        <f t="shared" si="64"/>
        <v>24</v>
      </c>
      <c r="C460" s="16">
        <f t="shared" si="64"/>
        <v>6</v>
      </c>
      <c r="D460" s="16">
        <f t="shared" si="64"/>
        <v>5</v>
      </c>
      <c r="E460" s="16">
        <f t="shared" si="64"/>
        <v>347</v>
      </c>
      <c r="F460" s="16">
        <f t="shared" si="64"/>
        <v>1</v>
      </c>
      <c r="G460" s="16">
        <f t="shared" si="64"/>
        <v>1</v>
      </c>
      <c r="H460" s="16">
        <f t="shared" si="64"/>
        <v>1</v>
      </c>
      <c r="I460" s="16">
        <f t="shared" si="64"/>
        <v>0</v>
      </c>
      <c r="J460" s="16">
        <f t="shared" si="64"/>
        <v>0</v>
      </c>
      <c r="K460" s="16">
        <f t="shared" si="64"/>
        <v>1</v>
      </c>
      <c r="L460" s="16">
        <f t="shared" si="64"/>
        <v>100</v>
      </c>
      <c r="M460" s="16">
        <f t="shared" si="64"/>
        <v>0</v>
      </c>
      <c r="N460" s="16">
        <f t="shared" si="64"/>
        <v>4</v>
      </c>
      <c r="O460" s="16">
        <f t="shared" si="64"/>
        <v>347</v>
      </c>
      <c r="P460" s="16">
        <f t="shared" si="64"/>
        <v>1</v>
      </c>
      <c r="Q460" s="16">
        <f t="shared" si="64"/>
        <v>6</v>
      </c>
      <c r="R460" s="16">
        <f t="shared" si="63"/>
        <v>100</v>
      </c>
      <c r="S460" s="16">
        <f t="shared" si="63"/>
        <v>0</v>
      </c>
      <c r="T460" s="16">
        <f t="shared" si="63"/>
        <v>0</v>
      </c>
      <c r="U460" s="16">
        <f t="shared" si="63"/>
        <v>0</v>
      </c>
      <c r="V460" s="16">
        <f t="shared" si="63"/>
        <v>0</v>
      </c>
      <c r="W460" s="16">
        <f t="shared" si="63"/>
        <v>1</v>
      </c>
      <c r="X460" s="16" t="str">
        <f t="shared" si="63"/>
        <v>null</v>
      </c>
    </row>
    <row r="461" spans="1:24" x14ac:dyDescent="0.15">
      <c r="A461" s="20" t="str">
        <f t="shared" si="65"/>
        <v>24_6-5/339&lt;lv1&gt;s4</v>
      </c>
      <c r="B461" s="16">
        <f t="shared" si="64"/>
        <v>24</v>
      </c>
      <c r="C461" s="16">
        <f t="shared" si="64"/>
        <v>6</v>
      </c>
      <c r="D461" s="16">
        <f t="shared" si="64"/>
        <v>5</v>
      </c>
      <c r="E461" s="16">
        <f t="shared" si="64"/>
        <v>339</v>
      </c>
      <c r="F461" s="16">
        <f t="shared" si="64"/>
        <v>1</v>
      </c>
      <c r="G461" s="16">
        <f t="shared" si="64"/>
        <v>1</v>
      </c>
      <c r="H461" s="16">
        <f t="shared" si="64"/>
        <v>1</v>
      </c>
      <c r="I461" s="16">
        <f t="shared" si="64"/>
        <v>0</v>
      </c>
      <c r="J461" s="16">
        <f t="shared" si="64"/>
        <v>0</v>
      </c>
      <c r="K461" s="16">
        <f t="shared" si="64"/>
        <v>1</v>
      </c>
      <c r="L461" s="16">
        <f t="shared" si="64"/>
        <v>100</v>
      </c>
      <c r="M461" s="16">
        <f t="shared" si="64"/>
        <v>0</v>
      </c>
      <c r="N461" s="16">
        <f t="shared" si="64"/>
        <v>4</v>
      </c>
      <c r="O461" s="16">
        <f t="shared" si="64"/>
        <v>339</v>
      </c>
      <c r="P461" s="16">
        <f t="shared" si="64"/>
        <v>1</v>
      </c>
      <c r="Q461" s="16">
        <f t="shared" si="64"/>
        <v>6</v>
      </c>
      <c r="R461" s="16">
        <f t="shared" si="63"/>
        <v>100</v>
      </c>
      <c r="S461" s="16">
        <f t="shared" si="63"/>
        <v>0</v>
      </c>
      <c r="T461" s="16">
        <f t="shared" si="63"/>
        <v>0</v>
      </c>
      <c r="U461" s="16">
        <f t="shared" si="63"/>
        <v>0</v>
      </c>
      <c r="V461" s="16">
        <f t="shared" si="63"/>
        <v>0</v>
      </c>
      <c r="W461" s="16">
        <f t="shared" si="63"/>
        <v>1</v>
      </c>
      <c r="X461" s="16" t="str">
        <f t="shared" si="63"/>
        <v>null</v>
      </c>
    </row>
    <row r="462" spans="1:24" x14ac:dyDescent="0.15">
      <c r="A462" s="20" t="str">
        <f t="shared" si="65"/>
        <v>25_1-1/25&lt;lv46&gt;s3</v>
      </c>
      <c r="B462" s="16">
        <f t="shared" si="64"/>
        <v>25</v>
      </c>
      <c r="C462" s="16">
        <f t="shared" si="64"/>
        <v>1</v>
      </c>
      <c r="D462" s="16">
        <f t="shared" si="64"/>
        <v>1</v>
      </c>
      <c r="E462" s="16">
        <f t="shared" si="64"/>
        <v>25</v>
      </c>
      <c r="F462" s="16">
        <f t="shared" si="64"/>
        <v>46</v>
      </c>
      <c r="G462" s="16">
        <f t="shared" si="64"/>
        <v>1</v>
      </c>
      <c r="H462" s="16">
        <f t="shared" si="64"/>
        <v>1</v>
      </c>
      <c r="I462" s="16">
        <f t="shared" si="64"/>
        <v>0</v>
      </c>
      <c r="J462" s="16">
        <f t="shared" si="64"/>
        <v>0</v>
      </c>
      <c r="K462" s="16">
        <f t="shared" si="64"/>
        <v>0</v>
      </c>
      <c r="L462" s="16">
        <f t="shared" si="64"/>
        <v>100</v>
      </c>
      <c r="M462" s="16">
        <f t="shared" si="64"/>
        <v>0</v>
      </c>
      <c r="N462" s="16">
        <f t="shared" si="64"/>
        <v>3</v>
      </c>
      <c r="O462" s="16">
        <f t="shared" si="64"/>
        <v>25</v>
      </c>
      <c r="P462" s="16">
        <f t="shared" si="64"/>
        <v>7</v>
      </c>
      <c r="Q462" s="16">
        <f t="shared" ref="Q462:W477" si="66">VLOOKUP($A462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462" s="16">
        <f t="shared" si="66"/>
        <v>15</v>
      </c>
      <c r="S462" s="16">
        <f t="shared" si="66"/>
        <v>0</v>
      </c>
      <c r="T462" s="16">
        <f t="shared" si="66"/>
        <v>0</v>
      </c>
      <c r="U462" s="16">
        <f t="shared" si="66"/>
        <v>0</v>
      </c>
      <c r="V462" s="16">
        <f t="shared" si="66"/>
        <v>0</v>
      </c>
      <c r="W462" s="16">
        <f t="shared" si="66"/>
        <v>1</v>
      </c>
      <c r="X462" s="16" t="str">
        <f t="shared" si="63"/>
        <v>null</v>
      </c>
    </row>
    <row r="463" spans="1:24" x14ac:dyDescent="0.15">
      <c r="A463" s="20" t="str">
        <f t="shared" si="65"/>
        <v>25_1-1/37&lt;lv46&gt;s3</v>
      </c>
      <c r="B463" s="16">
        <f t="shared" ref="B463:Q478" si="67">VLOOKUP($A463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463" s="16">
        <f t="shared" si="67"/>
        <v>1</v>
      </c>
      <c r="D463" s="16">
        <f t="shared" si="67"/>
        <v>1</v>
      </c>
      <c r="E463" s="16">
        <f t="shared" si="67"/>
        <v>37</v>
      </c>
      <c r="F463" s="16">
        <f t="shared" si="67"/>
        <v>46</v>
      </c>
      <c r="G463" s="16">
        <f t="shared" si="67"/>
        <v>1</v>
      </c>
      <c r="H463" s="16">
        <f t="shared" si="67"/>
        <v>1</v>
      </c>
      <c r="I463" s="16">
        <f t="shared" si="67"/>
        <v>0</v>
      </c>
      <c r="J463" s="16">
        <f t="shared" si="67"/>
        <v>37</v>
      </c>
      <c r="K463" s="16">
        <f t="shared" si="67"/>
        <v>0</v>
      </c>
      <c r="L463" s="16">
        <f t="shared" si="67"/>
        <v>100</v>
      </c>
      <c r="M463" s="16">
        <f t="shared" si="67"/>
        <v>0</v>
      </c>
      <c r="N463" s="16">
        <f t="shared" si="67"/>
        <v>3</v>
      </c>
      <c r="O463" s="16">
        <f t="shared" si="67"/>
        <v>37</v>
      </c>
      <c r="P463" s="16">
        <f t="shared" si="67"/>
        <v>5</v>
      </c>
      <c r="Q463" s="16">
        <f t="shared" si="67"/>
        <v>2</v>
      </c>
      <c r="R463" s="16">
        <f t="shared" si="66"/>
        <v>20</v>
      </c>
      <c r="S463" s="16">
        <f t="shared" si="66"/>
        <v>0</v>
      </c>
      <c r="T463" s="16">
        <f t="shared" si="66"/>
        <v>0</v>
      </c>
      <c r="U463" s="16">
        <f t="shared" si="66"/>
        <v>0</v>
      </c>
      <c r="V463" s="16">
        <f t="shared" si="66"/>
        <v>0</v>
      </c>
      <c r="W463" s="16">
        <f t="shared" si="66"/>
        <v>1</v>
      </c>
      <c r="X463" s="16" t="str">
        <f t="shared" si="63"/>
        <v>null</v>
      </c>
    </row>
    <row r="464" spans="1:24" x14ac:dyDescent="0.15">
      <c r="A464" s="20" t="str">
        <f t="shared" si="65"/>
        <v>25_1-1/45&lt;lv46&gt;s3</v>
      </c>
      <c r="B464" s="16">
        <f t="shared" si="67"/>
        <v>25</v>
      </c>
      <c r="C464" s="16">
        <f t="shared" si="67"/>
        <v>1</v>
      </c>
      <c r="D464" s="16">
        <f t="shared" si="67"/>
        <v>1</v>
      </c>
      <c r="E464" s="16">
        <f t="shared" si="67"/>
        <v>45</v>
      </c>
      <c r="F464" s="16">
        <f t="shared" si="67"/>
        <v>46</v>
      </c>
      <c r="G464" s="16">
        <f t="shared" si="67"/>
        <v>1</v>
      </c>
      <c r="H464" s="16">
        <f t="shared" si="67"/>
        <v>1</v>
      </c>
      <c r="I464" s="16">
        <f t="shared" si="67"/>
        <v>0</v>
      </c>
      <c r="J464" s="16">
        <f t="shared" si="67"/>
        <v>0</v>
      </c>
      <c r="K464" s="16">
        <f t="shared" si="67"/>
        <v>0</v>
      </c>
      <c r="L464" s="16">
        <f t="shared" si="67"/>
        <v>100</v>
      </c>
      <c r="M464" s="16">
        <f t="shared" si="67"/>
        <v>0</v>
      </c>
      <c r="N464" s="16">
        <f t="shared" si="67"/>
        <v>3</v>
      </c>
      <c r="O464" s="16">
        <f t="shared" si="67"/>
        <v>45</v>
      </c>
      <c r="P464" s="16">
        <f t="shared" si="67"/>
        <v>7</v>
      </c>
      <c r="Q464" s="16">
        <f t="shared" si="67"/>
        <v>2</v>
      </c>
      <c r="R464" s="16">
        <f t="shared" si="66"/>
        <v>20</v>
      </c>
      <c r="S464" s="16">
        <f t="shared" si="66"/>
        <v>0</v>
      </c>
      <c r="T464" s="16">
        <f t="shared" si="66"/>
        <v>0</v>
      </c>
      <c r="U464" s="16">
        <f t="shared" si="66"/>
        <v>0</v>
      </c>
      <c r="V464" s="16">
        <f t="shared" si="66"/>
        <v>0</v>
      </c>
      <c r="W464" s="16">
        <f t="shared" si="66"/>
        <v>1</v>
      </c>
      <c r="X464" s="16" t="str">
        <f t="shared" si="63"/>
        <v>null</v>
      </c>
    </row>
    <row r="465" spans="1:24" x14ac:dyDescent="0.15">
      <c r="A465" s="20" t="str">
        <f t="shared" si="65"/>
        <v>25_1-1/61&lt;lv46&gt;s2</v>
      </c>
      <c r="B465" s="16">
        <f t="shared" si="67"/>
        <v>25</v>
      </c>
      <c r="C465" s="16">
        <f t="shared" si="67"/>
        <v>1</v>
      </c>
      <c r="D465" s="16">
        <f t="shared" si="67"/>
        <v>1</v>
      </c>
      <c r="E465" s="16">
        <f t="shared" si="67"/>
        <v>61</v>
      </c>
      <c r="F465" s="16">
        <f t="shared" si="67"/>
        <v>46</v>
      </c>
      <c r="G465" s="16">
        <f t="shared" si="67"/>
        <v>1</v>
      </c>
      <c r="H465" s="16">
        <f t="shared" si="67"/>
        <v>1</v>
      </c>
      <c r="I465" s="16">
        <f t="shared" si="67"/>
        <v>0</v>
      </c>
      <c r="J465" s="16">
        <f t="shared" si="67"/>
        <v>61</v>
      </c>
      <c r="K465" s="16">
        <f t="shared" si="67"/>
        <v>0</v>
      </c>
      <c r="L465" s="16">
        <f t="shared" si="67"/>
        <v>100</v>
      </c>
      <c r="M465" s="16">
        <f t="shared" si="67"/>
        <v>0</v>
      </c>
      <c r="N465" s="16">
        <f t="shared" si="67"/>
        <v>2</v>
      </c>
      <c r="O465" s="16">
        <f t="shared" si="67"/>
        <v>61</v>
      </c>
      <c r="P465" s="16">
        <f t="shared" si="67"/>
        <v>7</v>
      </c>
      <c r="Q465" s="16">
        <f t="shared" si="67"/>
        <v>2</v>
      </c>
      <c r="R465" s="16">
        <f t="shared" si="66"/>
        <v>20</v>
      </c>
      <c r="S465" s="16">
        <f t="shared" si="66"/>
        <v>0</v>
      </c>
      <c r="T465" s="16">
        <f t="shared" si="66"/>
        <v>0</v>
      </c>
      <c r="U465" s="16">
        <f t="shared" si="66"/>
        <v>0</v>
      </c>
      <c r="V465" s="16">
        <f t="shared" si="66"/>
        <v>0</v>
      </c>
      <c r="W465" s="16">
        <f t="shared" si="66"/>
        <v>1</v>
      </c>
      <c r="X465" s="16" t="str">
        <f t="shared" si="63"/>
        <v>null</v>
      </c>
    </row>
    <row r="466" spans="1:24" x14ac:dyDescent="0.15">
      <c r="A466" s="20" t="str">
        <f t="shared" si="65"/>
        <v>25_1-1/17&lt;lv46&gt;s2</v>
      </c>
      <c r="B466" s="16">
        <f t="shared" si="67"/>
        <v>25</v>
      </c>
      <c r="C466" s="16">
        <f t="shared" si="67"/>
        <v>1</v>
      </c>
      <c r="D466" s="16">
        <f t="shared" si="67"/>
        <v>1</v>
      </c>
      <c r="E466" s="16">
        <f t="shared" si="67"/>
        <v>17</v>
      </c>
      <c r="F466" s="16">
        <f t="shared" si="67"/>
        <v>46</v>
      </c>
      <c r="G466" s="16">
        <f t="shared" si="67"/>
        <v>1</v>
      </c>
      <c r="H466" s="16">
        <f t="shared" si="67"/>
        <v>1</v>
      </c>
      <c r="I466" s="16">
        <f t="shared" si="67"/>
        <v>0</v>
      </c>
      <c r="J466" s="16">
        <f t="shared" si="67"/>
        <v>0</v>
      </c>
      <c r="K466" s="16">
        <f t="shared" si="67"/>
        <v>0</v>
      </c>
      <c r="L466" s="16">
        <f t="shared" si="67"/>
        <v>100</v>
      </c>
      <c r="M466" s="16">
        <f t="shared" si="67"/>
        <v>0</v>
      </c>
      <c r="N466" s="16">
        <f t="shared" si="67"/>
        <v>2</v>
      </c>
      <c r="O466" s="16">
        <f t="shared" si="67"/>
        <v>17</v>
      </c>
      <c r="P466" s="16">
        <f t="shared" si="67"/>
        <v>9</v>
      </c>
      <c r="Q466" s="16">
        <f t="shared" si="67"/>
        <v>1</v>
      </c>
      <c r="R466" s="16">
        <f t="shared" si="66"/>
        <v>15</v>
      </c>
      <c r="S466" s="16">
        <f t="shared" si="66"/>
        <v>0</v>
      </c>
      <c r="T466" s="16">
        <f t="shared" si="66"/>
        <v>0</v>
      </c>
      <c r="U466" s="16">
        <f t="shared" si="66"/>
        <v>0</v>
      </c>
      <c r="V466" s="16">
        <f t="shared" si="66"/>
        <v>0</v>
      </c>
      <c r="W466" s="16">
        <f t="shared" si="66"/>
        <v>1</v>
      </c>
      <c r="X466" s="16" t="str">
        <f t="shared" si="63"/>
        <v>null</v>
      </c>
    </row>
    <row r="467" spans="1:24" x14ac:dyDescent="0.15">
      <c r="A467" s="20" t="str">
        <f t="shared" si="65"/>
        <v>25_1-1/53&lt;lv46&gt;s2</v>
      </c>
      <c r="B467" s="16">
        <f t="shared" si="67"/>
        <v>25</v>
      </c>
      <c r="C467" s="16">
        <f t="shared" si="67"/>
        <v>1</v>
      </c>
      <c r="D467" s="16">
        <f t="shared" si="67"/>
        <v>1</v>
      </c>
      <c r="E467" s="16">
        <f t="shared" si="67"/>
        <v>53</v>
      </c>
      <c r="F467" s="16">
        <f t="shared" si="67"/>
        <v>46</v>
      </c>
      <c r="G467" s="16">
        <f t="shared" si="67"/>
        <v>1</v>
      </c>
      <c r="H467" s="16">
        <f t="shared" si="67"/>
        <v>1</v>
      </c>
      <c r="I467" s="16">
        <f t="shared" si="67"/>
        <v>0</v>
      </c>
      <c r="J467" s="16">
        <f t="shared" si="67"/>
        <v>53</v>
      </c>
      <c r="K467" s="16">
        <f t="shared" si="67"/>
        <v>0</v>
      </c>
      <c r="L467" s="16">
        <f t="shared" si="67"/>
        <v>100</v>
      </c>
      <c r="M467" s="16">
        <f t="shared" si="67"/>
        <v>0</v>
      </c>
      <c r="N467" s="16">
        <f t="shared" si="67"/>
        <v>2</v>
      </c>
      <c r="O467" s="16">
        <f t="shared" si="67"/>
        <v>53</v>
      </c>
      <c r="P467" s="16">
        <f t="shared" si="67"/>
        <v>7</v>
      </c>
      <c r="Q467" s="16">
        <f t="shared" si="67"/>
        <v>2</v>
      </c>
      <c r="R467" s="16">
        <f t="shared" si="66"/>
        <v>20</v>
      </c>
      <c r="S467" s="16">
        <f t="shared" si="66"/>
        <v>0</v>
      </c>
      <c r="T467" s="16">
        <f t="shared" si="66"/>
        <v>0</v>
      </c>
      <c r="U467" s="16">
        <f t="shared" si="66"/>
        <v>0</v>
      </c>
      <c r="V467" s="16">
        <f t="shared" si="66"/>
        <v>0</v>
      </c>
      <c r="W467" s="16">
        <f t="shared" si="66"/>
        <v>1</v>
      </c>
      <c r="X467" s="16" t="str">
        <f t="shared" si="63"/>
        <v>null</v>
      </c>
    </row>
    <row r="468" spans="1:24" x14ac:dyDescent="0.15">
      <c r="A468" s="20" t="str">
        <f t="shared" si="65"/>
        <v>25_1-1/364&lt;lv46&gt;s3</v>
      </c>
      <c r="B468" s="16">
        <f t="shared" si="67"/>
        <v>25</v>
      </c>
      <c r="C468" s="16">
        <f t="shared" si="67"/>
        <v>1</v>
      </c>
      <c r="D468" s="16">
        <f t="shared" si="67"/>
        <v>1</v>
      </c>
      <c r="E468" s="16">
        <f t="shared" si="67"/>
        <v>364</v>
      </c>
      <c r="F468" s="16">
        <f t="shared" si="67"/>
        <v>46</v>
      </c>
      <c r="G468" s="16">
        <f t="shared" si="67"/>
        <v>1</v>
      </c>
      <c r="H468" s="16">
        <f t="shared" si="67"/>
        <v>1</v>
      </c>
      <c r="I468" s="16">
        <f t="shared" si="67"/>
        <v>0</v>
      </c>
      <c r="J468" s="16">
        <f t="shared" si="67"/>
        <v>364</v>
      </c>
      <c r="K468" s="16">
        <f t="shared" si="67"/>
        <v>0</v>
      </c>
      <c r="L468" s="16">
        <f t="shared" si="67"/>
        <v>100</v>
      </c>
      <c r="M468" s="16">
        <f t="shared" si="67"/>
        <v>0</v>
      </c>
      <c r="N468" s="16">
        <f t="shared" si="67"/>
        <v>3</v>
      </c>
      <c r="O468" s="16">
        <f t="shared" si="67"/>
        <v>364</v>
      </c>
      <c r="P468" s="16">
        <f t="shared" si="67"/>
        <v>7</v>
      </c>
      <c r="Q468" s="16">
        <f t="shared" si="67"/>
        <v>2</v>
      </c>
      <c r="R468" s="16">
        <f t="shared" si="66"/>
        <v>20</v>
      </c>
      <c r="S468" s="16">
        <f t="shared" si="66"/>
        <v>0</v>
      </c>
      <c r="T468" s="16">
        <f t="shared" si="66"/>
        <v>0</v>
      </c>
      <c r="U468" s="16">
        <f t="shared" si="66"/>
        <v>0</v>
      </c>
      <c r="V468" s="16">
        <f t="shared" si="66"/>
        <v>0</v>
      </c>
      <c r="W468" s="16">
        <f t="shared" si="66"/>
        <v>1</v>
      </c>
      <c r="X468" s="16" t="str">
        <f t="shared" si="63"/>
        <v>null</v>
      </c>
    </row>
    <row r="469" spans="1:24" x14ac:dyDescent="0.15">
      <c r="A469" s="20" t="str">
        <f t="shared" si="65"/>
        <v>25_1-1/352&lt;lv46&gt;s3</v>
      </c>
      <c r="B469" s="16">
        <f t="shared" si="67"/>
        <v>25</v>
      </c>
      <c r="C469" s="16">
        <f t="shared" si="67"/>
        <v>1</v>
      </c>
      <c r="D469" s="16">
        <f t="shared" si="67"/>
        <v>1</v>
      </c>
      <c r="E469" s="16">
        <f t="shared" si="67"/>
        <v>352</v>
      </c>
      <c r="F469" s="16">
        <f t="shared" si="67"/>
        <v>46</v>
      </c>
      <c r="G469" s="16">
        <f t="shared" si="67"/>
        <v>1</v>
      </c>
      <c r="H469" s="16">
        <f t="shared" si="67"/>
        <v>1</v>
      </c>
      <c r="I469" s="16">
        <f t="shared" si="67"/>
        <v>0</v>
      </c>
      <c r="J469" s="16">
        <f t="shared" si="67"/>
        <v>352</v>
      </c>
      <c r="K469" s="16">
        <f t="shared" si="67"/>
        <v>0</v>
      </c>
      <c r="L469" s="16">
        <f t="shared" si="67"/>
        <v>100</v>
      </c>
      <c r="M469" s="16">
        <f t="shared" si="67"/>
        <v>0</v>
      </c>
      <c r="N469" s="16">
        <f t="shared" si="67"/>
        <v>3</v>
      </c>
      <c r="O469" s="16">
        <f t="shared" si="67"/>
        <v>352</v>
      </c>
      <c r="P469" s="16">
        <f t="shared" si="67"/>
        <v>1</v>
      </c>
      <c r="Q469" s="16">
        <f t="shared" si="67"/>
        <v>2</v>
      </c>
      <c r="R469" s="16">
        <f t="shared" si="66"/>
        <v>36</v>
      </c>
      <c r="S469" s="16">
        <f t="shared" si="66"/>
        <v>0</v>
      </c>
      <c r="T469" s="16">
        <f t="shared" si="66"/>
        <v>0</v>
      </c>
      <c r="U469" s="16">
        <f t="shared" si="66"/>
        <v>0</v>
      </c>
      <c r="V469" s="16">
        <f t="shared" si="66"/>
        <v>0</v>
      </c>
      <c r="W469" s="16">
        <f t="shared" si="66"/>
        <v>1</v>
      </c>
      <c r="X469" s="16" t="str">
        <f t="shared" si="63"/>
        <v>null</v>
      </c>
    </row>
    <row r="470" spans="1:24" x14ac:dyDescent="0.15">
      <c r="A470" s="20" t="str">
        <f t="shared" si="65"/>
        <v>25_1-2/13&lt;lv46&gt;s2</v>
      </c>
      <c r="B470" s="16">
        <f t="shared" si="67"/>
        <v>25</v>
      </c>
      <c r="C470" s="16">
        <f t="shared" si="67"/>
        <v>1</v>
      </c>
      <c r="D470" s="16">
        <f t="shared" si="67"/>
        <v>2</v>
      </c>
      <c r="E470" s="16">
        <f t="shared" si="67"/>
        <v>13</v>
      </c>
      <c r="F470" s="16">
        <f t="shared" si="67"/>
        <v>46</v>
      </c>
      <c r="G470" s="16">
        <f t="shared" si="67"/>
        <v>1</v>
      </c>
      <c r="H470" s="16">
        <f t="shared" si="67"/>
        <v>1</v>
      </c>
      <c r="I470" s="16">
        <f t="shared" si="67"/>
        <v>0</v>
      </c>
      <c r="J470" s="16">
        <f t="shared" si="67"/>
        <v>0</v>
      </c>
      <c r="K470" s="16">
        <f t="shared" si="67"/>
        <v>0</v>
      </c>
      <c r="L470" s="16">
        <f t="shared" si="67"/>
        <v>100</v>
      </c>
      <c r="M470" s="16">
        <f t="shared" si="67"/>
        <v>0</v>
      </c>
      <c r="N470" s="16">
        <f t="shared" si="67"/>
        <v>2</v>
      </c>
      <c r="O470" s="16">
        <f t="shared" si="67"/>
        <v>13</v>
      </c>
      <c r="P470" s="16">
        <f t="shared" si="67"/>
        <v>9</v>
      </c>
      <c r="Q470" s="16">
        <f t="shared" si="67"/>
        <v>1</v>
      </c>
      <c r="R470" s="16">
        <f t="shared" si="66"/>
        <v>15</v>
      </c>
      <c r="S470" s="16">
        <f t="shared" si="66"/>
        <v>0</v>
      </c>
      <c r="T470" s="16">
        <f t="shared" si="66"/>
        <v>0</v>
      </c>
      <c r="U470" s="16">
        <f t="shared" si="66"/>
        <v>0</v>
      </c>
      <c r="V470" s="16">
        <f t="shared" si="66"/>
        <v>0</v>
      </c>
      <c r="W470" s="16">
        <f t="shared" si="66"/>
        <v>1</v>
      </c>
      <c r="X470" s="16" t="str">
        <f t="shared" si="63"/>
        <v>null</v>
      </c>
    </row>
    <row r="471" spans="1:24" x14ac:dyDescent="0.15">
      <c r="A471" s="20" t="str">
        <f t="shared" si="65"/>
        <v>25_1-2/47&lt;lv46&gt;s1</v>
      </c>
      <c r="B471" s="16">
        <f t="shared" si="67"/>
        <v>25</v>
      </c>
      <c r="C471" s="16">
        <f t="shared" si="67"/>
        <v>1</v>
      </c>
      <c r="D471" s="16">
        <f t="shared" si="67"/>
        <v>2</v>
      </c>
      <c r="E471" s="16">
        <f t="shared" si="67"/>
        <v>47</v>
      </c>
      <c r="F471" s="16">
        <f t="shared" si="67"/>
        <v>46</v>
      </c>
      <c r="G471" s="16">
        <f t="shared" si="67"/>
        <v>1</v>
      </c>
      <c r="H471" s="16">
        <f t="shared" si="67"/>
        <v>1</v>
      </c>
      <c r="I471" s="16">
        <f t="shared" si="67"/>
        <v>0</v>
      </c>
      <c r="J471" s="16">
        <f t="shared" si="67"/>
        <v>0</v>
      </c>
      <c r="K471" s="16">
        <f t="shared" si="67"/>
        <v>0</v>
      </c>
      <c r="L471" s="16">
        <f t="shared" si="67"/>
        <v>100</v>
      </c>
      <c r="M471" s="16">
        <f t="shared" si="67"/>
        <v>0</v>
      </c>
      <c r="N471" s="16">
        <f t="shared" si="67"/>
        <v>1</v>
      </c>
      <c r="O471" s="16">
        <f t="shared" si="67"/>
        <v>47</v>
      </c>
      <c r="P471" s="16">
        <f t="shared" si="67"/>
        <v>7</v>
      </c>
      <c r="Q471" s="16">
        <f t="shared" si="67"/>
        <v>2</v>
      </c>
      <c r="R471" s="16">
        <f t="shared" si="66"/>
        <v>20</v>
      </c>
      <c r="S471" s="16">
        <f t="shared" si="66"/>
        <v>0</v>
      </c>
      <c r="T471" s="16">
        <f t="shared" si="66"/>
        <v>0</v>
      </c>
      <c r="U471" s="16">
        <f t="shared" si="66"/>
        <v>0</v>
      </c>
      <c r="V471" s="16">
        <f t="shared" si="66"/>
        <v>0</v>
      </c>
      <c r="W471" s="16">
        <f t="shared" si="66"/>
        <v>1</v>
      </c>
      <c r="X471" s="16" t="str">
        <f t="shared" si="63"/>
        <v>null</v>
      </c>
    </row>
    <row r="472" spans="1:24" x14ac:dyDescent="0.15">
      <c r="A472" s="20" t="str">
        <f t="shared" si="65"/>
        <v>25_1-2/63&lt;lv46&gt;s2</v>
      </c>
      <c r="B472" s="16">
        <f t="shared" si="67"/>
        <v>25</v>
      </c>
      <c r="C472" s="16">
        <f t="shared" si="67"/>
        <v>1</v>
      </c>
      <c r="D472" s="16">
        <f t="shared" si="67"/>
        <v>2</v>
      </c>
      <c r="E472" s="16">
        <f t="shared" si="67"/>
        <v>63</v>
      </c>
      <c r="F472" s="16">
        <f t="shared" si="67"/>
        <v>46</v>
      </c>
      <c r="G472" s="16">
        <f t="shared" si="67"/>
        <v>1</v>
      </c>
      <c r="H472" s="16">
        <f t="shared" si="67"/>
        <v>1</v>
      </c>
      <c r="I472" s="16">
        <f t="shared" si="67"/>
        <v>0</v>
      </c>
      <c r="J472" s="16">
        <f t="shared" si="67"/>
        <v>63</v>
      </c>
      <c r="K472" s="16">
        <f t="shared" si="67"/>
        <v>0</v>
      </c>
      <c r="L472" s="16">
        <f t="shared" si="67"/>
        <v>100</v>
      </c>
      <c r="M472" s="16">
        <f t="shared" si="67"/>
        <v>0</v>
      </c>
      <c r="N472" s="16">
        <f t="shared" si="67"/>
        <v>2</v>
      </c>
      <c r="O472" s="16">
        <f t="shared" si="67"/>
        <v>63</v>
      </c>
      <c r="P472" s="16">
        <f t="shared" si="67"/>
        <v>7</v>
      </c>
      <c r="Q472" s="16">
        <f t="shared" si="67"/>
        <v>2</v>
      </c>
      <c r="R472" s="16">
        <f t="shared" si="66"/>
        <v>20</v>
      </c>
      <c r="S472" s="16">
        <f t="shared" si="66"/>
        <v>0</v>
      </c>
      <c r="T472" s="16">
        <f t="shared" si="66"/>
        <v>0</v>
      </c>
      <c r="U472" s="16">
        <f t="shared" si="66"/>
        <v>0</v>
      </c>
      <c r="V472" s="16">
        <f t="shared" si="66"/>
        <v>0</v>
      </c>
      <c r="W472" s="16">
        <f t="shared" si="66"/>
        <v>1</v>
      </c>
      <c r="X472" s="16" t="str">
        <f t="shared" si="63"/>
        <v>null</v>
      </c>
    </row>
    <row r="473" spans="1:24" x14ac:dyDescent="0.15">
      <c r="A473" s="20" t="str">
        <f t="shared" si="65"/>
        <v>25_1-2/19&lt;lv46&gt;s3</v>
      </c>
      <c r="B473" s="16">
        <f t="shared" si="67"/>
        <v>25</v>
      </c>
      <c r="C473" s="16">
        <f t="shared" si="67"/>
        <v>1</v>
      </c>
      <c r="D473" s="16">
        <f t="shared" si="67"/>
        <v>2</v>
      </c>
      <c r="E473" s="16">
        <f t="shared" si="67"/>
        <v>19</v>
      </c>
      <c r="F473" s="16">
        <f t="shared" si="67"/>
        <v>46</v>
      </c>
      <c r="G473" s="16">
        <f t="shared" si="67"/>
        <v>1</v>
      </c>
      <c r="H473" s="16">
        <f t="shared" si="67"/>
        <v>1</v>
      </c>
      <c r="I473" s="16">
        <f t="shared" si="67"/>
        <v>0</v>
      </c>
      <c r="J473" s="16">
        <f t="shared" si="67"/>
        <v>0</v>
      </c>
      <c r="K473" s="16">
        <f t="shared" si="67"/>
        <v>0</v>
      </c>
      <c r="L473" s="16">
        <f t="shared" si="67"/>
        <v>100</v>
      </c>
      <c r="M473" s="16">
        <f t="shared" si="67"/>
        <v>0</v>
      </c>
      <c r="N473" s="16">
        <f t="shared" si="67"/>
        <v>3</v>
      </c>
      <c r="O473" s="16">
        <f t="shared" si="67"/>
        <v>19</v>
      </c>
      <c r="P473" s="16">
        <f t="shared" si="67"/>
        <v>9</v>
      </c>
      <c r="Q473" s="16">
        <f t="shared" si="67"/>
        <v>1</v>
      </c>
      <c r="R473" s="16">
        <f t="shared" si="66"/>
        <v>15</v>
      </c>
      <c r="S473" s="16">
        <f t="shared" si="66"/>
        <v>0</v>
      </c>
      <c r="T473" s="16">
        <f t="shared" si="66"/>
        <v>0</v>
      </c>
      <c r="U473" s="16">
        <f t="shared" si="66"/>
        <v>0</v>
      </c>
      <c r="V473" s="16">
        <f t="shared" si="66"/>
        <v>0</v>
      </c>
      <c r="W473" s="16">
        <f t="shared" si="66"/>
        <v>1</v>
      </c>
      <c r="X473" s="16" t="str">
        <f t="shared" si="63"/>
        <v>null</v>
      </c>
    </row>
    <row r="474" spans="1:24" x14ac:dyDescent="0.15">
      <c r="A474" s="20" t="str">
        <f t="shared" si="65"/>
        <v>25_1-2/39&lt;lv46&gt;s3</v>
      </c>
      <c r="B474" s="16">
        <f t="shared" si="67"/>
        <v>25</v>
      </c>
      <c r="C474" s="16">
        <f t="shared" si="67"/>
        <v>1</v>
      </c>
      <c r="D474" s="16">
        <f t="shared" si="67"/>
        <v>2</v>
      </c>
      <c r="E474" s="16">
        <f t="shared" si="67"/>
        <v>39</v>
      </c>
      <c r="F474" s="16">
        <f t="shared" si="67"/>
        <v>46</v>
      </c>
      <c r="G474" s="16">
        <f t="shared" si="67"/>
        <v>1</v>
      </c>
      <c r="H474" s="16">
        <f t="shared" si="67"/>
        <v>1</v>
      </c>
      <c r="I474" s="16">
        <f t="shared" si="67"/>
        <v>0</v>
      </c>
      <c r="J474" s="16">
        <f t="shared" si="67"/>
        <v>39</v>
      </c>
      <c r="K474" s="16">
        <f t="shared" si="67"/>
        <v>0</v>
      </c>
      <c r="L474" s="16">
        <f t="shared" si="67"/>
        <v>100</v>
      </c>
      <c r="M474" s="16">
        <f t="shared" si="67"/>
        <v>0</v>
      </c>
      <c r="N474" s="16">
        <f t="shared" si="67"/>
        <v>3</v>
      </c>
      <c r="O474" s="16">
        <f t="shared" si="67"/>
        <v>39</v>
      </c>
      <c r="P474" s="16">
        <f t="shared" si="67"/>
        <v>5</v>
      </c>
      <c r="Q474" s="16">
        <f t="shared" si="67"/>
        <v>2</v>
      </c>
      <c r="R474" s="16">
        <f t="shared" si="66"/>
        <v>20</v>
      </c>
      <c r="S474" s="16">
        <f t="shared" si="66"/>
        <v>0</v>
      </c>
      <c r="T474" s="16">
        <f t="shared" si="66"/>
        <v>0</v>
      </c>
      <c r="U474" s="16">
        <f t="shared" si="66"/>
        <v>0</v>
      </c>
      <c r="V474" s="16">
        <f t="shared" si="66"/>
        <v>0</v>
      </c>
      <c r="W474" s="16">
        <f t="shared" si="66"/>
        <v>1</v>
      </c>
      <c r="X474" s="16" t="str">
        <f t="shared" si="63"/>
        <v>null</v>
      </c>
    </row>
    <row r="475" spans="1:24" x14ac:dyDescent="0.15">
      <c r="A475" s="20" t="str">
        <f t="shared" si="65"/>
        <v>25_1-2/55&lt;lv46&gt;s4</v>
      </c>
      <c r="B475" s="16">
        <f t="shared" si="67"/>
        <v>25</v>
      </c>
      <c r="C475" s="16">
        <f t="shared" si="67"/>
        <v>1</v>
      </c>
      <c r="D475" s="16">
        <f t="shared" si="67"/>
        <v>2</v>
      </c>
      <c r="E475" s="16">
        <f t="shared" si="67"/>
        <v>55</v>
      </c>
      <c r="F475" s="16">
        <f t="shared" si="67"/>
        <v>46</v>
      </c>
      <c r="G475" s="16">
        <f t="shared" si="67"/>
        <v>1</v>
      </c>
      <c r="H475" s="16">
        <f t="shared" si="67"/>
        <v>1</v>
      </c>
      <c r="I475" s="16">
        <f t="shared" si="67"/>
        <v>0</v>
      </c>
      <c r="J475" s="16">
        <f t="shared" si="67"/>
        <v>55</v>
      </c>
      <c r="K475" s="16">
        <f t="shared" si="67"/>
        <v>0</v>
      </c>
      <c r="L475" s="16">
        <f t="shared" si="67"/>
        <v>100</v>
      </c>
      <c r="M475" s="16">
        <f t="shared" si="67"/>
        <v>0</v>
      </c>
      <c r="N475" s="16">
        <f t="shared" si="67"/>
        <v>4</v>
      </c>
      <c r="O475" s="16">
        <f t="shared" si="67"/>
        <v>55</v>
      </c>
      <c r="P475" s="16">
        <f t="shared" si="67"/>
        <v>7</v>
      </c>
      <c r="Q475" s="16">
        <f t="shared" si="67"/>
        <v>2</v>
      </c>
      <c r="R475" s="16">
        <f t="shared" si="66"/>
        <v>20</v>
      </c>
      <c r="S475" s="16">
        <f t="shared" si="66"/>
        <v>0</v>
      </c>
      <c r="T475" s="16">
        <f t="shared" si="66"/>
        <v>0</v>
      </c>
      <c r="U475" s="16">
        <f t="shared" si="66"/>
        <v>0</v>
      </c>
      <c r="V475" s="16">
        <f t="shared" si="66"/>
        <v>0</v>
      </c>
      <c r="W475" s="16">
        <f t="shared" si="66"/>
        <v>1</v>
      </c>
      <c r="X475" s="16" t="str">
        <f t="shared" si="63"/>
        <v>null</v>
      </c>
    </row>
    <row r="476" spans="1:24" x14ac:dyDescent="0.15">
      <c r="A476" s="20" t="str">
        <f t="shared" si="65"/>
        <v>25_1-2/366&lt;lv46&gt;s3</v>
      </c>
      <c r="B476" s="16">
        <f t="shared" si="67"/>
        <v>25</v>
      </c>
      <c r="C476" s="16">
        <f t="shared" si="67"/>
        <v>1</v>
      </c>
      <c r="D476" s="16">
        <f t="shared" si="67"/>
        <v>2</v>
      </c>
      <c r="E476" s="16">
        <f t="shared" si="67"/>
        <v>366</v>
      </c>
      <c r="F476" s="16">
        <f t="shared" si="67"/>
        <v>46</v>
      </c>
      <c r="G476" s="16">
        <f t="shared" si="67"/>
        <v>1</v>
      </c>
      <c r="H476" s="16">
        <f t="shared" si="67"/>
        <v>1</v>
      </c>
      <c r="I476" s="16">
        <f t="shared" si="67"/>
        <v>0</v>
      </c>
      <c r="J476" s="16">
        <f t="shared" si="67"/>
        <v>366</v>
      </c>
      <c r="K476" s="16">
        <f t="shared" si="67"/>
        <v>0</v>
      </c>
      <c r="L476" s="16">
        <f t="shared" si="67"/>
        <v>100</v>
      </c>
      <c r="M476" s="16">
        <f t="shared" si="67"/>
        <v>0</v>
      </c>
      <c r="N476" s="16">
        <f t="shared" si="67"/>
        <v>3</v>
      </c>
      <c r="O476" s="16">
        <f t="shared" si="67"/>
        <v>366</v>
      </c>
      <c r="P476" s="16">
        <f t="shared" si="67"/>
        <v>7</v>
      </c>
      <c r="Q476" s="16">
        <f t="shared" si="67"/>
        <v>2</v>
      </c>
      <c r="R476" s="16">
        <f t="shared" si="66"/>
        <v>20</v>
      </c>
      <c r="S476" s="16">
        <f t="shared" si="66"/>
        <v>0</v>
      </c>
      <c r="T476" s="16">
        <f t="shared" si="66"/>
        <v>0</v>
      </c>
      <c r="U476" s="16">
        <f t="shared" si="66"/>
        <v>0</v>
      </c>
      <c r="V476" s="16">
        <f t="shared" si="66"/>
        <v>0</v>
      </c>
      <c r="W476" s="16">
        <f t="shared" si="66"/>
        <v>1</v>
      </c>
      <c r="X476" s="16" t="str">
        <f t="shared" si="63"/>
        <v>null</v>
      </c>
    </row>
    <row r="477" spans="1:24" x14ac:dyDescent="0.15">
      <c r="A477" s="20" t="str">
        <f t="shared" si="65"/>
        <v>25_1-2/354&lt;lv46&gt;s3</v>
      </c>
      <c r="B477" s="16">
        <f t="shared" si="67"/>
        <v>25</v>
      </c>
      <c r="C477" s="16">
        <f t="shared" si="67"/>
        <v>1</v>
      </c>
      <c r="D477" s="16">
        <f t="shared" si="67"/>
        <v>2</v>
      </c>
      <c r="E477" s="16">
        <f t="shared" si="67"/>
        <v>354</v>
      </c>
      <c r="F477" s="16">
        <f t="shared" si="67"/>
        <v>46</v>
      </c>
      <c r="G477" s="16">
        <f t="shared" si="67"/>
        <v>1</v>
      </c>
      <c r="H477" s="16">
        <f t="shared" si="67"/>
        <v>1</v>
      </c>
      <c r="I477" s="16">
        <f t="shared" si="67"/>
        <v>0</v>
      </c>
      <c r="J477" s="16">
        <f t="shared" si="67"/>
        <v>354</v>
      </c>
      <c r="K477" s="16">
        <f t="shared" si="67"/>
        <v>0</v>
      </c>
      <c r="L477" s="16">
        <f t="shared" si="67"/>
        <v>100</v>
      </c>
      <c r="M477" s="16">
        <f t="shared" si="67"/>
        <v>0</v>
      </c>
      <c r="N477" s="16">
        <f t="shared" si="67"/>
        <v>3</v>
      </c>
      <c r="O477" s="16">
        <f t="shared" si="67"/>
        <v>354</v>
      </c>
      <c r="P477" s="16">
        <f t="shared" si="67"/>
        <v>1</v>
      </c>
      <c r="Q477" s="16">
        <f t="shared" si="67"/>
        <v>2</v>
      </c>
      <c r="R477" s="16">
        <f t="shared" si="66"/>
        <v>36</v>
      </c>
      <c r="S477" s="16">
        <f t="shared" si="66"/>
        <v>0</v>
      </c>
      <c r="T477" s="16">
        <f t="shared" si="66"/>
        <v>0</v>
      </c>
      <c r="U477" s="16">
        <f t="shared" si="66"/>
        <v>0</v>
      </c>
      <c r="V477" s="16">
        <f t="shared" si="66"/>
        <v>0</v>
      </c>
      <c r="W477" s="16">
        <f t="shared" si="66"/>
        <v>1</v>
      </c>
      <c r="X477" s="16" t="str">
        <f t="shared" si="63"/>
        <v>null</v>
      </c>
    </row>
    <row r="478" spans="1:24" x14ac:dyDescent="0.15">
      <c r="A478" s="20" t="str">
        <f t="shared" si="65"/>
        <v>25_1-3/13&lt;lv46&gt;s2</v>
      </c>
      <c r="B478" s="16">
        <f t="shared" si="67"/>
        <v>25</v>
      </c>
      <c r="C478" s="16">
        <f t="shared" si="67"/>
        <v>1</v>
      </c>
      <c r="D478" s="16">
        <f t="shared" si="67"/>
        <v>3</v>
      </c>
      <c r="E478" s="16">
        <f t="shared" si="67"/>
        <v>13</v>
      </c>
      <c r="F478" s="16">
        <f t="shared" si="67"/>
        <v>46</v>
      </c>
      <c r="G478" s="16">
        <f t="shared" si="67"/>
        <v>1.1000000000000001</v>
      </c>
      <c r="H478" s="16">
        <f t="shared" si="67"/>
        <v>1</v>
      </c>
      <c r="I478" s="16">
        <f t="shared" si="67"/>
        <v>0</v>
      </c>
      <c r="J478" s="16">
        <f t="shared" si="67"/>
        <v>0</v>
      </c>
      <c r="K478" s="16">
        <f t="shared" si="67"/>
        <v>0</v>
      </c>
      <c r="L478" s="16">
        <f t="shared" si="67"/>
        <v>100</v>
      </c>
      <c r="M478" s="16">
        <f t="shared" si="67"/>
        <v>0</v>
      </c>
      <c r="N478" s="16">
        <f t="shared" si="67"/>
        <v>2</v>
      </c>
      <c r="O478" s="16">
        <f t="shared" si="67"/>
        <v>13</v>
      </c>
      <c r="P478" s="16">
        <f t="shared" si="67"/>
        <v>9</v>
      </c>
      <c r="Q478" s="16">
        <f t="shared" ref="Q478:W493" si="68">VLOOKUP($A478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478" s="16">
        <f t="shared" si="68"/>
        <v>15</v>
      </c>
      <c r="S478" s="16">
        <f t="shared" si="68"/>
        <v>0</v>
      </c>
      <c r="T478" s="16">
        <f t="shared" si="68"/>
        <v>0</v>
      </c>
      <c r="U478" s="16">
        <f t="shared" si="68"/>
        <v>0</v>
      </c>
      <c r="V478" s="16">
        <f t="shared" si="68"/>
        <v>0</v>
      </c>
      <c r="W478" s="16">
        <f t="shared" si="68"/>
        <v>1</v>
      </c>
      <c r="X478" s="16" t="str">
        <f t="shared" si="63"/>
        <v>null</v>
      </c>
    </row>
    <row r="479" spans="1:24" x14ac:dyDescent="0.15">
      <c r="A479" s="20" t="str">
        <f t="shared" si="65"/>
        <v>25_1-3/25&lt;lv46&gt;s3</v>
      </c>
      <c r="B479" s="16">
        <f t="shared" ref="B479:Q494" si="69">VLOOKUP($A479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479" s="16">
        <f t="shared" si="69"/>
        <v>1</v>
      </c>
      <c r="D479" s="16">
        <f t="shared" si="69"/>
        <v>3</v>
      </c>
      <c r="E479" s="16">
        <f t="shared" si="69"/>
        <v>25</v>
      </c>
      <c r="F479" s="16">
        <f t="shared" si="69"/>
        <v>46</v>
      </c>
      <c r="G479" s="16">
        <f t="shared" si="69"/>
        <v>1.1000000000000001</v>
      </c>
      <c r="H479" s="16">
        <f t="shared" si="69"/>
        <v>1</v>
      </c>
      <c r="I479" s="16">
        <f t="shared" si="69"/>
        <v>0</v>
      </c>
      <c r="J479" s="16">
        <f t="shared" si="69"/>
        <v>0</v>
      </c>
      <c r="K479" s="16">
        <f t="shared" si="69"/>
        <v>0</v>
      </c>
      <c r="L479" s="16">
        <f t="shared" si="69"/>
        <v>100</v>
      </c>
      <c r="M479" s="16">
        <f t="shared" si="69"/>
        <v>0</v>
      </c>
      <c r="N479" s="16">
        <f t="shared" si="69"/>
        <v>3</v>
      </c>
      <c r="O479" s="16">
        <f t="shared" si="69"/>
        <v>25</v>
      </c>
      <c r="P479" s="16">
        <f t="shared" si="69"/>
        <v>7</v>
      </c>
      <c r="Q479" s="16">
        <f t="shared" si="69"/>
        <v>1</v>
      </c>
      <c r="R479" s="16">
        <f t="shared" si="68"/>
        <v>15</v>
      </c>
      <c r="S479" s="16">
        <f t="shared" si="68"/>
        <v>0</v>
      </c>
      <c r="T479" s="16">
        <f t="shared" si="68"/>
        <v>0</v>
      </c>
      <c r="U479" s="16">
        <f t="shared" si="68"/>
        <v>0</v>
      </c>
      <c r="V479" s="16">
        <f t="shared" si="68"/>
        <v>0</v>
      </c>
      <c r="W479" s="16">
        <f t="shared" si="68"/>
        <v>1</v>
      </c>
      <c r="X479" s="16" t="str">
        <f t="shared" si="63"/>
        <v>null</v>
      </c>
    </row>
    <row r="480" spans="1:24" x14ac:dyDescent="0.15">
      <c r="A480" s="20" t="str">
        <f t="shared" si="65"/>
        <v>25_1-3/37&lt;lv46&gt;s3</v>
      </c>
      <c r="B480" s="16">
        <f t="shared" si="69"/>
        <v>25</v>
      </c>
      <c r="C480" s="16">
        <f t="shared" si="69"/>
        <v>1</v>
      </c>
      <c r="D480" s="16">
        <f t="shared" si="69"/>
        <v>3</v>
      </c>
      <c r="E480" s="16">
        <f t="shared" si="69"/>
        <v>37</v>
      </c>
      <c r="F480" s="16">
        <f t="shared" si="69"/>
        <v>46</v>
      </c>
      <c r="G480" s="16">
        <f t="shared" si="69"/>
        <v>1.1000000000000001</v>
      </c>
      <c r="H480" s="16">
        <f t="shared" si="69"/>
        <v>1</v>
      </c>
      <c r="I480" s="16">
        <f t="shared" si="69"/>
        <v>0</v>
      </c>
      <c r="J480" s="16">
        <f t="shared" si="69"/>
        <v>37</v>
      </c>
      <c r="K480" s="16">
        <f t="shared" si="69"/>
        <v>0</v>
      </c>
      <c r="L480" s="16">
        <f t="shared" si="69"/>
        <v>100</v>
      </c>
      <c r="M480" s="16">
        <f t="shared" si="69"/>
        <v>0</v>
      </c>
      <c r="N480" s="16">
        <f t="shared" si="69"/>
        <v>3</v>
      </c>
      <c r="O480" s="16">
        <f t="shared" si="69"/>
        <v>37</v>
      </c>
      <c r="P480" s="16">
        <f t="shared" si="69"/>
        <v>5</v>
      </c>
      <c r="Q480" s="16">
        <f t="shared" si="69"/>
        <v>2</v>
      </c>
      <c r="R480" s="16">
        <f t="shared" si="68"/>
        <v>20</v>
      </c>
      <c r="S480" s="16">
        <f t="shared" si="68"/>
        <v>0</v>
      </c>
      <c r="T480" s="16">
        <f t="shared" si="68"/>
        <v>0</v>
      </c>
      <c r="U480" s="16">
        <f t="shared" si="68"/>
        <v>0</v>
      </c>
      <c r="V480" s="16">
        <f t="shared" si="68"/>
        <v>0</v>
      </c>
      <c r="W480" s="16">
        <f t="shared" si="68"/>
        <v>1</v>
      </c>
      <c r="X480" s="16" t="str">
        <f t="shared" si="63"/>
        <v>null</v>
      </c>
    </row>
    <row r="481" spans="1:24" x14ac:dyDescent="0.15">
      <c r="A481" s="20" t="str">
        <f t="shared" si="65"/>
        <v>25_1-3/45&lt;lv46&gt;s3</v>
      </c>
      <c r="B481" s="16">
        <f t="shared" si="69"/>
        <v>25</v>
      </c>
      <c r="C481" s="16">
        <f t="shared" si="69"/>
        <v>1</v>
      </c>
      <c r="D481" s="16">
        <f t="shared" si="69"/>
        <v>3</v>
      </c>
      <c r="E481" s="16">
        <f t="shared" si="69"/>
        <v>45</v>
      </c>
      <c r="F481" s="16">
        <f t="shared" si="69"/>
        <v>46</v>
      </c>
      <c r="G481" s="16">
        <f t="shared" si="69"/>
        <v>1.1000000000000001</v>
      </c>
      <c r="H481" s="16">
        <f t="shared" si="69"/>
        <v>1</v>
      </c>
      <c r="I481" s="16">
        <f t="shared" si="69"/>
        <v>0</v>
      </c>
      <c r="J481" s="16">
        <f t="shared" si="69"/>
        <v>0</v>
      </c>
      <c r="K481" s="16">
        <f t="shared" si="69"/>
        <v>0</v>
      </c>
      <c r="L481" s="16">
        <f t="shared" si="69"/>
        <v>100</v>
      </c>
      <c r="M481" s="16">
        <f t="shared" si="69"/>
        <v>0</v>
      </c>
      <c r="N481" s="16">
        <f t="shared" si="69"/>
        <v>3</v>
      </c>
      <c r="O481" s="16">
        <f t="shared" si="69"/>
        <v>45</v>
      </c>
      <c r="P481" s="16">
        <f t="shared" si="69"/>
        <v>7</v>
      </c>
      <c r="Q481" s="16">
        <f t="shared" si="69"/>
        <v>2</v>
      </c>
      <c r="R481" s="16">
        <f t="shared" si="68"/>
        <v>20</v>
      </c>
      <c r="S481" s="16">
        <f t="shared" si="68"/>
        <v>0</v>
      </c>
      <c r="T481" s="16">
        <f t="shared" si="68"/>
        <v>0</v>
      </c>
      <c r="U481" s="16">
        <f t="shared" si="68"/>
        <v>0</v>
      </c>
      <c r="V481" s="16">
        <f t="shared" si="68"/>
        <v>0</v>
      </c>
      <c r="W481" s="16">
        <f t="shared" si="68"/>
        <v>1</v>
      </c>
      <c r="X481" s="16" t="str">
        <f t="shared" si="63"/>
        <v>null</v>
      </c>
    </row>
    <row r="482" spans="1:24" x14ac:dyDescent="0.15">
      <c r="A482" s="20" t="str">
        <f t="shared" si="65"/>
        <v>25_1-3/47&lt;lv46&gt;s1</v>
      </c>
      <c r="B482" s="16">
        <f t="shared" si="69"/>
        <v>25</v>
      </c>
      <c r="C482" s="16">
        <f t="shared" si="69"/>
        <v>1</v>
      </c>
      <c r="D482" s="16">
        <f t="shared" si="69"/>
        <v>3</v>
      </c>
      <c r="E482" s="16">
        <f t="shared" si="69"/>
        <v>47</v>
      </c>
      <c r="F482" s="16">
        <f t="shared" si="69"/>
        <v>46</v>
      </c>
      <c r="G482" s="16">
        <f t="shared" si="69"/>
        <v>1.1000000000000001</v>
      </c>
      <c r="H482" s="16">
        <f t="shared" si="69"/>
        <v>1</v>
      </c>
      <c r="I482" s="16">
        <f t="shared" si="69"/>
        <v>0</v>
      </c>
      <c r="J482" s="16">
        <f t="shared" si="69"/>
        <v>0</v>
      </c>
      <c r="K482" s="16">
        <f t="shared" si="69"/>
        <v>0</v>
      </c>
      <c r="L482" s="16">
        <f t="shared" si="69"/>
        <v>100</v>
      </c>
      <c r="M482" s="16">
        <f t="shared" si="69"/>
        <v>0</v>
      </c>
      <c r="N482" s="16">
        <f t="shared" si="69"/>
        <v>1</v>
      </c>
      <c r="O482" s="16">
        <f t="shared" si="69"/>
        <v>47</v>
      </c>
      <c r="P482" s="16">
        <f t="shared" si="69"/>
        <v>7</v>
      </c>
      <c r="Q482" s="16">
        <f t="shared" si="69"/>
        <v>2</v>
      </c>
      <c r="R482" s="16">
        <f t="shared" si="68"/>
        <v>20</v>
      </c>
      <c r="S482" s="16">
        <f t="shared" si="68"/>
        <v>0</v>
      </c>
      <c r="T482" s="16">
        <f t="shared" si="68"/>
        <v>0</v>
      </c>
      <c r="U482" s="16">
        <f t="shared" si="68"/>
        <v>0</v>
      </c>
      <c r="V482" s="16">
        <f t="shared" si="68"/>
        <v>0</v>
      </c>
      <c r="W482" s="16">
        <f t="shared" si="68"/>
        <v>1</v>
      </c>
      <c r="X482" s="16" t="str">
        <f t="shared" si="63"/>
        <v>null</v>
      </c>
    </row>
    <row r="483" spans="1:24" x14ac:dyDescent="0.15">
      <c r="A483" s="20" t="str">
        <f t="shared" si="65"/>
        <v>25_1-3/61&lt;lv46&gt;s2</v>
      </c>
      <c r="B483" s="16">
        <f t="shared" si="69"/>
        <v>25</v>
      </c>
      <c r="C483" s="16">
        <f t="shared" si="69"/>
        <v>1</v>
      </c>
      <c r="D483" s="16">
        <f t="shared" si="69"/>
        <v>3</v>
      </c>
      <c r="E483" s="16">
        <f t="shared" si="69"/>
        <v>61</v>
      </c>
      <c r="F483" s="16">
        <f t="shared" si="69"/>
        <v>46</v>
      </c>
      <c r="G483" s="16">
        <f t="shared" si="69"/>
        <v>1.1000000000000001</v>
      </c>
      <c r="H483" s="16">
        <f t="shared" si="69"/>
        <v>1</v>
      </c>
      <c r="I483" s="16">
        <f t="shared" si="69"/>
        <v>0</v>
      </c>
      <c r="J483" s="16">
        <f t="shared" si="69"/>
        <v>61</v>
      </c>
      <c r="K483" s="16">
        <f t="shared" si="69"/>
        <v>0</v>
      </c>
      <c r="L483" s="16">
        <f t="shared" si="69"/>
        <v>100</v>
      </c>
      <c r="M483" s="16">
        <f t="shared" si="69"/>
        <v>0</v>
      </c>
      <c r="N483" s="16">
        <f t="shared" si="69"/>
        <v>2</v>
      </c>
      <c r="O483" s="16">
        <f t="shared" si="69"/>
        <v>61</v>
      </c>
      <c r="P483" s="16">
        <f t="shared" si="69"/>
        <v>7</v>
      </c>
      <c r="Q483" s="16">
        <f t="shared" si="69"/>
        <v>2</v>
      </c>
      <c r="R483" s="16">
        <f t="shared" si="68"/>
        <v>20</v>
      </c>
      <c r="S483" s="16">
        <f t="shared" si="68"/>
        <v>0</v>
      </c>
      <c r="T483" s="16">
        <f t="shared" si="68"/>
        <v>0</v>
      </c>
      <c r="U483" s="16">
        <f t="shared" si="68"/>
        <v>0</v>
      </c>
      <c r="V483" s="16">
        <f t="shared" si="68"/>
        <v>0</v>
      </c>
      <c r="W483" s="16">
        <f t="shared" si="68"/>
        <v>1</v>
      </c>
      <c r="X483" s="16" t="str">
        <f t="shared" si="63"/>
        <v>null</v>
      </c>
    </row>
    <row r="484" spans="1:24" x14ac:dyDescent="0.15">
      <c r="A484" s="20" t="str">
        <f t="shared" si="65"/>
        <v>25_1-3/63&lt;lv46&gt;s2</v>
      </c>
      <c r="B484" s="16">
        <f t="shared" si="69"/>
        <v>25</v>
      </c>
      <c r="C484" s="16">
        <f t="shared" si="69"/>
        <v>1</v>
      </c>
      <c r="D484" s="16">
        <f t="shared" si="69"/>
        <v>3</v>
      </c>
      <c r="E484" s="16">
        <f t="shared" si="69"/>
        <v>63</v>
      </c>
      <c r="F484" s="16">
        <f t="shared" si="69"/>
        <v>46</v>
      </c>
      <c r="G484" s="16">
        <f t="shared" si="69"/>
        <v>1.1000000000000001</v>
      </c>
      <c r="H484" s="16">
        <f t="shared" si="69"/>
        <v>1</v>
      </c>
      <c r="I484" s="16">
        <f t="shared" si="69"/>
        <v>0</v>
      </c>
      <c r="J484" s="16">
        <f t="shared" si="69"/>
        <v>63</v>
      </c>
      <c r="K484" s="16">
        <f t="shared" si="69"/>
        <v>0</v>
      </c>
      <c r="L484" s="16">
        <f t="shared" si="69"/>
        <v>100</v>
      </c>
      <c r="M484" s="16">
        <f t="shared" si="69"/>
        <v>0</v>
      </c>
      <c r="N484" s="16">
        <f t="shared" si="69"/>
        <v>2</v>
      </c>
      <c r="O484" s="16">
        <f t="shared" si="69"/>
        <v>63</v>
      </c>
      <c r="P484" s="16">
        <f t="shared" si="69"/>
        <v>7</v>
      </c>
      <c r="Q484" s="16">
        <f t="shared" si="69"/>
        <v>2</v>
      </c>
      <c r="R484" s="16">
        <f t="shared" si="68"/>
        <v>20</v>
      </c>
      <c r="S484" s="16">
        <f t="shared" si="68"/>
        <v>0</v>
      </c>
      <c r="T484" s="16">
        <f t="shared" si="68"/>
        <v>0</v>
      </c>
      <c r="U484" s="16">
        <f t="shared" si="68"/>
        <v>0</v>
      </c>
      <c r="V484" s="16">
        <f t="shared" si="68"/>
        <v>0</v>
      </c>
      <c r="W484" s="16">
        <f t="shared" si="68"/>
        <v>1</v>
      </c>
      <c r="X484" s="16" t="str">
        <f t="shared" si="63"/>
        <v>null</v>
      </c>
    </row>
    <row r="485" spans="1:24" x14ac:dyDescent="0.15">
      <c r="A485" s="20" t="str">
        <f t="shared" si="65"/>
        <v>25_1-3/17&lt;lv46&gt;s2</v>
      </c>
      <c r="B485" s="16">
        <f t="shared" si="69"/>
        <v>25</v>
      </c>
      <c r="C485" s="16">
        <f t="shared" si="69"/>
        <v>1</v>
      </c>
      <c r="D485" s="16">
        <f t="shared" si="69"/>
        <v>3</v>
      </c>
      <c r="E485" s="16">
        <f t="shared" si="69"/>
        <v>17</v>
      </c>
      <c r="F485" s="16">
        <f t="shared" si="69"/>
        <v>46</v>
      </c>
      <c r="G485" s="16">
        <f t="shared" si="69"/>
        <v>1.1000000000000001</v>
      </c>
      <c r="H485" s="16">
        <f t="shared" si="69"/>
        <v>1</v>
      </c>
      <c r="I485" s="16">
        <f t="shared" si="69"/>
        <v>0</v>
      </c>
      <c r="J485" s="16">
        <f t="shared" si="69"/>
        <v>0</v>
      </c>
      <c r="K485" s="16">
        <f t="shared" si="69"/>
        <v>0</v>
      </c>
      <c r="L485" s="16">
        <f t="shared" si="69"/>
        <v>100</v>
      </c>
      <c r="M485" s="16">
        <f t="shared" si="69"/>
        <v>0</v>
      </c>
      <c r="N485" s="16">
        <f t="shared" si="69"/>
        <v>2</v>
      </c>
      <c r="O485" s="16">
        <f t="shared" si="69"/>
        <v>17</v>
      </c>
      <c r="P485" s="16">
        <f t="shared" si="69"/>
        <v>9</v>
      </c>
      <c r="Q485" s="16">
        <f t="shared" si="69"/>
        <v>1</v>
      </c>
      <c r="R485" s="16">
        <f t="shared" si="68"/>
        <v>15</v>
      </c>
      <c r="S485" s="16">
        <f t="shared" si="68"/>
        <v>0</v>
      </c>
      <c r="T485" s="16">
        <f t="shared" si="68"/>
        <v>0</v>
      </c>
      <c r="U485" s="16">
        <f t="shared" si="68"/>
        <v>0</v>
      </c>
      <c r="V485" s="16">
        <f t="shared" si="68"/>
        <v>0</v>
      </c>
      <c r="W485" s="16">
        <f t="shared" si="68"/>
        <v>1</v>
      </c>
      <c r="X485" s="16" t="str">
        <f t="shared" si="63"/>
        <v>null</v>
      </c>
    </row>
    <row r="486" spans="1:24" x14ac:dyDescent="0.15">
      <c r="A486" s="20" t="str">
        <f t="shared" si="65"/>
        <v>25_1-3/19&lt;lv46&gt;s3</v>
      </c>
      <c r="B486" s="16">
        <f t="shared" si="69"/>
        <v>25</v>
      </c>
      <c r="C486" s="16">
        <f t="shared" si="69"/>
        <v>1</v>
      </c>
      <c r="D486" s="16">
        <f t="shared" si="69"/>
        <v>3</v>
      </c>
      <c r="E486" s="16">
        <f t="shared" si="69"/>
        <v>19</v>
      </c>
      <c r="F486" s="16">
        <f t="shared" si="69"/>
        <v>46</v>
      </c>
      <c r="G486" s="16">
        <f t="shared" si="69"/>
        <v>1.1000000000000001</v>
      </c>
      <c r="H486" s="16">
        <f t="shared" si="69"/>
        <v>1</v>
      </c>
      <c r="I486" s="16">
        <f t="shared" si="69"/>
        <v>0</v>
      </c>
      <c r="J486" s="16">
        <f t="shared" si="69"/>
        <v>0</v>
      </c>
      <c r="K486" s="16">
        <f t="shared" si="69"/>
        <v>0</v>
      </c>
      <c r="L486" s="16">
        <f t="shared" si="69"/>
        <v>100</v>
      </c>
      <c r="M486" s="16">
        <f t="shared" si="69"/>
        <v>0</v>
      </c>
      <c r="N486" s="16">
        <f t="shared" si="69"/>
        <v>3</v>
      </c>
      <c r="O486" s="16">
        <f t="shared" si="69"/>
        <v>19</v>
      </c>
      <c r="P486" s="16">
        <f t="shared" si="69"/>
        <v>9</v>
      </c>
      <c r="Q486" s="16">
        <f t="shared" si="69"/>
        <v>1</v>
      </c>
      <c r="R486" s="16">
        <f t="shared" si="68"/>
        <v>15</v>
      </c>
      <c r="S486" s="16">
        <f t="shared" si="68"/>
        <v>0</v>
      </c>
      <c r="T486" s="16">
        <f t="shared" si="68"/>
        <v>0</v>
      </c>
      <c r="U486" s="16">
        <f t="shared" si="68"/>
        <v>0</v>
      </c>
      <c r="V486" s="16">
        <f t="shared" si="68"/>
        <v>0</v>
      </c>
      <c r="W486" s="16">
        <f t="shared" si="68"/>
        <v>1</v>
      </c>
      <c r="X486" s="16" t="str">
        <f t="shared" si="63"/>
        <v>null</v>
      </c>
    </row>
    <row r="487" spans="1:24" x14ac:dyDescent="0.15">
      <c r="A487" s="20" t="str">
        <f t="shared" si="65"/>
        <v>25_1-3/39&lt;lv46&gt;s3</v>
      </c>
      <c r="B487" s="16">
        <f t="shared" si="69"/>
        <v>25</v>
      </c>
      <c r="C487" s="16">
        <f t="shared" si="69"/>
        <v>1</v>
      </c>
      <c r="D487" s="16">
        <f t="shared" si="69"/>
        <v>3</v>
      </c>
      <c r="E487" s="16">
        <f t="shared" si="69"/>
        <v>39</v>
      </c>
      <c r="F487" s="16">
        <f t="shared" si="69"/>
        <v>46</v>
      </c>
      <c r="G487" s="16">
        <f t="shared" si="69"/>
        <v>1.1000000000000001</v>
      </c>
      <c r="H487" s="16">
        <f t="shared" si="69"/>
        <v>1</v>
      </c>
      <c r="I487" s="16">
        <f t="shared" si="69"/>
        <v>0</v>
      </c>
      <c r="J487" s="16">
        <f t="shared" si="69"/>
        <v>39</v>
      </c>
      <c r="K487" s="16">
        <f t="shared" si="69"/>
        <v>0</v>
      </c>
      <c r="L487" s="16">
        <f t="shared" si="69"/>
        <v>100</v>
      </c>
      <c r="M487" s="16">
        <f t="shared" si="69"/>
        <v>0</v>
      </c>
      <c r="N487" s="16">
        <f t="shared" si="69"/>
        <v>3</v>
      </c>
      <c r="O487" s="16">
        <f t="shared" si="69"/>
        <v>39</v>
      </c>
      <c r="P487" s="16">
        <f t="shared" si="69"/>
        <v>5</v>
      </c>
      <c r="Q487" s="16">
        <f t="shared" si="69"/>
        <v>2</v>
      </c>
      <c r="R487" s="16">
        <f t="shared" si="68"/>
        <v>20</v>
      </c>
      <c r="S487" s="16">
        <f t="shared" si="68"/>
        <v>0</v>
      </c>
      <c r="T487" s="16">
        <f t="shared" si="68"/>
        <v>0</v>
      </c>
      <c r="U487" s="16">
        <f t="shared" si="68"/>
        <v>0</v>
      </c>
      <c r="V487" s="16">
        <f t="shared" si="68"/>
        <v>0</v>
      </c>
      <c r="W487" s="16">
        <f t="shared" si="68"/>
        <v>1</v>
      </c>
      <c r="X487" s="16" t="str">
        <f t="shared" si="63"/>
        <v>null</v>
      </c>
    </row>
    <row r="488" spans="1:24" x14ac:dyDescent="0.15">
      <c r="A488" s="20" t="str">
        <f t="shared" si="65"/>
        <v>25_1-3/53&lt;lv46&gt;s2</v>
      </c>
      <c r="B488" s="16">
        <f t="shared" si="69"/>
        <v>25</v>
      </c>
      <c r="C488" s="16">
        <f t="shared" si="69"/>
        <v>1</v>
      </c>
      <c r="D488" s="16">
        <f t="shared" si="69"/>
        <v>3</v>
      </c>
      <c r="E488" s="16">
        <f t="shared" si="69"/>
        <v>53</v>
      </c>
      <c r="F488" s="16">
        <f t="shared" si="69"/>
        <v>46</v>
      </c>
      <c r="G488" s="16">
        <f t="shared" si="69"/>
        <v>1.1000000000000001</v>
      </c>
      <c r="H488" s="16">
        <f t="shared" si="69"/>
        <v>1</v>
      </c>
      <c r="I488" s="16">
        <f t="shared" si="69"/>
        <v>0</v>
      </c>
      <c r="J488" s="16">
        <f t="shared" si="69"/>
        <v>53</v>
      </c>
      <c r="K488" s="16">
        <f t="shared" si="69"/>
        <v>0</v>
      </c>
      <c r="L488" s="16">
        <f t="shared" si="69"/>
        <v>100</v>
      </c>
      <c r="M488" s="16">
        <f t="shared" si="69"/>
        <v>0</v>
      </c>
      <c r="N488" s="16">
        <f t="shared" si="69"/>
        <v>2</v>
      </c>
      <c r="O488" s="16">
        <f t="shared" si="69"/>
        <v>53</v>
      </c>
      <c r="P488" s="16">
        <f t="shared" si="69"/>
        <v>7</v>
      </c>
      <c r="Q488" s="16">
        <f t="shared" si="69"/>
        <v>2</v>
      </c>
      <c r="R488" s="16">
        <f t="shared" si="68"/>
        <v>20</v>
      </c>
      <c r="S488" s="16">
        <f t="shared" si="68"/>
        <v>0</v>
      </c>
      <c r="T488" s="16">
        <f t="shared" si="68"/>
        <v>0</v>
      </c>
      <c r="U488" s="16">
        <f t="shared" si="68"/>
        <v>0</v>
      </c>
      <c r="V488" s="16">
        <f t="shared" si="68"/>
        <v>0</v>
      </c>
      <c r="W488" s="16">
        <f t="shared" si="68"/>
        <v>1</v>
      </c>
      <c r="X488" s="16" t="str">
        <f t="shared" si="63"/>
        <v>null</v>
      </c>
    </row>
    <row r="489" spans="1:24" x14ac:dyDescent="0.15">
      <c r="A489" s="20" t="str">
        <f t="shared" si="65"/>
        <v>25_1-3/55&lt;lv46&gt;s4</v>
      </c>
      <c r="B489" s="16">
        <f t="shared" si="69"/>
        <v>25</v>
      </c>
      <c r="C489" s="16">
        <f t="shared" si="69"/>
        <v>1</v>
      </c>
      <c r="D489" s="16">
        <f t="shared" si="69"/>
        <v>3</v>
      </c>
      <c r="E489" s="16">
        <f t="shared" si="69"/>
        <v>55</v>
      </c>
      <c r="F489" s="16">
        <f t="shared" si="69"/>
        <v>46</v>
      </c>
      <c r="G489" s="16">
        <f t="shared" si="69"/>
        <v>1.1000000000000001</v>
      </c>
      <c r="H489" s="16">
        <f t="shared" si="69"/>
        <v>1</v>
      </c>
      <c r="I489" s="16">
        <f t="shared" si="69"/>
        <v>0</v>
      </c>
      <c r="J489" s="16">
        <f t="shared" si="69"/>
        <v>55</v>
      </c>
      <c r="K489" s="16">
        <f t="shared" si="69"/>
        <v>0</v>
      </c>
      <c r="L489" s="16">
        <f t="shared" si="69"/>
        <v>100</v>
      </c>
      <c r="M489" s="16">
        <f t="shared" si="69"/>
        <v>0</v>
      </c>
      <c r="N489" s="16">
        <f t="shared" si="69"/>
        <v>4</v>
      </c>
      <c r="O489" s="16">
        <f t="shared" si="69"/>
        <v>55</v>
      </c>
      <c r="P489" s="16">
        <f t="shared" si="69"/>
        <v>7</v>
      </c>
      <c r="Q489" s="16">
        <f t="shared" si="69"/>
        <v>2</v>
      </c>
      <c r="R489" s="16">
        <f t="shared" si="68"/>
        <v>20</v>
      </c>
      <c r="S489" s="16">
        <f t="shared" si="68"/>
        <v>0</v>
      </c>
      <c r="T489" s="16">
        <f t="shared" si="68"/>
        <v>0</v>
      </c>
      <c r="U489" s="16">
        <f t="shared" si="68"/>
        <v>0</v>
      </c>
      <c r="V489" s="16">
        <f t="shared" si="68"/>
        <v>0</v>
      </c>
      <c r="W489" s="16">
        <f t="shared" si="68"/>
        <v>1</v>
      </c>
      <c r="X489" s="16" t="str">
        <f t="shared" si="63"/>
        <v>null</v>
      </c>
    </row>
    <row r="490" spans="1:24" x14ac:dyDescent="0.15">
      <c r="A490" s="20" t="str">
        <f t="shared" si="65"/>
        <v>25_1-3/364&lt;lv46&gt;s3</v>
      </c>
      <c r="B490" s="16">
        <f t="shared" si="69"/>
        <v>25</v>
      </c>
      <c r="C490" s="16">
        <f t="shared" si="69"/>
        <v>1</v>
      </c>
      <c r="D490" s="16">
        <f t="shared" si="69"/>
        <v>3</v>
      </c>
      <c r="E490" s="16">
        <f t="shared" si="69"/>
        <v>364</v>
      </c>
      <c r="F490" s="16">
        <f t="shared" si="69"/>
        <v>46</v>
      </c>
      <c r="G490" s="16">
        <f t="shared" si="69"/>
        <v>1.1000000000000001</v>
      </c>
      <c r="H490" s="16">
        <f t="shared" si="69"/>
        <v>1</v>
      </c>
      <c r="I490" s="16">
        <f t="shared" si="69"/>
        <v>0</v>
      </c>
      <c r="J490" s="16">
        <f t="shared" si="69"/>
        <v>364</v>
      </c>
      <c r="K490" s="16">
        <f t="shared" si="69"/>
        <v>0</v>
      </c>
      <c r="L490" s="16">
        <f t="shared" si="69"/>
        <v>100</v>
      </c>
      <c r="M490" s="16">
        <f t="shared" si="69"/>
        <v>0</v>
      </c>
      <c r="N490" s="16">
        <f t="shared" si="69"/>
        <v>3</v>
      </c>
      <c r="O490" s="16">
        <f t="shared" si="69"/>
        <v>364</v>
      </c>
      <c r="P490" s="16">
        <f t="shared" si="69"/>
        <v>7</v>
      </c>
      <c r="Q490" s="16">
        <f t="shared" si="69"/>
        <v>2</v>
      </c>
      <c r="R490" s="16">
        <f t="shared" si="68"/>
        <v>20</v>
      </c>
      <c r="S490" s="16">
        <f t="shared" si="68"/>
        <v>0</v>
      </c>
      <c r="T490" s="16">
        <f t="shared" si="68"/>
        <v>0</v>
      </c>
      <c r="U490" s="16">
        <f t="shared" si="68"/>
        <v>0</v>
      </c>
      <c r="V490" s="16">
        <f t="shared" si="68"/>
        <v>0</v>
      </c>
      <c r="W490" s="16">
        <f t="shared" si="68"/>
        <v>1</v>
      </c>
      <c r="X490" s="16" t="str">
        <f t="shared" si="63"/>
        <v>null</v>
      </c>
    </row>
    <row r="491" spans="1:24" x14ac:dyDescent="0.15">
      <c r="A491" s="20" t="str">
        <f t="shared" si="65"/>
        <v>25_1-3/366&lt;lv46&gt;s3</v>
      </c>
      <c r="B491" s="16">
        <f t="shared" si="69"/>
        <v>25</v>
      </c>
      <c r="C491" s="16">
        <f t="shared" si="69"/>
        <v>1</v>
      </c>
      <c r="D491" s="16">
        <f t="shared" si="69"/>
        <v>3</v>
      </c>
      <c r="E491" s="16">
        <f t="shared" si="69"/>
        <v>366</v>
      </c>
      <c r="F491" s="16">
        <f t="shared" si="69"/>
        <v>46</v>
      </c>
      <c r="G491" s="16">
        <f t="shared" si="69"/>
        <v>1.1000000000000001</v>
      </c>
      <c r="H491" s="16">
        <f t="shared" si="69"/>
        <v>1</v>
      </c>
      <c r="I491" s="16">
        <f t="shared" si="69"/>
        <v>0</v>
      </c>
      <c r="J491" s="16">
        <f t="shared" si="69"/>
        <v>366</v>
      </c>
      <c r="K491" s="16">
        <f t="shared" si="69"/>
        <v>0</v>
      </c>
      <c r="L491" s="16">
        <f t="shared" si="69"/>
        <v>100</v>
      </c>
      <c r="M491" s="16">
        <f t="shared" si="69"/>
        <v>0</v>
      </c>
      <c r="N491" s="16">
        <f t="shared" si="69"/>
        <v>3</v>
      </c>
      <c r="O491" s="16">
        <f t="shared" si="69"/>
        <v>366</v>
      </c>
      <c r="P491" s="16">
        <f t="shared" si="69"/>
        <v>7</v>
      </c>
      <c r="Q491" s="16">
        <f t="shared" si="69"/>
        <v>2</v>
      </c>
      <c r="R491" s="16">
        <f t="shared" si="68"/>
        <v>20</v>
      </c>
      <c r="S491" s="16">
        <f t="shared" si="68"/>
        <v>0</v>
      </c>
      <c r="T491" s="16">
        <f t="shared" si="68"/>
        <v>0</v>
      </c>
      <c r="U491" s="16">
        <f t="shared" si="68"/>
        <v>0</v>
      </c>
      <c r="V491" s="16">
        <f t="shared" si="68"/>
        <v>0</v>
      </c>
      <c r="W491" s="16">
        <f t="shared" si="68"/>
        <v>1</v>
      </c>
      <c r="X491" s="16" t="str">
        <f t="shared" si="63"/>
        <v>null</v>
      </c>
    </row>
    <row r="492" spans="1:24" x14ac:dyDescent="0.15">
      <c r="A492" s="20" t="str">
        <f t="shared" si="65"/>
        <v>25_1-3/352&lt;lv46&gt;s3</v>
      </c>
      <c r="B492" s="16">
        <f t="shared" si="69"/>
        <v>25</v>
      </c>
      <c r="C492" s="16">
        <f t="shared" si="69"/>
        <v>1</v>
      </c>
      <c r="D492" s="16">
        <f t="shared" si="69"/>
        <v>3</v>
      </c>
      <c r="E492" s="16">
        <f t="shared" si="69"/>
        <v>352</v>
      </c>
      <c r="F492" s="16">
        <f t="shared" si="69"/>
        <v>46</v>
      </c>
      <c r="G492" s="16">
        <f t="shared" si="69"/>
        <v>1</v>
      </c>
      <c r="H492" s="16">
        <f t="shared" si="69"/>
        <v>1</v>
      </c>
      <c r="I492" s="16">
        <f t="shared" si="69"/>
        <v>0</v>
      </c>
      <c r="J492" s="16">
        <f t="shared" si="69"/>
        <v>352</v>
      </c>
      <c r="K492" s="16">
        <f t="shared" si="69"/>
        <v>0</v>
      </c>
      <c r="L492" s="16">
        <f t="shared" si="69"/>
        <v>100</v>
      </c>
      <c r="M492" s="16">
        <f t="shared" si="69"/>
        <v>0</v>
      </c>
      <c r="N492" s="16">
        <f t="shared" si="69"/>
        <v>3</v>
      </c>
      <c r="O492" s="16">
        <f t="shared" si="69"/>
        <v>352</v>
      </c>
      <c r="P492" s="16">
        <f t="shared" si="69"/>
        <v>1</v>
      </c>
      <c r="Q492" s="16">
        <f t="shared" si="69"/>
        <v>2</v>
      </c>
      <c r="R492" s="16">
        <f t="shared" si="68"/>
        <v>36</v>
      </c>
      <c r="S492" s="16">
        <f t="shared" si="68"/>
        <v>0</v>
      </c>
      <c r="T492" s="16">
        <f t="shared" si="68"/>
        <v>0</v>
      </c>
      <c r="U492" s="16">
        <f t="shared" si="68"/>
        <v>0</v>
      </c>
      <c r="V492" s="16">
        <f t="shared" si="68"/>
        <v>0</v>
      </c>
      <c r="W492" s="16">
        <f t="shared" si="68"/>
        <v>1</v>
      </c>
      <c r="X492" s="16" t="str">
        <f t="shared" si="63"/>
        <v>null</v>
      </c>
    </row>
    <row r="493" spans="1:24" x14ac:dyDescent="0.15">
      <c r="A493" s="20" t="str">
        <f t="shared" si="65"/>
        <v>25_1-4/37&lt;lv46&gt;s3</v>
      </c>
      <c r="B493" s="16">
        <f t="shared" si="69"/>
        <v>25</v>
      </c>
      <c r="C493" s="16">
        <f t="shared" si="69"/>
        <v>1</v>
      </c>
      <c r="D493" s="16">
        <f t="shared" si="69"/>
        <v>4</v>
      </c>
      <c r="E493" s="16">
        <f t="shared" si="69"/>
        <v>37</v>
      </c>
      <c r="F493" s="16">
        <f t="shared" si="69"/>
        <v>46</v>
      </c>
      <c r="G493" s="16">
        <f t="shared" si="69"/>
        <v>1.1000000000000001</v>
      </c>
      <c r="H493" s="16">
        <f t="shared" si="69"/>
        <v>1</v>
      </c>
      <c r="I493" s="16">
        <f t="shared" si="69"/>
        <v>0</v>
      </c>
      <c r="J493" s="16">
        <f t="shared" si="69"/>
        <v>37</v>
      </c>
      <c r="K493" s="16">
        <f t="shared" si="69"/>
        <v>0</v>
      </c>
      <c r="L493" s="16">
        <f t="shared" si="69"/>
        <v>100</v>
      </c>
      <c r="M493" s="16">
        <f t="shared" si="69"/>
        <v>0</v>
      </c>
      <c r="N493" s="16">
        <f t="shared" si="69"/>
        <v>3</v>
      </c>
      <c r="O493" s="16">
        <f t="shared" si="69"/>
        <v>37</v>
      </c>
      <c r="P493" s="16">
        <f t="shared" si="69"/>
        <v>5</v>
      </c>
      <c r="Q493" s="16">
        <f t="shared" si="69"/>
        <v>2</v>
      </c>
      <c r="R493" s="16">
        <f t="shared" si="68"/>
        <v>20</v>
      </c>
      <c r="S493" s="16">
        <f t="shared" si="68"/>
        <v>0</v>
      </c>
      <c r="T493" s="16">
        <f t="shared" si="68"/>
        <v>0</v>
      </c>
      <c r="U493" s="16">
        <f t="shared" si="68"/>
        <v>0</v>
      </c>
      <c r="V493" s="16">
        <f t="shared" si="68"/>
        <v>0</v>
      </c>
      <c r="W493" s="16">
        <f t="shared" si="68"/>
        <v>1</v>
      </c>
      <c r="X493" s="16" t="str">
        <f t="shared" si="63"/>
        <v>null</v>
      </c>
    </row>
    <row r="494" spans="1:24" x14ac:dyDescent="0.15">
      <c r="A494" s="20" t="str">
        <f t="shared" si="65"/>
        <v>25_1-4/45&lt;lv46&gt;s3</v>
      </c>
      <c r="B494" s="16">
        <f t="shared" si="69"/>
        <v>25</v>
      </c>
      <c r="C494" s="16">
        <f t="shared" si="69"/>
        <v>1</v>
      </c>
      <c r="D494" s="16">
        <f t="shared" si="69"/>
        <v>4</v>
      </c>
      <c r="E494" s="16">
        <f t="shared" si="69"/>
        <v>45</v>
      </c>
      <c r="F494" s="16">
        <f t="shared" si="69"/>
        <v>46</v>
      </c>
      <c r="G494" s="16">
        <f t="shared" si="69"/>
        <v>1.1000000000000001</v>
      </c>
      <c r="H494" s="16">
        <f t="shared" si="69"/>
        <v>1</v>
      </c>
      <c r="I494" s="16">
        <f t="shared" si="69"/>
        <v>0</v>
      </c>
      <c r="J494" s="16">
        <f t="shared" si="69"/>
        <v>0</v>
      </c>
      <c r="K494" s="16">
        <f t="shared" si="69"/>
        <v>0</v>
      </c>
      <c r="L494" s="16">
        <f t="shared" si="69"/>
        <v>100</v>
      </c>
      <c r="M494" s="16">
        <f t="shared" si="69"/>
        <v>0</v>
      </c>
      <c r="N494" s="16">
        <f t="shared" si="69"/>
        <v>3</v>
      </c>
      <c r="O494" s="16">
        <f t="shared" si="69"/>
        <v>45</v>
      </c>
      <c r="P494" s="16">
        <f t="shared" si="69"/>
        <v>7</v>
      </c>
      <c r="Q494" s="16">
        <f t="shared" ref="Q494:W509" si="70">VLOOKUP($A494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94" s="16">
        <f t="shared" si="70"/>
        <v>20</v>
      </c>
      <c r="S494" s="16">
        <f t="shared" si="70"/>
        <v>0</v>
      </c>
      <c r="T494" s="16">
        <f t="shared" si="70"/>
        <v>0</v>
      </c>
      <c r="U494" s="16">
        <f t="shared" si="70"/>
        <v>0</v>
      </c>
      <c r="V494" s="16">
        <f t="shared" si="70"/>
        <v>0</v>
      </c>
      <c r="W494" s="16">
        <f t="shared" si="70"/>
        <v>1</v>
      </c>
      <c r="X494" s="16" t="str">
        <f t="shared" si="63"/>
        <v>null</v>
      </c>
    </row>
    <row r="495" spans="1:24" x14ac:dyDescent="0.15">
      <c r="A495" s="20" t="str">
        <f t="shared" si="65"/>
        <v>25_1-4/47&lt;lv46&gt;s1</v>
      </c>
      <c r="B495" s="16">
        <f t="shared" ref="B495:Q510" si="71">VLOOKUP($A495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495" s="16">
        <f t="shared" si="71"/>
        <v>1</v>
      </c>
      <c r="D495" s="16">
        <f t="shared" si="71"/>
        <v>4</v>
      </c>
      <c r="E495" s="16">
        <f t="shared" si="71"/>
        <v>47</v>
      </c>
      <c r="F495" s="16">
        <f t="shared" si="71"/>
        <v>46</v>
      </c>
      <c r="G495" s="16">
        <f t="shared" si="71"/>
        <v>1.1000000000000001</v>
      </c>
      <c r="H495" s="16">
        <f t="shared" si="71"/>
        <v>1</v>
      </c>
      <c r="I495" s="16">
        <f t="shared" si="71"/>
        <v>0</v>
      </c>
      <c r="J495" s="16">
        <f t="shared" si="71"/>
        <v>0</v>
      </c>
      <c r="K495" s="16">
        <f t="shared" si="71"/>
        <v>0</v>
      </c>
      <c r="L495" s="16">
        <f t="shared" si="71"/>
        <v>100</v>
      </c>
      <c r="M495" s="16">
        <f t="shared" si="71"/>
        <v>0</v>
      </c>
      <c r="N495" s="16">
        <f t="shared" si="71"/>
        <v>1</v>
      </c>
      <c r="O495" s="16">
        <f t="shared" si="71"/>
        <v>47</v>
      </c>
      <c r="P495" s="16">
        <f t="shared" si="71"/>
        <v>7</v>
      </c>
      <c r="Q495" s="16">
        <f t="shared" si="71"/>
        <v>2</v>
      </c>
      <c r="R495" s="16">
        <f t="shared" si="70"/>
        <v>20</v>
      </c>
      <c r="S495" s="16">
        <f t="shared" si="70"/>
        <v>0</v>
      </c>
      <c r="T495" s="16">
        <f t="shared" si="70"/>
        <v>0</v>
      </c>
      <c r="U495" s="16">
        <f t="shared" si="70"/>
        <v>0</v>
      </c>
      <c r="V495" s="16">
        <f t="shared" si="70"/>
        <v>0</v>
      </c>
      <c r="W495" s="16">
        <f t="shared" si="70"/>
        <v>1</v>
      </c>
      <c r="X495" s="16" t="str">
        <f t="shared" si="63"/>
        <v>null</v>
      </c>
    </row>
    <row r="496" spans="1:24" x14ac:dyDescent="0.15">
      <c r="A496" s="20" t="str">
        <f t="shared" si="65"/>
        <v>25_1-4/61&lt;lv46&gt;s2</v>
      </c>
      <c r="B496" s="16">
        <f t="shared" si="71"/>
        <v>25</v>
      </c>
      <c r="C496" s="16">
        <f t="shared" si="71"/>
        <v>1</v>
      </c>
      <c r="D496" s="16">
        <f t="shared" si="71"/>
        <v>4</v>
      </c>
      <c r="E496" s="16">
        <f t="shared" si="71"/>
        <v>61</v>
      </c>
      <c r="F496" s="16">
        <f t="shared" si="71"/>
        <v>46</v>
      </c>
      <c r="G496" s="16">
        <f t="shared" si="71"/>
        <v>1.1000000000000001</v>
      </c>
      <c r="H496" s="16">
        <f t="shared" si="71"/>
        <v>1</v>
      </c>
      <c r="I496" s="16">
        <f t="shared" si="71"/>
        <v>0</v>
      </c>
      <c r="J496" s="16">
        <f t="shared" si="71"/>
        <v>61</v>
      </c>
      <c r="K496" s="16">
        <f t="shared" si="71"/>
        <v>0</v>
      </c>
      <c r="L496" s="16">
        <f t="shared" si="71"/>
        <v>100</v>
      </c>
      <c r="M496" s="16">
        <f t="shared" si="71"/>
        <v>0</v>
      </c>
      <c r="N496" s="16">
        <f t="shared" si="71"/>
        <v>2</v>
      </c>
      <c r="O496" s="16">
        <f t="shared" si="71"/>
        <v>61</v>
      </c>
      <c r="P496" s="16">
        <f t="shared" si="71"/>
        <v>7</v>
      </c>
      <c r="Q496" s="16">
        <f t="shared" si="71"/>
        <v>2</v>
      </c>
      <c r="R496" s="16">
        <f t="shared" si="70"/>
        <v>20</v>
      </c>
      <c r="S496" s="16">
        <f t="shared" si="70"/>
        <v>0</v>
      </c>
      <c r="T496" s="16">
        <f t="shared" si="70"/>
        <v>0</v>
      </c>
      <c r="U496" s="16">
        <f t="shared" si="70"/>
        <v>0</v>
      </c>
      <c r="V496" s="16">
        <f t="shared" si="70"/>
        <v>0</v>
      </c>
      <c r="W496" s="16">
        <f t="shared" si="70"/>
        <v>1</v>
      </c>
      <c r="X496" s="16" t="str">
        <f t="shared" si="63"/>
        <v>null</v>
      </c>
    </row>
    <row r="497" spans="1:24" x14ac:dyDescent="0.15">
      <c r="A497" s="20" t="str">
        <f t="shared" si="65"/>
        <v>25_1-4/63&lt;lv46&gt;s2</v>
      </c>
      <c r="B497" s="16">
        <f t="shared" si="71"/>
        <v>25</v>
      </c>
      <c r="C497" s="16">
        <f t="shared" si="71"/>
        <v>1</v>
      </c>
      <c r="D497" s="16">
        <f t="shared" si="71"/>
        <v>4</v>
      </c>
      <c r="E497" s="16">
        <f t="shared" si="71"/>
        <v>63</v>
      </c>
      <c r="F497" s="16">
        <f t="shared" si="71"/>
        <v>46</v>
      </c>
      <c r="G497" s="16">
        <f t="shared" si="71"/>
        <v>1.1000000000000001</v>
      </c>
      <c r="H497" s="16">
        <f t="shared" si="71"/>
        <v>1</v>
      </c>
      <c r="I497" s="16">
        <f t="shared" si="71"/>
        <v>0</v>
      </c>
      <c r="J497" s="16">
        <f t="shared" si="71"/>
        <v>63</v>
      </c>
      <c r="K497" s="16">
        <f t="shared" si="71"/>
        <v>0</v>
      </c>
      <c r="L497" s="16">
        <f t="shared" si="71"/>
        <v>100</v>
      </c>
      <c r="M497" s="16">
        <f t="shared" si="71"/>
        <v>0</v>
      </c>
      <c r="N497" s="16">
        <f t="shared" si="71"/>
        <v>2</v>
      </c>
      <c r="O497" s="16">
        <f t="shared" si="71"/>
        <v>63</v>
      </c>
      <c r="P497" s="16">
        <f t="shared" si="71"/>
        <v>7</v>
      </c>
      <c r="Q497" s="16">
        <f t="shared" si="71"/>
        <v>2</v>
      </c>
      <c r="R497" s="16">
        <f t="shared" si="70"/>
        <v>20</v>
      </c>
      <c r="S497" s="16">
        <f t="shared" si="70"/>
        <v>0</v>
      </c>
      <c r="T497" s="16">
        <f t="shared" si="70"/>
        <v>0</v>
      </c>
      <c r="U497" s="16">
        <f t="shared" si="70"/>
        <v>0</v>
      </c>
      <c r="V497" s="16">
        <f t="shared" si="70"/>
        <v>0</v>
      </c>
      <c r="W497" s="16">
        <f t="shared" si="70"/>
        <v>1</v>
      </c>
      <c r="X497" s="16" t="str">
        <f t="shared" si="63"/>
        <v>null</v>
      </c>
    </row>
    <row r="498" spans="1:24" x14ac:dyDescent="0.15">
      <c r="A498" s="20" t="str">
        <f t="shared" si="65"/>
        <v>25_1-4/39&lt;lv46&gt;s3</v>
      </c>
      <c r="B498" s="16">
        <f t="shared" si="71"/>
        <v>25</v>
      </c>
      <c r="C498" s="16">
        <f t="shared" si="71"/>
        <v>1</v>
      </c>
      <c r="D498" s="16">
        <f t="shared" si="71"/>
        <v>4</v>
      </c>
      <c r="E498" s="16">
        <f t="shared" si="71"/>
        <v>39</v>
      </c>
      <c r="F498" s="16">
        <f t="shared" si="71"/>
        <v>46</v>
      </c>
      <c r="G498" s="16">
        <f t="shared" si="71"/>
        <v>1.1000000000000001</v>
      </c>
      <c r="H498" s="16">
        <f t="shared" si="71"/>
        <v>1</v>
      </c>
      <c r="I498" s="16">
        <f t="shared" si="71"/>
        <v>0</v>
      </c>
      <c r="J498" s="16">
        <f t="shared" si="71"/>
        <v>39</v>
      </c>
      <c r="K498" s="16">
        <f t="shared" si="71"/>
        <v>0</v>
      </c>
      <c r="L498" s="16">
        <f t="shared" si="71"/>
        <v>100</v>
      </c>
      <c r="M498" s="16">
        <f t="shared" si="71"/>
        <v>0</v>
      </c>
      <c r="N498" s="16">
        <f t="shared" si="71"/>
        <v>3</v>
      </c>
      <c r="O498" s="16">
        <f t="shared" si="71"/>
        <v>39</v>
      </c>
      <c r="P498" s="16">
        <f t="shared" si="71"/>
        <v>5</v>
      </c>
      <c r="Q498" s="16">
        <f t="shared" si="71"/>
        <v>2</v>
      </c>
      <c r="R498" s="16">
        <f t="shared" si="70"/>
        <v>20</v>
      </c>
      <c r="S498" s="16">
        <f t="shared" si="70"/>
        <v>0</v>
      </c>
      <c r="T498" s="16">
        <f t="shared" si="70"/>
        <v>0</v>
      </c>
      <c r="U498" s="16">
        <f t="shared" si="70"/>
        <v>0</v>
      </c>
      <c r="V498" s="16">
        <f t="shared" si="70"/>
        <v>0</v>
      </c>
      <c r="W498" s="16">
        <f t="shared" si="70"/>
        <v>1</v>
      </c>
      <c r="X498" s="16" t="str">
        <f t="shared" si="63"/>
        <v>null</v>
      </c>
    </row>
    <row r="499" spans="1:24" x14ac:dyDescent="0.15">
      <c r="A499" s="20" t="str">
        <f t="shared" si="65"/>
        <v>25_1-4/53&lt;lv46&gt;s2</v>
      </c>
      <c r="B499" s="16">
        <f t="shared" si="71"/>
        <v>25</v>
      </c>
      <c r="C499" s="16">
        <f t="shared" si="71"/>
        <v>1</v>
      </c>
      <c r="D499" s="16">
        <f t="shared" si="71"/>
        <v>4</v>
      </c>
      <c r="E499" s="16">
        <f t="shared" si="71"/>
        <v>53</v>
      </c>
      <c r="F499" s="16">
        <f t="shared" si="71"/>
        <v>46</v>
      </c>
      <c r="G499" s="16">
        <f t="shared" si="71"/>
        <v>1.1000000000000001</v>
      </c>
      <c r="H499" s="16">
        <f t="shared" si="71"/>
        <v>1</v>
      </c>
      <c r="I499" s="16">
        <f t="shared" si="71"/>
        <v>0</v>
      </c>
      <c r="J499" s="16">
        <f t="shared" si="71"/>
        <v>53</v>
      </c>
      <c r="K499" s="16">
        <f t="shared" si="71"/>
        <v>0</v>
      </c>
      <c r="L499" s="16">
        <f t="shared" si="71"/>
        <v>100</v>
      </c>
      <c r="M499" s="16">
        <f t="shared" si="71"/>
        <v>0</v>
      </c>
      <c r="N499" s="16">
        <f t="shared" si="71"/>
        <v>2</v>
      </c>
      <c r="O499" s="16">
        <f t="shared" si="71"/>
        <v>53</v>
      </c>
      <c r="P499" s="16">
        <f t="shared" si="71"/>
        <v>7</v>
      </c>
      <c r="Q499" s="16">
        <f t="shared" si="71"/>
        <v>2</v>
      </c>
      <c r="R499" s="16">
        <f t="shared" si="70"/>
        <v>20</v>
      </c>
      <c r="S499" s="16">
        <f t="shared" si="70"/>
        <v>0</v>
      </c>
      <c r="T499" s="16">
        <f t="shared" si="70"/>
        <v>0</v>
      </c>
      <c r="U499" s="16">
        <f t="shared" si="70"/>
        <v>0</v>
      </c>
      <c r="V499" s="16">
        <f t="shared" si="70"/>
        <v>0</v>
      </c>
      <c r="W499" s="16">
        <f t="shared" si="70"/>
        <v>1</v>
      </c>
      <c r="X499" s="16" t="str">
        <f t="shared" si="63"/>
        <v>null</v>
      </c>
    </row>
    <row r="500" spans="1:24" x14ac:dyDescent="0.15">
      <c r="A500" s="20" t="str">
        <f t="shared" si="65"/>
        <v>25_1-4/55&lt;lv46&gt;s4</v>
      </c>
      <c r="B500" s="16">
        <f t="shared" si="71"/>
        <v>25</v>
      </c>
      <c r="C500" s="16">
        <f t="shared" si="71"/>
        <v>1</v>
      </c>
      <c r="D500" s="16">
        <f t="shared" si="71"/>
        <v>4</v>
      </c>
      <c r="E500" s="16">
        <f t="shared" si="71"/>
        <v>55</v>
      </c>
      <c r="F500" s="16">
        <f t="shared" si="71"/>
        <v>46</v>
      </c>
      <c r="G500" s="16">
        <f t="shared" si="71"/>
        <v>1.1000000000000001</v>
      </c>
      <c r="H500" s="16">
        <f t="shared" si="71"/>
        <v>1</v>
      </c>
      <c r="I500" s="16">
        <f t="shared" si="71"/>
        <v>0</v>
      </c>
      <c r="J500" s="16">
        <f t="shared" si="71"/>
        <v>55</v>
      </c>
      <c r="K500" s="16">
        <f t="shared" si="71"/>
        <v>0</v>
      </c>
      <c r="L500" s="16">
        <f t="shared" si="71"/>
        <v>100</v>
      </c>
      <c r="M500" s="16">
        <f t="shared" si="71"/>
        <v>0</v>
      </c>
      <c r="N500" s="16">
        <f t="shared" si="71"/>
        <v>4</v>
      </c>
      <c r="O500" s="16">
        <f t="shared" si="71"/>
        <v>55</v>
      </c>
      <c r="P500" s="16">
        <f t="shared" si="71"/>
        <v>7</v>
      </c>
      <c r="Q500" s="16">
        <f t="shared" si="71"/>
        <v>2</v>
      </c>
      <c r="R500" s="16">
        <f t="shared" si="70"/>
        <v>20</v>
      </c>
      <c r="S500" s="16">
        <f t="shared" si="70"/>
        <v>0</v>
      </c>
      <c r="T500" s="16">
        <f t="shared" si="70"/>
        <v>0</v>
      </c>
      <c r="U500" s="16">
        <f t="shared" si="70"/>
        <v>0</v>
      </c>
      <c r="V500" s="16">
        <f t="shared" si="70"/>
        <v>0</v>
      </c>
      <c r="W500" s="16">
        <f t="shared" si="70"/>
        <v>1</v>
      </c>
      <c r="X500" s="16" t="str">
        <f t="shared" si="63"/>
        <v>null</v>
      </c>
    </row>
    <row r="501" spans="1:24" x14ac:dyDescent="0.15">
      <c r="A501" s="20" t="str">
        <f t="shared" si="65"/>
        <v>25_1-4/364&lt;lv46&gt;s3</v>
      </c>
      <c r="B501" s="16">
        <f t="shared" si="71"/>
        <v>25</v>
      </c>
      <c r="C501" s="16">
        <f t="shared" si="71"/>
        <v>1</v>
      </c>
      <c r="D501" s="16">
        <f t="shared" si="71"/>
        <v>4</v>
      </c>
      <c r="E501" s="16">
        <f t="shared" si="71"/>
        <v>364</v>
      </c>
      <c r="F501" s="16">
        <f t="shared" si="71"/>
        <v>46</v>
      </c>
      <c r="G501" s="16">
        <f t="shared" si="71"/>
        <v>1.1000000000000001</v>
      </c>
      <c r="H501" s="16">
        <f t="shared" si="71"/>
        <v>1</v>
      </c>
      <c r="I501" s="16">
        <f t="shared" si="71"/>
        <v>0</v>
      </c>
      <c r="J501" s="16">
        <f t="shared" si="71"/>
        <v>364</v>
      </c>
      <c r="K501" s="16">
        <f t="shared" si="71"/>
        <v>0</v>
      </c>
      <c r="L501" s="16">
        <f t="shared" si="71"/>
        <v>100</v>
      </c>
      <c r="M501" s="16">
        <f t="shared" si="71"/>
        <v>0</v>
      </c>
      <c r="N501" s="16">
        <f t="shared" si="71"/>
        <v>3</v>
      </c>
      <c r="O501" s="16">
        <f t="shared" si="71"/>
        <v>364</v>
      </c>
      <c r="P501" s="16">
        <f t="shared" si="71"/>
        <v>7</v>
      </c>
      <c r="Q501" s="16">
        <f t="shared" si="71"/>
        <v>2</v>
      </c>
      <c r="R501" s="16">
        <f t="shared" si="70"/>
        <v>20</v>
      </c>
      <c r="S501" s="16">
        <f t="shared" si="70"/>
        <v>0</v>
      </c>
      <c r="T501" s="16">
        <f t="shared" si="70"/>
        <v>0</v>
      </c>
      <c r="U501" s="16">
        <f t="shared" si="70"/>
        <v>0</v>
      </c>
      <c r="V501" s="16">
        <f t="shared" si="70"/>
        <v>0</v>
      </c>
      <c r="W501" s="16">
        <f t="shared" si="70"/>
        <v>1</v>
      </c>
      <c r="X501" s="16" t="str">
        <f t="shared" si="63"/>
        <v>null</v>
      </c>
    </row>
    <row r="502" spans="1:24" x14ac:dyDescent="0.15">
      <c r="A502" s="20" t="str">
        <f t="shared" si="65"/>
        <v>25_1-4/366&lt;lv46&gt;s3</v>
      </c>
      <c r="B502" s="16">
        <f t="shared" si="71"/>
        <v>25</v>
      </c>
      <c r="C502" s="16">
        <f t="shared" si="71"/>
        <v>1</v>
      </c>
      <c r="D502" s="16">
        <f t="shared" si="71"/>
        <v>4</v>
      </c>
      <c r="E502" s="16">
        <f t="shared" si="71"/>
        <v>366</v>
      </c>
      <c r="F502" s="16">
        <f t="shared" si="71"/>
        <v>46</v>
      </c>
      <c r="G502" s="16">
        <f t="shared" si="71"/>
        <v>1.1000000000000001</v>
      </c>
      <c r="H502" s="16">
        <f t="shared" si="71"/>
        <v>1</v>
      </c>
      <c r="I502" s="16">
        <f t="shared" si="71"/>
        <v>0</v>
      </c>
      <c r="J502" s="16">
        <f t="shared" si="71"/>
        <v>366</v>
      </c>
      <c r="K502" s="16">
        <f t="shared" si="71"/>
        <v>0</v>
      </c>
      <c r="L502" s="16">
        <f t="shared" si="71"/>
        <v>100</v>
      </c>
      <c r="M502" s="16">
        <f t="shared" si="71"/>
        <v>0</v>
      </c>
      <c r="N502" s="16">
        <f t="shared" si="71"/>
        <v>3</v>
      </c>
      <c r="O502" s="16">
        <f t="shared" si="71"/>
        <v>366</v>
      </c>
      <c r="P502" s="16">
        <f t="shared" si="71"/>
        <v>7</v>
      </c>
      <c r="Q502" s="16">
        <f t="shared" si="71"/>
        <v>2</v>
      </c>
      <c r="R502" s="16">
        <f t="shared" si="70"/>
        <v>20</v>
      </c>
      <c r="S502" s="16">
        <f t="shared" si="70"/>
        <v>0</v>
      </c>
      <c r="T502" s="16">
        <f t="shared" si="70"/>
        <v>0</v>
      </c>
      <c r="U502" s="16">
        <f t="shared" si="70"/>
        <v>0</v>
      </c>
      <c r="V502" s="16">
        <f t="shared" si="70"/>
        <v>0</v>
      </c>
      <c r="W502" s="16">
        <f t="shared" si="70"/>
        <v>1</v>
      </c>
      <c r="X502" s="16" t="str">
        <f t="shared" si="63"/>
        <v>null</v>
      </c>
    </row>
    <row r="503" spans="1:24" x14ac:dyDescent="0.15">
      <c r="A503" s="20" t="str">
        <f t="shared" si="65"/>
        <v>25_1-4/354&lt;lv46&gt;s3</v>
      </c>
      <c r="B503" s="16">
        <f t="shared" si="71"/>
        <v>25</v>
      </c>
      <c r="C503" s="16">
        <f t="shared" si="71"/>
        <v>1</v>
      </c>
      <c r="D503" s="16">
        <f t="shared" si="71"/>
        <v>4</v>
      </c>
      <c r="E503" s="16">
        <f t="shared" si="71"/>
        <v>354</v>
      </c>
      <c r="F503" s="16">
        <f t="shared" si="71"/>
        <v>46</v>
      </c>
      <c r="G503" s="16">
        <f t="shared" si="71"/>
        <v>1</v>
      </c>
      <c r="H503" s="16">
        <f t="shared" si="71"/>
        <v>1</v>
      </c>
      <c r="I503" s="16">
        <f t="shared" si="71"/>
        <v>0</v>
      </c>
      <c r="J503" s="16">
        <f t="shared" si="71"/>
        <v>354</v>
      </c>
      <c r="K503" s="16">
        <f t="shared" si="71"/>
        <v>0</v>
      </c>
      <c r="L503" s="16">
        <f t="shared" si="71"/>
        <v>100</v>
      </c>
      <c r="M503" s="16">
        <f t="shared" si="71"/>
        <v>0</v>
      </c>
      <c r="N503" s="16">
        <f t="shared" si="71"/>
        <v>3</v>
      </c>
      <c r="O503" s="16">
        <f t="shared" si="71"/>
        <v>354</v>
      </c>
      <c r="P503" s="16">
        <f t="shared" si="71"/>
        <v>1</v>
      </c>
      <c r="Q503" s="16">
        <f t="shared" si="71"/>
        <v>2</v>
      </c>
      <c r="R503" s="16">
        <f t="shared" si="70"/>
        <v>36</v>
      </c>
      <c r="S503" s="16">
        <f t="shared" si="70"/>
        <v>0</v>
      </c>
      <c r="T503" s="16">
        <f t="shared" si="70"/>
        <v>0</v>
      </c>
      <c r="U503" s="16">
        <f t="shared" si="70"/>
        <v>0</v>
      </c>
      <c r="V503" s="16">
        <f t="shared" si="70"/>
        <v>0</v>
      </c>
      <c r="W503" s="16">
        <f t="shared" si="70"/>
        <v>1</v>
      </c>
      <c r="X503" s="16" t="str">
        <f t="shared" si="63"/>
        <v>null</v>
      </c>
    </row>
    <row r="504" spans="1:24" x14ac:dyDescent="0.15">
      <c r="A504" s="20" t="str">
        <f t="shared" si="65"/>
        <v>25_1-5/162&lt;lv51&gt;s2</v>
      </c>
      <c r="B504" s="16">
        <f t="shared" si="71"/>
        <v>25</v>
      </c>
      <c r="C504" s="16">
        <f t="shared" si="71"/>
        <v>1</v>
      </c>
      <c r="D504" s="16">
        <f t="shared" si="71"/>
        <v>5</v>
      </c>
      <c r="E504" s="16">
        <f t="shared" si="71"/>
        <v>162</v>
      </c>
      <c r="F504" s="16">
        <f t="shared" si="71"/>
        <v>51</v>
      </c>
      <c r="G504" s="16">
        <f t="shared" si="71"/>
        <v>3</v>
      </c>
      <c r="H504" s="16">
        <f t="shared" si="71"/>
        <v>1.1000000000000001</v>
      </c>
      <c r="I504" s="16">
        <f t="shared" si="71"/>
        <v>0</v>
      </c>
      <c r="J504" s="16">
        <f t="shared" si="71"/>
        <v>16201</v>
      </c>
      <c r="K504" s="16">
        <f t="shared" si="71"/>
        <v>1</v>
      </c>
      <c r="L504" s="16">
        <f t="shared" si="71"/>
        <v>100</v>
      </c>
      <c r="M504" s="16">
        <f t="shared" si="71"/>
        <v>1</v>
      </c>
      <c r="N504" s="16">
        <f t="shared" si="71"/>
        <v>2</v>
      </c>
      <c r="O504" s="16">
        <f t="shared" si="71"/>
        <v>162</v>
      </c>
      <c r="P504" s="16">
        <f t="shared" si="71"/>
        <v>1</v>
      </c>
      <c r="Q504" s="16">
        <f t="shared" si="71"/>
        <v>3</v>
      </c>
      <c r="R504" s="16">
        <f t="shared" si="70"/>
        <v>0</v>
      </c>
      <c r="S504" s="16">
        <f t="shared" si="70"/>
        <v>0</v>
      </c>
      <c r="T504" s="16">
        <f t="shared" si="70"/>
        <v>0</v>
      </c>
      <c r="U504" s="16">
        <f t="shared" si="70"/>
        <v>0</v>
      </c>
      <c r="V504" s="16">
        <f t="shared" si="70"/>
        <v>0</v>
      </c>
      <c r="W504" s="16">
        <f t="shared" si="70"/>
        <v>1</v>
      </c>
      <c r="X504" s="16" t="str">
        <f t="shared" si="63"/>
        <v>null</v>
      </c>
    </row>
    <row r="505" spans="1:24" x14ac:dyDescent="0.15">
      <c r="A505" s="20" t="str">
        <f t="shared" si="65"/>
        <v>25_2-1/13&lt;lv48&gt;s2</v>
      </c>
      <c r="B505" s="16">
        <f t="shared" si="71"/>
        <v>25</v>
      </c>
      <c r="C505" s="16">
        <f t="shared" si="71"/>
        <v>2</v>
      </c>
      <c r="D505" s="16">
        <f t="shared" si="71"/>
        <v>1</v>
      </c>
      <c r="E505" s="16">
        <f t="shared" si="71"/>
        <v>13</v>
      </c>
      <c r="F505" s="16">
        <f t="shared" si="71"/>
        <v>48</v>
      </c>
      <c r="G505" s="16">
        <f t="shared" si="71"/>
        <v>1</v>
      </c>
      <c r="H505" s="16">
        <f t="shared" si="71"/>
        <v>1</v>
      </c>
      <c r="I505" s="16">
        <f t="shared" si="71"/>
        <v>0</v>
      </c>
      <c r="J505" s="16">
        <f t="shared" si="71"/>
        <v>0</v>
      </c>
      <c r="K505" s="16">
        <f t="shared" si="71"/>
        <v>0</v>
      </c>
      <c r="L505" s="16">
        <f t="shared" si="71"/>
        <v>100</v>
      </c>
      <c r="M505" s="16">
        <f t="shared" si="71"/>
        <v>0</v>
      </c>
      <c r="N505" s="16">
        <f t="shared" si="71"/>
        <v>2</v>
      </c>
      <c r="O505" s="16">
        <f t="shared" si="71"/>
        <v>13</v>
      </c>
      <c r="P505" s="16">
        <f t="shared" si="71"/>
        <v>9</v>
      </c>
      <c r="Q505" s="16">
        <f t="shared" si="71"/>
        <v>1</v>
      </c>
      <c r="R505" s="16">
        <f t="shared" si="70"/>
        <v>15</v>
      </c>
      <c r="S505" s="16">
        <f t="shared" si="70"/>
        <v>0</v>
      </c>
      <c r="T505" s="16">
        <f t="shared" si="70"/>
        <v>0</v>
      </c>
      <c r="U505" s="16">
        <f t="shared" si="70"/>
        <v>0</v>
      </c>
      <c r="V505" s="16">
        <f t="shared" si="70"/>
        <v>0</v>
      </c>
      <c r="W505" s="16">
        <f t="shared" si="70"/>
        <v>1</v>
      </c>
      <c r="X505" s="16" t="str">
        <f t="shared" si="63"/>
        <v>null</v>
      </c>
    </row>
    <row r="506" spans="1:24" x14ac:dyDescent="0.15">
      <c r="A506" s="20" t="str">
        <f t="shared" si="65"/>
        <v>25_2-1/47&lt;lv48&gt;s1</v>
      </c>
      <c r="B506" s="16">
        <f t="shared" si="71"/>
        <v>25</v>
      </c>
      <c r="C506" s="16">
        <f t="shared" si="71"/>
        <v>2</v>
      </c>
      <c r="D506" s="16">
        <f t="shared" si="71"/>
        <v>1</v>
      </c>
      <c r="E506" s="16">
        <f t="shared" si="71"/>
        <v>47</v>
      </c>
      <c r="F506" s="16">
        <f t="shared" si="71"/>
        <v>48</v>
      </c>
      <c r="G506" s="16">
        <f t="shared" si="71"/>
        <v>1</v>
      </c>
      <c r="H506" s="16">
        <f t="shared" si="71"/>
        <v>1</v>
      </c>
      <c r="I506" s="16">
        <f t="shared" si="71"/>
        <v>0</v>
      </c>
      <c r="J506" s="16">
        <f t="shared" si="71"/>
        <v>0</v>
      </c>
      <c r="K506" s="16">
        <f t="shared" si="71"/>
        <v>0</v>
      </c>
      <c r="L506" s="16">
        <f t="shared" si="71"/>
        <v>100</v>
      </c>
      <c r="M506" s="16">
        <f t="shared" si="71"/>
        <v>0</v>
      </c>
      <c r="N506" s="16">
        <f t="shared" si="71"/>
        <v>1</v>
      </c>
      <c r="O506" s="16">
        <f t="shared" si="71"/>
        <v>47</v>
      </c>
      <c r="P506" s="16">
        <f t="shared" si="71"/>
        <v>7</v>
      </c>
      <c r="Q506" s="16">
        <f t="shared" si="71"/>
        <v>2</v>
      </c>
      <c r="R506" s="16">
        <f t="shared" si="70"/>
        <v>20</v>
      </c>
      <c r="S506" s="16">
        <f t="shared" si="70"/>
        <v>0</v>
      </c>
      <c r="T506" s="16">
        <f t="shared" si="70"/>
        <v>0</v>
      </c>
      <c r="U506" s="16">
        <f t="shared" si="70"/>
        <v>0</v>
      </c>
      <c r="V506" s="16">
        <f t="shared" si="70"/>
        <v>0</v>
      </c>
      <c r="W506" s="16">
        <f t="shared" si="70"/>
        <v>1</v>
      </c>
      <c r="X506" s="16" t="str">
        <f t="shared" si="63"/>
        <v>null</v>
      </c>
    </row>
    <row r="507" spans="1:24" x14ac:dyDescent="0.15">
      <c r="A507" s="20" t="str">
        <f t="shared" si="65"/>
        <v>25_2-1/63&lt;lv48&gt;s2</v>
      </c>
      <c r="B507" s="16">
        <f t="shared" si="71"/>
        <v>25</v>
      </c>
      <c r="C507" s="16">
        <f t="shared" si="71"/>
        <v>2</v>
      </c>
      <c r="D507" s="16">
        <f t="shared" si="71"/>
        <v>1</v>
      </c>
      <c r="E507" s="16">
        <f t="shared" si="71"/>
        <v>63</v>
      </c>
      <c r="F507" s="16">
        <f t="shared" si="71"/>
        <v>48</v>
      </c>
      <c r="G507" s="16">
        <f t="shared" si="71"/>
        <v>1</v>
      </c>
      <c r="H507" s="16">
        <f t="shared" si="71"/>
        <v>1</v>
      </c>
      <c r="I507" s="16">
        <f t="shared" si="71"/>
        <v>0</v>
      </c>
      <c r="J507" s="16">
        <f t="shared" si="71"/>
        <v>63</v>
      </c>
      <c r="K507" s="16">
        <f t="shared" si="71"/>
        <v>0</v>
      </c>
      <c r="L507" s="16">
        <f t="shared" si="71"/>
        <v>100</v>
      </c>
      <c r="M507" s="16">
        <f t="shared" si="71"/>
        <v>0</v>
      </c>
      <c r="N507" s="16">
        <f t="shared" si="71"/>
        <v>2</v>
      </c>
      <c r="O507" s="16">
        <f t="shared" si="71"/>
        <v>63</v>
      </c>
      <c r="P507" s="16">
        <f t="shared" si="71"/>
        <v>7</v>
      </c>
      <c r="Q507" s="16">
        <f t="shared" si="71"/>
        <v>2</v>
      </c>
      <c r="R507" s="16">
        <f t="shared" si="70"/>
        <v>20</v>
      </c>
      <c r="S507" s="16">
        <f t="shared" si="70"/>
        <v>0</v>
      </c>
      <c r="T507" s="16">
        <f t="shared" si="70"/>
        <v>0</v>
      </c>
      <c r="U507" s="16">
        <f t="shared" si="70"/>
        <v>0</v>
      </c>
      <c r="V507" s="16">
        <f t="shared" si="70"/>
        <v>0</v>
      </c>
      <c r="W507" s="16">
        <f t="shared" si="70"/>
        <v>1</v>
      </c>
      <c r="X507" s="16" t="str">
        <f t="shared" si="63"/>
        <v>null</v>
      </c>
    </row>
    <row r="508" spans="1:24" x14ac:dyDescent="0.15">
      <c r="A508" s="20" t="str">
        <f t="shared" si="65"/>
        <v>25_2-1/19&lt;lv48&gt;s3</v>
      </c>
      <c r="B508" s="16">
        <f t="shared" si="71"/>
        <v>25</v>
      </c>
      <c r="C508" s="16">
        <f t="shared" si="71"/>
        <v>2</v>
      </c>
      <c r="D508" s="16">
        <f t="shared" si="71"/>
        <v>1</v>
      </c>
      <c r="E508" s="16">
        <f t="shared" si="71"/>
        <v>19</v>
      </c>
      <c r="F508" s="16">
        <f t="shared" si="71"/>
        <v>48</v>
      </c>
      <c r="G508" s="16">
        <f t="shared" si="71"/>
        <v>1</v>
      </c>
      <c r="H508" s="16">
        <f t="shared" si="71"/>
        <v>1</v>
      </c>
      <c r="I508" s="16">
        <f t="shared" si="71"/>
        <v>0</v>
      </c>
      <c r="J508" s="16">
        <f t="shared" si="71"/>
        <v>0</v>
      </c>
      <c r="K508" s="16">
        <f t="shared" si="71"/>
        <v>0</v>
      </c>
      <c r="L508" s="16">
        <f t="shared" si="71"/>
        <v>100</v>
      </c>
      <c r="M508" s="16">
        <f t="shared" si="71"/>
        <v>0</v>
      </c>
      <c r="N508" s="16">
        <f t="shared" si="71"/>
        <v>3</v>
      </c>
      <c r="O508" s="16">
        <f t="shared" si="71"/>
        <v>19</v>
      </c>
      <c r="P508" s="16">
        <f t="shared" si="71"/>
        <v>9</v>
      </c>
      <c r="Q508" s="16">
        <f t="shared" si="71"/>
        <v>1</v>
      </c>
      <c r="R508" s="16">
        <f t="shared" si="70"/>
        <v>15</v>
      </c>
      <c r="S508" s="16">
        <f t="shared" si="70"/>
        <v>0</v>
      </c>
      <c r="T508" s="16">
        <f t="shared" si="70"/>
        <v>0</v>
      </c>
      <c r="U508" s="16">
        <f t="shared" si="70"/>
        <v>0</v>
      </c>
      <c r="V508" s="16">
        <f t="shared" si="70"/>
        <v>0</v>
      </c>
      <c r="W508" s="16">
        <f t="shared" si="70"/>
        <v>1</v>
      </c>
      <c r="X508" s="16" t="str">
        <f t="shared" si="63"/>
        <v>null</v>
      </c>
    </row>
    <row r="509" spans="1:24" x14ac:dyDescent="0.15">
      <c r="A509" s="20" t="str">
        <f t="shared" si="65"/>
        <v>25_2-1/39&lt;lv48&gt;s3</v>
      </c>
      <c r="B509" s="16">
        <f t="shared" si="71"/>
        <v>25</v>
      </c>
      <c r="C509" s="16">
        <f t="shared" si="71"/>
        <v>2</v>
      </c>
      <c r="D509" s="16">
        <f t="shared" si="71"/>
        <v>1</v>
      </c>
      <c r="E509" s="16">
        <f t="shared" si="71"/>
        <v>39</v>
      </c>
      <c r="F509" s="16">
        <f t="shared" si="71"/>
        <v>48</v>
      </c>
      <c r="G509" s="16">
        <f t="shared" si="71"/>
        <v>1</v>
      </c>
      <c r="H509" s="16">
        <f t="shared" si="71"/>
        <v>1</v>
      </c>
      <c r="I509" s="16">
        <f t="shared" si="71"/>
        <v>0</v>
      </c>
      <c r="J509" s="16">
        <f t="shared" si="71"/>
        <v>39</v>
      </c>
      <c r="K509" s="16">
        <f t="shared" si="71"/>
        <v>0</v>
      </c>
      <c r="L509" s="16">
        <f t="shared" si="71"/>
        <v>100</v>
      </c>
      <c r="M509" s="16">
        <f t="shared" si="71"/>
        <v>0</v>
      </c>
      <c r="N509" s="16">
        <f t="shared" si="71"/>
        <v>3</v>
      </c>
      <c r="O509" s="16">
        <f t="shared" si="71"/>
        <v>39</v>
      </c>
      <c r="P509" s="16">
        <f t="shared" si="71"/>
        <v>5</v>
      </c>
      <c r="Q509" s="16">
        <f t="shared" si="71"/>
        <v>2</v>
      </c>
      <c r="R509" s="16">
        <f t="shared" si="70"/>
        <v>20</v>
      </c>
      <c r="S509" s="16">
        <f t="shared" si="70"/>
        <v>0</v>
      </c>
      <c r="T509" s="16">
        <f t="shared" si="70"/>
        <v>0</v>
      </c>
      <c r="U509" s="16">
        <f t="shared" si="70"/>
        <v>0</v>
      </c>
      <c r="V509" s="16">
        <f t="shared" si="70"/>
        <v>0</v>
      </c>
      <c r="W509" s="16">
        <f t="shared" si="70"/>
        <v>1</v>
      </c>
      <c r="X509" s="16" t="str">
        <f t="shared" si="63"/>
        <v>null</v>
      </c>
    </row>
    <row r="510" spans="1:24" x14ac:dyDescent="0.15">
      <c r="A510" s="20" t="str">
        <f t="shared" si="65"/>
        <v>25_2-1/55&lt;lv48&gt;s4</v>
      </c>
      <c r="B510" s="16">
        <f t="shared" si="71"/>
        <v>25</v>
      </c>
      <c r="C510" s="16">
        <f t="shared" si="71"/>
        <v>2</v>
      </c>
      <c r="D510" s="16">
        <f t="shared" si="71"/>
        <v>1</v>
      </c>
      <c r="E510" s="16">
        <f t="shared" si="71"/>
        <v>55</v>
      </c>
      <c r="F510" s="16">
        <f t="shared" si="71"/>
        <v>48</v>
      </c>
      <c r="G510" s="16">
        <f t="shared" si="71"/>
        <v>1</v>
      </c>
      <c r="H510" s="16">
        <f t="shared" si="71"/>
        <v>1</v>
      </c>
      <c r="I510" s="16">
        <f t="shared" si="71"/>
        <v>0</v>
      </c>
      <c r="J510" s="16">
        <f t="shared" si="71"/>
        <v>55</v>
      </c>
      <c r="K510" s="16">
        <f t="shared" si="71"/>
        <v>0</v>
      </c>
      <c r="L510" s="16">
        <f t="shared" si="71"/>
        <v>100</v>
      </c>
      <c r="M510" s="16">
        <f t="shared" si="71"/>
        <v>0</v>
      </c>
      <c r="N510" s="16">
        <f t="shared" si="71"/>
        <v>4</v>
      </c>
      <c r="O510" s="16">
        <f t="shared" si="71"/>
        <v>55</v>
      </c>
      <c r="P510" s="16">
        <f t="shared" si="71"/>
        <v>7</v>
      </c>
      <c r="Q510" s="16">
        <f t="shared" ref="Q510:X573" si="72">VLOOKUP($A510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10" s="16">
        <f t="shared" si="72"/>
        <v>20</v>
      </c>
      <c r="S510" s="16">
        <f t="shared" si="72"/>
        <v>0</v>
      </c>
      <c r="T510" s="16">
        <f t="shared" si="72"/>
        <v>0</v>
      </c>
      <c r="U510" s="16">
        <f t="shared" si="72"/>
        <v>0</v>
      </c>
      <c r="V510" s="16">
        <f t="shared" si="72"/>
        <v>0</v>
      </c>
      <c r="W510" s="16">
        <f t="shared" si="72"/>
        <v>1</v>
      </c>
      <c r="X510" s="16" t="str">
        <f t="shared" si="72"/>
        <v>null</v>
      </c>
    </row>
    <row r="511" spans="1:24" x14ac:dyDescent="0.15">
      <c r="A511" s="20" t="str">
        <f t="shared" si="65"/>
        <v>25_2-1/366&lt;lv48&gt;s3</v>
      </c>
      <c r="B511" s="16">
        <f t="shared" ref="B511:Q526" si="73">VLOOKUP($A511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511" s="16">
        <f t="shared" si="73"/>
        <v>2</v>
      </c>
      <c r="D511" s="16">
        <f t="shared" si="73"/>
        <v>1</v>
      </c>
      <c r="E511" s="16">
        <f t="shared" si="73"/>
        <v>366</v>
      </c>
      <c r="F511" s="16">
        <f t="shared" si="73"/>
        <v>48</v>
      </c>
      <c r="G511" s="16">
        <f t="shared" si="73"/>
        <v>1</v>
      </c>
      <c r="H511" s="16">
        <f t="shared" si="73"/>
        <v>1</v>
      </c>
      <c r="I511" s="16">
        <f t="shared" si="73"/>
        <v>0</v>
      </c>
      <c r="J511" s="16">
        <f t="shared" si="73"/>
        <v>366</v>
      </c>
      <c r="K511" s="16">
        <f t="shared" si="73"/>
        <v>0</v>
      </c>
      <c r="L511" s="16">
        <f t="shared" si="73"/>
        <v>100</v>
      </c>
      <c r="M511" s="16">
        <f t="shared" si="73"/>
        <v>0</v>
      </c>
      <c r="N511" s="16">
        <f t="shared" si="73"/>
        <v>3</v>
      </c>
      <c r="O511" s="16">
        <f t="shared" si="73"/>
        <v>366</v>
      </c>
      <c r="P511" s="16">
        <f t="shared" si="73"/>
        <v>7</v>
      </c>
      <c r="Q511" s="16">
        <f t="shared" si="73"/>
        <v>2</v>
      </c>
      <c r="R511" s="16">
        <f t="shared" si="72"/>
        <v>20</v>
      </c>
      <c r="S511" s="16">
        <f t="shared" si="72"/>
        <v>0</v>
      </c>
      <c r="T511" s="16">
        <f t="shared" si="72"/>
        <v>0</v>
      </c>
      <c r="U511" s="16">
        <f t="shared" si="72"/>
        <v>0</v>
      </c>
      <c r="V511" s="16">
        <f t="shared" si="72"/>
        <v>0</v>
      </c>
      <c r="W511" s="16">
        <f t="shared" si="72"/>
        <v>1</v>
      </c>
      <c r="X511" s="16" t="str">
        <f t="shared" si="72"/>
        <v>null</v>
      </c>
    </row>
    <row r="512" spans="1:24" x14ac:dyDescent="0.15">
      <c r="A512" s="20" t="str">
        <f t="shared" si="65"/>
        <v>25_2-1/354&lt;lv48&gt;s3</v>
      </c>
      <c r="B512" s="16">
        <f t="shared" si="73"/>
        <v>25</v>
      </c>
      <c r="C512" s="16">
        <f t="shared" si="73"/>
        <v>2</v>
      </c>
      <c r="D512" s="16">
        <f t="shared" si="73"/>
        <v>1</v>
      </c>
      <c r="E512" s="16">
        <f t="shared" si="73"/>
        <v>354</v>
      </c>
      <c r="F512" s="16">
        <f t="shared" si="73"/>
        <v>48</v>
      </c>
      <c r="G512" s="16">
        <f t="shared" si="73"/>
        <v>1</v>
      </c>
      <c r="H512" s="16">
        <f t="shared" si="73"/>
        <v>1</v>
      </c>
      <c r="I512" s="16">
        <f t="shared" si="73"/>
        <v>0</v>
      </c>
      <c r="J512" s="16">
        <f t="shared" si="73"/>
        <v>354</v>
      </c>
      <c r="K512" s="16">
        <f t="shared" si="73"/>
        <v>0</v>
      </c>
      <c r="L512" s="16">
        <f t="shared" si="73"/>
        <v>100</v>
      </c>
      <c r="M512" s="16">
        <f t="shared" si="73"/>
        <v>0</v>
      </c>
      <c r="N512" s="16">
        <f t="shared" si="73"/>
        <v>3</v>
      </c>
      <c r="O512" s="16">
        <f t="shared" si="73"/>
        <v>354</v>
      </c>
      <c r="P512" s="16">
        <f t="shared" si="73"/>
        <v>1</v>
      </c>
      <c r="Q512" s="16">
        <f t="shared" si="73"/>
        <v>2</v>
      </c>
      <c r="R512" s="16">
        <f t="shared" si="72"/>
        <v>36</v>
      </c>
      <c r="S512" s="16">
        <f t="shared" si="72"/>
        <v>0</v>
      </c>
      <c r="T512" s="16">
        <f t="shared" si="72"/>
        <v>0</v>
      </c>
      <c r="U512" s="16">
        <f t="shared" si="72"/>
        <v>0</v>
      </c>
      <c r="V512" s="16">
        <f t="shared" si="72"/>
        <v>0</v>
      </c>
      <c r="W512" s="16">
        <f t="shared" si="72"/>
        <v>1</v>
      </c>
      <c r="X512" s="16" t="str">
        <f t="shared" si="72"/>
        <v>null</v>
      </c>
    </row>
    <row r="513" spans="1:24" x14ac:dyDescent="0.15">
      <c r="A513" s="20" t="str">
        <f t="shared" si="65"/>
        <v>25_2-2/25&lt;lv48&gt;s3</v>
      </c>
      <c r="B513" s="16">
        <f t="shared" si="73"/>
        <v>25</v>
      </c>
      <c r="C513" s="16">
        <f t="shared" si="73"/>
        <v>2</v>
      </c>
      <c r="D513" s="16">
        <f t="shared" si="73"/>
        <v>2</v>
      </c>
      <c r="E513" s="16">
        <f t="shared" si="73"/>
        <v>25</v>
      </c>
      <c r="F513" s="16">
        <f t="shared" si="73"/>
        <v>48</v>
      </c>
      <c r="G513" s="16">
        <f t="shared" si="73"/>
        <v>1</v>
      </c>
      <c r="H513" s="16">
        <f t="shared" si="73"/>
        <v>1</v>
      </c>
      <c r="I513" s="16">
        <f t="shared" si="73"/>
        <v>0</v>
      </c>
      <c r="J513" s="16">
        <f t="shared" si="73"/>
        <v>0</v>
      </c>
      <c r="K513" s="16">
        <f t="shared" si="73"/>
        <v>0</v>
      </c>
      <c r="L513" s="16">
        <f t="shared" si="73"/>
        <v>100</v>
      </c>
      <c r="M513" s="16">
        <f t="shared" si="73"/>
        <v>0</v>
      </c>
      <c r="N513" s="16">
        <f t="shared" si="73"/>
        <v>3</v>
      </c>
      <c r="O513" s="16">
        <f t="shared" si="73"/>
        <v>25</v>
      </c>
      <c r="P513" s="16">
        <f t="shared" si="73"/>
        <v>7</v>
      </c>
      <c r="Q513" s="16">
        <f t="shared" si="73"/>
        <v>1</v>
      </c>
      <c r="R513" s="16">
        <f t="shared" si="72"/>
        <v>15</v>
      </c>
      <c r="S513" s="16">
        <f t="shared" si="72"/>
        <v>0</v>
      </c>
      <c r="T513" s="16">
        <f t="shared" si="72"/>
        <v>0</v>
      </c>
      <c r="U513" s="16">
        <f t="shared" si="72"/>
        <v>0</v>
      </c>
      <c r="V513" s="16">
        <f t="shared" si="72"/>
        <v>0</v>
      </c>
      <c r="W513" s="16">
        <f t="shared" si="72"/>
        <v>1</v>
      </c>
      <c r="X513" s="16" t="str">
        <f t="shared" si="72"/>
        <v>null</v>
      </c>
    </row>
    <row r="514" spans="1:24" x14ac:dyDescent="0.15">
      <c r="A514" s="20" t="str">
        <f t="shared" si="65"/>
        <v>25_2-2/37&lt;lv48&gt;s3</v>
      </c>
      <c r="B514" s="16">
        <f t="shared" si="73"/>
        <v>25</v>
      </c>
      <c r="C514" s="16">
        <f t="shared" si="73"/>
        <v>2</v>
      </c>
      <c r="D514" s="16">
        <f t="shared" si="73"/>
        <v>2</v>
      </c>
      <c r="E514" s="16">
        <f t="shared" si="73"/>
        <v>37</v>
      </c>
      <c r="F514" s="16">
        <f t="shared" si="73"/>
        <v>48</v>
      </c>
      <c r="G514" s="16">
        <f t="shared" si="73"/>
        <v>1</v>
      </c>
      <c r="H514" s="16">
        <f t="shared" si="73"/>
        <v>1</v>
      </c>
      <c r="I514" s="16">
        <f t="shared" si="73"/>
        <v>0</v>
      </c>
      <c r="J514" s="16">
        <f t="shared" si="73"/>
        <v>37</v>
      </c>
      <c r="K514" s="16">
        <f t="shared" si="73"/>
        <v>0</v>
      </c>
      <c r="L514" s="16">
        <f t="shared" si="73"/>
        <v>100</v>
      </c>
      <c r="M514" s="16">
        <f t="shared" si="73"/>
        <v>0</v>
      </c>
      <c r="N514" s="16">
        <f t="shared" si="73"/>
        <v>3</v>
      </c>
      <c r="O514" s="16">
        <f t="shared" si="73"/>
        <v>37</v>
      </c>
      <c r="P514" s="16">
        <f t="shared" si="73"/>
        <v>5</v>
      </c>
      <c r="Q514" s="16">
        <f t="shared" si="73"/>
        <v>2</v>
      </c>
      <c r="R514" s="16">
        <f t="shared" si="72"/>
        <v>20</v>
      </c>
      <c r="S514" s="16">
        <f t="shared" si="72"/>
        <v>0</v>
      </c>
      <c r="T514" s="16">
        <f t="shared" si="72"/>
        <v>0</v>
      </c>
      <c r="U514" s="16">
        <f t="shared" si="72"/>
        <v>0</v>
      </c>
      <c r="V514" s="16">
        <f t="shared" si="72"/>
        <v>0</v>
      </c>
      <c r="W514" s="16">
        <f t="shared" si="72"/>
        <v>1</v>
      </c>
      <c r="X514" s="16" t="str">
        <f t="shared" si="72"/>
        <v>null</v>
      </c>
    </row>
    <row r="515" spans="1:24" x14ac:dyDescent="0.15">
      <c r="A515" s="20" t="str">
        <f t="shared" si="65"/>
        <v>25_2-2/45&lt;lv48&gt;s3</v>
      </c>
      <c r="B515" s="16">
        <f t="shared" si="73"/>
        <v>25</v>
      </c>
      <c r="C515" s="16">
        <f t="shared" si="73"/>
        <v>2</v>
      </c>
      <c r="D515" s="16">
        <f t="shared" si="73"/>
        <v>2</v>
      </c>
      <c r="E515" s="16">
        <f t="shared" si="73"/>
        <v>45</v>
      </c>
      <c r="F515" s="16">
        <f t="shared" si="73"/>
        <v>48</v>
      </c>
      <c r="G515" s="16">
        <f t="shared" si="73"/>
        <v>1</v>
      </c>
      <c r="H515" s="16">
        <f t="shared" si="73"/>
        <v>1</v>
      </c>
      <c r="I515" s="16">
        <f t="shared" si="73"/>
        <v>0</v>
      </c>
      <c r="J515" s="16">
        <f t="shared" si="73"/>
        <v>0</v>
      </c>
      <c r="K515" s="16">
        <f t="shared" si="73"/>
        <v>0</v>
      </c>
      <c r="L515" s="16">
        <f t="shared" si="73"/>
        <v>100</v>
      </c>
      <c r="M515" s="16">
        <f t="shared" si="73"/>
        <v>0</v>
      </c>
      <c r="N515" s="16">
        <f t="shared" si="73"/>
        <v>3</v>
      </c>
      <c r="O515" s="16">
        <f t="shared" si="73"/>
        <v>45</v>
      </c>
      <c r="P515" s="16">
        <f t="shared" si="73"/>
        <v>7</v>
      </c>
      <c r="Q515" s="16">
        <f t="shared" si="73"/>
        <v>2</v>
      </c>
      <c r="R515" s="16">
        <f t="shared" si="72"/>
        <v>20</v>
      </c>
      <c r="S515" s="16">
        <f t="shared" si="72"/>
        <v>0</v>
      </c>
      <c r="T515" s="16">
        <f t="shared" si="72"/>
        <v>0</v>
      </c>
      <c r="U515" s="16">
        <f t="shared" si="72"/>
        <v>0</v>
      </c>
      <c r="V515" s="16">
        <f t="shared" si="72"/>
        <v>0</v>
      </c>
      <c r="W515" s="16">
        <f t="shared" si="72"/>
        <v>1</v>
      </c>
      <c r="X515" s="16" t="str">
        <f t="shared" si="72"/>
        <v>null</v>
      </c>
    </row>
    <row r="516" spans="1:24" x14ac:dyDescent="0.15">
      <c r="A516" s="20" t="str">
        <f t="shared" ref="A516:A579" si="74">INDIRECT(ADDRESS(ROW()+$A$1,COLUMN(),1,TRUE,$C$1))</f>
        <v>25_2-2/61&lt;lv48&gt;s2</v>
      </c>
      <c r="B516" s="16">
        <f t="shared" si="73"/>
        <v>25</v>
      </c>
      <c r="C516" s="16">
        <f t="shared" si="73"/>
        <v>2</v>
      </c>
      <c r="D516" s="16">
        <f t="shared" si="73"/>
        <v>2</v>
      </c>
      <c r="E516" s="16">
        <f t="shared" si="73"/>
        <v>61</v>
      </c>
      <c r="F516" s="16">
        <f t="shared" si="73"/>
        <v>48</v>
      </c>
      <c r="G516" s="16">
        <f t="shared" si="73"/>
        <v>1</v>
      </c>
      <c r="H516" s="16">
        <f t="shared" si="73"/>
        <v>1</v>
      </c>
      <c r="I516" s="16">
        <f t="shared" si="73"/>
        <v>0</v>
      </c>
      <c r="J516" s="16">
        <f t="shared" si="73"/>
        <v>61</v>
      </c>
      <c r="K516" s="16">
        <f t="shared" si="73"/>
        <v>0</v>
      </c>
      <c r="L516" s="16">
        <f t="shared" si="73"/>
        <v>100</v>
      </c>
      <c r="M516" s="16">
        <f t="shared" si="73"/>
        <v>0</v>
      </c>
      <c r="N516" s="16">
        <f t="shared" si="73"/>
        <v>2</v>
      </c>
      <c r="O516" s="16">
        <f t="shared" si="73"/>
        <v>61</v>
      </c>
      <c r="P516" s="16">
        <f t="shared" si="73"/>
        <v>7</v>
      </c>
      <c r="Q516" s="16">
        <f t="shared" si="73"/>
        <v>2</v>
      </c>
      <c r="R516" s="16">
        <f t="shared" si="72"/>
        <v>20</v>
      </c>
      <c r="S516" s="16">
        <f t="shared" si="72"/>
        <v>0</v>
      </c>
      <c r="T516" s="16">
        <f t="shared" si="72"/>
        <v>0</v>
      </c>
      <c r="U516" s="16">
        <f t="shared" si="72"/>
        <v>0</v>
      </c>
      <c r="V516" s="16">
        <f t="shared" si="72"/>
        <v>0</v>
      </c>
      <c r="W516" s="16">
        <f t="shared" si="72"/>
        <v>1</v>
      </c>
      <c r="X516" s="16" t="str">
        <f t="shared" si="72"/>
        <v>null</v>
      </c>
    </row>
    <row r="517" spans="1:24" x14ac:dyDescent="0.15">
      <c r="A517" s="20" t="str">
        <f t="shared" si="74"/>
        <v>25_2-2/17&lt;lv48&gt;s2</v>
      </c>
      <c r="B517" s="16">
        <f t="shared" si="73"/>
        <v>25</v>
      </c>
      <c r="C517" s="16">
        <f t="shared" si="73"/>
        <v>2</v>
      </c>
      <c r="D517" s="16">
        <f t="shared" si="73"/>
        <v>2</v>
      </c>
      <c r="E517" s="16">
        <f t="shared" si="73"/>
        <v>17</v>
      </c>
      <c r="F517" s="16">
        <f t="shared" si="73"/>
        <v>48</v>
      </c>
      <c r="G517" s="16">
        <f t="shared" si="73"/>
        <v>1</v>
      </c>
      <c r="H517" s="16">
        <f t="shared" si="73"/>
        <v>1</v>
      </c>
      <c r="I517" s="16">
        <f t="shared" si="73"/>
        <v>0</v>
      </c>
      <c r="J517" s="16">
        <f t="shared" si="73"/>
        <v>0</v>
      </c>
      <c r="K517" s="16">
        <f t="shared" si="73"/>
        <v>0</v>
      </c>
      <c r="L517" s="16">
        <f t="shared" si="73"/>
        <v>100</v>
      </c>
      <c r="M517" s="16">
        <f t="shared" si="73"/>
        <v>0</v>
      </c>
      <c r="N517" s="16">
        <f t="shared" si="73"/>
        <v>2</v>
      </c>
      <c r="O517" s="16">
        <f t="shared" si="73"/>
        <v>17</v>
      </c>
      <c r="P517" s="16">
        <f t="shared" si="73"/>
        <v>9</v>
      </c>
      <c r="Q517" s="16">
        <f t="shared" si="73"/>
        <v>1</v>
      </c>
      <c r="R517" s="16">
        <f t="shared" si="72"/>
        <v>15</v>
      </c>
      <c r="S517" s="16">
        <f t="shared" si="72"/>
        <v>0</v>
      </c>
      <c r="T517" s="16">
        <f t="shared" si="72"/>
        <v>0</v>
      </c>
      <c r="U517" s="16">
        <f t="shared" si="72"/>
        <v>0</v>
      </c>
      <c r="V517" s="16">
        <f t="shared" si="72"/>
        <v>0</v>
      </c>
      <c r="W517" s="16">
        <f t="shared" si="72"/>
        <v>1</v>
      </c>
      <c r="X517" s="16" t="str">
        <f t="shared" si="72"/>
        <v>null</v>
      </c>
    </row>
    <row r="518" spans="1:24" x14ac:dyDescent="0.15">
      <c r="A518" s="20" t="str">
        <f t="shared" si="74"/>
        <v>25_2-2/53&lt;lv48&gt;s2</v>
      </c>
      <c r="B518" s="16">
        <f t="shared" si="73"/>
        <v>25</v>
      </c>
      <c r="C518" s="16">
        <f t="shared" si="73"/>
        <v>2</v>
      </c>
      <c r="D518" s="16">
        <f t="shared" si="73"/>
        <v>2</v>
      </c>
      <c r="E518" s="16">
        <f t="shared" si="73"/>
        <v>53</v>
      </c>
      <c r="F518" s="16">
        <f t="shared" si="73"/>
        <v>48</v>
      </c>
      <c r="G518" s="16">
        <f t="shared" si="73"/>
        <v>1</v>
      </c>
      <c r="H518" s="16">
        <f t="shared" si="73"/>
        <v>1</v>
      </c>
      <c r="I518" s="16">
        <f t="shared" si="73"/>
        <v>0</v>
      </c>
      <c r="J518" s="16">
        <f t="shared" si="73"/>
        <v>53</v>
      </c>
      <c r="K518" s="16">
        <f t="shared" si="73"/>
        <v>0</v>
      </c>
      <c r="L518" s="16">
        <f t="shared" si="73"/>
        <v>100</v>
      </c>
      <c r="M518" s="16">
        <f t="shared" si="73"/>
        <v>0</v>
      </c>
      <c r="N518" s="16">
        <f t="shared" si="73"/>
        <v>2</v>
      </c>
      <c r="O518" s="16">
        <f t="shared" si="73"/>
        <v>53</v>
      </c>
      <c r="P518" s="16">
        <f t="shared" si="73"/>
        <v>7</v>
      </c>
      <c r="Q518" s="16">
        <f t="shared" si="73"/>
        <v>2</v>
      </c>
      <c r="R518" s="16">
        <f t="shared" si="72"/>
        <v>20</v>
      </c>
      <c r="S518" s="16">
        <f t="shared" si="72"/>
        <v>0</v>
      </c>
      <c r="T518" s="16">
        <f t="shared" si="72"/>
        <v>0</v>
      </c>
      <c r="U518" s="16">
        <f t="shared" si="72"/>
        <v>0</v>
      </c>
      <c r="V518" s="16">
        <f t="shared" si="72"/>
        <v>0</v>
      </c>
      <c r="W518" s="16">
        <f t="shared" si="72"/>
        <v>1</v>
      </c>
      <c r="X518" s="16" t="str">
        <f t="shared" si="72"/>
        <v>null</v>
      </c>
    </row>
    <row r="519" spans="1:24" x14ac:dyDescent="0.15">
      <c r="A519" s="20" t="str">
        <f t="shared" si="74"/>
        <v>25_2-2/364&lt;lv48&gt;s3</v>
      </c>
      <c r="B519" s="16">
        <f t="shared" si="73"/>
        <v>25</v>
      </c>
      <c r="C519" s="16">
        <f t="shared" si="73"/>
        <v>2</v>
      </c>
      <c r="D519" s="16">
        <f t="shared" si="73"/>
        <v>2</v>
      </c>
      <c r="E519" s="16">
        <f t="shared" si="73"/>
        <v>364</v>
      </c>
      <c r="F519" s="16">
        <f t="shared" si="73"/>
        <v>48</v>
      </c>
      <c r="G519" s="16">
        <f t="shared" si="73"/>
        <v>1</v>
      </c>
      <c r="H519" s="16">
        <f t="shared" si="73"/>
        <v>1</v>
      </c>
      <c r="I519" s="16">
        <f t="shared" si="73"/>
        <v>0</v>
      </c>
      <c r="J519" s="16">
        <f t="shared" si="73"/>
        <v>364</v>
      </c>
      <c r="K519" s="16">
        <f t="shared" si="73"/>
        <v>0</v>
      </c>
      <c r="L519" s="16">
        <f t="shared" si="73"/>
        <v>100</v>
      </c>
      <c r="M519" s="16">
        <f t="shared" si="73"/>
        <v>0</v>
      </c>
      <c r="N519" s="16">
        <f t="shared" si="73"/>
        <v>3</v>
      </c>
      <c r="O519" s="16">
        <f t="shared" si="73"/>
        <v>364</v>
      </c>
      <c r="P519" s="16">
        <f t="shared" si="73"/>
        <v>7</v>
      </c>
      <c r="Q519" s="16">
        <f t="shared" si="73"/>
        <v>2</v>
      </c>
      <c r="R519" s="16">
        <f t="shared" si="72"/>
        <v>20</v>
      </c>
      <c r="S519" s="16">
        <f t="shared" si="72"/>
        <v>0</v>
      </c>
      <c r="T519" s="16">
        <f t="shared" si="72"/>
        <v>0</v>
      </c>
      <c r="U519" s="16">
        <f t="shared" si="72"/>
        <v>0</v>
      </c>
      <c r="V519" s="16">
        <f t="shared" si="72"/>
        <v>0</v>
      </c>
      <c r="W519" s="16">
        <f t="shared" si="72"/>
        <v>1</v>
      </c>
      <c r="X519" s="16" t="str">
        <f t="shared" si="72"/>
        <v>null</v>
      </c>
    </row>
    <row r="520" spans="1:24" x14ac:dyDescent="0.15">
      <c r="A520" s="20" t="str">
        <f t="shared" si="74"/>
        <v>25_2-2/352&lt;lv48&gt;s3</v>
      </c>
      <c r="B520" s="16">
        <f t="shared" si="73"/>
        <v>25</v>
      </c>
      <c r="C520" s="16">
        <f t="shared" si="73"/>
        <v>2</v>
      </c>
      <c r="D520" s="16">
        <f t="shared" si="73"/>
        <v>2</v>
      </c>
      <c r="E520" s="16">
        <f t="shared" si="73"/>
        <v>352</v>
      </c>
      <c r="F520" s="16">
        <f t="shared" si="73"/>
        <v>48</v>
      </c>
      <c r="G520" s="16">
        <f t="shared" si="73"/>
        <v>1</v>
      </c>
      <c r="H520" s="16">
        <f t="shared" si="73"/>
        <v>1</v>
      </c>
      <c r="I520" s="16">
        <f t="shared" si="73"/>
        <v>0</v>
      </c>
      <c r="J520" s="16">
        <f t="shared" si="73"/>
        <v>352</v>
      </c>
      <c r="K520" s="16">
        <f t="shared" si="73"/>
        <v>0</v>
      </c>
      <c r="L520" s="16">
        <f t="shared" si="73"/>
        <v>100</v>
      </c>
      <c r="M520" s="16">
        <f t="shared" si="73"/>
        <v>0</v>
      </c>
      <c r="N520" s="16">
        <f t="shared" si="73"/>
        <v>3</v>
      </c>
      <c r="O520" s="16">
        <f t="shared" si="73"/>
        <v>352</v>
      </c>
      <c r="P520" s="16">
        <f t="shared" si="73"/>
        <v>1</v>
      </c>
      <c r="Q520" s="16">
        <f t="shared" si="73"/>
        <v>2</v>
      </c>
      <c r="R520" s="16">
        <f t="shared" si="72"/>
        <v>36</v>
      </c>
      <c r="S520" s="16">
        <f t="shared" si="72"/>
        <v>0</v>
      </c>
      <c r="T520" s="16">
        <f t="shared" si="72"/>
        <v>0</v>
      </c>
      <c r="U520" s="16">
        <f t="shared" si="72"/>
        <v>0</v>
      </c>
      <c r="V520" s="16">
        <f t="shared" si="72"/>
        <v>0</v>
      </c>
      <c r="W520" s="16">
        <f t="shared" si="72"/>
        <v>1</v>
      </c>
      <c r="X520" s="16" t="str">
        <f t="shared" si="72"/>
        <v>null</v>
      </c>
    </row>
    <row r="521" spans="1:24" x14ac:dyDescent="0.15">
      <c r="A521" s="20" t="str">
        <f t="shared" si="74"/>
        <v>25_2-3/13&lt;lv48&gt;s2</v>
      </c>
      <c r="B521" s="16">
        <f t="shared" si="73"/>
        <v>25</v>
      </c>
      <c r="C521" s="16">
        <f t="shared" si="73"/>
        <v>2</v>
      </c>
      <c r="D521" s="16">
        <f t="shared" si="73"/>
        <v>3</v>
      </c>
      <c r="E521" s="16">
        <f t="shared" si="73"/>
        <v>13</v>
      </c>
      <c r="F521" s="16">
        <f t="shared" si="73"/>
        <v>48</v>
      </c>
      <c r="G521" s="16">
        <f t="shared" si="73"/>
        <v>1.1000000000000001</v>
      </c>
      <c r="H521" s="16">
        <f t="shared" si="73"/>
        <v>1</v>
      </c>
      <c r="I521" s="16">
        <f t="shared" si="73"/>
        <v>0</v>
      </c>
      <c r="J521" s="16">
        <f t="shared" si="73"/>
        <v>0</v>
      </c>
      <c r="K521" s="16">
        <f t="shared" si="73"/>
        <v>0</v>
      </c>
      <c r="L521" s="16">
        <f t="shared" si="73"/>
        <v>100</v>
      </c>
      <c r="M521" s="16">
        <f t="shared" si="73"/>
        <v>0</v>
      </c>
      <c r="N521" s="16">
        <f t="shared" si="73"/>
        <v>2</v>
      </c>
      <c r="O521" s="16">
        <f t="shared" si="73"/>
        <v>13</v>
      </c>
      <c r="P521" s="16">
        <f t="shared" si="73"/>
        <v>9</v>
      </c>
      <c r="Q521" s="16">
        <f t="shared" si="73"/>
        <v>1</v>
      </c>
      <c r="R521" s="16">
        <f t="shared" si="72"/>
        <v>15</v>
      </c>
      <c r="S521" s="16">
        <f t="shared" si="72"/>
        <v>0</v>
      </c>
      <c r="T521" s="16">
        <f t="shared" si="72"/>
        <v>0</v>
      </c>
      <c r="U521" s="16">
        <f t="shared" si="72"/>
        <v>0</v>
      </c>
      <c r="V521" s="16">
        <f t="shared" si="72"/>
        <v>0</v>
      </c>
      <c r="W521" s="16">
        <f t="shared" si="72"/>
        <v>1</v>
      </c>
      <c r="X521" s="16" t="str">
        <f t="shared" si="72"/>
        <v>null</v>
      </c>
    </row>
    <row r="522" spans="1:24" x14ac:dyDescent="0.15">
      <c r="A522" s="20" t="str">
        <f t="shared" si="74"/>
        <v>25_2-3/25&lt;lv48&gt;s3</v>
      </c>
      <c r="B522" s="16">
        <f t="shared" si="73"/>
        <v>25</v>
      </c>
      <c r="C522" s="16">
        <f t="shared" si="73"/>
        <v>2</v>
      </c>
      <c r="D522" s="16">
        <f t="shared" si="73"/>
        <v>3</v>
      </c>
      <c r="E522" s="16">
        <f t="shared" si="73"/>
        <v>25</v>
      </c>
      <c r="F522" s="16">
        <f t="shared" si="73"/>
        <v>48</v>
      </c>
      <c r="G522" s="16">
        <f t="shared" si="73"/>
        <v>1.1000000000000001</v>
      </c>
      <c r="H522" s="16">
        <f t="shared" si="73"/>
        <v>1</v>
      </c>
      <c r="I522" s="16">
        <f t="shared" si="73"/>
        <v>0</v>
      </c>
      <c r="J522" s="16">
        <f t="shared" si="73"/>
        <v>0</v>
      </c>
      <c r="K522" s="16">
        <f t="shared" si="73"/>
        <v>0</v>
      </c>
      <c r="L522" s="16">
        <f t="shared" si="73"/>
        <v>100</v>
      </c>
      <c r="M522" s="16">
        <f t="shared" si="73"/>
        <v>0</v>
      </c>
      <c r="N522" s="16">
        <f t="shared" si="73"/>
        <v>3</v>
      </c>
      <c r="O522" s="16">
        <f t="shared" si="73"/>
        <v>25</v>
      </c>
      <c r="P522" s="16">
        <f t="shared" si="73"/>
        <v>7</v>
      </c>
      <c r="Q522" s="16">
        <f t="shared" si="73"/>
        <v>1</v>
      </c>
      <c r="R522" s="16">
        <f t="shared" si="72"/>
        <v>15</v>
      </c>
      <c r="S522" s="16">
        <f t="shared" si="72"/>
        <v>0</v>
      </c>
      <c r="T522" s="16">
        <f t="shared" si="72"/>
        <v>0</v>
      </c>
      <c r="U522" s="16">
        <f t="shared" si="72"/>
        <v>0</v>
      </c>
      <c r="V522" s="16">
        <f t="shared" si="72"/>
        <v>0</v>
      </c>
      <c r="W522" s="16">
        <f t="shared" si="72"/>
        <v>1</v>
      </c>
      <c r="X522" s="16" t="str">
        <f t="shared" si="72"/>
        <v>null</v>
      </c>
    </row>
    <row r="523" spans="1:24" x14ac:dyDescent="0.15">
      <c r="A523" s="20" t="str">
        <f t="shared" si="74"/>
        <v>25_2-3/37&lt;lv48&gt;s3</v>
      </c>
      <c r="B523" s="16">
        <f t="shared" si="73"/>
        <v>25</v>
      </c>
      <c r="C523" s="16">
        <f t="shared" si="73"/>
        <v>2</v>
      </c>
      <c r="D523" s="16">
        <f t="shared" si="73"/>
        <v>3</v>
      </c>
      <c r="E523" s="16">
        <f t="shared" si="73"/>
        <v>37</v>
      </c>
      <c r="F523" s="16">
        <f t="shared" si="73"/>
        <v>48</v>
      </c>
      <c r="G523" s="16">
        <f t="shared" si="73"/>
        <v>1.1000000000000001</v>
      </c>
      <c r="H523" s="16">
        <f t="shared" si="73"/>
        <v>1</v>
      </c>
      <c r="I523" s="16">
        <f t="shared" si="73"/>
        <v>0</v>
      </c>
      <c r="J523" s="16">
        <f t="shared" si="73"/>
        <v>37</v>
      </c>
      <c r="K523" s="16">
        <f t="shared" si="73"/>
        <v>0</v>
      </c>
      <c r="L523" s="16">
        <f t="shared" si="73"/>
        <v>100</v>
      </c>
      <c r="M523" s="16">
        <f t="shared" si="73"/>
        <v>0</v>
      </c>
      <c r="N523" s="16">
        <f t="shared" si="73"/>
        <v>3</v>
      </c>
      <c r="O523" s="16">
        <f t="shared" si="73"/>
        <v>37</v>
      </c>
      <c r="P523" s="16">
        <f t="shared" si="73"/>
        <v>5</v>
      </c>
      <c r="Q523" s="16">
        <f t="shared" si="73"/>
        <v>2</v>
      </c>
      <c r="R523" s="16">
        <f t="shared" si="72"/>
        <v>20</v>
      </c>
      <c r="S523" s="16">
        <f t="shared" si="72"/>
        <v>0</v>
      </c>
      <c r="T523" s="16">
        <f t="shared" si="72"/>
        <v>0</v>
      </c>
      <c r="U523" s="16">
        <f t="shared" si="72"/>
        <v>0</v>
      </c>
      <c r="V523" s="16">
        <f t="shared" si="72"/>
        <v>0</v>
      </c>
      <c r="W523" s="16">
        <f t="shared" si="72"/>
        <v>1</v>
      </c>
      <c r="X523" s="16" t="str">
        <f t="shared" si="72"/>
        <v>null</v>
      </c>
    </row>
    <row r="524" spans="1:24" x14ac:dyDescent="0.15">
      <c r="A524" s="20" t="str">
        <f t="shared" si="74"/>
        <v>25_2-3/45&lt;lv48&gt;s3</v>
      </c>
      <c r="B524" s="16">
        <f t="shared" si="73"/>
        <v>25</v>
      </c>
      <c r="C524" s="16">
        <f t="shared" si="73"/>
        <v>2</v>
      </c>
      <c r="D524" s="16">
        <f t="shared" si="73"/>
        <v>3</v>
      </c>
      <c r="E524" s="16">
        <f t="shared" si="73"/>
        <v>45</v>
      </c>
      <c r="F524" s="16">
        <f t="shared" si="73"/>
        <v>48</v>
      </c>
      <c r="G524" s="16">
        <f t="shared" si="73"/>
        <v>1.1000000000000001</v>
      </c>
      <c r="H524" s="16">
        <f t="shared" si="73"/>
        <v>1</v>
      </c>
      <c r="I524" s="16">
        <f t="shared" si="73"/>
        <v>0</v>
      </c>
      <c r="J524" s="16">
        <f t="shared" si="73"/>
        <v>0</v>
      </c>
      <c r="K524" s="16">
        <f t="shared" si="73"/>
        <v>0</v>
      </c>
      <c r="L524" s="16">
        <f t="shared" si="73"/>
        <v>100</v>
      </c>
      <c r="M524" s="16">
        <f t="shared" si="73"/>
        <v>0</v>
      </c>
      <c r="N524" s="16">
        <f t="shared" si="73"/>
        <v>3</v>
      </c>
      <c r="O524" s="16">
        <f t="shared" si="73"/>
        <v>45</v>
      </c>
      <c r="P524" s="16">
        <f t="shared" si="73"/>
        <v>7</v>
      </c>
      <c r="Q524" s="16">
        <f t="shared" si="73"/>
        <v>2</v>
      </c>
      <c r="R524" s="16">
        <f t="shared" si="72"/>
        <v>20</v>
      </c>
      <c r="S524" s="16">
        <f t="shared" si="72"/>
        <v>0</v>
      </c>
      <c r="T524" s="16">
        <f t="shared" si="72"/>
        <v>0</v>
      </c>
      <c r="U524" s="16">
        <f t="shared" si="72"/>
        <v>0</v>
      </c>
      <c r="V524" s="16">
        <f t="shared" si="72"/>
        <v>0</v>
      </c>
      <c r="W524" s="16">
        <f t="shared" si="72"/>
        <v>1</v>
      </c>
      <c r="X524" s="16" t="str">
        <f t="shared" si="72"/>
        <v>null</v>
      </c>
    </row>
    <row r="525" spans="1:24" x14ac:dyDescent="0.15">
      <c r="A525" s="20" t="str">
        <f t="shared" si="74"/>
        <v>25_2-3/47&lt;lv48&gt;s1</v>
      </c>
      <c r="B525" s="16">
        <f t="shared" si="73"/>
        <v>25</v>
      </c>
      <c r="C525" s="16">
        <f t="shared" si="73"/>
        <v>2</v>
      </c>
      <c r="D525" s="16">
        <f t="shared" si="73"/>
        <v>3</v>
      </c>
      <c r="E525" s="16">
        <f t="shared" si="73"/>
        <v>47</v>
      </c>
      <c r="F525" s="16">
        <f t="shared" si="73"/>
        <v>48</v>
      </c>
      <c r="G525" s="16">
        <f t="shared" si="73"/>
        <v>1.1000000000000001</v>
      </c>
      <c r="H525" s="16">
        <f t="shared" si="73"/>
        <v>1</v>
      </c>
      <c r="I525" s="16">
        <f t="shared" si="73"/>
        <v>0</v>
      </c>
      <c r="J525" s="16">
        <f t="shared" si="73"/>
        <v>0</v>
      </c>
      <c r="K525" s="16">
        <f t="shared" si="73"/>
        <v>0</v>
      </c>
      <c r="L525" s="16">
        <f t="shared" si="73"/>
        <v>100</v>
      </c>
      <c r="M525" s="16">
        <f t="shared" si="73"/>
        <v>0</v>
      </c>
      <c r="N525" s="16">
        <f t="shared" si="73"/>
        <v>1</v>
      </c>
      <c r="O525" s="16">
        <f t="shared" si="73"/>
        <v>47</v>
      </c>
      <c r="P525" s="16">
        <f t="shared" si="73"/>
        <v>7</v>
      </c>
      <c r="Q525" s="16">
        <f t="shared" si="73"/>
        <v>2</v>
      </c>
      <c r="R525" s="16">
        <f t="shared" si="72"/>
        <v>20</v>
      </c>
      <c r="S525" s="16">
        <f t="shared" si="72"/>
        <v>0</v>
      </c>
      <c r="T525" s="16">
        <f t="shared" si="72"/>
        <v>0</v>
      </c>
      <c r="U525" s="16">
        <f t="shared" si="72"/>
        <v>0</v>
      </c>
      <c r="V525" s="16">
        <f t="shared" si="72"/>
        <v>0</v>
      </c>
      <c r="W525" s="16">
        <f t="shared" si="72"/>
        <v>1</v>
      </c>
      <c r="X525" s="16" t="str">
        <f t="shared" si="72"/>
        <v>null</v>
      </c>
    </row>
    <row r="526" spans="1:24" x14ac:dyDescent="0.15">
      <c r="A526" s="20" t="str">
        <f t="shared" si="74"/>
        <v>25_2-3/61&lt;lv48&gt;s2</v>
      </c>
      <c r="B526" s="16">
        <f t="shared" si="73"/>
        <v>25</v>
      </c>
      <c r="C526" s="16">
        <f t="shared" si="73"/>
        <v>2</v>
      </c>
      <c r="D526" s="16">
        <f t="shared" si="73"/>
        <v>3</v>
      </c>
      <c r="E526" s="16">
        <f t="shared" si="73"/>
        <v>61</v>
      </c>
      <c r="F526" s="16">
        <f t="shared" si="73"/>
        <v>48</v>
      </c>
      <c r="G526" s="16">
        <f t="shared" si="73"/>
        <v>1.1000000000000001</v>
      </c>
      <c r="H526" s="16">
        <f t="shared" si="73"/>
        <v>1</v>
      </c>
      <c r="I526" s="16">
        <f t="shared" si="73"/>
        <v>0</v>
      </c>
      <c r="J526" s="16">
        <f t="shared" si="73"/>
        <v>61</v>
      </c>
      <c r="K526" s="16">
        <f t="shared" si="73"/>
        <v>0</v>
      </c>
      <c r="L526" s="16">
        <f t="shared" si="73"/>
        <v>100</v>
      </c>
      <c r="M526" s="16">
        <f t="shared" si="73"/>
        <v>0</v>
      </c>
      <c r="N526" s="16">
        <f t="shared" si="73"/>
        <v>2</v>
      </c>
      <c r="O526" s="16">
        <f t="shared" si="73"/>
        <v>61</v>
      </c>
      <c r="P526" s="16">
        <f t="shared" si="73"/>
        <v>7</v>
      </c>
      <c r="Q526" s="16">
        <f t="shared" ref="Q526:W541" si="75">VLOOKUP($A526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26" s="16">
        <f t="shared" si="75"/>
        <v>20</v>
      </c>
      <c r="S526" s="16">
        <f t="shared" si="75"/>
        <v>0</v>
      </c>
      <c r="T526" s="16">
        <f t="shared" si="75"/>
        <v>0</v>
      </c>
      <c r="U526" s="16">
        <f t="shared" si="75"/>
        <v>0</v>
      </c>
      <c r="V526" s="16">
        <f t="shared" si="75"/>
        <v>0</v>
      </c>
      <c r="W526" s="16">
        <f t="shared" si="75"/>
        <v>1</v>
      </c>
      <c r="X526" s="16" t="str">
        <f t="shared" si="72"/>
        <v>null</v>
      </c>
    </row>
    <row r="527" spans="1:24" x14ac:dyDescent="0.15">
      <c r="A527" s="20" t="str">
        <f t="shared" si="74"/>
        <v>25_2-3/63&lt;lv48&gt;s2</v>
      </c>
      <c r="B527" s="16">
        <f t="shared" ref="B527:Q542" si="76">VLOOKUP($A527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527" s="16">
        <f t="shared" si="76"/>
        <v>2</v>
      </c>
      <c r="D527" s="16">
        <f t="shared" si="76"/>
        <v>3</v>
      </c>
      <c r="E527" s="16">
        <f t="shared" si="76"/>
        <v>63</v>
      </c>
      <c r="F527" s="16">
        <f t="shared" si="76"/>
        <v>48</v>
      </c>
      <c r="G527" s="16">
        <f t="shared" si="76"/>
        <v>1.1000000000000001</v>
      </c>
      <c r="H527" s="16">
        <f t="shared" si="76"/>
        <v>1</v>
      </c>
      <c r="I527" s="16">
        <f t="shared" si="76"/>
        <v>0</v>
      </c>
      <c r="J527" s="16">
        <f t="shared" si="76"/>
        <v>63</v>
      </c>
      <c r="K527" s="16">
        <f t="shared" si="76"/>
        <v>0</v>
      </c>
      <c r="L527" s="16">
        <f t="shared" si="76"/>
        <v>100</v>
      </c>
      <c r="M527" s="16">
        <f t="shared" si="76"/>
        <v>0</v>
      </c>
      <c r="N527" s="16">
        <f t="shared" si="76"/>
        <v>2</v>
      </c>
      <c r="O527" s="16">
        <f t="shared" si="76"/>
        <v>63</v>
      </c>
      <c r="P527" s="16">
        <f t="shared" si="76"/>
        <v>7</v>
      </c>
      <c r="Q527" s="16">
        <f t="shared" si="76"/>
        <v>2</v>
      </c>
      <c r="R527" s="16">
        <f t="shared" si="75"/>
        <v>20</v>
      </c>
      <c r="S527" s="16">
        <f t="shared" si="75"/>
        <v>0</v>
      </c>
      <c r="T527" s="16">
        <f t="shared" si="75"/>
        <v>0</v>
      </c>
      <c r="U527" s="16">
        <f t="shared" si="75"/>
        <v>0</v>
      </c>
      <c r="V527" s="16">
        <f t="shared" si="75"/>
        <v>0</v>
      </c>
      <c r="W527" s="16">
        <f t="shared" si="75"/>
        <v>1</v>
      </c>
      <c r="X527" s="16" t="str">
        <f t="shared" si="72"/>
        <v>null</v>
      </c>
    </row>
    <row r="528" spans="1:24" x14ac:dyDescent="0.15">
      <c r="A528" s="20" t="str">
        <f t="shared" si="74"/>
        <v>25_2-3/17&lt;lv48&gt;s2</v>
      </c>
      <c r="B528" s="16">
        <f t="shared" si="76"/>
        <v>25</v>
      </c>
      <c r="C528" s="16">
        <f t="shared" si="76"/>
        <v>2</v>
      </c>
      <c r="D528" s="16">
        <f t="shared" si="76"/>
        <v>3</v>
      </c>
      <c r="E528" s="16">
        <f t="shared" si="76"/>
        <v>17</v>
      </c>
      <c r="F528" s="16">
        <f t="shared" si="76"/>
        <v>48</v>
      </c>
      <c r="G528" s="16">
        <f t="shared" si="76"/>
        <v>1.1000000000000001</v>
      </c>
      <c r="H528" s="16">
        <f t="shared" si="76"/>
        <v>1</v>
      </c>
      <c r="I528" s="16">
        <f t="shared" si="76"/>
        <v>0</v>
      </c>
      <c r="J528" s="16">
        <f t="shared" si="76"/>
        <v>0</v>
      </c>
      <c r="K528" s="16">
        <f t="shared" si="76"/>
        <v>0</v>
      </c>
      <c r="L528" s="16">
        <f t="shared" si="76"/>
        <v>100</v>
      </c>
      <c r="M528" s="16">
        <f t="shared" si="76"/>
        <v>0</v>
      </c>
      <c r="N528" s="16">
        <f t="shared" si="76"/>
        <v>2</v>
      </c>
      <c r="O528" s="16">
        <f t="shared" si="76"/>
        <v>17</v>
      </c>
      <c r="P528" s="16">
        <f t="shared" si="76"/>
        <v>9</v>
      </c>
      <c r="Q528" s="16">
        <f t="shared" si="76"/>
        <v>1</v>
      </c>
      <c r="R528" s="16">
        <f t="shared" si="75"/>
        <v>15</v>
      </c>
      <c r="S528" s="16">
        <f t="shared" si="75"/>
        <v>0</v>
      </c>
      <c r="T528" s="16">
        <f t="shared" si="75"/>
        <v>0</v>
      </c>
      <c r="U528" s="16">
        <f t="shared" si="75"/>
        <v>0</v>
      </c>
      <c r="V528" s="16">
        <f t="shared" si="75"/>
        <v>0</v>
      </c>
      <c r="W528" s="16">
        <f t="shared" si="75"/>
        <v>1</v>
      </c>
      <c r="X528" s="16" t="str">
        <f t="shared" si="72"/>
        <v>null</v>
      </c>
    </row>
    <row r="529" spans="1:24" x14ac:dyDescent="0.15">
      <c r="A529" s="20" t="str">
        <f t="shared" si="74"/>
        <v>25_2-3/19&lt;lv48&gt;s3</v>
      </c>
      <c r="B529" s="16">
        <f t="shared" si="76"/>
        <v>25</v>
      </c>
      <c r="C529" s="16">
        <f t="shared" si="76"/>
        <v>2</v>
      </c>
      <c r="D529" s="16">
        <f t="shared" si="76"/>
        <v>3</v>
      </c>
      <c r="E529" s="16">
        <f t="shared" si="76"/>
        <v>19</v>
      </c>
      <c r="F529" s="16">
        <f t="shared" si="76"/>
        <v>48</v>
      </c>
      <c r="G529" s="16">
        <f t="shared" si="76"/>
        <v>1.1000000000000001</v>
      </c>
      <c r="H529" s="16">
        <f t="shared" si="76"/>
        <v>1</v>
      </c>
      <c r="I529" s="16">
        <f t="shared" si="76"/>
        <v>0</v>
      </c>
      <c r="J529" s="16">
        <f t="shared" si="76"/>
        <v>0</v>
      </c>
      <c r="K529" s="16">
        <f t="shared" si="76"/>
        <v>0</v>
      </c>
      <c r="L529" s="16">
        <f t="shared" si="76"/>
        <v>100</v>
      </c>
      <c r="M529" s="16">
        <f t="shared" si="76"/>
        <v>0</v>
      </c>
      <c r="N529" s="16">
        <f t="shared" si="76"/>
        <v>3</v>
      </c>
      <c r="O529" s="16">
        <f t="shared" si="76"/>
        <v>19</v>
      </c>
      <c r="P529" s="16">
        <f t="shared" si="76"/>
        <v>9</v>
      </c>
      <c r="Q529" s="16">
        <f t="shared" si="76"/>
        <v>1</v>
      </c>
      <c r="R529" s="16">
        <f t="shared" si="75"/>
        <v>15</v>
      </c>
      <c r="S529" s="16">
        <f t="shared" si="75"/>
        <v>0</v>
      </c>
      <c r="T529" s="16">
        <f t="shared" si="75"/>
        <v>0</v>
      </c>
      <c r="U529" s="16">
        <f t="shared" si="75"/>
        <v>0</v>
      </c>
      <c r="V529" s="16">
        <f t="shared" si="75"/>
        <v>0</v>
      </c>
      <c r="W529" s="16">
        <f t="shared" si="75"/>
        <v>1</v>
      </c>
      <c r="X529" s="16" t="str">
        <f t="shared" si="72"/>
        <v>null</v>
      </c>
    </row>
    <row r="530" spans="1:24" x14ac:dyDescent="0.15">
      <c r="A530" s="20" t="str">
        <f t="shared" si="74"/>
        <v>25_2-3/39&lt;lv48&gt;s3</v>
      </c>
      <c r="B530" s="16">
        <f t="shared" si="76"/>
        <v>25</v>
      </c>
      <c r="C530" s="16">
        <f t="shared" si="76"/>
        <v>2</v>
      </c>
      <c r="D530" s="16">
        <f t="shared" si="76"/>
        <v>3</v>
      </c>
      <c r="E530" s="16">
        <f t="shared" si="76"/>
        <v>39</v>
      </c>
      <c r="F530" s="16">
        <f t="shared" si="76"/>
        <v>48</v>
      </c>
      <c r="G530" s="16">
        <f t="shared" si="76"/>
        <v>1.1000000000000001</v>
      </c>
      <c r="H530" s="16">
        <f t="shared" si="76"/>
        <v>1</v>
      </c>
      <c r="I530" s="16">
        <f t="shared" si="76"/>
        <v>0</v>
      </c>
      <c r="J530" s="16">
        <f t="shared" si="76"/>
        <v>39</v>
      </c>
      <c r="K530" s="16">
        <f t="shared" si="76"/>
        <v>0</v>
      </c>
      <c r="L530" s="16">
        <f t="shared" si="76"/>
        <v>100</v>
      </c>
      <c r="M530" s="16">
        <f t="shared" si="76"/>
        <v>0</v>
      </c>
      <c r="N530" s="16">
        <f t="shared" si="76"/>
        <v>3</v>
      </c>
      <c r="O530" s="16">
        <f t="shared" si="76"/>
        <v>39</v>
      </c>
      <c r="P530" s="16">
        <f t="shared" si="76"/>
        <v>5</v>
      </c>
      <c r="Q530" s="16">
        <f t="shared" si="76"/>
        <v>2</v>
      </c>
      <c r="R530" s="16">
        <f t="shared" si="75"/>
        <v>20</v>
      </c>
      <c r="S530" s="16">
        <f t="shared" si="75"/>
        <v>0</v>
      </c>
      <c r="T530" s="16">
        <f t="shared" si="75"/>
        <v>0</v>
      </c>
      <c r="U530" s="16">
        <f t="shared" si="75"/>
        <v>0</v>
      </c>
      <c r="V530" s="16">
        <f t="shared" si="75"/>
        <v>0</v>
      </c>
      <c r="W530" s="16">
        <f t="shared" si="75"/>
        <v>1</v>
      </c>
      <c r="X530" s="16" t="str">
        <f t="shared" si="72"/>
        <v>null</v>
      </c>
    </row>
    <row r="531" spans="1:24" x14ac:dyDescent="0.15">
      <c r="A531" s="20" t="str">
        <f t="shared" si="74"/>
        <v>25_2-3/53&lt;lv48&gt;s2</v>
      </c>
      <c r="B531" s="16">
        <f t="shared" si="76"/>
        <v>25</v>
      </c>
      <c r="C531" s="16">
        <f t="shared" si="76"/>
        <v>2</v>
      </c>
      <c r="D531" s="16">
        <f t="shared" si="76"/>
        <v>3</v>
      </c>
      <c r="E531" s="16">
        <f t="shared" si="76"/>
        <v>53</v>
      </c>
      <c r="F531" s="16">
        <f t="shared" si="76"/>
        <v>48</v>
      </c>
      <c r="G531" s="16">
        <f t="shared" si="76"/>
        <v>1.1000000000000001</v>
      </c>
      <c r="H531" s="16">
        <f t="shared" si="76"/>
        <v>1</v>
      </c>
      <c r="I531" s="16">
        <f t="shared" si="76"/>
        <v>0</v>
      </c>
      <c r="J531" s="16">
        <f t="shared" si="76"/>
        <v>53</v>
      </c>
      <c r="K531" s="16">
        <f t="shared" si="76"/>
        <v>0</v>
      </c>
      <c r="L531" s="16">
        <f t="shared" si="76"/>
        <v>100</v>
      </c>
      <c r="M531" s="16">
        <f t="shared" si="76"/>
        <v>0</v>
      </c>
      <c r="N531" s="16">
        <f t="shared" si="76"/>
        <v>2</v>
      </c>
      <c r="O531" s="16">
        <f t="shared" si="76"/>
        <v>53</v>
      </c>
      <c r="P531" s="16">
        <f t="shared" si="76"/>
        <v>7</v>
      </c>
      <c r="Q531" s="16">
        <f t="shared" si="76"/>
        <v>2</v>
      </c>
      <c r="R531" s="16">
        <f t="shared" si="75"/>
        <v>20</v>
      </c>
      <c r="S531" s="16">
        <f t="shared" si="75"/>
        <v>0</v>
      </c>
      <c r="T531" s="16">
        <f t="shared" si="75"/>
        <v>0</v>
      </c>
      <c r="U531" s="16">
        <f t="shared" si="75"/>
        <v>0</v>
      </c>
      <c r="V531" s="16">
        <f t="shared" si="75"/>
        <v>0</v>
      </c>
      <c r="W531" s="16">
        <f t="shared" si="75"/>
        <v>1</v>
      </c>
      <c r="X531" s="16" t="str">
        <f t="shared" si="72"/>
        <v>null</v>
      </c>
    </row>
    <row r="532" spans="1:24" x14ac:dyDescent="0.15">
      <c r="A532" s="20" t="str">
        <f t="shared" si="74"/>
        <v>25_2-3/55&lt;lv48&gt;s4</v>
      </c>
      <c r="B532" s="16">
        <f t="shared" si="76"/>
        <v>25</v>
      </c>
      <c r="C532" s="16">
        <f t="shared" si="76"/>
        <v>2</v>
      </c>
      <c r="D532" s="16">
        <f t="shared" si="76"/>
        <v>3</v>
      </c>
      <c r="E532" s="16">
        <f t="shared" si="76"/>
        <v>55</v>
      </c>
      <c r="F532" s="16">
        <f t="shared" si="76"/>
        <v>48</v>
      </c>
      <c r="G532" s="16">
        <f t="shared" si="76"/>
        <v>1.1000000000000001</v>
      </c>
      <c r="H532" s="16">
        <f t="shared" si="76"/>
        <v>1</v>
      </c>
      <c r="I532" s="16">
        <f t="shared" si="76"/>
        <v>0</v>
      </c>
      <c r="J532" s="16">
        <f t="shared" si="76"/>
        <v>55</v>
      </c>
      <c r="K532" s="16">
        <f t="shared" si="76"/>
        <v>0</v>
      </c>
      <c r="L532" s="16">
        <f t="shared" si="76"/>
        <v>100</v>
      </c>
      <c r="M532" s="16">
        <f t="shared" si="76"/>
        <v>0</v>
      </c>
      <c r="N532" s="16">
        <f t="shared" si="76"/>
        <v>4</v>
      </c>
      <c r="O532" s="16">
        <f t="shared" si="76"/>
        <v>55</v>
      </c>
      <c r="P532" s="16">
        <f t="shared" si="76"/>
        <v>7</v>
      </c>
      <c r="Q532" s="16">
        <f t="shared" si="76"/>
        <v>2</v>
      </c>
      <c r="R532" s="16">
        <f t="shared" si="75"/>
        <v>20</v>
      </c>
      <c r="S532" s="16">
        <f t="shared" si="75"/>
        <v>0</v>
      </c>
      <c r="T532" s="16">
        <f t="shared" si="75"/>
        <v>0</v>
      </c>
      <c r="U532" s="16">
        <f t="shared" si="75"/>
        <v>0</v>
      </c>
      <c r="V532" s="16">
        <f t="shared" si="75"/>
        <v>0</v>
      </c>
      <c r="W532" s="16">
        <f t="shared" si="75"/>
        <v>1</v>
      </c>
      <c r="X532" s="16" t="str">
        <f t="shared" si="72"/>
        <v>null</v>
      </c>
    </row>
    <row r="533" spans="1:24" x14ac:dyDescent="0.15">
      <c r="A533" s="20" t="str">
        <f t="shared" si="74"/>
        <v>25_2-3/364&lt;lv48&gt;s3</v>
      </c>
      <c r="B533" s="16">
        <f t="shared" si="76"/>
        <v>25</v>
      </c>
      <c r="C533" s="16">
        <f t="shared" si="76"/>
        <v>2</v>
      </c>
      <c r="D533" s="16">
        <f t="shared" si="76"/>
        <v>3</v>
      </c>
      <c r="E533" s="16">
        <f t="shared" si="76"/>
        <v>364</v>
      </c>
      <c r="F533" s="16">
        <f t="shared" si="76"/>
        <v>48</v>
      </c>
      <c r="G533" s="16">
        <f t="shared" si="76"/>
        <v>1.1000000000000001</v>
      </c>
      <c r="H533" s="16">
        <f t="shared" si="76"/>
        <v>1</v>
      </c>
      <c r="I533" s="16">
        <f t="shared" si="76"/>
        <v>0</v>
      </c>
      <c r="J533" s="16">
        <f t="shared" si="76"/>
        <v>364</v>
      </c>
      <c r="K533" s="16">
        <f t="shared" si="76"/>
        <v>0</v>
      </c>
      <c r="L533" s="16">
        <f t="shared" si="76"/>
        <v>100</v>
      </c>
      <c r="M533" s="16">
        <f t="shared" si="76"/>
        <v>0</v>
      </c>
      <c r="N533" s="16">
        <f t="shared" si="76"/>
        <v>3</v>
      </c>
      <c r="O533" s="16">
        <f t="shared" si="76"/>
        <v>364</v>
      </c>
      <c r="P533" s="16">
        <f t="shared" si="76"/>
        <v>7</v>
      </c>
      <c r="Q533" s="16">
        <f t="shared" si="76"/>
        <v>2</v>
      </c>
      <c r="R533" s="16">
        <f t="shared" si="75"/>
        <v>20</v>
      </c>
      <c r="S533" s="16">
        <f t="shared" si="75"/>
        <v>0</v>
      </c>
      <c r="T533" s="16">
        <f t="shared" si="75"/>
        <v>0</v>
      </c>
      <c r="U533" s="16">
        <f t="shared" si="75"/>
        <v>0</v>
      </c>
      <c r="V533" s="16">
        <f t="shared" si="75"/>
        <v>0</v>
      </c>
      <c r="W533" s="16">
        <f t="shared" si="75"/>
        <v>1</v>
      </c>
      <c r="X533" s="16" t="str">
        <f t="shared" si="72"/>
        <v>null</v>
      </c>
    </row>
    <row r="534" spans="1:24" x14ac:dyDescent="0.15">
      <c r="A534" s="20" t="str">
        <f t="shared" si="74"/>
        <v>25_2-3/366&lt;lv48&gt;s3</v>
      </c>
      <c r="B534" s="16">
        <f t="shared" si="76"/>
        <v>25</v>
      </c>
      <c r="C534" s="16">
        <f t="shared" si="76"/>
        <v>2</v>
      </c>
      <c r="D534" s="16">
        <f t="shared" si="76"/>
        <v>3</v>
      </c>
      <c r="E534" s="16">
        <f t="shared" si="76"/>
        <v>366</v>
      </c>
      <c r="F534" s="16">
        <f t="shared" si="76"/>
        <v>48</v>
      </c>
      <c r="G534" s="16">
        <f t="shared" si="76"/>
        <v>1.1000000000000001</v>
      </c>
      <c r="H534" s="16">
        <f t="shared" si="76"/>
        <v>1</v>
      </c>
      <c r="I534" s="16">
        <f t="shared" si="76"/>
        <v>0</v>
      </c>
      <c r="J534" s="16">
        <f t="shared" si="76"/>
        <v>366</v>
      </c>
      <c r="K534" s="16">
        <f t="shared" si="76"/>
        <v>0</v>
      </c>
      <c r="L534" s="16">
        <f t="shared" si="76"/>
        <v>100</v>
      </c>
      <c r="M534" s="16">
        <f t="shared" si="76"/>
        <v>0</v>
      </c>
      <c r="N534" s="16">
        <f t="shared" si="76"/>
        <v>3</v>
      </c>
      <c r="O534" s="16">
        <f t="shared" si="76"/>
        <v>366</v>
      </c>
      <c r="P534" s="16">
        <f t="shared" si="76"/>
        <v>7</v>
      </c>
      <c r="Q534" s="16">
        <f t="shared" si="76"/>
        <v>2</v>
      </c>
      <c r="R534" s="16">
        <f t="shared" si="75"/>
        <v>20</v>
      </c>
      <c r="S534" s="16">
        <f t="shared" si="75"/>
        <v>0</v>
      </c>
      <c r="T534" s="16">
        <f t="shared" si="75"/>
        <v>0</v>
      </c>
      <c r="U534" s="16">
        <f t="shared" si="75"/>
        <v>0</v>
      </c>
      <c r="V534" s="16">
        <f t="shared" si="75"/>
        <v>0</v>
      </c>
      <c r="W534" s="16">
        <f t="shared" si="75"/>
        <v>1</v>
      </c>
      <c r="X534" s="16" t="str">
        <f t="shared" si="72"/>
        <v>null</v>
      </c>
    </row>
    <row r="535" spans="1:24" x14ac:dyDescent="0.15">
      <c r="A535" s="20" t="str">
        <f t="shared" si="74"/>
        <v>25_2-3/354&lt;lv48&gt;s3</v>
      </c>
      <c r="B535" s="16">
        <f t="shared" si="76"/>
        <v>25</v>
      </c>
      <c r="C535" s="16">
        <f t="shared" si="76"/>
        <v>2</v>
      </c>
      <c r="D535" s="16">
        <f t="shared" si="76"/>
        <v>3</v>
      </c>
      <c r="E535" s="16">
        <f t="shared" si="76"/>
        <v>354</v>
      </c>
      <c r="F535" s="16">
        <f t="shared" si="76"/>
        <v>48</v>
      </c>
      <c r="G535" s="16">
        <f t="shared" si="76"/>
        <v>1</v>
      </c>
      <c r="H535" s="16">
        <f t="shared" si="76"/>
        <v>1</v>
      </c>
      <c r="I535" s="16">
        <f t="shared" si="76"/>
        <v>0</v>
      </c>
      <c r="J535" s="16">
        <f t="shared" si="76"/>
        <v>354</v>
      </c>
      <c r="K535" s="16">
        <f t="shared" si="76"/>
        <v>0</v>
      </c>
      <c r="L535" s="16">
        <f t="shared" si="76"/>
        <v>100</v>
      </c>
      <c r="M535" s="16">
        <f t="shared" si="76"/>
        <v>0</v>
      </c>
      <c r="N535" s="16">
        <f t="shared" si="76"/>
        <v>3</v>
      </c>
      <c r="O535" s="16">
        <f t="shared" si="76"/>
        <v>354</v>
      </c>
      <c r="P535" s="16">
        <f t="shared" si="76"/>
        <v>1</v>
      </c>
      <c r="Q535" s="16">
        <f t="shared" si="76"/>
        <v>2</v>
      </c>
      <c r="R535" s="16">
        <f t="shared" si="75"/>
        <v>36</v>
      </c>
      <c r="S535" s="16">
        <f t="shared" si="75"/>
        <v>0</v>
      </c>
      <c r="T535" s="16">
        <f t="shared" si="75"/>
        <v>0</v>
      </c>
      <c r="U535" s="16">
        <f t="shared" si="75"/>
        <v>0</v>
      </c>
      <c r="V535" s="16">
        <f t="shared" si="75"/>
        <v>0</v>
      </c>
      <c r="W535" s="16">
        <f t="shared" si="75"/>
        <v>1</v>
      </c>
      <c r="X535" s="16" t="str">
        <f t="shared" si="72"/>
        <v>null</v>
      </c>
    </row>
    <row r="536" spans="1:24" x14ac:dyDescent="0.15">
      <c r="A536" s="20" t="str">
        <f t="shared" si="74"/>
        <v>25_2-4/37&lt;lv48&gt;s3</v>
      </c>
      <c r="B536" s="16">
        <f t="shared" si="76"/>
        <v>25</v>
      </c>
      <c r="C536" s="16">
        <f t="shared" si="76"/>
        <v>2</v>
      </c>
      <c r="D536" s="16">
        <f t="shared" si="76"/>
        <v>4</v>
      </c>
      <c r="E536" s="16">
        <f t="shared" si="76"/>
        <v>37</v>
      </c>
      <c r="F536" s="16">
        <f t="shared" si="76"/>
        <v>48</v>
      </c>
      <c r="G536" s="16">
        <f t="shared" si="76"/>
        <v>1.1000000000000001</v>
      </c>
      <c r="H536" s="16">
        <f t="shared" si="76"/>
        <v>1</v>
      </c>
      <c r="I536" s="16">
        <f t="shared" si="76"/>
        <v>0</v>
      </c>
      <c r="J536" s="16">
        <f t="shared" si="76"/>
        <v>37</v>
      </c>
      <c r="K536" s="16">
        <f t="shared" si="76"/>
        <v>0</v>
      </c>
      <c r="L536" s="16">
        <f t="shared" si="76"/>
        <v>100</v>
      </c>
      <c r="M536" s="16">
        <f t="shared" si="76"/>
        <v>0</v>
      </c>
      <c r="N536" s="16">
        <f t="shared" si="76"/>
        <v>3</v>
      </c>
      <c r="O536" s="16">
        <f t="shared" si="76"/>
        <v>37</v>
      </c>
      <c r="P536" s="16">
        <f t="shared" si="76"/>
        <v>5</v>
      </c>
      <c r="Q536" s="16">
        <f t="shared" si="76"/>
        <v>2</v>
      </c>
      <c r="R536" s="16">
        <f t="shared" si="75"/>
        <v>20</v>
      </c>
      <c r="S536" s="16">
        <f t="shared" si="75"/>
        <v>0</v>
      </c>
      <c r="T536" s="16">
        <f t="shared" si="75"/>
        <v>0</v>
      </c>
      <c r="U536" s="16">
        <f t="shared" si="75"/>
        <v>0</v>
      </c>
      <c r="V536" s="16">
        <f t="shared" si="75"/>
        <v>0</v>
      </c>
      <c r="W536" s="16">
        <f t="shared" si="75"/>
        <v>1</v>
      </c>
      <c r="X536" s="16" t="str">
        <f t="shared" si="72"/>
        <v>null</v>
      </c>
    </row>
    <row r="537" spans="1:24" x14ac:dyDescent="0.15">
      <c r="A537" s="20" t="str">
        <f t="shared" si="74"/>
        <v>25_2-4/45&lt;lv48&gt;s3</v>
      </c>
      <c r="B537" s="16">
        <f t="shared" si="76"/>
        <v>25</v>
      </c>
      <c r="C537" s="16">
        <f t="shared" si="76"/>
        <v>2</v>
      </c>
      <c r="D537" s="16">
        <f t="shared" si="76"/>
        <v>4</v>
      </c>
      <c r="E537" s="16">
        <f t="shared" si="76"/>
        <v>45</v>
      </c>
      <c r="F537" s="16">
        <f t="shared" si="76"/>
        <v>48</v>
      </c>
      <c r="G537" s="16">
        <f t="shared" si="76"/>
        <v>1.1000000000000001</v>
      </c>
      <c r="H537" s="16">
        <f t="shared" si="76"/>
        <v>1</v>
      </c>
      <c r="I537" s="16">
        <f t="shared" si="76"/>
        <v>0</v>
      </c>
      <c r="J537" s="16">
        <f t="shared" si="76"/>
        <v>0</v>
      </c>
      <c r="K537" s="16">
        <f t="shared" si="76"/>
        <v>0</v>
      </c>
      <c r="L537" s="16">
        <f t="shared" si="76"/>
        <v>100</v>
      </c>
      <c r="M537" s="16">
        <f t="shared" si="76"/>
        <v>0</v>
      </c>
      <c r="N537" s="16">
        <f t="shared" si="76"/>
        <v>3</v>
      </c>
      <c r="O537" s="16">
        <f t="shared" si="76"/>
        <v>45</v>
      </c>
      <c r="P537" s="16">
        <f t="shared" si="76"/>
        <v>7</v>
      </c>
      <c r="Q537" s="16">
        <f t="shared" si="76"/>
        <v>2</v>
      </c>
      <c r="R537" s="16">
        <f t="shared" si="75"/>
        <v>20</v>
      </c>
      <c r="S537" s="16">
        <f t="shared" si="75"/>
        <v>0</v>
      </c>
      <c r="T537" s="16">
        <f t="shared" si="75"/>
        <v>0</v>
      </c>
      <c r="U537" s="16">
        <f t="shared" si="75"/>
        <v>0</v>
      </c>
      <c r="V537" s="16">
        <f t="shared" si="75"/>
        <v>0</v>
      </c>
      <c r="W537" s="16">
        <f t="shared" si="75"/>
        <v>1</v>
      </c>
      <c r="X537" s="16" t="str">
        <f t="shared" si="72"/>
        <v>null</v>
      </c>
    </row>
    <row r="538" spans="1:24" x14ac:dyDescent="0.15">
      <c r="A538" s="20" t="str">
        <f t="shared" si="74"/>
        <v>25_2-4/47&lt;lv48&gt;s1</v>
      </c>
      <c r="B538" s="16">
        <f t="shared" si="76"/>
        <v>25</v>
      </c>
      <c r="C538" s="16">
        <f t="shared" si="76"/>
        <v>2</v>
      </c>
      <c r="D538" s="16">
        <f t="shared" si="76"/>
        <v>4</v>
      </c>
      <c r="E538" s="16">
        <f t="shared" si="76"/>
        <v>47</v>
      </c>
      <c r="F538" s="16">
        <f t="shared" si="76"/>
        <v>48</v>
      </c>
      <c r="G538" s="16">
        <f t="shared" si="76"/>
        <v>1.1000000000000001</v>
      </c>
      <c r="H538" s="16">
        <f t="shared" si="76"/>
        <v>1</v>
      </c>
      <c r="I538" s="16">
        <f t="shared" si="76"/>
        <v>0</v>
      </c>
      <c r="J538" s="16">
        <f t="shared" si="76"/>
        <v>0</v>
      </c>
      <c r="K538" s="16">
        <f t="shared" si="76"/>
        <v>0</v>
      </c>
      <c r="L538" s="16">
        <f t="shared" si="76"/>
        <v>100</v>
      </c>
      <c r="M538" s="16">
        <f t="shared" si="76"/>
        <v>0</v>
      </c>
      <c r="N538" s="16">
        <f t="shared" si="76"/>
        <v>1</v>
      </c>
      <c r="O538" s="16">
        <f t="shared" si="76"/>
        <v>47</v>
      </c>
      <c r="P538" s="16">
        <f t="shared" si="76"/>
        <v>7</v>
      </c>
      <c r="Q538" s="16">
        <f t="shared" si="76"/>
        <v>2</v>
      </c>
      <c r="R538" s="16">
        <f t="shared" si="75"/>
        <v>20</v>
      </c>
      <c r="S538" s="16">
        <f t="shared" si="75"/>
        <v>0</v>
      </c>
      <c r="T538" s="16">
        <f t="shared" si="75"/>
        <v>0</v>
      </c>
      <c r="U538" s="16">
        <f t="shared" si="75"/>
        <v>0</v>
      </c>
      <c r="V538" s="16">
        <f t="shared" si="75"/>
        <v>0</v>
      </c>
      <c r="W538" s="16">
        <f t="shared" si="75"/>
        <v>1</v>
      </c>
      <c r="X538" s="16" t="str">
        <f t="shared" si="72"/>
        <v>null</v>
      </c>
    </row>
    <row r="539" spans="1:24" x14ac:dyDescent="0.15">
      <c r="A539" s="20" t="str">
        <f t="shared" si="74"/>
        <v>25_2-4/61&lt;lv48&gt;s2</v>
      </c>
      <c r="B539" s="16">
        <f t="shared" si="76"/>
        <v>25</v>
      </c>
      <c r="C539" s="16">
        <f t="shared" si="76"/>
        <v>2</v>
      </c>
      <c r="D539" s="16">
        <f t="shared" si="76"/>
        <v>4</v>
      </c>
      <c r="E539" s="16">
        <f t="shared" si="76"/>
        <v>61</v>
      </c>
      <c r="F539" s="16">
        <f t="shared" si="76"/>
        <v>48</v>
      </c>
      <c r="G539" s="16">
        <f t="shared" si="76"/>
        <v>1.1000000000000001</v>
      </c>
      <c r="H539" s="16">
        <f t="shared" si="76"/>
        <v>1</v>
      </c>
      <c r="I539" s="16">
        <f t="shared" si="76"/>
        <v>0</v>
      </c>
      <c r="J539" s="16">
        <f t="shared" si="76"/>
        <v>61</v>
      </c>
      <c r="K539" s="16">
        <f t="shared" si="76"/>
        <v>0</v>
      </c>
      <c r="L539" s="16">
        <f t="shared" si="76"/>
        <v>100</v>
      </c>
      <c r="M539" s="16">
        <f t="shared" si="76"/>
        <v>0</v>
      </c>
      <c r="N539" s="16">
        <f t="shared" si="76"/>
        <v>2</v>
      </c>
      <c r="O539" s="16">
        <f t="shared" si="76"/>
        <v>61</v>
      </c>
      <c r="P539" s="16">
        <f t="shared" si="76"/>
        <v>7</v>
      </c>
      <c r="Q539" s="16">
        <f t="shared" si="76"/>
        <v>2</v>
      </c>
      <c r="R539" s="16">
        <f t="shared" si="75"/>
        <v>20</v>
      </c>
      <c r="S539" s="16">
        <f t="shared" si="75"/>
        <v>0</v>
      </c>
      <c r="T539" s="16">
        <f t="shared" si="75"/>
        <v>0</v>
      </c>
      <c r="U539" s="16">
        <f t="shared" si="75"/>
        <v>0</v>
      </c>
      <c r="V539" s="16">
        <f t="shared" si="75"/>
        <v>0</v>
      </c>
      <c r="W539" s="16">
        <f t="shared" si="75"/>
        <v>1</v>
      </c>
      <c r="X539" s="16" t="str">
        <f t="shared" si="72"/>
        <v>null</v>
      </c>
    </row>
    <row r="540" spans="1:24" x14ac:dyDescent="0.15">
      <c r="A540" s="20" t="str">
        <f t="shared" si="74"/>
        <v>25_2-4/63&lt;lv48&gt;s2</v>
      </c>
      <c r="B540" s="16">
        <f t="shared" si="76"/>
        <v>25</v>
      </c>
      <c r="C540" s="16">
        <f t="shared" si="76"/>
        <v>2</v>
      </c>
      <c r="D540" s="16">
        <f t="shared" si="76"/>
        <v>4</v>
      </c>
      <c r="E540" s="16">
        <f t="shared" si="76"/>
        <v>63</v>
      </c>
      <c r="F540" s="16">
        <f t="shared" si="76"/>
        <v>48</v>
      </c>
      <c r="G540" s="16">
        <f t="shared" si="76"/>
        <v>1.1000000000000001</v>
      </c>
      <c r="H540" s="16">
        <f t="shared" si="76"/>
        <v>1</v>
      </c>
      <c r="I540" s="16">
        <f t="shared" si="76"/>
        <v>0</v>
      </c>
      <c r="J540" s="16">
        <f t="shared" si="76"/>
        <v>63</v>
      </c>
      <c r="K540" s="16">
        <f t="shared" si="76"/>
        <v>0</v>
      </c>
      <c r="L540" s="16">
        <f t="shared" si="76"/>
        <v>100</v>
      </c>
      <c r="M540" s="16">
        <f t="shared" si="76"/>
        <v>0</v>
      </c>
      <c r="N540" s="16">
        <f t="shared" si="76"/>
        <v>2</v>
      </c>
      <c r="O540" s="16">
        <f t="shared" si="76"/>
        <v>63</v>
      </c>
      <c r="P540" s="16">
        <f t="shared" si="76"/>
        <v>7</v>
      </c>
      <c r="Q540" s="16">
        <f t="shared" si="76"/>
        <v>2</v>
      </c>
      <c r="R540" s="16">
        <f t="shared" si="75"/>
        <v>20</v>
      </c>
      <c r="S540" s="16">
        <f t="shared" si="75"/>
        <v>0</v>
      </c>
      <c r="T540" s="16">
        <f t="shared" si="75"/>
        <v>0</v>
      </c>
      <c r="U540" s="16">
        <f t="shared" si="75"/>
        <v>0</v>
      </c>
      <c r="V540" s="16">
        <f t="shared" si="75"/>
        <v>0</v>
      </c>
      <c r="W540" s="16">
        <f t="shared" si="75"/>
        <v>1</v>
      </c>
      <c r="X540" s="16" t="str">
        <f t="shared" si="72"/>
        <v>null</v>
      </c>
    </row>
    <row r="541" spans="1:24" x14ac:dyDescent="0.15">
      <c r="A541" s="20" t="str">
        <f t="shared" si="74"/>
        <v>25_2-4/39&lt;lv48&gt;s3</v>
      </c>
      <c r="B541" s="16">
        <f t="shared" si="76"/>
        <v>25</v>
      </c>
      <c r="C541" s="16">
        <f t="shared" si="76"/>
        <v>2</v>
      </c>
      <c r="D541" s="16">
        <f t="shared" si="76"/>
        <v>4</v>
      </c>
      <c r="E541" s="16">
        <f t="shared" si="76"/>
        <v>39</v>
      </c>
      <c r="F541" s="16">
        <f t="shared" si="76"/>
        <v>48</v>
      </c>
      <c r="G541" s="16">
        <f t="shared" si="76"/>
        <v>1.1000000000000001</v>
      </c>
      <c r="H541" s="16">
        <f t="shared" si="76"/>
        <v>1</v>
      </c>
      <c r="I541" s="16">
        <f t="shared" si="76"/>
        <v>0</v>
      </c>
      <c r="J541" s="16">
        <f t="shared" si="76"/>
        <v>39</v>
      </c>
      <c r="K541" s="16">
        <f t="shared" si="76"/>
        <v>0</v>
      </c>
      <c r="L541" s="16">
        <f t="shared" si="76"/>
        <v>100</v>
      </c>
      <c r="M541" s="16">
        <f t="shared" si="76"/>
        <v>0</v>
      </c>
      <c r="N541" s="16">
        <f t="shared" si="76"/>
        <v>3</v>
      </c>
      <c r="O541" s="16">
        <f t="shared" si="76"/>
        <v>39</v>
      </c>
      <c r="P541" s="16">
        <f t="shared" si="76"/>
        <v>5</v>
      </c>
      <c r="Q541" s="16">
        <f t="shared" si="76"/>
        <v>2</v>
      </c>
      <c r="R541" s="16">
        <f t="shared" si="75"/>
        <v>20</v>
      </c>
      <c r="S541" s="16">
        <f t="shared" si="75"/>
        <v>0</v>
      </c>
      <c r="T541" s="16">
        <f t="shared" si="75"/>
        <v>0</v>
      </c>
      <c r="U541" s="16">
        <f t="shared" si="75"/>
        <v>0</v>
      </c>
      <c r="V541" s="16">
        <f t="shared" si="75"/>
        <v>0</v>
      </c>
      <c r="W541" s="16">
        <f t="shared" si="75"/>
        <v>1</v>
      </c>
      <c r="X541" s="16" t="str">
        <f t="shared" si="72"/>
        <v>null</v>
      </c>
    </row>
    <row r="542" spans="1:24" x14ac:dyDescent="0.15">
      <c r="A542" s="20" t="str">
        <f t="shared" si="74"/>
        <v>25_2-4/53&lt;lv48&gt;s2</v>
      </c>
      <c r="B542" s="16">
        <f t="shared" si="76"/>
        <v>25</v>
      </c>
      <c r="C542" s="16">
        <f t="shared" si="76"/>
        <v>2</v>
      </c>
      <c r="D542" s="16">
        <f t="shared" si="76"/>
        <v>4</v>
      </c>
      <c r="E542" s="16">
        <f t="shared" si="76"/>
        <v>53</v>
      </c>
      <c r="F542" s="16">
        <f t="shared" si="76"/>
        <v>48</v>
      </c>
      <c r="G542" s="16">
        <f t="shared" si="76"/>
        <v>1.1000000000000001</v>
      </c>
      <c r="H542" s="16">
        <f t="shared" si="76"/>
        <v>1</v>
      </c>
      <c r="I542" s="16">
        <f t="shared" si="76"/>
        <v>0</v>
      </c>
      <c r="J542" s="16">
        <f t="shared" si="76"/>
        <v>53</v>
      </c>
      <c r="K542" s="16">
        <f t="shared" si="76"/>
        <v>0</v>
      </c>
      <c r="L542" s="16">
        <f t="shared" si="76"/>
        <v>100</v>
      </c>
      <c r="M542" s="16">
        <f t="shared" si="76"/>
        <v>0</v>
      </c>
      <c r="N542" s="16">
        <f t="shared" si="76"/>
        <v>2</v>
      </c>
      <c r="O542" s="16">
        <f t="shared" si="76"/>
        <v>53</v>
      </c>
      <c r="P542" s="16">
        <f t="shared" si="76"/>
        <v>7</v>
      </c>
      <c r="Q542" s="16">
        <f t="shared" ref="Q542:W557" si="77">VLOOKUP($A542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42" s="16">
        <f t="shared" si="77"/>
        <v>20</v>
      </c>
      <c r="S542" s="16">
        <f t="shared" si="77"/>
        <v>0</v>
      </c>
      <c r="T542" s="16">
        <f t="shared" si="77"/>
        <v>0</v>
      </c>
      <c r="U542" s="16">
        <f t="shared" si="77"/>
        <v>0</v>
      </c>
      <c r="V542" s="16">
        <f t="shared" si="77"/>
        <v>0</v>
      </c>
      <c r="W542" s="16">
        <f t="shared" si="77"/>
        <v>1</v>
      </c>
      <c r="X542" s="16" t="str">
        <f t="shared" si="72"/>
        <v>null</v>
      </c>
    </row>
    <row r="543" spans="1:24" x14ac:dyDescent="0.15">
      <c r="A543" s="20" t="str">
        <f t="shared" si="74"/>
        <v>25_2-4/55&lt;lv48&gt;s4</v>
      </c>
      <c r="B543" s="16">
        <f t="shared" ref="B543:Q558" si="78">VLOOKUP($A543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543" s="16">
        <f t="shared" si="78"/>
        <v>2</v>
      </c>
      <c r="D543" s="16">
        <f t="shared" si="78"/>
        <v>4</v>
      </c>
      <c r="E543" s="16">
        <f t="shared" si="78"/>
        <v>55</v>
      </c>
      <c r="F543" s="16">
        <f t="shared" si="78"/>
        <v>48</v>
      </c>
      <c r="G543" s="16">
        <f t="shared" si="78"/>
        <v>1.1000000000000001</v>
      </c>
      <c r="H543" s="16">
        <f t="shared" si="78"/>
        <v>1</v>
      </c>
      <c r="I543" s="16">
        <f t="shared" si="78"/>
        <v>0</v>
      </c>
      <c r="J543" s="16">
        <f t="shared" si="78"/>
        <v>55</v>
      </c>
      <c r="K543" s="16">
        <f t="shared" si="78"/>
        <v>0</v>
      </c>
      <c r="L543" s="16">
        <f t="shared" si="78"/>
        <v>100</v>
      </c>
      <c r="M543" s="16">
        <f t="shared" si="78"/>
        <v>0</v>
      </c>
      <c r="N543" s="16">
        <f t="shared" si="78"/>
        <v>4</v>
      </c>
      <c r="O543" s="16">
        <f t="shared" si="78"/>
        <v>55</v>
      </c>
      <c r="P543" s="16">
        <f t="shared" si="78"/>
        <v>7</v>
      </c>
      <c r="Q543" s="16">
        <f t="shared" si="78"/>
        <v>2</v>
      </c>
      <c r="R543" s="16">
        <f t="shared" si="77"/>
        <v>20</v>
      </c>
      <c r="S543" s="16">
        <f t="shared" si="77"/>
        <v>0</v>
      </c>
      <c r="T543" s="16">
        <f t="shared" si="77"/>
        <v>0</v>
      </c>
      <c r="U543" s="16">
        <f t="shared" si="77"/>
        <v>0</v>
      </c>
      <c r="V543" s="16">
        <f t="shared" si="77"/>
        <v>0</v>
      </c>
      <c r="W543" s="16">
        <f t="shared" si="77"/>
        <v>1</v>
      </c>
      <c r="X543" s="16" t="str">
        <f t="shared" si="72"/>
        <v>null</v>
      </c>
    </row>
    <row r="544" spans="1:24" x14ac:dyDescent="0.15">
      <c r="A544" s="20" t="str">
        <f t="shared" si="74"/>
        <v>25_2-4/364&lt;lv48&gt;s3</v>
      </c>
      <c r="B544" s="16">
        <f t="shared" si="78"/>
        <v>25</v>
      </c>
      <c r="C544" s="16">
        <f t="shared" si="78"/>
        <v>2</v>
      </c>
      <c r="D544" s="16">
        <f t="shared" si="78"/>
        <v>4</v>
      </c>
      <c r="E544" s="16">
        <f t="shared" si="78"/>
        <v>364</v>
      </c>
      <c r="F544" s="16">
        <f t="shared" si="78"/>
        <v>48</v>
      </c>
      <c r="G544" s="16">
        <f t="shared" si="78"/>
        <v>1.1000000000000001</v>
      </c>
      <c r="H544" s="16">
        <f t="shared" si="78"/>
        <v>1</v>
      </c>
      <c r="I544" s="16">
        <f t="shared" si="78"/>
        <v>0</v>
      </c>
      <c r="J544" s="16">
        <f t="shared" si="78"/>
        <v>364</v>
      </c>
      <c r="K544" s="16">
        <f t="shared" si="78"/>
        <v>0</v>
      </c>
      <c r="L544" s="16">
        <f t="shared" si="78"/>
        <v>100</v>
      </c>
      <c r="M544" s="16">
        <f t="shared" si="78"/>
        <v>0</v>
      </c>
      <c r="N544" s="16">
        <f t="shared" si="78"/>
        <v>3</v>
      </c>
      <c r="O544" s="16">
        <f t="shared" si="78"/>
        <v>364</v>
      </c>
      <c r="P544" s="16">
        <f t="shared" si="78"/>
        <v>7</v>
      </c>
      <c r="Q544" s="16">
        <f t="shared" si="78"/>
        <v>2</v>
      </c>
      <c r="R544" s="16">
        <f t="shared" si="77"/>
        <v>20</v>
      </c>
      <c r="S544" s="16">
        <f t="shared" si="77"/>
        <v>0</v>
      </c>
      <c r="T544" s="16">
        <f t="shared" si="77"/>
        <v>0</v>
      </c>
      <c r="U544" s="16">
        <f t="shared" si="77"/>
        <v>0</v>
      </c>
      <c r="V544" s="16">
        <f t="shared" si="77"/>
        <v>0</v>
      </c>
      <c r="W544" s="16">
        <f t="shared" si="77"/>
        <v>1</v>
      </c>
      <c r="X544" s="16" t="str">
        <f t="shared" si="72"/>
        <v>null</v>
      </c>
    </row>
    <row r="545" spans="1:24" x14ac:dyDescent="0.15">
      <c r="A545" s="20" t="str">
        <f t="shared" si="74"/>
        <v>25_2-4/366&lt;lv48&gt;s3</v>
      </c>
      <c r="B545" s="16">
        <f t="shared" si="78"/>
        <v>25</v>
      </c>
      <c r="C545" s="16">
        <f t="shared" si="78"/>
        <v>2</v>
      </c>
      <c r="D545" s="16">
        <f t="shared" si="78"/>
        <v>4</v>
      </c>
      <c r="E545" s="16">
        <f t="shared" si="78"/>
        <v>366</v>
      </c>
      <c r="F545" s="16">
        <f t="shared" si="78"/>
        <v>48</v>
      </c>
      <c r="G545" s="16">
        <f t="shared" si="78"/>
        <v>1.1000000000000001</v>
      </c>
      <c r="H545" s="16">
        <f t="shared" si="78"/>
        <v>1</v>
      </c>
      <c r="I545" s="16">
        <f t="shared" si="78"/>
        <v>0</v>
      </c>
      <c r="J545" s="16">
        <f t="shared" si="78"/>
        <v>366</v>
      </c>
      <c r="K545" s="16">
        <f t="shared" si="78"/>
        <v>0</v>
      </c>
      <c r="L545" s="16">
        <f t="shared" si="78"/>
        <v>100</v>
      </c>
      <c r="M545" s="16">
        <f t="shared" si="78"/>
        <v>0</v>
      </c>
      <c r="N545" s="16">
        <f t="shared" si="78"/>
        <v>3</v>
      </c>
      <c r="O545" s="16">
        <f t="shared" si="78"/>
        <v>366</v>
      </c>
      <c r="P545" s="16">
        <f t="shared" si="78"/>
        <v>7</v>
      </c>
      <c r="Q545" s="16">
        <f t="shared" si="78"/>
        <v>2</v>
      </c>
      <c r="R545" s="16">
        <f t="shared" si="77"/>
        <v>20</v>
      </c>
      <c r="S545" s="16">
        <f t="shared" si="77"/>
        <v>0</v>
      </c>
      <c r="T545" s="16">
        <f t="shared" si="77"/>
        <v>0</v>
      </c>
      <c r="U545" s="16">
        <f t="shared" si="77"/>
        <v>0</v>
      </c>
      <c r="V545" s="16">
        <f t="shared" si="77"/>
        <v>0</v>
      </c>
      <c r="W545" s="16">
        <f t="shared" si="77"/>
        <v>1</v>
      </c>
      <c r="X545" s="16" t="str">
        <f t="shared" si="72"/>
        <v>null</v>
      </c>
    </row>
    <row r="546" spans="1:24" x14ac:dyDescent="0.15">
      <c r="A546" s="20" t="str">
        <f t="shared" si="74"/>
        <v>25_2-4/352&lt;lv48&gt;s3</v>
      </c>
      <c r="B546" s="16">
        <f t="shared" si="78"/>
        <v>25</v>
      </c>
      <c r="C546" s="16">
        <f t="shared" si="78"/>
        <v>2</v>
      </c>
      <c r="D546" s="16">
        <f t="shared" si="78"/>
        <v>4</v>
      </c>
      <c r="E546" s="16">
        <f t="shared" si="78"/>
        <v>352</v>
      </c>
      <c r="F546" s="16">
        <f t="shared" si="78"/>
        <v>48</v>
      </c>
      <c r="G546" s="16">
        <f t="shared" si="78"/>
        <v>1</v>
      </c>
      <c r="H546" s="16">
        <f t="shared" si="78"/>
        <v>1</v>
      </c>
      <c r="I546" s="16">
        <f t="shared" si="78"/>
        <v>0</v>
      </c>
      <c r="J546" s="16">
        <f t="shared" si="78"/>
        <v>352</v>
      </c>
      <c r="K546" s="16">
        <f t="shared" si="78"/>
        <v>0</v>
      </c>
      <c r="L546" s="16">
        <f t="shared" si="78"/>
        <v>100</v>
      </c>
      <c r="M546" s="16">
        <f t="shared" si="78"/>
        <v>0</v>
      </c>
      <c r="N546" s="16">
        <f t="shared" si="78"/>
        <v>3</v>
      </c>
      <c r="O546" s="16">
        <f t="shared" si="78"/>
        <v>352</v>
      </c>
      <c r="P546" s="16">
        <f t="shared" si="78"/>
        <v>1</v>
      </c>
      <c r="Q546" s="16">
        <f t="shared" si="78"/>
        <v>2</v>
      </c>
      <c r="R546" s="16">
        <f t="shared" si="77"/>
        <v>36</v>
      </c>
      <c r="S546" s="16">
        <f t="shared" si="77"/>
        <v>0</v>
      </c>
      <c r="T546" s="16">
        <f t="shared" si="77"/>
        <v>0</v>
      </c>
      <c r="U546" s="16">
        <f t="shared" si="77"/>
        <v>0</v>
      </c>
      <c r="V546" s="16">
        <f t="shared" si="77"/>
        <v>0</v>
      </c>
      <c r="W546" s="16">
        <f t="shared" si="77"/>
        <v>1</v>
      </c>
      <c r="X546" s="16" t="str">
        <f t="shared" si="72"/>
        <v>null</v>
      </c>
    </row>
    <row r="547" spans="1:24" x14ac:dyDescent="0.15">
      <c r="A547" s="20" t="str">
        <f t="shared" si="74"/>
        <v>25_2-5/133&lt;lv53&gt;s3</v>
      </c>
      <c r="B547" s="16">
        <f t="shared" si="78"/>
        <v>25</v>
      </c>
      <c r="C547" s="16">
        <f t="shared" si="78"/>
        <v>2</v>
      </c>
      <c r="D547" s="16">
        <f t="shared" si="78"/>
        <v>5</v>
      </c>
      <c r="E547" s="16">
        <f t="shared" si="78"/>
        <v>133</v>
      </c>
      <c r="F547" s="16">
        <f t="shared" si="78"/>
        <v>53</v>
      </c>
      <c r="G547" s="16">
        <f t="shared" si="78"/>
        <v>2.2999999999999998</v>
      </c>
      <c r="H547" s="16">
        <f t="shared" si="78"/>
        <v>1.1000000000000001</v>
      </c>
      <c r="I547" s="16">
        <f t="shared" si="78"/>
        <v>0</v>
      </c>
      <c r="J547" s="16">
        <f t="shared" si="78"/>
        <v>13301</v>
      </c>
      <c r="K547" s="16">
        <f t="shared" si="78"/>
        <v>1</v>
      </c>
      <c r="L547" s="16">
        <f t="shared" si="78"/>
        <v>100</v>
      </c>
      <c r="M547" s="16">
        <f t="shared" si="78"/>
        <v>1</v>
      </c>
      <c r="N547" s="16">
        <f t="shared" si="78"/>
        <v>3</v>
      </c>
      <c r="O547" s="16">
        <f t="shared" si="78"/>
        <v>132</v>
      </c>
      <c r="P547" s="16">
        <f t="shared" si="78"/>
        <v>1</v>
      </c>
      <c r="Q547" s="16">
        <f t="shared" si="78"/>
        <v>3</v>
      </c>
      <c r="R547" s="16">
        <f t="shared" si="77"/>
        <v>0</v>
      </c>
      <c r="S547" s="16">
        <f t="shared" si="77"/>
        <v>0</v>
      </c>
      <c r="T547" s="16">
        <f t="shared" si="77"/>
        <v>0</v>
      </c>
      <c r="U547" s="16">
        <f t="shared" si="77"/>
        <v>0</v>
      </c>
      <c r="V547" s="16">
        <f t="shared" si="77"/>
        <v>0</v>
      </c>
      <c r="W547" s="16">
        <f t="shared" si="77"/>
        <v>1</v>
      </c>
      <c r="X547" s="16" t="str">
        <f t="shared" si="72"/>
        <v>null</v>
      </c>
    </row>
    <row r="548" spans="1:24" x14ac:dyDescent="0.15">
      <c r="A548" s="20" t="str">
        <f t="shared" si="74"/>
        <v>25_2-5/53&lt;lv53&gt;s2</v>
      </c>
      <c r="B548" s="16">
        <f t="shared" si="78"/>
        <v>25</v>
      </c>
      <c r="C548" s="16">
        <f t="shared" si="78"/>
        <v>2</v>
      </c>
      <c r="D548" s="16">
        <f t="shared" si="78"/>
        <v>5</v>
      </c>
      <c r="E548" s="16">
        <f t="shared" si="78"/>
        <v>53</v>
      </c>
      <c r="F548" s="16">
        <f t="shared" si="78"/>
        <v>53</v>
      </c>
      <c r="G548" s="16">
        <f t="shared" si="78"/>
        <v>3</v>
      </c>
      <c r="H548" s="16">
        <f t="shared" si="78"/>
        <v>1</v>
      </c>
      <c r="I548" s="16">
        <f t="shared" si="78"/>
        <v>0</v>
      </c>
      <c r="J548" s="16">
        <f t="shared" si="78"/>
        <v>53</v>
      </c>
      <c r="K548" s="16">
        <f t="shared" si="78"/>
        <v>2</v>
      </c>
      <c r="L548" s="16">
        <f t="shared" si="78"/>
        <v>100</v>
      </c>
      <c r="M548" s="16">
        <f t="shared" si="78"/>
        <v>0</v>
      </c>
      <c r="N548" s="16">
        <f t="shared" si="78"/>
        <v>2</v>
      </c>
      <c r="O548" s="16">
        <f t="shared" si="78"/>
        <v>53</v>
      </c>
      <c r="P548" s="16">
        <f t="shared" si="78"/>
        <v>7</v>
      </c>
      <c r="Q548" s="16">
        <f t="shared" si="78"/>
        <v>2</v>
      </c>
      <c r="R548" s="16">
        <f t="shared" si="77"/>
        <v>0</v>
      </c>
      <c r="S548" s="16">
        <f t="shared" si="77"/>
        <v>0</v>
      </c>
      <c r="T548" s="16">
        <f t="shared" si="77"/>
        <v>0</v>
      </c>
      <c r="U548" s="16">
        <f t="shared" si="77"/>
        <v>0</v>
      </c>
      <c r="V548" s="16">
        <f t="shared" si="77"/>
        <v>0</v>
      </c>
      <c r="W548" s="16">
        <f t="shared" si="77"/>
        <v>1</v>
      </c>
      <c r="X548" s="16" t="str">
        <f t="shared" si="72"/>
        <v>null</v>
      </c>
    </row>
    <row r="549" spans="1:24" x14ac:dyDescent="0.15">
      <c r="A549" s="20" t="str">
        <f t="shared" si="74"/>
        <v>25_3-1/25&lt;lv50&gt;s3</v>
      </c>
      <c r="B549" s="16">
        <f t="shared" si="78"/>
        <v>25</v>
      </c>
      <c r="C549" s="16">
        <f t="shared" si="78"/>
        <v>3</v>
      </c>
      <c r="D549" s="16">
        <f t="shared" si="78"/>
        <v>1</v>
      </c>
      <c r="E549" s="16">
        <f t="shared" si="78"/>
        <v>25</v>
      </c>
      <c r="F549" s="16">
        <f t="shared" si="78"/>
        <v>50</v>
      </c>
      <c r="G549" s="16">
        <f t="shared" si="78"/>
        <v>1</v>
      </c>
      <c r="H549" s="16">
        <f t="shared" si="78"/>
        <v>1</v>
      </c>
      <c r="I549" s="16">
        <f t="shared" si="78"/>
        <v>0</v>
      </c>
      <c r="J549" s="16">
        <f t="shared" si="78"/>
        <v>0</v>
      </c>
      <c r="K549" s="16">
        <f t="shared" si="78"/>
        <v>0</v>
      </c>
      <c r="L549" s="16">
        <f t="shared" si="78"/>
        <v>100</v>
      </c>
      <c r="M549" s="16">
        <f t="shared" si="78"/>
        <v>0</v>
      </c>
      <c r="N549" s="16">
        <f t="shared" si="78"/>
        <v>3</v>
      </c>
      <c r="O549" s="16">
        <f t="shared" si="78"/>
        <v>13</v>
      </c>
      <c r="P549" s="16">
        <f t="shared" si="78"/>
        <v>9</v>
      </c>
      <c r="Q549" s="16">
        <f t="shared" si="78"/>
        <v>1</v>
      </c>
      <c r="R549" s="16">
        <f t="shared" si="77"/>
        <v>15</v>
      </c>
      <c r="S549" s="16">
        <f t="shared" si="77"/>
        <v>0</v>
      </c>
      <c r="T549" s="16">
        <f t="shared" si="77"/>
        <v>0</v>
      </c>
      <c r="U549" s="16">
        <f t="shared" si="77"/>
        <v>0</v>
      </c>
      <c r="V549" s="16">
        <f t="shared" si="77"/>
        <v>0</v>
      </c>
      <c r="W549" s="16">
        <f t="shared" si="77"/>
        <v>1</v>
      </c>
      <c r="X549" s="16" t="str">
        <f t="shared" si="72"/>
        <v>null</v>
      </c>
    </row>
    <row r="550" spans="1:24" x14ac:dyDescent="0.15">
      <c r="A550" s="20" t="str">
        <f t="shared" si="74"/>
        <v>25_3-1/37&lt;lv50&gt;s3</v>
      </c>
      <c r="B550" s="16">
        <f t="shared" si="78"/>
        <v>25</v>
      </c>
      <c r="C550" s="16">
        <f t="shared" si="78"/>
        <v>3</v>
      </c>
      <c r="D550" s="16">
        <f t="shared" si="78"/>
        <v>1</v>
      </c>
      <c r="E550" s="16">
        <f t="shared" si="78"/>
        <v>37</v>
      </c>
      <c r="F550" s="16">
        <f t="shared" si="78"/>
        <v>50</v>
      </c>
      <c r="G550" s="16">
        <f t="shared" si="78"/>
        <v>1</v>
      </c>
      <c r="H550" s="16">
        <f t="shared" si="78"/>
        <v>1</v>
      </c>
      <c r="I550" s="16">
        <f t="shared" si="78"/>
        <v>0</v>
      </c>
      <c r="J550" s="16">
        <f t="shared" si="78"/>
        <v>37</v>
      </c>
      <c r="K550" s="16">
        <f t="shared" si="78"/>
        <v>0</v>
      </c>
      <c r="L550" s="16">
        <f t="shared" si="78"/>
        <v>100</v>
      </c>
      <c r="M550" s="16">
        <f t="shared" si="78"/>
        <v>0</v>
      </c>
      <c r="N550" s="16">
        <f t="shared" si="78"/>
        <v>3</v>
      </c>
      <c r="O550" s="16">
        <f t="shared" si="78"/>
        <v>47</v>
      </c>
      <c r="P550" s="16">
        <f t="shared" si="78"/>
        <v>7</v>
      </c>
      <c r="Q550" s="16">
        <f t="shared" si="78"/>
        <v>2</v>
      </c>
      <c r="R550" s="16">
        <f t="shared" si="77"/>
        <v>20</v>
      </c>
      <c r="S550" s="16">
        <f t="shared" si="77"/>
        <v>0</v>
      </c>
      <c r="T550" s="16">
        <f t="shared" si="77"/>
        <v>0</v>
      </c>
      <c r="U550" s="16">
        <f t="shared" si="77"/>
        <v>0</v>
      </c>
      <c r="V550" s="16">
        <f t="shared" si="77"/>
        <v>0</v>
      </c>
      <c r="W550" s="16">
        <f t="shared" si="77"/>
        <v>1</v>
      </c>
      <c r="X550" s="16" t="str">
        <f t="shared" si="72"/>
        <v>null</v>
      </c>
    </row>
    <row r="551" spans="1:24" x14ac:dyDescent="0.15">
      <c r="A551" s="20" t="str">
        <f t="shared" si="74"/>
        <v>25_3-1/45&lt;lv50&gt;s3</v>
      </c>
      <c r="B551" s="16">
        <f t="shared" si="78"/>
        <v>25</v>
      </c>
      <c r="C551" s="16">
        <f t="shared" si="78"/>
        <v>3</v>
      </c>
      <c r="D551" s="16">
        <f t="shared" si="78"/>
        <v>1</v>
      </c>
      <c r="E551" s="16">
        <f t="shared" si="78"/>
        <v>45</v>
      </c>
      <c r="F551" s="16">
        <f t="shared" si="78"/>
        <v>50</v>
      </c>
      <c r="G551" s="16">
        <f t="shared" si="78"/>
        <v>1</v>
      </c>
      <c r="H551" s="16">
        <f t="shared" si="78"/>
        <v>1</v>
      </c>
      <c r="I551" s="16">
        <f t="shared" si="78"/>
        <v>0</v>
      </c>
      <c r="J551" s="16">
        <f t="shared" si="78"/>
        <v>0</v>
      </c>
      <c r="K551" s="16">
        <f t="shared" si="78"/>
        <v>0</v>
      </c>
      <c r="L551" s="16">
        <f t="shared" si="78"/>
        <v>100</v>
      </c>
      <c r="M551" s="16">
        <f t="shared" si="78"/>
        <v>0</v>
      </c>
      <c r="N551" s="16">
        <f t="shared" si="78"/>
        <v>3</v>
      </c>
      <c r="O551" s="16">
        <f t="shared" si="78"/>
        <v>63</v>
      </c>
      <c r="P551" s="16">
        <f t="shared" si="78"/>
        <v>7</v>
      </c>
      <c r="Q551" s="16">
        <f t="shared" si="78"/>
        <v>2</v>
      </c>
      <c r="R551" s="16">
        <f t="shared" si="77"/>
        <v>20</v>
      </c>
      <c r="S551" s="16">
        <f t="shared" si="77"/>
        <v>0</v>
      </c>
      <c r="T551" s="16">
        <f t="shared" si="77"/>
        <v>0</v>
      </c>
      <c r="U551" s="16">
        <f t="shared" si="77"/>
        <v>0</v>
      </c>
      <c r="V551" s="16">
        <f t="shared" si="77"/>
        <v>0</v>
      </c>
      <c r="W551" s="16">
        <f t="shared" si="77"/>
        <v>1</v>
      </c>
      <c r="X551" s="16" t="str">
        <f t="shared" si="72"/>
        <v>null</v>
      </c>
    </row>
    <row r="552" spans="1:24" x14ac:dyDescent="0.15">
      <c r="A552" s="20" t="str">
        <f t="shared" si="74"/>
        <v>25_3-1/61&lt;lv50&gt;s2</v>
      </c>
      <c r="B552" s="16">
        <f t="shared" si="78"/>
        <v>25</v>
      </c>
      <c r="C552" s="16">
        <f t="shared" si="78"/>
        <v>3</v>
      </c>
      <c r="D552" s="16">
        <f t="shared" si="78"/>
        <v>1</v>
      </c>
      <c r="E552" s="16">
        <f t="shared" si="78"/>
        <v>61</v>
      </c>
      <c r="F552" s="16">
        <f t="shared" si="78"/>
        <v>50</v>
      </c>
      <c r="G552" s="16">
        <f t="shared" si="78"/>
        <v>1</v>
      </c>
      <c r="H552" s="16">
        <f t="shared" si="78"/>
        <v>1</v>
      </c>
      <c r="I552" s="16">
        <f t="shared" si="78"/>
        <v>0</v>
      </c>
      <c r="J552" s="16">
        <f t="shared" si="78"/>
        <v>61</v>
      </c>
      <c r="K552" s="16">
        <f t="shared" si="78"/>
        <v>0</v>
      </c>
      <c r="L552" s="16">
        <f t="shared" si="78"/>
        <v>100</v>
      </c>
      <c r="M552" s="16">
        <f t="shared" si="78"/>
        <v>0</v>
      </c>
      <c r="N552" s="16">
        <f t="shared" si="78"/>
        <v>2</v>
      </c>
      <c r="O552" s="16">
        <f t="shared" si="78"/>
        <v>366</v>
      </c>
      <c r="P552" s="16">
        <f t="shared" si="78"/>
        <v>5</v>
      </c>
      <c r="Q552" s="16">
        <f t="shared" si="78"/>
        <v>2</v>
      </c>
      <c r="R552" s="16">
        <f t="shared" si="77"/>
        <v>20</v>
      </c>
      <c r="S552" s="16">
        <f t="shared" si="77"/>
        <v>0</v>
      </c>
      <c r="T552" s="16">
        <f t="shared" si="77"/>
        <v>0</v>
      </c>
      <c r="U552" s="16">
        <f t="shared" si="77"/>
        <v>0</v>
      </c>
      <c r="V552" s="16">
        <f t="shared" si="77"/>
        <v>0</v>
      </c>
      <c r="W552" s="16">
        <f t="shared" si="77"/>
        <v>1</v>
      </c>
      <c r="X552" s="16" t="str">
        <f t="shared" si="72"/>
        <v>null</v>
      </c>
    </row>
    <row r="553" spans="1:24" x14ac:dyDescent="0.15">
      <c r="A553" s="20" t="str">
        <f t="shared" si="74"/>
        <v>25_3-1/17&lt;lv50&gt;s2</v>
      </c>
      <c r="B553" s="16">
        <f t="shared" si="78"/>
        <v>25</v>
      </c>
      <c r="C553" s="16">
        <f t="shared" si="78"/>
        <v>3</v>
      </c>
      <c r="D553" s="16">
        <f t="shared" si="78"/>
        <v>1</v>
      </c>
      <c r="E553" s="16">
        <f t="shared" si="78"/>
        <v>17</v>
      </c>
      <c r="F553" s="16">
        <f t="shared" si="78"/>
        <v>50</v>
      </c>
      <c r="G553" s="16">
        <f t="shared" si="78"/>
        <v>1</v>
      </c>
      <c r="H553" s="16">
        <f t="shared" si="78"/>
        <v>1</v>
      </c>
      <c r="I553" s="16">
        <f t="shared" si="78"/>
        <v>0</v>
      </c>
      <c r="J553" s="16">
        <f t="shared" si="78"/>
        <v>0</v>
      </c>
      <c r="K553" s="16">
        <f t="shared" si="78"/>
        <v>0</v>
      </c>
      <c r="L553" s="16">
        <f t="shared" si="78"/>
        <v>100</v>
      </c>
      <c r="M553" s="16">
        <f t="shared" si="78"/>
        <v>0</v>
      </c>
      <c r="N553" s="16">
        <f t="shared" si="78"/>
        <v>2</v>
      </c>
      <c r="O553" s="16">
        <f t="shared" si="78"/>
        <v>39</v>
      </c>
      <c r="P553" s="16">
        <f t="shared" si="78"/>
        <v>5</v>
      </c>
      <c r="Q553" s="16">
        <f t="shared" si="78"/>
        <v>2</v>
      </c>
      <c r="R553" s="16">
        <f t="shared" si="77"/>
        <v>20</v>
      </c>
      <c r="S553" s="16">
        <f t="shared" si="77"/>
        <v>0</v>
      </c>
      <c r="T553" s="16">
        <f t="shared" si="77"/>
        <v>0</v>
      </c>
      <c r="U553" s="16">
        <f t="shared" si="77"/>
        <v>0</v>
      </c>
      <c r="V553" s="16">
        <f t="shared" si="77"/>
        <v>0</v>
      </c>
      <c r="W553" s="16">
        <f t="shared" si="77"/>
        <v>1</v>
      </c>
      <c r="X553" s="16" t="str">
        <f t="shared" si="72"/>
        <v>null</v>
      </c>
    </row>
    <row r="554" spans="1:24" x14ac:dyDescent="0.15">
      <c r="A554" s="20" t="str">
        <f t="shared" si="74"/>
        <v>25_3-1/53&lt;lv50&gt;s2</v>
      </c>
      <c r="B554" s="16">
        <f t="shared" si="78"/>
        <v>25</v>
      </c>
      <c r="C554" s="16">
        <f t="shared" si="78"/>
        <v>3</v>
      </c>
      <c r="D554" s="16">
        <f t="shared" si="78"/>
        <v>1</v>
      </c>
      <c r="E554" s="16">
        <f t="shared" si="78"/>
        <v>53</v>
      </c>
      <c r="F554" s="16">
        <f t="shared" si="78"/>
        <v>50</v>
      </c>
      <c r="G554" s="16">
        <f t="shared" si="78"/>
        <v>1</v>
      </c>
      <c r="H554" s="16">
        <f t="shared" si="78"/>
        <v>1</v>
      </c>
      <c r="I554" s="16">
        <f t="shared" si="78"/>
        <v>0</v>
      </c>
      <c r="J554" s="16">
        <f t="shared" si="78"/>
        <v>53</v>
      </c>
      <c r="K554" s="16">
        <f t="shared" si="78"/>
        <v>0</v>
      </c>
      <c r="L554" s="16">
        <f t="shared" si="78"/>
        <v>100</v>
      </c>
      <c r="M554" s="16">
        <f t="shared" si="78"/>
        <v>0</v>
      </c>
      <c r="N554" s="16">
        <f t="shared" si="78"/>
        <v>2</v>
      </c>
      <c r="O554" s="16">
        <f t="shared" si="78"/>
        <v>55</v>
      </c>
      <c r="P554" s="16">
        <f t="shared" si="78"/>
        <v>7</v>
      </c>
      <c r="Q554" s="16">
        <f t="shared" si="78"/>
        <v>2</v>
      </c>
      <c r="R554" s="16">
        <f t="shared" si="77"/>
        <v>20</v>
      </c>
      <c r="S554" s="16">
        <f t="shared" si="77"/>
        <v>0</v>
      </c>
      <c r="T554" s="16">
        <f t="shared" si="77"/>
        <v>0</v>
      </c>
      <c r="U554" s="16">
        <f t="shared" si="77"/>
        <v>0</v>
      </c>
      <c r="V554" s="16">
        <f t="shared" si="77"/>
        <v>0</v>
      </c>
      <c r="W554" s="16">
        <f t="shared" si="77"/>
        <v>1</v>
      </c>
      <c r="X554" s="16" t="str">
        <f t="shared" si="72"/>
        <v>null</v>
      </c>
    </row>
    <row r="555" spans="1:24" x14ac:dyDescent="0.15">
      <c r="A555" s="20" t="str">
        <f t="shared" si="74"/>
        <v>25_3-1/364&lt;lv50&gt;s3</v>
      </c>
      <c r="B555" s="16">
        <f t="shared" si="78"/>
        <v>25</v>
      </c>
      <c r="C555" s="16">
        <f t="shared" si="78"/>
        <v>3</v>
      </c>
      <c r="D555" s="16">
        <f t="shared" si="78"/>
        <v>1</v>
      </c>
      <c r="E555" s="16">
        <f t="shared" si="78"/>
        <v>364</v>
      </c>
      <c r="F555" s="16">
        <f t="shared" si="78"/>
        <v>50</v>
      </c>
      <c r="G555" s="16">
        <f t="shared" si="78"/>
        <v>1.2</v>
      </c>
      <c r="H555" s="16">
        <f t="shared" si="78"/>
        <v>1</v>
      </c>
      <c r="I555" s="16">
        <f t="shared" si="78"/>
        <v>0</v>
      </c>
      <c r="J555" s="16">
        <f t="shared" si="78"/>
        <v>364</v>
      </c>
      <c r="K555" s="16">
        <f t="shared" si="78"/>
        <v>0</v>
      </c>
      <c r="L555" s="16">
        <f t="shared" si="78"/>
        <v>100</v>
      </c>
      <c r="M555" s="16">
        <f t="shared" si="78"/>
        <v>0</v>
      </c>
      <c r="N555" s="16">
        <f t="shared" si="78"/>
        <v>3</v>
      </c>
      <c r="O555" s="16">
        <f t="shared" si="78"/>
        <v>364</v>
      </c>
      <c r="P555" s="16">
        <f t="shared" si="78"/>
        <v>7</v>
      </c>
      <c r="Q555" s="16">
        <f t="shared" si="78"/>
        <v>2</v>
      </c>
      <c r="R555" s="16">
        <f t="shared" si="77"/>
        <v>20</v>
      </c>
      <c r="S555" s="16">
        <f t="shared" si="77"/>
        <v>0</v>
      </c>
      <c r="T555" s="16">
        <f t="shared" si="77"/>
        <v>0</v>
      </c>
      <c r="U555" s="16">
        <f t="shared" si="77"/>
        <v>0</v>
      </c>
      <c r="V555" s="16">
        <f t="shared" si="77"/>
        <v>0</v>
      </c>
      <c r="W555" s="16">
        <f t="shared" si="77"/>
        <v>1</v>
      </c>
      <c r="X555" s="16" t="str">
        <f t="shared" si="72"/>
        <v>null</v>
      </c>
    </row>
    <row r="556" spans="1:24" x14ac:dyDescent="0.15">
      <c r="A556" s="20" t="str">
        <f t="shared" si="74"/>
        <v>25_3-1/352&lt;lv50&gt;s3</v>
      </c>
      <c r="B556" s="16">
        <f t="shared" si="78"/>
        <v>25</v>
      </c>
      <c r="C556" s="16">
        <f t="shared" si="78"/>
        <v>3</v>
      </c>
      <c r="D556" s="16">
        <f t="shared" si="78"/>
        <v>1</v>
      </c>
      <c r="E556" s="16">
        <f t="shared" si="78"/>
        <v>352</v>
      </c>
      <c r="F556" s="16">
        <f t="shared" si="78"/>
        <v>50</v>
      </c>
      <c r="G556" s="16">
        <f t="shared" si="78"/>
        <v>1</v>
      </c>
      <c r="H556" s="16">
        <f t="shared" si="78"/>
        <v>1</v>
      </c>
      <c r="I556" s="16">
        <f t="shared" si="78"/>
        <v>0</v>
      </c>
      <c r="J556" s="16">
        <f t="shared" si="78"/>
        <v>352</v>
      </c>
      <c r="K556" s="16">
        <f t="shared" si="78"/>
        <v>0</v>
      </c>
      <c r="L556" s="16">
        <f t="shared" si="78"/>
        <v>100</v>
      </c>
      <c r="M556" s="16">
        <f t="shared" si="78"/>
        <v>0</v>
      </c>
      <c r="N556" s="16">
        <f t="shared" si="78"/>
        <v>3</v>
      </c>
      <c r="O556" s="16">
        <f t="shared" si="78"/>
        <v>352</v>
      </c>
      <c r="P556" s="16">
        <f t="shared" si="78"/>
        <v>1</v>
      </c>
      <c r="Q556" s="16">
        <f t="shared" si="78"/>
        <v>2</v>
      </c>
      <c r="R556" s="16">
        <f t="shared" si="77"/>
        <v>41</v>
      </c>
      <c r="S556" s="16">
        <f t="shared" si="77"/>
        <v>0</v>
      </c>
      <c r="T556" s="16">
        <f t="shared" si="77"/>
        <v>0</v>
      </c>
      <c r="U556" s="16">
        <f t="shared" si="77"/>
        <v>0</v>
      </c>
      <c r="V556" s="16">
        <f t="shared" si="77"/>
        <v>0</v>
      </c>
      <c r="W556" s="16">
        <f t="shared" si="77"/>
        <v>1</v>
      </c>
      <c r="X556" s="16" t="str">
        <f t="shared" si="72"/>
        <v>null</v>
      </c>
    </row>
    <row r="557" spans="1:24" x14ac:dyDescent="0.15">
      <c r="A557" s="20" t="str">
        <f t="shared" si="74"/>
        <v>25_3-2/13&lt;lv50&gt;s2</v>
      </c>
      <c r="B557" s="16">
        <f t="shared" si="78"/>
        <v>25</v>
      </c>
      <c r="C557" s="16">
        <f t="shared" si="78"/>
        <v>3</v>
      </c>
      <c r="D557" s="16">
        <f t="shared" si="78"/>
        <v>2</v>
      </c>
      <c r="E557" s="16">
        <f t="shared" si="78"/>
        <v>13</v>
      </c>
      <c r="F557" s="16">
        <f t="shared" si="78"/>
        <v>50</v>
      </c>
      <c r="G557" s="16">
        <f t="shared" si="78"/>
        <v>1</v>
      </c>
      <c r="H557" s="16">
        <f t="shared" si="78"/>
        <v>1</v>
      </c>
      <c r="I557" s="16">
        <f t="shared" si="78"/>
        <v>0</v>
      </c>
      <c r="J557" s="16">
        <f t="shared" si="78"/>
        <v>0</v>
      </c>
      <c r="K557" s="16">
        <f t="shared" si="78"/>
        <v>0</v>
      </c>
      <c r="L557" s="16">
        <f t="shared" si="78"/>
        <v>100</v>
      </c>
      <c r="M557" s="16">
        <f t="shared" si="78"/>
        <v>0</v>
      </c>
      <c r="N557" s="16">
        <f t="shared" si="78"/>
        <v>2</v>
      </c>
      <c r="O557" s="16">
        <f t="shared" si="78"/>
        <v>25</v>
      </c>
      <c r="P557" s="16">
        <f t="shared" si="78"/>
        <v>7</v>
      </c>
      <c r="Q557" s="16">
        <f t="shared" si="78"/>
        <v>1</v>
      </c>
      <c r="R557" s="16">
        <f t="shared" si="77"/>
        <v>15</v>
      </c>
      <c r="S557" s="16">
        <f t="shared" si="77"/>
        <v>0</v>
      </c>
      <c r="T557" s="16">
        <f t="shared" si="77"/>
        <v>0</v>
      </c>
      <c r="U557" s="16">
        <f t="shared" si="77"/>
        <v>0</v>
      </c>
      <c r="V557" s="16">
        <f t="shared" si="77"/>
        <v>0</v>
      </c>
      <c r="W557" s="16">
        <f t="shared" si="77"/>
        <v>1</v>
      </c>
      <c r="X557" s="16" t="str">
        <f t="shared" si="72"/>
        <v>null</v>
      </c>
    </row>
    <row r="558" spans="1:24" x14ac:dyDescent="0.15">
      <c r="A558" s="20" t="str">
        <f t="shared" si="74"/>
        <v>25_3-2/47&lt;lv50&gt;s1</v>
      </c>
      <c r="B558" s="16">
        <f t="shared" si="78"/>
        <v>25</v>
      </c>
      <c r="C558" s="16">
        <f t="shared" si="78"/>
        <v>3</v>
      </c>
      <c r="D558" s="16">
        <f t="shared" si="78"/>
        <v>2</v>
      </c>
      <c r="E558" s="16">
        <f t="shared" si="78"/>
        <v>47</v>
      </c>
      <c r="F558" s="16">
        <f t="shared" si="78"/>
        <v>50</v>
      </c>
      <c r="G558" s="16">
        <f t="shared" si="78"/>
        <v>1</v>
      </c>
      <c r="H558" s="16">
        <f t="shared" si="78"/>
        <v>1</v>
      </c>
      <c r="I558" s="16">
        <f t="shared" si="78"/>
        <v>0</v>
      </c>
      <c r="J558" s="16">
        <f t="shared" si="78"/>
        <v>0</v>
      </c>
      <c r="K558" s="16">
        <f t="shared" si="78"/>
        <v>0</v>
      </c>
      <c r="L558" s="16">
        <f t="shared" si="78"/>
        <v>100</v>
      </c>
      <c r="M558" s="16">
        <f t="shared" si="78"/>
        <v>0</v>
      </c>
      <c r="N558" s="16">
        <f t="shared" si="78"/>
        <v>1</v>
      </c>
      <c r="O558" s="16">
        <f t="shared" si="78"/>
        <v>37</v>
      </c>
      <c r="P558" s="16">
        <f t="shared" si="78"/>
        <v>5</v>
      </c>
      <c r="Q558" s="16">
        <f t="shared" ref="Q558:W573" si="79">VLOOKUP($A558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58" s="16">
        <f t="shared" si="79"/>
        <v>20</v>
      </c>
      <c r="S558" s="16">
        <f t="shared" si="79"/>
        <v>0</v>
      </c>
      <c r="T558" s="16">
        <f t="shared" si="79"/>
        <v>0</v>
      </c>
      <c r="U558" s="16">
        <f t="shared" si="79"/>
        <v>0</v>
      </c>
      <c r="V558" s="16">
        <f t="shared" si="79"/>
        <v>0</v>
      </c>
      <c r="W558" s="16">
        <f t="shared" si="79"/>
        <v>1</v>
      </c>
      <c r="X558" s="16" t="str">
        <f t="shared" si="72"/>
        <v>null</v>
      </c>
    </row>
    <row r="559" spans="1:24" x14ac:dyDescent="0.15">
      <c r="A559" s="20" t="str">
        <f t="shared" si="74"/>
        <v>25_3-2/63&lt;lv50&gt;s2</v>
      </c>
      <c r="B559" s="16">
        <f t="shared" ref="B559:Q574" si="80">VLOOKUP($A559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559" s="16">
        <f t="shared" si="80"/>
        <v>3</v>
      </c>
      <c r="D559" s="16">
        <f t="shared" si="80"/>
        <v>2</v>
      </c>
      <c r="E559" s="16">
        <f t="shared" si="80"/>
        <v>63</v>
      </c>
      <c r="F559" s="16">
        <f t="shared" si="80"/>
        <v>50</v>
      </c>
      <c r="G559" s="16">
        <f t="shared" si="80"/>
        <v>1</v>
      </c>
      <c r="H559" s="16">
        <f t="shared" si="80"/>
        <v>1</v>
      </c>
      <c r="I559" s="16">
        <f t="shared" si="80"/>
        <v>0</v>
      </c>
      <c r="J559" s="16">
        <f t="shared" si="80"/>
        <v>63</v>
      </c>
      <c r="K559" s="16">
        <f t="shared" si="80"/>
        <v>0</v>
      </c>
      <c r="L559" s="16">
        <f t="shared" si="80"/>
        <v>100</v>
      </c>
      <c r="M559" s="16">
        <f t="shared" si="80"/>
        <v>0</v>
      </c>
      <c r="N559" s="16">
        <f t="shared" si="80"/>
        <v>2</v>
      </c>
      <c r="O559" s="16">
        <f t="shared" si="80"/>
        <v>45</v>
      </c>
      <c r="P559" s="16">
        <f t="shared" si="80"/>
        <v>7</v>
      </c>
      <c r="Q559" s="16">
        <f t="shared" si="80"/>
        <v>2</v>
      </c>
      <c r="R559" s="16">
        <f t="shared" si="79"/>
        <v>20</v>
      </c>
      <c r="S559" s="16">
        <f t="shared" si="79"/>
        <v>0</v>
      </c>
      <c r="T559" s="16">
        <f t="shared" si="79"/>
        <v>0</v>
      </c>
      <c r="U559" s="16">
        <f t="shared" si="79"/>
        <v>0</v>
      </c>
      <c r="V559" s="16">
        <f t="shared" si="79"/>
        <v>0</v>
      </c>
      <c r="W559" s="16">
        <f t="shared" si="79"/>
        <v>1</v>
      </c>
      <c r="X559" s="16" t="str">
        <f t="shared" si="72"/>
        <v>null</v>
      </c>
    </row>
    <row r="560" spans="1:24" x14ac:dyDescent="0.15">
      <c r="A560" s="20" t="str">
        <f t="shared" si="74"/>
        <v>25_3-2/19&lt;lv50&gt;s3</v>
      </c>
      <c r="B560" s="16">
        <f t="shared" si="80"/>
        <v>25</v>
      </c>
      <c r="C560" s="16">
        <f t="shared" si="80"/>
        <v>3</v>
      </c>
      <c r="D560" s="16">
        <f t="shared" si="80"/>
        <v>2</v>
      </c>
      <c r="E560" s="16">
        <f t="shared" si="80"/>
        <v>19</v>
      </c>
      <c r="F560" s="16">
        <f t="shared" si="80"/>
        <v>50</v>
      </c>
      <c r="G560" s="16">
        <f t="shared" si="80"/>
        <v>1</v>
      </c>
      <c r="H560" s="16">
        <f t="shared" si="80"/>
        <v>1</v>
      </c>
      <c r="I560" s="16">
        <f t="shared" si="80"/>
        <v>0</v>
      </c>
      <c r="J560" s="16">
        <f t="shared" si="80"/>
        <v>0</v>
      </c>
      <c r="K560" s="16">
        <f t="shared" si="80"/>
        <v>0</v>
      </c>
      <c r="L560" s="16">
        <f t="shared" si="80"/>
        <v>100</v>
      </c>
      <c r="M560" s="16">
        <f t="shared" si="80"/>
        <v>0</v>
      </c>
      <c r="N560" s="16">
        <f t="shared" si="80"/>
        <v>3</v>
      </c>
      <c r="O560" s="16">
        <f t="shared" si="80"/>
        <v>364</v>
      </c>
      <c r="P560" s="16">
        <f t="shared" si="80"/>
        <v>5</v>
      </c>
      <c r="Q560" s="16">
        <f t="shared" si="80"/>
        <v>2</v>
      </c>
      <c r="R560" s="16">
        <f t="shared" si="79"/>
        <v>20</v>
      </c>
      <c r="S560" s="16">
        <f t="shared" si="79"/>
        <v>0</v>
      </c>
      <c r="T560" s="16">
        <f t="shared" si="79"/>
        <v>0</v>
      </c>
      <c r="U560" s="16">
        <f t="shared" si="79"/>
        <v>0</v>
      </c>
      <c r="V560" s="16">
        <f t="shared" si="79"/>
        <v>0</v>
      </c>
      <c r="W560" s="16">
        <f t="shared" si="79"/>
        <v>1</v>
      </c>
      <c r="X560" s="16" t="str">
        <f t="shared" si="72"/>
        <v>null</v>
      </c>
    </row>
    <row r="561" spans="1:24" x14ac:dyDescent="0.15">
      <c r="A561" s="20" t="str">
        <f t="shared" si="74"/>
        <v>25_3-2/39&lt;lv50&gt;s3</v>
      </c>
      <c r="B561" s="16">
        <f t="shared" si="80"/>
        <v>25</v>
      </c>
      <c r="C561" s="16">
        <f t="shared" si="80"/>
        <v>3</v>
      </c>
      <c r="D561" s="16">
        <f t="shared" si="80"/>
        <v>2</v>
      </c>
      <c r="E561" s="16">
        <f t="shared" si="80"/>
        <v>39</v>
      </c>
      <c r="F561" s="16">
        <f t="shared" si="80"/>
        <v>50</v>
      </c>
      <c r="G561" s="16">
        <f t="shared" si="80"/>
        <v>1</v>
      </c>
      <c r="H561" s="16">
        <f t="shared" si="80"/>
        <v>1</v>
      </c>
      <c r="I561" s="16">
        <f t="shared" si="80"/>
        <v>0</v>
      </c>
      <c r="J561" s="16">
        <f t="shared" si="80"/>
        <v>39</v>
      </c>
      <c r="K561" s="16">
        <f t="shared" si="80"/>
        <v>0</v>
      </c>
      <c r="L561" s="16">
        <f t="shared" si="80"/>
        <v>100</v>
      </c>
      <c r="M561" s="16">
        <f t="shared" si="80"/>
        <v>0</v>
      </c>
      <c r="N561" s="16">
        <f t="shared" si="80"/>
        <v>3</v>
      </c>
      <c r="O561" s="16">
        <f t="shared" si="80"/>
        <v>17</v>
      </c>
      <c r="P561" s="16">
        <f t="shared" si="80"/>
        <v>9</v>
      </c>
      <c r="Q561" s="16">
        <f t="shared" si="80"/>
        <v>1</v>
      </c>
      <c r="R561" s="16">
        <f t="shared" si="79"/>
        <v>15</v>
      </c>
      <c r="S561" s="16">
        <f t="shared" si="79"/>
        <v>0</v>
      </c>
      <c r="T561" s="16">
        <f t="shared" si="79"/>
        <v>0</v>
      </c>
      <c r="U561" s="16">
        <f t="shared" si="79"/>
        <v>0</v>
      </c>
      <c r="V561" s="16">
        <f t="shared" si="79"/>
        <v>0</v>
      </c>
      <c r="W561" s="16">
        <f t="shared" si="79"/>
        <v>1</v>
      </c>
      <c r="X561" s="16" t="str">
        <f t="shared" si="72"/>
        <v>null</v>
      </c>
    </row>
    <row r="562" spans="1:24" x14ac:dyDescent="0.15">
      <c r="A562" s="20" t="str">
        <f t="shared" si="74"/>
        <v>25_3-2/55&lt;lv50&gt;s4</v>
      </c>
      <c r="B562" s="16">
        <f t="shared" si="80"/>
        <v>25</v>
      </c>
      <c r="C562" s="16">
        <f t="shared" si="80"/>
        <v>3</v>
      </c>
      <c r="D562" s="16">
        <f t="shared" si="80"/>
        <v>2</v>
      </c>
      <c r="E562" s="16">
        <f t="shared" si="80"/>
        <v>55</v>
      </c>
      <c r="F562" s="16">
        <f t="shared" si="80"/>
        <v>50</v>
      </c>
      <c r="G562" s="16">
        <f t="shared" si="80"/>
        <v>1</v>
      </c>
      <c r="H562" s="16">
        <f t="shared" si="80"/>
        <v>1</v>
      </c>
      <c r="I562" s="16">
        <f t="shared" si="80"/>
        <v>0</v>
      </c>
      <c r="J562" s="16">
        <f t="shared" si="80"/>
        <v>55</v>
      </c>
      <c r="K562" s="16">
        <f t="shared" si="80"/>
        <v>0</v>
      </c>
      <c r="L562" s="16">
        <f t="shared" si="80"/>
        <v>100</v>
      </c>
      <c r="M562" s="16">
        <f t="shared" si="80"/>
        <v>0</v>
      </c>
      <c r="N562" s="16">
        <f t="shared" si="80"/>
        <v>4</v>
      </c>
      <c r="O562" s="16">
        <f t="shared" si="80"/>
        <v>53</v>
      </c>
      <c r="P562" s="16">
        <f t="shared" si="80"/>
        <v>7</v>
      </c>
      <c r="Q562" s="16">
        <f t="shared" si="80"/>
        <v>2</v>
      </c>
      <c r="R562" s="16">
        <f t="shared" si="79"/>
        <v>20</v>
      </c>
      <c r="S562" s="16">
        <f t="shared" si="79"/>
        <v>0</v>
      </c>
      <c r="T562" s="16">
        <f t="shared" si="79"/>
        <v>0</v>
      </c>
      <c r="U562" s="16">
        <f t="shared" si="79"/>
        <v>0</v>
      </c>
      <c r="V562" s="16">
        <f t="shared" si="79"/>
        <v>0</v>
      </c>
      <c r="W562" s="16">
        <f t="shared" si="79"/>
        <v>1</v>
      </c>
      <c r="X562" s="16" t="str">
        <f t="shared" si="72"/>
        <v>null</v>
      </c>
    </row>
    <row r="563" spans="1:24" x14ac:dyDescent="0.15">
      <c r="A563" s="20" t="str">
        <f t="shared" si="74"/>
        <v>25_3-2/366&lt;lv50&gt;s3</v>
      </c>
      <c r="B563" s="16">
        <f t="shared" si="80"/>
        <v>25</v>
      </c>
      <c r="C563" s="16">
        <f t="shared" si="80"/>
        <v>3</v>
      </c>
      <c r="D563" s="16">
        <f t="shared" si="80"/>
        <v>2</v>
      </c>
      <c r="E563" s="16">
        <f t="shared" si="80"/>
        <v>366</v>
      </c>
      <c r="F563" s="16">
        <f t="shared" si="80"/>
        <v>50</v>
      </c>
      <c r="G563" s="16">
        <f t="shared" si="80"/>
        <v>1.2</v>
      </c>
      <c r="H563" s="16">
        <f t="shared" si="80"/>
        <v>1</v>
      </c>
      <c r="I563" s="16">
        <f t="shared" si="80"/>
        <v>0</v>
      </c>
      <c r="J563" s="16">
        <f t="shared" si="80"/>
        <v>366</v>
      </c>
      <c r="K563" s="16">
        <f t="shared" si="80"/>
        <v>0</v>
      </c>
      <c r="L563" s="16">
        <f t="shared" si="80"/>
        <v>100</v>
      </c>
      <c r="M563" s="16">
        <f t="shared" si="80"/>
        <v>0</v>
      </c>
      <c r="N563" s="16">
        <f t="shared" si="80"/>
        <v>3</v>
      </c>
      <c r="O563" s="16">
        <f t="shared" si="80"/>
        <v>366</v>
      </c>
      <c r="P563" s="16">
        <f t="shared" si="80"/>
        <v>7</v>
      </c>
      <c r="Q563" s="16">
        <f t="shared" si="80"/>
        <v>2</v>
      </c>
      <c r="R563" s="16">
        <f t="shared" si="79"/>
        <v>20</v>
      </c>
      <c r="S563" s="16">
        <f t="shared" si="79"/>
        <v>0</v>
      </c>
      <c r="T563" s="16">
        <f t="shared" si="79"/>
        <v>0</v>
      </c>
      <c r="U563" s="16">
        <f t="shared" si="79"/>
        <v>0</v>
      </c>
      <c r="V563" s="16">
        <f t="shared" si="79"/>
        <v>0</v>
      </c>
      <c r="W563" s="16">
        <f t="shared" si="79"/>
        <v>1</v>
      </c>
      <c r="X563" s="16" t="str">
        <f t="shared" si="72"/>
        <v>null</v>
      </c>
    </row>
    <row r="564" spans="1:24" x14ac:dyDescent="0.15">
      <c r="A564" s="20" t="str">
        <f t="shared" si="74"/>
        <v>25_3-2/354&lt;lv50&gt;s3</v>
      </c>
      <c r="B564" s="16">
        <f t="shared" si="80"/>
        <v>25</v>
      </c>
      <c r="C564" s="16">
        <f t="shared" si="80"/>
        <v>3</v>
      </c>
      <c r="D564" s="16">
        <f t="shared" si="80"/>
        <v>2</v>
      </c>
      <c r="E564" s="16">
        <f t="shared" si="80"/>
        <v>354</v>
      </c>
      <c r="F564" s="16">
        <f t="shared" si="80"/>
        <v>50</v>
      </c>
      <c r="G564" s="16">
        <f t="shared" si="80"/>
        <v>1</v>
      </c>
      <c r="H564" s="16">
        <f t="shared" si="80"/>
        <v>1</v>
      </c>
      <c r="I564" s="16">
        <f t="shared" si="80"/>
        <v>0</v>
      </c>
      <c r="J564" s="16">
        <f t="shared" si="80"/>
        <v>354</v>
      </c>
      <c r="K564" s="16">
        <f t="shared" si="80"/>
        <v>0</v>
      </c>
      <c r="L564" s="16">
        <f t="shared" si="80"/>
        <v>100</v>
      </c>
      <c r="M564" s="16">
        <f t="shared" si="80"/>
        <v>0</v>
      </c>
      <c r="N564" s="16">
        <f t="shared" si="80"/>
        <v>3</v>
      </c>
      <c r="O564" s="16">
        <f t="shared" si="80"/>
        <v>354</v>
      </c>
      <c r="P564" s="16">
        <f t="shared" si="80"/>
        <v>1</v>
      </c>
      <c r="Q564" s="16">
        <f t="shared" si="80"/>
        <v>2</v>
      </c>
      <c r="R564" s="16">
        <f t="shared" si="79"/>
        <v>41</v>
      </c>
      <c r="S564" s="16">
        <f t="shared" si="79"/>
        <v>0</v>
      </c>
      <c r="T564" s="16">
        <f t="shared" si="79"/>
        <v>0</v>
      </c>
      <c r="U564" s="16">
        <f t="shared" si="79"/>
        <v>0</v>
      </c>
      <c r="V564" s="16">
        <f t="shared" si="79"/>
        <v>0</v>
      </c>
      <c r="W564" s="16">
        <f t="shared" si="79"/>
        <v>1</v>
      </c>
      <c r="X564" s="16" t="str">
        <f t="shared" si="72"/>
        <v>null</v>
      </c>
    </row>
    <row r="565" spans="1:24" x14ac:dyDescent="0.15">
      <c r="A565" s="20" t="str">
        <f t="shared" si="74"/>
        <v>25_3-3/200&lt;lv50&gt;s2</v>
      </c>
      <c r="B565" s="16">
        <f t="shared" si="80"/>
        <v>25</v>
      </c>
      <c r="C565" s="16">
        <f t="shared" si="80"/>
        <v>3</v>
      </c>
      <c r="D565" s="16">
        <f t="shared" si="80"/>
        <v>3</v>
      </c>
      <c r="E565" s="16">
        <f t="shared" si="80"/>
        <v>200</v>
      </c>
      <c r="F565" s="16">
        <f t="shared" si="80"/>
        <v>50</v>
      </c>
      <c r="G565" s="16">
        <f t="shared" si="80"/>
        <v>1.1000000000000001</v>
      </c>
      <c r="H565" s="16">
        <f t="shared" si="80"/>
        <v>1</v>
      </c>
      <c r="I565" s="16">
        <f t="shared" si="80"/>
        <v>0</v>
      </c>
      <c r="J565" s="16">
        <f t="shared" si="80"/>
        <v>20001</v>
      </c>
      <c r="K565" s="16">
        <f t="shared" si="80"/>
        <v>0</v>
      </c>
      <c r="L565" s="16">
        <f t="shared" si="80"/>
        <v>100</v>
      </c>
      <c r="M565" s="16">
        <f t="shared" si="80"/>
        <v>0</v>
      </c>
      <c r="N565" s="16">
        <f t="shared" si="80"/>
        <v>2</v>
      </c>
      <c r="O565" s="16">
        <f t="shared" si="80"/>
        <v>199</v>
      </c>
      <c r="P565" s="16">
        <f t="shared" si="80"/>
        <v>9</v>
      </c>
      <c r="Q565" s="16">
        <f t="shared" si="80"/>
        <v>3</v>
      </c>
      <c r="R565" s="16">
        <f t="shared" si="79"/>
        <v>0</v>
      </c>
      <c r="S565" s="16">
        <f t="shared" si="79"/>
        <v>0</v>
      </c>
      <c r="T565" s="16">
        <f t="shared" si="79"/>
        <v>0</v>
      </c>
      <c r="U565" s="16">
        <f t="shared" si="79"/>
        <v>0</v>
      </c>
      <c r="V565" s="16">
        <f t="shared" si="79"/>
        <v>0</v>
      </c>
      <c r="W565" s="16">
        <f t="shared" si="79"/>
        <v>1</v>
      </c>
      <c r="X565" s="16" t="str">
        <f t="shared" si="72"/>
        <v>null</v>
      </c>
    </row>
    <row r="566" spans="1:24" x14ac:dyDescent="0.15">
      <c r="A566" s="20" t="str">
        <f t="shared" si="74"/>
        <v>25_3-4/37&lt;lv50&gt;s3</v>
      </c>
      <c r="B566" s="16">
        <f t="shared" si="80"/>
        <v>25</v>
      </c>
      <c r="C566" s="16">
        <f t="shared" si="80"/>
        <v>3</v>
      </c>
      <c r="D566" s="16">
        <f t="shared" si="80"/>
        <v>4</v>
      </c>
      <c r="E566" s="16">
        <f t="shared" si="80"/>
        <v>37</v>
      </c>
      <c r="F566" s="16">
        <f t="shared" si="80"/>
        <v>50</v>
      </c>
      <c r="G566" s="16">
        <f t="shared" si="80"/>
        <v>1.1000000000000001</v>
      </c>
      <c r="H566" s="16">
        <f t="shared" si="80"/>
        <v>1</v>
      </c>
      <c r="I566" s="16">
        <f t="shared" si="80"/>
        <v>0</v>
      </c>
      <c r="J566" s="16">
        <f t="shared" si="80"/>
        <v>37</v>
      </c>
      <c r="K566" s="16">
        <f t="shared" si="80"/>
        <v>0</v>
      </c>
      <c r="L566" s="16">
        <f t="shared" si="80"/>
        <v>100</v>
      </c>
      <c r="M566" s="16">
        <f t="shared" si="80"/>
        <v>0</v>
      </c>
      <c r="N566" s="16">
        <f t="shared" si="80"/>
        <v>3</v>
      </c>
      <c r="O566" s="16">
        <f t="shared" si="80"/>
        <v>37</v>
      </c>
      <c r="P566" s="16">
        <f t="shared" si="80"/>
        <v>5</v>
      </c>
      <c r="Q566" s="16">
        <f t="shared" si="80"/>
        <v>2</v>
      </c>
      <c r="R566" s="16">
        <f t="shared" si="79"/>
        <v>20</v>
      </c>
      <c r="S566" s="16">
        <f t="shared" si="79"/>
        <v>0</v>
      </c>
      <c r="T566" s="16">
        <f t="shared" si="79"/>
        <v>0</v>
      </c>
      <c r="U566" s="16">
        <f t="shared" si="79"/>
        <v>0</v>
      </c>
      <c r="V566" s="16">
        <f t="shared" si="79"/>
        <v>0</v>
      </c>
      <c r="W566" s="16">
        <f t="shared" si="79"/>
        <v>1</v>
      </c>
      <c r="X566" s="16" t="str">
        <f t="shared" si="72"/>
        <v>null</v>
      </c>
    </row>
    <row r="567" spans="1:24" x14ac:dyDescent="0.15">
      <c r="A567" s="20" t="str">
        <f t="shared" si="74"/>
        <v>25_3-4/45&lt;lv50&gt;s3</v>
      </c>
      <c r="B567" s="16">
        <f t="shared" si="80"/>
        <v>25</v>
      </c>
      <c r="C567" s="16">
        <f t="shared" si="80"/>
        <v>3</v>
      </c>
      <c r="D567" s="16">
        <f t="shared" si="80"/>
        <v>4</v>
      </c>
      <c r="E567" s="16">
        <f t="shared" si="80"/>
        <v>45</v>
      </c>
      <c r="F567" s="16">
        <f t="shared" si="80"/>
        <v>50</v>
      </c>
      <c r="G567" s="16">
        <f t="shared" si="80"/>
        <v>1.1000000000000001</v>
      </c>
      <c r="H567" s="16">
        <f t="shared" si="80"/>
        <v>1</v>
      </c>
      <c r="I567" s="16">
        <f t="shared" si="80"/>
        <v>0</v>
      </c>
      <c r="J567" s="16">
        <f t="shared" si="80"/>
        <v>0</v>
      </c>
      <c r="K567" s="16">
        <f t="shared" si="80"/>
        <v>0</v>
      </c>
      <c r="L567" s="16">
        <f t="shared" si="80"/>
        <v>100</v>
      </c>
      <c r="M567" s="16">
        <f t="shared" si="80"/>
        <v>0</v>
      </c>
      <c r="N567" s="16">
        <f t="shared" si="80"/>
        <v>3</v>
      </c>
      <c r="O567" s="16">
        <f t="shared" si="80"/>
        <v>45</v>
      </c>
      <c r="P567" s="16">
        <f t="shared" si="80"/>
        <v>7</v>
      </c>
      <c r="Q567" s="16">
        <f t="shared" si="80"/>
        <v>2</v>
      </c>
      <c r="R567" s="16">
        <f t="shared" si="79"/>
        <v>20</v>
      </c>
      <c r="S567" s="16">
        <f t="shared" si="79"/>
        <v>0</v>
      </c>
      <c r="T567" s="16">
        <f t="shared" si="79"/>
        <v>0</v>
      </c>
      <c r="U567" s="16">
        <f t="shared" si="79"/>
        <v>0</v>
      </c>
      <c r="V567" s="16">
        <f t="shared" si="79"/>
        <v>0</v>
      </c>
      <c r="W567" s="16">
        <f t="shared" si="79"/>
        <v>1</v>
      </c>
      <c r="X567" s="16" t="str">
        <f t="shared" si="72"/>
        <v>null</v>
      </c>
    </row>
    <row r="568" spans="1:24" x14ac:dyDescent="0.15">
      <c r="A568" s="20" t="str">
        <f t="shared" si="74"/>
        <v>25_3-4/47&lt;lv50&gt;s1</v>
      </c>
      <c r="B568" s="16">
        <f t="shared" si="80"/>
        <v>25</v>
      </c>
      <c r="C568" s="16">
        <f t="shared" si="80"/>
        <v>3</v>
      </c>
      <c r="D568" s="16">
        <f t="shared" si="80"/>
        <v>4</v>
      </c>
      <c r="E568" s="16">
        <f t="shared" si="80"/>
        <v>47</v>
      </c>
      <c r="F568" s="16">
        <f t="shared" si="80"/>
        <v>50</v>
      </c>
      <c r="G568" s="16">
        <f t="shared" si="80"/>
        <v>1.1000000000000001</v>
      </c>
      <c r="H568" s="16">
        <f t="shared" si="80"/>
        <v>1</v>
      </c>
      <c r="I568" s="16">
        <f t="shared" si="80"/>
        <v>0</v>
      </c>
      <c r="J568" s="16">
        <f t="shared" si="80"/>
        <v>0</v>
      </c>
      <c r="K568" s="16">
        <f t="shared" si="80"/>
        <v>0</v>
      </c>
      <c r="L568" s="16">
        <f t="shared" si="80"/>
        <v>100</v>
      </c>
      <c r="M568" s="16">
        <f t="shared" si="80"/>
        <v>0</v>
      </c>
      <c r="N568" s="16">
        <f t="shared" si="80"/>
        <v>1</v>
      </c>
      <c r="O568" s="16">
        <f t="shared" si="80"/>
        <v>47</v>
      </c>
      <c r="P568" s="16">
        <f t="shared" si="80"/>
        <v>7</v>
      </c>
      <c r="Q568" s="16">
        <f t="shared" si="80"/>
        <v>2</v>
      </c>
      <c r="R568" s="16">
        <f t="shared" si="79"/>
        <v>20</v>
      </c>
      <c r="S568" s="16">
        <f t="shared" si="79"/>
        <v>0</v>
      </c>
      <c r="T568" s="16">
        <f t="shared" si="79"/>
        <v>0</v>
      </c>
      <c r="U568" s="16">
        <f t="shared" si="79"/>
        <v>0</v>
      </c>
      <c r="V568" s="16">
        <f t="shared" si="79"/>
        <v>0</v>
      </c>
      <c r="W568" s="16">
        <f t="shared" si="79"/>
        <v>1</v>
      </c>
      <c r="X568" s="16" t="str">
        <f t="shared" si="72"/>
        <v>null</v>
      </c>
    </row>
    <row r="569" spans="1:24" x14ac:dyDescent="0.15">
      <c r="A569" s="20" t="str">
        <f t="shared" si="74"/>
        <v>25_3-4/61&lt;lv50&gt;s2</v>
      </c>
      <c r="B569" s="16">
        <f t="shared" si="80"/>
        <v>25</v>
      </c>
      <c r="C569" s="16">
        <f t="shared" si="80"/>
        <v>3</v>
      </c>
      <c r="D569" s="16">
        <f t="shared" si="80"/>
        <v>4</v>
      </c>
      <c r="E569" s="16">
        <f t="shared" si="80"/>
        <v>61</v>
      </c>
      <c r="F569" s="16">
        <f t="shared" si="80"/>
        <v>50</v>
      </c>
      <c r="G569" s="16">
        <f t="shared" si="80"/>
        <v>1.1000000000000001</v>
      </c>
      <c r="H569" s="16">
        <f t="shared" si="80"/>
        <v>1</v>
      </c>
      <c r="I569" s="16">
        <f t="shared" si="80"/>
        <v>0</v>
      </c>
      <c r="J569" s="16">
        <f t="shared" si="80"/>
        <v>61</v>
      </c>
      <c r="K569" s="16">
        <f t="shared" si="80"/>
        <v>0</v>
      </c>
      <c r="L569" s="16">
        <f t="shared" si="80"/>
        <v>100</v>
      </c>
      <c r="M569" s="16">
        <f t="shared" si="80"/>
        <v>0</v>
      </c>
      <c r="N569" s="16">
        <f t="shared" si="80"/>
        <v>2</v>
      </c>
      <c r="O569" s="16">
        <f t="shared" si="80"/>
        <v>61</v>
      </c>
      <c r="P569" s="16">
        <f t="shared" si="80"/>
        <v>7</v>
      </c>
      <c r="Q569" s="16">
        <f t="shared" si="80"/>
        <v>2</v>
      </c>
      <c r="R569" s="16">
        <f t="shared" si="79"/>
        <v>20</v>
      </c>
      <c r="S569" s="16">
        <f t="shared" si="79"/>
        <v>0</v>
      </c>
      <c r="T569" s="16">
        <f t="shared" si="79"/>
        <v>0</v>
      </c>
      <c r="U569" s="16">
        <f t="shared" si="79"/>
        <v>0</v>
      </c>
      <c r="V569" s="16">
        <f t="shared" si="79"/>
        <v>0</v>
      </c>
      <c r="W569" s="16">
        <f t="shared" si="79"/>
        <v>1</v>
      </c>
      <c r="X569" s="16" t="str">
        <f t="shared" si="72"/>
        <v>null</v>
      </c>
    </row>
    <row r="570" spans="1:24" x14ac:dyDescent="0.15">
      <c r="A570" s="20" t="str">
        <f t="shared" si="74"/>
        <v>25_3-4/63&lt;lv50&gt;s2</v>
      </c>
      <c r="B570" s="16">
        <f t="shared" si="80"/>
        <v>25</v>
      </c>
      <c r="C570" s="16">
        <f t="shared" si="80"/>
        <v>3</v>
      </c>
      <c r="D570" s="16">
        <f t="shared" si="80"/>
        <v>4</v>
      </c>
      <c r="E570" s="16">
        <f t="shared" si="80"/>
        <v>63</v>
      </c>
      <c r="F570" s="16">
        <f t="shared" si="80"/>
        <v>50</v>
      </c>
      <c r="G570" s="16">
        <f t="shared" si="80"/>
        <v>1.1000000000000001</v>
      </c>
      <c r="H570" s="16">
        <f t="shared" si="80"/>
        <v>1</v>
      </c>
      <c r="I570" s="16">
        <f t="shared" si="80"/>
        <v>0</v>
      </c>
      <c r="J570" s="16">
        <f t="shared" si="80"/>
        <v>63</v>
      </c>
      <c r="K570" s="16">
        <f t="shared" si="80"/>
        <v>0</v>
      </c>
      <c r="L570" s="16">
        <f t="shared" si="80"/>
        <v>100</v>
      </c>
      <c r="M570" s="16">
        <f t="shared" si="80"/>
        <v>0</v>
      </c>
      <c r="N570" s="16">
        <f t="shared" si="80"/>
        <v>2</v>
      </c>
      <c r="O570" s="16">
        <f t="shared" si="80"/>
        <v>63</v>
      </c>
      <c r="P570" s="16">
        <f t="shared" si="80"/>
        <v>7</v>
      </c>
      <c r="Q570" s="16">
        <f t="shared" si="80"/>
        <v>2</v>
      </c>
      <c r="R570" s="16">
        <f t="shared" si="79"/>
        <v>20</v>
      </c>
      <c r="S570" s="16">
        <f t="shared" si="79"/>
        <v>0</v>
      </c>
      <c r="T570" s="16">
        <f t="shared" si="79"/>
        <v>0</v>
      </c>
      <c r="U570" s="16">
        <f t="shared" si="79"/>
        <v>0</v>
      </c>
      <c r="V570" s="16">
        <f t="shared" si="79"/>
        <v>0</v>
      </c>
      <c r="W570" s="16">
        <f t="shared" si="79"/>
        <v>1</v>
      </c>
      <c r="X570" s="16" t="str">
        <f t="shared" si="72"/>
        <v>null</v>
      </c>
    </row>
    <row r="571" spans="1:24" x14ac:dyDescent="0.15">
      <c r="A571" s="20" t="str">
        <f t="shared" si="74"/>
        <v>25_3-4/39&lt;lv50&gt;s3</v>
      </c>
      <c r="B571" s="16">
        <f t="shared" si="80"/>
        <v>25</v>
      </c>
      <c r="C571" s="16">
        <f t="shared" si="80"/>
        <v>3</v>
      </c>
      <c r="D571" s="16">
        <f t="shared" si="80"/>
        <v>4</v>
      </c>
      <c r="E571" s="16">
        <f t="shared" si="80"/>
        <v>39</v>
      </c>
      <c r="F571" s="16">
        <f t="shared" si="80"/>
        <v>50</v>
      </c>
      <c r="G571" s="16">
        <f t="shared" si="80"/>
        <v>1.1000000000000001</v>
      </c>
      <c r="H571" s="16">
        <f t="shared" si="80"/>
        <v>1</v>
      </c>
      <c r="I571" s="16">
        <f t="shared" si="80"/>
        <v>0</v>
      </c>
      <c r="J571" s="16">
        <f t="shared" si="80"/>
        <v>39</v>
      </c>
      <c r="K571" s="16">
        <f t="shared" si="80"/>
        <v>0</v>
      </c>
      <c r="L571" s="16">
        <f t="shared" si="80"/>
        <v>100</v>
      </c>
      <c r="M571" s="16">
        <f t="shared" si="80"/>
        <v>0</v>
      </c>
      <c r="N571" s="16">
        <f t="shared" si="80"/>
        <v>3</v>
      </c>
      <c r="O571" s="16">
        <f t="shared" si="80"/>
        <v>39</v>
      </c>
      <c r="P571" s="16">
        <f t="shared" si="80"/>
        <v>5</v>
      </c>
      <c r="Q571" s="16">
        <f t="shared" si="80"/>
        <v>2</v>
      </c>
      <c r="R571" s="16">
        <f t="shared" si="79"/>
        <v>20</v>
      </c>
      <c r="S571" s="16">
        <f t="shared" si="79"/>
        <v>0</v>
      </c>
      <c r="T571" s="16">
        <f t="shared" si="79"/>
        <v>0</v>
      </c>
      <c r="U571" s="16">
        <f t="shared" si="79"/>
        <v>0</v>
      </c>
      <c r="V571" s="16">
        <f t="shared" si="79"/>
        <v>0</v>
      </c>
      <c r="W571" s="16">
        <f t="shared" si="79"/>
        <v>1</v>
      </c>
      <c r="X571" s="16" t="str">
        <f t="shared" si="72"/>
        <v>null</v>
      </c>
    </row>
    <row r="572" spans="1:24" x14ac:dyDescent="0.15">
      <c r="A572" s="20" t="str">
        <f t="shared" si="74"/>
        <v>25_3-4/53&lt;lv50&gt;s2</v>
      </c>
      <c r="B572" s="16">
        <f t="shared" si="80"/>
        <v>25</v>
      </c>
      <c r="C572" s="16">
        <f t="shared" si="80"/>
        <v>3</v>
      </c>
      <c r="D572" s="16">
        <f t="shared" si="80"/>
        <v>4</v>
      </c>
      <c r="E572" s="16">
        <f t="shared" si="80"/>
        <v>53</v>
      </c>
      <c r="F572" s="16">
        <f t="shared" si="80"/>
        <v>50</v>
      </c>
      <c r="G572" s="16">
        <f t="shared" si="80"/>
        <v>1.1000000000000001</v>
      </c>
      <c r="H572" s="16">
        <f t="shared" si="80"/>
        <v>1</v>
      </c>
      <c r="I572" s="16">
        <f t="shared" si="80"/>
        <v>0</v>
      </c>
      <c r="J572" s="16">
        <f t="shared" si="80"/>
        <v>53</v>
      </c>
      <c r="K572" s="16">
        <f t="shared" si="80"/>
        <v>0</v>
      </c>
      <c r="L572" s="16">
        <f t="shared" si="80"/>
        <v>100</v>
      </c>
      <c r="M572" s="16">
        <f t="shared" si="80"/>
        <v>0</v>
      </c>
      <c r="N572" s="16">
        <f t="shared" si="80"/>
        <v>2</v>
      </c>
      <c r="O572" s="16">
        <f t="shared" si="80"/>
        <v>53</v>
      </c>
      <c r="P572" s="16">
        <f t="shared" si="80"/>
        <v>7</v>
      </c>
      <c r="Q572" s="16">
        <f t="shared" si="80"/>
        <v>2</v>
      </c>
      <c r="R572" s="16">
        <f t="shared" si="79"/>
        <v>20</v>
      </c>
      <c r="S572" s="16">
        <f t="shared" si="79"/>
        <v>0</v>
      </c>
      <c r="T572" s="16">
        <f t="shared" si="79"/>
        <v>0</v>
      </c>
      <c r="U572" s="16">
        <f t="shared" si="79"/>
        <v>0</v>
      </c>
      <c r="V572" s="16">
        <f t="shared" si="79"/>
        <v>0</v>
      </c>
      <c r="W572" s="16">
        <f t="shared" si="79"/>
        <v>1</v>
      </c>
      <c r="X572" s="16" t="str">
        <f t="shared" si="72"/>
        <v>null</v>
      </c>
    </row>
    <row r="573" spans="1:24" x14ac:dyDescent="0.15">
      <c r="A573" s="20" t="str">
        <f t="shared" si="74"/>
        <v>25_3-4/55&lt;lv50&gt;s4</v>
      </c>
      <c r="B573" s="16">
        <f t="shared" si="80"/>
        <v>25</v>
      </c>
      <c r="C573" s="16">
        <f t="shared" si="80"/>
        <v>3</v>
      </c>
      <c r="D573" s="16">
        <f t="shared" si="80"/>
        <v>4</v>
      </c>
      <c r="E573" s="16">
        <f t="shared" si="80"/>
        <v>55</v>
      </c>
      <c r="F573" s="16">
        <f t="shared" si="80"/>
        <v>50</v>
      </c>
      <c r="G573" s="16">
        <f t="shared" si="80"/>
        <v>1.1000000000000001</v>
      </c>
      <c r="H573" s="16">
        <f t="shared" si="80"/>
        <v>1</v>
      </c>
      <c r="I573" s="16">
        <f t="shared" si="80"/>
        <v>0</v>
      </c>
      <c r="J573" s="16">
        <f t="shared" si="80"/>
        <v>55</v>
      </c>
      <c r="K573" s="16">
        <f t="shared" si="80"/>
        <v>0</v>
      </c>
      <c r="L573" s="16">
        <f t="shared" si="80"/>
        <v>100</v>
      </c>
      <c r="M573" s="16">
        <f t="shared" si="80"/>
        <v>0</v>
      </c>
      <c r="N573" s="16">
        <f t="shared" si="80"/>
        <v>4</v>
      </c>
      <c r="O573" s="16">
        <f t="shared" si="80"/>
        <v>55</v>
      </c>
      <c r="P573" s="16">
        <f t="shared" si="80"/>
        <v>7</v>
      </c>
      <c r="Q573" s="16">
        <f t="shared" si="80"/>
        <v>2</v>
      </c>
      <c r="R573" s="16">
        <f t="shared" si="79"/>
        <v>20</v>
      </c>
      <c r="S573" s="16">
        <f t="shared" si="79"/>
        <v>0</v>
      </c>
      <c r="T573" s="16">
        <f t="shared" si="79"/>
        <v>0</v>
      </c>
      <c r="U573" s="16">
        <f t="shared" si="79"/>
        <v>0</v>
      </c>
      <c r="V573" s="16">
        <f t="shared" si="79"/>
        <v>0</v>
      </c>
      <c r="W573" s="16">
        <f t="shared" si="79"/>
        <v>1</v>
      </c>
      <c r="X573" s="16" t="str">
        <f t="shared" si="72"/>
        <v>null</v>
      </c>
    </row>
    <row r="574" spans="1:24" x14ac:dyDescent="0.15">
      <c r="A574" s="20" t="str">
        <f t="shared" si="74"/>
        <v>25_3-4/364&lt;lv50&gt;s3</v>
      </c>
      <c r="B574" s="16">
        <f t="shared" si="80"/>
        <v>25</v>
      </c>
      <c r="C574" s="16">
        <f t="shared" si="80"/>
        <v>3</v>
      </c>
      <c r="D574" s="16">
        <f t="shared" si="80"/>
        <v>4</v>
      </c>
      <c r="E574" s="16">
        <f t="shared" si="80"/>
        <v>364</v>
      </c>
      <c r="F574" s="16">
        <f t="shared" si="80"/>
        <v>50</v>
      </c>
      <c r="G574" s="16">
        <f t="shared" si="80"/>
        <v>1.2</v>
      </c>
      <c r="H574" s="16">
        <f t="shared" si="80"/>
        <v>1</v>
      </c>
      <c r="I574" s="16">
        <f t="shared" si="80"/>
        <v>0</v>
      </c>
      <c r="J574" s="16">
        <f t="shared" si="80"/>
        <v>364</v>
      </c>
      <c r="K574" s="16">
        <f t="shared" si="80"/>
        <v>0</v>
      </c>
      <c r="L574" s="16">
        <f t="shared" si="80"/>
        <v>100</v>
      </c>
      <c r="M574" s="16">
        <f t="shared" si="80"/>
        <v>0</v>
      </c>
      <c r="N574" s="16">
        <f t="shared" si="80"/>
        <v>3</v>
      </c>
      <c r="O574" s="16">
        <f t="shared" si="80"/>
        <v>364</v>
      </c>
      <c r="P574" s="16">
        <f t="shared" si="80"/>
        <v>7</v>
      </c>
      <c r="Q574" s="16">
        <f t="shared" ref="Q574:X637" si="81">VLOOKUP($A574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74" s="16">
        <f t="shared" si="81"/>
        <v>20</v>
      </c>
      <c r="S574" s="16">
        <f t="shared" si="81"/>
        <v>0</v>
      </c>
      <c r="T574" s="16">
        <f t="shared" si="81"/>
        <v>0</v>
      </c>
      <c r="U574" s="16">
        <f t="shared" si="81"/>
        <v>0</v>
      </c>
      <c r="V574" s="16">
        <f t="shared" si="81"/>
        <v>0</v>
      </c>
      <c r="W574" s="16">
        <f t="shared" si="81"/>
        <v>1</v>
      </c>
      <c r="X574" s="16" t="str">
        <f t="shared" si="81"/>
        <v>null</v>
      </c>
    </row>
    <row r="575" spans="1:24" x14ac:dyDescent="0.15">
      <c r="A575" s="20" t="str">
        <f t="shared" si="74"/>
        <v>25_3-4/366&lt;lv50&gt;s3</v>
      </c>
      <c r="B575" s="16">
        <f t="shared" ref="B575:Q590" si="82">VLOOKUP($A575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575" s="16">
        <f t="shared" si="82"/>
        <v>3</v>
      </c>
      <c r="D575" s="16">
        <f t="shared" si="82"/>
        <v>4</v>
      </c>
      <c r="E575" s="16">
        <f t="shared" si="82"/>
        <v>366</v>
      </c>
      <c r="F575" s="16">
        <f t="shared" si="82"/>
        <v>50</v>
      </c>
      <c r="G575" s="16">
        <f t="shared" si="82"/>
        <v>1.2</v>
      </c>
      <c r="H575" s="16">
        <f t="shared" si="82"/>
        <v>1</v>
      </c>
      <c r="I575" s="16">
        <f t="shared" si="82"/>
        <v>0</v>
      </c>
      <c r="J575" s="16">
        <f t="shared" si="82"/>
        <v>366</v>
      </c>
      <c r="K575" s="16">
        <f t="shared" si="82"/>
        <v>0</v>
      </c>
      <c r="L575" s="16">
        <f t="shared" si="82"/>
        <v>100</v>
      </c>
      <c r="M575" s="16">
        <f t="shared" si="82"/>
        <v>0</v>
      </c>
      <c r="N575" s="16">
        <f t="shared" si="82"/>
        <v>3</v>
      </c>
      <c r="O575" s="16">
        <f t="shared" si="82"/>
        <v>366</v>
      </c>
      <c r="P575" s="16">
        <f t="shared" si="82"/>
        <v>7</v>
      </c>
      <c r="Q575" s="16">
        <f t="shared" si="82"/>
        <v>2</v>
      </c>
      <c r="R575" s="16">
        <f t="shared" si="81"/>
        <v>20</v>
      </c>
      <c r="S575" s="16">
        <f t="shared" si="81"/>
        <v>0</v>
      </c>
      <c r="T575" s="16">
        <f t="shared" si="81"/>
        <v>0</v>
      </c>
      <c r="U575" s="16">
        <f t="shared" si="81"/>
        <v>0</v>
      </c>
      <c r="V575" s="16">
        <f t="shared" si="81"/>
        <v>0</v>
      </c>
      <c r="W575" s="16">
        <f t="shared" si="81"/>
        <v>1</v>
      </c>
      <c r="X575" s="16" t="str">
        <f t="shared" si="81"/>
        <v>null</v>
      </c>
    </row>
    <row r="576" spans="1:24" x14ac:dyDescent="0.15">
      <c r="A576" s="20" t="str">
        <f t="shared" si="74"/>
        <v>25_3-4/354&lt;lv50&gt;s3</v>
      </c>
      <c r="B576" s="16">
        <f t="shared" si="82"/>
        <v>25</v>
      </c>
      <c r="C576" s="16">
        <f t="shared" si="82"/>
        <v>3</v>
      </c>
      <c r="D576" s="16">
        <f t="shared" si="82"/>
        <v>4</v>
      </c>
      <c r="E576" s="16">
        <f t="shared" si="82"/>
        <v>354</v>
      </c>
      <c r="F576" s="16">
        <f t="shared" si="82"/>
        <v>50</v>
      </c>
      <c r="G576" s="16">
        <f t="shared" si="82"/>
        <v>1</v>
      </c>
      <c r="H576" s="16">
        <f t="shared" si="82"/>
        <v>1</v>
      </c>
      <c r="I576" s="16">
        <f t="shared" si="82"/>
        <v>0</v>
      </c>
      <c r="J576" s="16">
        <f t="shared" si="82"/>
        <v>354</v>
      </c>
      <c r="K576" s="16">
        <f t="shared" si="82"/>
        <v>0</v>
      </c>
      <c r="L576" s="16">
        <f t="shared" si="82"/>
        <v>100</v>
      </c>
      <c r="M576" s="16">
        <f t="shared" si="82"/>
        <v>0</v>
      </c>
      <c r="N576" s="16">
        <f t="shared" si="82"/>
        <v>3</v>
      </c>
      <c r="O576" s="16">
        <f t="shared" si="82"/>
        <v>354</v>
      </c>
      <c r="P576" s="16">
        <f t="shared" si="82"/>
        <v>1</v>
      </c>
      <c r="Q576" s="16">
        <f t="shared" si="82"/>
        <v>2</v>
      </c>
      <c r="R576" s="16">
        <f t="shared" si="81"/>
        <v>41</v>
      </c>
      <c r="S576" s="16">
        <f t="shared" si="81"/>
        <v>0</v>
      </c>
      <c r="T576" s="16">
        <f t="shared" si="81"/>
        <v>0</v>
      </c>
      <c r="U576" s="16">
        <f t="shared" si="81"/>
        <v>0</v>
      </c>
      <c r="V576" s="16">
        <f t="shared" si="81"/>
        <v>0</v>
      </c>
      <c r="W576" s="16">
        <f t="shared" si="81"/>
        <v>1</v>
      </c>
      <c r="X576" s="16" t="str">
        <f t="shared" si="81"/>
        <v>null</v>
      </c>
    </row>
    <row r="577" spans="1:24" x14ac:dyDescent="0.15">
      <c r="A577" s="20" t="str">
        <f t="shared" si="74"/>
        <v>25_3-5/165&lt;lv55&gt;s3</v>
      </c>
      <c r="B577" s="16">
        <f t="shared" si="82"/>
        <v>25</v>
      </c>
      <c r="C577" s="16">
        <f t="shared" si="82"/>
        <v>3</v>
      </c>
      <c r="D577" s="16">
        <f t="shared" si="82"/>
        <v>5</v>
      </c>
      <c r="E577" s="16">
        <f t="shared" si="82"/>
        <v>165</v>
      </c>
      <c r="F577" s="16">
        <f t="shared" si="82"/>
        <v>55</v>
      </c>
      <c r="G577" s="16">
        <f t="shared" si="82"/>
        <v>1.4</v>
      </c>
      <c r="H577" s="16">
        <f t="shared" si="82"/>
        <v>1.2</v>
      </c>
      <c r="I577" s="16">
        <f t="shared" si="82"/>
        <v>0</v>
      </c>
      <c r="J577" s="16">
        <f t="shared" si="82"/>
        <v>16501</v>
      </c>
      <c r="K577" s="16">
        <f t="shared" si="82"/>
        <v>1</v>
      </c>
      <c r="L577" s="16">
        <f t="shared" si="82"/>
        <v>100</v>
      </c>
      <c r="M577" s="16">
        <f t="shared" si="82"/>
        <v>1</v>
      </c>
      <c r="N577" s="16">
        <f t="shared" si="82"/>
        <v>3</v>
      </c>
      <c r="O577" s="16">
        <f t="shared" si="82"/>
        <v>164</v>
      </c>
      <c r="P577" s="16">
        <f t="shared" si="82"/>
        <v>1</v>
      </c>
      <c r="Q577" s="16">
        <f t="shared" si="82"/>
        <v>3</v>
      </c>
      <c r="R577" s="16">
        <f t="shared" si="81"/>
        <v>0</v>
      </c>
      <c r="S577" s="16">
        <f t="shared" si="81"/>
        <v>0</v>
      </c>
      <c r="T577" s="16">
        <f t="shared" si="81"/>
        <v>0</v>
      </c>
      <c r="U577" s="16">
        <f t="shared" si="81"/>
        <v>0</v>
      </c>
      <c r="V577" s="16">
        <f t="shared" si="81"/>
        <v>0</v>
      </c>
      <c r="W577" s="16">
        <f t="shared" si="81"/>
        <v>1</v>
      </c>
      <c r="X577" s="16">
        <f t="shared" si="81"/>
        <v>165</v>
      </c>
    </row>
    <row r="578" spans="1:24" x14ac:dyDescent="0.15">
      <c r="A578" s="20" t="str">
        <f t="shared" si="74"/>
        <v>25_4-1/13&lt;lv52&gt;s2</v>
      </c>
      <c r="B578" s="16">
        <f t="shared" si="82"/>
        <v>25</v>
      </c>
      <c r="C578" s="16">
        <f t="shared" si="82"/>
        <v>4</v>
      </c>
      <c r="D578" s="16">
        <f t="shared" si="82"/>
        <v>1</v>
      </c>
      <c r="E578" s="16">
        <f t="shared" si="82"/>
        <v>13</v>
      </c>
      <c r="F578" s="16">
        <f t="shared" si="82"/>
        <v>52</v>
      </c>
      <c r="G578" s="16">
        <f t="shared" si="82"/>
        <v>1</v>
      </c>
      <c r="H578" s="16">
        <f t="shared" si="82"/>
        <v>1</v>
      </c>
      <c r="I578" s="16">
        <f t="shared" si="82"/>
        <v>0</v>
      </c>
      <c r="J578" s="16">
        <f t="shared" si="82"/>
        <v>0</v>
      </c>
      <c r="K578" s="16">
        <f t="shared" si="82"/>
        <v>0</v>
      </c>
      <c r="L578" s="16">
        <f t="shared" si="82"/>
        <v>100</v>
      </c>
      <c r="M578" s="16">
        <f t="shared" si="82"/>
        <v>0</v>
      </c>
      <c r="N578" s="16">
        <f t="shared" si="82"/>
        <v>2</v>
      </c>
      <c r="O578" s="16">
        <f t="shared" si="82"/>
        <v>13</v>
      </c>
      <c r="P578" s="16">
        <f t="shared" si="82"/>
        <v>9</v>
      </c>
      <c r="Q578" s="16">
        <f t="shared" si="82"/>
        <v>1</v>
      </c>
      <c r="R578" s="16">
        <f t="shared" si="81"/>
        <v>15</v>
      </c>
      <c r="S578" s="16">
        <f t="shared" si="81"/>
        <v>0</v>
      </c>
      <c r="T578" s="16">
        <f t="shared" si="81"/>
        <v>0</v>
      </c>
      <c r="U578" s="16">
        <f t="shared" si="81"/>
        <v>0</v>
      </c>
      <c r="V578" s="16">
        <f t="shared" si="81"/>
        <v>0</v>
      </c>
      <c r="W578" s="16">
        <f t="shared" si="81"/>
        <v>1</v>
      </c>
      <c r="X578" s="16" t="str">
        <f t="shared" si="81"/>
        <v>null</v>
      </c>
    </row>
    <row r="579" spans="1:24" x14ac:dyDescent="0.15">
      <c r="A579" s="20" t="str">
        <f t="shared" si="74"/>
        <v>25_4-1/47&lt;lv52&gt;s1</v>
      </c>
      <c r="B579" s="16">
        <f t="shared" si="82"/>
        <v>25</v>
      </c>
      <c r="C579" s="16">
        <f t="shared" si="82"/>
        <v>4</v>
      </c>
      <c r="D579" s="16">
        <f t="shared" si="82"/>
        <v>1</v>
      </c>
      <c r="E579" s="16">
        <f t="shared" si="82"/>
        <v>47</v>
      </c>
      <c r="F579" s="16">
        <f t="shared" si="82"/>
        <v>52</v>
      </c>
      <c r="G579" s="16">
        <f t="shared" si="82"/>
        <v>1</v>
      </c>
      <c r="H579" s="16">
        <f t="shared" si="82"/>
        <v>1</v>
      </c>
      <c r="I579" s="16">
        <f t="shared" si="82"/>
        <v>0</v>
      </c>
      <c r="J579" s="16">
        <f t="shared" si="82"/>
        <v>0</v>
      </c>
      <c r="K579" s="16">
        <f t="shared" si="82"/>
        <v>0</v>
      </c>
      <c r="L579" s="16">
        <f t="shared" si="82"/>
        <v>100</v>
      </c>
      <c r="M579" s="16">
        <f t="shared" si="82"/>
        <v>0</v>
      </c>
      <c r="N579" s="16">
        <f t="shared" si="82"/>
        <v>1</v>
      </c>
      <c r="O579" s="16">
        <f t="shared" si="82"/>
        <v>47</v>
      </c>
      <c r="P579" s="16">
        <f t="shared" si="82"/>
        <v>7</v>
      </c>
      <c r="Q579" s="16">
        <f t="shared" si="82"/>
        <v>2</v>
      </c>
      <c r="R579" s="16">
        <f t="shared" si="81"/>
        <v>20</v>
      </c>
      <c r="S579" s="16">
        <f t="shared" si="81"/>
        <v>0</v>
      </c>
      <c r="T579" s="16">
        <f t="shared" si="81"/>
        <v>0</v>
      </c>
      <c r="U579" s="16">
        <f t="shared" si="81"/>
        <v>0</v>
      </c>
      <c r="V579" s="16">
        <f t="shared" si="81"/>
        <v>0</v>
      </c>
      <c r="W579" s="16">
        <f t="shared" si="81"/>
        <v>1</v>
      </c>
      <c r="X579" s="16" t="str">
        <f t="shared" si="81"/>
        <v>null</v>
      </c>
    </row>
    <row r="580" spans="1:24" x14ac:dyDescent="0.15">
      <c r="A580" s="20" t="str">
        <f t="shared" ref="A580:A643" si="83">INDIRECT(ADDRESS(ROW()+$A$1,COLUMN(),1,TRUE,$C$1))</f>
        <v>25_4-1/63&lt;lv52&gt;s2</v>
      </c>
      <c r="B580" s="16">
        <f t="shared" si="82"/>
        <v>25</v>
      </c>
      <c r="C580" s="16">
        <f t="shared" si="82"/>
        <v>4</v>
      </c>
      <c r="D580" s="16">
        <f t="shared" si="82"/>
        <v>1</v>
      </c>
      <c r="E580" s="16">
        <f t="shared" si="82"/>
        <v>63</v>
      </c>
      <c r="F580" s="16">
        <f t="shared" si="82"/>
        <v>52</v>
      </c>
      <c r="G580" s="16">
        <f t="shared" si="82"/>
        <v>1</v>
      </c>
      <c r="H580" s="16">
        <f t="shared" si="82"/>
        <v>1</v>
      </c>
      <c r="I580" s="16">
        <f t="shared" si="82"/>
        <v>0</v>
      </c>
      <c r="J580" s="16">
        <f t="shared" si="82"/>
        <v>63</v>
      </c>
      <c r="K580" s="16">
        <f t="shared" si="82"/>
        <v>0</v>
      </c>
      <c r="L580" s="16">
        <f t="shared" si="82"/>
        <v>100</v>
      </c>
      <c r="M580" s="16">
        <f t="shared" si="82"/>
        <v>0</v>
      </c>
      <c r="N580" s="16">
        <f t="shared" si="82"/>
        <v>2</v>
      </c>
      <c r="O580" s="16">
        <f t="shared" si="82"/>
        <v>63</v>
      </c>
      <c r="P580" s="16">
        <f t="shared" si="82"/>
        <v>7</v>
      </c>
      <c r="Q580" s="16">
        <f t="shared" si="82"/>
        <v>2</v>
      </c>
      <c r="R580" s="16">
        <f t="shared" si="81"/>
        <v>20</v>
      </c>
      <c r="S580" s="16">
        <f t="shared" si="81"/>
        <v>0</v>
      </c>
      <c r="T580" s="16">
        <f t="shared" si="81"/>
        <v>0</v>
      </c>
      <c r="U580" s="16">
        <f t="shared" si="81"/>
        <v>0</v>
      </c>
      <c r="V580" s="16">
        <f t="shared" si="81"/>
        <v>0</v>
      </c>
      <c r="W580" s="16">
        <f t="shared" si="81"/>
        <v>1</v>
      </c>
      <c r="X580" s="16" t="str">
        <f t="shared" si="81"/>
        <v>null</v>
      </c>
    </row>
    <row r="581" spans="1:24" x14ac:dyDescent="0.15">
      <c r="A581" s="20" t="str">
        <f t="shared" si="83"/>
        <v>25_4-1/19&lt;lv52&gt;s3</v>
      </c>
      <c r="B581" s="16">
        <f t="shared" si="82"/>
        <v>25</v>
      </c>
      <c r="C581" s="16">
        <f t="shared" si="82"/>
        <v>4</v>
      </c>
      <c r="D581" s="16">
        <f t="shared" si="82"/>
        <v>1</v>
      </c>
      <c r="E581" s="16">
        <f t="shared" si="82"/>
        <v>19</v>
      </c>
      <c r="F581" s="16">
        <f t="shared" si="82"/>
        <v>52</v>
      </c>
      <c r="G581" s="16">
        <f t="shared" si="82"/>
        <v>1</v>
      </c>
      <c r="H581" s="16">
        <f t="shared" si="82"/>
        <v>1</v>
      </c>
      <c r="I581" s="16">
        <f t="shared" si="82"/>
        <v>0</v>
      </c>
      <c r="J581" s="16">
        <f t="shared" si="82"/>
        <v>0</v>
      </c>
      <c r="K581" s="16">
        <f t="shared" si="82"/>
        <v>0</v>
      </c>
      <c r="L581" s="16">
        <f t="shared" si="82"/>
        <v>100</v>
      </c>
      <c r="M581" s="16">
        <f t="shared" si="82"/>
        <v>0</v>
      </c>
      <c r="N581" s="16">
        <f t="shared" si="82"/>
        <v>3</v>
      </c>
      <c r="O581" s="16">
        <f t="shared" si="82"/>
        <v>19</v>
      </c>
      <c r="P581" s="16">
        <f t="shared" si="82"/>
        <v>9</v>
      </c>
      <c r="Q581" s="16">
        <f t="shared" si="82"/>
        <v>1</v>
      </c>
      <c r="R581" s="16">
        <f t="shared" si="81"/>
        <v>15</v>
      </c>
      <c r="S581" s="16">
        <f t="shared" si="81"/>
        <v>0</v>
      </c>
      <c r="T581" s="16">
        <f t="shared" si="81"/>
        <v>0</v>
      </c>
      <c r="U581" s="16">
        <f t="shared" si="81"/>
        <v>0</v>
      </c>
      <c r="V581" s="16">
        <f t="shared" si="81"/>
        <v>0</v>
      </c>
      <c r="W581" s="16">
        <f t="shared" si="81"/>
        <v>1</v>
      </c>
      <c r="X581" s="16" t="str">
        <f t="shared" si="81"/>
        <v>null</v>
      </c>
    </row>
    <row r="582" spans="1:24" x14ac:dyDescent="0.15">
      <c r="A582" s="20" t="str">
        <f t="shared" si="83"/>
        <v>25_4-1/39&lt;lv52&gt;s3</v>
      </c>
      <c r="B582" s="16">
        <f t="shared" si="82"/>
        <v>25</v>
      </c>
      <c r="C582" s="16">
        <f t="shared" si="82"/>
        <v>4</v>
      </c>
      <c r="D582" s="16">
        <f t="shared" si="82"/>
        <v>1</v>
      </c>
      <c r="E582" s="16">
        <f t="shared" si="82"/>
        <v>39</v>
      </c>
      <c r="F582" s="16">
        <f t="shared" si="82"/>
        <v>52</v>
      </c>
      <c r="G582" s="16">
        <f t="shared" si="82"/>
        <v>1</v>
      </c>
      <c r="H582" s="16">
        <f t="shared" si="82"/>
        <v>1</v>
      </c>
      <c r="I582" s="16">
        <f t="shared" si="82"/>
        <v>0</v>
      </c>
      <c r="J582" s="16">
        <f t="shared" si="82"/>
        <v>39</v>
      </c>
      <c r="K582" s="16">
        <f t="shared" si="82"/>
        <v>0</v>
      </c>
      <c r="L582" s="16">
        <f t="shared" si="82"/>
        <v>100</v>
      </c>
      <c r="M582" s="16">
        <f t="shared" si="82"/>
        <v>0</v>
      </c>
      <c r="N582" s="16">
        <f t="shared" si="82"/>
        <v>3</v>
      </c>
      <c r="O582" s="16">
        <f t="shared" si="82"/>
        <v>39</v>
      </c>
      <c r="P582" s="16">
        <f t="shared" si="82"/>
        <v>5</v>
      </c>
      <c r="Q582" s="16">
        <f t="shared" si="82"/>
        <v>2</v>
      </c>
      <c r="R582" s="16">
        <f t="shared" si="81"/>
        <v>20</v>
      </c>
      <c r="S582" s="16">
        <f t="shared" si="81"/>
        <v>0</v>
      </c>
      <c r="T582" s="16">
        <f t="shared" si="81"/>
        <v>0</v>
      </c>
      <c r="U582" s="16">
        <f t="shared" si="81"/>
        <v>0</v>
      </c>
      <c r="V582" s="16">
        <f t="shared" si="81"/>
        <v>0</v>
      </c>
      <c r="W582" s="16">
        <f t="shared" si="81"/>
        <v>1</v>
      </c>
      <c r="X582" s="16" t="str">
        <f t="shared" si="81"/>
        <v>null</v>
      </c>
    </row>
    <row r="583" spans="1:24" x14ac:dyDescent="0.15">
      <c r="A583" s="20" t="str">
        <f t="shared" si="83"/>
        <v>25_4-1/55&lt;lv52&gt;s4</v>
      </c>
      <c r="B583" s="16">
        <f t="shared" si="82"/>
        <v>25</v>
      </c>
      <c r="C583" s="16">
        <f t="shared" si="82"/>
        <v>4</v>
      </c>
      <c r="D583" s="16">
        <f t="shared" si="82"/>
        <v>1</v>
      </c>
      <c r="E583" s="16">
        <f t="shared" si="82"/>
        <v>55</v>
      </c>
      <c r="F583" s="16">
        <f t="shared" si="82"/>
        <v>52</v>
      </c>
      <c r="G583" s="16">
        <f t="shared" si="82"/>
        <v>1</v>
      </c>
      <c r="H583" s="16">
        <f t="shared" si="82"/>
        <v>1</v>
      </c>
      <c r="I583" s="16">
        <f t="shared" si="82"/>
        <v>0</v>
      </c>
      <c r="J583" s="16">
        <f t="shared" si="82"/>
        <v>55</v>
      </c>
      <c r="K583" s="16">
        <f t="shared" si="82"/>
        <v>0</v>
      </c>
      <c r="L583" s="16">
        <f t="shared" si="82"/>
        <v>100</v>
      </c>
      <c r="M583" s="16">
        <f t="shared" si="82"/>
        <v>0</v>
      </c>
      <c r="N583" s="16">
        <f t="shared" si="82"/>
        <v>4</v>
      </c>
      <c r="O583" s="16">
        <f t="shared" si="82"/>
        <v>55</v>
      </c>
      <c r="P583" s="16">
        <f t="shared" si="82"/>
        <v>7</v>
      </c>
      <c r="Q583" s="16">
        <f t="shared" si="82"/>
        <v>2</v>
      </c>
      <c r="R583" s="16">
        <f t="shared" si="81"/>
        <v>20</v>
      </c>
      <c r="S583" s="16">
        <f t="shared" si="81"/>
        <v>0</v>
      </c>
      <c r="T583" s="16">
        <f t="shared" si="81"/>
        <v>0</v>
      </c>
      <c r="U583" s="16">
        <f t="shared" si="81"/>
        <v>0</v>
      </c>
      <c r="V583" s="16">
        <f t="shared" si="81"/>
        <v>0</v>
      </c>
      <c r="W583" s="16">
        <f t="shared" si="81"/>
        <v>1</v>
      </c>
      <c r="X583" s="16" t="str">
        <f t="shared" si="81"/>
        <v>null</v>
      </c>
    </row>
    <row r="584" spans="1:24" x14ac:dyDescent="0.15">
      <c r="A584" s="20" t="str">
        <f t="shared" si="83"/>
        <v>25_4-1/366&lt;lv52&gt;s3</v>
      </c>
      <c r="B584" s="16">
        <f t="shared" si="82"/>
        <v>25</v>
      </c>
      <c r="C584" s="16">
        <f t="shared" si="82"/>
        <v>4</v>
      </c>
      <c r="D584" s="16">
        <f t="shared" si="82"/>
        <v>1</v>
      </c>
      <c r="E584" s="16">
        <f t="shared" si="82"/>
        <v>366</v>
      </c>
      <c r="F584" s="16">
        <f t="shared" si="82"/>
        <v>52</v>
      </c>
      <c r="G584" s="16">
        <f t="shared" si="82"/>
        <v>1</v>
      </c>
      <c r="H584" s="16">
        <f t="shared" si="82"/>
        <v>1</v>
      </c>
      <c r="I584" s="16">
        <f t="shared" si="82"/>
        <v>0</v>
      </c>
      <c r="J584" s="16">
        <f t="shared" si="82"/>
        <v>366</v>
      </c>
      <c r="K584" s="16">
        <f t="shared" si="82"/>
        <v>0</v>
      </c>
      <c r="L584" s="16">
        <f t="shared" si="82"/>
        <v>100</v>
      </c>
      <c r="M584" s="16">
        <f t="shared" si="82"/>
        <v>0</v>
      </c>
      <c r="N584" s="16">
        <f t="shared" si="82"/>
        <v>3</v>
      </c>
      <c r="O584" s="16">
        <f t="shared" si="82"/>
        <v>366</v>
      </c>
      <c r="P584" s="16">
        <f t="shared" si="82"/>
        <v>7</v>
      </c>
      <c r="Q584" s="16">
        <f t="shared" si="82"/>
        <v>2</v>
      </c>
      <c r="R584" s="16">
        <f t="shared" si="81"/>
        <v>20</v>
      </c>
      <c r="S584" s="16">
        <f t="shared" si="81"/>
        <v>0</v>
      </c>
      <c r="T584" s="16">
        <f t="shared" si="81"/>
        <v>0</v>
      </c>
      <c r="U584" s="16">
        <f t="shared" si="81"/>
        <v>0</v>
      </c>
      <c r="V584" s="16">
        <f t="shared" si="81"/>
        <v>0</v>
      </c>
      <c r="W584" s="16">
        <f t="shared" si="81"/>
        <v>1</v>
      </c>
      <c r="X584" s="16" t="str">
        <f t="shared" si="81"/>
        <v>null</v>
      </c>
    </row>
    <row r="585" spans="1:24" x14ac:dyDescent="0.15">
      <c r="A585" s="20" t="str">
        <f t="shared" si="83"/>
        <v>25_4-1/354&lt;lv52&gt;s3</v>
      </c>
      <c r="B585" s="16">
        <f t="shared" si="82"/>
        <v>25</v>
      </c>
      <c r="C585" s="16">
        <f t="shared" si="82"/>
        <v>4</v>
      </c>
      <c r="D585" s="16">
        <f t="shared" si="82"/>
        <v>1</v>
      </c>
      <c r="E585" s="16">
        <f t="shared" si="82"/>
        <v>354</v>
      </c>
      <c r="F585" s="16">
        <f t="shared" si="82"/>
        <v>52</v>
      </c>
      <c r="G585" s="16">
        <f t="shared" si="82"/>
        <v>1</v>
      </c>
      <c r="H585" s="16">
        <f t="shared" si="82"/>
        <v>1</v>
      </c>
      <c r="I585" s="16">
        <f t="shared" si="82"/>
        <v>0</v>
      </c>
      <c r="J585" s="16">
        <f t="shared" si="82"/>
        <v>354</v>
      </c>
      <c r="K585" s="16">
        <f t="shared" si="82"/>
        <v>0</v>
      </c>
      <c r="L585" s="16">
        <f t="shared" si="82"/>
        <v>100</v>
      </c>
      <c r="M585" s="16">
        <f t="shared" si="82"/>
        <v>0</v>
      </c>
      <c r="N585" s="16">
        <f t="shared" si="82"/>
        <v>3</v>
      </c>
      <c r="O585" s="16">
        <f t="shared" si="82"/>
        <v>354</v>
      </c>
      <c r="P585" s="16">
        <f t="shared" si="82"/>
        <v>1</v>
      </c>
      <c r="Q585" s="16">
        <f t="shared" si="82"/>
        <v>2</v>
      </c>
      <c r="R585" s="16">
        <f t="shared" si="81"/>
        <v>41</v>
      </c>
      <c r="S585" s="16">
        <f t="shared" si="81"/>
        <v>0</v>
      </c>
      <c r="T585" s="16">
        <f t="shared" si="81"/>
        <v>0</v>
      </c>
      <c r="U585" s="16">
        <f t="shared" si="81"/>
        <v>0</v>
      </c>
      <c r="V585" s="16">
        <f t="shared" si="81"/>
        <v>0</v>
      </c>
      <c r="W585" s="16">
        <f t="shared" si="81"/>
        <v>1</v>
      </c>
      <c r="X585" s="16" t="str">
        <f t="shared" si="81"/>
        <v>null</v>
      </c>
    </row>
    <row r="586" spans="1:24" x14ac:dyDescent="0.15">
      <c r="A586" s="20" t="str">
        <f t="shared" si="83"/>
        <v>25_4-2/25&lt;lv52&gt;s3</v>
      </c>
      <c r="B586" s="16">
        <f t="shared" si="82"/>
        <v>25</v>
      </c>
      <c r="C586" s="16">
        <f t="shared" si="82"/>
        <v>4</v>
      </c>
      <c r="D586" s="16">
        <f t="shared" si="82"/>
        <v>2</v>
      </c>
      <c r="E586" s="16">
        <f t="shared" si="82"/>
        <v>25</v>
      </c>
      <c r="F586" s="16">
        <f t="shared" si="82"/>
        <v>52</v>
      </c>
      <c r="G586" s="16">
        <f t="shared" si="82"/>
        <v>1</v>
      </c>
      <c r="H586" s="16">
        <f t="shared" si="82"/>
        <v>1</v>
      </c>
      <c r="I586" s="16">
        <f t="shared" si="82"/>
        <v>0</v>
      </c>
      <c r="J586" s="16">
        <f t="shared" si="82"/>
        <v>0</v>
      </c>
      <c r="K586" s="16">
        <f t="shared" si="82"/>
        <v>0</v>
      </c>
      <c r="L586" s="16">
        <f t="shared" si="82"/>
        <v>100</v>
      </c>
      <c r="M586" s="16">
        <f t="shared" si="82"/>
        <v>0</v>
      </c>
      <c r="N586" s="16">
        <f t="shared" si="82"/>
        <v>3</v>
      </c>
      <c r="O586" s="16">
        <f t="shared" si="82"/>
        <v>25</v>
      </c>
      <c r="P586" s="16">
        <f t="shared" si="82"/>
        <v>7</v>
      </c>
      <c r="Q586" s="16">
        <f t="shared" si="82"/>
        <v>1</v>
      </c>
      <c r="R586" s="16">
        <f t="shared" si="81"/>
        <v>15</v>
      </c>
      <c r="S586" s="16">
        <f t="shared" si="81"/>
        <v>0</v>
      </c>
      <c r="T586" s="16">
        <f t="shared" si="81"/>
        <v>0</v>
      </c>
      <c r="U586" s="16">
        <f t="shared" si="81"/>
        <v>0</v>
      </c>
      <c r="V586" s="16">
        <f t="shared" si="81"/>
        <v>0</v>
      </c>
      <c r="W586" s="16">
        <f t="shared" si="81"/>
        <v>1</v>
      </c>
      <c r="X586" s="16" t="str">
        <f t="shared" si="81"/>
        <v>null</v>
      </c>
    </row>
    <row r="587" spans="1:24" x14ac:dyDescent="0.15">
      <c r="A587" s="20" t="str">
        <f t="shared" si="83"/>
        <v>25_4-2/37&lt;lv52&gt;s3</v>
      </c>
      <c r="B587" s="16">
        <f t="shared" si="82"/>
        <v>25</v>
      </c>
      <c r="C587" s="16">
        <f t="shared" si="82"/>
        <v>4</v>
      </c>
      <c r="D587" s="16">
        <f t="shared" si="82"/>
        <v>2</v>
      </c>
      <c r="E587" s="16">
        <f t="shared" si="82"/>
        <v>37</v>
      </c>
      <c r="F587" s="16">
        <f t="shared" si="82"/>
        <v>52</v>
      </c>
      <c r="G587" s="16">
        <f t="shared" si="82"/>
        <v>1</v>
      </c>
      <c r="H587" s="16">
        <f t="shared" si="82"/>
        <v>1</v>
      </c>
      <c r="I587" s="16">
        <f t="shared" si="82"/>
        <v>0</v>
      </c>
      <c r="J587" s="16">
        <f t="shared" si="82"/>
        <v>37</v>
      </c>
      <c r="K587" s="16">
        <f t="shared" si="82"/>
        <v>0</v>
      </c>
      <c r="L587" s="16">
        <f t="shared" si="82"/>
        <v>100</v>
      </c>
      <c r="M587" s="16">
        <f t="shared" si="82"/>
        <v>0</v>
      </c>
      <c r="N587" s="16">
        <f t="shared" si="82"/>
        <v>3</v>
      </c>
      <c r="O587" s="16">
        <f t="shared" si="82"/>
        <v>37</v>
      </c>
      <c r="P587" s="16">
        <f t="shared" si="82"/>
        <v>5</v>
      </c>
      <c r="Q587" s="16">
        <f t="shared" si="82"/>
        <v>2</v>
      </c>
      <c r="R587" s="16">
        <f t="shared" si="81"/>
        <v>20</v>
      </c>
      <c r="S587" s="16">
        <f t="shared" si="81"/>
        <v>0</v>
      </c>
      <c r="T587" s="16">
        <f t="shared" si="81"/>
        <v>0</v>
      </c>
      <c r="U587" s="16">
        <f t="shared" si="81"/>
        <v>0</v>
      </c>
      <c r="V587" s="16">
        <f t="shared" si="81"/>
        <v>0</v>
      </c>
      <c r="W587" s="16">
        <f t="shared" si="81"/>
        <v>1</v>
      </c>
      <c r="X587" s="16" t="str">
        <f t="shared" si="81"/>
        <v>null</v>
      </c>
    </row>
    <row r="588" spans="1:24" x14ac:dyDescent="0.15">
      <c r="A588" s="20" t="str">
        <f t="shared" si="83"/>
        <v>25_4-2/45&lt;lv52&gt;s3</v>
      </c>
      <c r="B588" s="16">
        <f t="shared" si="82"/>
        <v>25</v>
      </c>
      <c r="C588" s="16">
        <f t="shared" si="82"/>
        <v>4</v>
      </c>
      <c r="D588" s="16">
        <f t="shared" si="82"/>
        <v>2</v>
      </c>
      <c r="E588" s="16">
        <f t="shared" si="82"/>
        <v>45</v>
      </c>
      <c r="F588" s="16">
        <f t="shared" si="82"/>
        <v>52</v>
      </c>
      <c r="G588" s="16">
        <f t="shared" si="82"/>
        <v>1</v>
      </c>
      <c r="H588" s="16">
        <f t="shared" si="82"/>
        <v>1</v>
      </c>
      <c r="I588" s="16">
        <f t="shared" si="82"/>
        <v>0</v>
      </c>
      <c r="J588" s="16">
        <f t="shared" si="82"/>
        <v>0</v>
      </c>
      <c r="K588" s="16">
        <f t="shared" si="82"/>
        <v>0</v>
      </c>
      <c r="L588" s="16">
        <f t="shared" si="82"/>
        <v>100</v>
      </c>
      <c r="M588" s="16">
        <f t="shared" si="82"/>
        <v>0</v>
      </c>
      <c r="N588" s="16">
        <f t="shared" si="82"/>
        <v>3</v>
      </c>
      <c r="O588" s="16">
        <f t="shared" si="82"/>
        <v>45</v>
      </c>
      <c r="P588" s="16">
        <f t="shared" si="82"/>
        <v>7</v>
      </c>
      <c r="Q588" s="16">
        <f t="shared" si="82"/>
        <v>2</v>
      </c>
      <c r="R588" s="16">
        <f t="shared" si="81"/>
        <v>20</v>
      </c>
      <c r="S588" s="16">
        <f t="shared" si="81"/>
        <v>0</v>
      </c>
      <c r="T588" s="16">
        <f t="shared" si="81"/>
        <v>0</v>
      </c>
      <c r="U588" s="16">
        <f t="shared" si="81"/>
        <v>0</v>
      </c>
      <c r="V588" s="16">
        <f t="shared" si="81"/>
        <v>0</v>
      </c>
      <c r="W588" s="16">
        <f t="shared" si="81"/>
        <v>1</v>
      </c>
      <c r="X588" s="16" t="str">
        <f t="shared" si="81"/>
        <v>null</v>
      </c>
    </row>
    <row r="589" spans="1:24" x14ac:dyDescent="0.15">
      <c r="A589" s="20" t="str">
        <f t="shared" si="83"/>
        <v>25_4-2/61&lt;lv52&gt;s2</v>
      </c>
      <c r="B589" s="16">
        <f t="shared" si="82"/>
        <v>25</v>
      </c>
      <c r="C589" s="16">
        <f t="shared" si="82"/>
        <v>4</v>
      </c>
      <c r="D589" s="16">
        <f t="shared" si="82"/>
        <v>2</v>
      </c>
      <c r="E589" s="16">
        <f t="shared" si="82"/>
        <v>61</v>
      </c>
      <c r="F589" s="16">
        <f t="shared" si="82"/>
        <v>52</v>
      </c>
      <c r="G589" s="16">
        <f t="shared" si="82"/>
        <v>1</v>
      </c>
      <c r="H589" s="16">
        <f t="shared" si="82"/>
        <v>1</v>
      </c>
      <c r="I589" s="16">
        <f t="shared" si="82"/>
        <v>0</v>
      </c>
      <c r="J589" s="16">
        <f t="shared" si="82"/>
        <v>61</v>
      </c>
      <c r="K589" s="16">
        <f t="shared" si="82"/>
        <v>0</v>
      </c>
      <c r="L589" s="16">
        <f t="shared" si="82"/>
        <v>100</v>
      </c>
      <c r="M589" s="16">
        <f t="shared" si="82"/>
        <v>0</v>
      </c>
      <c r="N589" s="16">
        <f t="shared" si="82"/>
        <v>2</v>
      </c>
      <c r="O589" s="16">
        <f t="shared" si="82"/>
        <v>61</v>
      </c>
      <c r="P589" s="16">
        <f t="shared" si="82"/>
        <v>7</v>
      </c>
      <c r="Q589" s="16">
        <f t="shared" si="82"/>
        <v>2</v>
      </c>
      <c r="R589" s="16">
        <f t="shared" si="81"/>
        <v>20</v>
      </c>
      <c r="S589" s="16">
        <f t="shared" si="81"/>
        <v>0</v>
      </c>
      <c r="T589" s="16">
        <f t="shared" si="81"/>
        <v>0</v>
      </c>
      <c r="U589" s="16">
        <f t="shared" si="81"/>
        <v>0</v>
      </c>
      <c r="V589" s="16">
        <f t="shared" si="81"/>
        <v>0</v>
      </c>
      <c r="W589" s="16">
        <f t="shared" si="81"/>
        <v>1</v>
      </c>
      <c r="X589" s="16" t="str">
        <f t="shared" si="81"/>
        <v>null</v>
      </c>
    </row>
    <row r="590" spans="1:24" x14ac:dyDescent="0.15">
      <c r="A590" s="20" t="str">
        <f t="shared" si="83"/>
        <v>25_4-2/17&lt;lv52&gt;s2</v>
      </c>
      <c r="B590" s="16">
        <f t="shared" si="82"/>
        <v>25</v>
      </c>
      <c r="C590" s="16">
        <f t="shared" si="82"/>
        <v>4</v>
      </c>
      <c r="D590" s="16">
        <f t="shared" si="82"/>
        <v>2</v>
      </c>
      <c r="E590" s="16">
        <f t="shared" si="82"/>
        <v>17</v>
      </c>
      <c r="F590" s="16">
        <f t="shared" si="82"/>
        <v>52</v>
      </c>
      <c r="G590" s="16">
        <f t="shared" si="82"/>
        <v>1</v>
      </c>
      <c r="H590" s="16">
        <f t="shared" si="82"/>
        <v>1</v>
      </c>
      <c r="I590" s="16">
        <f t="shared" si="82"/>
        <v>0</v>
      </c>
      <c r="J590" s="16">
        <f t="shared" si="82"/>
        <v>0</v>
      </c>
      <c r="K590" s="16">
        <f t="shared" si="82"/>
        <v>0</v>
      </c>
      <c r="L590" s="16">
        <f t="shared" si="82"/>
        <v>100</v>
      </c>
      <c r="M590" s="16">
        <f t="shared" si="82"/>
        <v>0</v>
      </c>
      <c r="N590" s="16">
        <f t="shared" si="82"/>
        <v>2</v>
      </c>
      <c r="O590" s="16">
        <f t="shared" si="82"/>
        <v>17</v>
      </c>
      <c r="P590" s="16">
        <f t="shared" si="82"/>
        <v>9</v>
      </c>
      <c r="Q590" s="16">
        <f t="shared" ref="Q590:W605" si="84">VLOOKUP($A590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590" s="16">
        <f t="shared" si="84"/>
        <v>15</v>
      </c>
      <c r="S590" s="16">
        <f t="shared" si="84"/>
        <v>0</v>
      </c>
      <c r="T590" s="16">
        <f t="shared" si="84"/>
        <v>0</v>
      </c>
      <c r="U590" s="16">
        <f t="shared" si="84"/>
        <v>0</v>
      </c>
      <c r="V590" s="16">
        <f t="shared" si="84"/>
        <v>0</v>
      </c>
      <c r="W590" s="16">
        <f t="shared" si="84"/>
        <v>1</v>
      </c>
      <c r="X590" s="16" t="str">
        <f t="shared" si="81"/>
        <v>null</v>
      </c>
    </row>
    <row r="591" spans="1:24" x14ac:dyDescent="0.15">
      <c r="A591" s="20" t="str">
        <f t="shared" si="83"/>
        <v>25_4-2/53&lt;lv52&gt;s2</v>
      </c>
      <c r="B591" s="16">
        <f t="shared" ref="B591:Q606" si="85">VLOOKUP($A591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591" s="16">
        <f t="shared" si="85"/>
        <v>4</v>
      </c>
      <c r="D591" s="16">
        <f t="shared" si="85"/>
        <v>2</v>
      </c>
      <c r="E591" s="16">
        <f t="shared" si="85"/>
        <v>53</v>
      </c>
      <c r="F591" s="16">
        <f t="shared" si="85"/>
        <v>52</v>
      </c>
      <c r="G591" s="16">
        <f t="shared" si="85"/>
        <v>1</v>
      </c>
      <c r="H591" s="16">
        <f t="shared" si="85"/>
        <v>1</v>
      </c>
      <c r="I591" s="16">
        <f t="shared" si="85"/>
        <v>0</v>
      </c>
      <c r="J591" s="16">
        <f t="shared" si="85"/>
        <v>53</v>
      </c>
      <c r="K591" s="16">
        <f t="shared" si="85"/>
        <v>0</v>
      </c>
      <c r="L591" s="16">
        <f t="shared" si="85"/>
        <v>100</v>
      </c>
      <c r="M591" s="16">
        <f t="shared" si="85"/>
        <v>0</v>
      </c>
      <c r="N591" s="16">
        <f t="shared" si="85"/>
        <v>2</v>
      </c>
      <c r="O591" s="16">
        <f t="shared" si="85"/>
        <v>53</v>
      </c>
      <c r="P591" s="16">
        <f t="shared" si="85"/>
        <v>7</v>
      </c>
      <c r="Q591" s="16">
        <f t="shared" si="85"/>
        <v>2</v>
      </c>
      <c r="R591" s="16">
        <f t="shared" si="84"/>
        <v>20</v>
      </c>
      <c r="S591" s="16">
        <f t="shared" si="84"/>
        <v>0</v>
      </c>
      <c r="T591" s="16">
        <f t="shared" si="84"/>
        <v>0</v>
      </c>
      <c r="U591" s="16">
        <f t="shared" si="84"/>
        <v>0</v>
      </c>
      <c r="V591" s="16">
        <f t="shared" si="84"/>
        <v>0</v>
      </c>
      <c r="W591" s="16">
        <f t="shared" si="84"/>
        <v>1</v>
      </c>
      <c r="X591" s="16" t="str">
        <f t="shared" si="81"/>
        <v>null</v>
      </c>
    </row>
    <row r="592" spans="1:24" x14ac:dyDescent="0.15">
      <c r="A592" s="20" t="str">
        <f t="shared" si="83"/>
        <v>25_4-2/364&lt;lv52&gt;s3</v>
      </c>
      <c r="B592" s="16">
        <f t="shared" si="85"/>
        <v>25</v>
      </c>
      <c r="C592" s="16">
        <f t="shared" si="85"/>
        <v>4</v>
      </c>
      <c r="D592" s="16">
        <f t="shared" si="85"/>
        <v>2</v>
      </c>
      <c r="E592" s="16">
        <f t="shared" si="85"/>
        <v>364</v>
      </c>
      <c r="F592" s="16">
        <f t="shared" si="85"/>
        <v>52</v>
      </c>
      <c r="G592" s="16">
        <f t="shared" si="85"/>
        <v>1</v>
      </c>
      <c r="H592" s="16">
        <f t="shared" si="85"/>
        <v>1</v>
      </c>
      <c r="I592" s="16">
        <f t="shared" si="85"/>
        <v>0</v>
      </c>
      <c r="J592" s="16">
        <f t="shared" si="85"/>
        <v>364</v>
      </c>
      <c r="K592" s="16">
        <f t="shared" si="85"/>
        <v>0</v>
      </c>
      <c r="L592" s="16">
        <f t="shared" si="85"/>
        <v>100</v>
      </c>
      <c r="M592" s="16">
        <f t="shared" si="85"/>
        <v>0</v>
      </c>
      <c r="N592" s="16">
        <f t="shared" si="85"/>
        <v>3</v>
      </c>
      <c r="O592" s="16">
        <f t="shared" si="85"/>
        <v>364</v>
      </c>
      <c r="P592" s="16">
        <f t="shared" si="85"/>
        <v>7</v>
      </c>
      <c r="Q592" s="16">
        <f t="shared" si="85"/>
        <v>2</v>
      </c>
      <c r="R592" s="16">
        <f t="shared" si="84"/>
        <v>20</v>
      </c>
      <c r="S592" s="16">
        <f t="shared" si="84"/>
        <v>0</v>
      </c>
      <c r="T592" s="16">
        <f t="shared" si="84"/>
        <v>0</v>
      </c>
      <c r="U592" s="16">
        <f t="shared" si="84"/>
        <v>0</v>
      </c>
      <c r="V592" s="16">
        <f t="shared" si="84"/>
        <v>0</v>
      </c>
      <c r="W592" s="16">
        <f t="shared" si="84"/>
        <v>1</v>
      </c>
      <c r="X592" s="16" t="str">
        <f t="shared" si="81"/>
        <v>null</v>
      </c>
    </row>
    <row r="593" spans="1:24" x14ac:dyDescent="0.15">
      <c r="A593" s="20" t="str">
        <f t="shared" si="83"/>
        <v>25_4-2/352&lt;lv52&gt;s3</v>
      </c>
      <c r="B593" s="16">
        <f t="shared" si="85"/>
        <v>25</v>
      </c>
      <c r="C593" s="16">
        <f t="shared" si="85"/>
        <v>4</v>
      </c>
      <c r="D593" s="16">
        <f t="shared" si="85"/>
        <v>2</v>
      </c>
      <c r="E593" s="16">
        <f t="shared" si="85"/>
        <v>352</v>
      </c>
      <c r="F593" s="16">
        <f t="shared" si="85"/>
        <v>52</v>
      </c>
      <c r="G593" s="16">
        <f t="shared" si="85"/>
        <v>1</v>
      </c>
      <c r="H593" s="16">
        <f t="shared" si="85"/>
        <v>1</v>
      </c>
      <c r="I593" s="16">
        <f t="shared" si="85"/>
        <v>0</v>
      </c>
      <c r="J593" s="16">
        <f t="shared" si="85"/>
        <v>352</v>
      </c>
      <c r="K593" s="16">
        <f t="shared" si="85"/>
        <v>0</v>
      </c>
      <c r="L593" s="16">
        <f t="shared" si="85"/>
        <v>100</v>
      </c>
      <c r="M593" s="16">
        <f t="shared" si="85"/>
        <v>0</v>
      </c>
      <c r="N593" s="16">
        <f t="shared" si="85"/>
        <v>3</v>
      </c>
      <c r="O593" s="16">
        <f t="shared" si="85"/>
        <v>352</v>
      </c>
      <c r="P593" s="16">
        <f t="shared" si="85"/>
        <v>1</v>
      </c>
      <c r="Q593" s="16">
        <f t="shared" si="85"/>
        <v>2</v>
      </c>
      <c r="R593" s="16">
        <f t="shared" si="84"/>
        <v>41</v>
      </c>
      <c r="S593" s="16">
        <f t="shared" si="84"/>
        <v>0</v>
      </c>
      <c r="T593" s="16">
        <f t="shared" si="84"/>
        <v>0</v>
      </c>
      <c r="U593" s="16">
        <f t="shared" si="84"/>
        <v>0</v>
      </c>
      <c r="V593" s="16">
        <f t="shared" si="84"/>
        <v>0</v>
      </c>
      <c r="W593" s="16">
        <f t="shared" si="84"/>
        <v>1</v>
      </c>
      <c r="X593" s="16" t="str">
        <f t="shared" si="81"/>
        <v>null</v>
      </c>
    </row>
    <row r="594" spans="1:24" x14ac:dyDescent="0.15">
      <c r="A594" s="20" t="str">
        <f t="shared" si="83"/>
        <v>25_4-3/139&lt;lv52&gt;s2</v>
      </c>
      <c r="B594" s="16">
        <f t="shared" si="85"/>
        <v>25</v>
      </c>
      <c r="C594" s="16">
        <f t="shared" si="85"/>
        <v>4</v>
      </c>
      <c r="D594" s="16">
        <f t="shared" si="85"/>
        <v>3</v>
      </c>
      <c r="E594" s="16">
        <f t="shared" si="85"/>
        <v>139</v>
      </c>
      <c r="F594" s="16">
        <f t="shared" si="85"/>
        <v>52</v>
      </c>
      <c r="G594" s="16">
        <f t="shared" si="85"/>
        <v>1.7</v>
      </c>
      <c r="H594" s="16">
        <f t="shared" si="85"/>
        <v>1.7</v>
      </c>
      <c r="I594" s="16">
        <f t="shared" si="85"/>
        <v>0</v>
      </c>
      <c r="J594" s="16">
        <f t="shared" si="85"/>
        <v>139</v>
      </c>
      <c r="K594" s="16">
        <f t="shared" si="85"/>
        <v>1</v>
      </c>
      <c r="L594" s="16">
        <f t="shared" si="85"/>
        <v>100</v>
      </c>
      <c r="M594" s="16">
        <f t="shared" si="85"/>
        <v>0</v>
      </c>
      <c r="N594" s="16">
        <f t="shared" si="85"/>
        <v>2</v>
      </c>
      <c r="O594" s="16">
        <f t="shared" si="85"/>
        <v>138</v>
      </c>
      <c r="P594" s="16">
        <f t="shared" si="85"/>
        <v>1</v>
      </c>
      <c r="Q594" s="16">
        <f t="shared" si="85"/>
        <v>3</v>
      </c>
      <c r="R594" s="16">
        <f t="shared" si="84"/>
        <v>0</v>
      </c>
      <c r="S594" s="16">
        <f t="shared" si="84"/>
        <v>0</v>
      </c>
      <c r="T594" s="16">
        <f t="shared" si="84"/>
        <v>0</v>
      </c>
      <c r="U594" s="16">
        <f t="shared" si="84"/>
        <v>0</v>
      </c>
      <c r="V594" s="16">
        <f t="shared" si="84"/>
        <v>0</v>
      </c>
      <c r="W594" s="16">
        <f t="shared" si="84"/>
        <v>1</v>
      </c>
      <c r="X594" s="16" t="str">
        <f t="shared" si="81"/>
        <v>null</v>
      </c>
    </row>
    <row r="595" spans="1:24" x14ac:dyDescent="0.15">
      <c r="A595" s="20" t="str">
        <f t="shared" si="83"/>
        <v>25_4-4/37&lt;lv52&gt;s3</v>
      </c>
      <c r="B595" s="16">
        <f t="shared" si="85"/>
        <v>25</v>
      </c>
      <c r="C595" s="16">
        <f t="shared" si="85"/>
        <v>4</v>
      </c>
      <c r="D595" s="16">
        <f t="shared" si="85"/>
        <v>4</v>
      </c>
      <c r="E595" s="16">
        <f t="shared" si="85"/>
        <v>37</v>
      </c>
      <c r="F595" s="16">
        <f t="shared" si="85"/>
        <v>52</v>
      </c>
      <c r="G595" s="16">
        <f t="shared" si="85"/>
        <v>1.1000000000000001</v>
      </c>
      <c r="H595" s="16">
        <f t="shared" si="85"/>
        <v>1</v>
      </c>
      <c r="I595" s="16">
        <f t="shared" si="85"/>
        <v>0</v>
      </c>
      <c r="J595" s="16">
        <f t="shared" si="85"/>
        <v>37</v>
      </c>
      <c r="K595" s="16">
        <f t="shared" si="85"/>
        <v>0</v>
      </c>
      <c r="L595" s="16">
        <f t="shared" si="85"/>
        <v>100</v>
      </c>
      <c r="M595" s="16">
        <f t="shared" si="85"/>
        <v>0</v>
      </c>
      <c r="N595" s="16">
        <f t="shared" si="85"/>
        <v>3</v>
      </c>
      <c r="O595" s="16">
        <f t="shared" si="85"/>
        <v>37</v>
      </c>
      <c r="P595" s="16">
        <f t="shared" si="85"/>
        <v>5</v>
      </c>
      <c r="Q595" s="16">
        <f t="shared" si="85"/>
        <v>2</v>
      </c>
      <c r="R595" s="16">
        <f t="shared" si="84"/>
        <v>20</v>
      </c>
      <c r="S595" s="16">
        <f t="shared" si="84"/>
        <v>0</v>
      </c>
      <c r="T595" s="16">
        <f t="shared" si="84"/>
        <v>0</v>
      </c>
      <c r="U595" s="16">
        <f t="shared" si="84"/>
        <v>0</v>
      </c>
      <c r="V595" s="16">
        <f t="shared" si="84"/>
        <v>0</v>
      </c>
      <c r="W595" s="16">
        <f t="shared" si="84"/>
        <v>1</v>
      </c>
      <c r="X595" s="16" t="str">
        <f t="shared" si="81"/>
        <v>null</v>
      </c>
    </row>
    <row r="596" spans="1:24" x14ac:dyDescent="0.15">
      <c r="A596" s="20" t="str">
        <f t="shared" si="83"/>
        <v>25_4-4/45&lt;lv52&gt;s3</v>
      </c>
      <c r="B596" s="16">
        <f t="shared" si="85"/>
        <v>25</v>
      </c>
      <c r="C596" s="16">
        <f t="shared" si="85"/>
        <v>4</v>
      </c>
      <c r="D596" s="16">
        <f t="shared" si="85"/>
        <v>4</v>
      </c>
      <c r="E596" s="16">
        <f t="shared" si="85"/>
        <v>45</v>
      </c>
      <c r="F596" s="16">
        <f t="shared" si="85"/>
        <v>52</v>
      </c>
      <c r="G596" s="16">
        <f t="shared" si="85"/>
        <v>1.1000000000000001</v>
      </c>
      <c r="H596" s="16">
        <f t="shared" si="85"/>
        <v>1</v>
      </c>
      <c r="I596" s="16">
        <f t="shared" si="85"/>
        <v>0</v>
      </c>
      <c r="J596" s="16">
        <f t="shared" si="85"/>
        <v>0</v>
      </c>
      <c r="K596" s="16">
        <f t="shared" si="85"/>
        <v>0</v>
      </c>
      <c r="L596" s="16">
        <f t="shared" si="85"/>
        <v>100</v>
      </c>
      <c r="M596" s="16">
        <f t="shared" si="85"/>
        <v>0</v>
      </c>
      <c r="N596" s="16">
        <f t="shared" si="85"/>
        <v>3</v>
      </c>
      <c r="O596" s="16">
        <f t="shared" si="85"/>
        <v>45</v>
      </c>
      <c r="P596" s="16">
        <f t="shared" si="85"/>
        <v>7</v>
      </c>
      <c r="Q596" s="16">
        <f t="shared" si="85"/>
        <v>2</v>
      </c>
      <c r="R596" s="16">
        <f t="shared" si="84"/>
        <v>20</v>
      </c>
      <c r="S596" s="16">
        <f t="shared" si="84"/>
        <v>0</v>
      </c>
      <c r="T596" s="16">
        <f t="shared" si="84"/>
        <v>0</v>
      </c>
      <c r="U596" s="16">
        <f t="shared" si="84"/>
        <v>0</v>
      </c>
      <c r="V596" s="16">
        <f t="shared" si="84"/>
        <v>0</v>
      </c>
      <c r="W596" s="16">
        <f t="shared" si="84"/>
        <v>1</v>
      </c>
      <c r="X596" s="16" t="str">
        <f t="shared" si="81"/>
        <v>null</v>
      </c>
    </row>
    <row r="597" spans="1:24" x14ac:dyDescent="0.15">
      <c r="A597" s="20" t="str">
        <f t="shared" si="83"/>
        <v>25_4-4/47&lt;lv52&gt;s1</v>
      </c>
      <c r="B597" s="16">
        <f t="shared" si="85"/>
        <v>25</v>
      </c>
      <c r="C597" s="16">
        <f t="shared" si="85"/>
        <v>4</v>
      </c>
      <c r="D597" s="16">
        <f t="shared" si="85"/>
        <v>4</v>
      </c>
      <c r="E597" s="16">
        <f t="shared" si="85"/>
        <v>47</v>
      </c>
      <c r="F597" s="16">
        <f t="shared" si="85"/>
        <v>52</v>
      </c>
      <c r="G597" s="16">
        <f t="shared" si="85"/>
        <v>1.1000000000000001</v>
      </c>
      <c r="H597" s="16">
        <f t="shared" si="85"/>
        <v>1</v>
      </c>
      <c r="I597" s="16">
        <f t="shared" si="85"/>
        <v>0</v>
      </c>
      <c r="J597" s="16">
        <f t="shared" si="85"/>
        <v>0</v>
      </c>
      <c r="K597" s="16">
        <f t="shared" si="85"/>
        <v>0</v>
      </c>
      <c r="L597" s="16">
        <f t="shared" si="85"/>
        <v>100</v>
      </c>
      <c r="M597" s="16">
        <f t="shared" si="85"/>
        <v>0</v>
      </c>
      <c r="N597" s="16">
        <f t="shared" si="85"/>
        <v>1</v>
      </c>
      <c r="O597" s="16">
        <f t="shared" si="85"/>
        <v>47</v>
      </c>
      <c r="P597" s="16">
        <f t="shared" si="85"/>
        <v>7</v>
      </c>
      <c r="Q597" s="16">
        <f t="shared" si="85"/>
        <v>2</v>
      </c>
      <c r="R597" s="16">
        <f t="shared" si="84"/>
        <v>20</v>
      </c>
      <c r="S597" s="16">
        <f t="shared" si="84"/>
        <v>0</v>
      </c>
      <c r="T597" s="16">
        <f t="shared" si="84"/>
        <v>0</v>
      </c>
      <c r="U597" s="16">
        <f t="shared" si="84"/>
        <v>0</v>
      </c>
      <c r="V597" s="16">
        <f t="shared" si="84"/>
        <v>0</v>
      </c>
      <c r="W597" s="16">
        <f t="shared" si="84"/>
        <v>1</v>
      </c>
      <c r="X597" s="16" t="str">
        <f t="shared" si="81"/>
        <v>null</v>
      </c>
    </row>
    <row r="598" spans="1:24" x14ac:dyDescent="0.15">
      <c r="A598" s="20" t="str">
        <f t="shared" si="83"/>
        <v>25_4-4/61&lt;lv52&gt;s2</v>
      </c>
      <c r="B598" s="16">
        <f t="shared" si="85"/>
        <v>25</v>
      </c>
      <c r="C598" s="16">
        <f t="shared" si="85"/>
        <v>4</v>
      </c>
      <c r="D598" s="16">
        <f t="shared" si="85"/>
        <v>4</v>
      </c>
      <c r="E598" s="16">
        <f t="shared" si="85"/>
        <v>61</v>
      </c>
      <c r="F598" s="16">
        <f t="shared" si="85"/>
        <v>52</v>
      </c>
      <c r="G598" s="16">
        <f t="shared" si="85"/>
        <v>1.1000000000000001</v>
      </c>
      <c r="H598" s="16">
        <f t="shared" si="85"/>
        <v>1</v>
      </c>
      <c r="I598" s="16">
        <f t="shared" si="85"/>
        <v>0</v>
      </c>
      <c r="J598" s="16">
        <f t="shared" si="85"/>
        <v>61</v>
      </c>
      <c r="K598" s="16">
        <f t="shared" si="85"/>
        <v>0</v>
      </c>
      <c r="L598" s="16">
        <f t="shared" si="85"/>
        <v>100</v>
      </c>
      <c r="M598" s="16">
        <f t="shared" si="85"/>
        <v>0</v>
      </c>
      <c r="N598" s="16">
        <f t="shared" si="85"/>
        <v>2</v>
      </c>
      <c r="O598" s="16">
        <f t="shared" si="85"/>
        <v>61</v>
      </c>
      <c r="P598" s="16">
        <f t="shared" si="85"/>
        <v>7</v>
      </c>
      <c r="Q598" s="16">
        <f t="shared" si="85"/>
        <v>2</v>
      </c>
      <c r="R598" s="16">
        <f t="shared" si="84"/>
        <v>20</v>
      </c>
      <c r="S598" s="16">
        <f t="shared" si="84"/>
        <v>0</v>
      </c>
      <c r="T598" s="16">
        <f t="shared" si="84"/>
        <v>0</v>
      </c>
      <c r="U598" s="16">
        <f t="shared" si="84"/>
        <v>0</v>
      </c>
      <c r="V598" s="16">
        <f t="shared" si="84"/>
        <v>0</v>
      </c>
      <c r="W598" s="16">
        <f t="shared" si="84"/>
        <v>1</v>
      </c>
      <c r="X598" s="16" t="str">
        <f t="shared" si="81"/>
        <v>null</v>
      </c>
    </row>
    <row r="599" spans="1:24" x14ac:dyDescent="0.15">
      <c r="A599" s="20" t="str">
        <f t="shared" si="83"/>
        <v>25_4-4/63&lt;lv52&gt;s2</v>
      </c>
      <c r="B599" s="16">
        <f t="shared" si="85"/>
        <v>25</v>
      </c>
      <c r="C599" s="16">
        <f t="shared" si="85"/>
        <v>4</v>
      </c>
      <c r="D599" s="16">
        <f t="shared" si="85"/>
        <v>4</v>
      </c>
      <c r="E599" s="16">
        <f t="shared" si="85"/>
        <v>63</v>
      </c>
      <c r="F599" s="16">
        <f t="shared" si="85"/>
        <v>52</v>
      </c>
      <c r="G599" s="16">
        <f t="shared" si="85"/>
        <v>1.1000000000000001</v>
      </c>
      <c r="H599" s="16">
        <f t="shared" si="85"/>
        <v>1</v>
      </c>
      <c r="I599" s="16">
        <f t="shared" si="85"/>
        <v>0</v>
      </c>
      <c r="J599" s="16">
        <f t="shared" si="85"/>
        <v>63</v>
      </c>
      <c r="K599" s="16">
        <f t="shared" si="85"/>
        <v>0</v>
      </c>
      <c r="L599" s="16">
        <f t="shared" si="85"/>
        <v>100</v>
      </c>
      <c r="M599" s="16">
        <f t="shared" si="85"/>
        <v>0</v>
      </c>
      <c r="N599" s="16">
        <f t="shared" si="85"/>
        <v>2</v>
      </c>
      <c r="O599" s="16">
        <f t="shared" si="85"/>
        <v>63</v>
      </c>
      <c r="P599" s="16">
        <f t="shared" si="85"/>
        <v>7</v>
      </c>
      <c r="Q599" s="16">
        <f t="shared" si="85"/>
        <v>2</v>
      </c>
      <c r="R599" s="16">
        <f t="shared" si="84"/>
        <v>20</v>
      </c>
      <c r="S599" s="16">
        <f t="shared" si="84"/>
        <v>0</v>
      </c>
      <c r="T599" s="16">
        <f t="shared" si="84"/>
        <v>0</v>
      </c>
      <c r="U599" s="16">
        <f t="shared" si="84"/>
        <v>0</v>
      </c>
      <c r="V599" s="16">
        <f t="shared" si="84"/>
        <v>0</v>
      </c>
      <c r="W599" s="16">
        <f t="shared" si="84"/>
        <v>1</v>
      </c>
      <c r="X599" s="16" t="str">
        <f t="shared" si="81"/>
        <v>null</v>
      </c>
    </row>
    <row r="600" spans="1:24" x14ac:dyDescent="0.15">
      <c r="A600" s="20" t="str">
        <f t="shared" si="83"/>
        <v>25_4-4/39&lt;lv52&gt;s3</v>
      </c>
      <c r="B600" s="16">
        <f t="shared" si="85"/>
        <v>25</v>
      </c>
      <c r="C600" s="16">
        <f t="shared" si="85"/>
        <v>4</v>
      </c>
      <c r="D600" s="16">
        <f t="shared" si="85"/>
        <v>4</v>
      </c>
      <c r="E600" s="16">
        <f t="shared" si="85"/>
        <v>39</v>
      </c>
      <c r="F600" s="16">
        <f t="shared" si="85"/>
        <v>52</v>
      </c>
      <c r="G600" s="16">
        <f t="shared" si="85"/>
        <v>1.1000000000000001</v>
      </c>
      <c r="H600" s="16">
        <f t="shared" si="85"/>
        <v>1</v>
      </c>
      <c r="I600" s="16">
        <f t="shared" si="85"/>
        <v>0</v>
      </c>
      <c r="J600" s="16">
        <f t="shared" si="85"/>
        <v>39</v>
      </c>
      <c r="K600" s="16">
        <f t="shared" si="85"/>
        <v>0</v>
      </c>
      <c r="L600" s="16">
        <f t="shared" si="85"/>
        <v>100</v>
      </c>
      <c r="M600" s="16">
        <f t="shared" si="85"/>
        <v>0</v>
      </c>
      <c r="N600" s="16">
        <f t="shared" si="85"/>
        <v>3</v>
      </c>
      <c r="O600" s="16">
        <f t="shared" si="85"/>
        <v>39</v>
      </c>
      <c r="P600" s="16">
        <f t="shared" si="85"/>
        <v>5</v>
      </c>
      <c r="Q600" s="16">
        <f t="shared" si="85"/>
        <v>2</v>
      </c>
      <c r="R600" s="16">
        <f t="shared" si="84"/>
        <v>20</v>
      </c>
      <c r="S600" s="16">
        <f t="shared" si="84"/>
        <v>0</v>
      </c>
      <c r="T600" s="16">
        <f t="shared" si="84"/>
        <v>0</v>
      </c>
      <c r="U600" s="16">
        <f t="shared" si="84"/>
        <v>0</v>
      </c>
      <c r="V600" s="16">
        <f t="shared" si="84"/>
        <v>0</v>
      </c>
      <c r="W600" s="16">
        <f t="shared" si="84"/>
        <v>1</v>
      </c>
      <c r="X600" s="16" t="str">
        <f t="shared" si="81"/>
        <v>null</v>
      </c>
    </row>
    <row r="601" spans="1:24" x14ac:dyDescent="0.15">
      <c r="A601" s="20" t="str">
        <f t="shared" si="83"/>
        <v>25_4-4/53&lt;lv52&gt;s2</v>
      </c>
      <c r="B601" s="16">
        <f t="shared" si="85"/>
        <v>25</v>
      </c>
      <c r="C601" s="16">
        <f t="shared" si="85"/>
        <v>4</v>
      </c>
      <c r="D601" s="16">
        <f t="shared" si="85"/>
        <v>4</v>
      </c>
      <c r="E601" s="16">
        <f t="shared" si="85"/>
        <v>53</v>
      </c>
      <c r="F601" s="16">
        <f t="shared" si="85"/>
        <v>52</v>
      </c>
      <c r="G601" s="16">
        <f t="shared" si="85"/>
        <v>1.1000000000000001</v>
      </c>
      <c r="H601" s="16">
        <f t="shared" si="85"/>
        <v>1</v>
      </c>
      <c r="I601" s="16">
        <f t="shared" si="85"/>
        <v>0</v>
      </c>
      <c r="J601" s="16">
        <f t="shared" si="85"/>
        <v>53</v>
      </c>
      <c r="K601" s="16">
        <f t="shared" si="85"/>
        <v>0</v>
      </c>
      <c r="L601" s="16">
        <f t="shared" si="85"/>
        <v>100</v>
      </c>
      <c r="M601" s="16">
        <f t="shared" si="85"/>
        <v>0</v>
      </c>
      <c r="N601" s="16">
        <f t="shared" si="85"/>
        <v>2</v>
      </c>
      <c r="O601" s="16">
        <f t="shared" si="85"/>
        <v>53</v>
      </c>
      <c r="P601" s="16">
        <f t="shared" si="85"/>
        <v>7</v>
      </c>
      <c r="Q601" s="16">
        <f t="shared" si="85"/>
        <v>2</v>
      </c>
      <c r="R601" s="16">
        <f t="shared" si="84"/>
        <v>20</v>
      </c>
      <c r="S601" s="16">
        <f t="shared" si="84"/>
        <v>0</v>
      </c>
      <c r="T601" s="16">
        <f t="shared" si="84"/>
        <v>0</v>
      </c>
      <c r="U601" s="16">
        <f t="shared" si="84"/>
        <v>0</v>
      </c>
      <c r="V601" s="16">
        <f t="shared" si="84"/>
        <v>0</v>
      </c>
      <c r="W601" s="16">
        <f t="shared" si="84"/>
        <v>1</v>
      </c>
      <c r="X601" s="16" t="str">
        <f t="shared" si="81"/>
        <v>null</v>
      </c>
    </row>
    <row r="602" spans="1:24" x14ac:dyDescent="0.15">
      <c r="A602" s="20" t="str">
        <f t="shared" si="83"/>
        <v>25_4-4/55&lt;lv52&gt;s4</v>
      </c>
      <c r="B602" s="16">
        <f t="shared" si="85"/>
        <v>25</v>
      </c>
      <c r="C602" s="16">
        <f t="shared" si="85"/>
        <v>4</v>
      </c>
      <c r="D602" s="16">
        <f t="shared" si="85"/>
        <v>4</v>
      </c>
      <c r="E602" s="16">
        <f t="shared" si="85"/>
        <v>55</v>
      </c>
      <c r="F602" s="16">
        <f t="shared" si="85"/>
        <v>52</v>
      </c>
      <c r="G602" s="16">
        <f t="shared" si="85"/>
        <v>1.1000000000000001</v>
      </c>
      <c r="H602" s="16">
        <f t="shared" si="85"/>
        <v>1</v>
      </c>
      <c r="I602" s="16">
        <f t="shared" si="85"/>
        <v>0</v>
      </c>
      <c r="J602" s="16">
        <f t="shared" si="85"/>
        <v>55</v>
      </c>
      <c r="K602" s="16">
        <f t="shared" si="85"/>
        <v>0</v>
      </c>
      <c r="L602" s="16">
        <f t="shared" si="85"/>
        <v>100</v>
      </c>
      <c r="M602" s="16">
        <f t="shared" si="85"/>
        <v>0</v>
      </c>
      <c r="N602" s="16">
        <f t="shared" si="85"/>
        <v>4</v>
      </c>
      <c r="O602" s="16">
        <f t="shared" si="85"/>
        <v>55</v>
      </c>
      <c r="P602" s="16">
        <f t="shared" si="85"/>
        <v>7</v>
      </c>
      <c r="Q602" s="16">
        <f t="shared" si="85"/>
        <v>2</v>
      </c>
      <c r="R602" s="16">
        <f t="shared" si="84"/>
        <v>20</v>
      </c>
      <c r="S602" s="16">
        <f t="shared" si="84"/>
        <v>0</v>
      </c>
      <c r="T602" s="16">
        <f t="shared" si="84"/>
        <v>0</v>
      </c>
      <c r="U602" s="16">
        <f t="shared" si="84"/>
        <v>0</v>
      </c>
      <c r="V602" s="16">
        <f t="shared" si="84"/>
        <v>0</v>
      </c>
      <c r="W602" s="16">
        <f t="shared" si="84"/>
        <v>1</v>
      </c>
      <c r="X602" s="16" t="str">
        <f t="shared" si="81"/>
        <v>null</v>
      </c>
    </row>
    <row r="603" spans="1:24" x14ac:dyDescent="0.15">
      <c r="A603" s="20" t="str">
        <f t="shared" si="83"/>
        <v>25_4-4/364&lt;lv52&gt;s3</v>
      </c>
      <c r="B603" s="16">
        <f t="shared" si="85"/>
        <v>25</v>
      </c>
      <c r="C603" s="16">
        <f t="shared" si="85"/>
        <v>4</v>
      </c>
      <c r="D603" s="16">
        <f t="shared" si="85"/>
        <v>4</v>
      </c>
      <c r="E603" s="16">
        <f t="shared" si="85"/>
        <v>364</v>
      </c>
      <c r="F603" s="16">
        <f t="shared" si="85"/>
        <v>52</v>
      </c>
      <c r="G603" s="16">
        <f t="shared" si="85"/>
        <v>1.1000000000000001</v>
      </c>
      <c r="H603" s="16">
        <f t="shared" si="85"/>
        <v>1</v>
      </c>
      <c r="I603" s="16">
        <f t="shared" si="85"/>
        <v>0</v>
      </c>
      <c r="J603" s="16">
        <f t="shared" si="85"/>
        <v>364</v>
      </c>
      <c r="K603" s="16">
        <f t="shared" si="85"/>
        <v>0</v>
      </c>
      <c r="L603" s="16">
        <f t="shared" si="85"/>
        <v>100</v>
      </c>
      <c r="M603" s="16">
        <f t="shared" si="85"/>
        <v>0</v>
      </c>
      <c r="N603" s="16">
        <f t="shared" si="85"/>
        <v>3</v>
      </c>
      <c r="O603" s="16">
        <f t="shared" si="85"/>
        <v>364</v>
      </c>
      <c r="P603" s="16">
        <f t="shared" si="85"/>
        <v>7</v>
      </c>
      <c r="Q603" s="16">
        <f t="shared" si="85"/>
        <v>2</v>
      </c>
      <c r="R603" s="16">
        <f t="shared" si="84"/>
        <v>20</v>
      </c>
      <c r="S603" s="16">
        <f t="shared" si="84"/>
        <v>0</v>
      </c>
      <c r="T603" s="16">
        <f t="shared" si="84"/>
        <v>0</v>
      </c>
      <c r="U603" s="16">
        <f t="shared" si="84"/>
        <v>0</v>
      </c>
      <c r="V603" s="16">
        <f t="shared" si="84"/>
        <v>0</v>
      </c>
      <c r="W603" s="16">
        <f t="shared" si="84"/>
        <v>1</v>
      </c>
      <c r="X603" s="16" t="str">
        <f t="shared" si="81"/>
        <v>null</v>
      </c>
    </row>
    <row r="604" spans="1:24" x14ac:dyDescent="0.15">
      <c r="A604" s="20" t="str">
        <f t="shared" si="83"/>
        <v>25_4-4/366&lt;lv52&gt;s3</v>
      </c>
      <c r="B604" s="16">
        <f t="shared" si="85"/>
        <v>25</v>
      </c>
      <c r="C604" s="16">
        <f t="shared" si="85"/>
        <v>4</v>
      </c>
      <c r="D604" s="16">
        <f t="shared" si="85"/>
        <v>4</v>
      </c>
      <c r="E604" s="16">
        <f t="shared" si="85"/>
        <v>366</v>
      </c>
      <c r="F604" s="16">
        <f t="shared" si="85"/>
        <v>52</v>
      </c>
      <c r="G604" s="16">
        <f t="shared" si="85"/>
        <v>1.1000000000000001</v>
      </c>
      <c r="H604" s="16">
        <f t="shared" si="85"/>
        <v>1</v>
      </c>
      <c r="I604" s="16">
        <f t="shared" si="85"/>
        <v>0</v>
      </c>
      <c r="J604" s="16">
        <f t="shared" si="85"/>
        <v>366</v>
      </c>
      <c r="K604" s="16">
        <f t="shared" si="85"/>
        <v>0</v>
      </c>
      <c r="L604" s="16">
        <f t="shared" si="85"/>
        <v>100</v>
      </c>
      <c r="M604" s="16">
        <f t="shared" si="85"/>
        <v>0</v>
      </c>
      <c r="N604" s="16">
        <f t="shared" si="85"/>
        <v>3</v>
      </c>
      <c r="O604" s="16">
        <f t="shared" si="85"/>
        <v>366</v>
      </c>
      <c r="P604" s="16">
        <f t="shared" si="85"/>
        <v>7</v>
      </c>
      <c r="Q604" s="16">
        <f t="shared" si="85"/>
        <v>2</v>
      </c>
      <c r="R604" s="16">
        <f t="shared" si="84"/>
        <v>20</v>
      </c>
      <c r="S604" s="16">
        <f t="shared" si="84"/>
        <v>0</v>
      </c>
      <c r="T604" s="16">
        <f t="shared" si="84"/>
        <v>0</v>
      </c>
      <c r="U604" s="16">
        <f t="shared" si="84"/>
        <v>0</v>
      </c>
      <c r="V604" s="16">
        <f t="shared" si="84"/>
        <v>0</v>
      </c>
      <c r="W604" s="16">
        <f t="shared" si="84"/>
        <v>1</v>
      </c>
      <c r="X604" s="16" t="str">
        <f t="shared" si="81"/>
        <v>null</v>
      </c>
    </row>
    <row r="605" spans="1:24" x14ac:dyDescent="0.15">
      <c r="A605" s="20" t="str">
        <f t="shared" si="83"/>
        <v>25_4-4/354&lt;lv52&gt;s3</v>
      </c>
      <c r="B605" s="16">
        <f t="shared" si="85"/>
        <v>25</v>
      </c>
      <c r="C605" s="16">
        <f t="shared" si="85"/>
        <v>4</v>
      </c>
      <c r="D605" s="16">
        <f t="shared" si="85"/>
        <v>4</v>
      </c>
      <c r="E605" s="16">
        <f t="shared" si="85"/>
        <v>354</v>
      </c>
      <c r="F605" s="16">
        <f t="shared" si="85"/>
        <v>52</v>
      </c>
      <c r="G605" s="16">
        <f t="shared" si="85"/>
        <v>1</v>
      </c>
      <c r="H605" s="16">
        <f t="shared" si="85"/>
        <v>1</v>
      </c>
      <c r="I605" s="16">
        <f t="shared" si="85"/>
        <v>0</v>
      </c>
      <c r="J605" s="16">
        <f t="shared" si="85"/>
        <v>354</v>
      </c>
      <c r="K605" s="16">
        <f t="shared" si="85"/>
        <v>0</v>
      </c>
      <c r="L605" s="16">
        <f t="shared" si="85"/>
        <v>100</v>
      </c>
      <c r="M605" s="16">
        <f t="shared" si="85"/>
        <v>0</v>
      </c>
      <c r="N605" s="16">
        <f t="shared" si="85"/>
        <v>3</v>
      </c>
      <c r="O605" s="16">
        <f t="shared" si="85"/>
        <v>354</v>
      </c>
      <c r="P605" s="16">
        <f t="shared" si="85"/>
        <v>1</v>
      </c>
      <c r="Q605" s="16">
        <f t="shared" si="85"/>
        <v>2</v>
      </c>
      <c r="R605" s="16">
        <f t="shared" si="84"/>
        <v>41</v>
      </c>
      <c r="S605" s="16">
        <f t="shared" si="84"/>
        <v>0</v>
      </c>
      <c r="T605" s="16">
        <f t="shared" si="84"/>
        <v>0</v>
      </c>
      <c r="U605" s="16">
        <f t="shared" si="84"/>
        <v>0</v>
      </c>
      <c r="V605" s="16">
        <f t="shared" si="84"/>
        <v>0</v>
      </c>
      <c r="W605" s="16">
        <f t="shared" si="84"/>
        <v>1</v>
      </c>
      <c r="X605" s="16" t="str">
        <f t="shared" si="81"/>
        <v>null</v>
      </c>
    </row>
    <row r="606" spans="1:24" x14ac:dyDescent="0.15">
      <c r="A606" s="20" t="str">
        <f t="shared" si="83"/>
        <v>25_4-5/146&lt;lv52&gt;s3</v>
      </c>
      <c r="B606" s="16">
        <f t="shared" si="85"/>
        <v>25</v>
      </c>
      <c r="C606" s="16">
        <f t="shared" si="85"/>
        <v>4</v>
      </c>
      <c r="D606" s="16">
        <f t="shared" si="85"/>
        <v>5</v>
      </c>
      <c r="E606" s="16">
        <f t="shared" si="85"/>
        <v>146</v>
      </c>
      <c r="F606" s="16">
        <f t="shared" si="85"/>
        <v>52</v>
      </c>
      <c r="G606" s="16">
        <f t="shared" si="85"/>
        <v>1.5</v>
      </c>
      <c r="H606" s="16">
        <f t="shared" si="85"/>
        <v>1</v>
      </c>
      <c r="I606" s="16">
        <f t="shared" si="85"/>
        <v>0</v>
      </c>
      <c r="J606" s="16">
        <f t="shared" si="85"/>
        <v>146</v>
      </c>
      <c r="K606" s="16">
        <f t="shared" si="85"/>
        <v>1</v>
      </c>
      <c r="L606" s="16">
        <f t="shared" si="85"/>
        <v>100</v>
      </c>
      <c r="M606" s="16">
        <f t="shared" si="85"/>
        <v>1</v>
      </c>
      <c r="N606" s="16">
        <f t="shared" si="85"/>
        <v>3</v>
      </c>
      <c r="O606" s="16">
        <f t="shared" si="85"/>
        <v>146</v>
      </c>
      <c r="P606" s="16">
        <f t="shared" si="85"/>
        <v>1</v>
      </c>
      <c r="Q606" s="16">
        <f t="shared" ref="Q606:W621" si="86">VLOOKUP($A606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606" s="16">
        <f t="shared" si="86"/>
        <v>0</v>
      </c>
      <c r="S606" s="16">
        <f t="shared" si="86"/>
        <v>0</v>
      </c>
      <c r="T606" s="16">
        <f t="shared" si="86"/>
        <v>0</v>
      </c>
      <c r="U606" s="16">
        <f t="shared" si="86"/>
        <v>0</v>
      </c>
      <c r="V606" s="16">
        <f t="shared" si="86"/>
        <v>0</v>
      </c>
      <c r="W606" s="16">
        <f t="shared" si="86"/>
        <v>1</v>
      </c>
      <c r="X606" s="16" t="str">
        <f t="shared" si="81"/>
        <v>null</v>
      </c>
    </row>
    <row r="607" spans="1:24" x14ac:dyDescent="0.15">
      <c r="A607" s="20" t="str">
        <f t="shared" si="83"/>
        <v>25_4-5/156&lt;lv52&gt;s2</v>
      </c>
      <c r="B607" s="16">
        <f t="shared" ref="B607:Q622" si="87">VLOOKUP($A607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607" s="16">
        <f t="shared" si="87"/>
        <v>4</v>
      </c>
      <c r="D607" s="16">
        <f t="shared" si="87"/>
        <v>5</v>
      </c>
      <c r="E607" s="16">
        <f t="shared" si="87"/>
        <v>156</v>
      </c>
      <c r="F607" s="16">
        <f t="shared" si="87"/>
        <v>52</v>
      </c>
      <c r="G607" s="16">
        <f t="shared" si="87"/>
        <v>2</v>
      </c>
      <c r="H607" s="16">
        <f t="shared" si="87"/>
        <v>1</v>
      </c>
      <c r="I607" s="16">
        <f t="shared" si="87"/>
        <v>0</v>
      </c>
      <c r="J607" s="16">
        <f t="shared" si="87"/>
        <v>15601</v>
      </c>
      <c r="K607" s="16">
        <f t="shared" si="87"/>
        <v>1</v>
      </c>
      <c r="L607" s="16">
        <f t="shared" si="87"/>
        <v>100</v>
      </c>
      <c r="M607" s="16">
        <f t="shared" si="87"/>
        <v>1</v>
      </c>
      <c r="N607" s="16">
        <f t="shared" si="87"/>
        <v>2</v>
      </c>
      <c r="O607" s="16">
        <f t="shared" si="87"/>
        <v>196</v>
      </c>
      <c r="P607" s="16">
        <f t="shared" si="87"/>
        <v>1</v>
      </c>
      <c r="Q607" s="16">
        <f t="shared" si="87"/>
        <v>3</v>
      </c>
      <c r="R607" s="16">
        <f t="shared" si="86"/>
        <v>0</v>
      </c>
      <c r="S607" s="16">
        <f t="shared" si="86"/>
        <v>0</v>
      </c>
      <c r="T607" s="16">
        <f t="shared" si="86"/>
        <v>0</v>
      </c>
      <c r="U607" s="16">
        <f t="shared" si="86"/>
        <v>0</v>
      </c>
      <c r="V607" s="16">
        <f t="shared" si="86"/>
        <v>0</v>
      </c>
      <c r="W607" s="16">
        <f t="shared" si="86"/>
        <v>1</v>
      </c>
      <c r="X607" s="16" t="str">
        <f t="shared" si="81"/>
        <v>null</v>
      </c>
    </row>
    <row r="608" spans="1:24" x14ac:dyDescent="0.15">
      <c r="A608" s="20" t="str">
        <f t="shared" si="83"/>
        <v>25_5-1/25&lt;lv52&gt;s3</v>
      </c>
      <c r="B608" s="16">
        <f t="shared" si="87"/>
        <v>25</v>
      </c>
      <c r="C608" s="16">
        <f t="shared" si="87"/>
        <v>5</v>
      </c>
      <c r="D608" s="16">
        <f t="shared" si="87"/>
        <v>1</v>
      </c>
      <c r="E608" s="16">
        <f t="shared" si="87"/>
        <v>25</v>
      </c>
      <c r="F608" s="16">
        <f t="shared" si="87"/>
        <v>52</v>
      </c>
      <c r="G608" s="16">
        <f t="shared" si="87"/>
        <v>1</v>
      </c>
      <c r="H608" s="16">
        <f t="shared" si="87"/>
        <v>1</v>
      </c>
      <c r="I608" s="16">
        <f t="shared" si="87"/>
        <v>0</v>
      </c>
      <c r="J608" s="16">
        <f t="shared" si="87"/>
        <v>0</v>
      </c>
      <c r="K608" s="16">
        <f t="shared" si="87"/>
        <v>0</v>
      </c>
      <c r="L608" s="16">
        <f t="shared" si="87"/>
        <v>100</v>
      </c>
      <c r="M608" s="16">
        <f t="shared" si="87"/>
        <v>0</v>
      </c>
      <c r="N608" s="16">
        <f t="shared" si="87"/>
        <v>3</v>
      </c>
      <c r="O608" s="16">
        <f t="shared" si="87"/>
        <v>25</v>
      </c>
      <c r="P608" s="16">
        <f t="shared" si="87"/>
        <v>7</v>
      </c>
      <c r="Q608" s="16">
        <f t="shared" si="87"/>
        <v>1</v>
      </c>
      <c r="R608" s="16">
        <f t="shared" si="86"/>
        <v>15</v>
      </c>
      <c r="S608" s="16">
        <f t="shared" si="86"/>
        <v>0</v>
      </c>
      <c r="T608" s="16">
        <f t="shared" si="86"/>
        <v>0</v>
      </c>
      <c r="U608" s="16">
        <f t="shared" si="86"/>
        <v>0</v>
      </c>
      <c r="V608" s="16">
        <f t="shared" si="86"/>
        <v>0</v>
      </c>
      <c r="W608" s="16">
        <f t="shared" si="86"/>
        <v>1</v>
      </c>
      <c r="X608" s="16" t="str">
        <f t="shared" si="81"/>
        <v>null</v>
      </c>
    </row>
    <row r="609" spans="1:24" x14ac:dyDescent="0.15">
      <c r="A609" s="20" t="str">
        <f t="shared" si="83"/>
        <v>25_5-1/37&lt;lv52&gt;s3</v>
      </c>
      <c r="B609" s="16">
        <f t="shared" si="87"/>
        <v>25</v>
      </c>
      <c r="C609" s="16">
        <f t="shared" si="87"/>
        <v>5</v>
      </c>
      <c r="D609" s="16">
        <f t="shared" si="87"/>
        <v>1</v>
      </c>
      <c r="E609" s="16">
        <f t="shared" si="87"/>
        <v>37</v>
      </c>
      <c r="F609" s="16">
        <f t="shared" si="87"/>
        <v>52</v>
      </c>
      <c r="G609" s="16">
        <f t="shared" si="87"/>
        <v>1</v>
      </c>
      <c r="H609" s="16">
        <f t="shared" si="87"/>
        <v>1</v>
      </c>
      <c r="I609" s="16">
        <f t="shared" si="87"/>
        <v>0</v>
      </c>
      <c r="J609" s="16">
        <f t="shared" si="87"/>
        <v>37</v>
      </c>
      <c r="K609" s="16">
        <f t="shared" si="87"/>
        <v>0</v>
      </c>
      <c r="L609" s="16">
        <f t="shared" si="87"/>
        <v>100</v>
      </c>
      <c r="M609" s="16">
        <f t="shared" si="87"/>
        <v>0</v>
      </c>
      <c r="N609" s="16">
        <f t="shared" si="87"/>
        <v>3</v>
      </c>
      <c r="O609" s="16">
        <f t="shared" si="87"/>
        <v>37</v>
      </c>
      <c r="P609" s="16">
        <f t="shared" si="87"/>
        <v>5</v>
      </c>
      <c r="Q609" s="16">
        <f t="shared" si="87"/>
        <v>2</v>
      </c>
      <c r="R609" s="16">
        <f t="shared" si="86"/>
        <v>20</v>
      </c>
      <c r="S609" s="16">
        <f t="shared" si="86"/>
        <v>0</v>
      </c>
      <c r="T609" s="16">
        <f t="shared" si="86"/>
        <v>0</v>
      </c>
      <c r="U609" s="16">
        <f t="shared" si="86"/>
        <v>0</v>
      </c>
      <c r="V609" s="16">
        <f t="shared" si="86"/>
        <v>0</v>
      </c>
      <c r="W609" s="16">
        <f t="shared" si="86"/>
        <v>1</v>
      </c>
      <c r="X609" s="16" t="str">
        <f t="shared" si="81"/>
        <v>null</v>
      </c>
    </row>
    <row r="610" spans="1:24" x14ac:dyDescent="0.15">
      <c r="A610" s="20" t="str">
        <f t="shared" si="83"/>
        <v>25_5-1/45&lt;lv52&gt;s3</v>
      </c>
      <c r="B610" s="16">
        <f t="shared" si="87"/>
        <v>25</v>
      </c>
      <c r="C610" s="16">
        <f t="shared" si="87"/>
        <v>5</v>
      </c>
      <c r="D610" s="16">
        <f t="shared" si="87"/>
        <v>1</v>
      </c>
      <c r="E610" s="16">
        <f t="shared" si="87"/>
        <v>45</v>
      </c>
      <c r="F610" s="16">
        <f t="shared" si="87"/>
        <v>52</v>
      </c>
      <c r="G610" s="16">
        <f t="shared" si="87"/>
        <v>1</v>
      </c>
      <c r="H610" s="16">
        <f t="shared" si="87"/>
        <v>1</v>
      </c>
      <c r="I610" s="16">
        <f t="shared" si="87"/>
        <v>0</v>
      </c>
      <c r="J610" s="16">
        <f t="shared" si="87"/>
        <v>0</v>
      </c>
      <c r="K610" s="16">
        <f t="shared" si="87"/>
        <v>0</v>
      </c>
      <c r="L610" s="16">
        <f t="shared" si="87"/>
        <v>100</v>
      </c>
      <c r="M610" s="16">
        <f t="shared" si="87"/>
        <v>0</v>
      </c>
      <c r="N610" s="16">
        <f t="shared" si="87"/>
        <v>3</v>
      </c>
      <c r="O610" s="16">
        <f t="shared" si="87"/>
        <v>45</v>
      </c>
      <c r="P610" s="16">
        <f t="shared" si="87"/>
        <v>7</v>
      </c>
      <c r="Q610" s="16">
        <f t="shared" si="87"/>
        <v>2</v>
      </c>
      <c r="R610" s="16">
        <f t="shared" si="86"/>
        <v>20</v>
      </c>
      <c r="S610" s="16">
        <f t="shared" si="86"/>
        <v>0</v>
      </c>
      <c r="T610" s="16">
        <f t="shared" si="86"/>
        <v>0</v>
      </c>
      <c r="U610" s="16">
        <f t="shared" si="86"/>
        <v>0</v>
      </c>
      <c r="V610" s="16">
        <f t="shared" si="86"/>
        <v>0</v>
      </c>
      <c r="W610" s="16">
        <f t="shared" si="86"/>
        <v>1</v>
      </c>
      <c r="X610" s="16" t="str">
        <f t="shared" si="81"/>
        <v>null</v>
      </c>
    </row>
    <row r="611" spans="1:24" x14ac:dyDescent="0.15">
      <c r="A611" s="20" t="str">
        <f t="shared" si="83"/>
        <v>25_5-1/61&lt;lv52&gt;s2</v>
      </c>
      <c r="B611" s="16">
        <f t="shared" si="87"/>
        <v>25</v>
      </c>
      <c r="C611" s="16">
        <f t="shared" si="87"/>
        <v>5</v>
      </c>
      <c r="D611" s="16">
        <f t="shared" si="87"/>
        <v>1</v>
      </c>
      <c r="E611" s="16">
        <f t="shared" si="87"/>
        <v>61</v>
      </c>
      <c r="F611" s="16">
        <f t="shared" si="87"/>
        <v>52</v>
      </c>
      <c r="G611" s="16">
        <f t="shared" si="87"/>
        <v>1</v>
      </c>
      <c r="H611" s="16">
        <f t="shared" si="87"/>
        <v>1</v>
      </c>
      <c r="I611" s="16">
        <f t="shared" si="87"/>
        <v>0</v>
      </c>
      <c r="J611" s="16">
        <f t="shared" si="87"/>
        <v>61</v>
      </c>
      <c r="K611" s="16">
        <f t="shared" si="87"/>
        <v>0</v>
      </c>
      <c r="L611" s="16">
        <f t="shared" si="87"/>
        <v>100</v>
      </c>
      <c r="M611" s="16">
        <f t="shared" si="87"/>
        <v>0</v>
      </c>
      <c r="N611" s="16">
        <f t="shared" si="87"/>
        <v>2</v>
      </c>
      <c r="O611" s="16">
        <f t="shared" si="87"/>
        <v>61</v>
      </c>
      <c r="P611" s="16">
        <f t="shared" si="87"/>
        <v>7</v>
      </c>
      <c r="Q611" s="16">
        <f t="shared" si="87"/>
        <v>2</v>
      </c>
      <c r="R611" s="16">
        <f t="shared" si="86"/>
        <v>20</v>
      </c>
      <c r="S611" s="16">
        <f t="shared" si="86"/>
        <v>0</v>
      </c>
      <c r="T611" s="16">
        <f t="shared" si="86"/>
        <v>0</v>
      </c>
      <c r="U611" s="16">
        <f t="shared" si="86"/>
        <v>0</v>
      </c>
      <c r="V611" s="16">
        <f t="shared" si="86"/>
        <v>0</v>
      </c>
      <c r="W611" s="16">
        <f t="shared" si="86"/>
        <v>1</v>
      </c>
      <c r="X611" s="16" t="str">
        <f t="shared" si="81"/>
        <v>null</v>
      </c>
    </row>
    <row r="612" spans="1:24" x14ac:dyDescent="0.15">
      <c r="A612" s="20" t="str">
        <f t="shared" si="83"/>
        <v>25_5-1/17&lt;lv52&gt;s2</v>
      </c>
      <c r="B612" s="16">
        <f t="shared" si="87"/>
        <v>25</v>
      </c>
      <c r="C612" s="16">
        <f t="shared" si="87"/>
        <v>5</v>
      </c>
      <c r="D612" s="16">
        <f t="shared" si="87"/>
        <v>1</v>
      </c>
      <c r="E612" s="16">
        <f t="shared" si="87"/>
        <v>17</v>
      </c>
      <c r="F612" s="16">
        <f t="shared" si="87"/>
        <v>52</v>
      </c>
      <c r="G612" s="16">
        <f t="shared" si="87"/>
        <v>1</v>
      </c>
      <c r="H612" s="16">
        <f t="shared" si="87"/>
        <v>1</v>
      </c>
      <c r="I612" s="16">
        <f t="shared" si="87"/>
        <v>0</v>
      </c>
      <c r="J612" s="16">
        <f t="shared" si="87"/>
        <v>0</v>
      </c>
      <c r="K612" s="16">
        <f t="shared" si="87"/>
        <v>0</v>
      </c>
      <c r="L612" s="16">
        <f t="shared" si="87"/>
        <v>100</v>
      </c>
      <c r="M612" s="16">
        <f t="shared" si="87"/>
        <v>0</v>
      </c>
      <c r="N612" s="16">
        <f t="shared" si="87"/>
        <v>2</v>
      </c>
      <c r="O612" s="16">
        <f t="shared" si="87"/>
        <v>17</v>
      </c>
      <c r="P612" s="16">
        <f t="shared" si="87"/>
        <v>9</v>
      </c>
      <c r="Q612" s="16">
        <f t="shared" si="87"/>
        <v>1</v>
      </c>
      <c r="R612" s="16">
        <f t="shared" si="86"/>
        <v>15</v>
      </c>
      <c r="S612" s="16">
        <f t="shared" si="86"/>
        <v>0</v>
      </c>
      <c r="T612" s="16">
        <f t="shared" si="86"/>
        <v>0</v>
      </c>
      <c r="U612" s="16">
        <f t="shared" si="86"/>
        <v>0</v>
      </c>
      <c r="V612" s="16">
        <f t="shared" si="86"/>
        <v>0</v>
      </c>
      <c r="W612" s="16">
        <f t="shared" si="86"/>
        <v>1</v>
      </c>
      <c r="X612" s="16" t="str">
        <f t="shared" si="81"/>
        <v>null</v>
      </c>
    </row>
    <row r="613" spans="1:24" x14ac:dyDescent="0.15">
      <c r="A613" s="20" t="str">
        <f t="shared" si="83"/>
        <v>25_5-1/53&lt;lv52&gt;s2</v>
      </c>
      <c r="B613" s="16">
        <f t="shared" si="87"/>
        <v>25</v>
      </c>
      <c r="C613" s="16">
        <f t="shared" si="87"/>
        <v>5</v>
      </c>
      <c r="D613" s="16">
        <f t="shared" si="87"/>
        <v>1</v>
      </c>
      <c r="E613" s="16">
        <f t="shared" si="87"/>
        <v>53</v>
      </c>
      <c r="F613" s="16">
        <f t="shared" si="87"/>
        <v>52</v>
      </c>
      <c r="G613" s="16">
        <f t="shared" si="87"/>
        <v>1</v>
      </c>
      <c r="H613" s="16">
        <f t="shared" si="87"/>
        <v>1</v>
      </c>
      <c r="I613" s="16">
        <f t="shared" si="87"/>
        <v>0</v>
      </c>
      <c r="J613" s="16">
        <f t="shared" si="87"/>
        <v>53</v>
      </c>
      <c r="K613" s="16">
        <f t="shared" si="87"/>
        <v>0</v>
      </c>
      <c r="L613" s="16">
        <f t="shared" si="87"/>
        <v>100</v>
      </c>
      <c r="M613" s="16">
        <f t="shared" si="87"/>
        <v>0</v>
      </c>
      <c r="N613" s="16">
        <f t="shared" si="87"/>
        <v>2</v>
      </c>
      <c r="O613" s="16">
        <f t="shared" si="87"/>
        <v>53</v>
      </c>
      <c r="P613" s="16">
        <f t="shared" si="87"/>
        <v>7</v>
      </c>
      <c r="Q613" s="16">
        <f t="shared" si="87"/>
        <v>2</v>
      </c>
      <c r="R613" s="16">
        <f t="shared" si="86"/>
        <v>20</v>
      </c>
      <c r="S613" s="16">
        <f t="shared" si="86"/>
        <v>0</v>
      </c>
      <c r="T613" s="16">
        <f t="shared" si="86"/>
        <v>0</v>
      </c>
      <c r="U613" s="16">
        <f t="shared" si="86"/>
        <v>0</v>
      </c>
      <c r="V613" s="16">
        <f t="shared" si="86"/>
        <v>0</v>
      </c>
      <c r="W613" s="16">
        <f t="shared" si="86"/>
        <v>1</v>
      </c>
      <c r="X613" s="16" t="str">
        <f t="shared" si="81"/>
        <v>null</v>
      </c>
    </row>
    <row r="614" spans="1:24" x14ac:dyDescent="0.15">
      <c r="A614" s="20" t="str">
        <f t="shared" si="83"/>
        <v>25_5-1/364&lt;lv52&gt;s3</v>
      </c>
      <c r="B614" s="16">
        <f t="shared" si="87"/>
        <v>25</v>
      </c>
      <c r="C614" s="16">
        <f t="shared" si="87"/>
        <v>5</v>
      </c>
      <c r="D614" s="16">
        <f t="shared" si="87"/>
        <v>1</v>
      </c>
      <c r="E614" s="16">
        <f t="shared" si="87"/>
        <v>364</v>
      </c>
      <c r="F614" s="16">
        <f t="shared" si="87"/>
        <v>52</v>
      </c>
      <c r="G614" s="16">
        <f t="shared" si="87"/>
        <v>1</v>
      </c>
      <c r="H614" s="16">
        <f t="shared" si="87"/>
        <v>1</v>
      </c>
      <c r="I614" s="16">
        <f t="shared" si="87"/>
        <v>0</v>
      </c>
      <c r="J614" s="16">
        <f t="shared" si="87"/>
        <v>364</v>
      </c>
      <c r="K614" s="16">
        <f t="shared" si="87"/>
        <v>0</v>
      </c>
      <c r="L614" s="16">
        <f t="shared" si="87"/>
        <v>100</v>
      </c>
      <c r="M614" s="16">
        <f t="shared" si="87"/>
        <v>0</v>
      </c>
      <c r="N614" s="16">
        <f t="shared" si="87"/>
        <v>3</v>
      </c>
      <c r="O614" s="16">
        <f t="shared" si="87"/>
        <v>364</v>
      </c>
      <c r="P614" s="16">
        <f t="shared" si="87"/>
        <v>7</v>
      </c>
      <c r="Q614" s="16">
        <f t="shared" si="87"/>
        <v>2</v>
      </c>
      <c r="R614" s="16">
        <f t="shared" si="86"/>
        <v>20</v>
      </c>
      <c r="S614" s="16">
        <f t="shared" si="86"/>
        <v>0</v>
      </c>
      <c r="T614" s="16">
        <f t="shared" si="86"/>
        <v>0</v>
      </c>
      <c r="U614" s="16">
        <f t="shared" si="86"/>
        <v>0</v>
      </c>
      <c r="V614" s="16">
        <f t="shared" si="86"/>
        <v>0</v>
      </c>
      <c r="W614" s="16">
        <f t="shared" si="86"/>
        <v>1</v>
      </c>
      <c r="X614" s="16" t="str">
        <f t="shared" si="81"/>
        <v>null</v>
      </c>
    </row>
    <row r="615" spans="1:24" x14ac:dyDescent="0.15">
      <c r="A615" s="20" t="str">
        <f t="shared" si="83"/>
        <v>25_5-1/352&lt;lv52&gt;s3</v>
      </c>
      <c r="B615" s="16">
        <f t="shared" si="87"/>
        <v>25</v>
      </c>
      <c r="C615" s="16">
        <f t="shared" si="87"/>
        <v>5</v>
      </c>
      <c r="D615" s="16">
        <f t="shared" si="87"/>
        <v>1</v>
      </c>
      <c r="E615" s="16">
        <f t="shared" si="87"/>
        <v>352</v>
      </c>
      <c r="F615" s="16">
        <f t="shared" si="87"/>
        <v>52</v>
      </c>
      <c r="G615" s="16">
        <f t="shared" si="87"/>
        <v>1</v>
      </c>
      <c r="H615" s="16">
        <f t="shared" si="87"/>
        <v>1</v>
      </c>
      <c r="I615" s="16">
        <f t="shared" si="87"/>
        <v>0</v>
      </c>
      <c r="J615" s="16">
        <f t="shared" si="87"/>
        <v>352</v>
      </c>
      <c r="K615" s="16">
        <f t="shared" si="87"/>
        <v>0</v>
      </c>
      <c r="L615" s="16">
        <f t="shared" si="87"/>
        <v>100</v>
      </c>
      <c r="M615" s="16">
        <f t="shared" si="87"/>
        <v>0</v>
      </c>
      <c r="N615" s="16">
        <f t="shared" si="87"/>
        <v>3</v>
      </c>
      <c r="O615" s="16">
        <f t="shared" si="87"/>
        <v>352</v>
      </c>
      <c r="P615" s="16">
        <f t="shared" si="87"/>
        <v>1</v>
      </c>
      <c r="Q615" s="16">
        <f t="shared" si="87"/>
        <v>2</v>
      </c>
      <c r="R615" s="16">
        <f t="shared" si="86"/>
        <v>60</v>
      </c>
      <c r="S615" s="16">
        <f t="shared" si="86"/>
        <v>0</v>
      </c>
      <c r="T615" s="16">
        <f t="shared" si="86"/>
        <v>0</v>
      </c>
      <c r="U615" s="16">
        <f t="shared" si="86"/>
        <v>0</v>
      </c>
      <c r="V615" s="16">
        <f t="shared" si="86"/>
        <v>0</v>
      </c>
      <c r="W615" s="16">
        <f t="shared" si="86"/>
        <v>1</v>
      </c>
      <c r="X615" s="16" t="str">
        <f t="shared" si="81"/>
        <v>null</v>
      </c>
    </row>
    <row r="616" spans="1:24" x14ac:dyDescent="0.15">
      <c r="A616" s="20" t="str">
        <f t="shared" si="83"/>
        <v>25_5-2/13&lt;lv52&gt;s2</v>
      </c>
      <c r="B616" s="16">
        <f t="shared" si="87"/>
        <v>25</v>
      </c>
      <c r="C616" s="16">
        <f t="shared" si="87"/>
        <v>5</v>
      </c>
      <c r="D616" s="16">
        <f t="shared" si="87"/>
        <v>2</v>
      </c>
      <c r="E616" s="16">
        <f t="shared" si="87"/>
        <v>13</v>
      </c>
      <c r="F616" s="16">
        <f t="shared" si="87"/>
        <v>52</v>
      </c>
      <c r="G616" s="16">
        <f t="shared" si="87"/>
        <v>1</v>
      </c>
      <c r="H616" s="16">
        <f t="shared" si="87"/>
        <v>1</v>
      </c>
      <c r="I616" s="16">
        <f t="shared" si="87"/>
        <v>0</v>
      </c>
      <c r="J616" s="16">
        <f t="shared" si="87"/>
        <v>0</v>
      </c>
      <c r="K616" s="16">
        <f t="shared" si="87"/>
        <v>0</v>
      </c>
      <c r="L616" s="16">
        <f t="shared" si="87"/>
        <v>100</v>
      </c>
      <c r="M616" s="16">
        <f t="shared" si="87"/>
        <v>0</v>
      </c>
      <c r="N616" s="16">
        <f t="shared" si="87"/>
        <v>2</v>
      </c>
      <c r="O616" s="16">
        <f t="shared" si="87"/>
        <v>13</v>
      </c>
      <c r="P616" s="16">
        <f t="shared" si="87"/>
        <v>9</v>
      </c>
      <c r="Q616" s="16">
        <f t="shared" si="87"/>
        <v>1</v>
      </c>
      <c r="R616" s="16">
        <f t="shared" si="86"/>
        <v>15</v>
      </c>
      <c r="S616" s="16">
        <f t="shared" si="86"/>
        <v>0</v>
      </c>
      <c r="T616" s="16">
        <f t="shared" si="86"/>
        <v>0</v>
      </c>
      <c r="U616" s="16">
        <f t="shared" si="86"/>
        <v>0</v>
      </c>
      <c r="V616" s="16">
        <f t="shared" si="86"/>
        <v>0</v>
      </c>
      <c r="W616" s="16">
        <f t="shared" si="86"/>
        <v>1</v>
      </c>
      <c r="X616" s="16" t="str">
        <f t="shared" si="81"/>
        <v>null</v>
      </c>
    </row>
    <row r="617" spans="1:24" x14ac:dyDescent="0.15">
      <c r="A617" s="20" t="str">
        <f t="shared" si="83"/>
        <v>25_5-2/47&lt;lv52&gt;s1</v>
      </c>
      <c r="B617" s="16">
        <f t="shared" si="87"/>
        <v>25</v>
      </c>
      <c r="C617" s="16">
        <f t="shared" si="87"/>
        <v>5</v>
      </c>
      <c r="D617" s="16">
        <f t="shared" si="87"/>
        <v>2</v>
      </c>
      <c r="E617" s="16">
        <f t="shared" si="87"/>
        <v>47</v>
      </c>
      <c r="F617" s="16">
        <f t="shared" si="87"/>
        <v>52</v>
      </c>
      <c r="G617" s="16">
        <f t="shared" si="87"/>
        <v>1</v>
      </c>
      <c r="H617" s="16">
        <f t="shared" si="87"/>
        <v>1</v>
      </c>
      <c r="I617" s="16">
        <f t="shared" si="87"/>
        <v>0</v>
      </c>
      <c r="J617" s="16">
        <f t="shared" si="87"/>
        <v>0</v>
      </c>
      <c r="K617" s="16">
        <f t="shared" si="87"/>
        <v>0</v>
      </c>
      <c r="L617" s="16">
        <f t="shared" si="87"/>
        <v>100</v>
      </c>
      <c r="M617" s="16">
        <f t="shared" si="87"/>
        <v>0</v>
      </c>
      <c r="N617" s="16">
        <f t="shared" si="87"/>
        <v>1</v>
      </c>
      <c r="O617" s="16">
        <f t="shared" si="87"/>
        <v>47</v>
      </c>
      <c r="P617" s="16">
        <f t="shared" si="87"/>
        <v>7</v>
      </c>
      <c r="Q617" s="16">
        <f t="shared" si="87"/>
        <v>2</v>
      </c>
      <c r="R617" s="16">
        <f t="shared" si="86"/>
        <v>20</v>
      </c>
      <c r="S617" s="16">
        <f t="shared" si="86"/>
        <v>0</v>
      </c>
      <c r="T617" s="16">
        <f t="shared" si="86"/>
        <v>0</v>
      </c>
      <c r="U617" s="16">
        <f t="shared" si="86"/>
        <v>0</v>
      </c>
      <c r="V617" s="16">
        <f t="shared" si="86"/>
        <v>0</v>
      </c>
      <c r="W617" s="16">
        <f t="shared" si="86"/>
        <v>1</v>
      </c>
      <c r="X617" s="16" t="str">
        <f t="shared" si="81"/>
        <v>null</v>
      </c>
    </row>
    <row r="618" spans="1:24" x14ac:dyDescent="0.15">
      <c r="A618" s="20" t="str">
        <f t="shared" si="83"/>
        <v>25_5-2/63&lt;lv52&gt;s2</v>
      </c>
      <c r="B618" s="16">
        <f t="shared" si="87"/>
        <v>25</v>
      </c>
      <c r="C618" s="16">
        <f t="shared" si="87"/>
        <v>5</v>
      </c>
      <c r="D618" s="16">
        <f t="shared" si="87"/>
        <v>2</v>
      </c>
      <c r="E618" s="16">
        <f t="shared" si="87"/>
        <v>63</v>
      </c>
      <c r="F618" s="16">
        <f t="shared" si="87"/>
        <v>52</v>
      </c>
      <c r="G618" s="16">
        <f t="shared" si="87"/>
        <v>1</v>
      </c>
      <c r="H618" s="16">
        <f t="shared" si="87"/>
        <v>1</v>
      </c>
      <c r="I618" s="16">
        <f t="shared" si="87"/>
        <v>0</v>
      </c>
      <c r="J618" s="16">
        <f t="shared" si="87"/>
        <v>63</v>
      </c>
      <c r="K618" s="16">
        <f t="shared" si="87"/>
        <v>0</v>
      </c>
      <c r="L618" s="16">
        <f t="shared" si="87"/>
        <v>100</v>
      </c>
      <c r="M618" s="16">
        <f t="shared" si="87"/>
        <v>0</v>
      </c>
      <c r="N618" s="16">
        <f t="shared" si="87"/>
        <v>2</v>
      </c>
      <c r="O618" s="16">
        <f t="shared" si="87"/>
        <v>63</v>
      </c>
      <c r="P618" s="16">
        <f t="shared" si="87"/>
        <v>7</v>
      </c>
      <c r="Q618" s="16">
        <f t="shared" si="87"/>
        <v>2</v>
      </c>
      <c r="R618" s="16">
        <f t="shared" si="86"/>
        <v>20</v>
      </c>
      <c r="S618" s="16">
        <f t="shared" si="86"/>
        <v>0</v>
      </c>
      <c r="T618" s="16">
        <f t="shared" si="86"/>
        <v>0</v>
      </c>
      <c r="U618" s="16">
        <f t="shared" si="86"/>
        <v>0</v>
      </c>
      <c r="V618" s="16">
        <f t="shared" si="86"/>
        <v>0</v>
      </c>
      <c r="W618" s="16">
        <f t="shared" si="86"/>
        <v>1</v>
      </c>
      <c r="X618" s="16" t="str">
        <f t="shared" si="81"/>
        <v>null</v>
      </c>
    </row>
    <row r="619" spans="1:24" x14ac:dyDescent="0.15">
      <c r="A619" s="20" t="str">
        <f t="shared" si="83"/>
        <v>25_5-2/19&lt;lv52&gt;s3</v>
      </c>
      <c r="B619" s="16">
        <f t="shared" si="87"/>
        <v>25</v>
      </c>
      <c r="C619" s="16">
        <f t="shared" si="87"/>
        <v>5</v>
      </c>
      <c r="D619" s="16">
        <f t="shared" si="87"/>
        <v>2</v>
      </c>
      <c r="E619" s="16">
        <f t="shared" si="87"/>
        <v>19</v>
      </c>
      <c r="F619" s="16">
        <f t="shared" si="87"/>
        <v>52</v>
      </c>
      <c r="G619" s="16">
        <f t="shared" si="87"/>
        <v>1</v>
      </c>
      <c r="H619" s="16">
        <f t="shared" si="87"/>
        <v>1</v>
      </c>
      <c r="I619" s="16">
        <f t="shared" si="87"/>
        <v>0</v>
      </c>
      <c r="J619" s="16">
        <f t="shared" si="87"/>
        <v>0</v>
      </c>
      <c r="K619" s="16">
        <f t="shared" si="87"/>
        <v>0</v>
      </c>
      <c r="L619" s="16">
        <f t="shared" si="87"/>
        <v>100</v>
      </c>
      <c r="M619" s="16">
        <f t="shared" si="87"/>
        <v>0</v>
      </c>
      <c r="N619" s="16">
        <f t="shared" si="87"/>
        <v>3</v>
      </c>
      <c r="O619" s="16">
        <f t="shared" si="87"/>
        <v>19</v>
      </c>
      <c r="P619" s="16">
        <f t="shared" si="87"/>
        <v>9</v>
      </c>
      <c r="Q619" s="16">
        <f t="shared" si="87"/>
        <v>1</v>
      </c>
      <c r="R619" s="16">
        <f t="shared" si="86"/>
        <v>15</v>
      </c>
      <c r="S619" s="16">
        <f t="shared" si="86"/>
        <v>0</v>
      </c>
      <c r="T619" s="16">
        <f t="shared" si="86"/>
        <v>0</v>
      </c>
      <c r="U619" s="16">
        <f t="shared" si="86"/>
        <v>0</v>
      </c>
      <c r="V619" s="16">
        <f t="shared" si="86"/>
        <v>0</v>
      </c>
      <c r="W619" s="16">
        <f t="shared" si="86"/>
        <v>1</v>
      </c>
      <c r="X619" s="16" t="str">
        <f t="shared" si="81"/>
        <v>null</v>
      </c>
    </row>
    <row r="620" spans="1:24" x14ac:dyDescent="0.15">
      <c r="A620" s="20" t="str">
        <f t="shared" si="83"/>
        <v>25_5-2/39&lt;lv52&gt;s3</v>
      </c>
      <c r="B620" s="16">
        <f t="shared" si="87"/>
        <v>25</v>
      </c>
      <c r="C620" s="16">
        <f t="shared" si="87"/>
        <v>5</v>
      </c>
      <c r="D620" s="16">
        <f t="shared" si="87"/>
        <v>2</v>
      </c>
      <c r="E620" s="16">
        <f t="shared" si="87"/>
        <v>39</v>
      </c>
      <c r="F620" s="16">
        <f t="shared" si="87"/>
        <v>52</v>
      </c>
      <c r="G620" s="16">
        <f t="shared" si="87"/>
        <v>1</v>
      </c>
      <c r="H620" s="16">
        <f t="shared" si="87"/>
        <v>1</v>
      </c>
      <c r="I620" s="16">
        <f t="shared" si="87"/>
        <v>0</v>
      </c>
      <c r="J620" s="16">
        <f t="shared" si="87"/>
        <v>39</v>
      </c>
      <c r="K620" s="16">
        <f t="shared" si="87"/>
        <v>0</v>
      </c>
      <c r="L620" s="16">
        <f t="shared" si="87"/>
        <v>100</v>
      </c>
      <c r="M620" s="16">
        <f t="shared" si="87"/>
        <v>0</v>
      </c>
      <c r="N620" s="16">
        <f t="shared" si="87"/>
        <v>3</v>
      </c>
      <c r="O620" s="16">
        <f t="shared" si="87"/>
        <v>39</v>
      </c>
      <c r="P620" s="16">
        <f t="shared" si="87"/>
        <v>5</v>
      </c>
      <c r="Q620" s="16">
        <f t="shared" si="87"/>
        <v>2</v>
      </c>
      <c r="R620" s="16">
        <f t="shared" si="86"/>
        <v>20</v>
      </c>
      <c r="S620" s="16">
        <f t="shared" si="86"/>
        <v>0</v>
      </c>
      <c r="T620" s="16">
        <f t="shared" si="86"/>
        <v>0</v>
      </c>
      <c r="U620" s="16">
        <f t="shared" si="86"/>
        <v>0</v>
      </c>
      <c r="V620" s="16">
        <f t="shared" si="86"/>
        <v>0</v>
      </c>
      <c r="W620" s="16">
        <f t="shared" si="86"/>
        <v>1</v>
      </c>
      <c r="X620" s="16" t="str">
        <f t="shared" si="81"/>
        <v>null</v>
      </c>
    </row>
    <row r="621" spans="1:24" x14ac:dyDescent="0.15">
      <c r="A621" s="20" t="str">
        <f t="shared" si="83"/>
        <v>25_5-2/55&lt;lv52&gt;s4</v>
      </c>
      <c r="B621" s="16">
        <f t="shared" si="87"/>
        <v>25</v>
      </c>
      <c r="C621" s="16">
        <f t="shared" si="87"/>
        <v>5</v>
      </c>
      <c r="D621" s="16">
        <f t="shared" si="87"/>
        <v>2</v>
      </c>
      <c r="E621" s="16">
        <f t="shared" si="87"/>
        <v>55</v>
      </c>
      <c r="F621" s="16">
        <f t="shared" si="87"/>
        <v>52</v>
      </c>
      <c r="G621" s="16">
        <f t="shared" si="87"/>
        <v>1</v>
      </c>
      <c r="H621" s="16">
        <f t="shared" si="87"/>
        <v>1</v>
      </c>
      <c r="I621" s="16">
        <f t="shared" si="87"/>
        <v>0</v>
      </c>
      <c r="J621" s="16">
        <f t="shared" si="87"/>
        <v>55</v>
      </c>
      <c r="K621" s="16">
        <f t="shared" si="87"/>
        <v>0</v>
      </c>
      <c r="L621" s="16">
        <f t="shared" si="87"/>
        <v>100</v>
      </c>
      <c r="M621" s="16">
        <f t="shared" si="87"/>
        <v>0</v>
      </c>
      <c r="N621" s="16">
        <f t="shared" si="87"/>
        <v>4</v>
      </c>
      <c r="O621" s="16">
        <f t="shared" si="87"/>
        <v>55</v>
      </c>
      <c r="P621" s="16">
        <f t="shared" si="87"/>
        <v>7</v>
      </c>
      <c r="Q621" s="16">
        <f t="shared" si="87"/>
        <v>2</v>
      </c>
      <c r="R621" s="16">
        <f t="shared" si="86"/>
        <v>20</v>
      </c>
      <c r="S621" s="16">
        <f t="shared" si="86"/>
        <v>0</v>
      </c>
      <c r="T621" s="16">
        <f t="shared" si="86"/>
        <v>0</v>
      </c>
      <c r="U621" s="16">
        <f t="shared" si="86"/>
        <v>0</v>
      </c>
      <c r="V621" s="16">
        <f t="shared" si="86"/>
        <v>0</v>
      </c>
      <c r="W621" s="16">
        <f t="shared" si="86"/>
        <v>1</v>
      </c>
      <c r="X621" s="16" t="str">
        <f t="shared" si="81"/>
        <v>null</v>
      </c>
    </row>
    <row r="622" spans="1:24" x14ac:dyDescent="0.15">
      <c r="A622" s="20" t="str">
        <f t="shared" si="83"/>
        <v>25_5-2/366&lt;lv52&gt;s3</v>
      </c>
      <c r="B622" s="16">
        <f t="shared" si="87"/>
        <v>25</v>
      </c>
      <c r="C622" s="16">
        <f t="shared" si="87"/>
        <v>5</v>
      </c>
      <c r="D622" s="16">
        <f t="shared" si="87"/>
        <v>2</v>
      </c>
      <c r="E622" s="16">
        <f t="shared" si="87"/>
        <v>366</v>
      </c>
      <c r="F622" s="16">
        <f t="shared" si="87"/>
        <v>52</v>
      </c>
      <c r="G622" s="16">
        <f t="shared" si="87"/>
        <v>1</v>
      </c>
      <c r="H622" s="16">
        <f t="shared" si="87"/>
        <v>1</v>
      </c>
      <c r="I622" s="16">
        <f t="shared" si="87"/>
        <v>0</v>
      </c>
      <c r="J622" s="16">
        <f t="shared" si="87"/>
        <v>366</v>
      </c>
      <c r="K622" s="16">
        <f t="shared" si="87"/>
        <v>0</v>
      </c>
      <c r="L622" s="16">
        <f t="shared" si="87"/>
        <v>100</v>
      </c>
      <c r="M622" s="16">
        <f t="shared" si="87"/>
        <v>0</v>
      </c>
      <c r="N622" s="16">
        <f t="shared" si="87"/>
        <v>3</v>
      </c>
      <c r="O622" s="16">
        <f t="shared" si="87"/>
        <v>366</v>
      </c>
      <c r="P622" s="16">
        <f t="shared" si="87"/>
        <v>7</v>
      </c>
      <c r="Q622" s="16">
        <f t="shared" ref="Q622:W637" si="88">VLOOKUP($A622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622" s="16">
        <f t="shared" si="88"/>
        <v>20</v>
      </c>
      <c r="S622" s="16">
        <f t="shared" si="88"/>
        <v>0</v>
      </c>
      <c r="T622" s="16">
        <f t="shared" si="88"/>
        <v>0</v>
      </c>
      <c r="U622" s="16">
        <f t="shared" si="88"/>
        <v>0</v>
      </c>
      <c r="V622" s="16">
        <f t="shared" si="88"/>
        <v>0</v>
      </c>
      <c r="W622" s="16">
        <f t="shared" si="88"/>
        <v>1</v>
      </c>
      <c r="X622" s="16" t="str">
        <f t="shared" si="81"/>
        <v>null</v>
      </c>
    </row>
    <row r="623" spans="1:24" x14ac:dyDescent="0.15">
      <c r="A623" s="20" t="str">
        <f t="shared" si="83"/>
        <v>25_5-2/354&lt;lv52&gt;s3</v>
      </c>
      <c r="B623" s="16">
        <f t="shared" ref="B623:Q638" si="89">VLOOKUP($A623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623" s="16">
        <f t="shared" si="89"/>
        <v>5</v>
      </c>
      <c r="D623" s="16">
        <f t="shared" si="89"/>
        <v>2</v>
      </c>
      <c r="E623" s="16">
        <f t="shared" si="89"/>
        <v>354</v>
      </c>
      <c r="F623" s="16">
        <f t="shared" si="89"/>
        <v>52</v>
      </c>
      <c r="G623" s="16">
        <f t="shared" si="89"/>
        <v>1</v>
      </c>
      <c r="H623" s="16">
        <f t="shared" si="89"/>
        <v>1</v>
      </c>
      <c r="I623" s="16">
        <f t="shared" si="89"/>
        <v>0</v>
      </c>
      <c r="J623" s="16">
        <f t="shared" si="89"/>
        <v>354</v>
      </c>
      <c r="K623" s="16">
        <f t="shared" si="89"/>
        <v>0</v>
      </c>
      <c r="L623" s="16">
        <f t="shared" si="89"/>
        <v>100</v>
      </c>
      <c r="M623" s="16">
        <f t="shared" si="89"/>
        <v>0</v>
      </c>
      <c r="N623" s="16">
        <f t="shared" si="89"/>
        <v>3</v>
      </c>
      <c r="O623" s="16">
        <f t="shared" si="89"/>
        <v>354</v>
      </c>
      <c r="P623" s="16">
        <f t="shared" si="89"/>
        <v>1</v>
      </c>
      <c r="Q623" s="16">
        <f t="shared" si="89"/>
        <v>2</v>
      </c>
      <c r="R623" s="16">
        <f t="shared" si="88"/>
        <v>60</v>
      </c>
      <c r="S623" s="16">
        <f t="shared" si="88"/>
        <v>0</v>
      </c>
      <c r="T623" s="16">
        <f t="shared" si="88"/>
        <v>0</v>
      </c>
      <c r="U623" s="16">
        <f t="shared" si="88"/>
        <v>0</v>
      </c>
      <c r="V623" s="16">
        <f t="shared" si="88"/>
        <v>0</v>
      </c>
      <c r="W623" s="16">
        <f t="shared" si="88"/>
        <v>1</v>
      </c>
      <c r="X623" s="16" t="str">
        <f t="shared" si="81"/>
        <v>null</v>
      </c>
    </row>
    <row r="624" spans="1:24" x14ac:dyDescent="0.15">
      <c r="A624" s="20" t="str">
        <f t="shared" si="83"/>
        <v>25_5-3/149&lt;lv52&gt;s1</v>
      </c>
      <c r="B624" s="16">
        <f t="shared" si="89"/>
        <v>25</v>
      </c>
      <c r="C624" s="16">
        <f t="shared" si="89"/>
        <v>5</v>
      </c>
      <c r="D624" s="16">
        <f t="shared" si="89"/>
        <v>3</v>
      </c>
      <c r="E624" s="16">
        <f t="shared" si="89"/>
        <v>149</v>
      </c>
      <c r="F624" s="16">
        <f t="shared" si="89"/>
        <v>52</v>
      </c>
      <c r="G624" s="16">
        <f t="shared" si="89"/>
        <v>1.5</v>
      </c>
      <c r="H624" s="16">
        <f t="shared" si="89"/>
        <v>1</v>
      </c>
      <c r="I624" s="16">
        <f t="shared" si="89"/>
        <v>0</v>
      </c>
      <c r="J624" s="16">
        <f t="shared" si="89"/>
        <v>149</v>
      </c>
      <c r="K624" s="16">
        <f t="shared" si="89"/>
        <v>1</v>
      </c>
      <c r="L624" s="16">
        <f t="shared" si="89"/>
        <v>100</v>
      </c>
      <c r="M624" s="16">
        <f t="shared" si="89"/>
        <v>1</v>
      </c>
      <c r="N624" s="16">
        <f t="shared" si="89"/>
        <v>1</v>
      </c>
      <c r="O624" s="16">
        <f t="shared" si="89"/>
        <v>149</v>
      </c>
      <c r="P624" s="16">
        <f t="shared" si="89"/>
        <v>1</v>
      </c>
      <c r="Q624" s="16">
        <f t="shared" si="89"/>
        <v>4</v>
      </c>
      <c r="R624" s="16">
        <f t="shared" si="88"/>
        <v>0</v>
      </c>
      <c r="S624" s="16">
        <f t="shared" si="88"/>
        <v>0</v>
      </c>
      <c r="T624" s="16">
        <f t="shared" si="88"/>
        <v>0</v>
      </c>
      <c r="U624" s="16">
        <f t="shared" si="88"/>
        <v>0</v>
      </c>
      <c r="V624" s="16">
        <f t="shared" si="88"/>
        <v>0</v>
      </c>
      <c r="W624" s="16">
        <f t="shared" si="88"/>
        <v>1</v>
      </c>
      <c r="X624" s="16" t="str">
        <f t="shared" si="81"/>
        <v>null</v>
      </c>
    </row>
    <row r="625" spans="1:24" x14ac:dyDescent="0.15">
      <c r="A625" s="20" t="str">
        <f t="shared" si="83"/>
        <v>25_5-3/26&lt;lv52&gt;s3</v>
      </c>
      <c r="B625" s="16">
        <f t="shared" si="89"/>
        <v>25</v>
      </c>
      <c r="C625" s="16">
        <f t="shared" si="89"/>
        <v>5</v>
      </c>
      <c r="D625" s="16">
        <f t="shared" si="89"/>
        <v>3</v>
      </c>
      <c r="E625" s="16">
        <f t="shared" si="89"/>
        <v>26</v>
      </c>
      <c r="F625" s="16">
        <f t="shared" si="89"/>
        <v>52</v>
      </c>
      <c r="G625" s="16">
        <f t="shared" si="89"/>
        <v>2</v>
      </c>
      <c r="H625" s="16">
        <f t="shared" si="89"/>
        <v>1</v>
      </c>
      <c r="I625" s="16">
        <f t="shared" si="89"/>
        <v>0</v>
      </c>
      <c r="J625" s="16">
        <f t="shared" si="89"/>
        <v>0</v>
      </c>
      <c r="K625" s="16">
        <f t="shared" si="89"/>
        <v>2</v>
      </c>
      <c r="L625" s="16">
        <f t="shared" si="89"/>
        <v>100</v>
      </c>
      <c r="M625" s="16">
        <f t="shared" si="89"/>
        <v>0</v>
      </c>
      <c r="N625" s="16">
        <f t="shared" si="89"/>
        <v>3</v>
      </c>
      <c r="O625" s="16">
        <f t="shared" si="89"/>
        <v>25</v>
      </c>
      <c r="P625" s="16">
        <f t="shared" si="89"/>
        <v>7</v>
      </c>
      <c r="Q625" s="16">
        <f t="shared" si="89"/>
        <v>1</v>
      </c>
      <c r="R625" s="16">
        <f t="shared" si="88"/>
        <v>0</v>
      </c>
      <c r="S625" s="16">
        <f t="shared" si="88"/>
        <v>0</v>
      </c>
      <c r="T625" s="16">
        <f t="shared" si="88"/>
        <v>0</v>
      </c>
      <c r="U625" s="16">
        <f t="shared" si="88"/>
        <v>0</v>
      </c>
      <c r="V625" s="16">
        <f t="shared" si="88"/>
        <v>0</v>
      </c>
      <c r="W625" s="16">
        <f t="shared" si="88"/>
        <v>1</v>
      </c>
      <c r="X625" s="16" t="str">
        <f t="shared" si="81"/>
        <v>null</v>
      </c>
    </row>
    <row r="626" spans="1:24" x14ac:dyDescent="0.15">
      <c r="A626" s="20" t="str">
        <f t="shared" si="83"/>
        <v>25_5-4/37&lt;lv52&gt;s3</v>
      </c>
      <c r="B626" s="16">
        <f t="shared" si="89"/>
        <v>25</v>
      </c>
      <c r="C626" s="16">
        <f t="shared" si="89"/>
        <v>5</v>
      </c>
      <c r="D626" s="16">
        <f t="shared" si="89"/>
        <v>4</v>
      </c>
      <c r="E626" s="16">
        <f t="shared" si="89"/>
        <v>37</v>
      </c>
      <c r="F626" s="16">
        <f t="shared" si="89"/>
        <v>52</v>
      </c>
      <c r="G626" s="16">
        <f t="shared" si="89"/>
        <v>1</v>
      </c>
      <c r="H626" s="16">
        <f t="shared" si="89"/>
        <v>1</v>
      </c>
      <c r="I626" s="16">
        <f t="shared" si="89"/>
        <v>0</v>
      </c>
      <c r="J626" s="16">
        <f t="shared" si="89"/>
        <v>37</v>
      </c>
      <c r="K626" s="16">
        <f t="shared" si="89"/>
        <v>0</v>
      </c>
      <c r="L626" s="16">
        <f t="shared" si="89"/>
        <v>100</v>
      </c>
      <c r="M626" s="16">
        <f t="shared" si="89"/>
        <v>0</v>
      </c>
      <c r="N626" s="16">
        <f t="shared" si="89"/>
        <v>3</v>
      </c>
      <c r="O626" s="16">
        <f t="shared" si="89"/>
        <v>37</v>
      </c>
      <c r="P626" s="16">
        <f t="shared" si="89"/>
        <v>5</v>
      </c>
      <c r="Q626" s="16">
        <f t="shared" si="89"/>
        <v>2</v>
      </c>
      <c r="R626" s="16">
        <f t="shared" si="88"/>
        <v>20</v>
      </c>
      <c r="S626" s="16">
        <f t="shared" si="88"/>
        <v>0</v>
      </c>
      <c r="T626" s="16">
        <f t="shared" si="88"/>
        <v>0</v>
      </c>
      <c r="U626" s="16">
        <f t="shared" si="88"/>
        <v>0</v>
      </c>
      <c r="V626" s="16">
        <f t="shared" si="88"/>
        <v>0</v>
      </c>
      <c r="W626" s="16">
        <f t="shared" si="88"/>
        <v>1</v>
      </c>
      <c r="X626" s="16" t="str">
        <f t="shared" si="81"/>
        <v>null</v>
      </c>
    </row>
    <row r="627" spans="1:24" x14ac:dyDescent="0.15">
      <c r="A627" s="20" t="str">
        <f t="shared" si="83"/>
        <v>25_5-4/45&lt;lv52&gt;s3</v>
      </c>
      <c r="B627" s="16">
        <f t="shared" si="89"/>
        <v>25</v>
      </c>
      <c r="C627" s="16">
        <f t="shared" si="89"/>
        <v>5</v>
      </c>
      <c r="D627" s="16">
        <f t="shared" si="89"/>
        <v>4</v>
      </c>
      <c r="E627" s="16">
        <f t="shared" si="89"/>
        <v>45</v>
      </c>
      <c r="F627" s="16">
        <f t="shared" si="89"/>
        <v>52</v>
      </c>
      <c r="G627" s="16">
        <f t="shared" si="89"/>
        <v>1</v>
      </c>
      <c r="H627" s="16">
        <f t="shared" si="89"/>
        <v>1</v>
      </c>
      <c r="I627" s="16">
        <f t="shared" si="89"/>
        <v>0</v>
      </c>
      <c r="J627" s="16">
        <f t="shared" si="89"/>
        <v>0</v>
      </c>
      <c r="K627" s="16">
        <f t="shared" si="89"/>
        <v>0</v>
      </c>
      <c r="L627" s="16">
        <f t="shared" si="89"/>
        <v>100</v>
      </c>
      <c r="M627" s="16">
        <f t="shared" si="89"/>
        <v>0</v>
      </c>
      <c r="N627" s="16">
        <f t="shared" si="89"/>
        <v>3</v>
      </c>
      <c r="O627" s="16">
        <f t="shared" si="89"/>
        <v>45</v>
      </c>
      <c r="P627" s="16">
        <f t="shared" si="89"/>
        <v>7</v>
      </c>
      <c r="Q627" s="16">
        <f t="shared" si="89"/>
        <v>2</v>
      </c>
      <c r="R627" s="16">
        <f t="shared" si="88"/>
        <v>20</v>
      </c>
      <c r="S627" s="16">
        <f t="shared" si="88"/>
        <v>0</v>
      </c>
      <c r="T627" s="16">
        <f t="shared" si="88"/>
        <v>0</v>
      </c>
      <c r="U627" s="16">
        <f t="shared" si="88"/>
        <v>0</v>
      </c>
      <c r="V627" s="16">
        <f t="shared" si="88"/>
        <v>0</v>
      </c>
      <c r="W627" s="16">
        <f t="shared" si="88"/>
        <v>1</v>
      </c>
      <c r="X627" s="16" t="str">
        <f t="shared" si="81"/>
        <v>null</v>
      </c>
    </row>
    <row r="628" spans="1:24" x14ac:dyDescent="0.15">
      <c r="A628" s="20" t="str">
        <f t="shared" si="83"/>
        <v>25_5-4/47&lt;lv52&gt;s1</v>
      </c>
      <c r="B628" s="16">
        <f t="shared" si="89"/>
        <v>25</v>
      </c>
      <c r="C628" s="16">
        <f t="shared" si="89"/>
        <v>5</v>
      </c>
      <c r="D628" s="16">
        <f t="shared" si="89"/>
        <v>4</v>
      </c>
      <c r="E628" s="16">
        <f t="shared" si="89"/>
        <v>47</v>
      </c>
      <c r="F628" s="16">
        <f t="shared" si="89"/>
        <v>52</v>
      </c>
      <c r="G628" s="16">
        <f t="shared" si="89"/>
        <v>1</v>
      </c>
      <c r="H628" s="16">
        <f t="shared" si="89"/>
        <v>1</v>
      </c>
      <c r="I628" s="16">
        <f t="shared" si="89"/>
        <v>0</v>
      </c>
      <c r="J628" s="16">
        <f t="shared" si="89"/>
        <v>0</v>
      </c>
      <c r="K628" s="16">
        <f t="shared" si="89"/>
        <v>0</v>
      </c>
      <c r="L628" s="16">
        <f t="shared" si="89"/>
        <v>100</v>
      </c>
      <c r="M628" s="16">
        <f t="shared" si="89"/>
        <v>0</v>
      </c>
      <c r="N628" s="16">
        <f t="shared" si="89"/>
        <v>1</v>
      </c>
      <c r="O628" s="16">
        <f t="shared" si="89"/>
        <v>47</v>
      </c>
      <c r="P628" s="16">
        <f t="shared" si="89"/>
        <v>7</v>
      </c>
      <c r="Q628" s="16">
        <f t="shared" si="89"/>
        <v>2</v>
      </c>
      <c r="R628" s="16">
        <f t="shared" si="88"/>
        <v>20</v>
      </c>
      <c r="S628" s="16">
        <f t="shared" si="88"/>
        <v>0</v>
      </c>
      <c r="T628" s="16">
        <f t="shared" si="88"/>
        <v>0</v>
      </c>
      <c r="U628" s="16">
        <f t="shared" si="88"/>
        <v>0</v>
      </c>
      <c r="V628" s="16">
        <f t="shared" si="88"/>
        <v>0</v>
      </c>
      <c r="W628" s="16">
        <f t="shared" si="88"/>
        <v>1</v>
      </c>
      <c r="X628" s="16" t="str">
        <f t="shared" si="81"/>
        <v>null</v>
      </c>
    </row>
    <row r="629" spans="1:24" x14ac:dyDescent="0.15">
      <c r="A629" s="20" t="str">
        <f t="shared" si="83"/>
        <v>25_5-4/61&lt;lv52&gt;s2</v>
      </c>
      <c r="B629" s="16">
        <f t="shared" si="89"/>
        <v>25</v>
      </c>
      <c r="C629" s="16">
        <f t="shared" si="89"/>
        <v>5</v>
      </c>
      <c r="D629" s="16">
        <f t="shared" si="89"/>
        <v>4</v>
      </c>
      <c r="E629" s="16">
        <f t="shared" si="89"/>
        <v>61</v>
      </c>
      <c r="F629" s="16">
        <f t="shared" si="89"/>
        <v>52</v>
      </c>
      <c r="G629" s="16">
        <f t="shared" si="89"/>
        <v>1</v>
      </c>
      <c r="H629" s="16">
        <f t="shared" si="89"/>
        <v>1</v>
      </c>
      <c r="I629" s="16">
        <f t="shared" si="89"/>
        <v>0</v>
      </c>
      <c r="J629" s="16">
        <f t="shared" si="89"/>
        <v>61</v>
      </c>
      <c r="K629" s="16">
        <f t="shared" si="89"/>
        <v>0</v>
      </c>
      <c r="L629" s="16">
        <f t="shared" si="89"/>
        <v>100</v>
      </c>
      <c r="M629" s="16">
        <f t="shared" si="89"/>
        <v>0</v>
      </c>
      <c r="N629" s="16">
        <f t="shared" si="89"/>
        <v>2</v>
      </c>
      <c r="O629" s="16">
        <f t="shared" si="89"/>
        <v>61</v>
      </c>
      <c r="P629" s="16">
        <f t="shared" si="89"/>
        <v>7</v>
      </c>
      <c r="Q629" s="16">
        <f t="shared" si="89"/>
        <v>2</v>
      </c>
      <c r="R629" s="16">
        <f t="shared" si="88"/>
        <v>20</v>
      </c>
      <c r="S629" s="16">
        <f t="shared" si="88"/>
        <v>0</v>
      </c>
      <c r="T629" s="16">
        <f t="shared" si="88"/>
        <v>0</v>
      </c>
      <c r="U629" s="16">
        <f t="shared" si="88"/>
        <v>0</v>
      </c>
      <c r="V629" s="16">
        <f t="shared" si="88"/>
        <v>0</v>
      </c>
      <c r="W629" s="16">
        <f t="shared" si="88"/>
        <v>1</v>
      </c>
      <c r="X629" s="16" t="str">
        <f t="shared" si="81"/>
        <v>null</v>
      </c>
    </row>
    <row r="630" spans="1:24" x14ac:dyDescent="0.15">
      <c r="A630" s="20" t="str">
        <f t="shared" si="83"/>
        <v>25_5-4/63&lt;lv52&gt;s2</v>
      </c>
      <c r="B630" s="16">
        <f t="shared" si="89"/>
        <v>25</v>
      </c>
      <c r="C630" s="16">
        <f t="shared" si="89"/>
        <v>5</v>
      </c>
      <c r="D630" s="16">
        <f t="shared" si="89"/>
        <v>4</v>
      </c>
      <c r="E630" s="16">
        <f t="shared" si="89"/>
        <v>63</v>
      </c>
      <c r="F630" s="16">
        <f t="shared" si="89"/>
        <v>52</v>
      </c>
      <c r="G630" s="16">
        <f t="shared" si="89"/>
        <v>1</v>
      </c>
      <c r="H630" s="16">
        <f t="shared" si="89"/>
        <v>1</v>
      </c>
      <c r="I630" s="16">
        <f t="shared" si="89"/>
        <v>0</v>
      </c>
      <c r="J630" s="16">
        <f t="shared" si="89"/>
        <v>63</v>
      </c>
      <c r="K630" s="16">
        <f t="shared" si="89"/>
        <v>0</v>
      </c>
      <c r="L630" s="16">
        <f t="shared" si="89"/>
        <v>100</v>
      </c>
      <c r="M630" s="16">
        <f t="shared" si="89"/>
        <v>0</v>
      </c>
      <c r="N630" s="16">
        <f t="shared" si="89"/>
        <v>2</v>
      </c>
      <c r="O630" s="16">
        <f t="shared" si="89"/>
        <v>63</v>
      </c>
      <c r="P630" s="16">
        <f t="shared" si="89"/>
        <v>7</v>
      </c>
      <c r="Q630" s="16">
        <f t="shared" si="89"/>
        <v>2</v>
      </c>
      <c r="R630" s="16">
        <f t="shared" si="88"/>
        <v>20</v>
      </c>
      <c r="S630" s="16">
        <f t="shared" si="88"/>
        <v>0</v>
      </c>
      <c r="T630" s="16">
        <f t="shared" si="88"/>
        <v>0</v>
      </c>
      <c r="U630" s="16">
        <f t="shared" si="88"/>
        <v>0</v>
      </c>
      <c r="V630" s="16">
        <f t="shared" si="88"/>
        <v>0</v>
      </c>
      <c r="W630" s="16">
        <f t="shared" si="88"/>
        <v>1</v>
      </c>
      <c r="X630" s="16" t="str">
        <f t="shared" si="81"/>
        <v>null</v>
      </c>
    </row>
    <row r="631" spans="1:24" x14ac:dyDescent="0.15">
      <c r="A631" s="20" t="str">
        <f t="shared" si="83"/>
        <v>25_5-4/39&lt;lv52&gt;s3</v>
      </c>
      <c r="B631" s="16">
        <f t="shared" si="89"/>
        <v>25</v>
      </c>
      <c r="C631" s="16">
        <f t="shared" si="89"/>
        <v>5</v>
      </c>
      <c r="D631" s="16">
        <f t="shared" si="89"/>
        <v>4</v>
      </c>
      <c r="E631" s="16">
        <f t="shared" si="89"/>
        <v>39</v>
      </c>
      <c r="F631" s="16">
        <f t="shared" si="89"/>
        <v>52</v>
      </c>
      <c r="G631" s="16">
        <f t="shared" si="89"/>
        <v>1</v>
      </c>
      <c r="H631" s="16">
        <f t="shared" si="89"/>
        <v>1</v>
      </c>
      <c r="I631" s="16">
        <f t="shared" si="89"/>
        <v>0</v>
      </c>
      <c r="J631" s="16">
        <f t="shared" si="89"/>
        <v>39</v>
      </c>
      <c r="K631" s="16">
        <f t="shared" si="89"/>
        <v>0</v>
      </c>
      <c r="L631" s="16">
        <f t="shared" si="89"/>
        <v>100</v>
      </c>
      <c r="M631" s="16">
        <f t="shared" si="89"/>
        <v>0</v>
      </c>
      <c r="N631" s="16">
        <f t="shared" si="89"/>
        <v>3</v>
      </c>
      <c r="O631" s="16">
        <f t="shared" si="89"/>
        <v>39</v>
      </c>
      <c r="P631" s="16">
        <f t="shared" si="89"/>
        <v>5</v>
      </c>
      <c r="Q631" s="16">
        <f t="shared" si="89"/>
        <v>2</v>
      </c>
      <c r="R631" s="16">
        <f t="shared" si="88"/>
        <v>20</v>
      </c>
      <c r="S631" s="16">
        <f t="shared" si="88"/>
        <v>0</v>
      </c>
      <c r="T631" s="16">
        <f t="shared" si="88"/>
        <v>0</v>
      </c>
      <c r="U631" s="16">
        <f t="shared" si="88"/>
        <v>0</v>
      </c>
      <c r="V631" s="16">
        <f t="shared" si="88"/>
        <v>0</v>
      </c>
      <c r="W631" s="16">
        <f t="shared" si="88"/>
        <v>1</v>
      </c>
      <c r="X631" s="16" t="str">
        <f t="shared" si="81"/>
        <v>null</v>
      </c>
    </row>
    <row r="632" spans="1:24" x14ac:dyDescent="0.15">
      <c r="A632" s="20" t="str">
        <f t="shared" si="83"/>
        <v>25_5-4/53&lt;lv52&gt;s2</v>
      </c>
      <c r="B632" s="16">
        <f t="shared" si="89"/>
        <v>25</v>
      </c>
      <c r="C632" s="16">
        <f t="shared" si="89"/>
        <v>5</v>
      </c>
      <c r="D632" s="16">
        <f t="shared" si="89"/>
        <v>4</v>
      </c>
      <c r="E632" s="16">
        <f t="shared" si="89"/>
        <v>53</v>
      </c>
      <c r="F632" s="16">
        <f t="shared" si="89"/>
        <v>52</v>
      </c>
      <c r="G632" s="16">
        <f t="shared" si="89"/>
        <v>1</v>
      </c>
      <c r="H632" s="16">
        <f t="shared" si="89"/>
        <v>1</v>
      </c>
      <c r="I632" s="16">
        <f t="shared" si="89"/>
        <v>0</v>
      </c>
      <c r="J632" s="16">
        <f t="shared" si="89"/>
        <v>53</v>
      </c>
      <c r="K632" s="16">
        <f t="shared" si="89"/>
        <v>0</v>
      </c>
      <c r="L632" s="16">
        <f t="shared" si="89"/>
        <v>100</v>
      </c>
      <c r="M632" s="16">
        <f t="shared" si="89"/>
        <v>0</v>
      </c>
      <c r="N632" s="16">
        <f t="shared" si="89"/>
        <v>2</v>
      </c>
      <c r="O632" s="16">
        <f t="shared" si="89"/>
        <v>53</v>
      </c>
      <c r="P632" s="16">
        <f t="shared" si="89"/>
        <v>7</v>
      </c>
      <c r="Q632" s="16">
        <f t="shared" si="89"/>
        <v>2</v>
      </c>
      <c r="R632" s="16">
        <f t="shared" si="88"/>
        <v>20</v>
      </c>
      <c r="S632" s="16">
        <f t="shared" si="88"/>
        <v>0</v>
      </c>
      <c r="T632" s="16">
        <f t="shared" si="88"/>
        <v>0</v>
      </c>
      <c r="U632" s="16">
        <f t="shared" si="88"/>
        <v>0</v>
      </c>
      <c r="V632" s="16">
        <f t="shared" si="88"/>
        <v>0</v>
      </c>
      <c r="W632" s="16">
        <f t="shared" si="88"/>
        <v>1</v>
      </c>
      <c r="X632" s="16" t="str">
        <f t="shared" si="81"/>
        <v>null</v>
      </c>
    </row>
    <row r="633" spans="1:24" x14ac:dyDescent="0.15">
      <c r="A633" s="20" t="str">
        <f t="shared" si="83"/>
        <v>25_5-4/55&lt;lv52&gt;s4</v>
      </c>
      <c r="B633" s="16">
        <f t="shared" si="89"/>
        <v>25</v>
      </c>
      <c r="C633" s="16">
        <f t="shared" si="89"/>
        <v>5</v>
      </c>
      <c r="D633" s="16">
        <f t="shared" si="89"/>
        <v>4</v>
      </c>
      <c r="E633" s="16">
        <f t="shared" si="89"/>
        <v>55</v>
      </c>
      <c r="F633" s="16">
        <f t="shared" si="89"/>
        <v>52</v>
      </c>
      <c r="G633" s="16">
        <f t="shared" si="89"/>
        <v>1</v>
      </c>
      <c r="H633" s="16">
        <f t="shared" si="89"/>
        <v>1</v>
      </c>
      <c r="I633" s="16">
        <f t="shared" si="89"/>
        <v>0</v>
      </c>
      <c r="J633" s="16">
        <f t="shared" si="89"/>
        <v>55</v>
      </c>
      <c r="K633" s="16">
        <f t="shared" si="89"/>
        <v>0</v>
      </c>
      <c r="L633" s="16">
        <f t="shared" si="89"/>
        <v>100</v>
      </c>
      <c r="M633" s="16">
        <f t="shared" si="89"/>
        <v>0</v>
      </c>
      <c r="N633" s="16">
        <f t="shared" si="89"/>
        <v>4</v>
      </c>
      <c r="O633" s="16">
        <f t="shared" si="89"/>
        <v>55</v>
      </c>
      <c r="P633" s="16">
        <f t="shared" si="89"/>
        <v>7</v>
      </c>
      <c r="Q633" s="16">
        <f t="shared" si="89"/>
        <v>2</v>
      </c>
      <c r="R633" s="16">
        <f t="shared" si="88"/>
        <v>20</v>
      </c>
      <c r="S633" s="16">
        <f t="shared" si="88"/>
        <v>0</v>
      </c>
      <c r="T633" s="16">
        <f t="shared" si="88"/>
        <v>0</v>
      </c>
      <c r="U633" s="16">
        <f t="shared" si="88"/>
        <v>0</v>
      </c>
      <c r="V633" s="16">
        <f t="shared" si="88"/>
        <v>0</v>
      </c>
      <c r="W633" s="16">
        <f t="shared" si="88"/>
        <v>1</v>
      </c>
      <c r="X633" s="16" t="str">
        <f t="shared" si="81"/>
        <v>null</v>
      </c>
    </row>
    <row r="634" spans="1:24" x14ac:dyDescent="0.15">
      <c r="A634" s="20" t="str">
        <f t="shared" si="83"/>
        <v>25_5-4/364&lt;lv52&gt;s3</v>
      </c>
      <c r="B634" s="16">
        <f t="shared" si="89"/>
        <v>25</v>
      </c>
      <c r="C634" s="16">
        <f t="shared" si="89"/>
        <v>5</v>
      </c>
      <c r="D634" s="16">
        <f t="shared" si="89"/>
        <v>4</v>
      </c>
      <c r="E634" s="16">
        <f t="shared" si="89"/>
        <v>364</v>
      </c>
      <c r="F634" s="16">
        <f t="shared" si="89"/>
        <v>52</v>
      </c>
      <c r="G634" s="16">
        <f t="shared" si="89"/>
        <v>1</v>
      </c>
      <c r="H634" s="16">
        <f t="shared" si="89"/>
        <v>1</v>
      </c>
      <c r="I634" s="16">
        <f t="shared" si="89"/>
        <v>0</v>
      </c>
      <c r="J634" s="16">
        <f t="shared" si="89"/>
        <v>364</v>
      </c>
      <c r="K634" s="16">
        <f t="shared" si="89"/>
        <v>0</v>
      </c>
      <c r="L634" s="16">
        <f t="shared" si="89"/>
        <v>100</v>
      </c>
      <c r="M634" s="16">
        <f t="shared" si="89"/>
        <v>0</v>
      </c>
      <c r="N634" s="16">
        <f t="shared" si="89"/>
        <v>3</v>
      </c>
      <c r="O634" s="16">
        <f t="shared" si="89"/>
        <v>364</v>
      </c>
      <c r="P634" s="16">
        <f t="shared" si="89"/>
        <v>7</v>
      </c>
      <c r="Q634" s="16">
        <f t="shared" si="89"/>
        <v>2</v>
      </c>
      <c r="R634" s="16">
        <f t="shared" si="88"/>
        <v>20</v>
      </c>
      <c r="S634" s="16">
        <f t="shared" si="88"/>
        <v>0</v>
      </c>
      <c r="T634" s="16">
        <f t="shared" si="88"/>
        <v>0</v>
      </c>
      <c r="U634" s="16">
        <f t="shared" si="88"/>
        <v>0</v>
      </c>
      <c r="V634" s="16">
        <f t="shared" si="88"/>
        <v>0</v>
      </c>
      <c r="W634" s="16">
        <f t="shared" si="88"/>
        <v>1</v>
      </c>
      <c r="X634" s="16" t="str">
        <f t="shared" si="81"/>
        <v>null</v>
      </c>
    </row>
    <row r="635" spans="1:24" x14ac:dyDescent="0.15">
      <c r="A635" s="20" t="str">
        <f t="shared" si="83"/>
        <v>25_5-4/366&lt;lv52&gt;s3</v>
      </c>
      <c r="B635" s="16">
        <f t="shared" si="89"/>
        <v>25</v>
      </c>
      <c r="C635" s="16">
        <f t="shared" si="89"/>
        <v>5</v>
      </c>
      <c r="D635" s="16">
        <f t="shared" si="89"/>
        <v>4</v>
      </c>
      <c r="E635" s="16">
        <f t="shared" si="89"/>
        <v>366</v>
      </c>
      <c r="F635" s="16">
        <f t="shared" si="89"/>
        <v>52</v>
      </c>
      <c r="G635" s="16">
        <f t="shared" si="89"/>
        <v>1</v>
      </c>
      <c r="H635" s="16">
        <f t="shared" si="89"/>
        <v>1</v>
      </c>
      <c r="I635" s="16">
        <f t="shared" si="89"/>
        <v>0</v>
      </c>
      <c r="J635" s="16">
        <f t="shared" si="89"/>
        <v>366</v>
      </c>
      <c r="K635" s="16">
        <f t="shared" si="89"/>
        <v>0</v>
      </c>
      <c r="L635" s="16">
        <f t="shared" si="89"/>
        <v>100</v>
      </c>
      <c r="M635" s="16">
        <f t="shared" si="89"/>
        <v>0</v>
      </c>
      <c r="N635" s="16">
        <f t="shared" si="89"/>
        <v>3</v>
      </c>
      <c r="O635" s="16">
        <f t="shared" si="89"/>
        <v>366</v>
      </c>
      <c r="P635" s="16">
        <f t="shared" si="89"/>
        <v>7</v>
      </c>
      <c r="Q635" s="16">
        <f t="shared" si="89"/>
        <v>2</v>
      </c>
      <c r="R635" s="16">
        <f t="shared" si="88"/>
        <v>20</v>
      </c>
      <c r="S635" s="16">
        <f t="shared" si="88"/>
        <v>0</v>
      </c>
      <c r="T635" s="16">
        <f t="shared" si="88"/>
        <v>0</v>
      </c>
      <c r="U635" s="16">
        <f t="shared" si="88"/>
        <v>0</v>
      </c>
      <c r="V635" s="16">
        <f t="shared" si="88"/>
        <v>0</v>
      </c>
      <c r="W635" s="16">
        <f t="shared" si="88"/>
        <v>1</v>
      </c>
      <c r="X635" s="16" t="str">
        <f t="shared" si="81"/>
        <v>null</v>
      </c>
    </row>
    <row r="636" spans="1:24" x14ac:dyDescent="0.15">
      <c r="A636" s="20" t="str">
        <f t="shared" si="83"/>
        <v>25_5-4/352&lt;lv52&gt;s3</v>
      </c>
      <c r="B636" s="16">
        <f t="shared" si="89"/>
        <v>25</v>
      </c>
      <c r="C636" s="16">
        <f t="shared" si="89"/>
        <v>5</v>
      </c>
      <c r="D636" s="16">
        <f t="shared" si="89"/>
        <v>4</v>
      </c>
      <c r="E636" s="16">
        <f t="shared" si="89"/>
        <v>352</v>
      </c>
      <c r="F636" s="16">
        <f t="shared" si="89"/>
        <v>52</v>
      </c>
      <c r="G636" s="16">
        <f t="shared" si="89"/>
        <v>1</v>
      </c>
      <c r="H636" s="16">
        <f t="shared" si="89"/>
        <v>1</v>
      </c>
      <c r="I636" s="16">
        <f t="shared" si="89"/>
        <v>0</v>
      </c>
      <c r="J636" s="16">
        <f t="shared" si="89"/>
        <v>352</v>
      </c>
      <c r="K636" s="16">
        <f t="shared" si="89"/>
        <v>0</v>
      </c>
      <c r="L636" s="16">
        <f t="shared" si="89"/>
        <v>100</v>
      </c>
      <c r="M636" s="16">
        <f t="shared" si="89"/>
        <v>0</v>
      </c>
      <c r="N636" s="16">
        <f t="shared" si="89"/>
        <v>3</v>
      </c>
      <c r="O636" s="16">
        <f t="shared" si="89"/>
        <v>352</v>
      </c>
      <c r="P636" s="16">
        <f t="shared" si="89"/>
        <v>1</v>
      </c>
      <c r="Q636" s="16">
        <f t="shared" si="89"/>
        <v>2</v>
      </c>
      <c r="R636" s="16">
        <f t="shared" si="88"/>
        <v>60</v>
      </c>
      <c r="S636" s="16">
        <f t="shared" si="88"/>
        <v>0</v>
      </c>
      <c r="T636" s="16">
        <f t="shared" si="88"/>
        <v>0</v>
      </c>
      <c r="U636" s="16">
        <f t="shared" si="88"/>
        <v>0</v>
      </c>
      <c r="V636" s="16">
        <f t="shared" si="88"/>
        <v>0</v>
      </c>
      <c r="W636" s="16">
        <f t="shared" si="88"/>
        <v>1</v>
      </c>
      <c r="X636" s="16" t="str">
        <f t="shared" si="81"/>
        <v>null</v>
      </c>
    </row>
    <row r="637" spans="1:24" x14ac:dyDescent="0.15">
      <c r="A637" s="20" t="str">
        <f t="shared" si="83"/>
        <v>25_5-5/163&lt;lv59&gt;s2</v>
      </c>
      <c r="B637" s="16">
        <f t="shared" si="89"/>
        <v>25</v>
      </c>
      <c r="C637" s="16">
        <f t="shared" si="89"/>
        <v>5</v>
      </c>
      <c r="D637" s="16">
        <f t="shared" si="89"/>
        <v>5</v>
      </c>
      <c r="E637" s="16">
        <f t="shared" si="89"/>
        <v>163</v>
      </c>
      <c r="F637" s="16">
        <f t="shared" si="89"/>
        <v>59</v>
      </c>
      <c r="G637" s="16">
        <f t="shared" si="89"/>
        <v>1.4</v>
      </c>
      <c r="H637" s="16">
        <f t="shared" si="89"/>
        <v>1.1000000000000001</v>
      </c>
      <c r="I637" s="16">
        <f t="shared" si="89"/>
        <v>0</v>
      </c>
      <c r="J637" s="16">
        <f t="shared" si="89"/>
        <v>16301</v>
      </c>
      <c r="K637" s="16">
        <f t="shared" si="89"/>
        <v>1</v>
      </c>
      <c r="L637" s="16">
        <f t="shared" si="89"/>
        <v>100</v>
      </c>
      <c r="M637" s="16">
        <f t="shared" si="89"/>
        <v>1</v>
      </c>
      <c r="N637" s="16">
        <f t="shared" si="89"/>
        <v>2</v>
      </c>
      <c r="O637" s="16">
        <f t="shared" si="89"/>
        <v>162</v>
      </c>
      <c r="P637" s="16">
        <f t="shared" si="89"/>
        <v>1</v>
      </c>
      <c r="Q637" s="16">
        <f t="shared" si="89"/>
        <v>3</v>
      </c>
      <c r="R637" s="16">
        <f t="shared" si="88"/>
        <v>0</v>
      </c>
      <c r="S637" s="16">
        <f t="shared" si="88"/>
        <v>0</v>
      </c>
      <c r="T637" s="16">
        <f t="shared" si="88"/>
        <v>0</v>
      </c>
      <c r="U637" s="16">
        <f t="shared" si="88"/>
        <v>0</v>
      </c>
      <c r="V637" s="16">
        <f t="shared" si="88"/>
        <v>0</v>
      </c>
      <c r="W637" s="16">
        <f t="shared" si="88"/>
        <v>1</v>
      </c>
      <c r="X637" s="16">
        <f t="shared" si="81"/>
        <v>163</v>
      </c>
    </row>
    <row r="638" spans="1:24" x14ac:dyDescent="0.15">
      <c r="A638" s="20" t="str">
        <f t="shared" si="83"/>
        <v>25_6-1/342&lt;lv1&gt;s3</v>
      </c>
      <c r="B638" s="16">
        <f t="shared" si="89"/>
        <v>25</v>
      </c>
      <c r="C638" s="16">
        <f t="shared" si="89"/>
        <v>6</v>
      </c>
      <c r="D638" s="16">
        <f t="shared" si="89"/>
        <v>1</v>
      </c>
      <c r="E638" s="16">
        <f t="shared" si="89"/>
        <v>342</v>
      </c>
      <c r="F638" s="16">
        <f t="shared" si="89"/>
        <v>1</v>
      </c>
      <c r="G638" s="16">
        <f t="shared" si="89"/>
        <v>1</v>
      </c>
      <c r="H638" s="16">
        <f t="shared" si="89"/>
        <v>1</v>
      </c>
      <c r="I638" s="16">
        <f t="shared" si="89"/>
        <v>0</v>
      </c>
      <c r="J638" s="16">
        <f t="shared" si="89"/>
        <v>0</v>
      </c>
      <c r="K638" s="16">
        <f t="shared" si="89"/>
        <v>0</v>
      </c>
      <c r="L638" s="16">
        <f t="shared" si="89"/>
        <v>100</v>
      </c>
      <c r="M638" s="16">
        <f t="shared" si="89"/>
        <v>0</v>
      </c>
      <c r="N638" s="16">
        <f t="shared" si="89"/>
        <v>3</v>
      </c>
      <c r="O638" s="16">
        <f t="shared" si="89"/>
        <v>342</v>
      </c>
      <c r="P638" s="16">
        <f t="shared" si="89"/>
        <v>1</v>
      </c>
      <c r="Q638" s="16">
        <f t="shared" ref="Q638:X701" si="90">VLOOKUP($A638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5</v>
      </c>
      <c r="R638" s="16">
        <f t="shared" si="90"/>
        <v>100</v>
      </c>
      <c r="S638" s="16">
        <f t="shared" si="90"/>
        <v>0</v>
      </c>
      <c r="T638" s="16">
        <f t="shared" si="90"/>
        <v>0</v>
      </c>
      <c r="U638" s="16">
        <f t="shared" si="90"/>
        <v>0</v>
      </c>
      <c r="V638" s="16">
        <f t="shared" si="90"/>
        <v>0</v>
      </c>
      <c r="W638" s="16">
        <f t="shared" si="90"/>
        <v>1</v>
      </c>
      <c r="X638" s="16" t="str">
        <f t="shared" si="90"/>
        <v>null</v>
      </c>
    </row>
    <row r="639" spans="1:24" x14ac:dyDescent="0.15">
      <c r="A639" s="20" t="str">
        <f t="shared" si="83"/>
        <v>25_6-2/346&lt;lv1&gt;s3</v>
      </c>
      <c r="B639" s="16">
        <f t="shared" ref="B639:Q654" si="91">VLOOKUP($A639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25</v>
      </c>
      <c r="C639" s="16">
        <f t="shared" si="91"/>
        <v>6</v>
      </c>
      <c r="D639" s="16">
        <f t="shared" si="91"/>
        <v>2</v>
      </c>
      <c r="E639" s="16">
        <f t="shared" si="91"/>
        <v>346</v>
      </c>
      <c r="F639" s="16">
        <f t="shared" si="91"/>
        <v>1</v>
      </c>
      <c r="G639" s="16">
        <f t="shared" si="91"/>
        <v>1</v>
      </c>
      <c r="H639" s="16">
        <f t="shared" si="91"/>
        <v>1</v>
      </c>
      <c r="I639" s="16">
        <f t="shared" si="91"/>
        <v>0</v>
      </c>
      <c r="J639" s="16">
        <f t="shared" si="91"/>
        <v>0</v>
      </c>
      <c r="K639" s="16">
        <f t="shared" si="91"/>
        <v>0</v>
      </c>
      <c r="L639" s="16">
        <f t="shared" si="91"/>
        <v>100</v>
      </c>
      <c r="M639" s="16">
        <f t="shared" si="91"/>
        <v>0</v>
      </c>
      <c r="N639" s="16">
        <f t="shared" si="91"/>
        <v>3</v>
      </c>
      <c r="O639" s="16">
        <f t="shared" si="91"/>
        <v>346</v>
      </c>
      <c r="P639" s="16">
        <f t="shared" si="91"/>
        <v>1</v>
      </c>
      <c r="Q639" s="16">
        <f t="shared" si="91"/>
        <v>5</v>
      </c>
      <c r="R639" s="16">
        <f t="shared" si="90"/>
        <v>100</v>
      </c>
      <c r="S639" s="16">
        <f t="shared" si="90"/>
        <v>0</v>
      </c>
      <c r="T639" s="16">
        <f t="shared" si="90"/>
        <v>0</v>
      </c>
      <c r="U639" s="16">
        <f t="shared" si="90"/>
        <v>0</v>
      </c>
      <c r="V639" s="16">
        <f t="shared" si="90"/>
        <v>0</v>
      </c>
      <c r="W639" s="16">
        <f t="shared" si="90"/>
        <v>1</v>
      </c>
      <c r="X639" s="16" t="str">
        <f t="shared" si="90"/>
        <v>null</v>
      </c>
    </row>
    <row r="640" spans="1:24" x14ac:dyDescent="0.15">
      <c r="A640" s="20" t="str">
        <f t="shared" si="83"/>
        <v>25_6-3/119&lt;lv1&gt;s3</v>
      </c>
      <c r="B640" s="16">
        <f t="shared" si="91"/>
        <v>25</v>
      </c>
      <c r="C640" s="16">
        <f t="shared" si="91"/>
        <v>6</v>
      </c>
      <c r="D640" s="16">
        <f t="shared" si="91"/>
        <v>3</v>
      </c>
      <c r="E640" s="16">
        <f t="shared" si="91"/>
        <v>119</v>
      </c>
      <c r="F640" s="16">
        <f t="shared" si="91"/>
        <v>1</v>
      </c>
      <c r="G640" s="16">
        <f t="shared" si="91"/>
        <v>1</v>
      </c>
      <c r="H640" s="16">
        <f t="shared" si="91"/>
        <v>1</v>
      </c>
      <c r="I640" s="16">
        <f t="shared" si="91"/>
        <v>0</v>
      </c>
      <c r="J640" s="16">
        <f t="shared" si="91"/>
        <v>0</v>
      </c>
      <c r="K640" s="16">
        <f t="shared" si="91"/>
        <v>0</v>
      </c>
      <c r="L640" s="16">
        <f t="shared" si="91"/>
        <v>100</v>
      </c>
      <c r="M640" s="16">
        <f t="shared" si="91"/>
        <v>0</v>
      </c>
      <c r="N640" s="16">
        <f t="shared" si="91"/>
        <v>3</v>
      </c>
      <c r="O640" s="16">
        <f t="shared" si="91"/>
        <v>119</v>
      </c>
      <c r="P640" s="16">
        <f t="shared" si="91"/>
        <v>1</v>
      </c>
      <c r="Q640" s="16">
        <f t="shared" si="91"/>
        <v>5</v>
      </c>
      <c r="R640" s="16">
        <f t="shared" si="90"/>
        <v>100</v>
      </c>
      <c r="S640" s="16">
        <f t="shared" si="90"/>
        <v>0</v>
      </c>
      <c r="T640" s="16">
        <f t="shared" si="90"/>
        <v>0</v>
      </c>
      <c r="U640" s="16">
        <f t="shared" si="90"/>
        <v>0</v>
      </c>
      <c r="V640" s="16">
        <f t="shared" si="90"/>
        <v>0</v>
      </c>
      <c r="W640" s="16">
        <f t="shared" si="90"/>
        <v>1</v>
      </c>
      <c r="X640" s="16" t="str">
        <f t="shared" si="90"/>
        <v>null</v>
      </c>
    </row>
    <row r="641" spans="1:24" x14ac:dyDescent="0.15">
      <c r="A641" s="20" t="str">
        <f t="shared" si="83"/>
        <v>25_6-4/346&lt;lv1&gt;s3</v>
      </c>
      <c r="B641" s="16">
        <f t="shared" si="91"/>
        <v>25</v>
      </c>
      <c r="C641" s="16">
        <f t="shared" si="91"/>
        <v>6</v>
      </c>
      <c r="D641" s="16">
        <f t="shared" si="91"/>
        <v>4</v>
      </c>
      <c r="E641" s="16">
        <f t="shared" si="91"/>
        <v>346</v>
      </c>
      <c r="F641" s="16">
        <f t="shared" si="91"/>
        <v>1</v>
      </c>
      <c r="G641" s="16">
        <f t="shared" si="91"/>
        <v>1</v>
      </c>
      <c r="H641" s="16">
        <f t="shared" si="91"/>
        <v>1</v>
      </c>
      <c r="I641" s="16">
        <f t="shared" si="91"/>
        <v>0</v>
      </c>
      <c r="J641" s="16">
        <f t="shared" si="91"/>
        <v>0</v>
      </c>
      <c r="K641" s="16">
        <f t="shared" si="91"/>
        <v>1</v>
      </c>
      <c r="L641" s="16">
        <f t="shared" si="91"/>
        <v>100</v>
      </c>
      <c r="M641" s="16">
        <f t="shared" si="91"/>
        <v>0</v>
      </c>
      <c r="N641" s="16">
        <f t="shared" si="91"/>
        <v>3</v>
      </c>
      <c r="O641" s="16">
        <f t="shared" si="91"/>
        <v>346</v>
      </c>
      <c r="P641" s="16">
        <f t="shared" si="91"/>
        <v>1</v>
      </c>
      <c r="Q641" s="16">
        <f t="shared" si="91"/>
        <v>5</v>
      </c>
      <c r="R641" s="16">
        <f t="shared" si="90"/>
        <v>0</v>
      </c>
      <c r="S641" s="16">
        <f t="shared" si="90"/>
        <v>0</v>
      </c>
      <c r="T641" s="16">
        <f t="shared" si="90"/>
        <v>0</v>
      </c>
      <c r="U641" s="16">
        <f t="shared" si="90"/>
        <v>0</v>
      </c>
      <c r="V641" s="16">
        <f t="shared" si="90"/>
        <v>0</v>
      </c>
      <c r="W641" s="16">
        <f t="shared" si="90"/>
        <v>1</v>
      </c>
      <c r="X641" s="16" t="str">
        <f t="shared" si="90"/>
        <v>null</v>
      </c>
    </row>
    <row r="642" spans="1:24" x14ac:dyDescent="0.15">
      <c r="A642" s="20" t="str">
        <f t="shared" si="83"/>
        <v>25_6-4/342&lt;lv1&gt;s3</v>
      </c>
      <c r="B642" s="16">
        <f t="shared" si="91"/>
        <v>25</v>
      </c>
      <c r="C642" s="16">
        <f t="shared" si="91"/>
        <v>6</v>
      </c>
      <c r="D642" s="16">
        <f t="shared" si="91"/>
        <v>4</v>
      </c>
      <c r="E642" s="16">
        <f t="shared" si="91"/>
        <v>342</v>
      </c>
      <c r="F642" s="16">
        <f t="shared" si="91"/>
        <v>1</v>
      </c>
      <c r="G642" s="16">
        <f t="shared" si="91"/>
        <v>1</v>
      </c>
      <c r="H642" s="16">
        <f t="shared" si="91"/>
        <v>1</v>
      </c>
      <c r="I642" s="16">
        <f t="shared" si="91"/>
        <v>0</v>
      </c>
      <c r="J642" s="16">
        <f t="shared" si="91"/>
        <v>0</v>
      </c>
      <c r="K642" s="16">
        <f t="shared" si="91"/>
        <v>1</v>
      </c>
      <c r="L642" s="16">
        <f t="shared" si="91"/>
        <v>100</v>
      </c>
      <c r="M642" s="16">
        <f t="shared" si="91"/>
        <v>0</v>
      </c>
      <c r="N642" s="16">
        <f t="shared" si="91"/>
        <v>3</v>
      </c>
      <c r="O642" s="16">
        <f t="shared" si="91"/>
        <v>342</v>
      </c>
      <c r="P642" s="16">
        <f t="shared" si="91"/>
        <v>1</v>
      </c>
      <c r="Q642" s="16">
        <f t="shared" si="91"/>
        <v>5</v>
      </c>
      <c r="R642" s="16">
        <f t="shared" si="90"/>
        <v>0</v>
      </c>
      <c r="S642" s="16">
        <f t="shared" si="90"/>
        <v>0</v>
      </c>
      <c r="T642" s="16">
        <f t="shared" si="90"/>
        <v>0</v>
      </c>
      <c r="U642" s="16">
        <f t="shared" si="90"/>
        <v>0</v>
      </c>
      <c r="V642" s="16">
        <f t="shared" si="90"/>
        <v>0</v>
      </c>
      <c r="W642" s="16">
        <f t="shared" si="90"/>
        <v>1</v>
      </c>
      <c r="X642" s="16" t="str">
        <f t="shared" si="90"/>
        <v>null</v>
      </c>
    </row>
    <row r="643" spans="1:24" x14ac:dyDescent="0.15">
      <c r="A643" s="20" t="str">
        <f t="shared" si="83"/>
        <v>25_6-4/120&lt;lv1&gt;s4</v>
      </c>
      <c r="B643" s="16">
        <f t="shared" si="91"/>
        <v>25</v>
      </c>
      <c r="C643" s="16">
        <f t="shared" si="91"/>
        <v>6</v>
      </c>
      <c r="D643" s="16">
        <f t="shared" si="91"/>
        <v>4</v>
      </c>
      <c r="E643" s="16">
        <f t="shared" si="91"/>
        <v>120</v>
      </c>
      <c r="F643" s="16">
        <f t="shared" si="91"/>
        <v>1</v>
      </c>
      <c r="G643" s="16">
        <f t="shared" si="91"/>
        <v>1</v>
      </c>
      <c r="H643" s="16">
        <f t="shared" si="91"/>
        <v>1</v>
      </c>
      <c r="I643" s="16">
        <f t="shared" si="91"/>
        <v>0</v>
      </c>
      <c r="J643" s="16">
        <f t="shared" si="91"/>
        <v>0</v>
      </c>
      <c r="K643" s="16">
        <f t="shared" si="91"/>
        <v>1</v>
      </c>
      <c r="L643" s="16">
        <f t="shared" si="91"/>
        <v>100</v>
      </c>
      <c r="M643" s="16">
        <f t="shared" si="91"/>
        <v>1</v>
      </c>
      <c r="N643" s="16">
        <f t="shared" si="91"/>
        <v>4</v>
      </c>
      <c r="O643" s="16">
        <f t="shared" si="91"/>
        <v>120</v>
      </c>
      <c r="P643" s="16">
        <f t="shared" si="91"/>
        <v>1</v>
      </c>
      <c r="Q643" s="16">
        <f t="shared" si="91"/>
        <v>6</v>
      </c>
      <c r="R643" s="16">
        <f t="shared" si="90"/>
        <v>100</v>
      </c>
      <c r="S643" s="16">
        <f t="shared" si="90"/>
        <v>0</v>
      </c>
      <c r="T643" s="16">
        <f t="shared" si="90"/>
        <v>0</v>
      </c>
      <c r="U643" s="16">
        <f t="shared" si="90"/>
        <v>0</v>
      </c>
      <c r="V643" s="16">
        <f t="shared" si="90"/>
        <v>0</v>
      </c>
      <c r="W643" s="16">
        <f t="shared" si="90"/>
        <v>1</v>
      </c>
      <c r="X643" s="16" t="str">
        <f t="shared" si="90"/>
        <v>null</v>
      </c>
    </row>
    <row r="644" spans="1:24" x14ac:dyDescent="0.15">
      <c r="A644" s="20" t="str">
        <f t="shared" ref="A644:A707" si="92">INDIRECT(ADDRESS(ROW()+$A$1,COLUMN(),1,TRUE,$C$1))</f>
        <v>25_6-5/347&lt;lv1&gt;s4</v>
      </c>
      <c r="B644" s="16">
        <f t="shared" si="91"/>
        <v>25</v>
      </c>
      <c r="C644" s="16">
        <f t="shared" si="91"/>
        <v>6</v>
      </c>
      <c r="D644" s="16">
        <f t="shared" si="91"/>
        <v>5</v>
      </c>
      <c r="E644" s="16">
        <f t="shared" si="91"/>
        <v>347</v>
      </c>
      <c r="F644" s="16">
        <f t="shared" si="91"/>
        <v>1</v>
      </c>
      <c r="G644" s="16">
        <f t="shared" si="91"/>
        <v>1</v>
      </c>
      <c r="H644" s="16">
        <f t="shared" si="91"/>
        <v>1</v>
      </c>
      <c r="I644" s="16">
        <f t="shared" si="91"/>
        <v>0</v>
      </c>
      <c r="J644" s="16">
        <f t="shared" si="91"/>
        <v>0</v>
      </c>
      <c r="K644" s="16">
        <f t="shared" si="91"/>
        <v>1</v>
      </c>
      <c r="L644" s="16">
        <f t="shared" si="91"/>
        <v>100</v>
      </c>
      <c r="M644" s="16">
        <f t="shared" si="91"/>
        <v>0</v>
      </c>
      <c r="N644" s="16">
        <f t="shared" si="91"/>
        <v>4</v>
      </c>
      <c r="O644" s="16">
        <f t="shared" si="91"/>
        <v>347</v>
      </c>
      <c r="P644" s="16">
        <f t="shared" si="91"/>
        <v>1</v>
      </c>
      <c r="Q644" s="16">
        <f t="shared" si="91"/>
        <v>6</v>
      </c>
      <c r="R644" s="16">
        <f t="shared" si="90"/>
        <v>100</v>
      </c>
      <c r="S644" s="16">
        <f t="shared" si="90"/>
        <v>0</v>
      </c>
      <c r="T644" s="16">
        <f t="shared" si="90"/>
        <v>0</v>
      </c>
      <c r="U644" s="16">
        <f t="shared" si="90"/>
        <v>0</v>
      </c>
      <c r="V644" s="16">
        <f t="shared" si="90"/>
        <v>0</v>
      </c>
      <c r="W644" s="16">
        <f t="shared" si="90"/>
        <v>1</v>
      </c>
      <c r="X644" s="16" t="str">
        <f t="shared" si="90"/>
        <v>null</v>
      </c>
    </row>
    <row r="645" spans="1:24" x14ac:dyDescent="0.15">
      <c r="A645" s="20" t="str">
        <f t="shared" si="92"/>
        <v>25_6-5/343&lt;lv1&gt;s4</v>
      </c>
      <c r="B645" s="16">
        <f t="shared" si="91"/>
        <v>25</v>
      </c>
      <c r="C645" s="16">
        <f t="shared" si="91"/>
        <v>6</v>
      </c>
      <c r="D645" s="16">
        <f t="shared" si="91"/>
        <v>5</v>
      </c>
      <c r="E645" s="16">
        <f t="shared" si="91"/>
        <v>343</v>
      </c>
      <c r="F645" s="16">
        <f t="shared" si="91"/>
        <v>1</v>
      </c>
      <c r="G645" s="16">
        <f t="shared" si="91"/>
        <v>1</v>
      </c>
      <c r="H645" s="16">
        <f t="shared" si="91"/>
        <v>1</v>
      </c>
      <c r="I645" s="16">
        <f t="shared" si="91"/>
        <v>0</v>
      </c>
      <c r="J645" s="16">
        <f t="shared" si="91"/>
        <v>0</v>
      </c>
      <c r="K645" s="16">
        <f t="shared" si="91"/>
        <v>1</v>
      </c>
      <c r="L645" s="16">
        <f t="shared" si="91"/>
        <v>100</v>
      </c>
      <c r="M645" s="16">
        <f t="shared" si="91"/>
        <v>0</v>
      </c>
      <c r="N645" s="16">
        <f t="shared" si="91"/>
        <v>4</v>
      </c>
      <c r="O645" s="16">
        <f t="shared" si="91"/>
        <v>343</v>
      </c>
      <c r="P645" s="16">
        <f t="shared" si="91"/>
        <v>1</v>
      </c>
      <c r="Q645" s="16">
        <f t="shared" si="91"/>
        <v>6</v>
      </c>
      <c r="R645" s="16">
        <f t="shared" si="90"/>
        <v>100</v>
      </c>
      <c r="S645" s="16">
        <f t="shared" si="90"/>
        <v>0</v>
      </c>
      <c r="T645" s="16">
        <f t="shared" si="90"/>
        <v>0</v>
      </c>
      <c r="U645" s="16">
        <f t="shared" si="90"/>
        <v>0</v>
      </c>
      <c r="V645" s="16">
        <f t="shared" si="90"/>
        <v>0</v>
      </c>
      <c r="W645" s="16">
        <f t="shared" si="90"/>
        <v>1</v>
      </c>
      <c r="X645" s="16" t="str">
        <f t="shared" si="90"/>
        <v>null</v>
      </c>
    </row>
    <row r="646" spans="1:24" x14ac:dyDescent="0.15">
      <c r="A646" s="20" t="str">
        <f t="shared" si="92"/>
        <v>26_1-1/9&lt;lv50&gt;s2</v>
      </c>
      <c r="B646" s="16">
        <f t="shared" si="91"/>
        <v>26</v>
      </c>
      <c r="C646" s="16">
        <f t="shared" si="91"/>
        <v>1</v>
      </c>
      <c r="D646" s="16">
        <f t="shared" si="91"/>
        <v>1</v>
      </c>
      <c r="E646" s="16">
        <f t="shared" si="91"/>
        <v>9</v>
      </c>
      <c r="F646" s="16">
        <f t="shared" si="91"/>
        <v>50</v>
      </c>
      <c r="G646" s="16">
        <f t="shared" si="91"/>
        <v>1</v>
      </c>
      <c r="H646" s="16">
        <f t="shared" si="91"/>
        <v>1</v>
      </c>
      <c r="I646" s="16">
        <f t="shared" si="91"/>
        <v>0</v>
      </c>
      <c r="J646" s="16">
        <f t="shared" si="91"/>
        <v>0</v>
      </c>
      <c r="K646" s="16">
        <f t="shared" si="91"/>
        <v>0</v>
      </c>
      <c r="L646" s="16">
        <f t="shared" si="91"/>
        <v>100</v>
      </c>
      <c r="M646" s="16">
        <f t="shared" si="91"/>
        <v>0</v>
      </c>
      <c r="N646" s="16">
        <f t="shared" si="91"/>
        <v>2</v>
      </c>
      <c r="O646" s="16">
        <f t="shared" si="91"/>
        <v>9</v>
      </c>
      <c r="P646" s="16">
        <f t="shared" si="91"/>
        <v>9</v>
      </c>
      <c r="Q646" s="16">
        <f t="shared" si="91"/>
        <v>1</v>
      </c>
      <c r="R646" s="16">
        <f t="shared" si="90"/>
        <v>15</v>
      </c>
      <c r="S646" s="16">
        <f t="shared" si="90"/>
        <v>0</v>
      </c>
      <c r="T646" s="16">
        <f t="shared" si="90"/>
        <v>0</v>
      </c>
      <c r="U646" s="16">
        <f t="shared" si="90"/>
        <v>0</v>
      </c>
      <c r="V646" s="16">
        <f t="shared" si="90"/>
        <v>0</v>
      </c>
      <c r="W646" s="16">
        <f t="shared" si="90"/>
        <v>1</v>
      </c>
      <c r="X646" s="16" t="str">
        <f t="shared" si="90"/>
        <v>null</v>
      </c>
    </row>
    <row r="647" spans="1:24" x14ac:dyDescent="0.15">
      <c r="A647" s="20" t="str">
        <f t="shared" si="92"/>
        <v>26_1-1/11&lt;lv50&gt;s3</v>
      </c>
      <c r="B647" s="16">
        <f t="shared" si="91"/>
        <v>26</v>
      </c>
      <c r="C647" s="16">
        <f t="shared" si="91"/>
        <v>1</v>
      </c>
      <c r="D647" s="16">
        <f t="shared" si="91"/>
        <v>1</v>
      </c>
      <c r="E647" s="16">
        <f t="shared" si="91"/>
        <v>11</v>
      </c>
      <c r="F647" s="16">
        <f t="shared" si="91"/>
        <v>50</v>
      </c>
      <c r="G647" s="16">
        <f t="shared" si="91"/>
        <v>1</v>
      </c>
      <c r="H647" s="16">
        <f t="shared" si="91"/>
        <v>1</v>
      </c>
      <c r="I647" s="16">
        <f t="shared" si="91"/>
        <v>0</v>
      </c>
      <c r="J647" s="16">
        <f t="shared" si="91"/>
        <v>0</v>
      </c>
      <c r="K647" s="16">
        <f t="shared" si="91"/>
        <v>0</v>
      </c>
      <c r="L647" s="16">
        <f t="shared" si="91"/>
        <v>100</v>
      </c>
      <c r="M647" s="16">
        <f t="shared" si="91"/>
        <v>0</v>
      </c>
      <c r="N647" s="16">
        <f t="shared" si="91"/>
        <v>3</v>
      </c>
      <c r="O647" s="16">
        <f t="shared" si="91"/>
        <v>11</v>
      </c>
      <c r="P647" s="16">
        <f t="shared" si="91"/>
        <v>9</v>
      </c>
      <c r="Q647" s="16">
        <f t="shared" si="91"/>
        <v>1</v>
      </c>
      <c r="R647" s="16">
        <f t="shared" si="90"/>
        <v>15</v>
      </c>
      <c r="S647" s="16">
        <f t="shared" si="90"/>
        <v>0</v>
      </c>
      <c r="T647" s="16">
        <f t="shared" si="90"/>
        <v>0</v>
      </c>
      <c r="U647" s="16">
        <f t="shared" si="90"/>
        <v>0</v>
      </c>
      <c r="V647" s="16">
        <f t="shared" si="90"/>
        <v>0</v>
      </c>
      <c r="W647" s="16">
        <f t="shared" si="90"/>
        <v>1</v>
      </c>
      <c r="X647" s="16" t="str">
        <f t="shared" si="90"/>
        <v>null</v>
      </c>
    </row>
    <row r="648" spans="1:24" x14ac:dyDescent="0.15">
      <c r="A648" s="20" t="str">
        <f t="shared" si="92"/>
        <v>26_1-1/13&lt;lv50&gt;s2</v>
      </c>
      <c r="B648" s="16">
        <f t="shared" si="91"/>
        <v>26</v>
      </c>
      <c r="C648" s="16">
        <f t="shared" si="91"/>
        <v>1</v>
      </c>
      <c r="D648" s="16">
        <f t="shared" si="91"/>
        <v>1</v>
      </c>
      <c r="E648" s="16">
        <f t="shared" si="91"/>
        <v>13</v>
      </c>
      <c r="F648" s="16">
        <f t="shared" si="91"/>
        <v>50</v>
      </c>
      <c r="G648" s="16">
        <f t="shared" si="91"/>
        <v>1</v>
      </c>
      <c r="H648" s="16">
        <f t="shared" si="91"/>
        <v>1</v>
      </c>
      <c r="I648" s="16">
        <f t="shared" si="91"/>
        <v>0</v>
      </c>
      <c r="J648" s="16">
        <f t="shared" si="91"/>
        <v>0</v>
      </c>
      <c r="K648" s="16">
        <f t="shared" si="91"/>
        <v>0</v>
      </c>
      <c r="L648" s="16">
        <f t="shared" si="91"/>
        <v>100</v>
      </c>
      <c r="M648" s="16">
        <f t="shared" si="91"/>
        <v>0</v>
      </c>
      <c r="N648" s="16">
        <f t="shared" si="91"/>
        <v>2</v>
      </c>
      <c r="O648" s="16">
        <f t="shared" si="91"/>
        <v>13</v>
      </c>
      <c r="P648" s="16">
        <f t="shared" si="91"/>
        <v>9</v>
      </c>
      <c r="Q648" s="16">
        <f t="shared" si="91"/>
        <v>1</v>
      </c>
      <c r="R648" s="16">
        <f t="shared" si="90"/>
        <v>15</v>
      </c>
      <c r="S648" s="16">
        <f t="shared" si="90"/>
        <v>0</v>
      </c>
      <c r="T648" s="16">
        <f t="shared" si="90"/>
        <v>0</v>
      </c>
      <c r="U648" s="16">
        <f t="shared" si="90"/>
        <v>0</v>
      </c>
      <c r="V648" s="16">
        <f t="shared" si="90"/>
        <v>0</v>
      </c>
      <c r="W648" s="16">
        <f t="shared" si="90"/>
        <v>1</v>
      </c>
      <c r="X648" s="16" t="str">
        <f t="shared" si="90"/>
        <v>null</v>
      </c>
    </row>
    <row r="649" spans="1:24" x14ac:dyDescent="0.15">
      <c r="A649" s="20" t="str">
        <f t="shared" si="92"/>
        <v>26_1-1/23&lt;lv50&gt;s4</v>
      </c>
      <c r="B649" s="16">
        <f t="shared" si="91"/>
        <v>26</v>
      </c>
      <c r="C649" s="16">
        <f t="shared" si="91"/>
        <v>1</v>
      </c>
      <c r="D649" s="16">
        <f t="shared" si="91"/>
        <v>1</v>
      </c>
      <c r="E649" s="16">
        <f t="shared" si="91"/>
        <v>23</v>
      </c>
      <c r="F649" s="16">
        <f t="shared" si="91"/>
        <v>50</v>
      </c>
      <c r="G649" s="16">
        <f t="shared" si="91"/>
        <v>1</v>
      </c>
      <c r="H649" s="16">
        <f t="shared" si="91"/>
        <v>1</v>
      </c>
      <c r="I649" s="16">
        <f t="shared" si="91"/>
        <v>0</v>
      </c>
      <c r="J649" s="16">
        <f t="shared" si="91"/>
        <v>0</v>
      </c>
      <c r="K649" s="16">
        <f t="shared" si="91"/>
        <v>0</v>
      </c>
      <c r="L649" s="16">
        <f t="shared" si="91"/>
        <v>100</v>
      </c>
      <c r="M649" s="16">
        <f t="shared" si="91"/>
        <v>0</v>
      </c>
      <c r="N649" s="16">
        <f t="shared" si="91"/>
        <v>4</v>
      </c>
      <c r="O649" s="16">
        <f t="shared" si="91"/>
        <v>23</v>
      </c>
      <c r="P649" s="16">
        <f t="shared" si="91"/>
        <v>7</v>
      </c>
      <c r="Q649" s="16">
        <f t="shared" si="91"/>
        <v>1</v>
      </c>
      <c r="R649" s="16">
        <f t="shared" si="90"/>
        <v>15</v>
      </c>
      <c r="S649" s="16">
        <f t="shared" si="90"/>
        <v>0</v>
      </c>
      <c r="T649" s="16">
        <f t="shared" si="90"/>
        <v>0</v>
      </c>
      <c r="U649" s="16">
        <f t="shared" si="90"/>
        <v>0</v>
      </c>
      <c r="V649" s="16">
        <f t="shared" si="90"/>
        <v>0</v>
      </c>
      <c r="W649" s="16">
        <f t="shared" si="90"/>
        <v>1</v>
      </c>
      <c r="X649" s="16" t="str">
        <f t="shared" si="90"/>
        <v>null</v>
      </c>
    </row>
    <row r="650" spans="1:24" x14ac:dyDescent="0.15">
      <c r="A650" s="20" t="str">
        <f t="shared" si="92"/>
        <v>26_1-1/25&lt;lv50&gt;s3</v>
      </c>
      <c r="B650" s="16">
        <f t="shared" si="91"/>
        <v>26</v>
      </c>
      <c r="C650" s="16">
        <f t="shared" si="91"/>
        <v>1</v>
      </c>
      <c r="D650" s="16">
        <f t="shared" si="91"/>
        <v>1</v>
      </c>
      <c r="E650" s="16">
        <f t="shared" si="91"/>
        <v>25</v>
      </c>
      <c r="F650" s="16">
        <f t="shared" si="91"/>
        <v>50</v>
      </c>
      <c r="G650" s="16">
        <f t="shared" si="91"/>
        <v>1</v>
      </c>
      <c r="H650" s="16">
        <f t="shared" si="91"/>
        <v>1</v>
      </c>
      <c r="I650" s="16">
        <f t="shared" si="91"/>
        <v>0</v>
      </c>
      <c r="J650" s="16">
        <f t="shared" si="91"/>
        <v>0</v>
      </c>
      <c r="K650" s="16">
        <f t="shared" si="91"/>
        <v>0</v>
      </c>
      <c r="L650" s="16">
        <f t="shared" si="91"/>
        <v>100</v>
      </c>
      <c r="M650" s="16">
        <f t="shared" si="91"/>
        <v>0</v>
      </c>
      <c r="N650" s="16">
        <f t="shared" si="91"/>
        <v>3</v>
      </c>
      <c r="O650" s="16">
        <f t="shared" si="91"/>
        <v>25</v>
      </c>
      <c r="P650" s="16">
        <f t="shared" si="91"/>
        <v>7</v>
      </c>
      <c r="Q650" s="16">
        <f t="shared" si="91"/>
        <v>1</v>
      </c>
      <c r="R650" s="16">
        <f t="shared" si="90"/>
        <v>15</v>
      </c>
      <c r="S650" s="16">
        <f t="shared" si="90"/>
        <v>0</v>
      </c>
      <c r="T650" s="16">
        <f t="shared" si="90"/>
        <v>0</v>
      </c>
      <c r="U650" s="16">
        <f t="shared" si="90"/>
        <v>0</v>
      </c>
      <c r="V650" s="16">
        <f t="shared" si="90"/>
        <v>0</v>
      </c>
      <c r="W650" s="16">
        <f t="shared" si="90"/>
        <v>1</v>
      </c>
      <c r="X650" s="16" t="str">
        <f t="shared" si="90"/>
        <v>null</v>
      </c>
    </row>
    <row r="651" spans="1:24" x14ac:dyDescent="0.15">
      <c r="A651" s="20" t="str">
        <f t="shared" si="92"/>
        <v>26_1-1/348&lt;lv50&gt;s3</v>
      </c>
      <c r="B651" s="16">
        <f t="shared" si="91"/>
        <v>26</v>
      </c>
      <c r="C651" s="16">
        <f t="shared" si="91"/>
        <v>1</v>
      </c>
      <c r="D651" s="16">
        <f t="shared" si="91"/>
        <v>1</v>
      </c>
      <c r="E651" s="16">
        <f t="shared" si="91"/>
        <v>348</v>
      </c>
      <c r="F651" s="16">
        <f t="shared" si="91"/>
        <v>50</v>
      </c>
      <c r="G651" s="16">
        <f t="shared" si="91"/>
        <v>1</v>
      </c>
      <c r="H651" s="16">
        <f t="shared" si="91"/>
        <v>1</v>
      </c>
      <c r="I651" s="16">
        <f t="shared" si="91"/>
        <v>0</v>
      </c>
      <c r="J651" s="16">
        <f t="shared" si="91"/>
        <v>348</v>
      </c>
      <c r="K651" s="16">
        <f t="shared" si="91"/>
        <v>0</v>
      </c>
      <c r="L651" s="16">
        <f t="shared" si="91"/>
        <v>100</v>
      </c>
      <c r="M651" s="16">
        <f t="shared" si="91"/>
        <v>0</v>
      </c>
      <c r="N651" s="16">
        <f t="shared" si="91"/>
        <v>3</v>
      </c>
      <c r="O651" s="16">
        <f t="shared" si="91"/>
        <v>348</v>
      </c>
      <c r="P651" s="16">
        <f t="shared" si="91"/>
        <v>1</v>
      </c>
      <c r="Q651" s="16">
        <f t="shared" si="91"/>
        <v>2</v>
      </c>
      <c r="R651" s="16">
        <f t="shared" si="90"/>
        <v>24</v>
      </c>
      <c r="S651" s="16">
        <f t="shared" si="90"/>
        <v>0</v>
      </c>
      <c r="T651" s="16">
        <f t="shared" si="90"/>
        <v>0</v>
      </c>
      <c r="U651" s="16">
        <f t="shared" si="90"/>
        <v>0</v>
      </c>
      <c r="V651" s="16">
        <f t="shared" si="90"/>
        <v>0</v>
      </c>
      <c r="W651" s="16">
        <f t="shared" si="90"/>
        <v>1</v>
      </c>
      <c r="X651" s="16" t="str">
        <f t="shared" si="90"/>
        <v>null</v>
      </c>
    </row>
    <row r="652" spans="1:24" x14ac:dyDescent="0.15">
      <c r="A652" s="20" t="str">
        <f t="shared" si="92"/>
        <v>26_1-1/350&lt;lv50&gt;s3</v>
      </c>
      <c r="B652" s="16">
        <f t="shared" si="91"/>
        <v>26</v>
      </c>
      <c r="C652" s="16">
        <f t="shared" si="91"/>
        <v>1</v>
      </c>
      <c r="D652" s="16">
        <f t="shared" si="91"/>
        <v>1</v>
      </c>
      <c r="E652" s="16">
        <f t="shared" si="91"/>
        <v>350</v>
      </c>
      <c r="F652" s="16">
        <f t="shared" si="91"/>
        <v>50</v>
      </c>
      <c r="G652" s="16">
        <f t="shared" si="91"/>
        <v>1</v>
      </c>
      <c r="H652" s="16">
        <f t="shared" si="91"/>
        <v>1</v>
      </c>
      <c r="I652" s="16">
        <f t="shared" si="91"/>
        <v>0</v>
      </c>
      <c r="J652" s="16">
        <f t="shared" si="91"/>
        <v>350</v>
      </c>
      <c r="K652" s="16">
        <f t="shared" si="91"/>
        <v>0</v>
      </c>
      <c r="L652" s="16">
        <f t="shared" si="91"/>
        <v>100</v>
      </c>
      <c r="M652" s="16">
        <f t="shared" si="91"/>
        <v>0</v>
      </c>
      <c r="N652" s="16">
        <f t="shared" si="91"/>
        <v>3</v>
      </c>
      <c r="O652" s="16">
        <f t="shared" si="91"/>
        <v>350</v>
      </c>
      <c r="P652" s="16">
        <f t="shared" si="91"/>
        <v>1</v>
      </c>
      <c r="Q652" s="16">
        <f t="shared" si="91"/>
        <v>2</v>
      </c>
      <c r="R652" s="16">
        <f t="shared" si="90"/>
        <v>24</v>
      </c>
      <c r="S652" s="16">
        <f t="shared" si="90"/>
        <v>0</v>
      </c>
      <c r="T652" s="16">
        <f t="shared" si="90"/>
        <v>0</v>
      </c>
      <c r="U652" s="16">
        <f t="shared" si="90"/>
        <v>0</v>
      </c>
      <c r="V652" s="16">
        <f t="shared" si="90"/>
        <v>0</v>
      </c>
      <c r="W652" s="16">
        <f t="shared" si="90"/>
        <v>1</v>
      </c>
      <c r="X652" s="16" t="str">
        <f t="shared" si="90"/>
        <v>null</v>
      </c>
    </row>
    <row r="653" spans="1:24" x14ac:dyDescent="0.15">
      <c r="A653" s="20" t="str">
        <f t="shared" si="92"/>
        <v>26_1-2/33&lt;lv50&gt;s2</v>
      </c>
      <c r="B653" s="16">
        <f t="shared" si="91"/>
        <v>26</v>
      </c>
      <c r="C653" s="16">
        <f t="shared" si="91"/>
        <v>1</v>
      </c>
      <c r="D653" s="16">
        <f t="shared" si="91"/>
        <v>2</v>
      </c>
      <c r="E653" s="16">
        <f t="shared" si="91"/>
        <v>33</v>
      </c>
      <c r="F653" s="16">
        <f t="shared" si="91"/>
        <v>50</v>
      </c>
      <c r="G653" s="16">
        <f t="shared" si="91"/>
        <v>1</v>
      </c>
      <c r="H653" s="16">
        <f t="shared" si="91"/>
        <v>1</v>
      </c>
      <c r="I653" s="16">
        <f t="shared" si="91"/>
        <v>0</v>
      </c>
      <c r="J653" s="16">
        <f t="shared" si="91"/>
        <v>33</v>
      </c>
      <c r="K653" s="16">
        <f t="shared" si="91"/>
        <v>0</v>
      </c>
      <c r="L653" s="16">
        <f t="shared" si="91"/>
        <v>100</v>
      </c>
      <c r="M653" s="16">
        <f t="shared" si="91"/>
        <v>0</v>
      </c>
      <c r="N653" s="16">
        <f t="shared" si="91"/>
        <v>2</v>
      </c>
      <c r="O653" s="16">
        <f t="shared" si="91"/>
        <v>33</v>
      </c>
      <c r="P653" s="16">
        <f t="shared" si="91"/>
        <v>5</v>
      </c>
      <c r="Q653" s="16">
        <f t="shared" si="91"/>
        <v>2</v>
      </c>
      <c r="R653" s="16">
        <f t="shared" si="90"/>
        <v>20</v>
      </c>
      <c r="S653" s="16">
        <f t="shared" si="90"/>
        <v>0</v>
      </c>
      <c r="T653" s="16">
        <f t="shared" si="90"/>
        <v>0</v>
      </c>
      <c r="U653" s="16">
        <f t="shared" si="90"/>
        <v>0</v>
      </c>
      <c r="V653" s="16">
        <f t="shared" si="90"/>
        <v>0</v>
      </c>
      <c r="W653" s="16">
        <f t="shared" si="90"/>
        <v>1</v>
      </c>
      <c r="X653" s="16" t="str">
        <f t="shared" si="90"/>
        <v>null</v>
      </c>
    </row>
    <row r="654" spans="1:24" x14ac:dyDescent="0.15">
      <c r="A654" s="20" t="str">
        <f t="shared" si="92"/>
        <v>26_1-2/37&lt;lv50&gt;s3</v>
      </c>
      <c r="B654" s="16">
        <f t="shared" si="91"/>
        <v>26</v>
      </c>
      <c r="C654" s="16">
        <f t="shared" si="91"/>
        <v>1</v>
      </c>
      <c r="D654" s="16">
        <f t="shared" si="91"/>
        <v>2</v>
      </c>
      <c r="E654" s="16">
        <f t="shared" si="91"/>
        <v>37</v>
      </c>
      <c r="F654" s="16">
        <f t="shared" si="91"/>
        <v>50</v>
      </c>
      <c r="G654" s="16">
        <f t="shared" si="91"/>
        <v>1</v>
      </c>
      <c r="H654" s="16">
        <f t="shared" si="91"/>
        <v>1</v>
      </c>
      <c r="I654" s="16">
        <f t="shared" si="91"/>
        <v>0</v>
      </c>
      <c r="J654" s="16">
        <f t="shared" si="91"/>
        <v>37</v>
      </c>
      <c r="K654" s="16">
        <f t="shared" si="91"/>
        <v>0</v>
      </c>
      <c r="L654" s="16">
        <f t="shared" si="91"/>
        <v>100</v>
      </c>
      <c r="M654" s="16">
        <f t="shared" si="91"/>
        <v>0</v>
      </c>
      <c r="N654" s="16">
        <f t="shared" si="91"/>
        <v>3</v>
      </c>
      <c r="O654" s="16">
        <f t="shared" si="91"/>
        <v>37</v>
      </c>
      <c r="P654" s="16">
        <f t="shared" si="91"/>
        <v>5</v>
      </c>
      <c r="Q654" s="16">
        <f t="shared" ref="Q654:W669" si="93">VLOOKUP($A654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654" s="16">
        <f t="shared" si="93"/>
        <v>20</v>
      </c>
      <c r="S654" s="16">
        <f t="shared" si="93"/>
        <v>0</v>
      </c>
      <c r="T654" s="16">
        <f t="shared" si="93"/>
        <v>0</v>
      </c>
      <c r="U654" s="16">
        <f t="shared" si="93"/>
        <v>0</v>
      </c>
      <c r="V654" s="16">
        <f t="shared" si="93"/>
        <v>0</v>
      </c>
      <c r="W654" s="16">
        <f t="shared" si="93"/>
        <v>1</v>
      </c>
      <c r="X654" s="16" t="str">
        <f t="shared" si="90"/>
        <v>null</v>
      </c>
    </row>
    <row r="655" spans="1:24" x14ac:dyDescent="0.15">
      <c r="A655" s="20" t="str">
        <f t="shared" si="92"/>
        <v>26_1-2/45&lt;lv50&gt;s3</v>
      </c>
      <c r="B655" s="16">
        <f t="shared" ref="B655:Q670" si="94">VLOOKUP($A655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655" s="16">
        <f t="shared" si="94"/>
        <v>1</v>
      </c>
      <c r="D655" s="16">
        <f t="shared" si="94"/>
        <v>2</v>
      </c>
      <c r="E655" s="16">
        <f t="shared" si="94"/>
        <v>45</v>
      </c>
      <c r="F655" s="16">
        <f t="shared" si="94"/>
        <v>50</v>
      </c>
      <c r="G655" s="16">
        <f t="shared" si="94"/>
        <v>1</v>
      </c>
      <c r="H655" s="16">
        <f t="shared" si="94"/>
        <v>1</v>
      </c>
      <c r="I655" s="16">
        <f t="shared" si="94"/>
        <v>0</v>
      </c>
      <c r="J655" s="16">
        <f t="shared" si="94"/>
        <v>0</v>
      </c>
      <c r="K655" s="16">
        <f t="shared" si="94"/>
        <v>0</v>
      </c>
      <c r="L655" s="16">
        <f t="shared" si="94"/>
        <v>100</v>
      </c>
      <c r="M655" s="16">
        <f t="shared" si="94"/>
        <v>0</v>
      </c>
      <c r="N655" s="16">
        <f t="shared" si="94"/>
        <v>3</v>
      </c>
      <c r="O655" s="16">
        <f t="shared" si="94"/>
        <v>45</v>
      </c>
      <c r="P655" s="16">
        <f t="shared" si="94"/>
        <v>7</v>
      </c>
      <c r="Q655" s="16">
        <f t="shared" si="94"/>
        <v>2</v>
      </c>
      <c r="R655" s="16">
        <f t="shared" si="93"/>
        <v>20</v>
      </c>
      <c r="S655" s="16">
        <f t="shared" si="93"/>
        <v>0</v>
      </c>
      <c r="T655" s="16">
        <f t="shared" si="93"/>
        <v>0</v>
      </c>
      <c r="U655" s="16">
        <f t="shared" si="93"/>
        <v>0</v>
      </c>
      <c r="V655" s="16">
        <f t="shared" si="93"/>
        <v>0</v>
      </c>
      <c r="W655" s="16">
        <f t="shared" si="93"/>
        <v>1</v>
      </c>
      <c r="X655" s="16" t="str">
        <f t="shared" si="90"/>
        <v>null</v>
      </c>
    </row>
    <row r="656" spans="1:24" x14ac:dyDescent="0.15">
      <c r="A656" s="20" t="str">
        <f t="shared" si="92"/>
        <v>26_1-2/47&lt;lv50&gt;s1</v>
      </c>
      <c r="B656" s="16">
        <f t="shared" si="94"/>
        <v>26</v>
      </c>
      <c r="C656" s="16">
        <f t="shared" si="94"/>
        <v>1</v>
      </c>
      <c r="D656" s="16">
        <f t="shared" si="94"/>
        <v>2</v>
      </c>
      <c r="E656" s="16">
        <f t="shared" si="94"/>
        <v>47</v>
      </c>
      <c r="F656" s="16">
        <f t="shared" si="94"/>
        <v>50</v>
      </c>
      <c r="G656" s="16">
        <f t="shared" si="94"/>
        <v>1</v>
      </c>
      <c r="H656" s="16">
        <f t="shared" si="94"/>
        <v>1</v>
      </c>
      <c r="I656" s="16">
        <f t="shared" si="94"/>
        <v>0</v>
      </c>
      <c r="J656" s="16">
        <f t="shared" si="94"/>
        <v>0</v>
      </c>
      <c r="K656" s="16">
        <f t="shared" si="94"/>
        <v>0</v>
      </c>
      <c r="L656" s="16">
        <f t="shared" si="94"/>
        <v>100</v>
      </c>
      <c r="M656" s="16">
        <f t="shared" si="94"/>
        <v>0</v>
      </c>
      <c r="N656" s="16">
        <f t="shared" si="94"/>
        <v>1</v>
      </c>
      <c r="O656" s="16">
        <f t="shared" si="94"/>
        <v>47</v>
      </c>
      <c r="P656" s="16">
        <f t="shared" si="94"/>
        <v>7</v>
      </c>
      <c r="Q656" s="16">
        <f t="shared" si="94"/>
        <v>2</v>
      </c>
      <c r="R656" s="16">
        <f t="shared" si="93"/>
        <v>20</v>
      </c>
      <c r="S656" s="16">
        <f t="shared" si="93"/>
        <v>0</v>
      </c>
      <c r="T656" s="16">
        <f t="shared" si="93"/>
        <v>0</v>
      </c>
      <c r="U656" s="16">
        <f t="shared" si="93"/>
        <v>0</v>
      </c>
      <c r="V656" s="16">
        <f t="shared" si="93"/>
        <v>0</v>
      </c>
      <c r="W656" s="16">
        <f t="shared" si="93"/>
        <v>1</v>
      </c>
      <c r="X656" s="16" t="str">
        <f t="shared" si="90"/>
        <v>null</v>
      </c>
    </row>
    <row r="657" spans="1:24" x14ac:dyDescent="0.15">
      <c r="A657" s="20" t="str">
        <f t="shared" si="92"/>
        <v>26_1-2/57&lt;lv50&gt;s2</v>
      </c>
      <c r="B657" s="16">
        <f t="shared" si="94"/>
        <v>26</v>
      </c>
      <c r="C657" s="16">
        <f t="shared" si="94"/>
        <v>1</v>
      </c>
      <c r="D657" s="16">
        <f t="shared" si="94"/>
        <v>2</v>
      </c>
      <c r="E657" s="16">
        <f t="shared" si="94"/>
        <v>57</v>
      </c>
      <c r="F657" s="16">
        <f t="shared" si="94"/>
        <v>50</v>
      </c>
      <c r="G657" s="16">
        <f t="shared" si="94"/>
        <v>1</v>
      </c>
      <c r="H657" s="16">
        <f t="shared" si="94"/>
        <v>1</v>
      </c>
      <c r="I657" s="16">
        <f t="shared" si="94"/>
        <v>0</v>
      </c>
      <c r="J657" s="16">
        <f t="shared" si="94"/>
        <v>57</v>
      </c>
      <c r="K657" s="16">
        <f t="shared" si="94"/>
        <v>0</v>
      </c>
      <c r="L657" s="16">
        <f t="shared" si="94"/>
        <v>100</v>
      </c>
      <c r="M657" s="16">
        <f t="shared" si="94"/>
        <v>0</v>
      </c>
      <c r="N657" s="16">
        <f t="shared" si="94"/>
        <v>2</v>
      </c>
      <c r="O657" s="16">
        <f t="shared" si="94"/>
        <v>57</v>
      </c>
      <c r="P657" s="16">
        <f t="shared" si="94"/>
        <v>7</v>
      </c>
      <c r="Q657" s="16">
        <f t="shared" si="94"/>
        <v>2</v>
      </c>
      <c r="R657" s="16">
        <f t="shared" si="93"/>
        <v>20</v>
      </c>
      <c r="S657" s="16">
        <f t="shared" si="93"/>
        <v>0</v>
      </c>
      <c r="T657" s="16">
        <f t="shared" si="93"/>
        <v>0</v>
      </c>
      <c r="U657" s="16">
        <f t="shared" si="93"/>
        <v>0</v>
      </c>
      <c r="V657" s="16">
        <f t="shared" si="93"/>
        <v>0</v>
      </c>
      <c r="W657" s="16">
        <f t="shared" si="93"/>
        <v>1</v>
      </c>
      <c r="X657" s="16" t="str">
        <f t="shared" si="90"/>
        <v>null</v>
      </c>
    </row>
    <row r="658" spans="1:24" x14ac:dyDescent="0.15">
      <c r="A658" s="20" t="str">
        <f t="shared" si="92"/>
        <v>26_1-2/59&lt;lv50&gt;s2</v>
      </c>
      <c r="B658" s="16">
        <f t="shared" si="94"/>
        <v>26</v>
      </c>
      <c r="C658" s="16">
        <f t="shared" si="94"/>
        <v>1</v>
      </c>
      <c r="D658" s="16">
        <f t="shared" si="94"/>
        <v>2</v>
      </c>
      <c r="E658" s="16">
        <f t="shared" si="94"/>
        <v>59</v>
      </c>
      <c r="F658" s="16">
        <f t="shared" si="94"/>
        <v>50</v>
      </c>
      <c r="G658" s="16">
        <f t="shared" si="94"/>
        <v>1</v>
      </c>
      <c r="H658" s="16">
        <f t="shared" si="94"/>
        <v>1</v>
      </c>
      <c r="I658" s="16">
        <f t="shared" si="94"/>
        <v>0</v>
      </c>
      <c r="J658" s="16">
        <f t="shared" si="94"/>
        <v>59</v>
      </c>
      <c r="K658" s="16">
        <f t="shared" si="94"/>
        <v>0</v>
      </c>
      <c r="L658" s="16">
        <f t="shared" si="94"/>
        <v>100</v>
      </c>
      <c r="M658" s="16">
        <f t="shared" si="94"/>
        <v>0</v>
      </c>
      <c r="N658" s="16">
        <f t="shared" si="94"/>
        <v>2</v>
      </c>
      <c r="O658" s="16">
        <f t="shared" si="94"/>
        <v>59</v>
      </c>
      <c r="P658" s="16">
        <f t="shared" si="94"/>
        <v>7</v>
      </c>
      <c r="Q658" s="16">
        <f t="shared" si="94"/>
        <v>2</v>
      </c>
      <c r="R658" s="16">
        <f t="shared" si="93"/>
        <v>20</v>
      </c>
      <c r="S658" s="16">
        <f t="shared" si="93"/>
        <v>0</v>
      </c>
      <c r="T658" s="16">
        <f t="shared" si="93"/>
        <v>0</v>
      </c>
      <c r="U658" s="16">
        <f t="shared" si="93"/>
        <v>0</v>
      </c>
      <c r="V658" s="16">
        <f t="shared" si="93"/>
        <v>0</v>
      </c>
      <c r="W658" s="16">
        <f t="shared" si="93"/>
        <v>1</v>
      </c>
      <c r="X658" s="16" t="str">
        <f t="shared" si="90"/>
        <v>null</v>
      </c>
    </row>
    <row r="659" spans="1:24" x14ac:dyDescent="0.15">
      <c r="A659" s="20" t="str">
        <f t="shared" si="92"/>
        <v>26_1-2/61&lt;lv50&gt;s2</v>
      </c>
      <c r="B659" s="16">
        <f t="shared" si="94"/>
        <v>26</v>
      </c>
      <c r="C659" s="16">
        <f t="shared" si="94"/>
        <v>1</v>
      </c>
      <c r="D659" s="16">
        <f t="shared" si="94"/>
        <v>2</v>
      </c>
      <c r="E659" s="16">
        <f t="shared" si="94"/>
        <v>61</v>
      </c>
      <c r="F659" s="16">
        <f t="shared" si="94"/>
        <v>50</v>
      </c>
      <c r="G659" s="16">
        <f t="shared" si="94"/>
        <v>1</v>
      </c>
      <c r="H659" s="16">
        <f t="shared" si="94"/>
        <v>1</v>
      </c>
      <c r="I659" s="16">
        <f t="shared" si="94"/>
        <v>0</v>
      </c>
      <c r="J659" s="16">
        <f t="shared" si="94"/>
        <v>61</v>
      </c>
      <c r="K659" s="16">
        <f t="shared" si="94"/>
        <v>0</v>
      </c>
      <c r="L659" s="16">
        <f t="shared" si="94"/>
        <v>100</v>
      </c>
      <c r="M659" s="16">
        <f t="shared" si="94"/>
        <v>0</v>
      </c>
      <c r="N659" s="16">
        <f t="shared" si="94"/>
        <v>2</v>
      </c>
      <c r="O659" s="16">
        <f t="shared" si="94"/>
        <v>61</v>
      </c>
      <c r="P659" s="16">
        <f t="shared" si="94"/>
        <v>7</v>
      </c>
      <c r="Q659" s="16">
        <f t="shared" si="94"/>
        <v>2</v>
      </c>
      <c r="R659" s="16">
        <f t="shared" si="93"/>
        <v>20</v>
      </c>
      <c r="S659" s="16">
        <f t="shared" si="93"/>
        <v>0</v>
      </c>
      <c r="T659" s="16">
        <f t="shared" si="93"/>
        <v>0</v>
      </c>
      <c r="U659" s="16">
        <f t="shared" si="93"/>
        <v>0</v>
      </c>
      <c r="V659" s="16">
        <f t="shared" si="93"/>
        <v>0</v>
      </c>
      <c r="W659" s="16">
        <f t="shared" si="93"/>
        <v>1</v>
      </c>
      <c r="X659" s="16" t="str">
        <f t="shared" si="90"/>
        <v>null</v>
      </c>
    </row>
    <row r="660" spans="1:24" x14ac:dyDescent="0.15">
      <c r="A660" s="20" t="str">
        <f t="shared" si="92"/>
        <v>26_1-2/63&lt;lv50&gt;s2</v>
      </c>
      <c r="B660" s="16">
        <f t="shared" si="94"/>
        <v>26</v>
      </c>
      <c r="C660" s="16">
        <f t="shared" si="94"/>
        <v>1</v>
      </c>
      <c r="D660" s="16">
        <f t="shared" si="94"/>
        <v>2</v>
      </c>
      <c r="E660" s="16">
        <f t="shared" si="94"/>
        <v>63</v>
      </c>
      <c r="F660" s="16">
        <f t="shared" si="94"/>
        <v>50</v>
      </c>
      <c r="G660" s="16">
        <f t="shared" si="94"/>
        <v>1</v>
      </c>
      <c r="H660" s="16">
        <f t="shared" si="94"/>
        <v>1</v>
      </c>
      <c r="I660" s="16">
        <f t="shared" si="94"/>
        <v>0</v>
      </c>
      <c r="J660" s="16">
        <f t="shared" si="94"/>
        <v>63</v>
      </c>
      <c r="K660" s="16">
        <f t="shared" si="94"/>
        <v>0</v>
      </c>
      <c r="L660" s="16">
        <f t="shared" si="94"/>
        <v>100</v>
      </c>
      <c r="M660" s="16">
        <f t="shared" si="94"/>
        <v>0</v>
      </c>
      <c r="N660" s="16">
        <f t="shared" si="94"/>
        <v>2</v>
      </c>
      <c r="O660" s="16">
        <f t="shared" si="94"/>
        <v>63</v>
      </c>
      <c r="P660" s="16">
        <f t="shared" si="94"/>
        <v>7</v>
      </c>
      <c r="Q660" s="16">
        <f t="shared" si="94"/>
        <v>2</v>
      </c>
      <c r="R660" s="16">
        <f t="shared" si="93"/>
        <v>20</v>
      </c>
      <c r="S660" s="16">
        <f t="shared" si="93"/>
        <v>0</v>
      </c>
      <c r="T660" s="16">
        <f t="shared" si="93"/>
        <v>0</v>
      </c>
      <c r="U660" s="16">
        <f t="shared" si="93"/>
        <v>0</v>
      </c>
      <c r="V660" s="16">
        <f t="shared" si="93"/>
        <v>0</v>
      </c>
      <c r="W660" s="16">
        <f t="shared" si="93"/>
        <v>1</v>
      </c>
      <c r="X660" s="16" t="str">
        <f t="shared" si="90"/>
        <v>null</v>
      </c>
    </row>
    <row r="661" spans="1:24" x14ac:dyDescent="0.15">
      <c r="A661" s="20" t="str">
        <f t="shared" si="92"/>
        <v>26_1-2/360&lt;lv50&gt;s3</v>
      </c>
      <c r="B661" s="16">
        <f t="shared" si="94"/>
        <v>26</v>
      </c>
      <c r="C661" s="16">
        <f t="shared" si="94"/>
        <v>1</v>
      </c>
      <c r="D661" s="16">
        <f t="shared" si="94"/>
        <v>2</v>
      </c>
      <c r="E661" s="16">
        <f t="shared" si="94"/>
        <v>360</v>
      </c>
      <c r="F661" s="16">
        <f t="shared" si="94"/>
        <v>50</v>
      </c>
      <c r="G661" s="16">
        <f t="shared" si="94"/>
        <v>1</v>
      </c>
      <c r="H661" s="16">
        <f t="shared" si="94"/>
        <v>1</v>
      </c>
      <c r="I661" s="16">
        <f t="shared" si="94"/>
        <v>0</v>
      </c>
      <c r="J661" s="16">
        <f t="shared" si="94"/>
        <v>360</v>
      </c>
      <c r="K661" s="16">
        <f t="shared" si="94"/>
        <v>0</v>
      </c>
      <c r="L661" s="16">
        <f t="shared" si="94"/>
        <v>100</v>
      </c>
      <c r="M661" s="16">
        <f t="shared" si="94"/>
        <v>0</v>
      </c>
      <c r="N661" s="16">
        <f t="shared" si="94"/>
        <v>3</v>
      </c>
      <c r="O661" s="16">
        <f t="shared" si="94"/>
        <v>360</v>
      </c>
      <c r="P661" s="16">
        <f t="shared" si="94"/>
        <v>7</v>
      </c>
      <c r="Q661" s="16">
        <f t="shared" si="94"/>
        <v>2</v>
      </c>
      <c r="R661" s="16">
        <f t="shared" si="93"/>
        <v>20</v>
      </c>
      <c r="S661" s="16">
        <f t="shared" si="93"/>
        <v>0</v>
      </c>
      <c r="T661" s="16">
        <f t="shared" si="93"/>
        <v>0</v>
      </c>
      <c r="U661" s="16">
        <f t="shared" si="93"/>
        <v>0</v>
      </c>
      <c r="V661" s="16">
        <f t="shared" si="93"/>
        <v>0</v>
      </c>
      <c r="W661" s="16">
        <f t="shared" si="93"/>
        <v>1</v>
      </c>
      <c r="X661" s="16" t="str">
        <f t="shared" si="90"/>
        <v>null</v>
      </c>
    </row>
    <row r="662" spans="1:24" x14ac:dyDescent="0.15">
      <c r="A662" s="20" t="str">
        <f t="shared" si="92"/>
        <v>26_1-2/362&lt;lv50&gt;s3</v>
      </c>
      <c r="B662" s="16">
        <f t="shared" si="94"/>
        <v>26</v>
      </c>
      <c r="C662" s="16">
        <f t="shared" si="94"/>
        <v>1</v>
      </c>
      <c r="D662" s="16">
        <f t="shared" si="94"/>
        <v>2</v>
      </c>
      <c r="E662" s="16">
        <f t="shared" si="94"/>
        <v>362</v>
      </c>
      <c r="F662" s="16">
        <f t="shared" si="94"/>
        <v>50</v>
      </c>
      <c r="G662" s="16">
        <f t="shared" si="94"/>
        <v>1</v>
      </c>
      <c r="H662" s="16">
        <f t="shared" si="94"/>
        <v>1</v>
      </c>
      <c r="I662" s="16">
        <f t="shared" si="94"/>
        <v>0</v>
      </c>
      <c r="J662" s="16">
        <f t="shared" si="94"/>
        <v>362</v>
      </c>
      <c r="K662" s="16">
        <f t="shared" si="94"/>
        <v>0</v>
      </c>
      <c r="L662" s="16">
        <f t="shared" si="94"/>
        <v>100</v>
      </c>
      <c r="M662" s="16">
        <f t="shared" si="94"/>
        <v>0</v>
      </c>
      <c r="N662" s="16">
        <f t="shared" si="94"/>
        <v>3</v>
      </c>
      <c r="O662" s="16">
        <f t="shared" si="94"/>
        <v>362</v>
      </c>
      <c r="P662" s="16">
        <f t="shared" si="94"/>
        <v>7</v>
      </c>
      <c r="Q662" s="16">
        <f t="shared" si="94"/>
        <v>2</v>
      </c>
      <c r="R662" s="16">
        <f t="shared" si="93"/>
        <v>20</v>
      </c>
      <c r="S662" s="16">
        <f t="shared" si="93"/>
        <v>0</v>
      </c>
      <c r="T662" s="16">
        <f t="shared" si="93"/>
        <v>0</v>
      </c>
      <c r="U662" s="16">
        <f t="shared" si="93"/>
        <v>0</v>
      </c>
      <c r="V662" s="16">
        <f t="shared" si="93"/>
        <v>0</v>
      </c>
      <c r="W662" s="16">
        <f t="shared" si="93"/>
        <v>1</v>
      </c>
      <c r="X662" s="16" t="str">
        <f t="shared" si="90"/>
        <v>null</v>
      </c>
    </row>
    <row r="663" spans="1:24" x14ac:dyDescent="0.15">
      <c r="A663" s="20" t="str">
        <f t="shared" si="92"/>
        <v>26_1-2/364&lt;lv50&gt;s3</v>
      </c>
      <c r="B663" s="16">
        <f t="shared" si="94"/>
        <v>26</v>
      </c>
      <c r="C663" s="16">
        <f t="shared" si="94"/>
        <v>1</v>
      </c>
      <c r="D663" s="16">
        <f t="shared" si="94"/>
        <v>2</v>
      </c>
      <c r="E663" s="16">
        <f t="shared" si="94"/>
        <v>364</v>
      </c>
      <c r="F663" s="16">
        <f t="shared" si="94"/>
        <v>50</v>
      </c>
      <c r="G663" s="16">
        <f t="shared" si="94"/>
        <v>1</v>
      </c>
      <c r="H663" s="16">
        <f t="shared" si="94"/>
        <v>1</v>
      </c>
      <c r="I663" s="16">
        <f t="shared" si="94"/>
        <v>0</v>
      </c>
      <c r="J663" s="16">
        <f t="shared" si="94"/>
        <v>364</v>
      </c>
      <c r="K663" s="16">
        <f t="shared" si="94"/>
        <v>0</v>
      </c>
      <c r="L663" s="16">
        <f t="shared" si="94"/>
        <v>100</v>
      </c>
      <c r="M663" s="16">
        <f t="shared" si="94"/>
        <v>0</v>
      </c>
      <c r="N663" s="16">
        <f t="shared" si="94"/>
        <v>3</v>
      </c>
      <c r="O663" s="16">
        <f t="shared" si="94"/>
        <v>364</v>
      </c>
      <c r="P663" s="16">
        <f t="shared" si="94"/>
        <v>7</v>
      </c>
      <c r="Q663" s="16">
        <f t="shared" si="94"/>
        <v>2</v>
      </c>
      <c r="R663" s="16">
        <f t="shared" si="93"/>
        <v>20</v>
      </c>
      <c r="S663" s="16">
        <f t="shared" si="93"/>
        <v>0</v>
      </c>
      <c r="T663" s="16">
        <f t="shared" si="93"/>
        <v>0</v>
      </c>
      <c r="U663" s="16">
        <f t="shared" si="93"/>
        <v>0</v>
      </c>
      <c r="V663" s="16">
        <f t="shared" si="93"/>
        <v>0</v>
      </c>
      <c r="W663" s="16">
        <f t="shared" si="93"/>
        <v>1</v>
      </c>
      <c r="X663" s="16" t="str">
        <f t="shared" si="90"/>
        <v>null</v>
      </c>
    </row>
    <row r="664" spans="1:24" x14ac:dyDescent="0.15">
      <c r="A664" s="20" t="str">
        <f t="shared" si="92"/>
        <v>26_1-2/366&lt;lv50&gt;s3</v>
      </c>
      <c r="B664" s="16">
        <f t="shared" si="94"/>
        <v>26</v>
      </c>
      <c r="C664" s="16">
        <f t="shared" si="94"/>
        <v>1</v>
      </c>
      <c r="D664" s="16">
        <f t="shared" si="94"/>
        <v>2</v>
      </c>
      <c r="E664" s="16">
        <f t="shared" si="94"/>
        <v>366</v>
      </c>
      <c r="F664" s="16">
        <f t="shared" si="94"/>
        <v>50</v>
      </c>
      <c r="G664" s="16">
        <f t="shared" si="94"/>
        <v>1</v>
      </c>
      <c r="H664" s="16">
        <f t="shared" si="94"/>
        <v>1</v>
      </c>
      <c r="I664" s="16">
        <f t="shared" si="94"/>
        <v>0</v>
      </c>
      <c r="J664" s="16">
        <f t="shared" si="94"/>
        <v>366</v>
      </c>
      <c r="K664" s="16">
        <f t="shared" si="94"/>
        <v>0</v>
      </c>
      <c r="L664" s="16">
        <f t="shared" si="94"/>
        <v>100</v>
      </c>
      <c r="M664" s="16">
        <f t="shared" si="94"/>
        <v>0</v>
      </c>
      <c r="N664" s="16">
        <f t="shared" si="94"/>
        <v>3</v>
      </c>
      <c r="O664" s="16">
        <f t="shared" si="94"/>
        <v>366</v>
      </c>
      <c r="P664" s="16">
        <f t="shared" si="94"/>
        <v>7</v>
      </c>
      <c r="Q664" s="16">
        <f t="shared" si="94"/>
        <v>2</v>
      </c>
      <c r="R664" s="16">
        <f t="shared" si="93"/>
        <v>20</v>
      </c>
      <c r="S664" s="16">
        <f t="shared" si="93"/>
        <v>0</v>
      </c>
      <c r="T664" s="16">
        <f t="shared" si="93"/>
        <v>0</v>
      </c>
      <c r="U664" s="16">
        <f t="shared" si="93"/>
        <v>0</v>
      </c>
      <c r="V664" s="16">
        <f t="shared" si="93"/>
        <v>0</v>
      </c>
      <c r="W664" s="16">
        <f t="shared" si="93"/>
        <v>1</v>
      </c>
      <c r="X664" s="16" t="str">
        <f t="shared" si="90"/>
        <v>null</v>
      </c>
    </row>
    <row r="665" spans="1:24" x14ac:dyDescent="0.15">
      <c r="A665" s="20" t="str">
        <f t="shared" si="92"/>
        <v>26_1-2/352&lt;lv50&gt;s3</v>
      </c>
      <c r="B665" s="16">
        <f t="shared" si="94"/>
        <v>26</v>
      </c>
      <c r="C665" s="16">
        <f t="shared" si="94"/>
        <v>1</v>
      </c>
      <c r="D665" s="16">
        <f t="shared" si="94"/>
        <v>2</v>
      </c>
      <c r="E665" s="16">
        <f t="shared" si="94"/>
        <v>352</v>
      </c>
      <c r="F665" s="16">
        <f t="shared" si="94"/>
        <v>50</v>
      </c>
      <c r="G665" s="16">
        <f t="shared" si="94"/>
        <v>1</v>
      </c>
      <c r="H665" s="16">
        <f t="shared" si="94"/>
        <v>1</v>
      </c>
      <c r="I665" s="16">
        <f t="shared" si="94"/>
        <v>0</v>
      </c>
      <c r="J665" s="16">
        <f t="shared" si="94"/>
        <v>352</v>
      </c>
      <c r="K665" s="16">
        <f t="shared" si="94"/>
        <v>0</v>
      </c>
      <c r="L665" s="16">
        <f t="shared" si="94"/>
        <v>100</v>
      </c>
      <c r="M665" s="16">
        <f t="shared" si="94"/>
        <v>0</v>
      </c>
      <c r="N665" s="16">
        <f t="shared" si="94"/>
        <v>3</v>
      </c>
      <c r="O665" s="16">
        <f t="shared" si="94"/>
        <v>352</v>
      </c>
      <c r="P665" s="16">
        <f t="shared" si="94"/>
        <v>1</v>
      </c>
      <c r="Q665" s="16">
        <f t="shared" si="94"/>
        <v>2</v>
      </c>
      <c r="R665" s="16">
        <f t="shared" si="93"/>
        <v>24</v>
      </c>
      <c r="S665" s="16">
        <f t="shared" si="93"/>
        <v>0</v>
      </c>
      <c r="T665" s="16">
        <f t="shared" si="93"/>
        <v>0</v>
      </c>
      <c r="U665" s="16">
        <f t="shared" si="93"/>
        <v>0</v>
      </c>
      <c r="V665" s="16">
        <f t="shared" si="93"/>
        <v>0</v>
      </c>
      <c r="W665" s="16">
        <f t="shared" si="93"/>
        <v>1</v>
      </c>
      <c r="X665" s="16" t="str">
        <f t="shared" si="90"/>
        <v>null</v>
      </c>
    </row>
    <row r="666" spans="1:24" x14ac:dyDescent="0.15">
      <c r="A666" s="20" t="str">
        <f t="shared" si="92"/>
        <v>26_1-2/354&lt;lv50&gt;s3</v>
      </c>
      <c r="B666" s="16">
        <f t="shared" si="94"/>
        <v>26</v>
      </c>
      <c r="C666" s="16">
        <f t="shared" si="94"/>
        <v>1</v>
      </c>
      <c r="D666" s="16">
        <f t="shared" si="94"/>
        <v>2</v>
      </c>
      <c r="E666" s="16">
        <f t="shared" si="94"/>
        <v>354</v>
      </c>
      <c r="F666" s="16">
        <f t="shared" si="94"/>
        <v>50</v>
      </c>
      <c r="G666" s="16">
        <f t="shared" si="94"/>
        <v>1</v>
      </c>
      <c r="H666" s="16">
        <f t="shared" si="94"/>
        <v>1</v>
      </c>
      <c r="I666" s="16">
        <f t="shared" si="94"/>
        <v>0</v>
      </c>
      <c r="J666" s="16">
        <f t="shared" si="94"/>
        <v>354</v>
      </c>
      <c r="K666" s="16">
        <f t="shared" si="94"/>
        <v>0</v>
      </c>
      <c r="L666" s="16">
        <f t="shared" si="94"/>
        <v>100</v>
      </c>
      <c r="M666" s="16">
        <f t="shared" si="94"/>
        <v>0</v>
      </c>
      <c r="N666" s="16">
        <f t="shared" si="94"/>
        <v>3</v>
      </c>
      <c r="O666" s="16">
        <f t="shared" si="94"/>
        <v>354</v>
      </c>
      <c r="P666" s="16">
        <f t="shared" si="94"/>
        <v>1</v>
      </c>
      <c r="Q666" s="16">
        <f t="shared" si="94"/>
        <v>2</v>
      </c>
      <c r="R666" s="16">
        <f t="shared" si="93"/>
        <v>24</v>
      </c>
      <c r="S666" s="16">
        <f t="shared" si="93"/>
        <v>0</v>
      </c>
      <c r="T666" s="16">
        <f t="shared" si="93"/>
        <v>0</v>
      </c>
      <c r="U666" s="16">
        <f t="shared" si="93"/>
        <v>0</v>
      </c>
      <c r="V666" s="16">
        <f t="shared" si="93"/>
        <v>0</v>
      </c>
      <c r="W666" s="16">
        <f t="shared" si="93"/>
        <v>1</v>
      </c>
      <c r="X666" s="16" t="str">
        <f t="shared" si="90"/>
        <v>null</v>
      </c>
    </row>
    <row r="667" spans="1:24" x14ac:dyDescent="0.15">
      <c r="A667" s="20" t="str">
        <f t="shared" si="92"/>
        <v>26_1-3/9&lt;lv50&gt;s2</v>
      </c>
      <c r="B667" s="16">
        <f t="shared" si="94"/>
        <v>26</v>
      </c>
      <c r="C667" s="16">
        <f t="shared" si="94"/>
        <v>1</v>
      </c>
      <c r="D667" s="16">
        <f t="shared" si="94"/>
        <v>3</v>
      </c>
      <c r="E667" s="16">
        <f t="shared" si="94"/>
        <v>9</v>
      </c>
      <c r="F667" s="16">
        <f t="shared" si="94"/>
        <v>50</v>
      </c>
      <c r="G667" s="16">
        <f t="shared" si="94"/>
        <v>1</v>
      </c>
      <c r="H667" s="16">
        <f t="shared" si="94"/>
        <v>1</v>
      </c>
      <c r="I667" s="16">
        <f t="shared" si="94"/>
        <v>0</v>
      </c>
      <c r="J667" s="16">
        <f t="shared" si="94"/>
        <v>0</v>
      </c>
      <c r="K667" s="16">
        <f t="shared" si="94"/>
        <v>0</v>
      </c>
      <c r="L667" s="16">
        <f t="shared" si="94"/>
        <v>100</v>
      </c>
      <c r="M667" s="16">
        <f t="shared" si="94"/>
        <v>0</v>
      </c>
      <c r="N667" s="16">
        <f t="shared" si="94"/>
        <v>2</v>
      </c>
      <c r="O667" s="16">
        <f t="shared" si="94"/>
        <v>9</v>
      </c>
      <c r="P667" s="16">
        <f t="shared" si="94"/>
        <v>9</v>
      </c>
      <c r="Q667" s="16">
        <f t="shared" si="94"/>
        <v>1</v>
      </c>
      <c r="R667" s="16">
        <f t="shared" si="93"/>
        <v>15</v>
      </c>
      <c r="S667" s="16">
        <f t="shared" si="93"/>
        <v>0</v>
      </c>
      <c r="T667" s="16">
        <f t="shared" si="93"/>
        <v>0</v>
      </c>
      <c r="U667" s="16">
        <f t="shared" si="93"/>
        <v>0</v>
      </c>
      <c r="V667" s="16">
        <f t="shared" si="93"/>
        <v>0</v>
      </c>
      <c r="W667" s="16">
        <f t="shared" si="93"/>
        <v>1</v>
      </c>
      <c r="X667" s="16" t="str">
        <f t="shared" si="90"/>
        <v>null</v>
      </c>
    </row>
    <row r="668" spans="1:24" x14ac:dyDescent="0.15">
      <c r="A668" s="20" t="str">
        <f t="shared" si="92"/>
        <v>26_1-3/11&lt;lv50&gt;s3</v>
      </c>
      <c r="B668" s="16">
        <f t="shared" si="94"/>
        <v>26</v>
      </c>
      <c r="C668" s="16">
        <f t="shared" si="94"/>
        <v>1</v>
      </c>
      <c r="D668" s="16">
        <f t="shared" si="94"/>
        <v>3</v>
      </c>
      <c r="E668" s="16">
        <f t="shared" si="94"/>
        <v>11</v>
      </c>
      <c r="F668" s="16">
        <f t="shared" si="94"/>
        <v>50</v>
      </c>
      <c r="G668" s="16">
        <f t="shared" si="94"/>
        <v>1</v>
      </c>
      <c r="H668" s="16">
        <f t="shared" si="94"/>
        <v>1</v>
      </c>
      <c r="I668" s="16">
        <f t="shared" si="94"/>
        <v>0</v>
      </c>
      <c r="J668" s="16">
        <f t="shared" si="94"/>
        <v>0</v>
      </c>
      <c r="K668" s="16">
        <f t="shared" si="94"/>
        <v>0</v>
      </c>
      <c r="L668" s="16">
        <f t="shared" si="94"/>
        <v>100</v>
      </c>
      <c r="M668" s="16">
        <f t="shared" si="94"/>
        <v>0</v>
      </c>
      <c r="N668" s="16">
        <f t="shared" si="94"/>
        <v>3</v>
      </c>
      <c r="O668" s="16">
        <f t="shared" si="94"/>
        <v>11</v>
      </c>
      <c r="P668" s="16">
        <f t="shared" si="94"/>
        <v>9</v>
      </c>
      <c r="Q668" s="16">
        <f t="shared" si="94"/>
        <v>1</v>
      </c>
      <c r="R668" s="16">
        <f t="shared" si="93"/>
        <v>15</v>
      </c>
      <c r="S668" s="16">
        <f t="shared" si="93"/>
        <v>0</v>
      </c>
      <c r="T668" s="16">
        <f t="shared" si="93"/>
        <v>0</v>
      </c>
      <c r="U668" s="16">
        <f t="shared" si="93"/>
        <v>0</v>
      </c>
      <c r="V668" s="16">
        <f t="shared" si="93"/>
        <v>0</v>
      </c>
      <c r="W668" s="16">
        <f t="shared" si="93"/>
        <v>1</v>
      </c>
      <c r="X668" s="16" t="str">
        <f t="shared" si="90"/>
        <v>null</v>
      </c>
    </row>
    <row r="669" spans="1:24" x14ac:dyDescent="0.15">
      <c r="A669" s="20" t="str">
        <f t="shared" si="92"/>
        <v>26_1-3/13&lt;lv50&gt;s2</v>
      </c>
      <c r="B669" s="16">
        <f t="shared" si="94"/>
        <v>26</v>
      </c>
      <c r="C669" s="16">
        <f t="shared" si="94"/>
        <v>1</v>
      </c>
      <c r="D669" s="16">
        <f t="shared" si="94"/>
        <v>3</v>
      </c>
      <c r="E669" s="16">
        <f t="shared" si="94"/>
        <v>13</v>
      </c>
      <c r="F669" s="16">
        <f t="shared" si="94"/>
        <v>50</v>
      </c>
      <c r="G669" s="16">
        <f t="shared" si="94"/>
        <v>1</v>
      </c>
      <c r="H669" s="16">
        <f t="shared" si="94"/>
        <v>1</v>
      </c>
      <c r="I669" s="16">
        <f t="shared" si="94"/>
        <v>0</v>
      </c>
      <c r="J669" s="16">
        <f t="shared" si="94"/>
        <v>0</v>
      </c>
      <c r="K669" s="16">
        <f t="shared" si="94"/>
        <v>0</v>
      </c>
      <c r="L669" s="16">
        <f t="shared" si="94"/>
        <v>100</v>
      </c>
      <c r="M669" s="16">
        <f t="shared" si="94"/>
        <v>0</v>
      </c>
      <c r="N669" s="16">
        <f t="shared" si="94"/>
        <v>2</v>
      </c>
      <c r="O669" s="16">
        <f t="shared" si="94"/>
        <v>13</v>
      </c>
      <c r="P669" s="16">
        <f t="shared" si="94"/>
        <v>9</v>
      </c>
      <c r="Q669" s="16">
        <f t="shared" si="94"/>
        <v>1</v>
      </c>
      <c r="R669" s="16">
        <f t="shared" si="93"/>
        <v>15</v>
      </c>
      <c r="S669" s="16">
        <f t="shared" si="93"/>
        <v>0</v>
      </c>
      <c r="T669" s="16">
        <f t="shared" si="93"/>
        <v>0</v>
      </c>
      <c r="U669" s="16">
        <f t="shared" si="93"/>
        <v>0</v>
      </c>
      <c r="V669" s="16">
        <f t="shared" si="93"/>
        <v>0</v>
      </c>
      <c r="W669" s="16">
        <f t="shared" si="93"/>
        <v>1</v>
      </c>
      <c r="X669" s="16" t="str">
        <f t="shared" si="90"/>
        <v>null</v>
      </c>
    </row>
    <row r="670" spans="1:24" x14ac:dyDescent="0.15">
      <c r="A670" s="20" t="str">
        <f t="shared" si="92"/>
        <v>26_1-3/23&lt;lv50&gt;s4</v>
      </c>
      <c r="B670" s="16">
        <f t="shared" si="94"/>
        <v>26</v>
      </c>
      <c r="C670" s="16">
        <f t="shared" si="94"/>
        <v>1</v>
      </c>
      <c r="D670" s="16">
        <f t="shared" si="94"/>
        <v>3</v>
      </c>
      <c r="E670" s="16">
        <f t="shared" si="94"/>
        <v>23</v>
      </c>
      <c r="F670" s="16">
        <f t="shared" si="94"/>
        <v>50</v>
      </c>
      <c r="G670" s="16">
        <f t="shared" si="94"/>
        <v>1</v>
      </c>
      <c r="H670" s="16">
        <f t="shared" si="94"/>
        <v>1</v>
      </c>
      <c r="I670" s="16">
        <f t="shared" si="94"/>
        <v>0</v>
      </c>
      <c r="J670" s="16">
        <f t="shared" si="94"/>
        <v>0</v>
      </c>
      <c r="K670" s="16">
        <f t="shared" si="94"/>
        <v>0</v>
      </c>
      <c r="L670" s="16">
        <f t="shared" si="94"/>
        <v>100</v>
      </c>
      <c r="M670" s="16">
        <f t="shared" si="94"/>
        <v>0</v>
      </c>
      <c r="N670" s="16">
        <f t="shared" si="94"/>
        <v>4</v>
      </c>
      <c r="O670" s="16">
        <f t="shared" si="94"/>
        <v>23</v>
      </c>
      <c r="P670" s="16">
        <f t="shared" si="94"/>
        <v>7</v>
      </c>
      <c r="Q670" s="16">
        <f t="shared" ref="Q670:W685" si="95">VLOOKUP($A670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670" s="16">
        <f t="shared" si="95"/>
        <v>15</v>
      </c>
      <c r="S670" s="16">
        <f t="shared" si="95"/>
        <v>0</v>
      </c>
      <c r="T670" s="16">
        <f t="shared" si="95"/>
        <v>0</v>
      </c>
      <c r="U670" s="16">
        <f t="shared" si="95"/>
        <v>0</v>
      </c>
      <c r="V670" s="16">
        <f t="shared" si="95"/>
        <v>0</v>
      </c>
      <c r="W670" s="16">
        <f t="shared" si="95"/>
        <v>1</v>
      </c>
      <c r="X670" s="16" t="str">
        <f t="shared" si="90"/>
        <v>null</v>
      </c>
    </row>
    <row r="671" spans="1:24" x14ac:dyDescent="0.15">
      <c r="A671" s="20" t="str">
        <f t="shared" si="92"/>
        <v>26_1-3/25&lt;lv50&gt;s3</v>
      </c>
      <c r="B671" s="16">
        <f t="shared" ref="B671:Q686" si="96">VLOOKUP($A671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671" s="16">
        <f t="shared" si="96"/>
        <v>1</v>
      </c>
      <c r="D671" s="16">
        <f t="shared" si="96"/>
        <v>3</v>
      </c>
      <c r="E671" s="16">
        <f t="shared" si="96"/>
        <v>25</v>
      </c>
      <c r="F671" s="16">
        <f t="shared" si="96"/>
        <v>50</v>
      </c>
      <c r="G671" s="16">
        <f t="shared" si="96"/>
        <v>1</v>
      </c>
      <c r="H671" s="16">
        <f t="shared" si="96"/>
        <v>1</v>
      </c>
      <c r="I671" s="16">
        <f t="shared" si="96"/>
        <v>0</v>
      </c>
      <c r="J671" s="16">
        <f t="shared" si="96"/>
        <v>0</v>
      </c>
      <c r="K671" s="16">
        <f t="shared" si="96"/>
        <v>0</v>
      </c>
      <c r="L671" s="16">
        <f t="shared" si="96"/>
        <v>100</v>
      </c>
      <c r="M671" s="16">
        <f t="shared" si="96"/>
        <v>0</v>
      </c>
      <c r="N671" s="16">
        <f t="shared" si="96"/>
        <v>3</v>
      </c>
      <c r="O671" s="16">
        <f t="shared" si="96"/>
        <v>25</v>
      </c>
      <c r="P671" s="16">
        <f t="shared" si="96"/>
        <v>7</v>
      </c>
      <c r="Q671" s="16">
        <f t="shared" si="96"/>
        <v>1</v>
      </c>
      <c r="R671" s="16">
        <f t="shared" si="95"/>
        <v>15</v>
      </c>
      <c r="S671" s="16">
        <f t="shared" si="95"/>
        <v>0</v>
      </c>
      <c r="T671" s="16">
        <f t="shared" si="95"/>
        <v>0</v>
      </c>
      <c r="U671" s="16">
        <f t="shared" si="95"/>
        <v>0</v>
      </c>
      <c r="V671" s="16">
        <f t="shared" si="95"/>
        <v>0</v>
      </c>
      <c r="W671" s="16">
        <f t="shared" si="95"/>
        <v>1</v>
      </c>
      <c r="X671" s="16" t="str">
        <f t="shared" si="90"/>
        <v>null</v>
      </c>
    </row>
    <row r="672" spans="1:24" x14ac:dyDescent="0.15">
      <c r="A672" s="20" t="str">
        <f t="shared" si="92"/>
        <v>26_1-3/33&lt;lv50&gt;s2</v>
      </c>
      <c r="B672" s="16">
        <f t="shared" si="96"/>
        <v>26</v>
      </c>
      <c r="C672" s="16">
        <f t="shared" si="96"/>
        <v>1</v>
      </c>
      <c r="D672" s="16">
        <f t="shared" si="96"/>
        <v>3</v>
      </c>
      <c r="E672" s="16">
        <f t="shared" si="96"/>
        <v>33</v>
      </c>
      <c r="F672" s="16">
        <f t="shared" si="96"/>
        <v>50</v>
      </c>
      <c r="G672" s="16">
        <f t="shared" si="96"/>
        <v>1</v>
      </c>
      <c r="H672" s="16">
        <f t="shared" si="96"/>
        <v>1</v>
      </c>
      <c r="I672" s="16">
        <f t="shared" si="96"/>
        <v>0</v>
      </c>
      <c r="J672" s="16">
        <f t="shared" si="96"/>
        <v>33</v>
      </c>
      <c r="K672" s="16">
        <f t="shared" si="96"/>
        <v>0</v>
      </c>
      <c r="L672" s="16">
        <f t="shared" si="96"/>
        <v>100</v>
      </c>
      <c r="M672" s="16">
        <f t="shared" si="96"/>
        <v>0</v>
      </c>
      <c r="N672" s="16">
        <f t="shared" si="96"/>
        <v>2</v>
      </c>
      <c r="O672" s="16">
        <f t="shared" si="96"/>
        <v>33</v>
      </c>
      <c r="P672" s="16">
        <f t="shared" si="96"/>
        <v>5</v>
      </c>
      <c r="Q672" s="16">
        <f t="shared" si="96"/>
        <v>2</v>
      </c>
      <c r="R672" s="16">
        <f t="shared" si="95"/>
        <v>20</v>
      </c>
      <c r="S672" s="16">
        <f t="shared" si="95"/>
        <v>0</v>
      </c>
      <c r="T672" s="16">
        <f t="shared" si="95"/>
        <v>0</v>
      </c>
      <c r="U672" s="16">
        <f t="shared" si="95"/>
        <v>0</v>
      </c>
      <c r="V672" s="16">
        <f t="shared" si="95"/>
        <v>0</v>
      </c>
      <c r="W672" s="16">
        <f t="shared" si="95"/>
        <v>1</v>
      </c>
      <c r="X672" s="16" t="str">
        <f t="shared" si="90"/>
        <v>null</v>
      </c>
    </row>
    <row r="673" spans="1:24" x14ac:dyDescent="0.15">
      <c r="A673" s="20" t="str">
        <f t="shared" si="92"/>
        <v>26_1-3/37&lt;lv50&gt;s3</v>
      </c>
      <c r="B673" s="16">
        <f t="shared" si="96"/>
        <v>26</v>
      </c>
      <c r="C673" s="16">
        <f t="shared" si="96"/>
        <v>1</v>
      </c>
      <c r="D673" s="16">
        <f t="shared" si="96"/>
        <v>3</v>
      </c>
      <c r="E673" s="16">
        <f t="shared" si="96"/>
        <v>37</v>
      </c>
      <c r="F673" s="16">
        <f t="shared" si="96"/>
        <v>50</v>
      </c>
      <c r="G673" s="16">
        <f t="shared" si="96"/>
        <v>1</v>
      </c>
      <c r="H673" s="16">
        <f t="shared" si="96"/>
        <v>1</v>
      </c>
      <c r="I673" s="16">
        <f t="shared" si="96"/>
        <v>0</v>
      </c>
      <c r="J673" s="16">
        <f t="shared" si="96"/>
        <v>37</v>
      </c>
      <c r="K673" s="16">
        <f t="shared" si="96"/>
        <v>0</v>
      </c>
      <c r="L673" s="16">
        <f t="shared" si="96"/>
        <v>100</v>
      </c>
      <c r="M673" s="16">
        <f t="shared" si="96"/>
        <v>0</v>
      </c>
      <c r="N673" s="16">
        <f t="shared" si="96"/>
        <v>3</v>
      </c>
      <c r="O673" s="16">
        <f t="shared" si="96"/>
        <v>37</v>
      </c>
      <c r="P673" s="16">
        <f t="shared" si="96"/>
        <v>5</v>
      </c>
      <c r="Q673" s="16">
        <f t="shared" si="96"/>
        <v>2</v>
      </c>
      <c r="R673" s="16">
        <f t="shared" si="95"/>
        <v>20</v>
      </c>
      <c r="S673" s="16">
        <f t="shared" si="95"/>
        <v>0</v>
      </c>
      <c r="T673" s="16">
        <f t="shared" si="95"/>
        <v>0</v>
      </c>
      <c r="U673" s="16">
        <f t="shared" si="95"/>
        <v>0</v>
      </c>
      <c r="V673" s="16">
        <f t="shared" si="95"/>
        <v>0</v>
      </c>
      <c r="W673" s="16">
        <f t="shared" si="95"/>
        <v>1</v>
      </c>
      <c r="X673" s="16" t="str">
        <f t="shared" si="90"/>
        <v>null</v>
      </c>
    </row>
    <row r="674" spans="1:24" x14ac:dyDescent="0.15">
      <c r="A674" s="20" t="str">
        <f t="shared" si="92"/>
        <v>26_1-3/45&lt;lv50&gt;s3</v>
      </c>
      <c r="B674" s="16">
        <f t="shared" si="96"/>
        <v>26</v>
      </c>
      <c r="C674" s="16">
        <f t="shared" si="96"/>
        <v>1</v>
      </c>
      <c r="D674" s="16">
        <f t="shared" si="96"/>
        <v>3</v>
      </c>
      <c r="E674" s="16">
        <f t="shared" si="96"/>
        <v>45</v>
      </c>
      <c r="F674" s="16">
        <f t="shared" si="96"/>
        <v>50</v>
      </c>
      <c r="G674" s="16">
        <f t="shared" si="96"/>
        <v>1</v>
      </c>
      <c r="H674" s="16">
        <f t="shared" si="96"/>
        <v>1</v>
      </c>
      <c r="I674" s="16">
        <f t="shared" si="96"/>
        <v>0</v>
      </c>
      <c r="J674" s="16">
        <f t="shared" si="96"/>
        <v>0</v>
      </c>
      <c r="K674" s="16">
        <f t="shared" si="96"/>
        <v>0</v>
      </c>
      <c r="L674" s="16">
        <f t="shared" si="96"/>
        <v>100</v>
      </c>
      <c r="M674" s="16">
        <f t="shared" si="96"/>
        <v>0</v>
      </c>
      <c r="N674" s="16">
        <f t="shared" si="96"/>
        <v>3</v>
      </c>
      <c r="O674" s="16">
        <f t="shared" si="96"/>
        <v>45</v>
      </c>
      <c r="P674" s="16">
        <f t="shared" si="96"/>
        <v>7</v>
      </c>
      <c r="Q674" s="16">
        <f t="shared" si="96"/>
        <v>2</v>
      </c>
      <c r="R674" s="16">
        <f t="shared" si="95"/>
        <v>20</v>
      </c>
      <c r="S674" s="16">
        <f t="shared" si="95"/>
        <v>0</v>
      </c>
      <c r="T674" s="16">
        <f t="shared" si="95"/>
        <v>0</v>
      </c>
      <c r="U674" s="16">
        <f t="shared" si="95"/>
        <v>0</v>
      </c>
      <c r="V674" s="16">
        <f t="shared" si="95"/>
        <v>0</v>
      </c>
      <c r="W674" s="16">
        <f t="shared" si="95"/>
        <v>1</v>
      </c>
      <c r="X674" s="16" t="str">
        <f t="shared" si="90"/>
        <v>null</v>
      </c>
    </row>
    <row r="675" spans="1:24" x14ac:dyDescent="0.15">
      <c r="A675" s="20" t="str">
        <f t="shared" si="92"/>
        <v>26_1-3/47&lt;lv50&gt;s1</v>
      </c>
      <c r="B675" s="16">
        <f t="shared" si="96"/>
        <v>26</v>
      </c>
      <c r="C675" s="16">
        <f t="shared" si="96"/>
        <v>1</v>
      </c>
      <c r="D675" s="16">
        <f t="shared" si="96"/>
        <v>3</v>
      </c>
      <c r="E675" s="16">
        <f t="shared" si="96"/>
        <v>47</v>
      </c>
      <c r="F675" s="16">
        <f t="shared" si="96"/>
        <v>50</v>
      </c>
      <c r="G675" s="16">
        <f t="shared" si="96"/>
        <v>1</v>
      </c>
      <c r="H675" s="16">
        <f t="shared" si="96"/>
        <v>1</v>
      </c>
      <c r="I675" s="16">
        <f t="shared" si="96"/>
        <v>0</v>
      </c>
      <c r="J675" s="16">
        <f t="shared" si="96"/>
        <v>0</v>
      </c>
      <c r="K675" s="16">
        <f t="shared" si="96"/>
        <v>0</v>
      </c>
      <c r="L675" s="16">
        <f t="shared" si="96"/>
        <v>100</v>
      </c>
      <c r="M675" s="16">
        <f t="shared" si="96"/>
        <v>0</v>
      </c>
      <c r="N675" s="16">
        <f t="shared" si="96"/>
        <v>1</v>
      </c>
      <c r="O675" s="16">
        <f t="shared" si="96"/>
        <v>47</v>
      </c>
      <c r="P675" s="16">
        <f t="shared" si="96"/>
        <v>7</v>
      </c>
      <c r="Q675" s="16">
        <f t="shared" si="96"/>
        <v>2</v>
      </c>
      <c r="R675" s="16">
        <f t="shared" si="95"/>
        <v>20</v>
      </c>
      <c r="S675" s="16">
        <f t="shared" si="95"/>
        <v>0</v>
      </c>
      <c r="T675" s="16">
        <f t="shared" si="95"/>
        <v>0</v>
      </c>
      <c r="U675" s="16">
        <f t="shared" si="95"/>
        <v>0</v>
      </c>
      <c r="V675" s="16">
        <f t="shared" si="95"/>
        <v>0</v>
      </c>
      <c r="W675" s="16">
        <f t="shared" si="95"/>
        <v>1</v>
      </c>
      <c r="X675" s="16" t="str">
        <f t="shared" si="90"/>
        <v>null</v>
      </c>
    </row>
    <row r="676" spans="1:24" x14ac:dyDescent="0.15">
      <c r="A676" s="20" t="str">
        <f t="shared" si="92"/>
        <v>26_1-3/57&lt;lv50&gt;s2</v>
      </c>
      <c r="B676" s="16">
        <f t="shared" si="96"/>
        <v>26</v>
      </c>
      <c r="C676" s="16">
        <f t="shared" si="96"/>
        <v>1</v>
      </c>
      <c r="D676" s="16">
        <f t="shared" si="96"/>
        <v>3</v>
      </c>
      <c r="E676" s="16">
        <f t="shared" si="96"/>
        <v>57</v>
      </c>
      <c r="F676" s="16">
        <f t="shared" si="96"/>
        <v>50</v>
      </c>
      <c r="G676" s="16">
        <f t="shared" si="96"/>
        <v>1</v>
      </c>
      <c r="H676" s="16">
        <f t="shared" si="96"/>
        <v>1</v>
      </c>
      <c r="I676" s="16">
        <f t="shared" si="96"/>
        <v>0</v>
      </c>
      <c r="J676" s="16">
        <f t="shared" si="96"/>
        <v>57</v>
      </c>
      <c r="K676" s="16">
        <f t="shared" si="96"/>
        <v>0</v>
      </c>
      <c r="L676" s="16">
        <f t="shared" si="96"/>
        <v>100</v>
      </c>
      <c r="M676" s="16">
        <f t="shared" si="96"/>
        <v>0</v>
      </c>
      <c r="N676" s="16">
        <f t="shared" si="96"/>
        <v>2</v>
      </c>
      <c r="O676" s="16">
        <f t="shared" si="96"/>
        <v>57</v>
      </c>
      <c r="P676" s="16">
        <f t="shared" si="96"/>
        <v>7</v>
      </c>
      <c r="Q676" s="16">
        <f t="shared" si="96"/>
        <v>2</v>
      </c>
      <c r="R676" s="16">
        <f t="shared" si="95"/>
        <v>20</v>
      </c>
      <c r="S676" s="16">
        <f t="shared" si="95"/>
        <v>0</v>
      </c>
      <c r="T676" s="16">
        <f t="shared" si="95"/>
        <v>0</v>
      </c>
      <c r="U676" s="16">
        <f t="shared" si="95"/>
        <v>0</v>
      </c>
      <c r="V676" s="16">
        <f t="shared" si="95"/>
        <v>0</v>
      </c>
      <c r="W676" s="16">
        <f t="shared" si="95"/>
        <v>1</v>
      </c>
      <c r="X676" s="16" t="str">
        <f t="shared" si="90"/>
        <v>null</v>
      </c>
    </row>
    <row r="677" spans="1:24" x14ac:dyDescent="0.15">
      <c r="A677" s="20" t="str">
        <f t="shared" si="92"/>
        <v>26_1-3/59&lt;lv50&gt;s2</v>
      </c>
      <c r="B677" s="16">
        <f t="shared" si="96"/>
        <v>26</v>
      </c>
      <c r="C677" s="16">
        <f t="shared" si="96"/>
        <v>1</v>
      </c>
      <c r="D677" s="16">
        <f t="shared" si="96"/>
        <v>3</v>
      </c>
      <c r="E677" s="16">
        <f t="shared" si="96"/>
        <v>59</v>
      </c>
      <c r="F677" s="16">
        <f t="shared" si="96"/>
        <v>50</v>
      </c>
      <c r="G677" s="16">
        <f t="shared" si="96"/>
        <v>1</v>
      </c>
      <c r="H677" s="16">
        <f t="shared" si="96"/>
        <v>1</v>
      </c>
      <c r="I677" s="16">
        <f t="shared" si="96"/>
        <v>0</v>
      </c>
      <c r="J677" s="16">
        <f t="shared" si="96"/>
        <v>59</v>
      </c>
      <c r="K677" s="16">
        <f t="shared" si="96"/>
        <v>0</v>
      </c>
      <c r="L677" s="16">
        <f t="shared" si="96"/>
        <v>100</v>
      </c>
      <c r="M677" s="16">
        <f t="shared" si="96"/>
        <v>0</v>
      </c>
      <c r="N677" s="16">
        <f t="shared" si="96"/>
        <v>2</v>
      </c>
      <c r="O677" s="16">
        <f t="shared" si="96"/>
        <v>59</v>
      </c>
      <c r="P677" s="16">
        <f t="shared" si="96"/>
        <v>7</v>
      </c>
      <c r="Q677" s="16">
        <f t="shared" si="96"/>
        <v>2</v>
      </c>
      <c r="R677" s="16">
        <f t="shared" si="95"/>
        <v>20</v>
      </c>
      <c r="S677" s="16">
        <f t="shared" si="95"/>
        <v>0</v>
      </c>
      <c r="T677" s="16">
        <f t="shared" si="95"/>
        <v>0</v>
      </c>
      <c r="U677" s="16">
        <f t="shared" si="95"/>
        <v>0</v>
      </c>
      <c r="V677" s="16">
        <f t="shared" si="95"/>
        <v>0</v>
      </c>
      <c r="W677" s="16">
        <f t="shared" si="95"/>
        <v>1</v>
      </c>
      <c r="X677" s="16" t="str">
        <f t="shared" si="90"/>
        <v>null</v>
      </c>
    </row>
    <row r="678" spans="1:24" x14ac:dyDescent="0.15">
      <c r="A678" s="20" t="str">
        <f t="shared" si="92"/>
        <v>26_1-3/61&lt;lv50&gt;s2</v>
      </c>
      <c r="B678" s="16">
        <f t="shared" si="96"/>
        <v>26</v>
      </c>
      <c r="C678" s="16">
        <f t="shared" si="96"/>
        <v>1</v>
      </c>
      <c r="D678" s="16">
        <f t="shared" si="96"/>
        <v>3</v>
      </c>
      <c r="E678" s="16">
        <f t="shared" si="96"/>
        <v>61</v>
      </c>
      <c r="F678" s="16">
        <f t="shared" si="96"/>
        <v>50</v>
      </c>
      <c r="G678" s="16">
        <f t="shared" si="96"/>
        <v>1</v>
      </c>
      <c r="H678" s="16">
        <f t="shared" si="96"/>
        <v>1</v>
      </c>
      <c r="I678" s="16">
        <f t="shared" si="96"/>
        <v>0</v>
      </c>
      <c r="J678" s="16">
        <f t="shared" si="96"/>
        <v>61</v>
      </c>
      <c r="K678" s="16">
        <f t="shared" si="96"/>
        <v>0</v>
      </c>
      <c r="L678" s="16">
        <f t="shared" si="96"/>
        <v>100</v>
      </c>
      <c r="M678" s="16">
        <f t="shared" si="96"/>
        <v>0</v>
      </c>
      <c r="N678" s="16">
        <f t="shared" si="96"/>
        <v>2</v>
      </c>
      <c r="O678" s="16">
        <f t="shared" si="96"/>
        <v>61</v>
      </c>
      <c r="P678" s="16">
        <f t="shared" si="96"/>
        <v>7</v>
      </c>
      <c r="Q678" s="16">
        <f t="shared" si="96"/>
        <v>2</v>
      </c>
      <c r="R678" s="16">
        <f t="shared" si="95"/>
        <v>20</v>
      </c>
      <c r="S678" s="16">
        <f t="shared" si="95"/>
        <v>0</v>
      </c>
      <c r="T678" s="16">
        <f t="shared" si="95"/>
        <v>0</v>
      </c>
      <c r="U678" s="16">
        <f t="shared" si="95"/>
        <v>0</v>
      </c>
      <c r="V678" s="16">
        <f t="shared" si="95"/>
        <v>0</v>
      </c>
      <c r="W678" s="16">
        <f t="shared" si="95"/>
        <v>1</v>
      </c>
      <c r="X678" s="16" t="str">
        <f t="shared" si="90"/>
        <v>null</v>
      </c>
    </row>
    <row r="679" spans="1:24" x14ac:dyDescent="0.15">
      <c r="A679" s="20" t="str">
        <f t="shared" si="92"/>
        <v>26_1-3/63&lt;lv50&gt;s2</v>
      </c>
      <c r="B679" s="16">
        <f t="shared" si="96"/>
        <v>26</v>
      </c>
      <c r="C679" s="16">
        <f t="shared" si="96"/>
        <v>1</v>
      </c>
      <c r="D679" s="16">
        <f t="shared" si="96"/>
        <v>3</v>
      </c>
      <c r="E679" s="16">
        <f t="shared" si="96"/>
        <v>63</v>
      </c>
      <c r="F679" s="16">
        <f t="shared" si="96"/>
        <v>50</v>
      </c>
      <c r="G679" s="16">
        <f t="shared" si="96"/>
        <v>1</v>
      </c>
      <c r="H679" s="16">
        <f t="shared" si="96"/>
        <v>1</v>
      </c>
      <c r="I679" s="16">
        <f t="shared" si="96"/>
        <v>0</v>
      </c>
      <c r="J679" s="16">
        <f t="shared" si="96"/>
        <v>63</v>
      </c>
      <c r="K679" s="16">
        <f t="shared" si="96"/>
        <v>0</v>
      </c>
      <c r="L679" s="16">
        <f t="shared" si="96"/>
        <v>100</v>
      </c>
      <c r="M679" s="16">
        <f t="shared" si="96"/>
        <v>0</v>
      </c>
      <c r="N679" s="16">
        <f t="shared" si="96"/>
        <v>2</v>
      </c>
      <c r="O679" s="16">
        <f t="shared" si="96"/>
        <v>63</v>
      </c>
      <c r="P679" s="16">
        <f t="shared" si="96"/>
        <v>7</v>
      </c>
      <c r="Q679" s="16">
        <f t="shared" si="96"/>
        <v>2</v>
      </c>
      <c r="R679" s="16">
        <f t="shared" si="95"/>
        <v>20</v>
      </c>
      <c r="S679" s="16">
        <f t="shared" si="95"/>
        <v>0</v>
      </c>
      <c r="T679" s="16">
        <f t="shared" si="95"/>
        <v>0</v>
      </c>
      <c r="U679" s="16">
        <f t="shared" si="95"/>
        <v>0</v>
      </c>
      <c r="V679" s="16">
        <f t="shared" si="95"/>
        <v>0</v>
      </c>
      <c r="W679" s="16">
        <f t="shared" si="95"/>
        <v>1</v>
      </c>
      <c r="X679" s="16" t="str">
        <f t="shared" si="90"/>
        <v>null</v>
      </c>
    </row>
    <row r="680" spans="1:24" x14ac:dyDescent="0.15">
      <c r="A680" s="20" t="str">
        <f t="shared" si="92"/>
        <v>26_1-3/360&lt;lv50&gt;s3</v>
      </c>
      <c r="B680" s="16">
        <f t="shared" si="96"/>
        <v>26</v>
      </c>
      <c r="C680" s="16">
        <f t="shared" si="96"/>
        <v>1</v>
      </c>
      <c r="D680" s="16">
        <f t="shared" si="96"/>
        <v>3</v>
      </c>
      <c r="E680" s="16">
        <f t="shared" si="96"/>
        <v>360</v>
      </c>
      <c r="F680" s="16">
        <f t="shared" si="96"/>
        <v>50</v>
      </c>
      <c r="G680" s="16">
        <f t="shared" si="96"/>
        <v>1</v>
      </c>
      <c r="H680" s="16">
        <f t="shared" si="96"/>
        <v>1</v>
      </c>
      <c r="I680" s="16">
        <f t="shared" si="96"/>
        <v>0</v>
      </c>
      <c r="J680" s="16">
        <f t="shared" si="96"/>
        <v>360</v>
      </c>
      <c r="K680" s="16">
        <f t="shared" si="96"/>
        <v>0</v>
      </c>
      <c r="L680" s="16">
        <f t="shared" si="96"/>
        <v>100</v>
      </c>
      <c r="M680" s="16">
        <f t="shared" si="96"/>
        <v>0</v>
      </c>
      <c r="N680" s="16">
        <f t="shared" si="96"/>
        <v>3</v>
      </c>
      <c r="O680" s="16">
        <f t="shared" si="96"/>
        <v>360</v>
      </c>
      <c r="P680" s="16">
        <f t="shared" si="96"/>
        <v>7</v>
      </c>
      <c r="Q680" s="16">
        <f t="shared" si="96"/>
        <v>2</v>
      </c>
      <c r="R680" s="16">
        <f t="shared" si="95"/>
        <v>20</v>
      </c>
      <c r="S680" s="16">
        <f t="shared" si="95"/>
        <v>0</v>
      </c>
      <c r="T680" s="16">
        <f t="shared" si="95"/>
        <v>0</v>
      </c>
      <c r="U680" s="16">
        <f t="shared" si="95"/>
        <v>0</v>
      </c>
      <c r="V680" s="16">
        <f t="shared" si="95"/>
        <v>0</v>
      </c>
      <c r="W680" s="16">
        <f t="shared" si="95"/>
        <v>1</v>
      </c>
      <c r="X680" s="16" t="str">
        <f t="shared" si="90"/>
        <v>null</v>
      </c>
    </row>
    <row r="681" spans="1:24" x14ac:dyDescent="0.15">
      <c r="A681" s="20" t="str">
        <f t="shared" si="92"/>
        <v>26_1-3/362&lt;lv50&gt;s3</v>
      </c>
      <c r="B681" s="16">
        <f t="shared" si="96"/>
        <v>26</v>
      </c>
      <c r="C681" s="16">
        <f t="shared" si="96"/>
        <v>1</v>
      </c>
      <c r="D681" s="16">
        <f t="shared" si="96"/>
        <v>3</v>
      </c>
      <c r="E681" s="16">
        <f t="shared" si="96"/>
        <v>362</v>
      </c>
      <c r="F681" s="16">
        <f t="shared" si="96"/>
        <v>50</v>
      </c>
      <c r="G681" s="16">
        <f t="shared" si="96"/>
        <v>1</v>
      </c>
      <c r="H681" s="16">
        <f t="shared" si="96"/>
        <v>1</v>
      </c>
      <c r="I681" s="16">
        <f t="shared" si="96"/>
        <v>0</v>
      </c>
      <c r="J681" s="16">
        <f t="shared" si="96"/>
        <v>362</v>
      </c>
      <c r="K681" s="16">
        <f t="shared" si="96"/>
        <v>0</v>
      </c>
      <c r="L681" s="16">
        <f t="shared" si="96"/>
        <v>100</v>
      </c>
      <c r="M681" s="16">
        <f t="shared" si="96"/>
        <v>0</v>
      </c>
      <c r="N681" s="16">
        <f t="shared" si="96"/>
        <v>3</v>
      </c>
      <c r="O681" s="16">
        <f t="shared" si="96"/>
        <v>362</v>
      </c>
      <c r="P681" s="16">
        <f t="shared" si="96"/>
        <v>7</v>
      </c>
      <c r="Q681" s="16">
        <f t="shared" si="96"/>
        <v>2</v>
      </c>
      <c r="R681" s="16">
        <f t="shared" si="95"/>
        <v>20</v>
      </c>
      <c r="S681" s="16">
        <f t="shared" si="95"/>
        <v>0</v>
      </c>
      <c r="T681" s="16">
        <f t="shared" si="95"/>
        <v>0</v>
      </c>
      <c r="U681" s="16">
        <f t="shared" si="95"/>
        <v>0</v>
      </c>
      <c r="V681" s="16">
        <f t="shared" si="95"/>
        <v>0</v>
      </c>
      <c r="W681" s="16">
        <f t="shared" si="95"/>
        <v>1</v>
      </c>
      <c r="X681" s="16" t="str">
        <f t="shared" si="90"/>
        <v>null</v>
      </c>
    </row>
    <row r="682" spans="1:24" x14ac:dyDescent="0.15">
      <c r="A682" s="20" t="str">
        <f t="shared" si="92"/>
        <v>26_1-3/364&lt;lv50&gt;s3</v>
      </c>
      <c r="B682" s="16">
        <f t="shared" si="96"/>
        <v>26</v>
      </c>
      <c r="C682" s="16">
        <f t="shared" si="96"/>
        <v>1</v>
      </c>
      <c r="D682" s="16">
        <f t="shared" si="96"/>
        <v>3</v>
      </c>
      <c r="E682" s="16">
        <f t="shared" si="96"/>
        <v>364</v>
      </c>
      <c r="F682" s="16">
        <f t="shared" si="96"/>
        <v>50</v>
      </c>
      <c r="G682" s="16">
        <f t="shared" si="96"/>
        <v>1</v>
      </c>
      <c r="H682" s="16">
        <f t="shared" si="96"/>
        <v>1</v>
      </c>
      <c r="I682" s="16">
        <f t="shared" si="96"/>
        <v>0</v>
      </c>
      <c r="J682" s="16">
        <f t="shared" si="96"/>
        <v>364</v>
      </c>
      <c r="K682" s="16">
        <f t="shared" si="96"/>
        <v>0</v>
      </c>
      <c r="L682" s="16">
        <f t="shared" si="96"/>
        <v>100</v>
      </c>
      <c r="M682" s="16">
        <f t="shared" si="96"/>
        <v>0</v>
      </c>
      <c r="N682" s="16">
        <f t="shared" si="96"/>
        <v>3</v>
      </c>
      <c r="O682" s="16">
        <f t="shared" si="96"/>
        <v>364</v>
      </c>
      <c r="P682" s="16">
        <f t="shared" si="96"/>
        <v>7</v>
      </c>
      <c r="Q682" s="16">
        <f t="shared" si="96"/>
        <v>2</v>
      </c>
      <c r="R682" s="16">
        <f t="shared" si="95"/>
        <v>20</v>
      </c>
      <c r="S682" s="16">
        <f t="shared" si="95"/>
        <v>0</v>
      </c>
      <c r="T682" s="16">
        <f t="shared" si="95"/>
        <v>0</v>
      </c>
      <c r="U682" s="16">
        <f t="shared" si="95"/>
        <v>0</v>
      </c>
      <c r="V682" s="16">
        <f t="shared" si="95"/>
        <v>0</v>
      </c>
      <c r="W682" s="16">
        <f t="shared" si="95"/>
        <v>1</v>
      </c>
      <c r="X682" s="16" t="str">
        <f t="shared" si="90"/>
        <v>null</v>
      </c>
    </row>
    <row r="683" spans="1:24" x14ac:dyDescent="0.15">
      <c r="A683" s="20" t="str">
        <f t="shared" si="92"/>
        <v>26_1-3/366&lt;lv50&gt;s3</v>
      </c>
      <c r="B683" s="16">
        <f t="shared" si="96"/>
        <v>26</v>
      </c>
      <c r="C683" s="16">
        <f t="shared" si="96"/>
        <v>1</v>
      </c>
      <c r="D683" s="16">
        <f t="shared" si="96"/>
        <v>3</v>
      </c>
      <c r="E683" s="16">
        <f t="shared" si="96"/>
        <v>366</v>
      </c>
      <c r="F683" s="16">
        <f t="shared" si="96"/>
        <v>50</v>
      </c>
      <c r="G683" s="16">
        <f t="shared" si="96"/>
        <v>1</v>
      </c>
      <c r="H683" s="16">
        <f t="shared" si="96"/>
        <v>1</v>
      </c>
      <c r="I683" s="16">
        <f t="shared" si="96"/>
        <v>0</v>
      </c>
      <c r="J683" s="16">
        <f t="shared" si="96"/>
        <v>366</v>
      </c>
      <c r="K683" s="16">
        <f t="shared" si="96"/>
        <v>0</v>
      </c>
      <c r="L683" s="16">
        <f t="shared" si="96"/>
        <v>100</v>
      </c>
      <c r="M683" s="16">
        <f t="shared" si="96"/>
        <v>0</v>
      </c>
      <c r="N683" s="16">
        <f t="shared" si="96"/>
        <v>3</v>
      </c>
      <c r="O683" s="16">
        <f t="shared" si="96"/>
        <v>366</v>
      </c>
      <c r="P683" s="16">
        <f t="shared" si="96"/>
        <v>7</v>
      </c>
      <c r="Q683" s="16">
        <f t="shared" si="96"/>
        <v>2</v>
      </c>
      <c r="R683" s="16">
        <f t="shared" si="95"/>
        <v>20</v>
      </c>
      <c r="S683" s="16">
        <f t="shared" si="95"/>
        <v>0</v>
      </c>
      <c r="T683" s="16">
        <f t="shared" si="95"/>
        <v>0</v>
      </c>
      <c r="U683" s="16">
        <f t="shared" si="95"/>
        <v>0</v>
      </c>
      <c r="V683" s="16">
        <f t="shared" si="95"/>
        <v>0</v>
      </c>
      <c r="W683" s="16">
        <f t="shared" si="95"/>
        <v>1</v>
      </c>
      <c r="X683" s="16" t="str">
        <f t="shared" si="90"/>
        <v>null</v>
      </c>
    </row>
    <row r="684" spans="1:24" x14ac:dyDescent="0.15">
      <c r="A684" s="20" t="str">
        <f t="shared" si="92"/>
        <v>26_1-3/348&lt;lv50&gt;s3</v>
      </c>
      <c r="B684" s="16">
        <f t="shared" si="96"/>
        <v>26</v>
      </c>
      <c r="C684" s="16">
        <f t="shared" si="96"/>
        <v>1</v>
      </c>
      <c r="D684" s="16">
        <f t="shared" si="96"/>
        <v>3</v>
      </c>
      <c r="E684" s="16">
        <f t="shared" si="96"/>
        <v>348</v>
      </c>
      <c r="F684" s="16">
        <f t="shared" si="96"/>
        <v>50</v>
      </c>
      <c r="G684" s="16">
        <f t="shared" si="96"/>
        <v>1</v>
      </c>
      <c r="H684" s="16">
        <f t="shared" si="96"/>
        <v>1</v>
      </c>
      <c r="I684" s="16">
        <f t="shared" si="96"/>
        <v>0</v>
      </c>
      <c r="J684" s="16">
        <f t="shared" si="96"/>
        <v>348</v>
      </c>
      <c r="K684" s="16">
        <f t="shared" si="96"/>
        <v>0</v>
      </c>
      <c r="L684" s="16">
        <f t="shared" si="96"/>
        <v>100</v>
      </c>
      <c r="M684" s="16">
        <f t="shared" si="96"/>
        <v>0</v>
      </c>
      <c r="N684" s="16">
        <f t="shared" si="96"/>
        <v>3</v>
      </c>
      <c r="O684" s="16">
        <f t="shared" si="96"/>
        <v>348</v>
      </c>
      <c r="P684" s="16">
        <f t="shared" si="96"/>
        <v>1</v>
      </c>
      <c r="Q684" s="16">
        <f t="shared" si="96"/>
        <v>2</v>
      </c>
      <c r="R684" s="16">
        <f t="shared" si="95"/>
        <v>24</v>
      </c>
      <c r="S684" s="16">
        <f t="shared" si="95"/>
        <v>0</v>
      </c>
      <c r="T684" s="16">
        <f t="shared" si="95"/>
        <v>0</v>
      </c>
      <c r="U684" s="16">
        <f t="shared" si="95"/>
        <v>0</v>
      </c>
      <c r="V684" s="16">
        <f t="shared" si="95"/>
        <v>0</v>
      </c>
      <c r="W684" s="16">
        <f t="shared" si="95"/>
        <v>1</v>
      </c>
      <c r="X684" s="16" t="str">
        <f t="shared" si="90"/>
        <v>null</v>
      </c>
    </row>
    <row r="685" spans="1:24" x14ac:dyDescent="0.15">
      <c r="A685" s="20" t="str">
        <f t="shared" si="92"/>
        <v>26_1-3/352&lt;lv50&gt;s3</v>
      </c>
      <c r="B685" s="16">
        <f t="shared" si="96"/>
        <v>26</v>
      </c>
      <c r="C685" s="16">
        <f t="shared" si="96"/>
        <v>1</v>
      </c>
      <c r="D685" s="16">
        <f t="shared" si="96"/>
        <v>3</v>
      </c>
      <c r="E685" s="16">
        <f t="shared" si="96"/>
        <v>352</v>
      </c>
      <c r="F685" s="16">
        <f t="shared" si="96"/>
        <v>50</v>
      </c>
      <c r="G685" s="16">
        <f t="shared" si="96"/>
        <v>1</v>
      </c>
      <c r="H685" s="16">
        <f t="shared" si="96"/>
        <v>1</v>
      </c>
      <c r="I685" s="16">
        <f t="shared" si="96"/>
        <v>0</v>
      </c>
      <c r="J685" s="16">
        <f t="shared" si="96"/>
        <v>352</v>
      </c>
      <c r="K685" s="16">
        <f t="shared" si="96"/>
        <v>0</v>
      </c>
      <c r="L685" s="16">
        <f t="shared" si="96"/>
        <v>100</v>
      </c>
      <c r="M685" s="16">
        <f t="shared" si="96"/>
        <v>0</v>
      </c>
      <c r="N685" s="16">
        <f t="shared" si="96"/>
        <v>3</v>
      </c>
      <c r="O685" s="16">
        <f t="shared" si="96"/>
        <v>352</v>
      </c>
      <c r="P685" s="16">
        <f t="shared" si="96"/>
        <v>1</v>
      </c>
      <c r="Q685" s="16">
        <f t="shared" si="96"/>
        <v>2</v>
      </c>
      <c r="R685" s="16">
        <f t="shared" si="95"/>
        <v>24</v>
      </c>
      <c r="S685" s="16">
        <f t="shared" si="95"/>
        <v>0</v>
      </c>
      <c r="T685" s="16">
        <f t="shared" si="95"/>
        <v>0</v>
      </c>
      <c r="U685" s="16">
        <f t="shared" si="95"/>
        <v>0</v>
      </c>
      <c r="V685" s="16">
        <f t="shared" si="95"/>
        <v>0</v>
      </c>
      <c r="W685" s="16">
        <f t="shared" si="95"/>
        <v>1</v>
      </c>
      <c r="X685" s="16" t="str">
        <f t="shared" si="90"/>
        <v>null</v>
      </c>
    </row>
    <row r="686" spans="1:24" x14ac:dyDescent="0.15">
      <c r="A686" s="20" t="str">
        <f t="shared" si="92"/>
        <v>26_1-4/9&lt;lv50&gt;s2</v>
      </c>
      <c r="B686" s="16">
        <f t="shared" si="96"/>
        <v>26</v>
      </c>
      <c r="C686" s="16">
        <f t="shared" si="96"/>
        <v>1</v>
      </c>
      <c r="D686" s="16">
        <f t="shared" si="96"/>
        <v>4</v>
      </c>
      <c r="E686" s="16">
        <f t="shared" si="96"/>
        <v>9</v>
      </c>
      <c r="F686" s="16">
        <f t="shared" si="96"/>
        <v>50</v>
      </c>
      <c r="G686" s="16">
        <f t="shared" si="96"/>
        <v>1</v>
      </c>
      <c r="H686" s="16">
        <f t="shared" si="96"/>
        <v>1</v>
      </c>
      <c r="I686" s="16">
        <f t="shared" si="96"/>
        <v>0</v>
      </c>
      <c r="J686" s="16">
        <f t="shared" si="96"/>
        <v>0</v>
      </c>
      <c r="K686" s="16">
        <f t="shared" si="96"/>
        <v>0</v>
      </c>
      <c r="L686" s="16">
        <f t="shared" si="96"/>
        <v>100</v>
      </c>
      <c r="M686" s="16">
        <f t="shared" si="96"/>
        <v>0</v>
      </c>
      <c r="N686" s="16">
        <f t="shared" si="96"/>
        <v>2</v>
      </c>
      <c r="O686" s="16">
        <f t="shared" si="96"/>
        <v>9</v>
      </c>
      <c r="P686" s="16">
        <f t="shared" si="96"/>
        <v>9</v>
      </c>
      <c r="Q686" s="16">
        <f t="shared" ref="Q686:W701" si="97">VLOOKUP($A686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686" s="16">
        <f t="shared" si="97"/>
        <v>15</v>
      </c>
      <c r="S686" s="16">
        <f t="shared" si="97"/>
        <v>0</v>
      </c>
      <c r="T686" s="16">
        <f t="shared" si="97"/>
        <v>0</v>
      </c>
      <c r="U686" s="16">
        <f t="shared" si="97"/>
        <v>0</v>
      </c>
      <c r="V686" s="16">
        <f t="shared" si="97"/>
        <v>0</v>
      </c>
      <c r="W686" s="16">
        <f t="shared" si="97"/>
        <v>1</v>
      </c>
      <c r="X686" s="16" t="str">
        <f t="shared" si="90"/>
        <v>null</v>
      </c>
    </row>
    <row r="687" spans="1:24" x14ac:dyDescent="0.15">
      <c r="A687" s="20" t="str">
        <f t="shared" si="92"/>
        <v>26_1-4/11&lt;lv50&gt;s3</v>
      </c>
      <c r="B687" s="16">
        <f t="shared" ref="B687:Q702" si="98">VLOOKUP($A687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687" s="16">
        <f t="shared" si="98"/>
        <v>1</v>
      </c>
      <c r="D687" s="16">
        <f t="shared" si="98"/>
        <v>4</v>
      </c>
      <c r="E687" s="16">
        <f t="shared" si="98"/>
        <v>11</v>
      </c>
      <c r="F687" s="16">
        <f t="shared" si="98"/>
        <v>50</v>
      </c>
      <c r="G687" s="16">
        <f t="shared" si="98"/>
        <v>1</v>
      </c>
      <c r="H687" s="16">
        <f t="shared" si="98"/>
        <v>1</v>
      </c>
      <c r="I687" s="16">
        <f t="shared" si="98"/>
        <v>0</v>
      </c>
      <c r="J687" s="16">
        <f t="shared" si="98"/>
        <v>0</v>
      </c>
      <c r="K687" s="16">
        <f t="shared" si="98"/>
        <v>0</v>
      </c>
      <c r="L687" s="16">
        <f t="shared" si="98"/>
        <v>100</v>
      </c>
      <c r="M687" s="16">
        <f t="shared" si="98"/>
        <v>0</v>
      </c>
      <c r="N687" s="16">
        <f t="shared" si="98"/>
        <v>3</v>
      </c>
      <c r="O687" s="16">
        <f t="shared" si="98"/>
        <v>11</v>
      </c>
      <c r="P687" s="16">
        <f t="shared" si="98"/>
        <v>9</v>
      </c>
      <c r="Q687" s="16">
        <f t="shared" si="98"/>
        <v>1</v>
      </c>
      <c r="R687" s="16">
        <f t="shared" si="97"/>
        <v>15</v>
      </c>
      <c r="S687" s="16">
        <f t="shared" si="97"/>
        <v>0</v>
      </c>
      <c r="T687" s="16">
        <f t="shared" si="97"/>
        <v>0</v>
      </c>
      <c r="U687" s="16">
        <f t="shared" si="97"/>
        <v>0</v>
      </c>
      <c r="V687" s="16">
        <f t="shared" si="97"/>
        <v>0</v>
      </c>
      <c r="W687" s="16">
        <f t="shared" si="97"/>
        <v>1</v>
      </c>
      <c r="X687" s="16" t="str">
        <f t="shared" si="90"/>
        <v>null</v>
      </c>
    </row>
    <row r="688" spans="1:24" x14ac:dyDescent="0.15">
      <c r="A688" s="20" t="str">
        <f t="shared" si="92"/>
        <v>26_1-4/13&lt;lv50&gt;s2</v>
      </c>
      <c r="B688" s="16">
        <f t="shared" si="98"/>
        <v>26</v>
      </c>
      <c r="C688" s="16">
        <f t="shared" si="98"/>
        <v>1</v>
      </c>
      <c r="D688" s="16">
        <f t="shared" si="98"/>
        <v>4</v>
      </c>
      <c r="E688" s="16">
        <f t="shared" si="98"/>
        <v>13</v>
      </c>
      <c r="F688" s="16">
        <f t="shared" si="98"/>
        <v>50</v>
      </c>
      <c r="G688" s="16">
        <f t="shared" si="98"/>
        <v>1</v>
      </c>
      <c r="H688" s="16">
        <f t="shared" si="98"/>
        <v>1</v>
      </c>
      <c r="I688" s="16">
        <f t="shared" si="98"/>
        <v>0</v>
      </c>
      <c r="J688" s="16">
        <f t="shared" si="98"/>
        <v>0</v>
      </c>
      <c r="K688" s="16">
        <f t="shared" si="98"/>
        <v>0</v>
      </c>
      <c r="L688" s="16">
        <f t="shared" si="98"/>
        <v>100</v>
      </c>
      <c r="M688" s="16">
        <f t="shared" si="98"/>
        <v>0</v>
      </c>
      <c r="N688" s="16">
        <f t="shared" si="98"/>
        <v>2</v>
      </c>
      <c r="O688" s="16">
        <f t="shared" si="98"/>
        <v>13</v>
      </c>
      <c r="P688" s="16">
        <f t="shared" si="98"/>
        <v>9</v>
      </c>
      <c r="Q688" s="16">
        <f t="shared" si="98"/>
        <v>1</v>
      </c>
      <c r="R688" s="16">
        <f t="shared" si="97"/>
        <v>15</v>
      </c>
      <c r="S688" s="16">
        <f t="shared" si="97"/>
        <v>0</v>
      </c>
      <c r="T688" s="16">
        <f t="shared" si="97"/>
        <v>0</v>
      </c>
      <c r="U688" s="16">
        <f t="shared" si="97"/>
        <v>0</v>
      </c>
      <c r="V688" s="16">
        <f t="shared" si="97"/>
        <v>0</v>
      </c>
      <c r="W688" s="16">
        <f t="shared" si="97"/>
        <v>1</v>
      </c>
      <c r="X688" s="16" t="str">
        <f t="shared" si="90"/>
        <v>null</v>
      </c>
    </row>
    <row r="689" spans="1:24" x14ac:dyDescent="0.15">
      <c r="A689" s="20" t="str">
        <f t="shared" si="92"/>
        <v>26_1-4/23&lt;lv50&gt;s4</v>
      </c>
      <c r="B689" s="16">
        <f t="shared" si="98"/>
        <v>26</v>
      </c>
      <c r="C689" s="16">
        <f t="shared" si="98"/>
        <v>1</v>
      </c>
      <c r="D689" s="16">
        <f t="shared" si="98"/>
        <v>4</v>
      </c>
      <c r="E689" s="16">
        <f t="shared" si="98"/>
        <v>23</v>
      </c>
      <c r="F689" s="16">
        <f t="shared" si="98"/>
        <v>50</v>
      </c>
      <c r="G689" s="16">
        <f t="shared" si="98"/>
        <v>1</v>
      </c>
      <c r="H689" s="16">
        <f t="shared" si="98"/>
        <v>1</v>
      </c>
      <c r="I689" s="16">
        <f t="shared" si="98"/>
        <v>0</v>
      </c>
      <c r="J689" s="16">
        <f t="shared" si="98"/>
        <v>0</v>
      </c>
      <c r="K689" s="16">
        <f t="shared" si="98"/>
        <v>0</v>
      </c>
      <c r="L689" s="16">
        <f t="shared" si="98"/>
        <v>100</v>
      </c>
      <c r="M689" s="16">
        <f t="shared" si="98"/>
        <v>0</v>
      </c>
      <c r="N689" s="16">
        <f t="shared" si="98"/>
        <v>4</v>
      </c>
      <c r="O689" s="16">
        <f t="shared" si="98"/>
        <v>23</v>
      </c>
      <c r="P689" s="16">
        <f t="shared" si="98"/>
        <v>7</v>
      </c>
      <c r="Q689" s="16">
        <f t="shared" si="98"/>
        <v>1</v>
      </c>
      <c r="R689" s="16">
        <f t="shared" si="97"/>
        <v>15</v>
      </c>
      <c r="S689" s="16">
        <f t="shared" si="97"/>
        <v>0</v>
      </c>
      <c r="T689" s="16">
        <f t="shared" si="97"/>
        <v>0</v>
      </c>
      <c r="U689" s="16">
        <f t="shared" si="97"/>
        <v>0</v>
      </c>
      <c r="V689" s="16">
        <f t="shared" si="97"/>
        <v>0</v>
      </c>
      <c r="W689" s="16">
        <f t="shared" si="97"/>
        <v>1</v>
      </c>
      <c r="X689" s="16" t="str">
        <f t="shared" si="90"/>
        <v>null</v>
      </c>
    </row>
    <row r="690" spans="1:24" x14ac:dyDescent="0.15">
      <c r="A690" s="20" t="str">
        <f t="shared" si="92"/>
        <v>26_1-4/25&lt;lv50&gt;s3</v>
      </c>
      <c r="B690" s="16">
        <f t="shared" si="98"/>
        <v>26</v>
      </c>
      <c r="C690" s="16">
        <f t="shared" si="98"/>
        <v>1</v>
      </c>
      <c r="D690" s="16">
        <f t="shared" si="98"/>
        <v>4</v>
      </c>
      <c r="E690" s="16">
        <f t="shared" si="98"/>
        <v>25</v>
      </c>
      <c r="F690" s="16">
        <f t="shared" si="98"/>
        <v>50</v>
      </c>
      <c r="G690" s="16">
        <f t="shared" si="98"/>
        <v>1</v>
      </c>
      <c r="H690" s="16">
        <f t="shared" si="98"/>
        <v>1</v>
      </c>
      <c r="I690" s="16">
        <f t="shared" si="98"/>
        <v>0</v>
      </c>
      <c r="J690" s="16">
        <f t="shared" si="98"/>
        <v>0</v>
      </c>
      <c r="K690" s="16">
        <f t="shared" si="98"/>
        <v>0</v>
      </c>
      <c r="L690" s="16">
        <f t="shared" si="98"/>
        <v>100</v>
      </c>
      <c r="M690" s="16">
        <f t="shared" si="98"/>
        <v>0</v>
      </c>
      <c r="N690" s="16">
        <f t="shared" si="98"/>
        <v>3</v>
      </c>
      <c r="O690" s="16">
        <f t="shared" si="98"/>
        <v>25</v>
      </c>
      <c r="P690" s="16">
        <f t="shared" si="98"/>
        <v>7</v>
      </c>
      <c r="Q690" s="16">
        <f t="shared" si="98"/>
        <v>1</v>
      </c>
      <c r="R690" s="16">
        <f t="shared" si="97"/>
        <v>15</v>
      </c>
      <c r="S690" s="16">
        <f t="shared" si="97"/>
        <v>0</v>
      </c>
      <c r="T690" s="16">
        <f t="shared" si="97"/>
        <v>0</v>
      </c>
      <c r="U690" s="16">
        <f t="shared" si="97"/>
        <v>0</v>
      </c>
      <c r="V690" s="16">
        <f t="shared" si="97"/>
        <v>0</v>
      </c>
      <c r="W690" s="16">
        <f t="shared" si="97"/>
        <v>1</v>
      </c>
      <c r="X690" s="16" t="str">
        <f t="shared" si="90"/>
        <v>null</v>
      </c>
    </row>
    <row r="691" spans="1:24" x14ac:dyDescent="0.15">
      <c r="A691" s="20" t="str">
        <f t="shared" si="92"/>
        <v>26_1-4/33&lt;lv50&gt;s2</v>
      </c>
      <c r="B691" s="16">
        <f t="shared" si="98"/>
        <v>26</v>
      </c>
      <c r="C691" s="16">
        <f t="shared" si="98"/>
        <v>1</v>
      </c>
      <c r="D691" s="16">
        <f t="shared" si="98"/>
        <v>4</v>
      </c>
      <c r="E691" s="16">
        <f t="shared" si="98"/>
        <v>33</v>
      </c>
      <c r="F691" s="16">
        <f t="shared" si="98"/>
        <v>50</v>
      </c>
      <c r="G691" s="16">
        <f t="shared" si="98"/>
        <v>1</v>
      </c>
      <c r="H691" s="16">
        <f t="shared" si="98"/>
        <v>1</v>
      </c>
      <c r="I691" s="16">
        <f t="shared" si="98"/>
        <v>0</v>
      </c>
      <c r="J691" s="16">
        <f t="shared" si="98"/>
        <v>33</v>
      </c>
      <c r="K691" s="16">
        <f t="shared" si="98"/>
        <v>0</v>
      </c>
      <c r="L691" s="16">
        <f t="shared" si="98"/>
        <v>100</v>
      </c>
      <c r="M691" s="16">
        <f t="shared" si="98"/>
        <v>0</v>
      </c>
      <c r="N691" s="16">
        <f t="shared" si="98"/>
        <v>2</v>
      </c>
      <c r="O691" s="16">
        <f t="shared" si="98"/>
        <v>33</v>
      </c>
      <c r="P691" s="16">
        <f t="shared" si="98"/>
        <v>5</v>
      </c>
      <c r="Q691" s="16">
        <f t="shared" si="98"/>
        <v>2</v>
      </c>
      <c r="R691" s="16">
        <f t="shared" si="97"/>
        <v>20</v>
      </c>
      <c r="S691" s="16">
        <f t="shared" si="97"/>
        <v>0</v>
      </c>
      <c r="T691" s="16">
        <f t="shared" si="97"/>
        <v>0</v>
      </c>
      <c r="U691" s="16">
        <f t="shared" si="97"/>
        <v>0</v>
      </c>
      <c r="V691" s="16">
        <f t="shared" si="97"/>
        <v>0</v>
      </c>
      <c r="W691" s="16">
        <f t="shared" si="97"/>
        <v>1</v>
      </c>
      <c r="X691" s="16" t="str">
        <f t="shared" si="90"/>
        <v>null</v>
      </c>
    </row>
    <row r="692" spans="1:24" x14ac:dyDescent="0.15">
      <c r="A692" s="20" t="str">
        <f t="shared" si="92"/>
        <v>26_1-4/37&lt;lv50&gt;s3</v>
      </c>
      <c r="B692" s="16">
        <f t="shared" si="98"/>
        <v>26</v>
      </c>
      <c r="C692" s="16">
        <f t="shared" si="98"/>
        <v>1</v>
      </c>
      <c r="D692" s="16">
        <f t="shared" si="98"/>
        <v>4</v>
      </c>
      <c r="E692" s="16">
        <f t="shared" si="98"/>
        <v>37</v>
      </c>
      <c r="F692" s="16">
        <f t="shared" si="98"/>
        <v>50</v>
      </c>
      <c r="G692" s="16">
        <f t="shared" si="98"/>
        <v>1</v>
      </c>
      <c r="H692" s="16">
        <f t="shared" si="98"/>
        <v>1</v>
      </c>
      <c r="I692" s="16">
        <f t="shared" si="98"/>
        <v>0</v>
      </c>
      <c r="J692" s="16">
        <f t="shared" si="98"/>
        <v>37</v>
      </c>
      <c r="K692" s="16">
        <f t="shared" si="98"/>
        <v>0</v>
      </c>
      <c r="L692" s="16">
        <f t="shared" si="98"/>
        <v>100</v>
      </c>
      <c r="M692" s="16">
        <f t="shared" si="98"/>
        <v>0</v>
      </c>
      <c r="N692" s="16">
        <f t="shared" si="98"/>
        <v>3</v>
      </c>
      <c r="O692" s="16">
        <f t="shared" si="98"/>
        <v>37</v>
      </c>
      <c r="P692" s="16">
        <f t="shared" si="98"/>
        <v>5</v>
      </c>
      <c r="Q692" s="16">
        <f t="shared" si="98"/>
        <v>2</v>
      </c>
      <c r="R692" s="16">
        <f t="shared" si="97"/>
        <v>20</v>
      </c>
      <c r="S692" s="16">
        <f t="shared" si="97"/>
        <v>0</v>
      </c>
      <c r="T692" s="16">
        <f t="shared" si="97"/>
        <v>0</v>
      </c>
      <c r="U692" s="16">
        <f t="shared" si="97"/>
        <v>0</v>
      </c>
      <c r="V692" s="16">
        <f t="shared" si="97"/>
        <v>0</v>
      </c>
      <c r="W692" s="16">
        <f t="shared" si="97"/>
        <v>1</v>
      </c>
      <c r="X692" s="16" t="str">
        <f t="shared" si="90"/>
        <v>null</v>
      </c>
    </row>
    <row r="693" spans="1:24" x14ac:dyDescent="0.15">
      <c r="A693" s="20" t="str">
        <f t="shared" si="92"/>
        <v>26_1-4/45&lt;lv50&gt;s3</v>
      </c>
      <c r="B693" s="16">
        <f t="shared" si="98"/>
        <v>26</v>
      </c>
      <c r="C693" s="16">
        <f t="shared" si="98"/>
        <v>1</v>
      </c>
      <c r="D693" s="16">
        <f t="shared" si="98"/>
        <v>4</v>
      </c>
      <c r="E693" s="16">
        <f t="shared" si="98"/>
        <v>45</v>
      </c>
      <c r="F693" s="16">
        <f t="shared" si="98"/>
        <v>50</v>
      </c>
      <c r="G693" s="16">
        <f t="shared" si="98"/>
        <v>1</v>
      </c>
      <c r="H693" s="16">
        <f t="shared" si="98"/>
        <v>1</v>
      </c>
      <c r="I693" s="16">
        <f t="shared" si="98"/>
        <v>0</v>
      </c>
      <c r="J693" s="16">
        <f t="shared" si="98"/>
        <v>0</v>
      </c>
      <c r="K693" s="16">
        <f t="shared" si="98"/>
        <v>0</v>
      </c>
      <c r="L693" s="16">
        <f t="shared" si="98"/>
        <v>100</v>
      </c>
      <c r="M693" s="16">
        <f t="shared" si="98"/>
        <v>0</v>
      </c>
      <c r="N693" s="16">
        <f t="shared" si="98"/>
        <v>3</v>
      </c>
      <c r="O693" s="16">
        <f t="shared" si="98"/>
        <v>45</v>
      </c>
      <c r="P693" s="16">
        <f t="shared" si="98"/>
        <v>7</v>
      </c>
      <c r="Q693" s="16">
        <f t="shared" si="98"/>
        <v>2</v>
      </c>
      <c r="R693" s="16">
        <f t="shared" si="97"/>
        <v>20</v>
      </c>
      <c r="S693" s="16">
        <f t="shared" si="97"/>
        <v>0</v>
      </c>
      <c r="T693" s="16">
        <f t="shared" si="97"/>
        <v>0</v>
      </c>
      <c r="U693" s="16">
        <f t="shared" si="97"/>
        <v>0</v>
      </c>
      <c r="V693" s="16">
        <f t="shared" si="97"/>
        <v>0</v>
      </c>
      <c r="W693" s="16">
        <f t="shared" si="97"/>
        <v>1</v>
      </c>
      <c r="X693" s="16" t="str">
        <f t="shared" si="90"/>
        <v>null</v>
      </c>
    </row>
    <row r="694" spans="1:24" x14ac:dyDescent="0.15">
      <c r="A694" s="20" t="str">
        <f t="shared" si="92"/>
        <v>26_1-4/47&lt;lv50&gt;s1</v>
      </c>
      <c r="B694" s="16">
        <f t="shared" si="98"/>
        <v>26</v>
      </c>
      <c r="C694" s="16">
        <f t="shared" si="98"/>
        <v>1</v>
      </c>
      <c r="D694" s="16">
        <f t="shared" si="98"/>
        <v>4</v>
      </c>
      <c r="E694" s="16">
        <f t="shared" si="98"/>
        <v>47</v>
      </c>
      <c r="F694" s="16">
        <f t="shared" si="98"/>
        <v>50</v>
      </c>
      <c r="G694" s="16">
        <f t="shared" si="98"/>
        <v>1</v>
      </c>
      <c r="H694" s="16">
        <f t="shared" si="98"/>
        <v>1</v>
      </c>
      <c r="I694" s="16">
        <f t="shared" si="98"/>
        <v>0</v>
      </c>
      <c r="J694" s="16">
        <f t="shared" si="98"/>
        <v>0</v>
      </c>
      <c r="K694" s="16">
        <f t="shared" si="98"/>
        <v>0</v>
      </c>
      <c r="L694" s="16">
        <f t="shared" si="98"/>
        <v>100</v>
      </c>
      <c r="M694" s="16">
        <f t="shared" si="98"/>
        <v>0</v>
      </c>
      <c r="N694" s="16">
        <f t="shared" si="98"/>
        <v>1</v>
      </c>
      <c r="O694" s="16">
        <f t="shared" si="98"/>
        <v>47</v>
      </c>
      <c r="P694" s="16">
        <f t="shared" si="98"/>
        <v>7</v>
      </c>
      <c r="Q694" s="16">
        <f t="shared" si="98"/>
        <v>2</v>
      </c>
      <c r="R694" s="16">
        <f t="shared" si="97"/>
        <v>20</v>
      </c>
      <c r="S694" s="16">
        <f t="shared" si="97"/>
        <v>0</v>
      </c>
      <c r="T694" s="16">
        <f t="shared" si="97"/>
        <v>0</v>
      </c>
      <c r="U694" s="16">
        <f t="shared" si="97"/>
        <v>0</v>
      </c>
      <c r="V694" s="16">
        <f t="shared" si="97"/>
        <v>0</v>
      </c>
      <c r="W694" s="16">
        <f t="shared" si="97"/>
        <v>1</v>
      </c>
      <c r="X694" s="16" t="str">
        <f t="shared" si="90"/>
        <v>null</v>
      </c>
    </row>
    <row r="695" spans="1:24" x14ac:dyDescent="0.15">
      <c r="A695" s="20" t="str">
        <f t="shared" si="92"/>
        <v>26_1-4/57&lt;lv50&gt;s2</v>
      </c>
      <c r="B695" s="16">
        <f t="shared" si="98"/>
        <v>26</v>
      </c>
      <c r="C695" s="16">
        <f t="shared" si="98"/>
        <v>1</v>
      </c>
      <c r="D695" s="16">
        <f t="shared" si="98"/>
        <v>4</v>
      </c>
      <c r="E695" s="16">
        <f t="shared" si="98"/>
        <v>57</v>
      </c>
      <c r="F695" s="16">
        <f t="shared" si="98"/>
        <v>50</v>
      </c>
      <c r="G695" s="16">
        <f t="shared" si="98"/>
        <v>1</v>
      </c>
      <c r="H695" s="16">
        <f t="shared" si="98"/>
        <v>1</v>
      </c>
      <c r="I695" s="16">
        <f t="shared" si="98"/>
        <v>0</v>
      </c>
      <c r="J695" s="16">
        <f t="shared" si="98"/>
        <v>57</v>
      </c>
      <c r="K695" s="16">
        <f t="shared" si="98"/>
        <v>0</v>
      </c>
      <c r="L695" s="16">
        <f t="shared" si="98"/>
        <v>100</v>
      </c>
      <c r="M695" s="16">
        <f t="shared" si="98"/>
        <v>0</v>
      </c>
      <c r="N695" s="16">
        <f t="shared" si="98"/>
        <v>2</v>
      </c>
      <c r="O695" s="16">
        <f t="shared" si="98"/>
        <v>57</v>
      </c>
      <c r="P695" s="16">
        <f t="shared" si="98"/>
        <v>7</v>
      </c>
      <c r="Q695" s="16">
        <f t="shared" si="98"/>
        <v>2</v>
      </c>
      <c r="R695" s="16">
        <f t="shared" si="97"/>
        <v>20</v>
      </c>
      <c r="S695" s="16">
        <f t="shared" si="97"/>
        <v>0</v>
      </c>
      <c r="T695" s="16">
        <f t="shared" si="97"/>
        <v>0</v>
      </c>
      <c r="U695" s="16">
        <f t="shared" si="97"/>
        <v>0</v>
      </c>
      <c r="V695" s="16">
        <f t="shared" si="97"/>
        <v>0</v>
      </c>
      <c r="W695" s="16">
        <f t="shared" si="97"/>
        <v>1</v>
      </c>
      <c r="X695" s="16" t="str">
        <f t="shared" si="90"/>
        <v>null</v>
      </c>
    </row>
    <row r="696" spans="1:24" x14ac:dyDescent="0.15">
      <c r="A696" s="20" t="str">
        <f t="shared" si="92"/>
        <v>26_1-4/59&lt;lv50&gt;s2</v>
      </c>
      <c r="B696" s="16">
        <f t="shared" si="98"/>
        <v>26</v>
      </c>
      <c r="C696" s="16">
        <f t="shared" si="98"/>
        <v>1</v>
      </c>
      <c r="D696" s="16">
        <f t="shared" si="98"/>
        <v>4</v>
      </c>
      <c r="E696" s="16">
        <f t="shared" si="98"/>
        <v>59</v>
      </c>
      <c r="F696" s="16">
        <f t="shared" si="98"/>
        <v>50</v>
      </c>
      <c r="G696" s="16">
        <f t="shared" si="98"/>
        <v>1</v>
      </c>
      <c r="H696" s="16">
        <f t="shared" si="98"/>
        <v>1</v>
      </c>
      <c r="I696" s="16">
        <f t="shared" si="98"/>
        <v>0</v>
      </c>
      <c r="J696" s="16">
        <f t="shared" si="98"/>
        <v>59</v>
      </c>
      <c r="K696" s="16">
        <f t="shared" si="98"/>
        <v>0</v>
      </c>
      <c r="L696" s="16">
        <f t="shared" si="98"/>
        <v>100</v>
      </c>
      <c r="M696" s="16">
        <f t="shared" si="98"/>
        <v>0</v>
      </c>
      <c r="N696" s="16">
        <f t="shared" si="98"/>
        <v>2</v>
      </c>
      <c r="O696" s="16">
        <f t="shared" si="98"/>
        <v>59</v>
      </c>
      <c r="P696" s="16">
        <f t="shared" si="98"/>
        <v>7</v>
      </c>
      <c r="Q696" s="16">
        <f t="shared" si="98"/>
        <v>2</v>
      </c>
      <c r="R696" s="16">
        <f t="shared" si="97"/>
        <v>20</v>
      </c>
      <c r="S696" s="16">
        <f t="shared" si="97"/>
        <v>0</v>
      </c>
      <c r="T696" s="16">
        <f t="shared" si="97"/>
        <v>0</v>
      </c>
      <c r="U696" s="16">
        <f t="shared" si="97"/>
        <v>0</v>
      </c>
      <c r="V696" s="16">
        <f t="shared" si="97"/>
        <v>0</v>
      </c>
      <c r="W696" s="16">
        <f t="shared" si="97"/>
        <v>1</v>
      </c>
      <c r="X696" s="16" t="str">
        <f t="shared" si="90"/>
        <v>null</v>
      </c>
    </row>
    <row r="697" spans="1:24" x14ac:dyDescent="0.15">
      <c r="A697" s="20" t="str">
        <f t="shared" si="92"/>
        <v>26_1-4/61&lt;lv50&gt;s2</v>
      </c>
      <c r="B697" s="16">
        <f t="shared" si="98"/>
        <v>26</v>
      </c>
      <c r="C697" s="16">
        <f t="shared" si="98"/>
        <v>1</v>
      </c>
      <c r="D697" s="16">
        <f t="shared" si="98"/>
        <v>4</v>
      </c>
      <c r="E697" s="16">
        <f t="shared" si="98"/>
        <v>61</v>
      </c>
      <c r="F697" s="16">
        <f t="shared" si="98"/>
        <v>50</v>
      </c>
      <c r="G697" s="16">
        <f t="shared" si="98"/>
        <v>1</v>
      </c>
      <c r="H697" s="16">
        <f t="shared" si="98"/>
        <v>1</v>
      </c>
      <c r="I697" s="16">
        <f t="shared" si="98"/>
        <v>0</v>
      </c>
      <c r="J697" s="16">
        <f t="shared" si="98"/>
        <v>61</v>
      </c>
      <c r="K697" s="16">
        <f t="shared" si="98"/>
        <v>0</v>
      </c>
      <c r="L697" s="16">
        <f t="shared" si="98"/>
        <v>100</v>
      </c>
      <c r="M697" s="16">
        <f t="shared" si="98"/>
        <v>0</v>
      </c>
      <c r="N697" s="16">
        <f t="shared" si="98"/>
        <v>2</v>
      </c>
      <c r="O697" s="16">
        <f t="shared" si="98"/>
        <v>61</v>
      </c>
      <c r="P697" s="16">
        <f t="shared" si="98"/>
        <v>7</v>
      </c>
      <c r="Q697" s="16">
        <f t="shared" si="98"/>
        <v>2</v>
      </c>
      <c r="R697" s="16">
        <f t="shared" si="97"/>
        <v>20</v>
      </c>
      <c r="S697" s="16">
        <f t="shared" si="97"/>
        <v>0</v>
      </c>
      <c r="T697" s="16">
        <f t="shared" si="97"/>
        <v>0</v>
      </c>
      <c r="U697" s="16">
        <f t="shared" si="97"/>
        <v>0</v>
      </c>
      <c r="V697" s="16">
        <f t="shared" si="97"/>
        <v>0</v>
      </c>
      <c r="W697" s="16">
        <f t="shared" si="97"/>
        <v>1</v>
      </c>
      <c r="X697" s="16" t="str">
        <f t="shared" si="90"/>
        <v>null</v>
      </c>
    </row>
    <row r="698" spans="1:24" x14ac:dyDescent="0.15">
      <c r="A698" s="20" t="str">
        <f t="shared" si="92"/>
        <v>26_1-4/63&lt;lv50&gt;s2</v>
      </c>
      <c r="B698" s="16">
        <f t="shared" si="98"/>
        <v>26</v>
      </c>
      <c r="C698" s="16">
        <f t="shared" si="98"/>
        <v>1</v>
      </c>
      <c r="D698" s="16">
        <f t="shared" si="98"/>
        <v>4</v>
      </c>
      <c r="E698" s="16">
        <f t="shared" si="98"/>
        <v>63</v>
      </c>
      <c r="F698" s="16">
        <f t="shared" si="98"/>
        <v>50</v>
      </c>
      <c r="G698" s="16">
        <f t="shared" si="98"/>
        <v>1</v>
      </c>
      <c r="H698" s="16">
        <f t="shared" si="98"/>
        <v>1</v>
      </c>
      <c r="I698" s="16">
        <f t="shared" si="98"/>
        <v>0</v>
      </c>
      <c r="J698" s="16">
        <f t="shared" si="98"/>
        <v>63</v>
      </c>
      <c r="K698" s="16">
        <f t="shared" si="98"/>
        <v>0</v>
      </c>
      <c r="L698" s="16">
        <f t="shared" si="98"/>
        <v>100</v>
      </c>
      <c r="M698" s="16">
        <f t="shared" si="98"/>
        <v>0</v>
      </c>
      <c r="N698" s="16">
        <f t="shared" si="98"/>
        <v>2</v>
      </c>
      <c r="O698" s="16">
        <f t="shared" si="98"/>
        <v>63</v>
      </c>
      <c r="P698" s="16">
        <f t="shared" si="98"/>
        <v>7</v>
      </c>
      <c r="Q698" s="16">
        <f t="shared" si="98"/>
        <v>2</v>
      </c>
      <c r="R698" s="16">
        <f t="shared" si="97"/>
        <v>20</v>
      </c>
      <c r="S698" s="16">
        <f t="shared" si="97"/>
        <v>0</v>
      </c>
      <c r="T698" s="16">
        <f t="shared" si="97"/>
        <v>0</v>
      </c>
      <c r="U698" s="16">
        <f t="shared" si="97"/>
        <v>0</v>
      </c>
      <c r="V698" s="16">
        <f t="shared" si="97"/>
        <v>0</v>
      </c>
      <c r="W698" s="16">
        <f t="shared" si="97"/>
        <v>1</v>
      </c>
      <c r="X698" s="16" t="str">
        <f t="shared" si="90"/>
        <v>null</v>
      </c>
    </row>
    <row r="699" spans="1:24" x14ac:dyDescent="0.15">
      <c r="A699" s="20" t="str">
        <f t="shared" si="92"/>
        <v>26_1-4/360&lt;lv50&gt;s3</v>
      </c>
      <c r="B699" s="16">
        <f t="shared" si="98"/>
        <v>26</v>
      </c>
      <c r="C699" s="16">
        <f t="shared" si="98"/>
        <v>1</v>
      </c>
      <c r="D699" s="16">
        <f t="shared" si="98"/>
        <v>4</v>
      </c>
      <c r="E699" s="16">
        <f t="shared" si="98"/>
        <v>360</v>
      </c>
      <c r="F699" s="16">
        <f t="shared" si="98"/>
        <v>50</v>
      </c>
      <c r="G699" s="16">
        <f t="shared" si="98"/>
        <v>1</v>
      </c>
      <c r="H699" s="16">
        <f t="shared" si="98"/>
        <v>1</v>
      </c>
      <c r="I699" s="16">
        <f t="shared" si="98"/>
        <v>0</v>
      </c>
      <c r="J699" s="16">
        <f t="shared" si="98"/>
        <v>360</v>
      </c>
      <c r="K699" s="16">
        <f t="shared" si="98"/>
        <v>0</v>
      </c>
      <c r="L699" s="16">
        <f t="shared" si="98"/>
        <v>100</v>
      </c>
      <c r="M699" s="16">
        <f t="shared" si="98"/>
        <v>0</v>
      </c>
      <c r="N699" s="16">
        <f t="shared" si="98"/>
        <v>3</v>
      </c>
      <c r="O699" s="16">
        <f t="shared" si="98"/>
        <v>360</v>
      </c>
      <c r="P699" s="16">
        <f t="shared" si="98"/>
        <v>7</v>
      </c>
      <c r="Q699" s="16">
        <f t="shared" si="98"/>
        <v>2</v>
      </c>
      <c r="R699" s="16">
        <f t="shared" si="97"/>
        <v>20</v>
      </c>
      <c r="S699" s="16">
        <f t="shared" si="97"/>
        <v>0</v>
      </c>
      <c r="T699" s="16">
        <f t="shared" si="97"/>
        <v>0</v>
      </c>
      <c r="U699" s="16">
        <f t="shared" si="97"/>
        <v>0</v>
      </c>
      <c r="V699" s="16">
        <f t="shared" si="97"/>
        <v>0</v>
      </c>
      <c r="W699" s="16">
        <f t="shared" si="97"/>
        <v>1</v>
      </c>
      <c r="X699" s="16" t="str">
        <f t="shared" si="90"/>
        <v>null</v>
      </c>
    </row>
    <row r="700" spans="1:24" x14ac:dyDescent="0.15">
      <c r="A700" s="20" t="str">
        <f t="shared" si="92"/>
        <v>26_1-4/362&lt;lv50&gt;s3</v>
      </c>
      <c r="B700" s="16">
        <f t="shared" si="98"/>
        <v>26</v>
      </c>
      <c r="C700" s="16">
        <f t="shared" si="98"/>
        <v>1</v>
      </c>
      <c r="D700" s="16">
        <f t="shared" si="98"/>
        <v>4</v>
      </c>
      <c r="E700" s="16">
        <f t="shared" si="98"/>
        <v>362</v>
      </c>
      <c r="F700" s="16">
        <f t="shared" si="98"/>
        <v>50</v>
      </c>
      <c r="G700" s="16">
        <f t="shared" si="98"/>
        <v>1</v>
      </c>
      <c r="H700" s="16">
        <f t="shared" si="98"/>
        <v>1</v>
      </c>
      <c r="I700" s="16">
        <f t="shared" si="98"/>
        <v>0</v>
      </c>
      <c r="J700" s="16">
        <f t="shared" si="98"/>
        <v>362</v>
      </c>
      <c r="K700" s="16">
        <f t="shared" si="98"/>
        <v>0</v>
      </c>
      <c r="L700" s="16">
        <f t="shared" si="98"/>
        <v>100</v>
      </c>
      <c r="M700" s="16">
        <f t="shared" si="98"/>
        <v>0</v>
      </c>
      <c r="N700" s="16">
        <f t="shared" si="98"/>
        <v>3</v>
      </c>
      <c r="O700" s="16">
        <f t="shared" si="98"/>
        <v>362</v>
      </c>
      <c r="P700" s="16">
        <f t="shared" si="98"/>
        <v>7</v>
      </c>
      <c r="Q700" s="16">
        <f t="shared" si="98"/>
        <v>2</v>
      </c>
      <c r="R700" s="16">
        <f t="shared" si="97"/>
        <v>20</v>
      </c>
      <c r="S700" s="16">
        <f t="shared" si="97"/>
        <v>0</v>
      </c>
      <c r="T700" s="16">
        <f t="shared" si="97"/>
        <v>0</v>
      </c>
      <c r="U700" s="16">
        <f t="shared" si="97"/>
        <v>0</v>
      </c>
      <c r="V700" s="16">
        <f t="shared" si="97"/>
        <v>0</v>
      </c>
      <c r="W700" s="16">
        <f t="shared" si="97"/>
        <v>1</v>
      </c>
      <c r="X700" s="16" t="str">
        <f t="shared" si="90"/>
        <v>null</v>
      </c>
    </row>
    <row r="701" spans="1:24" x14ac:dyDescent="0.15">
      <c r="A701" s="20" t="str">
        <f t="shared" si="92"/>
        <v>26_1-4/364&lt;lv50&gt;s3</v>
      </c>
      <c r="B701" s="16">
        <f t="shared" si="98"/>
        <v>26</v>
      </c>
      <c r="C701" s="16">
        <f t="shared" si="98"/>
        <v>1</v>
      </c>
      <c r="D701" s="16">
        <f t="shared" si="98"/>
        <v>4</v>
      </c>
      <c r="E701" s="16">
        <f t="shared" si="98"/>
        <v>364</v>
      </c>
      <c r="F701" s="16">
        <f t="shared" si="98"/>
        <v>50</v>
      </c>
      <c r="G701" s="16">
        <f t="shared" si="98"/>
        <v>1</v>
      </c>
      <c r="H701" s="16">
        <f t="shared" si="98"/>
        <v>1</v>
      </c>
      <c r="I701" s="16">
        <f t="shared" si="98"/>
        <v>0</v>
      </c>
      <c r="J701" s="16">
        <f t="shared" si="98"/>
        <v>364</v>
      </c>
      <c r="K701" s="16">
        <f t="shared" si="98"/>
        <v>0</v>
      </c>
      <c r="L701" s="16">
        <f t="shared" si="98"/>
        <v>100</v>
      </c>
      <c r="M701" s="16">
        <f t="shared" si="98"/>
        <v>0</v>
      </c>
      <c r="N701" s="16">
        <f t="shared" si="98"/>
        <v>3</v>
      </c>
      <c r="O701" s="16">
        <f t="shared" si="98"/>
        <v>364</v>
      </c>
      <c r="P701" s="16">
        <f t="shared" si="98"/>
        <v>7</v>
      </c>
      <c r="Q701" s="16">
        <f t="shared" si="98"/>
        <v>2</v>
      </c>
      <c r="R701" s="16">
        <f t="shared" si="97"/>
        <v>20</v>
      </c>
      <c r="S701" s="16">
        <f t="shared" si="97"/>
        <v>0</v>
      </c>
      <c r="T701" s="16">
        <f t="shared" si="97"/>
        <v>0</v>
      </c>
      <c r="U701" s="16">
        <f t="shared" si="97"/>
        <v>0</v>
      </c>
      <c r="V701" s="16">
        <f t="shared" si="97"/>
        <v>0</v>
      </c>
      <c r="W701" s="16">
        <f t="shared" si="97"/>
        <v>1</v>
      </c>
      <c r="X701" s="16" t="str">
        <f t="shared" si="90"/>
        <v>null</v>
      </c>
    </row>
    <row r="702" spans="1:24" x14ac:dyDescent="0.15">
      <c r="A702" s="20" t="str">
        <f t="shared" si="92"/>
        <v>26_1-4/366&lt;lv50&gt;s3</v>
      </c>
      <c r="B702" s="16">
        <f t="shared" si="98"/>
        <v>26</v>
      </c>
      <c r="C702" s="16">
        <f t="shared" si="98"/>
        <v>1</v>
      </c>
      <c r="D702" s="16">
        <f t="shared" si="98"/>
        <v>4</v>
      </c>
      <c r="E702" s="16">
        <f t="shared" si="98"/>
        <v>366</v>
      </c>
      <c r="F702" s="16">
        <f t="shared" si="98"/>
        <v>50</v>
      </c>
      <c r="G702" s="16">
        <f t="shared" si="98"/>
        <v>1</v>
      </c>
      <c r="H702" s="16">
        <f t="shared" si="98"/>
        <v>1</v>
      </c>
      <c r="I702" s="16">
        <f t="shared" si="98"/>
        <v>0</v>
      </c>
      <c r="J702" s="16">
        <f t="shared" si="98"/>
        <v>366</v>
      </c>
      <c r="K702" s="16">
        <f t="shared" si="98"/>
        <v>0</v>
      </c>
      <c r="L702" s="16">
        <f t="shared" si="98"/>
        <v>100</v>
      </c>
      <c r="M702" s="16">
        <f t="shared" si="98"/>
        <v>0</v>
      </c>
      <c r="N702" s="16">
        <f t="shared" si="98"/>
        <v>3</v>
      </c>
      <c r="O702" s="16">
        <f t="shared" si="98"/>
        <v>366</v>
      </c>
      <c r="P702" s="16">
        <f t="shared" si="98"/>
        <v>7</v>
      </c>
      <c r="Q702" s="16">
        <f t="shared" ref="Q702:X765" si="99">VLOOKUP($A702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702" s="16">
        <f t="shared" si="99"/>
        <v>20</v>
      </c>
      <c r="S702" s="16">
        <f t="shared" si="99"/>
        <v>0</v>
      </c>
      <c r="T702" s="16">
        <f t="shared" si="99"/>
        <v>0</v>
      </c>
      <c r="U702" s="16">
        <f t="shared" si="99"/>
        <v>0</v>
      </c>
      <c r="V702" s="16">
        <f t="shared" si="99"/>
        <v>0</v>
      </c>
      <c r="W702" s="16">
        <f t="shared" si="99"/>
        <v>1</v>
      </c>
      <c r="X702" s="16" t="str">
        <f t="shared" si="99"/>
        <v>null</v>
      </c>
    </row>
    <row r="703" spans="1:24" x14ac:dyDescent="0.15">
      <c r="A703" s="20" t="str">
        <f t="shared" si="92"/>
        <v>26_1-4/350&lt;lv50&gt;s3</v>
      </c>
      <c r="B703" s="16">
        <f t="shared" ref="B703:Q718" si="100">VLOOKUP($A703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703" s="16">
        <f t="shared" si="100"/>
        <v>1</v>
      </c>
      <c r="D703" s="16">
        <f t="shared" si="100"/>
        <v>4</v>
      </c>
      <c r="E703" s="16">
        <f t="shared" si="100"/>
        <v>350</v>
      </c>
      <c r="F703" s="16">
        <f t="shared" si="100"/>
        <v>50</v>
      </c>
      <c r="G703" s="16">
        <f t="shared" si="100"/>
        <v>1</v>
      </c>
      <c r="H703" s="16">
        <f t="shared" si="100"/>
        <v>1</v>
      </c>
      <c r="I703" s="16">
        <f t="shared" si="100"/>
        <v>0</v>
      </c>
      <c r="J703" s="16">
        <f t="shared" si="100"/>
        <v>350</v>
      </c>
      <c r="K703" s="16">
        <f t="shared" si="100"/>
        <v>0</v>
      </c>
      <c r="L703" s="16">
        <f t="shared" si="100"/>
        <v>100</v>
      </c>
      <c r="M703" s="16">
        <f t="shared" si="100"/>
        <v>0</v>
      </c>
      <c r="N703" s="16">
        <f t="shared" si="100"/>
        <v>3</v>
      </c>
      <c r="O703" s="16">
        <f t="shared" si="100"/>
        <v>350</v>
      </c>
      <c r="P703" s="16">
        <f t="shared" si="100"/>
        <v>1</v>
      </c>
      <c r="Q703" s="16">
        <f t="shared" si="100"/>
        <v>2</v>
      </c>
      <c r="R703" s="16">
        <f t="shared" si="99"/>
        <v>24</v>
      </c>
      <c r="S703" s="16">
        <f t="shared" si="99"/>
        <v>0</v>
      </c>
      <c r="T703" s="16">
        <f t="shared" si="99"/>
        <v>0</v>
      </c>
      <c r="U703" s="16">
        <f t="shared" si="99"/>
        <v>0</v>
      </c>
      <c r="V703" s="16">
        <f t="shared" si="99"/>
        <v>0</v>
      </c>
      <c r="W703" s="16">
        <f t="shared" si="99"/>
        <v>1</v>
      </c>
      <c r="X703" s="16" t="str">
        <f t="shared" si="99"/>
        <v>null</v>
      </c>
    </row>
    <row r="704" spans="1:24" x14ac:dyDescent="0.15">
      <c r="A704" s="20" t="str">
        <f t="shared" si="92"/>
        <v>26_1-4/354&lt;lv50&gt;s3</v>
      </c>
      <c r="B704" s="16">
        <f t="shared" si="100"/>
        <v>26</v>
      </c>
      <c r="C704" s="16">
        <f t="shared" si="100"/>
        <v>1</v>
      </c>
      <c r="D704" s="16">
        <f t="shared" si="100"/>
        <v>4</v>
      </c>
      <c r="E704" s="16">
        <f t="shared" si="100"/>
        <v>354</v>
      </c>
      <c r="F704" s="16">
        <f t="shared" si="100"/>
        <v>50</v>
      </c>
      <c r="G704" s="16">
        <f t="shared" si="100"/>
        <v>1</v>
      </c>
      <c r="H704" s="16">
        <f t="shared" si="100"/>
        <v>1</v>
      </c>
      <c r="I704" s="16">
        <f t="shared" si="100"/>
        <v>0</v>
      </c>
      <c r="J704" s="16">
        <f t="shared" si="100"/>
        <v>354</v>
      </c>
      <c r="K704" s="16">
        <f t="shared" si="100"/>
        <v>0</v>
      </c>
      <c r="L704" s="16">
        <f t="shared" si="100"/>
        <v>100</v>
      </c>
      <c r="M704" s="16">
        <f t="shared" si="100"/>
        <v>0</v>
      </c>
      <c r="N704" s="16">
        <f t="shared" si="100"/>
        <v>3</v>
      </c>
      <c r="O704" s="16">
        <f t="shared" si="100"/>
        <v>354</v>
      </c>
      <c r="P704" s="16">
        <f t="shared" si="100"/>
        <v>1</v>
      </c>
      <c r="Q704" s="16">
        <f t="shared" si="100"/>
        <v>2</v>
      </c>
      <c r="R704" s="16">
        <f t="shared" si="99"/>
        <v>24</v>
      </c>
      <c r="S704" s="16">
        <f t="shared" si="99"/>
        <v>0</v>
      </c>
      <c r="T704" s="16">
        <f t="shared" si="99"/>
        <v>0</v>
      </c>
      <c r="U704" s="16">
        <f t="shared" si="99"/>
        <v>0</v>
      </c>
      <c r="V704" s="16">
        <f t="shared" si="99"/>
        <v>0</v>
      </c>
      <c r="W704" s="16">
        <f t="shared" si="99"/>
        <v>1</v>
      </c>
      <c r="X704" s="16" t="str">
        <f t="shared" si="99"/>
        <v>null</v>
      </c>
    </row>
    <row r="705" spans="1:24" x14ac:dyDescent="0.15">
      <c r="A705" s="20" t="str">
        <f t="shared" si="92"/>
        <v>26_1-5/250&lt;lv55&gt;s2</v>
      </c>
      <c r="B705" s="16">
        <f t="shared" si="100"/>
        <v>26</v>
      </c>
      <c r="C705" s="16">
        <f t="shared" si="100"/>
        <v>1</v>
      </c>
      <c r="D705" s="16">
        <f t="shared" si="100"/>
        <v>5</v>
      </c>
      <c r="E705" s="16">
        <f t="shared" si="100"/>
        <v>250</v>
      </c>
      <c r="F705" s="16">
        <f t="shared" si="100"/>
        <v>55</v>
      </c>
      <c r="G705" s="16">
        <f t="shared" si="100"/>
        <v>2.5</v>
      </c>
      <c r="H705" s="16">
        <f t="shared" si="100"/>
        <v>1.1000000000000001</v>
      </c>
      <c r="I705" s="16">
        <f t="shared" si="100"/>
        <v>0</v>
      </c>
      <c r="J705" s="16">
        <f t="shared" si="100"/>
        <v>25001</v>
      </c>
      <c r="K705" s="16">
        <f t="shared" si="100"/>
        <v>1</v>
      </c>
      <c r="L705" s="16">
        <f t="shared" si="100"/>
        <v>100</v>
      </c>
      <c r="M705" s="16">
        <f t="shared" si="100"/>
        <v>1</v>
      </c>
      <c r="N705" s="16">
        <f t="shared" si="100"/>
        <v>2</v>
      </c>
      <c r="O705" s="16">
        <f t="shared" si="100"/>
        <v>250</v>
      </c>
      <c r="P705" s="16">
        <f t="shared" si="100"/>
        <v>1</v>
      </c>
      <c r="Q705" s="16">
        <f t="shared" si="100"/>
        <v>3</v>
      </c>
      <c r="R705" s="16">
        <f t="shared" si="99"/>
        <v>0</v>
      </c>
      <c r="S705" s="16">
        <f t="shared" si="99"/>
        <v>0</v>
      </c>
      <c r="T705" s="16">
        <f t="shared" si="99"/>
        <v>0</v>
      </c>
      <c r="U705" s="16">
        <f t="shared" si="99"/>
        <v>0</v>
      </c>
      <c r="V705" s="16">
        <f t="shared" si="99"/>
        <v>0</v>
      </c>
      <c r="W705" s="16">
        <f t="shared" si="99"/>
        <v>1</v>
      </c>
      <c r="X705" s="16" t="str">
        <f t="shared" si="99"/>
        <v>null</v>
      </c>
    </row>
    <row r="706" spans="1:24" x14ac:dyDescent="0.15">
      <c r="A706" s="20" t="str">
        <f t="shared" si="92"/>
        <v>26_1-5/208&lt;lv55&gt;s2</v>
      </c>
      <c r="B706" s="16">
        <f t="shared" si="100"/>
        <v>26</v>
      </c>
      <c r="C706" s="16">
        <f t="shared" si="100"/>
        <v>1</v>
      </c>
      <c r="D706" s="16">
        <f t="shared" si="100"/>
        <v>5</v>
      </c>
      <c r="E706" s="16">
        <f t="shared" si="100"/>
        <v>208</v>
      </c>
      <c r="F706" s="16">
        <f t="shared" si="100"/>
        <v>55</v>
      </c>
      <c r="G706" s="16">
        <f t="shared" si="100"/>
        <v>1.3</v>
      </c>
      <c r="H706" s="16">
        <f t="shared" si="100"/>
        <v>1.1000000000000001</v>
      </c>
      <c r="I706" s="16">
        <f t="shared" si="100"/>
        <v>0</v>
      </c>
      <c r="J706" s="16">
        <f t="shared" si="100"/>
        <v>20801</v>
      </c>
      <c r="K706" s="16">
        <f t="shared" si="100"/>
        <v>1</v>
      </c>
      <c r="L706" s="16">
        <f t="shared" si="100"/>
        <v>100</v>
      </c>
      <c r="M706" s="16">
        <f t="shared" si="100"/>
        <v>1</v>
      </c>
      <c r="N706" s="16">
        <f t="shared" si="100"/>
        <v>2</v>
      </c>
      <c r="O706" s="16">
        <f t="shared" si="100"/>
        <v>208</v>
      </c>
      <c r="P706" s="16">
        <f t="shared" si="100"/>
        <v>1</v>
      </c>
      <c r="Q706" s="16">
        <f t="shared" si="100"/>
        <v>3</v>
      </c>
      <c r="R706" s="16">
        <f t="shared" si="99"/>
        <v>0</v>
      </c>
      <c r="S706" s="16">
        <f t="shared" si="99"/>
        <v>0</v>
      </c>
      <c r="T706" s="16">
        <f t="shared" si="99"/>
        <v>0</v>
      </c>
      <c r="U706" s="16">
        <f t="shared" si="99"/>
        <v>0</v>
      </c>
      <c r="V706" s="16">
        <f t="shared" si="99"/>
        <v>0</v>
      </c>
      <c r="W706" s="16">
        <f t="shared" si="99"/>
        <v>1</v>
      </c>
      <c r="X706" s="16" t="str">
        <f t="shared" si="99"/>
        <v>null</v>
      </c>
    </row>
    <row r="707" spans="1:24" x14ac:dyDescent="0.15">
      <c r="A707" s="20" t="str">
        <f t="shared" si="92"/>
        <v>26_2-1/9&lt;lv52&gt;s2</v>
      </c>
      <c r="B707" s="16">
        <f t="shared" si="100"/>
        <v>26</v>
      </c>
      <c r="C707" s="16">
        <f t="shared" si="100"/>
        <v>2</v>
      </c>
      <c r="D707" s="16">
        <f t="shared" si="100"/>
        <v>1</v>
      </c>
      <c r="E707" s="16">
        <f t="shared" si="100"/>
        <v>9</v>
      </c>
      <c r="F707" s="16">
        <f t="shared" si="100"/>
        <v>52</v>
      </c>
      <c r="G707" s="16">
        <f t="shared" si="100"/>
        <v>1</v>
      </c>
      <c r="H707" s="16">
        <f t="shared" si="100"/>
        <v>1</v>
      </c>
      <c r="I707" s="16">
        <f t="shared" si="100"/>
        <v>0</v>
      </c>
      <c r="J707" s="16">
        <f t="shared" si="100"/>
        <v>0</v>
      </c>
      <c r="K707" s="16">
        <f t="shared" si="100"/>
        <v>0</v>
      </c>
      <c r="L707" s="16">
        <f t="shared" si="100"/>
        <v>100</v>
      </c>
      <c r="M707" s="16">
        <f t="shared" si="100"/>
        <v>0</v>
      </c>
      <c r="N707" s="16">
        <f t="shared" si="100"/>
        <v>2</v>
      </c>
      <c r="O707" s="16">
        <f t="shared" si="100"/>
        <v>9</v>
      </c>
      <c r="P707" s="16">
        <f t="shared" si="100"/>
        <v>9</v>
      </c>
      <c r="Q707" s="16">
        <f t="shared" si="100"/>
        <v>1</v>
      </c>
      <c r="R707" s="16">
        <f t="shared" si="99"/>
        <v>15</v>
      </c>
      <c r="S707" s="16">
        <f t="shared" si="99"/>
        <v>0</v>
      </c>
      <c r="T707" s="16">
        <f t="shared" si="99"/>
        <v>0</v>
      </c>
      <c r="U707" s="16">
        <f t="shared" si="99"/>
        <v>0</v>
      </c>
      <c r="V707" s="16">
        <f t="shared" si="99"/>
        <v>0</v>
      </c>
      <c r="W707" s="16">
        <f t="shared" si="99"/>
        <v>1</v>
      </c>
      <c r="X707" s="16" t="str">
        <f t="shared" si="99"/>
        <v>null</v>
      </c>
    </row>
    <row r="708" spans="1:24" x14ac:dyDescent="0.15">
      <c r="A708" s="20" t="str">
        <f t="shared" ref="A708:A771" si="101">INDIRECT(ADDRESS(ROW()+$A$1,COLUMN(),1,TRUE,$C$1))</f>
        <v>26_2-1/11&lt;lv52&gt;s3</v>
      </c>
      <c r="B708" s="16">
        <f t="shared" si="100"/>
        <v>26</v>
      </c>
      <c r="C708" s="16">
        <f t="shared" si="100"/>
        <v>2</v>
      </c>
      <c r="D708" s="16">
        <f t="shared" si="100"/>
        <v>1</v>
      </c>
      <c r="E708" s="16">
        <f t="shared" si="100"/>
        <v>11</v>
      </c>
      <c r="F708" s="16">
        <f t="shared" si="100"/>
        <v>52</v>
      </c>
      <c r="G708" s="16">
        <f t="shared" si="100"/>
        <v>1</v>
      </c>
      <c r="H708" s="16">
        <f t="shared" si="100"/>
        <v>1</v>
      </c>
      <c r="I708" s="16">
        <f t="shared" si="100"/>
        <v>0</v>
      </c>
      <c r="J708" s="16">
        <f t="shared" si="100"/>
        <v>0</v>
      </c>
      <c r="K708" s="16">
        <f t="shared" si="100"/>
        <v>0</v>
      </c>
      <c r="L708" s="16">
        <f t="shared" si="100"/>
        <v>100</v>
      </c>
      <c r="M708" s="16">
        <f t="shared" si="100"/>
        <v>0</v>
      </c>
      <c r="N708" s="16">
        <f t="shared" si="100"/>
        <v>3</v>
      </c>
      <c r="O708" s="16">
        <f t="shared" si="100"/>
        <v>11</v>
      </c>
      <c r="P708" s="16">
        <f t="shared" si="100"/>
        <v>9</v>
      </c>
      <c r="Q708" s="16">
        <f t="shared" si="100"/>
        <v>1</v>
      </c>
      <c r="R708" s="16">
        <f t="shared" si="99"/>
        <v>15</v>
      </c>
      <c r="S708" s="16">
        <f t="shared" si="99"/>
        <v>0</v>
      </c>
      <c r="T708" s="16">
        <f t="shared" si="99"/>
        <v>0</v>
      </c>
      <c r="U708" s="16">
        <f t="shared" si="99"/>
        <v>0</v>
      </c>
      <c r="V708" s="16">
        <f t="shared" si="99"/>
        <v>0</v>
      </c>
      <c r="W708" s="16">
        <f t="shared" si="99"/>
        <v>1</v>
      </c>
      <c r="X708" s="16" t="str">
        <f t="shared" si="99"/>
        <v>null</v>
      </c>
    </row>
    <row r="709" spans="1:24" x14ac:dyDescent="0.15">
      <c r="A709" s="20" t="str">
        <f t="shared" si="101"/>
        <v>26_2-1/13&lt;lv52&gt;s2</v>
      </c>
      <c r="B709" s="16">
        <f t="shared" si="100"/>
        <v>26</v>
      </c>
      <c r="C709" s="16">
        <f t="shared" si="100"/>
        <v>2</v>
      </c>
      <c r="D709" s="16">
        <f t="shared" si="100"/>
        <v>1</v>
      </c>
      <c r="E709" s="16">
        <f t="shared" si="100"/>
        <v>13</v>
      </c>
      <c r="F709" s="16">
        <f t="shared" si="100"/>
        <v>52</v>
      </c>
      <c r="G709" s="16">
        <f t="shared" si="100"/>
        <v>1</v>
      </c>
      <c r="H709" s="16">
        <f t="shared" si="100"/>
        <v>1</v>
      </c>
      <c r="I709" s="16">
        <f t="shared" si="100"/>
        <v>0</v>
      </c>
      <c r="J709" s="16">
        <f t="shared" si="100"/>
        <v>0</v>
      </c>
      <c r="K709" s="16">
        <f t="shared" si="100"/>
        <v>0</v>
      </c>
      <c r="L709" s="16">
        <f t="shared" si="100"/>
        <v>100</v>
      </c>
      <c r="M709" s="16">
        <f t="shared" si="100"/>
        <v>0</v>
      </c>
      <c r="N709" s="16">
        <f t="shared" si="100"/>
        <v>2</v>
      </c>
      <c r="O709" s="16">
        <f t="shared" si="100"/>
        <v>13</v>
      </c>
      <c r="P709" s="16">
        <f t="shared" si="100"/>
        <v>9</v>
      </c>
      <c r="Q709" s="16">
        <f t="shared" si="100"/>
        <v>1</v>
      </c>
      <c r="R709" s="16">
        <f t="shared" si="99"/>
        <v>15</v>
      </c>
      <c r="S709" s="16">
        <f t="shared" si="99"/>
        <v>0</v>
      </c>
      <c r="T709" s="16">
        <f t="shared" si="99"/>
        <v>0</v>
      </c>
      <c r="U709" s="16">
        <f t="shared" si="99"/>
        <v>0</v>
      </c>
      <c r="V709" s="16">
        <f t="shared" si="99"/>
        <v>0</v>
      </c>
      <c r="W709" s="16">
        <f t="shared" si="99"/>
        <v>1</v>
      </c>
      <c r="X709" s="16" t="str">
        <f t="shared" si="99"/>
        <v>null</v>
      </c>
    </row>
    <row r="710" spans="1:24" x14ac:dyDescent="0.15">
      <c r="A710" s="20" t="str">
        <f t="shared" si="101"/>
        <v>26_2-1/23&lt;lv52&gt;s4</v>
      </c>
      <c r="B710" s="16">
        <f t="shared" si="100"/>
        <v>26</v>
      </c>
      <c r="C710" s="16">
        <f t="shared" si="100"/>
        <v>2</v>
      </c>
      <c r="D710" s="16">
        <f t="shared" si="100"/>
        <v>1</v>
      </c>
      <c r="E710" s="16">
        <f t="shared" si="100"/>
        <v>23</v>
      </c>
      <c r="F710" s="16">
        <f t="shared" si="100"/>
        <v>52</v>
      </c>
      <c r="G710" s="16">
        <f t="shared" si="100"/>
        <v>1</v>
      </c>
      <c r="H710" s="16">
        <f t="shared" si="100"/>
        <v>1</v>
      </c>
      <c r="I710" s="16">
        <f t="shared" si="100"/>
        <v>0</v>
      </c>
      <c r="J710" s="16">
        <f t="shared" si="100"/>
        <v>0</v>
      </c>
      <c r="K710" s="16">
        <f t="shared" si="100"/>
        <v>0</v>
      </c>
      <c r="L710" s="16">
        <f t="shared" si="100"/>
        <v>100</v>
      </c>
      <c r="M710" s="16">
        <f t="shared" si="100"/>
        <v>0</v>
      </c>
      <c r="N710" s="16">
        <f t="shared" si="100"/>
        <v>4</v>
      </c>
      <c r="O710" s="16">
        <f t="shared" si="100"/>
        <v>23</v>
      </c>
      <c r="P710" s="16">
        <f t="shared" si="100"/>
        <v>7</v>
      </c>
      <c r="Q710" s="16">
        <f t="shared" si="100"/>
        <v>1</v>
      </c>
      <c r="R710" s="16">
        <f t="shared" si="99"/>
        <v>15</v>
      </c>
      <c r="S710" s="16">
        <f t="shared" si="99"/>
        <v>0</v>
      </c>
      <c r="T710" s="16">
        <f t="shared" si="99"/>
        <v>0</v>
      </c>
      <c r="U710" s="16">
        <f t="shared" si="99"/>
        <v>0</v>
      </c>
      <c r="V710" s="16">
        <f t="shared" si="99"/>
        <v>0</v>
      </c>
      <c r="W710" s="16">
        <f t="shared" si="99"/>
        <v>1</v>
      </c>
      <c r="X710" s="16" t="str">
        <f t="shared" si="99"/>
        <v>null</v>
      </c>
    </row>
    <row r="711" spans="1:24" x14ac:dyDescent="0.15">
      <c r="A711" s="20" t="str">
        <f t="shared" si="101"/>
        <v>26_2-1/25&lt;lv52&gt;s3</v>
      </c>
      <c r="B711" s="16">
        <f t="shared" si="100"/>
        <v>26</v>
      </c>
      <c r="C711" s="16">
        <f t="shared" si="100"/>
        <v>2</v>
      </c>
      <c r="D711" s="16">
        <f t="shared" si="100"/>
        <v>1</v>
      </c>
      <c r="E711" s="16">
        <f t="shared" si="100"/>
        <v>25</v>
      </c>
      <c r="F711" s="16">
        <f t="shared" si="100"/>
        <v>52</v>
      </c>
      <c r="G711" s="16">
        <f t="shared" si="100"/>
        <v>1</v>
      </c>
      <c r="H711" s="16">
        <f t="shared" si="100"/>
        <v>1</v>
      </c>
      <c r="I711" s="16">
        <f t="shared" si="100"/>
        <v>0</v>
      </c>
      <c r="J711" s="16">
        <f t="shared" si="100"/>
        <v>0</v>
      </c>
      <c r="K711" s="16">
        <f t="shared" si="100"/>
        <v>0</v>
      </c>
      <c r="L711" s="16">
        <f t="shared" si="100"/>
        <v>100</v>
      </c>
      <c r="M711" s="16">
        <f t="shared" si="100"/>
        <v>0</v>
      </c>
      <c r="N711" s="16">
        <f t="shared" si="100"/>
        <v>3</v>
      </c>
      <c r="O711" s="16">
        <f t="shared" si="100"/>
        <v>25</v>
      </c>
      <c r="P711" s="16">
        <f t="shared" si="100"/>
        <v>7</v>
      </c>
      <c r="Q711" s="16">
        <f t="shared" si="100"/>
        <v>1</v>
      </c>
      <c r="R711" s="16">
        <f t="shared" si="99"/>
        <v>15</v>
      </c>
      <c r="S711" s="16">
        <f t="shared" si="99"/>
        <v>0</v>
      </c>
      <c r="T711" s="16">
        <f t="shared" si="99"/>
        <v>0</v>
      </c>
      <c r="U711" s="16">
        <f t="shared" si="99"/>
        <v>0</v>
      </c>
      <c r="V711" s="16">
        <f t="shared" si="99"/>
        <v>0</v>
      </c>
      <c r="W711" s="16">
        <f t="shared" si="99"/>
        <v>1</v>
      </c>
      <c r="X711" s="16" t="str">
        <f t="shared" si="99"/>
        <v>null</v>
      </c>
    </row>
    <row r="712" spans="1:24" x14ac:dyDescent="0.15">
      <c r="A712" s="20" t="str">
        <f t="shared" si="101"/>
        <v>26_2-1/348&lt;lv52&gt;s3</v>
      </c>
      <c r="B712" s="16">
        <f t="shared" si="100"/>
        <v>26</v>
      </c>
      <c r="C712" s="16">
        <f t="shared" si="100"/>
        <v>2</v>
      </c>
      <c r="D712" s="16">
        <f t="shared" si="100"/>
        <v>1</v>
      </c>
      <c r="E712" s="16">
        <f t="shared" si="100"/>
        <v>348</v>
      </c>
      <c r="F712" s="16">
        <f t="shared" si="100"/>
        <v>52</v>
      </c>
      <c r="G712" s="16">
        <f t="shared" si="100"/>
        <v>1</v>
      </c>
      <c r="H712" s="16">
        <f t="shared" si="100"/>
        <v>1</v>
      </c>
      <c r="I712" s="16">
        <f t="shared" si="100"/>
        <v>0</v>
      </c>
      <c r="J712" s="16">
        <f t="shared" si="100"/>
        <v>348</v>
      </c>
      <c r="K712" s="16">
        <f t="shared" si="100"/>
        <v>0</v>
      </c>
      <c r="L712" s="16">
        <f t="shared" si="100"/>
        <v>100</v>
      </c>
      <c r="M712" s="16">
        <f t="shared" si="100"/>
        <v>0</v>
      </c>
      <c r="N712" s="16">
        <f t="shared" si="100"/>
        <v>3</v>
      </c>
      <c r="O712" s="16">
        <f t="shared" si="100"/>
        <v>348</v>
      </c>
      <c r="P712" s="16">
        <f t="shared" si="100"/>
        <v>1</v>
      </c>
      <c r="Q712" s="16">
        <f t="shared" si="100"/>
        <v>2</v>
      </c>
      <c r="R712" s="16">
        <f t="shared" si="99"/>
        <v>24</v>
      </c>
      <c r="S712" s="16">
        <f t="shared" si="99"/>
        <v>0</v>
      </c>
      <c r="T712" s="16">
        <f t="shared" si="99"/>
        <v>0</v>
      </c>
      <c r="U712" s="16">
        <f t="shared" si="99"/>
        <v>0</v>
      </c>
      <c r="V712" s="16">
        <f t="shared" si="99"/>
        <v>0</v>
      </c>
      <c r="W712" s="16">
        <f t="shared" si="99"/>
        <v>1</v>
      </c>
      <c r="X712" s="16" t="str">
        <f t="shared" si="99"/>
        <v>null</v>
      </c>
    </row>
    <row r="713" spans="1:24" x14ac:dyDescent="0.15">
      <c r="A713" s="20" t="str">
        <f t="shared" si="101"/>
        <v>26_2-1/350&lt;lv52&gt;s3</v>
      </c>
      <c r="B713" s="16">
        <f t="shared" si="100"/>
        <v>26</v>
      </c>
      <c r="C713" s="16">
        <f t="shared" si="100"/>
        <v>2</v>
      </c>
      <c r="D713" s="16">
        <f t="shared" si="100"/>
        <v>1</v>
      </c>
      <c r="E713" s="16">
        <f t="shared" si="100"/>
        <v>350</v>
      </c>
      <c r="F713" s="16">
        <f t="shared" si="100"/>
        <v>52</v>
      </c>
      <c r="G713" s="16">
        <f t="shared" si="100"/>
        <v>1</v>
      </c>
      <c r="H713" s="16">
        <f t="shared" si="100"/>
        <v>1</v>
      </c>
      <c r="I713" s="16">
        <f t="shared" si="100"/>
        <v>0</v>
      </c>
      <c r="J713" s="16">
        <f t="shared" si="100"/>
        <v>350</v>
      </c>
      <c r="K713" s="16">
        <f t="shared" si="100"/>
        <v>0</v>
      </c>
      <c r="L713" s="16">
        <f t="shared" si="100"/>
        <v>100</v>
      </c>
      <c r="M713" s="16">
        <f t="shared" si="100"/>
        <v>0</v>
      </c>
      <c r="N713" s="16">
        <f t="shared" si="100"/>
        <v>3</v>
      </c>
      <c r="O713" s="16">
        <f t="shared" si="100"/>
        <v>350</v>
      </c>
      <c r="P713" s="16">
        <f t="shared" si="100"/>
        <v>1</v>
      </c>
      <c r="Q713" s="16">
        <f t="shared" si="100"/>
        <v>2</v>
      </c>
      <c r="R713" s="16">
        <f t="shared" si="99"/>
        <v>24</v>
      </c>
      <c r="S713" s="16">
        <f t="shared" si="99"/>
        <v>0</v>
      </c>
      <c r="T713" s="16">
        <f t="shared" si="99"/>
        <v>0</v>
      </c>
      <c r="U713" s="16">
        <f t="shared" si="99"/>
        <v>0</v>
      </c>
      <c r="V713" s="16">
        <f t="shared" si="99"/>
        <v>0</v>
      </c>
      <c r="W713" s="16">
        <f t="shared" si="99"/>
        <v>1</v>
      </c>
      <c r="X713" s="16" t="str">
        <f t="shared" si="99"/>
        <v>null</v>
      </c>
    </row>
    <row r="714" spans="1:24" x14ac:dyDescent="0.15">
      <c r="A714" s="20" t="str">
        <f t="shared" si="101"/>
        <v>26_2-2/33&lt;lv52&gt;s2</v>
      </c>
      <c r="B714" s="16">
        <f t="shared" si="100"/>
        <v>26</v>
      </c>
      <c r="C714" s="16">
        <f t="shared" si="100"/>
        <v>2</v>
      </c>
      <c r="D714" s="16">
        <f t="shared" si="100"/>
        <v>2</v>
      </c>
      <c r="E714" s="16">
        <f t="shared" si="100"/>
        <v>33</v>
      </c>
      <c r="F714" s="16">
        <f t="shared" si="100"/>
        <v>52</v>
      </c>
      <c r="G714" s="16">
        <f t="shared" si="100"/>
        <v>1</v>
      </c>
      <c r="H714" s="16">
        <f t="shared" si="100"/>
        <v>1</v>
      </c>
      <c r="I714" s="16">
        <f t="shared" si="100"/>
        <v>0</v>
      </c>
      <c r="J714" s="16">
        <f t="shared" si="100"/>
        <v>33</v>
      </c>
      <c r="K714" s="16">
        <f t="shared" si="100"/>
        <v>0</v>
      </c>
      <c r="L714" s="16">
        <f t="shared" si="100"/>
        <v>100</v>
      </c>
      <c r="M714" s="16">
        <f t="shared" si="100"/>
        <v>0</v>
      </c>
      <c r="N714" s="16">
        <f t="shared" si="100"/>
        <v>2</v>
      </c>
      <c r="O714" s="16">
        <f t="shared" si="100"/>
        <v>33</v>
      </c>
      <c r="P714" s="16">
        <f t="shared" si="100"/>
        <v>5</v>
      </c>
      <c r="Q714" s="16">
        <f t="shared" si="100"/>
        <v>2</v>
      </c>
      <c r="R714" s="16">
        <f t="shared" si="99"/>
        <v>20</v>
      </c>
      <c r="S714" s="16">
        <f t="shared" si="99"/>
        <v>0</v>
      </c>
      <c r="T714" s="16">
        <f t="shared" si="99"/>
        <v>0</v>
      </c>
      <c r="U714" s="16">
        <f t="shared" si="99"/>
        <v>0</v>
      </c>
      <c r="V714" s="16">
        <f t="shared" si="99"/>
        <v>0</v>
      </c>
      <c r="W714" s="16">
        <f t="shared" si="99"/>
        <v>1</v>
      </c>
      <c r="X714" s="16" t="str">
        <f t="shared" si="99"/>
        <v>null</v>
      </c>
    </row>
    <row r="715" spans="1:24" x14ac:dyDescent="0.15">
      <c r="A715" s="20" t="str">
        <f t="shared" si="101"/>
        <v>26_2-2/37&lt;lv52&gt;s3</v>
      </c>
      <c r="B715" s="16">
        <f t="shared" si="100"/>
        <v>26</v>
      </c>
      <c r="C715" s="16">
        <f t="shared" si="100"/>
        <v>2</v>
      </c>
      <c r="D715" s="16">
        <f t="shared" si="100"/>
        <v>2</v>
      </c>
      <c r="E715" s="16">
        <f t="shared" si="100"/>
        <v>37</v>
      </c>
      <c r="F715" s="16">
        <f t="shared" si="100"/>
        <v>52</v>
      </c>
      <c r="G715" s="16">
        <f t="shared" si="100"/>
        <v>1</v>
      </c>
      <c r="H715" s="16">
        <f t="shared" si="100"/>
        <v>1</v>
      </c>
      <c r="I715" s="16">
        <f t="shared" si="100"/>
        <v>0</v>
      </c>
      <c r="J715" s="16">
        <f t="shared" si="100"/>
        <v>37</v>
      </c>
      <c r="K715" s="16">
        <f t="shared" si="100"/>
        <v>0</v>
      </c>
      <c r="L715" s="16">
        <f t="shared" si="100"/>
        <v>100</v>
      </c>
      <c r="M715" s="16">
        <f t="shared" si="100"/>
        <v>0</v>
      </c>
      <c r="N715" s="16">
        <f t="shared" si="100"/>
        <v>3</v>
      </c>
      <c r="O715" s="16">
        <f t="shared" si="100"/>
        <v>37</v>
      </c>
      <c r="P715" s="16">
        <f t="shared" si="100"/>
        <v>5</v>
      </c>
      <c r="Q715" s="16">
        <f t="shared" si="100"/>
        <v>2</v>
      </c>
      <c r="R715" s="16">
        <f t="shared" si="99"/>
        <v>20</v>
      </c>
      <c r="S715" s="16">
        <f t="shared" si="99"/>
        <v>0</v>
      </c>
      <c r="T715" s="16">
        <f t="shared" si="99"/>
        <v>0</v>
      </c>
      <c r="U715" s="16">
        <f t="shared" si="99"/>
        <v>0</v>
      </c>
      <c r="V715" s="16">
        <f t="shared" si="99"/>
        <v>0</v>
      </c>
      <c r="W715" s="16">
        <f t="shared" si="99"/>
        <v>1</v>
      </c>
      <c r="X715" s="16" t="str">
        <f t="shared" si="99"/>
        <v>null</v>
      </c>
    </row>
    <row r="716" spans="1:24" x14ac:dyDescent="0.15">
      <c r="A716" s="20" t="str">
        <f t="shared" si="101"/>
        <v>26_2-2/45&lt;lv52&gt;s3</v>
      </c>
      <c r="B716" s="16">
        <f t="shared" si="100"/>
        <v>26</v>
      </c>
      <c r="C716" s="16">
        <f t="shared" si="100"/>
        <v>2</v>
      </c>
      <c r="D716" s="16">
        <f t="shared" si="100"/>
        <v>2</v>
      </c>
      <c r="E716" s="16">
        <f t="shared" si="100"/>
        <v>45</v>
      </c>
      <c r="F716" s="16">
        <f t="shared" si="100"/>
        <v>52</v>
      </c>
      <c r="G716" s="16">
        <f t="shared" si="100"/>
        <v>1</v>
      </c>
      <c r="H716" s="16">
        <f t="shared" si="100"/>
        <v>1</v>
      </c>
      <c r="I716" s="16">
        <f t="shared" si="100"/>
        <v>0</v>
      </c>
      <c r="J716" s="16">
        <f t="shared" si="100"/>
        <v>0</v>
      </c>
      <c r="K716" s="16">
        <f t="shared" si="100"/>
        <v>0</v>
      </c>
      <c r="L716" s="16">
        <f t="shared" si="100"/>
        <v>100</v>
      </c>
      <c r="M716" s="16">
        <f t="shared" si="100"/>
        <v>0</v>
      </c>
      <c r="N716" s="16">
        <f t="shared" si="100"/>
        <v>3</v>
      </c>
      <c r="O716" s="16">
        <f t="shared" si="100"/>
        <v>45</v>
      </c>
      <c r="P716" s="16">
        <f t="shared" si="100"/>
        <v>7</v>
      </c>
      <c r="Q716" s="16">
        <f t="shared" si="100"/>
        <v>2</v>
      </c>
      <c r="R716" s="16">
        <f t="shared" si="99"/>
        <v>20</v>
      </c>
      <c r="S716" s="16">
        <f t="shared" si="99"/>
        <v>0</v>
      </c>
      <c r="T716" s="16">
        <f t="shared" si="99"/>
        <v>0</v>
      </c>
      <c r="U716" s="16">
        <f t="shared" si="99"/>
        <v>0</v>
      </c>
      <c r="V716" s="16">
        <f t="shared" si="99"/>
        <v>0</v>
      </c>
      <c r="W716" s="16">
        <f t="shared" si="99"/>
        <v>1</v>
      </c>
      <c r="X716" s="16" t="str">
        <f t="shared" si="99"/>
        <v>null</v>
      </c>
    </row>
    <row r="717" spans="1:24" x14ac:dyDescent="0.15">
      <c r="A717" s="20" t="str">
        <f t="shared" si="101"/>
        <v>26_2-2/47&lt;lv52&gt;s1</v>
      </c>
      <c r="B717" s="16">
        <f t="shared" si="100"/>
        <v>26</v>
      </c>
      <c r="C717" s="16">
        <f t="shared" si="100"/>
        <v>2</v>
      </c>
      <c r="D717" s="16">
        <f t="shared" si="100"/>
        <v>2</v>
      </c>
      <c r="E717" s="16">
        <f t="shared" si="100"/>
        <v>47</v>
      </c>
      <c r="F717" s="16">
        <f t="shared" si="100"/>
        <v>52</v>
      </c>
      <c r="G717" s="16">
        <f t="shared" si="100"/>
        <v>1</v>
      </c>
      <c r="H717" s="16">
        <f t="shared" si="100"/>
        <v>1</v>
      </c>
      <c r="I717" s="16">
        <f t="shared" si="100"/>
        <v>0</v>
      </c>
      <c r="J717" s="16">
        <f t="shared" si="100"/>
        <v>0</v>
      </c>
      <c r="K717" s="16">
        <f t="shared" si="100"/>
        <v>0</v>
      </c>
      <c r="L717" s="16">
        <f t="shared" si="100"/>
        <v>100</v>
      </c>
      <c r="M717" s="16">
        <f t="shared" si="100"/>
        <v>0</v>
      </c>
      <c r="N717" s="16">
        <f t="shared" si="100"/>
        <v>1</v>
      </c>
      <c r="O717" s="16">
        <f t="shared" si="100"/>
        <v>47</v>
      </c>
      <c r="P717" s="16">
        <f t="shared" si="100"/>
        <v>7</v>
      </c>
      <c r="Q717" s="16">
        <f t="shared" si="100"/>
        <v>2</v>
      </c>
      <c r="R717" s="16">
        <f t="shared" si="99"/>
        <v>20</v>
      </c>
      <c r="S717" s="16">
        <f t="shared" si="99"/>
        <v>0</v>
      </c>
      <c r="T717" s="16">
        <f t="shared" si="99"/>
        <v>0</v>
      </c>
      <c r="U717" s="16">
        <f t="shared" si="99"/>
        <v>0</v>
      </c>
      <c r="V717" s="16">
        <f t="shared" si="99"/>
        <v>0</v>
      </c>
      <c r="W717" s="16">
        <f t="shared" si="99"/>
        <v>1</v>
      </c>
      <c r="X717" s="16" t="str">
        <f t="shared" si="99"/>
        <v>null</v>
      </c>
    </row>
    <row r="718" spans="1:24" x14ac:dyDescent="0.15">
      <c r="A718" s="20" t="str">
        <f t="shared" si="101"/>
        <v>26_2-2/57&lt;lv52&gt;s2</v>
      </c>
      <c r="B718" s="16">
        <f t="shared" si="100"/>
        <v>26</v>
      </c>
      <c r="C718" s="16">
        <f t="shared" si="100"/>
        <v>2</v>
      </c>
      <c r="D718" s="16">
        <f t="shared" si="100"/>
        <v>2</v>
      </c>
      <c r="E718" s="16">
        <f t="shared" si="100"/>
        <v>57</v>
      </c>
      <c r="F718" s="16">
        <f t="shared" si="100"/>
        <v>52</v>
      </c>
      <c r="G718" s="16">
        <f t="shared" si="100"/>
        <v>1</v>
      </c>
      <c r="H718" s="16">
        <f t="shared" si="100"/>
        <v>1</v>
      </c>
      <c r="I718" s="16">
        <f t="shared" si="100"/>
        <v>0</v>
      </c>
      <c r="J718" s="16">
        <f t="shared" si="100"/>
        <v>57</v>
      </c>
      <c r="K718" s="16">
        <f t="shared" si="100"/>
        <v>0</v>
      </c>
      <c r="L718" s="16">
        <f t="shared" si="100"/>
        <v>100</v>
      </c>
      <c r="M718" s="16">
        <f t="shared" si="100"/>
        <v>0</v>
      </c>
      <c r="N718" s="16">
        <f t="shared" si="100"/>
        <v>2</v>
      </c>
      <c r="O718" s="16">
        <f t="shared" si="100"/>
        <v>57</v>
      </c>
      <c r="P718" s="16">
        <f t="shared" si="100"/>
        <v>7</v>
      </c>
      <c r="Q718" s="16">
        <f t="shared" ref="Q718:W733" si="102">VLOOKUP($A718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718" s="16">
        <f t="shared" si="102"/>
        <v>20</v>
      </c>
      <c r="S718" s="16">
        <f t="shared" si="102"/>
        <v>0</v>
      </c>
      <c r="T718" s="16">
        <f t="shared" si="102"/>
        <v>0</v>
      </c>
      <c r="U718" s="16">
        <f t="shared" si="102"/>
        <v>0</v>
      </c>
      <c r="V718" s="16">
        <f t="shared" si="102"/>
        <v>0</v>
      </c>
      <c r="W718" s="16">
        <f t="shared" si="102"/>
        <v>1</v>
      </c>
      <c r="X718" s="16" t="str">
        <f t="shared" si="99"/>
        <v>null</v>
      </c>
    </row>
    <row r="719" spans="1:24" x14ac:dyDescent="0.15">
      <c r="A719" s="20" t="str">
        <f t="shared" si="101"/>
        <v>26_2-2/59&lt;lv52&gt;s2</v>
      </c>
      <c r="B719" s="16">
        <f t="shared" ref="B719:Q734" si="103">VLOOKUP($A719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719" s="16">
        <f t="shared" si="103"/>
        <v>2</v>
      </c>
      <c r="D719" s="16">
        <f t="shared" si="103"/>
        <v>2</v>
      </c>
      <c r="E719" s="16">
        <f t="shared" si="103"/>
        <v>59</v>
      </c>
      <c r="F719" s="16">
        <f t="shared" si="103"/>
        <v>52</v>
      </c>
      <c r="G719" s="16">
        <f t="shared" si="103"/>
        <v>1</v>
      </c>
      <c r="H719" s="16">
        <f t="shared" si="103"/>
        <v>1</v>
      </c>
      <c r="I719" s="16">
        <f t="shared" si="103"/>
        <v>0</v>
      </c>
      <c r="J719" s="16">
        <f t="shared" si="103"/>
        <v>59</v>
      </c>
      <c r="K719" s="16">
        <f t="shared" si="103"/>
        <v>0</v>
      </c>
      <c r="L719" s="16">
        <f t="shared" si="103"/>
        <v>100</v>
      </c>
      <c r="M719" s="16">
        <f t="shared" si="103"/>
        <v>0</v>
      </c>
      <c r="N719" s="16">
        <f t="shared" si="103"/>
        <v>2</v>
      </c>
      <c r="O719" s="16">
        <f t="shared" si="103"/>
        <v>59</v>
      </c>
      <c r="P719" s="16">
        <f t="shared" si="103"/>
        <v>7</v>
      </c>
      <c r="Q719" s="16">
        <f t="shared" si="103"/>
        <v>2</v>
      </c>
      <c r="R719" s="16">
        <f t="shared" si="102"/>
        <v>20</v>
      </c>
      <c r="S719" s="16">
        <f t="shared" si="102"/>
        <v>0</v>
      </c>
      <c r="T719" s="16">
        <f t="shared" si="102"/>
        <v>0</v>
      </c>
      <c r="U719" s="16">
        <f t="shared" si="102"/>
        <v>0</v>
      </c>
      <c r="V719" s="16">
        <f t="shared" si="102"/>
        <v>0</v>
      </c>
      <c r="W719" s="16">
        <f t="shared" si="102"/>
        <v>1</v>
      </c>
      <c r="X719" s="16" t="str">
        <f t="shared" si="99"/>
        <v>null</v>
      </c>
    </row>
    <row r="720" spans="1:24" x14ac:dyDescent="0.15">
      <c r="A720" s="20" t="str">
        <f t="shared" si="101"/>
        <v>26_2-2/61&lt;lv52&gt;s2</v>
      </c>
      <c r="B720" s="16">
        <f t="shared" si="103"/>
        <v>26</v>
      </c>
      <c r="C720" s="16">
        <f t="shared" si="103"/>
        <v>2</v>
      </c>
      <c r="D720" s="16">
        <f t="shared" si="103"/>
        <v>2</v>
      </c>
      <c r="E720" s="16">
        <f t="shared" si="103"/>
        <v>61</v>
      </c>
      <c r="F720" s="16">
        <f t="shared" si="103"/>
        <v>52</v>
      </c>
      <c r="G720" s="16">
        <f t="shared" si="103"/>
        <v>1</v>
      </c>
      <c r="H720" s="16">
        <f t="shared" si="103"/>
        <v>1</v>
      </c>
      <c r="I720" s="16">
        <f t="shared" si="103"/>
        <v>0</v>
      </c>
      <c r="J720" s="16">
        <f t="shared" si="103"/>
        <v>61</v>
      </c>
      <c r="K720" s="16">
        <f t="shared" si="103"/>
        <v>0</v>
      </c>
      <c r="L720" s="16">
        <f t="shared" si="103"/>
        <v>100</v>
      </c>
      <c r="M720" s="16">
        <f t="shared" si="103"/>
        <v>0</v>
      </c>
      <c r="N720" s="16">
        <f t="shared" si="103"/>
        <v>2</v>
      </c>
      <c r="O720" s="16">
        <f t="shared" si="103"/>
        <v>61</v>
      </c>
      <c r="P720" s="16">
        <f t="shared" si="103"/>
        <v>7</v>
      </c>
      <c r="Q720" s="16">
        <f t="shared" si="103"/>
        <v>2</v>
      </c>
      <c r="R720" s="16">
        <f t="shared" si="102"/>
        <v>20</v>
      </c>
      <c r="S720" s="16">
        <f t="shared" si="102"/>
        <v>0</v>
      </c>
      <c r="T720" s="16">
        <f t="shared" si="102"/>
        <v>0</v>
      </c>
      <c r="U720" s="16">
        <f t="shared" si="102"/>
        <v>0</v>
      </c>
      <c r="V720" s="16">
        <f t="shared" si="102"/>
        <v>0</v>
      </c>
      <c r="W720" s="16">
        <f t="shared" si="102"/>
        <v>1</v>
      </c>
      <c r="X720" s="16" t="str">
        <f t="shared" si="99"/>
        <v>null</v>
      </c>
    </row>
    <row r="721" spans="1:24" x14ac:dyDescent="0.15">
      <c r="A721" s="20" t="str">
        <f t="shared" si="101"/>
        <v>26_2-2/63&lt;lv52&gt;s2</v>
      </c>
      <c r="B721" s="16">
        <f t="shared" si="103"/>
        <v>26</v>
      </c>
      <c r="C721" s="16">
        <f t="shared" si="103"/>
        <v>2</v>
      </c>
      <c r="D721" s="16">
        <f t="shared" si="103"/>
        <v>2</v>
      </c>
      <c r="E721" s="16">
        <f t="shared" si="103"/>
        <v>63</v>
      </c>
      <c r="F721" s="16">
        <f t="shared" si="103"/>
        <v>52</v>
      </c>
      <c r="G721" s="16">
        <f t="shared" si="103"/>
        <v>1</v>
      </c>
      <c r="H721" s="16">
        <f t="shared" si="103"/>
        <v>1</v>
      </c>
      <c r="I721" s="16">
        <f t="shared" si="103"/>
        <v>0</v>
      </c>
      <c r="J721" s="16">
        <f t="shared" si="103"/>
        <v>63</v>
      </c>
      <c r="K721" s="16">
        <f t="shared" si="103"/>
        <v>0</v>
      </c>
      <c r="L721" s="16">
        <f t="shared" si="103"/>
        <v>100</v>
      </c>
      <c r="M721" s="16">
        <f t="shared" si="103"/>
        <v>0</v>
      </c>
      <c r="N721" s="16">
        <f t="shared" si="103"/>
        <v>2</v>
      </c>
      <c r="O721" s="16">
        <f t="shared" si="103"/>
        <v>63</v>
      </c>
      <c r="P721" s="16">
        <f t="shared" si="103"/>
        <v>7</v>
      </c>
      <c r="Q721" s="16">
        <f t="shared" si="103"/>
        <v>2</v>
      </c>
      <c r="R721" s="16">
        <f t="shared" si="102"/>
        <v>20</v>
      </c>
      <c r="S721" s="16">
        <f t="shared" si="102"/>
        <v>0</v>
      </c>
      <c r="T721" s="16">
        <f t="shared" si="102"/>
        <v>0</v>
      </c>
      <c r="U721" s="16">
        <f t="shared" si="102"/>
        <v>0</v>
      </c>
      <c r="V721" s="16">
        <f t="shared" si="102"/>
        <v>0</v>
      </c>
      <c r="W721" s="16">
        <f t="shared" si="102"/>
        <v>1</v>
      </c>
      <c r="X721" s="16" t="str">
        <f t="shared" si="99"/>
        <v>null</v>
      </c>
    </row>
    <row r="722" spans="1:24" x14ac:dyDescent="0.15">
      <c r="A722" s="20" t="str">
        <f t="shared" si="101"/>
        <v>26_2-2/360&lt;lv52&gt;s3</v>
      </c>
      <c r="B722" s="16">
        <f t="shared" si="103"/>
        <v>26</v>
      </c>
      <c r="C722" s="16">
        <f t="shared" si="103"/>
        <v>2</v>
      </c>
      <c r="D722" s="16">
        <f t="shared" si="103"/>
        <v>2</v>
      </c>
      <c r="E722" s="16">
        <f t="shared" si="103"/>
        <v>360</v>
      </c>
      <c r="F722" s="16">
        <f t="shared" si="103"/>
        <v>52</v>
      </c>
      <c r="G722" s="16">
        <f t="shared" si="103"/>
        <v>1</v>
      </c>
      <c r="H722" s="16">
        <f t="shared" si="103"/>
        <v>1</v>
      </c>
      <c r="I722" s="16">
        <f t="shared" si="103"/>
        <v>0</v>
      </c>
      <c r="J722" s="16">
        <f t="shared" si="103"/>
        <v>360</v>
      </c>
      <c r="K722" s="16">
        <f t="shared" si="103"/>
        <v>0</v>
      </c>
      <c r="L722" s="16">
        <f t="shared" si="103"/>
        <v>100</v>
      </c>
      <c r="M722" s="16">
        <f t="shared" si="103"/>
        <v>0</v>
      </c>
      <c r="N722" s="16">
        <f t="shared" si="103"/>
        <v>3</v>
      </c>
      <c r="O722" s="16">
        <f t="shared" si="103"/>
        <v>360</v>
      </c>
      <c r="P722" s="16">
        <f t="shared" si="103"/>
        <v>7</v>
      </c>
      <c r="Q722" s="16">
        <f t="shared" si="103"/>
        <v>2</v>
      </c>
      <c r="R722" s="16">
        <f t="shared" si="102"/>
        <v>20</v>
      </c>
      <c r="S722" s="16">
        <f t="shared" si="102"/>
        <v>0</v>
      </c>
      <c r="T722" s="16">
        <f t="shared" si="102"/>
        <v>0</v>
      </c>
      <c r="U722" s="16">
        <f t="shared" si="102"/>
        <v>0</v>
      </c>
      <c r="V722" s="16">
        <f t="shared" si="102"/>
        <v>0</v>
      </c>
      <c r="W722" s="16">
        <f t="shared" si="102"/>
        <v>1</v>
      </c>
      <c r="X722" s="16" t="str">
        <f t="shared" si="99"/>
        <v>null</v>
      </c>
    </row>
    <row r="723" spans="1:24" x14ac:dyDescent="0.15">
      <c r="A723" s="20" t="str">
        <f t="shared" si="101"/>
        <v>26_2-2/362&lt;lv52&gt;s3</v>
      </c>
      <c r="B723" s="16">
        <f t="shared" si="103"/>
        <v>26</v>
      </c>
      <c r="C723" s="16">
        <f t="shared" si="103"/>
        <v>2</v>
      </c>
      <c r="D723" s="16">
        <f t="shared" si="103"/>
        <v>2</v>
      </c>
      <c r="E723" s="16">
        <f t="shared" si="103"/>
        <v>362</v>
      </c>
      <c r="F723" s="16">
        <f t="shared" si="103"/>
        <v>52</v>
      </c>
      <c r="G723" s="16">
        <f t="shared" si="103"/>
        <v>1</v>
      </c>
      <c r="H723" s="16">
        <f t="shared" si="103"/>
        <v>1</v>
      </c>
      <c r="I723" s="16">
        <f t="shared" si="103"/>
        <v>0</v>
      </c>
      <c r="J723" s="16">
        <f t="shared" si="103"/>
        <v>362</v>
      </c>
      <c r="K723" s="16">
        <f t="shared" si="103"/>
        <v>0</v>
      </c>
      <c r="L723" s="16">
        <f t="shared" si="103"/>
        <v>100</v>
      </c>
      <c r="M723" s="16">
        <f t="shared" si="103"/>
        <v>0</v>
      </c>
      <c r="N723" s="16">
        <f t="shared" si="103"/>
        <v>3</v>
      </c>
      <c r="O723" s="16">
        <f t="shared" si="103"/>
        <v>362</v>
      </c>
      <c r="P723" s="16">
        <f t="shared" si="103"/>
        <v>7</v>
      </c>
      <c r="Q723" s="16">
        <f t="shared" si="103"/>
        <v>2</v>
      </c>
      <c r="R723" s="16">
        <f t="shared" si="102"/>
        <v>20</v>
      </c>
      <c r="S723" s="16">
        <f t="shared" si="102"/>
        <v>0</v>
      </c>
      <c r="T723" s="16">
        <f t="shared" si="102"/>
        <v>0</v>
      </c>
      <c r="U723" s="16">
        <f t="shared" si="102"/>
        <v>0</v>
      </c>
      <c r="V723" s="16">
        <f t="shared" si="102"/>
        <v>0</v>
      </c>
      <c r="W723" s="16">
        <f t="shared" si="102"/>
        <v>1</v>
      </c>
      <c r="X723" s="16" t="str">
        <f t="shared" si="99"/>
        <v>null</v>
      </c>
    </row>
    <row r="724" spans="1:24" x14ac:dyDescent="0.15">
      <c r="A724" s="20" t="str">
        <f t="shared" si="101"/>
        <v>26_2-2/364&lt;lv52&gt;s3</v>
      </c>
      <c r="B724" s="16">
        <f t="shared" si="103"/>
        <v>26</v>
      </c>
      <c r="C724" s="16">
        <f t="shared" si="103"/>
        <v>2</v>
      </c>
      <c r="D724" s="16">
        <f t="shared" si="103"/>
        <v>2</v>
      </c>
      <c r="E724" s="16">
        <f t="shared" si="103"/>
        <v>364</v>
      </c>
      <c r="F724" s="16">
        <f t="shared" si="103"/>
        <v>52</v>
      </c>
      <c r="G724" s="16">
        <f t="shared" si="103"/>
        <v>1</v>
      </c>
      <c r="H724" s="16">
        <f t="shared" si="103"/>
        <v>1</v>
      </c>
      <c r="I724" s="16">
        <f t="shared" si="103"/>
        <v>0</v>
      </c>
      <c r="J724" s="16">
        <f t="shared" si="103"/>
        <v>364</v>
      </c>
      <c r="K724" s="16">
        <f t="shared" si="103"/>
        <v>0</v>
      </c>
      <c r="L724" s="16">
        <f t="shared" si="103"/>
        <v>100</v>
      </c>
      <c r="M724" s="16">
        <f t="shared" si="103"/>
        <v>0</v>
      </c>
      <c r="N724" s="16">
        <f t="shared" si="103"/>
        <v>3</v>
      </c>
      <c r="O724" s="16">
        <f t="shared" si="103"/>
        <v>364</v>
      </c>
      <c r="P724" s="16">
        <f t="shared" si="103"/>
        <v>7</v>
      </c>
      <c r="Q724" s="16">
        <f t="shared" si="103"/>
        <v>2</v>
      </c>
      <c r="R724" s="16">
        <f t="shared" si="102"/>
        <v>20</v>
      </c>
      <c r="S724" s="16">
        <f t="shared" si="102"/>
        <v>0</v>
      </c>
      <c r="T724" s="16">
        <f t="shared" si="102"/>
        <v>0</v>
      </c>
      <c r="U724" s="16">
        <f t="shared" si="102"/>
        <v>0</v>
      </c>
      <c r="V724" s="16">
        <f t="shared" si="102"/>
        <v>0</v>
      </c>
      <c r="W724" s="16">
        <f t="shared" si="102"/>
        <v>1</v>
      </c>
      <c r="X724" s="16" t="str">
        <f t="shared" si="99"/>
        <v>null</v>
      </c>
    </row>
    <row r="725" spans="1:24" x14ac:dyDescent="0.15">
      <c r="A725" s="20" t="str">
        <f t="shared" si="101"/>
        <v>26_2-2/366&lt;lv52&gt;s3</v>
      </c>
      <c r="B725" s="16">
        <f t="shared" si="103"/>
        <v>26</v>
      </c>
      <c r="C725" s="16">
        <f t="shared" si="103"/>
        <v>2</v>
      </c>
      <c r="D725" s="16">
        <f t="shared" si="103"/>
        <v>2</v>
      </c>
      <c r="E725" s="16">
        <f t="shared" si="103"/>
        <v>366</v>
      </c>
      <c r="F725" s="16">
        <f t="shared" si="103"/>
        <v>52</v>
      </c>
      <c r="G725" s="16">
        <f t="shared" si="103"/>
        <v>1</v>
      </c>
      <c r="H725" s="16">
        <f t="shared" si="103"/>
        <v>1</v>
      </c>
      <c r="I725" s="16">
        <f t="shared" si="103"/>
        <v>0</v>
      </c>
      <c r="J725" s="16">
        <f t="shared" si="103"/>
        <v>366</v>
      </c>
      <c r="K725" s="16">
        <f t="shared" si="103"/>
        <v>0</v>
      </c>
      <c r="L725" s="16">
        <f t="shared" si="103"/>
        <v>100</v>
      </c>
      <c r="M725" s="16">
        <f t="shared" si="103"/>
        <v>0</v>
      </c>
      <c r="N725" s="16">
        <f t="shared" si="103"/>
        <v>3</v>
      </c>
      <c r="O725" s="16">
        <f t="shared" si="103"/>
        <v>366</v>
      </c>
      <c r="P725" s="16">
        <f t="shared" si="103"/>
        <v>7</v>
      </c>
      <c r="Q725" s="16">
        <f t="shared" si="103"/>
        <v>2</v>
      </c>
      <c r="R725" s="16">
        <f t="shared" si="102"/>
        <v>20</v>
      </c>
      <c r="S725" s="16">
        <f t="shared" si="102"/>
        <v>0</v>
      </c>
      <c r="T725" s="16">
        <f t="shared" si="102"/>
        <v>0</v>
      </c>
      <c r="U725" s="16">
        <f t="shared" si="102"/>
        <v>0</v>
      </c>
      <c r="V725" s="16">
        <f t="shared" si="102"/>
        <v>0</v>
      </c>
      <c r="W725" s="16">
        <f t="shared" si="102"/>
        <v>1</v>
      </c>
      <c r="X725" s="16" t="str">
        <f t="shared" si="99"/>
        <v>null</v>
      </c>
    </row>
    <row r="726" spans="1:24" x14ac:dyDescent="0.15">
      <c r="A726" s="20" t="str">
        <f t="shared" si="101"/>
        <v>26_2-2/352&lt;lv51&gt;s3</v>
      </c>
      <c r="B726" s="16">
        <f t="shared" si="103"/>
        <v>26</v>
      </c>
      <c r="C726" s="16">
        <f t="shared" si="103"/>
        <v>2</v>
      </c>
      <c r="D726" s="16">
        <f t="shared" si="103"/>
        <v>2</v>
      </c>
      <c r="E726" s="16">
        <f t="shared" si="103"/>
        <v>352</v>
      </c>
      <c r="F726" s="16">
        <f t="shared" si="103"/>
        <v>51</v>
      </c>
      <c r="G726" s="16">
        <f t="shared" si="103"/>
        <v>1</v>
      </c>
      <c r="H726" s="16">
        <f t="shared" si="103"/>
        <v>1</v>
      </c>
      <c r="I726" s="16">
        <f t="shared" si="103"/>
        <v>0</v>
      </c>
      <c r="J726" s="16">
        <f t="shared" si="103"/>
        <v>352</v>
      </c>
      <c r="K726" s="16">
        <f t="shared" si="103"/>
        <v>0</v>
      </c>
      <c r="L726" s="16">
        <f t="shared" si="103"/>
        <v>100</v>
      </c>
      <c r="M726" s="16">
        <f t="shared" si="103"/>
        <v>0</v>
      </c>
      <c r="N726" s="16">
        <f t="shared" si="103"/>
        <v>3</v>
      </c>
      <c r="O726" s="16">
        <f t="shared" si="103"/>
        <v>352</v>
      </c>
      <c r="P726" s="16">
        <f t="shared" si="103"/>
        <v>1</v>
      </c>
      <c r="Q726" s="16">
        <f t="shared" si="103"/>
        <v>2</v>
      </c>
      <c r="R726" s="16">
        <f t="shared" si="102"/>
        <v>24</v>
      </c>
      <c r="S726" s="16">
        <f t="shared" si="102"/>
        <v>0</v>
      </c>
      <c r="T726" s="16">
        <f t="shared" si="102"/>
        <v>0</v>
      </c>
      <c r="U726" s="16">
        <f t="shared" si="102"/>
        <v>0</v>
      </c>
      <c r="V726" s="16">
        <f t="shared" si="102"/>
        <v>0</v>
      </c>
      <c r="W726" s="16">
        <f t="shared" si="102"/>
        <v>1</v>
      </c>
      <c r="X726" s="16" t="str">
        <f t="shared" si="99"/>
        <v>null</v>
      </c>
    </row>
    <row r="727" spans="1:24" x14ac:dyDescent="0.15">
      <c r="A727" s="20" t="str">
        <f t="shared" si="101"/>
        <v>26_2-2/354&lt;lv52&gt;s3</v>
      </c>
      <c r="B727" s="16">
        <f t="shared" si="103"/>
        <v>26</v>
      </c>
      <c r="C727" s="16">
        <f t="shared" si="103"/>
        <v>2</v>
      </c>
      <c r="D727" s="16">
        <f t="shared" si="103"/>
        <v>2</v>
      </c>
      <c r="E727" s="16">
        <f t="shared" si="103"/>
        <v>354</v>
      </c>
      <c r="F727" s="16">
        <f t="shared" si="103"/>
        <v>52</v>
      </c>
      <c r="G727" s="16">
        <f t="shared" si="103"/>
        <v>1</v>
      </c>
      <c r="H727" s="16">
        <f t="shared" si="103"/>
        <v>1</v>
      </c>
      <c r="I727" s="16">
        <f t="shared" si="103"/>
        <v>0</v>
      </c>
      <c r="J727" s="16">
        <f t="shared" si="103"/>
        <v>354</v>
      </c>
      <c r="K727" s="16">
        <f t="shared" si="103"/>
        <v>0</v>
      </c>
      <c r="L727" s="16">
        <f t="shared" si="103"/>
        <v>100</v>
      </c>
      <c r="M727" s="16">
        <f t="shared" si="103"/>
        <v>0</v>
      </c>
      <c r="N727" s="16">
        <f t="shared" si="103"/>
        <v>3</v>
      </c>
      <c r="O727" s="16">
        <f t="shared" si="103"/>
        <v>354</v>
      </c>
      <c r="P727" s="16">
        <f t="shared" si="103"/>
        <v>1</v>
      </c>
      <c r="Q727" s="16">
        <f t="shared" si="103"/>
        <v>2</v>
      </c>
      <c r="R727" s="16">
        <f t="shared" si="102"/>
        <v>24</v>
      </c>
      <c r="S727" s="16">
        <f t="shared" si="102"/>
        <v>0</v>
      </c>
      <c r="T727" s="16">
        <f t="shared" si="102"/>
        <v>0</v>
      </c>
      <c r="U727" s="16">
        <f t="shared" si="102"/>
        <v>0</v>
      </c>
      <c r="V727" s="16">
        <f t="shared" si="102"/>
        <v>0</v>
      </c>
      <c r="W727" s="16">
        <f t="shared" si="102"/>
        <v>1</v>
      </c>
      <c r="X727" s="16" t="str">
        <f t="shared" si="99"/>
        <v>null</v>
      </c>
    </row>
    <row r="728" spans="1:24" x14ac:dyDescent="0.15">
      <c r="A728" s="20" t="str">
        <f t="shared" si="101"/>
        <v>26_2-3/9&lt;lv52&gt;s2</v>
      </c>
      <c r="B728" s="16">
        <f t="shared" si="103"/>
        <v>26</v>
      </c>
      <c r="C728" s="16">
        <f t="shared" si="103"/>
        <v>2</v>
      </c>
      <c r="D728" s="16">
        <f t="shared" si="103"/>
        <v>3</v>
      </c>
      <c r="E728" s="16">
        <f t="shared" si="103"/>
        <v>9</v>
      </c>
      <c r="F728" s="16">
        <f t="shared" si="103"/>
        <v>52</v>
      </c>
      <c r="G728" s="16">
        <f t="shared" si="103"/>
        <v>1</v>
      </c>
      <c r="H728" s="16">
        <f t="shared" si="103"/>
        <v>1</v>
      </c>
      <c r="I728" s="16">
        <f t="shared" si="103"/>
        <v>0</v>
      </c>
      <c r="J728" s="16">
        <f t="shared" si="103"/>
        <v>0</v>
      </c>
      <c r="K728" s="16">
        <f t="shared" si="103"/>
        <v>0</v>
      </c>
      <c r="L728" s="16">
        <f t="shared" si="103"/>
        <v>100</v>
      </c>
      <c r="M728" s="16">
        <f t="shared" si="103"/>
        <v>0</v>
      </c>
      <c r="N728" s="16">
        <f t="shared" si="103"/>
        <v>2</v>
      </c>
      <c r="O728" s="16">
        <f t="shared" si="103"/>
        <v>9</v>
      </c>
      <c r="P728" s="16">
        <f t="shared" si="103"/>
        <v>9</v>
      </c>
      <c r="Q728" s="16">
        <f t="shared" si="103"/>
        <v>1</v>
      </c>
      <c r="R728" s="16">
        <f t="shared" si="102"/>
        <v>15</v>
      </c>
      <c r="S728" s="16">
        <f t="shared" si="102"/>
        <v>0</v>
      </c>
      <c r="T728" s="16">
        <f t="shared" si="102"/>
        <v>0</v>
      </c>
      <c r="U728" s="16">
        <f t="shared" si="102"/>
        <v>0</v>
      </c>
      <c r="V728" s="16">
        <f t="shared" si="102"/>
        <v>0</v>
      </c>
      <c r="W728" s="16">
        <f t="shared" si="102"/>
        <v>1</v>
      </c>
      <c r="X728" s="16" t="str">
        <f t="shared" si="99"/>
        <v>null</v>
      </c>
    </row>
    <row r="729" spans="1:24" x14ac:dyDescent="0.15">
      <c r="A729" s="20" t="str">
        <f t="shared" si="101"/>
        <v>26_2-3/11&lt;lv52&gt;s3</v>
      </c>
      <c r="B729" s="16">
        <f t="shared" si="103"/>
        <v>26</v>
      </c>
      <c r="C729" s="16">
        <f t="shared" si="103"/>
        <v>2</v>
      </c>
      <c r="D729" s="16">
        <f t="shared" si="103"/>
        <v>3</v>
      </c>
      <c r="E729" s="16">
        <f t="shared" si="103"/>
        <v>11</v>
      </c>
      <c r="F729" s="16">
        <f t="shared" si="103"/>
        <v>52</v>
      </c>
      <c r="G729" s="16">
        <f t="shared" si="103"/>
        <v>1</v>
      </c>
      <c r="H729" s="16">
        <f t="shared" si="103"/>
        <v>1</v>
      </c>
      <c r="I729" s="16">
        <f t="shared" si="103"/>
        <v>0</v>
      </c>
      <c r="J729" s="16">
        <f t="shared" si="103"/>
        <v>0</v>
      </c>
      <c r="K729" s="16">
        <f t="shared" si="103"/>
        <v>0</v>
      </c>
      <c r="L729" s="16">
        <f t="shared" si="103"/>
        <v>100</v>
      </c>
      <c r="M729" s="16">
        <f t="shared" si="103"/>
        <v>0</v>
      </c>
      <c r="N729" s="16">
        <f t="shared" si="103"/>
        <v>3</v>
      </c>
      <c r="O729" s="16">
        <f t="shared" si="103"/>
        <v>11</v>
      </c>
      <c r="P729" s="16">
        <f t="shared" si="103"/>
        <v>9</v>
      </c>
      <c r="Q729" s="16">
        <f t="shared" si="103"/>
        <v>1</v>
      </c>
      <c r="R729" s="16">
        <f t="shared" si="102"/>
        <v>15</v>
      </c>
      <c r="S729" s="16">
        <f t="shared" si="102"/>
        <v>0</v>
      </c>
      <c r="T729" s="16">
        <f t="shared" si="102"/>
        <v>0</v>
      </c>
      <c r="U729" s="16">
        <f t="shared" si="102"/>
        <v>0</v>
      </c>
      <c r="V729" s="16">
        <f t="shared" si="102"/>
        <v>0</v>
      </c>
      <c r="W729" s="16">
        <f t="shared" si="102"/>
        <v>1</v>
      </c>
      <c r="X729" s="16" t="str">
        <f t="shared" si="99"/>
        <v>null</v>
      </c>
    </row>
    <row r="730" spans="1:24" x14ac:dyDescent="0.15">
      <c r="A730" s="20" t="str">
        <f t="shared" si="101"/>
        <v>26_2-3/13&lt;lv52&gt;s2</v>
      </c>
      <c r="B730" s="16">
        <f t="shared" si="103"/>
        <v>26</v>
      </c>
      <c r="C730" s="16">
        <f t="shared" si="103"/>
        <v>2</v>
      </c>
      <c r="D730" s="16">
        <f t="shared" si="103"/>
        <v>3</v>
      </c>
      <c r="E730" s="16">
        <f t="shared" si="103"/>
        <v>13</v>
      </c>
      <c r="F730" s="16">
        <f t="shared" si="103"/>
        <v>52</v>
      </c>
      <c r="G730" s="16">
        <f t="shared" si="103"/>
        <v>1</v>
      </c>
      <c r="H730" s="16">
        <f t="shared" si="103"/>
        <v>1</v>
      </c>
      <c r="I730" s="16">
        <f t="shared" si="103"/>
        <v>0</v>
      </c>
      <c r="J730" s="16">
        <f t="shared" si="103"/>
        <v>0</v>
      </c>
      <c r="K730" s="16">
        <f t="shared" si="103"/>
        <v>0</v>
      </c>
      <c r="L730" s="16">
        <f t="shared" si="103"/>
        <v>100</v>
      </c>
      <c r="M730" s="16">
        <f t="shared" si="103"/>
        <v>0</v>
      </c>
      <c r="N730" s="16">
        <f t="shared" si="103"/>
        <v>2</v>
      </c>
      <c r="O730" s="16">
        <f t="shared" si="103"/>
        <v>13</v>
      </c>
      <c r="P730" s="16">
        <f t="shared" si="103"/>
        <v>9</v>
      </c>
      <c r="Q730" s="16">
        <f t="shared" si="103"/>
        <v>1</v>
      </c>
      <c r="R730" s="16">
        <f t="shared" si="102"/>
        <v>15</v>
      </c>
      <c r="S730" s="16">
        <f t="shared" si="102"/>
        <v>0</v>
      </c>
      <c r="T730" s="16">
        <f t="shared" si="102"/>
        <v>0</v>
      </c>
      <c r="U730" s="16">
        <f t="shared" si="102"/>
        <v>0</v>
      </c>
      <c r="V730" s="16">
        <f t="shared" si="102"/>
        <v>0</v>
      </c>
      <c r="W730" s="16">
        <f t="shared" si="102"/>
        <v>1</v>
      </c>
      <c r="X730" s="16" t="str">
        <f t="shared" si="99"/>
        <v>null</v>
      </c>
    </row>
    <row r="731" spans="1:24" x14ac:dyDescent="0.15">
      <c r="A731" s="20" t="str">
        <f t="shared" si="101"/>
        <v>26_2-3/23&lt;lv52&gt;s4</v>
      </c>
      <c r="B731" s="16">
        <f t="shared" si="103"/>
        <v>26</v>
      </c>
      <c r="C731" s="16">
        <f t="shared" si="103"/>
        <v>2</v>
      </c>
      <c r="D731" s="16">
        <f t="shared" si="103"/>
        <v>3</v>
      </c>
      <c r="E731" s="16">
        <f t="shared" si="103"/>
        <v>23</v>
      </c>
      <c r="F731" s="16">
        <f t="shared" si="103"/>
        <v>52</v>
      </c>
      <c r="G731" s="16">
        <f t="shared" si="103"/>
        <v>1</v>
      </c>
      <c r="H731" s="16">
        <f t="shared" si="103"/>
        <v>1</v>
      </c>
      <c r="I731" s="16">
        <f t="shared" si="103"/>
        <v>0</v>
      </c>
      <c r="J731" s="16">
        <f t="shared" si="103"/>
        <v>0</v>
      </c>
      <c r="K731" s="16">
        <f t="shared" si="103"/>
        <v>0</v>
      </c>
      <c r="L731" s="16">
        <f t="shared" si="103"/>
        <v>100</v>
      </c>
      <c r="M731" s="16">
        <f t="shared" si="103"/>
        <v>0</v>
      </c>
      <c r="N731" s="16">
        <f t="shared" si="103"/>
        <v>4</v>
      </c>
      <c r="O731" s="16">
        <f t="shared" si="103"/>
        <v>23</v>
      </c>
      <c r="P731" s="16">
        <f t="shared" si="103"/>
        <v>7</v>
      </c>
      <c r="Q731" s="16">
        <f t="shared" si="103"/>
        <v>1</v>
      </c>
      <c r="R731" s="16">
        <f t="shared" si="102"/>
        <v>15</v>
      </c>
      <c r="S731" s="16">
        <f t="shared" si="102"/>
        <v>0</v>
      </c>
      <c r="T731" s="16">
        <f t="shared" si="102"/>
        <v>0</v>
      </c>
      <c r="U731" s="16">
        <f t="shared" si="102"/>
        <v>0</v>
      </c>
      <c r="V731" s="16">
        <f t="shared" si="102"/>
        <v>0</v>
      </c>
      <c r="W731" s="16">
        <f t="shared" si="102"/>
        <v>1</v>
      </c>
      <c r="X731" s="16" t="str">
        <f t="shared" si="99"/>
        <v>null</v>
      </c>
    </row>
    <row r="732" spans="1:24" x14ac:dyDescent="0.15">
      <c r="A732" s="20" t="str">
        <f t="shared" si="101"/>
        <v>26_2-3/25&lt;lv52&gt;s3</v>
      </c>
      <c r="B732" s="16">
        <f t="shared" si="103"/>
        <v>26</v>
      </c>
      <c r="C732" s="16">
        <f t="shared" si="103"/>
        <v>2</v>
      </c>
      <c r="D732" s="16">
        <f t="shared" si="103"/>
        <v>3</v>
      </c>
      <c r="E732" s="16">
        <f t="shared" si="103"/>
        <v>25</v>
      </c>
      <c r="F732" s="16">
        <f t="shared" si="103"/>
        <v>52</v>
      </c>
      <c r="G732" s="16">
        <f t="shared" si="103"/>
        <v>1</v>
      </c>
      <c r="H732" s="16">
        <f t="shared" si="103"/>
        <v>1</v>
      </c>
      <c r="I732" s="16">
        <f t="shared" si="103"/>
        <v>0</v>
      </c>
      <c r="J732" s="16">
        <f t="shared" si="103"/>
        <v>0</v>
      </c>
      <c r="K732" s="16">
        <f t="shared" si="103"/>
        <v>0</v>
      </c>
      <c r="L732" s="16">
        <f t="shared" si="103"/>
        <v>100</v>
      </c>
      <c r="M732" s="16">
        <f t="shared" si="103"/>
        <v>0</v>
      </c>
      <c r="N732" s="16">
        <f t="shared" si="103"/>
        <v>3</v>
      </c>
      <c r="O732" s="16">
        <f t="shared" si="103"/>
        <v>25</v>
      </c>
      <c r="P732" s="16">
        <f t="shared" si="103"/>
        <v>7</v>
      </c>
      <c r="Q732" s="16">
        <f t="shared" si="103"/>
        <v>1</v>
      </c>
      <c r="R732" s="16">
        <f t="shared" si="102"/>
        <v>15</v>
      </c>
      <c r="S732" s="16">
        <f t="shared" si="102"/>
        <v>0</v>
      </c>
      <c r="T732" s="16">
        <f t="shared" si="102"/>
        <v>0</v>
      </c>
      <c r="U732" s="16">
        <f t="shared" si="102"/>
        <v>0</v>
      </c>
      <c r="V732" s="16">
        <f t="shared" si="102"/>
        <v>0</v>
      </c>
      <c r="W732" s="16">
        <f t="shared" si="102"/>
        <v>1</v>
      </c>
      <c r="X732" s="16" t="str">
        <f t="shared" si="99"/>
        <v>null</v>
      </c>
    </row>
    <row r="733" spans="1:24" x14ac:dyDescent="0.15">
      <c r="A733" s="20" t="str">
        <f t="shared" si="101"/>
        <v>26_2-3/33&lt;lv52&gt;s2</v>
      </c>
      <c r="B733" s="16">
        <f t="shared" si="103"/>
        <v>26</v>
      </c>
      <c r="C733" s="16">
        <f t="shared" si="103"/>
        <v>2</v>
      </c>
      <c r="D733" s="16">
        <f t="shared" si="103"/>
        <v>3</v>
      </c>
      <c r="E733" s="16">
        <f t="shared" si="103"/>
        <v>33</v>
      </c>
      <c r="F733" s="16">
        <f t="shared" si="103"/>
        <v>52</v>
      </c>
      <c r="G733" s="16">
        <f t="shared" si="103"/>
        <v>1</v>
      </c>
      <c r="H733" s="16">
        <f t="shared" si="103"/>
        <v>1</v>
      </c>
      <c r="I733" s="16">
        <f t="shared" si="103"/>
        <v>0</v>
      </c>
      <c r="J733" s="16">
        <f t="shared" si="103"/>
        <v>33</v>
      </c>
      <c r="K733" s="16">
        <f t="shared" si="103"/>
        <v>0</v>
      </c>
      <c r="L733" s="16">
        <f t="shared" si="103"/>
        <v>100</v>
      </c>
      <c r="M733" s="16">
        <f t="shared" si="103"/>
        <v>0</v>
      </c>
      <c r="N733" s="16">
        <f t="shared" si="103"/>
        <v>2</v>
      </c>
      <c r="O733" s="16">
        <f t="shared" si="103"/>
        <v>33</v>
      </c>
      <c r="P733" s="16">
        <f t="shared" si="103"/>
        <v>5</v>
      </c>
      <c r="Q733" s="16">
        <f t="shared" si="103"/>
        <v>2</v>
      </c>
      <c r="R733" s="16">
        <f t="shared" si="102"/>
        <v>20</v>
      </c>
      <c r="S733" s="16">
        <f t="shared" si="102"/>
        <v>0</v>
      </c>
      <c r="T733" s="16">
        <f t="shared" si="102"/>
        <v>0</v>
      </c>
      <c r="U733" s="16">
        <f t="shared" si="102"/>
        <v>0</v>
      </c>
      <c r="V733" s="16">
        <f t="shared" si="102"/>
        <v>0</v>
      </c>
      <c r="W733" s="16">
        <f t="shared" si="102"/>
        <v>1</v>
      </c>
      <c r="X733" s="16" t="str">
        <f t="shared" si="99"/>
        <v>null</v>
      </c>
    </row>
    <row r="734" spans="1:24" x14ac:dyDescent="0.15">
      <c r="A734" s="20" t="str">
        <f t="shared" si="101"/>
        <v>26_2-3/37&lt;lv52&gt;s3</v>
      </c>
      <c r="B734" s="16">
        <f t="shared" si="103"/>
        <v>26</v>
      </c>
      <c r="C734" s="16">
        <f t="shared" si="103"/>
        <v>2</v>
      </c>
      <c r="D734" s="16">
        <f t="shared" si="103"/>
        <v>3</v>
      </c>
      <c r="E734" s="16">
        <f t="shared" si="103"/>
        <v>37</v>
      </c>
      <c r="F734" s="16">
        <f t="shared" si="103"/>
        <v>52</v>
      </c>
      <c r="G734" s="16">
        <f t="shared" si="103"/>
        <v>1</v>
      </c>
      <c r="H734" s="16">
        <f t="shared" si="103"/>
        <v>1</v>
      </c>
      <c r="I734" s="16">
        <f t="shared" si="103"/>
        <v>0</v>
      </c>
      <c r="J734" s="16">
        <f t="shared" si="103"/>
        <v>37</v>
      </c>
      <c r="K734" s="16">
        <f t="shared" si="103"/>
        <v>0</v>
      </c>
      <c r="L734" s="16">
        <f t="shared" si="103"/>
        <v>100</v>
      </c>
      <c r="M734" s="16">
        <f t="shared" si="103"/>
        <v>0</v>
      </c>
      <c r="N734" s="16">
        <f t="shared" si="103"/>
        <v>3</v>
      </c>
      <c r="O734" s="16">
        <f t="shared" si="103"/>
        <v>37</v>
      </c>
      <c r="P734" s="16">
        <f t="shared" si="103"/>
        <v>5</v>
      </c>
      <c r="Q734" s="16">
        <f t="shared" ref="Q734:W749" si="104">VLOOKUP($A734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734" s="16">
        <f t="shared" si="104"/>
        <v>20</v>
      </c>
      <c r="S734" s="16">
        <f t="shared" si="104"/>
        <v>0</v>
      </c>
      <c r="T734" s="16">
        <f t="shared" si="104"/>
        <v>0</v>
      </c>
      <c r="U734" s="16">
        <f t="shared" si="104"/>
        <v>0</v>
      </c>
      <c r="V734" s="16">
        <f t="shared" si="104"/>
        <v>0</v>
      </c>
      <c r="W734" s="16">
        <f t="shared" si="104"/>
        <v>1</v>
      </c>
      <c r="X734" s="16" t="str">
        <f t="shared" si="99"/>
        <v>null</v>
      </c>
    </row>
    <row r="735" spans="1:24" x14ac:dyDescent="0.15">
      <c r="A735" s="20" t="str">
        <f t="shared" si="101"/>
        <v>26_2-3/45&lt;lv52&gt;s3</v>
      </c>
      <c r="B735" s="16">
        <f t="shared" ref="B735:Q750" si="105">VLOOKUP($A735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735" s="16">
        <f t="shared" si="105"/>
        <v>2</v>
      </c>
      <c r="D735" s="16">
        <f t="shared" si="105"/>
        <v>3</v>
      </c>
      <c r="E735" s="16">
        <f t="shared" si="105"/>
        <v>45</v>
      </c>
      <c r="F735" s="16">
        <f t="shared" si="105"/>
        <v>52</v>
      </c>
      <c r="G735" s="16">
        <f t="shared" si="105"/>
        <v>1</v>
      </c>
      <c r="H735" s="16">
        <f t="shared" si="105"/>
        <v>1</v>
      </c>
      <c r="I735" s="16">
        <f t="shared" si="105"/>
        <v>0</v>
      </c>
      <c r="J735" s="16">
        <f t="shared" si="105"/>
        <v>0</v>
      </c>
      <c r="K735" s="16">
        <f t="shared" si="105"/>
        <v>0</v>
      </c>
      <c r="L735" s="16">
        <f t="shared" si="105"/>
        <v>100</v>
      </c>
      <c r="M735" s="16">
        <f t="shared" si="105"/>
        <v>0</v>
      </c>
      <c r="N735" s="16">
        <f t="shared" si="105"/>
        <v>3</v>
      </c>
      <c r="O735" s="16">
        <f t="shared" si="105"/>
        <v>45</v>
      </c>
      <c r="P735" s="16">
        <f t="shared" si="105"/>
        <v>7</v>
      </c>
      <c r="Q735" s="16">
        <f t="shared" si="105"/>
        <v>2</v>
      </c>
      <c r="R735" s="16">
        <f t="shared" si="104"/>
        <v>20</v>
      </c>
      <c r="S735" s="16">
        <f t="shared" si="104"/>
        <v>0</v>
      </c>
      <c r="T735" s="16">
        <f t="shared" si="104"/>
        <v>0</v>
      </c>
      <c r="U735" s="16">
        <f t="shared" si="104"/>
        <v>0</v>
      </c>
      <c r="V735" s="16">
        <f t="shared" si="104"/>
        <v>0</v>
      </c>
      <c r="W735" s="16">
        <f t="shared" si="104"/>
        <v>1</v>
      </c>
      <c r="X735" s="16" t="str">
        <f t="shared" si="99"/>
        <v>null</v>
      </c>
    </row>
    <row r="736" spans="1:24" x14ac:dyDescent="0.15">
      <c r="A736" s="20" t="str">
        <f t="shared" si="101"/>
        <v>26_2-3/47&lt;lv52&gt;s1</v>
      </c>
      <c r="B736" s="16">
        <f t="shared" si="105"/>
        <v>26</v>
      </c>
      <c r="C736" s="16">
        <f t="shared" si="105"/>
        <v>2</v>
      </c>
      <c r="D736" s="16">
        <f t="shared" si="105"/>
        <v>3</v>
      </c>
      <c r="E736" s="16">
        <f t="shared" si="105"/>
        <v>47</v>
      </c>
      <c r="F736" s="16">
        <f t="shared" si="105"/>
        <v>52</v>
      </c>
      <c r="G736" s="16">
        <f t="shared" si="105"/>
        <v>1</v>
      </c>
      <c r="H736" s="16">
        <f t="shared" si="105"/>
        <v>1</v>
      </c>
      <c r="I736" s="16">
        <f t="shared" si="105"/>
        <v>0</v>
      </c>
      <c r="J736" s="16">
        <f t="shared" si="105"/>
        <v>0</v>
      </c>
      <c r="K736" s="16">
        <f t="shared" si="105"/>
        <v>0</v>
      </c>
      <c r="L736" s="16">
        <f t="shared" si="105"/>
        <v>100</v>
      </c>
      <c r="M736" s="16">
        <f t="shared" si="105"/>
        <v>0</v>
      </c>
      <c r="N736" s="16">
        <f t="shared" si="105"/>
        <v>1</v>
      </c>
      <c r="O736" s="16">
        <f t="shared" si="105"/>
        <v>47</v>
      </c>
      <c r="P736" s="16">
        <f t="shared" si="105"/>
        <v>7</v>
      </c>
      <c r="Q736" s="16">
        <f t="shared" si="105"/>
        <v>2</v>
      </c>
      <c r="R736" s="16">
        <f t="shared" si="104"/>
        <v>20</v>
      </c>
      <c r="S736" s="16">
        <f t="shared" si="104"/>
        <v>0</v>
      </c>
      <c r="T736" s="16">
        <f t="shared" si="104"/>
        <v>0</v>
      </c>
      <c r="U736" s="16">
        <f t="shared" si="104"/>
        <v>0</v>
      </c>
      <c r="V736" s="16">
        <f t="shared" si="104"/>
        <v>0</v>
      </c>
      <c r="W736" s="16">
        <f t="shared" si="104"/>
        <v>1</v>
      </c>
      <c r="X736" s="16" t="str">
        <f t="shared" si="99"/>
        <v>null</v>
      </c>
    </row>
    <row r="737" spans="1:24" x14ac:dyDescent="0.15">
      <c r="A737" s="20" t="str">
        <f t="shared" si="101"/>
        <v>26_2-3/57&lt;lv52&gt;s2</v>
      </c>
      <c r="B737" s="16">
        <f t="shared" si="105"/>
        <v>26</v>
      </c>
      <c r="C737" s="16">
        <f t="shared" si="105"/>
        <v>2</v>
      </c>
      <c r="D737" s="16">
        <f t="shared" si="105"/>
        <v>3</v>
      </c>
      <c r="E737" s="16">
        <f t="shared" si="105"/>
        <v>57</v>
      </c>
      <c r="F737" s="16">
        <f t="shared" si="105"/>
        <v>52</v>
      </c>
      <c r="G737" s="16">
        <f t="shared" si="105"/>
        <v>1</v>
      </c>
      <c r="H737" s="16">
        <f t="shared" si="105"/>
        <v>1</v>
      </c>
      <c r="I737" s="16">
        <f t="shared" si="105"/>
        <v>0</v>
      </c>
      <c r="J737" s="16">
        <f t="shared" si="105"/>
        <v>57</v>
      </c>
      <c r="K737" s="16">
        <f t="shared" si="105"/>
        <v>0</v>
      </c>
      <c r="L737" s="16">
        <f t="shared" si="105"/>
        <v>100</v>
      </c>
      <c r="M737" s="16">
        <f t="shared" si="105"/>
        <v>0</v>
      </c>
      <c r="N737" s="16">
        <f t="shared" si="105"/>
        <v>2</v>
      </c>
      <c r="O737" s="16">
        <f t="shared" si="105"/>
        <v>57</v>
      </c>
      <c r="P737" s="16">
        <f t="shared" si="105"/>
        <v>7</v>
      </c>
      <c r="Q737" s="16">
        <f t="shared" si="105"/>
        <v>2</v>
      </c>
      <c r="R737" s="16">
        <f t="shared" si="104"/>
        <v>20</v>
      </c>
      <c r="S737" s="16">
        <f t="shared" si="104"/>
        <v>0</v>
      </c>
      <c r="T737" s="16">
        <f t="shared" si="104"/>
        <v>0</v>
      </c>
      <c r="U737" s="16">
        <f t="shared" si="104"/>
        <v>0</v>
      </c>
      <c r="V737" s="16">
        <f t="shared" si="104"/>
        <v>0</v>
      </c>
      <c r="W737" s="16">
        <f t="shared" si="104"/>
        <v>1</v>
      </c>
      <c r="X737" s="16" t="str">
        <f t="shared" si="99"/>
        <v>null</v>
      </c>
    </row>
    <row r="738" spans="1:24" x14ac:dyDescent="0.15">
      <c r="A738" s="20" t="str">
        <f t="shared" si="101"/>
        <v>26_2-3/59&lt;lv52&gt;s2</v>
      </c>
      <c r="B738" s="16">
        <f t="shared" si="105"/>
        <v>26</v>
      </c>
      <c r="C738" s="16">
        <f t="shared" si="105"/>
        <v>2</v>
      </c>
      <c r="D738" s="16">
        <f t="shared" si="105"/>
        <v>3</v>
      </c>
      <c r="E738" s="16">
        <f t="shared" si="105"/>
        <v>59</v>
      </c>
      <c r="F738" s="16">
        <f t="shared" si="105"/>
        <v>52</v>
      </c>
      <c r="G738" s="16">
        <f t="shared" si="105"/>
        <v>1</v>
      </c>
      <c r="H738" s="16">
        <f t="shared" si="105"/>
        <v>1</v>
      </c>
      <c r="I738" s="16">
        <f t="shared" si="105"/>
        <v>0</v>
      </c>
      <c r="J738" s="16">
        <f t="shared" si="105"/>
        <v>59</v>
      </c>
      <c r="K738" s="16">
        <f t="shared" si="105"/>
        <v>0</v>
      </c>
      <c r="L738" s="16">
        <f t="shared" si="105"/>
        <v>100</v>
      </c>
      <c r="M738" s="16">
        <f t="shared" si="105"/>
        <v>0</v>
      </c>
      <c r="N738" s="16">
        <f t="shared" si="105"/>
        <v>2</v>
      </c>
      <c r="O738" s="16">
        <f t="shared" si="105"/>
        <v>59</v>
      </c>
      <c r="P738" s="16">
        <f t="shared" si="105"/>
        <v>7</v>
      </c>
      <c r="Q738" s="16">
        <f t="shared" si="105"/>
        <v>2</v>
      </c>
      <c r="R738" s="16">
        <f t="shared" si="104"/>
        <v>20</v>
      </c>
      <c r="S738" s="16">
        <f t="shared" si="104"/>
        <v>0</v>
      </c>
      <c r="T738" s="16">
        <f t="shared" si="104"/>
        <v>0</v>
      </c>
      <c r="U738" s="16">
        <f t="shared" si="104"/>
        <v>0</v>
      </c>
      <c r="V738" s="16">
        <f t="shared" si="104"/>
        <v>0</v>
      </c>
      <c r="W738" s="16">
        <f t="shared" si="104"/>
        <v>1</v>
      </c>
      <c r="X738" s="16" t="str">
        <f t="shared" si="99"/>
        <v>null</v>
      </c>
    </row>
    <row r="739" spans="1:24" x14ac:dyDescent="0.15">
      <c r="A739" s="20" t="str">
        <f t="shared" si="101"/>
        <v>26_2-3/61&lt;lv52&gt;s2</v>
      </c>
      <c r="B739" s="16">
        <f t="shared" si="105"/>
        <v>26</v>
      </c>
      <c r="C739" s="16">
        <f t="shared" si="105"/>
        <v>2</v>
      </c>
      <c r="D739" s="16">
        <f t="shared" si="105"/>
        <v>3</v>
      </c>
      <c r="E739" s="16">
        <f t="shared" si="105"/>
        <v>61</v>
      </c>
      <c r="F739" s="16">
        <f t="shared" si="105"/>
        <v>52</v>
      </c>
      <c r="G739" s="16">
        <f t="shared" si="105"/>
        <v>1</v>
      </c>
      <c r="H739" s="16">
        <f t="shared" si="105"/>
        <v>1</v>
      </c>
      <c r="I739" s="16">
        <f t="shared" si="105"/>
        <v>0</v>
      </c>
      <c r="J739" s="16">
        <f t="shared" si="105"/>
        <v>61</v>
      </c>
      <c r="K739" s="16">
        <f t="shared" si="105"/>
        <v>0</v>
      </c>
      <c r="L739" s="16">
        <f t="shared" si="105"/>
        <v>100</v>
      </c>
      <c r="M739" s="16">
        <f t="shared" si="105"/>
        <v>0</v>
      </c>
      <c r="N739" s="16">
        <f t="shared" si="105"/>
        <v>2</v>
      </c>
      <c r="O739" s="16">
        <f t="shared" si="105"/>
        <v>61</v>
      </c>
      <c r="P739" s="16">
        <f t="shared" si="105"/>
        <v>7</v>
      </c>
      <c r="Q739" s="16">
        <f t="shared" si="105"/>
        <v>2</v>
      </c>
      <c r="R739" s="16">
        <f t="shared" si="104"/>
        <v>20</v>
      </c>
      <c r="S739" s="16">
        <f t="shared" si="104"/>
        <v>0</v>
      </c>
      <c r="T739" s="16">
        <f t="shared" si="104"/>
        <v>0</v>
      </c>
      <c r="U739" s="16">
        <f t="shared" si="104"/>
        <v>0</v>
      </c>
      <c r="V739" s="16">
        <f t="shared" si="104"/>
        <v>0</v>
      </c>
      <c r="W739" s="16">
        <f t="shared" si="104"/>
        <v>1</v>
      </c>
      <c r="X739" s="16" t="str">
        <f t="shared" si="99"/>
        <v>null</v>
      </c>
    </row>
    <row r="740" spans="1:24" x14ac:dyDescent="0.15">
      <c r="A740" s="20" t="str">
        <f t="shared" si="101"/>
        <v>26_2-3/63&lt;lv52&gt;s2</v>
      </c>
      <c r="B740" s="16">
        <f t="shared" si="105"/>
        <v>26</v>
      </c>
      <c r="C740" s="16">
        <f t="shared" si="105"/>
        <v>2</v>
      </c>
      <c r="D740" s="16">
        <f t="shared" si="105"/>
        <v>3</v>
      </c>
      <c r="E740" s="16">
        <f t="shared" si="105"/>
        <v>63</v>
      </c>
      <c r="F740" s="16">
        <f t="shared" si="105"/>
        <v>52</v>
      </c>
      <c r="G740" s="16">
        <f t="shared" si="105"/>
        <v>1</v>
      </c>
      <c r="H740" s="16">
        <f t="shared" si="105"/>
        <v>1</v>
      </c>
      <c r="I740" s="16">
        <f t="shared" si="105"/>
        <v>0</v>
      </c>
      <c r="J740" s="16">
        <f t="shared" si="105"/>
        <v>63</v>
      </c>
      <c r="K740" s="16">
        <f t="shared" si="105"/>
        <v>0</v>
      </c>
      <c r="L740" s="16">
        <f t="shared" si="105"/>
        <v>100</v>
      </c>
      <c r="M740" s="16">
        <f t="shared" si="105"/>
        <v>0</v>
      </c>
      <c r="N740" s="16">
        <f t="shared" si="105"/>
        <v>2</v>
      </c>
      <c r="O740" s="16">
        <f t="shared" si="105"/>
        <v>63</v>
      </c>
      <c r="P740" s="16">
        <f t="shared" si="105"/>
        <v>7</v>
      </c>
      <c r="Q740" s="16">
        <f t="shared" si="105"/>
        <v>2</v>
      </c>
      <c r="R740" s="16">
        <f t="shared" si="104"/>
        <v>20</v>
      </c>
      <c r="S740" s="16">
        <f t="shared" si="104"/>
        <v>0</v>
      </c>
      <c r="T740" s="16">
        <f t="shared" si="104"/>
        <v>0</v>
      </c>
      <c r="U740" s="16">
        <f t="shared" si="104"/>
        <v>0</v>
      </c>
      <c r="V740" s="16">
        <f t="shared" si="104"/>
        <v>0</v>
      </c>
      <c r="W740" s="16">
        <f t="shared" si="104"/>
        <v>1</v>
      </c>
      <c r="X740" s="16" t="str">
        <f t="shared" si="99"/>
        <v>null</v>
      </c>
    </row>
    <row r="741" spans="1:24" x14ac:dyDescent="0.15">
      <c r="A741" s="20" t="str">
        <f t="shared" si="101"/>
        <v>26_2-3/360&lt;lv52&gt;s3</v>
      </c>
      <c r="B741" s="16">
        <f t="shared" si="105"/>
        <v>26</v>
      </c>
      <c r="C741" s="16">
        <f t="shared" si="105"/>
        <v>2</v>
      </c>
      <c r="D741" s="16">
        <f t="shared" si="105"/>
        <v>3</v>
      </c>
      <c r="E741" s="16">
        <f t="shared" si="105"/>
        <v>360</v>
      </c>
      <c r="F741" s="16">
        <f t="shared" si="105"/>
        <v>52</v>
      </c>
      <c r="G741" s="16">
        <f t="shared" si="105"/>
        <v>1</v>
      </c>
      <c r="H741" s="16">
        <f t="shared" si="105"/>
        <v>1</v>
      </c>
      <c r="I741" s="16">
        <f t="shared" si="105"/>
        <v>0</v>
      </c>
      <c r="J741" s="16">
        <f t="shared" si="105"/>
        <v>360</v>
      </c>
      <c r="K741" s="16">
        <f t="shared" si="105"/>
        <v>0</v>
      </c>
      <c r="L741" s="16">
        <f t="shared" si="105"/>
        <v>100</v>
      </c>
      <c r="M741" s="16">
        <f t="shared" si="105"/>
        <v>0</v>
      </c>
      <c r="N741" s="16">
        <f t="shared" si="105"/>
        <v>3</v>
      </c>
      <c r="O741" s="16">
        <f t="shared" si="105"/>
        <v>360</v>
      </c>
      <c r="P741" s="16">
        <f t="shared" si="105"/>
        <v>7</v>
      </c>
      <c r="Q741" s="16">
        <f t="shared" si="105"/>
        <v>2</v>
      </c>
      <c r="R741" s="16">
        <f t="shared" si="104"/>
        <v>20</v>
      </c>
      <c r="S741" s="16">
        <f t="shared" si="104"/>
        <v>0</v>
      </c>
      <c r="T741" s="16">
        <f t="shared" si="104"/>
        <v>0</v>
      </c>
      <c r="U741" s="16">
        <f t="shared" si="104"/>
        <v>0</v>
      </c>
      <c r="V741" s="16">
        <f t="shared" si="104"/>
        <v>0</v>
      </c>
      <c r="W741" s="16">
        <f t="shared" si="104"/>
        <v>1</v>
      </c>
      <c r="X741" s="16" t="str">
        <f t="shared" si="99"/>
        <v>null</v>
      </c>
    </row>
    <row r="742" spans="1:24" x14ac:dyDescent="0.15">
      <c r="A742" s="20" t="str">
        <f t="shared" si="101"/>
        <v>26_2-3/362&lt;lv52&gt;s3</v>
      </c>
      <c r="B742" s="16">
        <f t="shared" si="105"/>
        <v>26</v>
      </c>
      <c r="C742" s="16">
        <f t="shared" si="105"/>
        <v>2</v>
      </c>
      <c r="D742" s="16">
        <f t="shared" si="105"/>
        <v>3</v>
      </c>
      <c r="E742" s="16">
        <f t="shared" si="105"/>
        <v>362</v>
      </c>
      <c r="F742" s="16">
        <f t="shared" si="105"/>
        <v>52</v>
      </c>
      <c r="G742" s="16">
        <f t="shared" si="105"/>
        <v>1</v>
      </c>
      <c r="H742" s="16">
        <f t="shared" si="105"/>
        <v>1</v>
      </c>
      <c r="I742" s="16">
        <f t="shared" si="105"/>
        <v>0</v>
      </c>
      <c r="J742" s="16">
        <f t="shared" si="105"/>
        <v>362</v>
      </c>
      <c r="K742" s="16">
        <f t="shared" si="105"/>
        <v>0</v>
      </c>
      <c r="L742" s="16">
        <f t="shared" si="105"/>
        <v>100</v>
      </c>
      <c r="M742" s="16">
        <f t="shared" si="105"/>
        <v>0</v>
      </c>
      <c r="N742" s="16">
        <f t="shared" si="105"/>
        <v>3</v>
      </c>
      <c r="O742" s="16">
        <f t="shared" si="105"/>
        <v>362</v>
      </c>
      <c r="P742" s="16">
        <f t="shared" si="105"/>
        <v>7</v>
      </c>
      <c r="Q742" s="16">
        <f t="shared" si="105"/>
        <v>2</v>
      </c>
      <c r="R742" s="16">
        <f t="shared" si="104"/>
        <v>20</v>
      </c>
      <c r="S742" s="16">
        <f t="shared" si="104"/>
        <v>0</v>
      </c>
      <c r="T742" s="16">
        <f t="shared" si="104"/>
        <v>0</v>
      </c>
      <c r="U742" s="16">
        <f t="shared" si="104"/>
        <v>0</v>
      </c>
      <c r="V742" s="16">
        <f t="shared" si="104"/>
        <v>0</v>
      </c>
      <c r="W742" s="16">
        <f t="shared" si="104"/>
        <v>1</v>
      </c>
      <c r="X742" s="16" t="str">
        <f t="shared" si="99"/>
        <v>null</v>
      </c>
    </row>
    <row r="743" spans="1:24" x14ac:dyDescent="0.15">
      <c r="A743" s="20" t="str">
        <f t="shared" si="101"/>
        <v>26_2-3/364&lt;lv52&gt;s3</v>
      </c>
      <c r="B743" s="16">
        <f t="shared" si="105"/>
        <v>26</v>
      </c>
      <c r="C743" s="16">
        <f t="shared" si="105"/>
        <v>2</v>
      </c>
      <c r="D743" s="16">
        <f t="shared" si="105"/>
        <v>3</v>
      </c>
      <c r="E743" s="16">
        <f t="shared" si="105"/>
        <v>364</v>
      </c>
      <c r="F743" s="16">
        <f t="shared" si="105"/>
        <v>52</v>
      </c>
      <c r="G743" s="16">
        <f t="shared" si="105"/>
        <v>1</v>
      </c>
      <c r="H743" s="16">
        <f t="shared" si="105"/>
        <v>1</v>
      </c>
      <c r="I743" s="16">
        <f t="shared" si="105"/>
        <v>0</v>
      </c>
      <c r="J743" s="16">
        <f t="shared" si="105"/>
        <v>364</v>
      </c>
      <c r="K743" s="16">
        <f t="shared" si="105"/>
        <v>0</v>
      </c>
      <c r="L743" s="16">
        <f t="shared" si="105"/>
        <v>100</v>
      </c>
      <c r="M743" s="16">
        <f t="shared" si="105"/>
        <v>0</v>
      </c>
      <c r="N743" s="16">
        <f t="shared" si="105"/>
        <v>3</v>
      </c>
      <c r="O743" s="16">
        <f t="shared" si="105"/>
        <v>364</v>
      </c>
      <c r="P743" s="16">
        <f t="shared" si="105"/>
        <v>7</v>
      </c>
      <c r="Q743" s="16">
        <f t="shared" si="105"/>
        <v>2</v>
      </c>
      <c r="R743" s="16">
        <f t="shared" si="104"/>
        <v>20</v>
      </c>
      <c r="S743" s="16">
        <f t="shared" si="104"/>
        <v>0</v>
      </c>
      <c r="T743" s="16">
        <f t="shared" si="104"/>
        <v>0</v>
      </c>
      <c r="U743" s="16">
        <f t="shared" si="104"/>
        <v>0</v>
      </c>
      <c r="V743" s="16">
        <f t="shared" si="104"/>
        <v>0</v>
      </c>
      <c r="W743" s="16">
        <f t="shared" si="104"/>
        <v>1</v>
      </c>
      <c r="X743" s="16" t="str">
        <f t="shared" si="99"/>
        <v>null</v>
      </c>
    </row>
    <row r="744" spans="1:24" x14ac:dyDescent="0.15">
      <c r="A744" s="20" t="str">
        <f t="shared" si="101"/>
        <v>26_2-3/366&lt;lv52&gt;s3</v>
      </c>
      <c r="B744" s="16">
        <f t="shared" si="105"/>
        <v>26</v>
      </c>
      <c r="C744" s="16">
        <f t="shared" si="105"/>
        <v>2</v>
      </c>
      <c r="D744" s="16">
        <f t="shared" si="105"/>
        <v>3</v>
      </c>
      <c r="E744" s="16">
        <f t="shared" si="105"/>
        <v>366</v>
      </c>
      <c r="F744" s="16">
        <f t="shared" si="105"/>
        <v>52</v>
      </c>
      <c r="G744" s="16">
        <f t="shared" si="105"/>
        <v>1</v>
      </c>
      <c r="H744" s="16">
        <f t="shared" si="105"/>
        <v>1</v>
      </c>
      <c r="I744" s="16">
        <f t="shared" si="105"/>
        <v>0</v>
      </c>
      <c r="J744" s="16">
        <f t="shared" si="105"/>
        <v>366</v>
      </c>
      <c r="K744" s="16">
        <f t="shared" si="105"/>
        <v>0</v>
      </c>
      <c r="L744" s="16">
        <f t="shared" si="105"/>
        <v>100</v>
      </c>
      <c r="M744" s="16">
        <f t="shared" si="105"/>
        <v>0</v>
      </c>
      <c r="N744" s="16">
        <f t="shared" si="105"/>
        <v>3</v>
      </c>
      <c r="O744" s="16">
        <f t="shared" si="105"/>
        <v>366</v>
      </c>
      <c r="P744" s="16">
        <f t="shared" si="105"/>
        <v>7</v>
      </c>
      <c r="Q744" s="16">
        <f t="shared" si="105"/>
        <v>2</v>
      </c>
      <c r="R744" s="16">
        <f t="shared" si="104"/>
        <v>20</v>
      </c>
      <c r="S744" s="16">
        <f t="shared" si="104"/>
        <v>0</v>
      </c>
      <c r="T744" s="16">
        <f t="shared" si="104"/>
        <v>0</v>
      </c>
      <c r="U744" s="16">
        <f t="shared" si="104"/>
        <v>0</v>
      </c>
      <c r="V744" s="16">
        <f t="shared" si="104"/>
        <v>0</v>
      </c>
      <c r="W744" s="16">
        <f t="shared" si="104"/>
        <v>1</v>
      </c>
      <c r="X744" s="16" t="str">
        <f t="shared" si="99"/>
        <v>null</v>
      </c>
    </row>
    <row r="745" spans="1:24" x14ac:dyDescent="0.15">
      <c r="A745" s="20" t="str">
        <f t="shared" si="101"/>
        <v>26_2-3/348&lt;lv52&gt;s3</v>
      </c>
      <c r="B745" s="16">
        <f t="shared" si="105"/>
        <v>26</v>
      </c>
      <c r="C745" s="16">
        <f t="shared" si="105"/>
        <v>2</v>
      </c>
      <c r="D745" s="16">
        <f t="shared" si="105"/>
        <v>3</v>
      </c>
      <c r="E745" s="16">
        <f t="shared" si="105"/>
        <v>348</v>
      </c>
      <c r="F745" s="16">
        <f t="shared" si="105"/>
        <v>52</v>
      </c>
      <c r="G745" s="16">
        <f t="shared" si="105"/>
        <v>1</v>
      </c>
      <c r="H745" s="16">
        <f t="shared" si="105"/>
        <v>1</v>
      </c>
      <c r="I745" s="16">
        <f t="shared" si="105"/>
        <v>0</v>
      </c>
      <c r="J745" s="16">
        <f t="shared" si="105"/>
        <v>348</v>
      </c>
      <c r="K745" s="16">
        <f t="shared" si="105"/>
        <v>0</v>
      </c>
      <c r="L745" s="16">
        <f t="shared" si="105"/>
        <v>100</v>
      </c>
      <c r="M745" s="16">
        <f t="shared" si="105"/>
        <v>0</v>
      </c>
      <c r="N745" s="16">
        <f t="shared" si="105"/>
        <v>3</v>
      </c>
      <c r="O745" s="16">
        <f t="shared" si="105"/>
        <v>348</v>
      </c>
      <c r="P745" s="16">
        <f t="shared" si="105"/>
        <v>1</v>
      </c>
      <c r="Q745" s="16">
        <f t="shared" si="105"/>
        <v>2</v>
      </c>
      <c r="R745" s="16">
        <f t="shared" si="104"/>
        <v>24</v>
      </c>
      <c r="S745" s="16">
        <f t="shared" si="104"/>
        <v>0</v>
      </c>
      <c r="T745" s="16">
        <f t="shared" si="104"/>
        <v>0</v>
      </c>
      <c r="U745" s="16">
        <f t="shared" si="104"/>
        <v>0</v>
      </c>
      <c r="V745" s="16">
        <f t="shared" si="104"/>
        <v>0</v>
      </c>
      <c r="W745" s="16">
        <f t="shared" si="104"/>
        <v>1</v>
      </c>
      <c r="X745" s="16" t="str">
        <f t="shared" si="99"/>
        <v>null</v>
      </c>
    </row>
    <row r="746" spans="1:24" x14ac:dyDescent="0.15">
      <c r="A746" s="20" t="str">
        <f t="shared" si="101"/>
        <v>26_2-3/352&lt;lv52&gt;s3</v>
      </c>
      <c r="B746" s="16">
        <f t="shared" si="105"/>
        <v>26</v>
      </c>
      <c r="C746" s="16">
        <f t="shared" si="105"/>
        <v>2</v>
      </c>
      <c r="D746" s="16">
        <f t="shared" si="105"/>
        <v>3</v>
      </c>
      <c r="E746" s="16">
        <f t="shared" si="105"/>
        <v>352</v>
      </c>
      <c r="F746" s="16">
        <f t="shared" si="105"/>
        <v>52</v>
      </c>
      <c r="G746" s="16">
        <f t="shared" si="105"/>
        <v>1</v>
      </c>
      <c r="H746" s="16">
        <f t="shared" si="105"/>
        <v>1</v>
      </c>
      <c r="I746" s="16">
        <f t="shared" si="105"/>
        <v>0</v>
      </c>
      <c r="J746" s="16">
        <f t="shared" si="105"/>
        <v>352</v>
      </c>
      <c r="K746" s="16">
        <f t="shared" si="105"/>
        <v>0</v>
      </c>
      <c r="L746" s="16">
        <f t="shared" si="105"/>
        <v>100</v>
      </c>
      <c r="M746" s="16">
        <f t="shared" si="105"/>
        <v>0</v>
      </c>
      <c r="N746" s="16">
        <f t="shared" si="105"/>
        <v>3</v>
      </c>
      <c r="O746" s="16">
        <f t="shared" si="105"/>
        <v>352</v>
      </c>
      <c r="P746" s="16">
        <f t="shared" si="105"/>
        <v>1</v>
      </c>
      <c r="Q746" s="16">
        <f t="shared" si="105"/>
        <v>2</v>
      </c>
      <c r="R746" s="16">
        <f t="shared" si="104"/>
        <v>24</v>
      </c>
      <c r="S746" s="16">
        <f t="shared" si="104"/>
        <v>0</v>
      </c>
      <c r="T746" s="16">
        <f t="shared" si="104"/>
        <v>0</v>
      </c>
      <c r="U746" s="16">
        <f t="shared" si="104"/>
        <v>0</v>
      </c>
      <c r="V746" s="16">
        <f t="shared" si="104"/>
        <v>0</v>
      </c>
      <c r="W746" s="16">
        <f t="shared" si="104"/>
        <v>1</v>
      </c>
      <c r="X746" s="16" t="str">
        <f t="shared" si="99"/>
        <v>null</v>
      </c>
    </row>
    <row r="747" spans="1:24" x14ac:dyDescent="0.15">
      <c r="A747" s="20" t="str">
        <f t="shared" si="101"/>
        <v>26_2-4/9&lt;lv52&gt;s2</v>
      </c>
      <c r="B747" s="16">
        <f t="shared" si="105"/>
        <v>26</v>
      </c>
      <c r="C747" s="16">
        <f t="shared" si="105"/>
        <v>2</v>
      </c>
      <c r="D747" s="16">
        <f t="shared" si="105"/>
        <v>4</v>
      </c>
      <c r="E747" s="16">
        <f t="shared" si="105"/>
        <v>9</v>
      </c>
      <c r="F747" s="16">
        <f t="shared" si="105"/>
        <v>52</v>
      </c>
      <c r="G747" s="16">
        <f t="shared" si="105"/>
        <v>1</v>
      </c>
      <c r="H747" s="16">
        <f t="shared" si="105"/>
        <v>1</v>
      </c>
      <c r="I747" s="16">
        <f t="shared" si="105"/>
        <v>0</v>
      </c>
      <c r="J747" s="16">
        <f t="shared" si="105"/>
        <v>0</v>
      </c>
      <c r="K747" s="16">
        <f t="shared" si="105"/>
        <v>0</v>
      </c>
      <c r="L747" s="16">
        <f t="shared" si="105"/>
        <v>100</v>
      </c>
      <c r="M747" s="16">
        <f t="shared" si="105"/>
        <v>0</v>
      </c>
      <c r="N747" s="16">
        <f t="shared" si="105"/>
        <v>2</v>
      </c>
      <c r="O747" s="16">
        <f t="shared" si="105"/>
        <v>9</v>
      </c>
      <c r="P747" s="16">
        <f t="shared" si="105"/>
        <v>9</v>
      </c>
      <c r="Q747" s="16">
        <f t="shared" si="105"/>
        <v>1</v>
      </c>
      <c r="R747" s="16">
        <f t="shared" si="104"/>
        <v>15</v>
      </c>
      <c r="S747" s="16">
        <f t="shared" si="104"/>
        <v>0</v>
      </c>
      <c r="T747" s="16">
        <f t="shared" si="104"/>
        <v>0</v>
      </c>
      <c r="U747" s="16">
        <f t="shared" si="104"/>
        <v>0</v>
      </c>
      <c r="V747" s="16">
        <f t="shared" si="104"/>
        <v>0</v>
      </c>
      <c r="W747" s="16">
        <f t="shared" si="104"/>
        <v>1</v>
      </c>
      <c r="X747" s="16" t="str">
        <f t="shared" si="99"/>
        <v>null</v>
      </c>
    </row>
    <row r="748" spans="1:24" x14ac:dyDescent="0.15">
      <c r="A748" s="20" t="str">
        <f t="shared" si="101"/>
        <v>26_2-4/11&lt;lv52&gt;s3</v>
      </c>
      <c r="B748" s="16">
        <f t="shared" si="105"/>
        <v>26</v>
      </c>
      <c r="C748" s="16">
        <f t="shared" si="105"/>
        <v>2</v>
      </c>
      <c r="D748" s="16">
        <f t="shared" si="105"/>
        <v>4</v>
      </c>
      <c r="E748" s="16">
        <f t="shared" si="105"/>
        <v>11</v>
      </c>
      <c r="F748" s="16">
        <f t="shared" si="105"/>
        <v>52</v>
      </c>
      <c r="G748" s="16">
        <f t="shared" si="105"/>
        <v>1</v>
      </c>
      <c r="H748" s="16">
        <f t="shared" si="105"/>
        <v>1</v>
      </c>
      <c r="I748" s="16">
        <f t="shared" si="105"/>
        <v>0</v>
      </c>
      <c r="J748" s="16">
        <f t="shared" si="105"/>
        <v>0</v>
      </c>
      <c r="K748" s="16">
        <f t="shared" si="105"/>
        <v>0</v>
      </c>
      <c r="L748" s="16">
        <f t="shared" si="105"/>
        <v>100</v>
      </c>
      <c r="M748" s="16">
        <f t="shared" si="105"/>
        <v>0</v>
      </c>
      <c r="N748" s="16">
        <f t="shared" si="105"/>
        <v>3</v>
      </c>
      <c r="O748" s="16">
        <f t="shared" si="105"/>
        <v>11</v>
      </c>
      <c r="P748" s="16">
        <f t="shared" si="105"/>
        <v>9</v>
      </c>
      <c r="Q748" s="16">
        <f t="shared" si="105"/>
        <v>1</v>
      </c>
      <c r="R748" s="16">
        <f t="shared" si="104"/>
        <v>15</v>
      </c>
      <c r="S748" s="16">
        <f t="shared" si="104"/>
        <v>0</v>
      </c>
      <c r="T748" s="16">
        <f t="shared" si="104"/>
        <v>0</v>
      </c>
      <c r="U748" s="16">
        <f t="shared" si="104"/>
        <v>0</v>
      </c>
      <c r="V748" s="16">
        <f t="shared" si="104"/>
        <v>0</v>
      </c>
      <c r="W748" s="16">
        <f t="shared" si="104"/>
        <v>1</v>
      </c>
      <c r="X748" s="16" t="str">
        <f t="shared" si="99"/>
        <v>null</v>
      </c>
    </row>
    <row r="749" spans="1:24" x14ac:dyDescent="0.15">
      <c r="A749" s="20" t="str">
        <f t="shared" si="101"/>
        <v>26_2-4/13&lt;lv52&gt;s2</v>
      </c>
      <c r="B749" s="16">
        <f t="shared" si="105"/>
        <v>26</v>
      </c>
      <c r="C749" s="16">
        <f t="shared" si="105"/>
        <v>2</v>
      </c>
      <c r="D749" s="16">
        <f t="shared" si="105"/>
        <v>4</v>
      </c>
      <c r="E749" s="16">
        <f t="shared" si="105"/>
        <v>13</v>
      </c>
      <c r="F749" s="16">
        <f t="shared" si="105"/>
        <v>52</v>
      </c>
      <c r="G749" s="16">
        <f t="shared" si="105"/>
        <v>1</v>
      </c>
      <c r="H749" s="16">
        <f t="shared" si="105"/>
        <v>1</v>
      </c>
      <c r="I749" s="16">
        <f t="shared" si="105"/>
        <v>0</v>
      </c>
      <c r="J749" s="16">
        <f t="shared" si="105"/>
        <v>0</v>
      </c>
      <c r="K749" s="16">
        <f t="shared" si="105"/>
        <v>0</v>
      </c>
      <c r="L749" s="16">
        <f t="shared" si="105"/>
        <v>100</v>
      </c>
      <c r="M749" s="16">
        <f t="shared" si="105"/>
        <v>0</v>
      </c>
      <c r="N749" s="16">
        <f t="shared" si="105"/>
        <v>2</v>
      </c>
      <c r="O749" s="16">
        <f t="shared" si="105"/>
        <v>13</v>
      </c>
      <c r="P749" s="16">
        <f t="shared" si="105"/>
        <v>9</v>
      </c>
      <c r="Q749" s="16">
        <f t="shared" si="105"/>
        <v>1</v>
      </c>
      <c r="R749" s="16">
        <f t="shared" si="104"/>
        <v>15</v>
      </c>
      <c r="S749" s="16">
        <f t="shared" si="104"/>
        <v>0</v>
      </c>
      <c r="T749" s="16">
        <f t="shared" si="104"/>
        <v>0</v>
      </c>
      <c r="U749" s="16">
        <f t="shared" si="104"/>
        <v>0</v>
      </c>
      <c r="V749" s="16">
        <f t="shared" si="104"/>
        <v>0</v>
      </c>
      <c r="W749" s="16">
        <f t="shared" si="104"/>
        <v>1</v>
      </c>
      <c r="X749" s="16" t="str">
        <f t="shared" si="99"/>
        <v>null</v>
      </c>
    </row>
    <row r="750" spans="1:24" x14ac:dyDescent="0.15">
      <c r="A750" s="20" t="str">
        <f t="shared" si="101"/>
        <v>26_2-4/23&lt;lv52&gt;s4</v>
      </c>
      <c r="B750" s="16">
        <f t="shared" si="105"/>
        <v>26</v>
      </c>
      <c r="C750" s="16">
        <f t="shared" si="105"/>
        <v>2</v>
      </c>
      <c r="D750" s="16">
        <f t="shared" si="105"/>
        <v>4</v>
      </c>
      <c r="E750" s="16">
        <f t="shared" si="105"/>
        <v>23</v>
      </c>
      <c r="F750" s="16">
        <f t="shared" si="105"/>
        <v>52</v>
      </c>
      <c r="G750" s="16">
        <f t="shared" si="105"/>
        <v>1</v>
      </c>
      <c r="H750" s="16">
        <f t="shared" si="105"/>
        <v>1</v>
      </c>
      <c r="I750" s="16">
        <f t="shared" si="105"/>
        <v>0</v>
      </c>
      <c r="J750" s="16">
        <f t="shared" si="105"/>
        <v>0</v>
      </c>
      <c r="K750" s="16">
        <f t="shared" si="105"/>
        <v>0</v>
      </c>
      <c r="L750" s="16">
        <f t="shared" si="105"/>
        <v>100</v>
      </c>
      <c r="M750" s="16">
        <f t="shared" si="105"/>
        <v>0</v>
      </c>
      <c r="N750" s="16">
        <f t="shared" si="105"/>
        <v>4</v>
      </c>
      <c r="O750" s="16">
        <f t="shared" si="105"/>
        <v>23</v>
      </c>
      <c r="P750" s="16">
        <f t="shared" si="105"/>
        <v>7</v>
      </c>
      <c r="Q750" s="16">
        <f t="shared" ref="Q750:W765" si="106">VLOOKUP($A750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750" s="16">
        <f t="shared" si="106"/>
        <v>15</v>
      </c>
      <c r="S750" s="16">
        <f t="shared" si="106"/>
        <v>0</v>
      </c>
      <c r="T750" s="16">
        <f t="shared" si="106"/>
        <v>0</v>
      </c>
      <c r="U750" s="16">
        <f t="shared" si="106"/>
        <v>0</v>
      </c>
      <c r="V750" s="16">
        <f t="shared" si="106"/>
        <v>0</v>
      </c>
      <c r="W750" s="16">
        <f t="shared" si="106"/>
        <v>1</v>
      </c>
      <c r="X750" s="16" t="str">
        <f t="shared" si="99"/>
        <v>null</v>
      </c>
    </row>
    <row r="751" spans="1:24" x14ac:dyDescent="0.15">
      <c r="A751" s="20" t="str">
        <f t="shared" si="101"/>
        <v>26_2-4/25&lt;lv52&gt;s3</v>
      </c>
      <c r="B751" s="16">
        <f t="shared" ref="B751:Q766" si="107">VLOOKUP($A751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751" s="16">
        <f t="shared" si="107"/>
        <v>2</v>
      </c>
      <c r="D751" s="16">
        <f t="shared" si="107"/>
        <v>4</v>
      </c>
      <c r="E751" s="16">
        <f t="shared" si="107"/>
        <v>25</v>
      </c>
      <c r="F751" s="16">
        <f t="shared" si="107"/>
        <v>52</v>
      </c>
      <c r="G751" s="16">
        <f t="shared" si="107"/>
        <v>1</v>
      </c>
      <c r="H751" s="16">
        <f t="shared" si="107"/>
        <v>1</v>
      </c>
      <c r="I751" s="16">
        <f t="shared" si="107"/>
        <v>0</v>
      </c>
      <c r="J751" s="16">
        <f t="shared" si="107"/>
        <v>0</v>
      </c>
      <c r="K751" s="16">
        <f t="shared" si="107"/>
        <v>0</v>
      </c>
      <c r="L751" s="16">
        <f t="shared" si="107"/>
        <v>100</v>
      </c>
      <c r="M751" s="16">
        <f t="shared" si="107"/>
        <v>0</v>
      </c>
      <c r="N751" s="16">
        <f t="shared" si="107"/>
        <v>3</v>
      </c>
      <c r="O751" s="16">
        <f t="shared" si="107"/>
        <v>25</v>
      </c>
      <c r="P751" s="16">
        <f t="shared" si="107"/>
        <v>7</v>
      </c>
      <c r="Q751" s="16">
        <f t="shared" si="107"/>
        <v>1</v>
      </c>
      <c r="R751" s="16">
        <f t="shared" si="106"/>
        <v>15</v>
      </c>
      <c r="S751" s="16">
        <f t="shared" si="106"/>
        <v>0</v>
      </c>
      <c r="T751" s="16">
        <f t="shared" si="106"/>
        <v>0</v>
      </c>
      <c r="U751" s="16">
        <f t="shared" si="106"/>
        <v>0</v>
      </c>
      <c r="V751" s="16">
        <f t="shared" si="106"/>
        <v>0</v>
      </c>
      <c r="W751" s="16">
        <f t="shared" si="106"/>
        <v>1</v>
      </c>
      <c r="X751" s="16" t="str">
        <f t="shared" si="99"/>
        <v>null</v>
      </c>
    </row>
    <row r="752" spans="1:24" x14ac:dyDescent="0.15">
      <c r="A752" s="20" t="str">
        <f t="shared" si="101"/>
        <v>26_2-4/33&lt;lv52&gt;s2</v>
      </c>
      <c r="B752" s="16">
        <f t="shared" si="107"/>
        <v>26</v>
      </c>
      <c r="C752" s="16">
        <f t="shared" si="107"/>
        <v>2</v>
      </c>
      <c r="D752" s="16">
        <f t="shared" si="107"/>
        <v>4</v>
      </c>
      <c r="E752" s="16">
        <f t="shared" si="107"/>
        <v>33</v>
      </c>
      <c r="F752" s="16">
        <f t="shared" si="107"/>
        <v>52</v>
      </c>
      <c r="G752" s="16">
        <f t="shared" si="107"/>
        <v>1</v>
      </c>
      <c r="H752" s="16">
        <f t="shared" si="107"/>
        <v>1</v>
      </c>
      <c r="I752" s="16">
        <f t="shared" si="107"/>
        <v>0</v>
      </c>
      <c r="J752" s="16">
        <f t="shared" si="107"/>
        <v>33</v>
      </c>
      <c r="K752" s="16">
        <f t="shared" si="107"/>
        <v>0</v>
      </c>
      <c r="L752" s="16">
        <f t="shared" si="107"/>
        <v>100</v>
      </c>
      <c r="M752" s="16">
        <f t="shared" si="107"/>
        <v>0</v>
      </c>
      <c r="N752" s="16">
        <f t="shared" si="107"/>
        <v>2</v>
      </c>
      <c r="O752" s="16">
        <f t="shared" si="107"/>
        <v>33</v>
      </c>
      <c r="P752" s="16">
        <f t="shared" si="107"/>
        <v>5</v>
      </c>
      <c r="Q752" s="16">
        <f t="shared" si="107"/>
        <v>2</v>
      </c>
      <c r="R752" s="16">
        <f t="shared" si="106"/>
        <v>20</v>
      </c>
      <c r="S752" s="16">
        <f t="shared" si="106"/>
        <v>0</v>
      </c>
      <c r="T752" s="16">
        <f t="shared" si="106"/>
        <v>0</v>
      </c>
      <c r="U752" s="16">
        <f t="shared" si="106"/>
        <v>0</v>
      </c>
      <c r="V752" s="16">
        <f t="shared" si="106"/>
        <v>0</v>
      </c>
      <c r="W752" s="16">
        <f t="shared" si="106"/>
        <v>1</v>
      </c>
      <c r="X752" s="16" t="str">
        <f t="shared" si="99"/>
        <v>null</v>
      </c>
    </row>
    <row r="753" spans="1:24" x14ac:dyDescent="0.15">
      <c r="A753" s="20" t="str">
        <f t="shared" si="101"/>
        <v>26_2-4/37&lt;lv52&gt;s3</v>
      </c>
      <c r="B753" s="16">
        <f t="shared" si="107"/>
        <v>26</v>
      </c>
      <c r="C753" s="16">
        <f t="shared" si="107"/>
        <v>2</v>
      </c>
      <c r="D753" s="16">
        <f t="shared" si="107"/>
        <v>4</v>
      </c>
      <c r="E753" s="16">
        <f t="shared" si="107"/>
        <v>37</v>
      </c>
      <c r="F753" s="16">
        <f t="shared" si="107"/>
        <v>52</v>
      </c>
      <c r="G753" s="16">
        <f t="shared" si="107"/>
        <v>1</v>
      </c>
      <c r="H753" s="16">
        <f t="shared" si="107"/>
        <v>1</v>
      </c>
      <c r="I753" s="16">
        <f t="shared" si="107"/>
        <v>0</v>
      </c>
      <c r="J753" s="16">
        <f t="shared" si="107"/>
        <v>37</v>
      </c>
      <c r="K753" s="16">
        <f t="shared" si="107"/>
        <v>0</v>
      </c>
      <c r="L753" s="16">
        <f t="shared" si="107"/>
        <v>100</v>
      </c>
      <c r="M753" s="16">
        <f t="shared" si="107"/>
        <v>0</v>
      </c>
      <c r="N753" s="16">
        <f t="shared" si="107"/>
        <v>3</v>
      </c>
      <c r="O753" s="16">
        <f t="shared" si="107"/>
        <v>37</v>
      </c>
      <c r="P753" s="16">
        <f t="shared" si="107"/>
        <v>5</v>
      </c>
      <c r="Q753" s="16">
        <f t="shared" si="107"/>
        <v>2</v>
      </c>
      <c r="R753" s="16">
        <f t="shared" si="106"/>
        <v>20</v>
      </c>
      <c r="S753" s="16">
        <f t="shared" si="106"/>
        <v>0</v>
      </c>
      <c r="T753" s="16">
        <f t="shared" si="106"/>
        <v>0</v>
      </c>
      <c r="U753" s="16">
        <f t="shared" si="106"/>
        <v>0</v>
      </c>
      <c r="V753" s="16">
        <f t="shared" si="106"/>
        <v>0</v>
      </c>
      <c r="W753" s="16">
        <f t="shared" si="106"/>
        <v>1</v>
      </c>
      <c r="X753" s="16" t="str">
        <f t="shared" si="99"/>
        <v>null</v>
      </c>
    </row>
    <row r="754" spans="1:24" x14ac:dyDescent="0.15">
      <c r="A754" s="20" t="str">
        <f t="shared" si="101"/>
        <v>26_2-4/45&lt;lv52&gt;s3</v>
      </c>
      <c r="B754" s="16">
        <f t="shared" si="107"/>
        <v>26</v>
      </c>
      <c r="C754" s="16">
        <f t="shared" si="107"/>
        <v>2</v>
      </c>
      <c r="D754" s="16">
        <f t="shared" si="107"/>
        <v>4</v>
      </c>
      <c r="E754" s="16">
        <f t="shared" si="107"/>
        <v>45</v>
      </c>
      <c r="F754" s="16">
        <f t="shared" si="107"/>
        <v>52</v>
      </c>
      <c r="G754" s="16">
        <f t="shared" si="107"/>
        <v>1</v>
      </c>
      <c r="H754" s="16">
        <f t="shared" si="107"/>
        <v>1</v>
      </c>
      <c r="I754" s="16">
        <f t="shared" si="107"/>
        <v>0</v>
      </c>
      <c r="J754" s="16">
        <f t="shared" si="107"/>
        <v>0</v>
      </c>
      <c r="K754" s="16">
        <f t="shared" si="107"/>
        <v>0</v>
      </c>
      <c r="L754" s="16">
        <f t="shared" si="107"/>
        <v>100</v>
      </c>
      <c r="M754" s="16">
        <f t="shared" si="107"/>
        <v>0</v>
      </c>
      <c r="N754" s="16">
        <f t="shared" si="107"/>
        <v>3</v>
      </c>
      <c r="O754" s="16">
        <f t="shared" si="107"/>
        <v>45</v>
      </c>
      <c r="P754" s="16">
        <f t="shared" si="107"/>
        <v>7</v>
      </c>
      <c r="Q754" s="16">
        <f t="shared" si="107"/>
        <v>2</v>
      </c>
      <c r="R754" s="16">
        <f t="shared" si="106"/>
        <v>20</v>
      </c>
      <c r="S754" s="16">
        <f t="shared" si="106"/>
        <v>0</v>
      </c>
      <c r="T754" s="16">
        <f t="shared" si="106"/>
        <v>0</v>
      </c>
      <c r="U754" s="16">
        <f t="shared" si="106"/>
        <v>0</v>
      </c>
      <c r="V754" s="16">
        <f t="shared" si="106"/>
        <v>0</v>
      </c>
      <c r="W754" s="16">
        <f t="shared" si="106"/>
        <v>1</v>
      </c>
      <c r="X754" s="16" t="str">
        <f t="shared" si="99"/>
        <v>null</v>
      </c>
    </row>
    <row r="755" spans="1:24" x14ac:dyDescent="0.15">
      <c r="A755" s="20" t="str">
        <f t="shared" si="101"/>
        <v>26_2-4/47&lt;lv52&gt;s1</v>
      </c>
      <c r="B755" s="16">
        <f t="shared" si="107"/>
        <v>26</v>
      </c>
      <c r="C755" s="16">
        <f t="shared" si="107"/>
        <v>2</v>
      </c>
      <c r="D755" s="16">
        <f t="shared" si="107"/>
        <v>4</v>
      </c>
      <c r="E755" s="16">
        <f t="shared" si="107"/>
        <v>47</v>
      </c>
      <c r="F755" s="16">
        <f t="shared" si="107"/>
        <v>52</v>
      </c>
      <c r="G755" s="16">
        <f t="shared" si="107"/>
        <v>1</v>
      </c>
      <c r="H755" s="16">
        <f t="shared" si="107"/>
        <v>1</v>
      </c>
      <c r="I755" s="16">
        <f t="shared" si="107"/>
        <v>0</v>
      </c>
      <c r="J755" s="16">
        <f t="shared" si="107"/>
        <v>0</v>
      </c>
      <c r="K755" s="16">
        <f t="shared" si="107"/>
        <v>0</v>
      </c>
      <c r="L755" s="16">
        <f t="shared" si="107"/>
        <v>100</v>
      </c>
      <c r="M755" s="16">
        <f t="shared" si="107"/>
        <v>0</v>
      </c>
      <c r="N755" s="16">
        <f t="shared" si="107"/>
        <v>1</v>
      </c>
      <c r="O755" s="16">
        <f t="shared" si="107"/>
        <v>47</v>
      </c>
      <c r="P755" s="16">
        <f t="shared" si="107"/>
        <v>7</v>
      </c>
      <c r="Q755" s="16">
        <f t="shared" si="107"/>
        <v>2</v>
      </c>
      <c r="R755" s="16">
        <f t="shared" si="106"/>
        <v>20</v>
      </c>
      <c r="S755" s="16">
        <f t="shared" si="106"/>
        <v>0</v>
      </c>
      <c r="T755" s="16">
        <f t="shared" si="106"/>
        <v>0</v>
      </c>
      <c r="U755" s="16">
        <f t="shared" si="106"/>
        <v>0</v>
      </c>
      <c r="V755" s="16">
        <f t="shared" si="106"/>
        <v>0</v>
      </c>
      <c r="W755" s="16">
        <f t="shared" si="106"/>
        <v>1</v>
      </c>
      <c r="X755" s="16" t="str">
        <f t="shared" si="99"/>
        <v>null</v>
      </c>
    </row>
    <row r="756" spans="1:24" x14ac:dyDescent="0.15">
      <c r="A756" s="20" t="str">
        <f t="shared" si="101"/>
        <v>26_2-4/57&lt;lv52&gt;s2</v>
      </c>
      <c r="B756" s="16">
        <f t="shared" si="107"/>
        <v>26</v>
      </c>
      <c r="C756" s="16">
        <f t="shared" si="107"/>
        <v>2</v>
      </c>
      <c r="D756" s="16">
        <f t="shared" si="107"/>
        <v>4</v>
      </c>
      <c r="E756" s="16">
        <f t="shared" si="107"/>
        <v>57</v>
      </c>
      <c r="F756" s="16">
        <f t="shared" si="107"/>
        <v>52</v>
      </c>
      <c r="G756" s="16">
        <f t="shared" si="107"/>
        <v>1</v>
      </c>
      <c r="H756" s="16">
        <f t="shared" si="107"/>
        <v>1</v>
      </c>
      <c r="I756" s="16">
        <f t="shared" si="107"/>
        <v>0</v>
      </c>
      <c r="J756" s="16">
        <f t="shared" si="107"/>
        <v>57</v>
      </c>
      <c r="K756" s="16">
        <f t="shared" si="107"/>
        <v>0</v>
      </c>
      <c r="L756" s="16">
        <f t="shared" si="107"/>
        <v>100</v>
      </c>
      <c r="M756" s="16">
        <f t="shared" si="107"/>
        <v>0</v>
      </c>
      <c r="N756" s="16">
        <f t="shared" si="107"/>
        <v>2</v>
      </c>
      <c r="O756" s="16">
        <f t="shared" si="107"/>
        <v>57</v>
      </c>
      <c r="P756" s="16">
        <f t="shared" si="107"/>
        <v>7</v>
      </c>
      <c r="Q756" s="16">
        <f t="shared" si="107"/>
        <v>2</v>
      </c>
      <c r="R756" s="16">
        <f t="shared" si="106"/>
        <v>20</v>
      </c>
      <c r="S756" s="16">
        <f t="shared" si="106"/>
        <v>0</v>
      </c>
      <c r="T756" s="16">
        <f t="shared" si="106"/>
        <v>0</v>
      </c>
      <c r="U756" s="16">
        <f t="shared" si="106"/>
        <v>0</v>
      </c>
      <c r="V756" s="16">
        <f t="shared" si="106"/>
        <v>0</v>
      </c>
      <c r="W756" s="16">
        <f t="shared" si="106"/>
        <v>1</v>
      </c>
      <c r="X756" s="16" t="str">
        <f t="shared" si="99"/>
        <v>null</v>
      </c>
    </row>
    <row r="757" spans="1:24" x14ac:dyDescent="0.15">
      <c r="A757" s="20" t="str">
        <f t="shared" si="101"/>
        <v>26_2-4/59&lt;lv52&gt;s2</v>
      </c>
      <c r="B757" s="16">
        <f t="shared" si="107"/>
        <v>26</v>
      </c>
      <c r="C757" s="16">
        <f t="shared" si="107"/>
        <v>2</v>
      </c>
      <c r="D757" s="16">
        <f t="shared" si="107"/>
        <v>4</v>
      </c>
      <c r="E757" s="16">
        <f t="shared" si="107"/>
        <v>59</v>
      </c>
      <c r="F757" s="16">
        <f t="shared" si="107"/>
        <v>52</v>
      </c>
      <c r="G757" s="16">
        <f t="shared" si="107"/>
        <v>1</v>
      </c>
      <c r="H757" s="16">
        <f t="shared" si="107"/>
        <v>1</v>
      </c>
      <c r="I757" s="16">
        <f t="shared" si="107"/>
        <v>0</v>
      </c>
      <c r="J757" s="16">
        <f t="shared" si="107"/>
        <v>59</v>
      </c>
      <c r="K757" s="16">
        <f t="shared" si="107"/>
        <v>0</v>
      </c>
      <c r="L757" s="16">
        <f t="shared" si="107"/>
        <v>100</v>
      </c>
      <c r="M757" s="16">
        <f t="shared" si="107"/>
        <v>0</v>
      </c>
      <c r="N757" s="16">
        <f t="shared" si="107"/>
        <v>2</v>
      </c>
      <c r="O757" s="16">
        <f t="shared" si="107"/>
        <v>59</v>
      </c>
      <c r="P757" s="16">
        <f t="shared" si="107"/>
        <v>7</v>
      </c>
      <c r="Q757" s="16">
        <f t="shared" si="107"/>
        <v>2</v>
      </c>
      <c r="R757" s="16">
        <f t="shared" si="106"/>
        <v>20</v>
      </c>
      <c r="S757" s="16">
        <f t="shared" si="106"/>
        <v>0</v>
      </c>
      <c r="T757" s="16">
        <f t="shared" si="106"/>
        <v>0</v>
      </c>
      <c r="U757" s="16">
        <f t="shared" si="106"/>
        <v>0</v>
      </c>
      <c r="V757" s="16">
        <f t="shared" si="106"/>
        <v>0</v>
      </c>
      <c r="W757" s="16">
        <f t="shared" si="106"/>
        <v>1</v>
      </c>
      <c r="X757" s="16" t="str">
        <f t="shared" si="99"/>
        <v>null</v>
      </c>
    </row>
    <row r="758" spans="1:24" x14ac:dyDescent="0.15">
      <c r="A758" s="20" t="str">
        <f t="shared" si="101"/>
        <v>26_2-4/61&lt;lv52&gt;s2</v>
      </c>
      <c r="B758" s="16">
        <f t="shared" si="107"/>
        <v>26</v>
      </c>
      <c r="C758" s="16">
        <f t="shared" si="107"/>
        <v>2</v>
      </c>
      <c r="D758" s="16">
        <f t="shared" si="107"/>
        <v>4</v>
      </c>
      <c r="E758" s="16">
        <f t="shared" si="107"/>
        <v>61</v>
      </c>
      <c r="F758" s="16">
        <f t="shared" si="107"/>
        <v>52</v>
      </c>
      <c r="G758" s="16">
        <f t="shared" si="107"/>
        <v>1</v>
      </c>
      <c r="H758" s="16">
        <f t="shared" si="107"/>
        <v>1</v>
      </c>
      <c r="I758" s="16">
        <f t="shared" si="107"/>
        <v>0</v>
      </c>
      <c r="J758" s="16">
        <f t="shared" si="107"/>
        <v>61</v>
      </c>
      <c r="K758" s="16">
        <f t="shared" si="107"/>
        <v>0</v>
      </c>
      <c r="L758" s="16">
        <f t="shared" si="107"/>
        <v>100</v>
      </c>
      <c r="M758" s="16">
        <f t="shared" si="107"/>
        <v>0</v>
      </c>
      <c r="N758" s="16">
        <f t="shared" si="107"/>
        <v>2</v>
      </c>
      <c r="O758" s="16">
        <f t="shared" si="107"/>
        <v>61</v>
      </c>
      <c r="P758" s="16">
        <f t="shared" si="107"/>
        <v>7</v>
      </c>
      <c r="Q758" s="16">
        <f t="shared" si="107"/>
        <v>2</v>
      </c>
      <c r="R758" s="16">
        <f t="shared" si="106"/>
        <v>20</v>
      </c>
      <c r="S758" s="16">
        <f t="shared" si="106"/>
        <v>0</v>
      </c>
      <c r="T758" s="16">
        <f t="shared" si="106"/>
        <v>0</v>
      </c>
      <c r="U758" s="16">
        <f t="shared" si="106"/>
        <v>0</v>
      </c>
      <c r="V758" s="16">
        <f t="shared" si="106"/>
        <v>0</v>
      </c>
      <c r="W758" s="16">
        <f t="shared" si="106"/>
        <v>1</v>
      </c>
      <c r="X758" s="16" t="str">
        <f t="shared" si="99"/>
        <v>null</v>
      </c>
    </row>
    <row r="759" spans="1:24" x14ac:dyDescent="0.15">
      <c r="A759" s="20" t="str">
        <f t="shared" si="101"/>
        <v>26_2-4/63&lt;lv52&gt;s2</v>
      </c>
      <c r="B759" s="16">
        <f t="shared" si="107"/>
        <v>26</v>
      </c>
      <c r="C759" s="16">
        <f t="shared" si="107"/>
        <v>2</v>
      </c>
      <c r="D759" s="16">
        <f t="shared" si="107"/>
        <v>4</v>
      </c>
      <c r="E759" s="16">
        <f t="shared" si="107"/>
        <v>63</v>
      </c>
      <c r="F759" s="16">
        <f t="shared" si="107"/>
        <v>52</v>
      </c>
      <c r="G759" s="16">
        <f t="shared" si="107"/>
        <v>1</v>
      </c>
      <c r="H759" s="16">
        <f t="shared" si="107"/>
        <v>1</v>
      </c>
      <c r="I759" s="16">
        <f t="shared" si="107"/>
        <v>0</v>
      </c>
      <c r="J759" s="16">
        <f t="shared" si="107"/>
        <v>63</v>
      </c>
      <c r="K759" s="16">
        <f t="shared" si="107"/>
        <v>0</v>
      </c>
      <c r="L759" s="16">
        <f t="shared" si="107"/>
        <v>100</v>
      </c>
      <c r="M759" s="16">
        <f t="shared" si="107"/>
        <v>0</v>
      </c>
      <c r="N759" s="16">
        <f t="shared" si="107"/>
        <v>2</v>
      </c>
      <c r="O759" s="16">
        <f t="shared" si="107"/>
        <v>63</v>
      </c>
      <c r="P759" s="16">
        <f t="shared" si="107"/>
        <v>7</v>
      </c>
      <c r="Q759" s="16">
        <f t="shared" si="107"/>
        <v>2</v>
      </c>
      <c r="R759" s="16">
        <f t="shared" si="106"/>
        <v>20</v>
      </c>
      <c r="S759" s="16">
        <f t="shared" si="106"/>
        <v>0</v>
      </c>
      <c r="T759" s="16">
        <f t="shared" si="106"/>
        <v>0</v>
      </c>
      <c r="U759" s="16">
        <f t="shared" si="106"/>
        <v>0</v>
      </c>
      <c r="V759" s="16">
        <f t="shared" si="106"/>
        <v>0</v>
      </c>
      <c r="W759" s="16">
        <f t="shared" si="106"/>
        <v>1</v>
      </c>
      <c r="X759" s="16" t="str">
        <f t="shared" si="99"/>
        <v>null</v>
      </c>
    </row>
    <row r="760" spans="1:24" x14ac:dyDescent="0.15">
      <c r="A760" s="20" t="str">
        <f t="shared" si="101"/>
        <v>26_2-4/360&lt;lv52&gt;s3</v>
      </c>
      <c r="B760" s="16">
        <f t="shared" si="107"/>
        <v>26</v>
      </c>
      <c r="C760" s="16">
        <f t="shared" si="107"/>
        <v>2</v>
      </c>
      <c r="D760" s="16">
        <f t="shared" si="107"/>
        <v>4</v>
      </c>
      <c r="E760" s="16">
        <f t="shared" si="107"/>
        <v>360</v>
      </c>
      <c r="F760" s="16">
        <f t="shared" si="107"/>
        <v>52</v>
      </c>
      <c r="G760" s="16">
        <f t="shared" si="107"/>
        <v>1</v>
      </c>
      <c r="H760" s="16">
        <f t="shared" si="107"/>
        <v>1</v>
      </c>
      <c r="I760" s="16">
        <f t="shared" si="107"/>
        <v>0</v>
      </c>
      <c r="J760" s="16">
        <f t="shared" si="107"/>
        <v>360</v>
      </c>
      <c r="K760" s="16">
        <f t="shared" si="107"/>
        <v>0</v>
      </c>
      <c r="L760" s="16">
        <f t="shared" si="107"/>
        <v>100</v>
      </c>
      <c r="M760" s="16">
        <f t="shared" si="107"/>
        <v>0</v>
      </c>
      <c r="N760" s="16">
        <f t="shared" si="107"/>
        <v>3</v>
      </c>
      <c r="O760" s="16">
        <f t="shared" si="107"/>
        <v>360</v>
      </c>
      <c r="P760" s="16">
        <f t="shared" si="107"/>
        <v>7</v>
      </c>
      <c r="Q760" s="16">
        <f t="shared" si="107"/>
        <v>2</v>
      </c>
      <c r="R760" s="16">
        <f t="shared" si="106"/>
        <v>20</v>
      </c>
      <c r="S760" s="16">
        <f t="shared" si="106"/>
        <v>0</v>
      </c>
      <c r="T760" s="16">
        <f t="shared" si="106"/>
        <v>0</v>
      </c>
      <c r="U760" s="16">
        <f t="shared" si="106"/>
        <v>0</v>
      </c>
      <c r="V760" s="16">
        <f t="shared" si="106"/>
        <v>0</v>
      </c>
      <c r="W760" s="16">
        <f t="shared" si="106"/>
        <v>1</v>
      </c>
      <c r="X760" s="16" t="str">
        <f t="shared" si="99"/>
        <v>null</v>
      </c>
    </row>
    <row r="761" spans="1:24" x14ac:dyDescent="0.15">
      <c r="A761" s="20" t="str">
        <f t="shared" si="101"/>
        <v>26_2-4/362&lt;lv52&gt;s3</v>
      </c>
      <c r="B761" s="16">
        <f t="shared" si="107"/>
        <v>26</v>
      </c>
      <c r="C761" s="16">
        <f t="shared" si="107"/>
        <v>2</v>
      </c>
      <c r="D761" s="16">
        <f t="shared" si="107"/>
        <v>4</v>
      </c>
      <c r="E761" s="16">
        <f t="shared" si="107"/>
        <v>362</v>
      </c>
      <c r="F761" s="16">
        <f t="shared" si="107"/>
        <v>52</v>
      </c>
      <c r="G761" s="16">
        <f t="shared" si="107"/>
        <v>1</v>
      </c>
      <c r="H761" s="16">
        <f t="shared" si="107"/>
        <v>1</v>
      </c>
      <c r="I761" s="16">
        <f t="shared" si="107"/>
        <v>0</v>
      </c>
      <c r="J761" s="16">
        <f t="shared" si="107"/>
        <v>362</v>
      </c>
      <c r="K761" s="16">
        <f t="shared" si="107"/>
        <v>0</v>
      </c>
      <c r="L761" s="16">
        <f t="shared" si="107"/>
        <v>100</v>
      </c>
      <c r="M761" s="16">
        <f t="shared" si="107"/>
        <v>0</v>
      </c>
      <c r="N761" s="16">
        <f t="shared" si="107"/>
        <v>3</v>
      </c>
      <c r="O761" s="16">
        <f t="shared" si="107"/>
        <v>362</v>
      </c>
      <c r="P761" s="16">
        <f t="shared" si="107"/>
        <v>7</v>
      </c>
      <c r="Q761" s="16">
        <f t="shared" si="107"/>
        <v>2</v>
      </c>
      <c r="R761" s="16">
        <f t="shared" si="106"/>
        <v>20</v>
      </c>
      <c r="S761" s="16">
        <f t="shared" si="106"/>
        <v>0</v>
      </c>
      <c r="T761" s="16">
        <f t="shared" si="106"/>
        <v>0</v>
      </c>
      <c r="U761" s="16">
        <f t="shared" si="106"/>
        <v>0</v>
      </c>
      <c r="V761" s="16">
        <f t="shared" si="106"/>
        <v>0</v>
      </c>
      <c r="W761" s="16">
        <f t="shared" si="106"/>
        <v>1</v>
      </c>
      <c r="X761" s="16" t="str">
        <f t="shared" si="99"/>
        <v>null</v>
      </c>
    </row>
    <row r="762" spans="1:24" x14ac:dyDescent="0.15">
      <c r="A762" s="20" t="str">
        <f t="shared" si="101"/>
        <v>26_2-4/364&lt;lv52&gt;s3</v>
      </c>
      <c r="B762" s="16">
        <f t="shared" si="107"/>
        <v>26</v>
      </c>
      <c r="C762" s="16">
        <f t="shared" si="107"/>
        <v>2</v>
      </c>
      <c r="D762" s="16">
        <f t="shared" si="107"/>
        <v>4</v>
      </c>
      <c r="E762" s="16">
        <f t="shared" si="107"/>
        <v>364</v>
      </c>
      <c r="F762" s="16">
        <f t="shared" si="107"/>
        <v>52</v>
      </c>
      <c r="G762" s="16">
        <f t="shared" si="107"/>
        <v>1</v>
      </c>
      <c r="H762" s="16">
        <f t="shared" si="107"/>
        <v>1</v>
      </c>
      <c r="I762" s="16">
        <f t="shared" si="107"/>
        <v>0</v>
      </c>
      <c r="J762" s="16">
        <f t="shared" si="107"/>
        <v>364</v>
      </c>
      <c r="K762" s="16">
        <f t="shared" si="107"/>
        <v>0</v>
      </c>
      <c r="L762" s="16">
        <f t="shared" si="107"/>
        <v>100</v>
      </c>
      <c r="M762" s="16">
        <f t="shared" si="107"/>
        <v>0</v>
      </c>
      <c r="N762" s="16">
        <f t="shared" si="107"/>
        <v>3</v>
      </c>
      <c r="O762" s="16">
        <f t="shared" si="107"/>
        <v>364</v>
      </c>
      <c r="P762" s="16">
        <f t="shared" si="107"/>
        <v>7</v>
      </c>
      <c r="Q762" s="16">
        <f t="shared" si="107"/>
        <v>2</v>
      </c>
      <c r="R762" s="16">
        <f t="shared" si="106"/>
        <v>20</v>
      </c>
      <c r="S762" s="16">
        <f t="shared" si="106"/>
        <v>0</v>
      </c>
      <c r="T762" s="16">
        <f t="shared" si="106"/>
        <v>0</v>
      </c>
      <c r="U762" s="16">
        <f t="shared" si="106"/>
        <v>0</v>
      </c>
      <c r="V762" s="16">
        <f t="shared" si="106"/>
        <v>0</v>
      </c>
      <c r="W762" s="16">
        <f t="shared" si="106"/>
        <v>1</v>
      </c>
      <c r="X762" s="16" t="str">
        <f t="shared" si="99"/>
        <v>null</v>
      </c>
    </row>
    <row r="763" spans="1:24" x14ac:dyDescent="0.15">
      <c r="A763" s="20" t="str">
        <f t="shared" si="101"/>
        <v>26_2-4/366&lt;lv52&gt;s3</v>
      </c>
      <c r="B763" s="16">
        <f t="shared" si="107"/>
        <v>26</v>
      </c>
      <c r="C763" s="16">
        <f t="shared" si="107"/>
        <v>2</v>
      </c>
      <c r="D763" s="16">
        <f t="shared" si="107"/>
        <v>4</v>
      </c>
      <c r="E763" s="16">
        <f t="shared" si="107"/>
        <v>366</v>
      </c>
      <c r="F763" s="16">
        <f t="shared" si="107"/>
        <v>52</v>
      </c>
      <c r="G763" s="16">
        <f t="shared" si="107"/>
        <v>1</v>
      </c>
      <c r="H763" s="16">
        <f t="shared" si="107"/>
        <v>1</v>
      </c>
      <c r="I763" s="16">
        <f t="shared" si="107"/>
        <v>0</v>
      </c>
      <c r="J763" s="16">
        <f t="shared" si="107"/>
        <v>366</v>
      </c>
      <c r="K763" s="16">
        <f t="shared" si="107"/>
        <v>0</v>
      </c>
      <c r="L763" s="16">
        <f t="shared" si="107"/>
        <v>100</v>
      </c>
      <c r="M763" s="16">
        <f t="shared" si="107"/>
        <v>0</v>
      </c>
      <c r="N763" s="16">
        <f t="shared" si="107"/>
        <v>3</v>
      </c>
      <c r="O763" s="16">
        <f t="shared" si="107"/>
        <v>366</v>
      </c>
      <c r="P763" s="16">
        <f t="shared" si="107"/>
        <v>7</v>
      </c>
      <c r="Q763" s="16">
        <f t="shared" si="107"/>
        <v>2</v>
      </c>
      <c r="R763" s="16">
        <f t="shared" si="106"/>
        <v>20</v>
      </c>
      <c r="S763" s="16">
        <f t="shared" si="106"/>
        <v>0</v>
      </c>
      <c r="T763" s="16">
        <f t="shared" si="106"/>
        <v>0</v>
      </c>
      <c r="U763" s="16">
        <f t="shared" si="106"/>
        <v>0</v>
      </c>
      <c r="V763" s="16">
        <f t="shared" si="106"/>
        <v>0</v>
      </c>
      <c r="W763" s="16">
        <f t="shared" si="106"/>
        <v>1</v>
      </c>
      <c r="X763" s="16" t="str">
        <f t="shared" si="99"/>
        <v>null</v>
      </c>
    </row>
    <row r="764" spans="1:24" x14ac:dyDescent="0.15">
      <c r="A764" s="20" t="str">
        <f t="shared" si="101"/>
        <v>26_2-4/350&lt;lv52&gt;s3</v>
      </c>
      <c r="B764" s="16">
        <f t="shared" si="107"/>
        <v>26</v>
      </c>
      <c r="C764" s="16">
        <f t="shared" si="107"/>
        <v>2</v>
      </c>
      <c r="D764" s="16">
        <f t="shared" si="107"/>
        <v>4</v>
      </c>
      <c r="E764" s="16">
        <f t="shared" si="107"/>
        <v>350</v>
      </c>
      <c r="F764" s="16">
        <f t="shared" si="107"/>
        <v>52</v>
      </c>
      <c r="G764" s="16">
        <f t="shared" si="107"/>
        <v>1</v>
      </c>
      <c r="H764" s="16">
        <f t="shared" si="107"/>
        <v>1</v>
      </c>
      <c r="I764" s="16">
        <f t="shared" si="107"/>
        <v>0</v>
      </c>
      <c r="J764" s="16">
        <f t="shared" si="107"/>
        <v>350</v>
      </c>
      <c r="K764" s="16">
        <f t="shared" si="107"/>
        <v>0</v>
      </c>
      <c r="L764" s="16">
        <f t="shared" si="107"/>
        <v>100</v>
      </c>
      <c r="M764" s="16">
        <f t="shared" si="107"/>
        <v>0</v>
      </c>
      <c r="N764" s="16">
        <f t="shared" si="107"/>
        <v>3</v>
      </c>
      <c r="O764" s="16">
        <f t="shared" si="107"/>
        <v>350</v>
      </c>
      <c r="P764" s="16">
        <f t="shared" si="107"/>
        <v>1</v>
      </c>
      <c r="Q764" s="16">
        <f t="shared" si="107"/>
        <v>2</v>
      </c>
      <c r="R764" s="16">
        <f t="shared" si="106"/>
        <v>24</v>
      </c>
      <c r="S764" s="16">
        <f t="shared" si="106"/>
        <v>0</v>
      </c>
      <c r="T764" s="16">
        <f t="shared" si="106"/>
        <v>0</v>
      </c>
      <c r="U764" s="16">
        <f t="shared" si="106"/>
        <v>0</v>
      </c>
      <c r="V764" s="16">
        <f t="shared" si="106"/>
        <v>0</v>
      </c>
      <c r="W764" s="16">
        <f t="shared" si="106"/>
        <v>1</v>
      </c>
      <c r="X764" s="16" t="str">
        <f t="shared" si="99"/>
        <v>null</v>
      </c>
    </row>
    <row r="765" spans="1:24" x14ac:dyDescent="0.15">
      <c r="A765" s="20" t="str">
        <f t="shared" si="101"/>
        <v>26_2-4/354&lt;lv52&gt;s3</v>
      </c>
      <c r="B765" s="16">
        <f t="shared" si="107"/>
        <v>26</v>
      </c>
      <c r="C765" s="16">
        <f t="shared" si="107"/>
        <v>2</v>
      </c>
      <c r="D765" s="16">
        <f t="shared" si="107"/>
        <v>4</v>
      </c>
      <c r="E765" s="16">
        <f t="shared" si="107"/>
        <v>354</v>
      </c>
      <c r="F765" s="16">
        <f t="shared" si="107"/>
        <v>52</v>
      </c>
      <c r="G765" s="16">
        <f t="shared" si="107"/>
        <v>1</v>
      </c>
      <c r="H765" s="16">
        <f t="shared" si="107"/>
        <v>1</v>
      </c>
      <c r="I765" s="16">
        <f t="shared" si="107"/>
        <v>0</v>
      </c>
      <c r="J765" s="16">
        <f t="shared" si="107"/>
        <v>354</v>
      </c>
      <c r="K765" s="16">
        <f t="shared" si="107"/>
        <v>0</v>
      </c>
      <c r="L765" s="16">
        <f t="shared" si="107"/>
        <v>100</v>
      </c>
      <c r="M765" s="16">
        <f t="shared" si="107"/>
        <v>0</v>
      </c>
      <c r="N765" s="16">
        <f t="shared" si="107"/>
        <v>3</v>
      </c>
      <c r="O765" s="16">
        <f t="shared" si="107"/>
        <v>354</v>
      </c>
      <c r="P765" s="16">
        <f t="shared" si="107"/>
        <v>1</v>
      </c>
      <c r="Q765" s="16">
        <f t="shared" si="107"/>
        <v>2</v>
      </c>
      <c r="R765" s="16">
        <f t="shared" si="106"/>
        <v>24</v>
      </c>
      <c r="S765" s="16">
        <f t="shared" si="106"/>
        <v>0</v>
      </c>
      <c r="T765" s="16">
        <f t="shared" si="106"/>
        <v>0</v>
      </c>
      <c r="U765" s="16">
        <f t="shared" si="106"/>
        <v>0</v>
      </c>
      <c r="V765" s="16">
        <f t="shared" si="106"/>
        <v>0</v>
      </c>
      <c r="W765" s="16">
        <f t="shared" si="106"/>
        <v>1</v>
      </c>
      <c r="X765" s="16" t="str">
        <f t="shared" si="99"/>
        <v>null</v>
      </c>
    </row>
    <row r="766" spans="1:24" x14ac:dyDescent="0.15">
      <c r="A766" s="20" t="str">
        <f t="shared" si="101"/>
        <v>26_2-5/205&lt;lv56&gt;s3</v>
      </c>
      <c r="B766" s="16">
        <f t="shared" si="107"/>
        <v>26</v>
      </c>
      <c r="C766" s="16">
        <f t="shared" si="107"/>
        <v>2</v>
      </c>
      <c r="D766" s="16">
        <f t="shared" si="107"/>
        <v>5</v>
      </c>
      <c r="E766" s="16">
        <f t="shared" si="107"/>
        <v>205</v>
      </c>
      <c r="F766" s="16">
        <f t="shared" si="107"/>
        <v>56</v>
      </c>
      <c r="G766" s="16">
        <f t="shared" si="107"/>
        <v>1</v>
      </c>
      <c r="H766" s="16">
        <f t="shared" si="107"/>
        <v>1</v>
      </c>
      <c r="I766" s="16">
        <f t="shared" si="107"/>
        <v>0</v>
      </c>
      <c r="J766" s="16">
        <f t="shared" si="107"/>
        <v>20501</v>
      </c>
      <c r="K766" s="16">
        <f t="shared" si="107"/>
        <v>1</v>
      </c>
      <c r="L766" s="16">
        <f t="shared" si="107"/>
        <v>100</v>
      </c>
      <c r="M766" s="16">
        <f t="shared" si="107"/>
        <v>1</v>
      </c>
      <c r="N766" s="16">
        <f t="shared" si="107"/>
        <v>3</v>
      </c>
      <c r="O766" s="16">
        <f t="shared" si="107"/>
        <v>205</v>
      </c>
      <c r="P766" s="16">
        <f t="shared" si="107"/>
        <v>1</v>
      </c>
      <c r="Q766" s="16">
        <f t="shared" ref="Q766:X829" si="108">VLOOKUP($A766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766" s="16">
        <f t="shared" si="108"/>
        <v>0</v>
      </c>
      <c r="S766" s="16">
        <f t="shared" si="108"/>
        <v>0</v>
      </c>
      <c r="T766" s="16">
        <f t="shared" si="108"/>
        <v>0</v>
      </c>
      <c r="U766" s="16">
        <f t="shared" si="108"/>
        <v>0</v>
      </c>
      <c r="V766" s="16">
        <f t="shared" si="108"/>
        <v>0</v>
      </c>
      <c r="W766" s="16">
        <f t="shared" si="108"/>
        <v>1</v>
      </c>
      <c r="X766" s="16" t="str">
        <f t="shared" si="108"/>
        <v>null</v>
      </c>
    </row>
    <row r="767" spans="1:24" x14ac:dyDescent="0.15">
      <c r="A767" s="20" t="str">
        <f t="shared" si="101"/>
        <v>26_2-5/226&lt;lv56&gt;s2</v>
      </c>
      <c r="B767" s="16">
        <f t="shared" ref="B767:Q782" si="109">VLOOKUP($A767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767" s="16">
        <f t="shared" si="109"/>
        <v>2</v>
      </c>
      <c r="D767" s="16">
        <f t="shared" si="109"/>
        <v>5</v>
      </c>
      <c r="E767" s="16">
        <f t="shared" si="109"/>
        <v>226</v>
      </c>
      <c r="F767" s="16">
        <f t="shared" si="109"/>
        <v>56</v>
      </c>
      <c r="G767" s="16">
        <f t="shared" si="109"/>
        <v>1.4</v>
      </c>
      <c r="H767" s="16">
        <f t="shared" si="109"/>
        <v>1.6</v>
      </c>
      <c r="I767" s="16">
        <f t="shared" si="109"/>
        <v>0</v>
      </c>
      <c r="J767" s="16">
        <f t="shared" si="109"/>
        <v>22601</v>
      </c>
      <c r="K767" s="16">
        <f t="shared" si="109"/>
        <v>1</v>
      </c>
      <c r="L767" s="16">
        <f t="shared" si="109"/>
        <v>100</v>
      </c>
      <c r="M767" s="16">
        <f t="shared" si="109"/>
        <v>1</v>
      </c>
      <c r="N767" s="16">
        <f t="shared" si="109"/>
        <v>2</v>
      </c>
      <c r="O767" s="16">
        <f t="shared" si="109"/>
        <v>226</v>
      </c>
      <c r="P767" s="16">
        <f t="shared" si="109"/>
        <v>1</v>
      </c>
      <c r="Q767" s="16">
        <f t="shared" si="109"/>
        <v>3</v>
      </c>
      <c r="R767" s="16">
        <f t="shared" si="108"/>
        <v>0</v>
      </c>
      <c r="S767" s="16">
        <f t="shared" si="108"/>
        <v>0</v>
      </c>
      <c r="T767" s="16">
        <f t="shared" si="108"/>
        <v>0</v>
      </c>
      <c r="U767" s="16">
        <f t="shared" si="108"/>
        <v>0</v>
      </c>
      <c r="V767" s="16">
        <f t="shared" si="108"/>
        <v>0</v>
      </c>
      <c r="W767" s="16">
        <f t="shared" si="108"/>
        <v>1</v>
      </c>
      <c r="X767" s="16" t="str">
        <f t="shared" si="108"/>
        <v>null</v>
      </c>
    </row>
    <row r="768" spans="1:24" x14ac:dyDescent="0.15">
      <c r="A768" s="20" t="str">
        <f t="shared" si="101"/>
        <v>26_3-1/9&lt;lv54&gt;s2</v>
      </c>
      <c r="B768" s="16">
        <f t="shared" si="109"/>
        <v>26</v>
      </c>
      <c r="C768" s="16">
        <f t="shared" si="109"/>
        <v>3</v>
      </c>
      <c r="D768" s="16">
        <f t="shared" si="109"/>
        <v>1</v>
      </c>
      <c r="E768" s="16">
        <f t="shared" si="109"/>
        <v>9</v>
      </c>
      <c r="F768" s="16">
        <f t="shared" si="109"/>
        <v>54</v>
      </c>
      <c r="G768" s="16">
        <f t="shared" si="109"/>
        <v>1</v>
      </c>
      <c r="H768" s="16">
        <f t="shared" si="109"/>
        <v>1</v>
      </c>
      <c r="I768" s="16">
        <f t="shared" si="109"/>
        <v>0</v>
      </c>
      <c r="J768" s="16">
        <f t="shared" si="109"/>
        <v>0</v>
      </c>
      <c r="K768" s="16">
        <f t="shared" si="109"/>
        <v>0</v>
      </c>
      <c r="L768" s="16">
        <f t="shared" si="109"/>
        <v>100</v>
      </c>
      <c r="M768" s="16">
        <f t="shared" si="109"/>
        <v>0</v>
      </c>
      <c r="N768" s="16">
        <f t="shared" si="109"/>
        <v>2</v>
      </c>
      <c r="O768" s="16">
        <f t="shared" si="109"/>
        <v>9</v>
      </c>
      <c r="P768" s="16">
        <f t="shared" si="109"/>
        <v>9</v>
      </c>
      <c r="Q768" s="16">
        <f t="shared" si="109"/>
        <v>1</v>
      </c>
      <c r="R768" s="16">
        <f t="shared" si="108"/>
        <v>15</v>
      </c>
      <c r="S768" s="16">
        <f t="shared" si="108"/>
        <v>0</v>
      </c>
      <c r="T768" s="16">
        <f t="shared" si="108"/>
        <v>0</v>
      </c>
      <c r="U768" s="16">
        <f t="shared" si="108"/>
        <v>0</v>
      </c>
      <c r="V768" s="16">
        <f t="shared" si="108"/>
        <v>0</v>
      </c>
      <c r="W768" s="16">
        <f t="shared" si="108"/>
        <v>1</v>
      </c>
      <c r="X768" s="16" t="str">
        <f t="shared" si="108"/>
        <v>null</v>
      </c>
    </row>
    <row r="769" spans="1:24" x14ac:dyDescent="0.15">
      <c r="A769" s="20" t="str">
        <f t="shared" si="101"/>
        <v>26_3-1/11&lt;lv54&gt;s3</v>
      </c>
      <c r="B769" s="16">
        <f t="shared" si="109"/>
        <v>26</v>
      </c>
      <c r="C769" s="16">
        <f t="shared" si="109"/>
        <v>3</v>
      </c>
      <c r="D769" s="16">
        <f t="shared" si="109"/>
        <v>1</v>
      </c>
      <c r="E769" s="16">
        <f t="shared" si="109"/>
        <v>11</v>
      </c>
      <c r="F769" s="16">
        <f t="shared" si="109"/>
        <v>54</v>
      </c>
      <c r="G769" s="16">
        <f t="shared" si="109"/>
        <v>1</v>
      </c>
      <c r="H769" s="16">
        <f t="shared" si="109"/>
        <v>1</v>
      </c>
      <c r="I769" s="16">
        <f t="shared" si="109"/>
        <v>0</v>
      </c>
      <c r="J769" s="16">
        <f t="shared" si="109"/>
        <v>0</v>
      </c>
      <c r="K769" s="16">
        <f t="shared" si="109"/>
        <v>0</v>
      </c>
      <c r="L769" s="16">
        <f t="shared" si="109"/>
        <v>100</v>
      </c>
      <c r="M769" s="16">
        <f t="shared" si="109"/>
        <v>0</v>
      </c>
      <c r="N769" s="16">
        <f t="shared" si="109"/>
        <v>3</v>
      </c>
      <c r="O769" s="16">
        <f t="shared" si="109"/>
        <v>11</v>
      </c>
      <c r="P769" s="16">
        <f t="shared" si="109"/>
        <v>9</v>
      </c>
      <c r="Q769" s="16">
        <f t="shared" si="109"/>
        <v>1</v>
      </c>
      <c r="R769" s="16">
        <f t="shared" si="108"/>
        <v>15</v>
      </c>
      <c r="S769" s="16">
        <f t="shared" si="108"/>
        <v>0</v>
      </c>
      <c r="T769" s="16">
        <f t="shared" si="108"/>
        <v>0</v>
      </c>
      <c r="U769" s="16">
        <f t="shared" si="108"/>
        <v>0</v>
      </c>
      <c r="V769" s="16">
        <f t="shared" si="108"/>
        <v>0</v>
      </c>
      <c r="W769" s="16">
        <f t="shared" si="108"/>
        <v>1</v>
      </c>
      <c r="X769" s="16" t="str">
        <f t="shared" si="108"/>
        <v>null</v>
      </c>
    </row>
    <row r="770" spans="1:24" x14ac:dyDescent="0.15">
      <c r="A770" s="20" t="str">
        <f t="shared" si="101"/>
        <v>26_3-1/13&lt;lv54&gt;s2</v>
      </c>
      <c r="B770" s="16">
        <f t="shared" si="109"/>
        <v>26</v>
      </c>
      <c r="C770" s="16">
        <f t="shared" si="109"/>
        <v>3</v>
      </c>
      <c r="D770" s="16">
        <f t="shared" si="109"/>
        <v>1</v>
      </c>
      <c r="E770" s="16">
        <f t="shared" si="109"/>
        <v>13</v>
      </c>
      <c r="F770" s="16">
        <f t="shared" si="109"/>
        <v>54</v>
      </c>
      <c r="G770" s="16">
        <f t="shared" si="109"/>
        <v>1</v>
      </c>
      <c r="H770" s="16">
        <f t="shared" si="109"/>
        <v>1</v>
      </c>
      <c r="I770" s="16">
        <f t="shared" si="109"/>
        <v>0</v>
      </c>
      <c r="J770" s="16">
        <f t="shared" si="109"/>
        <v>0</v>
      </c>
      <c r="K770" s="16">
        <f t="shared" si="109"/>
        <v>0</v>
      </c>
      <c r="L770" s="16">
        <f t="shared" si="109"/>
        <v>100</v>
      </c>
      <c r="M770" s="16">
        <f t="shared" si="109"/>
        <v>0</v>
      </c>
      <c r="N770" s="16">
        <f t="shared" si="109"/>
        <v>2</v>
      </c>
      <c r="O770" s="16">
        <f t="shared" si="109"/>
        <v>13</v>
      </c>
      <c r="P770" s="16">
        <f t="shared" si="109"/>
        <v>9</v>
      </c>
      <c r="Q770" s="16">
        <f t="shared" si="109"/>
        <v>1</v>
      </c>
      <c r="R770" s="16">
        <f t="shared" si="108"/>
        <v>15</v>
      </c>
      <c r="S770" s="16">
        <f t="shared" si="108"/>
        <v>0</v>
      </c>
      <c r="T770" s="16">
        <f t="shared" si="108"/>
        <v>0</v>
      </c>
      <c r="U770" s="16">
        <f t="shared" si="108"/>
        <v>0</v>
      </c>
      <c r="V770" s="16">
        <f t="shared" si="108"/>
        <v>0</v>
      </c>
      <c r="W770" s="16">
        <f t="shared" si="108"/>
        <v>1</v>
      </c>
      <c r="X770" s="16" t="str">
        <f t="shared" si="108"/>
        <v>null</v>
      </c>
    </row>
    <row r="771" spans="1:24" x14ac:dyDescent="0.15">
      <c r="A771" s="20" t="str">
        <f t="shared" si="101"/>
        <v>26_3-1/23&lt;lv54&gt;s4</v>
      </c>
      <c r="B771" s="16">
        <f t="shared" si="109"/>
        <v>26</v>
      </c>
      <c r="C771" s="16">
        <f t="shared" si="109"/>
        <v>3</v>
      </c>
      <c r="D771" s="16">
        <f t="shared" si="109"/>
        <v>1</v>
      </c>
      <c r="E771" s="16">
        <f t="shared" si="109"/>
        <v>23</v>
      </c>
      <c r="F771" s="16">
        <f t="shared" si="109"/>
        <v>54</v>
      </c>
      <c r="G771" s="16">
        <f t="shared" si="109"/>
        <v>1</v>
      </c>
      <c r="H771" s="16">
        <f t="shared" si="109"/>
        <v>1</v>
      </c>
      <c r="I771" s="16">
        <f t="shared" si="109"/>
        <v>0</v>
      </c>
      <c r="J771" s="16">
        <f t="shared" si="109"/>
        <v>0</v>
      </c>
      <c r="K771" s="16">
        <f t="shared" si="109"/>
        <v>0</v>
      </c>
      <c r="L771" s="16">
        <f t="shared" si="109"/>
        <v>100</v>
      </c>
      <c r="M771" s="16">
        <f t="shared" si="109"/>
        <v>0</v>
      </c>
      <c r="N771" s="16">
        <f t="shared" si="109"/>
        <v>4</v>
      </c>
      <c r="O771" s="16">
        <f t="shared" si="109"/>
        <v>23</v>
      </c>
      <c r="P771" s="16">
        <f t="shared" si="109"/>
        <v>7</v>
      </c>
      <c r="Q771" s="16">
        <f t="shared" si="109"/>
        <v>1</v>
      </c>
      <c r="R771" s="16">
        <f t="shared" si="108"/>
        <v>15</v>
      </c>
      <c r="S771" s="16">
        <f t="shared" si="108"/>
        <v>0</v>
      </c>
      <c r="T771" s="16">
        <f t="shared" si="108"/>
        <v>0</v>
      </c>
      <c r="U771" s="16">
        <f t="shared" si="108"/>
        <v>0</v>
      </c>
      <c r="V771" s="16">
        <f t="shared" si="108"/>
        <v>0</v>
      </c>
      <c r="W771" s="16">
        <f t="shared" si="108"/>
        <v>1</v>
      </c>
      <c r="X771" s="16" t="str">
        <f t="shared" si="108"/>
        <v>null</v>
      </c>
    </row>
    <row r="772" spans="1:24" x14ac:dyDescent="0.15">
      <c r="A772" s="20" t="str">
        <f t="shared" ref="A772:A835" si="110">INDIRECT(ADDRESS(ROW()+$A$1,COLUMN(),1,TRUE,$C$1))</f>
        <v>26_3-1/25&lt;lv54&gt;s3</v>
      </c>
      <c r="B772" s="16">
        <f t="shared" si="109"/>
        <v>26</v>
      </c>
      <c r="C772" s="16">
        <f t="shared" si="109"/>
        <v>3</v>
      </c>
      <c r="D772" s="16">
        <f t="shared" si="109"/>
        <v>1</v>
      </c>
      <c r="E772" s="16">
        <f t="shared" si="109"/>
        <v>25</v>
      </c>
      <c r="F772" s="16">
        <f t="shared" si="109"/>
        <v>54</v>
      </c>
      <c r="G772" s="16">
        <f t="shared" si="109"/>
        <v>1</v>
      </c>
      <c r="H772" s="16">
        <f t="shared" si="109"/>
        <v>1</v>
      </c>
      <c r="I772" s="16">
        <f t="shared" si="109"/>
        <v>0</v>
      </c>
      <c r="J772" s="16">
        <f t="shared" si="109"/>
        <v>0</v>
      </c>
      <c r="K772" s="16">
        <f t="shared" si="109"/>
        <v>0</v>
      </c>
      <c r="L772" s="16">
        <f t="shared" si="109"/>
        <v>100</v>
      </c>
      <c r="M772" s="16">
        <f t="shared" si="109"/>
        <v>0</v>
      </c>
      <c r="N772" s="16">
        <f t="shared" si="109"/>
        <v>3</v>
      </c>
      <c r="O772" s="16">
        <f t="shared" si="109"/>
        <v>25</v>
      </c>
      <c r="P772" s="16">
        <f t="shared" si="109"/>
        <v>7</v>
      </c>
      <c r="Q772" s="16">
        <f t="shared" si="109"/>
        <v>1</v>
      </c>
      <c r="R772" s="16">
        <f t="shared" si="108"/>
        <v>15</v>
      </c>
      <c r="S772" s="16">
        <f t="shared" si="108"/>
        <v>0</v>
      </c>
      <c r="T772" s="16">
        <f t="shared" si="108"/>
        <v>0</v>
      </c>
      <c r="U772" s="16">
        <f t="shared" si="108"/>
        <v>0</v>
      </c>
      <c r="V772" s="16">
        <f t="shared" si="108"/>
        <v>0</v>
      </c>
      <c r="W772" s="16">
        <f t="shared" si="108"/>
        <v>1</v>
      </c>
      <c r="X772" s="16" t="str">
        <f t="shared" si="108"/>
        <v>null</v>
      </c>
    </row>
    <row r="773" spans="1:24" x14ac:dyDescent="0.15">
      <c r="A773" s="20" t="str">
        <f t="shared" si="110"/>
        <v>26_3-1/348&lt;lv54&gt;s3</v>
      </c>
      <c r="B773" s="16">
        <f t="shared" si="109"/>
        <v>26</v>
      </c>
      <c r="C773" s="16">
        <f t="shared" si="109"/>
        <v>3</v>
      </c>
      <c r="D773" s="16">
        <f t="shared" si="109"/>
        <v>1</v>
      </c>
      <c r="E773" s="16">
        <f t="shared" si="109"/>
        <v>348</v>
      </c>
      <c r="F773" s="16">
        <f t="shared" si="109"/>
        <v>54</v>
      </c>
      <c r="G773" s="16">
        <f t="shared" si="109"/>
        <v>1</v>
      </c>
      <c r="H773" s="16">
        <f t="shared" si="109"/>
        <v>1</v>
      </c>
      <c r="I773" s="16">
        <f t="shared" si="109"/>
        <v>0</v>
      </c>
      <c r="J773" s="16">
        <f t="shared" si="109"/>
        <v>348</v>
      </c>
      <c r="K773" s="16">
        <f t="shared" si="109"/>
        <v>0</v>
      </c>
      <c r="L773" s="16">
        <f t="shared" si="109"/>
        <v>100</v>
      </c>
      <c r="M773" s="16">
        <f t="shared" si="109"/>
        <v>0</v>
      </c>
      <c r="N773" s="16">
        <f t="shared" si="109"/>
        <v>3</v>
      </c>
      <c r="O773" s="16">
        <f t="shared" si="109"/>
        <v>348</v>
      </c>
      <c r="P773" s="16">
        <f t="shared" si="109"/>
        <v>1</v>
      </c>
      <c r="Q773" s="16">
        <f t="shared" si="109"/>
        <v>2</v>
      </c>
      <c r="R773" s="16">
        <f t="shared" si="108"/>
        <v>29</v>
      </c>
      <c r="S773" s="16">
        <f t="shared" si="108"/>
        <v>0</v>
      </c>
      <c r="T773" s="16">
        <f t="shared" si="108"/>
        <v>0</v>
      </c>
      <c r="U773" s="16">
        <f t="shared" si="108"/>
        <v>0</v>
      </c>
      <c r="V773" s="16">
        <f t="shared" si="108"/>
        <v>0</v>
      </c>
      <c r="W773" s="16">
        <f t="shared" si="108"/>
        <v>1</v>
      </c>
      <c r="X773" s="16" t="str">
        <f t="shared" si="108"/>
        <v>null</v>
      </c>
    </row>
    <row r="774" spans="1:24" x14ac:dyDescent="0.15">
      <c r="A774" s="20" t="str">
        <f t="shared" si="110"/>
        <v>26_3-1/350&lt;lv54&gt;s3</v>
      </c>
      <c r="B774" s="16">
        <f t="shared" si="109"/>
        <v>26</v>
      </c>
      <c r="C774" s="16">
        <f t="shared" si="109"/>
        <v>3</v>
      </c>
      <c r="D774" s="16">
        <f t="shared" si="109"/>
        <v>1</v>
      </c>
      <c r="E774" s="16">
        <f t="shared" si="109"/>
        <v>350</v>
      </c>
      <c r="F774" s="16">
        <f t="shared" si="109"/>
        <v>54</v>
      </c>
      <c r="G774" s="16">
        <f t="shared" si="109"/>
        <v>1</v>
      </c>
      <c r="H774" s="16">
        <f t="shared" si="109"/>
        <v>1</v>
      </c>
      <c r="I774" s="16">
        <f t="shared" si="109"/>
        <v>0</v>
      </c>
      <c r="J774" s="16">
        <f t="shared" si="109"/>
        <v>350</v>
      </c>
      <c r="K774" s="16">
        <f t="shared" si="109"/>
        <v>0</v>
      </c>
      <c r="L774" s="16">
        <f t="shared" si="109"/>
        <v>100</v>
      </c>
      <c r="M774" s="16">
        <f t="shared" si="109"/>
        <v>0</v>
      </c>
      <c r="N774" s="16">
        <f t="shared" si="109"/>
        <v>3</v>
      </c>
      <c r="O774" s="16">
        <f t="shared" si="109"/>
        <v>350</v>
      </c>
      <c r="P774" s="16">
        <f t="shared" si="109"/>
        <v>1</v>
      </c>
      <c r="Q774" s="16">
        <f t="shared" si="109"/>
        <v>2</v>
      </c>
      <c r="R774" s="16">
        <f t="shared" si="108"/>
        <v>29</v>
      </c>
      <c r="S774" s="16">
        <f t="shared" si="108"/>
        <v>0</v>
      </c>
      <c r="T774" s="16">
        <f t="shared" si="108"/>
        <v>0</v>
      </c>
      <c r="U774" s="16">
        <f t="shared" si="108"/>
        <v>0</v>
      </c>
      <c r="V774" s="16">
        <f t="shared" si="108"/>
        <v>0</v>
      </c>
      <c r="W774" s="16">
        <f t="shared" si="108"/>
        <v>1</v>
      </c>
      <c r="X774" s="16" t="str">
        <f t="shared" si="108"/>
        <v>null</v>
      </c>
    </row>
    <row r="775" spans="1:24" x14ac:dyDescent="0.15">
      <c r="A775" s="20" t="str">
        <f t="shared" si="110"/>
        <v>26_3-2/33&lt;lv54&gt;s2</v>
      </c>
      <c r="B775" s="16">
        <f t="shared" si="109"/>
        <v>26</v>
      </c>
      <c r="C775" s="16">
        <f t="shared" si="109"/>
        <v>3</v>
      </c>
      <c r="D775" s="16">
        <f t="shared" si="109"/>
        <v>2</v>
      </c>
      <c r="E775" s="16">
        <f t="shared" si="109"/>
        <v>33</v>
      </c>
      <c r="F775" s="16">
        <f t="shared" si="109"/>
        <v>54</v>
      </c>
      <c r="G775" s="16">
        <f t="shared" si="109"/>
        <v>1</v>
      </c>
      <c r="H775" s="16">
        <f t="shared" si="109"/>
        <v>1</v>
      </c>
      <c r="I775" s="16">
        <f t="shared" si="109"/>
        <v>0</v>
      </c>
      <c r="J775" s="16">
        <f t="shared" si="109"/>
        <v>33</v>
      </c>
      <c r="K775" s="16">
        <f t="shared" si="109"/>
        <v>0</v>
      </c>
      <c r="L775" s="16">
        <f t="shared" si="109"/>
        <v>100</v>
      </c>
      <c r="M775" s="16">
        <f t="shared" si="109"/>
        <v>0</v>
      </c>
      <c r="N775" s="16">
        <f t="shared" si="109"/>
        <v>2</v>
      </c>
      <c r="O775" s="16">
        <f t="shared" si="109"/>
        <v>33</v>
      </c>
      <c r="P775" s="16">
        <f t="shared" si="109"/>
        <v>5</v>
      </c>
      <c r="Q775" s="16">
        <f t="shared" si="109"/>
        <v>2</v>
      </c>
      <c r="R775" s="16">
        <f t="shared" si="108"/>
        <v>20</v>
      </c>
      <c r="S775" s="16">
        <f t="shared" si="108"/>
        <v>0</v>
      </c>
      <c r="T775" s="16">
        <f t="shared" si="108"/>
        <v>0</v>
      </c>
      <c r="U775" s="16">
        <f t="shared" si="108"/>
        <v>0</v>
      </c>
      <c r="V775" s="16">
        <f t="shared" si="108"/>
        <v>0</v>
      </c>
      <c r="W775" s="16">
        <f t="shared" si="108"/>
        <v>1</v>
      </c>
      <c r="X775" s="16" t="str">
        <f t="shared" si="108"/>
        <v>null</v>
      </c>
    </row>
    <row r="776" spans="1:24" x14ac:dyDescent="0.15">
      <c r="A776" s="20" t="str">
        <f t="shared" si="110"/>
        <v>26_3-2/37&lt;lv54&gt;s3</v>
      </c>
      <c r="B776" s="16">
        <f t="shared" si="109"/>
        <v>26</v>
      </c>
      <c r="C776" s="16">
        <f t="shared" si="109"/>
        <v>3</v>
      </c>
      <c r="D776" s="16">
        <f t="shared" si="109"/>
        <v>2</v>
      </c>
      <c r="E776" s="16">
        <f t="shared" si="109"/>
        <v>37</v>
      </c>
      <c r="F776" s="16">
        <f t="shared" si="109"/>
        <v>54</v>
      </c>
      <c r="G776" s="16">
        <f t="shared" si="109"/>
        <v>1</v>
      </c>
      <c r="H776" s="16">
        <f t="shared" si="109"/>
        <v>1</v>
      </c>
      <c r="I776" s="16">
        <f t="shared" si="109"/>
        <v>0</v>
      </c>
      <c r="J776" s="16">
        <f t="shared" si="109"/>
        <v>37</v>
      </c>
      <c r="K776" s="16">
        <f t="shared" si="109"/>
        <v>0</v>
      </c>
      <c r="L776" s="16">
        <f t="shared" si="109"/>
        <v>100</v>
      </c>
      <c r="M776" s="16">
        <f t="shared" si="109"/>
        <v>0</v>
      </c>
      <c r="N776" s="16">
        <f t="shared" si="109"/>
        <v>3</v>
      </c>
      <c r="O776" s="16">
        <f t="shared" si="109"/>
        <v>37</v>
      </c>
      <c r="P776" s="16">
        <f t="shared" si="109"/>
        <v>5</v>
      </c>
      <c r="Q776" s="16">
        <f t="shared" si="109"/>
        <v>2</v>
      </c>
      <c r="R776" s="16">
        <f t="shared" si="108"/>
        <v>20</v>
      </c>
      <c r="S776" s="16">
        <f t="shared" si="108"/>
        <v>0</v>
      </c>
      <c r="T776" s="16">
        <f t="shared" si="108"/>
        <v>0</v>
      </c>
      <c r="U776" s="16">
        <f t="shared" si="108"/>
        <v>0</v>
      </c>
      <c r="V776" s="16">
        <f t="shared" si="108"/>
        <v>0</v>
      </c>
      <c r="W776" s="16">
        <f t="shared" si="108"/>
        <v>1</v>
      </c>
      <c r="X776" s="16" t="str">
        <f t="shared" si="108"/>
        <v>null</v>
      </c>
    </row>
    <row r="777" spans="1:24" x14ac:dyDescent="0.15">
      <c r="A777" s="20" t="str">
        <f t="shared" si="110"/>
        <v>26_3-2/45&lt;lv54&gt;s3</v>
      </c>
      <c r="B777" s="16">
        <f t="shared" si="109"/>
        <v>26</v>
      </c>
      <c r="C777" s="16">
        <f t="shared" si="109"/>
        <v>3</v>
      </c>
      <c r="D777" s="16">
        <f t="shared" si="109"/>
        <v>2</v>
      </c>
      <c r="E777" s="16">
        <f t="shared" si="109"/>
        <v>45</v>
      </c>
      <c r="F777" s="16">
        <f t="shared" si="109"/>
        <v>54</v>
      </c>
      <c r="G777" s="16">
        <f t="shared" si="109"/>
        <v>1</v>
      </c>
      <c r="H777" s="16">
        <f t="shared" si="109"/>
        <v>1</v>
      </c>
      <c r="I777" s="16">
        <f t="shared" si="109"/>
        <v>0</v>
      </c>
      <c r="J777" s="16">
        <f t="shared" si="109"/>
        <v>0</v>
      </c>
      <c r="K777" s="16">
        <f t="shared" si="109"/>
        <v>0</v>
      </c>
      <c r="L777" s="16">
        <f t="shared" si="109"/>
        <v>100</v>
      </c>
      <c r="M777" s="16">
        <f t="shared" si="109"/>
        <v>0</v>
      </c>
      <c r="N777" s="16">
        <f t="shared" si="109"/>
        <v>3</v>
      </c>
      <c r="O777" s="16">
        <f t="shared" si="109"/>
        <v>45</v>
      </c>
      <c r="P777" s="16">
        <f t="shared" si="109"/>
        <v>7</v>
      </c>
      <c r="Q777" s="16">
        <f t="shared" si="109"/>
        <v>2</v>
      </c>
      <c r="R777" s="16">
        <f t="shared" si="108"/>
        <v>20</v>
      </c>
      <c r="S777" s="16">
        <f t="shared" si="108"/>
        <v>0</v>
      </c>
      <c r="T777" s="16">
        <f t="shared" si="108"/>
        <v>0</v>
      </c>
      <c r="U777" s="16">
        <f t="shared" si="108"/>
        <v>0</v>
      </c>
      <c r="V777" s="16">
        <f t="shared" si="108"/>
        <v>0</v>
      </c>
      <c r="W777" s="16">
        <f t="shared" si="108"/>
        <v>1</v>
      </c>
      <c r="X777" s="16" t="str">
        <f t="shared" si="108"/>
        <v>null</v>
      </c>
    </row>
    <row r="778" spans="1:24" x14ac:dyDescent="0.15">
      <c r="A778" s="20" t="str">
        <f t="shared" si="110"/>
        <v>26_3-2/47&lt;lv54&gt;s1</v>
      </c>
      <c r="B778" s="16">
        <f t="shared" si="109"/>
        <v>26</v>
      </c>
      <c r="C778" s="16">
        <f t="shared" si="109"/>
        <v>3</v>
      </c>
      <c r="D778" s="16">
        <f t="shared" si="109"/>
        <v>2</v>
      </c>
      <c r="E778" s="16">
        <f t="shared" si="109"/>
        <v>47</v>
      </c>
      <c r="F778" s="16">
        <f t="shared" si="109"/>
        <v>54</v>
      </c>
      <c r="G778" s="16">
        <f t="shared" si="109"/>
        <v>1</v>
      </c>
      <c r="H778" s="16">
        <f t="shared" si="109"/>
        <v>1</v>
      </c>
      <c r="I778" s="16">
        <f t="shared" si="109"/>
        <v>0</v>
      </c>
      <c r="J778" s="16">
        <f t="shared" si="109"/>
        <v>0</v>
      </c>
      <c r="K778" s="16">
        <f t="shared" si="109"/>
        <v>0</v>
      </c>
      <c r="L778" s="16">
        <f t="shared" si="109"/>
        <v>100</v>
      </c>
      <c r="M778" s="16">
        <f t="shared" si="109"/>
        <v>0</v>
      </c>
      <c r="N778" s="16">
        <f t="shared" si="109"/>
        <v>1</v>
      </c>
      <c r="O778" s="16">
        <f t="shared" si="109"/>
        <v>47</v>
      </c>
      <c r="P778" s="16">
        <f t="shared" si="109"/>
        <v>7</v>
      </c>
      <c r="Q778" s="16">
        <f t="shared" si="109"/>
        <v>2</v>
      </c>
      <c r="R778" s="16">
        <f t="shared" si="108"/>
        <v>20</v>
      </c>
      <c r="S778" s="16">
        <f t="shared" si="108"/>
        <v>0</v>
      </c>
      <c r="T778" s="16">
        <f t="shared" si="108"/>
        <v>0</v>
      </c>
      <c r="U778" s="16">
        <f t="shared" si="108"/>
        <v>0</v>
      </c>
      <c r="V778" s="16">
        <f t="shared" si="108"/>
        <v>0</v>
      </c>
      <c r="W778" s="16">
        <f t="shared" si="108"/>
        <v>1</v>
      </c>
      <c r="X778" s="16" t="str">
        <f t="shared" si="108"/>
        <v>null</v>
      </c>
    </row>
    <row r="779" spans="1:24" x14ac:dyDescent="0.15">
      <c r="A779" s="20" t="str">
        <f t="shared" si="110"/>
        <v>26_3-2/57&lt;lv54&gt;s2</v>
      </c>
      <c r="B779" s="16">
        <f t="shared" si="109"/>
        <v>26</v>
      </c>
      <c r="C779" s="16">
        <f t="shared" si="109"/>
        <v>3</v>
      </c>
      <c r="D779" s="16">
        <f t="shared" si="109"/>
        <v>2</v>
      </c>
      <c r="E779" s="16">
        <f t="shared" si="109"/>
        <v>57</v>
      </c>
      <c r="F779" s="16">
        <f t="shared" si="109"/>
        <v>54</v>
      </c>
      <c r="G779" s="16">
        <f t="shared" si="109"/>
        <v>1</v>
      </c>
      <c r="H779" s="16">
        <f t="shared" si="109"/>
        <v>1</v>
      </c>
      <c r="I779" s="16">
        <f t="shared" si="109"/>
        <v>0</v>
      </c>
      <c r="J779" s="16">
        <f t="shared" si="109"/>
        <v>57</v>
      </c>
      <c r="K779" s="16">
        <f t="shared" si="109"/>
        <v>0</v>
      </c>
      <c r="L779" s="16">
        <f t="shared" si="109"/>
        <v>100</v>
      </c>
      <c r="M779" s="16">
        <f t="shared" si="109"/>
        <v>0</v>
      </c>
      <c r="N779" s="16">
        <f t="shared" si="109"/>
        <v>2</v>
      </c>
      <c r="O779" s="16">
        <f t="shared" si="109"/>
        <v>57</v>
      </c>
      <c r="P779" s="16">
        <f t="shared" si="109"/>
        <v>7</v>
      </c>
      <c r="Q779" s="16">
        <f t="shared" si="109"/>
        <v>2</v>
      </c>
      <c r="R779" s="16">
        <f t="shared" si="108"/>
        <v>20</v>
      </c>
      <c r="S779" s="16">
        <f t="shared" si="108"/>
        <v>0</v>
      </c>
      <c r="T779" s="16">
        <f t="shared" si="108"/>
        <v>0</v>
      </c>
      <c r="U779" s="16">
        <f t="shared" si="108"/>
        <v>0</v>
      </c>
      <c r="V779" s="16">
        <f t="shared" si="108"/>
        <v>0</v>
      </c>
      <c r="W779" s="16">
        <f t="shared" si="108"/>
        <v>1</v>
      </c>
      <c r="X779" s="16" t="str">
        <f t="shared" si="108"/>
        <v>null</v>
      </c>
    </row>
    <row r="780" spans="1:24" x14ac:dyDescent="0.15">
      <c r="A780" s="20" t="str">
        <f t="shared" si="110"/>
        <v>26_3-2/59&lt;lv54&gt;s2</v>
      </c>
      <c r="B780" s="16">
        <f t="shared" si="109"/>
        <v>26</v>
      </c>
      <c r="C780" s="16">
        <f t="shared" si="109"/>
        <v>3</v>
      </c>
      <c r="D780" s="16">
        <f t="shared" si="109"/>
        <v>2</v>
      </c>
      <c r="E780" s="16">
        <f t="shared" si="109"/>
        <v>59</v>
      </c>
      <c r="F780" s="16">
        <f t="shared" si="109"/>
        <v>54</v>
      </c>
      <c r="G780" s="16">
        <f t="shared" si="109"/>
        <v>1</v>
      </c>
      <c r="H780" s="16">
        <f t="shared" si="109"/>
        <v>1</v>
      </c>
      <c r="I780" s="16">
        <f t="shared" si="109"/>
        <v>0</v>
      </c>
      <c r="J780" s="16">
        <f t="shared" si="109"/>
        <v>59</v>
      </c>
      <c r="K780" s="16">
        <f t="shared" si="109"/>
        <v>0</v>
      </c>
      <c r="L780" s="16">
        <f t="shared" si="109"/>
        <v>100</v>
      </c>
      <c r="M780" s="16">
        <f t="shared" si="109"/>
        <v>0</v>
      </c>
      <c r="N780" s="16">
        <f t="shared" si="109"/>
        <v>2</v>
      </c>
      <c r="O780" s="16">
        <f t="shared" si="109"/>
        <v>59</v>
      </c>
      <c r="P780" s="16">
        <f t="shared" si="109"/>
        <v>7</v>
      </c>
      <c r="Q780" s="16">
        <f t="shared" si="109"/>
        <v>2</v>
      </c>
      <c r="R780" s="16">
        <f t="shared" si="108"/>
        <v>20</v>
      </c>
      <c r="S780" s="16">
        <f t="shared" si="108"/>
        <v>0</v>
      </c>
      <c r="T780" s="16">
        <f t="shared" si="108"/>
        <v>0</v>
      </c>
      <c r="U780" s="16">
        <f t="shared" si="108"/>
        <v>0</v>
      </c>
      <c r="V780" s="16">
        <f t="shared" si="108"/>
        <v>0</v>
      </c>
      <c r="W780" s="16">
        <f t="shared" si="108"/>
        <v>1</v>
      </c>
      <c r="X780" s="16" t="str">
        <f t="shared" si="108"/>
        <v>null</v>
      </c>
    </row>
    <row r="781" spans="1:24" x14ac:dyDescent="0.15">
      <c r="A781" s="20" t="str">
        <f t="shared" si="110"/>
        <v>26_3-2/61&lt;lv54&gt;s2</v>
      </c>
      <c r="B781" s="16">
        <f t="shared" si="109"/>
        <v>26</v>
      </c>
      <c r="C781" s="16">
        <f t="shared" si="109"/>
        <v>3</v>
      </c>
      <c r="D781" s="16">
        <f t="shared" si="109"/>
        <v>2</v>
      </c>
      <c r="E781" s="16">
        <f t="shared" si="109"/>
        <v>61</v>
      </c>
      <c r="F781" s="16">
        <f t="shared" si="109"/>
        <v>54</v>
      </c>
      <c r="G781" s="16">
        <f t="shared" si="109"/>
        <v>1</v>
      </c>
      <c r="H781" s="16">
        <f t="shared" si="109"/>
        <v>1</v>
      </c>
      <c r="I781" s="16">
        <f t="shared" si="109"/>
        <v>0</v>
      </c>
      <c r="J781" s="16">
        <f t="shared" si="109"/>
        <v>61</v>
      </c>
      <c r="K781" s="16">
        <f t="shared" si="109"/>
        <v>0</v>
      </c>
      <c r="L781" s="16">
        <f t="shared" si="109"/>
        <v>100</v>
      </c>
      <c r="M781" s="16">
        <f t="shared" si="109"/>
        <v>0</v>
      </c>
      <c r="N781" s="16">
        <f t="shared" si="109"/>
        <v>2</v>
      </c>
      <c r="O781" s="16">
        <f t="shared" si="109"/>
        <v>61</v>
      </c>
      <c r="P781" s="16">
        <f t="shared" si="109"/>
        <v>7</v>
      </c>
      <c r="Q781" s="16">
        <f t="shared" si="109"/>
        <v>2</v>
      </c>
      <c r="R781" s="16">
        <f t="shared" si="108"/>
        <v>20</v>
      </c>
      <c r="S781" s="16">
        <f t="shared" si="108"/>
        <v>0</v>
      </c>
      <c r="T781" s="16">
        <f t="shared" si="108"/>
        <v>0</v>
      </c>
      <c r="U781" s="16">
        <f t="shared" si="108"/>
        <v>0</v>
      </c>
      <c r="V781" s="16">
        <f t="shared" si="108"/>
        <v>0</v>
      </c>
      <c r="W781" s="16">
        <f t="shared" si="108"/>
        <v>1</v>
      </c>
      <c r="X781" s="16" t="str">
        <f t="shared" si="108"/>
        <v>null</v>
      </c>
    </row>
    <row r="782" spans="1:24" x14ac:dyDescent="0.15">
      <c r="A782" s="20" t="str">
        <f t="shared" si="110"/>
        <v>26_3-2/63&lt;lv54&gt;s2</v>
      </c>
      <c r="B782" s="16">
        <f t="shared" si="109"/>
        <v>26</v>
      </c>
      <c r="C782" s="16">
        <f t="shared" si="109"/>
        <v>3</v>
      </c>
      <c r="D782" s="16">
        <f t="shared" si="109"/>
        <v>2</v>
      </c>
      <c r="E782" s="16">
        <f t="shared" si="109"/>
        <v>63</v>
      </c>
      <c r="F782" s="16">
        <f t="shared" si="109"/>
        <v>54</v>
      </c>
      <c r="G782" s="16">
        <f t="shared" si="109"/>
        <v>1</v>
      </c>
      <c r="H782" s="16">
        <f t="shared" si="109"/>
        <v>1</v>
      </c>
      <c r="I782" s="16">
        <f t="shared" si="109"/>
        <v>0</v>
      </c>
      <c r="J782" s="16">
        <f t="shared" si="109"/>
        <v>63</v>
      </c>
      <c r="K782" s="16">
        <f t="shared" si="109"/>
        <v>0</v>
      </c>
      <c r="L782" s="16">
        <f t="shared" si="109"/>
        <v>100</v>
      </c>
      <c r="M782" s="16">
        <f t="shared" si="109"/>
        <v>0</v>
      </c>
      <c r="N782" s="16">
        <f t="shared" si="109"/>
        <v>2</v>
      </c>
      <c r="O782" s="16">
        <f t="shared" si="109"/>
        <v>63</v>
      </c>
      <c r="P782" s="16">
        <f t="shared" si="109"/>
        <v>7</v>
      </c>
      <c r="Q782" s="16">
        <f t="shared" ref="Q782:W797" si="111">VLOOKUP($A782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782" s="16">
        <f t="shared" si="111"/>
        <v>20</v>
      </c>
      <c r="S782" s="16">
        <f t="shared" si="111"/>
        <v>0</v>
      </c>
      <c r="T782" s="16">
        <f t="shared" si="111"/>
        <v>0</v>
      </c>
      <c r="U782" s="16">
        <f t="shared" si="111"/>
        <v>0</v>
      </c>
      <c r="V782" s="16">
        <f t="shared" si="111"/>
        <v>0</v>
      </c>
      <c r="W782" s="16">
        <f t="shared" si="111"/>
        <v>1</v>
      </c>
      <c r="X782" s="16" t="str">
        <f t="shared" si="108"/>
        <v>null</v>
      </c>
    </row>
    <row r="783" spans="1:24" x14ac:dyDescent="0.15">
      <c r="A783" s="20" t="str">
        <f t="shared" si="110"/>
        <v>26_3-2/360&lt;lv54&gt;s3</v>
      </c>
      <c r="B783" s="16">
        <f t="shared" ref="B783:Q798" si="112">VLOOKUP($A783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783" s="16">
        <f t="shared" si="112"/>
        <v>3</v>
      </c>
      <c r="D783" s="16">
        <f t="shared" si="112"/>
        <v>2</v>
      </c>
      <c r="E783" s="16">
        <f t="shared" si="112"/>
        <v>360</v>
      </c>
      <c r="F783" s="16">
        <f t="shared" si="112"/>
        <v>54</v>
      </c>
      <c r="G783" s="16">
        <f t="shared" si="112"/>
        <v>1</v>
      </c>
      <c r="H783" s="16">
        <f t="shared" si="112"/>
        <v>1</v>
      </c>
      <c r="I783" s="16">
        <f t="shared" si="112"/>
        <v>0</v>
      </c>
      <c r="J783" s="16">
        <f t="shared" si="112"/>
        <v>360</v>
      </c>
      <c r="K783" s="16">
        <f t="shared" si="112"/>
        <v>0</v>
      </c>
      <c r="L783" s="16">
        <f t="shared" si="112"/>
        <v>100</v>
      </c>
      <c r="M783" s="16">
        <f t="shared" si="112"/>
        <v>0</v>
      </c>
      <c r="N783" s="16">
        <f t="shared" si="112"/>
        <v>3</v>
      </c>
      <c r="O783" s="16">
        <f t="shared" si="112"/>
        <v>360</v>
      </c>
      <c r="P783" s="16">
        <f t="shared" si="112"/>
        <v>7</v>
      </c>
      <c r="Q783" s="16">
        <f t="shared" si="112"/>
        <v>2</v>
      </c>
      <c r="R783" s="16">
        <f t="shared" si="111"/>
        <v>20</v>
      </c>
      <c r="S783" s="16">
        <f t="shared" si="111"/>
        <v>0</v>
      </c>
      <c r="T783" s="16">
        <f t="shared" si="111"/>
        <v>0</v>
      </c>
      <c r="U783" s="16">
        <f t="shared" si="111"/>
        <v>0</v>
      </c>
      <c r="V783" s="16">
        <f t="shared" si="111"/>
        <v>0</v>
      </c>
      <c r="W783" s="16">
        <f t="shared" si="111"/>
        <v>1</v>
      </c>
      <c r="X783" s="16" t="str">
        <f t="shared" si="108"/>
        <v>null</v>
      </c>
    </row>
    <row r="784" spans="1:24" x14ac:dyDescent="0.15">
      <c r="A784" s="20" t="str">
        <f t="shared" si="110"/>
        <v>26_3-2/362&lt;lv54&gt;s3</v>
      </c>
      <c r="B784" s="16">
        <f t="shared" si="112"/>
        <v>26</v>
      </c>
      <c r="C784" s="16">
        <f t="shared" si="112"/>
        <v>3</v>
      </c>
      <c r="D784" s="16">
        <f t="shared" si="112"/>
        <v>2</v>
      </c>
      <c r="E784" s="16">
        <f t="shared" si="112"/>
        <v>362</v>
      </c>
      <c r="F784" s="16">
        <f t="shared" si="112"/>
        <v>54</v>
      </c>
      <c r="G784" s="16">
        <f t="shared" si="112"/>
        <v>1</v>
      </c>
      <c r="H784" s="16">
        <f t="shared" si="112"/>
        <v>1</v>
      </c>
      <c r="I784" s="16">
        <f t="shared" si="112"/>
        <v>0</v>
      </c>
      <c r="J784" s="16">
        <f t="shared" si="112"/>
        <v>362</v>
      </c>
      <c r="K784" s="16">
        <f t="shared" si="112"/>
        <v>0</v>
      </c>
      <c r="L784" s="16">
        <f t="shared" si="112"/>
        <v>100</v>
      </c>
      <c r="M784" s="16">
        <f t="shared" si="112"/>
        <v>0</v>
      </c>
      <c r="N784" s="16">
        <f t="shared" si="112"/>
        <v>3</v>
      </c>
      <c r="O784" s="16">
        <f t="shared" si="112"/>
        <v>362</v>
      </c>
      <c r="P784" s="16">
        <f t="shared" si="112"/>
        <v>7</v>
      </c>
      <c r="Q784" s="16">
        <f t="shared" si="112"/>
        <v>2</v>
      </c>
      <c r="R784" s="16">
        <f t="shared" si="111"/>
        <v>20</v>
      </c>
      <c r="S784" s="16">
        <f t="shared" si="111"/>
        <v>0</v>
      </c>
      <c r="T784" s="16">
        <f t="shared" si="111"/>
        <v>0</v>
      </c>
      <c r="U784" s="16">
        <f t="shared" si="111"/>
        <v>0</v>
      </c>
      <c r="V784" s="16">
        <f t="shared" si="111"/>
        <v>0</v>
      </c>
      <c r="W784" s="16">
        <f t="shared" si="111"/>
        <v>1</v>
      </c>
      <c r="X784" s="16" t="str">
        <f t="shared" si="108"/>
        <v>null</v>
      </c>
    </row>
    <row r="785" spans="1:24" x14ac:dyDescent="0.15">
      <c r="A785" s="20" t="str">
        <f t="shared" si="110"/>
        <v>26_3-2/364&lt;lv54&gt;s3</v>
      </c>
      <c r="B785" s="16">
        <f t="shared" si="112"/>
        <v>26</v>
      </c>
      <c r="C785" s="16">
        <f t="shared" si="112"/>
        <v>3</v>
      </c>
      <c r="D785" s="16">
        <f t="shared" si="112"/>
        <v>2</v>
      </c>
      <c r="E785" s="16">
        <f t="shared" si="112"/>
        <v>364</v>
      </c>
      <c r="F785" s="16">
        <f t="shared" si="112"/>
        <v>54</v>
      </c>
      <c r="G785" s="16">
        <f t="shared" si="112"/>
        <v>1</v>
      </c>
      <c r="H785" s="16">
        <f t="shared" si="112"/>
        <v>1</v>
      </c>
      <c r="I785" s="16">
        <f t="shared" si="112"/>
        <v>0</v>
      </c>
      <c r="J785" s="16">
        <f t="shared" si="112"/>
        <v>364</v>
      </c>
      <c r="K785" s="16">
        <f t="shared" si="112"/>
        <v>0</v>
      </c>
      <c r="L785" s="16">
        <f t="shared" si="112"/>
        <v>100</v>
      </c>
      <c r="M785" s="16">
        <f t="shared" si="112"/>
        <v>0</v>
      </c>
      <c r="N785" s="16">
        <f t="shared" si="112"/>
        <v>3</v>
      </c>
      <c r="O785" s="16">
        <f t="shared" si="112"/>
        <v>364</v>
      </c>
      <c r="P785" s="16">
        <f t="shared" si="112"/>
        <v>7</v>
      </c>
      <c r="Q785" s="16">
        <f t="shared" si="112"/>
        <v>2</v>
      </c>
      <c r="R785" s="16">
        <f t="shared" si="111"/>
        <v>20</v>
      </c>
      <c r="S785" s="16">
        <f t="shared" si="111"/>
        <v>0</v>
      </c>
      <c r="T785" s="16">
        <f t="shared" si="111"/>
        <v>0</v>
      </c>
      <c r="U785" s="16">
        <f t="shared" si="111"/>
        <v>0</v>
      </c>
      <c r="V785" s="16">
        <f t="shared" si="111"/>
        <v>0</v>
      </c>
      <c r="W785" s="16">
        <f t="shared" si="111"/>
        <v>1</v>
      </c>
      <c r="X785" s="16" t="str">
        <f t="shared" si="108"/>
        <v>null</v>
      </c>
    </row>
    <row r="786" spans="1:24" x14ac:dyDescent="0.15">
      <c r="A786" s="20" t="str">
        <f t="shared" si="110"/>
        <v>26_3-2/366&lt;lv54&gt;s3</v>
      </c>
      <c r="B786" s="16">
        <f t="shared" si="112"/>
        <v>26</v>
      </c>
      <c r="C786" s="16">
        <f t="shared" si="112"/>
        <v>3</v>
      </c>
      <c r="D786" s="16">
        <f t="shared" si="112"/>
        <v>2</v>
      </c>
      <c r="E786" s="16">
        <f t="shared" si="112"/>
        <v>366</v>
      </c>
      <c r="F786" s="16">
        <f t="shared" si="112"/>
        <v>54</v>
      </c>
      <c r="G786" s="16">
        <f t="shared" si="112"/>
        <v>1</v>
      </c>
      <c r="H786" s="16">
        <f t="shared" si="112"/>
        <v>1</v>
      </c>
      <c r="I786" s="16">
        <f t="shared" si="112"/>
        <v>0</v>
      </c>
      <c r="J786" s="16">
        <f t="shared" si="112"/>
        <v>366</v>
      </c>
      <c r="K786" s="16">
        <f t="shared" si="112"/>
        <v>0</v>
      </c>
      <c r="L786" s="16">
        <f t="shared" si="112"/>
        <v>100</v>
      </c>
      <c r="M786" s="16">
        <f t="shared" si="112"/>
        <v>0</v>
      </c>
      <c r="N786" s="16">
        <f t="shared" si="112"/>
        <v>3</v>
      </c>
      <c r="O786" s="16">
        <f t="shared" si="112"/>
        <v>366</v>
      </c>
      <c r="P786" s="16">
        <f t="shared" si="112"/>
        <v>7</v>
      </c>
      <c r="Q786" s="16">
        <f t="shared" si="112"/>
        <v>2</v>
      </c>
      <c r="R786" s="16">
        <f t="shared" si="111"/>
        <v>20</v>
      </c>
      <c r="S786" s="16">
        <f t="shared" si="111"/>
        <v>0</v>
      </c>
      <c r="T786" s="16">
        <f t="shared" si="111"/>
        <v>0</v>
      </c>
      <c r="U786" s="16">
        <f t="shared" si="111"/>
        <v>0</v>
      </c>
      <c r="V786" s="16">
        <f t="shared" si="111"/>
        <v>0</v>
      </c>
      <c r="W786" s="16">
        <f t="shared" si="111"/>
        <v>1</v>
      </c>
      <c r="X786" s="16" t="str">
        <f t="shared" si="108"/>
        <v>null</v>
      </c>
    </row>
    <row r="787" spans="1:24" x14ac:dyDescent="0.15">
      <c r="A787" s="20" t="str">
        <f t="shared" si="110"/>
        <v>26_3-2/352&lt;lv54&gt;s3</v>
      </c>
      <c r="B787" s="16">
        <f t="shared" si="112"/>
        <v>26</v>
      </c>
      <c r="C787" s="16">
        <f t="shared" si="112"/>
        <v>3</v>
      </c>
      <c r="D787" s="16">
        <f t="shared" si="112"/>
        <v>2</v>
      </c>
      <c r="E787" s="16">
        <f t="shared" si="112"/>
        <v>352</v>
      </c>
      <c r="F787" s="16">
        <f t="shared" si="112"/>
        <v>54</v>
      </c>
      <c r="G787" s="16">
        <f t="shared" si="112"/>
        <v>1</v>
      </c>
      <c r="H787" s="16">
        <f t="shared" si="112"/>
        <v>1</v>
      </c>
      <c r="I787" s="16">
        <f t="shared" si="112"/>
        <v>0</v>
      </c>
      <c r="J787" s="16">
        <f t="shared" si="112"/>
        <v>352</v>
      </c>
      <c r="K787" s="16">
        <f t="shared" si="112"/>
        <v>0</v>
      </c>
      <c r="L787" s="16">
        <f t="shared" si="112"/>
        <v>100</v>
      </c>
      <c r="M787" s="16">
        <f t="shared" si="112"/>
        <v>0</v>
      </c>
      <c r="N787" s="16">
        <f t="shared" si="112"/>
        <v>3</v>
      </c>
      <c r="O787" s="16">
        <f t="shared" si="112"/>
        <v>352</v>
      </c>
      <c r="P787" s="16">
        <f t="shared" si="112"/>
        <v>1</v>
      </c>
      <c r="Q787" s="16">
        <f t="shared" si="112"/>
        <v>2</v>
      </c>
      <c r="R787" s="16">
        <f t="shared" si="111"/>
        <v>29</v>
      </c>
      <c r="S787" s="16">
        <f t="shared" si="111"/>
        <v>0</v>
      </c>
      <c r="T787" s="16">
        <f t="shared" si="111"/>
        <v>0</v>
      </c>
      <c r="U787" s="16">
        <f t="shared" si="111"/>
        <v>0</v>
      </c>
      <c r="V787" s="16">
        <f t="shared" si="111"/>
        <v>0</v>
      </c>
      <c r="W787" s="16">
        <f t="shared" si="111"/>
        <v>1</v>
      </c>
      <c r="X787" s="16" t="str">
        <f t="shared" si="108"/>
        <v>null</v>
      </c>
    </row>
    <row r="788" spans="1:24" x14ac:dyDescent="0.15">
      <c r="A788" s="20" t="str">
        <f t="shared" si="110"/>
        <v>26_3-2/354&lt;lv54&gt;s3</v>
      </c>
      <c r="B788" s="16">
        <f t="shared" si="112"/>
        <v>26</v>
      </c>
      <c r="C788" s="16">
        <f t="shared" si="112"/>
        <v>3</v>
      </c>
      <c r="D788" s="16">
        <f t="shared" si="112"/>
        <v>2</v>
      </c>
      <c r="E788" s="16">
        <f t="shared" si="112"/>
        <v>354</v>
      </c>
      <c r="F788" s="16">
        <f t="shared" si="112"/>
        <v>54</v>
      </c>
      <c r="G788" s="16">
        <f t="shared" si="112"/>
        <v>1</v>
      </c>
      <c r="H788" s="16">
        <f t="shared" si="112"/>
        <v>1</v>
      </c>
      <c r="I788" s="16">
        <f t="shared" si="112"/>
        <v>0</v>
      </c>
      <c r="J788" s="16">
        <f t="shared" si="112"/>
        <v>354</v>
      </c>
      <c r="K788" s="16">
        <f t="shared" si="112"/>
        <v>0</v>
      </c>
      <c r="L788" s="16">
        <f t="shared" si="112"/>
        <v>100</v>
      </c>
      <c r="M788" s="16">
        <f t="shared" si="112"/>
        <v>0</v>
      </c>
      <c r="N788" s="16">
        <f t="shared" si="112"/>
        <v>3</v>
      </c>
      <c r="O788" s="16">
        <f t="shared" si="112"/>
        <v>354</v>
      </c>
      <c r="P788" s="16">
        <f t="shared" si="112"/>
        <v>1</v>
      </c>
      <c r="Q788" s="16">
        <f t="shared" si="112"/>
        <v>2</v>
      </c>
      <c r="R788" s="16">
        <f t="shared" si="111"/>
        <v>29</v>
      </c>
      <c r="S788" s="16">
        <f t="shared" si="111"/>
        <v>0</v>
      </c>
      <c r="T788" s="16">
        <f t="shared" si="111"/>
        <v>0</v>
      </c>
      <c r="U788" s="16">
        <f t="shared" si="111"/>
        <v>0</v>
      </c>
      <c r="V788" s="16">
        <f t="shared" si="111"/>
        <v>0</v>
      </c>
      <c r="W788" s="16">
        <f t="shared" si="111"/>
        <v>1</v>
      </c>
      <c r="X788" s="16" t="str">
        <f t="shared" si="108"/>
        <v>null</v>
      </c>
    </row>
    <row r="789" spans="1:24" x14ac:dyDescent="0.15">
      <c r="A789" s="20" t="str">
        <f t="shared" si="110"/>
        <v>26_3-3/89&lt;lv54&gt;s2</v>
      </c>
      <c r="B789" s="16">
        <f t="shared" si="112"/>
        <v>26</v>
      </c>
      <c r="C789" s="16">
        <f t="shared" si="112"/>
        <v>3</v>
      </c>
      <c r="D789" s="16">
        <f t="shared" si="112"/>
        <v>3</v>
      </c>
      <c r="E789" s="16">
        <f t="shared" si="112"/>
        <v>89</v>
      </c>
      <c r="F789" s="16">
        <f t="shared" si="112"/>
        <v>54</v>
      </c>
      <c r="G789" s="16">
        <f t="shared" si="112"/>
        <v>2</v>
      </c>
      <c r="H789" s="16">
        <f t="shared" si="112"/>
        <v>1.6</v>
      </c>
      <c r="I789" s="16">
        <f t="shared" si="112"/>
        <v>0</v>
      </c>
      <c r="J789" s="16">
        <f t="shared" si="112"/>
        <v>8902</v>
      </c>
      <c r="K789" s="16">
        <f t="shared" si="112"/>
        <v>0</v>
      </c>
      <c r="L789" s="16">
        <f t="shared" si="112"/>
        <v>100</v>
      </c>
      <c r="M789" s="16">
        <f t="shared" si="112"/>
        <v>0</v>
      </c>
      <c r="N789" s="16">
        <f t="shared" si="112"/>
        <v>2</v>
      </c>
      <c r="O789" s="16">
        <f t="shared" si="112"/>
        <v>88</v>
      </c>
      <c r="P789" s="16">
        <f t="shared" si="112"/>
        <v>9</v>
      </c>
      <c r="Q789" s="16">
        <f t="shared" si="112"/>
        <v>3</v>
      </c>
      <c r="R789" s="16">
        <f t="shared" si="111"/>
        <v>0</v>
      </c>
      <c r="S789" s="16">
        <f t="shared" si="111"/>
        <v>0</v>
      </c>
      <c r="T789" s="16">
        <f t="shared" si="111"/>
        <v>0</v>
      </c>
      <c r="U789" s="16">
        <f t="shared" si="111"/>
        <v>0</v>
      </c>
      <c r="V789" s="16">
        <f t="shared" si="111"/>
        <v>0</v>
      </c>
      <c r="W789" s="16">
        <f t="shared" si="111"/>
        <v>1</v>
      </c>
      <c r="X789" s="16" t="str">
        <f t="shared" si="108"/>
        <v>null</v>
      </c>
    </row>
    <row r="790" spans="1:24" x14ac:dyDescent="0.15">
      <c r="A790" s="20" t="str">
        <f t="shared" si="110"/>
        <v>26_3-4/9&lt;lv54&gt;s2</v>
      </c>
      <c r="B790" s="16">
        <f t="shared" si="112"/>
        <v>26</v>
      </c>
      <c r="C790" s="16">
        <f t="shared" si="112"/>
        <v>3</v>
      </c>
      <c r="D790" s="16">
        <f t="shared" si="112"/>
        <v>4</v>
      </c>
      <c r="E790" s="16">
        <f t="shared" si="112"/>
        <v>9</v>
      </c>
      <c r="F790" s="16">
        <f t="shared" si="112"/>
        <v>54</v>
      </c>
      <c r="G790" s="16">
        <f t="shared" si="112"/>
        <v>1</v>
      </c>
      <c r="H790" s="16">
        <f t="shared" si="112"/>
        <v>1</v>
      </c>
      <c r="I790" s="16">
        <f t="shared" si="112"/>
        <v>0</v>
      </c>
      <c r="J790" s="16">
        <f t="shared" si="112"/>
        <v>0</v>
      </c>
      <c r="K790" s="16">
        <f t="shared" si="112"/>
        <v>0</v>
      </c>
      <c r="L790" s="16">
        <f t="shared" si="112"/>
        <v>100</v>
      </c>
      <c r="M790" s="16">
        <f t="shared" si="112"/>
        <v>0</v>
      </c>
      <c r="N790" s="16">
        <f t="shared" si="112"/>
        <v>2</v>
      </c>
      <c r="O790" s="16">
        <f t="shared" si="112"/>
        <v>9</v>
      </c>
      <c r="P790" s="16">
        <f t="shared" si="112"/>
        <v>9</v>
      </c>
      <c r="Q790" s="16">
        <f t="shared" si="112"/>
        <v>1</v>
      </c>
      <c r="R790" s="16">
        <f t="shared" si="111"/>
        <v>15</v>
      </c>
      <c r="S790" s="16">
        <f t="shared" si="111"/>
        <v>0</v>
      </c>
      <c r="T790" s="16">
        <f t="shared" si="111"/>
        <v>0</v>
      </c>
      <c r="U790" s="16">
        <f t="shared" si="111"/>
        <v>0</v>
      </c>
      <c r="V790" s="16">
        <f t="shared" si="111"/>
        <v>0</v>
      </c>
      <c r="W790" s="16">
        <f t="shared" si="111"/>
        <v>1</v>
      </c>
      <c r="X790" s="16" t="str">
        <f t="shared" si="108"/>
        <v>null</v>
      </c>
    </row>
    <row r="791" spans="1:24" x14ac:dyDescent="0.15">
      <c r="A791" s="20" t="str">
        <f t="shared" si="110"/>
        <v>26_3-4/11&lt;lv54&gt;s3</v>
      </c>
      <c r="B791" s="16">
        <f t="shared" si="112"/>
        <v>26</v>
      </c>
      <c r="C791" s="16">
        <f t="shared" si="112"/>
        <v>3</v>
      </c>
      <c r="D791" s="16">
        <f t="shared" si="112"/>
        <v>4</v>
      </c>
      <c r="E791" s="16">
        <f t="shared" si="112"/>
        <v>11</v>
      </c>
      <c r="F791" s="16">
        <f t="shared" si="112"/>
        <v>54</v>
      </c>
      <c r="G791" s="16">
        <f t="shared" si="112"/>
        <v>1</v>
      </c>
      <c r="H791" s="16">
        <f t="shared" si="112"/>
        <v>1</v>
      </c>
      <c r="I791" s="16">
        <f t="shared" si="112"/>
        <v>0</v>
      </c>
      <c r="J791" s="16">
        <f t="shared" si="112"/>
        <v>0</v>
      </c>
      <c r="K791" s="16">
        <f t="shared" si="112"/>
        <v>0</v>
      </c>
      <c r="L791" s="16">
        <f t="shared" si="112"/>
        <v>100</v>
      </c>
      <c r="M791" s="16">
        <f t="shared" si="112"/>
        <v>0</v>
      </c>
      <c r="N791" s="16">
        <f t="shared" si="112"/>
        <v>3</v>
      </c>
      <c r="O791" s="16">
        <f t="shared" si="112"/>
        <v>11</v>
      </c>
      <c r="P791" s="16">
        <f t="shared" si="112"/>
        <v>9</v>
      </c>
      <c r="Q791" s="16">
        <f t="shared" si="112"/>
        <v>1</v>
      </c>
      <c r="R791" s="16">
        <f t="shared" si="111"/>
        <v>15</v>
      </c>
      <c r="S791" s="16">
        <f t="shared" si="111"/>
        <v>0</v>
      </c>
      <c r="T791" s="16">
        <f t="shared" si="111"/>
        <v>0</v>
      </c>
      <c r="U791" s="16">
        <f t="shared" si="111"/>
        <v>0</v>
      </c>
      <c r="V791" s="16">
        <f t="shared" si="111"/>
        <v>0</v>
      </c>
      <c r="W791" s="16">
        <f t="shared" si="111"/>
        <v>1</v>
      </c>
      <c r="X791" s="16" t="str">
        <f t="shared" si="108"/>
        <v>null</v>
      </c>
    </row>
    <row r="792" spans="1:24" x14ac:dyDescent="0.15">
      <c r="A792" s="20" t="str">
        <f t="shared" si="110"/>
        <v>26_3-4/13&lt;lv54&gt;s2</v>
      </c>
      <c r="B792" s="16">
        <f t="shared" si="112"/>
        <v>26</v>
      </c>
      <c r="C792" s="16">
        <f t="shared" si="112"/>
        <v>3</v>
      </c>
      <c r="D792" s="16">
        <f t="shared" si="112"/>
        <v>4</v>
      </c>
      <c r="E792" s="16">
        <f t="shared" si="112"/>
        <v>13</v>
      </c>
      <c r="F792" s="16">
        <f t="shared" si="112"/>
        <v>54</v>
      </c>
      <c r="G792" s="16">
        <f t="shared" si="112"/>
        <v>1</v>
      </c>
      <c r="H792" s="16">
        <f t="shared" si="112"/>
        <v>1</v>
      </c>
      <c r="I792" s="16">
        <f t="shared" si="112"/>
        <v>0</v>
      </c>
      <c r="J792" s="16">
        <f t="shared" si="112"/>
        <v>0</v>
      </c>
      <c r="K792" s="16">
        <f t="shared" si="112"/>
        <v>0</v>
      </c>
      <c r="L792" s="16">
        <f t="shared" si="112"/>
        <v>100</v>
      </c>
      <c r="M792" s="16">
        <f t="shared" si="112"/>
        <v>0</v>
      </c>
      <c r="N792" s="16">
        <f t="shared" si="112"/>
        <v>2</v>
      </c>
      <c r="O792" s="16">
        <f t="shared" si="112"/>
        <v>13</v>
      </c>
      <c r="P792" s="16">
        <f t="shared" si="112"/>
        <v>9</v>
      </c>
      <c r="Q792" s="16">
        <f t="shared" si="112"/>
        <v>1</v>
      </c>
      <c r="R792" s="16">
        <f t="shared" si="111"/>
        <v>15</v>
      </c>
      <c r="S792" s="16">
        <f t="shared" si="111"/>
        <v>0</v>
      </c>
      <c r="T792" s="16">
        <f t="shared" si="111"/>
        <v>0</v>
      </c>
      <c r="U792" s="16">
        <f t="shared" si="111"/>
        <v>0</v>
      </c>
      <c r="V792" s="16">
        <f t="shared" si="111"/>
        <v>0</v>
      </c>
      <c r="W792" s="16">
        <f t="shared" si="111"/>
        <v>1</v>
      </c>
      <c r="X792" s="16" t="str">
        <f t="shared" si="108"/>
        <v>null</v>
      </c>
    </row>
    <row r="793" spans="1:24" x14ac:dyDescent="0.15">
      <c r="A793" s="20" t="str">
        <f t="shared" si="110"/>
        <v>26_3-4/23&lt;lv54&gt;s4</v>
      </c>
      <c r="B793" s="16">
        <f t="shared" si="112"/>
        <v>26</v>
      </c>
      <c r="C793" s="16">
        <f t="shared" si="112"/>
        <v>3</v>
      </c>
      <c r="D793" s="16">
        <f t="shared" si="112"/>
        <v>4</v>
      </c>
      <c r="E793" s="16">
        <f t="shared" si="112"/>
        <v>23</v>
      </c>
      <c r="F793" s="16">
        <f t="shared" si="112"/>
        <v>54</v>
      </c>
      <c r="G793" s="16">
        <f t="shared" si="112"/>
        <v>1</v>
      </c>
      <c r="H793" s="16">
        <f t="shared" si="112"/>
        <v>1</v>
      </c>
      <c r="I793" s="16">
        <f t="shared" si="112"/>
        <v>0</v>
      </c>
      <c r="J793" s="16">
        <f t="shared" si="112"/>
        <v>0</v>
      </c>
      <c r="K793" s="16">
        <f t="shared" si="112"/>
        <v>0</v>
      </c>
      <c r="L793" s="16">
        <f t="shared" si="112"/>
        <v>100</v>
      </c>
      <c r="M793" s="16">
        <f t="shared" si="112"/>
        <v>0</v>
      </c>
      <c r="N793" s="16">
        <f t="shared" si="112"/>
        <v>4</v>
      </c>
      <c r="O793" s="16">
        <f t="shared" si="112"/>
        <v>23</v>
      </c>
      <c r="P793" s="16">
        <f t="shared" si="112"/>
        <v>7</v>
      </c>
      <c r="Q793" s="16">
        <f t="shared" si="112"/>
        <v>1</v>
      </c>
      <c r="R793" s="16">
        <f t="shared" si="111"/>
        <v>15</v>
      </c>
      <c r="S793" s="16">
        <f t="shared" si="111"/>
        <v>0</v>
      </c>
      <c r="T793" s="16">
        <f t="shared" si="111"/>
        <v>0</v>
      </c>
      <c r="U793" s="16">
        <f t="shared" si="111"/>
        <v>0</v>
      </c>
      <c r="V793" s="16">
        <f t="shared" si="111"/>
        <v>0</v>
      </c>
      <c r="W793" s="16">
        <f t="shared" si="111"/>
        <v>1</v>
      </c>
      <c r="X793" s="16" t="str">
        <f t="shared" si="108"/>
        <v>null</v>
      </c>
    </row>
    <row r="794" spans="1:24" x14ac:dyDescent="0.15">
      <c r="A794" s="20" t="str">
        <f t="shared" si="110"/>
        <v>26_3-4/25&lt;lv54&gt;s3</v>
      </c>
      <c r="B794" s="16">
        <f t="shared" si="112"/>
        <v>26</v>
      </c>
      <c r="C794" s="16">
        <f t="shared" si="112"/>
        <v>3</v>
      </c>
      <c r="D794" s="16">
        <f t="shared" si="112"/>
        <v>4</v>
      </c>
      <c r="E794" s="16">
        <f t="shared" si="112"/>
        <v>25</v>
      </c>
      <c r="F794" s="16">
        <f t="shared" si="112"/>
        <v>54</v>
      </c>
      <c r="G794" s="16">
        <f t="shared" si="112"/>
        <v>1</v>
      </c>
      <c r="H794" s="16">
        <f t="shared" si="112"/>
        <v>1</v>
      </c>
      <c r="I794" s="16">
        <f t="shared" si="112"/>
        <v>0</v>
      </c>
      <c r="J794" s="16">
        <f t="shared" si="112"/>
        <v>0</v>
      </c>
      <c r="K794" s="16">
        <f t="shared" si="112"/>
        <v>0</v>
      </c>
      <c r="L794" s="16">
        <f t="shared" si="112"/>
        <v>100</v>
      </c>
      <c r="M794" s="16">
        <f t="shared" si="112"/>
        <v>0</v>
      </c>
      <c r="N794" s="16">
        <f t="shared" si="112"/>
        <v>3</v>
      </c>
      <c r="O794" s="16">
        <f t="shared" si="112"/>
        <v>25</v>
      </c>
      <c r="P794" s="16">
        <f t="shared" si="112"/>
        <v>7</v>
      </c>
      <c r="Q794" s="16">
        <f t="shared" si="112"/>
        <v>1</v>
      </c>
      <c r="R794" s="16">
        <f t="shared" si="111"/>
        <v>15</v>
      </c>
      <c r="S794" s="16">
        <f t="shared" si="111"/>
        <v>0</v>
      </c>
      <c r="T794" s="16">
        <f t="shared" si="111"/>
        <v>0</v>
      </c>
      <c r="U794" s="16">
        <f t="shared" si="111"/>
        <v>0</v>
      </c>
      <c r="V794" s="16">
        <f t="shared" si="111"/>
        <v>0</v>
      </c>
      <c r="W794" s="16">
        <f t="shared" si="111"/>
        <v>1</v>
      </c>
      <c r="X794" s="16" t="str">
        <f t="shared" si="108"/>
        <v>null</v>
      </c>
    </row>
    <row r="795" spans="1:24" x14ac:dyDescent="0.15">
      <c r="A795" s="20" t="str">
        <f t="shared" si="110"/>
        <v>26_3-4/33&lt;lv54&gt;s2</v>
      </c>
      <c r="B795" s="16">
        <f t="shared" si="112"/>
        <v>26</v>
      </c>
      <c r="C795" s="16">
        <f t="shared" si="112"/>
        <v>3</v>
      </c>
      <c r="D795" s="16">
        <f t="shared" si="112"/>
        <v>4</v>
      </c>
      <c r="E795" s="16">
        <f t="shared" si="112"/>
        <v>33</v>
      </c>
      <c r="F795" s="16">
        <f t="shared" si="112"/>
        <v>54</v>
      </c>
      <c r="G795" s="16">
        <f t="shared" si="112"/>
        <v>1</v>
      </c>
      <c r="H795" s="16">
        <f t="shared" si="112"/>
        <v>1</v>
      </c>
      <c r="I795" s="16">
        <f t="shared" si="112"/>
        <v>0</v>
      </c>
      <c r="J795" s="16">
        <f t="shared" si="112"/>
        <v>33</v>
      </c>
      <c r="K795" s="16">
        <f t="shared" si="112"/>
        <v>0</v>
      </c>
      <c r="L795" s="16">
        <f t="shared" si="112"/>
        <v>100</v>
      </c>
      <c r="M795" s="16">
        <f t="shared" si="112"/>
        <v>0</v>
      </c>
      <c r="N795" s="16">
        <f t="shared" si="112"/>
        <v>2</v>
      </c>
      <c r="O795" s="16">
        <f t="shared" si="112"/>
        <v>33</v>
      </c>
      <c r="P795" s="16">
        <f t="shared" si="112"/>
        <v>5</v>
      </c>
      <c r="Q795" s="16">
        <f t="shared" si="112"/>
        <v>2</v>
      </c>
      <c r="R795" s="16">
        <f t="shared" si="111"/>
        <v>20</v>
      </c>
      <c r="S795" s="16">
        <f t="shared" si="111"/>
        <v>0</v>
      </c>
      <c r="T795" s="16">
        <f t="shared" si="111"/>
        <v>0</v>
      </c>
      <c r="U795" s="16">
        <f t="shared" si="111"/>
        <v>0</v>
      </c>
      <c r="V795" s="16">
        <f t="shared" si="111"/>
        <v>0</v>
      </c>
      <c r="W795" s="16">
        <f t="shared" si="111"/>
        <v>1</v>
      </c>
      <c r="X795" s="16" t="str">
        <f t="shared" si="108"/>
        <v>null</v>
      </c>
    </row>
    <row r="796" spans="1:24" x14ac:dyDescent="0.15">
      <c r="A796" s="20" t="str">
        <f t="shared" si="110"/>
        <v>26_3-4/37&lt;lv54&gt;s3</v>
      </c>
      <c r="B796" s="16">
        <f t="shared" si="112"/>
        <v>26</v>
      </c>
      <c r="C796" s="16">
        <f t="shared" si="112"/>
        <v>3</v>
      </c>
      <c r="D796" s="16">
        <f t="shared" si="112"/>
        <v>4</v>
      </c>
      <c r="E796" s="16">
        <f t="shared" si="112"/>
        <v>37</v>
      </c>
      <c r="F796" s="16">
        <f t="shared" si="112"/>
        <v>54</v>
      </c>
      <c r="G796" s="16">
        <f t="shared" si="112"/>
        <v>1</v>
      </c>
      <c r="H796" s="16">
        <f t="shared" si="112"/>
        <v>1</v>
      </c>
      <c r="I796" s="16">
        <f t="shared" si="112"/>
        <v>0</v>
      </c>
      <c r="J796" s="16">
        <f t="shared" si="112"/>
        <v>37</v>
      </c>
      <c r="K796" s="16">
        <f t="shared" si="112"/>
        <v>0</v>
      </c>
      <c r="L796" s="16">
        <f t="shared" si="112"/>
        <v>100</v>
      </c>
      <c r="M796" s="16">
        <f t="shared" si="112"/>
        <v>0</v>
      </c>
      <c r="N796" s="16">
        <f t="shared" si="112"/>
        <v>3</v>
      </c>
      <c r="O796" s="16">
        <f t="shared" si="112"/>
        <v>37</v>
      </c>
      <c r="P796" s="16">
        <f t="shared" si="112"/>
        <v>5</v>
      </c>
      <c r="Q796" s="16">
        <f t="shared" si="112"/>
        <v>2</v>
      </c>
      <c r="R796" s="16">
        <f t="shared" si="111"/>
        <v>20</v>
      </c>
      <c r="S796" s="16">
        <f t="shared" si="111"/>
        <v>0</v>
      </c>
      <c r="T796" s="16">
        <f t="shared" si="111"/>
        <v>0</v>
      </c>
      <c r="U796" s="16">
        <f t="shared" si="111"/>
        <v>0</v>
      </c>
      <c r="V796" s="16">
        <f t="shared" si="111"/>
        <v>0</v>
      </c>
      <c r="W796" s="16">
        <f t="shared" si="111"/>
        <v>1</v>
      </c>
      <c r="X796" s="16" t="str">
        <f t="shared" si="108"/>
        <v>null</v>
      </c>
    </row>
    <row r="797" spans="1:24" x14ac:dyDescent="0.15">
      <c r="A797" s="20" t="str">
        <f t="shared" si="110"/>
        <v>26_3-4/45&lt;lv54&gt;s3</v>
      </c>
      <c r="B797" s="16">
        <f t="shared" si="112"/>
        <v>26</v>
      </c>
      <c r="C797" s="16">
        <f t="shared" si="112"/>
        <v>3</v>
      </c>
      <c r="D797" s="16">
        <f t="shared" si="112"/>
        <v>4</v>
      </c>
      <c r="E797" s="16">
        <f t="shared" si="112"/>
        <v>45</v>
      </c>
      <c r="F797" s="16">
        <f t="shared" si="112"/>
        <v>54</v>
      </c>
      <c r="G797" s="16">
        <f t="shared" si="112"/>
        <v>1</v>
      </c>
      <c r="H797" s="16">
        <f t="shared" si="112"/>
        <v>1</v>
      </c>
      <c r="I797" s="16">
        <f t="shared" si="112"/>
        <v>0</v>
      </c>
      <c r="J797" s="16">
        <f t="shared" si="112"/>
        <v>0</v>
      </c>
      <c r="K797" s="16">
        <f t="shared" si="112"/>
        <v>0</v>
      </c>
      <c r="L797" s="16">
        <f t="shared" si="112"/>
        <v>100</v>
      </c>
      <c r="M797" s="16">
        <f t="shared" si="112"/>
        <v>0</v>
      </c>
      <c r="N797" s="16">
        <f t="shared" si="112"/>
        <v>3</v>
      </c>
      <c r="O797" s="16">
        <f t="shared" si="112"/>
        <v>45</v>
      </c>
      <c r="P797" s="16">
        <f t="shared" si="112"/>
        <v>7</v>
      </c>
      <c r="Q797" s="16">
        <f t="shared" si="112"/>
        <v>2</v>
      </c>
      <c r="R797" s="16">
        <f t="shared" si="111"/>
        <v>20</v>
      </c>
      <c r="S797" s="16">
        <f t="shared" si="111"/>
        <v>0</v>
      </c>
      <c r="T797" s="16">
        <f t="shared" si="111"/>
        <v>0</v>
      </c>
      <c r="U797" s="16">
        <f t="shared" si="111"/>
        <v>0</v>
      </c>
      <c r="V797" s="16">
        <f t="shared" si="111"/>
        <v>0</v>
      </c>
      <c r="W797" s="16">
        <f t="shared" si="111"/>
        <v>1</v>
      </c>
      <c r="X797" s="16" t="str">
        <f t="shared" si="108"/>
        <v>null</v>
      </c>
    </row>
    <row r="798" spans="1:24" x14ac:dyDescent="0.15">
      <c r="A798" s="20" t="str">
        <f t="shared" si="110"/>
        <v>26_3-4/47&lt;lv54&gt;s1</v>
      </c>
      <c r="B798" s="16">
        <f t="shared" si="112"/>
        <v>26</v>
      </c>
      <c r="C798" s="16">
        <f t="shared" si="112"/>
        <v>3</v>
      </c>
      <c r="D798" s="16">
        <f t="shared" si="112"/>
        <v>4</v>
      </c>
      <c r="E798" s="16">
        <f t="shared" si="112"/>
        <v>47</v>
      </c>
      <c r="F798" s="16">
        <f t="shared" si="112"/>
        <v>54</v>
      </c>
      <c r="G798" s="16">
        <f t="shared" si="112"/>
        <v>1</v>
      </c>
      <c r="H798" s="16">
        <f t="shared" si="112"/>
        <v>1</v>
      </c>
      <c r="I798" s="16">
        <f t="shared" si="112"/>
        <v>0</v>
      </c>
      <c r="J798" s="16">
        <f t="shared" si="112"/>
        <v>0</v>
      </c>
      <c r="K798" s="16">
        <f t="shared" si="112"/>
        <v>0</v>
      </c>
      <c r="L798" s="16">
        <f t="shared" si="112"/>
        <v>100</v>
      </c>
      <c r="M798" s="16">
        <f t="shared" si="112"/>
        <v>0</v>
      </c>
      <c r="N798" s="16">
        <f t="shared" si="112"/>
        <v>1</v>
      </c>
      <c r="O798" s="16">
        <f t="shared" si="112"/>
        <v>47</v>
      </c>
      <c r="P798" s="16">
        <f t="shared" si="112"/>
        <v>7</v>
      </c>
      <c r="Q798" s="16">
        <f t="shared" ref="Q798:W813" si="113">VLOOKUP($A798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798" s="16">
        <f t="shared" si="113"/>
        <v>20</v>
      </c>
      <c r="S798" s="16">
        <f t="shared" si="113"/>
        <v>0</v>
      </c>
      <c r="T798" s="16">
        <f t="shared" si="113"/>
        <v>0</v>
      </c>
      <c r="U798" s="16">
        <f t="shared" si="113"/>
        <v>0</v>
      </c>
      <c r="V798" s="16">
        <f t="shared" si="113"/>
        <v>0</v>
      </c>
      <c r="W798" s="16">
        <f t="shared" si="113"/>
        <v>1</v>
      </c>
      <c r="X798" s="16" t="str">
        <f t="shared" si="108"/>
        <v>null</v>
      </c>
    </row>
    <row r="799" spans="1:24" x14ac:dyDescent="0.15">
      <c r="A799" s="20" t="str">
        <f t="shared" si="110"/>
        <v>26_3-4/57&lt;lv54&gt;s2</v>
      </c>
      <c r="B799" s="16">
        <f t="shared" ref="B799:Q814" si="114">VLOOKUP($A799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799" s="16">
        <f t="shared" si="114"/>
        <v>3</v>
      </c>
      <c r="D799" s="16">
        <f t="shared" si="114"/>
        <v>4</v>
      </c>
      <c r="E799" s="16">
        <f t="shared" si="114"/>
        <v>57</v>
      </c>
      <c r="F799" s="16">
        <f t="shared" si="114"/>
        <v>54</v>
      </c>
      <c r="G799" s="16">
        <f t="shared" si="114"/>
        <v>1</v>
      </c>
      <c r="H799" s="16">
        <f t="shared" si="114"/>
        <v>1</v>
      </c>
      <c r="I799" s="16">
        <f t="shared" si="114"/>
        <v>0</v>
      </c>
      <c r="J799" s="16">
        <f t="shared" si="114"/>
        <v>57</v>
      </c>
      <c r="K799" s="16">
        <f t="shared" si="114"/>
        <v>0</v>
      </c>
      <c r="L799" s="16">
        <f t="shared" si="114"/>
        <v>100</v>
      </c>
      <c r="M799" s="16">
        <f t="shared" si="114"/>
        <v>0</v>
      </c>
      <c r="N799" s="16">
        <f t="shared" si="114"/>
        <v>2</v>
      </c>
      <c r="O799" s="16">
        <f t="shared" si="114"/>
        <v>57</v>
      </c>
      <c r="P799" s="16">
        <f t="shared" si="114"/>
        <v>7</v>
      </c>
      <c r="Q799" s="16">
        <f t="shared" si="114"/>
        <v>2</v>
      </c>
      <c r="R799" s="16">
        <f t="shared" si="113"/>
        <v>20</v>
      </c>
      <c r="S799" s="16">
        <f t="shared" si="113"/>
        <v>0</v>
      </c>
      <c r="T799" s="16">
        <f t="shared" si="113"/>
        <v>0</v>
      </c>
      <c r="U799" s="16">
        <f t="shared" si="113"/>
        <v>0</v>
      </c>
      <c r="V799" s="16">
        <f t="shared" si="113"/>
        <v>0</v>
      </c>
      <c r="W799" s="16">
        <f t="shared" si="113"/>
        <v>1</v>
      </c>
      <c r="X799" s="16" t="str">
        <f t="shared" si="108"/>
        <v>null</v>
      </c>
    </row>
    <row r="800" spans="1:24" x14ac:dyDescent="0.15">
      <c r="A800" s="20" t="str">
        <f t="shared" si="110"/>
        <v>26_3-4/59&lt;lv54&gt;s2</v>
      </c>
      <c r="B800" s="16">
        <f t="shared" si="114"/>
        <v>26</v>
      </c>
      <c r="C800" s="16">
        <f t="shared" si="114"/>
        <v>3</v>
      </c>
      <c r="D800" s="16">
        <f t="shared" si="114"/>
        <v>4</v>
      </c>
      <c r="E800" s="16">
        <f t="shared" si="114"/>
        <v>59</v>
      </c>
      <c r="F800" s="16">
        <f t="shared" si="114"/>
        <v>54</v>
      </c>
      <c r="G800" s="16">
        <f t="shared" si="114"/>
        <v>1</v>
      </c>
      <c r="H800" s="16">
        <f t="shared" si="114"/>
        <v>1</v>
      </c>
      <c r="I800" s="16">
        <f t="shared" si="114"/>
        <v>0</v>
      </c>
      <c r="J800" s="16">
        <f t="shared" si="114"/>
        <v>59</v>
      </c>
      <c r="K800" s="16">
        <f t="shared" si="114"/>
        <v>0</v>
      </c>
      <c r="L800" s="16">
        <f t="shared" si="114"/>
        <v>100</v>
      </c>
      <c r="M800" s="16">
        <f t="shared" si="114"/>
        <v>0</v>
      </c>
      <c r="N800" s="16">
        <f t="shared" si="114"/>
        <v>2</v>
      </c>
      <c r="O800" s="16">
        <f t="shared" si="114"/>
        <v>59</v>
      </c>
      <c r="P800" s="16">
        <f t="shared" si="114"/>
        <v>7</v>
      </c>
      <c r="Q800" s="16">
        <f t="shared" si="114"/>
        <v>2</v>
      </c>
      <c r="R800" s="16">
        <f t="shared" si="113"/>
        <v>20</v>
      </c>
      <c r="S800" s="16">
        <f t="shared" si="113"/>
        <v>0</v>
      </c>
      <c r="T800" s="16">
        <f t="shared" si="113"/>
        <v>0</v>
      </c>
      <c r="U800" s="16">
        <f t="shared" si="113"/>
        <v>0</v>
      </c>
      <c r="V800" s="16">
        <f t="shared" si="113"/>
        <v>0</v>
      </c>
      <c r="W800" s="16">
        <f t="shared" si="113"/>
        <v>1</v>
      </c>
      <c r="X800" s="16" t="str">
        <f t="shared" si="108"/>
        <v>null</v>
      </c>
    </row>
    <row r="801" spans="1:24" x14ac:dyDescent="0.15">
      <c r="A801" s="20" t="str">
        <f t="shared" si="110"/>
        <v>26_3-4/61&lt;lv54&gt;s2</v>
      </c>
      <c r="B801" s="16">
        <f t="shared" si="114"/>
        <v>26</v>
      </c>
      <c r="C801" s="16">
        <f t="shared" si="114"/>
        <v>3</v>
      </c>
      <c r="D801" s="16">
        <f t="shared" si="114"/>
        <v>4</v>
      </c>
      <c r="E801" s="16">
        <f t="shared" si="114"/>
        <v>61</v>
      </c>
      <c r="F801" s="16">
        <f t="shared" si="114"/>
        <v>54</v>
      </c>
      <c r="G801" s="16">
        <f t="shared" si="114"/>
        <v>1</v>
      </c>
      <c r="H801" s="16">
        <f t="shared" si="114"/>
        <v>1</v>
      </c>
      <c r="I801" s="16">
        <f t="shared" si="114"/>
        <v>0</v>
      </c>
      <c r="J801" s="16">
        <f t="shared" si="114"/>
        <v>61</v>
      </c>
      <c r="K801" s="16">
        <f t="shared" si="114"/>
        <v>0</v>
      </c>
      <c r="L801" s="16">
        <f t="shared" si="114"/>
        <v>100</v>
      </c>
      <c r="M801" s="16">
        <f t="shared" si="114"/>
        <v>0</v>
      </c>
      <c r="N801" s="16">
        <f t="shared" si="114"/>
        <v>2</v>
      </c>
      <c r="O801" s="16">
        <f t="shared" si="114"/>
        <v>61</v>
      </c>
      <c r="P801" s="16">
        <f t="shared" si="114"/>
        <v>7</v>
      </c>
      <c r="Q801" s="16">
        <f t="shared" si="114"/>
        <v>2</v>
      </c>
      <c r="R801" s="16">
        <f t="shared" si="113"/>
        <v>20</v>
      </c>
      <c r="S801" s="16">
        <f t="shared" si="113"/>
        <v>0</v>
      </c>
      <c r="T801" s="16">
        <f t="shared" si="113"/>
        <v>0</v>
      </c>
      <c r="U801" s="16">
        <f t="shared" si="113"/>
        <v>0</v>
      </c>
      <c r="V801" s="16">
        <f t="shared" si="113"/>
        <v>0</v>
      </c>
      <c r="W801" s="16">
        <f t="shared" si="113"/>
        <v>1</v>
      </c>
      <c r="X801" s="16" t="str">
        <f t="shared" si="108"/>
        <v>null</v>
      </c>
    </row>
    <row r="802" spans="1:24" x14ac:dyDescent="0.15">
      <c r="A802" s="20" t="str">
        <f t="shared" si="110"/>
        <v>26_3-4/63&lt;lv54&gt;s2</v>
      </c>
      <c r="B802" s="16">
        <f t="shared" si="114"/>
        <v>26</v>
      </c>
      <c r="C802" s="16">
        <f t="shared" si="114"/>
        <v>3</v>
      </c>
      <c r="D802" s="16">
        <f t="shared" si="114"/>
        <v>4</v>
      </c>
      <c r="E802" s="16">
        <f t="shared" si="114"/>
        <v>63</v>
      </c>
      <c r="F802" s="16">
        <f t="shared" si="114"/>
        <v>54</v>
      </c>
      <c r="G802" s="16">
        <f t="shared" si="114"/>
        <v>1</v>
      </c>
      <c r="H802" s="16">
        <f t="shared" si="114"/>
        <v>1</v>
      </c>
      <c r="I802" s="16">
        <f t="shared" si="114"/>
        <v>0</v>
      </c>
      <c r="J802" s="16">
        <f t="shared" si="114"/>
        <v>63</v>
      </c>
      <c r="K802" s="16">
        <f t="shared" si="114"/>
        <v>0</v>
      </c>
      <c r="L802" s="16">
        <f t="shared" si="114"/>
        <v>100</v>
      </c>
      <c r="M802" s="16">
        <f t="shared" si="114"/>
        <v>0</v>
      </c>
      <c r="N802" s="16">
        <f t="shared" si="114"/>
        <v>2</v>
      </c>
      <c r="O802" s="16">
        <f t="shared" si="114"/>
        <v>63</v>
      </c>
      <c r="P802" s="16">
        <f t="shared" si="114"/>
        <v>7</v>
      </c>
      <c r="Q802" s="16">
        <f t="shared" si="114"/>
        <v>2</v>
      </c>
      <c r="R802" s="16">
        <f t="shared" si="113"/>
        <v>20</v>
      </c>
      <c r="S802" s="16">
        <f t="shared" si="113"/>
        <v>0</v>
      </c>
      <c r="T802" s="16">
        <f t="shared" si="113"/>
        <v>0</v>
      </c>
      <c r="U802" s="16">
        <f t="shared" si="113"/>
        <v>0</v>
      </c>
      <c r="V802" s="16">
        <f t="shared" si="113"/>
        <v>0</v>
      </c>
      <c r="W802" s="16">
        <f t="shared" si="113"/>
        <v>1</v>
      </c>
      <c r="X802" s="16" t="str">
        <f t="shared" si="108"/>
        <v>null</v>
      </c>
    </row>
    <row r="803" spans="1:24" x14ac:dyDescent="0.15">
      <c r="A803" s="20" t="str">
        <f t="shared" si="110"/>
        <v>26_3-4/360&lt;lv54&gt;s3</v>
      </c>
      <c r="B803" s="16">
        <f t="shared" si="114"/>
        <v>26</v>
      </c>
      <c r="C803" s="16">
        <f t="shared" si="114"/>
        <v>3</v>
      </c>
      <c r="D803" s="16">
        <f t="shared" si="114"/>
        <v>4</v>
      </c>
      <c r="E803" s="16">
        <f t="shared" si="114"/>
        <v>360</v>
      </c>
      <c r="F803" s="16">
        <f t="shared" si="114"/>
        <v>54</v>
      </c>
      <c r="G803" s="16">
        <f t="shared" si="114"/>
        <v>1</v>
      </c>
      <c r="H803" s="16">
        <f t="shared" si="114"/>
        <v>1</v>
      </c>
      <c r="I803" s="16">
        <f t="shared" si="114"/>
        <v>0</v>
      </c>
      <c r="J803" s="16">
        <f t="shared" si="114"/>
        <v>360</v>
      </c>
      <c r="K803" s="16">
        <f t="shared" si="114"/>
        <v>0</v>
      </c>
      <c r="L803" s="16">
        <f t="shared" si="114"/>
        <v>100</v>
      </c>
      <c r="M803" s="16">
        <f t="shared" si="114"/>
        <v>0</v>
      </c>
      <c r="N803" s="16">
        <f t="shared" si="114"/>
        <v>3</v>
      </c>
      <c r="O803" s="16">
        <f t="shared" si="114"/>
        <v>360</v>
      </c>
      <c r="P803" s="16">
        <f t="shared" si="114"/>
        <v>7</v>
      </c>
      <c r="Q803" s="16">
        <f t="shared" si="114"/>
        <v>2</v>
      </c>
      <c r="R803" s="16">
        <f t="shared" si="113"/>
        <v>20</v>
      </c>
      <c r="S803" s="16">
        <f t="shared" si="113"/>
        <v>0</v>
      </c>
      <c r="T803" s="16">
        <f t="shared" si="113"/>
        <v>0</v>
      </c>
      <c r="U803" s="16">
        <f t="shared" si="113"/>
        <v>0</v>
      </c>
      <c r="V803" s="16">
        <f t="shared" si="113"/>
        <v>0</v>
      </c>
      <c r="W803" s="16">
        <f t="shared" si="113"/>
        <v>1</v>
      </c>
      <c r="X803" s="16" t="str">
        <f t="shared" si="108"/>
        <v>null</v>
      </c>
    </row>
    <row r="804" spans="1:24" x14ac:dyDescent="0.15">
      <c r="A804" s="20" t="str">
        <f t="shared" si="110"/>
        <v>26_3-4/362&lt;lv54&gt;s3</v>
      </c>
      <c r="B804" s="16">
        <f t="shared" si="114"/>
        <v>26</v>
      </c>
      <c r="C804" s="16">
        <f t="shared" si="114"/>
        <v>3</v>
      </c>
      <c r="D804" s="16">
        <f t="shared" si="114"/>
        <v>4</v>
      </c>
      <c r="E804" s="16">
        <f t="shared" si="114"/>
        <v>362</v>
      </c>
      <c r="F804" s="16">
        <f t="shared" si="114"/>
        <v>54</v>
      </c>
      <c r="G804" s="16">
        <f t="shared" si="114"/>
        <v>1</v>
      </c>
      <c r="H804" s="16">
        <f t="shared" si="114"/>
        <v>1</v>
      </c>
      <c r="I804" s="16">
        <f t="shared" si="114"/>
        <v>0</v>
      </c>
      <c r="J804" s="16">
        <f t="shared" si="114"/>
        <v>362</v>
      </c>
      <c r="K804" s="16">
        <f t="shared" si="114"/>
        <v>0</v>
      </c>
      <c r="L804" s="16">
        <f t="shared" si="114"/>
        <v>100</v>
      </c>
      <c r="M804" s="16">
        <f t="shared" si="114"/>
        <v>0</v>
      </c>
      <c r="N804" s="16">
        <f t="shared" si="114"/>
        <v>3</v>
      </c>
      <c r="O804" s="16">
        <f t="shared" si="114"/>
        <v>362</v>
      </c>
      <c r="P804" s="16">
        <f t="shared" si="114"/>
        <v>7</v>
      </c>
      <c r="Q804" s="16">
        <f t="shared" si="114"/>
        <v>2</v>
      </c>
      <c r="R804" s="16">
        <f t="shared" si="113"/>
        <v>20</v>
      </c>
      <c r="S804" s="16">
        <f t="shared" si="113"/>
        <v>0</v>
      </c>
      <c r="T804" s="16">
        <f t="shared" si="113"/>
        <v>0</v>
      </c>
      <c r="U804" s="16">
        <f t="shared" si="113"/>
        <v>0</v>
      </c>
      <c r="V804" s="16">
        <f t="shared" si="113"/>
        <v>0</v>
      </c>
      <c r="W804" s="16">
        <f t="shared" si="113"/>
        <v>1</v>
      </c>
      <c r="X804" s="16" t="str">
        <f t="shared" si="108"/>
        <v>null</v>
      </c>
    </row>
    <row r="805" spans="1:24" x14ac:dyDescent="0.15">
      <c r="A805" s="20" t="str">
        <f t="shared" si="110"/>
        <v>26_3-4/364&lt;lv54&gt;s3</v>
      </c>
      <c r="B805" s="16">
        <f t="shared" si="114"/>
        <v>26</v>
      </c>
      <c r="C805" s="16">
        <f t="shared" si="114"/>
        <v>3</v>
      </c>
      <c r="D805" s="16">
        <f t="shared" si="114"/>
        <v>4</v>
      </c>
      <c r="E805" s="16">
        <f t="shared" si="114"/>
        <v>364</v>
      </c>
      <c r="F805" s="16">
        <f t="shared" si="114"/>
        <v>54</v>
      </c>
      <c r="G805" s="16">
        <f t="shared" si="114"/>
        <v>1</v>
      </c>
      <c r="H805" s="16">
        <f t="shared" si="114"/>
        <v>1</v>
      </c>
      <c r="I805" s="16">
        <f t="shared" si="114"/>
        <v>0</v>
      </c>
      <c r="J805" s="16">
        <f t="shared" si="114"/>
        <v>364</v>
      </c>
      <c r="K805" s="16">
        <f t="shared" si="114"/>
        <v>0</v>
      </c>
      <c r="L805" s="16">
        <f t="shared" si="114"/>
        <v>100</v>
      </c>
      <c r="M805" s="16">
        <f t="shared" si="114"/>
        <v>0</v>
      </c>
      <c r="N805" s="16">
        <f t="shared" si="114"/>
        <v>3</v>
      </c>
      <c r="O805" s="16">
        <f t="shared" si="114"/>
        <v>364</v>
      </c>
      <c r="P805" s="16">
        <f t="shared" si="114"/>
        <v>7</v>
      </c>
      <c r="Q805" s="16">
        <f t="shared" si="114"/>
        <v>2</v>
      </c>
      <c r="R805" s="16">
        <f t="shared" si="113"/>
        <v>20</v>
      </c>
      <c r="S805" s="16">
        <f t="shared" si="113"/>
        <v>0</v>
      </c>
      <c r="T805" s="16">
        <f t="shared" si="113"/>
        <v>0</v>
      </c>
      <c r="U805" s="16">
        <f t="shared" si="113"/>
        <v>0</v>
      </c>
      <c r="V805" s="16">
        <f t="shared" si="113"/>
        <v>0</v>
      </c>
      <c r="W805" s="16">
        <f t="shared" si="113"/>
        <v>1</v>
      </c>
      <c r="X805" s="16" t="str">
        <f t="shared" si="108"/>
        <v>null</v>
      </c>
    </row>
    <row r="806" spans="1:24" x14ac:dyDescent="0.15">
      <c r="A806" s="20" t="str">
        <f t="shared" si="110"/>
        <v>26_3-4/366&lt;lv54&gt;s3</v>
      </c>
      <c r="B806" s="16">
        <f t="shared" si="114"/>
        <v>26</v>
      </c>
      <c r="C806" s="16">
        <f t="shared" si="114"/>
        <v>3</v>
      </c>
      <c r="D806" s="16">
        <f t="shared" si="114"/>
        <v>4</v>
      </c>
      <c r="E806" s="16">
        <f t="shared" si="114"/>
        <v>366</v>
      </c>
      <c r="F806" s="16">
        <f t="shared" si="114"/>
        <v>54</v>
      </c>
      <c r="G806" s="16">
        <f t="shared" si="114"/>
        <v>1</v>
      </c>
      <c r="H806" s="16">
        <f t="shared" si="114"/>
        <v>1</v>
      </c>
      <c r="I806" s="16">
        <f t="shared" si="114"/>
        <v>0</v>
      </c>
      <c r="J806" s="16">
        <f t="shared" si="114"/>
        <v>366</v>
      </c>
      <c r="K806" s="16">
        <f t="shared" si="114"/>
        <v>0</v>
      </c>
      <c r="L806" s="16">
        <f t="shared" si="114"/>
        <v>100</v>
      </c>
      <c r="M806" s="16">
        <f t="shared" si="114"/>
        <v>0</v>
      </c>
      <c r="N806" s="16">
        <f t="shared" si="114"/>
        <v>3</v>
      </c>
      <c r="O806" s="16">
        <f t="shared" si="114"/>
        <v>366</v>
      </c>
      <c r="P806" s="16">
        <f t="shared" si="114"/>
        <v>7</v>
      </c>
      <c r="Q806" s="16">
        <f t="shared" si="114"/>
        <v>2</v>
      </c>
      <c r="R806" s="16">
        <f t="shared" si="113"/>
        <v>20</v>
      </c>
      <c r="S806" s="16">
        <f t="shared" si="113"/>
        <v>0</v>
      </c>
      <c r="T806" s="16">
        <f t="shared" si="113"/>
        <v>0</v>
      </c>
      <c r="U806" s="16">
        <f t="shared" si="113"/>
        <v>0</v>
      </c>
      <c r="V806" s="16">
        <f t="shared" si="113"/>
        <v>0</v>
      </c>
      <c r="W806" s="16">
        <f t="shared" si="113"/>
        <v>1</v>
      </c>
      <c r="X806" s="16" t="str">
        <f t="shared" si="108"/>
        <v>null</v>
      </c>
    </row>
    <row r="807" spans="1:24" x14ac:dyDescent="0.15">
      <c r="A807" s="20" t="str">
        <f t="shared" si="110"/>
        <v>26_3-4/350&lt;lv54&gt;s3</v>
      </c>
      <c r="B807" s="16">
        <f t="shared" si="114"/>
        <v>26</v>
      </c>
      <c r="C807" s="16">
        <f t="shared" si="114"/>
        <v>3</v>
      </c>
      <c r="D807" s="16">
        <f t="shared" si="114"/>
        <v>4</v>
      </c>
      <c r="E807" s="16">
        <f t="shared" si="114"/>
        <v>350</v>
      </c>
      <c r="F807" s="16">
        <f t="shared" si="114"/>
        <v>54</v>
      </c>
      <c r="G807" s="16">
        <f t="shared" si="114"/>
        <v>1</v>
      </c>
      <c r="H807" s="16">
        <f t="shared" si="114"/>
        <v>1</v>
      </c>
      <c r="I807" s="16">
        <f t="shared" si="114"/>
        <v>0</v>
      </c>
      <c r="J807" s="16">
        <f t="shared" si="114"/>
        <v>350</v>
      </c>
      <c r="K807" s="16">
        <f t="shared" si="114"/>
        <v>0</v>
      </c>
      <c r="L807" s="16">
        <f t="shared" si="114"/>
        <v>100</v>
      </c>
      <c r="M807" s="16">
        <f t="shared" si="114"/>
        <v>0</v>
      </c>
      <c r="N807" s="16">
        <f t="shared" si="114"/>
        <v>3</v>
      </c>
      <c r="O807" s="16">
        <f t="shared" si="114"/>
        <v>350</v>
      </c>
      <c r="P807" s="16">
        <f t="shared" si="114"/>
        <v>1</v>
      </c>
      <c r="Q807" s="16">
        <f t="shared" si="114"/>
        <v>2</v>
      </c>
      <c r="R807" s="16">
        <f t="shared" si="113"/>
        <v>29</v>
      </c>
      <c r="S807" s="16">
        <f t="shared" si="113"/>
        <v>0</v>
      </c>
      <c r="T807" s="16">
        <f t="shared" si="113"/>
        <v>0</v>
      </c>
      <c r="U807" s="16">
        <f t="shared" si="113"/>
        <v>0</v>
      </c>
      <c r="V807" s="16">
        <f t="shared" si="113"/>
        <v>0</v>
      </c>
      <c r="W807" s="16">
        <f t="shared" si="113"/>
        <v>1</v>
      </c>
      <c r="X807" s="16" t="str">
        <f t="shared" si="108"/>
        <v>null</v>
      </c>
    </row>
    <row r="808" spans="1:24" x14ac:dyDescent="0.15">
      <c r="A808" s="20" t="str">
        <f t="shared" si="110"/>
        <v>26_3-4/354&lt;lv54&gt;s3</v>
      </c>
      <c r="B808" s="16">
        <f t="shared" si="114"/>
        <v>26</v>
      </c>
      <c r="C808" s="16">
        <f t="shared" si="114"/>
        <v>3</v>
      </c>
      <c r="D808" s="16">
        <f t="shared" si="114"/>
        <v>4</v>
      </c>
      <c r="E808" s="16">
        <f t="shared" si="114"/>
        <v>354</v>
      </c>
      <c r="F808" s="16">
        <f t="shared" si="114"/>
        <v>54</v>
      </c>
      <c r="G808" s="16">
        <f t="shared" si="114"/>
        <v>1</v>
      </c>
      <c r="H808" s="16">
        <f t="shared" si="114"/>
        <v>1</v>
      </c>
      <c r="I808" s="16">
        <f t="shared" si="114"/>
        <v>0</v>
      </c>
      <c r="J808" s="16">
        <f t="shared" si="114"/>
        <v>354</v>
      </c>
      <c r="K808" s="16">
        <f t="shared" si="114"/>
        <v>0</v>
      </c>
      <c r="L808" s="16">
        <f t="shared" si="114"/>
        <v>100</v>
      </c>
      <c r="M808" s="16">
        <f t="shared" si="114"/>
        <v>0</v>
      </c>
      <c r="N808" s="16">
        <f t="shared" si="114"/>
        <v>3</v>
      </c>
      <c r="O808" s="16">
        <f t="shared" si="114"/>
        <v>354</v>
      </c>
      <c r="P808" s="16">
        <f t="shared" si="114"/>
        <v>1</v>
      </c>
      <c r="Q808" s="16">
        <f t="shared" si="114"/>
        <v>2</v>
      </c>
      <c r="R808" s="16">
        <f t="shared" si="113"/>
        <v>29</v>
      </c>
      <c r="S808" s="16">
        <f t="shared" si="113"/>
        <v>0</v>
      </c>
      <c r="T808" s="16">
        <f t="shared" si="113"/>
        <v>0</v>
      </c>
      <c r="U808" s="16">
        <f t="shared" si="113"/>
        <v>0</v>
      </c>
      <c r="V808" s="16">
        <f t="shared" si="113"/>
        <v>0</v>
      </c>
      <c r="W808" s="16">
        <f t="shared" si="113"/>
        <v>1</v>
      </c>
      <c r="X808" s="16" t="str">
        <f t="shared" si="108"/>
        <v>null</v>
      </c>
    </row>
    <row r="809" spans="1:24" x14ac:dyDescent="0.15">
      <c r="A809" s="20" t="str">
        <f t="shared" si="110"/>
        <v>26_3-5/176&lt;lv59&gt;s2</v>
      </c>
      <c r="B809" s="16">
        <f t="shared" si="114"/>
        <v>26</v>
      </c>
      <c r="C809" s="16">
        <f t="shared" si="114"/>
        <v>3</v>
      </c>
      <c r="D809" s="16">
        <f t="shared" si="114"/>
        <v>5</v>
      </c>
      <c r="E809" s="16">
        <f t="shared" si="114"/>
        <v>176</v>
      </c>
      <c r="F809" s="16">
        <f t="shared" si="114"/>
        <v>59</v>
      </c>
      <c r="G809" s="16">
        <f t="shared" si="114"/>
        <v>1.3</v>
      </c>
      <c r="H809" s="16">
        <f t="shared" si="114"/>
        <v>0.5</v>
      </c>
      <c r="I809" s="16">
        <f t="shared" si="114"/>
        <v>0</v>
      </c>
      <c r="J809" s="16">
        <f t="shared" si="114"/>
        <v>17601</v>
      </c>
      <c r="K809" s="16">
        <f t="shared" si="114"/>
        <v>1</v>
      </c>
      <c r="L809" s="16">
        <f t="shared" si="114"/>
        <v>100</v>
      </c>
      <c r="M809" s="16">
        <f t="shared" si="114"/>
        <v>1</v>
      </c>
      <c r="N809" s="16">
        <f t="shared" si="114"/>
        <v>2</v>
      </c>
      <c r="O809" s="16">
        <f t="shared" si="114"/>
        <v>175</v>
      </c>
      <c r="P809" s="16">
        <f t="shared" si="114"/>
        <v>1</v>
      </c>
      <c r="Q809" s="16">
        <f t="shared" si="114"/>
        <v>3</v>
      </c>
      <c r="R809" s="16">
        <f t="shared" si="113"/>
        <v>0</v>
      </c>
      <c r="S809" s="16">
        <f t="shared" si="113"/>
        <v>0</v>
      </c>
      <c r="T809" s="16">
        <f t="shared" si="113"/>
        <v>0</v>
      </c>
      <c r="U809" s="16">
        <f t="shared" si="113"/>
        <v>0</v>
      </c>
      <c r="V809" s="16">
        <f t="shared" si="113"/>
        <v>0</v>
      </c>
      <c r="W809" s="16">
        <f t="shared" si="113"/>
        <v>1</v>
      </c>
      <c r="X809" s="16" t="str">
        <f t="shared" si="108"/>
        <v>null</v>
      </c>
    </row>
    <row r="810" spans="1:24" x14ac:dyDescent="0.15">
      <c r="A810" s="20" t="str">
        <f t="shared" si="110"/>
        <v>26_3-5/170&lt;lv59&gt;s2</v>
      </c>
      <c r="B810" s="16">
        <f t="shared" si="114"/>
        <v>26</v>
      </c>
      <c r="C810" s="16">
        <f t="shared" si="114"/>
        <v>3</v>
      </c>
      <c r="D810" s="16">
        <f t="shared" si="114"/>
        <v>5</v>
      </c>
      <c r="E810" s="16">
        <f t="shared" si="114"/>
        <v>170</v>
      </c>
      <c r="F810" s="16">
        <f t="shared" si="114"/>
        <v>59</v>
      </c>
      <c r="G810" s="16">
        <f t="shared" si="114"/>
        <v>1.4</v>
      </c>
      <c r="H810" s="16">
        <f t="shared" si="114"/>
        <v>0.6</v>
      </c>
      <c r="I810" s="16">
        <f t="shared" si="114"/>
        <v>0</v>
      </c>
      <c r="J810" s="16">
        <f t="shared" si="114"/>
        <v>17001</v>
      </c>
      <c r="K810" s="16">
        <f t="shared" si="114"/>
        <v>1</v>
      </c>
      <c r="L810" s="16">
        <f t="shared" si="114"/>
        <v>100</v>
      </c>
      <c r="M810" s="16">
        <f t="shared" si="114"/>
        <v>1</v>
      </c>
      <c r="N810" s="16">
        <f t="shared" si="114"/>
        <v>2</v>
      </c>
      <c r="O810" s="16">
        <f t="shared" si="114"/>
        <v>169</v>
      </c>
      <c r="P810" s="16">
        <f t="shared" si="114"/>
        <v>1</v>
      </c>
      <c r="Q810" s="16">
        <f t="shared" si="114"/>
        <v>3</v>
      </c>
      <c r="R810" s="16">
        <f t="shared" si="113"/>
        <v>0</v>
      </c>
      <c r="S810" s="16">
        <f t="shared" si="113"/>
        <v>0</v>
      </c>
      <c r="T810" s="16">
        <f t="shared" si="113"/>
        <v>0</v>
      </c>
      <c r="U810" s="16">
        <f t="shared" si="113"/>
        <v>0</v>
      </c>
      <c r="V810" s="16">
        <f t="shared" si="113"/>
        <v>0</v>
      </c>
      <c r="W810" s="16">
        <f t="shared" si="113"/>
        <v>1</v>
      </c>
      <c r="X810" s="16" t="str">
        <f t="shared" si="108"/>
        <v>null</v>
      </c>
    </row>
    <row r="811" spans="1:24" x14ac:dyDescent="0.15">
      <c r="A811" s="20" t="str">
        <f t="shared" si="110"/>
        <v>26_4-1/9&lt;lv56&gt;s2</v>
      </c>
      <c r="B811" s="16">
        <f t="shared" si="114"/>
        <v>26</v>
      </c>
      <c r="C811" s="16">
        <f t="shared" si="114"/>
        <v>4</v>
      </c>
      <c r="D811" s="16">
        <f t="shared" si="114"/>
        <v>1</v>
      </c>
      <c r="E811" s="16">
        <f t="shared" si="114"/>
        <v>9</v>
      </c>
      <c r="F811" s="16">
        <f t="shared" si="114"/>
        <v>56</v>
      </c>
      <c r="G811" s="16">
        <f t="shared" si="114"/>
        <v>1</v>
      </c>
      <c r="H811" s="16">
        <f t="shared" si="114"/>
        <v>1</v>
      </c>
      <c r="I811" s="16">
        <f t="shared" si="114"/>
        <v>0</v>
      </c>
      <c r="J811" s="16">
        <f t="shared" si="114"/>
        <v>0</v>
      </c>
      <c r="K811" s="16">
        <f t="shared" si="114"/>
        <v>0</v>
      </c>
      <c r="L811" s="16">
        <f t="shared" si="114"/>
        <v>100</v>
      </c>
      <c r="M811" s="16">
        <f t="shared" si="114"/>
        <v>0</v>
      </c>
      <c r="N811" s="16">
        <f t="shared" si="114"/>
        <v>2</v>
      </c>
      <c r="O811" s="16">
        <f t="shared" si="114"/>
        <v>9</v>
      </c>
      <c r="P811" s="16">
        <f t="shared" si="114"/>
        <v>9</v>
      </c>
      <c r="Q811" s="16">
        <f t="shared" si="114"/>
        <v>1</v>
      </c>
      <c r="R811" s="16">
        <f t="shared" si="113"/>
        <v>15</v>
      </c>
      <c r="S811" s="16">
        <f t="shared" si="113"/>
        <v>0</v>
      </c>
      <c r="T811" s="16">
        <f t="shared" si="113"/>
        <v>0</v>
      </c>
      <c r="U811" s="16">
        <f t="shared" si="113"/>
        <v>0</v>
      </c>
      <c r="V811" s="16">
        <f t="shared" si="113"/>
        <v>0</v>
      </c>
      <c r="W811" s="16">
        <f t="shared" si="113"/>
        <v>1</v>
      </c>
      <c r="X811" s="16" t="str">
        <f t="shared" si="108"/>
        <v>null</v>
      </c>
    </row>
    <row r="812" spans="1:24" x14ac:dyDescent="0.15">
      <c r="A812" s="20" t="str">
        <f t="shared" si="110"/>
        <v>26_4-1/11&lt;lv56&gt;s3</v>
      </c>
      <c r="B812" s="16">
        <f t="shared" si="114"/>
        <v>26</v>
      </c>
      <c r="C812" s="16">
        <f t="shared" si="114"/>
        <v>4</v>
      </c>
      <c r="D812" s="16">
        <f t="shared" si="114"/>
        <v>1</v>
      </c>
      <c r="E812" s="16">
        <f t="shared" si="114"/>
        <v>11</v>
      </c>
      <c r="F812" s="16">
        <f t="shared" si="114"/>
        <v>56</v>
      </c>
      <c r="G812" s="16">
        <f t="shared" si="114"/>
        <v>1</v>
      </c>
      <c r="H812" s="16">
        <f t="shared" si="114"/>
        <v>1</v>
      </c>
      <c r="I812" s="16">
        <f t="shared" si="114"/>
        <v>0</v>
      </c>
      <c r="J812" s="16">
        <f t="shared" si="114"/>
        <v>0</v>
      </c>
      <c r="K812" s="16">
        <f t="shared" si="114"/>
        <v>0</v>
      </c>
      <c r="L812" s="16">
        <f t="shared" si="114"/>
        <v>100</v>
      </c>
      <c r="M812" s="16">
        <f t="shared" si="114"/>
        <v>0</v>
      </c>
      <c r="N812" s="16">
        <f t="shared" si="114"/>
        <v>3</v>
      </c>
      <c r="O812" s="16">
        <f t="shared" si="114"/>
        <v>11</v>
      </c>
      <c r="P812" s="16">
        <f t="shared" si="114"/>
        <v>9</v>
      </c>
      <c r="Q812" s="16">
        <f t="shared" si="114"/>
        <v>1</v>
      </c>
      <c r="R812" s="16">
        <f t="shared" si="113"/>
        <v>15</v>
      </c>
      <c r="S812" s="16">
        <f t="shared" si="113"/>
        <v>0</v>
      </c>
      <c r="T812" s="16">
        <f t="shared" si="113"/>
        <v>0</v>
      </c>
      <c r="U812" s="16">
        <f t="shared" si="113"/>
        <v>0</v>
      </c>
      <c r="V812" s="16">
        <f t="shared" si="113"/>
        <v>0</v>
      </c>
      <c r="W812" s="16">
        <f t="shared" si="113"/>
        <v>1</v>
      </c>
      <c r="X812" s="16" t="str">
        <f t="shared" si="108"/>
        <v>null</v>
      </c>
    </row>
    <row r="813" spans="1:24" x14ac:dyDescent="0.15">
      <c r="A813" s="20" t="str">
        <f t="shared" si="110"/>
        <v>26_4-1/13&lt;lv56&gt;s2</v>
      </c>
      <c r="B813" s="16">
        <f t="shared" si="114"/>
        <v>26</v>
      </c>
      <c r="C813" s="16">
        <f t="shared" si="114"/>
        <v>4</v>
      </c>
      <c r="D813" s="16">
        <f t="shared" si="114"/>
        <v>1</v>
      </c>
      <c r="E813" s="16">
        <f t="shared" si="114"/>
        <v>13</v>
      </c>
      <c r="F813" s="16">
        <f t="shared" si="114"/>
        <v>56</v>
      </c>
      <c r="G813" s="16">
        <f t="shared" si="114"/>
        <v>1</v>
      </c>
      <c r="H813" s="16">
        <f t="shared" si="114"/>
        <v>1</v>
      </c>
      <c r="I813" s="16">
        <f t="shared" si="114"/>
        <v>0</v>
      </c>
      <c r="J813" s="16">
        <f t="shared" si="114"/>
        <v>0</v>
      </c>
      <c r="K813" s="16">
        <f t="shared" si="114"/>
        <v>0</v>
      </c>
      <c r="L813" s="16">
        <f t="shared" si="114"/>
        <v>100</v>
      </c>
      <c r="M813" s="16">
        <f t="shared" si="114"/>
        <v>0</v>
      </c>
      <c r="N813" s="16">
        <f t="shared" si="114"/>
        <v>2</v>
      </c>
      <c r="O813" s="16">
        <f t="shared" si="114"/>
        <v>13</v>
      </c>
      <c r="P813" s="16">
        <f t="shared" si="114"/>
        <v>9</v>
      </c>
      <c r="Q813" s="16">
        <f t="shared" si="114"/>
        <v>1</v>
      </c>
      <c r="R813" s="16">
        <f t="shared" si="113"/>
        <v>15</v>
      </c>
      <c r="S813" s="16">
        <f t="shared" si="113"/>
        <v>0</v>
      </c>
      <c r="T813" s="16">
        <f t="shared" si="113"/>
        <v>0</v>
      </c>
      <c r="U813" s="16">
        <f t="shared" si="113"/>
        <v>0</v>
      </c>
      <c r="V813" s="16">
        <f t="shared" si="113"/>
        <v>0</v>
      </c>
      <c r="W813" s="16">
        <f t="shared" si="113"/>
        <v>1</v>
      </c>
      <c r="X813" s="16" t="str">
        <f t="shared" si="108"/>
        <v>null</v>
      </c>
    </row>
    <row r="814" spans="1:24" x14ac:dyDescent="0.15">
      <c r="A814" s="20" t="str">
        <f t="shared" si="110"/>
        <v>26_4-1/23&lt;lv56&gt;s4</v>
      </c>
      <c r="B814" s="16">
        <f t="shared" si="114"/>
        <v>26</v>
      </c>
      <c r="C814" s="16">
        <f t="shared" si="114"/>
        <v>4</v>
      </c>
      <c r="D814" s="16">
        <f t="shared" si="114"/>
        <v>1</v>
      </c>
      <c r="E814" s="16">
        <f t="shared" si="114"/>
        <v>23</v>
      </c>
      <c r="F814" s="16">
        <f t="shared" si="114"/>
        <v>56</v>
      </c>
      <c r="G814" s="16">
        <f t="shared" si="114"/>
        <v>1</v>
      </c>
      <c r="H814" s="16">
        <f t="shared" si="114"/>
        <v>1</v>
      </c>
      <c r="I814" s="16">
        <f t="shared" si="114"/>
        <v>0</v>
      </c>
      <c r="J814" s="16">
        <f t="shared" si="114"/>
        <v>0</v>
      </c>
      <c r="K814" s="16">
        <f t="shared" si="114"/>
        <v>0</v>
      </c>
      <c r="L814" s="16">
        <f t="shared" si="114"/>
        <v>100</v>
      </c>
      <c r="M814" s="16">
        <f t="shared" si="114"/>
        <v>0</v>
      </c>
      <c r="N814" s="16">
        <f t="shared" si="114"/>
        <v>4</v>
      </c>
      <c r="O814" s="16">
        <f t="shared" si="114"/>
        <v>23</v>
      </c>
      <c r="P814" s="16">
        <f t="shared" si="114"/>
        <v>7</v>
      </c>
      <c r="Q814" s="16">
        <f t="shared" ref="Q814:W829" si="115">VLOOKUP($A814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814" s="16">
        <f t="shared" si="115"/>
        <v>15</v>
      </c>
      <c r="S814" s="16">
        <f t="shared" si="115"/>
        <v>0</v>
      </c>
      <c r="T814" s="16">
        <f t="shared" si="115"/>
        <v>0</v>
      </c>
      <c r="U814" s="16">
        <f t="shared" si="115"/>
        <v>0</v>
      </c>
      <c r="V814" s="16">
        <f t="shared" si="115"/>
        <v>0</v>
      </c>
      <c r="W814" s="16">
        <f t="shared" si="115"/>
        <v>1</v>
      </c>
      <c r="X814" s="16" t="str">
        <f t="shared" si="108"/>
        <v>null</v>
      </c>
    </row>
    <row r="815" spans="1:24" x14ac:dyDescent="0.15">
      <c r="A815" s="20" t="str">
        <f t="shared" si="110"/>
        <v>26_4-1/25&lt;lv56&gt;s3</v>
      </c>
      <c r="B815" s="16">
        <f t="shared" ref="B815:Q830" si="116">VLOOKUP($A815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815" s="16">
        <f t="shared" si="116"/>
        <v>4</v>
      </c>
      <c r="D815" s="16">
        <f t="shared" si="116"/>
        <v>1</v>
      </c>
      <c r="E815" s="16">
        <f t="shared" si="116"/>
        <v>25</v>
      </c>
      <c r="F815" s="16">
        <f t="shared" si="116"/>
        <v>56</v>
      </c>
      <c r="G815" s="16">
        <f t="shared" si="116"/>
        <v>1</v>
      </c>
      <c r="H815" s="16">
        <f t="shared" si="116"/>
        <v>1</v>
      </c>
      <c r="I815" s="16">
        <f t="shared" si="116"/>
        <v>0</v>
      </c>
      <c r="J815" s="16">
        <f t="shared" si="116"/>
        <v>0</v>
      </c>
      <c r="K815" s="16">
        <f t="shared" si="116"/>
        <v>0</v>
      </c>
      <c r="L815" s="16">
        <f t="shared" si="116"/>
        <v>100</v>
      </c>
      <c r="M815" s="16">
        <f t="shared" si="116"/>
        <v>0</v>
      </c>
      <c r="N815" s="16">
        <f t="shared" si="116"/>
        <v>3</v>
      </c>
      <c r="O815" s="16">
        <f t="shared" si="116"/>
        <v>25</v>
      </c>
      <c r="P815" s="16">
        <f t="shared" si="116"/>
        <v>7</v>
      </c>
      <c r="Q815" s="16">
        <f t="shared" si="116"/>
        <v>1</v>
      </c>
      <c r="R815" s="16">
        <f t="shared" si="115"/>
        <v>15</v>
      </c>
      <c r="S815" s="16">
        <f t="shared" si="115"/>
        <v>0</v>
      </c>
      <c r="T815" s="16">
        <f t="shared" si="115"/>
        <v>0</v>
      </c>
      <c r="U815" s="16">
        <f t="shared" si="115"/>
        <v>0</v>
      </c>
      <c r="V815" s="16">
        <f t="shared" si="115"/>
        <v>0</v>
      </c>
      <c r="W815" s="16">
        <f t="shared" si="115"/>
        <v>1</v>
      </c>
      <c r="X815" s="16" t="str">
        <f t="shared" si="108"/>
        <v>null</v>
      </c>
    </row>
    <row r="816" spans="1:24" x14ac:dyDescent="0.15">
      <c r="A816" s="20" t="str">
        <f t="shared" si="110"/>
        <v>26_4-1/348&lt;lv56&gt;s3</v>
      </c>
      <c r="B816" s="16">
        <f t="shared" si="116"/>
        <v>26</v>
      </c>
      <c r="C816" s="16">
        <f t="shared" si="116"/>
        <v>4</v>
      </c>
      <c r="D816" s="16">
        <f t="shared" si="116"/>
        <v>1</v>
      </c>
      <c r="E816" s="16">
        <f t="shared" si="116"/>
        <v>348</v>
      </c>
      <c r="F816" s="16">
        <f t="shared" si="116"/>
        <v>56</v>
      </c>
      <c r="G816" s="16">
        <f t="shared" si="116"/>
        <v>1</v>
      </c>
      <c r="H816" s="16">
        <f t="shared" si="116"/>
        <v>1</v>
      </c>
      <c r="I816" s="16">
        <f t="shared" si="116"/>
        <v>0</v>
      </c>
      <c r="J816" s="16">
        <f t="shared" si="116"/>
        <v>348</v>
      </c>
      <c r="K816" s="16">
        <f t="shared" si="116"/>
        <v>0</v>
      </c>
      <c r="L816" s="16">
        <f t="shared" si="116"/>
        <v>100</v>
      </c>
      <c r="M816" s="16">
        <f t="shared" si="116"/>
        <v>0</v>
      </c>
      <c r="N816" s="16">
        <f t="shared" si="116"/>
        <v>3</v>
      </c>
      <c r="O816" s="16">
        <f t="shared" si="116"/>
        <v>348</v>
      </c>
      <c r="P816" s="16">
        <f t="shared" si="116"/>
        <v>1</v>
      </c>
      <c r="Q816" s="16">
        <f t="shared" si="116"/>
        <v>2</v>
      </c>
      <c r="R816" s="16">
        <f t="shared" si="115"/>
        <v>23</v>
      </c>
      <c r="S816" s="16">
        <f t="shared" si="115"/>
        <v>0</v>
      </c>
      <c r="T816" s="16">
        <f t="shared" si="115"/>
        <v>0</v>
      </c>
      <c r="U816" s="16">
        <f t="shared" si="115"/>
        <v>0</v>
      </c>
      <c r="V816" s="16">
        <f t="shared" si="115"/>
        <v>0</v>
      </c>
      <c r="W816" s="16">
        <f t="shared" si="115"/>
        <v>1</v>
      </c>
      <c r="X816" s="16" t="str">
        <f t="shared" si="108"/>
        <v>null</v>
      </c>
    </row>
    <row r="817" spans="1:24" x14ac:dyDescent="0.15">
      <c r="A817" s="20" t="str">
        <f t="shared" si="110"/>
        <v>26_4-1/350&lt;lv56&gt;s3</v>
      </c>
      <c r="B817" s="16">
        <f t="shared" si="116"/>
        <v>26</v>
      </c>
      <c r="C817" s="16">
        <f t="shared" si="116"/>
        <v>4</v>
      </c>
      <c r="D817" s="16">
        <f t="shared" si="116"/>
        <v>1</v>
      </c>
      <c r="E817" s="16">
        <f t="shared" si="116"/>
        <v>350</v>
      </c>
      <c r="F817" s="16">
        <f t="shared" si="116"/>
        <v>56</v>
      </c>
      <c r="G817" s="16">
        <f t="shared" si="116"/>
        <v>1</v>
      </c>
      <c r="H817" s="16">
        <f t="shared" si="116"/>
        <v>1</v>
      </c>
      <c r="I817" s="16">
        <f t="shared" si="116"/>
        <v>0</v>
      </c>
      <c r="J817" s="16">
        <f t="shared" si="116"/>
        <v>350</v>
      </c>
      <c r="K817" s="16">
        <f t="shared" si="116"/>
        <v>0</v>
      </c>
      <c r="L817" s="16">
        <f t="shared" si="116"/>
        <v>100</v>
      </c>
      <c r="M817" s="16">
        <f t="shared" si="116"/>
        <v>0</v>
      </c>
      <c r="N817" s="16">
        <f t="shared" si="116"/>
        <v>3</v>
      </c>
      <c r="O817" s="16">
        <f t="shared" si="116"/>
        <v>350</v>
      </c>
      <c r="P817" s="16">
        <f t="shared" si="116"/>
        <v>1</v>
      </c>
      <c r="Q817" s="16">
        <f t="shared" si="116"/>
        <v>2</v>
      </c>
      <c r="R817" s="16">
        <f t="shared" si="115"/>
        <v>23</v>
      </c>
      <c r="S817" s="16">
        <f t="shared" si="115"/>
        <v>0</v>
      </c>
      <c r="T817" s="16">
        <f t="shared" si="115"/>
        <v>0</v>
      </c>
      <c r="U817" s="16">
        <f t="shared" si="115"/>
        <v>0</v>
      </c>
      <c r="V817" s="16">
        <f t="shared" si="115"/>
        <v>0</v>
      </c>
      <c r="W817" s="16">
        <f t="shared" si="115"/>
        <v>1</v>
      </c>
      <c r="X817" s="16" t="str">
        <f t="shared" si="108"/>
        <v>null</v>
      </c>
    </row>
    <row r="818" spans="1:24" x14ac:dyDescent="0.15">
      <c r="A818" s="20" t="str">
        <f t="shared" si="110"/>
        <v>26_4-2/33&lt;lv56&gt;s2</v>
      </c>
      <c r="B818" s="16">
        <f t="shared" si="116"/>
        <v>26</v>
      </c>
      <c r="C818" s="16">
        <f t="shared" si="116"/>
        <v>4</v>
      </c>
      <c r="D818" s="16">
        <f t="shared" si="116"/>
        <v>2</v>
      </c>
      <c r="E818" s="16">
        <f t="shared" si="116"/>
        <v>33</v>
      </c>
      <c r="F818" s="16">
        <f t="shared" si="116"/>
        <v>56</v>
      </c>
      <c r="G818" s="16">
        <f t="shared" si="116"/>
        <v>1</v>
      </c>
      <c r="H818" s="16">
        <f t="shared" si="116"/>
        <v>1</v>
      </c>
      <c r="I818" s="16">
        <f t="shared" si="116"/>
        <v>0</v>
      </c>
      <c r="J818" s="16">
        <f t="shared" si="116"/>
        <v>33</v>
      </c>
      <c r="K818" s="16">
        <f t="shared" si="116"/>
        <v>0</v>
      </c>
      <c r="L818" s="16">
        <f t="shared" si="116"/>
        <v>100</v>
      </c>
      <c r="M818" s="16">
        <f t="shared" si="116"/>
        <v>0</v>
      </c>
      <c r="N818" s="16">
        <f t="shared" si="116"/>
        <v>2</v>
      </c>
      <c r="O818" s="16">
        <f t="shared" si="116"/>
        <v>33</v>
      </c>
      <c r="P818" s="16">
        <f t="shared" si="116"/>
        <v>5</v>
      </c>
      <c r="Q818" s="16">
        <f t="shared" si="116"/>
        <v>2</v>
      </c>
      <c r="R818" s="16">
        <f t="shared" si="115"/>
        <v>20</v>
      </c>
      <c r="S818" s="16">
        <f t="shared" si="115"/>
        <v>0</v>
      </c>
      <c r="T818" s="16">
        <f t="shared" si="115"/>
        <v>0</v>
      </c>
      <c r="U818" s="16">
        <f t="shared" si="115"/>
        <v>0</v>
      </c>
      <c r="V818" s="16">
        <f t="shared" si="115"/>
        <v>0</v>
      </c>
      <c r="W818" s="16">
        <f t="shared" si="115"/>
        <v>1</v>
      </c>
      <c r="X818" s="16" t="str">
        <f t="shared" si="108"/>
        <v>null</v>
      </c>
    </row>
    <row r="819" spans="1:24" x14ac:dyDescent="0.15">
      <c r="A819" s="20" t="str">
        <f t="shared" si="110"/>
        <v>26_4-2/37&lt;lv56&gt;s3</v>
      </c>
      <c r="B819" s="16">
        <f t="shared" si="116"/>
        <v>26</v>
      </c>
      <c r="C819" s="16">
        <f t="shared" si="116"/>
        <v>4</v>
      </c>
      <c r="D819" s="16">
        <f t="shared" si="116"/>
        <v>2</v>
      </c>
      <c r="E819" s="16">
        <f t="shared" si="116"/>
        <v>37</v>
      </c>
      <c r="F819" s="16">
        <f t="shared" si="116"/>
        <v>56</v>
      </c>
      <c r="G819" s="16">
        <f t="shared" si="116"/>
        <v>1</v>
      </c>
      <c r="H819" s="16">
        <f t="shared" si="116"/>
        <v>1</v>
      </c>
      <c r="I819" s="16">
        <f t="shared" si="116"/>
        <v>0</v>
      </c>
      <c r="J819" s="16">
        <f t="shared" si="116"/>
        <v>37</v>
      </c>
      <c r="K819" s="16">
        <f t="shared" si="116"/>
        <v>0</v>
      </c>
      <c r="L819" s="16">
        <f t="shared" si="116"/>
        <v>100</v>
      </c>
      <c r="M819" s="16">
        <f t="shared" si="116"/>
        <v>0</v>
      </c>
      <c r="N819" s="16">
        <f t="shared" si="116"/>
        <v>3</v>
      </c>
      <c r="O819" s="16">
        <f t="shared" si="116"/>
        <v>37</v>
      </c>
      <c r="P819" s="16">
        <f t="shared" si="116"/>
        <v>5</v>
      </c>
      <c r="Q819" s="16">
        <f t="shared" si="116"/>
        <v>2</v>
      </c>
      <c r="R819" s="16">
        <f t="shared" si="115"/>
        <v>20</v>
      </c>
      <c r="S819" s="16">
        <f t="shared" si="115"/>
        <v>0</v>
      </c>
      <c r="T819" s="16">
        <f t="shared" si="115"/>
        <v>0</v>
      </c>
      <c r="U819" s="16">
        <f t="shared" si="115"/>
        <v>0</v>
      </c>
      <c r="V819" s="16">
        <f t="shared" si="115"/>
        <v>0</v>
      </c>
      <c r="W819" s="16">
        <f t="shared" si="115"/>
        <v>1</v>
      </c>
      <c r="X819" s="16" t="str">
        <f t="shared" si="108"/>
        <v>null</v>
      </c>
    </row>
    <row r="820" spans="1:24" x14ac:dyDescent="0.15">
      <c r="A820" s="20" t="str">
        <f t="shared" si="110"/>
        <v>26_4-2/45&lt;lv56&gt;s3</v>
      </c>
      <c r="B820" s="16">
        <f t="shared" si="116"/>
        <v>26</v>
      </c>
      <c r="C820" s="16">
        <f t="shared" si="116"/>
        <v>4</v>
      </c>
      <c r="D820" s="16">
        <f t="shared" si="116"/>
        <v>2</v>
      </c>
      <c r="E820" s="16">
        <f t="shared" si="116"/>
        <v>45</v>
      </c>
      <c r="F820" s="16">
        <f t="shared" si="116"/>
        <v>56</v>
      </c>
      <c r="G820" s="16">
        <f t="shared" si="116"/>
        <v>1</v>
      </c>
      <c r="H820" s="16">
        <f t="shared" si="116"/>
        <v>1</v>
      </c>
      <c r="I820" s="16">
        <f t="shared" si="116"/>
        <v>0</v>
      </c>
      <c r="J820" s="16">
        <f t="shared" si="116"/>
        <v>0</v>
      </c>
      <c r="K820" s="16">
        <f t="shared" si="116"/>
        <v>0</v>
      </c>
      <c r="L820" s="16">
        <f t="shared" si="116"/>
        <v>100</v>
      </c>
      <c r="M820" s="16">
        <f t="shared" si="116"/>
        <v>0</v>
      </c>
      <c r="N820" s="16">
        <f t="shared" si="116"/>
        <v>3</v>
      </c>
      <c r="O820" s="16">
        <f t="shared" si="116"/>
        <v>45</v>
      </c>
      <c r="P820" s="16">
        <f t="shared" si="116"/>
        <v>7</v>
      </c>
      <c r="Q820" s="16">
        <f t="shared" si="116"/>
        <v>2</v>
      </c>
      <c r="R820" s="16">
        <f t="shared" si="115"/>
        <v>20</v>
      </c>
      <c r="S820" s="16">
        <f t="shared" si="115"/>
        <v>0</v>
      </c>
      <c r="T820" s="16">
        <f t="shared" si="115"/>
        <v>0</v>
      </c>
      <c r="U820" s="16">
        <f t="shared" si="115"/>
        <v>0</v>
      </c>
      <c r="V820" s="16">
        <f t="shared" si="115"/>
        <v>0</v>
      </c>
      <c r="W820" s="16">
        <f t="shared" si="115"/>
        <v>1</v>
      </c>
      <c r="X820" s="16" t="str">
        <f t="shared" si="108"/>
        <v>null</v>
      </c>
    </row>
    <row r="821" spans="1:24" x14ac:dyDescent="0.15">
      <c r="A821" s="20" t="str">
        <f t="shared" si="110"/>
        <v>26_4-2/47&lt;lv56&gt;s1</v>
      </c>
      <c r="B821" s="16">
        <f t="shared" si="116"/>
        <v>26</v>
      </c>
      <c r="C821" s="16">
        <f t="shared" si="116"/>
        <v>4</v>
      </c>
      <c r="D821" s="16">
        <f t="shared" si="116"/>
        <v>2</v>
      </c>
      <c r="E821" s="16">
        <f t="shared" si="116"/>
        <v>47</v>
      </c>
      <c r="F821" s="16">
        <f t="shared" si="116"/>
        <v>56</v>
      </c>
      <c r="G821" s="16">
        <f t="shared" si="116"/>
        <v>1</v>
      </c>
      <c r="H821" s="16">
        <f t="shared" si="116"/>
        <v>1</v>
      </c>
      <c r="I821" s="16">
        <f t="shared" si="116"/>
        <v>0</v>
      </c>
      <c r="J821" s="16">
        <f t="shared" si="116"/>
        <v>0</v>
      </c>
      <c r="K821" s="16">
        <f t="shared" si="116"/>
        <v>0</v>
      </c>
      <c r="L821" s="16">
        <f t="shared" si="116"/>
        <v>100</v>
      </c>
      <c r="M821" s="16">
        <f t="shared" si="116"/>
        <v>0</v>
      </c>
      <c r="N821" s="16">
        <f t="shared" si="116"/>
        <v>1</v>
      </c>
      <c r="O821" s="16">
        <f t="shared" si="116"/>
        <v>47</v>
      </c>
      <c r="P821" s="16">
        <f t="shared" si="116"/>
        <v>7</v>
      </c>
      <c r="Q821" s="16">
        <f t="shared" si="116"/>
        <v>2</v>
      </c>
      <c r="R821" s="16">
        <f t="shared" si="115"/>
        <v>20</v>
      </c>
      <c r="S821" s="16">
        <f t="shared" si="115"/>
        <v>0</v>
      </c>
      <c r="T821" s="16">
        <f t="shared" si="115"/>
        <v>0</v>
      </c>
      <c r="U821" s="16">
        <f t="shared" si="115"/>
        <v>0</v>
      </c>
      <c r="V821" s="16">
        <f t="shared" si="115"/>
        <v>0</v>
      </c>
      <c r="W821" s="16">
        <f t="shared" si="115"/>
        <v>1</v>
      </c>
      <c r="X821" s="16" t="str">
        <f t="shared" si="108"/>
        <v>null</v>
      </c>
    </row>
    <row r="822" spans="1:24" x14ac:dyDescent="0.15">
      <c r="A822" s="20" t="str">
        <f t="shared" si="110"/>
        <v>26_4-2/57&lt;lv56&gt;s2</v>
      </c>
      <c r="B822" s="16">
        <f t="shared" si="116"/>
        <v>26</v>
      </c>
      <c r="C822" s="16">
        <f t="shared" si="116"/>
        <v>4</v>
      </c>
      <c r="D822" s="16">
        <f t="shared" si="116"/>
        <v>2</v>
      </c>
      <c r="E822" s="16">
        <f t="shared" si="116"/>
        <v>57</v>
      </c>
      <c r="F822" s="16">
        <f t="shared" si="116"/>
        <v>56</v>
      </c>
      <c r="G822" s="16">
        <f t="shared" si="116"/>
        <v>1</v>
      </c>
      <c r="H822" s="16">
        <f t="shared" si="116"/>
        <v>1</v>
      </c>
      <c r="I822" s="16">
        <f t="shared" si="116"/>
        <v>0</v>
      </c>
      <c r="J822" s="16">
        <f t="shared" si="116"/>
        <v>57</v>
      </c>
      <c r="K822" s="16">
        <f t="shared" si="116"/>
        <v>0</v>
      </c>
      <c r="L822" s="16">
        <f t="shared" si="116"/>
        <v>100</v>
      </c>
      <c r="M822" s="16">
        <f t="shared" si="116"/>
        <v>0</v>
      </c>
      <c r="N822" s="16">
        <f t="shared" si="116"/>
        <v>2</v>
      </c>
      <c r="O822" s="16">
        <f t="shared" si="116"/>
        <v>57</v>
      </c>
      <c r="P822" s="16">
        <f t="shared" si="116"/>
        <v>7</v>
      </c>
      <c r="Q822" s="16">
        <f t="shared" si="116"/>
        <v>2</v>
      </c>
      <c r="R822" s="16">
        <f t="shared" si="115"/>
        <v>20</v>
      </c>
      <c r="S822" s="16">
        <f t="shared" si="115"/>
        <v>0</v>
      </c>
      <c r="T822" s="16">
        <f t="shared" si="115"/>
        <v>0</v>
      </c>
      <c r="U822" s="16">
        <f t="shared" si="115"/>
        <v>0</v>
      </c>
      <c r="V822" s="16">
        <f t="shared" si="115"/>
        <v>0</v>
      </c>
      <c r="W822" s="16">
        <f t="shared" si="115"/>
        <v>1</v>
      </c>
      <c r="X822" s="16" t="str">
        <f t="shared" si="108"/>
        <v>null</v>
      </c>
    </row>
    <row r="823" spans="1:24" x14ac:dyDescent="0.15">
      <c r="A823" s="20" t="str">
        <f t="shared" si="110"/>
        <v>26_4-2/59&lt;lv56&gt;s2</v>
      </c>
      <c r="B823" s="16">
        <f t="shared" si="116"/>
        <v>26</v>
      </c>
      <c r="C823" s="16">
        <f t="shared" si="116"/>
        <v>4</v>
      </c>
      <c r="D823" s="16">
        <f t="shared" si="116"/>
        <v>2</v>
      </c>
      <c r="E823" s="16">
        <f t="shared" si="116"/>
        <v>59</v>
      </c>
      <c r="F823" s="16">
        <f t="shared" si="116"/>
        <v>56</v>
      </c>
      <c r="G823" s="16">
        <f t="shared" si="116"/>
        <v>1</v>
      </c>
      <c r="H823" s="16">
        <f t="shared" si="116"/>
        <v>1</v>
      </c>
      <c r="I823" s="16">
        <f t="shared" si="116"/>
        <v>0</v>
      </c>
      <c r="J823" s="16">
        <f t="shared" si="116"/>
        <v>59</v>
      </c>
      <c r="K823" s="16">
        <f t="shared" si="116"/>
        <v>0</v>
      </c>
      <c r="L823" s="16">
        <f t="shared" si="116"/>
        <v>100</v>
      </c>
      <c r="M823" s="16">
        <f t="shared" si="116"/>
        <v>0</v>
      </c>
      <c r="N823" s="16">
        <f t="shared" si="116"/>
        <v>2</v>
      </c>
      <c r="O823" s="16">
        <f t="shared" si="116"/>
        <v>59</v>
      </c>
      <c r="P823" s="16">
        <f t="shared" si="116"/>
        <v>7</v>
      </c>
      <c r="Q823" s="16">
        <f t="shared" si="116"/>
        <v>2</v>
      </c>
      <c r="R823" s="16">
        <f t="shared" si="115"/>
        <v>20</v>
      </c>
      <c r="S823" s="16">
        <f t="shared" si="115"/>
        <v>0</v>
      </c>
      <c r="T823" s="16">
        <f t="shared" si="115"/>
        <v>0</v>
      </c>
      <c r="U823" s="16">
        <f t="shared" si="115"/>
        <v>0</v>
      </c>
      <c r="V823" s="16">
        <f t="shared" si="115"/>
        <v>0</v>
      </c>
      <c r="W823" s="16">
        <f t="shared" si="115"/>
        <v>1</v>
      </c>
      <c r="X823" s="16" t="str">
        <f t="shared" si="108"/>
        <v>null</v>
      </c>
    </row>
    <row r="824" spans="1:24" x14ac:dyDescent="0.15">
      <c r="A824" s="20" t="str">
        <f t="shared" si="110"/>
        <v>26_4-2/61&lt;lv56&gt;s2</v>
      </c>
      <c r="B824" s="16">
        <f t="shared" si="116"/>
        <v>26</v>
      </c>
      <c r="C824" s="16">
        <f t="shared" si="116"/>
        <v>4</v>
      </c>
      <c r="D824" s="16">
        <f t="shared" si="116"/>
        <v>2</v>
      </c>
      <c r="E824" s="16">
        <f t="shared" si="116"/>
        <v>61</v>
      </c>
      <c r="F824" s="16">
        <f t="shared" si="116"/>
        <v>56</v>
      </c>
      <c r="G824" s="16">
        <f t="shared" si="116"/>
        <v>1</v>
      </c>
      <c r="H824" s="16">
        <f t="shared" si="116"/>
        <v>1</v>
      </c>
      <c r="I824" s="16">
        <f t="shared" si="116"/>
        <v>0</v>
      </c>
      <c r="J824" s="16">
        <f t="shared" si="116"/>
        <v>61</v>
      </c>
      <c r="K824" s="16">
        <f t="shared" si="116"/>
        <v>0</v>
      </c>
      <c r="L824" s="16">
        <f t="shared" si="116"/>
        <v>100</v>
      </c>
      <c r="M824" s="16">
        <f t="shared" si="116"/>
        <v>0</v>
      </c>
      <c r="N824" s="16">
        <f t="shared" si="116"/>
        <v>2</v>
      </c>
      <c r="O824" s="16">
        <f t="shared" si="116"/>
        <v>61</v>
      </c>
      <c r="P824" s="16">
        <f t="shared" si="116"/>
        <v>7</v>
      </c>
      <c r="Q824" s="16">
        <f t="shared" si="116"/>
        <v>2</v>
      </c>
      <c r="R824" s="16">
        <f t="shared" si="115"/>
        <v>20</v>
      </c>
      <c r="S824" s="16">
        <f t="shared" si="115"/>
        <v>0</v>
      </c>
      <c r="T824" s="16">
        <f t="shared" si="115"/>
        <v>0</v>
      </c>
      <c r="U824" s="16">
        <f t="shared" si="115"/>
        <v>0</v>
      </c>
      <c r="V824" s="16">
        <f t="shared" si="115"/>
        <v>0</v>
      </c>
      <c r="W824" s="16">
        <f t="shared" si="115"/>
        <v>1</v>
      </c>
      <c r="X824" s="16" t="str">
        <f t="shared" si="108"/>
        <v>null</v>
      </c>
    </row>
    <row r="825" spans="1:24" x14ac:dyDescent="0.15">
      <c r="A825" s="20" t="str">
        <f t="shared" si="110"/>
        <v>26_4-2/63&lt;lv56&gt;s2</v>
      </c>
      <c r="B825" s="16">
        <f t="shared" si="116"/>
        <v>26</v>
      </c>
      <c r="C825" s="16">
        <f t="shared" si="116"/>
        <v>4</v>
      </c>
      <c r="D825" s="16">
        <f t="shared" si="116"/>
        <v>2</v>
      </c>
      <c r="E825" s="16">
        <f t="shared" si="116"/>
        <v>63</v>
      </c>
      <c r="F825" s="16">
        <f t="shared" si="116"/>
        <v>56</v>
      </c>
      <c r="G825" s="16">
        <f t="shared" si="116"/>
        <v>1</v>
      </c>
      <c r="H825" s="16">
        <f t="shared" si="116"/>
        <v>1</v>
      </c>
      <c r="I825" s="16">
        <f t="shared" si="116"/>
        <v>0</v>
      </c>
      <c r="J825" s="16">
        <f t="shared" si="116"/>
        <v>63</v>
      </c>
      <c r="K825" s="16">
        <f t="shared" si="116"/>
        <v>0</v>
      </c>
      <c r="L825" s="16">
        <f t="shared" si="116"/>
        <v>100</v>
      </c>
      <c r="M825" s="16">
        <f t="shared" si="116"/>
        <v>0</v>
      </c>
      <c r="N825" s="16">
        <f t="shared" si="116"/>
        <v>2</v>
      </c>
      <c r="O825" s="16">
        <f t="shared" si="116"/>
        <v>63</v>
      </c>
      <c r="P825" s="16">
        <f t="shared" si="116"/>
        <v>7</v>
      </c>
      <c r="Q825" s="16">
        <f t="shared" si="116"/>
        <v>2</v>
      </c>
      <c r="R825" s="16">
        <f t="shared" si="115"/>
        <v>20</v>
      </c>
      <c r="S825" s="16">
        <f t="shared" si="115"/>
        <v>0</v>
      </c>
      <c r="T825" s="16">
        <f t="shared" si="115"/>
        <v>0</v>
      </c>
      <c r="U825" s="16">
        <f t="shared" si="115"/>
        <v>0</v>
      </c>
      <c r="V825" s="16">
        <f t="shared" si="115"/>
        <v>0</v>
      </c>
      <c r="W825" s="16">
        <f t="shared" si="115"/>
        <v>1</v>
      </c>
      <c r="X825" s="16" t="str">
        <f t="shared" si="108"/>
        <v>null</v>
      </c>
    </row>
    <row r="826" spans="1:24" x14ac:dyDescent="0.15">
      <c r="A826" s="20" t="str">
        <f t="shared" si="110"/>
        <v>26_4-2/360&lt;lv56&gt;s3</v>
      </c>
      <c r="B826" s="16">
        <f t="shared" si="116"/>
        <v>26</v>
      </c>
      <c r="C826" s="16">
        <f t="shared" si="116"/>
        <v>4</v>
      </c>
      <c r="D826" s="16">
        <f t="shared" si="116"/>
        <v>2</v>
      </c>
      <c r="E826" s="16">
        <f t="shared" si="116"/>
        <v>360</v>
      </c>
      <c r="F826" s="16">
        <f t="shared" si="116"/>
        <v>56</v>
      </c>
      <c r="G826" s="16">
        <f t="shared" si="116"/>
        <v>1</v>
      </c>
      <c r="H826" s="16">
        <f t="shared" si="116"/>
        <v>1</v>
      </c>
      <c r="I826" s="16">
        <f t="shared" si="116"/>
        <v>0</v>
      </c>
      <c r="J826" s="16">
        <f t="shared" si="116"/>
        <v>360</v>
      </c>
      <c r="K826" s="16">
        <f t="shared" si="116"/>
        <v>0</v>
      </c>
      <c r="L826" s="16">
        <f t="shared" si="116"/>
        <v>100</v>
      </c>
      <c r="M826" s="16">
        <f t="shared" si="116"/>
        <v>0</v>
      </c>
      <c r="N826" s="16">
        <f t="shared" si="116"/>
        <v>3</v>
      </c>
      <c r="O826" s="16">
        <f t="shared" si="116"/>
        <v>360</v>
      </c>
      <c r="P826" s="16">
        <f t="shared" si="116"/>
        <v>7</v>
      </c>
      <c r="Q826" s="16">
        <f t="shared" si="116"/>
        <v>2</v>
      </c>
      <c r="R826" s="16">
        <f t="shared" si="115"/>
        <v>20</v>
      </c>
      <c r="S826" s="16">
        <f t="shared" si="115"/>
        <v>0</v>
      </c>
      <c r="T826" s="16">
        <f t="shared" si="115"/>
        <v>0</v>
      </c>
      <c r="U826" s="16">
        <f t="shared" si="115"/>
        <v>0</v>
      </c>
      <c r="V826" s="16">
        <f t="shared" si="115"/>
        <v>0</v>
      </c>
      <c r="W826" s="16">
        <f t="shared" si="115"/>
        <v>1</v>
      </c>
      <c r="X826" s="16" t="str">
        <f t="shared" si="108"/>
        <v>null</v>
      </c>
    </row>
    <row r="827" spans="1:24" x14ac:dyDescent="0.15">
      <c r="A827" s="20" t="str">
        <f t="shared" si="110"/>
        <v>26_4-2/362&lt;lv56&gt;s3</v>
      </c>
      <c r="B827" s="16">
        <f t="shared" si="116"/>
        <v>26</v>
      </c>
      <c r="C827" s="16">
        <f t="shared" si="116"/>
        <v>4</v>
      </c>
      <c r="D827" s="16">
        <f t="shared" si="116"/>
        <v>2</v>
      </c>
      <c r="E827" s="16">
        <f t="shared" si="116"/>
        <v>362</v>
      </c>
      <c r="F827" s="16">
        <f t="shared" si="116"/>
        <v>56</v>
      </c>
      <c r="G827" s="16">
        <f t="shared" si="116"/>
        <v>1</v>
      </c>
      <c r="H827" s="16">
        <f t="shared" si="116"/>
        <v>1</v>
      </c>
      <c r="I827" s="16">
        <f t="shared" si="116"/>
        <v>0</v>
      </c>
      <c r="J827" s="16">
        <f t="shared" si="116"/>
        <v>362</v>
      </c>
      <c r="K827" s="16">
        <f t="shared" si="116"/>
        <v>0</v>
      </c>
      <c r="L827" s="16">
        <f t="shared" si="116"/>
        <v>100</v>
      </c>
      <c r="M827" s="16">
        <f t="shared" si="116"/>
        <v>0</v>
      </c>
      <c r="N827" s="16">
        <f t="shared" si="116"/>
        <v>3</v>
      </c>
      <c r="O827" s="16">
        <f t="shared" si="116"/>
        <v>362</v>
      </c>
      <c r="P827" s="16">
        <f t="shared" si="116"/>
        <v>7</v>
      </c>
      <c r="Q827" s="16">
        <f t="shared" si="116"/>
        <v>2</v>
      </c>
      <c r="R827" s="16">
        <f t="shared" si="115"/>
        <v>20</v>
      </c>
      <c r="S827" s="16">
        <f t="shared" si="115"/>
        <v>0</v>
      </c>
      <c r="T827" s="16">
        <f t="shared" si="115"/>
        <v>0</v>
      </c>
      <c r="U827" s="16">
        <f t="shared" si="115"/>
        <v>0</v>
      </c>
      <c r="V827" s="16">
        <f t="shared" si="115"/>
        <v>0</v>
      </c>
      <c r="W827" s="16">
        <f t="shared" si="115"/>
        <v>1</v>
      </c>
      <c r="X827" s="16" t="str">
        <f t="shared" si="108"/>
        <v>null</v>
      </c>
    </row>
    <row r="828" spans="1:24" x14ac:dyDescent="0.15">
      <c r="A828" s="20" t="str">
        <f t="shared" si="110"/>
        <v>26_4-2/364&lt;lv56&gt;s3</v>
      </c>
      <c r="B828" s="16">
        <f t="shared" si="116"/>
        <v>26</v>
      </c>
      <c r="C828" s="16">
        <f t="shared" si="116"/>
        <v>4</v>
      </c>
      <c r="D828" s="16">
        <f t="shared" si="116"/>
        <v>2</v>
      </c>
      <c r="E828" s="16">
        <f t="shared" si="116"/>
        <v>364</v>
      </c>
      <c r="F828" s="16">
        <f t="shared" si="116"/>
        <v>56</v>
      </c>
      <c r="G828" s="16">
        <f t="shared" si="116"/>
        <v>1</v>
      </c>
      <c r="H828" s="16">
        <f t="shared" si="116"/>
        <v>1</v>
      </c>
      <c r="I828" s="16">
        <f t="shared" si="116"/>
        <v>0</v>
      </c>
      <c r="J828" s="16">
        <f t="shared" si="116"/>
        <v>364</v>
      </c>
      <c r="K828" s="16">
        <f t="shared" si="116"/>
        <v>0</v>
      </c>
      <c r="L828" s="16">
        <f t="shared" si="116"/>
        <v>100</v>
      </c>
      <c r="M828" s="16">
        <f t="shared" si="116"/>
        <v>0</v>
      </c>
      <c r="N828" s="16">
        <f t="shared" si="116"/>
        <v>3</v>
      </c>
      <c r="O828" s="16">
        <f t="shared" si="116"/>
        <v>364</v>
      </c>
      <c r="P828" s="16">
        <f t="shared" si="116"/>
        <v>7</v>
      </c>
      <c r="Q828" s="16">
        <f t="shared" si="116"/>
        <v>2</v>
      </c>
      <c r="R828" s="16">
        <f t="shared" si="115"/>
        <v>20</v>
      </c>
      <c r="S828" s="16">
        <f t="shared" si="115"/>
        <v>0</v>
      </c>
      <c r="T828" s="16">
        <f t="shared" si="115"/>
        <v>0</v>
      </c>
      <c r="U828" s="16">
        <f t="shared" si="115"/>
        <v>0</v>
      </c>
      <c r="V828" s="16">
        <f t="shared" si="115"/>
        <v>0</v>
      </c>
      <c r="W828" s="16">
        <f t="shared" si="115"/>
        <v>1</v>
      </c>
      <c r="X828" s="16" t="str">
        <f t="shared" si="108"/>
        <v>null</v>
      </c>
    </row>
    <row r="829" spans="1:24" x14ac:dyDescent="0.15">
      <c r="A829" s="20" t="str">
        <f t="shared" si="110"/>
        <v>26_4-2/366&lt;lv56&gt;s3</v>
      </c>
      <c r="B829" s="16">
        <f t="shared" si="116"/>
        <v>26</v>
      </c>
      <c r="C829" s="16">
        <f t="shared" si="116"/>
        <v>4</v>
      </c>
      <c r="D829" s="16">
        <f t="shared" si="116"/>
        <v>2</v>
      </c>
      <c r="E829" s="16">
        <f t="shared" si="116"/>
        <v>366</v>
      </c>
      <c r="F829" s="16">
        <f t="shared" si="116"/>
        <v>56</v>
      </c>
      <c r="G829" s="16">
        <f t="shared" si="116"/>
        <v>1</v>
      </c>
      <c r="H829" s="16">
        <f t="shared" si="116"/>
        <v>1</v>
      </c>
      <c r="I829" s="16">
        <f t="shared" si="116"/>
        <v>0</v>
      </c>
      <c r="J829" s="16">
        <f t="shared" si="116"/>
        <v>366</v>
      </c>
      <c r="K829" s="16">
        <f t="shared" si="116"/>
        <v>0</v>
      </c>
      <c r="L829" s="16">
        <f t="shared" si="116"/>
        <v>100</v>
      </c>
      <c r="M829" s="16">
        <f t="shared" si="116"/>
        <v>0</v>
      </c>
      <c r="N829" s="16">
        <f t="shared" si="116"/>
        <v>3</v>
      </c>
      <c r="O829" s="16">
        <f t="shared" si="116"/>
        <v>366</v>
      </c>
      <c r="P829" s="16">
        <f t="shared" si="116"/>
        <v>7</v>
      </c>
      <c r="Q829" s="16">
        <f t="shared" si="116"/>
        <v>2</v>
      </c>
      <c r="R829" s="16">
        <f t="shared" si="115"/>
        <v>20</v>
      </c>
      <c r="S829" s="16">
        <f t="shared" si="115"/>
        <v>0</v>
      </c>
      <c r="T829" s="16">
        <f t="shared" si="115"/>
        <v>0</v>
      </c>
      <c r="U829" s="16">
        <f t="shared" si="115"/>
        <v>0</v>
      </c>
      <c r="V829" s="16">
        <f t="shared" si="115"/>
        <v>0</v>
      </c>
      <c r="W829" s="16">
        <f t="shared" si="115"/>
        <v>1</v>
      </c>
      <c r="X829" s="16" t="str">
        <f t="shared" si="108"/>
        <v>null</v>
      </c>
    </row>
    <row r="830" spans="1:24" x14ac:dyDescent="0.15">
      <c r="A830" s="20" t="str">
        <f t="shared" si="110"/>
        <v>26_4-2/352&lt;lv56&gt;s3</v>
      </c>
      <c r="B830" s="16">
        <f t="shared" si="116"/>
        <v>26</v>
      </c>
      <c r="C830" s="16">
        <f t="shared" si="116"/>
        <v>4</v>
      </c>
      <c r="D830" s="16">
        <f t="shared" si="116"/>
        <v>2</v>
      </c>
      <c r="E830" s="16">
        <f t="shared" si="116"/>
        <v>352</v>
      </c>
      <c r="F830" s="16">
        <f t="shared" si="116"/>
        <v>56</v>
      </c>
      <c r="G830" s="16">
        <f t="shared" si="116"/>
        <v>1</v>
      </c>
      <c r="H830" s="16">
        <f t="shared" si="116"/>
        <v>1</v>
      </c>
      <c r="I830" s="16">
        <f t="shared" si="116"/>
        <v>0</v>
      </c>
      <c r="J830" s="16">
        <f t="shared" si="116"/>
        <v>352</v>
      </c>
      <c r="K830" s="16">
        <f t="shared" si="116"/>
        <v>0</v>
      </c>
      <c r="L830" s="16">
        <f t="shared" si="116"/>
        <v>100</v>
      </c>
      <c r="M830" s="16">
        <f t="shared" si="116"/>
        <v>0</v>
      </c>
      <c r="N830" s="16">
        <f t="shared" si="116"/>
        <v>3</v>
      </c>
      <c r="O830" s="16">
        <f t="shared" si="116"/>
        <v>352</v>
      </c>
      <c r="P830" s="16">
        <f t="shared" si="116"/>
        <v>1</v>
      </c>
      <c r="Q830" s="16">
        <f t="shared" ref="Q830:X893" si="117">VLOOKUP($A830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830" s="16">
        <f t="shared" si="117"/>
        <v>23</v>
      </c>
      <c r="S830" s="16">
        <f t="shared" si="117"/>
        <v>0</v>
      </c>
      <c r="T830" s="16">
        <f t="shared" si="117"/>
        <v>0</v>
      </c>
      <c r="U830" s="16">
        <f t="shared" si="117"/>
        <v>0</v>
      </c>
      <c r="V830" s="16">
        <f t="shared" si="117"/>
        <v>0</v>
      </c>
      <c r="W830" s="16">
        <f t="shared" si="117"/>
        <v>1</v>
      </c>
      <c r="X830" s="16" t="str">
        <f t="shared" si="117"/>
        <v>null</v>
      </c>
    </row>
    <row r="831" spans="1:24" x14ac:dyDescent="0.15">
      <c r="A831" s="20" t="str">
        <f t="shared" si="110"/>
        <v>26_4-2/354&lt;lv56&gt;s3</v>
      </c>
      <c r="B831" s="16">
        <f t="shared" ref="B831:Q846" si="118">VLOOKUP($A831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831" s="16">
        <f t="shared" si="118"/>
        <v>4</v>
      </c>
      <c r="D831" s="16">
        <f t="shared" si="118"/>
        <v>2</v>
      </c>
      <c r="E831" s="16">
        <f t="shared" si="118"/>
        <v>354</v>
      </c>
      <c r="F831" s="16">
        <f t="shared" si="118"/>
        <v>56</v>
      </c>
      <c r="G831" s="16">
        <f t="shared" si="118"/>
        <v>1</v>
      </c>
      <c r="H831" s="16">
        <f t="shared" si="118"/>
        <v>1</v>
      </c>
      <c r="I831" s="16">
        <f t="shared" si="118"/>
        <v>0</v>
      </c>
      <c r="J831" s="16">
        <f t="shared" si="118"/>
        <v>354</v>
      </c>
      <c r="K831" s="16">
        <f t="shared" si="118"/>
        <v>0</v>
      </c>
      <c r="L831" s="16">
        <f t="shared" si="118"/>
        <v>100</v>
      </c>
      <c r="M831" s="16">
        <f t="shared" si="118"/>
        <v>0</v>
      </c>
      <c r="N831" s="16">
        <f t="shared" si="118"/>
        <v>3</v>
      </c>
      <c r="O831" s="16">
        <f t="shared" si="118"/>
        <v>354</v>
      </c>
      <c r="P831" s="16">
        <f t="shared" si="118"/>
        <v>1</v>
      </c>
      <c r="Q831" s="16">
        <f t="shared" si="118"/>
        <v>2</v>
      </c>
      <c r="R831" s="16">
        <f t="shared" si="117"/>
        <v>23</v>
      </c>
      <c r="S831" s="16">
        <f t="shared" si="117"/>
        <v>0</v>
      </c>
      <c r="T831" s="16">
        <f t="shared" si="117"/>
        <v>0</v>
      </c>
      <c r="U831" s="16">
        <f t="shared" si="117"/>
        <v>0</v>
      </c>
      <c r="V831" s="16">
        <f t="shared" si="117"/>
        <v>0</v>
      </c>
      <c r="W831" s="16">
        <f t="shared" si="117"/>
        <v>1</v>
      </c>
      <c r="X831" s="16" t="str">
        <f t="shared" si="117"/>
        <v>null</v>
      </c>
    </row>
    <row r="832" spans="1:24" x14ac:dyDescent="0.15">
      <c r="A832" s="20" t="str">
        <f t="shared" si="110"/>
        <v>26_4-3/48&lt;lv56&gt;s1</v>
      </c>
      <c r="B832" s="16">
        <f t="shared" si="118"/>
        <v>26</v>
      </c>
      <c r="C832" s="16">
        <f t="shared" si="118"/>
        <v>4</v>
      </c>
      <c r="D832" s="16">
        <f t="shared" si="118"/>
        <v>3</v>
      </c>
      <c r="E832" s="16">
        <f t="shared" si="118"/>
        <v>48</v>
      </c>
      <c r="F832" s="16">
        <f t="shared" si="118"/>
        <v>56</v>
      </c>
      <c r="G832" s="16">
        <f t="shared" si="118"/>
        <v>1</v>
      </c>
      <c r="H832" s="16">
        <f t="shared" si="118"/>
        <v>0.9</v>
      </c>
      <c r="I832" s="16">
        <f t="shared" si="118"/>
        <v>0</v>
      </c>
      <c r="J832" s="16">
        <f t="shared" si="118"/>
        <v>0</v>
      </c>
      <c r="K832" s="16">
        <f t="shared" si="118"/>
        <v>1</v>
      </c>
      <c r="L832" s="16">
        <f t="shared" si="118"/>
        <v>100</v>
      </c>
      <c r="M832" s="16">
        <f t="shared" si="118"/>
        <v>0</v>
      </c>
      <c r="N832" s="16">
        <f t="shared" si="118"/>
        <v>1</v>
      </c>
      <c r="O832" s="16">
        <f t="shared" si="118"/>
        <v>47</v>
      </c>
      <c r="P832" s="16">
        <f t="shared" si="118"/>
        <v>7</v>
      </c>
      <c r="Q832" s="16">
        <f t="shared" si="118"/>
        <v>2</v>
      </c>
      <c r="R832" s="16">
        <f t="shared" si="117"/>
        <v>20</v>
      </c>
      <c r="S832" s="16">
        <f t="shared" si="117"/>
        <v>0</v>
      </c>
      <c r="T832" s="16">
        <f t="shared" si="117"/>
        <v>0</v>
      </c>
      <c r="U832" s="16">
        <f t="shared" si="117"/>
        <v>0</v>
      </c>
      <c r="V832" s="16">
        <f t="shared" si="117"/>
        <v>0</v>
      </c>
      <c r="W832" s="16">
        <f t="shared" si="117"/>
        <v>1</v>
      </c>
      <c r="X832" s="16" t="str">
        <f t="shared" si="117"/>
        <v>null</v>
      </c>
    </row>
    <row r="833" spans="1:24" x14ac:dyDescent="0.15">
      <c r="A833" s="20" t="str">
        <f t="shared" si="110"/>
        <v>26_4-3/60&lt;lv56&gt;s2</v>
      </c>
      <c r="B833" s="16">
        <f t="shared" si="118"/>
        <v>26</v>
      </c>
      <c r="C833" s="16">
        <f t="shared" si="118"/>
        <v>4</v>
      </c>
      <c r="D833" s="16">
        <f t="shared" si="118"/>
        <v>3</v>
      </c>
      <c r="E833" s="16">
        <f t="shared" si="118"/>
        <v>60</v>
      </c>
      <c r="F833" s="16">
        <f t="shared" si="118"/>
        <v>56</v>
      </c>
      <c r="G833" s="16">
        <f t="shared" si="118"/>
        <v>1</v>
      </c>
      <c r="H833" s="16">
        <f t="shared" si="118"/>
        <v>1</v>
      </c>
      <c r="I833" s="16">
        <f t="shared" si="118"/>
        <v>0</v>
      </c>
      <c r="J833" s="16">
        <f t="shared" si="118"/>
        <v>59</v>
      </c>
      <c r="K833" s="16">
        <f t="shared" si="118"/>
        <v>1</v>
      </c>
      <c r="L833" s="16">
        <f t="shared" si="118"/>
        <v>100</v>
      </c>
      <c r="M833" s="16">
        <f t="shared" si="118"/>
        <v>0</v>
      </c>
      <c r="N833" s="16">
        <f t="shared" si="118"/>
        <v>2</v>
      </c>
      <c r="O833" s="16">
        <f t="shared" si="118"/>
        <v>59</v>
      </c>
      <c r="P833" s="16">
        <f t="shared" si="118"/>
        <v>7</v>
      </c>
      <c r="Q833" s="16">
        <f t="shared" si="118"/>
        <v>2</v>
      </c>
      <c r="R833" s="16">
        <f t="shared" si="117"/>
        <v>20</v>
      </c>
      <c r="S833" s="16">
        <f t="shared" si="117"/>
        <v>0</v>
      </c>
      <c r="T833" s="16">
        <f t="shared" si="117"/>
        <v>0</v>
      </c>
      <c r="U833" s="16">
        <f t="shared" si="117"/>
        <v>0</v>
      </c>
      <c r="V833" s="16">
        <f t="shared" si="117"/>
        <v>0</v>
      </c>
      <c r="W833" s="16">
        <f t="shared" si="117"/>
        <v>1</v>
      </c>
      <c r="X833" s="16" t="str">
        <f t="shared" si="117"/>
        <v>null</v>
      </c>
    </row>
    <row r="834" spans="1:24" x14ac:dyDescent="0.15">
      <c r="A834" s="20" t="str">
        <f t="shared" si="110"/>
        <v>26_4-3/58&lt;lv56&gt;s2</v>
      </c>
      <c r="B834" s="16">
        <f t="shared" si="118"/>
        <v>26</v>
      </c>
      <c r="C834" s="16">
        <f t="shared" si="118"/>
        <v>4</v>
      </c>
      <c r="D834" s="16">
        <f t="shared" si="118"/>
        <v>3</v>
      </c>
      <c r="E834" s="16">
        <f t="shared" si="118"/>
        <v>58</v>
      </c>
      <c r="F834" s="16">
        <f t="shared" si="118"/>
        <v>56</v>
      </c>
      <c r="G834" s="16">
        <f t="shared" si="118"/>
        <v>1</v>
      </c>
      <c r="H834" s="16">
        <f t="shared" si="118"/>
        <v>1</v>
      </c>
      <c r="I834" s="16">
        <f t="shared" si="118"/>
        <v>0</v>
      </c>
      <c r="J834" s="16">
        <f t="shared" si="118"/>
        <v>57</v>
      </c>
      <c r="K834" s="16">
        <f t="shared" si="118"/>
        <v>1</v>
      </c>
      <c r="L834" s="16">
        <f t="shared" si="118"/>
        <v>100</v>
      </c>
      <c r="M834" s="16">
        <f t="shared" si="118"/>
        <v>0</v>
      </c>
      <c r="N834" s="16">
        <f t="shared" si="118"/>
        <v>2</v>
      </c>
      <c r="O834" s="16">
        <f t="shared" si="118"/>
        <v>57</v>
      </c>
      <c r="P834" s="16">
        <f t="shared" si="118"/>
        <v>7</v>
      </c>
      <c r="Q834" s="16">
        <f t="shared" si="118"/>
        <v>2</v>
      </c>
      <c r="R834" s="16">
        <f t="shared" si="117"/>
        <v>20</v>
      </c>
      <c r="S834" s="16">
        <f t="shared" si="117"/>
        <v>0</v>
      </c>
      <c r="T834" s="16">
        <f t="shared" si="117"/>
        <v>0</v>
      </c>
      <c r="U834" s="16">
        <f t="shared" si="117"/>
        <v>0</v>
      </c>
      <c r="V834" s="16">
        <f t="shared" si="117"/>
        <v>0</v>
      </c>
      <c r="W834" s="16">
        <f t="shared" si="117"/>
        <v>1</v>
      </c>
      <c r="X834" s="16" t="str">
        <f t="shared" si="117"/>
        <v>null</v>
      </c>
    </row>
    <row r="835" spans="1:24" x14ac:dyDescent="0.15">
      <c r="A835" s="20" t="str">
        <f t="shared" si="110"/>
        <v>26_4-4/9&lt;lv56&gt;s2</v>
      </c>
      <c r="B835" s="16">
        <f t="shared" si="118"/>
        <v>26</v>
      </c>
      <c r="C835" s="16">
        <f t="shared" si="118"/>
        <v>4</v>
      </c>
      <c r="D835" s="16">
        <f t="shared" si="118"/>
        <v>4</v>
      </c>
      <c r="E835" s="16">
        <f t="shared" si="118"/>
        <v>9</v>
      </c>
      <c r="F835" s="16">
        <f t="shared" si="118"/>
        <v>56</v>
      </c>
      <c r="G835" s="16">
        <f t="shared" si="118"/>
        <v>1</v>
      </c>
      <c r="H835" s="16">
        <f t="shared" si="118"/>
        <v>1</v>
      </c>
      <c r="I835" s="16">
        <f t="shared" si="118"/>
        <v>0</v>
      </c>
      <c r="J835" s="16">
        <f t="shared" si="118"/>
        <v>0</v>
      </c>
      <c r="K835" s="16">
        <f t="shared" si="118"/>
        <v>0</v>
      </c>
      <c r="L835" s="16">
        <f t="shared" si="118"/>
        <v>100</v>
      </c>
      <c r="M835" s="16">
        <f t="shared" si="118"/>
        <v>0</v>
      </c>
      <c r="N835" s="16">
        <f t="shared" si="118"/>
        <v>2</v>
      </c>
      <c r="O835" s="16">
        <f t="shared" si="118"/>
        <v>9</v>
      </c>
      <c r="P835" s="16">
        <f t="shared" si="118"/>
        <v>9</v>
      </c>
      <c r="Q835" s="16">
        <f t="shared" si="118"/>
        <v>1</v>
      </c>
      <c r="R835" s="16">
        <f t="shared" si="117"/>
        <v>15</v>
      </c>
      <c r="S835" s="16">
        <f t="shared" si="117"/>
        <v>0</v>
      </c>
      <c r="T835" s="16">
        <f t="shared" si="117"/>
        <v>0</v>
      </c>
      <c r="U835" s="16">
        <f t="shared" si="117"/>
        <v>0</v>
      </c>
      <c r="V835" s="16">
        <f t="shared" si="117"/>
        <v>0</v>
      </c>
      <c r="W835" s="16">
        <f t="shared" si="117"/>
        <v>1</v>
      </c>
      <c r="X835" s="16" t="str">
        <f t="shared" si="117"/>
        <v>null</v>
      </c>
    </row>
    <row r="836" spans="1:24" x14ac:dyDescent="0.15">
      <c r="A836" s="20" t="str">
        <f t="shared" ref="A836:A899" si="119">INDIRECT(ADDRESS(ROW()+$A$1,COLUMN(),1,TRUE,$C$1))</f>
        <v>26_4-4/11&lt;lv56&gt;s3</v>
      </c>
      <c r="B836" s="16">
        <f t="shared" si="118"/>
        <v>26</v>
      </c>
      <c r="C836" s="16">
        <f t="shared" si="118"/>
        <v>4</v>
      </c>
      <c r="D836" s="16">
        <f t="shared" si="118"/>
        <v>4</v>
      </c>
      <c r="E836" s="16">
        <f t="shared" si="118"/>
        <v>11</v>
      </c>
      <c r="F836" s="16">
        <f t="shared" si="118"/>
        <v>56</v>
      </c>
      <c r="G836" s="16">
        <f t="shared" si="118"/>
        <v>1</v>
      </c>
      <c r="H836" s="16">
        <f t="shared" si="118"/>
        <v>1</v>
      </c>
      <c r="I836" s="16">
        <f t="shared" si="118"/>
        <v>0</v>
      </c>
      <c r="J836" s="16">
        <f t="shared" si="118"/>
        <v>0</v>
      </c>
      <c r="K836" s="16">
        <f t="shared" si="118"/>
        <v>0</v>
      </c>
      <c r="L836" s="16">
        <f t="shared" si="118"/>
        <v>100</v>
      </c>
      <c r="M836" s="16">
        <f t="shared" si="118"/>
        <v>0</v>
      </c>
      <c r="N836" s="16">
        <f t="shared" si="118"/>
        <v>3</v>
      </c>
      <c r="O836" s="16">
        <f t="shared" si="118"/>
        <v>11</v>
      </c>
      <c r="P836" s="16">
        <f t="shared" si="118"/>
        <v>9</v>
      </c>
      <c r="Q836" s="16">
        <f t="shared" si="118"/>
        <v>1</v>
      </c>
      <c r="R836" s="16">
        <f t="shared" si="117"/>
        <v>15</v>
      </c>
      <c r="S836" s="16">
        <f t="shared" si="117"/>
        <v>0</v>
      </c>
      <c r="T836" s="16">
        <f t="shared" si="117"/>
        <v>0</v>
      </c>
      <c r="U836" s="16">
        <f t="shared" si="117"/>
        <v>0</v>
      </c>
      <c r="V836" s="16">
        <f t="shared" si="117"/>
        <v>0</v>
      </c>
      <c r="W836" s="16">
        <f t="shared" si="117"/>
        <v>1</v>
      </c>
      <c r="X836" s="16" t="str">
        <f t="shared" si="117"/>
        <v>null</v>
      </c>
    </row>
    <row r="837" spans="1:24" x14ac:dyDescent="0.15">
      <c r="A837" s="20" t="str">
        <f t="shared" si="119"/>
        <v>26_4-4/13&lt;lv56&gt;s2</v>
      </c>
      <c r="B837" s="16">
        <f t="shared" si="118"/>
        <v>26</v>
      </c>
      <c r="C837" s="16">
        <f t="shared" si="118"/>
        <v>4</v>
      </c>
      <c r="D837" s="16">
        <f t="shared" si="118"/>
        <v>4</v>
      </c>
      <c r="E837" s="16">
        <f t="shared" si="118"/>
        <v>13</v>
      </c>
      <c r="F837" s="16">
        <f t="shared" si="118"/>
        <v>56</v>
      </c>
      <c r="G837" s="16">
        <f t="shared" si="118"/>
        <v>1</v>
      </c>
      <c r="H837" s="16">
        <f t="shared" si="118"/>
        <v>1</v>
      </c>
      <c r="I837" s="16">
        <f t="shared" si="118"/>
        <v>0</v>
      </c>
      <c r="J837" s="16">
        <f t="shared" si="118"/>
        <v>0</v>
      </c>
      <c r="K837" s="16">
        <f t="shared" si="118"/>
        <v>0</v>
      </c>
      <c r="L837" s="16">
        <f t="shared" si="118"/>
        <v>100</v>
      </c>
      <c r="M837" s="16">
        <f t="shared" si="118"/>
        <v>0</v>
      </c>
      <c r="N837" s="16">
        <f t="shared" si="118"/>
        <v>2</v>
      </c>
      <c r="O837" s="16">
        <f t="shared" si="118"/>
        <v>13</v>
      </c>
      <c r="P837" s="16">
        <f t="shared" si="118"/>
        <v>9</v>
      </c>
      <c r="Q837" s="16">
        <f t="shared" si="118"/>
        <v>1</v>
      </c>
      <c r="R837" s="16">
        <f t="shared" si="117"/>
        <v>15</v>
      </c>
      <c r="S837" s="16">
        <f t="shared" si="117"/>
        <v>0</v>
      </c>
      <c r="T837" s="16">
        <f t="shared" si="117"/>
        <v>0</v>
      </c>
      <c r="U837" s="16">
        <f t="shared" si="117"/>
        <v>0</v>
      </c>
      <c r="V837" s="16">
        <f t="shared" si="117"/>
        <v>0</v>
      </c>
      <c r="W837" s="16">
        <f t="shared" si="117"/>
        <v>1</v>
      </c>
      <c r="X837" s="16" t="str">
        <f t="shared" si="117"/>
        <v>null</v>
      </c>
    </row>
    <row r="838" spans="1:24" x14ac:dyDescent="0.15">
      <c r="A838" s="20" t="str">
        <f t="shared" si="119"/>
        <v>26_4-4/23&lt;lv56&gt;s4</v>
      </c>
      <c r="B838" s="16">
        <f t="shared" si="118"/>
        <v>26</v>
      </c>
      <c r="C838" s="16">
        <f t="shared" si="118"/>
        <v>4</v>
      </c>
      <c r="D838" s="16">
        <f t="shared" si="118"/>
        <v>4</v>
      </c>
      <c r="E838" s="16">
        <f t="shared" si="118"/>
        <v>23</v>
      </c>
      <c r="F838" s="16">
        <f t="shared" si="118"/>
        <v>56</v>
      </c>
      <c r="G838" s="16">
        <f t="shared" si="118"/>
        <v>1</v>
      </c>
      <c r="H838" s="16">
        <f t="shared" si="118"/>
        <v>1</v>
      </c>
      <c r="I838" s="16">
        <f t="shared" si="118"/>
        <v>0</v>
      </c>
      <c r="J838" s="16">
        <f t="shared" si="118"/>
        <v>0</v>
      </c>
      <c r="K838" s="16">
        <f t="shared" si="118"/>
        <v>0</v>
      </c>
      <c r="L838" s="16">
        <f t="shared" si="118"/>
        <v>100</v>
      </c>
      <c r="M838" s="16">
        <f t="shared" si="118"/>
        <v>0</v>
      </c>
      <c r="N838" s="16">
        <f t="shared" si="118"/>
        <v>4</v>
      </c>
      <c r="O838" s="16">
        <f t="shared" si="118"/>
        <v>23</v>
      </c>
      <c r="P838" s="16">
        <f t="shared" si="118"/>
        <v>7</v>
      </c>
      <c r="Q838" s="16">
        <f t="shared" si="118"/>
        <v>1</v>
      </c>
      <c r="R838" s="16">
        <f t="shared" si="117"/>
        <v>15</v>
      </c>
      <c r="S838" s="16">
        <f t="shared" si="117"/>
        <v>0</v>
      </c>
      <c r="T838" s="16">
        <f t="shared" si="117"/>
        <v>0</v>
      </c>
      <c r="U838" s="16">
        <f t="shared" si="117"/>
        <v>0</v>
      </c>
      <c r="V838" s="16">
        <f t="shared" si="117"/>
        <v>0</v>
      </c>
      <c r="W838" s="16">
        <f t="shared" si="117"/>
        <v>1</v>
      </c>
      <c r="X838" s="16" t="str">
        <f t="shared" si="117"/>
        <v>null</v>
      </c>
    </row>
    <row r="839" spans="1:24" x14ac:dyDescent="0.15">
      <c r="A839" s="20" t="str">
        <f t="shared" si="119"/>
        <v>26_4-4/25&lt;lv56&gt;s3</v>
      </c>
      <c r="B839" s="16">
        <f t="shared" si="118"/>
        <v>26</v>
      </c>
      <c r="C839" s="16">
        <f t="shared" si="118"/>
        <v>4</v>
      </c>
      <c r="D839" s="16">
        <f t="shared" si="118"/>
        <v>4</v>
      </c>
      <c r="E839" s="16">
        <f t="shared" si="118"/>
        <v>25</v>
      </c>
      <c r="F839" s="16">
        <f t="shared" si="118"/>
        <v>56</v>
      </c>
      <c r="G839" s="16">
        <f t="shared" si="118"/>
        <v>1</v>
      </c>
      <c r="H839" s="16">
        <f t="shared" si="118"/>
        <v>1</v>
      </c>
      <c r="I839" s="16">
        <f t="shared" si="118"/>
        <v>0</v>
      </c>
      <c r="J839" s="16">
        <f t="shared" si="118"/>
        <v>0</v>
      </c>
      <c r="K839" s="16">
        <f t="shared" si="118"/>
        <v>0</v>
      </c>
      <c r="L839" s="16">
        <f t="shared" si="118"/>
        <v>100</v>
      </c>
      <c r="M839" s="16">
        <f t="shared" si="118"/>
        <v>0</v>
      </c>
      <c r="N839" s="16">
        <f t="shared" si="118"/>
        <v>3</v>
      </c>
      <c r="O839" s="16">
        <f t="shared" si="118"/>
        <v>25</v>
      </c>
      <c r="P839" s="16">
        <f t="shared" si="118"/>
        <v>7</v>
      </c>
      <c r="Q839" s="16">
        <f t="shared" si="118"/>
        <v>1</v>
      </c>
      <c r="R839" s="16">
        <f t="shared" si="117"/>
        <v>15</v>
      </c>
      <c r="S839" s="16">
        <f t="shared" si="117"/>
        <v>0</v>
      </c>
      <c r="T839" s="16">
        <f t="shared" si="117"/>
        <v>0</v>
      </c>
      <c r="U839" s="16">
        <f t="shared" si="117"/>
        <v>0</v>
      </c>
      <c r="V839" s="16">
        <f t="shared" si="117"/>
        <v>0</v>
      </c>
      <c r="W839" s="16">
        <f t="shared" si="117"/>
        <v>1</v>
      </c>
      <c r="X839" s="16" t="str">
        <f t="shared" si="117"/>
        <v>null</v>
      </c>
    </row>
    <row r="840" spans="1:24" x14ac:dyDescent="0.15">
      <c r="A840" s="20" t="str">
        <f t="shared" si="119"/>
        <v>26_4-4/33&lt;lv56&gt;s2</v>
      </c>
      <c r="B840" s="16">
        <f t="shared" si="118"/>
        <v>26</v>
      </c>
      <c r="C840" s="16">
        <f t="shared" si="118"/>
        <v>4</v>
      </c>
      <c r="D840" s="16">
        <f t="shared" si="118"/>
        <v>4</v>
      </c>
      <c r="E840" s="16">
        <f t="shared" si="118"/>
        <v>33</v>
      </c>
      <c r="F840" s="16">
        <f t="shared" si="118"/>
        <v>56</v>
      </c>
      <c r="G840" s="16">
        <f t="shared" si="118"/>
        <v>1</v>
      </c>
      <c r="H840" s="16">
        <f t="shared" si="118"/>
        <v>1</v>
      </c>
      <c r="I840" s="16">
        <f t="shared" si="118"/>
        <v>0</v>
      </c>
      <c r="J840" s="16">
        <f t="shared" si="118"/>
        <v>33</v>
      </c>
      <c r="K840" s="16">
        <f t="shared" si="118"/>
        <v>0</v>
      </c>
      <c r="L840" s="16">
        <f t="shared" si="118"/>
        <v>100</v>
      </c>
      <c r="M840" s="16">
        <f t="shared" si="118"/>
        <v>0</v>
      </c>
      <c r="N840" s="16">
        <f t="shared" si="118"/>
        <v>2</v>
      </c>
      <c r="O840" s="16">
        <f t="shared" si="118"/>
        <v>33</v>
      </c>
      <c r="P840" s="16">
        <f t="shared" si="118"/>
        <v>5</v>
      </c>
      <c r="Q840" s="16">
        <f t="shared" si="118"/>
        <v>2</v>
      </c>
      <c r="R840" s="16">
        <f t="shared" si="117"/>
        <v>20</v>
      </c>
      <c r="S840" s="16">
        <f t="shared" si="117"/>
        <v>0</v>
      </c>
      <c r="T840" s="16">
        <f t="shared" si="117"/>
        <v>0</v>
      </c>
      <c r="U840" s="16">
        <f t="shared" si="117"/>
        <v>0</v>
      </c>
      <c r="V840" s="16">
        <f t="shared" si="117"/>
        <v>0</v>
      </c>
      <c r="W840" s="16">
        <f t="shared" si="117"/>
        <v>1</v>
      </c>
      <c r="X840" s="16" t="str">
        <f t="shared" si="117"/>
        <v>null</v>
      </c>
    </row>
    <row r="841" spans="1:24" x14ac:dyDescent="0.15">
      <c r="A841" s="20" t="str">
        <f t="shared" si="119"/>
        <v>26_4-4/37&lt;lv56&gt;s3</v>
      </c>
      <c r="B841" s="16">
        <f t="shared" si="118"/>
        <v>26</v>
      </c>
      <c r="C841" s="16">
        <f t="shared" si="118"/>
        <v>4</v>
      </c>
      <c r="D841" s="16">
        <f t="shared" si="118"/>
        <v>4</v>
      </c>
      <c r="E841" s="16">
        <f t="shared" si="118"/>
        <v>37</v>
      </c>
      <c r="F841" s="16">
        <f t="shared" si="118"/>
        <v>56</v>
      </c>
      <c r="G841" s="16">
        <f t="shared" si="118"/>
        <v>1</v>
      </c>
      <c r="H841" s="16">
        <f t="shared" si="118"/>
        <v>1</v>
      </c>
      <c r="I841" s="16">
        <f t="shared" si="118"/>
        <v>0</v>
      </c>
      <c r="J841" s="16">
        <f t="shared" si="118"/>
        <v>37</v>
      </c>
      <c r="K841" s="16">
        <f t="shared" si="118"/>
        <v>0</v>
      </c>
      <c r="L841" s="16">
        <f t="shared" si="118"/>
        <v>100</v>
      </c>
      <c r="M841" s="16">
        <f t="shared" si="118"/>
        <v>0</v>
      </c>
      <c r="N841" s="16">
        <f t="shared" si="118"/>
        <v>3</v>
      </c>
      <c r="O841" s="16">
        <f t="shared" si="118"/>
        <v>37</v>
      </c>
      <c r="P841" s="16">
        <f t="shared" si="118"/>
        <v>5</v>
      </c>
      <c r="Q841" s="16">
        <f t="shared" si="118"/>
        <v>2</v>
      </c>
      <c r="R841" s="16">
        <f t="shared" si="117"/>
        <v>20</v>
      </c>
      <c r="S841" s="16">
        <f t="shared" si="117"/>
        <v>0</v>
      </c>
      <c r="T841" s="16">
        <f t="shared" si="117"/>
        <v>0</v>
      </c>
      <c r="U841" s="16">
        <f t="shared" si="117"/>
        <v>0</v>
      </c>
      <c r="V841" s="16">
        <f t="shared" si="117"/>
        <v>0</v>
      </c>
      <c r="W841" s="16">
        <f t="shared" si="117"/>
        <v>1</v>
      </c>
      <c r="X841" s="16" t="str">
        <f t="shared" si="117"/>
        <v>null</v>
      </c>
    </row>
    <row r="842" spans="1:24" x14ac:dyDescent="0.15">
      <c r="A842" s="20" t="str">
        <f t="shared" si="119"/>
        <v>26_4-4/45&lt;lv56&gt;s3</v>
      </c>
      <c r="B842" s="16">
        <f t="shared" si="118"/>
        <v>26</v>
      </c>
      <c r="C842" s="16">
        <f t="shared" si="118"/>
        <v>4</v>
      </c>
      <c r="D842" s="16">
        <f t="shared" si="118"/>
        <v>4</v>
      </c>
      <c r="E842" s="16">
        <f t="shared" si="118"/>
        <v>45</v>
      </c>
      <c r="F842" s="16">
        <f t="shared" si="118"/>
        <v>56</v>
      </c>
      <c r="G842" s="16">
        <f t="shared" si="118"/>
        <v>1</v>
      </c>
      <c r="H842" s="16">
        <f t="shared" si="118"/>
        <v>1</v>
      </c>
      <c r="I842" s="16">
        <f t="shared" si="118"/>
        <v>0</v>
      </c>
      <c r="J842" s="16">
        <f t="shared" si="118"/>
        <v>0</v>
      </c>
      <c r="K842" s="16">
        <f t="shared" si="118"/>
        <v>0</v>
      </c>
      <c r="L842" s="16">
        <f t="shared" si="118"/>
        <v>100</v>
      </c>
      <c r="M842" s="16">
        <f t="shared" si="118"/>
        <v>0</v>
      </c>
      <c r="N842" s="16">
        <f t="shared" si="118"/>
        <v>3</v>
      </c>
      <c r="O842" s="16">
        <f t="shared" si="118"/>
        <v>45</v>
      </c>
      <c r="P842" s="16">
        <f t="shared" si="118"/>
        <v>7</v>
      </c>
      <c r="Q842" s="16">
        <f t="shared" si="118"/>
        <v>2</v>
      </c>
      <c r="R842" s="16">
        <f t="shared" si="117"/>
        <v>20</v>
      </c>
      <c r="S842" s="16">
        <f t="shared" si="117"/>
        <v>0</v>
      </c>
      <c r="T842" s="16">
        <f t="shared" si="117"/>
        <v>0</v>
      </c>
      <c r="U842" s="16">
        <f t="shared" si="117"/>
        <v>0</v>
      </c>
      <c r="V842" s="16">
        <f t="shared" si="117"/>
        <v>0</v>
      </c>
      <c r="W842" s="16">
        <f t="shared" si="117"/>
        <v>1</v>
      </c>
      <c r="X842" s="16" t="str">
        <f t="shared" si="117"/>
        <v>null</v>
      </c>
    </row>
    <row r="843" spans="1:24" x14ac:dyDescent="0.15">
      <c r="A843" s="20" t="str">
        <f t="shared" si="119"/>
        <v>26_4-4/47&lt;lv56&gt;s1</v>
      </c>
      <c r="B843" s="16">
        <f t="shared" si="118"/>
        <v>26</v>
      </c>
      <c r="C843" s="16">
        <f t="shared" si="118"/>
        <v>4</v>
      </c>
      <c r="D843" s="16">
        <f t="shared" si="118"/>
        <v>4</v>
      </c>
      <c r="E843" s="16">
        <f t="shared" si="118"/>
        <v>47</v>
      </c>
      <c r="F843" s="16">
        <f t="shared" si="118"/>
        <v>56</v>
      </c>
      <c r="G843" s="16">
        <f t="shared" si="118"/>
        <v>1</v>
      </c>
      <c r="H843" s="16">
        <f t="shared" si="118"/>
        <v>1</v>
      </c>
      <c r="I843" s="16">
        <f t="shared" si="118"/>
        <v>0</v>
      </c>
      <c r="J843" s="16">
        <f t="shared" si="118"/>
        <v>0</v>
      </c>
      <c r="K843" s="16">
        <f t="shared" si="118"/>
        <v>0</v>
      </c>
      <c r="L843" s="16">
        <f t="shared" si="118"/>
        <v>100</v>
      </c>
      <c r="M843" s="16">
        <f t="shared" si="118"/>
        <v>0</v>
      </c>
      <c r="N843" s="16">
        <f t="shared" si="118"/>
        <v>1</v>
      </c>
      <c r="O843" s="16">
        <f t="shared" si="118"/>
        <v>47</v>
      </c>
      <c r="P843" s="16">
        <f t="shared" si="118"/>
        <v>7</v>
      </c>
      <c r="Q843" s="16">
        <f t="shared" si="118"/>
        <v>2</v>
      </c>
      <c r="R843" s="16">
        <f t="shared" si="117"/>
        <v>20</v>
      </c>
      <c r="S843" s="16">
        <f t="shared" si="117"/>
        <v>0</v>
      </c>
      <c r="T843" s="16">
        <f t="shared" si="117"/>
        <v>0</v>
      </c>
      <c r="U843" s="16">
        <f t="shared" si="117"/>
        <v>0</v>
      </c>
      <c r="V843" s="16">
        <f t="shared" si="117"/>
        <v>0</v>
      </c>
      <c r="W843" s="16">
        <f t="shared" si="117"/>
        <v>1</v>
      </c>
      <c r="X843" s="16" t="str">
        <f t="shared" si="117"/>
        <v>null</v>
      </c>
    </row>
    <row r="844" spans="1:24" x14ac:dyDescent="0.15">
      <c r="A844" s="20" t="str">
        <f t="shared" si="119"/>
        <v>26_4-4/57&lt;lv56&gt;s2</v>
      </c>
      <c r="B844" s="16">
        <f t="shared" si="118"/>
        <v>26</v>
      </c>
      <c r="C844" s="16">
        <f t="shared" si="118"/>
        <v>4</v>
      </c>
      <c r="D844" s="16">
        <f t="shared" si="118"/>
        <v>4</v>
      </c>
      <c r="E844" s="16">
        <f t="shared" si="118"/>
        <v>57</v>
      </c>
      <c r="F844" s="16">
        <f t="shared" si="118"/>
        <v>56</v>
      </c>
      <c r="G844" s="16">
        <f t="shared" si="118"/>
        <v>1</v>
      </c>
      <c r="H844" s="16">
        <f t="shared" si="118"/>
        <v>1</v>
      </c>
      <c r="I844" s="16">
        <f t="shared" si="118"/>
        <v>0</v>
      </c>
      <c r="J844" s="16">
        <f t="shared" si="118"/>
        <v>57</v>
      </c>
      <c r="K844" s="16">
        <f t="shared" si="118"/>
        <v>0</v>
      </c>
      <c r="L844" s="16">
        <f t="shared" si="118"/>
        <v>100</v>
      </c>
      <c r="M844" s="16">
        <f t="shared" si="118"/>
        <v>0</v>
      </c>
      <c r="N844" s="16">
        <f t="shared" si="118"/>
        <v>2</v>
      </c>
      <c r="O844" s="16">
        <f t="shared" si="118"/>
        <v>57</v>
      </c>
      <c r="P844" s="16">
        <f t="shared" si="118"/>
        <v>7</v>
      </c>
      <c r="Q844" s="16">
        <f t="shared" si="118"/>
        <v>2</v>
      </c>
      <c r="R844" s="16">
        <f t="shared" si="117"/>
        <v>20</v>
      </c>
      <c r="S844" s="16">
        <f t="shared" si="117"/>
        <v>0</v>
      </c>
      <c r="T844" s="16">
        <f t="shared" si="117"/>
        <v>0</v>
      </c>
      <c r="U844" s="16">
        <f t="shared" si="117"/>
        <v>0</v>
      </c>
      <c r="V844" s="16">
        <f t="shared" si="117"/>
        <v>0</v>
      </c>
      <c r="W844" s="16">
        <f t="shared" si="117"/>
        <v>1</v>
      </c>
      <c r="X844" s="16" t="str">
        <f t="shared" si="117"/>
        <v>null</v>
      </c>
    </row>
    <row r="845" spans="1:24" x14ac:dyDescent="0.15">
      <c r="A845" s="20" t="str">
        <f t="shared" si="119"/>
        <v>26_4-4/59&lt;lv56&gt;s2</v>
      </c>
      <c r="B845" s="16">
        <f t="shared" si="118"/>
        <v>26</v>
      </c>
      <c r="C845" s="16">
        <f t="shared" si="118"/>
        <v>4</v>
      </c>
      <c r="D845" s="16">
        <f t="shared" si="118"/>
        <v>4</v>
      </c>
      <c r="E845" s="16">
        <f t="shared" si="118"/>
        <v>59</v>
      </c>
      <c r="F845" s="16">
        <f t="shared" si="118"/>
        <v>56</v>
      </c>
      <c r="G845" s="16">
        <f t="shared" si="118"/>
        <v>1</v>
      </c>
      <c r="H845" s="16">
        <f t="shared" si="118"/>
        <v>1</v>
      </c>
      <c r="I845" s="16">
        <f t="shared" si="118"/>
        <v>0</v>
      </c>
      <c r="J845" s="16">
        <f t="shared" si="118"/>
        <v>59</v>
      </c>
      <c r="K845" s="16">
        <f t="shared" si="118"/>
        <v>0</v>
      </c>
      <c r="L845" s="16">
        <f t="shared" si="118"/>
        <v>100</v>
      </c>
      <c r="M845" s="16">
        <f t="shared" si="118"/>
        <v>0</v>
      </c>
      <c r="N845" s="16">
        <f t="shared" si="118"/>
        <v>2</v>
      </c>
      <c r="O845" s="16">
        <f t="shared" si="118"/>
        <v>59</v>
      </c>
      <c r="P845" s="16">
        <f t="shared" si="118"/>
        <v>7</v>
      </c>
      <c r="Q845" s="16">
        <f t="shared" si="118"/>
        <v>2</v>
      </c>
      <c r="R845" s="16">
        <f t="shared" si="117"/>
        <v>20</v>
      </c>
      <c r="S845" s="16">
        <f t="shared" si="117"/>
        <v>0</v>
      </c>
      <c r="T845" s="16">
        <f t="shared" si="117"/>
        <v>0</v>
      </c>
      <c r="U845" s="16">
        <f t="shared" si="117"/>
        <v>0</v>
      </c>
      <c r="V845" s="16">
        <f t="shared" si="117"/>
        <v>0</v>
      </c>
      <c r="W845" s="16">
        <f t="shared" si="117"/>
        <v>1</v>
      </c>
      <c r="X845" s="16" t="str">
        <f t="shared" si="117"/>
        <v>null</v>
      </c>
    </row>
    <row r="846" spans="1:24" x14ac:dyDescent="0.15">
      <c r="A846" s="20" t="str">
        <f t="shared" si="119"/>
        <v>26_4-4/61&lt;lv56&gt;s2</v>
      </c>
      <c r="B846" s="16">
        <f t="shared" si="118"/>
        <v>26</v>
      </c>
      <c r="C846" s="16">
        <f t="shared" si="118"/>
        <v>4</v>
      </c>
      <c r="D846" s="16">
        <f t="shared" si="118"/>
        <v>4</v>
      </c>
      <c r="E846" s="16">
        <f t="shared" si="118"/>
        <v>61</v>
      </c>
      <c r="F846" s="16">
        <f t="shared" si="118"/>
        <v>56</v>
      </c>
      <c r="G846" s="16">
        <f t="shared" si="118"/>
        <v>1</v>
      </c>
      <c r="H846" s="16">
        <f t="shared" si="118"/>
        <v>1</v>
      </c>
      <c r="I846" s="16">
        <f t="shared" si="118"/>
        <v>0</v>
      </c>
      <c r="J846" s="16">
        <f t="shared" si="118"/>
        <v>61</v>
      </c>
      <c r="K846" s="16">
        <f t="shared" si="118"/>
        <v>0</v>
      </c>
      <c r="L846" s="16">
        <f t="shared" si="118"/>
        <v>100</v>
      </c>
      <c r="M846" s="16">
        <f t="shared" si="118"/>
        <v>0</v>
      </c>
      <c r="N846" s="16">
        <f t="shared" si="118"/>
        <v>2</v>
      </c>
      <c r="O846" s="16">
        <f t="shared" si="118"/>
        <v>61</v>
      </c>
      <c r="P846" s="16">
        <f t="shared" si="118"/>
        <v>7</v>
      </c>
      <c r="Q846" s="16">
        <f t="shared" ref="Q846:W861" si="120">VLOOKUP($A846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846" s="16">
        <f t="shared" si="120"/>
        <v>20</v>
      </c>
      <c r="S846" s="16">
        <f t="shared" si="120"/>
        <v>0</v>
      </c>
      <c r="T846" s="16">
        <f t="shared" si="120"/>
        <v>0</v>
      </c>
      <c r="U846" s="16">
        <f t="shared" si="120"/>
        <v>0</v>
      </c>
      <c r="V846" s="16">
        <f t="shared" si="120"/>
        <v>0</v>
      </c>
      <c r="W846" s="16">
        <f t="shared" si="120"/>
        <v>1</v>
      </c>
      <c r="X846" s="16" t="str">
        <f t="shared" si="117"/>
        <v>null</v>
      </c>
    </row>
    <row r="847" spans="1:24" x14ac:dyDescent="0.15">
      <c r="A847" s="20" t="str">
        <f t="shared" si="119"/>
        <v>26_4-4/63&lt;lv56&gt;s2</v>
      </c>
      <c r="B847" s="16">
        <f t="shared" ref="B847:Q862" si="121">VLOOKUP($A847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847" s="16">
        <f t="shared" si="121"/>
        <v>4</v>
      </c>
      <c r="D847" s="16">
        <f t="shared" si="121"/>
        <v>4</v>
      </c>
      <c r="E847" s="16">
        <f t="shared" si="121"/>
        <v>63</v>
      </c>
      <c r="F847" s="16">
        <f t="shared" si="121"/>
        <v>56</v>
      </c>
      <c r="G847" s="16">
        <f t="shared" si="121"/>
        <v>1</v>
      </c>
      <c r="H847" s="16">
        <f t="shared" si="121"/>
        <v>1</v>
      </c>
      <c r="I847" s="16">
        <f t="shared" si="121"/>
        <v>0</v>
      </c>
      <c r="J847" s="16">
        <f t="shared" si="121"/>
        <v>63</v>
      </c>
      <c r="K847" s="16">
        <f t="shared" si="121"/>
        <v>0</v>
      </c>
      <c r="L847" s="16">
        <f t="shared" si="121"/>
        <v>100</v>
      </c>
      <c r="M847" s="16">
        <f t="shared" si="121"/>
        <v>0</v>
      </c>
      <c r="N847" s="16">
        <f t="shared" si="121"/>
        <v>2</v>
      </c>
      <c r="O847" s="16">
        <f t="shared" si="121"/>
        <v>63</v>
      </c>
      <c r="P847" s="16">
        <f t="shared" si="121"/>
        <v>7</v>
      </c>
      <c r="Q847" s="16">
        <f t="shared" si="121"/>
        <v>2</v>
      </c>
      <c r="R847" s="16">
        <f t="shared" si="120"/>
        <v>20</v>
      </c>
      <c r="S847" s="16">
        <f t="shared" si="120"/>
        <v>0</v>
      </c>
      <c r="T847" s="16">
        <f t="shared" si="120"/>
        <v>0</v>
      </c>
      <c r="U847" s="16">
        <f t="shared" si="120"/>
        <v>0</v>
      </c>
      <c r="V847" s="16">
        <f t="shared" si="120"/>
        <v>0</v>
      </c>
      <c r="W847" s="16">
        <f t="shared" si="120"/>
        <v>1</v>
      </c>
      <c r="X847" s="16" t="str">
        <f t="shared" si="117"/>
        <v>null</v>
      </c>
    </row>
    <row r="848" spans="1:24" x14ac:dyDescent="0.15">
      <c r="A848" s="20" t="str">
        <f t="shared" si="119"/>
        <v>26_4-4/360&lt;lv56&gt;s3</v>
      </c>
      <c r="B848" s="16">
        <f t="shared" si="121"/>
        <v>26</v>
      </c>
      <c r="C848" s="16">
        <f t="shared" si="121"/>
        <v>4</v>
      </c>
      <c r="D848" s="16">
        <f t="shared" si="121"/>
        <v>4</v>
      </c>
      <c r="E848" s="16">
        <f t="shared" si="121"/>
        <v>360</v>
      </c>
      <c r="F848" s="16">
        <f t="shared" si="121"/>
        <v>56</v>
      </c>
      <c r="G848" s="16">
        <f t="shared" si="121"/>
        <v>1</v>
      </c>
      <c r="H848" s="16">
        <f t="shared" si="121"/>
        <v>1</v>
      </c>
      <c r="I848" s="16">
        <f t="shared" si="121"/>
        <v>0</v>
      </c>
      <c r="J848" s="16">
        <f t="shared" si="121"/>
        <v>360</v>
      </c>
      <c r="K848" s="16">
        <f t="shared" si="121"/>
        <v>0</v>
      </c>
      <c r="L848" s="16">
        <f t="shared" si="121"/>
        <v>100</v>
      </c>
      <c r="M848" s="16">
        <f t="shared" si="121"/>
        <v>0</v>
      </c>
      <c r="N848" s="16">
        <f t="shared" si="121"/>
        <v>3</v>
      </c>
      <c r="O848" s="16">
        <f t="shared" si="121"/>
        <v>360</v>
      </c>
      <c r="P848" s="16">
        <f t="shared" si="121"/>
        <v>7</v>
      </c>
      <c r="Q848" s="16">
        <f t="shared" si="121"/>
        <v>2</v>
      </c>
      <c r="R848" s="16">
        <f t="shared" si="120"/>
        <v>20</v>
      </c>
      <c r="S848" s="16">
        <f t="shared" si="120"/>
        <v>0</v>
      </c>
      <c r="T848" s="16">
        <f t="shared" si="120"/>
        <v>0</v>
      </c>
      <c r="U848" s="16">
        <f t="shared" si="120"/>
        <v>0</v>
      </c>
      <c r="V848" s="16">
        <f t="shared" si="120"/>
        <v>0</v>
      </c>
      <c r="W848" s="16">
        <f t="shared" si="120"/>
        <v>1</v>
      </c>
      <c r="X848" s="16" t="str">
        <f t="shared" si="117"/>
        <v>null</v>
      </c>
    </row>
    <row r="849" spans="1:24" x14ac:dyDescent="0.15">
      <c r="A849" s="20" t="str">
        <f t="shared" si="119"/>
        <v>26_4-4/362&lt;lv56&gt;s3</v>
      </c>
      <c r="B849" s="16">
        <f t="shared" si="121"/>
        <v>26</v>
      </c>
      <c r="C849" s="16">
        <f t="shared" si="121"/>
        <v>4</v>
      </c>
      <c r="D849" s="16">
        <f t="shared" si="121"/>
        <v>4</v>
      </c>
      <c r="E849" s="16">
        <f t="shared" si="121"/>
        <v>362</v>
      </c>
      <c r="F849" s="16">
        <f t="shared" si="121"/>
        <v>56</v>
      </c>
      <c r="G849" s="16">
        <f t="shared" si="121"/>
        <v>1</v>
      </c>
      <c r="H849" s="16">
        <f t="shared" si="121"/>
        <v>1</v>
      </c>
      <c r="I849" s="16">
        <f t="shared" si="121"/>
        <v>0</v>
      </c>
      <c r="J849" s="16">
        <f t="shared" si="121"/>
        <v>362</v>
      </c>
      <c r="K849" s="16">
        <f t="shared" si="121"/>
        <v>0</v>
      </c>
      <c r="L849" s="16">
        <f t="shared" si="121"/>
        <v>100</v>
      </c>
      <c r="M849" s="16">
        <f t="shared" si="121"/>
        <v>0</v>
      </c>
      <c r="N849" s="16">
        <f t="shared" si="121"/>
        <v>3</v>
      </c>
      <c r="O849" s="16">
        <f t="shared" si="121"/>
        <v>362</v>
      </c>
      <c r="P849" s="16">
        <f t="shared" si="121"/>
        <v>7</v>
      </c>
      <c r="Q849" s="16">
        <f t="shared" si="121"/>
        <v>2</v>
      </c>
      <c r="R849" s="16">
        <f t="shared" si="120"/>
        <v>20</v>
      </c>
      <c r="S849" s="16">
        <f t="shared" si="120"/>
        <v>0</v>
      </c>
      <c r="T849" s="16">
        <f t="shared" si="120"/>
        <v>0</v>
      </c>
      <c r="U849" s="16">
        <f t="shared" si="120"/>
        <v>0</v>
      </c>
      <c r="V849" s="16">
        <f t="shared" si="120"/>
        <v>0</v>
      </c>
      <c r="W849" s="16">
        <f t="shared" si="120"/>
        <v>1</v>
      </c>
      <c r="X849" s="16" t="str">
        <f t="shared" si="117"/>
        <v>null</v>
      </c>
    </row>
    <row r="850" spans="1:24" x14ac:dyDescent="0.15">
      <c r="A850" s="20" t="str">
        <f t="shared" si="119"/>
        <v>26_4-4/364&lt;lv56&gt;s3</v>
      </c>
      <c r="B850" s="16">
        <f t="shared" si="121"/>
        <v>26</v>
      </c>
      <c r="C850" s="16">
        <f t="shared" si="121"/>
        <v>4</v>
      </c>
      <c r="D850" s="16">
        <f t="shared" si="121"/>
        <v>4</v>
      </c>
      <c r="E850" s="16">
        <f t="shared" si="121"/>
        <v>364</v>
      </c>
      <c r="F850" s="16">
        <f t="shared" si="121"/>
        <v>56</v>
      </c>
      <c r="G850" s="16">
        <f t="shared" si="121"/>
        <v>1</v>
      </c>
      <c r="H850" s="16">
        <f t="shared" si="121"/>
        <v>1</v>
      </c>
      <c r="I850" s="16">
        <f t="shared" si="121"/>
        <v>0</v>
      </c>
      <c r="J850" s="16">
        <f t="shared" si="121"/>
        <v>364</v>
      </c>
      <c r="K850" s="16">
        <f t="shared" si="121"/>
        <v>0</v>
      </c>
      <c r="L850" s="16">
        <f t="shared" si="121"/>
        <v>100</v>
      </c>
      <c r="M850" s="16">
        <f t="shared" si="121"/>
        <v>0</v>
      </c>
      <c r="N850" s="16">
        <f t="shared" si="121"/>
        <v>3</v>
      </c>
      <c r="O850" s="16">
        <f t="shared" si="121"/>
        <v>364</v>
      </c>
      <c r="P850" s="16">
        <f t="shared" si="121"/>
        <v>7</v>
      </c>
      <c r="Q850" s="16">
        <f t="shared" si="121"/>
        <v>2</v>
      </c>
      <c r="R850" s="16">
        <f t="shared" si="120"/>
        <v>20</v>
      </c>
      <c r="S850" s="16">
        <f t="shared" si="120"/>
        <v>0</v>
      </c>
      <c r="T850" s="16">
        <f t="shared" si="120"/>
        <v>0</v>
      </c>
      <c r="U850" s="16">
        <f t="shared" si="120"/>
        <v>0</v>
      </c>
      <c r="V850" s="16">
        <f t="shared" si="120"/>
        <v>0</v>
      </c>
      <c r="W850" s="16">
        <f t="shared" si="120"/>
        <v>1</v>
      </c>
      <c r="X850" s="16" t="str">
        <f t="shared" si="117"/>
        <v>null</v>
      </c>
    </row>
    <row r="851" spans="1:24" x14ac:dyDescent="0.15">
      <c r="A851" s="20" t="str">
        <f t="shared" si="119"/>
        <v>26_4-4/366&lt;lv56&gt;s3</v>
      </c>
      <c r="B851" s="16">
        <f t="shared" si="121"/>
        <v>26</v>
      </c>
      <c r="C851" s="16">
        <f t="shared" si="121"/>
        <v>4</v>
      </c>
      <c r="D851" s="16">
        <f t="shared" si="121"/>
        <v>4</v>
      </c>
      <c r="E851" s="16">
        <f t="shared" si="121"/>
        <v>366</v>
      </c>
      <c r="F851" s="16">
        <f t="shared" si="121"/>
        <v>56</v>
      </c>
      <c r="G851" s="16">
        <f t="shared" si="121"/>
        <v>1</v>
      </c>
      <c r="H851" s="16">
        <f t="shared" si="121"/>
        <v>1</v>
      </c>
      <c r="I851" s="16">
        <f t="shared" si="121"/>
        <v>0</v>
      </c>
      <c r="J851" s="16">
        <f t="shared" si="121"/>
        <v>366</v>
      </c>
      <c r="K851" s="16">
        <f t="shared" si="121"/>
        <v>0</v>
      </c>
      <c r="L851" s="16">
        <f t="shared" si="121"/>
        <v>100</v>
      </c>
      <c r="M851" s="16">
        <f t="shared" si="121"/>
        <v>0</v>
      </c>
      <c r="N851" s="16">
        <f t="shared" si="121"/>
        <v>3</v>
      </c>
      <c r="O851" s="16">
        <f t="shared" si="121"/>
        <v>366</v>
      </c>
      <c r="P851" s="16">
        <f t="shared" si="121"/>
        <v>7</v>
      </c>
      <c r="Q851" s="16">
        <f t="shared" si="121"/>
        <v>2</v>
      </c>
      <c r="R851" s="16">
        <f t="shared" si="120"/>
        <v>20</v>
      </c>
      <c r="S851" s="16">
        <f t="shared" si="120"/>
        <v>0</v>
      </c>
      <c r="T851" s="16">
        <f t="shared" si="120"/>
        <v>0</v>
      </c>
      <c r="U851" s="16">
        <f t="shared" si="120"/>
        <v>0</v>
      </c>
      <c r="V851" s="16">
        <f t="shared" si="120"/>
        <v>0</v>
      </c>
      <c r="W851" s="16">
        <f t="shared" si="120"/>
        <v>1</v>
      </c>
      <c r="X851" s="16" t="str">
        <f t="shared" si="117"/>
        <v>null</v>
      </c>
    </row>
    <row r="852" spans="1:24" x14ac:dyDescent="0.15">
      <c r="A852" s="20" t="str">
        <f t="shared" si="119"/>
        <v>26_4-4/348&lt;lv56&gt;s3</v>
      </c>
      <c r="B852" s="16">
        <f t="shared" si="121"/>
        <v>26</v>
      </c>
      <c r="C852" s="16">
        <f t="shared" si="121"/>
        <v>4</v>
      </c>
      <c r="D852" s="16">
        <f t="shared" si="121"/>
        <v>4</v>
      </c>
      <c r="E852" s="16">
        <f t="shared" si="121"/>
        <v>348</v>
      </c>
      <c r="F852" s="16">
        <f t="shared" si="121"/>
        <v>56</v>
      </c>
      <c r="G852" s="16">
        <f t="shared" si="121"/>
        <v>1</v>
      </c>
      <c r="H852" s="16">
        <f t="shared" si="121"/>
        <v>1</v>
      </c>
      <c r="I852" s="16">
        <f t="shared" si="121"/>
        <v>0</v>
      </c>
      <c r="J852" s="16">
        <f t="shared" si="121"/>
        <v>348</v>
      </c>
      <c r="K852" s="16">
        <f t="shared" si="121"/>
        <v>0</v>
      </c>
      <c r="L852" s="16">
        <f t="shared" si="121"/>
        <v>100</v>
      </c>
      <c r="M852" s="16">
        <f t="shared" si="121"/>
        <v>0</v>
      </c>
      <c r="N852" s="16">
        <f t="shared" si="121"/>
        <v>3</v>
      </c>
      <c r="O852" s="16">
        <f t="shared" si="121"/>
        <v>348</v>
      </c>
      <c r="P852" s="16">
        <f t="shared" si="121"/>
        <v>1</v>
      </c>
      <c r="Q852" s="16">
        <f t="shared" si="121"/>
        <v>2</v>
      </c>
      <c r="R852" s="16">
        <f t="shared" si="120"/>
        <v>23</v>
      </c>
      <c r="S852" s="16">
        <f t="shared" si="120"/>
        <v>0</v>
      </c>
      <c r="T852" s="16">
        <f t="shared" si="120"/>
        <v>0</v>
      </c>
      <c r="U852" s="16">
        <f t="shared" si="120"/>
        <v>0</v>
      </c>
      <c r="V852" s="16">
        <f t="shared" si="120"/>
        <v>0</v>
      </c>
      <c r="W852" s="16">
        <f t="shared" si="120"/>
        <v>1</v>
      </c>
      <c r="X852" s="16" t="str">
        <f t="shared" si="117"/>
        <v>null</v>
      </c>
    </row>
    <row r="853" spans="1:24" x14ac:dyDescent="0.15">
      <c r="A853" s="20" t="str">
        <f t="shared" si="119"/>
        <v>26_4-4/352&lt;lv56&gt;s3</v>
      </c>
      <c r="B853" s="16">
        <f t="shared" si="121"/>
        <v>26</v>
      </c>
      <c r="C853" s="16">
        <f t="shared" si="121"/>
        <v>4</v>
      </c>
      <c r="D853" s="16">
        <f t="shared" si="121"/>
        <v>4</v>
      </c>
      <c r="E853" s="16">
        <f t="shared" si="121"/>
        <v>352</v>
      </c>
      <c r="F853" s="16">
        <f t="shared" si="121"/>
        <v>56</v>
      </c>
      <c r="G853" s="16">
        <f t="shared" si="121"/>
        <v>1</v>
      </c>
      <c r="H853" s="16">
        <f t="shared" si="121"/>
        <v>1</v>
      </c>
      <c r="I853" s="16">
        <f t="shared" si="121"/>
        <v>0</v>
      </c>
      <c r="J853" s="16">
        <f t="shared" si="121"/>
        <v>352</v>
      </c>
      <c r="K853" s="16">
        <f t="shared" si="121"/>
        <v>0</v>
      </c>
      <c r="L853" s="16">
        <f t="shared" si="121"/>
        <v>100</v>
      </c>
      <c r="M853" s="16">
        <f t="shared" si="121"/>
        <v>0</v>
      </c>
      <c r="N853" s="16">
        <f t="shared" si="121"/>
        <v>3</v>
      </c>
      <c r="O853" s="16">
        <f t="shared" si="121"/>
        <v>352</v>
      </c>
      <c r="P853" s="16">
        <f t="shared" si="121"/>
        <v>1</v>
      </c>
      <c r="Q853" s="16">
        <f t="shared" si="121"/>
        <v>2</v>
      </c>
      <c r="R853" s="16">
        <f t="shared" si="120"/>
        <v>23</v>
      </c>
      <c r="S853" s="16">
        <f t="shared" si="120"/>
        <v>0</v>
      </c>
      <c r="T853" s="16">
        <f t="shared" si="120"/>
        <v>0</v>
      </c>
      <c r="U853" s="16">
        <f t="shared" si="120"/>
        <v>0</v>
      </c>
      <c r="V853" s="16">
        <f t="shared" si="120"/>
        <v>0</v>
      </c>
      <c r="W853" s="16">
        <f t="shared" si="120"/>
        <v>1</v>
      </c>
      <c r="X853" s="16" t="str">
        <f t="shared" si="117"/>
        <v>null</v>
      </c>
    </row>
    <row r="854" spans="1:24" x14ac:dyDescent="0.15">
      <c r="A854" s="20" t="str">
        <f t="shared" si="119"/>
        <v>26_4-5/33&lt;lv56&gt;s2</v>
      </c>
      <c r="B854" s="16">
        <f t="shared" si="121"/>
        <v>26</v>
      </c>
      <c r="C854" s="16">
        <f t="shared" si="121"/>
        <v>4</v>
      </c>
      <c r="D854" s="16">
        <f t="shared" si="121"/>
        <v>5</v>
      </c>
      <c r="E854" s="16">
        <f t="shared" si="121"/>
        <v>33</v>
      </c>
      <c r="F854" s="16">
        <f t="shared" si="121"/>
        <v>56</v>
      </c>
      <c r="G854" s="16">
        <f t="shared" si="121"/>
        <v>1</v>
      </c>
      <c r="H854" s="16">
        <f t="shared" si="121"/>
        <v>1</v>
      </c>
      <c r="I854" s="16">
        <f t="shared" si="121"/>
        <v>0</v>
      </c>
      <c r="J854" s="16">
        <f t="shared" si="121"/>
        <v>33</v>
      </c>
      <c r="K854" s="16">
        <f t="shared" si="121"/>
        <v>0</v>
      </c>
      <c r="L854" s="16">
        <f t="shared" si="121"/>
        <v>100</v>
      </c>
      <c r="M854" s="16">
        <f t="shared" si="121"/>
        <v>0</v>
      </c>
      <c r="N854" s="16">
        <f t="shared" si="121"/>
        <v>2</v>
      </c>
      <c r="O854" s="16">
        <f t="shared" si="121"/>
        <v>33</v>
      </c>
      <c r="P854" s="16">
        <f t="shared" si="121"/>
        <v>5</v>
      </c>
      <c r="Q854" s="16">
        <f t="shared" si="121"/>
        <v>2</v>
      </c>
      <c r="R854" s="16">
        <f t="shared" si="120"/>
        <v>20</v>
      </c>
      <c r="S854" s="16">
        <f t="shared" si="120"/>
        <v>0</v>
      </c>
      <c r="T854" s="16">
        <f t="shared" si="120"/>
        <v>0</v>
      </c>
      <c r="U854" s="16">
        <f t="shared" si="120"/>
        <v>0</v>
      </c>
      <c r="V854" s="16">
        <f t="shared" si="120"/>
        <v>0</v>
      </c>
      <c r="W854" s="16">
        <f t="shared" si="120"/>
        <v>1</v>
      </c>
      <c r="X854" s="16" t="str">
        <f t="shared" si="117"/>
        <v>null</v>
      </c>
    </row>
    <row r="855" spans="1:24" x14ac:dyDescent="0.15">
      <c r="A855" s="20" t="str">
        <f t="shared" si="119"/>
        <v>26_4-5/37&lt;lv56&gt;s3</v>
      </c>
      <c r="B855" s="16">
        <f t="shared" si="121"/>
        <v>26</v>
      </c>
      <c r="C855" s="16">
        <f t="shared" si="121"/>
        <v>4</v>
      </c>
      <c r="D855" s="16">
        <f t="shared" si="121"/>
        <v>5</v>
      </c>
      <c r="E855" s="16">
        <f t="shared" si="121"/>
        <v>37</v>
      </c>
      <c r="F855" s="16">
        <f t="shared" si="121"/>
        <v>56</v>
      </c>
      <c r="G855" s="16">
        <f t="shared" si="121"/>
        <v>1</v>
      </c>
      <c r="H855" s="16">
        <f t="shared" si="121"/>
        <v>1</v>
      </c>
      <c r="I855" s="16">
        <f t="shared" si="121"/>
        <v>0</v>
      </c>
      <c r="J855" s="16">
        <f t="shared" si="121"/>
        <v>37</v>
      </c>
      <c r="K855" s="16">
        <f t="shared" si="121"/>
        <v>0</v>
      </c>
      <c r="L855" s="16">
        <f t="shared" si="121"/>
        <v>100</v>
      </c>
      <c r="M855" s="16">
        <f t="shared" si="121"/>
        <v>0</v>
      </c>
      <c r="N855" s="16">
        <f t="shared" si="121"/>
        <v>3</v>
      </c>
      <c r="O855" s="16">
        <f t="shared" si="121"/>
        <v>37</v>
      </c>
      <c r="P855" s="16">
        <f t="shared" si="121"/>
        <v>5</v>
      </c>
      <c r="Q855" s="16">
        <f t="shared" si="121"/>
        <v>2</v>
      </c>
      <c r="R855" s="16">
        <f t="shared" si="120"/>
        <v>20</v>
      </c>
      <c r="S855" s="16">
        <f t="shared" si="120"/>
        <v>0</v>
      </c>
      <c r="T855" s="16">
        <f t="shared" si="120"/>
        <v>0</v>
      </c>
      <c r="U855" s="16">
        <f t="shared" si="120"/>
        <v>0</v>
      </c>
      <c r="V855" s="16">
        <f t="shared" si="120"/>
        <v>0</v>
      </c>
      <c r="W855" s="16">
        <f t="shared" si="120"/>
        <v>1</v>
      </c>
      <c r="X855" s="16" t="str">
        <f t="shared" si="117"/>
        <v>null</v>
      </c>
    </row>
    <row r="856" spans="1:24" x14ac:dyDescent="0.15">
      <c r="A856" s="20" t="str">
        <f t="shared" si="119"/>
        <v>26_4-5/45&lt;lv56&gt;s3</v>
      </c>
      <c r="B856" s="16">
        <f t="shared" si="121"/>
        <v>26</v>
      </c>
      <c r="C856" s="16">
        <f t="shared" si="121"/>
        <v>4</v>
      </c>
      <c r="D856" s="16">
        <f t="shared" si="121"/>
        <v>5</v>
      </c>
      <c r="E856" s="16">
        <f t="shared" si="121"/>
        <v>45</v>
      </c>
      <c r="F856" s="16">
        <f t="shared" si="121"/>
        <v>56</v>
      </c>
      <c r="G856" s="16">
        <f t="shared" si="121"/>
        <v>1</v>
      </c>
      <c r="H856" s="16">
        <f t="shared" si="121"/>
        <v>1</v>
      </c>
      <c r="I856" s="16">
        <f t="shared" si="121"/>
        <v>0</v>
      </c>
      <c r="J856" s="16">
        <f t="shared" si="121"/>
        <v>0</v>
      </c>
      <c r="K856" s="16">
        <f t="shared" si="121"/>
        <v>0</v>
      </c>
      <c r="L856" s="16">
        <f t="shared" si="121"/>
        <v>100</v>
      </c>
      <c r="M856" s="16">
        <f t="shared" si="121"/>
        <v>0</v>
      </c>
      <c r="N856" s="16">
        <f t="shared" si="121"/>
        <v>3</v>
      </c>
      <c r="O856" s="16">
        <f t="shared" si="121"/>
        <v>45</v>
      </c>
      <c r="P856" s="16">
        <f t="shared" si="121"/>
        <v>7</v>
      </c>
      <c r="Q856" s="16">
        <f t="shared" si="121"/>
        <v>2</v>
      </c>
      <c r="R856" s="16">
        <f t="shared" si="120"/>
        <v>20</v>
      </c>
      <c r="S856" s="16">
        <f t="shared" si="120"/>
        <v>0</v>
      </c>
      <c r="T856" s="16">
        <f t="shared" si="120"/>
        <v>0</v>
      </c>
      <c r="U856" s="16">
        <f t="shared" si="120"/>
        <v>0</v>
      </c>
      <c r="V856" s="16">
        <f t="shared" si="120"/>
        <v>0</v>
      </c>
      <c r="W856" s="16">
        <f t="shared" si="120"/>
        <v>1</v>
      </c>
      <c r="X856" s="16" t="str">
        <f t="shared" si="117"/>
        <v>null</v>
      </c>
    </row>
    <row r="857" spans="1:24" x14ac:dyDescent="0.15">
      <c r="A857" s="20" t="str">
        <f t="shared" si="119"/>
        <v>26_4-5/47&lt;lv56&gt;s1</v>
      </c>
      <c r="B857" s="16">
        <f t="shared" si="121"/>
        <v>26</v>
      </c>
      <c r="C857" s="16">
        <f t="shared" si="121"/>
        <v>4</v>
      </c>
      <c r="D857" s="16">
        <f t="shared" si="121"/>
        <v>5</v>
      </c>
      <c r="E857" s="16">
        <f t="shared" si="121"/>
        <v>47</v>
      </c>
      <c r="F857" s="16">
        <f t="shared" si="121"/>
        <v>56</v>
      </c>
      <c r="G857" s="16">
        <f t="shared" si="121"/>
        <v>1</v>
      </c>
      <c r="H857" s="16">
        <f t="shared" si="121"/>
        <v>1</v>
      </c>
      <c r="I857" s="16">
        <f t="shared" si="121"/>
        <v>0</v>
      </c>
      <c r="J857" s="16">
        <f t="shared" si="121"/>
        <v>0</v>
      </c>
      <c r="K857" s="16">
        <f t="shared" si="121"/>
        <v>0</v>
      </c>
      <c r="L857" s="16">
        <f t="shared" si="121"/>
        <v>100</v>
      </c>
      <c r="M857" s="16">
        <f t="shared" si="121"/>
        <v>0</v>
      </c>
      <c r="N857" s="16">
        <f t="shared" si="121"/>
        <v>1</v>
      </c>
      <c r="O857" s="16">
        <f t="shared" si="121"/>
        <v>47</v>
      </c>
      <c r="P857" s="16">
        <f t="shared" si="121"/>
        <v>7</v>
      </c>
      <c r="Q857" s="16">
        <f t="shared" si="121"/>
        <v>2</v>
      </c>
      <c r="R857" s="16">
        <f t="shared" si="120"/>
        <v>20</v>
      </c>
      <c r="S857" s="16">
        <f t="shared" si="120"/>
        <v>0</v>
      </c>
      <c r="T857" s="16">
        <f t="shared" si="120"/>
        <v>0</v>
      </c>
      <c r="U857" s="16">
        <f t="shared" si="120"/>
        <v>0</v>
      </c>
      <c r="V857" s="16">
        <f t="shared" si="120"/>
        <v>0</v>
      </c>
      <c r="W857" s="16">
        <f t="shared" si="120"/>
        <v>1</v>
      </c>
      <c r="X857" s="16" t="str">
        <f t="shared" si="117"/>
        <v>null</v>
      </c>
    </row>
    <row r="858" spans="1:24" x14ac:dyDescent="0.15">
      <c r="A858" s="20" t="str">
        <f t="shared" si="119"/>
        <v>26_4-5/57&lt;lv56&gt;s2</v>
      </c>
      <c r="B858" s="16">
        <f t="shared" si="121"/>
        <v>26</v>
      </c>
      <c r="C858" s="16">
        <f t="shared" si="121"/>
        <v>4</v>
      </c>
      <c r="D858" s="16">
        <f t="shared" si="121"/>
        <v>5</v>
      </c>
      <c r="E858" s="16">
        <f t="shared" si="121"/>
        <v>57</v>
      </c>
      <c r="F858" s="16">
        <f t="shared" si="121"/>
        <v>56</v>
      </c>
      <c r="G858" s="16">
        <f t="shared" si="121"/>
        <v>1</v>
      </c>
      <c r="H858" s="16">
        <f t="shared" si="121"/>
        <v>1</v>
      </c>
      <c r="I858" s="16">
        <f t="shared" si="121"/>
        <v>0</v>
      </c>
      <c r="J858" s="16">
        <f t="shared" si="121"/>
        <v>57</v>
      </c>
      <c r="K858" s="16">
        <f t="shared" si="121"/>
        <v>0</v>
      </c>
      <c r="L858" s="16">
        <f t="shared" si="121"/>
        <v>100</v>
      </c>
      <c r="M858" s="16">
        <f t="shared" si="121"/>
        <v>0</v>
      </c>
      <c r="N858" s="16">
        <f t="shared" si="121"/>
        <v>2</v>
      </c>
      <c r="O858" s="16">
        <f t="shared" si="121"/>
        <v>57</v>
      </c>
      <c r="P858" s="16">
        <f t="shared" si="121"/>
        <v>7</v>
      </c>
      <c r="Q858" s="16">
        <f t="shared" si="121"/>
        <v>2</v>
      </c>
      <c r="R858" s="16">
        <f t="shared" si="120"/>
        <v>20</v>
      </c>
      <c r="S858" s="16">
        <f t="shared" si="120"/>
        <v>0</v>
      </c>
      <c r="T858" s="16">
        <f t="shared" si="120"/>
        <v>0</v>
      </c>
      <c r="U858" s="16">
        <f t="shared" si="120"/>
        <v>0</v>
      </c>
      <c r="V858" s="16">
        <f t="shared" si="120"/>
        <v>0</v>
      </c>
      <c r="W858" s="16">
        <f t="shared" si="120"/>
        <v>1</v>
      </c>
      <c r="X858" s="16" t="str">
        <f t="shared" si="117"/>
        <v>null</v>
      </c>
    </row>
    <row r="859" spans="1:24" x14ac:dyDescent="0.15">
      <c r="A859" s="20" t="str">
        <f t="shared" si="119"/>
        <v>26_4-5/59&lt;lv56&gt;s2</v>
      </c>
      <c r="B859" s="16">
        <f t="shared" si="121"/>
        <v>26</v>
      </c>
      <c r="C859" s="16">
        <f t="shared" si="121"/>
        <v>4</v>
      </c>
      <c r="D859" s="16">
        <f t="shared" si="121"/>
        <v>5</v>
      </c>
      <c r="E859" s="16">
        <f t="shared" si="121"/>
        <v>59</v>
      </c>
      <c r="F859" s="16">
        <f t="shared" si="121"/>
        <v>56</v>
      </c>
      <c r="G859" s="16">
        <f t="shared" si="121"/>
        <v>1</v>
      </c>
      <c r="H859" s="16">
        <f t="shared" si="121"/>
        <v>1</v>
      </c>
      <c r="I859" s="16">
        <f t="shared" si="121"/>
        <v>0</v>
      </c>
      <c r="J859" s="16">
        <f t="shared" si="121"/>
        <v>59</v>
      </c>
      <c r="K859" s="16">
        <f t="shared" si="121"/>
        <v>0</v>
      </c>
      <c r="L859" s="16">
        <f t="shared" si="121"/>
        <v>100</v>
      </c>
      <c r="M859" s="16">
        <f t="shared" si="121"/>
        <v>0</v>
      </c>
      <c r="N859" s="16">
        <f t="shared" si="121"/>
        <v>2</v>
      </c>
      <c r="O859" s="16">
        <f t="shared" si="121"/>
        <v>59</v>
      </c>
      <c r="P859" s="16">
        <f t="shared" si="121"/>
        <v>7</v>
      </c>
      <c r="Q859" s="16">
        <f t="shared" si="121"/>
        <v>2</v>
      </c>
      <c r="R859" s="16">
        <f t="shared" si="120"/>
        <v>20</v>
      </c>
      <c r="S859" s="16">
        <f t="shared" si="120"/>
        <v>0</v>
      </c>
      <c r="T859" s="16">
        <f t="shared" si="120"/>
        <v>0</v>
      </c>
      <c r="U859" s="16">
        <f t="shared" si="120"/>
        <v>0</v>
      </c>
      <c r="V859" s="16">
        <f t="shared" si="120"/>
        <v>0</v>
      </c>
      <c r="W859" s="16">
        <f t="shared" si="120"/>
        <v>1</v>
      </c>
      <c r="X859" s="16" t="str">
        <f t="shared" si="117"/>
        <v>null</v>
      </c>
    </row>
    <row r="860" spans="1:24" x14ac:dyDescent="0.15">
      <c r="A860" s="20" t="str">
        <f t="shared" si="119"/>
        <v>26_4-5/61&lt;lv56&gt;s2</v>
      </c>
      <c r="B860" s="16">
        <f t="shared" si="121"/>
        <v>26</v>
      </c>
      <c r="C860" s="16">
        <f t="shared" si="121"/>
        <v>4</v>
      </c>
      <c r="D860" s="16">
        <f t="shared" si="121"/>
        <v>5</v>
      </c>
      <c r="E860" s="16">
        <f t="shared" si="121"/>
        <v>61</v>
      </c>
      <c r="F860" s="16">
        <f t="shared" si="121"/>
        <v>56</v>
      </c>
      <c r="G860" s="16">
        <f t="shared" si="121"/>
        <v>1</v>
      </c>
      <c r="H860" s="16">
        <f t="shared" si="121"/>
        <v>1</v>
      </c>
      <c r="I860" s="16">
        <f t="shared" si="121"/>
        <v>0</v>
      </c>
      <c r="J860" s="16">
        <f t="shared" si="121"/>
        <v>61</v>
      </c>
      <c r="K860" s="16">
        <f t="shared" si="121"/>
        <v>0</v>
      </c>
      <c r="L860" s="16">
        <f t="shared" si="121"/>
        <v>100</v>
      </c>
      <c r="M860" s="16">
        <f t="shared" si="121"/>
        <v>0</v>
      </c>
      <c r="N860" s="16">
        <f t="shared" si="121"/>
        <v>2</v>
      </c>
      <c r="O860" s="16">
        <f t="shared" si="121"/>
        <v>61</v>
      </c>
      <c r="P860" s="16">
        <f t="shared" si="121"/>
        <v>7</v>
      </c>
      <c r="Q860" s="16">
        <f t="shared" si="121"/>
        <v>2</v>
      </c>
      <c r="R860" s="16">
        <f t="shared" si="120"/>
        <v>20</v>
      </c>
      <c r="S860" s="16">
        <f t="shared" si="120"/>
        <v>0</v>
      </c>
      <c r="T860" s="16">
        <f t="shared" si="120"/>
        <v>0</v>
      </c>
      <c r="U860" s="16">
        <f t="shared" si="120"/>
        <v>0</v>
      </c>
      <c r="V860" s="16">
        <f t="shared" si="120"/>
        <v>0</v>
      </c>
      <c r="W860" s="16">
        <f t="shared" si="120"/>
        <v>1</v>
      </c>
      <c r="X860" s="16" t="str">
        <f t="shared" si="117"/>
        <v>null</v>
      </c>
    </row>
    <row r="861" spans="1:24" x14ac:dyDescent="0.15">
      <c r="A861" s="20" t="str">
        <f t="shared" si="119"/>
        <v>26_4-5/63&lt;lv56&gt;s2</v>
      </c>
      <c r="B861" s="16">
        <f t="shared" si="121"/>
        <v>26</v>
      </c>
      <c r="C861" s="16">
        <f t="shared" si="121"/>
        <v>4</v>
      </c>
      <c r="D861" s="16">
        <f t="shared" si="121"/>
        <v>5</v>
      </c>
      <c r="E861" s="16">
        <f t="shared" si="121"/>
        <v>63</v>
      </c>
      <c r="F861" s="16">
        <f t="shared" si="121"/>
        <v>56</v>
      </c>
      <c r="G861" s="16">
        <f t="shared" si="121"/>
        <v>1</v>
      </c>
      <c r="H861" s="16">
        <f t="shared" si="121"/>
        <v>1</v>
      </c>
      <c r="I861" s="16">
        <f t="shared" si="121"/>
        <v>0</v>
      </c>
      <c r="J861" s="16">
        <f t="shared" si="121"/>
        <v>63</v>
      </c>
      <c r="K861" s="16">
        <f t="shared" si="121"/>
        <v>0</v>
      </c>
      <c r="L861" s="16">
        <f t="shared" si="121"/>
        <v>100</v>
      </c>
      <c r="M861" s="16">
        <f t="shared" si="121"/>
        <v>0</v>
      </c>
      <c r="N861" s="16">
        <f t="shared" si="121"/>
        <v>2</v>
      </c>
      <c r="O861" s="16">
        <f t="shared" si="121"/>
        <v>63</v>
      </c>
      <c r="P861" s="16">
        <f t="shared" si="121"/>
        <v>7</v>
      </c>
      <c r="Q861" s="16">
        <f t="shared" si="121"/>
        <v>2</v>
      </c>
      <c r="R861" s="16">
        <f t="shared" si="120"/>
        <v>20</v>
      </c>
      <c r="S861" s="16">
        <f t="shared" si="120"/>
        <v>0</v>
      </c>
      <c r="T861" s="16">
        <f t="shared" si="120"/>
        <v>0</v>
      </c>
      <c r="U861" s="16">
        <f t="shared" si="120"/>
        <v>0</v>
      </c>
      <c r="V861" s="16">
        <f t="shared" si="120"/>
        <v>0</v>
      </c>
      <c r="W861" s="16">
        <f t="shared" si="120"/>
        <v>1</v>
      </c>
      <c r="X861" s="16" t="str">
        <f t="shared" si="117"/>
        <v>null</v>
      </c>
    </row>
    <row r="862" spans="1:24" x14ac:dyDescent="0.15">
      <c r="A862" s="20" t="str">
        <f t="shared" si="119"/>
        <v>26_4-5/360&lt;lv56&gt;s3</v>
      </c>
      <c r="B862" s="16">
        <f t="shared" si="121"/>
        <v>26</v>
      </c>
      <c r="C862" s="16">
        <f t="shared" si="121"/>
        <v>4</v>
      </c>
      <c r="D862" s="16">
        <f t="shared" si="121"/>
        <v>5</v>
      </c>
      <c r="E862" s="16">
        <f t="shared" si="121"/>
        <v>360</v>
      </c>
      <c r="F862" s="16">
        <f t="shared" si="121"/>
        <v>56</v>
      </c>
      <c r="G862" s="16">
        <f t="shared" si="121"/>
        <v>1</v>
      </c>
      <c r="H862" s="16">
        <f t="shared" si="121"/>
        <v>1</v>
      </c>
      <c r="I862" s="16">
        <f t="shared" si="121"/>
        <v>0</v>
      </c>
      <c r="J862" s="16">
        <f t="shared" si="121"/>
        <v>360</v>
      </c>
      <c r="K862" s="16">
        <f t="shared" si="121"/>
        <v>0</v>
      </c>
      <c r="L862" s="16">
        <f t="shared" si="121"/>
        <v>100</v>
      </c>
      <c r="M862" s="16">
        <f t="shared" si="121"/>
        <v>0</v>
      </c>
      <c r="N862" s="16">
        <f t="shared" si="121"/>
        <v>3</v>
      </c>
      <c r="O862" s="16">
        <f t="shared" si="121"/>
        <v>360</v>
      </c>
      <c r="P862" s="16">
        <f t="shared" si="121"/>
        <v>7</v>
      </c>
      <c r="Q862" s="16">
        <f t="shared" ref="Q862:W877" si="122">VLOOKUP($A862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862" s="16">
        <f t="shared" si="122"/>
        <v>20</v>
      </c>
      <c r="S862" s="16">
        <f t="shared" si="122"/>
        <v>0</v>
      </c>
      <c r="T862" s="16">
        <f t="shared" si="122"/>
        <v>0</v>
      </c>
      <c r="U862" s="16">
        <f t="shared" si="122"/>
        <v>0</v>
      </c>
      <c r="V862" s="16">
        <f t="shared" si="122"/>
        <v>0</v>
      </c>
      <c r="W862" s="16">
        <f t="shared" si="122"/>
        <v>1</v>
      </c>
      <c r="X862" s="16" t="str">
        <f t="shared" si="117"/>
        <v>null</v>
      </c>
    </row>
    <row r="863" spans="1:24" x14ac:dyDescent="0.15">
      <c r="A863" s="20" t="str">
        <f t="shared" si="119"/>
        <v>26_4-5/362&lt;lv56&gt;s3</v>
      </c>
      <c r="B863" s="16">
        <f t="shared" ref="B863:Q878" si="123">VLOOKUP($A863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863" s="16">
        <f t="shared" si="123"/>
        <v>4</v>
      </c>
      <c r="D863" s="16">
        <f t="shared" si="123"/>
        <v>5</v>
      </c>
      <c r="E863" s="16">
        <f t="shared" si="123"/>
        <v>362</v>
      </c>
      <c r="F863" s="16">
        <f t="shared" si="123"/>
        <v>56</v>
      </c>
      <c r="G863" s="16">
        <f t="shared" si="123"/>
        <v>1</v>
      </c>
      <c r="H863" s="16">
        <f t="shared" si="123"/>
        <v>1</v>
      </c>
      <c r="I863" s="16">
        <f t="shared" si="123"/>
        <v>0</v>
      </c>
      <c r="J863" s="16">
        <f t="shared" si="123"/>
        <v>362</v>
      </c>
      <c r="K863" s="16">
        <f t="shared" si="123"/>
        <v>0</v>
      </c>
      <c r="L863" s="16">
        <f t="shared" si="123"/>
        <v>100</v>
      </c>
      <c r="M863" s="16">
        <f t="shared" si="123"/>
        <v>0</v>
      </c>
      <c r="N863" s="16">
        <f t="shared" si="123"/>
        <v>3</v>
      </c>
      <c r="O863" s="16">
        <f t="shared" si="123"/>
        <v>362</v>
      </c>
      <c r="P863" s="16">
        <f t="shared" si="123"/>
        <v>7</v>
      </c>
      <c r="Q863" s="16">
        <f t="shared" si="123"/>
        <v>2</v>
      </c>
      <c r="R863" s="16">
        <f t="shared" si="122"/>
        <v>20</v>
      </c>
      <c r="S863" s="16">
        <f t="shared" si="122"/>
        <v>0</v>
      </c>
      <c r="T863" s="16">
        <f t="shared" si="122"/>
        <v>0</v>
      </c>
      <c r="U863" s="16">
        <f t="shared" si="122"/>
        <v>0</v>
      </c>
      <c r="V863" s="16">
        <f t="shared" si="122"/>
        <v>0</v>
      </c>
      <c r="W863" s="16">
        <f t="shared" si="122"/>
        <v>1</v>
      </c>
      <c r="X863" s="16" t="str">
        <f t="shared" si="117"/>
        <v>null</v>
      </c>
    </row>
    <row r="864" spans="1:24" x14ac:dyDescent="0.15">
      <c r="A864" s="20" t="str">
        <f t="shared" si="119"/>
        <v>26_4-5/364&lt;lv56&gt;s3</v>
      </c>
      <c r="B864" s="16">
        <f t="shared" si="123"/>
        <v>26</v>
      </c>
      <c r="C864" s="16">
        <f t="shared" si="123"/>
        <v>4</v>
      </c>
      <c r="D864" s="16">
        <f t="shared" si="123"/>
        <v>5</v>
      </c>
      <c r="E864" s="16">
        <f t="shared" si="123"/>
        <v>364</v>
      </c>
      <c r="F864" s="16">
        <f t="shared" si="123"/>
        <v>56</v>
      </c>
      <c r="G864" s="16">
        <f t="shared" si="123"/>
        <v>1</v>
      </c>
      <c r="H864" s="16">
        <f t="shared" si="123"/>
        <v>1</v>
      </c>
      <c r="I864" s="16">
        <f t="shared" si="123"/>
        <v>0</v>
      </c>
      <c r="J864" s="16">
        <f t="shared" si="123"/>
        <v>364</v>
      </c>
      <c r="K864" s="16">
        <f t="shared" si="123"/>
        <v>0</v>
      </c>
      <c r="L864" s="16">
        <f t="shared" si="123"/>
        <v>100</v>
      </c>
      <c r="M864" s="16">
        <f t="shared" si="123"/>
        <v>0</v>
      </c>
      <c r="N864" s="16">
        <f t="shared" si="123"/>
        <v>3</v>
      </c>
      <c r="O864" s="16">
        <f t="shared" si="123"/>
        <v>364</v>
      </c>
      <c r="P864" s="16">
        <f t="shared" si="123"/>
        <v>7</v>
      </c>
      <c r="Q864" s="16">
        <f t="shared" si="123"/>
        <v>2</v>
      </c>
      <c r="R864" s="16">
        <f t="shared" si="122"/>
        <v>20</v>
      </c>
      <c r="S864" s="16">
        <f t="shared" si="122"/>
        <v>0</v>
      </c>
      <c r="T864" s="16">
        <f t="shared" si="122"/>
        <v>0</v>
      </c>
      <c r="U864" s="16">
        <f t="shared" si="122"/>
        <v>0</v>
      </c>
      <c r="V864" s="16">
        <f t="shared" si="122"/>
        <v>0</v>
      </c>
      <c r="W864" s="16">
        <f t="shared" si="122"/>
        <v>1</v>
      </c>
      <c r="X864" s="16" t="str">
        <f t="shared" si="117"/>
        <v>null</v>
      </c>
    </row>
    <row r="865" spans="1:24" x14ac:dyDescent="0.15">
      <c r="A865" s="20" t="str">
        <f t="shared" si="119"/>
        <v>26_4-5/366&lt;lv56&gt;s3</v>
      </c>
      <c r="B865" s="16">
        <f t="shared" si="123"/>
        <v>26</v>
      </c>
      <c r="C865" s="16">
        <f t="shared" si="123"/>
        <v>4</v>
      </c>
      <c r="D865" s="16">
        <f t="shared" si="123"/>
        <v>5</v>
      </c>
      <c r="E865" s="16">
        <f t="shared" si="123"/>
        <v>366</v>
      </c>
      <c r="F865" s="16">
        <f t="shared" si="123"/>
        <v>56</v>
      </c>
      <c r="G865" s="16">
        <f t="shared" si="123"/>
        <v>1</v>
      </c>
      <c r="H865" s="16">
        <f t="shared" si="123"/>
        <v>1</v>
      </c>
      <c r="I865" s="16">
        <f t="shared" si="123"/>
        <v>0</v>
      </c>
      <c r="J865" s="16">
        <f t="shared" si="123"/>
        <v>366</v>
      </c>
      <c r="K865" s="16">
        <f t="shared" si="123"/>
        <v>0</v>
      </c>
      <c r="L865" s="16">
        <f t="shared" si="123"/>
        <v>100</v>
      </c>
      <c r="M865" s="16">
        <f t="shared" si="123"/>
        <v>0</v>
      </c>
      <c r="N865" s="16">
        <f t="shared" si="123"/>
        <v>3</v>
      </c>
      <c r="O865" s="16">
        <f t="shared" si="123"/>
        <v>366</v>
      </c>
      <c r="P865" s="16">
        <f t="shared" si="123"/>
        <v>7</v>
      </c>
      <c r="Q865" s="16">
        <f t="shared" si="123"/>
        <v>2</v>
      </c>
      <c r="R865" s="16">
        <f t="shared" si="122"/>
        <v>20</v>
      </c>
      <c r="S865" s="16">
        <f t="shared" si="122"/>
        <v>0</v>
      </c>
      <c r="T865" s="16">
        <f t="shared" si="122"/>
        <v>0</v>
      </c>
      <c r="U865" s="16">
        <f t="shared" si="122"/>
        <v>0</v>
      </c>
      <c r="V865" s="16">
        <f t="shared" si="122"/>
        <v>0</v>
      </c>
      <c r="W865" s="16">
        <f t="shared" si="122"/>
        <v>1</v>
      </c>
      <c r="X865" s="16" t="str">
        <f t="shared" si="117"/>
        <v>null</v>
      </c>
    </row>
    <row r="866" spans="1:24" x14ac:dyDescent="0.15">
      <c r="A866" s="20" t="str">
        <f t="shared" si="119"/>
        <v>26_4-5/350&lt;lv56&gt;s3</v>
      </c>
      <c r="B866" s="16">
        <f t="shared" si="123"/>
        <v>26</v>
      </c>
      <c r="C866" s="16">
        <f t="shared" si="123"/>
        <v>4</v>
      </c>
      <c r="D866" s="16">
        <f t="shared" si="123"/>
        <v>5</v>
      </c>
      <c r="E866" s="16">
        <f t="shared" si="123"/>
        <v>350</v>
      </c>
      <c r="F866" s="16">
        <f t="shared" si="123"/>
        <v>56</v>
      </c>
      <c r="G866" s="16">
        <f t="shared" si="123"/>
        <v>1</v>
      </c>
      <c r="H866" s="16">
        <f t="shared" si="123"/>
        <v>1</v>
      </c>
      <c r="I866" s="16">
        <f t="shared" si="123"/>
        <v>0</v>
      </c>
      <c r="J866" s="16">
        <f t="shared" si="123"/>
        <v>350</v>
      </c>
      <c r="K866" s="16">
        <f t="shared" si="123"/>
        <v>0</v>
      </c>
      <c r="L866" s="16">
        <f t="shared" si="123"/>
        <v>100</v>
      </c>
      <c r="M866" s="16">
        <f t="shared" si="123"/>
        <v>0</v>
      </c>
      <c r="N866" s="16">
        <f t="shared" si="123"/>
        <v>3</v>
      </c>
      <c r="O866" s="16">
        <f t="shared" si="123"/>
        <v>350</v>
      </c>
      <c r="P866" s="16">
        <f t="shared" si="123"/>
        <v>1</v>
      </c>
      <c r="Q866" s="16">
        <f t="shared" si="123"/>
        <v>2</v>
      </c>
      <c r="R866" s="16">
        <f t="shared" si="122"/>
        <v>23</v>
      </c>
      <c r="S866" s="16">
        <f t="shared" si="122"/>
        <v>0</v>
      </c>
      <c r="T866" s="16">
        <f t="shared" si="122"/>
        <v>0</v>
      </c>
      <c r="U866" s="16">
        <f t="shared" si="122"/>
        <v>0</v>
      </c>
      <c r="V866" s="16">
        <f t="shared" si="122"/>
        <v>0</v>
      </c>
      <c r="W866" s="16">
        <f t="shared" si="122"/>
        <v>1</v>
      </c>
      <c r="X866" s="16" t="str">
        <f t="shared" si="117"/>
        <v>null</v>
      </c>
    </row>
    <row r="867" spans="1:24" x14ac:dyDescent="0.15">
      <c r="A867" s="20" t="str">
        <f t="shared" si="119"/>
        <v>26_4-5/354&lt;lv56&gt;s3</v>
      </c>
      <c r="B867" s="16">
        <f t="shared" si="123"/>
        <v>26</v>
      </c>
      <c r="C867" s="16">
        <f t="shared" si="123"/>
        <v>4</v>
      </c>
      <c r="D867" s="16">
        <f t="shared" si="123"/>
        <v>5</v>
      </c>
      <c r="E867" s="16">
        <f t="shared" si="123"/>
        <v>354</v>
      </c>
      <c r="F867" s="16">
        <f t="shared" si="123"/>
        <v>56</v>
      </c>
      <c r="G867" s="16">
        <f t="shared" si="123"/>
        <v>1</v>
      </c>
      <c r="H867" s="16">
        <f t="shared" si="123"/>
        <v>1</v>
      </c>
      <c r="I867" s="16">
        <f t="shared" si="123"/>
        <v>0</v>
      </c>
      <c r="J867" s="16">
        <f t="shared" si="123"/>
        <v>354</v>
      </c>
      <c r="K867" s="16">
        <f t="shared" si="123"/>
        <v>0</v>
      </c>
      <c r="L867" s="16">
        <f t="shared" si="123"/>
        <v>100</v>
      </c>
      <c r="M867" s="16">
        <f t="shared" si="123"/>
        <v>0</v>
      </c>
      <c r="N867" s="16">
        <f t="shared" si="123"/>
        <v>3</v>
      </c>
      <c r="O867" s="16">
        <f t="shared" si="123"/>
        <v>354</v>
      </c>
      <c r="P867" s="16">
        <f t="shared" si="123"/>
        <v>1</v>
      </c>
      <c r="Q867" s="16">
        <f t="shared" si="123"/>
        <v>2</v>
      </c>
      <c r="R867" s="16">
        <f t="shared" si="122"/>
        <v>23</v>
      </c>
      <c r="S867" s="16">
        <f t="shared" si="122"/>
        <v>0</v>
      </c>
      <c r="T867" s="16">
        <f t="shared" si="122"/>
        <v>0</v>
      </c>
      <c r="U867" s="16">
        <f t="shared" si="122"/>
        <v>0</v>
      </c>
      <c r="V867" s="16">
        <f t="shared" si="122"/>
        <v>0</v>
      </c>
      <c r="W867" s="16">
        <f t="shared" si="122"/>
        <v>1</v>
      </c>
      <c r="X867" s="16" t="str">
        <f t="shared" si="117"/>
        <v>null</v>
      </c>
    </row>
    <row r="868" spans="1:24" x14ac:dyDescent="0.15">
      <c r="A868" s="20" t="str">
        <f t="shared" si="119"/>
        <v>26_4-6/221&lt;lv61&gt;s2</v>
      </c>
      <c r="B868" s="16">
        <f t="shared" si="123"/>
        <v>26</v>
      </c>
      <c r="C868" s="16">
        <f t="shared" si="123"/>
        <v>4</v>
      </c>
      <c r="D868" s="16">
        <f t="shared" si="123"/>
        <v>6</v>
      </c>
      <c r="E868" s="16">
        <f t="shared" si="123"/>
        <v>221</v>
      </c>
      <c r="F868" s="16">
        <f t="shared" si="123"/>
        <v>61</v>
      </c>
      <c r="G868" s="16">
        <f t="shared" si="123"/>
        <v>1.2</v>
      </c>
      <c r="H868" s="16">
        <f t="shared" si="123"/>
        <v>1</v>
      </c>
      <c r="I868" s="16">
        <f t="shared" si="123"/>
        <v>0</v>
      </c>
      <c r="J868" s="16">
        <f t="shared" si="123"/>
        <v>22101</v>
      </c>
      <c r="K868" s="16">
        <f t="shared" si="123"/>
        <v>1</v>
      </c>
      <c r="L868" s="16">
        <f t="shared" si="123"/>
        <v>100</v>
      </c>
      <c r="M868" s="16">
        <f t="shared" si="123"/>
        <v>1</v>
      </c>
      <c r="N868" s="16">
        <f t="shared" si="123"/>
        <v>2</v>
      </c>
      <c r="O868" s="16">
        <f t="shared" si="123"/>
        <v>220</v>
      </c>
      <c r="P868" s="16">
        <f t="shared" si="123"/>
        <v>1</v>
      </c>
      <c r="Q868" s="16">
        <f t="shared" si="123"/>
        <v>3</v>
      </c>
      <c r="R868" s="16">
        <f t="shared" si="122"/>
        <v>0</v>
      </c>
      <c r="S868" s="16">
        <f t="shared" si="122"/>
        <v>0</v>
      </c>
      <c r="T868" s="16">
        <f t="shared" si="122"/>
        <v>0</v>
      </c>
      <c r="U868" s="16">
        <f t="shared" si="122"/>
        <v>0</v>
      </c>
      <c r="V868" s="16">
        <f t="shared" si="122"/>
        <v>0</v>
      </c>
      <c r="W868" s="16">
        <f t="shared" si="122"/>
        <v>1</v>
      </c>
      <c r="X868" s="16" t="str">
        <f t="shared" si="117"/>
        <v>null</v>
      </c>
    </row>
    <row r="869" spans="1:24" x14ac:dyDescent="0.15">
      <c r="A869" s="20" t="str">
        <f t="shared" si="119"/>
        <v>26_4-6/236&lt;lv61&gt;s2</v>
      </c>
      <c r="B869" s="16">
        <f t="shared" si="123"/>
        <v>26</v>
      </c>
      <c r="C869" s="16">
        <f t="shared" si="123"/>
        <v>4</v>
      </c>
      <c r="D869" s="16">
        <f t="shared" si="123"/>
        <v>6</v>
      </c>
      <c r="E869" s="16">
        <f t="shared" si="123"/>
        <v>236</v>
      </c>
      <c r="F869" s="16">
        <f t="shared" si="123"/>
        <v>61</v>
      </c>
      <c r="G869" s="16">
        <f t="shared" si="123"/>
        <v>1.2</v>
      </c>
      <c r="H869" s="16">
        <f t="shared" si="123"/>
        <v>0.9</v>
      </c>
      <c r="I869" s="16">
        <f t="shared" si="123"/>
        <v>0</v>
      </c>
      <c r="J869" s="16">
        <f t="shared" si="123"/>
        <v>23601</v>
      </c>
      <c r="K869" s="16">
        <f t="shared" si="123"/>
        <v>1</v>
      </c>
      <c r="L869" s="16">
        <f t="shared" si="123"/>
        <v>100</v>
      </c>
      <c r="M869" s="16">
        <f t="shared" si="123"/>
        <v>1</v>
      </c>
      <c r="N869" s="16">
        <f t="shared" si="123"/>
        <v>2</v>
      </c>
      <c r="O869" s="16">
        <f t="shared" si="123"/>
        <v>235</v>
      </c>
      <c r="P869" s="16">
        <f t="shared" si="123"/>
        <v>1</v>
      </c>
      <c r="Q869" s="16">
        <f t="shared" si="123"/>
        <v>3</v>
      </c>
      <c r="R869" s="16">
        <f t="shared" si="122"/>
        <v>0</v>
      </c>
      <c r="S869" s="16">
        <f t="shared" si="122"/>
        <v>0</v>
      </c>
      <c r="T869" s="16">
        <f t="shared" si="122"/>
        <v>0</v>
      </c>
      <c r="U869" s="16">
        <f t="shared" si="122"/>
        <v>0</v>
      </c>
      <c r="V869" s="16">
        <f t="shared" si="122"/>
        <v>0</v>
      </c>
      <c r="W869" s="16">
        <f t="shared" si="122"/>
        <v>1</v>
      </c>
      <c r="X869" s="16" t="str">
        <f t="shared" si="117"/>
        <v>null</v>
      </c>
    </row>
    <row r="870" spans="1:24" x14ac:dyDescent="0.15">
      <c r="A870" s="20" t="str">
        <f t="shared" si="119"/>
        <v>26_5-1/9&lt;lv58&gt;s2</v>
      </c>
      <c r="B870" s="16">
        <f t="shared" si="123"/>
        <v>26</v>
      </c>
      <c r="C870" s="16">
        <f t="shared" si="123"/>
        <v>5</v>
      </c>
      <c r="D870" s="16">
        <f t="shared" si="123"/>
        <v>1</v>
      </c>
      <c r="E870" s="16">
        <f t="shared" si="123"/>
        <v>9</v>
      </c>
      <c r="F870" s="16">
        <f t="shared" si="123"/>
        <v>58</v>
      </c>
      <c r="G870" s="16">
        <f t="shared" si="123"/>
        <v>1</v>
      </c>
      <c r="H870" s="16">
        <f t="shared" si="123"/>
        <v>1</v>
      </c>
      <c r="I870" s="16">
        <f t="shared" si="123"/>
        <v>0</v>
      </c>
      <c r="J870" s="16">
        <f t="shared" si="123"/>
        <v>0</v>
      </c>
      <c r="K870" s="16">
        <f t="shared" si="123"/>
        <v>0</v>
      </c>
      <c r="L870" s="16">
        <f t="shared" si="123"/>
        <v>100</v>
      </c>
      <c r="M870" s="16">
        <f t="shared" si="123"/>
        <v>0</v>
      </c>
      <c r="N870" s="16">
        <f t="shared" si="123"/>
        <v>2</v>
      </c>
      <c r="O870" s="16">
        <f t="shared" si="123"/>
        <v>9</v>
      </c>
      <c r="P870" s="16">
        <f t="shared" si="123"/>
        <v>9</v>
      </c>
      <c r="Q870" s="16">
        <f t="shared" si="123"/>
        <v>1</v>
      </c>
      <c r="R870" s="16">
        <f t="shared" si="122"/>
        <v>15</v>
      </c>
      <c r="S870" s="16">
        <f t="shared" si="122"/>
        <v>0</v>
      </c>
      <c r="T870" s="16">
        <f t="shared" si="122"/>
        <v>0</v>
      </c>
      <c r="U870" s="16">
        <f t="shared" si="122"/>
        <v>0</v>
      </c>
      <c r="V870" s="16">
        <f t="shared" si="122"/>
        <v>0</v>
      </c>
      <c r="W870" s="16">
        <f t="shared" si="122"/>
        <v>1</v>
      </c>
      <c r="X870" s="16" t="str">
        <f t="shared" si="117"/>
        <v>null</v>
      </c>
    </row>
    <row r="871" spans="1:24" x14ac:dyDescent="0.15">
      <c r="A871" s="20" t="str">
        <f t="shared" si="119"/>
        <v>26_5-1/11&lt;lv58&gt;s3</v>
      </c>
      <c r="B871" s="16">
        <f t="shared" si="123"/>
        <v>26</v>
      </c>
      <c r="C871" s="16">
        <f t="shared" si="123"/>
        <v>5</v>
      </c>
      <c r="D871" s="16">
        <f t="shared" si="123"/>
        <v>1</v>
      </c>
      <c r="E871" s="16">
        <f t="shared" si="123"/>
        <v>11</v>
      </c>
      <c r="F871" s="16">
        <f t="shared" si="123"/>
        <v>58</v>
      </c>
      <c r="G871" s="16">
        <f t="shared" si="123"/>
        <v>1</v>
      </c>
      <c r="H871" s="16">
        <f t="shared" si="123"/>
        <v>1</v>
      </c>
      <c r="I871" s="16">
        <f t="shared" si="123"/>
        <v>0</v>
      </c>
      <c r="J871" s="16">
        <f t="shared" si="123"/>
        <v>0</v>
      </c>
      <c r="K871" s="16">
        <f t="shared" si="123"/>
        <v>0</v>
      </c>
      <c r="L871" s="16">
        <f t="shared" si="123"/>
        <v>100</v>
      </c>
      <c r="M871" s="16">
        <f t="shared" si="123"/>
        <v>0</v>
      </c>
      <c r="N871" s="16">
        <f t="shared" si="123"/>
        <v>3</v>
      </c>
      <c r="O871" s="16">
        <f t="shared" si="123"/>
        <v>11</v>
      </c>
      <c r="P871" s="16">
        <f t="shared" si="123"/>
        <v>9</v>
      </c>
      <c r="Q871" s="16">
        <f t="shared" si="123"/>
        <v>1</v>
      </c>
      <c r="R871" s="16">
        <f t="shared" si="122"/>
        <v>15</v>
      </c>
      <c r="S871" s="16">
        <f t="shared" si="122"/>
        <v>0</v>
      </c>
      <c r="T871" s="16">
        <f t="shared" si="122"/>
        <v>0</v>
      </c>
      <c r="U871" s="16">
        <f t="shared" si="122"/>
        <v>0</v>
      </c>
      <c r="V871" s="16">
        <f t="shared" si="122"/>
        <v>0</v>
      </c>
      <c r="W871" s="16">
        <f t="shared" si="122"/>
        <v>1</v>
      </c>
      <c r="X871" s="16" t="str">
        <f t="shared" si="117"/>
        <v>null</v>
      </c>
    </row>
    <row r="872" spans="1:24" x14ac:dyDescent="0.15">
      <c r="A872" s="20" t="str">
        <f t="shared" si="119"/>
        <v>26_5-1/13&lt;lv58&gt;s2</v>
      </c>
      <c r="B872" s="16">
        <f t="shared" si="123"/>
        <v>26</v>
      </c>
      <c r="C872" s="16">
        <f t="shared" si="123"/>
        <v>5</v>
      </c>
      <c r="D872" s="16">
        <f t="shared" si="123"/>
        <v>1</v>
      </c>
      <c r="E872" s="16">
        <f t="shared" si="123"/>
        <v>13</v>
      </c>
      <c r="F872" s="16">
        <f t="shared" si="123"/>
        <v>58</v>
      </c>
      <c r="G872" s="16">
        <f t="shared" si="123"/>
        <v>1</v>
      </c>
      <c r="H872" s="16">
        <f t="shared" si="123"/>
        <v>1</v>
      </c>
      <c r="I872" s="16">
        <f t="shared" si="123"/>
        <v>0</v>
      </c>
      <c r="J872" s="16">
        <f t="shared" si="123"/>
        <v>0</v>
      </c>
      <c r="K872" s="16">
        <f t="shared" si="123"/>
        <v>0</v>
      </c>
      <c r="L872" s="16">
        <f t="shared" si="123"/>
        <v>100</v>
      </c>
      <c r="M872" s="16">
        <f t="shared" si="123"/>
        <v>0</v>
      </c>
      <c r="N872" s="16">
        <f t="shared" si="123"/>
        <v>2</v>
      </c>
      <c r="O872" s="16">
        <f t="shared" si="123"/>
        <v>13</v>
      </c>
      <c r="P872" s="16">
        <f t="shared" si="123"/>
        <v>9</v>
      </c>
      <c r="Q872" s="16">
        <f t="shared" si="123"/>
        <v>1</v>
      </c>
      <c r="R872" s="16">
        <f t="shared" si="122"/>
        <v>15</v>
      </c>
      <c r="S872" s="16">
        <f t="shared" si="122"/>
        <v>0</v>
      </c>
      <c r="T872" s="16">
        <f t="shared" si="122"/>
        <v>0</v>
      </c>
      <c r="U872" s="16">
        <f t="shared" si="122"/>
        <v>0</v>
      </c>
      <c r="V872" s="16">
        <f t="shared" si="122"/>
        <v>0</v>
      </c>
      <c r="W872" s="16">
        <f t="shared" si="122"/>
        <v>1</v>
      </c>
      <c r="X872" s="16" t="str">
        <f t="shared" si="117"/>
        <v>null</v>
      </c>
    </row>
    <row r="873" spans="1:24" x14ac:dyDescent="0.15">
      <c r="A873" s="20" t="str">
        <f t="shared" si="119"/>
        <v>26_5-1/23&lt;lv58&gt;s4</v>
      </c>
      <c r="B873" s="16">
        <f t="shared" si="123"/>
        <v>26</v>
      </c>
      <c r="C873" s="16">
        <f t="shared" si="123"/>
        <v>5</v>
      </c>
      <c r="D873" s="16">
        <f t="shared" si="123"/>
        <v>1</v>
      </c>
      <c r="E873" s="16">
        <f t="shared" si="123"/>
        <v>23</v>
      </c>
      <c r="F873" s="16">
        <f t="shared" si="123"/>
        <v>58</v>
      </c>
      <c r="G873" s="16">
        <f t="shared" si="123"/>
        <v>1</v>
      </c>
      <c r="H873" s="16">
        <f t="shared" si="123"/>
        <v>1</v>
      </c>
      <c r="I873" s="16">
        <f t="shared" si="123"/>
        <v>0</v>
      </c>
      <c r="J873" s="16">
        <f t="shared" si="123"/>
        <v>0</v>
      </c>
      <c r="K873" s="16">
        <f t="shared" si="123"/>
        <v>0</v>
      </c>
      <c r="L873" s="16">
        <f t="shared" si="123"/>
        <v>100</v>
      </c>
      <c r="M873" s="16">
        <f t="shared" si="123"/>
        <v>0</v>
      </c>
      <c r="N873" s="16">
        <f t="shared" si="123"/>
        <v>4</v>
      </c>
      <c r="O873" s="16">
        <f t="shared" si="123"/>
        <v>23</v>
      </c>
      <c r="P873" s="16">
        <f t="shared" si="123"/>
        <v>7</v>
      </c>
      <c r="Q873" s="16">
        <f t="shared" si="123"/>
        <v>1</v>
      </c>
      <c r="R873" s="16">
        <f t="shared" si="122"/>
        <v>15</v>
      </c>
      <c r="S873" s="16">
        <f t="shared" si="122"/>
        <v>0</v>
      </c>
      <c r="T873" s="16">
        <f t="shared" si="122"/>
        <v>0</v>
      </c>
      <c r="U873" s="16">
        <f t="shared" si="122"/>
        <v>0</v>
      </c>
      <c r="V873" s="16">
        <f t="shared" si="122"/>
        <v>0</v>
      </c>
      <c r="W873" s="16">
        <f t="shared" si="122"/>
        <v>1</v>
      </c>
      <c r="X873" s="16" t="str">
        <f t="shared" si="117"/>
        <v>null</v>
      </c>
    </row>
    <row r="874" spans="1:24" x14ac:dyDescent="0.15">
      <c r="A874" s="20" t="str">
        <f t="shared" si="119"/>
        <v>26_5-1/25&lt;lv58&gt;s3</v>
      </c>
      <c r="B874" s="16">
        <f t="shared" si="123"/>
        <v>26</v>
      </c>
      <c r="C874" s="16">
        <f t="shared" si="123"/>
        <v>5</v>
      </c>
      <c r="D874" s="16">
        <f t="shared" si="123"/>
        <v>1</v>
      </c>
      <c r="E874" s="16">
        <f t="shared" si="123"/>
        <v>25</v>
      </c>
      <c r="F874" s="16">
        <f t="shared" si="123"/>
        <v>58</v>
      </c>
      <c r="G874" s="16">
        <f t="shared" si="123"/>
        <v>1</v>
      </c>
      <c r="H874" s="16">
        <f t="shared" si="123"/>
        <v>1</v>
      </c>
      <c r="I874" s="16">
        <f t="shared" si="123"/>
        <v>0</v>
      </c>
      <c r="J874" s="16">
        <f t="shared" si="123"/>
        <v>0</v>
      </c>
      <c r="K874" s="16">
        <f t="shared" si="123"/>
        <v>0</v>
      </c>
      <c r="L874" s="16">
        <f t="shared" si="123"/>
        <v>100</v>
      </c>
      <c r="M874" s="16">
        <f t="shared" si="123"/>
        <v>0</v>
      </c>
      <c r="N874" s="16">
        <f t="shared" si="123"/>
        <v>3</v>
      </c>
      <c r="O874" s="16">
        <f t="shared" si="123"/>
        <v>25</v>
      </c>
      <c r="P874" s="16">
        <f t="shared" si="123"/>
        <v>7</v>
      </c>
      <c r="Q874" s="16">
        <f t="shared" si="123"/>
        <v>1</v>
      </c>
      <c r="R874" s="16">
        <f t="shared" si="122"/>
        <v>15</v>
      </c>
      <c r="S874" s="16">
        <f t="shared" si="122"/>
        <v>0</v>
      </c>
      <c r="T874" s="16">
        <f t="shared" si="122"/>
        <v>0</v>
      </c>
      <c r="U874" s="16">
        <f t="shared" si="122"/>
        <v>0</v>
      </c>
      <c r="V874" s="16">
        <f t="shared" si="122"/>
        <v>0</v>
      </c>
      <c r="W874" s="16">
        <f t="shared" si="122"/>
        <v>1</v>
      </c>
      <c r="X874" s="16" t="str">
        <f t="shared" si="117"/>
        <v>null</v>
      </c>
    </row>
    <row r="875" spans="1:24" x14ac:dyDescent="0.15">
      <c r="A875" s="20" t="str">
        <f t="shared" si="119"/>
        <v>26_5-1/348&lt;lv58&gt;s3</v>
      </c>
      <c r="B875" s="16">
        <f t="shared" si="123"/>
        <v>26</v>
      </c>
      <c r="C875" s="16">
        <f t="shared" si="123"/>
        <v>5</v>
      </c>
      <c r="D875" s="16">
        <f t="shared" si="123"/>
        <v>1</v>
      </c>
      <c r="E875" s="16">
        <f t="shared" si="123"/>
        <v>348</v>
      </c>
      <c r="F875" s="16">
        <f t="shared" si="123"/>
        <v>58</v>
      </c>
      <c r="G875" s="16">
        <f t="shared" si="123"/>
        <v>1</v>
      </c>
      <c r="H875" s="16">
        <f t="shared" si="123"/>
        <v>1</v>
      </c>
      <c r="I875" s="16">
        <f t="shared" si="123"/>
        <v>0</v>
      </c>
      <c r="J875" s="16">
        <f t="shared" si="123"/>
        <v>348</v>
      </c>
      <c r="K875" s="16">
        <f t="shared" si="123"/>
        <v>0</v>
      </c>
      <c r="L875" s="16">
        <f t="shared" si="123"/>
        <v>100</v>
      </c>
      <c r="M875" s="16">
        <f t="shared" si="123"/>
        <v>0</v>
      </c>
      <c r="N875" s="16">
        <f t="shared" si="123"/>
        <v>3</v>
      </c>
      <c r="O875" s="16">
        <f t="shared" si="123"/>
        <v>348</v>
      </c>
      <c r="P875" s="16">
        <f t="shared" si="123"/>
        <v>1</v>
      </c>
      <c r="Q875" s="16">
        <f t="shared" si="123"/>
        <v>2</v>
      </c>
      <c r="R875" s="16">
        <f t="shared" si="122"/>
        <v>30</v>
      </c>
      <c r="S875" s="16">
        <f t="shared" si="122"/>
        <v>0</v>
      </c>
      <c r="T875" s="16">
        <f t="shared" si="122"/>
        <v>0</v>
      </c>
      <c r="U875" s="16">
        <f t="shared" si="122"/>
        <v>0</v>
      </c>
      <c r="V875" s="16">
        <f t="shared" si="122"/>
        <v>0</v>
      </c>
      <c r="W875" s="16">
        <f t="shared" si="122"/>
        <v>1</v>
      </c>
      <c r="X875" s="16" t="str">
        <f t="shared" si="117"/>
        <v>null</v>
      </c>
    </row>
    <row r="876" spans="1:24" x14ac:dyDescent="0.15">
      <c r="A876" s="20" t="str">
        <f t="shared" si="119"/>
        <v>26_5-1/350&lt;lv58&gt;s3</v>
      </c>
      <c r="B876" s="16">
        <f t="shared" si="123"/>
        <v>26</v>
      </c>
      <c r="C876" s="16">
        <f t="shared" si="123"/>
        <v>5</v>
      </c>
      <c r="D876" s="16">
        <f t="shared" si="123"/>
        <v>1</v>
      </c>
      <c r="E876" s="16">
        <f t="shared" si="123"/>
        <v>350</v>
      </c>
      <c r="F876" s="16">
        <f t="shared" si="123"/>
        <v>58</v>
      </c>
      <c r="G876" s="16">
        <f t="shared" si="123"/>
        <v>1</v>
      </c>
      <c r="H876" s="16">
        <f t="shared" si="123"/>
        <v>1</v>
      </c>
      <c r="I876" s="16">
        <f t="shared" si="123"/>
        <v>0</v>
      </c>
      <c r="J876" s="16">
        <f t="shared" si="123"/>
        <v>350</v>
      </c>
      <c r="K876" s="16">
        <f t="shared" si="123"/>
        <v>0</v>
      </c>
      <c r="L876" s="16">
        <f t="shared" si="123"/>
        <v>100</v>
      </c>
      <c r="M876" s="16">
        <f t="shared" si="123"/>
        <v>0</v>
      </c>
      <c r="N876" s="16">
        <f t="shared" si="123"/>
        <v>3</v>
      </c>
      <c r="O876" s="16">
        <f t="shared" si="123"/>
        <v>350</v>
      </c>
      <c r="P876" s="16">
        <f t="shared" si="123"/>
        <v>1</v>
      </c>
      <c r="Q876" s="16">
        <f t="shared" si="123"/>
        <v>2</v>
      </c>
      <c r="R876" s="16">
        <f t="shared" si="122"/>
        <v>30</v>
      </c>
      <c r="S876" s="16">
        <f t="shared" si="122"/>
        <v>0</v>
      </c>
      <c r="T876" s="16">
        <f t="shared" si="122"/>
        <v>0</v>
      </c>
      <c r="U876" s="16">
        <f t="shared" si="122"/>
        <v>0</v>
      </c>
      <c r="V876" s="16">
        <f t="shared" si="122"/>
        <v>0</v>
      </c>
      <c r="W876" s="16">
        <f t="shared" si="122"/>
        <v>1</v>
      </c>
      <c r="X876" s="16" t="str">
        <f t="shared" si="117"/>
        <v>null</v>
      </c>
    </row>
    <row r="877" spans="1:24" x14ac:dyDescent="0.15">
      <c r="A877" s="20" t="str">
        <f t="shared" si="119"/>
        <v>26_5-2/33&lt;lv58&gt;s2</v>
      </c>
      <c r="B877" s="16">
        <f t="shared" si="123"/>
        <v>26</v>
      </c>
      <c r="C877" s="16">
        <f t="shared" si="123"/>
        <v>5</v>
      </c>
      <c r="D877" s="16">
        <f t="shared" si="123"/>
        <v>2</v>
      </c>
      <c r="E877" s="16">
        <f t="shared" si="123"/>
        <v>33</v>
      </c>
      <c r="F877" s="16">
        <f t="shared" si="123"/>
        <v>58</v>
      </c>
      <c r="G877" s="16">
        <f t="shared" si="123"/>
        <v>1</v>
      </c>
      <c r="H877" s="16">
        <f t="shared" si="123"/>
        <v>1</v>
      </c>
      <c r="I877" s="16">
        <f t="shared" si="123"/>
        <v>0</v>
      </c>
      <c r="J877" s="16">
        <f t="shared" si="123"/>
        <v>33</v>
      </c>
      <c r="K877" s="16">
        <f t="shared" si="123"/>
        <v>0</v>
      </c>
      <c r="L877" s="16">
        <f t="shared" si="123"/>
        <v>100</v>
      </c>
      <c r="M877" s="16">
        <f t="shared" si="123"/>
        <v>0</v>
      </c>
      <c r="N877" s="16">
        <f t="shared" si="123"/>
        <v>2</v>
      </c>
      <c r="O877" s="16">
        <f t="shared" si="123"/>
        <v>33</v>
      </c>
      <c r="P877" s="16">
        <f t="shared" si="123"/>
        <v>5</v>
      </c>
      <c r="Q877" s="16">
        <f t="shared" si="123"/>
        <v>2</v>
      </c>
      <c r="R877" s="16">
        <f t="shared" si="122"/>
        <v>20</v>
      </c>
      <c r="S877" s="16">
        <f t="shared" si="122"/>
        <v>0</v>
      </c>
      <c r="T877" s="16">
        <f t="shared" si="122"/>
        <v>0</v>
      </c>
      <c r="U877" s="16">
        <f t="shared" si="122"/>
        <v>0</v>
      </c>
      <c r="V877" s="16">
        <f t="shared" si="122"/>
        <v>0</v>
      </c>
      <c r="W877" s="16">
        <f t="shared" si="122"/>
        <v>1</v>
      </c>
      <c r="X877" s="16" t="str">
        <f t="shared" si="117"/>
        <v>null</v>
      </c>
    </row>
    <row r="878" spans="1:24" x14ac:dyDescent="0.15">
      <c r="A878" s="20" t="str">
        <f t="shared" si="119"/>
        <v>26_5-2/37&lt;lv58&gt;s3</v>
      </c>
      <c r="B878" s="16">
        <f t="shared" si="123"/>
        <v>26</v>
      </c>
      <c r="C878" s="16">
        <f t="shared" si="123"/>
        <v>5</v>
      </c>
      <c r="D878" s="16">
        <f t="shared" si="123"/>
        <v>2</v>
      </c>
      <c r="E878" s="16">
        <f t="shared" si="123"/>
        <v>37</v>
      </c>
      <c r="F878" s="16">
        <f t="shared" si="123"/>
        <v>58</v>
      </c>
      <c r="G878" s="16">
        <f t="shared" si="123"/>
        <v>1</v>
      </c>
      <c r="H878" s="16">
        <f t="shared" si="123"/>
        <v>1</v>
      </c>
      <c r="I878" s="16">
        <f t="shared" si="123"/>
        <v>0</v>
      </c>
      <c r="J878" s="16">
        <f t="shared" si="123"/>
        <v>37</v>
      </c>
      <c r="K878" s="16">
        <f t="shared" si="123"/>
        <v>0</v>
      </c>
      <c r="L878" s="16">
        <f t="shared" si="123"/>
        <v>100</v>
      </c>
      <c r="M878" s="16">
        <f t="shared" si="123"/>
        <v>0</v>
      </c>
      <c r="N878" s="16">
        <f t="shared" si="123"/>
        <v>3</v>
      </c>
      <c r="O878" s="16">
        <f t="shared" si="123"/>
        <v>37</v>
      </c>
      <c r="P878" s="16">
        <f t="shared" si="123"/>
        <v>5</v>
      </c>
      <c r="Q878" s="16">
        <f t="shared" ref="Q878:W893" si="124">VLOOKUP($A878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878" s="16">
        <f t="shared" si="124"/>
        <v>20</v>
      </c>
      <c r="S878" s="16">
        <f t="shared" si="124"/>
        <v>0</v>
      </c>
      <c r="T878" s="16">
        <f t="shared" si="124"/>
        <v>0</v>
      </c>
      <c r="U878" s="16">
        <f t="shared" si="124"/>
        <v>0</v>
      </c>
      <c r="V878" s="16">
        <f t="shared" si="124"/>
        <v>0</v>
      </c>
      <c r="W878" s="16">
        <f t="shared" si="124"/>
        <v>1</v>
      </c>
      <c r="X878" s="16" t="str">
        <f t="shared" si="117"/>
        <v>null</v>
      </c>
    </row>
    <row r="879" spans="1:24" x14ac:dyDescent="0.15">
      <c r="A879" s="20" t="str">
        <f t="shared" si="119"/>
        <v>26_5-2/45&lt;lv58&gt;s3</v>
      </c>
      <c r="B879" s="16">
        <f t="shared" ref="B879:Q894" si="125">VLOOKUP($A879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879" s="16">
        <f t="shared" si="125"/>
        <v>5</v>
      </c>
      <c r="D879" s="16">
        <f t="shared" si="125"/>
        <v>2</v>
      </c>
      <c r="E879" s="16">
        <f t="shared" si="125"/>
        <v>45</v>
      </c>
      <c r="F879" s="16">
        <f t="shared" si="125"/>
        <v>58</v>
      </c>
      <c r="G879" s="16">
        <f t="shared" si="125"/>
        <v>1</v>
      </c>
      <c r="H879" s="16">
        <f t="shared" si="125"/>
        <v>1</v>
      </c>
      <c r="I879" s="16">
        <f t="shared" si="125"/>
        <v>0</v>
      </c>
      <c r="J879" s="16">
        <f t="shared" si="125"/>
        <v>0</v>
      </c>
      <c r="K879" s="16">
        <f t="shared" si="125"/>
        <v>0</v>
      </c>
      <c r="L879" s="16">
        <f t="shared" si="125"/>
        <v>100</v>
      </c>
      <c r="M879" s="16">
        <f t="shared" si="125"/>
        <v>0</v>
      </c>
      <c r="N879" s="16">
        <f t="shared" si="125"/>
        <v>3</v>
      </c>
      <c r="O879" s="16">
        <f t="shared" si="125"/>
        <v>45</v>
      </c>
      <c r="P879" s="16">
        <f t="shared" si="125"/>
        <v>7</v>
      </c>
      <c r="Q879" s="16">
        <f t="shared" si="125"/>
        <v>2</v>
      </c>
      <c r="R879" s="16">
        <f t="shared" si="124"/>
        <v>20</v>
      </c>
      <c r="S879" s="16">
        <f t="shared" si="124"/>
        <v>0</v>
      </c>
      <c r="T879" s="16">
        <f t="shared" si="124"/>
        <v>0</v>
      </c>
      <c r="U879" s="16">
        <f t="shared" si="124"/>
        <v>0</v>
      </c>
      <c r="V879" s="16">
        <f t="shared" si="124"/>
        <v>0</v>
      </c>
      <c r="W879" s="16">
        <f t="shared" si="124"/>
        <v>1</v>
      </c>
      <c r="X879" s="16" t="str">
        <f t="shared" si="117"/>
        <v>null</v>
      </c>
    </row>
    <row r="880" spans="1:24" x14ac:dyDescent="0.15">
      <c r="A880" s="20" t="str">
        <f t="shared" si="119"/>
        <v>26_5-2/47&lt;lv58&gt;s1</v>
      </c>
      <c r="B880" s="16">
        <f t="shared" si="125"/>
        <v>26</v>
      </c>
      <c r="C880" s="16">
        <f t="shared" si="125"/>
        <v>5</v>
      </c>
      <c r="D880" s="16">
        <f t="shared" si="125"/>
        <v>2</v>
      </c>
      <c r="E880" s="16">
        <f t="shared" si="125"/>
        <v>47</v>
      </c>
      <c r="F880" s="16">
        <f t="shared" si="125"/>
        <v>58</v>
      </c>
      <c r="G880" s="16">
        <f t="shared" si="125"/>
        <v>1</v>
      </c>
      <c r="H880" s="16">
        <f t="shared" si="125"/>
        <v>1</v>
      </c>
      <c r="I880" s="16">
        <f t="shared" si="125"/>
        <v>0</v>
      </c>
      <c r="J880" s="16">
        <f t="shared" si="125"/>
        <v>0</v>
      </c>
      <c r="K880" s="16">
        <f t="shared" si="125"/>
        <v>0</v>
      </c>
      <c r="L880" s="16">
        <f t="shared" si="125"/>
        <v>100</v>
      </c>
      <c r="M880" s="16">
        <f t="shared" si="125"/>
        <v>0</v>
      </c>
      <c r="N880" s="16">
        <f t="shared" si="125"/>
        <v>1</v>
      </c>
      <c r="O880" s="16">
        <f t="shared" si="125"/>
        <v>47</v>
      </c>
      <c r="P880" s="16">
        <f t="shared" si="125"/>
        <v>7</v>
      </c>
      <c r="Q880" s="16">
        <f t="shared" si="125"/>
        <v>2</v>
      </c>
      <c r="R880" s="16">
        <f t="shared" si="124"/>
        <v>20</v>
      </c>
      <c r="S880" s="16">
        <f t="shared" si="124"/>
        <v>0</v>
      </c>
      <c r="T880" s="16">
        <f t="shared" si="124"/>
        <v>0</v>
      </c>
      <c r="U880" s="16">
        <f t="shared" si="124"/>
        <v>0</v>
      </c>
      <c r="V880" s="16">
        <f t="shared" si="124"/>
        <v>0</v>
      </c>
      <c r="W880" s="16">
        <f t="shared" si="124"/>
        <v>1</v>
      </c>
      <c r="X880" s="16" t="str">
        <f t="shared" si="117"/>
        <v>null</v>
      </c>
    </row>
    <row r="881" spans="1:24" x14ac:dyDescent="0.15">
      <c r="A881" s="20" t="str">
        <f t="shared" si="119"/>
        <v>26_5-2/57&lt;lv58&gt;s2</v>
      </c>
      <c r="B881" s="16">
        <f t="shared" si="125"/>
        <v>26</v>
      </c>
      <c r="C881" s="16">
        <f t="shared" si="125"/>
        <v>5</v>
      </c>
      <c r="D881" s="16">
        <f t="shared" si="125"/>
        <v>2</v>
      </c>
      <c r="E881" s="16">
        <f t="shared" si="125"/>
        <v>57</v>
      </c>
      <c r="F881" s="16">
        <f t="shared" si="125"/>
        <v>58</v>
      </c>
      <c r="G881" s="16">
        <f t="shared" si="125"/>
        <v>1</v>
      </c>
      <c r="H881" s="16">
        <f t="shared" si="125"/>
        <v>1</v>
      </c>
      <c r="I881" s="16">
        <f t="shared" si="125"/>
        <v>0</v>
      </c>
      <c r="J881" s="16">
        <f t="shared" si="125"/>
        <v>57</v>
      </c>
      <c r="K881" s="16">
        <f t="shared" si="125"/>
        <v>0</v>
      </c>
      <c r="L881" s="16">
        <f t="shared" si="125"/>
        <v>100</v>
      </c>
      <c r="M881" s="16">
        <f t="shared" si="125"/>
        <v>0</v>
      </c>
      <c r="N881" s="16">
        <f t="shared" si="125"/>
        <v>2</v>
      </c>
      <c r="O881" s="16">
        <f t="shared" si="125"/>
        <v>57</v>
      </c>
      <c r="P881" s="16">
        <f t="shared" si="125"/>
        <v>7</v>
      </c>
      <c r="Q881" s="16">
        <f t="shared" si="125"/>
        <v>2</v>
      </c>
      <c r="R881" s="16">
        <f t="shared" si="124"/>
        <v>20</v>
      </c>
      <c r="S881" s="16">
        <f t="shared" si="124"/>
        <v>0</v>
      </c>
      <c r="T881" s="16">
        <f t="shared" si="124"/>
        <v>0</v>
      </c>
      <c r="U881" s="16">
        <f t="shared" si="124"/>
        <v>0</v>
      </c>
      <c r="V881" s="16">
        <f t="shared" si="124"/>
        <v>0</v>
      </c>
      <c r="W881" s="16">
        <f t="shared" si="124"/>
        <v>1</v>
      </c>
      <c r="X881" s="16" t="str">
        <f t="shared" si="117"/>
        <v>null</v>
      </c>
    </row>
    <row r="882" spans="1:24" x14ac:dyDescent="0.15">
      <c r="A882" s="20" t="str">
        <f t="shared" si="119"/>
        <v>26_5-2/59&lt;lv58&gt;s2</v>
      </c>
      <c r="B882" s="16">
        <f t="shared" si="125"/>
        <v>26</v>
      </c>
      <c r="C882" s="16">
        <f t="shared" si="125"/>
        <v>5</v>
      </c>
      <c r="D882" s="16">
        <f t="shared" si="125"/>
        <v>2</v>
      </c>
      <c r="E882" s="16">
        <f t="shared" si="125"/>
        <v>59</v>
      </c>
      <c r="F882" s="16">
        <f t="shared" si="125"/>
        <v>58</v>
      </c>
      <c r="G882" s="16">
        <f t="shared" si="125"/>
        <v>1</v>
      </c>
      <c r="H882" s="16">
        <f t="shared" si="125"/>
        <v>1</v>
      </c>
      <c r="I882" s="16">
        <f t="shared" si="125"/>
        <v>0</v>
      </c>
      <c r="J882" s="16">
        <f t="shared" si="125"/>
        <v>59</v>
      </c>
      <c r="K882" s="16">
        <f t="shared" si="125"/>
        <v>0</v>
      </c>
      <c r="L882" s="16">
        <f t="shared" si="125"/>
        <v>100</v>
      </c>
      <c r="M882" s="16">
        <f t="shared" si="125"/>
        <v>0</v>
      </c>
      <c r="N882" s="16">
        <f t="shared" si="125"/>
        <v>2</v>
      </c>
      <c r="O882" s="16">
        <f t="shared" si="125"/>
        <v>59</v>
      </c>
      <c r="P882" s="16">
        <f t="shared" si="125"/>
        <v>7</v>
      </c>
      <c r="Q882" s="16">
        <f t="shared" si="125"/>
        <v>2</v>
      </c>
      <c r="R882" s="16">
        <f t="shared" si="124"/>
        <v>20</v>
      </c>
      <c r="S882" s="16">
        <f t="shared" si="124"/>
        <v>0</v>
      </c>
      <c r="T882" s="16">
        <f t="shared" si="124"/>
        <v>0</v>
      </c>
      <c r="U882" s="16">
        <f t="shared" si="124"/>
        <v>0</v>
      </c>
      <c r="V882" s="16">
        <f t="shared" si="124"/>
        <v>0</v>
      </c>
      <c r="W882" s="16">
        <f t="shared" si="124"/>
        <v>1</v>
      </c>
      <c r="X882" s="16" t="str">
        <f t="shared" si="117"/>
        <v>null</v>
      </c>
    </row>
    <row r="883" spans="1:24" x14ac:dyDescent="0.15">
      <c r="A883" s="20" t="str">
        <f t="shared" si="119"/>
        <v>26_5-2/61&lt;lv58&gt;s2</v>
      </c>
      <c r="B883" s="16">
        <f t="shared" si="125"/>
        <v>26</v>
      </c>
      <c r="C883" s="16">
        <f t="shared" si="125"/>
        <v>5</v>
      </c>
      <c r="D883" s="16">
        <f t="shared" si="125"/>
        <v>2</v>
      </c>
      <c r="E883" s="16">
        <f t="shared" si="125"/>
        <v>61</v>
      </c>
      <c r="F883" s="16">
        <f t="shared" si="125"/>
        <v>58</v>
      </c>
      <c r="G883" s="16">
        <f t="shared" si="125"/>
        <v>1</v>
      </c>
      <c r="H883" s="16">
        <f t="shared" si="125"/>
        <v>1</v>
      </c>
      <c r="I883" s="16">
        <f t="shared" si="125"/>
        <v>0</v>
      </c>
      <c r="J883" s="16">
        <f t="shared" si="125"/>
        <v>61</v>
      </c>
      <c r="K883" s="16">
        <f t="shared" si="125"/>
        <v>0</v>
      </c>
      <c r="L883" s="16">
        <f t="shared" si="125"/>
        <v>100</v>
      </c>
      <c r="M883" s="16">
        <f t="shared" si="125"/>
        <v>0</v>
      </c>
      <c r="N883" s="16">
        <f t="shared" si="125"/>
        <v>2</v>
      </c>
      <c r="O883" s="16">
        <f t="shared" si="125"/>
        <v>61</v>
      </c>
      <c r="P883" s="16">
        <f t="shared" si="125"/>
        <v>7</v>
      </c>
      <c r="Q883" s="16">
        <f t="shared" si="125"/>
        <v>2</v>
      </c>
      <c r="R883" s="16">
        <f t="shared" si="124"/>
        <v>20</v>
      </c>
      <c r="S883" s="16">
        <f t="shared" si="124"/>
        <v>0</v>
      </c>
      <c r="T883" s="16">
        <f t="shared" si="124"/>
        <v>0</v>
      </c>
      <c r="U883" s="16">
        <f t="shared" si="124"/>
        <v>0</v>
      </c>
      <c r="V883" s="16">
        <f t="shared" si="124"/>
        <v>0</v>
      </c>
      <c r="W883" s="16">
        <f t="shared" si="124"/>
        <v>1</v>
      </c>
      <c r="X883" s="16" t="str">
        <f t="shared" si="117"/>
        <v>null</v>
      </c>
    </row>
    <row r="884" spans="1:24" x14ac:dyDescent="0.15">
      <c r="A884" s="20" t="str">
        <f t="shared" si="119"/>
        <v>26_5-2/63&lt;lv58&gt;s2</v>
      </c>
      <c r="B884" s="16">
        <f t="shared" si="125"/>
        <v>26</v>
      </c>
      <c r="C884" s="16">
        <f t="shared" si="125"/>
        <v>5</v>
      </c>
      <c r="D884" s="16">
        <f t="shared" si="125"/>
        <v>2</v>
      </c>
      <c r="E884" s="16">
        <f t="shared" si="125"/>
        <v>63</v>
      </c>
      <c r="F884" s="16">
        <f t="shared" si="125"/>
        <v>58</v>
      </c>
      <c r="G884" s="16">
        <f t="shared" si="125"/>
        <v>1</v>
      </c>
      <c r="H884" s="16">
        <f t="shared" si="125"/>
        <v>1</v>
      </c>
      <c r="I884" s="16">
        <f t="shared" si="125"/>
        <v>0</v>
      </c>
      <c r="J884" s="16">
        <f t="shared" si="125"/>
        <v>63</v>
      </c>
      <c r="K884" s="16">
        <f t="shared" si="125"/>
        <v>0</v>
      </c>
      <c r="L884" s="16">
        <f t="shared" si="125"/>
        <v>100</v>
      </c>
      <c r="M884" s="16">
        <f t="shared" si="125"/>
        <v>0</v>
      </c>
      <c r="N884" s="16">
        <f t="shared" si="125"/>
        <v>2</v>
      </c>
      <c r="O884" s="16">
        <f t="shared" si="125"/>
        <v>63</v>
      </c>
      <c r="P884" s="16">
        <f t="shared" si="125"/>
        <v>7</v>
      </c>
      <c r="Q884" s="16">
        <f t="shared" si="125"/>
        <v>2</v>
      </c>
      <c r="R884" s="16">
        <f t="shared" si="124"/>
        <v>20</v>
      </c>
      <c r="S884" s="16">
        <f t="shared" si="124"/>
        <v>0</v>
      </c>
      <c r="T884" s="16">
        <f t="shared" si="124"/>
        <v>0</v>
      </c>
      <c r="U884" s="16">
        <f t="shared" si="124"/>
        <v>0</v>
      </c>
      <c r="V884" s="16">
        <f t="shared" si="124"/>
        <v>0</v>
      </c>
      <c r="W884" s="16">
        <f t="shared" si="124"/>
        <v>1</v>
      </c>
      <c r="X884" s="16" t="str">
        <f t="shared" si="117"/>
        <v>null</v>
      </c>
    </row>
    <row r="885" spans="1:24" x14ac:dyDescent="0.15">
      <c r="A885" s="20" t="str">
        <f t="shared" si="119"/>
        <v>26_5-2/360&lt;lv58&gt;s3</v>
      </c>
      <c r="B885" s="16">
        <f t="shared" si="125"/>
        <v>26</v>
      </c>
      <c r="C885" s="16">
        <f t="shared" si="125"/>
        <v>5</v>
      </c>
      <c r="D885" s="16">
        <f t="shared" si="125"/>
        <v>2</v>
      </c>
      <c r="E885" s="16">
        <f t="shared" si="125"/>
        <v>360</v>
      </c>
      <c r="F885" s="16">
        <f t="shared" si="125"/>
        <v>58</v>
      </c>
      <c r="G885" s="16">
        <f t="shared" si="125"/>
        <v>1</v>
      </c>
      <c r="H885" s="16">
        <f t="shared" si="125"/>
        <v>1</v>
      </c>
      <c r="I885" s="16">
        <f t="shared" si="125"/>
        <v>0</v>
      </c>
      <c r="J885" s="16">
        <f t="shared" si="125"/>
        <v>360</v>
      </c>
      <c r="K885" s="16">
        <f t="shared" si="125"/>
        <v>0</v>
      </c>
      <c r="L885" s="16">
        <f t="shared" si="125"/>
        <v>100</v>
      </c>
      <c r="M885" s="16">
        <f t="shared" si="125"/>
        <v>0</v>
      </c>
      <c r="N885" s="16">
        <f t="shared" si="125"/>
        <v>3</v>
      </c>
      <c r="O885" s="16">
        <f t="shared" si="125"/>
        <v>360</v>
      </c>
      <c r="P885" s="16">
        <f t="shared" si="125"/>
        <v>7</v>
      </c>
      <c r="Q885" s="16">
        <f t="shared" si="125"/>
        <v>2</v>
      </c>
      <c r="R885" s="16">
        <f t="shared" si="124"/>
        <v>20</v>
      </c>
      <c r="S885" s="16">
        <f t="shared" si="124"/>
        <v>0</v>
      </c>
      <c r="T885" s="16">
        <f t="shared" si="124"/>
        <v>0</v>
      </c>
      <c r="U885" s="16">
        <f t="shared" si="124"/>
        <v>0</v>
      </c>
      <c r="V885" s="16">
        <f t="shared" si="124"/>
        <v>0</v>
      </c>
      <c r="W885" s="16">
        <f t="shared" si="124"/>
        <v>1</v>
      </c>
      <c r="X885" s="16" t="str">
        <f t="shared" si="117"/>
        <v>null</v>
      </c>
    </row>
    <row r="886" spans="1:24" x14ac:dyDescent="0.15">
      <c r="A886" s="20" t="str">
        <f t="shared" si="119"/>
        <v>26_5-2/362&lt;lv58&gt;s3</v>
      </c>
      <c r="B886" s="16">
        <f t="shared" si="125"/>
        <v>26</v>
      </c>
      <c r="C886" s="16">
        <f t="shared" si="125"/>
        <v>5</v>
      </c>
      <c r="D886" s="16">
        <f t="shared" si="125"/>
        <v>2</v>
      </c>
      <c r="E886" s="16">
        <f t="shared" si="125"/>
        <v>362</v>
      </c>
      <c r="F886" s="16">
        <f t="shared" si="125"/>
        <v>58</v>
      </c>
      <c r="G886" s="16">
        <f t="shared" si="125"/>
        <v>1</v>
      </c>
      <c r="H886" s="16">
        <f t="shared" si="125"/>
        <v>1</v>
      </c>
      <c r="I886" s="16">
        <f t="shared" si="125"/>
        <v>0</v>
      </c>
      <c r="J886" s="16">
        <f t="shared" si="125"/>
        <v>362</v>
      </c>
      <c r="K886" s="16">
        <f t="shared" si="125"/>
        <v>0</v>
      </c>
      <c r="L886" s="16">
        <f t="shared" si="125"/>
        <v>100</v>
      </c>
      <c r="M886" s="16">
        <f t="shared" si="125"/>
        <v>0</v>
      </c>
      <c r="N886" s="16">
        <f t="shared" si="125"/>
        <v>3</v>
      </c>
      <c r="O886" s="16">
        <f t="shared" si="125"/>
        <v>362</v>
      </c>
      <c r="P886" s="16">
        <f t="shared" si="125"/>
        <v>7</v>
      </c>
      <c r="Q886" s="16">
        <f t="shared" si="125"/>
        <v>2</v>
      </c>
      <c r="R886" s="16">
        <f t="shared" si="124"/>
        <v>20</v>
      </c>
      <c r="S886" s="16">
        <f t="shared" si="124"/>
        <v>0</v>
      </c>
      <c r="T886" s="16">
        <f t="shared" si="124"/>
        <v>0</v>
      </c>
      <c r="U886" s="16">
        <f t="shared" si="124"/>
        <v>0</v>
      </c>
      <c r="V886" s="16">
        <f t="shared" si="124"/>
        <v>0</v>
      </c>
      <c r="W886" s="16">
        <f t="shared" si="124"/>
        <v>1</v>
      </c>
      <c r="X886" s="16" t="str">
        <f t="shared" si="117"/>
        <v>null</v>
      </c>
    </row>
    <row r="887" spans="1:24" x14ac:dyDescent="0.15">
      <c r="A887" s="20" t="str">
        <f t="shared" si="119"/>
        <v>26_5-2/364&lt;lv58&gt;s3</v>
      </c>
      <c r="B887" s="16">
        <f t="shared" si="125"/>
        <v>26</v>
      </c>
      <c r="C887" s="16">
        <f t="shared" si="125"/>
        <v>5</v>
      </c>
      <c r="D887" s="16">
        <f t="shared" si="125"/>
        <v>2</v>
      </c>
      <c r="E887" s="16">
        <f t="shared" si="125"/>
        <v>364</v>
      </c>
      <c r="F887" s="16">
        <f t="shared" si="125"/>
        <v>58</v>
      </c>
      <c r="G887" s="16">
        <f t="shared" si="125"/>
        <v>1</v>
      </c>
      <c r="H887" s="16">
        <f t="shared" si="125"/>
        <v>1</v>
      </c>
      <c r="I887" s="16">
        <f t="shared" si="125"/>
        <v>0</v>
      </c>
      <c r="J887" s="16">
        <f t="shared" si="125"/>
        <v>364</v>
      </c>
      <c r="K887" s="16">
        <f t="shared" si="125"/>
        <v>0</v>
      </c>
      <c r="L887" s="16">
        <f t="shared" si="125"/>
        <v>100</v>
      </c>
      <c r="M887" s="16">
        <f t="shared" si="125"/>
        <v>0</v>
      </c>
      <c r="N887" s="16">
        <f t="shared" si="125"/>
        <v>3</v>
      </c>
      <c r="O887" s="16">
        <f t="shared" si="125"/>
        <v>364</v>
      </c>
      <c r="P887" s="16">
        <f t="shared" si="125"/>
        <v>7</v>
      </c>
      <c r="Q887" s="16">
        <f t="shared" si="125"/>
        <v>2</v>
      </c>
      <c r="R887" s="16">
        <f t="shared" si="124"/>
        <v>20</v>
      </c>
      <c r="S887" s="16">
        <f t="shared" si="124"/>
        <v>0</v>
      </c>
      <c r="T887" s="16">
        <f t="shared" si="124"/>
        <v>0</v>
      </c>
      <c r="U887" s="16">
        <f t="shared" si="124"/>
        <v>0</v>
      </c>
      <c r="V887" s="16">
        <f t="shared" si="124"/>
        <v>0</v>
      </c>
      <c r="W887" s="16">
        <f t="shared" si="124"/>
        <v>1</v>
      </c>
      <c r="X887" s="16" t="str">
        <f t="shared" si="117"/>
        <v>null</v>
      </c>
    </row>
    <row r="888" spans="1:24" x14ac:dyDescent="0.15">
      <c r="A888" s="20" t="str">
        <f t="shared" si="119"/>
        <v>26_5-2/366&lt;lv58&gt;s3</v>
      </c>
      <c r="B888" s="16">
        <f t="shared" si="125"/>
        <v>26</v>
      </c>
      <c r="C888" s="16">
        <f t="shared" si="125"/>
        <v>5</v>
      </c>
      <c r="D888" s="16">
        <f t="shared" si="125"/>
        <v>2</v>
      </c>
      <c r="E888" s="16">
        <f t="shared" si="125"/>
        <v>366</v>
      </c>
      <c r="F888" s="16">
        <f t="shared" si="125"/>
        <v>58</v>
      </c>
      <c r="G888" s="16">
        <f t="shared" si="125"/>
        <v>1</v>
      </c>
      <c r="H888" s="16">
        <f t="shared" si="125"/>
        <v>1</v>
      </c>
      <c r="I888" s="16">
        <f t="shared" si="125"/>
        <v>0</v>
      </c>
      <c r="J888" s="16">
        <f t="shared" si="125"/>
        <v>366</v>
      </c>
      <c r="K888" s="16">
        <f t="shared" si="125"/>
        <v>0</v>
      </c>
      <c r="L888" s="16">
        <f t="shared" si="125"/>
        <v>100</v>
      </c>
      <c r="M888" s="16">
        <f t="shared" si="125"/>
        <v>0</v>
      </c>
      <c r="N888" s="16">
        <f t="shared" si="125"/>
        <v>3</v>
      </c>
      <c r="O888" s="16">
        <f t="shared" si="125"/>
        <v>366</v>
      </c>
      <c r="P888" s="16">
        <f t="shared" si="125"/>
        <v>7</v>
      </c>
      <c r="Q888" s="16">
        <f t="shared" si="125"/>
        <v>2</v>
      </c>
      <c r="R888" s="16">
        <f t="shared" si="124"/>
        <v>20</v>
      </c>
      <c r="S888" s="16">
        <f t="shared" si="124"/>
        <v>0</v>
      </c>
      <c r="T888" s="16">
        <f t="shared" si="124"/>
        <v>0</v>
      </c>
      <c r="U888" s="16">
        <f t="shared" si="124"/>
        <v>0</v>
      </c>
      <c r="V888" s="16">
        <f t="shared" si="124"/>
        <v>0</v>
      </c>
      <c r="W888" s="16">
        <f t="shared" si="124"/>
        <v>1</v>
      </c>
      <c r="X888" s="16" t="str">
        <f t="shared" si="117"/>
        <v>null</v>
      </c>
    </row>
    <row r="889" spans="1:24" x14ac:dyDescent="0.15">
      <c r="A889" s="20" t="str">
        <f t="shared" si="119"/>
        <v>26_5-2/352&lt;lv58&gt;s3</v>
      </c>
      <c r="B889" s="16">
        <f t="shared" si="125"/>
        <v>26</v>
      </c>
      <c r="C889" s="16">
        <f t="shared" si="125"/>
        <v>5</v>
      </c>
      <c r="D889" s="16">
        <f t="shared" si="125"/>
        <v>2</v>
      </c>
      <c r="E889" s="16">
        <f t="shared" si="125"/>
        <v>352</v>
      </c>
      <c r="F889" s="16">
        <f t="shared" si="125"/>
        <v>58</v>
      </c>
      <c r="G889" s="16">
        <f t="shared" si="125"/>
        <v>1</v>
      </c>
      <c r="H889" s="16">
        <f t="shared" si="125"/>
        <v>1</v>
      </c>
      <c r="I889" s="16">
        <f t="shared" si="125"/>
        <v>0</v>
      </c>
      <c r="J889" s="16">
        <f t="shared" si="125"/>
        <v>352</v>
      </c>
      <c r="K889" s="16">
        <f t="shared" si="125"/>
        <v>0</v>
      </c>
      <c r="L889" s="16">
        <f t="shared" si="125"/>
        <v>100</v>
      </c>
      <c r="M889" s="16">
        <f t="shared" si="125"/>
        <v>0</v>
      </c>
      <c r="N889" s="16">
        <f t="shared" si="125"/>
        <v>3</v>
      </c>
      <c r="O889" s="16">
        <f t="shared" si="125"/>
        <v>352</v>
      </c>
      <c r="P889" s="16">
        <f t="shared" si="125"/>
        <v>1</v>
      </c>
      <c r="Q889" s="16">
        <f t="shared" si="125"/>
        <v>2</v>
      </c>
      <c r="R889" s="16">
        <f t="shared" si="124"/>
        <v>30</v>
      </c>
      <c r="S889" s="16">
        <f t="shared" si="124"/>
        <v>0</v>
      </c>
      <c r="T889" s="16">
        <f t="shared" si="124"/>
        <v>0</v>
      </c>
      <c r="U889" s="16">
        <f t="shared" si="124"/>
        <v>0</v>
      </c>
      <c r="V889" s="16">
        <f t="shared" si="124"/>
        <v>0</v>
      </c>
      <c r="W889" s="16">
        <f t="shared" si="124"/>
        <v>1</v>
      </c>
      <c r="X889" s="16" t="str">
        <f t="shared" si="117"/>
        <v>null</v>
      </c>
    </row>
    <row r="890" spans="1:24" x14ac:dyDescent="0.15">
      <c r="A890" s="20" t="str">
        <f t="shared" si="119"/>
        <v>26_5-2/354&lt;lv58&gt;s3</v>
      </c>
      <c r="B890" s="16">
        <f t="shared" si="125"/>
        <v>26</v>
      </c>
      <c r="C890" s="16">
        <f t="shared" si="125"/>
        <v>5</v>
      </c>
      <c r="D890" s="16">
        <f t="shared" si="125"/>
        <v>2</v>
      </c>
      <c r="E890" s="16">
        <f t="shared" si="125"/>
        <v>354</v>
      </c>
      <c r="F890" s="16">
        <f t="shared" si="125"/>
        <v>58</v>
      </c>
      <c r="G890" s="16">
        <f t="shared" si="125"/>
        <v>1</v>
      </c>
      <c r="H890" s="16">
        <f t="shared" si="125"/>
        <v>1</v>
      </c>
      <c r="I890" s="16">
        <f t="shared" si="125"/>
        <v>0</v>
      </c>
      <c r="J890" s="16">
        <f t="shared" si="125"/>
        <v>354</v>
      </c>
      <c r="K890" s="16">
        <f t="shared" si="125"/>
        <v>0</v>
      </c>
      <c r="L890" s="16">
        <f t="shared" si="125"/>
        <v>100</v>
      </c>
      <c r="M890" s="16">
        <f t="shared" si="125"/>
        <v>0</v>
      </c>
      <c r="N890" s="16">
        <f t="shared" si="125"/>
        <v>3</v>
      </c>
      <c r="O890" s="16">
        <f t="shared" si="125"/>
        <v>354</v>
      </c>
      <c r="P890" s="16">
        <f t="shared" si="125"/>
        <v>1</v>
      </c>
      <c r="Q890" s="16">
        <f t="shared" si="125"/>
        <v>2</v>
      </c>
      <c r="R890" s="16">
        <f t="shared" si="124"/>
        <v>30</v>
      </c>
      <c r="S890" s="16">
        <f t="shared" si="124"/>
        <v>0</v>
      </c>
      <c r="T890" s="16">
        <f t="shared" si="124"/>
        <v>0</v>
      </c>
      <c r="U890" s="16">
        <f t="shared" si="124"/>
        <v>0</v>
      </c>
      <c r="V890" s="16">
        <f t="shared" si="124"/>
        <v>0</v>
      </c>
      <c r="W890" s="16">
        <f t="shared" si="124"/>
        <v>1</v>
      </c>
      <c r="X890" s="16" t="str">
        <f t="shared" si="117"/>
        <v>null</v>
      </c>
    </row>
    <row r="891" spans="1:24" x14ac:dyDescent="0.15">
      <c r="A891" s="20" t="str">
        <f t="shared" si="119"/>
        <v>26_5-3/131&lt;lv58&gt;s3</v>
      </c>
      <c r="B891" s="16">
        <f t="shared" si="125"/>
        <v>26</v>
      </c>
      <c r="C891" s="16">
        <f t="shared" si="125"/>
        <v>5</v>
      </c>
      <c r="D891" s="16">
        <f t="shared" si="125"/>
        <v>3</v>
      </c>
      <c r="E891" s="16">
        <f t="shared" si="125"/>
        <v>131</v>
      </c>
      <c r="F891" s="16">
        <f t="shared" si="125"/>
        <v>58</v>
      </c>
      <c r="G891" s="16">
        <f t="shared" si="125"/>
        <v>1</v>
      </c>
      <c r="H891" s="16">
        <f t="shared" si="125"/>
        <v>0.7</v>
      </c>
      <c r="I891" s="16">
        <f t="shared" si="125"/>
        <v>0</v>
      </c>
      <c r="J891" s="16">
        <f t="shared" si="125"/>
        <v>130</v>
      </c>
      <c r="K891" s="16">
        <f t="shared" si="125"/>
        <v>1</v>
      </c>
      <c r="L891" s="16">
        <f t="shared" si="125"/>
        <v>100</v>
      </c>
      <c r="M891" s="16">
        <f t="shared" si="125"/>
        <v>1</v>
      </c>
      <c r="N891" s="16">
        <f t="shared" si="125"/>
        <v>3</v>
      </c>
      <c r="O891" s="16">
        <f t="shared" si="125"/>
        <v>130</v>
      </c>
      <c r="P891" s="16">
        <f t="shared" si="125"/>
        <v>1</v>
      </c>
      <c r="Q891" s="16">
        <f t="shared" si="125"/>
        <v>3</v>
      </c>
      <c r="R891" s="16">
        <f t="shared" si="124"/>
        <v>0</v>
      </c>
      <c r="S891" s="16">
        <f t="shared" si="124"/>
        <v>0</v>
      </c>
      <c r="T891" s="16">
        <f t="shared" si="124"/>
        <v>0</v>
      </c>
      <c r="U891" s="16">
        <f t="shared" si="124"/>
        <v>0</v>
      </c>
      <c r="V891" s="16">
        <f t="shared" si="124"/>
        <v>0</v>
      </c>
      <c r="W891" s="16">
        <f t="shared" si="124"/>
        <v>1</v>
      </c>
      <c r="X891" s="16" t="str">
        <f t="shared" si="117"/>
        <v>null</v>
      </c>
    </row>
    <row r="892" spans="1:24" x14ac:dyDescent="0.15">
      <c r="A892" s="20" t="str">
        <f t="shared" si="119"/>
        <v>26_5-3/33&lt;lv55&gt;s2</v>
      </c>
      <c r="B892" s="16">
        <f t="shared" si="125"/>
        <v>26</v>
      </c>
      <c r="C892" s="16">
        <f t="shared" si="125"/>
        <v>5</v>
      </c>
      <c r="D892" s="16">
        <f t="shared" si="125"/>
        <v>3</v>
      </c>
      <c r="E892" s="16">
        <f t="shared" si="125"/>
        <v>33</v>
      </c>
      <c r="F892" s="16">
        <f t="shared" si="125"/>
        <v>55</v>
      </c>
      <c r="G892" s="16">
        <f t="shared" si="125"/>
        <v>4.5</v>
      </c>
      <c r="H892" s="16">
        <f t="shared" si="125"/>
        <v>0.7</v>
      </c>
      <c r="I892" s="16">
        <f t="shared" si="125"/>
        <v>0</v>
      </c>
      <c r="J892" s="16">
        <f t="shared" si="125"/>
        <v>33</v>
      </c>
      <c r="K892" s="16">
        <f t="shared" si="125"/>
        <v>2</v>
      </c>
      <c r="L892" s="16">
        <f t="shared" si="125"/>
        <v>100</v>
      </c>
      <c r="M892" s="16">
        <f t="shared" si="125"/>
        <v>0</v>
      </c>
      <c r="N892" s="16">
        <f t="shared" si="125"/>
        <v>2</v>
      </c>
      <c r="O892" s="16">
        <f t="shared" si="125"/>
        <v>33</v>
      </c>
      <c r="P892" s="16">
        <f t="shared" si="125"/>
        <v>5</v>
      </c>
      <c r="Q892" s="16">
        <f t="shared" si="125"/>
        <v>2</v>
      </c>
      <c r="R892" s="16">
        <f t="shared" si="124"/>
        <v>0</v>
      </c>
      <c r="S892" s="16">
        <f t="shared" si="124"/>
        <v>0</v>
      </c>
      <c r="T892" s="16">
        <f t="shared" si="124"/>
        <v>0</v>
      </c>
      <c r="U892" s="16">
        <f t="shared" si="124"/>
        <v>0</v>
      </c>
      <c r="V892" s="16">
        <f t="shared" si="124"/>
        <v>0</v>
      </c>
      <c r="W892" s="16">
        <f t="shared" si="124"/>
        <v>1</v>
      </c>
      <c r="X892" s="16" t="str">
        <f t="shared" si="117"/>
        <v>null</v>
      </c>
    </row>
    <row r="893" spans="1:24" x14ac:dyDescent="0.15">
      <c r="A893" s="20" t="str">
        <f t="shared" si="119"/>
        <v>26_5-4/9&lt;lv58&gt;s2</v>
      </c>
      <c r="B893" s="16">
        <f t="shared" si="125"/>
        <v>26</v>
      </c>
      <c r="C893" s="16">
        <f t="shared" si="125"/>
        <v>5</v>
      </c>
      <c r="D893" s="16">
        <f t="shared" si="125"/>
        <v>4</v>
      </c>
      <c r="E893" s="16">
        <f t="shared" si="125"/>
        <v>9</v>
      </c>
      <c r="F893" s="16">
        <f t="shared" si="125"/>
        <v>58</v>
      </c>
      <c r="G893" s="16">
        <f t="shared" si="125"/>
        <v>1</v>
      </c>
      <c r="H893" s="16">
        <f t="shared" si="125"/>
        <v>1</v>
      </c>
      <c r="I893" s="16">
        <f t="shared" si="125"/>
        <v>0</v>
      </c>
      <c r="J893" s="16">
        <f t="shared" si="125"/>
        <v>0</v>
      </c>
      <c r="K893" s="16">
        <f t="shared" si="125"/>
        <v>0</v>
      </c>
      <c r="L893" s="16">
        <f t="shared" si="125"/>
        <v>100</v>
      </c>
      <c r="M893" s="16">
        <f t="shared" si="125"/>
        <v>0</v>
      </c>
      <c r="N893" s="16">
        <f t="shared" si="125"/>
        <v>2</v>
      </c>
      <c r="O893" s="16">
        <f t="shared" si="125"/>
        <v>9</v>
      </c>
      <c r="P893" s="16">
        <f t="shared" si="125"/>
        <v>9</v>
      </c>
      <c r="Q893" s="16">
        <f t="shared" si="125"/>
        <v>1</v>
      </c>
      <c r="R893" s="16">
        <f t="shared" si="124"/>
        <v>15</v>
      </c>
      <c r="S893" s="16">
        <f t="shared" si="124"/>
        <v>0</v>
      </c>
      <c r="T893" s="16">
        <f t="shared" si="124"/>
        <v>0</v>
      </c>
      <c r="U893" s="16">
        <f t="shared" si="124"/>
        <v>0</v>
      </c>
      <c r="V893" s="16">
        <f t="shared" si="124"/>
        <v>0</v>
      </c>
      <c r="W893" s="16">
        <f t="shared" si="124"/>
        <v>1</v>
      </c>
      <c r="X893" s="16" t="str">
        <f t="shared" si="117"/>
        <v>null</v>
      </c>
    </row>
    <row r="894" spans="1:24" x14ac:dyDescent="0.15">
      <c r="A894" s="20" t="str">
        <f t="shared" si="119"/>
        <v>26_5-4/11&lt;lv58&gt;s3</v>
      </c>
      <c r="B894" s="16">
        <f t="shared" si="125"/>
        <v>26</v>
      </c>
      <c r="C894" s="16">
        <f t="shared" si="125"/>
        <v>5</v>
      </c>
      <c r="D894" s="16">
        <f t="shared" si="125"/>
        <v>4</v>
      </c>
      <c r="E894" s="16">
        <f t="shared" si="125"/>
        <v>11</v>
      </c>
      <c r="F894" s="16">
        <f t="shared" si="125"/>
        <v>58</v>
      </c>
      <c r="G894" s="16">
        <f t="shared" si="125"/>
        <v>1</v>
      </c>
      <c r="H894" s="16">
        <f t="shared" si="125"/>
        <v>1</v>
      </c>
      <c r="I894" s="16">
        <f t="shared" si="125"/>
        <v>0</v>
      </c>
      <c r="J894" s="16">
        <f t="shared" si="125"/>
        <v>0</v>
      </c>
      <c r="K894" s="16">
        <f t="shared" si="125"/>
        <v>0</v>
      </c>
      <c r="L894" s="16">
        <f t="shared" si="125"/>
        <v>100</v>
      </c>
      <c r="M894" s="16">
        <f t="shared" si="125"/>
        <v>0</v>
      </c>
      <c r="N894" s="16">
        <f t="shared" si="125"/>
        <v>3</v>
      </c>
      <c r="O894" s="16">
        <f t="shared" si="125"/>
        <v>11</v>
      </c>
      <c r="P894" s="16">
        <f t="shared" si="125"/>
        <v>9</v>
      </c>
      <c r="Q894" s="16">
        <f t="shared" ref="Q894:X940" si="126">VLOOKUP($A894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894" s="16">
        <f t="shared" si="126"/>
        <v>15</v>
      </c>
      <c r="S894" s="16">
        <f t="shared" si="126"/>
        <v>0</v>
      </c>
      <c r="T894" s="16">
        <f t="shared" si="126"/>
        <v>0</v>
      </c>
      <c r="U894" s="16">
        <f t="shared" si="126"/>
        <v>0</v>
      </c>
      <c r="V894" s="16">
        <f t="shared" si="126"/>
        <v>0</v>
      </c>
      <c r="W894" s="16">
        <f t="shared" si="126"/>
        <v>1</v>
      </c>
      <c r="X894" s="16" t="str">
        <f t="shared" si="126"/>
        <v>null</v>
      </c>
    </row>
    <row r="895" spans="1:24" x14ac:dyDescent="0.15">
      <c r="A895" s="20" t="str">
        <f t="shared" si="119"/>
        <v>26_5-4/13&lt;lv58&gt;s2</v>
      </c>
      <c r="B895" s="16">
        <f t="shared" ref="B895:Q910" si="127">VLOOKUP($A895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895" s="16">
        <f t="shared" si="127"/>
        <v>5</v>
      </c>
      <c r="D895" s="16">
        <f t="shared" si="127"/>
        <v>4</v>
      </c>
      <c r="E895" s="16">
        <f t="shared" si="127"/>
        <v>13</v>
      </c>
      <c r="F895" s="16">
        <f t="shared" si="127"/>
        <v>58</v>
      </c>
      <c r="G895" s="16">
        <f t="shared" si="127"/>
        <v>1</v>
      </c>
      <c r="H895" s="16">
        <f t="shared" si="127"/>
        <v>1</v>
      </c>
      <c r="I895" s="16">
        <f t="shared" si="127"/>
        <v>0</v>
      </c>
      <c r="J895" s="16">
        <f t="shared" si="127"/>
        <v>0</v>
      </c>
      <c r="K895" s="16">
        <f t="shared" si="127"/>
        <v>0</v>
      </c>
      <c r="L895" s="16">
        <f t="shared" si="127"/>
        <v>100</v>
      </c>
      <c r="M895" s="16">
        <f t="shared" si="127"/>
        <v>0</v>
      </c>
      <c r="N895" s="16">
        <f t="shared" si="127"/>
        <v>2</v>
      </c>
      <c r="O895" s="16">
        <f t="shared" si="127"/>
        <v>13</v>
      </c>
      <c r="P895" s="16">
        <f t="shared" si="127"/>
        <v>9</v>
      </c>
      <c r="Q895" s="16">
        <f t="shared" si="127"/>
        <v>1</v>
      </c>
      <c r="R895" s="16">
        <f t="shared" si="126"/>
        <v>15</v>
      </c>
      <c r="S895" s="16">
        <f t="shared" si="126"/>
        <v>0</v>
      </c>
      <c r="T895" s="16">
        <f t="shared" si="126"/>
        <v>0</v>
      </c>
      <c r="U895" s="16">
        <f t="shared" si="126"/>
        <v>0</v>
      </c>
      <c r="V895" s="16">
        <f t="shared" si="126"/>
        <v>0</v>
      </c>
      <c r="W895" s="16">
        <f t="shared" si="126"/>
        <v>1</v>
      </c>
      <c r="X895" s="16" t="str">
        <f t="shared" si="126"/>
        <v>null</v>
      </c>
    </row>
    <row r="896" spans="1:24" x14ac:dyDescent="0.15">
      <c r="A896" s="20" t="str">
        <f t="shared" si="119"/>
        <v>26_5-4/23&lt;lv58&gt;s4</v>
      </c>
      <c r="B896" s="16">
        <f t="shared" si="127"/>
        <v>26</v>
      </c>
      <c r="C896" s="16">
        <f t="shared" si="127"/>
        <v>5</v>
      </c>
      <c r="D896" s="16">
        <f t="shared" si="127"/>
        <v>4</v>
      </c>
      <c r="E896" s="16">
        <f t="shared" si="127"/>
        <v>23</v>
      </c>
      <c r="F896" s="16">
        <f t="shared" si="127"/>
        <v>58</v>
      </c>
      <c r="G896" s="16">
        <f t="shared" si="127"/>
        <v>1</v>
      </c>
      <c r="H896" s="16">
        <f t="shared" si="127"/>
        <v>1</v>
      </c>
      <c r="I896" s="16">
        <f t="shared" si="127"/>
        <v>0</v>
      </c>
      <c r="J896" s="16">
        <f t="shared" si="127"/>
        <v>0</v>
      </c>
      <c r="K896" s="16">
        <f t="shared" si="127"/>
        <v>0</v>
      </c>
      <c r="L896" s="16">
        <f t="shared" si="127"/>
        <v>100</v>
      </c>
      <c r="M896" s="16">
        <f t="shared" si="127"/>
        <v>0</v>
      </c>
      <c r="N896" s="16">
        <f t="shared" si="127"/>
        <v>4</v>
      </c>
      <c r="O896" s="16">
        <f t="shared" si="127"/>
        <v>23</v>
      </c>
      <c r="P896" s="16">
        <f t="shared" si="127"/>
        <v>7</v>
      </c>
      <c r="Q896" s="16">
        <f t="shared" si="127"/>
        <v>1</v>
      </c>
      <c r="R896" s="16">
        <f t="shared" si="126"/>
        <v>15</v>
      </c>
      <c r="S896" s="16">
        <f t="shared" si="126"/>
        <v>0</v>
      </c>
      <c r="T896" s="16">
        <f t="shared" si="126"/>
        <v>0</v>
      </c>
      <c r="U896" s="16">
        <f t="shared" si="126"/>
        <v>0</v>
      </c>
      <c r="V896" s="16">
        <f t="shared" si="126"/>
        <v>0</v>
      </c>
      <c r="W896" s="16">
        <f t="shared" si="126"/>
        <v>1</v>
      </c>
      <c r="X896" s="16" t="str">
        <f t="shared" si="126"/>
        <v>null</v>
      </c>
    </row>
    <row r="897" spans="1:24" x14ac:dyDescent="0.15">
      <c r="A897" s="20" t="str">
        <f t="shared" si="119"/>
        <v>26_5-4/25&lt;lv58&gt;s3</v>
      </c>
      <c r="B897" s="16">
        <f t="shared" si="127"/>
        <v>26</v>
      </c>
      <c r="C897" s="16">
        <f t="shared" si="127"/>
        <v>5</v>
      </c>
      <c r="D897" s="16">
        <f t="shared" si="127"/>
        <v>4</v>
      </c>
      <c r="E897" s="16">
        <f t="shared" si="127"/>
        <v>25</v>
      </c>
      <c r="F897" s="16">
        <f t="shared" si="127"/>
        <v>58</v>
      </c>
      <c r="G897" s="16">
        <f t="shared" si="127"/>
        <v>1</v>
      </c>
      <c r="H897" s="16">
        <f t="shared" si="127"/>
        <v>1</v>
      </c>
      <c r="I897" s="16">
        <f t="shared" si="127"/>
        <v>0</v>
      </c>
      <c r="J897" s="16">
        <f t="shared" si="127"/>
        <v>0</v>
      </c>
      <c r="K897" s="16">
        <f t="shared" si="127"/>
        <v>0</v>
      </c>
      <c r="L897" s="16">
        <f t="shared" si="127"/>
        <v>100</v>
      </c>
      <c r="M897" s="16">
        <f t="shared" si="127"/>
        <v>0</v>
      </c>
      <c r="N897" s="16">
        <f t="shared" si="127"/>
        <v>3</v>
      </c>
      <c r="O897" s="16">
        <f t="shared" si="127"/>
        <v>25</v>
      </c>
      <c r="P897" s="16">
        <f t="shared" si="127"/>
        <v>7</v>
      </c>
      <c r="Q897" s="16">
        <f t="shared" si="127"/>
        <v>1</v>
      </c>
      <c r="R897" s="16">
        <f t="shared" si="126"/>
        <v>15</v>
      </c>
      <c r="S897" s="16">
        <f t="shared" si="126"/>
        <v>0</v>
      </c>
      <c r="T897" s="16">
        <f t="shared" si="126"/>
        <v>0</v>
      </c>
      <c r="U897" s="16">
        <f t="shared" si="126"/>
        <v>0</v>
      </c>
      <c r="V897" s="16">
        <f t="shared" si="126"/>
        <v>0</v>
      </c>
      <c r="W897" s="16">
        <f t="shared" si="126"/>
        <v>1</v>
      </c>
      <c r="X897" s="16" t="str">
        <f t="shared" si="126"/>
        <v>null</v>
      </c>
    </row>
    <row r="898" spans="1:24" x14ac:dyDescent="0.15">
      <c r="A898" s="20" t="str">
        <f t="shared" si="119"/>
        <v>26_5-4/33&lt;lv58&gt;s2</v>
      </c>
      <c r="B898" s="16">
        <f t="shared" si="127"/>
        <v>26</v>
      </c>
      <c r="C898" s="16">
        <f t="shared" si="127"/>
        <v>5</v>
      </c>
      <c r="D898" s="16">
        <f t="shared" si="127"/>
        <v>4</v>
      </c>
      <c r="E898" s="16">
        <f t="shared" si="127"/>
        <v>33</v>
      </c>
      <c r="F898" s="16">
        <f t="shared" si="127"/>
        <v>58</v>
      </c>
      <c r="G898" s="16">
        <f t="shared" si="127"/>
        <v>1</v>
      </c>
      <c r="H898" s="16">
        <f t="shared" si="127"/>
        <v>1</v>
      </c>
      <c r="I898" s="16">
        <f t="shared" si="127"/>
        <v>0</v>
      </c>
      <c r="J898" s="16">
        <f t="shared" si="127"/>
        <v>33</v>
      </c>
      <c r="K898" s="16">
        <f t="shared" si="127"/>
        <v>0</v>
      </c>
      <c r="L898" s="16">
        <f t="shared" si="127"/>
        <v>100</v>
      </c>
      <c r="M898" s="16">
        <f t="shared" si="127"/>
        <v>0</v>
      </c>
      <c r="N898" s="16">
        <f t="shared" si="127"/>
        <v>2</v>
      </c>
      <c r="O898" s="16">
        <f t="shared" si="127"/>
        <v>33</v>
      </c>
      <c r="P898" s="16">
        <f t="shared" si="127"/>
        <v>5</v>
      </c>
      <c r="Q898" s="16">
        <f t="shared" si="127"/>
        <v>2</v>
      </c>
      <c r="R898" s="16">
        <f t="shared" si="126"/>
        <v>20</v>
      </c>
      <c r="S898" s="16">
        <f t="shared" si="126"/>
        <v>0</v>
      </c>
      <c r="T898" s="16">
        <f t="shared" si="126"/>
        <v>0</v>
      </c>
      <c r="U898" s="16">
        <f t="shared" si="126"/>
        <v>0</v>
      </c>
      <c r="V898" s="16">
        <f t="shared" si="126"/>
        <v>0</v>
      </c>
      <c r="W898" s="16">
        <f t="shared" si="126"/>
        <v>1</v>
      </c>
      <c r="X898" s="16" t="str">
        <f t="shared" si="126"/>
        <v>null</v>
      </c>
    </row>
    <row r="899" spans="1:24" x14ac:dyDescent="0.15">
      <c r="A899" s="20" t="str">
        <f t="shared" si="119"/>
        <v>26_5-4/37&lt;lv58&gt;s3</v>
      </c>
      <c r="B899" s="16">
        <f t="shared" si="127"/>
        <v>26</v>
      </c>
      <c r="C899" s="16">
        <f t="shared" si="127"/>
        <v>5</v>
      </c>
      <c r="D899" s="16">
        <f t="shared" si="127"/>
        <v>4</v>
      </c>
      <c r="E899" s="16">
        <f t="shared" si="127"/>
        <v>37</v>
      </c>
      <c r="F899" s="16">
        <f t="shared" si="127"/>
        <v>58</v>
      </c>
      <c r="G899" s="16">
        <f t="shared" si="127"/>
        <v>1</v>
      </c>
      <c r="H899" s="16">
        <f t="shared" si="127"/>
        <v>1</v>
      </c>
      <c r="I899" s="16">
        <f t="shared" si="127"/>
        <v>0</v>
      </c>
      <c r="J899" s="16">
        <f t="shared" si="127"/>
        <v>37</v>
      </c>
      <c r="K899" s="16">
        <f t="shared" si="127"/>
        <v>0</v>
      </c>
      <c r="L899" s="16">
        <f t="shared" si="127"/>
        <v>100</v>
      </c>
      <c r="M899" s="16">
        <f t="shared" si="127"/>
        <v>0</v>
      </c>
      <c r="N899" s="16">
        <f t="shared" si="127"/>
        <v>3</v>
      </c>
      <c r="O899" s="16">
        <f t="shared" si="127"/>
        <v>37</v>
      </c>
      <c r="P899" s="16">
        <f t="shared" si="127"/>
        <v>5</v>
      </c>
      <c r="Q899" s="16">
        <f t="shared" si="127"/>
        <v>2</v>
      </c>
      <c r="R899" s="16">
        <f t="shared" si="126"/>
        <v>20</v>
      </c>
      <c r="S899" s="16">
        <f t="shared" si="126"/>
        <v>0</v>
      </c>
      <c r="T899" s="16">
        <f t="shared" si="126"/>
        <v>0</v>
      </c>
      <c r="U899" s="16">
        <f t="shared" si="126"/>
        <v>0</v>
      </c>
      <c r="V899" s="16">
        <f t="shared" si="126"/>
        <v>0</v>
      </c>
      <c r="W899" s="16">
        <f t="shared" si="126"/>
        <v>1</v>
      </c>
      <c r="X899" s="16" t="str">
        <f t="shared" si="126"/>
        <v>null</v>
      </c>
    </row>
    <row r="900" spans="1:24" x14ac:dyDescent="0.15">
      <c r="A900" s="20" t="str">
        <f t="shared" ref="A900:A940" si="128">INDIRECT(ADDRESS(ROW()+$A$1,COLUMN(),1,TRUE,$C$1))</f>
        <v>26_5-4/45&lt;lv58&gt;s3</v>
      </c>
      <c r="B900" s="16">
        <f t="shared" si="127"/>
        <v>26</v>
      </c>
      <c r="C900" s="16">
        <f t="shared" si="127"/>
        <v>5</v>
      </c>
      <c r="D900" s="16">
        <f t="shared" si="127"/>
        <v>4</v>
      </c>
      <c r="E900" s="16">
        <f t="shared" si="127"/>
        <v>45</v>
      </c>
      <c r="F900" s="16">
        <f t="shared" si="127"/>
        <v>58</v>
      </c>
      <c r="G900" s="16">
        <f t="shared" si="127"/>
        <v>1</v>
      </c>
      <c r="H900" s="16">
        <f t="shared" si="127"/>
        <v>1</v>
      </c>
      <c r="I900" s="16">
        <f t="shared" si="127"/>
        <v>0</v>
      </c>
      <c r="J900" s="16">
        <f t="shared" si="127"/>
        <v>0</v>
      </c>
      <c r="K900" s="16">
        <f t="shared" si="127"/>
        <v>0</v>
      </c>
      <c r="L900" s="16">
        <f t="shared" si="127"/>
        <v>100</v>
      </c>
      <c r="M900" s="16">
        <f t="shared" si="127"/>
        <v>0</v>
      </c>
      <c r="N900" s="16">
        <f t="shared" si="127"/>
        <v>3</v>
      </c>
      <c r="O900" s="16">
        <f t="shared" si="127"/>
        <v>45</v>
      </c>
      <c r="P900" s="16">
        <f t="shared" si="127"/>
        <v>7</v>
      </c>
      <c r="Q900" s="16">
        <f t="shared" si="127"/>
        <v>2</v>
      </c>
      <c r="R900" s="16">
        <f t="shared" si="126"/>
        <v>20</v>
      </c>
      <c r="S900" s="16">
        <f t="shared" si="126"/>
        <v>0</v>
      </c>
      <c r="T900" s="16">
        <f t="shared" si="126"/>
        <v>0</v>
      </c>
      <c r="U900" s="16">
        <f t="shared" si="126"/>
        <v>0</v>
      </c>
      <c r="V900" s="16">
        <f t="shared" si="126"/>
        <v>0</v>
      </c>
      <c r="W900" s="16">
        <f t="shared" si="126"/>
        <v>1</v>
      </c>
      <c r="X900" s="16" t="str">
        <f t="shared" si="126"/>
        <v>null</v>
      </c>
    </row>
    <row r="901" spans="1:24" x14ac:dyDescent="0.15">
      <c r="A901" s="20" t="str">
        <f t="shared" si="128"/>
        <v>26_5-4/47&lt;lv58&gt;s1</v>
      </c>
      <c r="B901" s="16">
        <f t="shared" si="127"/>
        <v>26</v>
      </c>
      <c r="C901" s="16">
        <f t="shared" si="127"/>
        <v>5</v>
      </c>
      <c r="D901" s="16">
        <f t="shared" si="127"/>
        <v>4</v>
      </c>
      <c r="E901" s="16">
        <f t="shared" si="127"/>
        <v>47</v>
      </c>
      <c r="F901" s="16">
        <f t="shared" si="127"/>
        <v>58</v>
      </c>
      <c r="G901" s="16">
        <f t="shared" si="127"/>
        <v>1</v>
      </c>
      <c r="H901" s="16">
        <f t="shared" si="127"/>
        <v>1</v>
      </c>
      <c r="I901" s="16">
        <f t="shared" si="127"/>
        <v>0</v>
      </c>
      <c r="J901" s="16">
        <f t="shared" si="127"/>
        <v>0</v>
      </c>
      <c r="K901" s="16">
        <f t="shared" si="127"/>
        <v>0</v>
      </c>
      <c r="L901" s="16">
        <f t="shared" si="127"/>
        <v>100</v>
      </c>
      <c r="M901" s="16">
        <f t="shared" si="127"/>
        <v>0</v>
      </c>
      <c r="N901" s="16">
        <f t="shared" si="127"/>
        <v>1</v>
      </c>
      <c r="O901" s="16">
        <f t="shared" si="127"/>
        <v>47</v>
      </c>
      <c r="P901" s="16">
        <f t="shared" si="127"/>
        <v>7</v>
      </c>
      <c r="Q901" s="16">
        <f t="shared" si="127"/>
        <v>2</v>
      </c>
      <c r="R901" s="16">
        <f t="shared" si="126"/>
        <v>20</v>
      </c>
      <c r="S901" s="16">
        <f t="shared" si="126"/>
        <v>0</v>
      </c>
      <c r="T901" s="16">
        <f t="shared" si="126"/>
        <v>0</v>
      </c>
      <c r="U901" s="16">
        <f t="shared" si="126"/>
        <v>0</v>
      </c>
      <c r="V901" s="16">
        <f t="shared" si="126"/>
        <v>0</v>
      </c>
      <c r="W901" s="16">
        <f t="shared" si="126"/>
        <v>1</v>
      </c>
      <c r="X901" s="16" t="str">
        <f t="shared" si="126"/>
        <v>null</v>
      </c>
    </row>
    <row r="902" spans="1:24" x14ac:dyDescent="0.15">
      <c r="A902" s="20" t="str">
        <f t="shared" si="128"/>
        <v>26_5-4/57&lt;lv58&gt;s2</v>
      </c>
      <c r="B902" s="16">
        <f t="shared" si="127"/>
        <v>26</v>
      </c>
      <c r="C902" s="16">
        <f t="shared" si="127"/>
        <v>5</v>
      </c>
      <c r="D902" s="16">
        <f t="shared" si="127"/>
        <v>4</v>
      </c>
      <c r="E902" s="16">
        <f t="shared" si="127"/>
        <v>57</v>
      </c>
      <c r="F902" s="16">
        <f t="shared" si="127"/>
        <v>58</v>
      </c>
      <c r="G902" s="16">
        <f t="shared" si="127"/>
        <v>1</v>
      </c>
      <c r="H902" s="16">
        <f t="shared" si="127"/>
        <v>1</v>
      </c>
      <c r="I902" s="16">
        <f t="shared" si="127"/>
        <v>0</v>
      </c>
      <c r="J902" s="16">
        <f t="shared" si="127"/>
        <v>57</v>
      </c>
      <c r="K902" s="16">
        <f t="shared" si="127"/>
        <v>0</v>
      </c>
      <c r="L902" s="16">
        <f t="shared" si="127"/>
        <v>100</v>
      </c>
      <c r="M902" s="16">
        <f t="shared" si="127"/>
        <v>0</v>
      </c>
      <c r="N902" s="16">
        <f t="shared" si="127"/>
        <v>2</v>
      </c>
      <c r="O902" s="16">
        <f t="shared" si="127"/>
        <v>57</v>
      </c>
      <c r="P902" s="16">
        <f t="shared" si="127"/>
        <v>7</v>
      </c>
      <c r="Q902" s="16">
        <f t="shared" si="127"/>
        <v>2</v>
      </c>
      <c r="R902" s="16">
        <f t="shared" si="126"/>
        <v>20</v>
      </c>
      <c r="S902" s="16">
        <f t="shared" si="126"/>
        <v>0</v>
      </c>
      <c r="T902" s="16">
        <f t="shared" si="126"/>
        <v>0</v>
      </c>
      <c r="U902" s="16">
        <f t="shared" si="126"/>
        <v>0</v>
      </c>
      <c r="V902" s="16">
        <f t="shared" si="126"/>
        <v>0</v>
      </c>
      <c r="W902" s="16">
        <f t="shared" si="126"/>
        <v>1</v>
      </c>
      <c r="X902" s="16" t="str">
        <f t="shared" si="126"/>
        <v>null</v>
      </c>
    </row>
    <row r="903" spans="1:24" x14ac:dyDescent="0.15">
      <c r="A903" s="20" t="str">
        <f t="shared" si="128"/>
        <v>26_5-4/59&lt;lv58&gt;s2</v>
      </c>
      <c r="B903" s="16">
        <f t="shared" si="127"/>
        <v>26</v>
      </c>
      <c r="C903" s="16">
        <f t="shared" si="127"/>
        <v>5</v>
      </c>
      <c r="D903" s="16">
        <f t="shared" si="127"/>
        <v>4</v>
      </c>
      <c r="E903" s="16">
        <f t="shared" si="127"/>
        <v>59</v>
      </c>
      <c r="F903" s="16">
        <f t="shared" si="127"/>
        <v>58</v>
      </c>
      <c r="G903" s="16">
        <f t="shared" si="127"/>
        <v>1</v>
      </c>
      <c r="H903" s="16">
        <f t="shared" si="127"/>
        <v>1</v>
      </c>
      <c r="I903" s="16">
        <f t="shared" si="127"/>
        <v>0</v>
      </c>
      <c r="J903" s="16">
        <f t="shared" si="127"/>
        <v>59</v>
      </c>
      <c r="K903" s="16">
        <f t="shared" si="127"/>
        <v>0</v>
      </c>
      <c r="L903" s="16">
        <f t="shared" si="127"/>
        <v>100</v>
      </c>
      <c r="M903" s="16">
        <f t="shared" si="127"/>
        <v>0</v>
      </c>
      <c r="N903" s="16">
        <f t="shared" si="127"/>
        <v>2</v>
      </c>
      <c r="O903" s="16">
        <f t="shared" si="127"/>
        <v>59</v>
      </c>
      <c r="P903" s="16">
        <f t="shared" si="127"/>
        <v>7</v>
      </c>
      <c r="Q903" s="16">
        <f t="shared" si="127"/>
        <v>2</v>
      </c>
      <c r="R903" s="16">
        <f t="shared" si="126"/>
        <v>20</v>
      </c>
      <c r="S903" s="16">
        <f t="shared" si="126"/>
        <v>0</v>
      </c>
      <c r="T903" s="16">
        <f t="shared" si="126"/>
        <v>0</v>
      </c>
      <c r="U903" s="16">
        <f t="shared" si="126"/>
        <v>0</v>
      </c>
      <c r="V903" s="16">
        <f t="shared" si="126"/>
        <v>0</v>
      </c>
      <c r="W903" s="16">
        <f t="shared" si="126"/>
        <v>1</v>
      </c>
      <c r="X903" s="16" t="str">
        <f t="shared" si="126"/>
        <v>null</v>
      </c>
    </row>
    <row r="904" spans="1:24" x14ac:dyDescent="0.15">
      <c r="A904" s="20" t="str">
        <f t="shared" si="128"/>
        <v>26_5-4/61&lt;lv58&gt;s2</v>
      </c>
      <c r="B904" s="16">
        <f t="shared" si="127"/>
        <v>26</v>
      </c>
      <c r="C904" s="16">
        <f t="shared" si="127"/>
        <v>5</v>
      </c>
      <c r="D904" s="16">
        <f t="shared" si="127"/>
        <v>4</v>
      </c>
      <c r="E904" s="16">
        <f t="shared" si="127"/>
        <v>61</v>
      </c>
      <c r="F904" s="16">
        <f t="shared" si="127"/>
        <v>58</v>
      </c>
      <c r="G904" s="16">
        <f t="shared" si="127"/>
        <v>1</v>
      </c>
      <c r="H904" s="16">
        <f t="shared" si="127"/>
        <v>1</v>
      </c>
      <c r="I904" s="16">
        <f t="shared" si="127"/>
        <v>0</v>
      </c>
      <c r="J904" s="16">
        <f t="shared" si="127"/>
        <v>61</v>
      </c>
      <c r="K904" s="16">
        <f t="shared" si="127"/>
        <v>0</v>
      </c>
      <c r="L904" s="16">
        <f t="shared" si="127"/>
        <v>100</v>
      </c>
      <c r="M904" s="16">
        <f t="shared" si="127"/>
        <v>0</v>
      </c>
      <c r="N904" s="16">
        <f t="shared" si="127"/>
        <v>2</v>
      </c>
      <c r="O904" s="16">
        <f t="shared" si="127"/>
        <v>61</v>
      </c>
      <c r="P904" s="16">
        <f t="shared" si="127"/>
        <v>7</v>
      </c>
      <c r="Q904" s="16">
        <f t="shared" si="127"/>
        <v>2</v>
      </c>
      <c r="R904" s="16">
        <f t="shared" si="126"/>
        <v>20</v>
      </c>
      <c r="S904" s="16">
        <f t="shared" si="126"/>
        <v>0</v>
      </c>
      <c r="T904" s="16">
        <f t="shared" si="126"/>
        <v>0</v>
      </c>
      <c r="U904" s="16">
        <f t="shared" si="126"/>
        <v>0</v>
      </c>
      <c r="V904" s="16">
        <f t="shared" si="126"/>
        <v>0</v>
      </c>
      <c r="W904" s="16">
        <f t="shared" si="126"/>
        <v>1</v>
      </c>
      <c r="X904" s="16" t="str">
        <f t="shared" si="126"/>
        <v>null</v>
      </c>
    </row>
    <row r="905" spans="1:24" x14ac:dyDescent="0.15">
      <c r="A905" s="20" t="str">
        <f t="shared" si="128"/>
        <v>26_5-4/63&lt;lv58&gt;s2</v>
      </c>
      <c r="B905" s="16">
        <f t="shared" si="127"/>
        <v>26</v>
      </c>
      <c r="C905" s="16">
        <f t="shared" si="127"/>
        <v>5</v>
      </c>
      <c r="D905" s="16">
        <f t="shared" si="127"/>
        <v>4</v>
      </c>
      <c r="E905" s="16">
        <f t="shared" si="127"/>
        <v>63</v>
      </c>
      <c r="F905" s="16">
        <f t="shared" si="127"/>
        <v>58</v>
      </c>
      <c r="G905" s="16">
        <f t="shared" si="127"/>
        <v>1</v>
      </c>
      <c r="H905" s="16">
        <f t="shared" si="127"/>
        <v>1</v>
      </c>
      <c r="I905" s="16">
        <f t="shared" si="127"/>
        <v>0</v>
      </c>
      <c r="J905" s="16">
        <f t="shared" si="127"/>
        <v>63</v>
      </c>
      <c r="K905" s="16">
        <f t="shared" si="127"/>
        <v>0</v>
      </c>
      <c r="L905" s="16">
        <f t="shared" si="127"/>
        <v>100</v>
      </c>
      <c r="M905" s="16">
        <f t="shared" si="127"/>
        <v>0</v>
      </c>
      <c r="N905" s="16">
        <f t="shared" si="127"/>
        <v>2</v>
      </c>
      <c r="O905" s="16">
        <f t="shared" si="127"/>
        <v>63</v>
      </c>
      <c r="P905" s="16">
        <f t="shared" si="127"/>
        <v>7</v>
      </c>
      <c r="Q905" s="16">
        <f t="shared" si="127"/>
        <v>2</v>
      </c>
      <c r="R905" s="16">
        <f t="shared" si="126"/>
        <v>20</v>
      </c>
      <c r="S905" s="16">
        <f t="shared" si="126"/>
        <v>0</v>
      </c>
      <c r="T905" s="16">
        <f t="shared" si="126"/>
        <v>0</v>
      </c>
      <c r="U905" s="16">
        <f t="shared" si="126"/>
        <v>0</v>
      </c>
      <c r="V905" s="16">
        <f t="shared" si="126"/>
        <v>0</v>
      </c>
      <c r="W905" s="16">
        <f t="shared" si="126"/>
        <v>1</v>
      </c>
      <c r="X905" s="16" t="str">
        <f t="shared" si="126"/>
        <v>null</v>
      </c>
    </row>
    <row r="906" spans="1:24" x14ac:dyDescent="0.15">
      <c r="A906" s="20" t="str">
        <f t="shared" si="128"/>
        <v>26_5-4/360&lt;lv58&gt;s3</v>
      </c>
      <c r="B906" s="16">
        <f t="shared" si="127"/>
        <v>26</v>
      </c>
      <c r="C906" s="16">
        <f t="shared" si="127"/>
        <v>5</v>
      </c>
      <c r="D906" s="16">
        <f t="shared" si="127"/>
        <v>4</v>
      </c>
      <c r="E906" s="16">
        <f t="shared" si="127"/>
        <v>360</v>
      </c>
      <c r="F906" s="16">
        <f t="shared" si="127"/>
        <v>58</v>
      </c>
      <c r="G906" s="16">
        <f t="shared" si="127"/>
        <v>1</v>
      </c>
      <c r="H906" s="16">
        <f t="shared" si="127"/>
        <v>1</v>
      </c>
      <c r="I906" s="16">
        <f t="shared" si="127"/>
        <v>0</v>
      </c>
      <c r="J906" s="16">
        <f t="shared" si="127"/>
        <v>360</v>
      </c>
      <c r="K906" s="16">
        <f t="shared" si="127"/>
        <v>0</v>
      </c>
      <c r="L906" s="16">
        <f t="shared" si="127"/>
        <v>100</v>
      </c>
      <c r="M906" s="16">
        <f t="shared" si="127"/>
        <v>0</v>
      </c>
      <c r="N906" s="16">
        <f t="shared" si="127"/>
        <v>3</v>
      </c>
      <c r="O906" s="16">
        <f t="shared" si="127"/>
        <v>360</v>
      </c>
      <c r="P906" s="16">
        <f t="shared" si="127"/>
        <v>7</v>
      </c>
      <c r="Q906" s="16">
        <f t="shared" si="127"/>
        <v>2</v>
      </c>
      <c r="R906" s="16">
        <f t="shared" si="126"/>
        <v>20</v>
      </c>
      <c r="S906" s="16">
        <f t="shared" si="126"/>
        <v>0</v>
      </c>
      <c r="T906" s="16">
        <f t="shared" si="126"/>
        <v>0</v>
      </c>
      <c r="U906" s="16">
        <f t="shared" si="126"/>
        <v>0</v>
      </c>
      <c r="V906" s="16">
        <f t="shared" si="126"/>
        <v>0</v>
      </c>
      <c r="W906" s="16">
        <f t="shared" si="126"/>
        <v>1</v>
      </c>
      <c r="X906" s="16" t="str">
        <f t="shared" si="126"/>
        <v>null</v>
      </c>
    </row>
    <row r="907" spans="1:24" x14ac:dyDescent="0.15">
      <c r="A907" s="20" t="str">
        <f t="shared" si="128"/>
        <v>26_5-4/362&lt;lv58&gt;s3</v>
      </c>
      <c r="B907" s="16">
        <f t="shared" si="127"/>
        <v>26</v>
      </c>
      <c r="C907" s="16">
        <f t="shared" si="127"/>
        <v>5</v>
      </c>
      <c r="D907" s="16">
        <f t="shared" si="127"/>
        <v>4</v>
      </c>
      <c r="E907" s="16">
        <f t="shared" si="127"/>
        <v>362</v>
      </c>
      <c r="F907" s="16">
        <f t="shared" si="127"/>
        <v>58</v>
      </c>
      <c r="G907" s="16">
        <f t="shared" si="127"/>
        <v>1</v>
      </c>
      <c r="H907" s="16">
        <f t="shared" si="127"/>
        <v>1</v>
      </c>
      <c r="I907" s="16">
        <f t="shared" si="127"/>
        <v>0</v>
      </c>
      <c r="J907" s="16">
        <f t="shared" si="127"/>
        <v>362</v>
      </c>
      <c r="K907" s="16">
        <f t="shared" si="127"/>
        <v>0</v>
      </c>
      <c r="L907" s="16">
        <f t="shared" si="127"/>
        <v>100</v>
      </c>
      <c r="M907" s="16">
        <f t="shared" si="127"/>
        <v>0</v>
      </c>
      <c r="N907" s="16">
        <f t="shared" si="127"/>
        <v>3</v>
      </c>
      <c r="O907" s="16">
        <f t="shared" si="127"/>
        <v>362</v>
      </c>
      <c r="P907" s="16">
        <f t="shared" si="127"/>
        <v>7</v>
      </c>
      <c r="Q907" s="16">
        <f t="shared" si="127"/>
        <v>2</v>
      </c>
      <c r="R907" s="16">
        <f t="shared" si="126"/>
        <v>20</v>
      </c>
      <c r="S907" s="16">
        <f t="shared" si="126"/>
        <v>0</v>
      </c>
      <c r="T907" s="16">
        <f t="shared" si="126"/>
        <v>0</v>
      </c>
      <c r="U907" s="16">
        <f t="shared" si="126"/>
        <v>0</v>
      </c>
      <c r="V907" s="16">
        <f t="shared" si="126"/>
        <v>0</v>
      </c>
      <c r="W907" s="16">
        <f t="shared" si="126"/>
        <v>1</v>
      </c>
      <c r="X907" s="16" t="str">
        <f t="shared" si="126"/>
        <v>null</v>
      </c>
    </row>
    <row r="908" spans="1:24" x14ac:dyDescent="0.15">
      <c r="A908" s="20" t="str">
        <f t="shared" si="128"/>
        <v>26_5-4/364&lt;lv58&gt;s3</v>
      </c>
      <c r="B908" s="16">
        <f t="shared" si="127"/>
        <v>26</v>
      </c>
      <c r="C908" s="16">
        <f t="shared" si="127"/>
        <v>5</v>
      </c>
      <c r="D908" s="16">
        <f t="shared" si="127"/>
        <v>4</v>
      </c>
      <c r="E908" s="16">
        <f t="shared" si="127"/>
        <v>364</v>
      </c>
      <c r="F908" s="16">
        <f t="shared" si="127"/>
        <v>58</v>
      </c>
      <c r="G908" s="16">
        <f t="shared" si="127"/>
        <v>1</v>
      </c>
      <c r="H908" s="16">
        <f t="shared" si="127"/>
        <v>1</v>
      </c>
      <c r="I908" s="16">
        <f t="shared" si="127"/>
        <v>0</v>
      </c>
      <c r="J908" s="16">
        <f t="shared" si="127"/>
        <v>364</v>
      </c>
      <c r="K908" s="16">
        <f t="shared" si="127"/>
        <v>0</v>
      </c>
      <c r="L908" s="16">
        <f t="shared" si="127"/>
        <v>100</v>
      </c>
      <c r="M908" s="16">
        <f t="shared" si="127"/>
        <v>0</v>
      </c>
      <c r="N908" s="16">
        <f t="shared" si="127"/>
        <v>3</v>
      </c>
      <c r="O908" s="16">
        <f t="shared" si="127"/>
        <v>364</v>
      </c>
      <c r="P908" s="16">
        <f t="shared" si="127"/>
        <v>7</v>
      </c>
      <c r="Q908" s="16">
        <f t="shared" si="127"/>
        <v>2</v>
      </c>
      <c r="R908" s="16">
        <f t="shared" si="126"/>
        <v>20</v>
      </c>
      <c r="S908" s="16">
        <f t="shared" si="126"/>
        <v>0</v>
      </c>
      <c r="T908" s="16">
        <f t="shared" si="126"/>
        <v>0</v>
      </c>
      <c r="U908" s="16">
        <f t="shared" si="126"/>
        <v>0</v>
      </c>
      <c r="V908" s="16">
        <f t="shared" si="126"/>
        <v>0</v>
      </c>
      <c r="W908" s="16">
        <f t="shared" si="126"/>
        <v>1</v>
      </c>
      <c r="X908" s="16" t="str">
        <f t="shared" si="126"/>
        <v>null</v>
      </c>
    </row>
    <row r="909" spans="1:24" x14ac:dyDescent="0.15">
      <c r="A909" s="20" t="str">
        <f t="shared" si="128"/>
        <v>26_5-4/366&lt;lv58&gt;s3</v>
      </c>
      <c r="B909" s="16">
        <f t="shared" si="127"/>
        <v>26</v>
      </c>
      <c r="C909" s="16">
        <f t="shared" si="127"/>
        <v>5</v>
      </c>
      <c r="D909" s="16">
        <f t="shared" si="127"/>
        <v>4</v>
      </c>
      <c r="E909" s="16">
        <f t="shared" si="127"/>
        <v>366</v>
      </c>
      <c r="F909" s="16">
        <f t="shared" si="127"/>
        <v>58</v>
      </c>
      <c r="G909" s="16">
        <f t="shared" si="127"/>
        <v>1</v>
      </c>
      <c r="H909" s="16">
        <f t="shared" si="127"/>
        <v>1</v>
      </c>
      <c r="I909" s="16">
        <f t="shared" si="127"/>
        <v>0</v>
      </c>
      <c r="J909" s="16">
        <f t="shared" si="127"/>
        <v>366</v>
      </c>
      <c r="K909" s="16">
        <f t="shared" si="127"/>
        <v>0</v>
      </c>
      <c r="L909" s="16">
        <f t="shared" si="127"/>
        <v>100</v>
      </c>
      <c r="M909" s="16">
        <f t="shared" si="127"/>
        <v>0</v>
      </c>
      <c r="N909" s="16">
        <f t="shared" si="127"/>
        <v>3</v>
      </c>
      <c r="O909" s="16">
        <f t="shared" si="127"/>
        <v>366</v>
      </c>
      <c r="P909" s="16">
        <f t="shared" si="127"/>
        <v>7</v>
      </c>
      <c r="Q909" s="16">
        <f t="shared" si="127"/>
        <v>2</v>
      </c>
      <c r="R909" s="16">
        <f t="shared" si="126"/>
        <v>20</v>
      </c>
      <c r="S909" s="16">
        <f t="shared" si="126"/>
        <v>0</v>
      </c>
      <c r="T909" s="16">
        <f t="shared" si="126"/>
        <v>0</v>
      </c>
      <c r="U909" s="16">
        <f t="shared" si="126"/>
        <v>0</v>
      </c>
      <c r="V909" s="16">
        <f t="shared" si="126"/>
        <v>0</v>
      </c>
      <c r="W909" s="16">
        <f t="shared" si="126"/>
        <v>1</v>
      </c>
      <c r="X909" s="16" t="str">
        <f t="shared" si="126"/>
        <v>null</v>
      </c>
    </row>
    <row r="910" spans="1:24" x14ac:dyDescent="0.15">
      <c r="A910" s="20" t="str">
        <f t="shared" si="128"/>
        <v>26_5-4/348&lt;lv58&gt;s3</v>
      </c>
      <c r="B910" s="16">
        <f t="shared" si="127"/>
        <v>26</v>
      </c>
      <c r="C910" s="16">
        <f t="shared" si="127"/>
        <v>5</v>
      </c>
      <c r="D910" s="16">
        <f t="shared" si="127"/>
        <v>4</v>
      </c>
      <c r="E910" s="16">
        <f t="shared" si="127"/>
        <v>348</v>
      </c>
      <c r="F910" s="16">
        <f t="shared" si="127"/>
        <v>58</v>
      </c>
      <c r="G910" s="16">
        <f t="shared" si="127"/>
        <v>1</v>
      </c>
      <c r="H910" s="16">
        <f t="shared" si="127"/>
        <v>1</v>
      </c>
      <c r="I910" s="16">
        <f t="shared" si="127"/>
        <v>0</v>
      </c>
      <c r="J910" s="16">
        <f t="shared" si="127"/>
        <v>348</v>
      </c>
      <c r="K910" s="16">
        <f t="shared" si="127"/>
        <v>0</v>
      </c>
      <c r="L910" s="16">
        <f t="shared" si="127"/>
        <v>100</v>
      </c>
      <c r="M910" s="16">
        <f t="shared" si="127"/>
        <v>0</v>
      </c>
      <c r="N910" s="16">
        <f t="shared" si="127"/>
        <v>3</v>
      </c>
      <c r="O910" s="16">
        <f t="shared" si="127"/>
        <v>348</v>
      </c>
      <c r="P910" s="16">
        <f t="shared" si="127"/>
        <v>1</v>
      </c>
      <c r="Q910" s="16">
        <f t="shared" ref="Q910:W925" si="129">VLOOKUP($A910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910" s="16">
        <f t="shared" si="129"/>
        <v>30</v>
      </c>
      <c r="S910" s="16">
        <f t="shared" si="129"/>
        <v>0</v>
      </c>
      <c r="T910" s="16">
        <f t="shared" si="129"/>
        <v>0</v>
      </c>
      <c r="U910" s="16">
        <f t="shared" si="129"/>
        <v>0</v>
      </c>
      <c r="V910" s="16">
        <f t="shared" si="129"/>
        <v>0</v>
      </c>
      <c r="W910" s="16">
        <f t="shared" si="129"/>
        <v>1</v>
      </c>
      <c r="X910" s="16" t="str">
        <f t="shared" si="126"/>
        <v>null</v>
      </c>
    </row>
    <row r="911" spans="1:24" x14ac:dyDescent="0.15">
      <c r="A911" s="20" t="str">
        <f t="shared" si="128"/>
        <v>26_5-4/352&lt;lv58&gt;s3</v>
      </c>
      <c r="B911" s="16">
        <f t="shared" ref="B911:Q926" si="130">VLOOKUP($A911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911" s="16">
        <f t="shared" si="130"/>
        <v>5</v>
      </c>
      <c r="D911" s="16">
        <f t="shared" si="130"/>
        <v>4</v>
      </c>
      <c r="E911" s="16">
        <f t="shared" si="130"/>
        <v>352</v>
      </c>
      <c r="F911" s="16">
        <f t="shared" si="130"/>
        <v>58</v>
      </c>
      <c r="G911" s="16">
        <f t="shared" si="130"/>
        <v>1</v>
      </c>
      <c r="H911" s="16">
        <f t="shared" si="130"/>
        <v>1</v>
      </c>
      <c r="I911" s="16">
        <f t="shared" si="130"/>
        <v>0</v>
      </c>
      <c r="J911" s="16">
        <f t="shared" si="130"/>
        <v>352</v>
      </c>
      <c r="K911" s="16">
        <f t="shared" si="130"/>
        <v>0</v>
      </c>
      <c r="L911" s="16">
        <f t="shared" si="130"/>
        <v>100</v>
      </c>
      <c r="M911" s="16">
        <f t="shared" si="130"/>
        <v>0</v>
      </c>
      <c r="N911" s="16">
        <f t="shared" si="130"/>
        <v>3</v>
      </c>
      <c r="O911" s="16">
        <f t="shared" si="130"/>
        <v>352</v>
      </c>
      <c r="P911" s="16">
        <f t="shared" si="130"/>
        <v>1</v>
      </c>
      <c r="Q911" s="16">
        <f t="shared" si="130"/>
        <v>2</v>
      </c>
      <c r="R911" s="16">
        <f t="shared" si="129"/>
        <v>30</v>
      </c>
      <c r="S911" s="16">
        <f t="shared" si="129"/>
        <v>0</v>
      </c>
      <c r="T911" s="16">
        <f t="shared" si="129"/>
        <v>0</v>
      </c>
      <c r="U911" s="16">
        <f t="shared" si="129"/>
        <v>0</v>
      </c>
      <c r="V911" s="16">
        <f t="shared" si="129"/>
        <v>0</v>
      </c>
      <c r="W911" s="16">
        <f t="shared" si="129"/>
        <v>1</v>
      </c>
      <c r="X911" s="16" t="str">
        <f t="shared" si="126"/>
        <v>null</v>
      </c>
    </row>
    <row r="912" spans="1:24" x14ac:dyDescent="0.15">
      <c r="A912" s="20" t="str">
        <f t="shared" si="128"/>
        <v>26_5-5/33&lt;lv58&gt;s2</v>
      </c>
      <c r="B912" s="16">
        <f t="shared" si="130"/>
        <v>26</v>
      </c>
      <c r="C912" s="16">
        <f t="shared" si="130"/>
        <v>5</v>
      </c>
      <c r="D912" s="16">
        <f t="shared" si="130"/>
        <v>5</v>
      </c>
      <c r="E912" s="16">
        <f t="shared" si="130"/>
        <v>33</v>
      </c>
      <c r="F912" s="16">
        <f t="shared" si="130"/>
        <v>58</v>
      </c>
      <c r="G912" s="16">
        <f t="shared" si="130"/>
        <v>1</v>
      </c>
      <c r="H912" s="16">
        <f t="shared" si="130"/>
        <v>1</v>
      </c>
      <c r="I912" s="16">
        <f t="shared" si="130"/>
        <v>0</v>
      </c>
      <c r="J912" s="16">
        <f t="shared" si="130"/>
        <v>33</v>
      </c>
      <c r="K912" s="16">
        <f t="shared" si="130"/>
        <v>0</v>
      </c>
      <c r="L912" s="16">
        <f t="shared" si="130"/>
        <v>100</v>
      </c>
      <c r="M912" s="16">
        <f t="shared" si="130"/>
        <v>0</v>
      </c>
      <c r="N912" s="16">
        <f t="shared" si="130"/>
        <v>2</v>
      </c>
      <c r="O912" s="16">
        <f t="shared" si="130"/>
        <v>33</v>
      </c>
      <c r="P912" s="16">
        <f t="shared" si="130"/>
        <v>5</v>
      </c>
      <c r="Q912" s="16">
        <f t="shared" si="130"/>
        <v>2</v>
      </c>
      <c r="R912" s="16">
        <f t="shared" si="129"/>
        <v>20</v>
      </c>
      <c r="S912" s="16">
        <f t="shared" si="129"/>
        <v>0</v>
      </c>
      <c r="T912" s="16">
        <f t="shared" si="129"/>
        <v>0</v>
      </c>
      <c r="U912" s="16">
        <f t="shared" si="129"/>
        <v>0</v>
      </c>
      <c r="V912" s="16">
        <f t="shared" si="129"/>
        <v>0</v>
      </c>
      <c r="W912" s="16">
        <f t="shared" si="129"/>
        <v>1</v>
      </c>
      <c r="X912" s="16" t="str">
        <f t="shared" si="126"/>
        <v>null</v>
      </c>
    </row>
    <row r="913" spans="1:24" x14ac:dyDescent="0.15">
      <c r="A913" s="20" t="str">
        <f t="shared" si="128"/>
        <v>26_5-5/37&lt;lv58&gt;s3</v>
      </c>
      <c r="B913" s="16">
        <f t="shared" si="130"/>
        <v>26</v>
      </c>
      <c r="C913" s="16">
        <f t="shared" si="130"/>
        <v>5</v>
      </c>
      <c r="D913" s="16">
        <f t="shared" si="130"/>
        <v>5</v>
      </c>
      <c r="E913" s="16">
        <f t="shared" si="130"/>
        <v>37</v>
      </c>
      <c r="F913" s="16">
        <f t="shared" si="130"/>
        <v>58</v>
      </c>
      <c r="G913" s="16">
        <f t="shared" si="130"/>
        <v>1</v>
      </c>
      <c r="H913" s="16">
        <f t="shared" si="130"/>
        <v>1</v>
      </c>
      <c r="I913" s="16">
        <f t="shared" si="130"/>
        <v>0</v>
      </c>
      <c r="J913" s="16">
        <f t="shared" si="130"/>
        <v>37</v>
      </c>
      <c r="K913" s="16">
        <f t="shared" si="130"/>
        <v>0</v>
      </c>
      <c r="L913" s="16">
        <f t="shared" si="130"/>
        <v>100</v>
      </c>
      <c r="M913" s="16">
        <f t="shared" si="130"/>
        <v>0</v>
      </c>
      <c r="N913" s="16">
        <f t="shared" si="130"/>
        <v>3</v>
      </c>
      <c r="O913" s="16">
        <f t="shared" si="130"/>
        <v>37</v>
      </c>
      <c r="P913" s="16">
        <f t="shared" si="130"/>
        <v>5</v>
      </c>
      <c r="Q913" s="16">
        <f t="shared" si="130"/>
        <v>2</v>
      </c>
      <c r="R913" s="16">
        <f t="shared" si="129"/>
        <v>20</v>
      </c>
      <c r="S913" s="16">
        <f t="shared" si="129"/>
        <v>0</v>
      </c>
      <c r="T913" s="16">
        <f t="shared" si="129"/>
        <v>0</v>
      </c>
      <c r="U913" s="16">
        <f t="shared" si="129"/>
        <v>0</v>
      </c>
      <c r="V913" s="16">
        <f t="shared" si="129"/>
        <v>0</v>
      </c>
      <c r="W913" s="16">
        <f t="shared" si="129"/>
        <v>1</v>
      </c>
      <c r="X913" s="16" t="str">
        <f t="shared" si="126"/>
        <v>null</v>
      </c>
    </row>
    <row r="914" spans="1:24" x14ac:dyDescent="0.15">
      <c r="A914" s="20" t="str">
        <f t="shared" si="128"/>
        <v>26_5-5/45&lt;lv58&gt;s3</v>
      </c>
      <c r="B914" s="16">
        <f t="shared" si="130"/>
        <v>26</v>
      </c>
      <c r="C914" s="16">
        <f t="shared" si="130"/>
        <v>5</v>
      </c>
      <c r="D914" s="16">
        <f t="shared" si="130"/>
        <v>5</v>
      </c>
      <c r="E914" s="16">
        <f t="shared" si="130"/>
        <v>45</v>
      </c>
      <c r="F914" s="16">
        <f t="shared" si="130"/>
        <v>58</v>
      </c>
      <c r="G914" s="16">
        <f t="shared" si="130"/>
        <v>1</v>
      </c>
      <c r="H914" s="16">
        <f t="shared" si="130"/>
        <v>1</v>
      </c>
      <c r="I914" s="16">
        <f t="shared" si="130"/>
        <v>0</v>
      </c>
      <c r="J914" s="16">
        <f t="shared" si="130"/>
        <v>0</v>
      </c>
      <c r="K914" s="16">
        <f t="shared" si="130"/>
        <v>0</v>
      </c>
      <c r="L914" s="16">
        <f t="shared" si="130"/>
        <v>100</v>
      </c>
      <c r="M914" s="16">
        <f t="shared" si="130"/>
        <v>0</v>
      </c>
      <c r="N914" s="16">
        <f t="shared" si="130"/>
        <v>3</v>
      </c>
      <c r="O914" s="16">
        <f t="shared" si="130"/>
        <v>45</v>
      </c>
      <c r="P914" s="16">
        <f t="shared" si="130"/>
        <v>7</v>
      </c>
      <c r="Q914" s="16">
        <f t="shared" si="130"/>
        <v>2</v>
      </c>
      <c r="R914" s="16">
        <f t="shared" si="129"/>
        <v>20</v>
      </c>
      <c r="S914" s="16">
        <f t="shared" si="129"/>
        <v>0</v>
      </c>
      <c r="T914" s="16">
        <f t="shared" si="129"/>
        <v>0</v>
      </c>
      <c r="U914" s="16">
        <f t="shared" si="129"/>
        <v>0</v>
      </c>
      <c r="V914" s="16">
        <f t="shared" si="129"/>
        <v>0</v>
      </c>
      <c r="W914" s="16">
        <f t="shared" si="129"/>
        <v>1</v>
      </c>
      <c r="X914" s="16" t="str">
        <f t="shared" si="126"/>
        <v>null</v>
      </c>
    </row>
    <row r="915" spans="1:24" x14ac:dyDescent="0.15">
      <c r="A915" s="20" t="str">
        <f t="shared" si="128"/>
        <v>26_5-5/47&lt;lv58&gt;s1</v>
      </c>
      <c r="B915" s="16">
        <f t="shared" si="130"/>
        <v>26</v>
      </c>
      <c r="C915" s="16">
        <f t="shared" si="130"/>
        <v>5</v>
      </c>
      <c r="D915" s="16">
        <f t="shared" si="130"/>
        <v>5</v>
      </c>
      <c r="E915" s="16">
        <f t="shared" si="130"/>
        <v>47</v>
      </c>
      <c r="F915" s="16">
        <f t="shared" si="130"/>
        <v>58</v>
      </c>
      <c r="G915" s="16">
        <f t="shared" si="130"/>
        <v>1</v>
      </c>
      <c r="H915" s="16">
        <f t="shared" si="130"/>
        <v>1</v>
      </c>
      <c r="I915" s="16">
        <f t="shared" si="130"/>
        <v>0</v>
      </c>
      <c r="J915" s="16">
        <f t="shared" si="130"/>
        <v>0</v>
      </c>
      <c r="K915" s="16">
        <f t="shared" si="130"/>
        <v>0</v>
      </c>
      <c r="L915" s="16">
        <f t="shared" si="130"/>
        <v>100</v>
      </c>
      <c r="M915" s="16">
        <f t="shared" si="130"/>
        <v>0</v>
      </c>
      <c r="N915" s="16">
        <f t="shared" si="130"/>
        <v>1</v>
      </c>
      <c r="O915" s="16">
        <f t="shared" si="130"/>
        <v>47</v>
      </c>
      <c r="P915" s="16">
        <f t="shared" si="130"/>
        <v>7</v>
      </c>
      <c r="Q915" s="16">
        <f t="shared" si="130"/>
        <v>2</v>
      </c>
      <c r="R915" s="16">
        <f t="shared" si="129"/>
        <v>20</v>
      </c>
      <c r="S915" s="16">
        <f t="shared" si="129"/>
        <v>0</v>
      </c>
      <c r="T915" s="16">
        <f t="shared" si="129"/>
        <v>0</v>
      </c>
      <c r="U915" s="16">
        <f t="shared" si="129"/>
        <v>0</v>
      </c>
      <c r="V915" s="16">
        <f t="shared" si="129"/>
        <v>0</v>
      </c>
      <c r="W915" s="16">
        <f t="shared" si="129"/>
        <v>1</v>
      </c>
      <c r="X915" s="16" t="str">
        <f t="shared" si="126"/>
        <v>null</v>
      </c>
    </row>
    <row r="916" spans="1:24" x14ac:dyDescent="0.15">
      <c r="A916" s="20" t="str">
        <f t="shared" si="128"/>
        <v>26_5-5/57&lt;lv58&gt;s2</v>
      </c>
      <c r="B916" s="16">
        <f t="shared" si="130"/>
        <v>26</v>
      </c>
      <c r="C916" s="16">
        <f t="shared" si="130"/>
        <v>5</v>
      </c>
      <c r="D916" s="16">
        <f t="shared" si="130"/>
        <v>5</v>
      </c>
      <c r="E916" s="16">
        <f t="shared" si="130"/>
        <v>57</v>
      </c>
      <c r="F916" s="16">
        <f t="shared" si="130"/>
        <v>58</v>
      </c>
      <c r="G916" s="16">
        <f t="shared" si="130"/>
        <v>1</v>
      </c>
      <c r="H916" s="16">
        <f t="shared" si="130"/>
        <v>1</v>
      </c>
      <c r="I916" s="16">
        <f t="shared" si="130"/>
        <v>0</v>
      </c>
      <c r="J916" s="16">
        <f t="shared" si="130"/>
        <v>57</v>
      </c>
      <c r="K916" s="16">
        <f t="shared" si="130"/>
        <v>0</v>
      </c>
      <c r="L916" s="16">
        <f t="shared" si="130"/>
        <v>100</v>
      </c>
      <c r="M916" s="16">
        <f t="shared" si="130"/>
        <v>0</v>
      </c>
      <c r="N916" s="16">
        <f t="shared" si="130"/>
        <v>2</v>
      </c>
      <c r="O916" s="16">
        <f t="shared" si="130"/>
        <v>57</v>
      </c>
      <c r="P916" s="16">
        <f t="shared" si="130"/>
        <v>7</v>
      </c>
      <c r="Q916" s="16">
        <f t="shared" si="130"/>
        <v>2</v>
      </c>
      <c r="R916" s="16">
        <f t="shared" si="129"/>
        <v>20</v>
      </c>
      <c r="S916" s="16">
        <f t="shared" si="129"/>
        <v>0</v>
      </c>
      <c r="T916" s="16">
        <f t="shared" si="129"/>
        <v>0</v>
      </c>
      <c r="U916" s="16">
        <f t="shared" si="129"/>
        <v>0</v>
      </c>
      <c r="V916" s="16">
        <f t="shared" si="129"/>
        <v>0</v>
      </c>
      <c r="W916" s="16">
        <f t="shared" si="129"/>
        <v>1</v>
      </c>
      <c r="X916" s="16" t="str">
        <f t="shared" si="126"/>
        <v>null</v>
      </c>
    </row>
    <row r="917" spans="1:24" x14ac:dyDescent="0.15">
      <c r="A917" s="20" t="str">
        <f t="shared" si="128"/>
        <v>26_5-5/59&lt;lv58&gt;s2</v>
      </c>
      <c r="B917" s="16">
        <f t="shared" si="130"/>
        <v>26</v>
      </c>
      <c r="C917" s="16">
        <f t="shared" si="130"/>
        <v>5</v>
      </c>
      <c r="D917" s="16">
        <f t="shared" si="130"/>
        <v>5</v>
      </c>
      <c r="E917" s="16">
        <f t="shared" si="130"/>
        <v>59</v>
      </c>
      <c r="F917" s="16">
        <f t="shared" si="130"/>
        <v>58</v>
      </c>
      <c r="G917" s="16">
        <f t="shared" si="130"/>
        <v>1</v>
      </c>
      <c r="H917" s="16">
        <f t="shared" si="130"/>
        <v>1</v>
      </c>
      <c r="I917" s="16">
        <f t="shared" si="130"/>
        <v>0</v>
      </c>
      <c r="J917" s="16">
        <f t="shared" si="130"/>
        <v>59</v>
      </c>
      <c r="K917" s="16">
        <f t="shared" si="130"/>
        <v>0</v>
      </c>
      <c r="L917" s="16">
        <f t="shared" si="130"/>
        <v>100</v>
      </c>
      <c r="M917" s="16">
        <f t="shared" si="130"/>
        <v>0</v>
      </c>
      <c r="N917" s="16">
        <f t="shared" si="130"/>
        <v>2</v>
      </c>
      <c r="O917" s="16">
        <f t="shared" si="130"/>
        <v>59</v>
      </c>
      <c r="P917" s="16">
        <f t="shared" si="130"/>
        <v>7</v>
      </c>
      <c r="Q917" s="16">
        <f t="shared" si="130"/>
        <v>2</v>
      </c>
      <c r="R917" s="16">
        <f t="shared" si="129"/>
        <v>20</v>
      </c>
      <c r="S917" s="16">
        <f t="shared" si="129"/>
        <v>0</v>
      </c>
      <c r="T917" s="16">
        <f t="shared" si="129"/>
        <v>0</v>
      </c>
      <c r="U917" s="16">
        <f t="shared" si="129"/>
        <v>0</v>
      </c>
      <c r="V917" s="16">
        <f t="shared" si="129"/>
        <v>0</v>
      </c>
      <c r="W917" s="16">
        <f t="shared" si="129"/>
        <v>1</v>
      </c>
      <c r="X917" s="16" t="str">
        <f t="shared" si="126"/>
        <v>null</v>
      </c>
    </row>
    <row r="918" spans="1:24" x14ac:dyDescent="0.15">
      <c r="A918" s="20" t="str">
        <f t="shared" si="128"/>
        <v>26_5-5/61&lt;lv58&gt;s2</v>
      </c>
      <c r="B918" s="16">
        <f t="shared" si="130"/>
        <v>26</v>
      </c>
      <c r="C918" s="16">
        <f t="shared" si="130"/>
        <v>5</v>
      </c>
      <c r="D918" s="16">
        <f t="shared" si="130"/>
        <v>5</v>
      </c>
      <c r="E918" s="16">
        <f t="shared" si="130"/>
        <v>61</v>
      </c>
      <c r="F918" s="16">
        <f t="shared" si="130"/>
        <v>58</v>
      </c>
      <c r="G918" s="16">
        <f t="shared" si="130"/>
        <v>1</v>
      </c>
      <c r="H918" s="16">
        <f t="shared" si="130"/>
        <v>1</v>
      </c>
      <c r="I918" s="16">
        <f t="shared" si="130"/>
        <v>0</v>
      </c>
      <c r="J918" s="16">
        <f t="shared" si="130"/>
        <v>61</v>
      </c>
      <c r="K918" s="16">
        <f t="shared" si="130"/>
        <v>0</v>
      </c>
      <c r="L918" s="16">
        <f t="shared" si="130"/>
        <v>100</v>
      </c>
      <c r="M918" s="16">
        <f t="shared" si="130"/>
        <v>0</v>
      </c>
      <c r="N918" s="16">
        <f t="shared" si="130"/>
        <v>2</v>
      </c>
      <c r="O918" s="16">
        <f t="shared" si="130"/>
        <v>61</v>
      </c>
      <c r="P918" s="16">
        <f t="shared" si="130"/>
        <v>7</v>
      </c>
      <c r="Q918" s="16">
        <f t="shared" si="130"/>
        <v>2</v>
      </c>
      <c r="R918" s="16">
        <f t="shared" si="129"/>
        <v>20</v>
      </c>
      <c r="S918" s="16">
        <f t="shared" si="129"/>
        <v>0</v>
      </c>
      <c r="T918" s="16">
        <f t="shared" si="129"/>
        <v>0</v>
      </c>
      <c r="U918" s="16">
        <f t="shared" si="129"/>
        <v>0</v>
      </c>
      <c r="V918" s="16">
        <f t="shared" si="129"/>
        <v>0</v>
      </c>
      <c r="W918" s="16">
        <f t="shared" si="129"/>
        <v>1</v>
      </c>
      <c r="X918" s="16" t="str">
        <f t="shared" si="126"/>
        <v>null</v>
      </c>
    </row>
    <row r="919" spans="1:24" x14ac:dyDescent="0.15">
      <c r="A919" s="20" t="str">
        <f t="shared" si="128"/>
        <v>26_5-5/63&lt;lv58&gt;s2</v>
      </c>
      <c r="B919" s="16">
        <f t="shared" si="130"/>
        <v>26</v>
      </c>
      <c r="C919" s="16">
        <f t="shared" si="130"/>
        <v>5</v>
      </c>
      <c r="D919" s="16">
        <f t="shared" si="130"/>
        <v>5</v>
      </c>
      <c r="E919" s="16">
        <f t="shared" si="130"/>
        <v>63</v>
      </c>
      <c r="F919" s="16">
        <f t="shared" si="130"/>
        <v>58</v>
      </c>
      <c r="G919" s="16">
        <f t="shared" si="130"/>
        <v>1</v>
      </c>
      <c r="H919" s="16">
        <f t="shared" si="130"/>
        <v>0.9</v>
      </c>
      <c r="I919" s="16">
        <f t="shared" si="130"/>
        <v>0</v>
      </c>
      <c r="J919" s="16">
        <f t="shared" si="130"/>
        <v>63</v>
      </c>
      <c r="K919" s="16">
        <f t="shared" si="130"/>
        <v>0</v>
      </c>
      <c r="L919" s="16">
        <f t="shared" si="130"/>
        <v>100</v>
      </c>
      <c r="M919" s="16">
        <f t="shared" si="130"/>
        <v>0</v>
      </c>
      <c r="N919" s="16">
        <f t="shared" si="130"/>
        <v>2</v>
      </c>
      <c r="O919" s="16">
        <f t="shared" si="130"/>
        <v>63</v>
      </c>
      <c r="P919" s="16">
        <f t="shared" si="130"/>
        <v>7</v>
      </c>
      <c r="Q919" s="16">
        <f t="shared" si="130"/>
        <v>2</v>
      </c>
      <c r="R919" s="16">
        <f t="shared" si="129"/>
        <v>20</v>
      </c>
      <c r="S919" s="16">
        <f t="shared" si="129"/>
        <v>0</v>
      </c>
      <c r="T919" s="16">
        <f t="shared" si="129"/>
        <v>0</v>
      </c>
      <c r="U919" s="16">
        <f t="shared" si="129"/>
        <v>0</v>
      </c>
      <c r="V919" s="16">
        <f t="shared" si="129"/>
        <v>0</v>
      </c>
      <c r="W919" s="16">
        <f t="shared" si="129"/>
        <v>1</v>
      </c>
      <c r="X919" s="16" t="str">
        <f t="shared" si="126"/>
        <v>null</v>
      </c>
    </row>
    <row r="920" spans="1:24" x14ac:dyDescent="0.15">
      <c r="A920" s="20" t="str">
        <f t="shared" si="128"/>
        <v>26_5-5/360&lt;lv58&gt;s3</v>
      </c>
      <c r="B920" s="16">
        <f t="shared" si="130"/>
        <v>26</v>
      </c>
      <c r="C920" s="16">
        <f t="shared" si="130"/>
        <v>5</v>
      </c>
      <c r="D920" s="16">
        <f t="shared" si="130"/>
        <v>5</v>
      </c>
      <c r="E920" s="16">
        <f t="shared" si="130"/>
        <v>360</v>
      </c>
      <c r="F920" s="16">
        <f t="shared" si="130"/>
        <v>58</v>
      </c>
      <c r="G920" s="16">
        <f t="shared" si="130"/>
        <v>1</v>
      </c>
      <c r="H920" s="16">
        <f t="shared" si="130"/>
        <v>1</v>
      </c>
      <c r="I920" s="16">
        <f t="shared" si="130"/>
        <v>0</v>
      </c>
      <c r="J920" s="16">
        <f t="shared" si="130"/>
        <v>360</v>
      </c>
      <c r="K920" s="16">
        <f t="shared" si="130"/>
        <v>0</v>
      </c>
      <c r="L920" s="16">
        <f t="shared" si="130"/>
        <v>100</v>
      </c>
      <c r="M920" s="16">
        <f t="shared" si="130"/>
        <v>0</v>
      </c>
      <c r="N920" s="16">
        <f t="shared" si="130"/>
        <v>3</v>
      </c>
      <c r="O920" s="16">
        <f t="shared" si="130"/>
        <v>360</v>
      </c>
      <c r="P920" s="16">
        <f t="shared" si="130"/>
        <v>7</v>
      </c>
      <c r="Q920" s="16">
        <f t="shared" si="130"/>
        <v>2</v>
      </c>
      <c r="R920" s="16">
        <f t="shared" si="129"/>
        <v>20</v>
      </c>
      <c r="S920" s="16">
        <f t="shared" si="129"/>
        <v>0</v>
      </c>
      <c r="T920" s="16">
        <f t="shared" si="129"/>
        <v>0</v>
      </c>
      <c r="U920" s="16">
        <f t="shared" si="129"/>
        <v>0</v>
      </c>
      <c r="V920" s="16">
        <f t="shared" si="129"/>
        <v>0</v>
      </c>
      <c r="W920" s="16">
        <f t="shared" si="129"/>
        <v>1</v>
      </c>
      <c r="X920" s="16" t="str">
        <f t="shared" si="126"/>
        <v>null</v>
      </c>
    </row>
    <row r="921" spans="1:24" x14ac:dyDescent="0.15">
      <c r="A921" s="20" t="str">
        <f t="shared" si="128"/>
        <v>26_5-5/362&lt;lv58&gt;s3</v>
      </c>
      <c r="B921" s="16">
        <f t="shared" si="130"/>
        <v>26</v>
      </c>
      <c r="C921" s="16">
        <f t="shared" si="130"/>
        <v>5</v>
      </c>
      <c r="D921" s="16">
        <f t="shared" si="130"/>
        <v>5</v>
      </c>
      <c r="E921" s="16">
        <f t="shared" si="130"/>
        <v>362</v>
      </c>
      <c r="F921" s="16">
        <f t="shared" si="130"/>
        <v>58</v>
      </c>
      <c r="G921" s="16">
        <f t="shared" si="130"/>
        <v>1</v>
      </c>
      <c r="H921" s="16">
        <f t="shared" si="130"/>
        <v>1</v>
      </c>
      <c r="I921" s="16">
        <f t="shared" si="130"/>
        <v>0</v>
      </c>
      <c r="J921" s="16">
        <f t="shared" si="130"/>
        <v>362</v>
      </c>
      <c r="K921" s="16">
        <f t="shared" si="130"/>
        <v>0</v>
      </c>
      <c r="L921" s="16">
        <f t="shared" si="130"/>
        <v>100</v>
      </c>
      <c r="M921" s="16">
        <f t="shared" si="130"/>
        <v>0</v>
      </c>
      <c r="N921" s="16">
        <f t="shared" si="130"/>
        <v>3</v>
      </c>
      <c r="O921" s="16">
        <f t="shared" si="130"/>
        <v>362</v>
      </c>
      <c r="P921" s="16">
        <f t="shared" si="130"/>
        <v>7</v>
      </c>
      <c r="Q921" s="16">
        <f t="shared" si="130"/>
        <v>2</v>
      </c>
      <c r="R921" s="16">
        <f t="shared" si="129"/>
        <v>20</v>
      </c>
      <c r="S921" s="16">
        <f t="shared" si="129"/>
        <v>0</v>
      </c>
      <c r="T921" s="16">
        <f t="shared" si="129"/>
        <v>0</v>
      </c>
      <c r="U921" s="16">
        <f t="shared" si="129"/>
        <v>0</v>
      </c>
      <c r="V921" s="16">
        <f t="shared" si="129"/>
        <v>0</v>
      </c>
      <c r="W921" s="16">
        <f t="shared" si="129"/>
        <v>1</v>
      </c>
      <c r="X921" s="16" t="str">
        <f t="shared" si="126"/>
        <v>null</v>
      </c>
    </row>
    <row r="922" spans="1:24" x14ac:dyDescent="0.15">
      <c r="A922" s="20" t="str">
        <f t="shared" si="128"/>
        <v>26_5-5/364&lt;lv58&gt;s3</v>
      </c>
      <c r="B922" s="16">
        <f t="shared" si="130"/>
        <v>26</v>
      </c>
      <c r="C922" s="16">
        <f t="shared" si="130"/>
        <v>5</v>
      </c>
      <c r="D922" s="16">
        <f t="shared" si="130"/>
        <v>5</v>
      </c>
      <c r="E922" s="16">
        <f t="shared" si="130"/>
        <v>364</v>
      </c>
      <c r="F922" s="16">
        <f t="shared" si="130"/>
        <v>58</v>
      </c>
      <c r="G922" s="16">
        <f t="shared" si="130"/>
        <v>1</v>
      </c>
      <c r="H922" s="16">
        <f t="shared" si="130"/>
        <v>1</v>
      </c>
      <c r="I922" s="16">
        <f t="shared" si="130"/>
        <v>0</v>
      </c>
      <c r="J922" s="16">
        <f t="shared" si="130"/>
        <v>364</v>
      </c>
      <c r="K922" s="16">
        <f t="shared" si="130"/>
        <v>0</v>
      </c>
      <c r="L922" s="16">
        <f t="shared" si="130"/>
        <v>100</v>
      </c>
      <c r="M922" s="16">
        <f t="shared" si="130"/>
        <v>0</v>
      </c>
      <c r="N922" s="16">
        <f t="shared" si="130"/>
        <v>3</v>
      </c>
      <c r="O922" s="16">
        <f t="shared" si="130"/>
        <v>364</v>
      </c>
      <c r="P922" s="16">
        <f t="shared" si="130"/>
        <v>7</v>
      </c>
      <c r="Q922" s="16">
        <f t="shared" si="130"/>
        <v>2</v>
      </c>
      <c r="R922" s="16">
        <f t="shared" si="129"/>
        <v>20</v>
      </c>
      <c r="S922" s="16">
        <f t="shared" si="129"/>
        <v>0</v>
      </c>
      <c r="T922" s="16">
        <f t="shared" si="129"/>
        <v>0</v>
      </c>
      <c r="U922" s="16">
        <f t="shared" si="129"/>
        <v>0</v>
      </c>
      <c r="V922" s="16">
        <f t="shared" si="129"/>
        <v>0</v>
      </c>
      <c r="W922" s="16">
        <f t="shared" si="129"/>
        <v>1</v>
      </c>
      <c r="X922" s="16" t="str">
        <f t="shared" si="126"/>
        <v>null</v>
      </c>
    </row>
    <row r="923" spans="1:24" x14ac:dyDescent="0.15">
      <c r="A923" s="20" t="str">
        <f t="shared" si="128"/>
        <v>26_5-5/366&lt;lv58&gt;s3</v>
      </c>
      <c r="B923" s="16">
        <f t="shared" si="130"/>
        <v>26</v>
      </c>
      <c r="C923" s="16">
        <f t="shared" si="130"/>
        <v>5</v>
      </c>
      <c r="D923" s="16">
        <f t="shared" si="130"/>
        <v>5</v>
      </c>
      <c r="E923" s="16">
        <f t="shared" si="130"/>
        <v>366</v>
      </c>
      <c r="F923" s="16">
        <f t="shared" si="130"/>
        <v>58</v>
      </c>
      <c r="G923" s="16">
        <f t="shared" si="130"/>
        <v>1</v>
      </c>
      <c r="H923" s="16">
        <f t="shared" si="130"/>
        <v>1</v>
      </c>
      <c r="I923" s="16">
        <f t="shared" si="130"/>
        <v>0</v>
      </c>
      <c r="J923" s="16">
        <f t="shared" si="130"/>
        <v>366</v>
      </c>
      <c r="K923" s="16">
        <f t="shared" si="130"/>
        <v>0</v>
      </c>
      <c r="L923" s="16">
        <f t="shared" si="130"/>
        <v>100</v>
      </c>
      <c r="M923" s="16">
        <f t="shared" si="130"/>
        <v>0</v>
      </c>
      <c r="N923" s="16">
        <f t="shared" si="130"/>
        <v>3</v>
      </c>
      <c r="O923" s="16">
        <f t="shared" si="130"/>
        <v>366</v>
      </c>
      <c r="P923" s="16">
        <f t="shared" si="130"/>
        <v>7</v>
      </c>
      <c r="Q923" s="16">
        <f t="shared" si="130"/>
        <v>2</v>
      </c>
      <c r="R923" s="16">
        <f t="shared" si="129"/>
        <v>20</v>
      </c>
      <c r="S923" s="16">
        <f t="shared" si="129"/>
        <v>0</v>
      </c>
      <c r="T923" s="16">
        <f t="shared" si="129"/>
        <v>0</v>
      </c>
      <c r="U923" s="16">
        <f t="shared" si="129"/>
        <v>0</v>
      </c>
      <c r="V923" s="16">
        <f t="shared" si="129"/>
        <v>0</v>
      </c>
      <c r="W923" s="16">
        <f t="shared" si="129"/>
        <v>1</v>
      </c>
      <c r="X923" s="16" t="str">
        <f t="shared" si="126"/>
        <v>null</v>
      </c>
    </row>
    <row r="924" spans="1:24" x14ac:dyDescent="0.15">
      <c r="A924" s="20" t="str">
        <f t="shared" si="128"/>
        <v>26_5-5/350&lt;lv58&gt;s3</v>
      </c>
      <c r="B924" s="16">
        <f t="shared" si="130"/>
        <v>26</v>
      </c>
      <c r="C924" s="16">
        <f t="shared" si="130"/>
        <v>5</v>
      </c>
      <c r="D924" s="16">
        <f t="shared" si="130"/>
        <v>5</v>
      </c>
      <c r="E924" s="16">
        <f t="shared" si="130"/>
        <v>350</v>
      </c>
      <c r="F924" s="16">
        <f t="shared" si="130"/>
        <v>58</v>
      </c>
      <c r="G924" s="16">
        <f t="shared" si="130"/>
        <v>1</v>
      </c>
      <c r="H924" s="16">
        <f t="shared" si="130"/>
        <v>1</v>
      </c>
      <c r="I924" s="16">
        <f t="shared" si="130"/>
        <v>0</v>
      </c>
      <c r="J924" s="16">
        <f t="shared" si="130"/>
        <v>350</v>
      </c>
      <c r="K924" s="16">
        <f t="shared" si="130"/>
        <v>0</v>
      </c>
      <c r="L924" s="16">
        <f t="shared" si="130"/>
        <v>100</v>
      </c>
      <c r="M924" s="16">
        <f t="shared" si="130"/>
        <v>0</v>
      </c>
      <c r="N924" s="16">
        <f t="shared" si="130"/>
        <v>3</v>
      </c>
      <c r="O924" s="16">
        <f t="shared" si="130"/>
        <v>350</v>
      </c>
      <c r="P924" s="16">
        <f t="shared" si="130"/>
        <v>1</v>
      </c>
      <c r="Q924" s="16">
        <f t="shared" si="130"/>
        <v>2</v>
      </c>
      <c r="R924" s="16">
        <f t="shared" si="129"/>
        <v>30</v>
      </c>
      <c r="S924" s="16">
        <f t="shared" si="129"/>
        <v>0</v>
      </c>
      <c r="T924" s="16">
        <f t="shared" si="129"/>
        <v>0</v>
      </c>
      <c r="U924" s="16">
        <f t="shared" si="129"/>
        <v>0</v>
      </c>
      <c r="V924" s="16">
        <f t="shared" si="129"/>
        <v>0</v>
      </c>
      <c r="W924" s="16">
        <f t="shared" si="129"/>
        <v>1</v>
      </c>
      <c r="X924" s="16" t="str">
        <f t="shared" si="126"/>
        <v>null</v>
      </c>
    </row>
    <row r="925" spans="1:24" x14ac:dyDescent="0.15">
      <c r="A925" s="20" t="str">
        <f t="shared" si="128"/>
        <v>26_5-5/354&lt;lv58&gt;s3</v>
      </c>
      <c r="B925" s="16">
        <f t="shared" si="130"/>
        <v>26</v>
      </c>
      <c r="C925" s="16">
        <f t="shared" si="130"/>
        <v>5</v>
      </c>
      <c r="D925" s="16">
        <f t="shared" si="130"/>
        <v>5</v>
      </c>
      <c r="E925" s="16">
        <f t="shared" si="130"/>
        <v>354</v>
      </c>
      <c r="F925" s="16">
        <f t="shared" si="130"/>
        <v>58</v>
      </c>
      <c r="G925" s="16">
        <f t="shared" si="130"/>
        <v>1</v>
      </c>
      <c r="H925" s="16">
        <f t="shared" si="130"/>
        <v>1</v>
      </c>
      <c r="I925" s="16">
        <f t="shared" si="130"/>
        <v>0</v>
      </c>
      <c r="J925" s="16">
        <f t="shared" si="130"/>
        <v>354</v>
      </c>
      <c r="K925" s="16">
        <f t="shared" si="130"/>
        <v>0</v>
      </c>
      <c r="L925" s="16">
        <f t="shared" si="130"/>
        <v>100</v>
      </c>
      <c r="M925" s="16">
        <f t="shared" si="130"/>
        <v>0</v>
      </c>
      <c r="N925" s="16">
        <f t="shared" si="130"/>
        <v>3</v>
      </c>
      <c r="O925" s="16">
        <f t="shared" si="130"/>
        <v>354</v>
      </c>
      <c r="P925" s="16">
        <f t="shared" si="130"/>
        <v>1</v>
      </c>
      <c r="Q925" s="16">
        <f t="shared" si="130"/>
        <v>2</v>
      </c>
      <c r="R925" s="16">
        <f t="shared" si="129"/>
        <v>30</v>
      </c>
      <c r="S925" s="16">
        <f t="shared" si="129"/>
        <v>0</v>
      </c>
      <c r="T925" s="16">
        <f t="shared" si="129"/>
        <v>0</v>
      </c>
      <c r="U925" s="16">
        <f t="shared" si="129"/>
        <v>0</v>
      </c>
      <c r="V925" s="16">
        <f t="shared" si="129"/>
        <v>0</v>
      </c>
      <c r="W925" s="16">
        <f t="shared" si="129"/>
        <v>1</v>
      </c>
      <c r="X925" s="16" t="str">
        <f t="shared" si="126"/>
        <v>null</v>
      </c>
    </row>
    <row r="926" spans="1:24" x14ac:dyDescent="0.15">
      <c r="A926" s="20" t="str">
        <f t="shared" si="128"/>
        <v>26_5-6/252&lt;lv63&gt;s2</v>
      </c>
      <c r="B926" s="16">
        <f t="shared" si="130"/>
        <v>26</v>
      </c>
      <c r="C926" s="16">
        <f t="shared" si="130"/>
        <v>5</v>
      </c>
      <c r="D926" s="16">
        <f t="shared" si="130"/>
        <v>6</v>
      </c>
      <c r="E926" s="16">
        <f t="shared" si="130"/>
        <v>252</v>
      </c>
      <c r="F926" s="16">
        <f t="shared" si="130"/>
        <v>63</v>
      </c>
      <c r="G926" s="16">
        <f t="shared" si="130"/>
        <v>1</v>
      </c>
      <c r="H926" s="16">
        <f t="shared" si="130"/>
        <v>1</v>
      </c>
      <c r="I926" s="16">
        <f t="shared" si="130"/>
        <v>0</v>
      </c>
      <c r="J926" s="16">
        <f t="shared" si="130"/>
        <v>25201</v>
      </c>
      <c r="K926" s="16">
        <f t="shared" si="130"/>
        <v>1</v>
      </c>
      <c r="L926" s="16">
        <f t="shared" si="130"/>
        <v>100</v>
      </c>
      <c r="M926" s="16">
        <f t="shared" si="130"/>
        <v>1</v>
      </c>
      <c r="N926" s="16">
        <f t="shared" si="130"/>
        <v>2</v>
      </c>
      <c r="O926" s="16">
        <f t="shared" si="130"/>
        <v>250</v>
      </c>
      <c r="P926" s="16">
        <f t="shared" si="130"/>
        <v>1</v>
      </c>
      <c r="Q926" s="16">
        <f t="shared" ref="Q926:W940" si="131">VLOOKUP($A926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926" s="16">
        <f t="shared" si="131"/>
        <v>0</v>
      </c>
      <c r="S926" s="16">
        <f t="shared" si="131"/>
        <v>0</v>
      </c>
      <c r="T926" s="16">
        <f t="shared" si="131"/>
        <v>0</v>
      </c>
      <c r="U926" s="16">
        <f t="shared" si="131"/>
        <v>0</v>
      </c>
      <c r="V926" s="16">
        <f t="shared" si="131"/>
        <v>0</v>
      </c>
      <c r="W926" s="16">
        <f t="shared" si="131"/>
        <v>1</v>
      </c>
      <c r="X926" s="16">
        <f t="shared" si="126"/>
        <v>252</v>
      </c>
    </row>
    <row r="927" spans="1:24" x14ac:dyDescent="0.15">
      <c r="A927" s="20" t="str">
        <f t="shared" si="128"/>
        <v>26_6-1/121&lt;lv58&gt;s1</v>
      </c>
      <c r="B927" s="16">
        <f t="shared" ref="B927:Q940" si="132">VLOOKUP($A927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26</v>
      </c>
      <c r="C927" s="16">
        <f t="shared" si="132"/>
        <v>6</v>
      </c>
      <c r="D927" s="16">
        <f t="shared" si="132"/>
        <v>1</v>
      </c>
      <c r="E927" s="16">
        <f t="shared" si="132"/>
        <v>121</v>
      </c>
      <c r="F927" s="16">
        <f t="shared" si="132"/>
        <v>58</v>
      </c>
      <c r="G927" s="16">
        <f t="shared" si="132"/>
        <v>1</v>
      </c>
      <c r="H927" s="16">
        <f t="shared" si="132"/>
        <v>1</v>
      </c>
      <c r="I927" s="16">
        <f t="shared" si="132"/>
        <v>0</v>
      </c>
      <c r="J927" s="16">
        <f t="shared" si="132"/>
        <v>0</v>
      </c>
      <c r="K927" s="16">
        <f t="shared" si="132"/>
        <v>0</v>
      </c>
      <c r="L927" s="16">
        <f t="shared" si="132"/>
        <v>100</v>
      </c>
      <c r="M927" s="16">
        <f t="shared" si="132"/>
        <v>0</v>
      </c>
      <c r="N927" s="16">
        <f t="shared" si="132"/>
        <v>1</v>
      </c>
      <c r="O927" s="16">
        <f t="shared" si="132"/>
        <v>121</v>
      </c>
      <c r="P927" s="16">
        <f t="shared" si="132"/>
        <v>1</v>
      </c>
      <c r="Q927" s="16">
        <f t="shared" si="132"/>
        <v>3</v>
      </c>
      <c r="R927" s="16">
        <f t="shared" si="131"/>
        <v>100</v>
      </c>
      <c r="S927" s="16">
        <f t="shared" si="131"/>
        <v>0</v>
      </c>
      <c r="T927" s="16">
        <f t="shared" si="131"/>
        <v>0</v>
      </c>
      <c r="U927" s="16">
        <f t="shared" si="131"/>
        <v>0</v>
      </c>
      <c r="V927" s="16">
        <f t="shared" si="131"/>
        <v>0</v>
      </c>
      <c r="W927" s="16">
        <f t="shared" si="131"/>
        <v>1</v>
      </c>
      <c r="X927" s="16" t="str">
        <f t="shared" si="126"/>
        <v>null</v>
      </c>
    </row>
    <row r="928" spans="1:24" x14ac:dyDescent="0.15">
      <c r="A928" s="20" t="str">
        <f t="shared" si="128"/>
        <v>26_6-1/122&lt;lv58&gt;s3</v>
      </c>
      <c r="B928" s="16">
        <f t="shared" si="132"/>
        <v>26</v>
      </c>
      <c r="C928" s="16">
        <f t="shared" si="132"/>
        <v>6</v>
      </c>
      <c r="D928" s="16">
        <f t="shared" si="132"/>
        <v>1</v>
      </c>
      <c r="E928" s="16">
        <f t="shared" si="132"/>
        <v>122</v>
      </c>
      <c r="F928" s="16">
        <f t="shared" si="132"/>
        <v>58</v>
      </c>
      <c r="G928" s="16">
        <f t="shared" si="132"/>
        <v>1</v>
      </c>
      <c r="H928" s="16">
        <f t="shared" si="132"/>
        <v>1</v>
      </c>
      <c r="I928" s="16">
        <f t="shared" si="132"/>
        <v>0</v>
      </c>
      <c r="J928" s="16">
        <f t="shared" si="132"/>
        <v>0</v>
      </c>
      <c r="K928" s="16">
        <f t="shared" si="132"/>
        <v>0</v>
      </c>
      <c r="L928" s="16">
        <f t="shared" si="132"/>
        <v>100</v>
      </c>
      <c r="M928" s="16">
        <f t="shared" si="132"/>
        <v>0</v>
      </c>
      <c r="N928" s="16">
        <f t="shared" si="132"/>
        <v>3</v>
      </c>
      <c r="O928" s="16">
        <f t="shared" si="132"/>
        <v>122</v>
      </c>
      <c r="P928" s="16">
        <f t="shared" si="132"/>
        <v>1</v>
      </c>
      <c r="Q928" s="16">
        <f t="shared" si="132"/>
        <v>3</v>
      </c>
      <c r="R928" s="16">
        <f t="shared" si="131"/>
        <v>100</v>
      </c>
      <c r="S928" s="16">
        <f t="shared" si="131"/>
        <v>0</v>
      </c>
      <c r="T928" s="16">
        <f t="shared" si="131"/>
        <v>0</v>
      </c>
      <c r="U928" s="16">
        <f t="shared" si="131"/>
        <v>0</v>
      </c>
      <c r="V928" s="16">
        <f t="shared" si="131"/>
        <v>0</v>
      </c>
      <c r="W928" s="16">
        <f t="shared" si="131"/>
        <v>1</v>
      </c>
      <c r="X928" s="16" t="str">
        <f t="shared" si="126"/>
        <v>null</v>
      </c>
    </row>
    <row r="929" spans="1:24" x14ac:dyDescent="0.15">
      <c r="A929" s="20" t="str">
        <f t="shared" si="128"/>
        <v>26_6-1/123&lt;lv58&gt;s2</v>
      </c>
      <c r="B929" s="16">
        <f t="shared" si="132"/>
        <v>26</v>
      </c>
      <c r="C929" s="16">
        <f t="shared" si="132"/>
        <v>6</v>
      </c>
      <c r="D929" s="16">
        <f t="shared" si="132"/>
        <v>1</v>
      </c>
      <c r="E929" s="16">
        <f t="shared" si="132"/>
        <v>123</v>
      </c>
      <c r="F929" s="16">
        <f t="shared" si="132"/>
        <v>58</v>
      </c>
      <c r="G929" s="16">
        <f t="shared" si="132"/>
        <v>1</v>
      </c>
      <c r="H929" s="16">
        <f t="shared" si="132"/>
        <v>1</v>
      </c>
      <c r="I929" s="16">
        <f t="shared" si="132"/>
        <v>0</v>
      </c>
      <c r="J929" s="16">
        <f t="shared" si="132"/>
        <v>0</v>
      </c>
      <c r="K929" s="16">
        <f t="shared" si="132"/>
        <v>0</v>
      </c>
      <c r="L929" s="16">
        <f t="shared" si="132"/>
        <v>100</v>
      </c>
      <c r="M929" s="16">
        <f t="shared" si="132"/>
        <v>0</v>
      </c>
      <c r="N929" s="16">
        <f t="shared" si="132"/>
        <v>2</v>
      </c>
      <c r="O929" s="16">
        <f t="shared" si="132"/>
        <v>123</v>
      </c>
      <c r="P929" s="16">
        <f t="shared" si="132"/>
        <v>1</v>
      </c>
      <c r="Q929" s="16">
        <f t="shared" si="132"/>
        <v>3</v>
      </c>
      <c r="R929" s="16">
        <f t="shared" si="131"/>
        <v>100</v>
      </c>
      <c r="S929" s="16">
        <f t="shared" si="131"/>
        <v>0</v>
      </c>
      <c r="T929" s="16">
        <f t="shared" si="131"/>
        <v>0</v>
      </c>
      <c r="U929" s="16">
        <f t="shared" si="131"/>
        <v>0</v>
      </c>
      <c r="V929" s="16">
        <f t="shared" si="131"/>
        <v>0</v>
      </c>
      <c r="W929" s="16">
        <f t="shared" si="131"/>
        <v>1</v>
      </c>
      <c r="X929" s="16" t="str">
        <f t="shared" si="126"/>
        <v>null</v>
      </c>
    </row>
    <row r="930" spans="1:24" x14ac:dyDescent="0.15">
      <c r="A930" s="20" t="str">
        <f t="shared" si="128"/>
        <v>26_6-2/121&lt;lv58&gt;s1</v>
      </c>
      <c r="B930" s="16">
        <f t="shared" si="132"/>
        <v>26</v>
      </c>
      <c r="C930" s="16">
        <f t="shared" si="132"/>
        <v>6</v>
      </c>
      <c r="D930" s="16">
        <f t="shared" si="132"/>
        <v>2</v>
      </c>
      <c r="E930" s="16">
        <f t="shared" si="132"/>
        <v>121</v>
      </c>
      <c r="F930" s="16">
        <f t="shared" si="132"/>
        <v>58</v>
      </c>
      <c r="G930" s="16">
        <f t="shared" si="132"/>
        <v>1</v>
      </c>
      <c r="H930" s="16">
        <f t="shared" si="132"/>
        <v>1</v>
      </c>
      <c r="I930" s="16">
        <f t="shared" si="132"/>
        <v>0</v>
      </c>
      <c r="J930" s="16">
        <f t="shared" si="132"/>
        <v>0</v>
      </c>
      <c r="K930" s="16">
        <f t="shared" si="132"/>
        <v>0</v>
      </c>
      <c r="L930" s="16">
        <f t="shared" si="132"/>
        <v>100</v>
      </c>
      <c r="M930" s="16">
        <f t="shared" si="132"/>
        <v>0</v>
      </c>
      <c r="N930" s="16">
        <f t="shared" si="132"/>
        <v>1</v>
      </c>
      <c r="O930" s="16">
        <f t="shared" si="132"/>
        <v>121</v>
      </c>
      <c r="P930" s="16">
        <f t="shared" si="132"/>
        <v>1</v>
      </c>
      <c r="Q930" s="16">
        <f t="shared" si="132"/>
        <v>3</v>
      </c>
      <c r="R930" s="16">
        <f t="shared" si="131"/>
        <v>100</v>
      </c>
      <c r="S930" s="16">
        <f t="shared" si="131"/>
        <v>0</v>
      </c>
      <c r="T930" s="16">
        <f t="shared" si="131"/>
        <v>0</v>
      </c>
      <c r="U930" s="16">
        <f t="shared" si="131"/>
        <v>0</v>
      </c>
      <c r="V930" s="16">
        <f t="shared" si="131"/>
        <v>0</v>
      </c>
      <c r="W930" s="16">
        <f t="shared" si="131"/>
        <v>1</v>
      </c>
      <c r="X930" s="16" t="str">
        <f t="shared" si="126"/>
        <v>null</v>
      </c>
    </row>
    <row r="931" spans="1:24" x14ac:dyDescent="0.15">
      <c r="A931" s="20" t="str">
        <f t="shared" si="128"/>
        <v>26_6-2/122&lt;lv58&gt;s3</v>
      </c>
      <c r="B931" s="16">
        <f t="shared" si="132"/>
        <v>26</v>
      </c>
      <c r="C931" s="16">
        <f t="shared" si="132"/>
        <v>6</v>
      </c>
      <c r="D931" s="16">
        <f t="shared" si="132"/>
        <v>2</v>
      </c>
      <c r="E931" s="16">
        <f t="shared" si="132"/>
        <v>122</v>
      </c>
      <c r="F931" s="16">
        <f t="shared" si="132"/>
        <v>58</v>
      </c>
      <c r="G931" s="16">
        <f t="shared" si="132"/>
        <v>1</v>
      </c>
      <c r="H931" s="16">
        <f t="shared" si="132"/>
        <v>1</v>
      </c>
      <c r="I931" s="16">
        <f t="shared" si="132"/>
        <v>0</v>
      </c>
      <c r="J931" s="16">
        <f t="shared" si="132"/>
        <v>0</v>
      </c>
      <c r="K931" s="16">
        <f t="shared" si="132"/>
        <v>0</v>
      </c>
      <c r="L931" s="16">
        <f t="shared" si="132"/>
        <v>100</v>
      </c>
      <c r="M931" s="16">
        <f t="shared" si="132"/>
        <v>0</v>
      </c>
      <c r="N931" s="16">
        <f t="shared" si="132"/>
        <v>3</v>
      </c>
      <c r="O931" s="16">
        <f t="shared" si="132"/>
        <v>122</v>
      </c>
      <c r="P931" s="16">
        <f t="shared" si="132"/>
        <v>1</v>
      </c>
      <c r="Q931" s="16">
        <f t="shared" si="132"/>
        <v>3</v>
      </c>
      <c r="R931" s="16">
        <f t="shared" si="131"/>
        <v>100</v>
      </c>
      <c r="S931" s="16">
        <f t="shared" si="131"/>
        <v>0</v>
      </c>
      <c r="T931" s="16">
        <f t="shared" si="131"/>
        <v>0</v>
      </c>
      <c r="U931" s="16">
        <f t="shared" si="131"/>
        <v>0</v>
      </c>
      <c r="V931" s="16">
        <f t="shared" si="131"/>
        <v>0</v>
      </c>
      <c r="W931" s="16">
        <f t="shared" si="131"/>
        <v>1</v>
      </c>
      <c r="X931" s="16" t="str">
        <f t="shared" si="126"/>
        <v>null</v>
      </c>
    </row>
    <row r="932" spans="1:24" x14ac:dyDescent="0.15">
      <c r="A932" s="20" t="str">
        <f t="shared" si="128"/>
        <v>26_6-2/123&lt;lv58&gt;s2</v>
      </c>
      <c r="B932" s="16">
        <f t="shared" si="132"/>
        <v>26</v>
      </c>
      <c r="C932" s="16">
        <f t="shared" si="132"/>
        <v>6</v>
      </c>
      <c r="D932" s="16">
        <f t="shared" si="132"/>
        <v>2</v>
      </c>
      <c r="E932" s="16">
        <f t="shared" si="132"/>
        <v>123</v>
      </c>
      <c r="F932" s="16">
        <f t="shared" si="132"/>
        <v>58</v>
      </c>
      <c r="G932" s="16">
        <f t="shared" si="132"/>
        <v>1</v>
      </c>
      <c r="H932" s="16">
        <f t="shared" si="132"/>
        <v>1</v>
      </c>
      <c r="I932" s="16">
        <f t="shared" si="132"/>
        <v>0</v>
      </c>
      <c r="J932" s="16">
        <f t="shared" si="132"/>
        <v>0</v>
      </c>
      <c r="K932" s="16">
        <f t="shared" si="132"/>
        <v>0</v>
      </c>
      <c r="L932" s="16">
        <f t="shared" si="132"/>
        <v>100</v>
      </c>
      <c r="M932" s="16">
        <f t="shared" si="132"/>
        <v>0</v>
      </c>
      <c r="N932" s="16">
        <f t="shared" si="132"/>
        <v>2</v>
      </c>
      <c r="O932" s="16">
        <f t="shared" si="132"/>
        <v>123</v>
      </c>
      <c r="P932" s="16">
        <f t="shared" si="132"/>
        <v>1</v>
      </c>
      <c r="Q932" s="16">
        <f t="shared" si="132"/>
        <v>3</v>
      </c>
      <c r="R932" s="16">
        <f t="shared" si="131"/>
        <v>100</v>
      </c>
      <c r="S932" s="16">
        <f t="shared" si="131"/>
        <v>0</v>
      </c>
      <c r="T932" s="16">
        <f t="shared" si="131"/>
        <v>0</v>
      </c>
      <c r="U932" s="16">
        <f t="shared" si="131"/>
        <v>0</v>
      </c>
      <c r="V932" s="16">
        <f t="shared" si="131"/>
        <v>0</v>
      </c>
      <c r="W932" s="16">
        <f t="shared" si="131"/>
        <v>1</v>
      </c>
      <c r="X932" s="16" t="str">
        <f t="shared" si="126"/>
        <v>null</v>
      </c>
    </row>
    <row r="933" spans="1:24" x14ac:dyDescent="0.15">
      <c r="A933" s="20" t="str">
        <f t="shared" si="128"/>
        <v>26_6-3/125&lt;lv58&gt;s4</v>
      </c>
      <c r="B933" s="16">
        <f t="shared" si="132"/>
        <v>26</v>
      </c>
      <c r="C933" s="16">
        <f t="shared" si="132"/>
        <v>6</v>
      </c>
      <c r="D933" s="16">
        <f t="shared" si="132"/>
        <v>3</v>
      </c>
      <c r="E933" s="16">
        <f t="shared" si="132"/>
        <v>125</v>
      </c>
      <c r="F933" s="16">
        <f t="shared" si="132"/>
        <v>58</v>
      </c>
      <c r="G933" s="16">
        <f t="shared" si="132"/>
        <v>1</v>
      </c>
      <c r="H933" s="16">
        <f t="shared" si="132"/>
        <v>1</v>
      </c>
      <c r="I933" s="16">
        <f t="shared" si="132"/>
        <v>0</v>
      </c>
      <c r="J933" s="16">
        <f t="shared" si="132"/>
        <v>0</v>
      </c>
      <c r="K933" s="16">
        <f t="shared" si="132"/>
        <v>0</v>
      </c>
      <c r="L933" s="16">
        <f t="shared" si="132"/>
        <v>100</v>
      </c>
      <c r="M933" s="16">
        <f t="shared" si="132"/>
        <v>0</v>
      </c>
      <c r="N933" s="16">
        <f t="shared" si="132"/>
        <v>4</v>
      </c>
      <c r="O933" s="16">
        <f t="shared" si="132"/>
        <v>125</v>
      </c>
      <c r="P933" s="16">
        <f t="shared" si="132"/>
        <v>1</v>
      </c>
      <c r="Q933" s="16">
        <f t="shared" si="132"/>
        <v>3</v>
      </c>
      <c r="R933" s="16">
        <f t="shared" si="131"/>
        <v>100</v>
      </c>
      <c r="S933" s="16">
        <f t="shared" si="131"/>
        <v>0</v>
      </c>
      <c r="T933" s="16">
        <f t="shared" si="131"/>
        <v>0</v>
      </c>
      <c r="U933" s="16">
        <f t="shared" si="131"/>
        <v>0</v>
      </c>
      <c r="V933" s="16">
        <f t="shared" si="131"/>
        <v>0</v>
      </c>
      <c r="W933" s="16">
        <f t="shared" si="131"/>
        <v>1</v>
      </c>
      <c r="X933" s="16" t="str">
        <f t="shared" si="126"/>
        <v>null</v>
      </c>
    </row>
    <row r="934" spans="1:24" x14ac:dyDescent="0.15">
      <c r="A934" s="20" t="str">
        <f t="shared" si="128"/>
        <v>26_6-4/121&lt;lv58&gt;s1</v>
      </c>
      <c r="B934" s="16">
        <f t="shared" si="132"/>
        <v>26</v>
      </c>
      <c r="C934" s="16">
        <f t="shared" si="132"/>
        <v>6</v>
      </c>
      <c r="D934" s="16">
        <f t="shared" si="132"/>
        <v>4</v>
      </c>
      <c r="E934" s="16">
        <f t="shared" si="132"/>
        <v>121</v>
      </c>
      <c r="F934" s="16">
        <f t="shared" si="132"/>
        <v>58</v>
      </c>
      <c r="G934" s="16">
        <f t="shared" si="132"/>
        <v>1</v>
      </c>
      <c r="H934" s="16">
        <f t="shared" si="132"/>
        <v>1</v>
      </c>
      <c r="I934" s="16">
        <f t="shared" si="132"/>
        <v>0</v>
      </c>
      <c r="J934" s="16">
        <f t="shared" si="132"/>
        <v>0</v>
      </c>
      <c r="K934" s="16">
        <f t="shared" si="132"/>
        <v>0</v>
      </c>
      <c r="L934" s="16">
        <f t="shared" si="132"/>
        <v>100</v>
      </c>
      <c r="M934" s="16">
        <f t="shared" si="132"/>
        <v>0</v>
      </c>
      <c r="N934" s="16">
        <f t="shared" si="132"/>
        <v>1</v>
      </c>
      <c r="O934" s="16">
        <f t="shared" si="132"/>
        <v>121</v>
      </c>
      <c r="P934" s="16">
        <f t="shared" si="132"/>
        <v>1</v>
      </c>
      <c r="Q934" s="16">
        <f t="shared" si="132"/>
        <v>3</v>
      </c>
      <c r="R934" s="16">
        <f t="shared" si="131"/>
        <v>100</v>
      </c>
      <c r="S934" s="16">
        <f t="shared" si="131"/>
        <v>0</v>
      </c>
      <c r="T934" s="16">
        <f t="shared" si="131"/>
        <v>0</v>
      </c>
      <c r="U934" s="16">
        <f t="shared" si="131"/>
        <v>0</v>
      </c>
      <c r="V934" s="16">
        <f t="shared" si="131"/>
        <v>0</v>
      </c>
      <c r="W934" s="16">
        <f t="shared" si="131"/>
        <v>1</v>
      </c>
      <c r="X934" s="16" t="str">
        <f t="shared" si="126"/>
        <v>null</v>
      </c>
    </row>
    <row r="935" spans="1:24" x14ac:dyDescent="0.15">
      <c r="A935" s="20" t="str">
        <f t="shared" si="128"/>
        <v>26_6-4/122&lt;lv58&gt;s3</v>
      </c>
      <c r="B935" s="16">
        <f t="shared" si="132"/>
        <v>26</v>
      </c>
      <c r="C935" s="16">
        <f t="shared" si="132"/>
        <v>6</v>
      </c>
      <c r="D935" s="16">
        <f t="shared" si="132"/>
        <v>4</v>
      </c>
      <c r="E935" s="16">
        <f t="shared" si="132"/>
        <v>122</v>
      </c>
      <c r="F935" s="16">
        <f t="shared" si="132"/>
        <v>58</v>
      </c>
      <c r="G935" s="16">
        <f t="shared" si="132"/>
        <v>1</v>
      </c>
      <c r="H935" s="16">
        <f t="shared" si="132"/>
        <v>1</v>
      </c>
      <c r="I935" s="16">
        <f t="shared" si="132"/>
        <v>0</v>
      </c>
      <c r="J935" s="16">
        <f t="shared" si="132"/>
        <v>0</v>
      </c>
      <c r="K935" s="16">
        <f t="shared" si="132"/>
        <v>0</v>
      </c>
      <c r="L935" s="16">
        <f t="shared" si="132"/>
        <v>100</v>
      </c>
      <c r="M935" s="16">
        <f t="shared" si="132"/>
        <v>0</v>
      </c>
      <c r="N935" s="16">
        <f t="shared" si="132"/>
        <v>3</v>
      </c>
      <c r="O935" s="16">
        <f t="shared" si="132"/>
        <v>122</v>
      </c>
      <c r="P935" s="16">
        <f t="shared" si="132"/>
        <v>1</v>
      </c>
      <c r="Q935" s="16">
        <f t="shared" si="132"/>
        <v>3</v>
      </c>
      <c r="R935" s="16">
        <f t="shared" si="131"/>
        <v>100</v>
      </c>
      <c r="S935" s="16">
        <f t="shared" si="131"/>
        <v>0</v>
      </c>
      <c r="T935" s="16">
        <f t="shared" si="131"/>
        <v>0</v>
      </c>
      <c r="U935" s="16">
        <f t="shared" si="131"/>
        <v>0</v>
      </c>
      <c r="V935" s="16">
        <f t="shared" si="131"/>
        <v>0</v>
      </c>
      <c r="W935" s="16">
        <f t="shared" si="131"/>
        <v>1</v>
      </c>
      <c r="X935" s="16" t="str">
        <f t="shared" si="126"/>
        <v>null</v>
      </c>
    </row>
    <row r="936" spans="1:24" x14ac:dyDescent="0.15">
      <c r="A936" s="20" t="str">
        <f t="shared" si="128"/>
        <v>26_6-4/123&lt;lv58&gt;s2</v>
      </c>
      <c r="B936" s="16">
        <f t="shared" si="132"/>
        <v>26</v>
      </c>
      <c r="C936" s="16">
        <f t="shared" si="132"/>
        <v>6</v>
      </c>
      <c r="D936" s="16">
        <f t="shared" si="132"/>
        <v>4</v>
      </c>
      <c r="E936" s="16">
        <f t="shared" si="132"/>
        <v>123</v>
      </c>
      <c r="F936" s="16">
        <f t="shared" si="132"/>
        <v>58</v>
      </c>
      <c r="G936" s="16">
        <f t="shared" si="132"/>
        <v>1</v>
      </c>
      <c r="H936" s="16">
        <f t="shared" si="132"/>
        <v>1</v>
      </c>
      <c r="I936" s="16">
        <f t="shared" si="132"/>
        <v>0</v>
      </c>
      <c r="J936" s="16">
        <f t="shared" si="132"/>
        <v>0</v>
      </c>
      <c r="K936" s="16">
        <f t="shared" si="132"/>
        <v>0</v>
      </c>
      <c r="L936" s="16">
        <f t="shared" si="132"/>
        <v>100</v>
      </c>
      <c r="M936" s="16">
        <f t="shared" si="132"/>
        <v>0</v>
      </c>
      <c r="N936" s="16">
        <f t="shared" si="132"/>
        <v>2</v>
      </c>
      <c r="O936" s="16">
        <f t="shared" si="132"/>
        <v>123</v>
      </c>
      <c r="P936" s="16">
        <f t="shared" si="132"/>
        <v>1</v>
      </c>
      <c r="Q936" s="16">
        <f t="shared" si="132"/>
        <v>3</v>
      </c>
      <c r="R936" s="16">
        <f t="shared" si="131"/>
        <v>100</v>
      </c>
      <c r="S936" s="16">
        <f t="shared" si="131"/>
        <v>0</v>
      </c>
      <c r="T936" s="16">
        <f t="shared" si="131"/>
        <v>0</v>
      </c>
      <c r="U936" s="16">
        <f t="shared" si="131"/>
        <v>0</v>
      </c>
      <c r="V936" s="16">
        <f t="shared" si="131"/>
        <v>0</v>
      </c>
      <c r="W936" s="16">
        <f t="shared" si="131"/>
        <v>1</v>
      </c>
      <c r="X936" s="16" t="str">
        <f t="shared" si="126"/>
        <v>null</v>
      </c>
    </row>
    <row r="937" spans="1:24" x14ac:dyDescent="0.15">
      <c r="A937" s="20" t="str">
        <f t="shared" si="128"/>
        <v>26_6-5/121&lt;lv58&gt;s1</v>
      </c>
      <c r="B937" s="16">
        <f t="shared" si="132"/>
        <v>26</v>
      </c>
      <c r="C937" s="16">
        <f t="shared" si="132"/>
        <v>6</v>
      </c>
      <c r="D937" s="16">
        <f t="shared" si="132"/>
        <v>5</v>
      </c>
      <c r="E937" s="16">
        <f t="shared" si="132"/>
        <v>121</v>
      </c>
      <c r="F937" s="16">
        <f t="shared" si="132"/>
        <v>58</v>
      </c>
      <c r="G937" s="16">
        <f t="shared" si="132"/>
        <v>1</v>
      </c>
      <c r="H937" s="16">
        <f t="shared" si="132"/>
        <v>1</v>
      </c>
      <c r="I937" s="16">
        <f t="shared" si="132"/>
        <v>0</v>
      </c>
      <c r="J937" s="16">
        <f t="shared" si="132"/>
        <v>0</v>
      </c>
      <c r="K937" s="16">
        <f t="shared" si="132"/>
        <v>0</v>
      </c>
      <c r="L937" s="16">
        <f t="shared" si="132"/>
        <v>100</v>
      </c>
      <c r="M937" s="16">
        <f t="shared" si="132"/>
        <v>0</v>
      </c>
      <c r="N937" s="16">
        <f t="shared" si="132"/>
        <v>1</v>
      </c>
      <c r="O937" s="16">
        <f t="shared" si="132"/>
        <v>121</v>
      </c>
      <c r="P937" s="16">
        <f t="shared" si="132"/>
        <v>1</v>
      </c>
      <c r="Q937" s="16">
        <f t="shared" si="132"/>
        <v>3</v>
      </c>
      <c r="R937" s="16">
        <f t="shared" si="131"/>
        <v>0</v>
      </c>
      <c r="S937" s="16">
        <f t="shared" si="131"/>
        <v>0</v>
      </c>
      <c r="T937" s="16">
        <f t="shared" si="131"/>
        <v>0</v>
      </c>
      <c r="U937" s="16">
        <f t="shared" si="131"/>
        <v>0</v>
      </c>
      <c r="V937" s="16">
        <f t="shared" si="131"/>
        <v>0</v>
      </c>
      <c r="W937" s="16">
        <f t="shared" si="131"/>
        <v>1</v>
      </c>
      <c r="X937" s="16" t="str">
        <f t="shared" si="126"/>
        <v>null</v>
      </c>
    </row>
    <row r="938" spans="1:24" x14ac:dyDescent="0.15">
      <c r="A938" s="20" t="str">
        <f t="shared" si="128"/>
        <v>26_6-5/122&lt;lv58&gt;s3</v>
      </c>
      <c r="B938" s="16">
        <f t="shared" si="132"/>
        <v>26</v>
      </c>
      <c r="C938" s="16">
        <f t="shared" si="132"/>
        <v>6</v>
      </c>
      <c r="D938" s="16">
        <f t="shared" si="132"/>
        <v>5</v>
      </c>
      <c r="E938" s="16">
        <f t="shared" si="132"/>
        <v>122</v>
      </c>
      <c r="F938" s="16">
        <f t="shared" si="132"/>
        <v>58</v>
      </c>
      <c r="G938" s="16">
        <f t="shared" si="132"/>
        <v>1</v>
      </c>
      <c r="H938" s="16">
        <f t="shared" si="132"/>
        <v>1</v>
      </c>
      <c r="I938" s="16">
        <f t="shared" si="132"/>
        <v>0</v>
      </c>
      <c r="J938" s="16">
        <f t="shared" si="132"/>
        <v>0</v>
      </c>
      <c r="K938" s="16">
        <f t="shared" si="132"/>
        <v>0</v>
      </c>
      <c r="L938" s="16">
        <f t="shared" si="132"/>
        <v>100</v>
      </c>
      <c r="M938" s="16">
        <f t="shared" si="132"/>
        <v>0</v>
      </c>
      <c r="N938" s="16">
        <f t="shared" si="132"/>
        <v>3</v>
      </c>
      <c r="O938" s="16">
        <f t="shared" si="132"/>
        <v>122</v>
      </c>
      <c r="P938" s="16">
        <f t="shared" si="132"/>
        <v>1</v>
      </c>
      <c r="Q938" s="16">
        <f t="shared" si="132"/>
        <v>3</v>
      </c>
      <c r="R938" s="16">
        <f t="shared" si="131"/>
        <v>0</v>
      </c>
      <c r="S938" s="16">
        <f t="shared" si="131"/>
        <v>0</v>
      </c>
      <c r="T938" s="16">
        <f t="shared" si="131"/>
        <v>0</v>
      </c>
      <c r="U938" s="16">
        <f t="shared" si="131"/>
        <v>0</v>
      </c>
      <c r="V938" s="16">
        <f t="shared" si="131"/>
        <v>0</v>
      </c>
      <c r="W938" s="16">
        <f t="shared" si="131"/>
        <v>1</v>
      </c>
      <c r="X938" s="16" t="str">
        <f t="shared" si="126"/>
        <v>null</v>
      </c>
    </row>
    <row r="939" spans="1:24" x14ac:dyDescent="0.15">
      <c r="A939" s="20" t="str">
        <f t="shared" si="128"/>
        <v>26_6-5/123&lt;lv58&gt;s2</v>
      </c>
      <c r="B939" s="16">
        <f t="shared" si="132"/>
        <v>26</v>
      </c>
      <c r="C939" s="16">
        <f t="shared" si="132"/>
        <v>6</v>
      </c>
      <c r="D939" s="16">
        <f t="shared" si="132"/>
        <v>5</v>
      </c>
      <c r="E939" s="16">
        <f t="shared" si="132"/>
        <v>123</v>
      </c>
      <c r="F939" s="16">
        <f t="shared" si="132"/>
        <v>58</v>
      </c>
      <c r="G939" s="16">
        <f t="shared" si="132"/>
        <v>1</v>
      </c>
      <c r="H939" s="16">
        <f t="shared" si="132"/>
        <v>1</v>
      </c>
      <c r="I939" s="16">
        <f t="shared" si="132"/>
        <v>0</v>
      </c>
      <c r="J939" s="16">
        <f t="shared" si="132"/>
        <v>0</v>
      </c>
      <c r="K939" s="16">
        <f t="shared" si="132"/>
        <v>0</v>
      </c>
      <c r="L939" s="16">
        <f t="shared" si="132"/>
        <v>100</v>
      </c>
      <c r="M939" s="16">
        <f t="shared" si="132"/>
        <v>0</v>
      </c>
      <c r="N939" s="16">
        <f t="shared" si="132"/>
        <v>2</v>
      </c>
      <c r="O939" s="16">
        <f t="shared" si="132"/>
        <v>123</v>
      </c>
      <c r="P939" s="16">
        <f t="shared" si="132"/>
        <v>1</v>
      </c>
      <c r="Q939" s="16">
        <f t="shared" si="132"/>
        <v>3</v>
      </c>
      <c r="R939" s="16">
        <f t="shared" si="131"/>
        <v>0</v>
      </c>
      <c r="S939" s="16">
        <f t="shared" si="131"/>
        <v>0</v>
      </c>
      <c r="T939" s="16">
        <f t="shared" si="131"/>
        <v>0</v>
      </c>
      <c r="U939" s="16">
        <f t="shared" si="131"/>
        <v>0</v>
      </c>
      <c r="V939" s="16">
        <f t="shared" si="131"/>
        <v>0</v>
      </c>
      <c r="W939" s="16">
        <f t="shared" si="131"/>
        <v>1</v>
      </c>
      <c r="X939" s="16" t="str">
        <f t="shared" si="126"/>
        <v>null</v>
      </c>
    </row>
    <row r="940" spans="1:24" x14ac:dyDescent="0.15">
      <c r="A940" s="20" t="str">
        <f t="shared" si="128"/>
        <v>26_6-5/125&lt;lv59&gt;s4</v>
      </c>
      <c r="B940" s="16">
        <f t="shared" si="132"/>
        <v>26</v>
      </c>
      <c r="C940" s="16">
        <f t="shared" si="132"/>
        <v>6</v>
      </c>
      <c r="D940" s="16">
        <f t="shared" si="132"/>
        <v>5</v>
      </c>
      <c r="E940" s="16">
        <f t="shared" si="132"/>
        <v>125</v>
      </c>
      <c r="F940" s="16">
        <f t="shared" si="132"/>
        <v>59</v>
      </c>
      <c r="G940" s="16">
        <f t="shared" si="132"/>
        <v>1</v>
      </c>
      <c r="H940" s="16">
        <f t="shared" si="132"/>
        <v>1</v>
      </c>
      <c r="I940" s="16">
        <f t="shared" si="132"/>
        <v>0</v>
      </c>
      <c r="J940" s="16">
        <f t="shared" si="132"/>
        <v>0</v>
      </c>
      <c r="K940" s="16">
        <f t="shared" si="132"/>
        <v>1</v>
      </c>
      <c r="L940" s="16">
        <f t="shared" si="132"/>
        <v>100</v>
      </c>
      <c r="M940" s="16">
        <f t="shared" si="132"/>
        <v>1</v>
      </c>
      <c r="N940" s="16">
        <f t="shared" si="132"/>
        <v>4</v>
      </c>
      <c r="O940" s="16">
        <f t="shared" si="132"/>
        <v>125</v>
      </c>
      <c r="P940" s="16">
        <f t="shared" si="132"/>
        <v>1</v>
      </c>
      <c r="Q940" s="16">
        <f t="shared" si="132"/>
        <v>3</v>
      </c>
      <c r="R940" s="16">
        <f t="shared" si="131"/>
        <v>100</v>
      </c>
      <c r="S940" s="16">
        <f t="shared" si="131"/>
        <v>0</v>
      </c>
      <c r="T940" s="16">
        <f t="shared" si="131"/>
        <v>0</v>
      </c>
      <c r="U940" s="16">
        <f t="shared" si="131"/>
        <v>0</v>
      </c>
      <c r="V940" s="16">
        <f t="shared" si="131"/>
        <v>0</v>
      </c>
      <c r="W940" s="16">
        <f t="shared" si="131"/>
        <v>1</v>
      </c>
      <c r="X940" s="16" t="str">
        <f t="shared" si="126"/>
        <v>null</v>
      </c>
    </row>
    <row r="941" spans="1:24" x14ac:dyDescent="0.15">
      <c r="A941"/>
    </row>
    <row r="942" spans="1:24" x14ac:dyDescent="0.15">
      <c r="A942"/>
    </row>
    <row r="943" spans="1:24" x14ac:dyDescent="0.15">
      <c r="A943"/>
    </row>
    <row r="944" spans="1:24" x14ac:dyDescent="0.15">
      <c r="A944"/>
    </row>
    <row r="945" spans="1:1" x14ac:dyDescent="0.15">
      <c r="A945"/>
    </row>
    <row r="946" spans="1:1" x14ac:dyDescent="0.15">
      <c r="A946"/>
    </row>
    <row r="947" spans="1:1" x14ac:dyDescent="0.15">
      <c r="A947"/>
    </row>
    <row r="948" spans="1:1" x14ac:dyDescent="0.15">
      <c r="A948"/>
    </row>
    <row r="949" spans="1:1" x14ac:dyDescent="0.15">
      <c r="A949"/>
    </row>
    <row r="950" spans="1:1" x14ac:dyDescent="0.15">
      <c r="A950"/>
    </row>
    <row r="951" spans="1:1" x14ac:dyDescent="0.15">
      <c r="A951"/>
    </row>
    <row r="952" spans="1:1" x14ac:dyDescent="0.15">
      <c r="A952"/>
    </row>
    <row r="953" spans="1:1" x14ac:dyDescent="0.15">
      <c r="A953"/>
    </row>
    <row r="954" spans="1:1" x14ac:dyDescent="0.15">
      <c r="A954"/>
    </row>
    <row r="955" spans="1:1" x14ac:dyDescent="0.15">
      <c r="A955"/>
    </row>
    <row r="956" spans="1:1" x14ac:dyDescent="0.15">
      <c r="A956"/>
    </row>
    <row r="957" spans="1:1" x14ac:dyDescent="0.15">
      <c r="A957"/>
    </row>
    <row r="958" spans="1:1" x14ac:dyDescent="0.15">
      <c r="A958"/>
    </row>
    <row r="959" spans="1:1" x14ac:dyDescent="0.15">
      <c r="A959"/>
    </row>
    <row r="960" spans="1:1" x14ac:dyDescent="0.15">
      <c r="A960"/>
    </row>
    <row r="961" spans="1:1" x14ac:dyDescent="0.15">
      <c r="A961"/>
    </row>
    <row r="962" spans="1:1" x14ac:dyDescent="0.15">
      <c r="A962"/>
    </row>
    <row r="963" spans="1:1" x14ac:dyDescent="0.15">
      <c r="A963"/>
    </row>
    <row r="964" spans="1:1" x14ac:dyDescent="0.15">
      <c r="A964"/>
    </row>
    <row r="965" spans="1:1" x14ac:dyDescent="0.15">
      <c r="A965"/>
    </row>
    <row r="966" spans="1:1" x14ac:dyDescent="0.15">
      <c r="A966"/>
    </row>
    <row r="967" spans="1:1" x14ac:dyDescent="0.15">
      <c r="A967"/>
    </row>
    <row r="968" spans="1:1" x14ac:dyDescent="0.15">
      <c r="A968"/>
    </row>
    <row r="969" spans="1:1" x14ac:dyDescent="0.15">
      <c r="A969"/>
    </row>
    <row r="970" spans="1:1" x14ac:dyDescent="0.15">
      <c r="A970"/>
    </row>
    <row r="971" spans="1:1" x14ac:dyDescent="0.15">
      <c r="A971"/>
    </row>
    <row r="972" spans="1:1" x14ac:dyDescent="0.15">
      <c r="A972"/>
    </row>
    <row r="973" spans="1:1" x14ac:dyDescent="0.15">
      <c r="A973"/>
    </row>
    <row r="974" spans="1:1" x14ac:dyDescent="0.15">
      <c r="A974"/>
    </row>
    <row r="975" spans="1:1" x14ac:dyDescent="0.15">
      <c r="A975"/>
    </row>
    <row r="976" spans="1:1" x14ac:dyDescent="0.15">
      <c r="A976"/>
    </row>
    <row r="977" spans="1:1" x14ac:dyDescent="0.15">
      <c r="A977"/>
    </row>
    <row r="978" spans="1:1" x14ac:dyDescent="0.15">
      <c r="A978"/>
    </row>
    <row r="979" spans="1:1" x14ac:dyDescent="0.15">
      <c r="A979"/>
    </row>
    <row r="980" spans="1:1" x14ac:dyDescent="0.15">
      <c r="A980"/>
    </row>
    <row r="981" spans="1:1" x14ac:dyDescent="0.15">
      <c r="A981"/>
    </row>
    <row r="982" spans="1:1" x14ac:dyDescent="0.15">
      <c r="A982"/>
    </row>
    <row r="983" spans="1:1" x14ac:dyDescent="0.15">
      <c r="A983"/>
    </row>
    <row r="984" spans="1:1" x14ac:dyDescent="0.15">
      <c r="A984"/>
    </row>
    <row r="985" spans="1:1" x14ac:dyDescent="0.15">
      <c r="A985"/>
    </row>
    <row r="986" spans="1:1" x14ac:dyDescent="0.15">
      <c r="A986"/>
    </row>
    <row r="987" spans="1:1" x14ac:dyDescent="0.15">
      <c r="A987"/>
    </row>
    <row r="988" spans="1:1" x14ac:dyDescent="0.15">
      <c r="A988"/>
    </row>
    <row r="989" spans="1:1" x14ac:dyDescent="0.15">
      <c r="A989"/>
    </row>
    <row r="990" spans="1:1" x14ac:dyDescent="0.15">
      <c r="A990"/>
    </row>
    <row r="991" spans="1:1" x14ac:dyDescent="0.15">
      <c r="A991"/>
    </row>
    <row r="992" spans="1:1" x14ac:dyDescent="0.15">
      <c r="A992"/>
    </row>
    <row r="993" spans="1:1" x14ac:dyDescent="0.15">
      <c r="A993"/>
    </row>
    <row r="994" spans="1:1" x14ac:dyDescent="0.15">
      <c r="A994"/>
    </row>
    <row r="995" spans="1:1" x14ac:dyDescent="0.15">
      <c r="A995"/>
    </row>
    <row r="996" spans="1:1" x14ac:dyDescent="0.15">
      <c r="A996"/>
    </row>
    <row r="997" spans="1:1" x14ac:dyDescent="0.15">
      <c r="A997"/>
    </row>
    <row r="998" spans="1:1" x14ac:dyDescent="0.15">
      <c r="A998"/>
    </row>
    <row r="999" spans="1:1" x14ac:dyDescent="0.15">
      <c r="A999"/>
    </row>
    <row r="1000" spans="1:1" x14ac:dyDescent="0.15">
      <c r="A1000"/>
    </row>
    <row r="1001" spans="1:1" x14ac:dyDescent="0.15">
      <c r="A1001"/>
    </row>
    <row r="1002" spans="1:1" x14ac:dyDescent="0.15">
      <c r="A1002"/>
    </row>
    <row r="1003" spans="1:1" x14ac:dyDescent="0.15">
      <c r="A1003"/>
    </row>
    <row r="1004" spans="1:1" x14ac:dyDescent="0.15">
      <c r="A1004"/>
    </row>
    <row r="1005" spans="1:1" x14ac:dyDescent="0.15">
      <c r="A1005"/>
    </row>
    <row r="1006" spans="1:1" x14ac:dyDescent="0.15">
      <c r="A1006"/>
    </row>
    <row r="1007" spans="1:1" x14ac:dyDescent="0.15">
      <c r="A1007"/>
    </row>
    <row r="1008" spans="1:1" x14ac:dyDescent="0.15">
      <c r="A1008"/>
    </row>
    <row r="1009" spans="1:1" x14ac:dyDescent="0.15">
      <c r="A1009"/>
    </row>
    <row r="1010" spans="1:1" x14ac:dyDescent="0.15">
      <c r="A1010"/>
    </row>
    <row r="1011" spans="1:1" x14ac:dyDescent="0.15">
      <c r="A1011"/>
    </row>
    <row r="1012" spans="1:1" x14ac:dyDescent="0.15">
      <c r="A1012"/>
    </row>
    <row r="1013" spans="1:1" x14ac:dyDescent="0.15">
      <c r="A1013"/>
    </row>
    <row r="1014" spans="1:1" x14ac:dyDescent="0.15">
      <c r="A1014"/>
    </row>
    <row r="1015" spans="1:1" x14ac:dyDescent="0.15">
      <c r="A1015"/>
    </row>
    <row r="1016" spans="1:1" x14ac:dyDescent="0.15">
      <c r="A1016"/>
    </row>
    <row r="1017" spans="1:1" x14ac:dyDescent="0.15">
      <c r="A1017"/>
    </row>
    <row r="1018" spans="1:1" x14ac:dyDescent="0.15">
      <c r="A1018"/>
    </row>
    <row r="1019" spans="1:1" x14ac:dyDescent="0.15">
      <c r="A1019"/>
    </row>
    <row r="1020" spans="1:1" x14ac:dyDescent="0.15">
      <c r="A1020"/>
    </row>
    <row r="1021" spans="1:1" x14ac:dyDescent="0.15">
      <c r="A1021"/>
    </row>
    <row r="1022" spans="1:1" x14ac:dyDescent="0.15">
      <c r="A1022"/>
    </row>
    <row r="1023" spans="1:1" x14ac:dyDescent="0.15">
      <c r="A1023"/>
    </row>
    <row r="1024" spans="1:1" x14ac:dyDescent="0.15">
      <c r="A1024"/>
    </row>
    <row r="1025" spans="1:1" x14ac:dyDescent="0.15">
      <c r="A1025"/>
    </row>
    <row r="1026" spans="1:1" x14ac:dyDescent="0.15">
      <c r="A1026"/>
    </row>
    <row r="1027" spans="1:1" x14ac:dyDescent="0.15">
      <c r="A1027"/>
    </row>
    <row r="1028" spans="1:1" x14ac:dyDescent="0.15">
      <c r="A1028"/>
    </row>
    <row r="1029" spans="1:1" x14ac:dyDescent="0.15">
      <c r="A1029"/>
    </row>
    <row r="1030" spans="1:1" x14ac:dyDescent="0.15">
      <c r="A1030"/>
    </row>
    <row r="1031" spans="1:1" x14ac:dyDescent="0.15">
      <c r="A1031"/>
    </row>
    <row r="1032" spans="1:1" x14ac:dyDescent="0.15">
      <c r="A1032"/>
    </row>
    <row r="1033" spans="1:1" x14ac:dyDescent="0.15">
      <c r="A1033"/>
    </row>
    <row r="1034" spans="1:1" x14ac:dyDescent="0.15">
      <c r="A1034"/>
    </row>
    <row r="1035" spans="1:1" x14ac:dyDescent="0.15">
      <c r="A1035"/>
    </row>
    <row r="1036" spans="1:1" x14ac:dyDescent="0.15">
      <c r="A1036"/>
    </row>
    <row r="1037" spans="1:1" x14ac:dyDescent="0.15">
      <c r="A1037"/>
    </row>
    <row r="1038" spans="1:1" x14ac:dyDescent="0.15">
      <c r="A1038"/>
    </row>
    <row r="1039" spans="1:1" x14ac:dyDescent="0.15">
      <c r="A1039"/>
    </row>
    <row r="1040" spans="1:1" x14ac:dyDescent="0.15">
      <c r="A1040"/>
    </row>
    <row r="1041" spans="1:1" x14ac:dyDescent="0.15">
      <c r="A1041"/>
    </row>
    <row r="1042" spans="1:1" x14ac:dyDescent="0.15">
      <c r="A1042"/>
    </row>
    <row r="1043" spans="1:1" x14ac:dyDescent="0.15">
      <c r="A1043"/>
    </row>
    <row r="1044" spans="1:1" x14ac:dyDescent="0.15">
      <c r="A1044"/>
    </row>
    <row r="1045" spans="1:1" x14ac:dyDescent="0.15">
      <c r="A1045"/>
    </row>
    <row r="1046" spans="1:1" x14ac:dyDescent="0.15">
      <c r="A1046"/>
    </row>
    <row r="1047" spans="1:1" x14ac:dyDescent="0.15">
      <c r="A1047"/>
    </row>
    <row r="1048" spans="1:1" x14ac:dyDescent="0.15">
      <c r="A1048"/>
    </row>
    <row r="1049" spans="1:1" x14ac:dyDescent="0.15">
      <c r="A1049"/>
    </row>
    <row r="1050" spans="1:1" x14ac:dyDescent="0.15">
      <c r="A1050"/>
    </row>
    <row r="1051" spans="1:1" x14ac:dyDescent="0.15">
      <c r="A1051"/>
    </row>
    <row r="1052" spans="1:1" x14ac:dyDescent="0.15">
      <c r="A1052"/>
    </row>
    <row r="1053" spans="1:1" x14ac:dyDescent="0.15">
      <c r="A1053"/>
    </row>
    <row r="1054" spans="1:1" x14ac:dyDescent="0.15">
      <c r="A1054"/>
    </row>
    <row r="1055" spans="1:1" x14ac:dyDescent="0.15">
      <c r="A1055"/>
    </row>
    <row r="1056" spans="1:1" x14ac:dyDescent="0.15">
      <c r="A1056"/>
    </row>
    <row r="1057" spans="1:1" x14ac:dyDescent="0.15">
      <c r="A1057"/>
    </row>
    <row r="1058" spans="1:1" x14ac:dyDescent="0.15">
      <c r="A1058"/>
    </row>
    <row r="1059" spans="1:1" x14ac:dyDescent="0.15">
      <c r="A1059"/>
    </row>
    <row r="1060" spans="1:1" x14ac:dyDescent="0.15">
      <c r="A1060"/>
    </row>
    <row r="1061" spans="1:1" x14ac:dyDescent="0.15">
      <c r="A1061"/>
    </row>
    <row r="1062" spans="1:1" x14ac:dyDescent="0.15">
      <c r="A1062"/>
    </row>
    <row r="1063" spans="1:1" x14ac:dyDescent="0.15">
      <c r="A1063"/>
    </row>
    <row r="1064" spans="1:1" x14ac:dyDescent="0.15">
      <c r="A1064"/>
    </row>
    <row r="1065" spans="1:1" x14ac:dyDescent="0.15">
      <c r="A1065"/>
    </row>
    <row r="1066" spans="1:1" x14ac:dyDescent="0.15">
      <c r="A1066"/>
    </row>
    <row r="1067" spans="1:1" x14ac:dyDescent="0.15">
      <c r="A1067"/>
    </row>
    <row r="1068" spans="1:1" x14ac:dyDescent="0.15">
      <c r="A1068"/>
    </row>
    <row r="1069" spans="1:1" x14ac:dyDescent="0.15">
      <c r="A1069"/>
    </row>
    <row r="1070" spans="1:1" x14ac:dyDescent="0.15">
      <c r="A1070"/>
    </row>
    <row r="1071" spans="1:1" x14ac:dyDescent="0.15">
      <c r="A1071"/>
    </row>
    <row r="1072" spans="1:1" x14ac:dyDescent="0.15">
      <c r="A1072"/>
    </row>
    <row r="1073" spans="1:1" x14ac:dyDescent="0.15">
      <c r="A1073"/>
    </row>
    <row r="1074" spans="1:1" x14ac:dyDescent="0.15">
      <c r="A1074"/>
    </row>
    <row r="1075" spans="1:1" x14ac:dyDescent="0.15">
      <c r="A1075"/>
    </row>
    <row r="1076" spans="1:1" x14ac:dyDescent="0.15">
      <c r="A1076"/>
    </row>
    <row r="1077" spans="1:1" x14ac:dyDescent="0.15">
      <c r="A1077"/>
    </row>
    <row r="1078" spans="1:1" x14ac:dyDescent="0.15">
      <c r="A1078"/>
    </row>
    <row r="1079" spans="1:1" x14ac:dyDescent="0.15">
      <c r="A1079"/>
    </row>
    <row r="1080" spans="1:1" x14ac:dyDescent="0.15">
      <c r="A1080"/>
    </row>
    <row r="1081" spans="1:1" x14ac:dyDescent="0.15">
      <c r="A1081"/>
    </row>
    <row r="1082" spans="1:1" x14ac:dyDescent="0.15">
      <c r="A1082"/>
    </row>
    <row r="1083" spans="1:1" x14ac:dyDescent="0.15">
      <c r="A1083"/>
    </row>
    <row r="1084" spans="1:1" x14ac:dyDescent="0.15">
      <c r="A1084"/>
    </row>
    <row r="1085" spans="1:1" x14ac:dyDescent="0.15">
      <c r="A1085"/>
    </row>
    <row r="1086" spans="1:1" x14ac:dyDescent="0.15">
      <c r="A1086"/>
    </row>
    <row r="1087" spans="1:1" x14ac:dyDescent="0.15">
      <c r="A1087"/>
    </row>
    <row r="1088" spans="1:1" x14ac:dyDescent="0.15">
      <c r="A1088"/>
    </row>
    <row r="1089" spans="1:1" x14ac:dyDescent="0.15">
      <c r="A1089"/>
    </row>
    <row r="1090" spans="1:1" x14ac:dyDescent="0.15">
      <c r="A1090"/>
    </row>
    <row r="1091" spans="1:1" x14ac:dyDescent="0.15">
      <c r="A1091"/>
    </row>
    <row r="1092" spans="1:1" x14ac:dyDescent="0.15">
      <c r="A1092"/>
    </row>
    <row r="1093" spans="1:1" x14ac:dyDescent="0.15">
      <c r="A1093"/>
    </row>
    <row r="1094" spans="1:1" x14ac:dyDescent="0.15">
      <c r="A1094"/>
    </row>
    <row r="1095" spans="1:1" x14ac:dyDescent="0.15">
      <c r="A1095"/>
    </row>
    <row r="1096" spans="1:1" x14ac:dyDescent="0.15">
      <c r="A1096"/>
    </row>
    <row r="1097" spans="1:1" x14ac:dyDescent="0.15">
      <c r="A1097"/>
    </row>
    <row r="1098" spans="1:1" x14ac:dyDescent="0.15">
      <c r="A1098"/>
    </row>
    <row r="1099" spans="1:1" x14ac:dyDescent="0.15">
      <c r="A1099"/>
    </row>
    <row r="1100" spans="1:1" x14ac:dyDescent="0.15">
      <c r="A1100"/>
    </row>
    <row r="1101" spans="1:1" x14ac:dyDescent="0.15">
      <c r="A1101"/>
    </row>
    <row r="1102" spans="1:1" x14ac:dyDescent="0.15">
      <c r="A1102"/>
    </row>
    <row r="1103" spans="1:1" x14ac:dyDescent="0.15">
      <c r="A1103"/>
    </row>
    <row r="1104" spans="1:1" x14ac:dyDescent="0.15">
      <c r="A1104"/>
    </row>
    <row r="1105" spans="1:1" x14ac:dyDescent="0.15">
      <c r="A1105"/>
    </row>
    <row r="1106" spans="1:1" x14ac:dyDescent="0.15">
      <c r="A1106"/>
    </row>
    <row r="1107" spans="1:1" x14ac:dyDescent="0.15">
      <c r="A1107"/>
    </row>
    <row r="1108" spans="1:1" x14ac:dyDescent="0.15">
      <c r="A1108"/>
    </row>
    <row r="1109" spans="1:1" x14ac:dyDescent="0.15">
      <c r="A1109"/>
    </row>
    <row r="1110" spans="1:1" x14ac:dyDescent="0.15">
      <c r="A1110"/>
    </row>
    <row r="1111" spans="1:1" x14ac:dyDescent="0.15">
      <c r="A1111"/>
    </row>
    <row r="1112" spans="1:1" x14ac:dyDescent="0.15">
      <c r="A1112"/>
    </row>
    <row r="1113" spans="1:1" x14ac:dyDescent="0.15">
      <c r="A1113"/>
    </row>
    <row r="1114" spans="1:1" x14ac:dyDescent="0.15">
      <c r="A1114"/>
    </row>
    <row r="1115" spans="1:1" x14ac:dyDescent="0.15">
      <c r="A1115"/>
    </row>
    <row r="1116" spans="1:1" x14ac:dyDescent="0.15">
      <c r="A1116"/>
    </row>
    <row r="1117" spans="1:1" x14ac:dyDescent="0.15">
      <c r="A1117"/>
    </row>
    <row r="1118" spans="1:1" x14ac:dyDescent="0.15">
      <c r="A1118"/>
    </row>
    <row r="1119" spans="1:1" x14ac:dyDescent="0.15">
      <c r="A1119"/>
    </row>
    <row r="1120" spans="1:1" x14ac:dyDescent="0.15">
      <c r="A1120"/>
    </row>
    <row r="1121" spans="1:1" x14ac:dyDescent="0.15">
      <c r="A1121"/>
    </row>
    <row r="1122" spans="1:1" x14ac:dyDescent="0.15">
      <c r="A1122"/>
    </row>
    <row r="1123" spans="1:1" x14ac:dyDescent="0.15">
      <c r="A1123"/>
    </row>
    <row r="1124" spans="1:1" x14ac:dyDescent="0.15">
      <c r="A1124"/>
    </row>
    <row r="1125" spans="1:1" x14ac:dyDescent="0.15">
      <c r="A1125"/>
    </row>
    <row r="1126" spans="1:1" x14ac:dyDescent="0.15">
      <c r="A1126"/>
    </row>
    <row r="1127" spans="1:1" x14ac:dyDescent="0.15">
      <c r="A1127"/>
    </row>
    <row r="1128" spans="1:1" x14ac:dyDescent="0.15">
      <c r="A1128"/>
    </row>
    <row r="1129" spans="1:1" x14ac:dyDescent="0.15">
      <c r="A1129"/>
    </row>
    <row r="1130" spans="1:1" x14ac:dyDescent="0.15">
      <c r="A1130"/>
    </row>
    <row r="1131" spans="1:1" x14ac:dyDescent="0.15">
      <c r="A1131"/>
    </row>
    <row r="1132" spans="1:1" x14ac:dyDescent="0.15">
      <c r="A1132"/>
    </row>
    <row r="1133" spans="1:1" x14ac:dyDescent="0.15">
      <c r="A1133"/>
    </row>
    <row r="1134" spans="1:1" x14ac:dyDescent="0.15">
      <c r="A1134"/>
    </row>
    <row r="1135" spans="1:1" x14ac:dyDescent="0.15">
      <c r="A1135"/>
    </row>
    <row r="1136" spans="1:1" x14ac:dyDescent="0.15">
      <c r="A1136"/>
    </row>
    <row r="1137" spans="1:1" x14ac:dyDescent="0.15">
      <c r="A1137"/>
    </row>
    <row r="1138" spans="1:1" x14ac:dyDescent="0.15">
      <c r="A1138"/>
    </row>
    <row r="1139" spans="1:1" x14ac:dyDescent="0.15">
      <c r="A1139"/>
    </row>
    <row r="1140" spans="1:1" x14ac:dyDescent="0.15">
      <c r="A1140"/>
    </row>
    <row r="1141" spans="1:1" x14ac:dyDescent="0.15">
      <c r="A1141"/>
    </row>
    <row r="1142" spans="1:1" x14ac:dyDescent="0.15">
      <c r="A1142"/>
    </row>
    <row r="1143" spans="1:1" x14ac:dyDescent="0.15">
      <c r="A1143"/>
    </row>
    <row r="1144" spans="1:1" x14ac:dyDescent="0.15">
      <c r="A1144"/>
    </row>
    <row r="1145" spans="1:1" x14ac:dyDescent="0.15">
      <c r="A1145"/>
    </row>
    <row r="1146" spans="1:1" x14ac:dyDescent="0.15">
      <c r="A1146"/>
    </row>
    <row r="1147" spans="1:1" x14ac:dyDescent="0.15">
      <c r="A1147"/>
    </row>
    <row r="1148" spans="1:1" x14ac:dyDescent="0.15">
      <c r="A1148"/>
    </row>
    <row r="1149" spans="1:1" x14ac:dyDescent="0.15">
      <c r="A1149"/>
    </row>
    <row r="1150" spans="1:1" x14ac:dyDescent="0.15">
      <c r="A1150"/>
    </row>
    <row r="1151" spans="1:1" x14ac:dyDescent="0.15">
      <c r="A1151"/>
    </row>
    <row r="1152" spans="1:1" x14ac:dyDescent="0.15">
      <c r="A1152"/>
    </row>
    <row r="1153" spans="1:1" x14ac:dyDescent="0.15">
      <c r="A1153"/>
    </row>
    <row r="1154" spans="1:1" x14ac:dyDescent="0.15">
      <c r="A1154"/>
    </row>
    <row r="1155" spans="1:1" x14ac:dyDescent="0.15">
      <c r="A1155"/>
    </row>
    <row r="1156" spans="1:1" x14ac:dyDescent="0.15">
      <c r="A1156"/>
    </row>
    <row r="1157" spans="1:1" x14ac:dyDescent="0.15">
      <c r="A1157"/>
    </row>
    <row r="1158" spans="1:1" x14ac:dyDescent="0.15">
      <c r="A1158"/>
    </row>
    <row r="1159" spans="1:1" x14ac:dyDescent="0.15">
      <c r="A1159"/>
    </row>
    <row r="1160" spans="1:1" x14ac:dyDescent="0.15">
      <c r="A1160"/>
    </row>
    <row r="1161" spans="1:1" x14ac:dyDescent="0.15">
      <c r="A1161"/>
    </row>
    <row r="1162" spans="1:1" x14ac:dyDescent="0.15">
      <c r="A1162"/>
    </row>
    <row r="1163" spans="1:1" x14ac:dyDescent="0.15">
      <c r="A1163"/>
    </row>
    <row r="1164" spans="1:1" x14ac:dyDescent="0.15">
      <c r="A1164"/>
    </row>
    <row r="1165" spans="1:1" x14ac:dyDescent="0.15">
      <c r="A1165"/>
    </row>
    <row r="1166" spans="1:1" x14ac:dyDescent="0.15">
      <c r="A1166"/>
    </row>
    <row r="1167" spans="1:1" x14ac:dyDescent="0.15">
      <c r="A1167"/>
    </row>
    <row r="1168" spans="1:1" x14ac:dyDescent="0.15">
      <c r="A1168"/>
    </row>
    <row r="1169" spans="1:1" x14ac:dyDescent="0.15">
      <c r="A1169"/>
    </row>
    <row r="1170" spans="1:1" x14ac:dyDescent="0.15">
      <c r="A1170"/>
    </row>
    <row r="1171" spans="1:1" x14ac:dyDescent="0.15">
      <c r="A1171"/>
    </row>
    <row r="1172" spans="1:1" x14ac:dyDescent="0.15">
      <c r="A1172"/>
    </row>
    <row r="1173" spans="1:1" x14ac:dyDescent="0.15">
      <c r="A1173"/>
    </row>
    <row r="1174" spans="1:1" x14ac:dyDescent="0.15">
      <c r="A1174"/>
    </row>
    <row r="1175" spans="1:1" x14ac:dyDescent="0.15">
      <c r="A1175"/>
    </row>
    <row r="1176" spans="1:1" x14ac:dyDescent="0.15">
      <c r="A1176"/>
    </row>
    <row r="1177" spans="1:1" x14ac:dyDescent="0.15">
      <c r="A1177"/>
    </row>
    <row r="1178" spans="1:1" x14ac:dyDescent="0.15">
      <c r="A1178"/>
    </row>
    <row r="1179" spans="1:1" x14ac:dyDescent="0.15">
      <c r="A1179"/>
    </row>
    <row r="1180" spans="1:1" x14ac:dyDescent="0.15">
      <c r="A1180"/>
    </row>
    <row r="1181" spans="1:1" x14ac:dyDescent="0.15">
      <c r="A1181"/>
    </row>
    <row r="1182" spans="1:1" x14ac:dyDescent="0.15">
      <c r="A1182"/>
    </row>
    <row r="1183" spans="1:1" x14ac:dyDescent="0.15">
      <c r="A1183"/>
    </row>
    <row r="1184" spans="1:1" x14ac:dyDescent="0.15">
      <c r="A1184"/>
    </row>
    <row r="1185" spans="1:1" x14ac:dyDescent="0.15">
      <c r="A1185"/>
    </row>
    <row r="1186" spans="1:1" x14ac:dyDescent="0.15">
      <c r="A1186"/>
    </row>
    <row r="1187" spans="1:1" x14ac:dyDescent="0.15">
      <c r="A1187"/>
    </row>
    <row r="1188" spans="1:1" x14ac:dyDescent="0.15">
      <c r="A1188"/>
    </row>
    <row r="1189" spans="1:1" x14ac:dyDescent="0.15">
      <c r="A1189"/>
    </row>
    <row r="1190" spans="1:1" x14ac:dyDescent="0.15">
      <c r="A1190"/>
    </row>
    <row r="1191" spans="1:1" x14ac:dyDescent="0.15">
      <c r="A1191"/>
    </row>
    <row r="1192" spans="1:1" x14ac:dyDescent="0.15">
      <c r="A1192"/>
    </row>
    <row r="1193" spans="1:1" x14ac:dyDescent="0.15">
      <c r="A1193"/>
    </row>
    <row r="1194" spans="1:1" x14ac:dyDescent="0.15">
      <c r="A1194"/>
    </row>
    <row r="1195" spans="1:1" x14ac:dyDescent="0.15">
      <c r="A1195"/>
    </row>
    <row r="1196" spans="1:1" x14ac:dyDescent="0.15">
      <c r="A1196"/>
    </row>
    <row r="1197" spans="1:1" x14ac:dyDescent="0.15">
      <c r="A1197"/>
    </row>
    <row r="1198" spans="1:1" x14ac:dyDescent="0.15">
      <c r="A1198"/>
    </row>
    <row r="1199" spans="1:1" x14ac:dyDescent="0.15">
      <c r="A1199"/>
    </row>
    <row r="1200" spans="1:1" x14ac:dyDescent="0.15">
      <c r="A1200"/>
    </row>
    <row r="1201" spans="1:1" x14ac:dyDescent="0.15">
      <c r="A1201"/>
    </row>
    <row r="1202" spans="1:1" x14ac:dyDescent="0.15">
      <c r="A1202"/>
    </row>
    <row r="1203" spans="1:1" x14ac:dyDescent="0.15">
      <c r="A1203"/>
    </row>
    <row r="1204" spans="1:1" x14ac:dyDescent="0.15">
      <c r="A1204"/>
    </row>
    <row r="1205" spans="1:1" x14ac:dyDescent="0.15">
      <c r="A1205"/>
    </row>
    <row r="1206" spans="1:1" x14ac:dyDescent="0.15">
      <c r="A1206"/>
    </row>
    <row r="1207" spans="1:1" x14ac:dyDescent="0.15">
      <c r="A1207"/>
    </row>
    <row r="1208" spans="1:1" x14ac:dyDescent="0.15">
      <c r="A1208"/>
    </row>
    <row r="1209" spans="1:1" x14ac:dyDescent="0.15">
      <c r="A1209"/>
    </row>
    <row r="1210" spans="1:1" x14ac:dyDescent="0.15">
      <c r="A1210"/>
    </row>
    <row r="1211" spans="1:1" x14ac:dyDescent="0.15">
      <c r="A1211"/>
    </row>
    <row r="1212" spans="1:1" x14ac:dyDescent="0.15">
      <c r="A1212"/>
    </row>
    <row r="1213" spans="1:1" x14ac:dyDescent="0.15">
      <c r="A1213"/>
    </row>
    <row r="1214" spans="1:1" x14ac:dyDescent="0.15">
      <c r="A1214"/>
    </row>
    <row r="1215" spans="1:1" x14ac:dyDescent="0.15">
      <c r="A1215"/>
    </row>
    <row r="1216" spans="1:1" x14ac:dyDescent="0.15">
      <c r="A1216"/>
    </row>
    <row r="1217" spans="1:1" x14ac:dyDescent="0.15">
      <c r="A1217"/>
    </row>
    <row r="1218" spans="1:1" x14ac:dyDescent="0.15">
      <c r="A1218"/>
    </row>
    <row r="1219" spans="1:1" x14ac:dyDescent="0.15">
      <c r="A1219"/>
    </row>
    <row r="1220" spans="1:1" x14ac:dyDescent="0.15">
      <c r="A1220"/>
    </row>
    <row r="1221" spans="1:1" x14ac:dyDescent="0.15">
      <c r="A1221"/>
    </row>
    <row r="1222" spans="1:1" x14ac:dyDescent="0.15">
      <c r="A1222"/>
    </row>
    <row r="1223" spans="1:1" x14ac:dyDescent="0.15">
      <c r="A1223"/>
    </row>
    <row r="1224" spans="1:1" x14ac:dyDescent="0.15">
      <c r="A1224"/>
    </row>
    <row r="1225" spans="1:1" x14ac:dyDescent="0.15">
      <c r="A1225"/>
    </row>
    <row r="1226" spans="1:1" x14ac:dyDescent="0.15">
      <c r="A1226"/>
    </row>
    <row r="1227" spans="1:1" x14ac:dyDescent="0.15">
      <c r="A1227"/>
    </row>
    <row r="1228" spans="1:1" x14ac:dyDescent="0.15">
      <c r="A1228"/>
    </row>
    <row r="1229" spans="1:1" x14ac:dyDescent="0.15">
      <c r="A1229"/>
    </row>
    <row r="1230" spans="1:1" x14ac:dyDescent="0.15">
      <c r="A1230"/>
    </row>
    <row r="1231" spans="1:1" x14ac:dyDescent="0.15">
      <c r="A1231"/>
    </row>
    <row r="1232" spans="1:1" x14ac:dyDescent="0.15">
      <c r="A1232"/>
    </row>
    <row r="1233" spans="1:1" x14ac:dyDescent="0.15">
      <c r="A1233"/>
    </row>
    <row r="1234" spans="1:1" x14ac:dyDescent="0.15">
      <c r="A1234"/>
    </row>
    <row r="1235" spans="1:1" x14ac:dyDescent="0.15">
      <c r="A1235"/>
    </row>
    <row r="1236" spans="1:1" x14ac:dyDescent="0.15">
      <c r="A1236"/>
    </row>
    <row r="1237" spans="1:1" x14ac:dyDescent="0.15">
      <c r="A1237"/>
    </row>
    <row r="1238" spans="1:1" x14ac:dyDescent="0.15">
      <c r="A1238"/>
    </row>
    <row r="1239" spans="1:1" x14ac:dyDescent="0.15">
      <c r="A1239"/>
    </row>
    <row r="1240" spans="1:1" x14ac:dyDescent="0.15">
      <c r="A1240"/>
    </row>
    <row r="1241" spans="1:1" x14ac:dyDescent="0.15">
      <c r="A1241"/>
    </row>
    <row r="1242" spans="1:1" x14ac:dyDescent="0.15">
      <c r="A1242"/>
    </row>
    <row r="1243" spans="1:1" x14ac:dyDescent="0.15">
      <c r="A1243"/>
    </row>
    <row r="1244" spans="1:1" x14ac:dyDescent="0.15">
      <c r="A1244"/>
    </row>
    <row r="1245" spans="1:1" x14ac:dyDescent="0.15">
      <c r="A1245"/>
    </row>
    <row r="1246" spans="1:1" x14ac:dyDescent="0.15">
      <c r="A1246"/>
    </row>
    <row r="1247" spans="1:1" x14ac:dyDescent="0.15">
      <c r="A1247"/>
    </row>
    <row r="1248" spans="1:1" x14ac:dyDescent="0.15">
      <c r="A1248"/>
    </row>
    <row r="1249" spans="1:1" x14ac:dyDescent="0.15">
      <c r="A1249"/>
    </row>
    <row r="1250" spans="1:1" x14ac:dyDescent="0.15">
      <c r="A1250"/>
    </row>
    <row r="1251" spans="1:1" x14ac:dyDescent="0.15">
      <c r="A1251"/>
    </row>
    <row r="1252" spans="1:1" x14ac:dyDescent="0.15">
      <c r="A1252"/>
    </row>
    <row r="1253" spans="1:1" x14ac:dyDescent="0.15">
      <c r="A1253"/>
    </row>
    <row r="1254" spans="1:1" x14ac:dyDescent="0.15">
      <c r="A1254"/>
    </row>
    <row r="1255" spans="1:1" x14ac:dyDescent="0.15">
      <c r="A1255"/>
    </row>
    <row r="1256" spans="1:1" x14ac:dyDescent="0.15">
      <c r="A1256"/>
    </row>
    <row r="1257" spans="1:1" x14ac:dyDescent="0.15">
      <c r="A1257"/>
    </row>
    <row r="1258" spans="1:1" x14ac:dyDescent="0.15">
      <c r="A1258"/>
    </row>
    <row r="1259" spans="1:1" x14ac:dyDescent="0.15">
      <c r="A1259"/>
    </row>
    <row r="1260" spans="1:1" x14ac:dyDescent="0.15">
      <c r="A1260"/>
    </row>
    <row r="1261" spans="1:1" x14ac:dyDescent="0.15">
      <c r="A1261"/>
    </row>
    <row r="1262" spans="1:1" x14ac:dyDescent="0.15">
      <c r="A1262"/>
    </row>
    <row r="1263" spans="1:1" x14ac:dyDescent="0.15">
      <c r="A1263"/>
    </row>
    <row r="1264" spans="1:1" x14ac:dyDescent="0.15">
      <c r="A1264"/>
    </row>
    <row r="1265" spans="1:1" x14ac:dyDescent="0.15">
      <c r="A1265"/>
    </row>
    <row r="1266" spans="1:1" x14ac:dyDescent="0.15">
      <c r="A1266"/>
    </row>
    <row r="1267" spans="1:1" x14ac:dyDescent="0.15">
      <c r="A1267"/>
    </row>
    <row r="1268" spans="1:1" x14ac:dyDescent="0.15">
      <c r="A1268"/>
    </row>
    <row r="1269" spans="1:1" x14ac:dyDescent="0.15">
      <c r="A1269"/>
    </row>
    <row r="1270" spans="1:1" x14ac:dyDescent="0.15">
      <c r="A1270"/>
    </row>
    <row r="1271" spans="1:1" x14ac:dyDescent="0.15">
      <c r="A1271"/>
    </row>
    <row r="1272" spans="1:1" x14ac:dyDescent="0.15">
      <c r="A1272"/>
    </row>
    <row r="1273" spans="1:1" x14ac:dyDescent="0.15">
      <c r="A1273"/>
    </row>
    <row r="1274" spans="1:1" x14ac:dyDescent="0.15">
      <c r="A1274"/>
    </row>
    <row r="1275" spans="1:1" x14ac:dyDescent="0.15">
      <c r="A1275"/>
    </row>
    <row r="1276" spans="1:1" x14ac:dyDescent="0.15">
      <c r="A1276"/>
    </row>
    <row r="1277" spans="1:1" x14ac:dyDescent="0.15">
      <c r="A1277"/>
    </row>
    <row r="1278" spans="1:1" x14ac:dyDescent="0.15">
      <c r="A1278"/>
    </row>
    <row r="1279" spans="1:1" x14ac:dyDescent="0.15">
      <c r="A1279"/>
    </row>
    <row r="1280" spans="1:1" x14ac:dyDescent="0.15">
      <c r="A1280"/>
    </row>
    <row r="1281" spans="1:1" x14ac:dyDescent="0.15">
      <c r="A1281"/>
    </row>
    <row r="1282" spans="1:1" x14ac:dyDescent="0.15">
      <c r="A1282"/>
    </row>
    <row r="1283" spans="1:1" x14ac:dyDescent="0.15">
      <c r="A1283"/>
    </row>
    <row r="1284" spans="1:1" x14ac:dyDescent="0.15">
      <c r="A1284"/>
    </row>
    <row r="1285" spans="1:1" x14ac:dyDescent="0.15">
      <c r="A1285"/>
    </row>
    <row r="1286" spans="1:1" x14ac:dyDescent="0.15">
      <c r="A1286"/>
    </row>
    <row r="1287" spans="1:1" x14ac:dyDescent="0.15">
      <c r="A1287"/>
    </row>
    <row r="1288" spans="1:1" x14ac:dyDescent="0.15">
      <c r="A1288"/>
    </row>
    <row r="1289" spans="1:1" x14ac:dyDescent="0.15">
      <c r="A1289"/>
    </row>
    <row r="1290" spans="1:1" x14ac:dyDescent="0.15">
      <c r="A1290"/>
    </row>
    <row r="1291" spans="1:1" x14ac:dyDescent="0.15">
      <c r="A1291"/>
    </row>
    <row r="1292" spans="1:1" x14ac:dyDescent="0.15">
      <c r="A1292"/>
    </row>
    <row r="1293" spans="1:1" x14ac:dyDescent="0.15">
      <c r="A1293"/>
    </row>
    <row r="1294" spans="1:1" x14ac:dyDescent="0.15">
      <c r="A1294"/>
    </row>
    <row r="1295" spans="1:1" x14ac:dyDescent="0.15">
      <c r="A1295"/>
    </row>
    <row r="1296" spans="1:1" x14ac:dyDescent="0.15">
      <c r="A1296"/>
    </row>
    <row r="1297" spans="1:1" x14ac:dyDescent="0.15">
      <c r="A1297"/>
    </row>
    <row r="1298" spans="1:1" x14ac:dyDescent="0.15">
      <c r="A1298"/>
    </row>
    <row r="1299" spans="1:1" x14ac:dyDescent="0.15">
      <c r="A1299"/>
    </row>
    <row r="1300" spans="1:1" x14ac:dyDescent="0.15">
      <c r="A1300"/>
    </row>
    <row r="1301" spans="1:1" x14ac:dyDescent="0.15">
      <c r="A1301"/>
    </row>
    <row r="1302" spans="1:1" x14ac:dyDescent="0.15">
      <c r="A1302"/>
    </row>
    <row r="1303" spans="1:1" x14ac:dyDescent="0.15">
      <c r="A1303"/>
    </row>
    <row r="1304" spans="1:1" x14ac:dyDescent="0.15">
      <c r="A1304"/>
    </row>
    <row r="1305" spans="1:1" x14ac:dyDescent="0.15">
      <c r="A1305"/>
    </row>
    <row r="1306" spans="1:1" x14ac:dyDescent="0.15">
      <c r="A1306"/>
    </row>
    <row r="1307" spans="1:1" x14ac:dyDescent="0.15">
      <c r="A1307"/>
    </row>
    <row r="1308" spans="1:1" x14ac:dyDescent="0.15">
      <c r="A1308"/>
    </row>
    <row r="1309" spans="1:1" x14ac:dyDescent="0.15">
      <c r="A1309"/>
    </row>
    <row r="1310" spans="1:1" x14ac:dyDescent="0.15">
      <c r="A1310"/>
    </row>
    <row r="1311" spans="1:1" x14ac:dyDescent="0.15">
      <c r="A1311"/>
    </row>
    <row r="1312" spans="1:1" x14ac:dyDescent="0.15">
      <c r="A1312"/>
    </row>
    <row r="1313" spans="1:1" x14ac:dyDescent="0.15">
      <c r="A1313"/>
    </row>
    <row r="1314" spans="1:1" x14ac:dyDescent="0.15">
      <c r="A1314"/>
    </row>
    <row r="1315" spans="1:1" x14ac:dyDescent="0.15">
      <c r="A1315"/>
    </row>
    <row r="1316" spans="1:1" x14ac:dyDescent="0.15">
      <c r="A1316"/>
    </row>
    <row r="1317" spans="1:1" x14ac:dyDescent="0.15">
      <c r="A1317"/>
    </row>
    <row r="1318" spans="1:1" x14ac:dyDescent="0.15">
      <c r="A1318"/>
    </row>
    <row r="1319" spans="1:1" x14ac:dyDescent="0.15">
      <c r="A1319"/>
    </row>
    <row r="1320" spans="1:1" x14ac:dyDescent="0.15">
      <c r="A1320"/>
    </row>
    <row r="1321" spans="1:1" x14ac:dyDescent="0.15">
      <c r="A1321"/>
    </row>
    <row r="1322" spans="1:1" x14ac:dyDescent="0.15">
      <c r="A1322"/>
    </row>
    <row r="1323" spans="1:1" x14ac:dyDescent="0.15">
      <c r="A1323"/>
    </row>
    <row r="1324" spans="1:1" x14ac:dyDescent="0.15">
      <c r="A1324"/>
    </row>
    <row r="1325" spans="1:1" x14ac:dyDescent="0.15">
      <c r="A1325"/>
    </row>
    <row r="1326" spans="1:1" x14ac:dyDescent="0.15">
      <c r="A1326"/>
    </row>
    <row r="1327" spans="1:1" x14ac:dyDescent="0.15">
      <c r="A1327"/>
    </row>
    <row r="1328" spans="1:1" x14ac:dyDescent="0.15">
      <c r="A1328"/>
    </row>
    <row r="1329" spans="1:1" x14ac:dyDescent="0.15">
      <c r="A1329"/>
    </row>
    <row r="1330" spans="1:1" x14ac:dyDescent="0.15">
      <c r="A1330"/>
    </row>
    <row r="1331" spans="1:1" x14ac:dyDescent="0.15">
      <c r="A1331"/>
    </row>
    <row r="1332" spans="1:1" x14ac:dyDescent="0.15">
      <c r="A1332"/>
    </row>
    <row r="1333" spans="1:1" x14ac:dyDescent="0.15">
      <c r="A1333"/>
    </row>
    <row r="1334" spans="1:1" x14ac:dyDescent="0.15">
      <c r="A1334"/>
    </row>
    <row r="1335" spans="1:1" x14ac:dyDescent="0.15">
      <c r="A1335"/>
    </row>
    <row r="1336" spans="1:1" x14ac:dyDescent="0.15">
      <c r="A1336"/>
    </row>
    <row r="1337" spans="1:1" x14ac:dyDescent="0.15">
      <c r="A1337"/>
    </row>
    <row r="1338" spans="1:1" x14ac:dyDescent="0.15">
      <c r="A1338"/>
    </row>
    <row r="1339" spans="1:1" x14ac:dyDescent="0.15">
      <c r="A1339"/>
    </row>
    <row r="1340" spans="1:1" x14ac:dyDescent="0.15">
      <c r="A1340"/>
    </row>
    <row r="1341" spans="1:1" x14ac:dyDescent="0.15">
      <c r="A1341"/>
    </row>
    <row r="1342" spans="1:1" x14ac:dyDescent="0.15">
      <c r="A1342"/>
    </row>
    <row r="1343" spans="1:1" x14ac:dyDescent="0.15">
      <c r="A1343"/>
    </row>
    <row r="1344" spans="1:1" x14ac:dyDescent="0.15">
      <c r="A1344"/>
    </row>
    <row r="1345" spans="1:1" x14ac:dyDescent="0.15">
      <c r="A1345"/>
    </row>
    <row r="1346" spans="1:1" x14ac:dyDescent="0.15">
      <c r="A1346"/>
    </row>
    <row r="1347" spans="1:1" x14ac:dyDescent="0.15">
      <c r="A1347"/>
    </row>
    <row r="1348" spans="1:1" x14ac:dyDescent="0.15">
      <c r="A1348"/>
    </row>
    <row r="1349" spans="1:1" x14ac:dyDescent="0.15">
      <c r="A1349"/>
    </row>
    <row r="1350" spans="1:1" x14ac:dyDescent="0.15">
      <c r="A1350"/>
    </row>
    <row r="1351" spans="1:1" x14ac:dyDescent="0.15">
      <c r="A1351"/>
    </row>
    <row r="1352" spans="1:1" x14ac:dyDescent="0.15">
      <c r="A1352"/>
    </row>
    <row r="1353" spans="1:1" x14ac:dyDescent="0.15">
      <c r="A1353"/>
    </row>
    <row r="1354" spans="1:1" x14ac:dyDescent="0.15">
      <c r="A1354"/>
    </row>
    <row r="1355" spans="1:1" x14ac:dyDescent="0.15">
      <c r="A1355"/>
    </row>
    <row r="1356" spans="1:1" x14ac:dyDescent="0.15">
      <c r="A1356"/>
    </row>
    <row r="1357" spans="1:1" x14ac:dyDescent="0.15">
      <c r="A1357"/>
    </row>
    <row r="1358" spans="1:1" x14ac:dyDescent="0.15">
      <c r="A1358"/>
    </row>
    <row r="1359" spans="1:1" x14ac:dyDescent="0.15">
      <c r="A1359"/>
    </row>
    <row r="1360" spans="1:1" x14ac:dyDescent="0.15">
      <c r="A1360"/>
    </row>
    <row r="1361" spans="1:1" x14ac:dyDescent="0.15">
      <c r="A1361"/>
    </row>
    <row r="1362" spans="1:1" x14ac:dyDescent="0.15">
      <c r="A1362"/>
    </row>
    <row r="1363" spans="1:1" x14ac:dyDescent="0.15">
      <c r="A1363"/>
    </row>
    <row r="1364" spans="1:1" x14ac:dyDescent="0.15">
      <c r="A1364"/>
    </row>
    <row r="1365" spans="1:1" x14ac:dyDescent="0.15">
      <c r="A1365"/>
    </row>
    <row r="1366" spans="1:1" x14ac:dyDescent="0.15">
      <c r="A1366"/>
    </row>
    <row r="1367" spans="1:1" x14ac:dyDescent="0.15">
      <c r="A1367"/>
    </row>
    <row r="1368" spans="1:1" x14ac:dyDescent="0.15">
      <c r="A1368"/>
    </row>
    <row r="1369" spans="1:1" x14ac:dyDescent="0.15">
      <c r="A1369"/>
    </row>
    <row r="1370" spans="1:1" x14ac:dyDescent="0.15">
      <c r="A1370"/>
    </row>
    <row r="1371" spans="1:1" x14ac:dyDescent="0.15">
      <c r="A1371"/>
    </row>
    <row r="1372" spans="1:1" x14ac:dyDescent="0.15">
      <c r="A1372"/>
    </row>
    <row r="1373" spans="1:1" x14ac:dyDescent="0.15">
      <c r="A1373"/>
    </row>
    <row r="1374" spans="1:1" x14ac:dyDescent="0.15">
      <c r="A1374"/>
    </row>
    <row r="1375" spans="1:1" x14ac:dyDescent="0.15">
      <c r="A1375"/>
    </row>
    <row r="1376" spans="1:1" x14ac:dyDescent="0.15">
      <c r="A1376"/>
    </row>
    <row r="1377" spans="1:1" x14ac:dyDescent="0.15">
      <c r="A1377"/>
    </row>
    <row r="1378" spans="1:1" x14ac:dyDescent="0.15">
      <c r="A1378"/>
    </row>
    <row r="1379" spans="1:1" x14ac:dyDescent="0.15">
      <c r="A1379"/>
    </row>
    <row r="1380" spans="1:1" x14ac:dyDescent="0.15">
      <c r="A1380"/>
    </row>
    <row r="1381" spans="1:1" x14ac:dyDescent="0.15">
      <c r="A1381"/>
    </row>
    <row r="1382" spans="1:1" x14ac:dyDescent="0.15">
      <c r="A1382"/>
    </row>
    <row r="1383" spans="1:1" x14ac:dyDescent="0.15">
      <c r="A1383"/>
    </row>
    <row r="1384" spans="1:1" x14ac:dyDescent="0.15">
      <c r="A1384"/>
    </row>
    <row r="1385" spans="1:1" x14ac:dyDescent="0.15">
      <c r="A1385"/>
    </row>
    <row r="1386" spans="1:1" x14ac:dyDescent="0.15">
      <c r="A1386"/>
    </row>
    <row r="1387" spans="1:1" x14ac:dyDescent="0.15">
      <c r="A1387"/>
    </row>
    <row r="1388" spans="1:1" x14ac:dyDescent="0.15">
      <c r="A1388"/>
    </row>
    <row r="1389" spans="1:1" x14ac:dyDescent="0.15">
      <c r="A1389"/>
    </row>
    <row r="1390" spans="1:1" x14ac:dyDescent="0.15">
      <c r="A1390"/>
    </row>
    <row r="1391" spans="1:1" x14ac:dyDescent="0.15">
      <c r="A1391"/>
    </row>
    <row r="1392" spans="1:1" x14ac:dyDescent="0.15">
      <c r="A1392"/>
    </row>
    <row r="1393" spans="1:1" x14ac:dyDescent="0.15">
      <c r="A1393"/>
    </row>
    <row r="1394" spans="1:1" x14ac:dyDescent="0.15">
      <c r="A1394"/>
    </row>
    <row r="1395" spans="1:1" x14ac:dyDescent="0.15">
      <c r="A1395"/>
    </row>
    <row r="1396" spans="1:1" x14ac:dyDescent="0.15">
      <c r="A1396"/>
    </row>
    <row r="1397" spans="1:1" x14ac:dyDescent="0.15">
      <c r="A1397"/>
    </row>
    <row r="1398" spans="1:1" x14ac:dyDescent="0.15">
      <c r="A1398"/>
    </row>
    <row r="1399" spans="1:1" x14ac:dyDescent="0.15">
      <c r="A1399"/>
    </row>
    <row r="1400" spans="1:1" x14ac:dyDescent="0.15">
      <c r="A1400"/>
    </row>
    <row r="1401" spans="1:1" x14ac:dyDescent="0.15">
      <c r="A1401"/>
    </row>
    <row r="1402" spans="1:1" x14ac:dyDescent="0.15">
      <c r="A1402"/>
    </row>
    <row r="1403" spans="1:1" x14ac:dyDescent="0.15">
      <c r="A1403"/>
    </row>
    <row r="1404" spans="1:1" x14ac:dyDescent="0.15">
      <c r="A1404"/>
    </row>
    <row r="1405" spans="1:1" x14ac:dyDescent="0.15">
      <c r="A1405"/>
    </row>
    <row r="1406" spans="1:1" x14ac:dyDescent="0.15">
      <c r="A1406"/>
    </row>
    <row r="1407" spans="1:1" x14ac:dyDescent="0.15">
      <c r="A1407"/>
    </row>
    <row r="1408" spans="1:1" x14ac:dyDescent="0.15">
      <c r="A1408"/>
    </row>
    <row r="1409" spans="1:1" x14ac:dyDescent="0.15">
      <c r="A1409"/>
    </row>
    <row r="1410" spans="1:1" x14ac:dyDescent="0.15">
      <c r="A1410"/>
    </row>
    <row r="1411" spans="1:1" x14ac:dyDescent="0.15">
      <c r="A1411"/>
    </row>
    <row r="1412" spans="1:1" x14ac:dyDescent="0.15">
      <c r="A1412"/>
    </row>
    <row r="1413" spans="1:1" x14ac:dyDescent="0.15">
      <c r="A1413"/>
    </row>
    <row r="1414" spans="1:1" x14ac:dyDescent="0.15">
      <c r="A1414"/>
    </row>
    <row r="1415" spans="1:1" x14ac:dyDescent="0.15">
      <c r="A1415"/>
    </row>
    <row r="1416" spans="1:1" x14ac:dyDescent="0.15">
      <c r="A1416"/>
    </row>
    <row r="1417" spans="1:1" x14ac:dyDescent="0.15">
      <c r="A1417"/>
    </row>
    <row r="1418" spans="1:1" x14ac:dyDescent="0.15">
      <c r="A1418"/>
    </row>
    <row r="1419" spans="1:1" x14ac:dyDescent="0.15">
      <c r="A1419"/>
    </row>
    <row r="1420" spans="1:1" x14ac:dyDescent="0.15">
      <c r="A1420"/>
    </row>
    <row r="1421" spans="1:1" x14ac:dyDescent="0.15">
      <c r="A1421"/>
    </row>
    <row r="1422" spans="1:1" x14ac:dyDescent="0.15">
      <c r="A1422"/>
    </row>
    <row r="1423" spans="1:1" x14ac:dyDescent="0.15">
      <c r="A1423"/>
    </row>
    <row r="1424" spans="1:1" x14ac:dyDescent="0.15">
      <c r="A1424"/>
    </row>
    <row r="1425" spans="1:1" x14ac:dyDescent="0.15">
      <c r="A1425"/>
    </row>
    <row r="1426" spans="1:1" x14ac:dyDescent="0.15">
      <c r="A1426"/>
    </row>
    <row r="1427" spans="1:1" x14ac:dyDescent="0.15">
      <c r="A1427"/>
    </row>
    <row r="1428" spans="1:1" x14ac:dyDescent="0.15">
      <c r="A1428"/>
    </row>
    <row r="1429" spans="1:1" x14ac:dyDescent="0.15">
      <c r="A1429"/>
    </row>
    <row r="1430" spans="1:1" x14ac:dyDescent="0.15">
      <c r="A1430"/>
    </row>
    <row r="1431" spans="1:1" x14ac:dyDescent="0.15">
      <c r="A1431"/>
    </row>
    <row r="1432" spans="1:1" x14ac:dyDescent="0.15">
      <c r="A1432"/>
    </row>
    <row r="1433" spans="1:1" x14ac:dyDescent="0.15">
      <c r="A1433"/>
    </row>
    <row r="1434" spans="1:1" x14ac:dyDescent="0.15">
      <c r="A1434"/>
    </row>
    <row r="1435" spans="1:1" x14ac:dyDescent="0.15">
      <c r="A1435"/>
    </row>
    <row r="1436" spans="1:1" x14ac:dyDescent="0.15">
      <c r="A1436"/>
    </row>
    <row r="1437" spans="1:1" x14ac:dyDescent="0.15">
      <c r="A1437"/>
    </row>
    <row r="1438" spans="1:1" x14ac:dyDescent="0.15">
      <c r="A1438"/>
    </row>
    <row r="1439" spans="1:1" x14ac:dyDescent="0.15">
      <c r="A1439"/>
    </row>
    <row r="1440" spans="1:1" x14ac:dyDescent="0.15">
      <c r="A1440"/>
    </row>
    <row r="1441" spans="1:1" x14ac:dyDescent="0.15">
      <c r="A1441"/>
    </row>
    <row r="1442" spans="1:1" x14ac:dyDescent="0.15">
      <c r="A1442"/>
    </row>
    <row r="1443" spans="1:1" x14ac:dyDescent="0.15">
      <c r="A1443"/>
    </row>
    <row r="1444" spans="1:1" x14ac:dyDescent="0.15">
      <c r="A1444"/>
    </row>
    <row r="1445" spans="1:1" x14ac:dyDescent="0.15">
      <c r="A1445"/>
    </row>
    <row r="1446" spans="1:1" x14ac:dyDescent="0.15">
      <c r="A1446"/>
    </row>
    <row r="1447" spans="1:1" x14ac:dyDescent="0.15">
      <c r="A1447"/>
    </row>
    <row r="1448" spans="1:1" x14ac:dyDescent="0.15">
      <c r="A1448"/>
    </row>
    <row r="1449" spans="1:1" x14ac:dyDescent="0.15">
      <c r="A1449"/>
    </row>
    <row r="1450" spans="1:1" x14ac:dyDescent="0.15">
      <c r="A1450"/>
    </row>
    <row r="1451" spans="1:1" x14ac:dyDescent="0.15">
      <c r="A1451"/>
    </row>
    <row r="1452" spans="1:1" x14ac:dyDescent="0.15">
      <c r="A1452"/>
    </row>
    <row r="1453" spans="1:1" x14ac:dyDescent="0.15">
      <c r="A1453"/>
    </row>
    <row r="1454" spans="1:1" x14ac:dyDescent="0.15">
      <c r="A1454"/>
    </row>
    <row r="1455" spans="1:1" x14ac:dyDescent="0.15">
      <c r="A1455"/>
    </row>
    <row r="1456" spans="1:1" x14ac:dyDescent="0.15">
      <c r="A1456"/>
    </row>
    <row r="1457" spans="1:1" x14ac:dyDescent="0.15">
      <c r="A1457"/>
    </row>
    <row r="1458" spans="1:1" x14ac:dyDescent="0.15">
      <c r="A1458"/>
    </row>
    <row r="1459" spans="1:1" x14ac:dyDescent="0.15">
      <c r="A1459"/>
    </row>
    <row r="1460" spans="1:1" x14ac:dyDescent="0.15">
      <c r="A1460"/>
    </row>
    <row r="1461" spans="1:1" x14ac:dyDescent="0.15">
      <c r="A1461"/>
    </row>
    <row r="1462" spans="1:1" x14ac:dyDescent="0.15">
      <c r="A1462"/>
    </row>
    <row r="1463" spans="1:1" x14ac:dyDescent="0.15">
      <c r="A1463"/>
    </row>
    <row r="1464" spans="1:1" x14ac:dyDescent="0.15">
      <c r="A1464"/>
    </row>
    <row r="1465" spans="1:1" x14ac:dyDescent="0.15">
      <c r="A1465"/>
    </row>
    <row r="1466" spans="1:1" x14ac:dyDescent="0.15">
      <c r="A1466"/>
    </row>
    <row r="1467" spans="1:1" x14ac:dyDescent="0.15">
      <c r="A1467"/>
    </row>
    <row r="1468" spans="1:1" x14ac:dyDescent="0.15">
      <c r="A1468"/>
    </row>
    <row r="1469" spans="1:1" x14ac:dyDescent="0.15">
      <c r="A1469"/>
    </row>
    <row r="1470" spans="1:1" x14ac:dyDescent="0.15">
      <c r="A1470"/>
    </row>
    <row r="1471" spans="1:1" x14ac:dyDescent="0.15">
      <c r="A1471"/>
    </row>
    <row r="1472" spans="1:1" x14ac:dyDescent="0.15">
      <c r="A1472"/>
    </row>
    <row r="1473" spans="1:1" x14ac:dyDescent="0.15">
      <c r="A1473"/>
    </row>
    <row r="1474" spans="1:1" x14ac:dyDescent="0.15">
      <c r="A1474"/>
    </row>
    <row r="1475" spans="1:1" x14ac:dyDescent="0.15">
      <c r="A1475"/>
    </row>
    <row r="1476" spans="1:1" x14ac:dyDescent="0.15">
      <c r="A1476"/>
    </row>
    <row r="1477" spans="1:1" x14ac:dyDescent="0.15">
      <c r="A1477"/>
    </row>
    <row r="1478" spans="1:1" x14ac:dyDescent="0.15">
      <c r="A1478"/>
    </row>
    <row r="1479" spans="1:1" x14ac:dyDescent="0.15">
      <c r="A1479"/>
    </row>
    <row r="1480" spans="1:1" x14ac:dyDescent="0.15">
      <c r="A1480"/>
    </row>
    <row r="1481" spans="1:1" x14ac:dyDescent="0.15">
      <c r="A1481"/>
    </row>
    <row r="1482" spans="1:1" x14ac:dyDescent="0.15">
      <c r="A1482"/>
    </row>
    <row r="1483" spans="1:1" x14ac:dyDescent="0.15">
      <c r="A1483"/>
    </row>
    <row r="1484" spans="1:1" x14ac:dyDescent="0.15">
      <c r="A1484"/>
    </row>
    <row r="1485" spans="1:1" x14ac:dyDescent="0.15">
      <c r="A1485"/>
    </row>
    <row r="1486" spans="1:1" x14ac:dyDescent="0.15">
      <c r="A1486"/>
    </row>
    <row r="1487" spans="1:1" x14ac:dyDescent="0.15">
      <c r="A1487"/>
    </row>
    <row r="1488" spans="1:1" x14ac:dyDescent="0.15">
      <c r="A1488"/>
    </row>
    <row r="1489" spans="1:1" x14ac:dyDescent="0.15">
      <c r="A1489"/>
    </row>
    <row r="1490" spans="1:1" x14ac:dyDescent="0.15">
      <c r="A1490"/>
    </row>
    <row r="1491" spans="1:1" x14ac:dyDescent="0.15">
      <c r="A1491"/>
    </row>
    <row r="1492" spans="1:1" x14ac:dyDescent="0.15">
      <c r="A1492"/>
    </row>
    <row r="1493" spans="1:1" x14ac:dyDescent="0.15">
      <c r="A1493"/>
    </row>
    <row r="1494" spans="1:1" x14ac:dyDescent="0.15">
      <c r="A1494"/>
    </row>
    <row r="1495" spans="1:1" x14ac:dyDescent="0.15">
      <c r="A1495"/>
    </row>
    <row r="1496" spans="1:1" x14ac:dyDescent="0.15">
      <c r="A1496"/>
    </row>
    <row r="1497" spans="1:1" x14ac:dyDescent="0.15">
      <c r="A1497"/>
    </row>
    <row r="1498" spans="1:1" x14ac:dyDescent="0.15">
      <c r="A1498"/>
    </row>
    <row r="1499" spans="1:1" x14ac:dyDescent="0.15">
      <c r="A1499"/>
    </row>
    <row r="1500" spans="1:1" x14ac:dyDescent="0.15">
      <c r="A1500"/>
    </row>
    <row r="1501" spans="1:1" x14ac:dyDescent="0.15">
      <c r="A1501"/>
    </row>
    <row r="1502" spans="1:1" x14ac:dyDescent="0.15">
      <c r="A1502"/>
    </row>
    <row r="1503" spans="1:1" x14ac:dyDescent="0.15">
      <c r="A1503"/>
    </row>
    <row r="1504" spans="1:1" x14ac:dyDescent="0.15">
      <c r="A1504"/>
    </row>
    <row r="1505" spans="1:1" x14ac:dyDescent="0.15">
      <c r="A1505"/>
    </row>
    <row r="1506" spans="1:1" x14ac:dyDescent="0.15">
      <c r="A1506"/>
    </row>
    <row r="1507" spans="1:1" x14ac:dyDescent="0.15">
      <c r="A1507"/>
    </row>
    <row r="1508" spans="1:1" x14ac:dyDescent="0.15">
      <c r="A1508"/>
    </row>
    <row r="1509" spans="1:1" x14ac:dyDescent="0.15">
      <c r="A1509"/>
    </row>
    <row r="1510" spans="1:1" x14ac:dyDescent="0.15">
      <c r="A1510"/>
    </row>
    <row r="1511" spans="1:1" x14ac:dyDescent="0.15">
      <c r="A1511"/>
    </row>
    <row r="1512" spans="1:1" x14ac:dyDescent="0.15">
      <c r="A1512"/>
    </row>
    <row r="1513" spans="1:1" x14ac:dyDescent="0.15">
      <c r="A1513"/>
    </row>
    <row r="1514" spans="1:1" x14ac:dyDescent="0.15">
      <c r="A1514"/>
    </row>
    <row r="1515" spans="1:1" x14ac:dyDescent="0.15">
      <c r="A1515"/>
    </row>
    <row r="1516" spans="1:1" x14ac:dyDescent="0.15">
      <c r="A1516"/>
    </row>
    <row r="1517" spans="1:1" x14ac:dyDescent="0.15">
      <c r="A1517"/>
    </row>
    <row r="1518" spans="1:1" x14ac:dyDescent="0.15">
      <c r="A1518"/>
    </row>
    <row r="1519" spans="1:1" x14ac:dyDescent="0.15">
      <c r="A1519"/>
    </row>
    <row r="1520" spans="1:1" x14ac:dyDescent="0.15">
      <c r="A1520"/>
    </row>
    <row r="1521" spans="1:1" x14ac:dyDescent="0.15">
      <c r="A1521"/>
    </row>
    <row r="1522" spans="1:1" x14ac:dyDescent="0.15">
      <c r="A1522"/>
    </row>
    <row r="1523" spans="1:1" x14ac:dyDescent="0.15">
      <c r="A1523"/>
    </row>
    <row r="1524" spans="1:1" x14ac:dyDescent="0.15">
      <c r="A1524"/>
    </row>
    <row r="1525" spans="1:1" x14ac:dyDescent="0.15">
      <c r="A1525"/>
    </row>
    <row r="1526" spans="1:1" x14ac:dyDescent="0.15">
      <c r="A1526"/>
    </row>
    <row r="1527" spans="1:1" x14ac:dyDescent="0.15">
      <c r="A1527"/>
    </row>
    <row r="1528" spans="1:1" x14ac:dyDescent="0.15">
      <c r="A1528"/>
    </row>
    <row r="1529" spans="1:1" x14ac:dyDescent="0.15">
      <c r="A1529"/>
    </row>
    <row r="1530" spans="1:1" x14ac:dyDescent="0.15">
      <c r="A1530"/>
    </row>
    <row r="1531" spans="1:1" x14ac:dyDescent="0.15">
      <c r="A1531"/>
    </row>
    <row r="1532" spans="1:1" x14ac:dyDescent="0.15">
      <c r="A1532"/>
    </row>
    <row r="1533" spans="1:1" x14ac:dyDescent="0.15">
      <c r="A1533"/>
    </row>
    <row r="1534" spans="1:1" x14ac:dyDescent="0.15">
      <c r="A1534"/>
    </row>
    <row r="1535" spans="1:1" x14ac:dyDescent="0.15">
      <c r="A1535"/>
    </row>
    <row r="1536" spans="1:1" x14ac:dyDescent="0.15">
      <c r="A1536"/>
    </row>
    <row r="1537" spans="1:1" x14ac:dyDescent="0.15">
      <c r="A1537"/>
    </row>
    <row r="1538" spans="1:1" x14ac:dyDescent="0.15">
      <c r="A1538"/>
    </row>
    <row r="1539" spans="1:1" x14ac:dyDescent="0.15">
      <c r="A1539"/>
    </row>
    <row r="1540" spans="1:1" x14ac:dyDescent="0.15">
      <c r="A1540"/>
    </row>
    <row r="1541" spans="1:1" x14ac:dyDescent="0.15">
      <c r="A1541"/>
    </row>
    <row r="1542" spans="1:1" x14ac:dyDescent="0.15">
      <c r="A1542"/>
    </row>
    <row r="1543" spans="1:1" x14ac:dyDescent="0.15">
      <c r="A1543"/>
    </row>
    <row r="1544" spans="1:1" x14ac:dyDescent="0.15">
      <c r="A1544"/>
    </row>
    <row r="1545" spans="1:1" x14ac:dyDescent="0.15">
      <c r="A1545"/>
    </row>
    <row r="1546" spans="1:1" x14ac:dyDescent="0.15">
      <c r="A1546"/>
    </row>
    <row r="1547" spans="1:1" x14ac:dyDescent="0.15">
      <c r="A1547"/>
    </row>
    <row r="1548" spans="1:1" x14ac:dyDescent="0.15">
      <c r="A1548"/>
    </row>
    <row r="1549" spans="1:1" x14ac:dyDescent="0.15">
      <c r="A1549"/>
    </row>
    <row r="1550" spans="1:1" x14ac:dyDescent="0.15">
      <c r="A1550"/>
    </row>
    <row r="1551" spans="1:1" x14ac:dyDescent="0.15">
      <c r="A1551"/>
    </row>
    <row r="1552" spans="1:1" x14ac:dyDescent="0.15">
      <c r="A1552"/>
    </row>
    <row r="1553" spans="1:1" x14ac:dyDescent="0.15">
      <c r="A1553"/>
    </row>
    <row r="1554" spans="1:1" x14ac:dyDescent="0.15">
      <c r="A1554"/>
    </row>
    <row r="1555" spans="1:1" x14ac:dyDescent="0.15">
      <c r="A1555"/>
    </row>
    <row r="1556" spans="1:1" x14ac:dyDescent="0.15">
      <c r="A1556"/>
    </row>
    <row r="1557" spans="1:1" x14ac:dyDescent="0.15">
      <c r="A1557"/>
    </row>
    <row r="1558" spans="1:1" x14ac:dyDescent="0.15">
      <c r="A1558"/>
    </row>
    <row r="1559" spans="1:1" x14ac:dyDescent="0.15">
      <c r="A1559"/>
    </row>
    <row r="1560" spans="1:1" x14ac:dyDescent="0.15">
      <c r="A1560"/>
    </row>
    <row r="1561" spans="1:1" x14ac:dyDescent="0.15">
      <c r="A1561"/>
    </row>
    <row r="1562" spans="1:1" x14ac:dyDescent="0.15">
      <c r="A1562"/>
    </row>
    <row r="1563" spans="1:1" x14ac:dyDescent="0.15">
      <c r="A1563"/>
    </row>
    <row r="1564" spans="1:1" x14ac:dyDescent="0.15">
      <c r="A1564"/>
    </row>
    <row r="1565" spans="1:1" x14ac:dyDescent="0.15">
      <c r="A1565"/>
    </row>
    <row r="1566" spans="1:1" x14ac:dyDescent="0.15">
      <c r="A1566"/>
    </row>
    <row r="1567" spans="1:1" x14ac:dyDescent="0.15">
      <c r="A1567"/>
    </row>
    <row r="1568" spans="1:1" x14ac:dyDescent="0.15">
      <c r="A1568"/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15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18" sqref="H18"/>
    </sheetView>
  </sheetViews>
  <sheetFormatPr baseColWidth="12" defaultRowHeight="15" x14ac:dyDescent="0.15"/>
  <cols>
    <col min="1" max="1" width="19.6640625" style="19" bestFit="1" customWidth="1"/>
    <col min="2" max="2" width="8.6640625" bestFit="1" customWidth="1"/>
    <col min="3" max="3" width="19.5" bestFit="1" customWidth="1"/>
    <col min="4" max="4" width="8" bestFit="1" customWidth="1"/>
    <col min="5" max="5" width="7.5" bestFit="1" customWidth="1"/>
    <col min="6" max="6" width="8.83203125" bestFit="1" customWidth="1"/>
    <col min="7" max="7" width="12.1640625" bestFit="1" customWidth="1"/>
    <col min="8" max="8" width="6" bestFit="1" customWidth="1"/>
    <col min="9" max="9" width="7" bestFit="1" customWidth="1"/>
    <col min="10" max="10" width="10.33203125" bestFit="1" customWidth="1"/>
    <col min="11" max="11" width="13.5" bestFit="1" customWidth="1"/>
    <col min="12" max="12" width="16.6640625" bestFit="1" customWidth="1"/>
    <col min="13" max="13" width="17.6640625" bestFit="1" customWidth="1"/>
  </cols>
  <sheetData>
    <row r="1" spans="1:13" s="70" customFormat="1" x14ac:dyDescent="0.15">
      <c r="A1" s="70">
        <f>MATCH(A2,INDIRECT(C1&amp;"!A:A"),0)-2</f>
        <v>-1</v>
      </c>
      <c r="B1" s="71" t="str">
        <f>"$"&amp;2+$A$1&amp;":$"&amp;2+$A$1</f>
        <v>$1:$1</v>
      </c>
      <c r="C1" s="70" t="str">
        <f>SUBSTITUTE(RIGHT(CELL("filename",$C$1),LEN(CELL("filename",$C$1))-FIND("]",CELL("filename",$C$1))),".tmp","")</f>
        <v>enemy_habitat_S_DL5</v>
      </c>
    </row>
    <row r="2" spans="1:13" s="15" customFormat="1" x14ac:dyDescent="0.15">
      <c r="A2" s="19" t="s">
        <v>73</v>
      </c>
      <c r="B2" s="15" t="s">
        <v>0</v>
      </c>
      <c r="C2" s="15" t="s">
        <v>1</v>
      </c>
      <c r="D2" s="15" t="s">
        <v>13</v>
      </c>
      <c r="E2" s="15" t="s">
        <v>74</v>
      </c>
      <c r="F2" s="15" t="s">
        <v>75</v>
      </c>
      <c r="G2" s="15" t="s">
        <v>76</v>
      </c>
      <c r="H2" s="15" t="s">
        <v>77</v>
      </c>
      <c r="I2" s="15" t="s">
        <v>78</v>
      </c>
      <c r="J2" s="15" t="s">
        <v>79</v>
      </c>
      <c r="K2" s="15" t="s">
        <v>80</v>
      </c>
      <c r="L2" s="15" t="s">
        <v>81</v>
      </c>
      <c r="M2" s="15" t="s">
        <v>54</v>
      </c>
    </row>
    <row r="3" spans="1:13" x14ac:dyDescent="0.15">
      <c r="A3" s="72" t="str">
        <f>INDIRECT(ADDRESS(ROW()+$A$1,COLUMN(),1,TRUE,$C$1))</f>
        <v>22_1-5/130&lt;lv45&gt;sq130st2</v>
      </c>
      <c r="B3" s="73">
        <f t="shared" ref="B3:M15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22</v>
      </c>
      <c r="C3" s="73">
        <f t="shared" si="0"/>
        <v>1</v>
      </c>
      <c r="D3" s="73">
        <f t="shared" si="0"/>
        <v>5</v>
      </c>
      <c r="E3" s="73">
        <f t="shared" si="0"/>
        <v>130</v>
      </c>
      <c r="F3" s="73">
        <f t="shared" si="0"/>
        <v>2</v>
      </c>
      <c r="G3" s="73">
        <f t="shared" si="0"/>
        <v>130</v>
      </c>
      <c r="H3" s="73">
        <f t="shared" si="0"/>
        <v>45</v>
      </c>
      <c r="I3" s="73">
        <f t="shared" si="0"/>
        <v>3</v>
      </c>
      <c r="J3" s="73">
        <f t="shared" si="0"/>
        <v>13001</v>
      </c>
      <c r="K3" s="73">
        <f t="shared" si="0"/>
        <v>1.5</v>
      </c>
      <c r="L3" s="73">
        <f t="shared" si="0"/>
        <v>1</v>
      </c>
      <c r="M3" s="73">
        <f t="shared" si="0"/>
        <v>0</v>
      </c>
    </row>
    <row r="4" spans="1:13" x14ac:dyDescent="0.15">
      <c r="A4" s="72" t="str">
        <f t="shared" ref="A4:A15" si="1">INDIRECT(ADDRESS(ROW()+$A$1,COLUMN(),1,TRUE,$C$1))</f>
        <v>22_4-5/86&lt;lv45&gt;sq86st2</v>
      </c>
      <c r="B4" s="73">
        <f t="shared" si="0"/>
        <v>22</v>
      </c>
      <c r="C4" s="73">
        <f t="shared" si="0"/>
        <v>4</v>
      </c>
      <c r="D4" s="73">
        <f t="shared" si="0"/>
        <v>5</v>
      </c>
      <c r="E4" s="73">
        <f t="shared" si="0"/>
        <v>86</v>
      </c>
      <c r="F4" s="73">
        <f t="shared" si="0"/>
        <v>2</v>
      </c>
      <c r="G4" s="73">
        <f t="shared" si="0"/>
        <v>86</v>
      </c>
      <c r="H4" s="73">
        <f t="shared" si="0"/>
        <v>45</v>
      </c>
      <c r="I4" s="73">
        <f t="shared" si="0"/>
        <v>2</v>
      </c>
      <c r="J4" s="73">
        <f t="shared" si="0"/>
        <v>8602</v>
      </c>
      <c r="K4" s="73">
        <f t="shared" si="0"/>
        <v>0.7</v>
      </c>
      <c r="L4" s="73">
        <f t="shared" si="0"/>
        <v>2</v>
      </c>
      <c r="M4" s="73">
        <f t="shared" si="0"/>
        <v>0</v>
      </c>
    </row>
    <row r="5" spans="1:13" x14ac:dyDescent="0.15">
      <c r="A5" s="72" t="str">
        <f t="shared" si="1"/>
        <v>22_5-5/131&lt;lv53&gt;sq131st2</v>
      </c>
      <c r="B5" s="73">
        <f t="shared" si="0"/>
        <v>22</v>
      </c>
      <c r="C5" s="73">
        <f t="shared" si="0"/>
        <v>5</v>
      </c>
      <c r="D5" s="73">
        <f t="shared" si="0"/>
        <v>5</v>
      </c>
      <c r="E5" s="73">
        <f t="shared" si="0"/>
        <v>131</v>
      </c>
      <c r="F5" s="73">
        <f t="shared" si="0"/>
        <v>2</v>
      </c>
      <c r="G5" s="73">
        <f t="shared" si="0"/>
        <v>131</v>
      </c>
      <c r="H5" s="73">
        <f t="shared" si="0"/>
        <v>53</v>
      </c>
      <c r="I5" s="73">
        <f t="shared" si="0"/>
        <v>2</v>
      </c>
      <c r="J5" s="73">
        <f t="shared" si="0"/>
        <v>13002</v>
      </c>
      <c r="K5" s="73">
        <f t="shared" si="0"/>
        <v>1.2</v>
      </c>
      <c r="L5" s="73">
        <f t="shared" si="0"/>
        <v>0.7</v>
      </c>
      <c r="M5" s="73">
        <f t="shared" si="0"/>
        <v>0</v>
      </c>
    </row>
    <row r="6" spans="1:13" x14ac:dyDescent="0.15">
      <c r="A6" s="72" t="str">
        <f t="shared" si="1"/>
        <v>23_3-5/89&lt;lv49&gt;sq89st2</v>
      </c>
      <c r="B6" s="73">
        <f t="shared" si="0"/>
        <v>23</v>
      </c>
      <c r="C6" s="73">
        <f t="shared" si="0"/>
        <v>3</v>
      </c>
      <c r="D6" s="73">
        <f t="shared" si="0"/>
        <v>5</v>
      </c>
      <c r="E6" s="73">
        <f t="shared" si="0"/>
        <v>89</v>
      </c>
      <c r="F6" s="73">
        <f t="shared" si="0"/>
        <v>2</v>
      </c>
      <c r="G6" s="73">
        <f t="shared" si="0"/>
        <v>89</v>
      </c>
      <c r="H6" s="73">
        <f t="shared" si="0"/>
        <v>49</v>
      </c>
      <c r="I6" s="73">
        <f t="shared" si="0"/>
        <v>2</v>
      </c>
      <c r="J6" s="73">
        <f t="shared" si="0"/>
        <v>8902</v>
      </c>
      <c r="K6" s="73">
        <f t="shared" si="0"/>
        <v>1.2</v>
      </c>
      <c r="L6" s="73">
        <f t="shared" si="0"/>
        <v>1.7</v>
      </c>
      <c r="M6" s="73">
        <f t="shared" si="0"/>
        <v>0</v>
      </c>
    </row>
    <row r="7" spans="1:13" x14ac:dyDescent="0.15">
      <c r="A7" s="72" t="str">
        <f t="shared" si="1"/>
        <v>23_5-5/43&lt;lv53&gt;sq4301st2</v>
      </c>
      <c r="B7" s="73">
        <f t="shared" si="0"/>
        <v>23</v>
      </c>
      <c r="C7" s="73">
        <f t="shared" si="0"/>
        <v>5</v>
      </c>
      <c r="D7" s="73">
        <f t="shared" si="0"/>
        <v>5</v>
      </c>
      <c r="E7" s="73">
        <f t="shared" si="0"/>
        <v>4301</v>
      </c>
      <c r="F7" s="73">
        <f t="shared" si="0"/>
        <v>2</v>
      </c>
      <c r="G7" s="73">
        <f t="shared" si="0"/>
        <v>43</v>
      </c>
      <c r="H7" s="73">
        <f t="shared" si="0"/>
        <v>53</v>
      </c>
      <c r="I7" s="73">
        <f t="shared" si="0"/>
        <v>2</v>
      </c>
      <c r="J7" s="73">
        <f t="shared" si="0"/>
        <v>4401</v>
      </c>
      <c r="K7" s="73">
        <f t="shared" si="0"/>
        <v>1</v>
      </c>
      <c r="L7" s="73">
        <f t="shared" si="0"/>
        <v>1</v>
      </c>
      <c r="M7" s="73">
        <f t="shared" si="0"/>
        <v>0</v>
      </c>
    </row>
    <row r="8" spans="1:13" x14ac:dyDescent="0.15">
      <c r="A8" s="72" t="str">
        <f t="shared" si="1"/>
        <v>23_5-5/43&lt;lv52&gt;sq4302st2</v>
      </c>
      <c r="B8" s="73">
        <f t="shared" si="0"/>
        <v>23</v>
      </c>
      <c r="C8" s="73">
        <f t="shared" si="0"/>
        <v>5</v>
      </c>
      <c r="D8" s="73">
        <f t="shared" si="0"/>
        <v>5</v>
      </c>
      <c r="E8" s="73">
        <f t="shared" si="0"/>
        <v>4302</v>
      </c>
      <c r="F8" s="73">
        <f t="shared" si="0"/>
        <v>2</v>
      </c>
      <c r="G8" s="73">
        <f t="shared" si="0"/>
        <v>43</v>
      </c>
      <c r="H8" s="73">
        <f t="shared" si="0"/>
        <v>52</v>
      </c>
      <c r="I8" s="73">
        <f t="shared" si="0"/>
        <v>2</v>
      </c>
      <c r="J8" s="73">
        <f t="shared" si="0"/>
        <v>4402</v>
      </c>
      <c r="K8" s="73">
        <f t="shared" si="0"/>
        <v>1</v>
      </c>
      <c r="L8" s="73">
        <f t="shared" si="0"/>
        <v>1</v>
      </c>
      <c r="M8" s="73">
        <f t="shared" si="0"/>
        <v>0</v>
      </c>
    </row>
    <row r="9" spans="1:13" x14ac:dyDescent="0.15">
      <c r="A9" s="72" t="str">
        <f t="shared" si="1"/>
        <v>24_3-5/242&lt;lv53&gt;sq242st2</v>
      </c>
      <c r="B9" s="73">
        <f t="shared" si="0"/>
        <v>24</v>
      </c>
      <c r="C9" s="73">
        <f t="shared" si="0"/>
        <v>3</v>
      </c>
      <c r="D9" s="73">
        <f t="shared" si="0"/>
        <v>5</v>
      </c>
      <c r="E9" s="73">
        <f t="shared" si="0"/>
        <v>242</v>
      </c>
      <c r="F9" s="73">
        <f t="shared" si="0"/>
        <v>2</v>
      </c>
      <c r="G9" s="73">
        <f t="shared" si="0"/>
        <v>242</v>
      </c>
      <c r="H9" s="73">
        <f t="shared" si="0"/>
        <v>53</v>
      </c>
      <c r="I9" s="73">
        <f t="shared" si="0"/>
        <v>2</v>
      </c>
      <c r="J9" s="73">
        <f t="shared" si="0"/>
        <v>24202</v>
      </c>
      <c r="K9" s="73">
        <f t="shared" si="0"/>
        <v>1</v>
      </c>
      <c r="L9" s="73">
        <f t="shared" si="0"/>
        <v>1</v>
      </c>
      <c r="M9" s="73">
        <f t="shared" si="0"/>
        <v>0</v>
      </c>
    </row>
    <row r="10" spans="1:13" x14ac:dyDescent="0.15">
      <c r="A10" s="72" t="str">
        <f t="shared" si="1"/>
        <v>24_4-5/28&lt;lv55&gt;sq28st2</v>
      </c>
      <c r="B10" s="73">
        <f t="shared" si="0"/>
        <v>24</v>
      </c>
      <c r="C10" s="73">
        <f t="shared" si="0"/>
        <v>4</v>
      </c>
      <c r="D10" s="73">
        <f t="shared" si="0"/>
        <v>5</v>
      </c>
      <c r="E10" s="73">
        <f t="shared" si="0"/>
        <v>28</v>
      </c>
      <c r="F10" s="73">
        <f t="shared" si="0"/>
        <v>2</v>
      </c>
      <c r="G10" s="73">
        <f t="shared" si="0"/>
        <v>28</v>
      </c>
      <c r="H10" s="73">
        <f t="shared" si="0"/>
        <v>55</v>
      </c>
      <c r="I10" s="73">
        <f t="shared" si="0"/>
        <v>1</v>
      </c>
      <c r="J10" s="73">
        <f t="shared" si="0"/>
        <v>28</v>
      </c>
      <c r="K10" s="73">
        <f t="shared" si="0"/>
        <v>1.3</v>
      </c>
      <c r="L10" s="73">
        <f t="shared" si="0"/>
        <v>1</v>
      </c>
      <c r="M10" s="73">
        <f t="shared" si="0"/>
        <v>0</v>
      </c>
    </row>
    <row r="11" spans="1:13" x14ac:dyDescent="0.15">
      <c r="A11" s="72" t="str">
        <f t="shared" si="1"/>
        <v>24_5-5/248&lt;lv55&gt;sq248st2</v>
      </c>
      <c r="B11" s="73">
        <f t="shared" si="0"/>
        <v>24</v>
      </c>
      <c r="C11" s="73">
        <f t="shared" si="0"/>
        <v>5</v>
      </c>
      <c r="D11" s="73">
        <f t="shared" si="0"/>
        <v>5</v>
      </c>
      <c r="E11" s="73">
        <f t="shared" si="0"/>
        <v>248</v>
      </c>
      <c r="F11" s="73">
        <f t="shared" si="0"/>
        <v>2</v>
      </c>
      <c r="G11" s="73">
        <f t="shared" si="0"/>
        <v>248</v>
      </c>
      <c r="H11" s="73">
        <f t="shared" si="0"/>
        <v>55</v>
      </c>
      <c r="I11" s="73">
        <f t="shared" si="0"/>
        <v>2</v>
      </c>
      <c r="J11" s="73">
        <f t="shared" si="0"/>
        <v>24802</v>
      </c>
      <c r="K11" s="73">
        <f t="shared" si="0"/>
        <v>1.3</v>
      </c>
      <c r="L11" s="73">
        <f t="shared" si="0"/>
        <v>1.2</v>
      </c>
      <c r="M11" s="73">
        <f t="shared" si="0"/>
        <v>0</v>
      </c>
    </row>
    <row r="12" spans="1:13" x14ac:dyDescent="0.15">
      <c r="A12" s="72" t="str">
        <f t="shared" si="1"/>
        <v>25_3-5/165&lt;lv55&gt;sq165st2</v>
      </c>
      <c r="B12" s="73">
        <f t="shared" si="0"/>
        <v>25</v>
      </c>
      <c r="C12" s="73">
        <f t="shared" si="0"/>
        <v>3</v>
      </c>
      <c r="D12" s="73">
        <f t="shared" si="0"/>
        <v>5</v>
      </c>
      <c r="E12" s="73">
        <f t="shared" si="0"/>
        <v>165</v>
      </c>
      <c r="F12" s="73">
        <f t="shared" si="0"/>
        <v>2</v>
      </c>
      <c r="G12" s="73">
        <f t="shared" si="0"/>
        <v>165</v>
      </c>
      <c r="H12" s="73">
        <f t="shared" si="0"/>
        <v>55</v>
      </c>
      <c r="I12" s="73">
        <f t="shared" si="0"/>
        <v>2</v>
      </c>
      <c r="J12" s="73">
        <f t="shared" si="0"/>
        <v>16502</v>
      </c>
      <c r="K12" s="73">
        <f t="shared" si="0"/>
        <v>1.4</v>
      </c>
      <c r="L12" s="73">
        <f t="shared" si="0"/>
        <v>1.3</v>
      </c>
      <c r="M12" s="73">
        <f t="shared" si="0"/>
        <v>0</v>
      </c>
    </row>
    <row r="13" spans="1:13" x14ac:dyDescent="0.15">
      <c r="A13" s="72" t="str">
        <f t="shared" si="1"/>
        <v>25_5-5/163&lt;lv59&gt;sq163st2</v>
      </c>
      <c r="B13" s="73">
        <f t="shared" si="0"/>
        <v>25</v>
      </c>
      <c r="C13" s="73">
        <f t="shared" si="0"/>
        <v>5</v>
      </c>
      <c r="D13" s="73">
        <f t="shared" si="0"/>
        <v>5</v>
      </c>
      <c r="E13" s="73">
        <f t="shared" si="0"/>
        <v>163</v>
      </c>
      <c r="F13" s="73">
        <f t="shared" si="0"/>
        <v>2</v>
      </c>
      <c r="G13" s="73">
        <f t="shared" si="0"/>
        <v>163</v>
      </c>
      <c r="H13" s="73">
        <f t="shared" si="0"/>
        <v>59</v>
      </c>
      <c r="I13" s="73">
        <f t="shared" si="0"/>
        <v>2</v>
      </c>
      <c r="J13" s="73">
        <f t="shared" si="0"/>
        <v>16302</v>
      </c>
      <c r="K13" s="73">
        <f t="shared" si="0"/>
        <v>1.8</v>
      </c>
      <c r="L13" s="73">
        <f t="shared" si="0"/>
        <v>1.3</v>
      </c>
      <c r="M13" s="73">
        <f t="shared" si="0"/>
        <v>0</v>
      </c>
    </row>
    <row r="14" spans="1:13" x14ac:dyDescent="0.15">
      <c r="A14" s="72" t="str">
        <f t="shared" si="1"/>
        <v>26_5-6/252&lt;lv63&gt;sq252st2</v>
      </c>
      <c r="B14" s="73">
        <f t="shared" si="0"/>
        <v>26</v>
      </c>
      <c r="C14" s="73">
        <f t="shared" si="0"/>
        <v>5</v>
      </c>
      <c r="D14" s="73">
        <f t="shared" si="0"/>
        <v>6</v>
      </c>
      <c r="E14" s="73">
        <f t="shared" si="0"/>
        <v>252</v>
      </c>
      <c r="F14" s="73">
        <f t="shared" si="0"/>
        <v>2</v>
      </c>
      <c r="G14" s="73">
        <f t="shared" si="0"/>
        <v>252</v>
      </c>
      <c r="H14" s="73">
        <f t="shared" si="0"/>
        <v>63</v>
      </c>
      <c r="I14" s="73">
        <f t="shared" si="0"/>
        <v>2</v>
      </c>
      <c r="J14" s="73">
        <f t="shared" si="0"/>
        <v>25202</v>
      </c>
      <c r="K14" s="73">
        <f t="shared" si="0"/>
        <v>0.8</v>
      </c>
      <c r="L14" s="73">
        <f t="shared" si="0"/>
        <v>1.1000000000000001</v>
      </c>
      <c r="M14" s="73">
        <f t="shared" si="0"/>
        <v>0</v>
      </c>
    </row>
    <row r="15" spans="1:13" x14ac:dyDescent="0.15">
      <c r="A15" s="72" t="str">
        <f t="shared" si="1"/>
        <v>26_5-6/252&lt;lv63&gt;sq252st3</v>
      </c>
      <c r="B15" s="73">
        <f t="shared" si="0"/>
        <v>26</v>
      </c>
      <c r="C15" s="73">
        <f t="shared" si="0"/>
        <v>5</v>
      </c>
      <c r="D15" s="73">
        <f t="shared" si="0"/>
        <v>6</v>
      </c>
      <c r="E15" s="73">
        <f t="shared" si="0"/>
        <v>252</v>
      </c>
      <c r="F15" s="73">
        <f t="shared" si="0"/>
        <v>3</v>
      </c>
      <c r="G15" s="73">
        <f t="shared" si="0"/>
        <v>252</v>
      </c>
      <c r="H15" s="73">
        <f t="shared" si="0"/>
        <v>63</v>
      </c>
      <c r="I15" s="73">
        <f t="shared" si="0"/>
        <v>2</v>
      </c>
      <c r="J15" s="73">
        <f t="shared" si="0"/>
        <v>25203</v>
      </c>
      <c r="K15" s="73">
        <f t="shared" si="0"/>
        <v>0.8</v>
      </c>
      <c r="L15" s="73">
        <f t="shared" si="0"/>
        <v>1.2</v>
      </c>
      <c r="M15" s="73">
        <f t="shared" si="0"/>
        <v>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floors_DL5.tmp</vt:lpstr>
      <vt:lpstr>enemy_habitats_DL5.tmp</vt:lpstr>
      <vt:lpstr>enemy_habitat_S_DL5.tmp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2016-06-23T07:50:49Z</dcterms:modified>
</cp:coreProperties>
</file>