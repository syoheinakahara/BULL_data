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500" yWindow="460" windowWidth="25100" windowHeight="15540" tabRatio="500" activeTab="2"/>
  </bookViews>
  <sheets>
    <sheet name="output" sheetId="4" r:id="rId1"/>
    <sheet name="マスタ" sheetId="3" r:id="rId2"/>
    <sheet name="periods" sheetId="1" r:id="rId3"/>
    <sheet name="periods.csv" sheetId="2" r:id="rId4"/>
  </sheets>
  <definedNames>
    <definedName name="_xlnm._FilterDatabase" localSheetId="3" hidden="1">periods.csv!$A$2:$C$206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69" i="1" l="1"/>
  <c r="D170" i="1"/>
  <c r="D166" i="1"/>
  <c r="D167" i="1"/>
  <c r="D152" i="1"/>
  <c r="D151" i="1"/>
  <c r="D142" i="1"/>
  <c r="D143" i="1"/>
  <c r="D148" i="1"/>
  <c r="D149" i="1"/>
  <c r="D145" i="1"/>
  <c r="D146" i="1"/>
  <c r="D140" i="1"/>
  <c r="D139" i="1"/>
  <c r="D137" i="1"/>
  <c r="D136" i="1"/>
  <c r="D131" i="1"/>
  <c r="D130" i="1"/>
  <c r="D128" i="1"/>
  <c r="D127" i="1"/>
  <c r="D119" i="1"/>
  <c r="D123" i="1"/>
  <c r="D122" i="1"/>
  <c r="D117" i="1"/>
  <c r="D116" i="1"/>
  <c r="D120" i="1"/>
  <c r="D114" i="1"/>
  <c r="D113" i="1"/>
  <c r="D111" i="1"/>
  <c r="D110" i="1"/>
  <c r="D102" i="1"/>
  <c r="D101" i="1"/>
  <c r="D108" i="1"/>
  <c r="D107" i="1"/>
  <c r="D105" i="1"/>
  <c r="D104" i="1"/>
  <c r="D173" i="1"/>
  <c r="D172" i="1"/>
  <c r="E2" i="4"/>
  <c r="C1" i="2"/>
  <c r="A1" i="2"/>
  <c r="A152" i="2"/>
  <c r="B1" i="2"/>
  <c r="C152" i="2"/>
  <c r="B152" i="2"/>
  <c r="A151" i="2"/>
  <c r="C151" i="2"/>
  <c r="B151" i="2"/>
  <c r="A150" i="2"/>
  <c r="C150" i="2"/>
  <c r="B150" i="2"/>
  <c r="A149" i="2"/>
  <c r="C149" i="2"/>
  <c r="B149" i="2"/>
  <c r="A148" i="2"/>
  <c r="C148" i="2"/>
  <c r="B148" i="2"/>
  <c r="A147" i="2"/>
  <c r="C147" i="2"/>
  <c r="B147" i="2"/>
  <c r="A146" i="2"/>
  <c r="C146" i="2"/>
  <c r="B146" i="2"/>
  <c r="A145" i="2"/>
  <c r="C145" i="2"/>
  <c r="B145" i="2"/>
  <c r="A144" i="2"/>
  <c r="C144" i="2"/>
  <c r="B144" i="2"/>
  <c r="A143" i="2"/>
  <c r="C143" i="2"/>
  <c r="B143" i="2"/>
  <c r="A142" i="2"/>
  <c r="C142" i="2"/>
  <c r="B142" i="2"/>
  <c r="A141" i="2"/>
  <c r="C141" i="2"/>
  <c r="B141" i="2"/>
  <c r="A140" i="2"/>
  <c r="C140" i="2"/>
  <c r="B140" i="2"/>
  <c r="A139" i="2"/>
  <c r="C139" i="2"/>
  <c r="B139" i="2"/>
  <c r="A138" i="2"/>
  <c r="C138" i="2"/>
  <c r="B138" i="2"/>
  <c r="A137" i="2"/>
  <c r="C137" i="2"/>
  <c r="B137" i="2"/>
  <c r="A136" i="2"/>
  <c r="C136" i="2"/>
  <c r="B136" i="2"/>
  <c r="A135" i="2"/>
  <c r="C135" i="2"/>
  <c r="B135" i="2"/>
  <c r="A134" i="2"/>
  <c r="C134" i="2"/>
  <c r="B134" i="2"/>
  <c r="A133" i="2"/>
  <c r="C133" i="2"/>
  <c r="B133" i="2"/>
  <c r="A132" i="2"/>
  <c r="C132" i="2"/>
  <c r="B132" i="2"/>
  <c r="A131" i="2"/>
  <c r="C131" i="2"/>
  <c r="B131" i="2"/>
  <c r="A130" i="2"/>
  <c r="C130" i="2"/>
  <c r="B130" i="2"/>
  <c r="A129" i="2"/>
  <c r="C129" i="2"/>
  <c r="B129" i="2"/>
  <c r="A128" i="2"/>
  <c r="C128" i="2"/>
  <c r="B128" i="2"/>
  <c r="A127" i="2"/>
  <c r="C127" i="2"/>
  <c r="B127" i="2"/>
  <c r="A126" i="2"/>
  <c r="C126" i="2"/>
  <c r="B126" i="2"/>
  <c r="A125" i="2"/>
  <c r="C125" i="2"/>
  <c r="B125" i="2"/>
  <c r="A124" i="2"/>
  <c r="C124" i="2"/>
  <c r="B124" i="2"/>
  <c r="A123" i="2"/>
  <c r="C123" i="2"/>
  <c r="B123" i="2"/>
  <c r="A122" i="2"/>
  <c r="C122" i="2"/>
  <c r="B122" i="2"/>
  <c r="A121" i="2"/>
  <c r="C121" i="2"/>
  <c r="B121" i="2"/>
  <c r="A120" i="2"/>
  <c r="C120" i="2"/>
  <c r="B120" i="2"/>
  <c r="A119" i="2"/>
  <c r="C119" i="2"/>
  <c r="B119" i="2"/>
  <c r="A118" i="2"/>
  <c r="C118" i="2"/>
  <c r="B118" i="2"/>
  <c r="A117" i="2"/>
  <c r="C117" i="2"/>
  <c r="B117" i="2"/>
  <c r="A116" i="2"/>
  <c r="C116" i="2"/>
  <c r="B116" i="2"/>
  <c r="A115" i="2"/>
  <c r="C115" i="2"/>
  <c r="B115" i="2"/>
  <c r="A114" i="2"/>
  <c r="C114" i="2"/>
  <c r="B114" i="2"/>
  <c r="A113" i="2"/>
  <c r="C113" i="2"/>
  <c r="B113" i="2"/>
  <c r="A112" i="2"/>
  <c r="C112" i="2"/>
  <c r="B112" i="2"/>
  <c r="A111" i="2"/>
  <c r="C111" i="2"/>
  <c r="B111" i="2"/>
  <c r="A110" i="2"/>
  <c r="C110" i="2"/>
  <c r="B110" i="2"/>
  <c r="A109" i="2"/>
  <c r="C109" i="2"/>
  <c r="B109" i="2"/>
  <c r="A108" i="2"/>
  <c r="C108" i="2"/>
  <c r="B108" i="2"/>
  <c r="A107" i="2"/>
  <c r="C107" i="2"/>
  <c r="B107" i="2"/>
  <c r="A106" i="2"/>
  <c r="C106" i="2"/>
  <c r="B106" i="2"/>
  <c r="A105" i="2"/>
  <c r="C105" i="2"/>
  <c r="B105" i="2"/>
  <c r="A104" i="2"/>
  <c r="C104" i="2"/>
  <c r="B104" i="2"/>
  <c r="A103" i="2"/>
  <c r="C103" i="2"/>
  <c r="B103" i="2"/>
  <c r="A102" i="2"/>
  <c r="C102" i="2"/>
  <c r="B102" i="2"/>
  <c r="A101" i="2"/>
  <c r="C101" i="2"/>
  <c r="B101" i="2"/>
  <c r="A100" i="2"/>
  <c r="C100" i="2"/>
  <c r="B100" i="2"/>
  <c r="A99" i="2"/>
  <c r="C99" i="2"/>
  <c r="B99" i="2"/>
  <c r="A98" i="2"/>
  <c r="C98" i="2"/>
  <c r="B98" i="2"/>
  <c r="A97" i="2"/>
  <c r="C97" i="2"/>
  <c r="B97" i="2"/>
  <c r="A96" i="2"/>
  <c r="C96" i="2"/>
  <c r="B96" i="2"/>
  <c r="A95" i="2"/>
  <c r="C95" i="2"/>
  <c r="B95" i="2"/>
  <c r="A94" i="2"/>
  <c r="C94" i="2"/>
  <c r="B94" i="2"/>
  <c r="A93" i="2"/>
  <c r="C93" i="2"/>
  <c r="B93" i="2"/>
  <c r="A92" i="2"/>
  <c r="C92" i="2"/>
  <c r="B92" i="2"/>
  <c r="A91" i="2"/>
  <c r="C91" i="2"/>
  <c r="B91" i="2"/>
  <c r="A90" i="2"/>
  <c r="C90" i="2"/>
  <c r="B90" i="2"/>
  <c r="A89" i="2"/>
  <c r="C89" i="2"/>
  <c r="B89" i="2"/>
  <c r="A88" i="2"/>
  <c r="C88" i="2"/>
  <c r="B88" i="2"/>
  <c r="A87" i="2"/>
  <c r="C87" i="2"/>
  <c r="B87" i="2"/>
  <c r="A86" i="2"/>
  <c r="C86" i="2"/>
  <c r="B86" i="2"/>
  <c r="A85" i="2"/>
  <c r="C85" i="2"/>
  <c r="B85" i="2"/>
  <c r="A84" i="2"/>
  <c r="C84" i="2"/>
  <c r="B84" i="2"/>
  <c r="A83" i="2"/>
  <c r="C83" i="2"/>
  <c r="B83" i="2"/>
  <c r="A82" i="2"/>
  <c r="C82" i="2"/>
  <c r="B82" i="2"/>
  <c r="A81" i="2"/>
  <c r="C81" i="2"/>
  <c r="B81" i="2"/>
  <c r="A80" i="2"/>
  <c r="C80" i="2"/>
  <c r="B80" i="2"/>
  <c r="A79" i="2"/>
  <c r="C79" i="2"/>
  <c r="B79" i="2"/>
  <c r="A78" i="2"/>
  <c r="C78" i="2"/>
  <c r="B78" i="2"/>
  <c r="A77" i="2"/>
  <c r="C77" i="2"/>
  <c r="B77" i="2"/>
  <c r="A76" i="2"/>
  <c r="C76" i="2"/>
  <c r="B76" i="2"/>
  <c r="A75" i="2"/>
  <c r="C75" i="2"/>
  <c r="B75" i="2"/>
  <c r="A74" i="2"/>
  <c r="C74" i="2"/>
  <c r="B74" i="2"/>
  <c r="A73" i="2"/>
  <c r="C73" i="2"/>
  <c r="B73" i="2"/>
  <c r="A72" i="2"/>
  <c r="C72" i="2"/>
  <c r="B72" i="2"/>
  <c r="A71" i="2"/>
  <c r="C71" i="2"/>
  <c r="B71" i="2"/>
  <c r="A70" i="2"/>
  <c r="C70" i="2"/>
  <c r="B70" i="2"/>
  <c r="A69" i="2"/>
  <c r="C69" i="2"/>
  <c r="B69" i="2"/>
  <c r="A68" i="2"/>
  <c r="C68" i="2"/>
  <c r="B68" i="2"/>
  <c r="A67" i="2"/>
  <c r="C67" i="2"/>
  <c r="B67" i="2"/>
  <c r="A66" i="2"/>
  <c r="C66" i="2"/>
  <c r="B66" i="2"/>
  <c r="A65" i="2"/>
  <c r="C65" i="2"/>
  <c r="B65" i="2"/>
  <c r="A64" i="2"/>
  <c r="C64" i="2"/>
  <c r="B64" i="2"/>
  <c r="A63" i="2"/>
  <c r="C63" i="2"/>
  <c r="B63" i="2"/>
  <c r="A62" i="2"/>
  <c r="C62" i="2"/>
  <c r="B62" i="2"/>
  <c r="A61" i="2"/>
  <c r="C61" i="2"/>
  <c r="B61" i="2"/>
  <c r="A60" i="2"/>
  <c r="C60" i="2"/>
  <c r="B60" i="2"/>
  <c r="A59" i="2"/>
  <c r="C59" i="2"/>
  <c r="B59" i="2"/>
  <c r="A58" i="2"/>
  <c r="C58" i="2"/>
  <c r="B58" i="2"/>
  <c r="A57" i="2"/>
  <c r="C57" i="2"/>
  <c r="B57" i="2"/>
  <c r="A56" i="2"/>
  <c r="C56" i="2"/>
  <c r="B56" i="2"/>
  <c r="A55" i="2"/>
  <c r="C55" i="2"/>
  <c r="B55" i="2"/>
  <c r="A54" i="2"/>
  <c r="C54" i="2"/>
  <c r="B54" i="2"/>
  <c r="A53" i="2"/>
  <c r="C53" i="2"/>
  <c r="B53" i="2"/>
  <c r="A52" i="2"/>
  <c r="C52" i="2"/>
  <c r="B52" i="2"/>
  <c r="A51" i="2"/>
  <c r="C51" i="2"/>
  <c r="B51" i="2"/>
  <c r="A50" i="2"/>
  <c r="C50" i="2"/>
  <c r="B50" i="2"/>
  <c r="A49" i="2"/>
  <c r="C49" i="2"/>
  <c r="B49" i="2"/>
  <c r="A48" i="2"/>
  <c r="C48" i="2"/>
  <c r="B48" i="2"/>
  <c r="A47" i="2"/>
  <c r="C47" i="2"/>
  <c r="B47" i="2"/>
  <c r="A46" i="2"/>
  <c r="C46" i="2"/>
  <c r="B46" i="2"/>
  <c r="A45" i="2"/>
  <c r="C45" i="2"/>
  <c r="B45" i="2"/>
  <c r="A44" i="2"/>
  <c r="C44" i="2"/>
  <c r="B44" i="2"/>
  <c r="A43" i="2"/>
  <c r="C43" i="2"/>
  <c r="B43" i="2"/>
  <c r="A42" i="2"/>
  <c r="C42" i="2"/>
  <c r="B42" i="2"/>
  <c r="A41" i="2"/>
  <c r="C41" i="2"/>
  <c r="B41" i="2"/>
  <c r="A40" i="2"/>
  <c r="C40" i="2"/>
  <c r="B40" i="2"/>
  <c r="A39" i="2"/>
  <c r="C39" i="2"/>
  <c r="B39" i="2"/>
  <c r="A38" i="2"/>
  <c r="C38" i="2"/>
  <c r="B38" i="2"/>
  <c r="A37" i="2"/>
  <c r="C37" i="2"/>
  <c r="B37" i="2"/>
  <c r="A36" i="2"/>
  <c r="C36" i="2"/>
  <c r="B36" i="2"/>
  <c r="A35" i="2"/>
  <c r="C35" i="2"/>
  <c r="B35" i="2"/>
  <c r="A34" i="2"/>
  <c r="C34" i="2"/>
  <c r="B34" i="2"/>
  <c r="A33" i="2"/>
  <c r="C33" i="2"/>
  <c r="B33" i="2"/>
  <c r="A32" i="2"/>
  <c r="C32" i="2"/>
  <c r="B32" i="2"/>
  <c r="A31" i="2"/>
  <c r="C31" i="2"/>
  <c r="B31" i="2"/>
  <c r="A30" i="2"/>
  <c r="C30" i="2"/>
  <c r="B30" i="2"/>
  <c r="A29" i="2"/>
  <c r="C29" i="2"/>
  <c r="B29" i="2"/>
  <c r="A28" i="2"/>
  <c r="C28" i="2"/>
  <c r="B28" i="2"/>
  <c r="A27" i="2"/>
  <c r="C27" i="2"/>
  <c r="B27" i="2"/>
  <c r="A26" i="2"/>
  <c r="C26" i="2"/>
  <c r="B26" i="2"/>
  <c r="A25" i="2"/>
  <c r="C25" i="2"/>
  <c r="B25" i="2"/>
  <c r="A24" i="2"/>
  <c r="C24" i="2"/>
  <c r="B24" i="2"/>
  <c r="A23" i="2"/>
  <c r="C23" i="2"/>
  <c r="B23" i="2"/>
  <c r="A22" i="2"/>
  <c r="C22" i="2"/>
  <c r="B22" i="2"/>
  <c r="A21" i="2"/>
  <c r="C21" i="2"/>
  <c r="B21" i="2"/>
  <c r="A20" i="2"/>
  <c r="C20" i="2"/>
  <c r="B20" i="2"/>
  <c r="A19" i="2"/>
  <c r="C19" i="2"/>
  <c r="B19" i="2"/>
  <c r="A18" i="2"/>
  <c r="C18" i="2"/>
  <c r="B18" i="2"/>
  <c r="A17" i="2"/>
  <c r="C17" i="2"/>
  <c r="B17" i="2"/>
  <c r="A16" i="2"/>
  <c r="C16" i="2"/>
  <c r="B16" i="2"/>
  <c r="A15" i="2"/>
  <c r="C15" i="2"/>
  <c r="B15" i="2"/>
  <c r="A14" i="2"/>
  <c r="C14" i="2"/>
  <c r="B14" i="2"/>
  <c r="A13" i="2"/>
  <c r="C13" i="2"/>
  <c r="B13" i="2"/>
  <c r="A12" i="2"/>
  <c r="C12" i="2"/>
  <c r="B12" i="2"/>
  <c r="A11" i="2"/>
  <c r="C11" i="2"/>
  <c r="B11" i="2"/>
  <c r="A10" i="2"/>
  <c r="C10" i="2"/>
  <c r="B10" i="2"/>
  <c r="A9" i="2"/>
  <c r="C9" i="2"/>
  <c r="B9" i="2"/>
  <c r="A8" i="2"/>
  <c r="C8" i="2"/>
  <c r="B8" i="2"/>
  <c r="A7" i="2"/>
  <c r="C7" i="2"/>
  <c r="B7" i="2"/>
  <c r="A6" i="2"/>
  <c r="C6" i="2"/>
  <c r="B6" i="2"/>
  <c r="A5" i="2"/>
  <c r="C5" i="2"/>
  <c r="B5" i="2"/>
  <c r="A4" i="2"/>
  <c r="C4" i="2"/>
  <c r="B4" i="2"/>
  <c r="H3" i="3"/>
  <c r="H2" i="3"/>
  <c r="A3" i="2"/>
  <c r="C3" i="2"/>
  <c r="B3" i="2"/>
</calcChain>
</file>

<file path=xl/sharedStrings.xml><?xml version="1.0" encoding="utf-8"?>
<sst xmlns="http://schemas.openxmlformats.org/spreadsheetml/2006/main" count="661" uniqueCount="612">
  <si>
    <t>period_id</t>
    <phoneticPr fontId="3"/>
  </si>
  <si>
    <t>start_date</t>
    <phoneticPr fontId="3"/>
  </si>
  <si>
    <t>end_date</t>
    <phoneticPr fontId="3"/>
  </si>
  <si>
    <t>period_id</t>
    <phoneticPr fontId="3"/>
  </si>
  <si>
    <t>start_date</t>
    <phoneticPr fontId="3"/>
  </si>
  <si>
    <t>end_date</t>
    <phoneticPr fontId="3"/>
  </si>
  <si>
    <t>内容</t>
    <rPh sb="0" eb="2">
      <t>ナイヨウ</t>
    </rPh>
    <phoneticPr fontId="3"/>
  </si>
  <si>
    <t>visibility</t>
  </si>
  <si>
    <t>week</t>
  </si>
  <si>
    <t>AM/PM</t>
  </si>
  <si>
    <t>start_time</t>
  </si>
  <si>
    <t>end_time</t>
  </si>
  <si>
    <t>月曜日</t>
  </si>
  <si>
    <t>AM</t>
  </si>
  <si>
    <t>火曜日</t>
  </si>
  <si>
    <t>PM</t>
  </si>
  <si>
    <t>水曜日</t>
  </si>
  <si>
    <t>木曜日</t>
  </si>
  <si>
    <t>金曜日</t>
  </si>
  <si>
    <t>土曜日</t>
  </si>
  <si>
    <t>日曜日</t>
  </si>
  <si>
    <t>6:00:00</t>
    <phoneticPr fontId="3"/>
  </si>
  <si>
    <t>13:59:59</t>
    <phoneticPr fontId="3"/>
  </si>
  <si>
    <t>16:00:00</t>
    <phoneticPr fontId="3"/>
  </si>
  <si>
    <t>23:59:59</t>
    <phoneticPr fontId="3"/>
  </si>
  <si>
    <t>孤高の一角獣</t>
    <rPh sb="0" eb="2">
      <t>ココウ</t>
    </rPh>
    <rPh sb="3" eb="6">
      <t>イッカクジュウ</t>
    </rPh>
    <phoneticPr fontId="3"/>
  </si>
  <si>
    <t>忍び寄る短剣</t>
    <rPh sb="0" eb="1">
      <t>シノ</t>
    </rPh>
    <rPh sb="2" eb="3">
      <t>ヨ</t>
    </rPh>
    <rPh sb="4" eb="6">
      <t>タンケン</t>
    </rPh>
    <phoneticPr fontId="3"/>
  </si>
  <si>
    <t>雷雲からの刺客</t>
    <rPh sb="0" eb="2">
      <t>ライウン</t>
    </rPh>
    <rPh sb="5" eb="7">
      <t>シカク</t>
    </rPh>
    <phoneticPr fontId="3"/>
  </si>
  <si>
    <t>ハンター・オブ・ハンター</t>
    <phoneticPr fontId="3"/>
  </si>
  <si>
    <t>トリックスター</t>
    <phoneticPr fontId="3"/>
  </si>
  <si>
    <t>打ち下ろされる砕棒</t>
    <rPh sb="0" eb="1">
      <t>ウ</t>
    </rPh>
    <rPh sb="2" eb="3">
      <t>オ</t>
    </rPh>
    <rPh sb="7" eb="8">
      <t>クダ</t>
    </rPh>
    <rPh sb="8" eb="9">
      <t>ボウ</t>
    </rPh>
    <phoneticPr fontId="3"/>
  </si>
  <si>
    <t>危険な仲裁者</t>
    <rPh sb="0" eb="2">
      <t>キケン</t>
    </rPh>
    <rPh sb="3" eb="6">
      <t>チュウサイシャ</t>
    </rPh>
    <phoneticPr fontId="3"/>
  </si>
  <si>
    <t>アマテラス襲来！</t>
    <rPh sb="5" eb="7">
      <t>シュウライ</t>
    </rPh>
    <phoneticPr fontId="3"/>
  </si>
  <si>
    <t>紅き執行者</t>
    <rPh sb="0" eb="1">
      <t>アカ</t>
    </rPh>
    <rPh sb="2" eb="5">
      <t>シッコウシャ</t>
    </rPh>
    <phoneticPr fontId="3"/>
  </si>
  <si>
    <t>2015-07-31 15:00:00</t>
    <phoneticPr fontId="3"/>
  </si>
  <si>
    <t>紅き執行者(三日目泥up)</t>
    <rPh sb="0" eb="1">
      <t>アカ</t>
    </rPh>
    <rPh sb="2" eb="5">
      <t>シッコウシャ</t>
    </rPh>
    <rPh sb="6" eb="9">
      <t>ミッカメ</t>
    </rPh>
    <rPh sb="9" eb="10">
      <t>ドロ</t>
    </rPh>
    <phoneticPr fontId="3"/>
  </si>
  <si>
    <t>紅き執行者(最終日泥up)</t>
    <rPh sb="0" eb="1">
      <t>アカ</t>
    </rPh>
    <rPh sb="2" eb="5">
      <t>シッコウシャ</t>
    </rPh>
    <rPh sb="6" eb="9">
      <t>サイシュ</t>
    </rPh>
    <rPh sb="9" eb="10">
      <t>ドロ</t>
    </rPh>
    <phoneticPr fontId="3"/>
  </si>
  <si>
    <t>孤高の一角獣(三日目泥up)</t>
    <rPh sb="0" eb="2">
      <t>ココウ</t>
    </rPh>
    <rPh sb="3" eb="6">
      <t>イッカクジュウ</t>
    </rPh>
    <rPh sb="7" eb="10">
      <t>ミッカメ</t>
    </rPh>
    <rPh sb="10" eb="11">
      <t>ドロ</t>
    </rPh>
    <phoneticPr fontId="3"/>
  </si>
  <si>
    <t>孤高の一角獣(最終日泥up)</t>
    <rPh sb="0" eb="2">
      <t>ココウ</t>
    </rPh>
    <rPh sb="3" eb="6">
      <t>イ</t>
    </rPh>
    <rPh sb="7" eb="9">
      <t>サイシュウ</t>
    </rPh>
    <rPh sb="9" eb="10">
      <t>ヒ</t>
    </rPh>
    <rPh sb="10" eb="11">
      <t>ドロ</t>
    </rPh>
    <phoneticPr fontId="3"/>
  </si>
  <si>
    <t>忍び寄る短剣(三日目泥up)</t>
    <rPh sb="0" eb="1">
      <t>シノ</t>
    </rPh>
    <rPh sb="2" eb="3">
      <t>ヨ</t>
    </rPh>
    <rPh sb="4" eb="6">
      <t>タンケン</t>
    </rPh>
    <rPh sb="7" eb="10">
      <t>ミッカメ</t>
    </rPh>
    <rPh sb="10" eb="11">
      <t>ドロ</t>
    </rPh>
    <phoneticPr fontId="3"/>
  </si>
  <si>
    <t>忍び寄る短剣(最終日泥up)</t>
    <rPh sb="0" eb="1">
      <t>シノ</t>
    </rPh>
    <rPh sb="2" eb="3">
      <t>ヨ</t>
    </rPh>
    <rPh sb="4" eb="6">
      <t>タンケン</t>
    </rPh>
    <rPh sb="7" eb="9">
      <t>サイシュウ</t>
    </rPh>
    <rPh sb="9" eb="10">
      <t>ヒ</t>
    </rPh>
    <rPh sb="10" eb="11">
      <t>ドロ</t>
    </rPh>
    <phoneticPr fontId="3"/>
  </si>
  <si>
    <t>雷雲からの刺客(三日目泥up)</t>
    <rPh sb="0" eb="2">
      <t>ライウン</t>
    </rPh>
    <rPh sb="5" eb="7">
      <t>シカク</t>
    </rPh>
    <rPh sb="8" eb="11">
      <t>ミッカメ</t>
    </rPh>
    <rPh sb="11" eb="12">
      <t>ドロ</t>
    </rPh>
    <phoneticPr fontId="3"/>
  </si>
  <si>
    <t>雷雲からの刺客(最終日泥up)</t>
    <rPh sb="8" eb="10">
      <t>サイシュウ</t>
    </rPh>
    <rPh sb="10" eb="11">
      <t>ヒ</t>
    </rPh>
    <rPh sb="11" eb="12">
      <t>ドロ</t>
    </rPh>
    <phoneticPr fontId="3"/>
  </si>
  <si>
    <t>ハンター・オブ・ハンター(三日目泥up)</t>
    <rPh sb="13" eb="16">
      <t>ミッカメ</t>
    </rPh>
    <rPh sb="16" eb="17">
      <t>ドロ</t>
    </rPh>
    <phoneticPr fontId="3"/>
  </si>
  <si>
    <t>ハンター・オブ・ハンター(最終日泥up)</t>
    <rPh sb="13" eb="15">
      <t>サイシュウ</t>
    </rPh>
    <rPh sb="15" eb="16">
      <t>ヒ</t>
    </rPh>
    <rPh sb="16" eb="17">
      <t>ドロ</t>
    </rPh>
    <phoneticPr fontId="3"/>
  </si>
  <si>
    <t>トリックスター(三日目泥up)</t>
    <rPh sb="8" eb="11">
      <t>ミッカメ</t>
    </rPh>
    <rPh sb="11" eb="12">
      <t>ドロ</t>
    </rPh>
    <phoneticPr fontId="3"/>
  </si>
  <si>
    <t>トリックスター(最終日泥up)</t>
    <rPh sb="8" eb="10">
      <t>サイシュウ</t>
    </rPh>
    <rPh sb="10" eb="11">
      <t>ヒ</t>
    </rPh>
    <rPh sb="11" eb="12">
      <t>ドロ</t>
    </rPh>
    <phoneticPr fontId="3"/>
  </si>
  <si>
    <t>打ち下ろされる砕棒(三日目泥up)</t>
    <rPh sb="0" eb="1">
      <t>ウ</t>
    </rPh>
    <rPh sb="2" eb="3">
      <t>オ</t>
    </rPh>
    <rPh sb="7" eb="8">
      <t>クダ</t>
    </rPh>
    <rPh sb="8" eb="9">
      <t>ボウ</t>
    </rPh>
    <rPh sb="10" eb="13">
      <t>ミッカメ</t>
    </rPh>
    <rPh sb="13" eb="14">
      <t>ドロ</t>
    </rPh>
    <phoneticPr fontId="3"/>
  </si>
  <si>
    <t>打ち下ろされる砕棒(最終日泥up)</t>
    <rPh sb="10" eb="12">
      <t>サイシュウ</t>
    </rPh>
    <rPh sb="12" eb="13">
      <t>ヒ</t>
    </rPh>
    <rPh sb="13" eb="14">
      <t>ドロ</t>
    </rPh>
    <phoneticPr fontId="3"/>
  </si>
  <si>
    <t>危険な仲裁者(三日目泥up)</t>
    <rPh sb="0" eb="2">
      <t>キケン</t>
    </rPh>
    <rPh sb="3" eb="6">
      <t>チュウサイシャ</t>
    </rPh>
    <rPh sb="7" eb="10">
      <t>ミッカメ</t>
    </rPh>
    <rPh sb="10" eb="11">
      <t>ドロ</t>
    </rPh>
    <phoneticPr fontId="3"/>
  </si>
  <si>
    <t>危険な仲裁者(最終日泥up)</t>
    <rPh sb="0" eb="2">
      <t>キケン</t>
    </rPh>
    <rPh sb="3" eb="6">
      <t>チュウサイシャ</t>
    </rPh>
    <rPh sb="7" eb="9">
      <t>サイシュウ</t>
    </rPh>
    <rPh sb="9" eb="10">
      <t>ヒ</t>
    </rPh>
    <rPh sb="10" eb="11">
      <t>ドロ</t>
    </rPh>
    <phoneticPr fontId="3"/>
  </si>
  <si>
    <t>2015-08-22 15:00:00</t>
    <phoneticPr fontId="3"/>
  </si>
  <si>
    <t>2015-08-01 00:00:00</t>
    <phoneticPr fontId="3"/>
  </si>
  <si>
    <t>2015-08-02 06:00:00</t>
    <phoneticPr fontId="3"/>
  </si>
  <si>
    <t>2015-08-02 15:00:00</t>
    <phoneticPr fontId="3"/>
  </si>
  <si>
    <t>2015-08-07 15:00:00</t>
    <phoneticPr fontId="3"/>
  </si>
  <si>
    <t>2015-08-08 00:00:00</t>
    <phoneticPr fontId="3"/>
  </si>
  <si>
    <t>2015-08-09 06:00:00</t>
    <phoneticPr fontId="3"/>
  </si>
  <si>
    <t>2015-08-09 15:00:00</t>
    <phoneticPr fontId="3"/>
  </si>
  <si>
    <t>2015-08-21 15:00:00</t>
    <phoneticPr fontId="3"/>
  </si>
  <si>
    <t>2015-08-03 12:00:00</t>
    <phoneticPr fontId="3"/>
  </si>
  <si>
    <t>2015-08-03 21:00:00</t>
    <phoneticPr fontId="3"/>
  </si>
  <si>
    <t>2015-08-05 12:00:00</t>
    <phoneticPr fontId="3"/>
  </si>
  <si>
    <t>2015-08-05 15:00:00</t>
    <phoneticPr fontId="3"/>
  </si>
  <si>
    <t>天翔ける金轟機龍</t>
    <phoneticPr fontId="3"/>
  </si>
  <si>
    <t>ニンゲンにしてあげる☆</t>
    <phoneticPr fontId="3"/>
  </si>
  <si>
    <t>わたしの嫁を返してもらおう</t>
    <phoneticPr fontId="3"/>
  </si>
  <si>
    <t>2015-08-12 12:00:00</t>
    <phoneticPr fontId="3"/>
  </si>
  <si>
    <t>2015-08-12 21:00:00</t>
    <phoneticPr fontId="3"/>
  </si>
  <si>
    <t>2015-08-14 12:00:00</t>
    <phoneticPr fontId="3"/>
  </si>
  <si>
    <t>2015-08-14 15:00:00</t>
    <phoneticPr fontId="3"/>
  </si>
  <si>
    <t>2015-08-17 15:00:00</t>
    <phoneticPr fontId="3"/>
  </si>
  <si>
    <t>2015-08-24 15:00:00</t>
    <phoneticPr fontId="3"/>
  </si>
  <si>
    <t>2015-08-15 15:00:00</t>
    <phoneticPr fontId="3"/>
  </si>
  <si>
    <t>2015-08-16 00:00:00</t>
    <phoneticPr fontId="3"/>
  </si>
  <si>
    <t>2015-08-17 06:00:00</t>
    <phoneticPr fontId="3"/>
  </si>
  <si>
    <t>2015-08-23 00:00:00</t>
    <phoneticPr fontId="3"/>
  </si>
  <si>
    <t>2015-08-24 06:00:00</t>
    <phoneticPr fontId="3"/>
  </si>
  <si>
    <t>2015-08-21 12:00:00</t>
    <phoneticPr fontId="3"/>
  </si>
  <si>
    <t>2015-08-19 12:00:00</t>
    <phoneticPr fontId="3"/>
  </si>
  <si>
    <t>2015-08-19 21:00:00</t>
    <phoneticPr fontId="3"/>
  </si>
  <si>
    <t>2015-08-26 12:00:00</t>
    <phoneticPr fontId="3"/>
  </si>
  <si>
    <t>2015-08-26 21:00:00</t>
    <phoneticPr fontId="3"/>
  </si>
  <si>
    <t>2015-08-28 12:00:00</t>
    <phoneticPr fontId="3"/>
  </si>
  <si>
    <t>2015-08-28 15:00:00</t>
    <phoneticPr fontId="3"/>
  </si>
  <si>
    <t>2015-03-01 09:00:00</t>
    <phoneticPr fontId="3"/>
  </si>
  <si>
    <t>リンクガチャキャンペーン　5日間</t>
    <rPh sb="14" eb="16">
      <t>ニチカン</t>
    </rPh>
    <phoneticPr fontId="3"/>
  </si>
  <si>
    <t>９月１日まで　</t>
    <rPh sb="1" eb="2">
      <t>ガツ</t>
    </rPh>
    <rPh sb="3" eb="4">
      <t>ニチ</t>
    </rPh>
    <phoneticPr fontId="3"/>
  </si>
  <si>
    <t>９月１日から　新規ガチャ２追加</t>
    <rPh sb="1" eb="2">
      <t>ガツ</t>
    </rPh>
    <rPh sb="3" eb="4">
      <t>ニチ</t>
    </rPh>
    <rPh sb="7" eb="9">
      <t>シンキ</t>
    </rPh>
    <rPh sb="13" eb="15">
      <t>ツイカ</t>
    </rPh>
    <phoneticPr fontId="3"/>
  </si>
  <si>
    <t>無期限</t>
    <rPh sb="0" eb="3">
      <t>ムキゲン</t>
    </rPh>
    <phoneticPr fontId="3"/>
  </si>
  <si>
    <t>2500-08-20 15:00:00</t>
    <phoneticPr fontId="3"/>
  </si>
  <si>
    <r>
      <t xml:space="preserve">2500-08-25 </t>
    </r>
    <r>
      <rPr>
        <sz val="12"/>
        <color indexed="205"/>
        <rFont val="ＭＳ Ｐゴシック"/>
        <family val="2"/>
        <charset val="128"/>
      </rPr>
      <t>14:59</t>
    </r>
    <r>
      <rPr>
        <sz val="12"/>
        <color theme="1"/>
        <rFont val="ＭＳ Ｐゴシック"/>
        <family val="2"/>
        <charset val="128"/>
        <scheme val="minor"/>
      </rPr>
      <t>:59</t>
    </r>
    <phoneticPr fontId="3"/>
  </si>
  <si>
    <t>2015-03-27 00:00:00</t>
    <phoneticPr fontId="3"/>
  </si>
  <si>
    <t>女王陛下の処刑龍</t>
    <phoneticPr fontId="3"/>
  </si>
  <si>
    <t>ザ・キャノン</t>
    <phoneticPr fontId="3"/>
  </si>
  <si>
    <t>スチールプレデター</t>
    <phoneticPr fontId="3"/>
  </si>
  <si>
    <t>2015-08-31 00:00:00</t>
    <phoneticPr fontId="3"/>
  </si>
  <si>
    <t>2015-09-02 15:00:00</t>
    <phoneticPr fontId="3"/>
  </si>
  <si>
    <t>2015-09-04 15:00:00</t>
    <phoneticPr fontId="3"/>
  </si>
  <si>
    <t>2015-08-30 15:00:00</t>
    <phoneticPr fontId="3"/>
  </si>
  <si>
    <t>2015-09-07 12:00:00</t>
    <phoneticPr fontId="3"/>
  </si>
  <si>
    <t>2015-09-07 15:00:00</t>
    <phoneticPr fontId="3"/>
  </si>
  <si>
    <t>ガラスの靴は私のもの</t>
    <rPh sb="4" eb="5">
      <t>クツ</t>
    </rPh>
    <rPh sb="6" eb="7">
      <t>ワタシ</t>
    </rPh>
    <phoneticPr fontId="3"/>
  </si>
  <si>
    <t>それはお前を食べるためさ</t>
    <rPh sb="4" eb="5">
      <t>マエ</t>
    </rPh>
    <rPh sb="6" eb="7">
      <t>タ</t>
    </rPh>
    <phoneticPr fontId="3"/>
  </si>
  <si>
    <t>2015-09-29 15:00:00</t>
    <phoneticPr fontId="3"/>
  </si>
  <si>
    <t>2015-09-26 15:00:00</t>
    <phoneticPr fontId="3"/>
  </si>
  <si>
    <t>2015-09-27 00:00:00</t>
    <phoneticPr fontId="3"/>
  </si>
  <si>
    <t>2015-10-03 15:00:00</t>
    <phoneticPr fontId="3"/>
  </si>
  <si>
    <t>2015-09-29 06:00:00</t>
    <phoneticPr fontId="3"/>
  </si>
  <si>
    <t>2015-09-02 06:00:00</t>
    <phoneticPr fontId="3"/>
  </si>
  <si>
    <t>2015-09-30 15:00:00</t>
    <phoneticPr fontId="3"/>
  </si>
  <si>
    <t>2015-09-30 21:00:00</t>
    <phoneticPr fontId="3"/>
  </si>
  <si>
    <t>2015-10-03 12:00:00</t>
    <phoneticPr fontId="3"/>
  </si>
  <si>
    <t>2015-09-15 14:59:59</t>
    <phoneticPr fontId="3"/>
  </si>
  <si>
    <t>2015-09-15 06:00:00</t>
    <phoneticPr fontId="3"/>
  </si>
  <si>
    <t>2015-09-15 15:00:00</t>
    <phoneticPr fontId="3"/>
  </si>
  <si>
    <t>2015-09-13 00:00:00</t>
    <phoneticPr fontId="3"/>
  </si>
  <si>
    <t>2015-09-17 15:00:00</t>
    <phoneticPr fontId="3"/>
  </si>
  <si>
    <t>2015-09-20 12:00:00</t>
    <phoneticPr fontId="3"/>
  </si>
  <si>
    <t>2015-09-20 15:00:00</t>
    <phoneticPr fontId="3"/>
  </si>
  <si>
    <t>2015-09-17 21:00:00</t>
    <phoneticPr fontId="3"/>
  </si>
  <si>
    <t>レアガチャ確率アップ　5日間</t>
    <rPh sb="5" eb="7">
      <t>カクリツ</t>
    </rPh>
    <rPh sb="12" eb="14">
      <t>ニチカン</t>
    </rPh>
    <phoneticPr fontId="3"/>
  </si>
  <si>
    <t>2015-08-28 15:00:00</t>
    <phoneticPr fontId="3"/>
  </si>
  <si>
    <t>2015-09-02 14:59:59</t>
    <phoneticPr fontId="3"/>
  </si>
  <si>
    <t>2015-09-02 15:00:00</t>
    <phoneticPr fontId="3"/>
  </si>
  <si>
    <t>2015-08-28 14:59:59</t>
    <phoneticPr fontId="3"/>
  </si>
  <si>
    <t>2015-09-11 15:00:00</t>
    <phoneticPr fontId="3"/>
  </si>
  <si>
    <t>2015-09-16 15:00:00</t>
    <phoneticPr fontId="3"/>
  </si>
  <si>
    <t>2015-09-11 14:59:59</t>
    <phoneticPr fontId="3"/>
  </si>
  <si>
    <t>ピックアップ01　開始</t>
    <rPh sb="9" eb="11">
      <t>カイシ</t>
    </rPh>
    <phoneticPr fontId="3"/>
  </si>
  <si>
    <t>レッド01　後1日</t>
    <rPh sb="6" eb="9">
      <t>アトイチニチ</t>
    </rPh>
    <phoneticPr fontId="3"/>
  </si>
  <si>
    <t>レッド01　開始</t>
    <rPh sb="6" eb="8">
      <t>カイシ</t>
    </rPh>
    <phoneticPr fontId="3"/>
  </si>
  <si>
    <t>ピックアップ01　後少し</t>
    <rPh sb="9" eb="10">
      <t>アト</t>
    </rPh>
    <rPh sb="10" eb="11">
      <t>スコ</t>
    </rPh>
    <phoneticPr fontId="3"/>
  </si>
  <si>
    <t>2015-09-13 23:59:59</t>
    <phoneticPr fontId="3"/>
  </si>
  <si>
    <t>2015-09-14 00:00:00</t>
    <phoneticPr fontId="3"/>
  </si>
  <si>
    <t>2015-09-15 15:00:00</t>
    <phoneticPr fontId="3"/>
  </si>
  <si>
    <t>2015-09-16 14:59:59</t>
    <phoneticPr fontId="3"/>
  </si>
  <si>
    <t>2015-09-11 15:00:00</t>
    <phoneticPr fontId="3"/>
  </si>
  <si>
    <t>2015-09-13 23:59:59</t>
    <phoneticPr fontId="3"/>
  </si>
  <si>
    <t>キャンペーン月曜素材</t>
    <rPh sb="6" eb="8">
      <t>ゲツヨウ</t>
    </rPh>
    <rPh sb="8" eb="10">
      <t>ソザイ</t>
    </rPh>
    <phoneticPr fontId="3"/>
  </si>
  <si>
    <t>キャンペーン火曜素材</t>
    <rPh sb="6" eb="8">
      <t>カヨウ</t>
    </rPh>
    <rPh sb="8" eb="10">
      <t>ソザイ</t>
    </rPh>
    <phoneticPr fontId="3"/>
  </si>
  <si>
    <t>キャンペーン水曜素材</t>
    <rPh sb="6" eb="10">
      <t>スイヨウソザイ</t>
    </rPh>
    <phoneticPr fontId="3"/>
  </si>
  <si>
    <t>キャンペーン木曜素材</t>
    <rPh sb="6" eb="7">
      <t>モク</t>
    </rPh>
    <rPh sb="7" eb="8">
      <t>ゲツヨウ</t>
    </rPh>
    <rPh sb="8" eb="10">
      <t>ソザイ</t>
    </rPh>
    <phoneticPr fontId="3"/>
  </si>
  <si>
    <t>キャンペーン金曜素材</t>
    <rPh sb="6" eb="10">
      <t>キンヨウソザイ</t>
    </rPh>
    <phoneticPr fontId="3"/>
  </si>
  <si>
    <t>2015-09-14 14:59:59</t>
    <phoneticPr fontId="3"/>
  </si>
  <si>
    <t>2015-09-14 15:00:00</t>
    <phoneticPr fontId="3"/>
  </si>
  <si>
    <t>2015-09-11 15:00:00</t>
    <phoneticPr fontId="3"/>
  </si>
  <si>
    <t>2015-09-11 23:59:59</t>
    <phoneticPr fontId="3"/>
  </si>
  <si>
    <t>キャンペーン土日クエ1</t>
    <rPh sb="6" eb="8">
      <t>ドニチ</t>
    </rPh>
    <phoneticPr fontId="3"/>
  </si>
  <si>
    <t>キャンペーン土日クエ2</t>
    <rPh sb="6" eb="8">
      <t>ドニチ</t>
    </rPh>
    <phoneticPr fontId="3"/>
  </si>
  <si>
    <t>2015-09-14 00:00:00</t>
    <phoneticPr fontId="3"/>
  </si>
  <si>
    <t>2015-09-18 14:59:59</t>
    <phoneticPr fontId="3"/>
  </si>
  <si>
    <t>2015-09-15 00:00:00</t>
    <phoneticPr fontId="3"/>
  </si>
  <si>
    <t>2015-09-14 23:59:59</t>
    <phoneticPr fontId="3"/>
  </si>
  <si>
    <t>2015-09-17 14:59:59</t>
    <phoneticPr fontId="3"/>
  </si>
  <si>
    <t>2015-09-24 14:59:59</t>
    <phoneticPr fontId="3"/>
  </si>
  <si>
    <t>シルバーウィーク限定クエスト</t>
    <rPh sb="8" eb="10">
      <t>ゲンテイ</t>
    </rPh>
    <phoneticPr fontId="3"/>
  </si>
  <si>
    <t>2015-09-19 15:00:00</t>
    <phoneticPr fontId="3"/>
  </si>
  <si>
    <t>2015-09-19 15:00:00</t>
    <phoneticPr fontId="3"/>
  </si>
  <si>
    <t>シルバーウィーク　ゲリラ体力半分</t>
    <rPh sb="12" eb="14">
      <t>タイリョク</t>
    </rPh>
    <rPh sb="14" eb="16">
      <t>ハンブン</t>
    </rPh>
    <phoneticPr fontId="3"/>
  </si>
  <si>
    <t>シルバーウィーク　月曜素材</t>
    <rPh sb="9" eb="13">
      <t>ゲツヨウソザイ</t>
    </rPh>
    <phoneticPr fontId="3"/>
  </si>
  <si>
    <t>シルバーウィーク　火曜素材</t>
    <rPh sb="9" eb="10">
      <t>ヒ</t>
    </rPh>
    <rPh sb="10" eb="13">
      <t>ゲツヨウソザイ</t>
    </rPh>
    <phoneticPr fontId="3"/>
  </si>
  <si>
    <t>2015-09-20 23:59:59</t>
    <phoneticPr fontId="3"/>
  </si>
  <si>
    <t>2015-09-19 15:00:00</t>
    <phoneticPr fontId="3"/>
  </si>
  <si>
    <t>シルバーウィーク　水曜素材</t>
    <rPh sb="9" eb="10">
      <t>スイ</t>
    </rPh>
    <rPh sb="10" eb="13">
      <t>ゲツヨウソザイ</t>
    </rPh>
    <phoneticPr fontId="3"/>
  </si>
  <si>
    <t>シルバーウィーク　木曜素材</t>
    <rPh sb="9" eb="10">
      <t>モク</t>
    </rPh>
    <rPh sb="10" eb="13">
      <t>ゲツヨウソザイ</t>
    </rPh>
    <phoneticPr fontId="3"/>
  </si>
  <si>
    <t>2015-09-23 14:59:59</t>
    <phoneticPr fontId="3"/>
  </si>
  <si>
    <t>シルバーウィーク　金曜素材</t>
    <rPh sb="9" eb="13">
      <t>キンヨウソザイ</t>
    </rPh>
    <phoneticPr fontId="3"/>
  </si>
  <si>
    <t>2015-09-21 14:59:59</t>
    <phoneticPr fontId="3"/>
  </si>
  <si>
    <t>2015-09-21 14:59:59</t>
    <phoneticPr fontId="3"/>
  </si>
  <si>
    <t>ピックアップ01　後1日</t>
    <rPh sb="9" eb="10">
      <t>アト</t>
    </rPh>
    <rPh sb="10" eb="12">
      <t>イチニチ</t>
    </rPh>
    <phoneticPr fontId="3"/>
  </si>
  <si>
    <t>新ガチャ０２(大罪</t>
    <rPh sb="0" eb="1">
      <t>シン</t>
    </rPh>
    <rPh sb="7" eb="9">
      <t>タイザイ</t>
    </rPh>
    <phoneticPr fontId="3"/>
  </si>
  <si>
    <t>新ガチャ０３（新撰組</t>
    <rPh sb="0" eb="1">
      <t>シン</t>
    </rPh>
    <rPh sb="7" eb="10">
      <t>シンセングミ</t>
    </rPh>
    <phoneticPr fontId="3"/>
  </si>
  <si>
    <t>ピックアップ02(沖田)　開始</t>
    <rPh sb="9" eb="11">
      <t>オキタ</t>
    </rPh>
    <rPh sb="13" eb="15">
      <t>カイシ</t>
    </rPh>
    <phoneticPr fontId="3"/>
  </si>
  <si>
    <t>ピックアップ02(沖田)　後少し</t>
    <rPh sb="9" eb="11">
      <t>オキタ</t>
    </rPh>
    <rPh sb="13" eb="14">
      <t>アト</t>
    </rPh>
    <rPh sb="14" eb="15">
      <t>スコ</t>
    </rPh>
    <phoneticPr fontId="3"/>
  </si>
  <si>
    <t>ピックアップ02(沖田)　後1日</t>
    <rPh sb="9" eb="11">
      <t>オキタ</t>
    </rPh>
    <rPh sb="13" eb="14">
      <t>アト</t>
    </rPh>
    <rPh sb="14" eb="16">
      <t>イチニチ</t>
    </rPh>
    <phoneticPr fontId="3"/>
  </si>
  <si>
    <t>2015-09-22 15:00:00</t>
    <phoneticPr fontId="3"/>
  </si>
  <si>
    <t>2015-09-25 14:59:59</t>
    <phoneticPr fontId="3"/>
  </si>
  <si>
    <t>2015-09-25 00:00:00</t>
    <phoneticPr fontId="3"/>
  </si>
  <si>
    <t>2015-09-24 00:00:00</t>
    <phoneticPr fontId="3"/>
  </si>
  <si>
    <t>2015-09-24 23:59:59</t>
    <phoneticPr fontId="3"/>
  </si>
  <si>
    <t>2015-09-22 14:59:59</t>
    <phoneticPr fontId="3"/>
  </si>
  <si>
    <t>シルバーウィーク 土日</t>
    <rPh sb="9" eb="11">
      <t>ドニチ</t>
    </rPh>
    <phoneticPr fontId="3"/>
  </si>
  <si>
    <t>2015-09-30 14:59:59</t>
    <phoneticPr fontId="3"/>
  </si>
  <si>
    <t>レッド01　あと少し</t>
    <rPh sb="8" eb="9">
      <t>スコ</t>
    </rPh>
    <phoneticPr fontId="3"/>
  </si>
  <si>
    <t>2015-09-26 15:00:00</t>
    <phoneticPr fontId="3"/>
  </si>
  <si>
    <t>2015-09-27 14:59:59</t>
    <phoneticPr fontId="3"/>
  </si>
  <si>
    <t>シルバーウィーク 土日体力半分１</t>
    <rPh sb="9" eb="11">
      <t>ドニチ</t>
    </rPh>
    <rPh sb="11" eb="13">
      <t>タイリョク</t>
    </rPh>
    <rPh sb="13" eb="15">
      <t>ハンブン</t>
    </rPh>
    <phoneticPr fontId="3"/>
  </si>
  <si>
    <t>2015-09-21 15:00:00</t>
    <phoneticPr fontId="3"/>
  </si>
  <si>
    <t>シルバーウィーク 土日体力半分2</t>
    <rPh sb="9" eb="11">
      <t>ドニチ</t>
    </rPh>
    <rPh sb="11" eb="13">
      <t>タイリョク</t>
    </rPh>
    <rPh sb="13" eb="15">
      <t>ハンブン</t>
    </rPh>
    <phoneticPr fontId="3"/>
  </si>
  <si>
    <t>2015-09-23 23:59:59</t>
    <phoneticPr fontId="3"/>
  </si>
  <si>
    <t>2015-09-21 00:00:00</t>
    <phoneticPr fontId="3"/>
  </si>
  <si>
    <t>2015-09-28 14:59:59</t>
    <phoneticPr fontId="3"/>
  </si>
  <si>
    <t>2015-09-28 00:00:00</t>
    <phoneticPr fontId="3"/>
  </si>
  <si>
    <t>2015-09-27 23:59:59</t>
    <phoneticPr fontId="3"/>
  </si>
  <si>
    <t>2015-09-26 23:59:59</t>
    <phoneticPr fontId="3"/>
  </si>
  <si>
    <t>2015-09-25 15:00:00</t>
    <phoneticPr fontId="3"/>
  </si>
  <si>
    <t>2015-09-28 15:00:00</t>
    <phoneticPr fontId="3"/>
  </si>
  <si>
    <t>2015-09-26 15:00:00</t>
    <phoneticPr fontId="3"/>
  </si>
  <si>
    <t>新ガチャ０３（新撰組)ピックアップ後用</t>
    <rPh sb="0" eb="1">
      <t>シン</t>
    </rPh>
    <rPh sb="7" eb="10">
      <t>シンセングミ</t>
    </rPh>
    <rPh sb="17" eb="18">
      <t>ゴ</t>
    </rPh>
    <rPh sb="18" eb="19">
      <t>ヨウ</t>
    </rPh>
    <phoneticPr fontId="3"/>
  </si>
  <si>
    <t>新ガチャ０３（新撰組）レッド０１後用</t>
    <rPh sb="0" eb="1">
      <t>シン</t>
    </rPh>
    <rPh sb="7" eb="10">
      <t>シンセングミ</t>
    </rPh>
    <rPh sb="16" eb="17">
      <t>ゴ</t>
    </rPh>
    <rPh sb="17" eb="18">
      <t>ヨウ</t>
    </rPh>
    <phoneticPr fontId="3"/>
  </si>
  <si>
    <t>2015-09-20 23:59:59</t>
    <phoneticPr fontId="3"/>
  </si>
  <si>
    <t>2015-09-26 00:00:00</t>
    <phoneticPr fontId="3"/>
  </si>
  <si>
    <t>2015-09-27 23:59:59</t>
    <phoneticPr fontId="3"/>
  </si>
  <si>
    <t>紅き執行者 復刻</t>
    <rPh sb="0" eb="1">
      <t>アカ</t>
    </rPh>
    <rPh sb="2" eb="5">
      <t>シッコウシャ</t>
    </rPh>
    <rPh sb="6" eb="8">
      <t>フッコク</t>
    </rPh>
    <phoneticPr fontId="3"/>
  </si>
  <si>
    <t>ハンターオブハンター 復刻</t>
    <rPh sb="11" eb="13">
      <t>フッコク</t>
    </rPh>
    <phoneticPr fontId="3"/>
  </si>
  <si>
    <t>2015-09-30 15:00:00</t>
    <phoneticPr fontId="3"/>
  </si>
  <si>
    <t>青ガチャ０1　開始</t>
    <rPh sb="0" eb="1">
      <t>アオ</t>
    </rPh>
    <rPh sb="7" eb="9">
      <t>カイシ</t>
    </rPh>
    <phoneticPr fontId="3"/>
  </si>
  <si>
    <t>青ガチャ０1　あと少し</t>
    <rPh sb="0" eb="1">
      <t>アオ</t>
    </rPh>
    <rPh sb="9" eb="11">
      <t>スコ</t>
    </rPh>
    <phoneticPr fontId="3"/>
  </si>
  <si>
    <t>青ガチャ０1あと１日</t>
    <rPh sb="0" eb="1">
      <t>アオ</t>
    </rPh>
    <rPh sb="9" eb="10">
      <t>ニチ</t>
    </rPh>
    <phoneticPr fontId="3"/>
  </si>
  <si>
    <t>新ガチャ０4（ドラゴン)青ガチャ後用</t>
    <rPh sb="0" eb="1">
      <t>シン</t>
    </rPh>
    <rPh sb="12" eb="13">
      <t>アオ</t>
    </rPh>
    <rPh sb="16" eb="17">
      <t>ゴ</t>
    </rPh>
    <rPh sb="17" eb="18">
      <t>ヨウ</t>
    </rPh>
    <phoneticPr fontId="3"/>
  </si>
  <si>
    <t>2015-10-05 15:00:00</t>
    <phoneticPr fontId="3"/>
  </si>
  <si>
    <t>2100-01-01 14:59:59</t>
    <phoneticPr fontId="3"/>
  </si>
  <si>
    <t>2015-09-26 14:59:59</t>
    <phoneticPr fontId="3"/>
  </si>
  <si>
    <t>緑ガチャ０1　開始</t>
    <rPh sb="0" eb="1">
      <t>ミドリ</t>
    </rPh>
    <rPh sb="7" eb="9">
      <t>カイシ</t>
    </rPh>
    <phoneticPr fontId="3"/>
  </si>
  <si>
    <t>緑ガチャ０1　あと少し</t>
    <rPh sb="0" eb="1">
      <t>ミドリ</t>
    </rPh>
    <rPh sb="9" eb="11">
      <t>スコ</t>
    </rPh>
    <phoneticPr fontId="3"/>
  </si>
  <si>
    <t>緑ガチャ０1あと１日</t>
    <rPh sb="0" eb="1">
      <t>ミドリ</t>
    </rPh>
    <rPh sb="9" eb="10">
      <t>ニチ</t>
    </rPh>
    <phoneticPr fontId="3"/>
  </si>
  <si>
    <t>2015-10-10 15:00:00</t>
    <phoneticPr fontId="3"/>
  </si>
  <si>
    <t>2015-10-12 15:00:00</t>
    <phoneticPr fontId="3"/>
  </si>
  <si>
    <t>2015-10-12 00:00:00</t>
    <phoneticPr fontId="3"/>
  </si>
  <si>
    <t>2015-10-08 14:59:59</t>
    <phoneticPr fontId="3"/>
  </si>
  <si>
    <t>2015-10-05 15:00:00</t>
    <phoneticPr fontId="3"/>
  </si>
  <si>
    <t>2015-10-05 21:00:00</t>
    <phoneticPr fontId="3"/>
  </si>
  <si>
    <t>2015-10-08 12:00:00</t>
    <phoneticPr fontId="3"/>
  </si>
  <si>
    <t>2015-10-08 15:00:00</t>
    <phoneticPr fontId="3"/>
  </si>
  <si>
    <t>2015-10-12 15:00:00</t>
    <phoneticPr fontId="3"/>
  </si>
  <si>
    <t>2015-10-14 14:59:59</t>
    <phoneticPr fontId="3"/>
  </si>
  <si>
    <t>2015-10-11 15:00:00</t>
    <phoneticPr fontId="3"/>
  </si>
  <si>
    <t>2015-10-12 00:00:00</t>
    <phoneticPr fontId="3"/>
  </si>
  <si>
    <t>2015-10-14 06:00:00</t>
    <phoneticPr fontId="3"/>
  </si>
  <si>
    <t>2015-10-14 15:00:00</t>
    <phoneticPr fontId="3"/>
  </si>
  <si>
    <t>新ガチャ０4（ドラゴン)確率アップ</t>
    <rPh sb="0" eb="1">
      <t>シン</t>
    </rPh>
    <rPh sb="12" eb="17">
      <t>カクリツ</t>
    </rPh>
    <phoneticPr fontId="3"/>
  </si>
  <si>
    <t>新ガチャ０4（ドラゴン)あと少し</t>
    <rPh sb="0" eb="1">
      <t>シン</t>
    </rPh>
    <rPh sb="14" eb="15">
      <t>スコ</t>
    </rPh>
    <phoneticPr fontId="3"/>
  </si>
  <si>
    <t>新ガチャ０4（ドラゴン)最終日</t>
    <rPh sb="0" eb="1">
      <t>シン</t>
    </rPh>
    <rPh sb="12" eb="15">
      <t>サイシュウビ</t>
    </rPh>
    <phoneticPr fontId="3"/>
  </si>
  <si>
    <t>新ガチャ０4（ドラゴン)通常</t>
    <rPh sb="0" eb="1">
      <t>シン</t>
    </rPh>
    <rPh sb="12" eb="14">
      <t>ツウジョウ</t>
    </rPh>
    <phoneticPr fontId="3"/>
  </si>
  <si>
    <t>2015-10-05 14:59:59</t>
    <phoneticPr fontId="3"/>
  </si>
  <si>
    <t>2015-10-04 23:59:59</t>
    <phoneticPr fontId="3"/>
  </si>
  <si>
    <t>2015-10-05 00:00:00</t>
    <phoneticPr fontId="3"/>
  </si>
  <si>
    <t>2015-10-04 00:00:00</t>
    <phoneticPr fontId="3"/>
  </si>
  <si>
    <t>2015-10-07 14:59:59</t>
    <phoneticPr fontId="3"/>
  </si>
  <si>
    <t>2015-10-07 00:00:00</t>
    <phoneticPr fontId="3"/>
  </si>
  <si>
    <t>2015-10-06 00:00:00</t>
    <phoneticPr fontId="3"/>
  </si>
  <si>
    <t>2015-10-06 23:59:59</t>
    <phoneticPr fontId="3"/>
  </si>
  <si>
    <t>2015-10-05 23:59:59</t>
    <phoneticPr fontId="3"/>
  </si>
  <si>
    <t>2015-10-07 15:00:00</t>
    <phoneticPr fontId="3"/>
  </si>
  <si>
    <t>2015-10-08 15:00:00</t>
    <phoneticPr fontId="3"/>
  </si>
  <si>
    <t>2015-10-03 23:59:59</t>
    <phoneticPr fontId="3"/>
  </si>
  <si>
    <t>赤ガチャ０2　あと少し</t>
    <rPh sb="0" eb="1">
      <t>アカ</t>
    </rPh>
    <rPh sb="9" eb="11">
      <t>スコ</t>
    </rPh>
    <phoneticPr fontId="3"/>
  </si>
  <si>
    <t>赤ガチャ０2あと１日</t>
    <rPh sb="0" eb="1">
      <t>アカ</t>
    </rPh>
    <rPh sb="9" eb="10">
      <t>ニチ</t>
    </rPh>
    <phoneticPr fontId="3"/>
  </si>
  <si>
    <t>黄ガチャ01 開始</t>
    <rPh sb="0" eb="1">
      <t>キ</t>
    </rPh>
    <rPh sb="7" eb="9">
      <t>カイシ</t>
    </rPh>
    <phoneticPr fontId="3"/>
  </si>
  <si>
    <t>黄ガチャ01あと少し</t>
    <rPh sb="0" eb="1">
      <t>キ</t>
    </rPh>
    <rPh sb="8" eb="9">
      <t>スコ</t>
    </rPh>
    <phoneticPr fontId="3"/>
  </si>
  <si>
    <t>黄ガチャ01 最終日</t>
    <rPh sb="7" eb="10">
      <t>サイシュウビ</t>
    </rPh>
    <phoneticPr fontId="3"/>
  </si>
  <si>
    <t>赤ガチャ０２　開始</t>
    <rPh sb="0" eb="1">
      <t>アカ</t>
    </rPh>
    <rPh sb="7" eb="9">
      <t>カイシ</t>
    </rPh>
    <phoneticPr fontId="3"/>
  </si>
  <si>
    <t>2015-10-08 23:59:59</t>
    <phoneticPr fontId="3"/>
  </si>
  <si>
    <t>2015-10-09 00:00:00</t>
    <phoneticPr fontId="3"/>
  </si>
  <si>
    <t>2015-10-09 23:59:59</t>
    <phoneticPr fontId="3"/>
  </si>
  <si>
    <t>2015-10-10 00:00:00</t>
    <phoneticPr fontId="3"/>
  </si>
  <si>
    <t>2015-10-10 14:59:59</t>
    <phoneticPr fontId="3"/>
  </si>
  <si>
    <t>2015-10-13 14:59:59</t>
    <phoneticPr fontId="3"/>
  </si>
  <si>
    <t>2015-10-13 00:00:00</t>
    <phoneticPr fontId="3"/>
  </si>
  <si>
    <t>2015-10-12 23:59:59</t>
    <phoneticPr fontId="3"/>
  </si>
  <si>
    <t>2015-10-11 23:59:59</t>
    <phoneticPr fontId="3"/>
  </si>
  <si>
    <t>2015-10-13 15:00:00</t>
    <phoneticPr fontId="3"/>
  </si>
  <si>
    <t>2015-10-14 23:59:59</t>
    <phoneticPr fontId="3"/>
  </si>
  <si>
    <t>2015-10-16 14:59:59</t>
    <phoneticPr fontId="3"/>
  </si>
  <si>
    <t>2015-10-16 00:00:00</t>
    <phoneticPr fontId="3"/>
  </si>
  <si>
    <t>2015-10-15 23:59:59</t>
    <phoneticPr fontId="3"/>
  </si>
  <si>
    <t>2015-10-15 00:00:00</t>
    <phoneticPr fontId="3"/>
  </si>
  <si>
    <t>v1.1.5向けガチャスケ設定用</t>
    <rPh sb="6" eb="7">
      <t>ム</t>
    </rPh>
    <rPh sb="13" eb="16">
      <t>セッテイヨウ</t>
    </rPh>
    <phoneticPr fontId="3"/>
  </si>
  <si>
    <t>2015-10-08 00:00:00</t>
    <phoneticPr fontId="3"/>
  </si>
  <si>
    <t>期限外吹き飛ばし</t>
    <rPh sb="0" eb="3">
      <t>キゲンガイ</t>
    </rPh>
    <rPh sb="3" eb="4">
      <t>フ</t>
    </rPh>
    <rPh sb="5" eb="6">
      <t>ト</t>
    </rPh>
    <phoneticPr fontId="3"/>
  </si>
  <si>
    <t>2100-01-01 00:00:00</t>
    <phoneticPr fontId="3"/>
  </si>
  <si>
    <t>2100-01-01 23:59:59</t>
    <phoneticPr fontId="3"/>
  </si>
  <si>
    <t>2015-10-08 23:59:59</t>
    <phoneticPr fontId="3"/>
  </si>
  <si>
    <t>迫り来る窒息</t>
    <rPh sb="0" eb="1">
      <t>セマ</t>
    </rPh>
    <rPh sb="2" eb="3">
      <t>ク</t>
    </rPh>
    <rPh sb="4" eb="6">
      <t>チッソク</t>
    </rPh>
    <phoneticPr fontId="3"/>
  </si>
  <si>
    <t>復活の捕食者</t>
    <rPh sb="0" eb="2">
      <t>フッカツ</t>
    </rPh>
    <rPh sb="3" eb="6">
      <t>ホショクシャ</t>
    </rPh>
    <phoneticPr fontId="3"/>
  </si>
  <si>
    <t>アザゼル襲来！！</t>
    <rPh sb="0" eb="6">
      <t>アザゼ</t>
    </rPh>
    <phoneticPr fontId="3"/>
  </si>
  <si>
    <t>2015-10-15 06:00:00</t>
    <phoneticPr fontId="3"/>
  </si>
  <si>
    <t>2015-10-15 15:00:00</t>
    <phoneticPr fontId="3"/>
  </si>
  <si>
    <t>2015-10-11 15:00:00</t>
    <phoneticPr fontId="3"/>
  </si>
  <si>
    <t>2015-10-14 15:00:00</t>
    <phoneticPr fontId="3"/>
  </si>
  <si>
    <t>2015-10-14 21:00:00</t>
    <phoneticPr fontId="3"/>
  </si>
  <si>
    <t>2015-10-18 12:00:00</t>
    <phoneticPr fontId="3"/>
  </si>
  <si>
    <t>2015-10-18 15:00:00</t>
    <phoneticPr fontId="3"/>
  </si>
  <si>
    <t>2015-10-09 21:00:00</t>
    <phoneticPr fontId="3"/>
  </si>
  <si>
    <t>2015-10-10 12:00:00</t>
    <phoneticPr fontId="3"/>
  </si>
  <si>
    <t>アザゼル襲来！！ 確率UP</t>
    <rPh sb="0" eb="6">
      <t>アザゼ</t>
    </rPh>
    <rPh sb="9" eb="13">
      <t>カクr</t>
    </rPh>
    <phoneticPr fontId="3"/>
  </si>
  <si>
    <t>アザゼル襲来！！ 確率UP</t>
    <rPh sb="0" eb="6">
      <t>アザゼ</t>
    </rPh>
    <phoneticPr fontId="3"/>
  </si>
  <si>
    <t>2015-10-12 00:00:00</t>
    <phoneticPr fontId="3"/>
  </si>
  <si>
    <t>2015-10-09 23:59:59</t>
    <phoneticPr fontId="3"/>
  </si>
  <si>
    <t>2015-10-17 15:00:00</t>
    <phoneticPr fontId="3"/>
  </si>
  <si>
    <t>2015-10-22 15:00:00</t>
    <phoneticPr fontId="3"/>
  </si>
  <si>
    <t>悪夢の一目惚れ（チエミ）</t>
    <rPh sb="0" eb="2">
      <t>アクム</t>
    </rPh>
    <rPh sb="3" eb="6">
      <t>ヒトメボ</t>
    </rPh>
    <phoneticPr fontId="3"/>
  </si>
  <si>
    <t>最大最凶（メガロドン）</t>
    <rPh sb="0" eb="2">
      <t>サイダイ</t>
    </rPh>
    <rPh sb="2" eb="5">
      <t>サイキョウ</t>
    </rPh>
    <phoneticPr fontId="3"/>
  </si>
  <si>
    <t>2015-10-21 06:00:00</t>
    <phoneticPr fontId="3"/>
  </si>
  <si>
    <t>2015-10-21 15:00:00</t>
    <phoneticPr fontId="3"/>
  </si>
  <si>
    <t>2015-10-18 00:00:00</t>
    <phoneticPr fontId="3"/>
  </si>
  <si>
    <t>2015-10-22 12:00:00</t>
    <phoneticPr fontId="3"/>
  </si>
  <si>
    <t>2015-10-18 21:00:00</t>
    <phoneticPr fontId="3"/>
  </si>
  <si>
    <t>2015-09-19 00:00:00</t>
    <phoneticPr fontId="3"/>
  </si>
  <si>
    <t>新撰組UP 開始</t>
    <rPh sb="0" eb="3">
      <t>シンセングミ</t>
    </rPh>
    <rPh sb="6" eb="8">
      <t>カイシ</t>
    </rPh>
    <phoneticPr fontId="3"/>
  </si>
  <si>
    <t>新撰組UP あと少し</t>
    <rPh sb="0" eb="3">
      <t>シンセングミ</t>
    </rPh>
    <rPh sb="8" eb="9">
      <t>スコ</t>
    </rPh>
    <phoneticPr fontId="3"/>
  </si>
  <si>
    <t>新撰組UP 最終日</t>
    <rPh sb="0" eb="3">
      <t>シンセングミ</t>
    </rPh>
    <rPh sb="6" eb="9">
      <t>サイシュウビ</t>
    </rPh>
    <phoneticPr fontId="3"/>
  </si>
  <si>
    <t>2015-10-16 15:00:00</t>
    <phoneticPr fontId="3"/>
  </si>
  <si>
    <t>2015-10-17 23:59:59</t>
    <phoneticPr fontId="3"/>
  </si>
  <si>
    <t>2015-10-18 00:00:00</t>
    <phoneticPr fontId="3"/>
  </si>
  <si>
    <t>2015-10-18 23:59:59</t>
    <phoneticPr fontId="3"/>
  </si>
  <si>
    <t>2015-10-19 00:00:00</t>
    <phoneticPr fontId="3"/>
  </si>
  <si>
    <t>2015-10-19 14:59:59</t>
    <phoneticPr fontId="3"/>
  </si>
  <si>
    <t>2015-10-19 15:00:00</t>
    <phoneticPr fontId="3"/>
  </si>
  <si>
    <t>2015-10-22 23:59:59</t>
    <phoneticPr fontId="3"/>
  </si>
  <si>
    <t>2015-10-21 23:59:59</t>
    <phoneticPr fontId="3"/>
  </si>
  <si>
    <t>2015-10-22 00:00:00</t>
    <phoneticPr fontId="3"/>
  </si>
  <si>
    <t>2015-10-23 00:00:00</t>
    <phoneticPr fontId="3"/>
  </si>
  <si>
    <t>2015-10-23 14:59:59</t>
    <phoneticPr fontId="3"/>
  </si>
  <si>
    <t>新ガチャ05(童話)UP開始</t>
    <rPh sb="0" eb="1">
      <t>シン</t>
    </rPh>
    <rPh sb="7" eb="9">
      <t>ドウワ</t>
    </rPh>
    <rPh sb="12" eb="14">
      <t>カイシ</t>
    </rPh>
    <phoneticPr fontId="3"/>
  </si>
  <si>
    <t>新ガチャ05(童話)UPあと少し</t>
    <rPh sb="0" eb="1">
      <t>シン</t>
    </rPh>
    <rPh sb="7" eb="9">
      <t>ドウワ</t>
    </rPh>
    <rPh sb="14" eb="15">
      <t>スコ</t>
    </rPh>
    <phoneticPr fontId="3"/>
  </si>
  <si>
    <t>新ガチャ05(童話)UP最終日</t>
    <rPh sb="0" eb="1">
      <t>シン</t>
    </rPh>
    <rPh sb="7" eb="9">
      <t>ドウワ</t>
    </rPh>
    <rPh sb="12" eb="15">
      <t>サイシュウビ</t>
    </rPh>
    <phoneticPr fontId="3"/>
  </si>
  <si>
    <t xml:space="preserve">100万DLキャンペーン / </t>
    <rPh sb="3" eb="4">
      <t>マン</t>
    </rPh>
    <phoneticPr fontId="3"/>
  </si>
  <si>
    <t>100万DLキャンペーン / 第1週末</t>
    <rPh sb="3" eb="4">
      <t>マン</t>
    </rPh>
    <rPh sb="15" eb="16">
      <t>ダイ</t>
    </rPh>
    <rPh sb="17" eb="19">
      <t>シュウマツ</t>
    </rPh>
    <phoneticPr fontId="3"/>
  </si>
  <si>
    <t>100万DLキャンペーン / 第2週末</t>
    <rPh sb="3" eb="4">
      <t>マン</t>
    </rPh>
    <rPh sb="15" eb="16">
      <t>ダイ</t>
    </rPh>
    <rPh sb="17" eb="19">
      <t>シュウマツ</t>
    </rPh>
    <phoneticPr fontId="3"/>
  </si>
  <si>
    <t>100万DLキャンペーン / 全期間</t>
    <rPh sb="3" eb="4">
      <t>マン</t>
    </rPh>
    <rPh sb="15" eb="18">
      <t>ゼンキカン</t>
    </rPh>
    <phoneticPr fontId="3"/>
  </si>
  <si>
    <t>2015-10-23 15:00:00</t>
    <phoneticPr fontId="3"/>
  </si>
  <si>
    <t>2015-10-28 14:59:59</t>
    <phoneticPr fontId="3"/>
  </si>
  <si>
    <t>2015-10-28 00:00:00</t>
    <phoneticPr fontId="3"/>
  </si>
  <si>
    <t>攻撃凸ガチャ最終日</t>
    <rPh sb="0" eb="3">
      <t>コウゲキ</t>
    </rPh>
    <rPh sb="6" eb="9">
      <t>サイシュ</t>
    </rPh>
    <phoneticPr fontId="3"/>
  </si>
  <si>
    <t>ピックアップ（斎藤）最終日</t>
    <rPh sb="7" eb="9">
      <t>サイトウ</t>
    </rPh>
    <rPh sb="10" eb="13">
      <t>サイsy</t>
    </rPh>
    <phoneticPr fontId="3"/>
  </si>
  <si>
    <t>2015-10-28 15:00:00</t>
    <phoneticPr fontId="3"/>
  </si>
  <si>
    <t>2015-10-31 00:00:00</t>
    <phoneticPr fontId="3"/>
  </si>
  <si>
    <t>2015-10-31 14:59:59</t>
    <phoneticPr fontId="3"/>
  </si>
  <si>
    <t>2015-10-30 14:59:59</t>
    <phoneticPr fontId="3"/>
  </si>
  <si>
    <r>
      <t>全てが灰になる（狂気の炎風</t>
    </r>
    <r>
      <rPr>
        <sz val="11"/>
        <color theme="1"/>
        <rFont val="Arial"/>
      </rPr>
      <t xml:space="preserve"> </t>
    </r>
    <r>
      <rPr>
        <sz val="11"/>
        <color theme="1"/>
        <rFont val="ＭＳ Ｐゴシック"/>
        <family val="2"/>
        <charset val="128"/>
      </rPr>
      <t>ミサコ）</t>
    </r>
  </si>
  <si>
    <r>
      <t>古の博学</t>
    </r>
    <r>
      <rPr>
        <sz val="9.6"/>
        <color theme="1"/>
        <rFont val="Arial"/>
      </rPr>
      <t xml:space="preserve"> </t>
    </r>
    <r>
      <rPr>
        <sz val="9.6"/>
        <color theme="1"/>
        <rFont val="ＭＳ Ｐゴシック"/>
        <family val="2"/>
        <charset val="128"/>
      </rPr>
      <t>アーケロン（気怠い巨読者）</t>
    </r>
  </si>
  <si>
    <r>
      <t>宿痾の葬送</t>
    </r>
    <r>
      <rPr>
        <sz val="9.6"/>
        <color theme="1"/>
        <rFont val="Arial"/>
      </rPr>
      <t xml:space="preserve"> </t>
    </r>
    <r>
      <rPr>
        <sz val="9.6"/>
        <color theme="1"/>
        <rFont val="ＭＳ Ｐゴシック"/>
        <family val="2"/>
        <charset val="128"/>
      </rPr>
      <t>チカ（罪と劇薬）</t>
    </r>
  </si>
  <si>
    <t>2015-10-25 15:00:00</t>
    <phoneticPr fontId="3"/>
  </si>
  <si>
    <t>2015-10-25 23:59:59</t>
    <phoneticPr fontId="3"/>
  </si>
  <si>
    <t>2015-10-29 06:00:00</t>
    <phoneticPr fontId="3"/>
  </si>
  <si>
    <t>2015-10-29 14:59:59</t>
    <phoneticPr fontId="3"/>
  </si>
  <si>
    <t>2015-10-29 12:00:00</t>
    <phoneticPr fontId="3"/>
  </si>
  <si>
    <t>2015-10-29 21:00:00</t>
    <phoneticPr fontId="3"/>
  </si>
  <si>
    <t>2015-11-02 12:00:00</t>
    <phoneticPr fontId="3"/>
  </si>
  <si>
    <t>新ガチャ（神話）前半最終日</t>
    <rPh sb="0" eb="1">
      <t>シン</t>
    </rPh>
    <rPh sb="5" eb="7">
      <t>シンワドウブツ</t>
    </rPh>
    <rPh sb="8" eb="10">
      <t>ゼンハン</t>
    </rPh>
    <rPh sb="10" eb="13">
      <t>サイシュウビ</t>
    </rPh>
    <phoneticPr fontId="3"/>
  </si>
  <si>
    <t>2015-11-02 15:00:00</t>
    <phoneticPr fontId="3"/>
  </si>
  <si>
    <t>2015-11-08 00:00:00</t>
    <phoneticPr fontId="3"/>
  </si>
  <si>
    <t>2015-11-08 14:59:59</t>
    <phoneticPr fontId="3"/>
  </si>
  <si>
    <t>2015-11-08 15:00:00</t>
    <phoneticPr fontId="3"/>
  </si>
  <si>
    <t>攻撃凸ガチャ</t>
    <rPh sb="0" eb="3">
      <t>コウゲキ</t>
    </rPh>
    <phoneticPr fontId="3"/>
  </si>
  <si>
    <t>ピックアップ（斎藤）</t>
    <rPh sb="7" eb="9">
      <t>サイトウ</t>
    </rPh>
    <phoneticPr fontId="3"/>
  </si>
  <si>
    <t>新ガチャ（神話）前半</t>
    <rPh sb="0" eb="1">
      <t>シン</t>
    </rPh>
    <rPh sb="5" eb="7">
      <t>シンワドウブツ</t>
    </rPh>
    <rPh sb="8" eb="10">
      <t>ゼンハン</t>
    </rPh>
    <phoneticPr fontId="3"/>
  </si>
  <si>
    <t>新ガチャ（神話）後半</t>
    <rPh sb="0" eb="1">
      <t>シン</t>
    </rPh>
    <rPh sb="5" eb="7">
      <t>シンワドウブツ</t>
    </rPh>
    <rPh sb="8" eb="10">
      <t>コウハン</t>
    </rPh>
    <phoneticPr fontId="3"/>
  </si>
  <si>
    <t>2015-10-28 14:59:59</t>
    <phoneticPr fontId="3"/>
  </si>
  <si>
    <t>2015-10-31 14:59:59</t>
  </si>
  <si>
    <t>2015-11-08 14:59:59</t>
  </si>
  <si>
    <t>2015-11-01 15:00:00</t>
    <phoneticPr fontId="3"/>
  </si>
  <si>
    <t>2015-11-01 23:59:59</t>
    <phoneticPr fontId="3"/>
  </si>
  <si>
    <t>2015-11-05 06:00:00</t>
    <phoneticPr fontId="3"/>
  </si>
  <si>
    <t>2015-11-02 14:59:59</t>
    <phoneticPr fontId="3"/>
  </si>
  <si>
    <t>2015-11-05 14:59:59</t>
    <phoneticPr fontId="3"/>
  </si>
  <si>
    <t>出力flg</t>
    <rPh sb="0" eb="2">
      <t>シュツリョク</t>
    </rPh>
    <phoneticPr fontId="3"/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</si>
  <si>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</si>
  <si>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</si>
  <si>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</si>
  <si>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</si>
  <si>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</si>
  <si>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</si>
  <si>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.csv</t>
    <phoneticPr fontId="3"/>
  </si>
  <si>
    <t>periods</t>
  </si>
  <si>
    <t>old</t>
    <phoneticPr fontId="3"/>
  </si>
  <si>
    <t>底なしの胃袋（リードシクティス）</t>
    <rPh sb="0" eb="6">
      <t>ソコナs</t>
    </rPh>
    <rPh sb="6" eb="7">
      <t>サイキョウ</t>
    </rPh>
    <phoneticPr fontId="3"/>
  </si>
  <si>
    <t>フィーバーフェスティバル</t>
    <phoneticPr fontId="3"/>
  </si>
  <si>
    <t>2015-11-02 14:59:59</t>
    <phoneticPr fontId="3"/>
  </si>
  <si>
    <t>2015-10-31 15:00:00</t>
    <phoneticPr fontId="3"/>
  </si>
  <si>
    <t>2015-11-05 12:00:00</t>
    <phoneticPr fontId="3"/>
  </si>
  <si>
    <t>2015-11-05 20:59:59</t>
    <phoneticPr fontId="3"/>
  </si>
  <si>
    <t>ジャンヌ襲来！！</t>
    <rPh sb="4" eb="6">
      <t>アザゼ</t>
    </rPh>
    <phoneticPr fontId="3"/>
  </si>
  <si>
    <t>ジャンヌ襲来！！ 確率UP</t>
    <rPh sb="4" eb="6">
      <t>アザゼ</t>
    </rPh>
    <phoneticPr fontId="3"/>
  </si>
  <si>
    <t>ジャンヌ襲来！！ 確率UP</t>
    <rPh sb="4" eb="6">
      <t>アザゼ</t>
    </rPh>
    <rPh sb="9" eb="13">
      <t>カクr</t>
    </rPh>
    <phoneticPr fontId="3"/>
  </si>
  <si>
    <t>2015-10-29 21:00:00</t>
    <phoneticPr fontId="3"/>
  </si>
  <si>
    <t>2015-10-29 23:59:59</t>
    <phoneticPr fontId="3"/>
  </si>
  <si>
    <t>2015-10-30 12:00:00</t>
    <phoneticPr fontId="3"/>
  </si>
  <si>
    <t>2015-11-09 12:00:00</t>
    <phoneticPr fontId="3"/>
  </si>
  <si>
    <t>2015-11-09 14:59:59</t>
    <phoneticPr fontId="3"/>
  </si>
  <si>
    <t>2015-11-06 15:00:00</t>
    <phoneticPr fontId="3"/>
  </si>
  <si>
    <t>2015-11-08 14:59:59</t>
    <phoneticPr fontId="3"/>
  </si>
  <si>
    <t>親指ピックアップ</t>
    <rPh sb="0" eb="2">
      <t>オヤユビ</t>
    </rPh>
    <phoneticPr fontId="3"/>
  </si>
  <si>
    <t>2015-11-13 12:00:00</t>
    <phoneticPr fontId="3"/>
  </si>
  <si>
    <t>2015-11-13 14:59:59</t>
    <phoneticPr fontId="3"/>
  </si>
  <si>
    <t>決戦・竜宮城（ウラシマ）</t>
    <phoneticPr fontId="3"/>
  </si>
  <si>
    <t>決戦・竜宮城（ウラシマ） 3日目泥UP</t>
    <rPh sb="14" eb="16">
      <t>ニチメ</t>
    </rPh>
    <rPh sb="16" eb="17">
      <t>ドロ</t>
    </rPh>
    <phoneticPr fontId="3"/>
  </si>
  <si>
    <t>決戦・竜宮城（ウラシマ） 最終日泥UP</t>
    <rPh sb="13" eb="15">
      <t>サイシュウ</t>
    </rPh>
    <rPh sb="15" eb="16">
      <t>ヒ</t>
    </rPh>
    <rPh sb="16" eb="17">
      <t>ドロ</t>
    </rPh>
    <rPh sb="17" eb="19">
      <t>カクr</t>
    </rPh>
    <phoneticPr fontId="3"/>
  </si>
  <si>
    <t>100万DLキャンペーン /</t>
    <rPh sb="2" eb="3">
      <t>マン</t>
    </rPh>
    <phoneticPr fontId="3"/>
  </si>
  <si>
    <t>メタルジェントルを追え！【超級】</t>
    <rPh sb="9" eb="10">
      <t>オ</t>
    </rPh>
    <rPh sb="13" eb="15">
      <t>チョウキュウ</t>
    </rPh>
    <phoneticPr fontId="3"/>
  </si>
  <si>
    <t>2015-11-09 21:00:00</t>
    <phoneticPr fontId="3"/>
  </si>
  <si>
    <t>2015-11-08 15:00:00</t>
    <phoneticPr fontId="3"/>
  </si>
  <si>
    <t>2015-11-06 18:00:00</t>
    <phoneticPr fontId="3"/>
  </si>
  <si>
    <t>2015-11-06 18:59:59</t>
    <phoneticPr fontId="3"/>
  </si>
  <si>
    <t>100万DL/大成功UP1</t>
    <rPh sb="3" eb="4">
      <t>マン</t>
    </rPh>
    <rPh sb="7" eb="10">
      <t>ダイセイコウ</t>
    </rPh>
    <phoneticPr fontId="3"/>
  </si>
  <si>
    <t>100万DL/大成功UP2</t>
    <rPh sb="3" eb="4">
      <t>マン</t>
    </rPh>
    <rPh sb="7" eb="10">
      <t>ダイセイコウ</t>
    </rPh>
    <phoneticPr fontId="3"/>
  </si>
  <si>
    <t>2015-11-21 15:00:00</t>
    <phoneticPr fontId="3"/>
  </si>
  <si>
    <t>2015-11-28 15:00:00</t>
    <phoneticPr fontId="3"/>
  </si>
  <si>
    <t>2015-11-29 14:59:59</t>
    <phoneticPr fontId="3"/>
  </si>
  <si>
    <t>2015-11-23 14:59:59</t>
    <phoneticPr fontId="3"/>
  </si>
  <si>
    <t>2015-11-16 15:00:00</t>
    <phoneticPr fontId="3"/>
  </si>
  <si>
    <t>2015-11-29 14:59:59</t>
    <phoneticPr fontId="3"/>
  </si>
  <si>
    <t>2015-11-21 15:00:00</t>
    <phoneticPr fontId="3"/>
  </si>
  <si>
    <t>2015-11-22 14:59:59</t>
    <phoneticPr fontId="3"/>
  </si>
  <si>
    <t>2015-11-28 15:00:00</t>
    <phoneticPr fontId="3"/>
  </si>
  <si>
    <t>2015-11-16 00:00:00</t>
    <phoneticPr fontId="3"/>
  </si>
  <si>
    <t>2015-11-29 23:59:59</t>
    <phoneticPr fontId="3"/>
  </si>
  <si>
    <t>2015-11-21 00:00:00</t>
    <phoneticPr fontId="3"/>
  </si>
  <si>
    <t>2015-11-28 00:00:00</t>
    <phoneticPr fontId="3"/>
  </si>
  <si>
    <t>2015-11-22 23:59:59</t>
    <phoneticPr fontId="3"/>
  </si>
  <si>
    <t>2015-11-29 23:59:59</t>
    <phoneticPr fontId="3"/>
  </si>
  <si>
    <t>山田ピックアップ</t>
    <rPh sb="0" eb="2">
      <t>ヤマダ</t>
    </rPh>
    <phoneticPr fontId="3"/>
  </si>
  <si>
    <t>100万DL記念</t>
    <rPh sb="3" eb="4">
      <t>マン</t>
    </rPh>
    <rPh sb="6" eb="8">
      <t>キネン</t>
    </rPh>
    <phoneticPr fontId="3"/>
  </si>
  <si>
    <t>親指を突き立てろ！（カエデ）</t>
    <phoneticPr fontId="3"/>
  </si>
  <si>
    <t>親指を突き立てろ！（カエデ） 3日目泥UP</t>
    <rPh sb="16" eb="18">
      <t>ニチメ</t>
    </rPh>
    <rPh sb="18" eb="19">
      <t>ドロ</t>
    </rPh>
    <phoneticPr fontId="3"/>
  </si>
  <si>
    <t>親指を突き立てろ！（カエデ） 最終日泥UP</t>
    <rPh sb="15" eb="17">
      <t>サイシュウ</t>
    </rPh>
    <rPh sb="17" eb="18">
      <t>ヒ</t>
    </rPh>
    <rPh sb="18" eb="19">
      <t>ドロ</t>
    </rPh>
    <rPh sb="19" eb="21">
      <t>カクr</t>
    </rPh>
    <phoneticPr fontId="3"/>
  </si>
  <si>
    <t>2015-11-15 15:00:00</t>
    <phoneticPr fontId="3"/>
  </si>
  <si>
    <t>2015-11-15 21:00:00</t>
    <phoneticPr fontId="3"/>
  </si>
  <si>
    <t>2015-11-20 12:00:00</t>
    <phoneticPr fontId="3"/>
  </si>
  <si>
    <t>2015-11-20 14:59:59</t>
    <phoneticPr fontId="3"/>
  </si>
  <si>
    <t>宮本武蔵襲来！！</t>
    <rPh sb="0" eb="2">
      <t>ミヤモt</t>
    </rPh>
    <rPh sb="2" eb="4">
      <t>ムサs</t>
    </rPh>
    <rPh sb="4" eb="6">
      <t>アザゼ</t>
    </rPh>
    <phoneticPr fontId="3"/>
  </si>
  <si>
    <t>宮本武蔵襲来！！ 確率UP</t>
    <rPh sb="0" eb="2">
      <t>ミヤモt</t>
    </rPh>
    <rPh sb="2" eb="4">
      <t>ムサs</t>
    </rPh>
    <rPh sb="4" eb="6">
      <t>アザゼ</t>
    </rPh>
    <phoneticPr fontId="3"/>
  </si>
  <si>
    <t>宮本武蔵襲来！！ 確率UP</t>
    <rPh sb="0" eb="4">
      <t>ミヤモt</t>
    </rPh>
    <rPh sb="4" eb="6">
      <t>アザゼ</t>
    </rPh>
    <rPh sb="9" eb="13">
      <t>カクr</t>
    </rPh>
    <phoneticPr fontId="3"/>
  </si>
  <si>
    <t>2015-11-14 14:59:59</t>
    <phoneticPr fontId="3"/>
  </si>
  <si>
    <t>2015-11-13 21:00:00</t>
    <phoneticPr fontId="3"/>
  </si>
  <si>
    <t>2015-11-14 12:00:00</t>
    <phoneticPr fontId="3"/>
  </si>
  <si>
    <t>2015-11-13 23:59:59</t>
    <phoneticPr fontId="3"/>
  </si>
  <si>
    <t>2015-11-16 14:59:59</t>
    <phoneticPr fontId="3"/>
  </si>
  <si>
    <t>2015-11-16 14:59:59</t>
    <phoneticPr fontId="3"/>
  </si>
  <si>
    <t>2015-11-13 15:00:00</t>
    <phoneticPr fontId="3"/>
  </si>
  <si>
    <t>2015-11-25 15:00:00</t>
    <phoneticPr fontId="3"/>
  </si>
  <si>
    <t>2015-11-27 14:59:59</t>
    <phoneticPr fontId="3"/>
  </si>
  <si>
    <t>2015-11-24 15:00:00</t>
    <phoneticPr fontId="3"/>
  </si>
  <si>
    <t>2015-11-26 14:59:59</t>
    <phoneticPr fontId="3"/>
  </si>
  <si>
    <t>2015-11-26 15:00:00</t>
    <phoneticPr fontId="3"/>
  </si>
  <si>
    <t>2015-11-27 14:59:59</t>
    <phoneticPr fontId="3"/>
  </si>
  <si>
    <t>2015-11-24 14:59:59</t>
    <phoneticPr fontId="3"/>
  </si>
  <si>
    <t>2015-11-25 14:59:59</t>
    <phoneticPr fontId="3"/>
  </si>
  <si>
    <t>2015-11-22 15:00:00</t>
    <phoneticPr fontId="3"/>
  </si>
  <si>
    <t>100万DL/週末２全期間版</t>
    <rPh sb="3" eb="4">
      <t>マン</t>
    </rPh>
    <rPh sb="7" eb="9">
      <t>シュウマツ</t>
    </rPh>
    <phoneticPr fontId="3"/>
  </si>
  <si>
    <t>2015-11-28 15:00:00</t>
    <phoneticPr fontId="3"/>
  </si>
  <si>
    <t>2015-11-29 14:59:59</t>
    <phoneticPr fontId="3"/>
  </si>
  <si>
    <t>リンゴ汎用</t>
    <rPh sb="3" eb="5">
      <t>ハンヨウ</t>
    </rPh>
    <phoneticPr fontId="3"/>
  </si>
  <si>
    <t>2015-11-21 15:00:00</t>
    <phoneticPr fontId="3"/>
  </si>
  <si>
    <t>2015-11-22 14:59:59</t>
    <phoneticPr fontId="3"/>
  </si>
  <si>
    <t>オズ</t>
    <phoneticPr fontId="3"/>
  </si>
  <si>
    <t>ウィザードピックアップ</t>
    <phoneticPr fontId="3"/>
  </si>
  <si>
    <t>2015-11-19 15:00:00</t>
    <phoneticPr fontId="3"/>
  </si>
  <si>
    <t>2015-11-20 15:00:00</t>
    <phoneticPr fontId="3"/>
  </si>
  <si>
    <t>2015-11-30 14:59:59</t>
    <phoneticPr fontId="3"/>
  </si>
  <si>
    <t>2015-11-30 14:59:59</t>
    <phoneticPr fontId="3"/>
  </si>
  <si>
    <t>2015-11-24 15:00:00</t>
    <phoneticPr fontId="3"/>
  </si>
  <si>
    <t>2015-11-27 14:59:59</t>
    <phoneticPr fontId="3"/>
  </si>
  <si>
    <t>リンクビット</t>
    <phoneticPr fontId="3"/>
  </si>
  <si>
    <t>兄妹の大冒険（シュガフル）</t>
    <phoneticPr fontId="3"/>
  </si>
  <si>
    <t>2015-11-27 14:59:59</t>
    <phoneticPr fontId="3"/>
  </si>
  <si>
    <t>2015-11-22 15:00:00</t>
    <phoneticPr fontId="3"/>
  </si>
  <si>
    <t>2015-11-22 21:00:00</t>
    <phoneticPr fontId="3"/>
  </si>
  <si>
    <t>2015-11-27 12:00:00</t>
    <phoneticPr fontId="3"/>
  </si>
  <si>
    <t>2015-11-06 00:00:00</t>
    <phoneticPr fontId="3"/>
  </si>
  <si>
    <t>2015-11-06 23:59:59</t>
    <phoneticPr fontId="3"/>
  </si>
  <si>
    <t>2015-11-30 15:00:00</t>
    <phoneticPr fontId="3"/>
  </si>
  <si>
    <t>2015-12-3 14:59:59</t>
    <phoneticPr fontId="3"/>
  </si>
  <si>
    <t>フィバフェス</t>
    <phoneticPr fontId="3"/>
  </si>
  <si>
    <t>2015-11-27 15:00:00</t>
    <phoneticPr fontId="3"/>
  </si>
  <si>
    <t>2015-11-29 14:59:59</t>
    <phoneticPr fontId="3"/>
  </si>
  <si>
    <t>2015-11-29 14:59:59</t>
    <phoneticPr fontId="3"/>
  </si>
  <si>
    <t>2015-10-18 15:00:00</t>
    <phoneticPr fontId="3"/>
  </si>
  <si>
    <t>2015-12-02 15:00:00</t>
    <phoneticPr fontId="3"/>
  </si>
  <si>
    <t>2015-12-04 14:59:59</t>
    <phoneticPr fontId="3"/>
  </si>
  <si>
    <t>2015-11-27 15:00:00</t>
    <phoneticPr fontId="3"/>
  </si>
  <si>
    <t>2015-11-26 10:55:00</t>
    <phoneticPr fontId="3"/>
  </si>
  <si>
    <t>2015-11-30 14:59:59</t>
    <phoneticPr fontId="3"/>
  </si>
  <si>
    <t>2015-11-29 15:00:00</t>
    <phoneticPr fontId="3"/>
  </si>
  <si>
    <t>2015-12-01 14:59:59</t>
    <phoneticPr fontId="3"/>
  </si>
  <si>
    <t>2015-12-01 15:00:00</t>
    <phoneticPr fontId="3"/>
  </si>
  <si>
    <t>2015-12-03 14:59:59</t>
    <phoneticPr fontId="3"/>
  </si>
  <si>
    <t>2015-09-12 15:00:00</t>
    <phoneticPr fontId="3"/>
  </si>
  <si>
    <t>2015-11-30 15:00:00</t>
    <phoneticPr fontId="3"/>
  </si>
  <si>
    <t>2015-12-02 14:59:59</t>
    <phoneticPr fontId="3"/>
  </si>
  <si>
    <t>2014-12-01 15:00:00</t>
    <phoneticPr fontId="3"/>
  </si>
  <si>
    <t>2014-12-03 14:59:59</t>
    <phoneticPr fontId="3"/>
  </si>
  <si>
    <t>2015-12-01 15:00:00</t>
    <phoneticPr fontId="3"/>
  </si>
  <si>
    <t>私がワニの天敵よ（フック）</t>
    <rPh sb="0" eb="8">
      <t>ワタs</t>
    </rPh>
    <phoneticPr fontId="3"/>
  </si>
  <si>
    <t>麒麟襲来！！</t>
    <rPh sb="0" eb="2">
      <t>キr</t>
    </rPh>
    <rPh sb="2" eb="4">
      <t>アザゼ</t>
    </rPh>
    <phoneticPr fontId="3"/>
  </si>
  <si>
    <t>2015-11-30 15:00:00</t>
    <phoneticPr fontId="3"/>
  </si>
  <si>
    <t>2015-12-01 14:59:59</t>
    <phoneticPr fontId="3"/>
  </si>
  <si>
    <t>2015-11-30 21:00:00</t>
    <phoneticPr fontId="3"/>
  </si>
  <si>
    <t>2015-11-30 23:59:59</t>
    <phoneticPr fontId="3"/>
  </si>
  <si>
    <t>2015-12-01 12:00:00</t>
    <phoneticPr fontId="3"/>
  </si>
  <si>
    <t>2015-11-27 15:00:00</t>
    <phoneticPr fontId="3"/>
  </si>
  <si>
    <t>2015-12-04 14:59:59</t>
    <phoneticPr fontId="3"/>
  </si>
  <si>
    <t>2015-11-29 21:00:00</t>
    <phoneticPr fontId="3"/>
  </si>
  <si>
    <t>2015-12-04 12:00:00</t>
    <phoneticPr fontId="3"/>
  </si>
  <si>
    <t>2015-12-04 14:59:59</t>
    <phoneticPr fontId="3"/>
  </si>
  <si>
    <t>2015-12-03 15:00:00</t>
    <phoneticPr fontId="3"/>
  </si>
  <si>
    <t>円卓</t>
    <rPh sb="0" eb="2">
      <t>エンタク</t>
    </rPh>
    <phoneticPr fontId="3"/>
  </si>
  <si>
    <t>2015-12-11 14:59:59</t>
    <phoneticPr fontId="3"/>
  </si>
  <si>
    <t>緑フィーバー</t>
    <rPh sb="0" eb="1">
      <t>ミドリ</t>
    </rPh>
    <phoneticPr fontId="3"/>
  </si>
  <si>
    <t>2015-12-04 15:00:00</t>
    <phoneticPr fontId="3"/>
  </si>
  <si>
    <t>2015-12-07 15:00:00</t>
    <phoneticPr fontId="3"/>
  </si>
  <si>
    <t>2015-12-14 14:59:59</t>
    <phoneticPr fontId="3"/>
  </si>
  <si>
    <t>クラファーセレクション</t>
    <phoneticPr fontId="3"/>
  </si>
  <si>
    <t>2015-12-06 15:00:00</t>
    <phoneticPr fontId="3"/>
  </si>
  <si>
    <t>2015-12-08 14:59:59</t>
    <phoneticPr fontId="3"/>
  </si>
  <si>
    <t>2015-12-07 15:00:00</t>
    <phoneticPr fontId="3"/>
  </si>
  <si>
    <t>2015-12-09 14:59:59</t>
    <phoneticPr fontId="3"/>
  </si>
  <si>
    <t>2015-12-03 15:00:00</t>
    <phoneticPr fontId="3"/>
  </si>
  <si>
    <t>2015-12-05 14:59:59</t>
    <phoneticPr fontId="3"/>
  </si>
  <si>
    <t>2015-12-04 15:00:00</t>
    <phoneticPr fontId="3"/>
  </si>
  <si>
    <t>2015-12-06 14:59:59</t>
    <phoneticPr fontId="3"/>
  </si>
  <si>
    <t>2015-12-09 15:00:00</t>
    <phoneticPr fontId="3"/>
  </si>
  <si>
    <t>2015-12-06 15:00:00</t>
    <phoneticPr fontId="3"/>
  </si>
  <si>
    <t>2015-12-10 15:00:00</t>
    <phoneticPr fontId="3"/>
  </si>
  <si>
    <t>2015-12-12 14:59:59</t>
    <phoneticPr fontId="3"/>
  </si>
  <si>
    <t>2015-12-12 14:59:59</t>
    <phoneticPr fontId="3"/>
  </si>
  <si>
    <t>2015-12-08 15:00:00</t>
    <phoneticPr fontId="3"/>
  </si>
  <si>
    <t>2015-12-08 14:59:59</t>
    <phoneticPr fontId="3"/>
  </si>
  <si>
    <t>2015-12-05 15:00:00</t>
    <phoneticPr fontId="3"/>
  </si>
  <si>
    <t>2015-12-07 14:59:59</t>
    <phoneticPr fontId="3"/>
  </si>
  <si>
    <t>2015-12-05 15:00:00</t>
    <phoneticPr fontId="3"/>
  </si>
  <si>
    <t>2015-12-07 14:59:59</t>
    <phoneticPr fontId="3"/>
  </si>
  <si>
    <t>2015-12-03 15:00:00</t>
    <phoneticPr fontId="3"/>
  </si>
  <si>
    <t>2015-12-05 14:59:59</t>
    <phoneticPr fontId="3"/>
  </si>
  <si>
    <t>2015-12-05 15:00:00</t>
    <phoneticPr fontId="3"/>
  </si>
  <si>
    <t>2015-12-06 14:59:59</t>
    <phoneticPr fontId="3"/>
  </si>
  <si>
    <t>2015-12-09 15:00:00</t>
    <phoneticPr fontId="3"/>
  </si>
  <si>
    <t>2015-12-14 14:59:59</t>
    <phoneticPr fontId="3"/>
  </si>
  <si>
    <t>2015-12-03 15:00:00</t>
    <phoneticPr fontId="3"/>
  </si>
  <si>
    <t>12月CPその１</t>
    <rPh sb="2" eb="3">
      <t>ガツ</t>
    </rPh>
    <phoneticPr fontId="3"/>
  </si>
  <si>
    <t>2015-12-11 15:00:00</t>
    <phoneticPr fontId="3"/>
  </si>
  <si>
    <t>2015-12-18 14:59:59</t>
    <phoneticPr fontId="3"/>
  </si>
  <si>
    <t>体力フィーバー</t>
    <rPh sb="0" eb="7">
      <t>タイリョk</t>
    </rPh>
    <phoneticPr fontId="3"/>
  </si>
  <si>
    <t>2015-12-13 14:59:59</t>
    <phoneticPr fontId="3"/>
  </si>
  <si>
    <t>ブルーフェスティバル</t>
    <phoneticPr fontId="3"/>
  </si>
  <si>
    <t>クリスマスフェス</t>
    <phoneticPr fontId="3"/>
  </si>
  <si>
    <t>2015-12-16 15:00:00</t>
    <phoneticPr fontId="3"/>
  </si>
  <si>
    <t>2015-12-25 14:59:59</t>
    <phoneticPr fontId="3"/>
  </si>
  <si>
    <t>オズ対抗ピックアップ</t>
    <rPh sb="2" eb="10">
      <t>タイコ</t>
    </rPh>
    <phoneticPr fontId="3"/>
  </si>
  <si>
    <t>2015-12-14 15:00:00</t>
    <phoneticPr fontId="3"/>
  </si>
  <si>
    <t>2015-12-11 14:59:59</t>
    <phoneticPr fontId="3"/>
  </si>
  <si>
    <t>2015-09-04 21:00:00</t>
    <phoneticPr fontId="3"/>
  </si>
  <si>
    <t>2015-12-12 14:59:59</t>
    <phoneticPr fontId="3"/>
  </si>
  <si>
    <t>2015-12-11 14:59:59</t>
    <phoneticPr fontId="3"/>
  </si>
  <si>
    <t>赤フィーバー</t>
    <rPh sb="0" eb="1">
      <t>アk</t>
    </rPh>
    <phoneticPr fontId="3"/>
  </si>
  <si>
    <t>2015-12-18 15:00:00</t>
    <phoneticPr fontId="3"/>
  </si>
  <si>
    <t>アーサー対抗ピックアップ</t>
    <rPh sb="4" eb="12">
      <t>タイコ</t>
    </rPh>
    <phoneticPr fontId="3"/>
  </si>
  <si>
    <t>2015-12-21 15:00:00</t>
    <phoneticPr fontId="3"/>
  </si>
  <si>
    <t>2015-12-21 00:00:00</t>
    <phoneticPr fontId="3"/>
  </si>
  <si>
    <t>クリスマスクエスト</t>
    <phoneticPr fontId="3"/>
  </si>
  <si>
    <t>2015-12-25 23:59:59</t>
    <phoneticPr fontId="3"/>
  </si>
  <si>
    <t>2015-12-21 15:00:00</t>
    <phoneticPr fontId="3"/>
  </si>
  <si>
    <t>2015-12-25 14:59:59</t>
    <phoneticPr fontId="3"/>
  </si>
  <si>
    <t>クリスマス15時スタート</t>
    <rPh sb="7" eb="8">
      <t>ジ</t>
    </rPh>
    <phoneticPr fontId="3"/>
  </si>
  <si>
    <t>サンタフィーバー（リンクガチャ）</t>
    <phoneticPr fontId="3"/>
  </si>
  <si>
    <t>2015-12-25 15:00:00</t>
    <phoneticPr fontId="3"/>
  </si>
  <si>
    <t>2016-01-05 14:59:59</t>
    <phoneticPr fontId="3"/>
  </si>
  <si>
    <t>ロキガチャ</t>
    <phoneticPr fontId="3"/>
  </si>
  <si>
    <t>2015-12-31 14:59:59</t>
    <phoneticPr fontId="3"/>
  </si>
  <si>
    <t>ドラゴンフィーバー</t>
    <phoneticPr fontId="3"/>
  </si>
  <si>
    <t>年忘れフィーバーフェス</t>
    <rPh sb="0" eb="11">
      <t>トsh</t>
    </rPh>
    <phoneticPr fontId="3"/>
  </si>
  <si>
    <t>2015-12-31 15:00:00</t>
    <phoneticPr fontId="3"/>
  </si>
  <si>
    <t>2016-01-01 14:59:59</t>
    <phoneticPr fontId="3"/>
  </si>
  <si>
    <t>お年玉フィーバー</t>
    <rPh sb="1" eb="8">
      <t>t</t>
    </rPh>
    <phoneticPr fontId="3"/>
  </si>
  <si>
    <t>2016-01-01 15:00:00</t>
    <phoneticPr fontId="3"/>
  </si>
  <si>
    <t>2016-01-02 14:59:59</t>
    <phoneticPr fontId="3"/>
  </si>
  <si>
    <t>福袋フィーバー</t>
    <rPh sb="0" eb="7">
      <t>フクブクr</t>
    </rPh>
    <phoneticPr fontId="3"/>
  </si>
  <si>
    <t>2016-01-02 15:00:00</t>
    <phoneticPr fontId="3"/>
  </si>
  <si>
    <t>2015-12-26 15:00:00</t>
    <phoneticPr fontId="3"/>
  </si>
  <si>
    <t>年を越える宴</t>
    <rPh sb="0" eb="1">
      <t>トシ</t>
    </rPh>
    <phoneticPr fontId="3"/>
  </si>
  <si>
    <t>あけおめダックのお年玉</t>
    <rPh sb="9" eb="11">
      <t>トシダマ</t>
    </rPh>
    <phoneticPr fontId="3"/>
  </si>
  <si>
    <t>2016-01-01 14:59:59</t>
    <phoneticPr fontId="3"/>
  </si>
  <si>
    <t>2016-01-01 15:00:00</t>
    <phoneticPr fontId="3"/>
  </si>
  <si>
    <t>2016-01-07 14:59:59</t>
    <phoneticPr fontId="3"/>
  </si>
  <si>
    <t>年末合成大成功アップ</t>
    <rPh sb="0" eb="2">
      <t>ネンマツ</t>
    </rPh>
    <rPh sb="2" eb="4">
      <t>ゴウセイ</t>
    </rPh>
    <rPh sb="4" eb="7">
      <t>ダイセイコウ</t>
    </rPh>
    <phoneticPr fontId="3"/>
  </si>
  <si>
    <t>2015-12-31 14:59:59</t>
    <phoneticPr fontId="3"/>
  </si>
  <si>
    <t>2015-12-26 14:59:59</t>
    <phoneticPr fontId="3"/>
  </si>
  <si>
    <t>2016-01-08 14:59:59</t>
    <phoneticPr fontId="3"/>
  </si>
  <si>
    <t>2016-01-20 15:00:00</t>
    <phoneticPr fontId="3"/>
  </si>
  <si>
    <t>2016-01-25 14:59:59</t>
    <phoneticPr fontId="3"/>
  </si>
  <si>
    <t>１月大成功アップ</t>
    <rPh sb="1" eb="2">
      <t>ガツ</t>
    </rPh>
    <rPh sb="2" eb="5">
      <t>ダイセイコウ</t>
    </rPh>
    <phoneticPr fontId="3"/>
  </si>
  <si>
    <t>2016-01-29 15:00:00</t>
    <phoneticPr fontId="3"/>
  </si>
  <si>
    <t>1/2月取得リンク2倍CP</t>
    <rPh sb="3" eb="4">
      <t>ガツ</t>
    </rPh>
    <rPh sb="4" eb="6">
      <t>シュトク</t>
    </rPh>
    <rPh sb="10" eb="11">
      <t>バイ</t>
    </rPh>
    <phoneticPr fontId="3"/>
  </si>
  <si>
    <t>ミク大成功アップ</t>
    <rPh sb="2" eb="5">
      <t>ダイセイコウ</t>
    </rPh>
    <phoneticPr fontId="3"/>
  </si>
  <si>
    <t>2016-02-04 15:00:00</t>
    <phoneticPr fontId="3"/>
  </si>
  <si>
    <t>2016-02-10 14:59:59</t>
    <phoneticPr fontId="3"/>
  </si>
  <si>
    <t>2016-02-10 14:59:59</t>
    <phoneticPr fontId="3"/>
  </si>
  <si>
    <t>2016-02-12 15:00:00</t>
    <phoneticPr fontId="3"/>
  </si>
  <si>
    <t>2016-02-14 14:59:59</t>
    <phoneticPr fontId="3"/>
  </si>
  <si>
    <t>バレンタイン</t>
    <phoneticPr fontId="3"/>
  </si>
  <si>
    <t>2016-02-12 15:00:00</t>
    <phoneticPr fontId="3"/>
  </si>
  <si>
    <t>子供前だしよう</t>
    <rPh sb="0" eb="2">
      <t>コドm</t>
    </rPh>
    <rPh sb="2" eb="5">
      <t>マ</t>
    </rPh>
    <phoneticPr fontId="3"/>
  </si>
  <si>
    <t>子供後出しよう</t>
    <rPh sb="0" eb="2">
      <t>コドm</t>
    </rPh>
    <rPh sb="2" eb="7">
      <t>アt</t>
    </rPh>
    <phoneticPr fontId="3"/>
  </si>
  <si>
    <t>2016-02-13 15:00:00</t>
    <phoneticPr fontId="3"/>
  </si>
  <si>
    <t>2970-01-01 09:00:00</t>
    <phoneticPr fontId="3"/>
  </si>
  <si>
    <t>2970-01-01 09:00:00</t>
    <phoneticPr fontId="3"/>
  </si>
  <si>
    <t>2016-02-13 14:59:59</t>
    <phoneticPr fontId="3"/>
  </si>
  <si>
    <t>200万DL/経験値２倍期間</t>
    <rPh sb="3" eb="4">
      <t>マン</t>
    </rPh>
    <rPh sb="7" eb="10">
      <t>ケイケンチ</t>
    </rPh>
    <rPh sb="11" eb="12">
      <t>バイ</t>
    </rPh>
    <rPh sb="12" eb="14">
      <t>キカン</t>
    </rPh>
    <phoneticPr fontId="3"/>
  </si>
  <si>
    <t>2016-02-22 15:00:00</t>
    <phoneticPr fontId="3"/>
  </si>
  <si>
    <t>2016-03-06 14:59:59</t>
    <phoneticPr fontId="3"/>
  </si>
  <si>
    <t>200万DL/リンク２倍期間</t>
    <rPh sb="3" eb="4">
      <t>マン</t>
    </rPh>
    <rPh sb="11" eb="12">
      <t>バイ</t>
    </rPh>
    <rPh sb="12" eb="14">
      <t>キカン</t>
    </rPh>
    <phoneticPr fontId="3"/>
  </si>
  <si>
    <t>2016-03-06 14:59:59</t>
    <phoneticPr fontId="3"/>
  </si>
  <si>
    <t>スタートダッシュキャンペーンクエスト</t>
    <phoneticPr fontId="3"/>
  </si>
  <si>
    <t>2016-02-29 15:00:00</t>
    <phoneticPr fontId="3"/>
  </si>
  <si>
    <t>２月始めの大成功アップ</t>
    <rPh sb="1" eb="2">
      <t>ガツ</t>
    </rPh>
    <rPh sb="2" eb="3">
      <t>ハジ</t>
    </rPh>
    <rPh sb="5" eb="8">
      <t>ダイセイコウ</t>
    </rPh>
    <phoneticPr fontId="3"/>
  </si>
  <si>
    <t>2016-03-02 00:00:00</t>
    <phoneticPr fontId="3"/>
  </si>
  <si>
    <t>2016-03-06 23:59:59</t>
    <phoneticPr fontId="3"/>
  </si>
  <si>
    <t>2016-04-03 14:59:59</t>
    <phoneticPr fontId="3"/>
  </si>
  <si>
    <t>2016-03-30 15:00:00</t>
    <phoneticPr fontId="3"/>
  </si>
  <si>
    <t>卒業の取得リンク2倍</t>
    <rPh sb="0" eb="2">
      <t>ソツギョウ</t>
    </rPh>
    <rPh sb="3" eb="5">
      <t>シュトク</t>
    </rPh>
    <rPh sb="9" eb="10">
      <t>バイ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</si>
</sst>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$&quot;#&quot;:$&quot;#"/>
  </numFmts>
  <fonts count="38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rgb="FF000000"/>
      <name val="ＭＳ Ｐゴシック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205"/>
      <name val="ＭＳ Ｐゴシック"/>
      <family val="2"/>
      <charset val="128"/>
    </font>
    <font>
      <sz val="9.6"/>
      <color theme="1"/>
      <name val="Arial"/>
    </font>
    <font>
      <sz val="9.6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Arial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31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635">
    <xf numFmtId="0" fontId="0" fillId="0" borderId="0"/>
    <xf numFmtId="38" fontId="2" fillId="0" borderId="0" applyFont="0" applyFill="0" applyBorder="0" applyAlignment="0" applyProtection="0">
      <alignment vertical="center"/>
    </xf>
    <xf numFmtId="0" fontId="2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/>
    <xf numFmtId="0" fontId="8" fillId="5" borderId="2" applyNumberFormat="0" applyAlignment="0" applyProtection="0"/>
    <xf numFmtId="0" fontId="10" fillId="6" borderId="0" applyNumberFormat="0" applyBorder="0" applyAlignment="0" applyProtection="0"/>
    <xf numFmtId="0" fontId="11" fillId="7" borderId="3" applyNumberFormat="0" applyAlignment="0" applyProtection="0"/>
    <xf numFmtId="0" fontId="12" fillId="0" borderId="0" applyNumberFormat="0" applyFill="0" applyBorder="0" applyAlignment="0" applyProtection="0"/>
    <xf numFmtId="0" fontId="13" fillId="8" borderId="0" applyNumberFormat="0" applyBorder="0" applyAlignment="0" applyProtection="0"/>
    <xf numFmtId="0" fontId="14" fillId="9" borderId="4" applyNumberFormat="0" applyAlignment="0" applyProtection="0"/>
    <xf numFmtId="0" fontId="15" fillId="0" borderId="0" applyNumberFormat="0" applyFill="0" applyBorder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0" applyNumberFormat="0" applyBorder="0" applyAlignment="0" applyProtection="0"/>
    <xf numFmtId="0" fontId="19" fillId="6" borderId="0" applyNumberFormat="0" applyBorder="0" applyAlignment="0" applyProtection="0"/>
    <xf numFmtId="0" fontId="19" fillId="10" borderId="0" applyNumberFormat="0" applyBorder="0" applyAlignment="0" applyProtection="0"/>
    <xf numFmtId="0" fontId="19" fillId="7" borderId="0" applyNumberFormat="0" applyBorder="0" applyAlignment="0" applyProtection="0"/>
    <xf numFmtId="0" fontId="19" fillId="11" borderId="0" applyNumberFormat="0" applyBorder="0" applyAlignment="0" applyProtection="0"/>
    <xf numFmtId="0" fontId="19" fillId="5" borderId="0" applyNumberFormat="0" applyBorder="0" applyAlignment="0" applyProtection="0"/>
    <xf numFmtId="0" fontId="19" fillId="7" borderId="0" applyNumberFormat="0" applyBorder="0" applyAlignment="0" applyProtection="0"/>
    <xf numFmtId="0" fontId="19" fillId="12" borderId="0" applyNumberFormat="0" applyBorder="0" applyAlignment="0" applyProtection="0"/>
    <xf numFmtId="0" fontId="19" fillId="10" borderId="0" applyNumberFormat="0" applyBorder="0" applyAlignment="0" applyProtection="0"/>
    <xf numFmtId="0" fontId="19" fillId="7" borderId="0" applyNumberFormat="0" applyBorder="0" applyAlignment="0" applyProtection="0"/>
    <xf numFmtId="0" fontId="19" fillId="13" borderId="0" applyNumberFormat="0" applyBorder="0" applyAlignment="0" applyProtection="0"/>
    <xf numFmtId="0" fontId="19" fillId="6" borderId="0" applyNumberFormat="0" applyBorder="0" applyAlignment="0" applyProtection="0"/>
    <xf numFmtId="0" fontId="20" fillId="14" borderId="0" applyNumberFormat="0" applyBorder="0" applyAlignment="0" applyProtection="0"/>
    <xf numFmtId="0" fontId="20" fillId="12" borderId="0" applyNumberFormat="0" applyBorder="0" applyAlignment="0" applyProtection="0"/>
    <xf numFmtId="0" fontId="20" fillId="10" borderId="0" applyNumberFormat="0" applyBorder="0" applyAlignment="0" applyProtection="0"/>
    <xf numFmtId="0" fontId="20" fillId="7" borderId="0" applyNumberFormat="0" applyBorder="0" applyAlignment="0" applyProtection="0"/>
    <xf numFmtId="0" fontId="20" fillId="14" borderId="0" applyNumberFormat="0" applyBorder="0" applyAlignment="0" applyProtection="0"/>
    <xf numFmtId="0" fontId="20" fillId="6" borderId="0" applyNumberFormat="0" applyBorder="0" applyAlignment="0" applyProtection="0"/>
    <xf numFmtId="0" fontId="12" fillId="0" borderId="0" applyNumberFormat="0" applyFill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0" borderId="0" applyNumberFormat="0" applyBorder="0" applyAlignment="0" applyProtection="0"/>
    <xf numFmtId="0" fontId="20" fillId="16" borderId="0" applyNumberFormat="0" applyBorder="0" applyAlignment="0" applyProtection="0"/>
    <xf numFmtId="0" fontId="20" fillId="14" borderId="0" applyNumberFormat="0" applyBorder="0" applyAlignment="0" applyProtection="0"/>
    <xf numFmtId="0" fontId="20" fillId="12" borderId="0" applyNumberFormat="0" applyBorder="0" applyAlignment="0" applyProtection="0"/>
    <xf numFmtId="0" fontId="21" fillId="17" borderId="0" applyNumberFormat="0" applyBorder="0" applyAlignment="0" applyProtection="0"/>
    <xf numFmtId="0" fontId="10" fillId="6" borderId="0" applyNumberFormat="0" applyBorder="0" applyAlignment="0" applyProtection="0"/>
    <xf numFmtId="0" fontId="9" fillId="0" borderId="0"/>
    <xf numFmtId="0" fontId="22" fillId="0" borderId="8" applyNumberFormat="0" applyFill="0" applyAlignment="0" applyProtection="0"/>
    <xf numFmtId="0" fontId="23" fillId="7" borderId="9" applyNumberFormat="0" applyAlignment="0" applyProtection="0"/>
    <xf numFmtId="0" fontId="23" fillId="18" borderId="9" applyNumberFormat="0" applyAlignment="0" applyProtection="0"/>
    <xf numFmtId="0" fontId="11" fillId="6" borderId="3" applyNumberFormat="0" applyAlignment="0" applyProtection="0"/>
    <xf numFmtId="0" fontId="24" fillId="0" borderId="10" applyNumberFormat="0" applyFill="0" applyAlignment="0" applyProtection="0"/>
    <xf numFmtId="0" fontId="25" fillId="18" borderId="3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11" applyNumberFormat="0" applyFill="0" applyAlignment="0" applyProtection="0"/>
    <xf numFmtId="0" fontId="28" fillId="19" borderId="0" applyNumberFormat="0" applyBorder="0" applyAlignment="0" applyProtection="0"/>
    <xf numFmtId="0" fontId="29" fillId="20" borderId="0" applyNumberFormat="0" applyBorder="0" applyAlignment="0" applyProtection="0"/>
    <xf numFmtId="0" fontId="1" fillId="0" borderId="0"/>
    <xf numFmtId="0" fontId="30" fillId="20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7" fillId="0" borderId="0">
      <alignment vertical="center"/>
    </xf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68">
    <xf numFmtId="0" fontId="0" fillId="0" borderId="0" xfId="0"/>
    <xf numFmtId="0" fontId="0" fillId="2" borderId="0" xfId="0" applyFont="1" applyFill="1"/>
    <xf numFmtId="176" fontId="0" fillId="2" borderId="0" xfId="0" applyNumberFormat="1" applyFont="1" applyFill="1"/>
    <xf numFmtId="0" fontId="5" fillId="0" borderId="0" xfId="0" applyFont="1" applyFill="1" applyBorder="1"/>
    <xf numFmtId="0" fontId="0" fillId="0" borderId="0" xfId="0" applyFont="1"/>
    <xf numFmtId="0" fontId="0" fillId="0" borderId="0" xfId="0" applyFont="1" applyFill="1"/>
    <xf numFmtId="0" fontId="0" fillId="0" borderId="0" xfId="0" applyAlignment="1">
      <alignment horizontal="center"/>
    </xf>
    <xf numFmtId="0" fontId="4" fillId="3" borderId="0" xfId="0" applyFont="1" applyFill="1" applyBorder="1" applyAlignment="1">
      <alignment horizontal="center"/>
    </xf>
    <xf numFmtId="0" fontId="0" fillId="3" borderId="0" xfId="0" applyFont="1" applyFill="1"/>
    <xf numFmtId="0" fontId="8" fillId="4" borderId="1" xfId="11" applyFont="1" applyFill="1" applyBorder="1" applyAlignment="1">
      <alignment horizontal="center" vertical="center"/>
    </xf>
    <xf numFmtId="0" fontId="9" fillId="4" borderId="1" xfId="11" applyFont="1" applyFill="1" applyBorder="1" applyAlignment="1">
      <alignment horizontal="center" vertical="center" wrapText="1"/>
    </xf>
    <xf numFmtId="0" fontId="8" fillId="0" borderId="0" xfId="11" applyFill="1" applyBorder="1" applyAlignment="1">
      <alignment horizontal="center" vertical="center"/>
    </xf>
    <xf numFmtId="0" fontId="8" fillId="0" borderId="0" xfId="11" applyAlignment="1">
      <alignment vertical="center"/>
    </xf>
    <xf numFmtId="0" fontId="8" fillId="0" borderId="1" xfId="11" applyBorder="1" applyAlignment="1">
      <alignment vertical="center"/>
    </xf>
    <xf numFmtId="0" fontId="8" fillId="0" borderId="0" xfId="11" applyFill="1" applyBorder="1" applyAlignment="1">
      <alignment vertical="center"/>
    </xf>
    <xf numFmtId="0" fontId="8" fillId="0" borderId="1" xfId="11" applyFill="1" applyBorder="1" applyAlignment="1">
      <alignment vertical="center"/>
    </xf>
    <xf numFmtId="0" fontId="8" fillId="0" borderId="0" xfId="11" applyBorder="1" applyAlignment="1">
      <alignment vertical="center"/>
    </xf>
    <xf numFmtId="0" fontId="0" fillId="3" borderId="12" xfId="0" applyFill="1" applyBorder="1" applyAlignment="1">
      <alignment horizontal="center"/>
    </xf>
    <xf numFmtId="0" fontId="0" fillId="0" borderId="12" xfId="0" applyBorder="1"/>
    <xf numFmtId="49" fontId="0" fillId="0" borderId="12" xfId="0" applyNumberFormat="1" applyBorder="1"/>
    <xf numFmtId="0" fontId="0" fillId="21" borderId="12" xfId="0" applyFill="1" applyBorder="1" applyAlignment="1">
      <alignment horizontal="center"/>
    </xf>
    <xf numFmtId="21" fontId="8" fillId="0" borderId="0" xfId="11" applyNumberFormat="1" applyAlignment="1">
      <alignment vertical="center"/>
    </xf>
    <xf numFmtId="21" fontId="8" fillId="0" borderId="1" xfId="11" quotePrefix="1" applyNumberFormat="1" applyFill="1" applyBorder="1" applyAlignment="1">
      <alignment vertical="center"/>
    </xf>
    <xf numFmtId="0" fontId="0" fillId="0" borderId="12" xfId="0" applyFill="1" applyBorder="1"/>
    <xf numFmtId="0" fontId="0" fillId="21" borderId="12" xfId="0" applyFill="1" applyBorder="1"/>
    <xf numFmtId="0" fontId="0" fillId="22" borderId="12" xfId="0" applyFill="1" applyBorder="1"/>
    <xf numFmtId="49" fontId="0" fillId="22" borderId="12" xfId="0" applyNumberFormat="1" applyFill="1" applyBorder="1"/>
    <xf numFmtId="0" fontId="0" fillId="23" borderId="12" xfId="0" applyFill="1" applyBorder="1"/>
    <xf numFmtId="0" fontId="0" fillId="24" borderId="12" xfId="0" applyFill="1" applyBorder="1"/>
    <xf numFmtId="49" fontId="0" fillId="24" borderId="12" xfId="0" applyNumberFormat="1" applyFill="1" applyBorder="1"/>
    <xf numFmtId="0" fontId="0" fillId="25" borderId="12" xfId="0" applyFill="1" applyBorder="1"/>
    <xf numFmtId="49" fontId="0" fillId="25" borderId="12" xfId="0" applyNumberFormat="1" applyFill="1" applyBorder="1"/>
    <xf numFmtId="49" fontId="0" fillId="0" borderId="12" xfId="0" applyNumberFormat="1" applyFill="1" applyBorder="1" applyAlignment="1">
      <alignment horizontal="left"/>
    </xf>
    <xf numFmtId="49" fontId="0" fillId="0" borderId="12" xfId="0" applyNumberFormat="1" applyFont="1" applyFill="1" applyBorder="1" applyAlignment="1">
      <alignment horizontal="left"/>
    </xf>
    <xf numFmtId="49" fontId="0" fillId="21" borderId="12" xfId="0" applyNumberFormat="1" applyFill="1" applyBorder="1" applyAlignment="1">
      <alignment horizontal="left"/>
    </xf>
    <xf numFmtId="49" fontId="0" fillId="21" borderId="12" xfId="0" applyNumberFormat="1" applyFont="1" applyFill="1" applyBorder="1" applyAlignment="1">
      <alignment horizontal="left"/>
    </xf>
    <xf numFmtId="49" fontId="0" fillId="0" borderId="12" xfId="0" applyNumberFormat="1" applyFill="1" applyBorder="1"/>
    <xf numFmtId="0" fontId="0" fillId="26" borderId="12" xfId="0" applyFill="1" applyBorder="1"/>
    <xf numFmtId="0" fontId="0" fillId="3" borderId="12" xfId="0" applyFill="1" applyBorder="1"/>
    <xf numFmtId="49" fontId="0" fillId="3" borderId="12" xfId="0" applyNumberFormat="1" applyFill="1" applyBorder="1" applyAlignment="1">
      <alignment horizontal="left"/>
    </xf>
    <xf numFmtId="49" fontId="0" fillId="26" borderId="12" xfId="0" applyNumberFormat="1" applyFill="1" applyBorder="1" applyAlignment="1">
      <alignment horizontal="left"/>
    </xf>
    <xf numFmtId="49" fontId="0" fillId="26" borderId="12" xfId="0" applyNumberFormat="1" applyFont="1" applyFill="1" applyBorder="1" applyAlignment="1">
      <alignment horizontal="left"/>
    </xf>
    <xf numFmtId="0" fontId="0" fillId="27" borderId="12" xfId="0" applyFill="1" applyBorder="1"/>
    <xf numFmtId="0" fontId="0" fillId="0" borderId="0" xfId="0" applyBorder="1"/>
    <xf numFmtId="49" fontId="0" fillId="0" borderId="0" xfId="0" applyNumberForma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0" fontId="0" fillId="0" borderId="13" xfId="0" applyFill="1" applyBorder="1"/>
    <xf numFmtId="49" fontId="0" fillId="0" borderId="14" xfId="0" applyNumberFormat="1" applyFill="1" applyBorder="1"/>
    <xf numFmtId="49" fontId="0" fillId="0" borderId="0" xfId="0" applyNumberFormat="1" applyFill="1" applyBorder="1"/>
    <xf numFmtId="0" fontId="0" fillId="28" borderId="12" xfId="0" applyFill="1" applyBorder="1"/>
    <xf numFmtId="49" fontId="0" fillId="21" borderId="12" xfId="0" applyNumberFormat="1" applyFill="1" applyBorder="1"/>
    <xf numFmtId="49" fontId="0" fillId="26" borderId="12" xfId="0" applyNumberFormat="1" applyFill="1" applyBorder="1"/>
    <xf numFmtId="49" fontId="0" fillId="3" borderId="12" xfId="0" applyNumberFormat="1" applyFill="1" applyBorder="1"/>
    <xf numFmtId="0" fontId="0" fillId="29" borderId="12" xfId="0" applyFill="1" applyBorder="1"/>
    <xf numFmtId="49" fontId="0" fillId="30" borderId="12" xfId="0" applyNumberFormat="1" applyFill="1" applyBorder="1"/>
    <xf numFmtId="0" fontId="0" fillId="30" borderId="12" xfId="0" applyFill="1" applyBorder="1"/>
    <xf numFmtId="0" fontId="33" fillId="0" borderId="0" xfId="0" applyFont="1"/>
    <xf numFmtId="0" fontId="34" fillId="0" borderId="0" xfId="0" applyFont="1"/>
    <xf numFmtId="49" fontId="0" fillId="24" borderId="12" xfId="0" applyNumberFormat="1" applyFill="1" applyBorder="1" applyAlignment="1">
      <alignment horizontal="left"/>
    </xf>
    <xf numFmtId="0" fontId="33" fillId="24" borderId="0" xfId="0" applyFont="1" applyFill="1"/>
    <xf numFmtId="0" fontId="34" fillId="24" borderId="0" xfId="0" applyFont="1" applyFill="1"/>
    <xf numFmtId="0" fontId="36" fillId="31" borderId="12" xfId="0" applyFont="1" applyFill="1" applyBorder="1"/>
    <xf numFmtId="0" fontId="0" fillId="31" borderId="12" xfId="0" applyFill="1" applyBorder="1"/>
    <xf numFmtId="49" fontId="0" fillId="23" borderId="12" xfId="0" applyNumberFormat="1" applyFill="1" applyBorder="1"/>
    <xf numFmtId="0" fontId="0" fillId="26" borderId="15" xfId="0" applyFill="1" applyBorder="1"/>
    <xf numFmtId="0" fontId="0" fillId="0" borderId="15" xfId="0" applyFill="1" applyBorder="1"/>
    <xf numFmtId="49" fontId="0" fillId="26" borderId="12" xfId="0" quotePrefix="1" applyNumberFormat="1" applyFill="1" applyBorder="1" applyAlignment="1">
      <alignment horizontal="left"/>
    </xf>
    <xf numFmtId="49" fontId="0" fillId="26" borderId="12" xfId="0" quotePrefix="1" applyNumberFormat="1" applyFont="1" applyFill="1" applyBorder="1" applyAlignment="1">
      <alignment horizontal="left"/>
    </xf>
  </cellXfs>
  <cellStyles count="635">
    <cellStyle name="20% - ANZg1" xfId="23"/>
    <cellStyle name="20% - ANZg2" xfId="24"/>
    <cellStyle name="20% - ANZg3" xfId="25"/>
    <cellStyle name="20% - ANZg4" xfId="26"/>
    <cellStyle name="20% - ANZg5" xfId="27"/>
    <cellStyle name="20% - ANZg6" xfId="28"/>
    <cellStyle name="40% - ANZg1" xfId="29"/>
    <cellStyle name="40% - ANZg2" xfId="30"/>
    <cellStyle name="40% - ANZg3" xfId="31"/>
    <cellStyle name="40% - ANZg4" xfId="32"/>
    <cellStyle name="40% - ANZg5" xfId="33"/>
    <cellStyle name="40% - ANZg6" xfId="34"/>
    <cellStyle name="60% - ANZg1" xfId="35"/>
    <cellStyle name="60% - ANZg2" xfId="36"/>
    <cellStyle name="60% - ANZg3" xfId="37"/>
    <cellStyle name="60% - ANZg4" xfId="38"/>
    <cellStyle name="60% - ANZg5" xfId="39"/>
    <cellStyle name="60% - ANZg6" xfId="40"/>
    <cellStyle name="Excel Built-in Normal" xfId="50"/>
    <cellStyle name="^Cg" xfId="18"/>
    <cellStyle name="`FbN Z" xfId="17"/>
    <cellStyle name="ANZg 1" xfId="42"/>
    <cellStyle name="ANZg 2" xfId="43"/>
    <cellStyle name="ANZg 3" xfId="44"/>
    <cellStyle name="ANZg 4" xfId="45"/>
    <cellStyle name="ANZg 5" xfId="46"/>
    <cellStyle name="ANZg 6" xfId="47"/>
    <cellStyle name="" xfId="12"/>
    <cellStyle name="N Z" xfId="51"/>
    <cellStyle name="_" xfId="13"/>
    <cellStyle name="«¢" xfId="16"/>
    <cellStyle name="vZ" xfId="56"/>
    <cellStyle name="x÷" xfId="58"/>
    <cellStyle name="x¶" xfId="57"/>
    <cellStyle name="ýo_ 1" xfId="59"/>
    <cellStyle name="©oµ 1" xfId="19"/>
    <cellStyle name="©oµ 2" xfId="20"/>
    <cellStyle name="©oµ 3" xfId="21"/>
    <cellStyle name="©oµ 4" xfId="22"/>
    <cellStyle name="v" xfId="55"/>
    <cellStyle name="o_" xfId="52"/>
    <cellStyle name="oÍ" xfId="53"/>
    <cellStyle name="__÷" xfId="15"/>
    <cellStyle name="à¾¶" xfId="41"/>
    <cellStyle name="__" xfId="14"/>
    <cellStyle name="üÍ" xfId="54"/>
    <cellStyle name="Ê" xfId="49"/>
    <cellStyle name="Ç¢" xfId="48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桁区切り 2" xfId="1"/>
    <cellStyle name="標準" xfId="0" builtinId="0"/>
    <cellStyle name="標準 2" xfId="2"/>
    <cellStyle name="標準 2 2" xfId="500"/>
    <cellStyle name="標準 3" xfId="11"/>
    <cellStyle name="標準 4" xfId="62"/>
    <cellStyle name="無題1" xfId="63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赤字強調" xfId="61"/>
    <cellStyle name="青字強調" xfId="6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2"/>
  <sheetViews>
    <sheetView workbookViewId="0">
      <selection activeCell="A3" sqref="A3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9" x14ac:dyDescent="0.15">
      <c r="A1" s="61" t="s">
        <v>358</v>
      </c>
      <c r="B1" s="61" t="s">
        <v>359</v>
      </c>
      <c r="C1" s="61" t="s">
        <v>360</v>
      </c>
      <c r="D1" s="61" t="s">
        <v>361</v>
      </c>
      <c r="E1" s="61" t="s">
        <v>362</v>
      </c>
      <c r="F1" s="61" t="s">
        <v>363</v>
      </c>
      <c r="G1" s="61" t="s">
        <v>364</v>
      </c>
      <c r="H1" s="61"/>
      <c r="I1" s="61"/>
    </row>
    <row r="2" spans="1:9" x14ac:dyDescent="0.15">
      <c r="A2" s="18" t="s">
        <v>367</v>
      </c>
      <c r="B2" s="18" t="s">
        <v>366</v>
      </c>
      <c r="C2" s="18"/>
      <c r="D2" s="18" t="s">
        <v>365</v>
      </c>
      <c r="E2" s="62" t="str">
        <f>B2&amp;C2&amp;D2</f>
        <v>periods.csv</v>
      </c>
      <c r="F2" s="18" t="s">
        <v>366</v>
      </c>
      <c r="G2" s="7" t="s">
        <v>0</v>
      </c>
      <c r="H2" s="7" t="s">
        <v>1</v>
      </c>
      <c r="I2" s="7" t="s">
        <v>2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008000"/>
  </sheetPr>
  <dimension ref="A1:H8"/>
  <sheetViews>
    <sheetView showGridLines="0" workbookViewId="0">
      <selection activeCell="E32" sqref="E32"/>
    </sheetView>
  </sheetViews>
  <sheetFormatPr baseColWidth="12" defaultRowHeight="21" customHeight="1" x14ac:dyDescent="0.15"/>
  <cols>
    <col min="1" max="1" width="7.33203125" style="12" customWidth="1"/>
    <col min="2" max="2" width="6.6640625" style="12" customWidth="1"/>
    <col min="3" max="3" width="4" style="12" customWidth="1"/>
    <col min="4" max="4" width="12.83203125" style="12"/>
    <col min="5" max="5" width="9" style="12" customWidth="1"/>
    <col min="6" max="6" width="8.5" style="12" customWidth="1"/>
    <col min="7" max="16384" width="12.83203125" style="12"/>
  </cols>
  <sheetData>
    <row r="1" spans="1:8" ht="21" customHeight="1" x14ac:dyDescent="0.15">
      <c r="A1" s="10" t="s">
        <v>7</v>
      </c>
      <c r="B1" s="9" t="s">
        <v>8</v>
      </c>
      <c r="C1" s="11"/>
      <c r="D1" s="9" t="s">
        <v>9</v>
      </c>
      <c r="E1" s="10" t="s">
        <v>10</v>
      </c>
      <c r="F1" s="10" t="s">
        <v>11</v>
      </c>
    </row>
    <row r="2" spans="1:8" ht="21" customHeight="1" x14ac:dyDescent="0.15">
      <c r="A2" s="13">
        <v>1</v>
      </c>
      <c r="B2" s="13" t="s">
        <v>12</v>
      </c>
      <c r="C2" s="14"/>
      <c r="D2" s="15" t="s">
        <v>13</v>
      </c>
      <c r="E2" s="22" t="s">
        <v>21</v>
      </c>
      <c r="F2" s="22" t="s">
        <v>22</v>
      </c>
      <c r="H2" s="21">
        <f>F2-E2</f>
        <v>0.33332175925925933</v>
      </c>
    </row>
    <row r="3" spans="1:8" ht="21" customHeight="1" x14ac:dyDescent="0.15">
      <c r="A3" s="13">
        <v>2</v>
      </c>
      <c r="B3" s="13" t="s">
        <v>14</v>
      </c>
      <c r="C3" s="14"/>
      <c r="D3" s="15" t="s">
        <v>15</v>
      </c>
      <c r="E3" s="22" t="s">
        <v>23</v>
      </c>
      <c r="F3" s="22" t="s">
        <v>24</v>
      </c>
      <c r="H3" s="21">
        <f>F3-E3</f>
        <v>0.33332175925925922</v>
      </c>
    </row>
    <row r="4" spans="1:8" ht="21" customHeight="1" x14ac:dyDescent="0.15">
      <c r="A4" s="13">
        <v>3</v>
      </c>
      <c r="B4" s="13" t="s">
        <v>16</v>
      </c>
      <c r="C4" s="14"/>
      <c r="D4" s="14"/>
      <c r="E4" s="14"/>
      <c r="F4" s="14"/>
    </row>
    <row r="5" spans="1:8" ht="21" customHeight="1" x14ac:dyDescent="0.15">
      <c r="A5" s="13">
        <v>4</v>
      </c>
      <c r="B5" s="13" t="s">
        <v>17</v>
      </c>
      <c r="C5" s="16"/>
      <c r="D5" s="16"/>
      <c r="E5" s="16"/>
      <c r="F5" s="16"/>
    </row>
    <row r="6" spans="1:8" ht="21" customHeight="1" x14ac:dyDescent="0.15">
      <c r="A6" s="13">
        <v>5</v>
      </c>
      <c r="B6" s="13" t="s">
        <v>18</v>
      </c>
      <c r="C6" s="16"/>
      <c r="D6" s="16"/>
      <c r="E6" s="16"/>
      <c r="F6" s="16"/>
    </row>
    <row r="7" spans="1:8" ht="21" customHeight="1" x14ac:dyDescent="0.15">
      <c r="A7" s="13">
        <v>6</v>
      </c>
      <c r="B7" s="13" t="s">
        <v>19</v>
      </c>
      <c r="C7" s="16"/>
      <c r="D7" s="16"/>
      <c r="E7" s="16"/>
      <c r="F7" s="16"/>
    </row>
    <row r="8" spans="1:8" ht="21" customHeight="1" x14ac:dyDescent="0.15">
      <c r="A8" s="13">
        <v>0</v>
      </c>
      <c r="B8" s="13" t="s">
        <v>20</v>
      </c>
      <c r="C8" s="16"/>
      <c r="D8" s="16"/>
      <c r="E8" s="16"/>
      <c r="F8" s="16"/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9" tint="0.79998168889431442"/>
  </sheetPr>
  <dimension ref="A1:G221"/>
  <sheetViews>
    <sheetView tabSelected="1" workbookViewId="0">
      <pane ySplit="1" topLeftCell="A194" activePane="bottomLeft" state="frozen"/>
      <selection pane="bottomLeft" activeCell="H206" sqref="H206"/>
    </sheetView>
  </sheetViews>
  <sheetFormatPr baseColWidth="12" defaultRowHeight="15" x14ac:dyDescent="0.15"/>
  <cols>
    <col min="2" max="2" width="20.5" bestFit="1" customWidth="1"/>
    <col min="3" max="3" width="19" customWidth="1"/>
    <col min="4" max="4" width="40.1640625" customWidth="1"/>
  </cols>
  <sheetData>
    <row r="1" spans="1:6" s="6" customFormat="1" x14ac:dyDescent="0.15">
      <c r="A1" s="17" t="s">
        <v>0</v>
      </c>
      <c r="B1" s="17" t="s">
        <v>1</v>
      </c>
      <c r="C1" s="17" t="s">
        <v>2</v>
      </c>
      <c r="D1" s="20" t="s">
        <v>6</v>
      </c>
    </row>
    <row r="2" spans="1:6" x14ac:dyDescent="0.15">
      <c r="A2" s="28">
        <v>0</v>
      </c>
      <c r="B2" s="29" t="s">
        <v>92</v>
      </c>
      <c r="C2" s="29" t="s">
        <v>597</v>
      </c>
      <c r="D2" s="28" t="s">
        <v>89</v>
      </c>
    </row>
    <row r="3" spans="1:6" x14ac:dyDescent="0.15">
      <c r="A3" s="18">
        <v>5010</v>
      </c>
      <c r="B3" s="19" t="s">
        <v>85</v>
      </c>
      <c r="C3" s="19" t="s">
        <v>125</v>
      </c>
      <c r="D3" s="23" t="s">
        <v>87</v>
      </c>
    </row>
    <row r="4" spans="1:6" x14ac:dyDescent="0.15">
      <c r="A4" s="30">
        <v>5011</v>
      </c>
      <c r="B4" s="31" t="s">
        <v>90</v>
      </c>
      <c r="C4" s="31" t="s">
        <v>91</v>
      </c>
      <c r="D4" s="30" t="s">
        <v>86</v>
      </c>
    </row>
    <row r="5" spans="1:6" x14ac:dyDescent="0.15">
      <c r="A5" s="18">
        <v>5020</v>
      </c>
      <c r="B5" s="19" t="s">
        <v>124</v>
      </c>
      <c r="C5" s="19" t="s">
        <v>128</v>
      </c>
      <c r="D5" s="23" t="s">
        <v>88</v>
      </c>
    </row>
    <row r="6" spans="1:6" x14ac:dyDescent="0.15">
      <c r="A6" s="37">
        <v>5021</v>
      </c>
      <c r="B6" s="19" t="s">
        <v>122</v>
      </c>
      <c r="C6" s="19" t="s">
        <v>123</v>
      </c>
      <c r="D6" s="23" t="s">
        <v>121</v>
      </c>
    </row>
    <row r="7" spans="1:6" x14ac:dyDescent="0.15">
      <c r="A7" s="27">
        <v>5022</v>
      </c>
      <c r="B7" s="19" t="s">
        <v>126</v>
      </c>
      <c r="C7" s="19" t="s">
        <v>133</v>
      </c>
      <c r="D7" s="23" t="s">
        <v>129</v>
      </c>
    </row>
    <row r="8" spans="1:6" x14ac:dyDescent="0.15">
      <c r="A8" s="27">
        <v>5023</v>
      </c>
      <c r="B8" s="19" t="s">
        <v>134</v>
      </c>
      <c r="C8" s="19" t="s">
        <v>153</v>
      </c>
      <c r="D8" s="23" t="s">
        <v>132</v>
      </c>
    </row>
    <row r="9" spans="1:6" x14ac:dyDescent="0.15">
      <c r="A9" s="27">
        <v>5024</v>
      </c>
      <c r="B9" s="19" t="s">
        <v>152</v>
      </c>
      <c r="C9" s="19" t="s">
        <v>113</v>
      </c>
      <c r="D9" s="23" t="s">
        <v>170</v>
      </c>
    </row>
    <row r="10" spans="1:6" x14ac:dyDescent="0.15">
      <c r="A10" s="27">
        <v>5025</v>
      </c>
      <c r="B10" s="19" t="s">
        <v>135</v>
      </c>
      <c r="C10" s="19" t="s">
        <v>136</v>
      </c>
      <c r="D10" s="23" t="s">
        <v>171</v>
      </c>
    </row>
    <row r="11" spans="1:6" x14ac:dyDescent="0.15">
      <c r="A11" s="27">
        <v>5026</v>
      </c>
      <c r="B11" s="19" t="s">
        <v>127</v>
      </c>
      <c r="C11" s="19" t="s">
        <v>181</v>
      </c>
      <c r="D11" s="23" t="s">
        <v>172</v>
      </c>
    </row>
    <row r="12" spans="1:6" x14ac:dyDescent="0.15">
      <c r="A12" s="27">
        <v>5027</v>
      </c>
      <c r="B12" s="19" t="s">
        <v>198</v>
      </c>
      <c r="C12" s="19" t="s">
        <v>195</v>
      </c>
      <c r="D12" s="23" t="s">
        <v>131</v>
      </c>
    </row>
    <row r="13" spans="1:6" x14ac:dyDescent="0.15">
      <c r="A13" s="42">
        <v>5033</v>
      </c>
      <c r="B13" s="19" t="s">
        <v>193</v>
      </c>
      <c r="C13" s="19" t="s">
        <v>192</v>
      </c>
      <c r="D13" s="23" t="s">
        <v>130</v>
      </c>
    </row>
    <row r="14" spans="1:6" x14ac:dyDescent="0.15">
      <c r="A14" s="27">
        <v>5028</v>
      </c>
      <c r="B14" s="19" t="s">
        <v>106</v>
      </c>
      <c r="C14" s="19" t="s">
        <v>194</v>
      </c>
      <c r="D14" s="46" t="s">
        <v>184</v>
      </c>
      <c r="E14" s="47"/>
      <c r="F14" s="48"/>
    </row>
    <row r="15" spans="1:6" x14ac:dyDescent="0.15">
      <c r="A15" s="27">
        <v>5029</v>
      </c>
      <c r="B15" s="19" t="s">
        <v>197</v>
      </c>
      <c r="C15" s="19" t="s">
        <v>183</v>
      </c>
      <c r="D15" s="23" t="s">
        <v>200</v>
      </c>
    </row>
    <row r="16" spans="1:6" x14ac:dyDescent="0.15">
      <c r="A16" s="27">
        <v>5030</v>
      </c>
      <c r="B16" s="19" t="s">
        <v>176</v>
      </c>
      <c r="C16" s="19" t="s">
        <v>190</v>
      </c>
      <c r="D16" s="23" t="s">
        <v>173</v>
      </c>
    </row>
    <row r="17" spans="1:4" x14ac:dyDescent="0.15">
      <c r="A17" s="27">
        <v>5031</v>
      </c>
      <c r="B17" s="19" t="s">
        <v>179</v>
      </c>
      <c r="C17" s="19" t="s">
        <v>180</v>
      </c>
      <c r="D17" s="23" t="s">
        <v>174</v>
      </c>
    </row>
    <row r="18" spans="1:4" x14ac:dyDescent="0.15">
      <c r="A18" s="27">
        <v>5032</v>
      </c>
      <c r="B18" s="19" t="s">
        <v>178</v>
      </c>
      <c r="C18" s="19" t="s">
        <v>177</v>
      </c>
      <c r="D18" s="23" t="s">
        <v>175</v>
      </c>
    </row>
    <row r="19" spans="1:4" x14ac:dyDescent="0.15">
      <c r="A19" s="27">
        <v>5034</v>
      </c>
      <c r="B19" s="19" t="s">
        <v>196</v>
      </c>
      <c r="C19" s="19" t="s">
        <v>213</v>
      </c>
      <c r="D19" s="23" t="s">
        <v>199</v>
      </c>
    </row>
    <row r="20" spans="1:4" x14ac:dyDescent="0.15">
      <c r="A20" s="27">
        <v>5035</v>
      </c>
      <c r="B20" s="19" t="s">
        <v>206</v>
      </c>
      <c r="C20" s="19" t="s">
        <v>246</v>
      </c>
      <c r="D20" s="23" t="s">
        <v>231</v>
      </c>
    </row>
    <row r="21" spans="1:4" x14ac:dyDescent="0.15">
      <c r="A21" s="27">
        <v>5036</v>
      </c>
      <c r="B21" s="19" t="s">
        <v>211</v>
      </c>
      <c r="C21" s="19" t="s">
        <v>243</v>
      </c>
      <c r="D21" s="23" t="s">
        <v>214</v>
      </c>
    </row>
    <row r="22" spans="1:4" x14ac:dyDescent="0.15">
      <c r="A22" s="27">
        <v>5037</v>
      </c>
      <c r="B22" s="19" t="s">
        <v>241</v>
      </c>
      <c r="C22" s="19" t="s">
        <v>242</v>
      </c>
      <c r="D22" s="23" t="s">
        <v>215</v>
      </c>
    </row>
    <row r="23" spans="1:4" x14ac:dyDescent="0.15">
      <c r="A23" s="27">
        <v>5038</v>
      </c>
      <c r="B23" s="19" t="s">
        <v>240</v>
      </c>
      <c r="C23" s="19" t="s">
        <v>239</v>
      </c>
      <c r="D23" s="23" t="s">
        <v>216</v>
      </c>
    </row>
    <row r="24" spans="1:4" x14ac:dyDescent="0.15">
      <c r="A24" s="49">
        <v>5039</v>
      </c>
      <c r="B24" s="19" t="s">
        <v>245</v>
      </c>
      <c r="C24" s="19" t="s">
        <v>253</v>
      </c>
      <c r="D24" s="23" t="s">
        <v>252</v>
      </c>
    </row>
    <row r="25" spans="1:4" x14ac:dyDescent="0.15">
      <c r="A25" s="27">
        <v>5040</v>
      </c>
      <c r="B25" s="19" t="s">
        <v>217</v>
      </c>
      <c r="C25" s="19" t="s">
        <v>261</v>
      </c>
      <c r="D25" s="23" t="s">
        <v>207</v>
      </c>
    </row>
    <row r="26" spans="1:4" x14ac:dyDescent="0.15">
      <c r="A26" s="27">
        <v>5041</v>
      </c>
      <c r="B26" s="19" t="s">
        <v>219</v>
      </c>
      <c r="C26" s="19" t="s">
        <v>260</v>
      </c>
      <c r="D26" s="23" t="s">
        <v>208</v>
      </c>
    </row>
    <row r="27" spans="1:4" x14ac:dyDescent="0.15">
      <c r="A27" s="27">
        <v>5042</v>
      </c>
      <c r="B27" s="19" t="s">
        <v>259</v>
      </c>
      <c r="C27" s="19" t="s">
        <v>258</v>
      </c>
      <c r="D27" s="23" t="s">
        <v>209</v>
      </c>
    </row>
    <row r="28" spans="1:4" x14ac:dyDescent="0.15">
      <c r="A28" s="27">
        <v>5043</v>
      </c>
      <c r="B28" s="54" t="s">
        <v>218</v>
      </c>
      <c r="C28" s="54" t="s">
        <v>212</v>
      </c>
      <c r="D28" s="55" t="s">
        <v>210</v>
      </c>
    </row>
    <row r="29" spans="1:4" x14ac:dyDescent="0.15">
      <c r="A29" s="27">
        <v>5044</v>
      </c>
      <c r="B29" s="54" t="s">
        <v>238</v>
      </c>
      <c r="C29" s="54" t="s">
        <v>236</v>
      </c>
      <c r="D29" s="55" t="s">
        <v>232</v>
      </c>
    </row>
    <row r="30" spans="1:4" x14ac:dyDescent="0.15">
      <c r="A30" s="27">
        <v>5045</v>
      </c>
      <c r="B30" s="54" t="s">
        <v>237</v>
      </c>
      <c r="C30" s="54" t="s">
        <v>235</v>
      </c>
      <c r="D30" s="55" t="s">
        <v>233</v>
      </c>
    </row>
    <row r="31" spans="1:4" x14ac:dyDescent="0.15">
      <c r="A31" s="27">
        <v>5046</v>
      </c>
      <c r="B31" s="19" t="s">
        <v>244</v>
      </c>
      <c r="C31" s="19" t="s">
        <v>220</v>
      </c>
      <c r="D31" s="23" t="s">
        <v>234</v>
      </c>
    </row>
    <row r="32" spans="1:4" x14ac:dyDescent="0.15">
      <c r="A32" s="49">
        <v>5047</v>
      </c>
      <c r="B32" s="19" t="s">
        <v>254</v>
      </c>
      <c r="C32" s="19" t="s">
        <v>255</v>
      </c>
      <c r="D32" s="23" t="s">
        <v>247</v>
      </c>
    </row>
    <row r="33" spans="1:4" x14ac:dyDescent="0.15">
      <c r="A33" s="49">
        <v>5048</v>
      </c>
      <c r="B33" s="19" t="s">
        <v>256</v>
      </c>
      <c r="C33" s="19" t="s">
        <v>257</v>
      </c>
      <c r="D33" s="23" t="s">
        <v>248</v>
      </c>
    </row>
    <row r="34" spans="1:4" x14ac:dyDescent="0.15">
      <c r="A34" s="49">
        <v>5049</v>
      </c>
      <c r="B34" s="54" t="s">
        <v>262</v>
      </c>
      <c r="C34" s="54" t="s">
        <v>263</v>
      </c>
      <c r="D34" s="55" t="s">
        <v>249</v>
      </c>
    </row>
    <row r="35" spans="1:4" x14ac:dyDescent="0.15">
      <c r="A35" s="49">
        <v>5050</v>
      </c>
      <c r="B35" s="54" t="s">
        <v>267</v>
      </c>
      <c r="C35" s="54" t="s">
        <v>266</v>
      </c>
      <c r="D35" s="55" t="s">
        <v>250</v>
      </c>
    </row>
    <row r="36" spans="1:4" x14ac:dyDescent="0.15">
      <c r="A36" s="49">
        <v>5051</v>
      </c>
      <c r="B36" s="54" t="s">
        <v>265</v>
      </c>
      <c r="C36" s="54" t="s">
        <v>264</v>
      </c>
      <c r="D36" s="55" t="s">
        <v>251</v>
      </c>
    </row>
    <row r="37" spans="1:4" x14ac:dyDescent="0.15">
      <c r="A37" s="53">
        <v>5052</v>
      </c>
      <c r="B37" s="19" t="s">
        <v>303</v>
      </c>
      <c r="C37" s="19" t="s">
        <v>304</v>
      </c>
      <c r="D37" s="23" t="s">
        <v>300</v>
      </c>
    </row>
    <row r="38" spans="1:4" x14ac:dyDescent="0.15">
      <c r="A38" s="53">
        <v>5053</v>
      </c>
      <c r="B38" s="19" t="s">
        <v>305</v>
      </c>
      <c r="C38" s="19" t="s">
        <v>306</v>
      </c>
      <c r="D38" s="23" t="s">
        <v>301</v>
      </c>
    </row>
    <row r="39" spans="1:4" x14ac:dyDescent="0.15">
      <c r="A39" s="53">
        <v>5054</v>
      </c>
      <c r="B39" s="19" t="s">
        <v>307</v>
      </c>
      <c r="C39" s="19" t="s">
        <v>308</v>
      </c>
      <c r="D39" s="23" t="s">
        <v>302</v>
      </c>
    </row>
    <row r="40" spans="1:4" x14ac:dyDescent="0.15">
      <c r="A40" s="53">
        <v>5055</v>
      </c>
      <c r="B40" s="54" t="s">
        <v>309</v>
      </c>
      <c r="C40" s="54" t="s">
        <v>311</v>
      </c>
      <c r="D40" s="55" t="s">
        <v>315</v>
      </c>
    </row>
    <row r="41" spans="1:4" x14ac:dyDescent="0.15">
      <c r="A41" s="53">
        <v>5056</v>
      </c>
      <c r="B41" s="54" t="s">
        <v>312</v>
      </c>
      <c r="C41" s="54" t="s">
        <v>310</v>
      </c>
      <c r="D41" s="55" t="s">
        <v>316</v>
      </c>
    </row>
    <row r="42" spans="1:4" x14ac:dyDescent="0.15">
      <c r="A42" s="53">
        <v>5057</v>
      </c>
      <c r="B42" s="54" t="s">
        <v>313</v>
      </c>
      <c r="C42" s="54" t="s">
        <v>314</v>
      </c>
      <c r="D42" s="55" t="s">
        <v>317</v>
      </c>
    </row>
    <row r="43" spans="1:4" x14ac:dyDescent="0.15">
      <c r="A43" s="53">
        <v>5058</v>
      </c>
      <c r="B43" s="19" t="s">
        <v>322</v>
      </c>
      <c r="C43" s="19" t="s">
        <v>350</v>
      </c>
      <c r="D43" s="23" t="s">
        <v>346</v>
      </c>
    </row>
    <row r="44" spans="1:4" x14ac:dyDescent="0.15">
      <c r="A44" s="25">
        <v>5059</v>
      </c>
      <c r="B44" s="26" t="s">
        <v>324</v>
      </c>
      <c r="C44" s="26" t="s">
        <v>323</v>
      </c>
      <c r="D44" s="25" t="s">
        <v>325</v>
      </c>
    </row>
    <row r="45" spans="1:4" x14ac:dyDescent="0.15">
      <c r="A45" s="53">
        <v>5060</v>
      </c>
      <c r="B45" s="54" t="s">
        <v>327</v>
      </c>
      <c r="C45" s="54" t="s">
        <v>351</v>
      </c>
      <c r="D45" s="55" t="s">
        <v>347</v>
      </c>
    </row>
    <row r="46" spans="1:4" x14ac:dyDescent="0.15">
      <c r="A46" s="25">
        <v>5061</v>
      </c>
      <c r="B46" s="26" t="s">
        <v>328</v>
      </c>
      <c r="C46" s="26" t="s">
        <v>329</v>
      </c>
      <c r="D46" s="25" t="s">
        <v>326</v>
      </c>
    </row>
    <row r="47" spans="1:4" x14ac:dyDescent="0.15">
      <c r="A47" s="53">
        <v>5062</v>
      </c>
      <c r="B47" s="19" t="s">
        <v>342</v>
      </c>
      <c r="C47" s="19" t="s">
        <v>352</v>
      </c>
      <c r="D47" s="23" t="s">
        <v>348</v>
      </c>
    </row>
    <row r="48" spans="1:4" x14ac:dyDescent="0.15">
      <c r="A48" s="25">
        <v>5063</v>
      </c>
      <c r="B48" s="26" t="s">
        <v>343</v>
      </c>
      <c r="C48" s="26" t="s">
        <v>344</v>
      </c>
      <c r="D48" s="25" t="s">
        <v>341</v>
      </c>
    </row>
    <row r="49" spans="1:4" x14ac:dyDescent="0.15">
      <c r="A49" s="53">
        <v>5064</v>
      </c>
      <c r="B49" s="54" t="s">
        <v>345</v>
      </c>
      <c r="C49" s="54" t="s">
        <v>430</v>
      </c>
      <c r="D49" s="23" t="s">
        <v>349</v>
      </c>
    </row>
    <row r="50" spans="1:4" x14ac:dyDescent="0.15">
      <c r="A50" s="27">
        <v>5065</v>
      </c>
      <c r="B50" s="63" t="s">
        <v>371</v>
      </c>
      <c r="C50" s="63" t="s">
        <v>370</v>
      </c>
      <c r="D50" s="27" t="s">
        <v>369</v>
      </c>
    </row>
    <row r="51" spans="1:4" x14ac:dyDescent="0.15">
      <c r="A51" s="27">
        <v>5066</v>
      </c>
      <c r="B51" s="63" t="s">
        <v>382</v>
      </c>
      <c r="C51" s="63" t="s">
        <v>383</v>
      </c>
      <c r="D51" s="27" t="s">
        <v>384</v>
      </c>
    </row>
    <row r="52" spans="1:4" x14ac:dyDescent="0.15">
      <c r="A52" s="27">
        <v>5067</v>
      </c>
      <c r="B52" s="63" t="s">
        <v>431</v>
      </c>
      <c r="C52" s="63" t="s">
        <v>429</v>
      </c>
      <c r="D52" s="27" t="s">
        <v>413</v>
      </c>
    </row>
    <row r="53" spans="1:4" x14ac:dyDescent="0.15">
      <c r="A53" s="27">
        <v>5068</v>
      </c>
      <c r="B53" s="63" t="s">
        <v>473</v>
      </c>
      <c r="C53" s="63" t="s">
        <v>474</v>
      </c>
      <c r="D53" s="27" t="s">
        <v>414</v>
      </c>
    </row>
    <row r="54" spans="1:4" x14ac:dyDescent="0.15">
      <c r="A54" s="27">
        <v>5069</v>
      </c>
      <c r="B54" s="63" t="s">
        <v>449</v>
      </c>
      <c r="C54" s="63" t="s">
        <v>452</v>
      </c>
      <c r="D54" s="27" t="s">
        <v>447</v>
      </c>
    </row>
    <row r="55" spans="1:4" x14ac:dyDescent="0.15">
      <c r="A55" s="27">
        <v>5070</v>
      </c>
      <c r="B55" s="63" t="s">
        <v>450</v>
      </c>
      <c r="C55" s="63" t="s">
        <v>451</v>
      </c>
      <c r="D55" s="27" t="s">
        <v>448</v>
      </c>
    </row>
    <row r="56" spans="1:4" x14ac:dyDescent="0.15">
      <c r="A56" s="27">
        <v>5071</v>
      </c>
      <c r="B56" s="63" t="s">
        <v>463</v>
      </c>
      <c r="C56" s="63" t="s">
        <v>464</v>
      </c>
      <c r="D56" s="27" t="s">
        <v>465</v>
      </c>
    </row>
    <row r="57" spans="1:4" x14ac:dyDescent="0.15">
      <c r="A57" s="27">
        <v>5072</v>
      </c>
      <c r="B57" s="63" t="s">
        <v>497</v>
      </c>
      <c r="C57" s="63" t="s">
        <v>529</v>
      </c>
      <c r="D57" s="27" t="s">
        <v>498</v>
      </c>
    </row>
    <row r="58" spans="1:4" x14ac:dyDescent="0.15">
      <c r="A58" s="27">
        <v>5073</v>
      </c>
      <c r="B58" s="63" t="s">
        <v>501</v>
      </c>
      <c r="C58" s="63" t="s">
        <v>499</v>
      </c>
      <c r="D58" s="27" t="s">
        <v>500</v>
      </c>
    </row>
    <row r="59" spans="1:4" x14ac:dyDescent="0.15">
      <c r="A59" s="27">
        <v>5074</v>
      </c>
      <c r="B59" s="63" t="s">
        <v>502</v>
      </c>
      <c r="C59" s="63" t="s">
        <v>503</v>
      </c>
      <c r="D59" s="27" t="s">
        <v>504</v>
      </c>
    </row>
    <row r="60" spans="1:4" x14ac:dyDescent="0.15">
      <c r="A60" s="27">
        <v>5075</v>
      </c>
      <c r="B60" s="63" t="s">
        <v>532</v>
      </c>
      <c r="C60" s="63" t="s">
        <v>533</v>
      </c>
      <c r="D60" s="27" t="s">
        <v>534</v>
      </c>
    </row>
    <row r="61" spans="1:4" x14ac:dyDescent="0.15">
      <c r="A61" s="27">
        <v>5076</v>
      </c>
      <c r="B61" s="63" t="s">
        <v>532</v>
      </c>
      <c r="C61" s="63" t="s">
        <v>535</v>
      </c>
      <c r="D61" s="27" t="s">
        <v>536</v>
      </c>
    </row>
    <row r="62" spans="1:4" x14ac:dyDescent="0.15">
      <c r="A62" s="27">
        <v>5077</v>
      </c>
      <c r="B62" s="63" t="s">
        <v>538</v>
      </c>
      <c r="C62" s="63" t="s">
        <v>539</v>
      </c>
      <c r="D62" s="27" t="s">
        <v>537</v>
      </c>
    </row>
    <row r="63" spans="1:4" x14ac:dyDescent="0.15">
      <c r="A63" s="27">
        <v>5078</v>
      </c>
      <c r="B63" s="63" t="s">
        <v>541</v>
      </c>
      <c r="C63" s="63" t="s">
        <v>533</v>
      </c>
      <c r="D63" s="27" t="s">
        <v>540</v>
      </c>
    </row>
    <row r="64" spans="1:4" x14ac:dyDescent="0.15">
      <c r="A64" s="27">
        <v>5079</v>
      </c>
      <c r="B64" s="63" t="s">
        <v>547</v>
      </c>
      <c r="C64" s="63" t="s">
        <v>539</v>
      </c>
      <c r="D64" s="27" t="s">
        <v>546</v>
      </c>
    </row>
    <row r="65" spans="1:4" x14ac:dyDescent="0.15">
      <c r="A65" s="27">
        <v>5080</v>
      </c>
      <c r="B65" s="63" t="s">
        <v>549</v>
      </c>
      <c r="C65" s="63" t="s">
        <v>578</v>
      </c>
      <c r="D65" s="27" t="s">
        <v>548</v>
      </c>
    </row>
    <row r="66" spans="1:4" x14ac:dyDescent="0.15">
      <c r="A66" s="27">
        <v>5081</v>
      </c>
      <c r="B66" s="63" t="s">
        <v>557</v>
      </c>
      <c r="C66" s="63" t="s">
        <v>558</v>
      </c>
      <c r="D66" s="27" t="s">
        <v>559</v>
      </c>
    </row>
    <row r="67" spans="1:4" x14ac:dyDescent="0.15">
      <c r="A67" s="27">
        <v>5082</v>
      </c>
      <c r="B67" s="63" t="s">
        <v>557</v>
      </c>
      <c r="C67" s="63" t="s">
        <v>560</v>
      </c>
      <c r="D67" s="27" t="s">
        <v>561</v>
      </c>
    </row>
    <row r="68" spans="1:4" x14ac:dyDescent="0.15">
      <c r="A68" s="27">
        <v>5083</v>
      </c>
      <c r="B68" s="63" t="s">
        <v>563</v>
      </c>
      <c r="C68" s="63" t="s">
        <v>564</v>
      </c>
      <c r="D68" s="27" t="s">
        <v>562</v>
      </c>
    </row>
    <row r="69" spans="1:4" x14ac:dyDescent="0.15">
      <c r="A69" s="27">
        <v>5084</v>
      </c>
      <c r="B69" s="63" t="s">
        <v>566</v>
      </c>
      <c r="C69" s="63" t="s">
        <v>567</v>
      </c>
      <c r="D69" s="27" t="s">
        <v>565</v>
      </c>
    </row>
    <row r="70" spans="1:4" x14ac:dyDescent="0.15">
      <c r="A70" s="27">
        <v>5085</v>
      </c>
      <c r="B70" s="63" t="s">
        <v>569</v>
      </c>
      <c r="C70" s="63" t="s">
        <v>579</v>
      </c>
      <c r="D70" s="27" t="s">
        <v>568</v>
      </c>
    </row>
    <row r="71" spans="1:4" x14ac:dyDescent="0.15">
      <c r="A71" s="27">
        <v>5000</v>
      </c>
      <c r="B71" s="63" t="s">
        <v>453</v>
      </c>
      <c r="C71" s="63" t="s">
        <v>454</v>
      </c>
      <c r="D71" s="27" t="s">
        <v>455</v>
      </c>
    </row>
    <row r="72" spans="1:4" x14ac:dyDescent="0.15">
      <c r="A72" s="27">
        <v>5001</v>
      </c>
      <c r="B72" s="63" t="s">
        <v>549</v>
      </c>
      <c r="C72" s="63" t="s">
        <v>539</v>
      </c>
      <c r="D72" s="27" t="s">
        <v>556</v>
      </c>
    </row>
    <row r="73" spans="1:4" x14ac:dyDescent="0.15">
      <c r="A73" s="49">
        <v>5999</v>
      </c>
      <c r="B73" s="19" t="s">
        <v>269</v>
      </c>
      <c r="C73" s="19" t="s">
        <v>273</v>
      </c>
      <c r="D73" s="23" t="s">
        <v>268</v>
      </c>
    </row>
    <row r="74" spans="1:4" x14ac:dyDescent="0.15">
      <c r="A74" s="49">
        <v>6000</v>
      </c>
      <c r="B74" s="19" t="s">
        <v>271</v>
      </c>
      <c r="C74" s="19" t="s">
        <v>272</v>
      </c>
      <c r="D74" s="23" t="s">
        <v>270</v>
      </c>
    </row>
    <row r="75" spans="1:4" x14ac:dyDescent="0.15">
      <c r="A75" s="24">
        <v>11</v>
      </c>
      <c r="B75" s="50" t="s">
        <v>432</v>
      </c>
      <c r="C75" s="50" t="s">
        <v>433</v>
      </c>
      <c r="D75" s="24" t="s">
        <v>33</v>
      </c>
    </row>
    <row r="76" spans="1:4" x14ac:dyDescent="0.15">
      <c r="A76" s="37">
        <v>12</v>
      </c>
      <c r="B76" s="51" t="s">
        <v>505</v>
      </c>
      <c r="C76" s="51" t="s">
        <v>506</v>
      </c>
      <c r="D76" s="37" t="s">
        <v>25</v>
      </c>
    </row>
    <row r="77" spans="1:4" x14ac:dyDescent="0.15">
      <c r="A77" s="37">
        <v>13</v>
      </c>
      <c r="B77" s="51" t="s">
        <v>507</v>
      </c>
      <c r="C77" s="51" t="s">
        <v>508</v>
      </c>
      <c r="D77" s="37" t="s">
        <v>26</v>
      </c>
    </row>
    <row r="78" spans="1:4" x14ac:dyDescent="0.15">
      <c r="A78" s="24">
        <v>14</v>
      </c>
      <c r="B78" s="50" t="s">
        <v>440</v>
      </c>
      <c r="C78" s="50" t="s">
        <v>438</v>
      </c>
      <c r="D78" s="24" t="s">
        <v>27</v>
      </c>
    </row>
    <row r="79" spans="1:4" x14ac:dyDescent="0.15">
      <c r="A79" s="24">
        <v>15</v>
      </c>
      <c r="B79" s="50" t="s">
        <v>482</v>
      </c>
      <c r="C79" s="50" t="s">
        <v>483</v>
      </c>
      <c r="D79" s="24" t="s">
        <v>28</v>
      </c>
    </row>
    <row r="80" spans="1:4" x14ac:dyDescent="0.15">
      <c r="A80" s="37">
        <v>16</v>
      </c>
      <c r="B80" s="51" t="s">
        <v>475</v>
      </c>
      <c r="C80" s="51" t="s">
        <v>476</v>
      </c>
      <c r="D80" s="37" t="s">
        <v>29</v>
      </c>
    </row>
    <row r="81" spans="1:4" x14ac:dyDescent="0.15">
      <c r="A81" s="24">
        <v>17</v>
      </c>
      <c r="B81" s="50" t="s">
        <v>515</v>
      </c>
      <c r="C81" s="50" t="s">
        <v>516</v>
      </c>
      <c r="D81" s="24" t="s">
        <v>30</v>
      </c>
    </row>
    <row r="82" spans="1:4" x14ac:dyDescent="0.15">
      <c r="A82" s="24">
        <v>18</v>
      </c>
      <c r="B82" s="50" t="s">
        <v>515</v>
      </c>
      <c r="C82" s="50" t="s">
        <v>517</v>
      </c>
      <c r="D82" s="24" t="s">
        <v>31</v>
      </c>
    </row>
    <row r="83" spans="1:4" x14ac:dyDescent="0.15">
      <c r="A83" s="24">
        <v>19</v>
      </c>
      <c r="B83" s="50" t="s">
        <v>526</v>
      </c>
      <c r="C83" s="50" t="s">
        <v>527</v>
      </c>
      <c r="D83" s="24" t="s">
        <v>32</v>
      </c>
    </row>
    <row r="84" spans="1:4" x14ac:dyDescent="0.15">
      <c r="A84" s="25">
        <v>20</v>
      </c>
      <c r="B84" s="26" t="s">
        <v>34</v>
      </c>
      <c r="C84" s="26" t="s">
        <v>52</v>
      </c>
      <c r="D84" s="25" t="s">
        <v>35</v>
      </c>
    </row>
    <row r="85" spans="1:4" x14ac:dyDescent="0.15">
      <c r="A85" s="25">
        <v>21</v>
      </c>
      <c r="B85" s="26" t="s">
        <v>53</v>
      </c>
      <c r="C85" s="26" t="s">
        <v>54</v>
      </c>
      <c r="D85" s="25" t="s">
        <v>36</v>
      </c>
    </row>
    <row r="86" spans="1:4" x14ac:dyDescent="0.15">
      <c r="A86" s="25">
        <v>22</v>
      </c>
      <c r="B86" s="26" t="s">
        <v>55</v>
      </c>
      <c r="C86" s="26" t="s">
        <v>56</v>
      </c>
      <c r="D86" s="25" t="s">
        <v>37</v>
      </c>
    </row>
    <row r="87" spans="1:4" x14ac:dyDescent="0.15">
      <c r="A87" s="25">
        <v>23</v>
      </c>
      <c r="B87" s="26" t="s">
        <v>57</v>
      </c>
      <c r="C87" s="26" t="s">
        <v>58</v>
      </c>
      <c r="D87" s="25" t="s">
        <v>38</v>
      </c>
    </row>
    <row r="88" spans="1:4" x14ac:dyDescent="0.15">
      <c r="A88" s="25">
        <v>24</v>
      </c>
      <c r="B88" s="26" t="s">
        <v>73</v>
      </c>
      <c r="C88" s="26" t="s">
        <v>74</v>
      </c>
      <c r="D88" s="25" t="s">
        <v>39</v>
      </c>
    </row>
    <row r="89" spans="1:4" x14ac:dyDescent="0.15">
      <c r="A89" s="25">
        <v>25</v>
      </c>
      <c r="B89" s="26" t="s">
        <v>75</v>
      </c>
      <c r="C89" s="26" t="s">
        <v>71</v>
      </c>
      <c r="D89" s="25" t="s">
        <v>40</v>
      </c>
    </row>
    <row r="90" spans="1:4" x14ac:dyDescent="0.15">
      <c r="A90" s="25">
        <v>26</v>
      </c>
      <c r="B90" s="26" t="s">
        <v>51</v>
      </c>
      <c r="C90" s="26" t="s">
        <v>76</v>
      </c>
      <c r="D90" s="25" t="s">
        <v>41</v>
      </c>
    </row>
    <row r="91" spans="1:4" x14ac:dyDescent="0.15">
      <c r="A91" s="25">
        <v>27</v>
      </c>
      <c r="B91" s="26" t="s">
        <v>77</v>
      </c>
      <c r="C91" s="26" t="s">
        <v>72</v>
      </c>
      <c r="D91" s="25" t="s">
        <v>42</v>
      </c>
    </row>
    <row r="92" spans="1:4" x14ac:dyDescent="0.15">
      <c r="A92" s="25">
        <v>28</v>
      </c>
      <c r="B92" s="26" t="s">
        <v>60</v>
      </c>
      <c r="C92" s="26" t="s">
        <v>61</v>
      </c>
      <c r="D92" s="25" t="s">
        <v>43</v>
      </c>
    </row>
    <row r="93" spans="1:4" x14ac:dyDescent="0.15">
      <c r="A93" s="25">
        <v>29</v>
      </c>
      <c r="B93" s="26" t="s">
        <v>62</v>
      </c>
      <c r="C93" s="26" t="s">
        <v>63</v>
      </c>
      <c r="D93" s="25" t="s">
        <v>44</v>
      </c>
    </row>
    <row r="94" spans="1:4" x14ac:dyDescent="0.15">
      <c r="A94" s="25">
        <v>30</v>
      </c>
      <c r="B94" s="26" t="s">
        <v>67</v>
      </c>
      <c r="C94" s="26" t="s">
        <v>68</v>
      </c>
      <c r="D94" s="25" t="s">
        <v>45</v>
      </c>
    </row>
    <row r="95" spans="1:4" x14ac:dyDescent="0.15">
      <c r="A95" s="25">
        <v>31</v>
      </c>
      <c r="B95" s="26" t="s">
        <v>69</v>
      </c>
      <c r="C95" s="26" t="s">
        <v>70</v>
      </c>
      <c r="D95" s="25" t="s">
        <v>46</v>
      </c>
    </row>
    <row r="96" spans="1:4" x14ac:dyDescent="0.15">
      <c r="A96" s="25">
        <v>32</v>
      </c>
      <c r="B96" s="26" t="s">
        <v>79</v>
      </c>
      <c r="C96" s="26" t="s">
        <v>80</v>
      </c>
      <c r="D96" s="25" t="s">
        <v>47</v>
      </c>
    </row>
    <row r="97" spans="1:4" x14ac:dyDescent="0.15">
      <c r="A97" s="25">
        <v>33</v>
      </c>
      <c r="B97" s="26" t="s">
        <v>78</v>
      </c>
      <c r="C97" s="26" t="s">
        <v>59</v>
      </c>
      <c r="D97" s="25" t="s">
        <v>48</v>
      </c>
    </row>
    <row r="98" spans="1:4" x14ac:dyDescent="0.15">
      <c r="A98" s="25">
        <v>34</v>
      </c>
      <c r="B98" s="26" t="s">
        <v>81</v>
      </c>
      <c r="C98" s="26" t="s">
        <v>82</v>
      </c>
      <c r="D98" s="25" t="s">
        <v>49</v>
      </c>
    </row>
    <row r="99" spans="1:4" x14ac:dyDescent="0.15">
      <c r="A99" s="25">
        <v>35</v>
      </c>
      <c r="B99" s="26" t="s">
        <v>83</v>
      </c>
      <c r="C99" s="26" t="s">
        <v>84</v>
      </c>
      <c r="D99" s="25" t="s">
        <v>50</v>
      </c>
    </row>
    <row r="100" spans="1:4" x14ac:dyDescent="0.15">
      <c r="A100" s="23">
        <v>100</v>
      </c>
      <c r="B100" s="32" t="s">
        <v>509</v>
      </c>
      <c r="C100" s="32" t="s">
        <v>510</v>
      </c>
      <c r="D100" s="23" t="s">
        <v>93</v>
      </c>
    </row>
    <row r="101" spans="1:4" x14ac:dyDescent="0.15">
      <c r="A101" s="23">
        <v>101</v>
      </c>
      <c r="B101" s="32" t="s">
        <v>99</v>
      </c>
      <c r="C101" s="33" t="s">
        <v>96</v>
      </c>
      <c r="D101" s="23" t="str">
        <f>D100&amp;" 3日目泥UP"</f>
        <v>女王陛下の処刑龍 3日目泥UP</v>
      </c>
    </row>
    <row r="102" spans="1:4" x14ac:dyDescent="0.15">
      <c r="A102" s="23">
        <v>102</v>
      </c>
      <c r="B102" s="32" t="s">
        <v>109</v>
      </c>
      <c r="C102" s="32" t="s">
        <v>97</v>
      </c>
      <c r="D102" s="23" t="str">
        <f>D100&amp;" 最終日泥UP"</f>
        <v>女王陛下の処刑龍 最終日泥UP</v>
      </c>
    </row>
    <row r="103" spans="1:4" x14ac:dyDescent="0.15">
      <c r="A103" s="24">
        <v>110</v>
      </c>
      <c r="B103" s="34" t="s">
        <v>480</v>
      </c>
      <c r="C103" s="34" t="s">
        <v>481</v>
      </c>
      <c r="D103" s="24" t="s">
        <v>94</v>
      </c>
    </row>
    <row r="104" spans="1:4" x14ac:dyDescent="0.15">
      <c r="A104" s="24">
        <v>111</v>
      </c>
      <c r="B104" s="34" t="s">
        <v>479</v>
      </c>
      <c r="C104" s="35" t="s">
        <v>116</v>
      </c>
      <c r="D104" s="24" t="str">
        <f>D103&amp;" 3日目泥UP"</f>
        <v>ザ・キャノン 3日目泥UP</v>
      </c>
    </row>
    <row r="105" spans="1:4" x14ac:dyDescent="0.15">
      <c r="A105" s="24">
        <v>112</v>
      </c>
      <c r="B105" s="34" t="s">
        <v>114</v>
      </c>
      <c r="C105" s="34" t="s">
        <v>115</v>
      </c>
      <c r="D105" s="24" t="str">
        <f>D103&amp;" 最終日泥UP"</f>
        <v>ザ・キャノン 最終日泥UP</v>
      </c>
    </row>
    <row r="106" spans="1:4" x14ac:dyDescent="0.15">
      <c r="A106" s="23">
        <v>120</v>
      </c>
      <c r="B106" s="32" t="s">
        <v>475</v>
      </c>
      <c r="C106" s="32" t="s">
        <v>476</v>
      </c>
      <c r="D106" s="23" t="s">
        <v>95</v>
      </c>
    </row>
    <row r="107" spans="1:4" x14ac:dyDescent="0.15">
      <c r="A107" s="23">
        <v>121</v>
      </c>
      <c r="B107" s="32" t="s">
        <v>105</v>
      </c>
      <c r="C107" s="33" t="s">
        <v>106</v>
      </c>
      <c r="D107" s="23" t="str">
        <f>D106&amp;" 3日目泥UP"</f>
        <v>スチールプレデター 3日目泥UP</v>
      </c>
    </row>
    <row r="108" spans="1:4" x14ac:dyDescent="0.15">
      <c r="A108" s="23">
        <v>122</v>
      </c>
      <c r="B108" s="32" t="s">
        <v>108</v>
      </c>
      <c r="C108" s="32" t="s">
        <v>104</v>
      </c>
      <c r="D108" s="23" t="str">
        <f>D106&amp;" 最終日泥UP"</f>
        <v>スチールプレデター 最終日泥UP</v>
      </c>
    </row>
    <row r="109" spans="1:4" x14ac:dyDescent="0.15">
      <c r="A109" s="24">
        <v>130</v>
      </c>
      <c r="B109" s="34" t="s">
        <v>511</v>
      </c>
      <c r="C109" s="34" t="s">
        <v>512</v>
      </c>
      <c r="D109" s="24" t="s">
        <v>64</v>
      </c>
    </row>
    <row r="110" spans="1:4" x14ac:dyDescent="0.15">
      <c r="A110" s="24">
        <v>131</v>
      </c>
      <c r="B110" s="34" t="s">
        <v>227</v>
      </c>
      <c r="C110" s="35" t="s">
        <v>228</v>
      </c>
      <c r="D110" s="24" t="str">
        <f>D109&amp;" 3日目泥UP"</f>
        <v>天翔ける金轟機龍 3日目泥UP</v>
      </c>
    </row>
    <row r="111" spans="1:4" x14ac:dyDescent="0.15">
      <c r="A111" s="24">
        <v>132</v>
      </c>
      <c r="B111" s="34" t="s">
        <v>229</v>
      </c>
      <c r="C111" s="34" t="s">
        <v>230</v>
      </c>
      <c r="D111" s="24" t="str">
        <f>D109&amp;" 最終日泥UP"</f>
        <v>天翔ける金轟機龍 最終日泥UP</v>
      </c>
    </row>
    <row r="112" spans="1:4" x14ac:dyDescent="0.15">
      <c r="A112" s="23">
        <v>140</v>
      </c>
      <c r="B112" s="32" t="s">
        <v>518</v>
      </c>
      <c r="C112" s="32" t="s">
        <v>542</v>
      </c>
      <c r="D112" s="23" t="s">
        <v>65</v>
      </c>
    </row>
    <row r="113" spans="1:7" x14ac:dyDescent="0.15">
      <c r="A113" s="23">
        <v>141</v>
      </c>
      <c r="B113" s="32" t="s">
        <v>98</v>
      </c>
      <c r="C113" s="33" t="s">
        <v>543</v>
      </c>
      <c r="D113" s="23" t="str">
        <f>D112&amp;" 3日目泥UP"</f>
        <v>ニンゲンにしてあげる☆ 3日目泥UP</v>
      </c>
    </row>
    <row r="114" spans="1:7" x14ac:dyDescent="0.15">
      <c r="A114" s="23">
        <v>142</v>
      </c>
      <c r="B114" s="32" t="s">
        <v>100</v>
      </c>
      <c r="C114" s="32" t="s">
        <v>101</v>
      </c>
      <c r="D114" s="23" t="str">
        <f>D112&amp;" 最終日泥UP"</f>
        <v>ニンゲンにしてあげる☆ 最終日泥UP</v>
      </c>
    </row>
    <row r="115" spans="1:7" x14ac:dyDescent="0.15">
      <c r="A115" s="24">
        <v>150</v>
      </c>
      <c r="B115" s="34" t="s">
        <v>477</v>
      </c>
      <c r="C115" s="34" t="s">
        <v>478</v>
      </c>
      <c r="D115" s="24" t="s">
        <v>102</v>
      </c>
      <c r="F115" s="43"/>
      <c r="G115" s="43"/>
    </row>
    <row r="116" spans="1:7" x14ac:dyDescent="0.15">
      <c r="A116" s="24">
        <v>151</v>
      </c>
      <c r="B116" s="34" t="s">
        <v>117</v>
      </c>
      <c r="C116" s="35" t="s">
        <v>120</v>
      </c>
      <c r="D116" s="24" t="str">
        <f>D115&amp;" 3日目泥UP"</f>
        <v>ガラスの靴は私のもの 3日目泥UP</v>
      </c>
      <c r="F116" s="43"/>
      <c r="G116" s="43"/>
    </row>
    <row r="117" spans="1:7" x14ac:dyDescent="0.15">
      <c r="A117" s="24">
        <v>152</v>
      </c>
      <c r="B117" s="34" t="s">
        <v>118</v>
      </c>
      <c r="C117" s="34" t="s">
        <v>119</v>
      </c>
      <c r="D117" s="24" t="str">
        <f>D115&amp;" 最終日泥UP"</f>
        <v>ガラスの靴は私のもの 最終日泥UP</v>
      </c>
      <c r="F117" s="44"/>
      <c r="G117" s="44"/>
    </row>
    <row r="118" spans="1:7" x14ac:dyDescent="0.15">
      <c r="A118" s="23">
        <v>160</v>
      </c>
      <c r="B118" s="32" t="s">
        <v>518</v>
      </c>
      <c r="C118" s="32" t="s">
        <v>542</v>
      </c>
      <c r="D118" s="23" t="s">
        <v>103</v>
      </c>
      <c r="F118" s="44"/>
      <c r="G118" s="45"/>
    </row>
    <row r="119" spans="1:7" x14ac:dyDescent="0.15">
      <c r="A119" s="23">
        <v>161</v>
      </c>
      <c r="B119" s="32" t="s">
        <v>221</v>
      </c>
      <c r="C119" s="33" t="s">
        <v>222</v>
      </c>
      <c r="D119" s="23" t="str">
        <f>D118&amp;" 3日目泥UP"</f>
        <v>それはお前を食べるためさ 3日目泥UP</v>
      </c>
      <c r="F119" s="44"/>
      <c r="G119" s="44"/>
    </row>
    <row r="120" spans="1:7" x14ac:dyDescent="0.15">
      <c r="A120" s="23">
        <v>162</v>
      </c>
      <c r="B120" s="32" t="s">
        <v>223</v>
      </c>
      <c r="C120" s="32" t="s">
        <v>224</v>
      </c>
      <c r="D120" s="23" t="str">
        <f>D118&amp;" 最終日泥UP"</f>
        <v>それはお前を食べるためさ 最終日泥UP</v>
      </c>
      <c r="F120" s="43"/>
      <c r="G120" s="43"/>
    </row>
    <row r="121" spans="1:7" x14ac:dyDescent="0.15">
      <c r="A121" s="24">
        <v>170</v>
      </c>
      <c r="B121" s="34" t="s">
        <v>434</v>
      </c>
      <c r="C121" s="34" t="s">
        <v>435</v>
      </c>
      <c r="D121" s="24" t="s">
        <v>66</v>
      </c>
      <c r="F121" s="43"/>
      <c r="G121" s="43"/>
    </row>
    <row r="122" spans="1:7" x14ac:dyDescent="0.15">
      <c r="A122" s="24">
        <v>171</v>
      </c>
      <c r="B122" s="34" t="s">
        <v>110</v>
      </c>
      <c r="C122" s="35" t="s">
        <v>111</v>
      </c>
      <c r="D122" s="24" t="str">
        <f>D121&amp;" 3日目泥UP"</f>
        <v>わたしの嫁を返してもらおう 3日目泥UP</v>
      </c>
    </row>
    <row r="123" spans="1:7" x14ac:dyDescent="0.15">
      <c r="A123" s="24">
        <v>172</v>
      </c>
      <c r="B123" s="34" t="s">
        <v>112</v>
      </c>
      <c r="C123" s="34" t="s">
        <v>107</v>
      </c>
      <c r="D123" s="24" t="str">
        <f>D121&amp;" 最終日泥UP"</f>
        <v>わたしの嫁を返してもらおう 最終日泥UP</v>
      </c>
    </row>
    <row r="124" spans="1:7" x14ac:dyDescent="0.15">
      <c r="A124" s="23">
        <v>180</v>
      </c>
      <c r="B124" s="36" t="s">
        <v>225</v>
      </c>
      <c r="C124" s="36" t="s">
        <v>226</v>
      </c>
      <c r="D124" s="23" t="s">
        <v>204</v>
      </c>
    </row>
    <row r="125" spans="1:7" x14ac:dyDescent="0.15">
      <c r="A125" s="24">
        <v>190</v>
      </c>
      <c r="B125" s="50" t="s">
        <v>484</v>
      </c>
      <c r="C125" s="50" t="s">
        <v>478</v>
      </c>
      <c r="D125" s="24" t="s">
        <v>205</v>
      </c>
    </row>
    <row r="126" spans="1:7" x14ac:dyDescent="0.15">
      <c r="A126" s="23">
        <v>200</v>
      </c>
      <c r="B126" s="32" t="s">
        <v>472</v>
      </c>
      <c r="C126" s="32" t="s">
        <v>468</v>
      </c>
      <c r="D126" s="23" t="s">
        <v>274</v>
      </c>
    </row>
    <row r="127" spans="1:7" x14ac:dyDescent="0.15">
      <c r="A127" s="23">
        <v>201</v>
      </c>
      <c r="B127" s="32" t="s">
        <v>279</v>
      </c>
      <c r="C127" s="33" t="s">
        <v>288</v>
      </c>
      <c r="D127" s="23" t="str">
        <f>D126&amp;" 3日目泥UP"</f>
        <v>迫り来る窒息 3日目泥UP</v>
      </c>
    </row>
    <row r="128" spans="1:7" x14ac:dyDescent="0.15">
      <c r="A128" s="23">
        <v>202</v>
      </c>
      <c r="B128" s="32" t="s">
        <v>277</v>
      </c>
      <c r="C128" s="32" t="s">
        <v>278</v>
      </c>
      <c r="D128" s="23" t="str">
        <f>D126&amp;" 最終日泥UP"</f>
        <v>迫り来る窒息 最終日泥UP</v>
      </c>
    </row>
    <row r="129" spans="1:7" x14ac:dyDescent="0.15">
      <c r="A129" s="24">
        <v>210</v>
      </c>
      <c r="B129" s="34" t="s">
        <v>514</v>
      </c>
      <c r="C129" s="34" t="s">
        <v>519</v>
      </c>
      <c r="D129" s="24" t="s">
        <v>275</v>
      </c>
      <c r="F129" s="43"/>
      <c r="G129" s="43"/>
    </row>
    <row r="130" spans="1:7" x14ac:dyDescent="0.15">
      <c r="A130" s="24">
        <v>211</v>
      </c>
      <c r="B130" s="34" t="s">
        <v>280</v>
      </c>
      <c r="C130" s="35" t="s">
        <v>281</v>
      </c>
      <c r="D130" s="24" t="str">
        <f>D129&amp;" 3日目泥UP"</f>
        <v>復活の捕食者 3日目泥UP</v>
      </c>
      <c r="F130" s="43"/>
      <c r="G130" s="43"/>
    </row>
    <row r="131" spans="1:7" x14ac:dyDescent="0.15">
      <c r="A131" s="24">
        <v>212</v>
      </c>
      <c r="B131" s="34" t="s">
        <v>282</v>
      </c>
      <c r="C131" s="34" t="s">
        <v>283</v>
      </c>
      <c r="D131" s="24" t="str">
        <f>D129&amp;" 最終日泥UP"</f>
        <v>復活の捕食者 最終日泥UP</v>
      </c>
      <c r="F131" s="44"/>
      <c r="G131" s="44"/>
    </row>
    <row r="132" spans="1:7" x14ac:dyDescent="0.15">
      <c r="A132" s="38">
        <v>220</v>
      </c>
      <c r="B132" s="52" t="s">
        <v>436</v>
      </c>
      <c r="C132" s="52" t="s">
        <v>437</v>
      </c>
      <c r="D132" s="38" t="s">
        <v>276</v>
      </c>
    </row>
    <row r="133" spans="1:7" x14ac:dyDescent="0.15">
      <c r="A133" s="38">
        <v>221</v>
      </c>
      <c r="B133" s="52" t="s">
        <v>284</v>
      </c>
      <c r="C133" s="52" t="s">
        <v>289</v>
      </c>
      <c r="D133" s="38" t="s">
        <v>287</v>
      </c>
    </row>
    <row r="134" spans="1:7" x14ac:dyDescent="0.15">
      <c r="A134" s="38">
        <v>222</v>
      </c>
      <c r="B134" s="52" t="s">
        <v>285</v>
      </c>
      <c r="C134" s="52" t="s">
        <v>257</v>
      </c>
      <c r="D134" s="38" t="s">
        <v>286</v>
      </c>
    </row>
    <row r="135" spans="1:7" x14ac:dyDescent="0.15">
      <c r="A135" s="23">
        <v>230</v>
      </c>
      <c r="B135" s="32" t="s">
        <v>513</v>
      </c>
      <c r="C135" s="32" t="s">
        <v>544</v>
      </c>
      <c r="D135" s="23" t="s">
        <v>292</v>
      </c>
      <c r="F135" s="43"/>
      <c r="G135" s="43"/>
    </row>
    <row r="136" spans="1:7" x14ac:dyDescent="0.15">
      <c r="A136" s="23">
        <v>231</v>
      </c>
      <c r="B136" s="32" t="s">
        <v>290</v>
      </c>
      <c r="C136" s="33" t="s">
        <v>296</v>
      </c>
      <c r="D136" s="23" t="str">
        <f>D135&amp;" 3日目泥UP"</f>
        <v>悪夢の一目惚れ（チエミ） 3日目泥UP</v>
      </c>
      <c r="F136" s="43"/>
      <c r="G136" s="43"/>
    </row>
    <row r="137" spans="1:7" x14ac:dyDescent="0.15">
      <c r="A137" s="23">
        <v>232</v>
      </c>
      <c r="B137" s="32" t="s">
        <v>294</v>
      </c>
      <c r="C137" s="32" t="s">
        <v>295</v>
      </c>
      <c r="D137" s="23" t="str">
        <f>D135&amp;" 最終日泥UP"</f>
        <v>悪夢の一目惚れ（チエミ） 最終日泥UP</v>
      </c>
      <c r="F137" s="44"/>
      <c r="G137" s="44"/>
    </row>
    <row r="138" spans="1:7" x14ac:dyDescent="0.15">
      <c r="A138" s="24">
        <v>240</v>
      </c>
      <c r="B138" s="34" t="s">
        <v>470</v>
      </c>
      <c r="C138" s="34" t="s">
        <v>471</v>
      </c>
      <c r="D138" s="24" t="s">
        <v>293</v>
      </c>
    </row>
    <row r="139" spans="1:7" x14ac:dyDescent="0.15">
      <c r="A139" s="24">
        <v>241</v>
      </c>
      <c r="B139" s="34" t="s">
        <v>469</v>
      </c>
      <c r="C139" s="35" t="s">
        <v>298</v>
      </c>
      <c r="D139" s="24" t="str">
        <f>D138&amp;" 3日目泥UP"</f>
        <v>最大最凶（メガロドン） 3日目泥UP</v>
      </c>
    </row>
    <row r="140" spans="1:7" x14ac:dyDescent="0.15">
      <c r="A140" s="24">
        <v>242</v>
      </c>
      <c r="B140" s="34" t="s">
        <v>297</v>
      </c>
      <c r="C140" s="34" t="s">
        <v>291</v>
      </c>
      <c r="D140" s="24" t="str">
        <f>D138&amp;" 最終日泥UP"</f>
        <v>最大最凶（メガロドン） 最終日泥UP</v>
      </c>
    </row>
    <row r="141" spans="1:7" x14ac:dyDescent="0.15">
      <c r="A141" s="23">
        <v>250</v>
      </c>
      <c r="B141" s="32" t="s">
        <v>514</v>
      </c>
      <c r="C141" s="32" t="s">
        <v>506</v>
      </c>
      <c r="D141" s="57" t="s">
        <v>331</v>
      </c>
    </row>
    <row r="142" spans="1:7" x14ac:dyDescent="0.15">
      <c r="A142" s="23">
        <v>251</v>
      </c>
      <c r="B142" s="32" t="s">
        <v>334</v>
      </c>
      <c r="C142" s="32" t="s">
        <v>335</v>
      </c>
      <c r="D142" s="57" t="str">
        <f>D141&amp;" 3日目泥UP"</f>
        <v>全てが灰になる（狂気の炎風 ミサコ） 3日目泥UP</v>
      </c>
    </row>
    <row r="143" spans="1:7" x14ac:dyDescent="0.15">
      <c r="A143" s="23">
        <v>252</v>
      </c>
      <c r="B143" s="32" t="s">
        <v>336</v>
      </c>
      <c r="C143" s="32" t="s">
        <v>337</v>
      </c>
      <c r="D143" s="23" t="str">
        <f>D141&amp;" 最終日泥UP"</f>
        <v>全てが灰になる（狂気の炎風 ミサコ） 最終日泥UP</v>
      </c>
    </row>
    <row r="144" spans="1:7" x14ac:dyDescent="0.15">
      <c r="A144" s="28">
        <v>260</v>
      </c>
      <c r="B144" s="58" t="s">
        <v>520</v>
      </c>
      <c r="C144" s="58" t="s">
        <v>521</v>
      </c>
      <c r="D144" s="59" t="s">
        <v>332</v>
      </c>
    </row>
    <row r="145" spans="1:4" x14ac:dyDescent="0.15">
      <c r="A145" s="28">
        <v>261</v>
      </c>
      <c r="B145" s="58" t="s">
        <v>338</v>
      </c>
      <c r="C145" s="58" t="s">
        <v>339</v>
      </c>
      <c r="D145" s="60" t="str">
        <f>D144&amp;" 3日目泥UP"</f>
        <v>古の博学 アーケロン（気怠い巨読者） 3日目泥UP</v>
      </c>
    </row>
    <row r="146" spans="1:4" x14ac:dyDescent="0.15">
      <c r="A146" s="28">
        <v>262</v>
      </c>
      <c r="B146" s="58" t="s">
        <v>340</v>
      </c>
      <c r="C146" s="58" t="s">
        <v>356</v>
      </c>
      <c r="D146" s="28" t="str">
        <f>D144&amp;" 最終日泥UP"</f>
        <v>古の博学 アーケロン（気怠い巨読者） 最終日泥UP</v>
      </c>
    </row>
    <row r="147" spans="1:4" x14ac:dyDescent="0.15">
      <c r="A147" s="23">
        <v>270</v>
      </c>
      <c r="B147" s="32" t="s">
        <v>466</v>
      </c>
      <c r="C147" s="32" t="s">
        <v>468</v>
      </c>
      <c r="D147" s="56" t="s">
        <v>333</v>
      </c>
    </row>
    <row r="148" spans="1:4" x14ac:dyDescent="0.15">
      <c r="A148" s="23">
        <v>271</v>
      </c>
      <c r="B148" s="32" t="s">
        <v>353</v>
      </c>
      <c r="C148" s="32" t="s">
        <v>354</v>
      </c>
      <c r="D148" s="57" t="str">
        <f>D147&amp;" 3日目泥UP"</f>
        <v>宿痾の葬送 チカ（罪と劇薬） 3日目泥UP</v>
      </c>
    </row>
    <row r="149" spans="1:4" x14ac:dyDescent="0.15">
      <c r="A149" s="23">
        <v>272</v>
      </c>
      <c r="B149" s="32" t="s">
        <v>355</v>
      </c>
      <c r="C149" s="32" t="s">
        <v>357</v>
      </c>
      <c r="D149" s="23" t="str">
        <f>D147&amp;" 最終日泥UP"</f>
        <v>宿痾の葬送 チカ（罪と劇薬） 最終日泥UP</v>
      </c>
    </row>
    <row r="150" spans="1:4" x14ac:dyDescent="0.15">
      <c r="A150" s="24">
        <v>280</v>
      </c>
      <c r="B150" s="34" t="s">
        <v>522</v>
      </c>
      <c r="C150" s="34" t="s">
        <v>523</v>
      </c>
      <c r="D150" s="24" t="s">
        <v>368</v>
      </c>
    </row>
    <row r="151" spans="1:4" x14ac:dyDescent="0.15">
      <c r="A151" s="24">
        <v>281</v>
      </c>
      <c r="B151" s="34" t="s">
        <v>372</v>
      </c>
      <c r="C151" s="34" t="s">
        <v>373</v>
      </c>
      <c r="D151" s="24" t="str">
        <f>D150&amp;" 3日目泥UP"</f>
        <v>底なしの胃袋（リードシクティス） 3日目泥UP</v>
      </c>
    </row>
    <row r="152" spans="1:4" x14ac:dyDescent="0.15">
      <c r="A152" s="24">
        <v>282</v>
      </c>
      <c r="B152" s="34" t="s">
        <v>380</v>
      </c>
      <c r="C152" s="34" t="s">
        <v>381</v>
      </c>
      <c r="D152" s="24" t="str">
        <f>D150&amp;" 最終日泥UP"</f>
        <v>底なしの胃袋（リードシクティス） 最終日泥UP</v>
      </c>
    </row>
    <row r="153" spans="1:4" x14ac:dyDescent="0.15">
      <c r="A153" s="23">
        <v>290</v>
      </c>
      <c r="B153" s="36" t="s">
        <v>434</v>
      </c>
      <c r="C153" s="36" t="s">
        <v>439</v>
      </c>
      <c r="D153" s="23" t="s">
        <v>374</v>
      </c>
    </row>
    <row r="154" spans="1:4" x14ac:dyDescent="0.15">
      <c r="A154" s="23">
        <v>291</v>
      </c>
      <c r="B154" s="36" t="s">
        <v>377</v>
      </c>
      <c r="C154" s="36" t="s">
        <v>378</v>
      </c>
      <c r="D154" s="23" t="s">
        <v>375</v>
      </c>
    </row>
    <row r="155" spans="1:4" x14ac:dyDescent="0.15">
      <c r="A155" s="23">
        <v>292</v>
      </c>
      <c r="B155" s="36" t="s">
        <v>379</v>
      </c>
      <c r="C155" s="36" t="s">
        <v>330</v>
      </c>
      <c r="D155" s="23" t="s">
        <v>376</v>
      </c>
    </row>
    <row r="156" spans="1:4" x14ac:dyDescent="0.15">
      <c r="A156" s="23">
        <v>300</v>
      </c>
      <c r="B156" s="36" t="s">
        <v>466</v>
      </c>
      <c r="C156" s="36" t="s">
        <v>467</v>
      </c>
      <c r="D156" s="23" t="s">
        <v>387</v>
      </c>
    </row>
    <row r="157" spans="1:4" x14ac:dyDescent="0.15">
      <c r="A157" s="23">
        <v>301</v>
      </c>
      <c r="B157" s="36" t="s">
        <v>393</v>
      </c>
      <c r="C157" s="36" t="s">
        <v>392</v>
      </c>
      <c r="D157" s="23" t="s">
        <v>388</v>
      </c>
    </row>
    <row r="158" spans="1:4" x14ac:dyDescent="0.15">
      <c r="A158" s="23">
        <v>302</v>
      </c>
      <c r="B158" s="36" t="s">
        <v>385</v>
      </c>
      <c r="C158" s="36" t="s">
        <v>386</v>
      </c>
      <c r="D158" s="23" t="s">
        <v>389</v>
      </c>
    </row>
    <row r="159" spans="1:4" x14ac:dyDescent="0.15">
      <c r="A159" s="23">
        <v>310</v>
      </c>
      <c r="B159" s="36" t="s">
        <v>524</v>
      </c>
      <c r="C159" s="36" t="s">
        <v>525</v>
      </c>
      <c r="D159" s="23" t="s">
        <v>415</v>
      </c>
    </row>
    <row r="160" spans="1:4" x14ac:dyDescent="0.15">
      <c r="A160" s="23">
        <v>311</v>
      </c>
      <c r="B160" s="36" t="s">
        <v>418</v>
      </c>
      <c r="C160" s="36" t="s">
        <v>419</v>
      </c>
      <c r="D160" s="23" t="s">
        <v>416</v>
      </c>
    </row>
    <row r="161" spans="1:4" x14ac:dyDescent="0.15">
      <c r="A161" s="23">
        <v>312</v>
      </c>
      <c r="B161" s="36" t="s">
        <v>420</v>
      </c>
      <c r="C161" s="36" t="s">
        <v>421</v>
      </c>
      <c r="D161" s="23" t="s">
        <v>417</v>
      </c>
    </row>
    <row r="162" spans="1:4" x14ac:dyDescent="0.15">
      <c r="A162" s="23">
        <v>320</v>
      </c>
      <c r="B162" s="36" t="s">
        <v>442</v>
      </c>
      <c r="C162" s="36" t="s">
        <v>443</v>
      </c>
      <c r="D162" s="23" t="s">
        <v>422</v>
      </c>
    </row>
    <row r="163" spans="1:4" x14ac:dyDescent="0.15">
      <c r="A163" s="23">
        <v>321</v>
      </c>
      <c r="B163" s="36" t="s">
        <v>426</v>
      </c>
      <c r="C163" s="36" t="s">
        <v>428</v>
      </c>
      <c r="D163" s="23" t="s">
        <v>423</v>
      </c>
    </row>
    <row r="164" spans="1:4" x14ac:dyDescent="0.15">
      <c r="A164" s="23">
        <v>322</v>
      </c>
      <c r="B164" s="36" t="s">
        <v>427</v>
      </c>
      <c r="C164" s="36" t="s">
        <v>425</v>
      </c>
      <c r="D164" s="23" t="s">
        <v>424</v>
      </c>
    </row>
    <row r="165" spans="1:4" x14ac:dyDescent="0.15">
      <c r="A165" s="23">
        <v>330</v>
      </c>
      <c r="B165" s="36" t="s">
        <v>528</v>
      </c>
      <c r="C165" s="36" t="s">
        <v>544</v>
      </c>
      <c r="D165" s="23" t="s">
        <v>456</v>
      </c>
    </row>
    <row r="166" spans="1:4" x14ac:dyDescent="0.15">
      <c r="A166" s="23">
        <v>331</v>
      </c>
      <c r="B166" s="36" t="s">
        <v>458</v>
      </c>
      <c r="C166" s="36" t="s">
        <v>459</v>
      </c>
      <c r="D166" s="23" t="str">
        <f>D165&amp; "3日目泥UP"</f>
        <v>兄妹の大冒険（シュガフル）3日目泥UP</v>
      </c>
    </row>
    <row r="167" spans="1:4" x14ac:dyDescent="0.15">
      <c r="A167" s="23">
        <v>332</v>
      </c>
      <c r="B167" s="36" t="s">
        <v>460</v>
      </c>
      <c r="C167" s="36" t="s">
        <v>457</v>
      </c>
      <c r="D167" s="23" t="str">
        <f>D165&amp; " 最終日泥UP"</f>
        <v>兄妹の大冒険（シュガフル） 最終日泥UP</v>
      </c>
    </row>
    <row r="168" spans="1:4" x14ac:dyDescent="0.15">
      <c r="A168" s="23">
        <v>340</v>
      </c>
      <c r="B168" s="36" t="s">
        <v>492</v>
      </c>
      <c r="C168" s="36" t="s">
        <v>493</v>
      </c>
      <c r="D168" s="23" t="s">
        <v>485</v>
      </c>
    </row>
    <row r="169" spans="1:4" x14ac:dyDescent="0.15">
      <c r="A169" s="23">
        <v>341</v>
      </c>
      <c r="B169" s="36" t="s">
        <v>475</v>
      </c>
      <c r="C169" s="36" t="s">
        <v>494</v>
      </c>
      <c r="D169" s="23" t="str">
        <f>D168&amp; "3日目泥UP"</f>
        <v>私がワニの天敵よ（フック）3日目泥UP</v>
      </c>
    </row>
    <row r="170" spans="1:4" x14ac:dyDescent="0.15">
      <c r="A170" s="23">
        <v>342</v>
      </c>
      <c r="B170" s="36" t="s">
        <v>495</v>
      </c>
      <c r="C170" s="36" t="s">
        <v>496</v>
      </c>
      <c r="D170" s="23" t="str">
        <f>D168&amp; " 最終日泥UP"</f>
        <v>私がワニの天敵よ（フック） 最終日泥UP</v>
      </c>
    </row>
    <row r="171" spans="1:4" x14ac:dyDescent="0.15">
      <c r="A171" s="23">
        <v>350</v>
      </c>
      <c r="B171" s="36" t="s">
        <v>487</v>
      </c>
      <c r="C171" s="36" t="s">
        <v>488</v>
      </c>
      <c r="D171" s="23" t="s">
        <v>486</v>
      </c>
    </row>
    <row r="172" spans="1:4" x14ac:dyDescent="0.15">
      <c r="A172" s="23">
        <v>351</v>
      </c>
      <c r="B172" s="36" t="s">
        <v>489</v>
      </c>
      <c r="C172" s="36" t="s">
        <v>490</v>
      </c>
      <c r="D172" s="23" t="str">
        <f>D171&amp; "3日目泥UP"</f>
        <v>麒麟襲来！！3日目泥UP</v>
      </c>
    </row>
    <row r="173" spans="1:4" x14ac:dyDescent="0.15">
      <c r="A173" s="23">
        <v>352</v>
      </c>
      <c r="B173" s="36" t="s">
        <v>491</v>
      </c>
      <c r="C173" s="36" t="s">
        <v>488</v>
      </c>
      <c r="D173" s="23" t="str">
        <f>D171&amp; " 最終日泥UP"</f>
        <v>麒麟襲来！！ 最終日泥UP</v>
      </c>
    </row>
    <row r="174" spans="1:4" x14ac:dyDescent="0.15">
      <c r="A174" s="37">
        <v>11101</v>
      </c>
      <c r="B174" s="40" t="s">
        <v>137</v>
      </c>
      <c r="C174" s="40" t="s">
        <v>138</v>
      </c>
      <c r="D174" s="37" t="s">
        <v>139</v>
      </c>
    </row>
    <row r="175" spans="1:4" x14ac:dyDescent="0.15">
      <c r="A175" s="37">
        <v>11102</v>
      </c>
      <c r="B175" s="40" t="s">
        <v>137</v>
      </c>
      <c r="C175" s="41" t="s">
        <v>144</v>
      </c>
      <c r="D175" s="37" t="s">
        <v>140</v>
      </c>
    </row>
    <row r="176" spans="1:4" x14ac:dyDescent="0.15">
      <c r="A176" s="37">
        <v>11103</v>
      </c>
      <c r="B176" s="40" t="s">
        <v>137</v>
      </c>
      <c r="C176" s="41" t="s">
        <v>144</v>
      </c>
      <c r="D176" s="37" t="s">
        <v>141</v>
      </c>
    </row>
    <row r="177" spans="1:4" x14ac:dyDescent="0.15">
      <c r="A177" s="37">
        <v>11104</v>
      </c>
      <c r="B177" s="40" t="s">
        <v>137</v>
      </c>
      <c r="C177" s="41" t="s">
        <v>144</v>
      </c>
      <c r="D177" s="37" t="s">
        <v>142</v>
      </c>
    </row>
    <row r="178" spans="1:4" x14ac:dyDescent="0.15">
      <c r="A178" s="37">
        <v>11105</v>
      </c>
      <c r="B178" s="40" t="s">
        <v>145</v>
      </c>
      <c r="C178" s="41" t="s">
        <v>154</v>
      </c>
      <c r="D178" s="37" t="s">
        <v>143</v>
      </c>
    </row>
    <row r="179" spans="1:4" x14ac:dyDescent="0.15">
      <c r="A179" s="37">
        <v>11106</v>
      </c>
      <c r="B179" s="40" t="s">
        <v>146</v>
      </c>
      <c r="C179" s="40" t="s">
        <v>147</v>
      </c>
      <c r="D179" s="37" t="s">
        <v>148</v>
      </c>
    </row>
    <row r="180" spans="1:4" x14ac:dyDescent="0.15">
      <c r="A180" s="37">
        <v>11206</v>
      </c>
      <c r="B180" s="40" t="s">
        <v>150</v>
      </c>
      <c r="C180" s="40" t="s">
        <v>151</v>
      </c>
      <c r="D180" s="37" t="s">
        <v>149</v>
      </c>
    </row>
    <row r="181" spans="1:4" x14ac:dyDescent="0.15">
      <c r="A181" s="38">
        <v>11207</v>
      </c>
      <c r="B181" s="39" t="s">
        <v>445</v>
      </c>
      <c r="C181" s="39" t="s">
        <v>446</v>
      </c>
      <c r="D181" s="38" t="s">
        <v>444</v>
      </c>
    </row>
    <row r="182" spans="1:4" x14ac:dyDescent="0.15">
      <c r="A182" s="38">
        <v>11208</v>
      </c>
      <c r="B182" s="39" t="s">
        <v>185</v>
      </c>
      <c r="C182" s="39" t="s">
        <v>186</v>
      </c>
      <c r="D182" s="38" t="s">
        <v>156</v>
      </c>
    </row>
    <row r="183" spans="1:4" x14ac:dyDescent="0.15">
      <c r="A183" s="38">
        <v>11209</v>
      </c>
      <c r="B183" s="39" t="s">
        <v>158</v>
      </c>
      <c r="C183" s="39" t="s">
        <v>155</v>
      </c>
      <c r="D183" s="38" t="s">
        <v>159</v>
      </c>
    </row>
    <row r="184" spans="1:4" x14ac:dyDescent="0.15">
      <c r="A184" s="37">
        <v>11210</v>
      </c>
      <c r="B184" s="40" t="s">
        <v>157</v>
      </c>
      <c r="C184" s="40" t="s">
        <v>162</v>
      </c>
      <c r="D184" s="37" t="s">
        <v>160</v>
      </c>
    </row>
    <row r="185" spans="1:4" x14ac:dyDescent="0.15">
      <c r="A185" s="37">
        <v>11211</v>
      </c>
      <c r="B185" s="40" t="s">
        <v>163</v>
      </c>
      <c r="C185" s="40" t="s">
        <v>168</v>
      </c>
      <c r="D185" s="37" t="s">
        <v>161</v>
      </c>
    </row>
    <row r="186" spans="1:4" x14ac:dyDescent="0.15">
      <c r="A186" s="37">
        <v>11212</v>
      </c>
      <c r="B186" s="40" t="s">
        <v>163</v>
      </c>
      <c r="C186" s="40" t="s">
        <v>169</v>
      </c>
      <c r="D186" s="37" t="s">
        <v>164</v>
      </c>
    </row>
    <row r="187" spans="1:4" x14ac:dyDescent="0.15">
      <c r="A187" s="37">
        <v>11213</v>
      </c>
      <c r="B187" s="40" t="s">
        <v>163</v>
      </c>
      <c r="C187" s="40" t="s">
        <v>168</v>
      </c>
      <c r="D187" s="37" t="s">
        <v>165</v>
      </c>
    </row>
    <row r="188" spans="1:4" x14ac:dyDescent="0.15">
      <c r="A188" s="37">
        <v>11214</v>
      </c>
      <c r="B188" s="40" t="s">
        <v>188</v>
      </c>
      <c r="C188" s="41" t="s">
        <v>166</v>
      </c>
      <c r="D188" s="37" t="s">
        <v>167</v>
      </c>
    </row>
    <row r="189" spans="1:4" x14ac:dyDescent="0.15">
      <c r="A189" s="37">
        <v>11215</v>
      </c>
      <c r="B189" s="40" t="s">
        <v>191</v>
      </c>
      <c r="C189" s="41" t="s">
        <v>166</v>
      </c>
      <c r="D189" s="37" t="s">
        <v>182</v>
      </c>
    </row>
    <row r="190" spans="1:4" x14ac:dyDescent="0.15">
      <c r="A190" s="37">
        <v>11216</v>
      </c>
      <c r="B190" s="40" t="s">
        <v>299</v>
      </c>
      <c r="C190" s="41" t="s">
        <v>201</v>
      </c>
      <c r="D190" s="37" t="s">
        <v>187</v>
      </c>
    </row>
    <row r="191" spans="1:4" x14ac:dyDescent="0.15">
      <c r="A191" s="37">
        <v>11217</v>
      </c>
      <c r="B191" s="40" t="s">
        <v>202</v>
      </c>
      <c r="C191" s="41" t="s">
        <v>203</v>
      </c>
      <c r="D191" s="37" t="s">
        <v>189</v>
      </c>
    </row>
    <row r="192" spans="1:4" x14ac:dyDescent="0.15">
      <c r="A192" s="37">
        <v>11218</v>
      </c>
      <c r="B192" s="40" t="s">
        <v>402</v>
      </c>
      <c r="C192" s="41" t="s">
        <v>403</v>
      </c>
      <c r="D192" s="37" t="s">
        <v>321</v>
      </c>
    </row>
    <row r="193" spans="1:4" x14ac:dyDescent="0.15">
      <c r="A193" s="37">
        <v>11219</v>
      </c>
      <c r="B193" s="40" t="s">
        <v>404</v>
      </c>
      <c r="C193" s="41" t="s">
        <v>405</v>
      </c>
      <c r="D193" s="37" t="s">
        <v>319</v>
      </c>
    </row>
    <row r="194" spans="1:4" x14ac:dyDescent="0.15">
      <c r="A194" s="37">
        <v>11220</v>
      </c>
      <c r="B194" s="40" t="s">
        <v>406</v>
      </c>
      <c r="C194" s="41" t="s">
        <v>403</v>
      </c>
      <c r="D194" s="37" t="s">
        <v>320</v>
      </c>
    </row>
    <row r="195" spans="1:4" x14ac:dyDescent="0.15">
      <c r="A195" s="37">
        <v>11221</v>
      </c>
      <c r="B195" s="40" t="s">
        <v>402</v>
      </c>
      <c r="C195" s="41" t="s">
        <v>403</v>
      </c>
      <c r="D195" s="37" t="s">
        <v>318</v>
      </c>
    </row>
    <row r="196" spans="1:4" x14ac:dyDescent="0.15">
      <c r="A196" s="37">
        <v>11222</v>
      </c>
      <c r="B196" s="40" t="s">
        <v>402</v>
      </c>
      <c r="C196" s="41" t="s">
        <v>403</v>
      </c>
      <c r="D196" s="37" t="s">
        <v>318</v>
      </c>
    </row>
    <row r="197" spans="1:4" x14ac:dyDescent="0.15">
      <c r="A197" s="37">
        <v>11223</v>
      </c>
      <c r="B197" s="40" t="s">
        <v>402</v>
      </c>
      <c r="C197" s="41" t="s">
        <v>403</v>
      </c>
      <c r="D197" s="37" t="s">
        <v>318</v>
      </c>
    </row>
    <row r="198" spans="1:4" x14ac:dyDescent="0.15">
      <c r="A198" s="37">
        <v>11224</v>
      </c>
      <c r="B198" s="40" t="s">
        <v>402</v>
      </c>
      <c r="C198" s="41" t="s">
        <v>403</v>
      </c>
      <c r="D198" s="37" t="s">
        <v>390</v>
      </c>
    </row>
    <row r="199" spans="1:4" x14ac:dyDescent="0.15">
      <c r="A199" s="37">
        <v>11225</v>
      </c>
      <c r="B199" s="40" t="s">
        <v>461</v>
      </c>
      <c r="C199" s="40" t="s">
        <v>462</v>
      </c>
      <c r="D199" s="37" t="s">
        <v>391</v>
      </c>
    </row>
    <row r="200" spans="1:4" x14ac:dyDescent="0.15">
      <c r="A200" s="37">
        <v>11226</v>
      </c>
      <c r="B200" s="40" t="s">
        <v>394</v>
      </c>
      <c r="C200" s="40" t="s">
        <v>395</v>
      </c>
      <c r="D200" s="37" t="s">
        <v>391</v>
      </c>
    </row>
    <row r="201" spans="1:4" x14ac:dyDescent="0.15">
      <c r="A201" s="37">
        <v>1001</v>
      </c>
      <c r="B201" s="40" t="s">
        <v>398</v>
      </c>
      <c r="C201" s="40" t="s">
        <v>401</v>
      </c>
      <c r="D201" s="18" t="s">
        <v>396</v>
      </c>
    </row>
    <row r="202" spans="1:4" x14ac:dyDescent="0.15">
      <c r="A202" s="18">
        <v>1002</v>
      </c>
      <c r="B202" s="40" t="s">
        <v>399</v>
      </c>
      <c r="C202" s="40" t="s">
        <v>400</v>
      </c>
      <c r="D202" s="18" t="s">
        <v>397</v>
      </c>
    </row>
    <row r="203" spans="1:4" x14ac:dyDescent="0.15">
      <c r="A203" s="37">
        <v>1003</v>
      </c>
      <c r="B203" s="40" t="s">
        <v>605</v>
      </c>
      <c r="C203" s="40" t="s">
        <v>603</v>
      </c>
      <c r="D203" s="18" t="s">
        <v>602</v>
      </c>
    </row>
    <row r="204" spans="1:4" x14ac:dyDescent="0.15">
      <c r="A204" s="37">
        <v>1004</v>
      </c>
      <c r="B204" s="40" t="s">
        <v>600</v>
      </c>
      <c r="C204" s="40" t="s">
        <v>601</v>
      </c>
      <c r="D204" s="18" t="s">
        <v>599</v>
      </c>
    </row>
    <row r="205" spans="1:4" x14ac:dyDescent="0.15">
      <c r="A205" s="37">
        <v>1005</v>
      </c>
      <c r="B205" s="40" t="s">
        <v>407</v>
      </c>
      <c r="C205" s="40" t="s">
        <v>408</v>
      </c>
      <c r="D205" s="18" t="s">
        <v>604</v>
      </c>
    </row>
    <row r="206" spans="1:4" x14ac:dyDescent="0.15">
      <c r="A206" s="37">
        <v>1006</v>
      </c>
      <c r="B206" s="40" t="s">
        <v>409</v>
      </c>
      <c r="C206" s="41" t="s">
        <v>411</v>
      </c>
      <c r="D206" s="18" t="s">
        <v>391</v>
      </c>
    </row>
    <row r="207" spans="1:4" x14ac:dyDescent="0.15">
      <c r="A207" s="37">
        <v>1007</v>
      </c>
      <c r="B207" s="40" t="s">
        <v>410</v>
      </c>
      <c r="C207" s="41" t="s">
        <v>412</v>
      </c>
      <c r="D207" s="18" t="s">
        <v>441</v>
      </c>
    </row>
    <row r="208" spans="1:4" x14ac:dyDescent="0.15">
      <c r="A208" s="37">
        <v>1008</v>
      </c>
      <c r="B208" s="40" t="s">
        <v>530</v>
      </c>
      <c r="C208" s="41" t="s">
        <v>545</v>
      </c>
      <c r="D208" s="18" t="s">
        <v>531</v>
      </c>
    </row>
    <row r="209" spans="1:4" x14ac:dyDescent="0.15">
      <c r="A209" s="37">
        <v>1009</v>
      </c>
      <c r="B209" s="40" t="s">
        <v>550</v>
      </c>
      <c r="C209" s="41" t="s">
        <v>552</v>
      </c>
      <c r="D209" s="18" t="s">
        <v>551</v>
      </c>
    </row>
    <row r="210" spans="1:4" x14ac:dyDescent="0.15">
      <c r="A210" s="37">
        <v>1010</v>
      </c>
      <c r="B210" s="40" t="s">
        <v>553</v>
      </c>
      <c r="C210" s="41" t="s">
        <v>554</v>
      </c>
      <c r="D210" s="18" t="s">
        <v>555</v>
      </c>
    </row>
    <row r="211" spans="1:4" x14ac:dyDescent="0.15">
      <c r="A211" s="37">
        <v>1011</v>
      </c>
      <c r="B211" s="40" t="s">
        <v>570</v>
      </c>
      <c r="C211" s="41" t="s">
        <v>573</v>
      </c>
      <c r="D211" s="18" t="s">
        <v>571</v>
      </c>
    </row>
    <row r="212" spans="1:4" x14ac:dyDescent="0.15">
      <c r="A212" s="37">
        <v>1012</v>
      </c>
      <c r="B212" s="40" t="s">
        <v>574</v>
      </c>
      <c r="C212" s="41" t="s">
        <v>575</v>
      </c>
      <c r="D212" s="18" t="s">
        <v>572</v>
      </c>
    </row>
    <row r="213" spans="1:4" x14ac:dyDescent="0.15">
      <c r="A213" s="37">
        <v>1013</v>
      </c>
      <c r="B213" s="40" t="s">
        <v>570</v>
      </c>
      <c r="C213" s="41" t="s">
        <v>577</v>
      </c>
      <c r="D213" s="18" t="s">
        <v>576</v>
      </c>
    </row>
    <row r="214" spans="1:4" x14ac:dyDescent="0.15">
      <c r="A214" s="37">
        <v>1014</v>
      </c>
      <c r="B214" s="40" t="s">
        <v>580</v>
      </c>
      <c r="C214" s="41" t="s">
        <v>581</v>
      </c>
      <c r="D214" s="18" t="s">
        <v>582</v>
      </c>
    </row>
    <row r="215" spans="1:4" x14ac:dyDescent="0.15">
      <c r="A215" s="37">
        <v>1015</v>
      </c>
      <c r="B215" s="40" t="s">
        <v>583</v>
      </c>
      <c r="C215" s="41" t="s">
        <v>588</v>
      </c>
      <c r="D215" s="18" t="s">
        <v>584</v>
      </c>
    </row>
    <row r="216" spans="1:4" x14ac:dyDescent="0.15">
      <c r="A216" s="37">
        <v>1016</v>
      </c>
      <c r="B216" s="40" t="s">
        <v>586</v>
      </c>
      <c r="C216" s="41" t="s">
        <v>587</v>
      </c>
      <c r="D216" s="18" t="s">
        <v>585</v>
      </c>
    </row>
    <row r="217" spans="1:4" x14ac:dyDescent="0.15">
      <c r="A217" s="37">
        <v>1017</v>
      </c>
      <c r="B217" s="40" t="s">
        <v>589</v>
      </c>
      <c r="C217" s="41" t="s">
        <v>590</v>
      </c>
      <c r="D217" s="18" t="s">
        <v>591</v>
      </c>
    </row>
    <row r="218" spans="1:4" x14ac:dyDescent="0.15">
      <c r="A218" s="37">
        <v>1018</v>
      </c>
      <c r="B218" s="40" t="s">
        <v>592</v>
      </c>
      <c r="C218" s="41" t="s">
        <v>598</v>
      </c>
      <c r="D218" s="18" t="s">
        <v>593</v>
      </c>
    </row>
    <row r="219" spans="1:4" x14ac:dyDescent="0.15">
      <c r="A219" s="37">
        <v>1019</v>
      </c>
      <c r="B219" s="40" t="s">
        <v>595</v>
      </c>
      <c r="C219" s="29" t="s">
        <v>596</v>
      </c>
      <c r="D219" s="18" t="s">
        <v>594</v>
      </c>
    </row>
    <row r="220" spans="1:4" x14ac:dyDescent="0.15">
      <c r="A220" s="64">
        <v>1020</v>
      </c>
      <c r="B220" s="66" t="s">
        <v>607</v>
      </c>
      <c r="C220" s="67" t="s">
        <v>608</v>
      </c>
      <c r="D220" s="65" t="s">
        <v>606</v>
      </c>
    </row>
    <row r="221" spans="1:4" x14ac:dyDescent="0.15">
      <c r="A221" s="64">
        <v>1021</v>
      </c>
      <c r="B221" s="66" t="s">
        <v>610</v>
      </c>
      <c r="C221" s="67" t="s">
        <v>609</v>
      </c>
      <c r="D221" s="65" t="s">
        <v>611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C206"/>
  <sheetViews>
    <sheetView showGridLines="0" workbookViewId="0">
      <pane ySplit="2" topLeftCell="A13" activePane="bottomLeft" state="frozen"/>
      <selection pane="bottomLeft" activeCell="A2" sqref="A2:C2"/>
    </sheetView>
  </sheetViews>
  <sheetFormatPr baseColWidth="12" defaultColWidth="13" defaultRowHeight="15" x14ac:dyDescent="0.15"/>
  <cols>
    <col min="1" max="1" width="9.83203125" style="5" bestFit="1" customWidth="1"/>
    <col min="2" max="2" width="17" style="5" bestFit="1" customWidth="1"/>
    <col min="3" max="3" width="14.6640625" style="5" bestFit="1" customWidth="1"/>
    <col min="4" max="16384" width="13" style="4"/>
  </cols>
  <sheetData>
    <row r="1" spans="1:3" s="1" customFormat="1" x14ac:dyDescent="0.15">
      <c r="A1" s="1">
        <f>MATCH(A2,INDIRECT(C1&amp;"!A:A"))-2</f>
        <v>-1</v>
      </c>
      <c r="B1" s="2" t="str">
        <f>"$"&amp;2+$A$1&amp;":$"&amp;2+$A$1</f>
        <v>$1:$1</v>
      </c>
      <c r="C1" s="1" t="str">
        <f>SUBSTITUTE(RIGHT(CELL("filename",$C$1),LEN(CELL("filename",$C$1))-FIND("]",CELL("filename",$C$1))),".csv","")</f>
        <v>periods</v>
      </c>
    </row>
    <row r="2" spans="1:3" s="8" customFormat="1" x14ac:dyDescent="0.15">
      <c r="A2" s="7" t="s">
        <v>3</v>
      </c>
      <c r="B2" s="7" t="s">
        <v>4</v>
      </c>
      <c r="C2" s="7" t="s">
        <v>5</v>
      </c>
    </row>
    <row r="3" spans="1:3" x14ac:dyDescent="0.15">
      <c r="A3" s="3">
        <f>INDIRECT(ADDRESS(ROW()+$A$1,COLUMN(),1,TRUE,$C$1))</f>
        <v>0</v>
      </c>
      <c r="B3" s="3" t="str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2015-03-27 00:00:00</v>
      </c>
      <c r="C3" s="3" t="str">
        <f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2970-01-01 09:00:00</v>
      </c>
    </row>
    <row r="4" spans="1:3" x14ac:dyDescent="0.15">
      <c r="A4" s="3">
        <f t="shared" ref="A4:A67" si="0">INDIRECT(ADDRESS(ROW()+$A$1,COLUMN(),1,TRUE,$C$1))</f>
        <v>5010</v>
      </c>
      <c r="B4" s="3" t="str">
        <f t="shared" ref="B4:C35" si="1"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2015-03-01 09:00:00</v>
      </c>
      <c r="C4" s="3" t="str">
        <f t="shared" si="1"/>
        <v>2015-08-28 14:59:59</v>
      </c>
    </row>
    <row r="5" spans="1:3" x14ac:dyDescent="0.15">
      <c r="A5" s="3">
        <f t="shared" si="0"/>
        <v>5011</v>
      </c>
      <c r="B5" s="3" t="str">
        <f t="shared" si="1"/>
        <v>2500-08-20 15:00:00</v>
      </c>
      <c r="C5" s="3" t="str">
        <f t="shared" si="1"/>
        <v>2500-08-25 14:59:59</v>
      </c>
    </row>
    <row r="6" spans="1:3" x14ac:dyDescent="0.15">
      <c r="A6" s="3">
        <f t="shared" si="0"/>
        <v>5020</v>
      </c>
      <c r="B6" s="3" t="str">
        <f t="shared" si="1"/>
        <v>2015-09-02 15:00:00</v>
      </c>
      <c r="C6" s="3" t="str">
        <f t="shared" si="1"/>
        <v>2015-09-11 14:59:59</v>
      </c>
    </row>
    <row r="7" spans="1:3" x14ac:dyDescent="0.15">
      <c r="A7" s="3">
        <f t="shared" si="0"/>
        <v>5021</v>
      </c>
      <c r="B7" s="3" t="str">
        <f t="shared" si="1"/>
        <v>2015-08-28 15:00:00</v>
      </c>
      <c r="C7" s="3" t="str">
        <f t="shared" si="1"/>
        <v>2015-09-02 14:59:59</v>
      </c>
    </row>
    <row r="8" spans="1:3" x14ac:dyDescent="0.15">
      <c r="A8" s="3">
        <f t="shared" si="0"/>
        <v>5022</v>
      </c>
      <c r="B8" s="3" t="str">
        <f t="shared" si="1"/>
        <v>2015-09-11 15:00:00</v>
      </c>
      <c r="C8" s="3" t="str">
        <f t="shared" si="1"/>
        <v>2015-09-13 23:59:59</v>
      </c>
    </row>
    <row r="9" spans="1:3" x14ac:dyDescent="0.15">
      <c r="A9" s="3">
        <f t="shared" si="0"/>
        <v>5023</v>
      </c>
      <c r="B9" s="3" t="str">
        <f t="shared" si="1"/>
        <v>2015-09-14 00:00:00</v>
      </c>
      <c r="C9" s="3" t="str">
        <f t="shared" si="1"/>
        <v>2015-09-14 23:59:59</v>
      </c>
    </row>
    <row r="10" spans="1:3" x14ac:dyDescent="0.15">
      <c r="A10" s="3">
        <f t="shared" si="0"/>
        <v>5024</v>
      </c>
      <c r="B10" s="3" t="str">
        <f t="shared" si="1"/>
        <v>2015-09-15 00:00:00</v>
      </c>
      <c r="C10" s="3" t="str">
        <f t="shared" si="1"/>
        <v>2015-09-15 14:59:59</v>
      </c>
    </row>
    <row r="11" spans="1:3" x14ac:dyDescent="0.15">
      <c r="A11" s="3">
        <f t="shared" si="0"/>
        <v>5025</v>
      </c>
      <c r="B11" s="3" t="str">
        <f t="shared" si="1"/>
        <v>2015-09-15 15:00:00</v>
      </c>
      <c r="C11" s="3" t="str">
        <f t="shared" si="1"/>
        <v>2015-09-16 14:59:59</v>
      </c>
    </row>
    <row r="12" spans="1:3" x14ac:dyDescent="0.15">
      <c r="A12" s="3">
        <f t="shared" si="0"/>
        <v>5026</v>
      </c>
      <c r="B12" s="3" t="str">
        <f t="shared" si="1"/>
        <v>2015-09-16 15:00:00</v>
      </c>
      <c r="C12" s="3" t="str">
        <f t="shared" si="1"/>
        <v>2015-09-22 14:59:59</v>
      </c>
    </row>
    <row r="13" spans="1:3" x14ac:dyDescent="0.15">
      <c r="A13" s="3">
        <f t="shared" si="0"/>
        <v>5027</v>
      </c>
      <c r="B13" s="3" t="str">
        <f t="shared" si="1"/>
        <v>2015-09-26 15:00:00</v>
      </c>
      <c r="C13" s="3" t="str">
        <f t="shared" si="1"/>
        <v>2015-09-26 23:59:59</v>
      </c>
    </row>
    <row r="14" spans="1:3" x14ac:dyDescent="0.15">
      <c r="A14" s="3">
        <f t="shared" si="0"/>
        <v>5033</v>
      </c>
      <c r="B14" s="3" t="str">
        <f t="shared" si="1"/>
        <v>2015-09-28 00:00:00</v>
      </c>
      <c r="C14" s="3" t="str">
        <f t="shared" si="1"/>
        <v>2015-09-28 14:59:59</v>
      </c>
    </row>
    <row r="15" spans="1:3" x14ac:dyDescent="0.15">
      <c r="A15" s="3">
        <f t="shared" si="0"/>
        <v>5028</v>
      </c>
      <c r="B15" s="3" t="str">
        <f t="shared" si="1"/>
        <v>2015-09-27 00:00:00</v>
      </c>
      <c r="C15" s="3" t="str">
        <f t="shared" si="1"/>
        <v>2015-09-27 23:59:59</v>
      </c>
    </row>
    <row r="16" spans="1:3" x14ac:dyDescent="0.15">
      <c r="A16" s="3">
        <f t="shared" si="0"/>
        <v>5029</v>
      </c>
      <c r="B16" s="3" t="str">
        <f t="shared" si="1"/>
        <v>2015-09-28 15:00:00</v>
      </c>
      <c r="C16" s="3" t="str">
        <f t="shared" si="1"/>
        <v>2015-09-30 14:59:59</v>
      </c>
    </row>
    <row r="17" spans="1:3" x14ac:dyDescent="0.15">
      <c r="A17" s="3">
        <f t="shared" si="0"/>
        <v>5030</v>
      </c>
      <c r="B17" s="3" t="str">
        <f t="shared" si="1"/>
        <v>2015-09-22 15:00:00</v>
      </c>
      <c r="C17" s="3" t="str">
        <f t="shared" si="1"/>
        <v>2015-09-23 23:59:59</v>
      </c>
    </row>
    <row r="18" spans="1:3" x14ac:dyDescent="0.15">
      <c r="A18" s="3">
        <f t="shared" si="0"/>
        <v>5031</v>
      </c>
      <c r="B18" s="3" t="str">
        <f t="shared" si="1"/>
        <v>2015-09-24 00:00:00</v>
      </c>
      <c r="C18" s="3" t="str">
        <f t="shared" si="1"/>
        <v>2015-09-24 23:59:59</v>
      </c>
    </row>
    <row r="19" spans="1:3" x14ac:dyDescent="0.15">
      <c r="A19" s="3">
        <f t="shared" si="0"/>
        <v>5032</v>
      </c>
      <c r="B19" s="3" t="str">
        <f t="shared" si="1"/>
        <v>2015-09-25 00:00:00</v>
      </c>
      <c r="C19" s="3" t="str">
        <f t="shared" si="1"/>
        <v>2015-09-25 14:59:59</v>
      </c>
    </row>
    <row r="20" spans="1:3" x14ac:dyDescent="0.15">
      <c r="A20" s="3">
        <f t="shared" si="0"/>
        <v>5034</v>
      </c>
      <c r="B20" s="3" t="str">
        <f t="shared" si="1"/>
        <v>2015-09-25 15:00:00</v>
      </c>
      <c r="C20" s="3" t="str">
        <f t="shared" si="1"/>
        <v>2015-09-26 14:59:59</v>
      </c>
    </row>
    <row r="21" spans="1:3" x14ac:dyDescent="0.15">
      <c r="A21" s="3">
        <f t="shared" si="0"/>
        <v>5035</v>
      </c>
      <c r="B21" s="3" t="str">
        <f t="shared" si="1"/>
        <v>2015-09-30 15:00:00</v>
      </c>
      <c r="C21" s="3" t="str">
        <f t="shared" si="1"/>
        <v>2015-10-03 23:59:59</v>
      </c>
    </row>
    <row r="22" spans="1:3" x14ac:dyDescent="0.15">
      <c r="A22" s="3">
        <f t="shared" si="0"/>
        <v>5036</v>
      </c>
      <c r="B22" s="3" t="str">
        <f t="shared" si="1"/>
        <v>2015-10-05 15:00:00</v>
      </c>
      <c r="C22" s="3" t="str">
        <f t="shared" si="1"/>
        <v>2015-10-05 23:59:59</v>
      </c>
    </row>
    <row r="23" spans="1:3" x14ac:dyDescent="0.15">
      <c r="A23" s="3">
        <f t="shared" si="0"/>
        <v>5037</v>
      </c>
      <c r="B23" s="3" t="str">
        <f t="shared" si="1"/>
        <v>2015-10-06 00:00:00</v>
      </c>
      <c r="C23" s="3" t="str">
        <f t="shared" si="1"/>
        <v>2015-10-06 23:59:59</v>
      </c>
    </row>
    <row r="24" spans="1:3" x14ac:dyDescent="0.15">
      <c r="A24" s="3">
        <f t="shared" si="0"/>
        <v>5038</v>
      </c>
      <c r="B24" s="3" t="str">
        <f t="shared" si="1"/>
        <v>2015-10-07 00:00:00</v>
      </c>
      <c r="C24" s="3" t="str">
        <f t="shared" si="1"/>
        <v>2015-10-07 14:59:59</v>
      </c>
    </row>
    <row r="25" spans="1:3" x14ac:dyDescent="0.15">
      <c r="A25" s="3">
        <f t="shared" si="0"/>
        <v>5039</v>
      </c>
      <c r="B25" s="3" t="str">
        <f t="shared" si="1"/>
        <v>2015-10-08 15:00:00</v>
      </c>
      <c r="C25" s="3" t="str">
        <f t="shared" si="1"/>
        <v>2015-10-08 23:59:59</v>
      </c>
    </row>
    <row r="26" spans="1:3" x14ac:dyDescent="0.15">
      <c r="A26" s="3">
        <f t="shared" si="0"/>
        <v>5040</v>
      </c>
      <c r="B26" s="3" t="str">
        <f t="shared" si="1"/>
        <v>2015-10-10 15:00:00</v>
      </c>
      <c r="C26" s="3" t="str">
        <f t="shared" si="1"/>
        <v>2015-10-11 23:59:59</v>
      </c>
    </row>
    <row r="27" spans="1:3" x14ac:dyDescent="0.15">
      <c r="A27" s="3">
        <f t="shared" si="0"/>
        <v>5041</v>
      </c>
      <c r="B27" s="3" t="str">
        <f t="shared" si="1"/>
        <v>2015-10-12 00:00:00</v>
      </c>
      <c r="C27" s="3" t="str">
        <f t="shared" si="1"/>
        <v>2015-10-12 23:59:59</v>
      </c>
    </row>
    <row r="28" spans="1:3" x14ac:dyDescent="0.15">
      <c r="A28" s="3">
        <f t="shared" si="0"/>
        <v>5042</v>
      </c>
      <c r="B28" s="3" t="str">
        <f t="shared" si="1"/>
        <v>2015-10-13 00:00:00</v>
      </c>
      <c r="C28" s="3" t="str">
        <f t="shared" si="1"/>
        <v>2015-10-13 14:59:59</v>
      </c>
    </row>
    <row r="29" spans="1:3" x14ac:dyDescent="0.15">
      <c r="A29" s="3">
        <f t="shared" si="0"/>
        <v>5043</v>
      </c>
      <c r="B29" s="3" t="str">
        <f t="shared" si="1"/>
        <v>2015-10-12 15:00:00</v>
      </c>
      <c r="C29" s="3" t="str">
        <f t="shared" si="1"/>
        <v>2100-01-01 14:59:59</v>
      </c>
    </row>
    <row r="30" spans="1:3" x14ac:dyDescent="0.15">
      <c r="A30" s="3">
        <f t="shared" si="0"/>
        <v>5044</v>
      </c>
      <c r="B30" s="3" t="str">
        <f t="shared" si="1"/>
        <v>2015-10-04 00:00:00</v>
      </c>
      <c r="C30" s="3" t="str">
        <f t="shared" si="1"/>
        <v>2015-10-04 23:59:59</v>
      </c>
    </row>
    <row r="31" spans="1:3" x14ac:dyDescent="0.15">
      <c r="A31" s="3">
        <f t="shared" si="0"/>
        <v>5045</v>
      </c>
      <c r="B31" s="3" t="str">
        <f t="shared" si="1"/>
        <v>2015-10-05 00:00:00</v>
      </c>
      <c r="C31" s="3" t="str">
        <f t="shared" si="1"/>
        <v>2015-10-05 14:59:59</v>
      </c>
    </row>
    <row r="32" spans="1:3" x14ac:dyDescent="0.15">
      <c r="A32" s="3">
        <f t="shared" si="0"/>
        <v>5046</v>
      </c>
      <c r="B32" s="3" t="str">
        <f t="shared" si="1"/>
        <v>2015-10-07 15:00:00</v>
      </c>
      <c r="C32" s="3" t="str">
        <f t="shared" si="1"/>
        <v>2015-10-08 14:59:59</v>
      </c>
    </row>
    <row r="33" spans="1:3" x14ac:dyDescent="0.15">
      <c r="A33" s="3">
        <f t="shared" si="0"/>
        <v>5047</v>
      </c>
      <c r="B33" s="3" t="str">
        <f t="shared" si="1"/>
        <v>2015-10-09 00:00:00</v>
      </c>
      <c r="C33" s="3" t="str">
        <f t="shared" si="1"/>
        <v>2015-10-09 23:59:59</v>
      </c>
    </row>
    <row r="34" spans="1:3" x14ac:dyDescent="0.15">
      <c r="A34" s="3">
        <f t="shared" si="0"/>
        <v>5048</v>
      </c>
      <c r="B34" s="3" t="str">
        <f t="shared" si="1"/>
        <v>2015-10-10 00:00:00</v>
      </c>
      <c r="C34" s="3" t="str">
        <f t="shared" si="1"/>
        <v>2015-10-10 14:59:59</v>
      </c>
    </row>
    <row r="35" spans="1:3" x14ac:dyDescent="0.15">
      <c r="A35" s="3">
        <f t="shared" si="0"/>
        <v>5049</v>
      </c>
      <c r="B35" s="3" t="str">
        <f t="shared" si="1"/>
        <v>2015-10-13 15:00:00</v>
      </c>
      <c r="C35" s="3" t="str">
        <f t="shared" si="1"/>
        <v>2015-10-14 23:59:59</v>
      </c>
    </row>
    <row r="36" spans="1:3" x14ac:dyDescent="0.15">
      <c r="A36" s="3">
        <f t="shared" si="0"/>
        <v>5050</v>
      </c>
      <c r="B36" s="3" t="str">
        <f t="shared" ref="B36:C67" si="2">VLOOKUP($A36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2015-10-15 00:00:00</v>
      </c>
      <c r="C36" s="3" t="str">
        <f t="shared" si="2"/>
        <v>2015-10-15 23:59:59</v>
      </c>
    </row>
    <row r="37" spans="1:3" x14ac:dyDescent="0.15">
      <c r="A37" s="3">
        <f t="shared" si="0"/>
        <v>5051</v>
      </c>
      <c r="B37" s="3" t="str">
        <f t="shared" si="2"/>
        <v>2015-10-16 00:00:00</v>
      </c>
      <c r="C37" s="3" t="str">
        <f t="shared" si="2"/>
        <v>2015-10-16 14:59:59</v>
      </c>
    </row>
    <row r="38" spans="1:3" x14ac:dyDescent="0.15">
      <c r="A38" s="3">
        <f t="shared" si="0"/>
        <v>5052</v>
      </c>
      <c r="B38" s="3" t="str">
        <f t="shared" si="2"/>
        <v>2015-10-16 15:00:00</v>
      </c>
      <c r="C38" s="3" t="str">
        <f t="shared" si="2"/>
        <v>2015-10-17 23:59:59</v>
      </c>
    </row>
    <row r="39" spans="1:3" x14ac:dyDescent="0.15">
      <c r="A39" s="3">
        <f t="shared" si="0"/>
        <v>5053</v>
      </c>
      <c r="B39" s="3" t="str">
        <f t="shared" si="2"/>
        <v>2015-10-18 00:00:00</v>
      </c>
      <c r="C39" s="3" t="str">
        <f t="shared" si="2"/>
        <v>2015-10-18 23:59:59</v>
      </c>
    </row>
    <row r="40" spans="1:3" x14ac:dyDescent="0.15">
      <c r="A40" s="3">
        <f t="shared" si="0"/>
        <v>5054</v>
      </c>
      <c r="B40" s="3" t="str">
        <f t="shared" si="2"/>
        <v>2015-10-19 00:00:00</v>
      </c>
      <c r="C40" s="3" t="str">
        <f t="shared" si="2"/>
        <v>2015-10-19 14:59:59</v>
      </c>
    </row>
    <row r="41" spans="1:3" x14ac:dyDescent="0.15">
      <c r="A41" s="3">
        <f t="shared" si="0"/>
        <v>5055</v>
      </c>
      <c r="B41" s="3" t="str">
        <f t="shared" si="2"/>
        <v>2015-10-19 15:00:00</v>
      </c>
      <c r="C41" s="3" t="str">
        <f t="shared" si="2"/>
        <v>2015-10-21 23:59:59</v>
      </c>
    </row>
    <row r="42" spans="1:3" x14ac:dyDescent="0.15">
      <c r="A42" s="3">
        <f t="shared" si="0"/>
        <v>5056</v>
      </c>
      <c r="B42" s="3" t="str">
        <f t="shared" si="2"/>
        <v>2015-10-22 00:00:00</v>
      </c>
      <c r="C42" s="3" t="str">
        <f t="shared" si="2"/>
        <v>2015-10-22 23:59:59</v>
      </c>
    </row>
    <row r="43" spans="1:3" x14ac:dyDescent="0.15">
      <c r="A43" s="3">
        <f t="shared" si="0"/>
        <v>5057</v>
      </c>
      <c r="B43" s="3" t="str">
        <f t="shared" si="2"/>
        <v>2015-10-23 00:00:00</v>
      </c>
      <c r="C43" s="3" t="str">
        <f t="shared" si="2"/>
        <v>2015-10-23 14:59:59</v>
      </c>
    </row>
    <row r="44" spans="1:3" x14ac:dyDescent="0.15">
      <c r="A44" s="3">
        <f t="shared" si="0"/>
        <v>5058</v>
      </c>
      <c r="B44" s="3" t="str">
        <f t="shared" si="2"/>
        <v>2015-10-23 15:00:00</v>
      </c>
      <c r="C44" s="3" t="str">
        <f t="shared" si="2"/>
        <v>2015-10-28 14:59:59</v>
      </c>
    </row>
    <row r="45" spans="1:3" x14ac:dyDescent="0.15">
      <c r="A45" s="3">
        <f t="shared" si="0"/>
        <v>5059</v>
      </c>
      <c r="B45" s="3" t="str">
        <f t="shared" si="2"/>
        <v>2015-10-28 00:00:00</v>
      </c>
      <c r="C45" s="3" t="str">
        <f t="shared" si="2"/>
        <v>2015-10-28 14:59:59</v>
      </c>
    </row>
    <row r="46" spans="1:3" x14ac:dyDescent="0.15">
      <c r="A46" s="3">
        <f t="shared" si="0"/>
        <v>5060</v>
      </c>
      <c r="B46" s="3" t="str">
        <f t="shared" si="2"/>
        <v>2015-10-28 15:00:00</v>
      </c>
      <c r="C46" s="3" t="str">
        <f t="shared" si="2"/>
        <v>2015-10-31 14:59:59</v>
      </c>
    </row>
    <row r="47" spans="1:3" x14ac:dyDescent="0.15">
      <c r="A47" s="3">
        <f t="shared" si="0"/>
        <v>5061</v>
      </c>
      <c r="B47" s="3" t="str">
        <f t="shared" si="2"/>
        <v>2015-10-31 00:00:00</v>
      </c>
      <c r="C47" s="3" t="str">
        <f t="shared" si="2"/>
        <v>2015-10-31 14:59:59</v>
      </c>
    </row>
    <row r="48" spans="1:3" x14ac:dyDescent="0.15">
      <c r="A48" s="3">
        <f t="shared" si="0"/>
        <v>5062</v>
      </c>
      <c r="B48" s="3" t="str">
        <f t="shared" si="2"/>
        <v>2015-11-02 15:00:00</v>
      </c>
      <c r="C48" s="3" t="str">
        <f t="shared" si="2"/>
        <v>2015-11-08 14:59:59</v>
      </c>
    </row>
    <row r="49" spans="1:3" x14ac:dyDescent="0.15">
      <c r="A49" s="3">
        <f t="shared" si="0"/>
        <v>5063</v>
      </c>
      <c r="B49" s="3" t="str">
        <f t="shared" si="2"/>
        <v>2015-11-08 00:00:00</v>
      </c>
      <c r="C49" s="3" t="str">
        <f t="shared" si="2"/>
        <v>2015-11-08 14:59:59</v>
      </c>
    </row>
    <row r="50" spans="1:3" x14ac:dyDescent="0.15">
      <c r="A50" s="3">
        <f t="shared" si="0"/>
        <v>5064</v>
      </c>
      <c r="B50" s="3" t="str">
        <f t="shared" si="2"/>
        <v>2015-11-08 15:00:00</v>
      </c>
      <c r="C50" s="3" t="str">
        <f t="shared" si="2"/>
        <v>2015-11-16 14:59:59</v>
      </c>
    </row>
    <row r="51" spans="1:3" x14ac:dyDescent="0.15">
      <c r="A51" s="3">
        <f t="shared" si="0"/>
        <v>5065</v>
      </c>
      <c r="B51" s="3" t="str">
        <f t="shared" si="2"/>
        <v>2015-10-31 15:00:00</v>
      </c>
      <c r="C51" s="3" t="str">
        <f t="shared" si="2"/>
        <v>2015-11-02 14:59:59</v>
      </c>
    </row>
    <row r="52" spans="1:3" x14ac:dyDescent="0.15">
      <c r="A52" s="3">
        <f t="shared" si="0"/>
        <v>5066</v>
      </c>
      <c r="B52" s="3" t="str">
        <f t="shared" si="2"/>
        <v>2015-11-06 15:00:00</v>
      </c>
      <c r="C52" s="3" t="str">
        <f t="shared" si="2"/>
        <v>2015-11-08 14:59:59</v>
      </c>
    </row>
    <row r="53" spans="1:3" x14ac:dyDescent="0.15">
      <c r="A53" s="3">
        <f t="shared" si="0"/>
        <v>5067</v>
      </c>
      <c r="B53" s="3" t="str">
        <f t="shared" si="2"/>
        <v>2015-11-13 15:00:00</v>
      </c>
      <c r="C53" s="3" t="str">
        <f t="shared" si="2"/>
        <v>2015-11-16 14:59:59</v>
      </c>
    </row>
    <row r="54" spans="1:3" x14ac:dyDescent="0.15">
      <c r="A54" s="3">
        <f t="shared" si="0"/>
        <v>5068</v>
      </c>
      <c r="B54" s="3" t="str">
        <f t="shared" si="2"/>
        <v>2015-11-26 10:55:00</v>
      </c>
      <c r="C54" s="3" t="str">
        <f t="shared" si="2"/>
        <v>2015-11-30 14:59:59</v>
      </c>
    </row>
    <row r="55" spans="1:3" x14ac:dyDescent="0.15">
      <c r="A55" s="3">
        <f t="shared" si="0"/>
        <v>5069</v>
      </c>
      <c r="B55" s="3" t="str">
        <f t="shared" si="2"/>
        <v>2015-11-19 15:00:00</v>
      </c>
      <c r="C55" s="3" t="str">
        <f t="shared" si="2"/>
        <v>2015-11-30 14:59:59</v>
      </c>
    </row>
    <row r="56" spans="1:3" x14ac:dyDescent="0.15">
      <c r="A56" s="3">
        <f t="shared" si="0"/>
        <v>5070</v>
      </c>
      <c r="B56" s="3" t="str">
        <f t="shared" si="2"/>
        <v>2015-11-20 15:00:00</v>
      </c>
      <c r="C56" s="3" t="str">
        <f t="shared" si="2"/>
        <v>2015-11-30 14:59:59</v>
      </c>
    </row>
    <row r="57" spans="1:3" x14ac:dyDescent="0.15">
      <c r="A57" s="3">
        <f t="shared" si="0"/>
        <v>5071</v>
      </c>
      <c r="B57" s="3" t="str">
        <f t="shared" si="2"/>
        <v>2015-11-30 15:00:00</v>
      </c>
      <c r="C57" s="3" t="str">
        <f t="shared" si="2"/>
        <v>2015-12-3 14:59:59</v>
      </c>
    </row>
    <row r="58" spans="1:3" x14ac:dyDescent="0.15">
      <c r="A58" s="3">
        <f t="shared" si="0"/>
        <v>5072</v>
      </c>
      <c r="B58" s="3" t="str">
        <f t="shared" si="2"/>
        <v>2015-12-03 15:00:00</v>
      </c>
      <c r="C58" s="3" t="str">
        <f t="shared" si="2"/>
        <v>2015-12-14 14:59:59</v>
      </c>
    </row>
    <row r="59" spans="1:3" x14ac:dyDescent="0.15">
      <c r="A59" s="3">
        <f t="shared" si="0"/>
        <v>5073</v>
      </c>
      <c r="B59" s="3" t="str">
        <f t="shared" si="2"/>
        <v>2015-12-04 15:00:00</v>
      </c>
      <c r="C59" s="3" t="str">
        <f t="shared" si="2"/>
        <v>2015-12-11 14:59:59</v>
      </c>
    </row>
    <row r="60" spans="1:3" x14ac:dyDescent="0.15">
      <c r="A60" s="3">
        <f t="shared" si="0"/>
        <v>5074</v>
      </c>
      <c r="B60" s="3" t="str">
        <f t="shared" si="2"/>
        <v>2015-12-07 15:00:00</v>
      </c>
      <c r="C60" s="3" t="str">
        <f t="shared" si="2"/>
        <v>2015-12-14 14:59:59</v>
      </c>
    </row>
    <row r="61" spans="1:3" x14ac:dyDescent="0.15">
      <c r="A61" s="3">
        <f t="shared" si="0"/>
        <v>5075</v>
      </c>
      <c r="B61" s="3" t="str">
        <f t="shared" si="2"/>
        <v>2015-12-11 15:00:00</v>
      </c>
      <c r="C61" s="3" t="str">
        <f t="shared" si="2"/>
        <v>2015-12-18 14:59:59</v>
      </c>
    </row>
    <row r="62" spans="1:3" x14ac:dyDescent="0.15">
      <c r="A62" s="3">
        <f t="shared" si="0"/>
        <v>5076</v>
      </c>
      <c r="B62" s="3" t="str">
        <f t="shared" si="2"/>
        <v>2015-12-11 15:00:00</v>
      </c>
      <c r="C62" s="3" t="str">
        <f t="shared" si="2"/>
        <v>2015-12-13 14:59:59</v>
      </c>
    </row>
    <row r="63" spans="1:3" x14ac:dyDescent="0.15">
      <c r="A63" s="3">
        <f t="shared" si="0"/>
        <v>5077</v>
      </c>
      <c r="B63" s="3" t="str">
        <f t="shared" si="2"/>
        <v>2015-12-16 15:00:00</v>
      </c>
      <c r="C63" s="3" t="str">
        <f t="shared" si="2"/>
        <v>2015-12-25 14:59:59</v>
      </c>
    </row>
    <row r="64" spans="1:3" x14ac:dyDescent="0.15">
      <c r="A64" s="3">
        <f t="shared" si="0"/>
        <v>5078</v>
      </c>
      <c r="B64" s="3" t="str">
        <f t="shared" si="2"/>
        <v>2015-12-14 15:00:00</v>
      </c>
      <c r="C64" s="3" t="str">
        <f t="shared" si="2"/>
        <v>2015-12-18 14:59:59</v>
      </c>
    </row>
    <row r="65" spans="1:3" x14ac:dyDescent="0.15">
      <c r="A65" s="3">
        <f t="shared" si="0"/>
        <v>5079</v>
      </c>
      <c r="B65" s="3" t="str">
        <f t="shared" si="2"/>
        <v>2015-12-18 15:00:00</v>
      </c>
      <c r="C65" s="3" t="str">
        <f t="shared" si="2"/>
        <v>2015-12-25 14:59:59</v>
      </c>
    </row>
    <row r="66" spans="1:3" x14ac:dyDescent="0.15">
      <c r="A66" s="3">
        <f t="shared" si="0"/>
        <v>5080</v>
      </c>
      <c r="B66" s="3" t="str">
        <f t="shared" si="2"/>
        <v>2015-12-21 15:00:00</v>
      </c>
      <c r="C66" s="3" t="str">
        <f t="shared" si="2"/>
        <v>2015-12-26 14:59:59</v>
      </c>
    </row>
    <row r="67" spans="1:3" x14ac:dyDescent="0.15">
      <c r="A67" s="3">
        <f t="shared" si="0"/>
        <v>5081</v>
      </c>
      <c r="B67" s="3" t="str">
        <f t="shared" si="2"/>
        <v>2015-12-25 15:00:00</v>
      </c>
      <c r="C67" s="3" t="str">
        <f t="shared" si="2"/>
        <v>2016-01-05 14:59:59</v>
      </c>
    </row>
    <row r="68" spans="1:3" x14ac:dyDescent="0.15">
      <c r="A68" s="3">
        <f t="shared" ref="A68:A131" si="3">INDIRECT(ADDRESS(ROW()+$A$1,COLUMN(),1,TRUE,$C$1))</f>
        <v>5082</v>
      </c>
      <c r="B68" s="3" t="str">
        <f t="shared" ref="B68:C99" si="4">VLOOKUP($A68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2015-12-25 15:00:00</v>
      </c>
      <c r="C68" s="3" t="str">
        <f t="shared" si="4"/>
        <v>2015-12-31 14:59:59</v>
      </c>
    </row>
    <row r="69" spans="1:3" x14ac:dyDescent="0.15">
      <c r="A69" s="3">
        <f t="shared" si="3"/>
        <v>5083</v>
      </c>
      <c r="B69" s="3" t="str">
        <f t="shared" si="4"/>
        <v>2015-12-31 15:00:00</v>
      </c>
      <c r="C69" s="3" t="str">
        <f t="shared" si="4"/>
        <v>2016-01-01 14:59:59</v>
      </c>
    </row>
    <row r="70" spans="1:3" x14ac:dyDescent="0.15">
      <c r="A70" s="3">
        <f t="shared" si="3"/>
        <v>5084</v>
      </c>
      <c r="B70" s="3" t="str">
        <f t="shared" si="4"/>
        <v>2016-01-01 15:00:00</v>
      </c>
      <c r="C70" s="3" t="str">
        <f t="shared" si="4"/>
        <v>2016-01-02 14:59:59</v>
      </c>
    </row>
    <row r="71" spans="1:3" x14ac:dyDescent="0.15">
      <c r="A71" s="3">
        <f t="shared" si="3"/>
        <v>5085</v>
      </c>
      <c r="B71" s="3" t="str">
        <f t="shared" si="4"/>
        <v>2016-01-02 15:00:00</v>
      </c>
      <c r="C71" s="3" t="str">
        <f t="shared" si="4"/>
        <v>2016-01-08 14:59:59</v>
      </c>
    </row>
    <row r="72" spans="1:3" x14ac:dyDescent="0.15">
      <c r="A72" s="3">
        <f t="shared" si="3"/>
        <v>5000</v>
      </c>
      <c r="B72" s="3" t="str">
        <f t="shared" si="4"/>
        <v>2015-11-24 15:00:00</v>
      </c>
      <c r="C72" s="3" t="str">
        <f t="shared" si="4"/>
        <v>2015-11-27 14:59:59</v>
      </c>
    </row>
    <row r="73" spans="1:3" x14ac:dyDescent="0.15">
      <c r="A73" s="3">
        <f t="shared" si="3"/>
        <v>5001</v>
      </c>
      <c r="B73" s="3" t="str">
        <f t="shared" si="4"/>
        <v>2015-12-21 15:00:00</v>
      </c>
      <c r="C73" s="3" t="str">
        <f t="shared" si="4"/>
        <v>2015-12-25 14:59:59</v>
      </c>
    </row>
    <row r="74" spans="1:3" x14ac:dyDescent="0.15">
      <c r="A74" s="3">
        <f t="shared" si="3"/>
        <v>5999</v>
      </c>
      <c r="B74" s="3" t="str">
        <f t="shared" si="4"/>
        <v>2015-10-08 00:00:00</v>
      </c>
      <c r="C74" s="3" t="str">
        <f t="shared" si="4"/>
        <v>2015-10-08 23:59:59</v>
      </c>
    </row>
    <row r="75" spans="1:3" x14ac:dyDescent="0.15">
      <c r="A75" s="3">
        <f t="shared" si="3"/>
        <v>6000</v>
      </c>
      <c r="B75" s="3" t="str">
        <f t="shared" si="4"/>
        <v>2100-01-01 00:00:00</v>
      </c>
      <c r="C75" s="3" t="str">
        <f t="shared" si="4"/>
        <v>2100-01-01 23:59:59</v>
      </c>
    </row>
    <row r="76" spans="1:3" x14ac:dyDescent="0.15">
      <c r="A76" s="3">
        <f t="shared" si="3"/>
        <v>11</v>
      </c>
      <c r="B76" s="3" t="str">
        <f t="shared" si="4"/>
        <v>2015-11-25 15:00:00</v>
      </c>
      <c r="C76" s="3" t="str">
        <f t="shared" si="4"/>
        <v>2015-11-27 14:59:59</v>
      </c>
    </row>
    <row r="77" spans="1:3" x14ac:dyDescent="0.15">
      <c r="A77" s="3">
        <f t="shared" si="3"/>
        <v>12</v>
      </c>
      <c r="B77" s="3" t="str">
        <f t="shared" si="4"/>
        <v>2015-12-06 15:00:00</v>
      </c>
      <c r="C77" s="3" t="str">
        <f t="shared" si="4"/>
        <v>2015-12-08 14:59:59</v>
      </c>
    </row>
    <row r="78" spans="1:3" x14ac:dyDescent="0.15">
      <c r="A78" s="3">
        <f t="shared" si="3"/>
        <v>13</v>
      </c>
      <c r="B78" s="3" t="str">
        <f t="shared" si="4"/>
        <v>2015-12-07 15:00:00</v>
      </c>
      <c r="C78" s="3" t="str">
        <f t="shared" si="4"/>
        <v>2015-12-09 14:59:59</v>
      </c>
    </row>
    <row r="79" spans="1:3" x14ac:dyDescent="0.15">
      <c r="A79" s="3">
        <f t="shared" si="3"/>
        <v>14</v>
      </c>
      <c r="B79" s="3" t="str">
        <f t="shared" si="4"/>
        <v>2015-11-22 15:00:00</v>
      </c>
      <c r="C79" s="3" t="str">
        <f t="shared" si="4"/>
        <v>2015-11-24 14:59:59</v>
      </c>
    </row>
    <row r="80" spans="1:3" x14ac:dyDescent="0.15">
      <c r="A80" s="3">
        <f t="shared" si="3"/>
        <v>15</v>
      </c>
      <c r="B80" s="3" t="str">
        <f t="shared" si="4"/>
        <v>2014-12-01 15:00:00</v>
      </c>
      <c r="C80" s="3" t="str">
        <f t="shared" si="4"/>
        <v>2014-12-03 14:59:59</v>
      </c>
    </row>
    <row r="81" spans="1:3" x14ac:dyDescent="0.15">
      <c r="A81" s="3">
        <f t="shared" si="3"/>
        <v>16</v>
      </c>
      <c r="B81" s="3" t="str">
        <f t="shared" si="4"/>
        <v>2015-11-29 15:00:00</v>
      </c>
      <c r="C81" s="3" t="str">
        <f t="shared" si="4"/>
        <v>2015-12-01 14:59:59</v>
      </c>
    </row>
    <row r="82" spans="1:3" x14ac:dyDescent="0.15">
      <c r="A82" s="3">
        <f t="shared" si="3"/>
        <v>17</v>
      </c>
      <c r="B82" s="3" t="str">
        <f t="shared" si="4"/>
        <v>2015-12-10 15:00:00</v>
      </c>
      <c r="C82" s="3" t="str">
        <f t="shared" si="4"/>
        <v>2015-12-12 14:59:59</v>
      </c>
    </row>
    <row r="83" spans="1:3" x14ac:dyDescent="0.15">
      <c r="A83" s="3">
        <f t="shared" si="3"/>
        <v>18</v>
      </c>
      <c r="B83" s="3" t="str">
        <f t="shared" si="4"/>
        <v>2015-12-10 15:00:00</v>
      </c>
      <c r="C83" s="3" t="str">
        <f t="shared" si="4"/>
        <v>2015-12-12 14:59:59</v>
      </c>
    </row>
    <row r="84" spans="1:3" x14ac:dyDescent="0.15">
      <c r="A84" s="3">
        <f t="shared" si="3"/>
        <v>19</v>
      </c>
      <c r="B84" s="3" t="str">
        <f t="shared" si="4"/>
        <v>2015-12-05 15:00:00</v>
      </c>
      <c r="C84" s="3" t="str">
        <f t="shared" si="4"/>
        <v>2015-12-06 14:59:59</v>
      </c>
    </row>
    <row r="85" spans="1:3" x14ac:dyDescent="0.15">
      <c r="A85" s="3">
        <f t="shared" si="3"/>
        <v>20</v>
      </c>
      <c r="B85" s="3" t="str">
        <f t="shared" si="4"/>
        <v>2015-07-31 15:00:00</v>
      </c>
      <c r="C85" s="3" t="str">
        <f t="shared" si="4"/>
        <v>2015-08-01 00:00:00</v>
      </c>
    </row>
    <row r="86" spans="1:3" x14ac:dyDescent="0.15">
      <c r="A86" s="3">
        <f t="shared" si="3"/>
        <v>21</v>
      </c>
      <c r="B86" s="3" t="str">
        <f t="shared" si="4"/>
        <v>2015-08-02 06:00:00</v>
      </c>
      <c r="C86" s="3" t="str">
        <f t="shared" si="4"/>
        <v>2015-08-02 15:00:00</v>
      </c>
    </row>
    <row r="87" spans="1:3" x14ac:dyDescent="0.15">
      <c r="A87" s="3">
        <f t="shared" si="3"/>
        <v>22</v>
      </c>
      <c r="B87" s="3" t="str">
        <f t="shared" si="4"/>
        <v>2015-08-07 15:00:00</v>
      </c>
      <c r="C87" s="3" t="str">
        <f t="shared" si="4"/>
        <v>2015-08-08 00:00:00</v>
      </c>
    </row>
    <row r="88" spans="1:3" x14ac:dyDescent="0.15">
      <c r="A88" s="3">
        <f t="shared" si="3"/>
        <v>23</v>
      </c>
      <c r="B88" s="3" t="str">
        <f t="shared" si="4"/>
        <v>2015-08-09 06:00:00</v>
      </c>
      <c r="C88" s="3" t="str">
        <f t="shared" si="4"/>
        <v>2015-08-09 15:00:00</v>
      </c>
    </row>
    <row r="89" spans="1:3" x14ac:dyDescent="0.15">
      <c r="A89" s="3">
        <f t="shared" si="3"/>
        <v>24</v>
      </c>
      <c r="B89" s="3" t="str">
        <f t="shared" si="4"/>
        <v>2015-08-15 15:00:00</v>
      </c>
      <c r="C89" s="3" t="str">
        <f t="shared" si="4"/>
        <v>2015-08-16 00:00:00</v>
      </c>
    </row>
    <row r="90" spans="1:3" x14ac:dyDescent="0.15">
      <c r="A90" s="3">
        <f t="shared" si="3"/>
        <v>25</v>
      </c>
      <c r="B90" s="3" t="str">
        <f t="shared" si="4"/>
        <v>2015-08-17 06:00:00</v>
      </c>
      <c r="C90" s="3" t="str">
        <f t="shared" si="4"/>
        <v>2015-08-17 15:00:00</v>
      </c>
    </row>
    <row r="91" spans="1:3" x14ac:dyDescent="0.15">
      <c r="A91" s="3">
        <f t="shared" si="3"/>
        <v>26</v>
      </c>
      <c r="B91" s="3" t="str">
        <f t="shared" si="4"/>
        <v>2015-08-22 15:00:00</v>
      </c>
      <c r="C91" s="3" t="str">
        <f t="shared" si="4"/>
        <v>2015-08-23 00:00:00</v>
      </c>
    </row>
    <row r="92" spans="1:3" x14ac:dyDescent="0.15">
      <c r="A92" s="3">
        <f t="shared" si="3"/>
        <v>27</v>
      </c>
      <c r="B92" s="3" t="str">
        <f t="shared" si="4"/>
        <v>2015-08-24 06:00:00</v>
      </c>
      <c r="C92" s="3" t="str">
        <f t="shared" si="4"/>
        <v>2015-08-24 15:00:00</v>
      </c>
    </row>
    <row r="93" spans="1:3" x14ac:dyDescent="0.15">
      <c r="A93" s="3">
        <f t="shared" si="3"/>
        <v>28</v>
      </c>
      <c r="B93" s="3" t="str">
        <f t="shared" si="4"/>
        <v>2015-08-03 12:00:00</v>
      </c>
      <c r="C93" s="3" t="str">
        <f t="shared" si="4"/>
        <v>2015-08-03 21:00:00</v>
      </c>
    </row>
    <row r="94" spans="1:3" x14ac:dyDescent="0.15">
      <c r="A94" s="3">
        <f t="shared" si="3"/>
        <v>29</v>
      </c>
      <c r="B94" s="3" t="str">
        <f t="shared" si="4"/>
        <v>2015-08-05 12:00:00</v>
      </c>
      <c r="C94" s="3" t="str">
        <f t="shared" si="4"/>
        <v>2015-08-05 15:00:00</v>
      </c>
    </row>
    <row r="95" spans="1:3" x14ac:dyDescent="0.15">
      <c r="A95" s="3">
        <f t="shared" si="3"/>
        <v>30</v>
      </c>
      <c r="B95" s="3" t="str">
        <f t="shared" si="4"/>
        <v>2015-08-12 12:00:00</v>
      </c>
      <c r="C95" s="3" t="str">
        <f t="shared" si="4"/>
        <v>2015-08-12 21:00:00</v>
      </c>
    </row>
    <row r="96" spans="1:3" x14ac:dyDescent="0.15">
      <c r="A96" s="3">
        <f t="shared" si="3"/>
        <v>31</v>
      </c>
      <c r="B96" s="3" t="str">
        <f t="shared" si="4"/>
        <v>2015-08-14 12:00:00</v>
      </c>
      <c r="C96" s="3" t="str">
        <f t="shared" si="4"/>
        <v>2015-08-14 15:00:00</v>
      </c>
    </row>
    <row r="97" spans="1:3" x14ac:dyDescent="0.15">
      <c r="A97" s="3">
        <f t="shared" si="3"/>
        <v>32</v>
      </c>
      <c r="B97" s="3" t="str">
        <f t="shared" si="4"/>
        <v>2015-08-19 12:00:00</v>
      </c>
      <c r="C97" s="3" t="str">
        <f t="shared" si="4"/>
        <v>2015-08-19 21:00:00</v>
      </c>
    </row>
    <row r="98" spans="1:3" x14ac:dyDescent="0.15">
      <c r="A98" s="3">
        <f t="shared" si="3"/>
        <v>33</v>
      </c>
      <c r="B98" s="3" t="str">
        <f t="shared" si="4"/>
        <v>2015-08-21 12:00:00</v>
      </c>
      <c r="C98" s="3" t="str">
        <f t="shared" si="4"/>
        <v>2015-08-21 15:00:00</v>
      </c>
    </row>
    <row r="99" spans="1:3" x14ac:dyDescent="0.15">
      <c r="A99" s="3">
        <f t="shared" si="3"/>
        <v>34</v>
      </c>
      <c r="B99" s="3" t="str">
        <f t="shared" si="4"/>
        <v>2015-08-26 12:00:00</v>
      </c>
      <c r="C99" s="3" t="str">
        <f t="shared" si="4"/>
        <v>2015-08-26 21:00:00</v>
      </c>
    </row>
    <row r="100" spans="1:3" x14ac:dyDescent="0.15">
      <c r="A100" s="3">
        <f t="shared" si="3"/>
        <v>35</v>
      </c>
      <c r="B100" s="3" t="str">
        <f t="shared" ref="B100:C131" si="5">VLOOKUP($A100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2015-08-28 12:00:00</v>
      </c>
      <c r="C100" s="3" t="str">
        <f t="shared" si="5"/>
        <v>2015-08-28 15:00:00</v>
      </c>
    </row>
    <row r="101" spans="1:3" x14ac:dyDescent="0.15">
      <c r="A101" s="3">
        <f t="shared" si="3"/>
        <v>100</v>
      </c>
      <c r="B101" s="3" t="str">
        <f t="shared" si="5"/>
        <v>2015-12-03 15:00:00</v>
      </c>
      <c r="C101" s="3" t="str">
        <f t="shared" si="5"/>
        <v>2015-12-05 14:59:59</v>
      </c>
    </row>
    <row r="102" spans="1:3" x14ac:dyDescent="0.15">
      <c r="A102" s="3">
        <f t="shared" si="3"/>
        <v>101</v>
      </c>
      <c r="B102" s="3" t="str">
        <f t="shared" si="5"/>
        <v>2015-08-30 15:00:00</v>
      </c>
      <c r="C102" s="3" t="str">
        <f t="shared" si="5"/>
        <v>2015-08-31 00:00:00</v>
      </c>
    </row>
    <row r="103" spans="1:3" x14ac:dyDescent="0.15">
      <c r="A103" s="3">
        <f t="shared" si="3"/>
        <v>102</v>
      </c>
      <c r="B103" s="3" t="str">
        <f t="shared" si="5"/>
        <v>2015-09-02 06:00:00</v>
      </c>
      <c r="C103" s="3" t="str">
        <f t="shared" si="5"/>
        <v>2015-09-02 15:00:00</v>
      </c>
    </row>
    <row r="104" spans="1:3" x14ac:dyDescent="0.15">
      <c r="A104" s="3">
        <f t="shared" si="3"/>
        <v>110</v>
      </c>
      <c r="B104" s="3" t="str">
        <f t="shared" si="5"/>
        <v>2015-11-30 15:00:00</v>
      </c>
      <c r="C104" s="3" t="str">
        <f t="shared" si="5"/>
        <v>2015-12-02 14:59:59</v>
      </c>
    </row>
    <row r="105" spans="1:3" x14ac:dyDescent="0.15">
      <c r="A105" s="3">
        <f t="shared" si="3"/>
        <v>111</v>
      </c>
      <c r="B105" s="3" t="str">
        <f t="shared" si="5"/>
        <v>2015-09-12 15:00:00</v>
      </c>
      <c r="C105" s="3" t="str">
        <f t="shared" si="5"/>
        <v>2015-09-13 00:00:00</v>
      </c>
    </row>
    <row r="106" spans="1:3" x14ac:dyDescent="0.15">
      <c r="A106" s="3">
        <f t="shared" si="3"/>
        <v>112</v>
      </c>
      <c r="B106" s="3" t="str">
        <f t="shared" si="5"/>
        <v>2015-09-15 06:00:00</v>
      </c>
      <c r="C106" s="3" t="str">
        <f t="shared" si="5"/>
        <v>2015-09-15 15:00:00</v>
      </c>
    </row>
    <row r="107" spans="1:3" x14ac:dyDescent="0.15">
      <c r="A107" s="3">
        <f t="shared" si="3"/>
        <v>120</v>
      </c>
      <c r="B107" s="3" t="str">
        <f t="shared" si="5"/>
        <v>2015-11-29 15:00:00</v>
      </c>
      <c r="C107" s="3" t="str">
        <f t="shared" si="5"/>
        <v>2015-12-01 14:59:59</v>
      </c>
    </row>
    <row r="108" spans="1:3" x14ac:dyDescent="0.15">
      <c r="A108" s="3">
        <f t="shared" si="3"/>
        <v>121</v>
      </c>
      <c r="B108" s="3" t="str">
        <f t="shared" si="5"/>
        <v>2015-09-26 15:00:00</v>
      </c>
      <c r="C108" s="3" t="str">
        <f t="shared" si="5"/>
        <v>2015-09-27 00:00:00</v>
      </c>
    </row>
    <row r="109" spans="1:3" x14ac:dyDescent="0.15">
      <c r="A109" s="3">
        <f t="shared" si="3"/>
        <v>122</v>
      </c>
      <c r="B109" s="3" t="str">
        <f t="shared" si="5"/>
        <v>2015-09-29 06:00:00</v>
      </c>
      <c r="C109" s="3" t="str">
        <f t="shared" si="5"/>
        <v>2015-09-29 15:00:00</v>
      </c>
    </row>
    <row r="110" spans="1:3" x14ac:dyDescent="0.15">
      <c r="A110" s="3">
        <f t="shared" si="3"/>
        <v>130</v>
      </c>
      <c r="B110" s="3" t="str">
        <f t="shared" si="5"/>
        <v>2015-12-04 15:00:00</v>
      </c>
      <c r="C110" s="3" t="str">
        <f t="shared" si="5"/>
        <v>2015-12-06 14:59:59</v>
      </c>
    </row>
    <row r="111" spans="1:3" x14ac:dyDescent="0.15">
      <c r="A111" s="3">
        <f t="shared" si="3"/>
        <v>131</v>
      </c>
      <c r="B111" s="3" t="str">
        <f t="shared" si="5"/>
        <v>2015-10-11 15:00:00</v>
      </c>
      <c r="C111" s="3" t="str">
        <f t="shared" si="5"/>
        <v>2015-10-12 00:00:00</v>
      </c>
    </row>
    <row r="112" spans="1:3" x14ac:dyDescent="0.15">
      <c r="A112" s="3">
        <f t="shared" si="3"/>
        <v>132</v>
      </c>
      <c r="B112" s="3" t="str">
        <f t="shared" si="5"/>
        <v>2015-10-14 06:00:00</v>
      </c>
      <c r="C112" s="3" t="str">
        <f t="shared" si="5"/>
        <v>2015-10-14 15:00:00</v>
      </c>
    </row>
    <row r="113" spans="1:3" x14ac:dyDescent="0.15">
      <c r="A113" s="3">
        <f t="shared" si="3"/>
        <v>140</v>
      </c>
      <c r="B113" s="3" t="str">
        <f t="shared" si="5"/>
        <v>2015-12-08 15:00:00</v>
      </c>
      <c r="C113" s="3" t="str">
        <f t="shared" si="5"/>
        <v>2015-12-11 14:59:59</v>
      </c>
    </row>
    <row r="114" spans="1:3" x14ac:dyDescent="0.15">
      <c r="A114" s="3">
        <f t="shared" si="3"/>
        <v>141</v>
      </c>
      <c r="B114" s="3" t="str">
        <f t="shared" si="5"/>
        <v>2015-09-04 15:00:00</v>
      </c>
      <c r="C114" s="3" t="str">
        <f t="shared" si="5"/>
        <v>2015-09-04 21:00:00</v>
      </c>
    </row>
    <row r="115" spans="1:3" x14ac:dyDescent="0.15">
      <c r="A115" s="3">
        <f t="shared" si="3"/>
        <v>142</v>
      </c>
      <c r="B115" s="3" t="str">
        <f t="shared" si="5"/>
        <v>2015-09-07 12:00:00</v>
      </c>
      <c r="C115" s="3" t="str">
        <f t="shared" si="5"/>
        <v>2015-09-07 15:00:00</v>
      </c>
    </row>
    <row r="116" spans="1:3" x14ac:dyDescent="0.15">
      <c r="A116" s="3">
        <f t="shared" si="3"/>
        <v>150</v>
      </c>
      <c r="B116" s="3" t="str">
        <f t="shared" si="5"/>
        <v>2015-12-01 15:00:00</v>
      </c>
      <c r="C116" s="3" t="str">
        <f t="shared" si="5"/>
        <v>2015-12-03 14:59:59</v>
      </c>
    </row>
    <row r="117" spans="1:3" x14ac:dyDescent="0.15">
      <c r="A117" s="3">
        <f t="shared" si="3"/>
        <v>151</v>
      </c>
      <c r="B117" s="3" t="str">
        <f t="shared" si="5"/>
        <v>2015-09-17 15:00:00</v>
      </c>
      <c r="C117" s="3" t="str">
        <f t="shared" si="5"/>
        <v>2015-09-17 21:00:00</v>
      </c>
    </row>
    <row r="118" spans="1:3" x14ac:dyDescent="0.15">
      <c r="A118" s="3">
        <f t="shared" si="3"/>
        <v>152</v>
      </c>
      <c r="B118" s="3" t="str">
        <f t="shared" si="5"/>
        <v>2015-09-20 12:00:00</v>
      </c>
      <c r="C118" s="3" t="str">
        <f t="shared" si="5"/>
        <v>2015-09-20 15:00:00</v>
      </c>
    </row>
    <row r="119" spans="1:3" x14ac:dyDescent="0.15">
      <c r="A119" s="3">
        <f t="shared" si="3"/>
        <v>160</v>
      </c>
      <c r="B119" s="3" t="str">
        <f t="shared" si="5"/>
        <v>2015-12-08 15:00:00</v>
      </c>
      <c r="C119" s="3" t="str">
        <f t="shared" si="5"/>
        <v>2015-12-11 14:59:59</v>
      </c>
    </row>
    <row r="120" spans="1:3" x14ac:dyDescent="0.15">
      <c r="A120" s="3">
        <f t="shared" si="3"/>
        <v>161</v>
      </c>
      <c r="B120" s="3" t="str">
        <f t="shared" si="5"/>
        <v>2015-10-05 15:00:00</v>
      </c>
      <c r="C120" s="3" t="str">
        <f t="shared" si="5"/>
        <v>2015-10-05 21:00:00</v>
      </c>
    </row>
    <row r="121" spans="1:3" x14ac:dyDescent="0.15">
      <c r="A121" s="3">
        <f t="shared" si="3"/>
        <v>162</v>
      </c>
      <c r="B121" s="3" t="str">
        <f t="shared" si="5"/>
        <v>2015-10-08 12:00:00</v>
      </c>
      <c r="C121" s="3" t="str">
        <f t="shared" si="5"/>
        <v>2015-10-08 15:00:00</v>
      </c>
    </row>
    <row r="122" spans="1:3" x14ac:dyDescent="0.15">
      <c r="A122" s="3">
        <f t="shared" si="3"/>
        <v>170</v>
      </c>
      <c r="B122" s="3" t="str">
        <f t="shared" si="5"/>
        <v>2015-11-24 15:00:00</v>
      </c>
      <c r="C122" s="3" t="str">
        <f t="shared" si="5"/>
        <v>2015-11-26 14:59:59</v>
      </c>
    </row>
    <row r="123" spans="1:3" x14ac:dyDescent="0.15">
      <c r="A123" s="3">
        <f t="shared" si="3"/>
        <v>171</v>
      </c>
      <c r="B123" s="3" t="str">
        <f t="shared" si="5"/>
        <v>2015-09-30 15:00:00</v>
      </c>
      <c r="C123" s="3" t="str">
        <f t="shared" si="5"/>
        <v>2015-09-30 21:00:00</v>
      </c>
    </row>
    <row r="124" spans="1:3" x14ac:dyDescent="0.15">
      <c r="A124" s="3">
        <f t="shared" si="3"/>
        <v>172</v>
      </c>
      <c r="B124" s="3" t="str">
        <f t="shared" si="5"/>
        <v>2015-10-03 12:00:00</v>
      </c>
      <c r="C124" s="3" t="str">
        <f t="shared" si="5"/>
        <v>2015-10-03 15:00:00</v>
      </c>
    </row>
    <row r="125" spans="1:3" x14ac:dyDescent="0.15">
      <c r="A125" s="3">
        <f t="shared" si="3"/>
        <v>180</v>
      </c>
      <c r="B125" s="3" t="str">
        <f t="shared" si="5"/>
        <v>2015-10-12 15:00:00</v>
      </c>
      <c r="C125" s="3" t="str">
        <f t="shared" si="5"/>
        <v>2015-10-14 14:59:59</v>
      </c>
    </row>
    <row r="126" spans="1:3" x14ac:dyDescent="0.15">
      <c r="A126" s="3">
        <f t="shared" si="3"/>
        <v>190</v>
      </c>
      <c r="B126" s="3" t="str">
        <f t="shared" si="5"/>
        <v>2015-12-01 15:00:00</v>
      </c>
      <c r="C126" s="3" t="str">
        <f t="shared" si="5"/>
        <v>2015-12-03 14:59:59</v>
      </c>
    </row>
    <row r="127" spans="1:3" x14ac:dyDescent="0.15">
      <c r="A127" s="3">
        <f t="shared" si="3"/>
        <v>200</v>
      </c>
      <c r="B127" s="3" t="str">
        <f t="shared" si="5"/>
        <v>2015-11-27 15:00:00</v>
      </c>
      <c r="C127" s="3" t="str">
        <f t="shared" si="5"/>
        <v>2015-11-29 14:59:59</v>
      </c>
    </row>
    <row r="128" spans="1:3" x14ac:dyDescent="0.15">
      <c r="A128" s="3">
        <f t="shared" si="3"/>
        <v>201</v>
      </c>
      <c r="B128" s="3" t="str">
        <f t="shared" si="5"/>
        <v>2015-10-11 15:00:00</v>
      </c>
      <c r="C128" s="3" t="str">
        <f t="shared" si="5"/>
        <v>2015-10-12 00:00:00</v>
      </c>
    </row>
    <row r="129" spans="1:3" x14ac:dyDescent="0.15">
      <c r="A129" s="3">
        <f t="shared" si="3"/>
        <v>202</v>
      </c>
      <c r="B129" s="3" t="str">
        <f t="shared" si="5"/>
        <v>2015-10-15 06:00:00</v>
      </c>
      <c r="C129" s="3" t="str">
        <f t="shared" si="5"/>
        <v>2015-10-15 15:00:00</v>
      </c>
    </row>
    <row r="130" spans="1:3" x14ac:dyDescent="0.15">
      <c r="A130" s="3">
        <f t="shared" si="3"/>
        <v>210</v>
      </c>
      <c r="B130" s="3" t="str">
        <f t="shared" si="5"/>
        <v>2015-12-06 15:00:00</v>
      </c>
      <c r="C130" s="3" t="str">
        <f t="shared" si="5"/>
        <v>2015-12-08 14:59:59</v>
      </c>
    </row>
    <row r="131" spans="1:3" x14ac:dyDescent="0.15">
      <c r="A131" s="3">
        <f t="shared" si="3"/>
        <v>211</v>
      </c>
      <c r="B131" s="3" t="str">
        <f t="shared" si="5"/>
        <v>2015-10-14 15:00:00</v>
      </c>
      <c r="C131" s="3" t="str">
        <f t="shared" si="5"/>
        <v>2015-10-14 21:00:00</v>
      </c>
    </row>
    <row r="132" spans="1:3" x14ac:dyDescent="0.15">
      <c r="A132" s="3">
        <f t="shared" ref="A132:A152" si="6">INDIRECT(ADDRESS(ROW()+$A$1,COLUMN(),1,TRUE,$C$1))</f>
        <v>212</v>
      </c>
      <c r="B132" s="3" t="str">
        <f t="shared" ref="B132:C152" si="7">VLOOKUP($A132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2015-10-18 12:00:00</v>
      </c>
      <c r="C132" s="3" t="str">
        <f t="shared" si="7"/>
        <v>2015-10-18 15:00:00</v>
      </c>
    </row>
    <row r="133" spans="1:3" x14ac:dyDescent="0.15">
      <c r="A133" s="3">
        <f t="shared" si="6"/>
        <v>220</v>
      </c>
      <c r="B133" s="3" t="str">
        <f t="shared" si="7"/>
        <v>2015-11-26 15:00:00</v>
      </c>
      <c r="C133" s="3" t="str">
        <f t="shared" si="7"/>
        <v>2015-11-27 14:59:59</v>
      </c>
    </row>
    <row r="134" spans="1:3" x14ac:dyDescent="0.15">
      <c r="A134" s="3">
        <f t="shared" si="6"/>
        <v>221</v>
      </c>
      <c r="B134" s="3" t="str">
        <f t="shared" si="7"/>
        <v>2015-10-09 21:00:00</v>
      </c>
      <c r="C134" s="3" t="str">
        <f t="shared" si="7"/>
        <v>2015-10-09 23:59:59</v>
      </c>
    </row>
    <row r="135" spans="1:3" x14ac:dyDescent="0.15">
      <c r="A135" s="3">
        <f t="shared" si="6"/>
        <v>222</v>
      </c>
      <c r="B135" s="3" t="str">
        <f t="shared" si="7"/>
        <v>2015-10-10 12:00:00</v>
      </c>
      <c r="C135" s="3" t="str">
        <f t="shared" si="7"/>
        <v>2015-10-10 14:59:59</v>
      </c>
    </row>
    <row r="136" spans="1:3" x14ac:dyDescent="0.15">
      <c r="A136" s="3">
        <f t="shared" si="6"/>
        <v>230</v>
      </c>
      <c r="B136" s="3" t="str">
        <f t="shared" si="7"/>
        <v>2015-12-09 15:00:00</v>
      </c>
      <c r="C136" s="3" t="str">
        <f t="shared" si="7"/>
        <v>2015-12-12 14:59:59</v>
      </c>
    </row>
    <row r="137" spans="1:3" x14ac:dyDescent="0.15">
      <c r="A137" s="3">
        <f t="shared" si="6"/>
        <v>231</v>
      </c>
      <c r="B137" s="3" t="str">
        <f t="shared" si="7"/>
        <v>2015-10-17 15:00:00</v>
      </c>
      <c r="C137" s="3" t="str">
        <f t="shared" si="7"/>
        <v>2015-10-18 00:00:00</v>
      </c>
    </row>
    <row r="138" spans="1:3" x14ac:dyDescent="0.15">
      <c r="A138" s="3">
        <f t="shared" si="6"/>
        <v>232</v>
      </c>
      <c r="B138" s="3" t="str">
        <f t="shared" si="7"/>
        <v>2015-10-21 06:00:00</v>
      </c>
      <c r="C138" s="3" t="str">
        <f t="shared" si="7"/>
        <v>2015-10-21 15:00:00</v>
      </c>
    </row>
    <row r="139" spans="1:3" x14ac:dyDescent="0.15">
      <c r="A139" s="3">
        <f t="shared" si="6"/>
        <v>240</v>
      </c>
      <c r="B139" s="3" t="str">
        <f t="shared" si="7"/>
        <v>2015-12-02 15:00:00</v>
      </c>
      <c r="C139" s="3" t="str">
        <f t="shared" si="7"/>
        <v>2015-12-04 14:59:59</v>
      </c>
    </row>
    <row r="140" spans="1:3" x14ac:dyDescent="0.15">
      <c r="A140" s="3">
        <f t="shared" si="6"/>
        <v>241</v>
      </c>
      <c r="B140" s="3" t="str">
        <f t="shared" si="7"/>
        <v>2015-10-18 15:00:00</v>
      </c>
      <c r="C140" s="3" t="str">
        <f t="shared" si="7"/>
        <v>2015-10-18 21:00:00</v>
      </c>
    </row>
    <row r="141" spans="1:3" x14ac:dyDescent="0.15">
      <c r="A141" s="3">
        <f t="shared" si="6"/>
        <v>242</v>
      </c>
      <c r="B141" s="3" t="str">
        <f t="shared" si="7"/>
        <v>2015-10-22 12:00:00</v>
      </c>
      <c r="C141" s="3" t="str">
        <f t="shared" si="7"/>
        <v>2015-10-22 15:00:00</v>
      </c>
    </row>
    <row r="142" spans="1:3" x14ac:dyDescent="0.15">
      <c r="A142" s="3">
        <f t="shared" si="6"/>
        <v>250</v>
      </c>
      <c r="B142" s="3" t="str">
        <f t="shared" si="7"/>
        <v>2015-12-06 15:00:00</v>
      </c>
      <c r="C142" s="3" t="str">
        <f t="shared" si="7"/>
        <v>2015-12-08 14:59:59</v>
      </c>
    </row>
    <row r="143" spans="1:3" x14ac:dyDescent="0.15">
      <c r="A143" s="3">
        <f t="shared" si="6"/>
        <v>251</v>
      </c>
      <c r="B143" s="3" t="str">
        <f t="shared" si="7"/>
        <v>2015-10-25 15:00:00</v>
      </c>
      <c r="C143" s="3" t="str">
        <f t="shared" si="7"/>
        <v>2015-10-25 23:59:59</v>
      </c>
    </row>
    <row r="144" spans="1:3" x14ac:dyDescent="0.15">
      <c r="A144" s="3">
        <f t="shared" si="6"/>
        <v>252</v>
      </c>
      <c r="B144" s="3" t="str">
        <f t="shared" si="7"/>
        <v>2015-10-29 06:00:00</v>
      </c>
      <c r="C144" s="3" t="str">
        <f t="shared" si="7"/>
        <v>2015-10-29 14:59:59</v>
      </c>
    </row>
    <row r="145" spans="1:3" x14ac:dyDescent="0.15">
      <c r="A145" s="3">
        <f t="shared" si="6"/>
        <v>260</v>
      </c>
      <c r="B145" s="3" t="str">
        <f t="shared" si="7"/>
        <v>2015-12-05 15:00:00</v>
      </c>
      <c r="C145" s="3" t="str">
        <f t="shared" si="7"/>
        <v>2015-12-07 14:59:59</v>
      </c>
    </row>
    <row r="146" spans="1:3" x14ac:dyDescent="0.15">
      <c r="A146" s="3">
        <f t="shared" si="6"/>
        <v>261</v>
      </c>
      <c r="B146" s="3" t="str">
        <f t="shared" si="7"/>
        <v>2015-10-29 12:00:00</v>
      </c>
      <c r="C146" s="3" t="str">
        <f t="shared" si="7"/>
        <v>2015-10-29 21:00:00</v>
      </c>
    </row>
    <row r="147" spans="1:3" x14ac:dyDescent="0.15">
      <c r="A147" s="3">
        <f t="shared" si="6"/>
        <v>262</v>
      </c>
      <c r="B147" s="3" t="str">
        <f t="shared" si="7"/>
        <v>2015-11-02 12:00:00</v>
      </c>
      <c r="C147" s="3" t="str">
        <f t="shared" si="7"/>
        <v>2015-11-02 14:59:59</v>
      </c>
    </row>
    <row r="148" spans="1:3" x14ac:dyDescent="0.15">
      <c r="A148" s="3">
        <f t="shared" si="6"/>
        <v>270</v>
      </c>
      <c r="B148" s="3" t="str">
        <f t="shared" si="7"/>
        <v>2015-11-27 15:00:00</v>
      </c>
      <c r="C148" s="3" t="str">
        <f t="shared" si="7"/>
        <v>2015-11-29 14:59:59</v>
      </c>
    </row>
    <row r="149" spans="1:3" x14ac:dyDescent="0.15">
      <c r="A149" s="3">
        <f t="shared" si="6"/>
        <v>271</v>
      </c>
      <c r="B149" s="3" t="str">
        <f t="shared" si="7"/>
        <v>2015-11-01 15:00:00</v>
      </c>
      <c r="C149" s="3" t="str">
        <f t="shared" si="7"/>
        <v>2015-11-01 23:59:59</v>
      </c>
    </row>
    <row r="150" spans="1:3" x14ac:dyDescent="0.15">
      <c r="A150" s="3">
        <f t="shared" si="6"/>
        <v>272</v>
      </c>
      <c r="B150" s="3" t="str">
        <f t="shared" si="7"/>
        <v>2015-11-05 06:00:00</v>
      </c>
      <c r="C150" s="3" t="str">
        <f t="shared" si="7"/>
        <v>2015-11-05 14:59:59</v>
      </c>
    </row>
    <row r="151" spans="1:3" x14ac:dyDescent="0.15">
      <c r="A151" s="3">
        <f t="shared" si="6"/>
        <v>280</v>
      </c>
      <c r="B151" s="3" t="str">
        <f t="shared" si="7"/>
        <v>2015-12-05 15:00:00</v>
      </c>
      <c r="C151" s="3" t="str">
        <f t="shared" si="7"/>
        <v>2015-12-07 14:59:59</v>
      </c>
    </row>
    <row r="152" spans="1:3" x14ac:dyDescent="0.15">
      <c r="A152" s="3">
        <f t="shared" si="6"/>
        <v>281</v>
      </c>
      <c r="B152" s="3" t="str">
        <f t="shared" si="7"/>
        <v>2015-11-05 12:00:00</v>
      </c>
      <c r="C152" s="3" t="str">
        <f t="shared" si="7"/>
        <v>2015-11-05 20:59:59</v>
      </c>
    </row>
    <row r="153" spans="1:3" x14ac:dyDescent="0.15">
      <c r="A153"/>
      <c r="B153"/>
      <c r="C153"/>
    </row>
    <row r="154" spans="1:3" x14ac:dyDescent="0.15">
      <c r="A154"/>
      <c r="B154"/>
      <c r="C154"/>
    </row>
    <row r="155" spans="1:3" x14ac:dyDescent="0.15">
      <c r="A155"/>
      <c r="B155"/>
      <c r="C155"/>
    </row>
    <row r="156" spans="1:3" x14ac:dyDescent="0.15">
      <c r="A156"/>
      <c r="B156"/>
      <c r="C156"/>
    </row>
    <row r="157" spans="1:3" x14ac:dyDescent="0.15">
      <c r="A157"/>
      <c r="B157"/>
      <c r="C157"/>
    </row>
    <row r="158" spans="1:3" x14ac:dyDescent="0.15">
      <c r="A158"/>
      <c r="B158"/>
      <c r="C158"/>
    </row>
    <row r="159" spans="1:3" x14ac:dyDescent="0.15">
      <c r="A159"/>
      <c r="B159"/>
      <c r="C159"/>
    </row>
    <row r="160" spans="1:3" x14ac:dyDescent="0.15">
      <c r="A160"/>
      <c r="B160"/>
      <c r="C160"/>
    </row>
    <row r="161" spans="1:3" x14ac:dyDescent="0.15">
      <c r="A161"/>
      <c r="B161"/>
      <c r="C161"/>
    </row>
    <row r="162" spans="1:3" x14ac:dyDescent="0.15">
      <c r="A162"/>
      <c r="B162"/>
      <c r="C162"/>
    </row>
    <row r="163" spans="1:3" x14ac:dyDescent="0.15">
      <c r="A163"/>
      <c r="B163"/>
      <c r="C163"/>
    </row>
    <row r="164" spans="1:3" x14ac:dyDescent="0.15">
      <c r="A164"/>
      <c r="B164"/>
      <c r="C164"/>
    </row>
    <row r="165" spans="1:3" x14ac:dyDescent="0.15">
      <c r="A165"/>
      <c r="B165"/>
      <c r="C165"/>
    </row>
    <row r="166" spans="1:3" x14ac:dyDescent="0.15">
      <c r="A166"/>
      <c r="B166"/>
      <c r="C166"/>
    </row>
    <row r="167" spans="1:3" x14ac:dyDescent="0.15">
      <c r="A167"/>
      <c r="B167"/>
      <c r="C167"/>
    </row>
    <row r="168" spans="1:3" x14ac:dyDescent="0.15">
      <c r="A168"/>
      <c r="B168"/>
      <c r="C168"/>
    </row>
    <row r="169" spans="1:3" x14ac:dyDescent="0.15">
      <c r="A169"/>
      <c r="B169"/>
      <c r="C169"/>
    </row>
    <row r="170" spans="1:3" x14ac:dyDescent="0.15">
      <c r="A170"/>
      <c r="B170"/>
      <c r="C170"/>
    </row>
    <row r="171" spans="1:3" x14ac:dyDescent="0.15">
      <c r="A171"/>
      <c r="B171"/>
      <c r="C171"/>
    </row>
    <row r="172" spans="1:3" x14ac:dyDescent="0.15">
      <c r="A172"/>
      <c r="B172"/>
      <c r="C172"/>
    </row>
    <row r="173" spans="1:3" x14ac:dyDescent="0.15">
      <c r="A173"/>
      <c r="B173"/>
      <c r="C173"/>
    </row>
    <row r="174" spans="1:3" x14ac:dyDescent="0.15">
      <c r="A174"/>
      <c r="B174"/>
      <c r="C174"/>
    </row>
    <row r="175" spans="1:3" x14ac:dyDescent="0.15">
      <c r="A175"/>
      <c r="B175"/>
      <c r="C175"/>
    </row>
    <row r="176" spans="1:3" x14ac:dyDescent="0.15">
      <c r="A176"/>
      <c r="B176"/>
      <c r="C176"/>
    </row>
    <row r="177" spans="1:3" x14ac:dyDescent="0.15">
      <c r="A177"/>
      <c r="B177"/>
      <c r="C177"/>
    </row>
    <row r="178" spans="1:3" x14ac:dyDescent="0.15">
      <c r="A178"/>
      <c r="B178"/>
      <c r="C178"/>
    </row>
    <row r="179" spans="1:3" x14ac:dyDescent="0.15">
      <c r="A179"/>
      <c r="B179"/>
      <c r="C179"/>
    </row>
    <row r="180" spans="1:3" x14ac:dyDescent="0.15">
      <c r="A180"/>
      <c r="B180"/>
      <c r="C180"/>
    </row>
    <row r="181" spans="1:3" x14ac:dyDescent="0.15">
      <c r="A181"/>
      <c r="B181"/>
      <c r="C181"/>
    </row>
    <row r="182" spans="1:3" x14ac:dyDescent="0.15">
      <c r="A182"/>
      <c r="B182"/>
      <c r="C182"/>
    </row>
    <row r="183" spans="1:3" x14ac:dyDescent="0.15">
      <c r="A183"/>
      <c r="B183"/>
      <c r="C183"/>
    </row>
    <row r="184" spans="1:3" x14ac:dyDescent="0.15">
      <c r="A184"/>
      <c r="B184"/>
      <c r="C184"/>
    </row>
    <row r="185" spans="1:3" x14ac:dyDescent="0.15">
      <c r="A185"/>
      <c r="B185"/>
      <c r="C185"/>
    </row>
    <row r="186" spans="1:3" x14ac:dyDescent="0.15">
      <c r="A186"/>
      <c r="B186"/>
      <c r="C186"/>
    </row>
    <row r="187" spans="1:3" x14ac:dyDescent="0.15">
      <c r="A187"/>
      <c r="B187"/>
      <c r="C187"/>
    </row>
    <row r="188" spans="1:3" x14ac:dyDescent="0.15">
      <c r="A188"/>
      <c r="B188"/>
      <c r="C188"/>
    </row>
    <row r="189" spans="1:3" x14ac:dyDescent="0.15">
      <c r="A189"/>
      <c r="B189"/>
      <c r="C189"/>
    </row>
    <row r="190" spans="1:3" x14ac:dyDescent="0.15">
      <c r="A190"/>
      <c r="B190"/>
      <c r="C190"/>
    </row>
    <row r="191" spans="1:3" x14ac:dyDescent="0.15">
      <c r="A191"/>
      <c r="B191"/>
      <c r="C191"/>
    </row>
    <row r="192" spans="1:3" x14ac:dyDescent="0.15">
      <c r="A192"/>
      <c r="B192"/>
      <c r="C192"/>
    </row>
    <row r="193" spans="1:3" x14ac:dyDescent="0.15">
      <c r="A193"/>
      <c r="B193"/>
      <c r="C193"/>
    </row>
    <row r="194" spans="1:3" x14ac:dyDescent="0.15">
      <c r="A194"/>
      <c r="B194"/>
      <c r="C194"/>
    </row>
    <row r="195" spans="1:3" x14ac:dyDescent="0.15">
      <c r="A195"/>
      <c r="B195"/>
      <c r="C195"/>
    </row>
    <row r="196" spans="1:3" x14ac:dyDescent="0.15">
      <c r="A196"/>
      <c r="B196"/>
      <c r="C196"/>
    </row>
    <row r="197" spans="1:3" x14ac:dyDescent="0.15">
      <c r="A197"/>
      <c r="B197"/>
      <c r="C197"/>
    </row>
    <row r="198" spans="1:3" x14ac:dyDescent="0.15">
      <c r="A198"/>
      <c r="B198"/>
      <c r="C198"/>
    </row>
    <row r="199" spans="1:3" x14ac:dyDescent="0.15">
      <c r="A199"/>
      <c r="B199"/>
      <c r="C199"/>
    </row>
    <row r="200" spans="1:3" x14ac:dyDescent="0.15">
      <c r="A200"/>
      <c r="B200"/>
      <c r="C200"/>
    </row>
    <row r="201" spans="1:3" x14ac:dyDescent="0.15">
      <c r="A201"/>
      <c r="B201"/>
      <c r="C201"/>
    </row>
    <row r="202" spans="1:3" x14ac:dyDescent="0.15">
      <c r="A202"/>
      <c r="B202"/>
      <c r="C202"/>
    </row>
    <row r="203" spans="1:3" x14ac:dyDescent="0.15">
      <c r="A203"/>
      <c r="B203"/>
      <c r="C203"/>
    </row>
    <row r="204" spans="1:3" x14ac:dyDescent="0.15">
      <c r="A204"/>
      <c r="B204"/>
      <c r="C204"/>
    </row>
    <row r="205" spans="1:3" x14ac:dyDescent="0.15">
      <c r="A205"/>
      <c r="B205"/>
      <c r="C205"/>
    </row>
    <row r="206" spans="1:3" x14ac:dyDescent="0.15">
      <c r="A206"/>
      <c r="B206"/>
      <c r="C206"/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output</vt:lpstr>
      <vt:lpstr>マスタ</vt:lpstr>
      <vt:lpstr>periods</vt:lpstr>
      <vt:lpstr>periods.csv</vt:lpstr>
    </vt:vector>
  </TitlesOfParts>
  <Company>ワンダープラネット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吉澤 曜祐</dc:creator>
  <cp:lastModifiedBy>Microsoft Office ユーザー</cp:lastModifiedBy>
  <dcterms:created xsi:type="dcterms:W3CDTF">2015-03-27T02:18:47Z</dcterms:created>
  <dcterms:modified xsi:type="dcterms:W3CDTF">2016-04-06T09:08:07Z</dcterms:modified>
</cp:coreProperties>
</file>