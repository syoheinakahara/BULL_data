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1880" yWindow="1700" windowWidth="24780" windowHeight="14220" tabRatio="804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" sheetId="19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enemy_habitat_S!$B$1:$Y$4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_xlnm._FilterDatabase" localSheetId="7" hidden="1">stage_hints!$B$1:$L$2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9" l="1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A21" i="9"/>
  <c r="A20" i="9"/>
  <c r="E21" i="9"/>
  <c r="D21" i="9"/>
  <c r="E20" i="9"/>
  <c r="D20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J2" i="11"/>
  <c r="D19" i="9"/>
  <c r="E19" i="9"/>
  <c r="A13" i="9"/>
  <c r="M5" i="1"/>
  <c r="M4" i="1"/>
  <c r="M3" i="1"/>
  <c r="J6" i="11"/>
  <c r="J7" i="11"/>
  <c r="J8" i="11"/>
  <c r="J9" i="11"/>
  <c r="J10" i="11"/>
  <c r="J11" i="11"/>
  <c r="E11" i="9"/>
  <c r="V6" i="1"/>
  <c r="D7" i="9"/>
  <c r="AB10" i="1"/>
  <c r="AC10" i="1"/>
  <c r="AB9" i="1"/>
  <c r="AC9" i="1"/>
  <c r="AB8" i="1"/>
  <c r="AC8" i="1"/>
  <c r="AB7" i="1"/>
  <c r="AC7" i="1"/>
  <c r="AB6" i="1"/>
  <c r="AC6" i="1"/>
  <c r="M10" i="1"/>
  <c r="M9" i="1"/>
  <c r="M8" i="1"/>
  <c r="AD10" i="1"/>
  <c r="AG10" i="1"/>
  <c r="AE10" i="1"/>
  <c r="AA10" i="1"/>
  <c r="E17" i="9"/>
  <c r="V10" i="1"/>
  <c r="Q10" i="1"/>
  <c r="P10" i="1"/>
  <c r="O10" i="1"/>
  <c r="N10" i="1"/>
  <c r="A10" i="1"/>
  <c r="AD9" i="1"/>
  <c r="AG9" i="1"/>
  <c r="AE9" i="1"/>
  <c r="AA9" i="1"/>
  <c r="V9" i="1"/>
  <c r="Q9" i="1"/>
  <c r="P9" i="1"/>
  <c r="O9" i="1"/>
  <c r="N9" i="1"/>
  <c r="A9" i="1"/>
  <c r="AD8" i="1"/>
  <c r="AG8" i="1"/>
  <c r="AE8" i="1"/>
  <c r="AA8" i="1"/>
  <c r="V8" i="1"/>
  <c r="Q8" i="1"/>
  <c r="P8" i="1"/>
  <c r="O8" i="1"/>
  <c r="N8" i="1"/>
  <c r="A8" i="1"/>
  <c r="AB5" i="1"/>
  <c r="AC5" i="1"/>
  <c r="AB4" i="1"/>
  <c r="AC4" i="1"/>
  <c r="AB3" i="1"/>
  <c r="AC3" i="1"/>
  <c r="AB2" i="1"/>
  <c r="AC2" i="1"/>
  <c r="AD3" i="1"/>
  <c r="AE3" i="1"/>
  <c r="AD4" i="1"/>
  <c r="AE4" i="1"/>
  <c r="M7" i="1"/>
  <c r="M6" i="1"/>
  <c r="O6" i="1"/>
  <c r="N6" i="1"/>
  <c r="N3" i="1"/>
  <c r="M2" i="1"/>
  <c r="D9" i="9"/>
  <c r="E4" i="9"/>
  <c r="V4" i="1"/>
  <c r="E6" i="9"/>
  <c r="V3" i="1"/>
  <c r="Q4" i="1"/>
  <c r="Q3" i="1"/>
  <c r="AG4" i="1"/>
  <c r="AG3" i="1"/>
  <c r="AA4" i="1"/>
  <c r="AA3" i="1"/>
  <c r="P4" i="1"/>
  <c r="O4" i="1"/>
  <c r="N4" i="1"/>
  <c r="P3" i="1"/>
  <c r="O3" i="1"/>
  <c r="A3" i="1"/>
  <c r="A4" i="1"/>
  <c r="E9" i="9"/>
  <c r="V5" i="1"/>
  <c r="AA5" i="1"/>
  <c r="A5" i="1"/>
  <c r="AA6" i="1"/>
  <c r="A6" i="1"/>
  <c r="Q6" i="1"/>
  <c r="Q7" i="1"/>
  <c r="V7" i="1"/>
  <c r="AA7" i="1"/>
  <c r="A7" i="1"/>
  <c r="AD7" i="1"/>
  <c r="AG7" i="1"/>
  <c r="O7" i="1"/>
  <c r="N7" i="1"/>
  <c r="AD5" i="1"/>
  <c r="AE5" i="1"/>
  <c r="AD6" i="1"/>
  <c r="AE6" i="1"/>
  <c r="AE7" i="1"/>
  <c r="AA2" i="1"/>
  <c r="A2" i="1"/>
  <c r="E16" i="9"/>
  <c r="E14" i="9"/>
  <c r="E2" i="9"/>
  <c r="V2" i="1"/>
  <c r="A7" i="9"/>
  <c r="A8" i="9"/>
  <c r="A9" i="9"/>
  <c r="A10" i="9"/>
  <c r="A11" i="9"/>
  <c r="A12" i="9"/>
  <c r="A14" i="9"/>
  <c r="A15" i="9"/>
  <c r="A16" i="9"/>
  <c r="A17" i="9"/>
  <c r="A18" i="9"/>
  <c r="A19" i="9"/>
  <c r="J5" i="11"/>
  <c r="J3" i="11"/>
  <c r="J4" i="11"/>
  <c r="G2" i="9"/>
  <c r="E7" i="9"/>
  <c r="D8" i="9"/>
  <c r="E8" i="9"/>
  <c r="D6" i="9"/>
  <c r="P7" i="1"/>
  <c r="AG6" i="1"/>
  <c r="G5" i="2"/>
  <c r="A5" i="2"/>
  <c r="B5" i="2"/>
  <c r="D5" i="2"/>
  <c r="E5" i="2"/>
  <c r="H5" i="2"/>
  <c r="P6" i="1"/>
  <c r="Q5" i="1"/>
  <c r="P5" i="1"/>
  <c r="O5" i="1"/>
  <c r="N5" i="1"/>
  <c r="O2" i="1"/>
  <c r="E13" i="9"/>
  <c r="E12" i="9"/>
  <c r="A5" i="9"/>
  <c r="A6" i="9"/>
  <c r="A2" i="9"/>
  <c r="A3" i="9"/>
  <c r="A4" i="9"/>
  <c r="D17" i="9"/>
  <c r="D16" i="9"/>
  <c r="E15" i="9"/>
  <c r="D15" i="9"/>
  <c r="E18" i="9"/>
  <c r="D18" i="9"/>
  <c r="D5" i="9"/>
  <c r="E5" i="9"/>
  <c r="D3" i="9"/>
  <c r="E3" i="9"/>
  <c r="D4" i="9"/>
  <c r="D10" i="9"/>
  <c r="E10" i="9"/>
  <c r="D11" i="9"/>
  <c r="D12" i="9"/>
  <c r="D13" i="9"/>
  <c r="D14" i="9"/>
  <c r="AG5" i="1"/>
  <c r="E2" i="16"/>
  <c r="N3" i="19"/>
  <c r="N2" i="19"/>
  <c r="G2" i="2"/>
  <c r="A2" i="2"/>
  <c r="G3" i="2"/>
  <c r="A3" i="2"/>
  <c r="G4" i="2"/>
  <c r="A4" i="2"/>
  <c r="H4" i="2"/>
  <c r="E4" i="2"/>
  <c r="D4" i="2"/>
  <c r="B4" i="2"/>
  <c r="H3" i="2"/>
  <c r="E3" i="2"/>
  <c r="D3" i="2"/>
  <c r="B3" i="2"/>
  <c r="C11" i="16"/>
  <c r="E11" i="16"/>
  <c r="C10" i="16"/>
  <c r="B2" i="19"/>
  <c r="G2" i="19"/>
  <c r="F2" i="19"/>
  <c r="D2" i="19"/>
  <c r="C2" i="19"/>
  <c r="E10" i="16"/>
  <c r="O2" i="9"/>
  <c r="N2" i="9"/>
  <c r="M2" i="9"/>
  <c r="L2" i="9"/>
  <c r="K2" i="9"/>
  <c r="J2" i="9"/>
  <c r="I2" i="9"/>
  <c r="H2" i="9"/>
  <c r="D2" i="9"/>
  <c r="C4" i="16"/>
  <c r="C5" i="16"/>
  <c r="C6" i="16"/>
  <c r="C7" i="16"/>
  <c r="C8" i="16"/>
  <c r="C9" i="16"/>
  <c r="C3" i="16"/>
  <c r="E9" i="16"/>
  <c r="AE2" i="1"/>
  <c r="AD2" i="1"/>
  <c r="Q2" i="1"/>
  <c r="P2" i="1"/>
  <c r="N2" i="1"/>
  <c r="AG2" i="1"/>
  <c r="E8" i="16"/>
  <c r="E7" i="16"/>
  <c r="E6" i="16"/>
  <c r="E5" i="16"/>
  <c r="E4" i="16"/>
  <c r="E3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<sst xmlns="http://schemas.openxmlformats.org/spreadsheetml/2006/main" count="419" uniqueCount="261">
  <si>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</si>
  <si>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</si>
  <si>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</si>
  <si>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</si>
  <si>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</si>
  <si>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</si>
  <si>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</si>
  <si>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</si>
  <si>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</si>
  <si>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</si>
  <si>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</si>
  <si>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</si>
  <si>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</si>
  <si>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</si>
  <si>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</si>
  <si>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</si>
  <si>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</si>
  <si>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</si>
  <si>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</si>
  <si>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</si>
  <si>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</si>
  <si>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</si>
  <si>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</si>
  <si>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</si>
  <si>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</si>
  <si>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</si>
  <si>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</si>
  <si>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</si>
  <si>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</si>
  <si>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</si>
  <si>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</si>
  <si>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</si>
  <si>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</si>
  <si>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</si>
  <si>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</si>
  <si>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</si>
  <si>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</si>
  <si>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</si>
  <si>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</si>
  <si>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</si>
  <si>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</si>
  <si>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</si>
  <si>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</si>
  <si>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</si>
  <si>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</si>
  <si>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</si>
  <si>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</si>
  <si>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</si>
  <si>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</si>
  <si>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</si>
  <si>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</si>
  <si>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</si>
  <si>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</si>
  <si>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</si>
  <si>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</si>
  <si>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</si>
  <si>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</si>
  <si>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</si>
  <si>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</si>
  <si>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</si>
  <si>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</si>
  <si>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</si>
  <si>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</si>
  <si>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</si>
  <si>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</si>
  <si>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</si>
  <si>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</si>
  <si>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</si>
  <si>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</si>
  <si>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</si>
  <si>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</si>
  <si>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</si>
  <si>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</si>
  <si>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</si>
  <si>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</si>
  <si>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</si>
  <si>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</si>
  <si>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</si>
  <si>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</si>
  <si>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</si>
  <si>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</si>
  <si>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</si>
  <si>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</si>
  <si>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</si>
  <si>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</si>
  <si>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</si>
  <si>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</si>
  <si>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</si>
  <si>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</si>
  <si>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</si>
  <si>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</si>
  <si>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</si>
  <si>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</si>
  <si>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</si>
  <si>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</si>
  <si>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</si>
  <si>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</si>
  <si>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</si>
  <si>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</si>
  <si>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</si>
  <si>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</si>
  <si>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</si>
  <si>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</si>
  <si>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</si>
  <si>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</si>
  <si>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</si>
  <si>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</si>
  <si>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</si>
  <si>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</si>
  <si>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</si>
  <si>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</si>
  <si>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</si>
  <si>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</si>
  <si>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</si>
  <si>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</si>
  <si>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</si>
  <si>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</si>
  <si>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</si>
  <si>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</si>
  <si>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</si>
  <si>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</si>
  <si>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</si>
  <si>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</si>
  <si>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</si>
  <si>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</si>
  <si>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</si>
  <si>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</si>
  <si>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</si>
  <si>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</si>
  <si>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</si>
  <si>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</si>
  <si>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</si>
  <si>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</si>
  <si>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</si>
  <si>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</si>
  <si>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</si>
  <si>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</si>
  <si>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</si>
  <si>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</si>
  <si>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</si>
  <si>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</si>
  <si>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</si>
  <si>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</si>
  <si>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</si>
  <si>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</si>
  <si>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</si>
  <si>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</si>
  <si>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</si>
  <si>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</si>
  <si>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</si>
  <si>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</si>
  <si>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</si>
  <si>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</si>
  <si>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</si>
  <si>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</si>
  <si>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</si>
  <si>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</si>
  <si>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</si>
  <si>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</si>
  <si>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</si>
  <si>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</si>
  <si>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</si>
  <si>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</si>
  <si>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</si>
  <si>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</si>
  <si>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hint_id</t>
    <phoneticPr fontId="5"/>
  </si>
  <si>
    <t>filename</t>
    <phoneticPr fontId="5"/>
  </si>
  <si>
    <t>ja</t>
    <phoneticPr fontId="5"/>
  </si>
  <si>
    <t>complete</t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</si>
  <si>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</si>
  <si>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</si>
  <si>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</si>
  <si>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</si>
  <si>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</si>
  <si>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</si>
  <si>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NULL</t>
    <phoneticPr fontId="5"/>
  </si>
  <si>
    <t>stage_hints</t>
    <phoneticPr fontId="5"/>
  </si>
  <si>
    <t>stage_hints_data_</t>
    <phoneticPr fontId="5"/>
  </si>
  <si>
    <t>null</t>
    <phoneticPr fontId="5"/>
  </si>
  <si>
    <t>１２３４５６７８９０１２３４５６７８９０</t>
    <phoneticPr fontId="5"/>
  </si>
  <si>
    <t>備考</t>
    <rPh sb="0" eb="2">
      <t>ビコウ</t>
    </rPh>
    <phoneticPr fontId="5"/>
  </si>
  <si>
    <t>備考</t>
    <rPh sb="0" eb="2">
      <t>ビコウ</t>
    </rPh>
    <phoneticPr fontId="5"/>
  </si>
  <si>
    <t>感謝のカタチ</t>
    <rPh sb="0" eb="2">
      <t>カンシャ</t>
    </rPh>
    <phoneticPr fontId="5"/>
  </si>
  <si>
    <t>ALICEに嬉しいことが起こると
姿を現す ミリオンダック
全てのクラファーに感謝を伝えるため
常に全力を尽くしています</t>
    <rPh sb="6" eb="7">
      <t>ウレ</t>
    </rPh>
    <rPh sb="12" eb="13">
      <t>オ</t>
    </rPh>
    <rPh sb="17" eb="18">
      <t>スガタ</t>
    </rPh>
    <rPh sb="19" eb="20">
      <t>アラワ</t>
    </rPh>
    <rPh sb="31" eb="32">
      <t>スベ</t>
    </rPh>
    <rPh sb="40" eb="42">
      <t>カンシャ</t>
    </rPh>
    <rPh sb="43" eb="44">
      <t>ツタ</t>
    </rPh>
    <rPh sb="49" eb="50">
      <t>ツネ</t>
    </rPh>
    <rPh sb="51" eb="53">
      <t>ゼンリョク</t>
    </rPh>
    <rPh sb="54" eb="55">
      <t>ツ</t>
    </rPh>
    <phoneticPr fontId="5"/>
  </si>
  <si>
    <t>4M</t>
    <phoneticPr fontId="5"/>
  </si>
  <si>
    <t>skip</t>
  </si>
  <si>
    <t>null</t>
    <phoneticPr fontId="5"/>
  </si>
  <si>
    <t>null</t>
    <phoneticPr fontId="5"/>
  </si>
  <si>
    <t>null</t>
    <phoneticPr fontId="5"/>
  </si>
  <si>
    <t>failure</t>
  </si>
  <si>
    <t>攻略のヒント</t>
    <phoneticPr fontId="5"/>
  </si>
  <si>
    <t>NULL</t>
    <phoneticPr fontId="5"/>
  </si>
  <si>
    <t>先手用</t>
    <phoneticPr fontId="5"/>
  </si>
  <si>
    <t>一回</t>
    <phoneticPr fontId="5"/>
  </si>
  <si>
    <t>死亡時</t>
    <phoneticPr fontId="5"/>
  </si>
  <si>
    <t>常時使用</t>
    <phoneticPr fontId="5"/>
  </si>
  <si>
    <t>old</t>
  </si>
  <si>
    <t>ミリオンダックは捕まりながらも
あなたをサポートしてくれます
ミリオンダックのサポートを
無駄にしないようにしましょう</t>
    <phoneticPr fontId="5"/>
  </si>
  <si>
    <t>null</t>
  </si>
  <si>
    <t>400万DL ありがとうグヮッ！</t>
    <rPh sb="3" eb="4">
      <t>マン</t>
    </rPh>
    <phoneticPr fontId="1"/>
  </si>
  <si>
    <t>お邪魔虫はあっち行ってなさい！</t>
    <phoneticPr fontId="5"/>
  </si>
  <si>
    <t>さ、アタシと一緒に行きましょ☆</t>
  </si>
  <si>
    <t>チョット！痛いじゃないの！</t>
  </si>
  <si>
    <t>[effect:enhance_fever, val:1000.0, animation:fevergauge_up04][effect:degrade_unit,target:myself,target:myself, turn:1, status:defense, val:65355, calc:add]</t>
    <phoneticPr fontId="5"/>
  </si>
  <si>
    <t xml:space="preserve">[effect:fix_speed, target:myself, turn:1][effect:crash_condition, target:unit_all, val:50, turn:-1, ][effect:hungup, target:unit_all, turn:-1, rate:1, ] </t>
    <phoneticPr fontId="5"/>
  </si>
  <si>
    <t>ミリオンダックを追いかけよう！</t>
    <phoneticPr fontId="5"/>
  </si>
  <si>
    <t>メデタイ！メデタイ！</t>
    <phoneticPr fontId="5"/>
  </si>
  <si>
    <t>ハッピー！</t>
    <phoneticPr fontId="5"/>
  </si>
  <si>
    <t>幸せそうにこちらを見ている</t>
    <phoneticPr fontId="5"/>
  </si>
  <si>
    <t>幸せそうにくるくる回っている</t>
    <phoneticPr fontId="5"/>
  </si>
  <si>
    <t>大きな声で祝っている</t>
    <phoneticPr fontId="5"/>
  </si>
  <si>
    <t>こりゃめでたいな！</t>
    <phoneticPr fontId="5"/>
  </si>
  <si>
    <t>ハッピー！</t>
    <phoneticPr fontId="5"/>
  </si>
  <si>
    <t>ハッピーがお祝いしている！</t>
    <phoneticPr fontId="5"/>
  </si>
  <si>
    <t>祝わにゃソンSONG！</t>
    <phoneticPr fontId="5"/>
  </si>
  <si>
    <t>お祝いソングを歌っている</t>
    <phoneticPr fontId="5"/>
  </si>
  <si>
    <t>[effect:enemy_message, val1:1, val2:2]</t>
  </si>
  <si>
    <t>この子はアタシのものよん☆</t>
    <phoneticPr fontId="5"/>
  </si>
  <si>
    <t>感謝の舞を踊っている</t>
    <phoneticPr fontId="5"/>
  </si>
  <si>
    <t>ja</t>
    <phoneticPr fontId="5"/>
  </si>
  <si>
    <t>[effect:enemy_message, val1:2, val2:2]</t>
    <phoneticPr fontId="5"/>
  </si>
  <si>
    <t>「た、助けてグヮー！」</t>
    <phoneticPr fontId="5"/>
  </si>
  <si>
    <t>「は、離せグヮー！」</t>
    <phoneticPr fontId="5"/>
  </si>
  <si>
    <t>コラ！暴れないの！</t>
    <phoneticPr fontId="5"/>
  </si>
  <si>
    <t>ミリオンダックは抵抗している！</t>
    <phoneticPr fontId="5"/>
  </si>
  <si>
    <t>ja</t>
    <phoneticPr fontId="5"/>
  </si>
  <si>
    <t>[effect:enemy_message, val1:2, val2:2]</t>
    <phoneticPr fontId="5"/>
  </si>
  <si>
    <t>しょうがないわねぇ…</t>
    <phoneticPr fontId="5"/>
  </si>
  <si>
    <t>今回は退いてアゲル☆</t>
    <phoneticPr fontId="5"/>
  </si>
  <si>
    <t>「も、もう一回グヮ！」</t>
    <phoneticPr fontId="5"/>
  </si>
  <si>
    <t>大人しくなさいな！</t>
    <phoneticPr fontId="5"/>
  </si>
  <si>
    <t>簡単には捕まらないグヮ！</t>
    <phoneticPr fontId="5"/>
  </si>
  <si>
    <t>二択用</t>
    <phoneticPr fontId="5"/>
  </si>
  <si>
    <t>順番１</t>
    <phoneticPr fontId="5"/>
  </si>
  <si>
    <t>順番２</t>
  </si>
  <si>
    <t>順番３</t>
  </si>
  <si>
    <t>順番４</t>
  </si>
  <si>
    <t>ALICEは「アナタ」を必要としている</t>
    <phoneticPr fontId="5"/>
  </si>
  <si>
    <t>ミリオンダックより愛をこめて！</t>
    <phoneticPr fontId="5"/>
  </si>
  <si>
    <t>[effect:enemy_message, val1:3, val2:3][effect:suicide, val:1, dead_type:escape, target:myself][effect:force_change_block, new_block:block_heart, target:block_all, color:block_heart, count:0, val:0.0]</t>
    <phoneticPr fontId="5"/>
  </si>
  <si>
    <t>「これでやっつけるグヮ！」</t>
    <phoneticPr fontId="5"/>
  </si>
  <si>
    <t>ミリオンダックが あらわれた！</t>
    <phoneticPr fontId="5"/>
  </si>
  <si>
    <t>ウレシイ！ウレシイ！</t>
    <phoneticPr fontId="5"/>
  </si>
  <si>
    <t>助けてくれてありがとうグヮ！</t>
    <phoneticPr fontId="5"/>
  </si>
  <si>
    <t>null</t>
    <phoneticPr fontId="5"/>
  </si>
  <si>
    <t>ベルゼブブが ミリオンダックを捕らえた！</t>
    <phoneticPr fontId="5"/>
  </si>
  <si>
    <t>だから、これからも 
【クラフィ】をよろしくグヮッ！</t>
    <phoneticPr fontId="5"/>
  </si>
  <si>
    <t>[effect:enhance_fever, val:1000.0, animation:fevergauge_up04][effect:degrade_unit,target:myself,target:myself, turn:1, status:defense, val:65355, calc:add]</t>
    <phoneticPr fontId="5"/>
  </si>
  <si>
    <t>[effect:enemy_message, val1:2, val2:2][effect:suicide, val:0.8, dead_type:escape, target:myself]</t>
    <phoneticPr fontId="5"/>
  </si>
  <si>
    <t>[effect:fix_speed, target:myself, turn:1][effect:sleep, target:unit_all, turn:1, rate:1, animation:sleep01][effect:force_change_block, new_block:time_bomb, target:block_all, count:9, val:0.1, min_time_count:2, max_time_count:2,animation:change_block]</t>
    <phoneticPr fontId="5"/>
  </si>
  <si>
    <t xml:space="preserve">[effect:enemy_message, val1:2, val2:2][effect:force_change_block, new_block:jammer, target:block_green, count:0, val:0.1, min_time_count:0, max_time_count:1][effect:change_panel_ratio, turn:1, block_type:green, val:0]    </t>
    <phoneticPr fontId="5"/>
  </si>
  <si>
    <t>[effect:suicide, val:1, dead_type:escape, target:myself]</t>
    <phoneticPr fontId="5"/>
  </si>
  <si>
    <t>[effect:enemy_message, dead_type:escape, val1:1, val2:2]</t>
    <phoneticPr fontId="5"/>
  </si>
  <si>
    <t>宴じゃぁ！</t>
    <phoneticPr fontId="5"/>
  </si>
  <si>
    <t>タノシイ！タノシイ！</t>
    <phoneticPr fontId="5"/>
  </si>
  <si>
    <t>ALICEの世界はお祭り騒ぎだ！</t>
    <phoneticPr fontId="5"/>
  </si>
  <si>
    <t>みんな楽しそうに祝っている！</t>
    <phoneticPr fontId="5"/>
  </si>
  <si>
    <t>元気に騒いでいる</t>
    <phoneticPr fontId="5"/>
  </si>
  <si>
    <t>キミならこの世界の平和を守れるグヮ！</t>
    <phoneticPr fontId="5"/>
  </si>
  <si>
    <t>[player_name]のこと
信じてたグヮ！</t>
    <phoneticPr fontId="5"/>
  </si>
  <si>
    <t>[effect:enemy_message, val1:2, val2:3][effect:fix_speed, target:myself, turn:1][effect:force_change_block, new_block:block_heart, target:block_all, color:block_heart, count:0, val:0.0]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</si>
</sst>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8"/>
      <color rgb="FF222222"/>
      <name val="Verdana"/>
    </font>
    <font>
      <sz val="13"/>
      <color rgb="FF000000"/>
      <name val="Arial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08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4" borderId="11" applyNumberFormat="0" applyAlignment="0" applyProtection="0"/>
    <xf numFmtId="0" fontId="33" fillId="15" borderId="0" applyNumberFormat="0" applyBorder="0" applyAlignment="0" applyProtection="0"/>
    <xf numFmtId="0" fontId="34" fillId="16" borderId="12" applyNumberFormat="0" applyAlignment="0" applyProtection="0"/>
    <xf numFmtId="0" fontId="35" fillId="0" borderId="0" applyNumberFormat="0" applyFill="0" applyBorder="0" applyAlignment="0" applyProtection="0"/>
    <xf numFmtId="0" fontId="36" fillId="17" borderId="0" applyNumberFormat="0" applyBorder="0" applyAlignment="0" applyProtection="0"/>
    <xf numFmtId="0" fontId="37" fillId="18" borderId="13" applyNumberFormat="0" applyAlignment="0" applyProtection="0"/>
    <xf numFmtId="0" fontId="38" fillId="0" borderId="0" applyNumberFormat="0" applyFill="0" applyBorder="0" applyAlignment="0" applyProtection="0"/>
    <xf numFmtId="0" fontId="39" fillId="0" borderId="14" applyNumberFormat="0" applyFill="0" applyAlignment="0" applyProtection="0"/>
    <xf numFmtId="0" fontId="40" fillId="0" borderId="15" applyNumberFormat="0" applyFill="0" applyAlignment="0" applyProtection="0"/>
    <xf numFmtId="0" fontId="41" fillId="0" borderId="16" applyNumberFormat="0" applyFill="0" applyAlignment="0" applyProtection="0"/>
    <xf numFmtId="0" fontId="41" fillId="0" borderId="0" applyNumberFormat="0" applyFill="0" applyBorder="0" applyAlignment="0" applyProtection="0"/>
    <xf numFmtId="0" fontId="42" fillId="16" borderId="0" applyNumberFormat="0" applyBorder="0" applyAlignment="0" applyProtection="0"/>
    <xf numFmtId="0" fontId="42" fillId="15" borderId="0" applyNumberFormat="0" applyBorder="0" applyAlignment="0" applyProtection="0"/>
    <xf numFmtId="0" fontId="42" fillId="19" borderId="0" applyNumberFormat="0" applyBorder="0" applyAlignment="0" applyProtection="0"/>
    <xf numFmtId="0" fontId="42" fillId="16" borderId="0" applyNumberFormat="0" applyBorder="0" applyAlignment="0" applyProtection="0"/>
    <xf numFmtId="0" fontId="42" fillId="2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2" fillId="21" borderId="0" applyNumberFormat="0" applyBorder="0" applyAlignment="0" applyProtection="0"/>
    <xf numFmtId="0" fontId="42" fillId="19" borderId="0" applyNumberFormat="0" applyBorder="0" applyAlignment="0" applyProtection="0"/>
    <xf numFmtId="0" fontId="42" fillId="16" borderId="0" applyNumberFormat="0" applyBorder="0" applyAlignment="0" applyProtection="0"/>
    <xf numFmtId="0" fontId="42" fillId="22" borderId="0" applyNumberFormat="0" applyBorder="0" applyAlignment="0" applyProtection="0"/>
    <xf numFmtId="0" fontId="42" fillId="1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9" borderId="0" applyNumberFormat="0" applyBorder="0" applyAlignment="0" applyProtection="0"/>
    <xf numFmtId="0" fontId="43" fillId="16" borderId="0" applyNumberFormat="0" applyBorder="0" applyAlignment="0" applyProtection="0"/>
    <xf numFmtId="0" fontId="43" fillId="23" borderId="0" applyNumberFormat="0" applyBorder="0" applyAlignment="0" applyProtection="0"/>
    <xf numFmtId="0" fontId="43" fillId="15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19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4" fillId="26" borderId="0" applyNumberFormat="0" applyBorder="0" applyAlignment="0" applyProtection="0"/>
    <xf numFmtId="0" fontId="33" fillId="15" borderId="0" applyNumberFormat="0" applyBorder="0" applyAlignment="0" applyProtection="0"/>
    <xf numFmtId="0" fontId="45" fillId="0" borderId="17" applyNumberFormat="0" applyFill="0" applyAlignment="0" applyProtection="0"/>
    <xf numFmtId="0" fontId="46" fillId="16" borderId="18" applyNumberFormat="0" applyAlignment="0" applyProtection="0"/>
    <xf numFmtId="0" fontId="46" fillId="27" borderId="18" applyNumberFormat="0" applyAlignment="0" applyProtection="0"/>
    <xf numFmtId="0" fontId="34" fillId="15" borderId="12" applyNumberFormat="0" applyAlignment="0" applyProtection="0"/>
    <xf numFmtId="0" fontId="47" fillId="0" borderId="19" applyNumberFormat="0" applyFill="0" applyAlignment="0" applyProtection="0"/>
    <xf numFmtId="0" fontId="48" fillId="27" borderId="12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0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27" fillId="0" borderId="7" xfId="0" applyFont="1" applyFill="1" applyBorder="1"/>
    <xf numFmtId="0" fontId="28" fillId="0" borderId="7" xfId="0" applyFont="1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13" borderId="7" xfId="0" applyFont="1" applyFill="1" applyBorder="1" applyAlignment="1">
      <alignment horizontal="center"/>
    </xf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56" fontId="16" fillId="28" borderId="7" xfId="0" applyNumberFormat="1" applyFont="1" applyFill="1" applyBorder="1" applyAlignment="1">
      <alignment horizontal="center"/>
    </xf>
    <xf numFmtId="0" fontId="16" fillId="28" borderId="7" xfId="11" applyFont="1" applyFill="1" applyBorder="1" applyAlignment="1">
      <alignment horizontal="left"/>
    </xf>
    <xf numFmtId="0" fontId="16" fillId="28" borderId="7" xfId="0" applyFont="1" applyFill="1" applyBorder="1" applyAlignment="1">
      <alignment horizontal="center"/>
    </xf>
    <xf numFmtId="0" fontId="2" fillId="28" borderId="7" xfId="615" applyFill="1" applyBorder="1"/>
    <xf numFmtId="0" fontId="0" fillId="28" borderId="7" xfId="615" applyFont="1" applyFill="1" applyBorder="1"/>
    <xf numFmtId="0" fontId="0" fillId="28" borderId="7" xfId="0" applyFill="1" applyBorder="1"/>
    <xf numFmtId="0" fontId="2" fillId="3" borderId="7" xfId="615" applyFill="1" applyBorder="1"/>
    <xf numFmtId="49" fontId="0" fillId="0" borderId="0" xfId="0" applyNumberFormat="1"/>
    <xf numFmtId="38" fontId="16" fillId="0" borderId="7" xfId="628" applyFont="1" applyFill="1" applyBorder="1" applyAlignment="1">
      <alignment wrapText="1"/>
    </xf>
    <xf numFmtId="0" fontId="24" fillId="13" borderId="7" xfId="434" applyFill="1" applyBorder="1" applyAlignment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0" fontId="16" fillId="0" borderId="21" xfId="0" applyFont="1" applyFill="1" applyBorder="1" applyAlignment="1">
      <alignment vertical="center"/>
    </xf>
    <xf numFmtId="0" fontId="16" fillId="28" borderId="7" xfId="0" applyFont="1" applyFill="1" applyBorder="1" applyAlignment="1">
      <alignment vertical="center"/>
    </xf>
    <xf numFmtId="0" fontId="16" fillId="28" borderId="7" xfId="0" applyFont="1" applyFill="1" applyBorder="1" applyAlignment="1">
      <alignment horizontal="left" vertical="center"/>
    </xf>
    <xf numFmtId="0" fontId="16" fillId="28" borderId="7" xfId="0" applyFont="1" applyFill="1" applyBorder="1" applyAlignment="1">
      <alignment horizontal="left" vertical="center" wrapText="1"/>
    </xf>
    <xf numFmtId="0" fontId="51" fillId="28" borderId="7" xfId="0" applyFont="1" applyFill="1" applyBorder="1"/>
    <xf numFmtId="14" fontId="16" fillId="28" borderId="7" xfId="0" applyNumberFormat="1" applyFont="1" applyFill="1" applyBorder="1" applyAlignment="1">
      <alignment horizontal="left" vertical="center"/>
    </xf>
    <xf numFmtId="0" fontId="16" fillId="28" borderId="0" xfId="0" applyFont="1" applyFill="1" applyAlignment="1">
      <alignment vertical="center"/>
    </xf>
    <xf numFmtId="0" fontId="16" fillId="29" borderId="7" xfId="0" applyFont="1" applyFill="1" applyBorder="1" applyAlignment="1">
      <alignment vertical="center"/>
    </xf>
    <xf numFmtId="0" fontId="16" fillId="29" borderId="7" xfId="0" applyFont="1" applyFill="1" applyBorder="1" applyAlignment="1">
      <alignment horizontal="left" vertical="center"/>
    </xf>
    <xf numFmtId="0" fontId="16" fillId="29" borderId="7" xfId="0" applyFont="1" applyFill="1" applyBorder="1" applyAlignment="1">
      <alignment horizontal="left" vertical="center" wrapText="1"/>
    </xf>
    <xf numFmtId="14" fontId="16" fillId="29" borderId="7" xfId="0" applyNumberFormat="1" applyFont="1" applyFill="1" applyBorder="1" applyAlignment="1">
      <alignment horizontal="left" vertical="center"/>
    </xf>
    <xf numFmtId="0" fontId="16" fillId="29" borderId="0" xfId="0" applyFont="1" applyFill="1" applyAlignment="1">
      <alignment vertical="center"/>
    </xf>
    <xf numFmtId="0" fontId="16" fillId="30" borderId="7" xfId="0" applyFont="1" applyFill="1" applyBorder="1" applyAlignment="1">
      <alignment vertical="center"/>
    </xf>
    <xf numFmtId="0" fontId="16" fillId="30" borderId="7" xfId="0" applyFont="1" applyFill="1" applyBorder="1" applyAlignment="1">
      <alignment horizontal="left" vertical="center"/>
    </xf>
    <xf numFmtId="0" fontId="16" fillId="30" borderId="7" xfId="0" applyFont="1" applyFill="1" applyBorder="1" applyAlignment="1">
      <alignment horizontal="left" vertical="center" wrapText="1"/>
    </xf>
    <xf numFmtId="14" fontId="16" fillId="30" borderId="7" xfId="0" applyNumberFormat="1" applyFont="1" applyFill="1" applyBorder="1" applyAlignment="1">
      <alignment horizontal="left" vertical="center"/>
    </xf>
    <xf numFmtId="0" fontId="16" fillId="30" borderId="0" xfId="0" applyFont="1" applyFill="1" applyAlignment="1">
      <alignment vertical="center"/>
    </xf>
    <xf numFmtId="0" fontId="16" fillId="31" borderId="7" xfId="0" applyFont="1" applyFill="1" applyBorder="1" applyAlignment="1">
      <alignment vertical="center"/>
    </xf>
    <xf numFmtId="0" fontId="16" fillId="31" borderId="7" xfId="0" applyFont="1" applyFill="1" applyBorder="1" applyAlignment="1">
      <alignment horizontal="left" vertical="center"/>
    </xf>
    <xf numFmtId="0" fontId="16" fillId="31" borderId="7" xfId="0" applyFont="1" applyFill="1" applyBorder="1" applyAlignment="1">
      <alignment horizontal="left" vertical="center" wrapText="1"/>
    </xf>
    <xf numFmtId="0" fontId="16" fillId="31" borderId="0" xfId="0" applyFont="1" applyFill="1" applyAlignment="1">
      <alignment vertical="center"/>
    </xf>
    <xf numFmtId="0" fontId="16" fillId="6" borderId="7" xfId="0" applyFont="1" applyFill="1" applyBorder="1" applyAlignment="1">
      <alignment vertical="center"/>
    </xf>
    <xf numFmtId="0" fontId="52" fillId="0" borderId="0" xfId="0" applyFont="1"/>
    <xf numFmtId="0" fontId="6" fillId="0" borderId="7" xfId="0" applyFont="1" applyFill="1" applyBorder="1" applyAlignment="1">
      <alignment horizontal="center"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0" xfId="0" applyFont="1" applyFill="1" applyAlignment="1">
      <alignment vertical="center"/>
    </xf>
    <xf numFmtId="0" fontId="16" fillId="32" borderId="0" xfId="0" applyFont="1" applyFill="1" applyAlignment="1">
      <alignment vertical="center" wrapText="1"/>
    </xf>
  </cellXfs>
  <cellStyles count="108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赤字強調" xfId="431"/>
    <cellStyle name="青字強調" xfId="4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48001</v>
          </cell>
        </row>
        <row r="177">
          <cell r="A177">
            <v>48002</v>
          </cell>
        </row>
        <row r="178">
          <cell r="A178">
            <v>41001</v>
          </cell>
        </row>
        <row r="179">
          <cell r="A179">
            <v>41002</v>
          </cell>
        </row>
        <row r="180">
          <cell r="A180">
            <v>41003</v>
          </cell>
        </row>
        <row r="181">
          <cell r="A181">
            <v>41004</v>
          </cell>
        </row>
        <row r="182">
          <cell r="A182">
            <v>41005</v>
          </cell>
        </row>
        <row r="183">
          <cell r="A183">
            <v>41006</v>
          </cell>
        </row>
        <row r="184">
          <cell r="A184">
            <v>41007</v>
          </cell>
        </row>
        <row r="185">
          <cell r="A185">
            <v>41008</v>
          </cell>
        </row>
        <row r="186">
          <cell r="A186">
            <v>41009</v>
          </cell>
        </row>
        <row r="187">
          <cell r="A187">
            <v>41010</v>
          </cell>
        </row>
        <row r="188">
          <cell r="A188">
            <v>49001</v>
          </cell>
        </row>
        <row r="189">
          <cell r="A189">
            <v>49002</v>
          </cell>
        </row>
        <row r="190">
          <cell r="A190">
            <v>49003</v>
          </cell>
        </row>
        <row r="191">
          <cell r="A191">
            <v>49004</v>
          </cell>
        </row>
        <row r="192">
          <cell r="A192">
            <v>49005</v>
          </cell>
        </row>
        <row r="193">
          <cell r="A193">
            <v>49006</v>
          </cell>
        </row>
        <row r="194">
          <cell r="A194">
            <v>50001</v>
          </cell>
        </row>
        <row r="195">
          <cell r="A195">
            <v>50002</v>
          </cell>
        </row>
        <row r="196">
          <cell r="A196">
            <v>50003</v>
          </cell>
        </row>
        <row r="197">
          <cell r="A197">
            <v>50004</v>
          </cell>
        </row>
        <row r="198">
          <cell r="A198">
            <v>50005</v>
          </cell>
        </row>
        <row r="199">
          <cell r="A199">
            <v>51001</v>
          </cell>
        </row>
        <row r="200">
          <cell r="A200">
            <v>51002</v>
          </cell>
        </row>
        <row r="201">
          <cell r="A201">
            <v>60001</v>
          </cell>
        </row>
        <row r="202">
          <cell r="A202">
            <v>60002</v>
          </cell>
        </row>
        <row r="203">
          <cell r="A203">
            <v>60003</v>
          </cell>
        </row>
        <row r="204">
          <cell r="A204">
            <v>60004</v>
          </cell>
        </row>
        <row r="205">
          <cell r="A205">
            <v>60005</v>
          </cell>
        </row>
        <row r="206">
          <cell r="A206">
            <v>60006</v>
          </cell>
        </row>
        <row r="207">
          <cell r="A207">
            <v>60007</v>
          </cell>
        </row>
        <row r="208">
          <cell r="A208">
            <v>60010</v>
          </cell>
        </row>
        <row r="209">
          <cell r="A209">
            <v>60011</v>
          </cell>
        </row>
        <row r="210">
          <cell r="A210">
            <v>65535</v>
          </cell>
        </row>
        <row r="211">
          <cell r="A211">
            <v>60021</v>
          </cell>
        </row>
        <row r="212">
          <cell r="A212">
            <v>60022</v>
          </cell>
        </row>
        <row r="213">
          <cell r="A213">
            <v>60023</v>
          </cell>
        </row>
        <row r="214">
          <cell r="A21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48001_1</v>
          </cell>
        </row>
        <row r="559">
          <cell r="A559" t="str">
            <v>48002_1</v>
          </cell>
        </row>
        <row r="560">
          <cell r="A560" t="str">
            <v>48002_2</v>
          </cell>
        </row>
        <row r="561">
          <cell r="A561" t="str">
            <v>48002_3</v>
          </cell>
        </row>
        <row r="562">
          <cell r="A562" t="str">
            <v>41001_1</v>
          </cell>
        </row>
        <row r="563">
          <cell r="A563" t="str">
            <v>41001_2</v>
          </cell>
        </row>
        <row r="564">
          <cell r="A564" t="str">
            <v>41001_3</v>
          </cell>
        </row>
        <row r="565">
          <cell r="A565" t="str">
            <v>41002_1</v>
          </cell>
        </row>
        <row r="566">
          <cell r="A566" t="str">
            <v>41002_2</v>
          </cell>
        </row>
        <row r="567">
          <cell r="A567" t="str">
            <v>41002_3</v>
          </cell>
        </row>
        <row r="568">
          <cell r="A568" t="str">
            <v>41003_1</v>
          </cell>
        </row>
        <row r="569">
          <cell r="A569" t="str">
            <v>41003_2</v>
          </cell>
        </row>
        <row r="570">
          <cell r="A570" t="str">
            <v>41003_3</v>
          </cell>
        </row>
        <row r="571">
          <cell r="A571" t="str">
            <v>41004_1</v>
          </cell>
        </row>
        <row r="572">
          <cell r="A572" t="str">
            <v>41004_2</v>
          </cell>
        </row>
        <row r="573">
          <cell r="A573" t="str">
            <v>41004_3</v>
          </cell>
        </row>
        <row r="574">
          <cell r="A574" t="str">
            <v>41005_1</v>
          </cell>
        </row>
        <row r="575">
          <cell r="A575" t="str">
            <v>41005_2</v>
          </cell>
        </row>
        <row r="576">
          <cell r="A576" t="str">
            <v>41005_3</v>
          </cell>
        </row>
        <row r="577">
          <cell r="A577" t="str">
            <v>41006_1</v>
          </cell>
        </row>
        <row r="578">
          <cell r="A578" t="str">
            <v>41006_2</v>
          </cell>
        </row>
        <row r="579">
          <cell r="A579" t="str">
            <v>41006_3</v>
          </cell>
        </row>
        <row r="580">
          <cell r="A580" t="str">
            <v>41007_1</v>
          </cell>
        </row>
        <row r="581">
          <cell r="A581" t="str">
            <v>41007_2</v>
          </cell>
        </row>
        <row r="582">
          <cell r="A582" t="str">
            <v>41007_3</v>
          </cell>
        </row>
        <row r="583">
          <cell r="A583" t="str">
            <v>41008_1</v>
          </cell>
        </row>
        <row r="584">
          <cell r="A584" t="str">
            <v>41008_2</v>
          </cell>
        </row>
        <row r="585">
          <cell r="A585" t="str">
            <v>41008_3</v>
          </cell>
        </row>
        <row r="586">
          <cell r="A586" t="str">
            <v>41009_1</v>
          </cell>
        </row>
        <row r="587">
          <cell r="A587" t="str">
            <v>41009_2</v>
          </cell>
        </row>
        <row r="588">
          <cell r="A588" t="str">
            <v>41009_3</v>
          </cell>
        </row>
        <row r="589">
          <cell r="A589" t="str">
            <v>41010_1</v>
          </cell>
        </row>
        <row r="590">
          <cell r="A590" t="str">
            <v>41010_2</v>
          </cell>
        </row>
        <row r="591">
          <cell r="A591" t="str">
            <v>41010_3</v>
          </cell>
        </row>
        <row r="592">
          <cell r="A592" t="str">
            <v>49001_1</v>
          </cell>
        </row>
        <row r="593">
          <cell r="A593" t="str">
            <v>49002_1</v>
          </cell>
        </row>
        <row r="594">
          <cell r="A594" t="str">
            <v>49002_2</v>
          </cell>
        </row>
        <row r="595">
          <cell r="A595" t="str">
            <v>49003_1</v>
          </cell>
        </row>
        <row r="596">
          <cell r="A596" t="str">
            <v>49003_2</v>
          </cell>
        </row>
        <row r="597">
          <cell r="A597" t="str">
            <v>49004_1</v>
          </cell>
        </row>
        <row r="598">
          <cell r="A598" t="str">
            <v>49004_2</v>
          </cell>
        </row>
        <row r="599">
          <cell r="A599" t="str">
            <v>49004_3</v>
          </cell>
        </row>
        <row r="600">
          <cell r="A600" t="str">
            <v>49005_1</v>
          </cell>
        </row>
        <row r="601">
          <cell r="A601" t="str">
            <v>49006_1</v>
          </cell>
        </row>
        <row r="602">
          <cell r="A602" t="str">
            <v>50001_1</v>
          </cell>
        </row>
        <row r="603">
          <cell r="A603" t="str">
            <v>50002_1</v>
          </cell>
        </row>
        <row r="604">
          <cell r="A604" t="str">
            <v>50003_1</v>
          </cell>
        </row>
        <row r="605">
          <cell r="A605" t="str">
            <v>50004_1</v>
          </cell>
        </row>
        <row r="606">
          <cell r="A606" t="str">
            <v>50005_1</v>
          </cell>
        </row>
        <row r="607">
          <cell r="A607" t="str">
            <v>51001_1</v>
          </cell>
        </row>
        <row r="608">
          <cell r="A608" t="str">
            <v>51002_1</v>
          </cell>
        </row>
        <row r="609">
          <cell r="A609" t="str">
            <v>60001_1</v>
          </cell>
        </row>
        <row r="610">
          <cell r="A610" t="str">
            <v>60002_1</v>
          </cell>
        </row>
        <row r="611">
          <cell r="A611" t="str">
            <v>60002_2</v>
          </cell>
        </row>
        <row r="612">
          <cell r="A612" t="str">
            <v>60003_1</v>
          </cell>
        </row>
        <row r="613">
          <cell r="A613" t="str">
            <v>60003_2</v>
          </cell>
        </row>
        <row r="614">
          <cell r="A614" t="str">
            <v>60003_3</v>
          </cell>
        </row>
        <row r="615">
          <cell r="A615" t="str">
            <v>60004_1</v>
          </cell>
        </row>
        <row r="616">
          <cell r="A616" t="str">
            <v>60005_1</v>
          </cell>
        </row>
        <row r="617">
          <cell r="A617" t="str">
            <v>60006_1</v>
          </cell>
        </row>
        <row r="618">
          <cell r="A618" t="str">
            <v>60006_2</v>
          </cell>
        </row>
        <row r="619">
          <cell r="A619" t="str">
            <v>60006_3</v>
          </cell>
        </row>
        <row r="620">
          <cell r="A620" t="str">
            <v>60007_1</v>
          </cell>
        </row>
        <row r="621">
          <cell r="A621" t="str">
            <v>60007_2</v>
          </cell>
        </row>
        <row r="622">
          <cell r="A622" t="str">
            <v>60007_3</v>
          </cell>
        </row>
        <row r="623">
          <cell r="A623" t="str">
            <v>60010_1</v>
          </cell>
        </row>
        <row r="624">
          <cell r="A624" t="str">
            <v>60011_1</v>
          </cell>
        </row>
        <row r="625">
          <cell r="A625" t="str">
            <v>65535_1</v>
          </cell>
        </row>
        <row r="626">
          <cell r="A626" t="str">
            <v>65535_2</v>
          </cell>
        </row>
        <row r="627">
          <cell r="A627" t="str">
            <v>65535_3</v>
          </cell>
        </row>
        <row r="628">
          <cell r="A628" t="str">
            <v>65535_4</v>
          </cell>
        </row>
        <row r="629">
          <cell r="A629" t="str">
            <v>65535_5</v>
          </cell>
        </row>
        <row r="630">
          <cell r="A630" t="str">
            <v>65535_6</v>
          </cell>
        </row>
        <row r="631">
          <cell r="A631" t="str">
            <v>65535_7</v>
          </cell>
        </row>
        <row r="632">
          <cell r="A632" t="str">
            <v>65535_8</v>
          </cell>
        </row>
        <row r="633">
          <cell r="A633" t="str">
            <v>60021_3</v>
          </cell>
        </row>
        <row r="634">
          <cell r="A634" t="str">
            <v>60022_3</v>
          </cell>
        </row>
        <row r="635">
          <cell r="A635" t="str">
            <v>60023_3</v>
          </cell>
        </row>
        <row r="636">
          <cell r="A636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workbookViewId="0">
      <selection activeCell="A4" sqref="A4"/>
    </sheetView>
  </sheetViews>
  <sheetFormatPr baseColWidth="12" defaultRowHeight="15" x14ac:dyDescent="0.15"/>
  <cols>
    <col min="2" max="2" width="18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196</v>
      </c>
      <c r="B2" s="56" t="s">
        <v>105</v>
      </c>
      <c r="C2" s="62" t="s">
        <v>184</v>
      </c>
      <c r="D2" s="56" t="s">
        <v>106</v>
      </c>
      <c r="E2" s="67" t="str">
        <f>B2&amp;C2&amp;D2</f>
        <v>floors_4M.tmp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196</v>
      </c>
      <c r="B3" s="56" t="s">
        <v>108</v>
      </c>
      <c r="C3" s="67" t="str">
        <f>C$2</f>
        <v>4M</v>
      </c>
      <c r="D3" s="56" t="s">
        <v>106</v>
      </c>
      <c r="E3" s="67" t="str">
        <f>B3&amp;C3&amp;D3</f>
        <v>enemy_habitats_4M.tmp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150</v>
      </c>
    </row>
    <row r="4" spans="1:30" x14ac:dyDescent="0.15">
      <c r="A4" s="60" t="s">
        <v>196</v>
      </c>
      <c r="B4" s="56" t="s">
        <v>110</v>
      </c>
      <c r="C4" s="67" t="str">
        <f t="shared" ref="C4:C11" si="0">C$2</f>
        <v>4M</v>
      </c>
      <c r="D4" s="56" t="s">
        <v>106</v>
      </c>
      <c r="E4" s="67" t="str">
        <f>B4&amp;C4&amp;D4</f>
        <v>enemy_habitat_S_4M.tmp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196</v>
      </c>
      <c r="B5" s="56" t="s">
        <v>112</v>
      </c>
      <c r="C5" s="67" t="str">
        <f t="shared" si="0"/>
        <v>4M</v>
      </c>
      <c r="D5" s="56" t="s">
        <v>106</v>
      </c>
      <c r="E5" s="67" t="str">
        <f>B5&amp;C5&amp;D5</f>
        <v>enemy_skill_sets_4M.tmp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196</v>
      </c>
      <c r="B6" s="56" t="s">
        <v>114</v>
      </c>
      <c r="C6" s="67" t="str">
        <f t="shared" si="0"/>
        <v>4M</v>
      </c>
      <c r="D6" s="56" t="s">
        <v>115</v>
      </c>
      <c r="E6" s="67" t="str">
        <f t="shared" ref="E6:E10" si="1">B6&amp;C6&amp;D6</f>
        <v>enemy_skills_tmp_4M.tmp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196</v>
      </c>
      <c r="B7" s="56" t="s">
        <v>116</v>
      </c>
      <c r="C7" s="67" t="str">
        <f t="shared" si="0"/>
        <v>4M</v>
      </c>
      <c r="D7" s="56" t="s">
        <v>106</v>
      </c>
      <c r="E7" s="67" t="str">
        <f>B7&amp;C7&amp;D7</f>
        <v>enemy_skills_i18n_4M.tmp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196</v>
      </c>
      <c r="B8" s="56" t="s">
        <v>118</v>
      </c>
      <c r="C8" s="67" t="str">
        <f t="shared" si="0"/>
        <v>4M</v>
      </c>
      <c r="D8" s="56" t="s">
        <v>119</v>
      </c>
      <c r="E8" s="67" t="str">
        <f t="shared" si="1"/>
        <v>enemy_skill_triggers_4M.tmp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90" t="s">
        <v>185</v>
      </c>
      <c r="B9" s="65" t="s">
        <v>149</v>
      </c>
      <c r="C9" s="67" t="str">
        <f t="shared" si="0"/>
        <v>4M</v>
      </c>
      <c r="D9" s="65" t="s">
        <v>143</v>
      </c>
      <c r="E9" s="87" t="str">
        <f t="shared" si="1"/>
        <v>stage_bug_bonuses_4M.tmp</v>
      </c>
      <c r="F9" s="65" t="s">
        <v>144</v>
      </c>
      <c r="G9" s="63" t="s">
        <v>130</v>
      </c>
      <c r="H9" s="63" t="s">
        <v>145</v>
      </c>
      <c r="I9" s="63" t="s">
        <v>146</v>
      </c>
      <c r="J9" s="64" t="s">
        <v>147</v>
      </c>
      <c r="K9" s="63" t="s">
        <v>148</v>
      </c>
      <c r="L9" s="63" t="s">
        <v>131</v>
      </c>
      <c r="M9" s="63" t="s">
        <v>132</v>
      </c>
      <c r="N9" s="63" t="s">
        <v>133</v>
      </c>
      <c r="O9" s="63" t="s">
        <v>134</v>
      </c>
      <c r="P9" s="63" t="s">
        <v>135</v>
      </c>
      <c r="Q9" s="63" t="s">
        <v>136</v>
      </c>
      <c r="R9" s="63" t="s">
        <v>137</v>
      </c>
      <c r="S9" s="63" t="s">
        <v>138</v>
      </c>
      <c r="T9" s="63" t="s">
        <v>139</v>
      </c>
      <c r="U9" s="63" t="s">
        <v>140</v>
      </c>
      <c r="V9" s="63" t="s">
        <v>141</v>
      </c>
      <c r="W9" s="63" t="s">
        <v>142</v>
      </c>
    </row>
    <row r="10" spans="1:30" s="70" customFormat="1" x14ac:dyDescent="0.15">
      <c r="A10" s="60" t="s">
        <v>196</v>
      </c>
      <c r="B10" s="65" t="s">
        <v>177</v>
      </c>
      <c r="C10" s="67" t="str">
        <f>C$2</f>
        <v>4M</v>
      </c>
      <c r="D10" s="65" t="s">
        <v>152</v>
      </c>
      <c r="E10" s="87" t="str">
        <f t="shared" si="1"/>
        <v>stage_hints_data_4M.tmp</v>
      </c>
      <c r="F10" s="65" t="s">
        <v>176</v>
      </c>
      <c r="G10" s="68" t="s">
        <v>153</v>
      </c>
      <c r="H10" s="68" t="s">
        <v>145</v>
      </c>
      <c r="I10" s="69" t="s">
        <v>154</v>
      </c>
      <c r="J10" s="64" t="s">
        <v>155</v>
      </c>
      <c r="K10" s="64" t="s">
        <v>156</v>
      </c>
    </row>
    <row r="11" spans="1:30" s="70" customFormat="1" x14ac:dyDescent="0.15">
      <c r="A11" s="60" t="s">
        <v>196</v>
      </c>
      <c r="B11" s="65" t="s">
        <v>169</v>
      </c>
      <c r="C11" s="67" t="str">
        <f t="shared" si="0"/>
        <v>4M</v>
      </c>
      <c r="D11" s="65" t="s">
        <v>143</v>
      </c>
      <c r="E11" s="87" t="str">
        <f t="shared" ref="E11" si="2">B11&amp;C11&amp;D11</f>
        <v>stage_hints_i18n_4M.tmp</v>
      </c>
      <c r="F11" s="65" t="s">
        <v>176</v>
      </c>
      <c r="G11" s="81" t="s">
        <v>170</v>
      </c>
      <c r="H11" s="82" t="s">
        <v>171</v>
      </c>
      <c r="I11" s="83" t="s">
        <v>172</v>
      </c>
      <c r="J11" s="84" t="s">
        <v>173</v>
      </c>
      <c r="K11" s="85" t="s">
        <v>174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H9" sqref="H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22.83203125" style="3" bestFit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11225_1-1</v>
      </c>
      <c r="B2" s="16" t="str">
        <f>IF(COUNTIF(enemy_habitats!$H:$H,A2),"OK","NG")</f>
        <v>NG</v>
      </c>
      <c r="C2" s="7">
        <v>11225</v>
      </c>
      <c r="D2" s="11" t="str">
        <f ca="1">VLOOKUP($C2,OFFSET([2]quests!$A$1,0,0,COUNTA([2]quests!$A:$A),MATCH(D$1,[2]quests!$1:$1,0)-MATCH($C$1,[2]quests!$1:$1,0)+1),MATCH(D$1,[2]quests!$1:$1,0)-MATCH($C$1,[2]quests!$1:$1,0)+1,FALSE)</f>
        <v>400万DL記念★特別クエスト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400万DL記念★特別クエスト</v>
      </c>
      <c r="F2" s="21">
        <v>1</v>
      </c>
      <c r="G2" s="23" t="str">
        <f>C2&amp;"_"&amp;F2</f>
        <v>11225_1</v>
      </c>
      <c r="H2" s="15" t="str">
        <f ca="1">VLOOKUP($G2,OFFSET([2]stages!$A$1,0,0,COUNTA([2]stages!$A:$A),MATCH(H$1,[2]stages!$2:$2,0)-MATCH($G$1,[2]stages!$2:$2,0)+1),MATCH(H$1,[2]stages!$2:$2,0)-MATCH($G$1,[2]stages!$2:$2,0)+1,FALSE)</f>
        <v>ミリオンダックより愛をこめて 4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11225_1-2</v>
      </c>
      <c r="B3" s="16" t="str">
        <f>IF(COUNTIF(enemy_habitats!$H:$H,A3),"OK","NG")</f>
        <v>NG</v>
      </c>
      <c r="C3" s="7">
        <v>11225</v>
      </c>
      <c r="D3" s="11" t="str">
        <f ca="1">VLOOKUP($C3,OFFSET([2]quests!$A$1,0,0,COUNTA([2]quests!$A:$A),MATCH(D$1,[2]quests!$1:$1,0)-MATCH($C$1,[2]quests!$1:$1,0)+1),MATCH(D$1,[2]quests!$1:$1,0)-MATCH($C$1,[2]quests!$1:$1,0)+1,FALSE)</f>
        <v>400万DL記念★特別クエスト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400万DL記念★特別クエスト</v>
      </c>
      <c r="F3" s="21">
        <v>1</v>
      </c>
      <c r="G3" s="23" t="str">
        <f>C3&amp;"_"&amp;F3</f>
        <v>11225_1</v>
      </c>
      <c r="H3" s="15" t="str">
        <f ca="1">VLOOKUP($G3,OFFSET([2]stages!$A$1,0,0,COUNTA([2]stages!$A:$A),MATCH(H$1,[2]stages!$2:$2,0)-MATCH($G$1,[2]stages!$2:$2,0)+1),MATCH(H$1,[2]stages!$2:$2,0)-MATCH($G$1,[2]stages!$2:$2,0)+1,FALSE)</f>
        <v>ミリオンダックより愛をこめて 4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11225_1-3</v>
      </c>
      <c r="B4" s="16" t="str">
        <f>IF(COUNTIF(enemy_habitats!$H:$H,A4),"OK","NG")</f>
        <v>NG</v>
      </c>
      <c r="C4" s="7">
        <v>11225</v>
      </c>
      <c r="D4" s="11" t="str">
        <f ca="1">VLOOKUP($C4,OFFSET([2]quests!$A$1,0,0,COUNTA([2]quests!$A:$A),MATCH(D$1,[2]quests!$1:$1,0)-MATCH($C$1,[2]quests!$1:$1,0)+1),MATCH(D$1,[2]quests!$1:$1,0)-MATCH($C$1,[2]quests!$1:$1,0)+1,FALSE)</f>
        <v>400万DL記念★特別クエスト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400万DL記念★特別クエスト</v>
      </c>
      <c r="F4" s="21">
        <v>1</v>
      </c>
      <c r="G4" s="23" t="str">
        <f>C4&amp;"_"&amp;F4</f>
        <v>11225_1</v>
      </c>
      <c r="H4" s="15" t="str">
        <f ca="1">VLOOKUP($G4,OFFSET([2]stages!$A$1,0,0,COUNTA([2]stages!$A:$A),MATCH(H$1,[2]stages!$2:$2,0)-MATCH($G$1,[2]stages!$2:$2,0)+1),MATCH(H$1,[2]stages!$2:$2,0)-MATCH($G$1,[2]stages!$2:$2,0)+1,FALSE)</f>
        <v>ミリオンダックより愛をこめて 4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11225_1-4</v>
      </c>
      <c r="B5" s="16" t="str">
        <f>IF(COUNTIF(enemy_habitats!$H:$H,A5),"OK","NG")</f>
        <v>NG</v>
      </c>
      <c r="C5" s="7">
        <v>11225</v>
      </c>
      <c r="D5" s="11" t="str">
        <f ca="1">VLOOKUP($C5,OFFSET([2]quests!$A$1,0,0,COUNTA([2]quests!$A:$A),MATCH(D$1,[2]quests!$1:$1,0)-MATCH($C$1,[2]quests!$1:$1,0)+1),MATCH(D$1,[2]quests!$1:$1,0)-MATCH($C$1,[2]quests!$1:$1,0)+1,FALSE)</f>
        <v>400万DL記念★特別クエスト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400万DL記念★特別クエスト</v>
      </c>
      <c r="F5" s="21">
        <v>1</v>
      </c>
      <c r="G5" s="23" t="str">
        <f>C5&amp;"_"&amp;F5</f>
        <v>11225_1</v>
      </c>
      <c r="H5" s="15" t="str">
        <f ca="1">VLOOKUP($G5,OFFSET([2]stages!$A$1,0,0,COUNTA([2]stages!$A:$A),MATCH(H$1,[2]stages!$2:$2,0)-MATCH($G$1,[2]stages!$2:$2,0)+1),MATCH(H$1,[2]stages!$2:$2,0)-MATCH($G$1,[2]stages!$2:$2,0)+1,FALSE)</f>
        <v>ミリオンダックより愛をこめて 4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/>
      <c r="B6" s="16"/>
      <c r="C6" s="7"/>
      <c r="D6" s="11"/>
      <c r="E6" s="18"/>
      <c r="F6" s="21"/>
      <c r="G6" s="23"/>
      <c r="H6" s="15"/>
      <c r="I6" s="21"/>
      <c r="J6" s="12"/>
      <c r="K6" s="12"/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4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2" sqref="U12"/>
    </sheetView>
  </sheetViews>
  <sheetFormatPr baseColWidth="12" defaultColWidth="13" defaultRowHeight="21" customHeight="1" outlineLevelCol="1" x14ac:dyDescent="0.15"/>
  <cols>
    <col min="1" max="1" width="18.16406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8.832031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6.83203125" style="3" bestFit="1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customWidth="1" outlineLevel="1"/>
    <col min="31" max="31" width="12" style="14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151</v>
      </c>
    </row>
    <row r="2" spans="1:40" ht="21" customHeight="1" x14ac:dyDescent="0.15">
      <c r="A2" s="16" t="str">
        <f ca="1">B2&amp;"_"&amp;C2&amp;"-"&amp;G2&amp;"/"&amp;L2&amp;"&lt;lv"&amp;R2&amp;"&gt;s"&amp;AA2</f>
        <v>11225_1-1/444&lt;lv1&gt;s3</v>
      </c>
      <c r="B2" s="22">
        <v>11225</v>
      </c>
      <c r="C2" s="21">
        <v>1</v>
      </c>
      <c r="D2" s="2"/>
      <c r="E2" s="4"/>
      <c r="F2" s="4"/>
      <c r="G2" s="21">
        <v>1</v>
      </c>
      <c r="H2" s="15"/>
      <c r="I2" s="4"/>
      <c r="J2" s="4"/>
      <c r="K2" s="38" t="s">
        <v>53</v>
      </c>
      <c r="L2" s="20">
        <v>444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炎のミリオンダック 4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25">
        <v>10</v>
      </c>
      <c r="T2" s="25">
        <v>1</v>
      </c>
      <c r="U2" s="5">
        <v>65355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ミリオンダックが あらわれた！</v>
      </c>
      <c r="W2" s="47">
        <v>112251101</v>
      </c>
      <c r="X2" s="6">
        <v>1</v>
      </c>
      <c r="Y2" s="6">
        <v>100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10" si="0">L2</f>
        <v>444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炎のミリオンダック 4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6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6" ca="1" si="1">AD2</f>
        <v>6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6">
        <v>1</v>
      </c>
    </row>
    <row r="3" spans="1:40" ht="21" customHeight="1" x14ac:dyDescent="0.15">
      <c r="A3" s="16" t="str">
        <f t="shared" ref="A3:A4" ca="1" si="2">B3&amp;"_"&amp;C3&amp;"-"&amp;G3&amp;"/"&amp;L3&amp;"&lt;lv"&amp;R3&amp;"&gt;s"&amp;AA3</f>
        <v>11225_1-2/79&lt;lv1&gt;s2</v>
      </c>
      <c r="B3" s="22">
        <v>11225</v>
      </c>
      <c r="C3" s="21">
        <v>1</v>
      </c>
      <c r="D3" s="2"/>
      <c r="E3" s="4"/>
      <c r="F3" s="4"/>
      <c r="G3" s="21">
        <v>2</v>
      </c>
      <c r="H3" s="15"/>
      <c r="I3" s="4"/>
      <c r="J3" s="4"/>
      <c r="K3" s="38" t="s">
        <v>53</v>
      </c>
      <c r="L3" s="118">
        <v>79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ハッピー100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25">
        <v>1</v>
      </c>
      <c r="T3" s="25">
        <v>0.5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ハッピーがお祝いしている！</v>
      </c>
      <c r="W3" s="47">
        <v>112251103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0"/>
        <v>79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" s="7">
        <v>1</v>
      </c>
      <c r="AG3" s="24">
        <f ca="1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6">
        <v>1</v>
      </c>
    </row>
    <row r="4" spans="1:40" ht="21" customHeight="1" x14ac:dyDescent="0.15">
      <c r="A4" s="16" t="str">
        <f t="shared" ca="1" si="2"/>
        <v>11225_1-2/370&lt;lv1&gt;s2</v>
      </c>
      <c r="B4" s="22">
        <v>11225</v>
      </c>
      <c r="C4" s="21">
        <v>1</v>
      </c>
      <c r="D4" s="2"/>
      <c r="E4" s="4"/>
      <c r="F4" s="4"/>
      <c r="G4" s="21">
        <v>2</v>
      </c>
      <c r="H4" s="15"/>
      <c r="I4" s="4"/>
      <c r="J4" s="4"/>
      <c r="K4" s="38" t="s">
        <v>53</v>
      </c>
      <c r="L4" s="118">
        <v>370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タイチ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</v>
      </c>
      <c r="S4" s="25">
        <v>1</v>
      </c>
      <c r="T4" s="25">
        <v>0.5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大きな声で祝っている</v>
      </c>
      <c r="W4" s="47">
        <v>112251102</v>
      </c>
      <c r="X4" s="6">
        <v>1</v>
      </c>
      <c r="Y4" s="6">
        <v>100</v>
      </c>
      <c r="Z4" s="6">
        <v>2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0"/>
        <v>370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ca="1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6">
        <v>1</v>
      </c>
    </row>
    <row r="5" spans="1:40" ht="21" customHeight="1" x14ac:dyDescent="0.15">
      <c r="A5" s="16" t="str">
        <f ca="1">B5&amp;"_"&amp;C5&amp;"-"&amp;G5&amp;"/"&amp;L5&amp;"&lt;lv"&amp;R5&amp;"&gt;s"&amp;AA5</f>
        <v>11225_1-2/412&lt;lv1&gt;s3</v>
      </c>
      <c r="B5" s="22">
        <v>11225</v>
      </c>
      <c r="C5" s="21">
        <v>1</v>
      </c>
      <c r="D5" s="2"/>
      <c r="E5" s="4"/>
      <c r="F5" s="4"/>
      <c r="G5" s="21">
        <v>2</v>
      </c>
      <c r="H5" s="15"/>
      <c r="I5" s="4"/>
      <c r="J5" s="4"/>
      <c r="K5" s="38" t="s">
        <v>53</v>
      </c>
      <c r="L5" s="9">
        <v>412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コウネン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25">
        <v>0.5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感謝の舞を踊っている</v>
      </c>
      <c r="W5" s="47">
        <v>112251104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0"/>
        <v>412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t="shared" ref="AG5" ca="1" si="3">AD5</f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6">
        <v>1</v>
      </c>
    </row>
    <row r="6" spans="1:40" ht="21" customHeight="1" x14ac:dyDescent="0.15">
      <c r="A6" s="16" t="str">
        <f t="shared" ref="A6" ca="1" si="4">B6&amp;"_"&amp;C6&amp;"-"&amp;G6&amp;"/"&amp;L6&amp;"&lt;lv"&amp;R6&amp;"&gt;s"&amp;AA6</f>
        <v>11225_1-3/844&lt;lv1&gt;s3</v>
      </c>
      <c r="B6" s="22">
        <v>11225</v>
      </c>
      <c r="C6" s="21">
        <v>1</v>
      </c>
      <c r="D6" s="2"/>
      <c r="E6" s="4"/>
      <c r="F6" s="4"/>
      <c r="G6" s="21">
        <v>3</v>
      </c>
      <c r="H6" s="15"/>
      <c r="I6" s="4"/>
      <c r="J6" s="4"/>
      <c r="K6" s="38" t="s">
        <v>53</v>
      </c>
      <c r="L6" s="20">
        <v>844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ベルゼブブ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1</v>
      </c>
      <c r="S6" s="25">
        <v>10</v>
      </c>
      <c r="T6" s="25">
        <v>1</v>
      </c>
      <c r="U6" s="5">
        <v>65355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ベルゼブブが ミリオンダックを捕らえた！</v>
      </c>
      <c r="W6" s="47">
        <v>112251105</v>
      </c>
      <c r="X6" s="6">
        <v>1</v>
      </c>
      <c r="Y6" s="6">
        <v>100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0"/>
        <v>844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ベルゼブブ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6" s="7">
        <v>1</v>
      </c>
      <c r="AG6" s="24">
        <f t="shared" ca="1" si="1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6">
        <v>1</v>
      </c>
    </row>
    <row r="7" spans="1:40" ht="21" customHeight="1" x14ac:dyDescent="0.15">
      <c r="A7" s="16" t="str">
        <f t="shared" ref="A7" ca="1" si="5">B7&amp;"_"&amp;C7&amp;"-"&amp;G7&amp;"/"&amp;L7&amp;"&lt;lv"&amp;R7&amp;"&gt;s"&amp;AA7</f>
        <v>11225_1-4/444&lt;lv1&gt;s3</v>
      </c>
      <c r="B7" s="22">
        <v>11225</v>
      </c>
      <c r="C7" s="91">
        <v>1</v>
      </c>
      <c r="D7" s="2"/>
      <c r="E7" s="4"/>
      <c r="F7" s="4"/>
      <c r="G7" s="91">
        <v>4</v>
      </c>
      <c r="H7" s="15"/>
      <c r="I7" s="4"/>
      <c r="J7" s="4"/>
      <c r="K7" s="38" t="s">
        <v>53</v>
      </c>
      <c r="L7" s="20">
        <v>444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炎のミリオンダック 4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</v>
      </c>
      <c r="S7" s="25">
        <v>10</v>
      </c>
      <c r="T7" s="25">
        <v>1</v>
      </c>
      <c r="U7" s="5">
        <v>65355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[player_name]のこと_x000D_信じてたグヮ！</v>
      </c>
      <c r="W7" s="47">
        <v>112251106</v>
      </c>
      <c r="X7" s="6">
        <v>0</v>
      </c>
      <c r="Y7" s="6">
        <v>25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0"/>
        <v>444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炎のミリオンダック 4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6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ca="1">AD7</f>
        <v>6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6">
        <v>1</v>
      </c>
    </row>
    <row r="8" spans="1:40" ht="21" customHeight="1" x14ac:dyDescent="0.15">
      <c r="A8" s="16" t="str">
        <f t="shared" ref="A8:A10" ca="1" si="6">B8&amp;"_"&amp;C8&amp;"-"&amp;G8&amp;"/"&amp;L8&amp;"&lt;lv"&amp;R8&amp;"&gt;s"&amp;AA8</f>
        <v>11225_1-4/445&lt;lv1&gt;s3</v>
      </c>
      <c r="B8" s="22">
        <v>11225</v>
      </c>
      <c r="C8" s="91">
        <v>1</v>
      </c>
      <c r="D8" s="2"/>
      <c r="E8" s="4"/>
      <c r="F8" s="4"/>
      <c r="G8" s="91">
        <v>4</v>
      </c>
      <c r="H8" s="15"/>
      <c r="I8" s="4"/>
      <c r="J8" s="4"/>
      <c r="K8" s="38" t="s">
        <v>53</v>
      </c>
      <c r="L8" s="20">
        <v>445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森のミリオンダック 4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</v>
      </c>
      <c r="S8" s="25">
        <v>10</v>
      </c>
      <c r="T8" s="25">
        <v>1</v>
      </c>
      <c r="U8" s="5">
        <v>65355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[player_name]のこと_x000D_信じてたグヮ！</v>
      </c>
      <c r="W8" s="47">
        <v>112251106</v>
      </c>
      <c r="X8" s="6">
        <v>0</v>
      </c>
      <c r="Y8" s="6">
        <v>25</v>
      </c>
      <c r="Z8" s="6">
        <v>1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0"/>
        <v>445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森のミリオンダック 4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6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ref="AG8:AG10" ca="1" si="7">AD8</f>
        <v>6</v>
      </c>
      <c r="AH8" s="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6">
        <v>1</v>
      </c>
    </row>
    <row r="9" spans="1:40" ht="21" customHeight="1" x14ac:dyDescent="0.15">
      <c r="A9" s="16" t="str">
        <f t="shared" ca="1" si="6"/>
        <v>11225_1-4/446&lt;lv1&gt;s3</v>
      </c>
      <c r="B9" s="22">
        <v>11225</v>
      </c>
      <c r="C9" s="91">
        <v>1</v>
      </c>
      <c r="D9" s="2"/>
      <c r="E9" s="4"/>
      <c r="F9" s="4"/>
      <c r="G9" s="91">
        <v>4</v>
      </c>
      <c r="H9" s="15"/>
      <c r="I9" s="4"/>
      <c r="J9" s="4"/>
      <c r="K9" s="38" t="s">
        <v>53</v>
      </c>
      <c r="L9" s="20">
        <v>446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水のミリオンダック 4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1</v>
      </c>
      <c r="S9" s="25">
        <v>10</v>
      </c>
      <c r="T9" s="25">
        <v>1</v>
      </c>
      <c r="U9" s="5">
        <v>65355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[player_name]のこと_x000D_信じてたグヮ！</v>
      </c>
      <c r="W9" s="47">
        <v>112251106</v>
      </c>
      <c r="X9" s="6">
        <v>0</v>
      </c>
      <c r="Y9" s="6">
        <v>25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0"/>
        <v>446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水のミリオンダック 4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6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7"/>
        <v>6</v>
      </c>
      <c r="AH9" s="8">
        <v>100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6">
        <v>1</v>
      </c>
    </row>
    <row r="10" spans="1:40" ht="21" customHeight="1" x14ac:dyDescent="0.15">
      <c r="A10" s="16" t="str">
        <f t="shared" ca="1" si="6"/>
        <v>11225_1-4/447&lt;lv1&gt;s3</v>
      </c>
      <c r="B10" s="22">
        <v>11225</v>
      </c>
      <c r="C10" s="91">
        <v>1</v>
      </c>
      <c r="D10" s="2"/>
      <c r="E10" s="4"/>
      <c r="F10" s="4"/>
      <c r="G10" s="91">
        <v>4</v>
      </c>
      <c r="H10" s="15"/>
      <c r="I10" s="4"/>
      <c r="J10" s="4"/>
      <c r="K10" s="38" t="s">
        <v>53</v>
      </c>
      <c r="L10" s="20">
        <v>447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雷のミリオンダック 4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1</v>
      </c>
      <c r="S10" s="25">
        <v>10</v>
      </c>
      <c r="T10" s="25">
        <v>1</v>
      </c>
      <c r="U10" s="5">
        <v>65355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[player_name]のこと_x000D_信じてたグヮ！</v>
      </c>
      <c r="W10" s="47">
        <v>112251106</v>
      </c>
      <c r="X10" s="6">
        <v>0</v>
      </c>
      <c r="Y10" s="6">
        <v>25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0"/>
        <v>447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雷のミリオンダック 4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6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ca="1" si="7"/>
        <v>6</v>
      </c>
      <c r="AH10" s="8">
        <v>100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6">
        <v>1</v>
      </c>
    </row>
    <row r="11" spans="1:40" ht="21" customHeight="1" x14ac:dyDescent="0.15">
      <c r="A11" s="16"/>
      <c r="B11" s="22"/>
      <c r="C11" s="21"/>
      <c r="D11" s="2"/>
      <c r="E11" s="4"/>
      <c r="F11" s="4"/>
      <c r="G11" s="21"/>
      <c r="H11" s="15"/>
      <c r="I11" s="4"/>
      <c r="J11" s="4"/>
      <c r="K11" s="38"/>
      <c r="L11" s="20"/>
      <c r="M11" s="17"/>
      <c r="N11" s="17"/>
      <c r="O11" s="17"/>
      <c r="P11" s="17"/>
      <c r="Q11" s="17"/>
      <c r="R11" s="5"/>
      <c r="S11" s="25"/>
      <c r="T11" s="25"/>
      <c r="U11" s="5"/>
      <c r="V11" s="4"/>
      <c r="W11" s="47"/>
      <c r="X11" s="6"/>
      <c r="Y11" s="6"/>
      <c r="Z11" s="6"/>
      <c r="AA11" s="17"/>
      <c r="AB11" s="24"/>
      <c r="AC11" s="4"/>
      <c r="AD11" s="4"/>
      <c r="AE11" s="4"/>
      <c r="AF11" s="7"/>
      <c r="AG11" s="24"/>
      <c r="AH11" s="8"/>
      <c r="AI11" s="7"/>
      <c r="AJ11" s="7"/>
      <c r="AK11" s="7"/>
      <c r="AL11" s="7"/>
      <c r="AM11" s="7"/>
      <c r="AN11" s="66"/>
    </row>
    <row r="12" spans="1:40" ht="21" customHeight="1" x14ac:dyDescent="0.15">
      <c r="A12" s="16"/>
      <c r="B12" s="22"/>
      <c r="C12" s="21"/>
      <c r="D12" s="2"/>
      <c r="E12" s="4"/>
      <c r="F12" s="4"/>
      <c r="G12" s="21"/>
      <c r="H12" s="15"/>
      <c r="I12" s="4"/>
      <c r="J12" s="4"/>
      <c r="K12" s="38"/>
      <c r="L12" s="20"/>
      <c r="M12" s="17"/>
      <c r="N12" s="17"/>
      <c r="O12" s="17"/>
      <c r="P12" s="17"/>
      <c r="Q12" s="17"/>
      <c r="R12" s="5"/>
      <c r="S12" s="25"/>
      <c r="T12" s="25"/>
      <c r="U12" s="5"/>
      <c r="V12" s="4"/>
      <c r="W12" s="47"/>
      <c r="X12" s="6"/>
      <c r="Y12" s="6"/>
      <c r="Z12" s="6"/>
      <c r="AA12" s="17"/>
      <c r="AB12" s="24"/>
      <c r="AC12" s="4"/>
      <c r="AD12" s="4"/>
      <c r="AE12" s="4"/>
      <c r="AF12" s="7"/>
      <c r="AG12" s="24"/>
      <c r="AH12" s="8"/>
      <c r="AI12" s="7"/>
      <c r="AJ12" s="7"/>
      <c r="AK12" s="7"/>
      <c r="AL12" s="7"/>
      <c r="AM12" s="7"/>
      <c r="AN12" s="66"/>
    </row>
    <row r="13" spans="1:40" ht="21" customHeight="1" x14ac:dyDescent="0.15">
      <c r="A13" s="16"/>
      <c r="B13" s="22"/>
      <c r="C13" s="21"/>
      <c r="D13" s="2"/>
      <c r="E13" s="4"/>
      <c r="F13" s="4"/>
      <c r="G13" s="21"/>
      <c r="H13" s="15"/>
      <c r="I13" s="4"/>
      <c r="J13" s="4"/>
      <c r="K13" s="38"/>
      <c r="L13" s="20"/>
      <c r="M13" s="17"/>
      <c r="N13" s="17"/>
      <c r="O13" s="17"/>
      <c r="P13" s="17"/>
      <c r="Q13" s="17"/>
      <c r="R13" s="5"/>
      <c r="S13" s="25"/>
      <c r="T13" s="25"/>
      <c r="U13" s="5"/>
      <c r="V13" s="4"/>
      <c r="W13" s="47"/>
      <c r="X13" s="6"/>
      <c r="Y13" s="6"/>
      <c r="Z13" s="6"/>
      <c r="AA13" s="17"/>
      <c r="AB13" s="24"/>
      <c r="AC13" s="4"/>
      <c r="AD13" s="4"/>
      <c r="AE13" s="4"/>
      <c r="AF13" s="7"/>
      <c r="AG13" s="24"/>
      <c r="AH13" s="8"/>
      <c r="AI13" s="7"/>
      <c r="AJ13" s="7"/>
      <c r="AK13" s="7"/>
      <c r="AL13" s="7"/>
      <c r="AM13" s="7"/>
      <c r="AN13" s="66"/>
    </row>
    <row r="14" spans="1:40" ht="21" customHeight="1" x14ac:dyDescent="0.15">
      <c r="A14" s="16"/>
      <c r="B14" s="22"/>
      <c r="C14" s="21"/>
      <c r="D14" s="2"/>
      <c r="E14" s="4"/>
      <c r="F14" s="4"/>
      <c r="G14" s="21"/>
      <c r="H14" s="15"/>
      <c r="I14" s="4"/>
      <c r="J14" s="4"/>
      <c r="K14" s="38"/>
      <c r="L14" s="20"/>
      <c r="M14" s="17"/>
      <c r="N14" s="17"/>
      <c r="O14" s="17"/>
      <c r="P14" s="17"/>
      <c r="Q14" s="17"/>
      <c r="R14" s="5"/>
      <c r="S14" s="25"/>
      <c r="T14" s="25"/>
      <c r="U14" s="5"/>
      <c r="V14" s="4"/>
      <c r="W14" s="61"/>
      <c r="X14" s="6"/>
      <c r="Y14" s="6"/>
      <c r="Z14" s="6"/>
      <c r="AA14" s="17"/>
      <c r="AB14" s="24"/>
      <c r="AC14" s="4"/>
      <c r="AD14" s="4"/>
      <c r="AE14" s="4"/>
      <c r="AF14" s="7"/>
      <c r="AG14" s="24"/>
      <c r="AH14" s="8"/>
      <c r="AI14" s="7"/>
      <c r="AJ14" s="7"/>
      <c r="AK14" s="7"/>
      <c r="AL14" s="7"/>
      <c r="AM14" s="7"/>
      <c r="AN14" s="66"/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1"/>
  <sheetViews>
    <sheetView showGridLines="0" zoomScale="91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A2" sqref="A2:XFD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0.6640625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29" t="s">
        <v>127</v>
      </c>
      <c r="Y1" s="28" t="s">
        <v>8</v>
      </c>
    </row>
    <row r="2" spans="1:25" s="35" customFormat="1" ht="21" customHeight="1" x14ac:dyDescent="0.15">
      <c r="A2" s="16"/>
      <c r="B2" s="22"/>
      <c r="C2" s="21"/>
      <c r="D2" s="2"/>
      <c r="E2" s="4"/>
      <c r="F2" s="4"/>
      <c r="G2" s="91"/>
      <c r="H2" s="15"/>
      <c r="I2" s="4"/>
      <c r="J2" s="4"/>
      <c r="K2" s="18"/>
      <c r="L2" s="18"/>
      <c r="M2" s="92"/>
      <c r="N2" s="18"/>
      <c r="O2" s="18"/>
      <c r="P2" s="18"/>
      <c r="Q2" s="18"/>
      <c r="R2" s="18"/>
      <c r="S2" s="93"/>
      <c r="T2" s="94"/>
      <c r="U2" s="94"/>
      <c r="V2" s="5"/>
      <c r="W2" s="4"/>
      <c r="X2" s="47"/>
      <c r="Y2" s="17"/>
    </row>
    <row r="3" spans="1:25" s="35" customFormat="1" ht="21" customHeight="1" x14ac:dyDescent="0.15">
      <c r="A3" s="16"/>
      <c r="B3" s="22"/>
      <c r="C3" s="21"/>
      <c r="D3" s="2"/>
      <c r="E3" s="4"/>
      <c r="F3" s="4"/>
      <c r="G3" s="91"/>
      <c r="H3" s="15"/>
      <c r="I3" s="4"/>
      <c r="J3" s="4"/>
      <c r="K3" s="18"/>
      <c r="L3" s="18"/>
      <c r="M3" s="92"/>
      <c r="N3" s="18"/>
      <c r="O3" s="18"/>
      <c r="P3" s="18"/>
      <c r="Q3" s="18"/>
      <c r="R3" s="18"/>
      <c r="S3" s="93"/>
      <c r="T3" s="94"/>
      <c r="U3" s="94"/>
      <c r="V3" s="5"/>
      <c r="W3" s="4"/>
      <c r="X3" s="47"/>
      <c r="Y3" s="17"/>
    </row>
    <row r="4" spans="1:25" ht="21" customHeight="1" x14ac:dyDescent="0.15">
      <c r="A4" s="16"/>
      <c r="B4" s="22"/>
      <c r="C4" s="21"/>
      <c r="D4" s="2"/>
      <c r="E4" s="4"/>
      <c r="F4" s="4"/>
      <c r="G4" s="91"/>
      <c r="H4" s="15"/>
      <c r="I4" s="4"/>
      <c r="J4" s="4"/>
      <c r="K4" s="38"/>
      <c r="L4" s="38"/>
      <c r="M4" s="92"/>
      <c r="N4" s="18"/>
      <c r="O4" s="18"/>
      <c r="P4" s="18"/>
      <c r="Q4" s="18"/>
      <c r="R4" s="18"/>
      <c r="S4" s="93"/>
      <c r="T4" s="94"/>
      <c r="U4" s="94"/>
      <c r="V4" s="5"/>
      <c r="W4" s="4"/>
      <c r="X4" s="107"/>
      <c r="Y4" s="17"/>
    </row>
    <row r="5" spans="1:25" ht="21" customHeight="1" x14ac:dyDescent="0.15">
      <c r="A5" s="16"/>
      <c r="B5" s="22"/>
      <c r="C5" s="21"/>
      <c r="D5" s="2"/>
      <c r="E5" s="4"/>
      <c r="F5" s="4"/>
      <c r="G5" s="91"/>
      <c r="H5" s="15"/>
      <c r="I5" s="4"/>
      <c r="J5" s="4"/>
      <c r="K5" s="38"/>
      <c r="L5" s="38"/>
      <c r="M5" s="92"/>
      <c r="N5" s="18"/>
      <c r="O5" s="18"/>
      <c r="P5" s="18"/>
      <c r="Q5" s="18"/>
      <c r="R5" s="18"/>
      <c r="S5" s="93"/>
      <c r="T5" s="94"/>
      <c r="U5" s="94"/>
      <c r="V5" s="5"/>
      <c r="W5" s="4"/>
      <c r="X5" s="96"/>
      <c r="Y5" s="17"/>
    </row>
    <row r="6" spans="1:25" ht="21" customHeight="1" x14ac:dyDescent="0.15">
      <c r="A6" s="16"/>
      <c r="B6" s="22"/>
      <c r="C6" s="21"/>
      <c r="D6" s="2"/>
      <c r="E6" s="4"/>
      <c r="F6" s="4"/>
      <c r="G6" s="91"/>
      <c r="H6" s="15"/>
      <c r="I6" s="4"/>
      <c r="J6" s="4"/>
      <c r="K6" s="38"/>
      <c r="L6" s="38"/>
      <c r="M6" s="92"/>
      <c r="N6" s="18"/>
      <c r="O6" s="18"/>
      <c r="P6" s="18"/>
      <c r="Q6" s="18"/>
      <c r="R6" s="18"/>
      <c r="S6" s="93"/>
      <c r="T6" s="94"/>
      <c r="U6" s="94"/>
      <c r="V6" s="5"/>
      <c r="W6" s="4"/>
      <c r="X6" s="116"/>
      <c r="Y6" s="17"/>
    </row>
    <row r="7" spans="1:25" ht="21" customHeight="1" x14ac:dyDescent="0.15">
      <c r="A7" s="16"/>
      <c r="B7" s="22"/>
      <c r="C7" s="21"/>
      <c r="D7" s="2"/>
      <c r="E7" s="4"/>
      <c r="F7" s="4"/>
      <c r="G7" s="91"/>
      <c r="H7" s="15"/>
      <c r="I7" s="4"/>
      <c r="J7" s="4"/>
      <c r="K7" s="38"/>
      <c r="L7" s="38"/>
      <c r="M7" s="92"/>
      <c r="N7" s="18"/>
      <c r="O7" s="18"/>
      <c r="P7" s="18"/>
      <c r="Q7" s="18"/>
      <c r="R7" s="18"/>
      <c r="S7" s="93"/>
      <c r="T7" s="94"/>
      <c r="U7" s="94"/>
      <c r="V7" s="5"/>
      <c r="W7" s="4"/>
      <c r="X7" s="112"/>
      <c r="Y7" s="17"/>
    </row>
    <row r="8" spans="1:25" ht="21" customHeight="1" x14ac:dyDescent="0.15">
      <c r="A8" s="16"/>
      <c r="B8" s="22"/>
      <c r="C8" s="21"/>
      <c r="D8" s="2"/>
      <c r="E8" s="4"/>
      <c r="F8" s="4"/>
      <c r="G8" s="91"/>
      <c r="H8" s="15"/>
      <c r="I8" s="4"/>
      <c r="J8" s="4"/>
      <c r="K8" s="38"/>
      <c r="L8" s="38"/>
      <c r="M8" s="92"/>
      <c r="N8" s="18"/>
      <c r="O8" s="18"/>
      <c r="P8" s="18"/>
      <c r="Q8" s="18"/>
      <c r="R8" s="18"/>
      <c r="S8" s="93"/>
      <c r="T8" s="94"/>
      <c r="U8" s="94"/>
      <c r="V8" s="5"/>
      <c r="W8" s="4"/>
      <c r="X8" s="47"/>
      <c r="Y8" s="17"/>
    </row>
    <row r="9" spans="1:25" ht="21" customHeight="1" x14ac:dyDescent="0.15">
      <c r="A9" s="16"/>
      <c r="B9" s="22"/>
      <c r="C9" s="21"/>
      <c r="D9" s="2"/>
      <c r="E9" s="4"/>
      <c r="F9" s="4"/>
      <c r="G9" s="91"/>
      <c r="H9" s="15"/>
      <c r="I9" s="4"/>
      <c r="J9" s="4"/>
      <c r="K9" s="38"/>
      <c r="L9" s="38"/>
      <c r="M9" s="92"/>
      <c r="N9" s="18"/>
      <c r="O9" s="18"/>
      <c r="P9" s="18"/>
      <c r="Q9" s="18"/>
      <c r="R9" s="18"/>
      <c r="S9" s="93"/>
      <c r="T9" s="94"/>
      <c r="U9" s="94"/>
      <c r="V9" s="5"/>
      <c r="W9" s="4"/>
      <c r="X9" s="47"/>
      <c r="Y9" s="17"/>
    </row>
    <row r="10" spans="1:25" ht="21" customHeight="1" x14ac:dyDescent="0.15">
      <c r="A10" s="16"/>
      <c r="B10" s="22"/>
      <c r="C10" s="21"/>
      <c r="D10" s="2"/>
      <c r="E10" s="4"/>
      <c r="F10" s="4"/>
      <c r="G10" s="91"/>
      <c r="H10" s="15"/>
      <c r="I10" s="4"/>
      <c r="J10" s="4"/>
      <c r="K10" s="38"/>
      <c r="L10" s="38"/>
      <c r="M10" s="92"/>
      <c r="N10" s="18"/>
      <c r="O10" s="18"/>
      <c r="P10" s="18"/>
      <c r="Q10" s="18"/>
      <c r="R10" s="18"/>
      <c r="S10" s="93"/>
      <c r="T10" s="94"/>
      <c r="U10" s="94"/>
      <c r="V10" s="5"/>
      <c r="W10" s="4"/>
      <c r="X10" s="47"/>
      <c r="Y10" s="17"/>
    </row>
    <row r="11" spans="1:25" ht="21" customHeight="1" x14ac:dyDescent="0.15">
      <c r="A11" s="16"/>
      <c r="B11" s="22"/>
      <c r="C11" s="21"/>
      <c r="D11" s="2"/>
      <c r="E11" s="4"/>
      <c r="F11" s="4"/>
      <c r="G11" s="91"/>
      <c r="H11" s="15"/>
      <c r="I11" s="4"/>
      <c r="J11" s="4"/>
      <c r="K11" s="38"/>
      <c r="L11" s="38"/>
      <c r="M11" s="92"/>
      <c r="N11" s="18"/>
      <c r="O11" s="18"/>
      <c r="P11" s="18"/>
      <c r="Q11" s="18"/>
      <c r="R11" s="18"/>
      <c r="S11" s="93"/>
      <c r="T11" s="94"/>
      <c r="U11" s="94"/>
      <c r="V11" s="5"/>
      <c r="W11" s="4"/>
      <c r="X11" s="47"/>
      <c r="Y11" s="17"/>
    </row>
  </sheetData>
  <sheetProtection selectLockedCells="1" selectUnlockedCells="1"/>
  <autoFilter ref="B1:Y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1"/>
  <sheetViews>
    <sheetView showGridLines="0" zoomScale="75" zoomScaleNormal="75" zoomScalePageLayoutView="75" workbookViewId="0">
      <pane xSplit="5" ySplit="1" topLeftCell="F2" activePane="bottomRight" state="frozen"/>
      <selection pane="topRight"/>
      <selection pane="bottomLeft"/>
      <selection pane="bottomRight" activeCell="E17" sqref="E17"/>
    </sheetView>
  </sheetViews>
  <sheetFormatPr baseColWidth="12" defaultColWidth="12.83203125" defaultRowHeight="21" customHeight="1" outlineLevelCol="1" x14ac:dyDescent="0.15"/>
  <cols>
    <col min="1" max="1" width="18" style="39" bestFit="1" customWidth="1"/>
    <col min="2" max="2" width="10.5" style="49" bestFit="1" customWidth="1"/>
    <col min="3" max="3" width="13.1640625" style="49" customWidth="1"/>
    <col min="4" max="4" width="31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180</v>
      </c>
    </row>
    <row r="2" spans="1:18" ht="21" customHeight="1" x14ac:dyDescent="0.15">
      <c r="A2" s="39" t="str">
        <f t="shared" ref="A2" si="0">B2&amp;"_"&amp;C2</f>
        <v>112251101_112251100</v>
      </c>
      <c r="B2" s="47">
        <v>112251101</v>
      </c>
      <c r="C2" s="47">
        <v>112251100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400万DL ありがとうグヮッ！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ミリオンダックが あらわれた！</v>
      </c>
      <c r="F2" s="47">
        <v>112250000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7" si="1">B3&amp;"_"&amp;C3</f>
        <v>112251101_112251101</v>
      </c>
      <c r="B3" s="47">
        <v>112251101</v>
      </c>
      <c r="C3" s="47">
        <v>112251101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簡単には捕まらないグヮ！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ミリオンダックを追いかけよう！</v>
      </c>
      <c r="F3" s="47">
        <v>112250001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19" si="2">B4&amp;"_"&amp;C4</f>
        <v>112251102_112251102</v>
      </c>
      <c r="B4" s="47">
        <v>112251102</v>
      </c>
      <c r="C4" s="47">
        <v>112251102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メデタイ！メデタイ！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大きな声で祝っている</v>
      </c>
      <c r="F4" s="47">
        <v>112250004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2"/>
        <v>112251102_112251103</v>
      </c>
      <c r="B5" s="47">
        <v>112251102</v>
      </c>
      <c r="C5" s="47">
        <v>112251103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ウレシイ！ウレシイ！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元気に騒いでいる</v>
      </c>
      <c r="F5" s="47">
        <v>112250004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112251103_112251104</v>
      </c>
      <c r="B6" s="47">
        <v>112251103</v>
      </c>
      <c r="C6" s="47">
        <v>112251104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ハッピーがお祝いしている！</v>
      </c>
      <c r="F6" s="47">
        <v>112250000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112251103_112251105</v>
      </c>
      <c r="B7" s="47">
        <v>112251103</v>
      </c>
      <c r="C7" s="47">
        <v>112251105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幸せそうにこちらを見ている</v>
      </c>
      <c r="F7" s="47">
        <v>112250004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2"/>
        <v>112251103_112251106</v>
      </c>
      <c r="B8" s="47">
        <v>112251103</v>
      </c>
      <c r="C8" s="47">
        <v>112251106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幸せそうにくるくる回っている</v>
      </c>
      <c r="F8" s="47">
        <v>112250004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2"/>
        <v>112251104_112251107</v>
      </c>
      <c r="B9" s="47">
        <v>112251104</v>
      </c>
      <c r="C9" s="47">
        <v>112251107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こりゃめでたいな！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感謝の舞を踊っている</v>
      </c>
      <c r="F9" s="47">
        <v>112250004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7"/>
      <c r="Q9" s="47"/>
      <c r="R9" s="47"/>
    </row>
    <row r="10" spans="1:18" ht="21" customHeight="1" x14ac:dyDescent="0.15">
      <c r="A10" s="39" t="str">
        <f t="shared" si="1"/>
        <v>112251104_112251108</v>
      </c>
      <c r="B10" s="47">
        <v>112251104</v>
      </c>
      <c r="C10" s="47">
        <v>112251108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祝わにゃソンSONG！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お祝いソングを歌っている</v>
      </c>
      <c r="F10" s="47">
        <v>112250004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7"/>
      <c r="Q10" s="47"/>
      <c r="R10" s="47"/>
    </row>
    <row r="11" spans="1:18" ht="21" customHeight="1" x14ac:dyDescent="0.15">
      <c r="A11" s="39" t="str">
        <f t="shared" si="1"/>
        <v>112251105_112251109</v>
      </c>
      <c r="B11" s="47">
        <v>112251105</v>
      </c>
      <c r="C11" s="47">
        <v>112251109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この子はアタシのものよん☆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ベルゼブブが ミリオンダックを捕らえた！</v>
      </c>
      <c r="F11" s="47">
        <v>112250000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112251105_112251110</v>
      </c>
      <c r="B12" s="47">
        <v>112251105</v>
      </c>
      <c r="C12" s="47">
        <v>112251110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お邪魔虫はあっち行ってなさい！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「た、助けてグヮー！」</v>
      </c>
      <c r="F12" s="47">
        <v>112250005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112251105_112251113</v>
      </c>
      <c r="B13" s="47">
        <v>112251105</v>
      </c>
      <c r="C13" s="47">
        <v>112251113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コラ！暴れないの！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ミリオンダックは抵抗している！</v>
      </c>
      <c r="F13" s="47">
        <v>112250007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>B13&amp;"_"&amp;C13</f>
        <v>112251105_112251113</v>
      </c>
      <c r="B14" s="47">
        <v>112251105</v>
      </c>
      <c r="C14" s="47">
        <v>112251114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チョット！痛いじゃないの！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「これでやっつけるグヮ！」</v>
      </c>
      <c r="F14" s="47">
        <v>112250008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>B14&amp;"_"&amp;C14</f>
        <v>112251105_112251114</v>
      </c>
      <c r="B15" s="47">
        <v>112251105</v>
      </c>
      <c r="C15" s="119">
        <v>112251115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大人しくなさいな！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「も、もう一回グヮ！」</v>
      </c>
      <c r="F15" s="47">
        <v>112250009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>B15&amp;"_"&amp;C15</f>
        <v>112251105_112251115</v>
      </c>
      <c r="B16" s="47">
        <v>112251105</v>
      </c>
      <c r="C16" s="119">
        <v>112251116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しょうがないわねぇ…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今回は退いてアゲル☆</v>
      </c>
      <c r="F16" s="47">
        <v>112250002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112251106_112251117</v>
      </c>
      <c r="B17" s="47">
        <v>112251106</v>
      </c>
      <c r="C17" s="119">
        <v>112251117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助けてくれてありがとうグヮ！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[player_name]のこと_x000D_信じてたグヮ！</v>
      </c>
      <c r="F17" s="47">
        <v>112250000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112251106_112251118</v>
      </c>
      <c r="B18" s="47">
        <v>112251106</v>
      </c>
      <c r="C18" s="47">
        <v>112251118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キミならこの世界の平和を守れるグヮ！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ALICEは「アナタ」を必要としている</v>
      </c>
      <c r="F18" s="47">
        <v>112250005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112251106_112251119</v>
      </c>
      <c r="B19" s="47">
        <v>112251106</v>
      </c>
      <c r="C19" s="47">
        <v>112251119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だから、これからも _x000D_【クラフィ】をよろしくグヮッ！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ミリオンダックより愛をこめて！</v>
      </c>
      <c r="F19" s="47">
        <v>112250006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>F20&amp;"_"&amp;C20</f>
        <v>112250000_112251120</v>
      </c>
      <c r="B20" s="47">
        <v>112251102</v>
      </c>
      <c r="C20" s="119">
        <v>112251120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タノシイ！タノシイ！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ALICEの世界はお祭り騒ぎだ！</v>
      </c>
      <c r="F20" s="47">
        <v>112250000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>F21&amp;"_"&amp;C21</f>
        <v>112250000_112251121</v>
      </c>
      <c r="B21" s="47">
        <v>112251104</v>
      </c>
      <c r="C21" s="47">
        <v>112251121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宴じゃぁ！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みんな楽しそうに祝っている！</v>
      </c>
      <c r="F21" s="47">
        <v>112250000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66"/>
  <sheetViews>
    <sheetView showGridLines="0" tabSelected="1" zoomScale="91" zoomScaleNormal="75" zoomScalePageLayoutView="75" workbookViewId="0">
      <pane ySplit="1" topLeftCell="A7" activePane="bottomLeft" state="frozenSplit"/>
      <selection pane="bottomLeft" activeCell="B18" sqref="B18"/>
    </sheetView>
  </sheetViews>
  <sheetFormatPr baseColWidth="12" defaultColWidth="12.83203125" defaultRowHeight="21" customHeight="1" x14ac:dyDescent="0.15"/>
  <cols>
    <col min="1" max="1" width="12.83203125" style="49"/>
    <col min="2" max="2" width="67.1640625" style="49" customWidth="1"/>
    <col min="3" max="3" width="14" style="49" bestFit="1" customWidth="1"/>
    <col min="4" max="4" width="12.83203125" style="49"/>
    <col min="5" max="5" width="29.5" style="49" bestFit="1" customWidth="1"/>
    <col min="6" max="6" width="44.1640625" style="49" bestFit="1" customWidth="1"/>
    <col min="7" max="8" width="12.83203125" style="49"/>
    <col min="9" max="9" width="44.5" style="49" customWidth="1"/>
    <col min="10" max="16384" width="12.83203125" style="49"/>
  </cols>
  <sheetData>
    <row r="1" spans="1:9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76</v>
      </c>
      <c r="H1" s="41" t="s">
        <v>77</v>
      </c>
      <c r="I1" s="41" t="s">
        <v>78</v>
      </c>
    </row>
    <row r="2" spans="1:9" ht="21" customHeight="1" x14ac:dyDescent="0.15">
      <c r="A2" s="47">
        <v>112251100</v>
      </c>
      <c r="B2" s="47" t="s">
        <v>204</v>
      </c>
      <c r="C2" s="50">
        <v>3</v>
      </c>
      <c r="D2" s="50" t="s">
        <v>126</v>
      </c>
      <c r="E2" s="51" t="s">
        <v>199</v>
      </c>
      <c r="F2" s="51" t="s">
        <v>241</v>
      </c>
      <c r="G2" s="50"/>
      <c r="H2" s="52"/>
      <c r="I2" s="50"/>
    </row>
    <row r="3" spans="1:9" ht="21" customHeight="1" x14ac:dyDescent="0.15">
      <c r="A3" s="47">
        <v>112251101</v>
      </c>
      <c r="B3" s="47" t="s">
        <v>251</v>
      </c>
      <c r="C3" s="50">
        <v>3</v>
      </c>
      <c r="D3" s="50" t="s">
        <v>126</v>
      </c>
      <c r="E3" s="51" t="s">
        <v>231</v>
      </c>
      <c r="F3" s="51" t="s">
        <v>205</v>
      </c>
      <c r="G3" s="50"/>
      <c r="H3" s="52"/>
      <c r="I3" s="50"/>
    </row>
    <row r="4" spans="1:9" ht="21" customHeight="1" x14ac:dyDescent="0.15">
      <c r="A4" s="47">
        <v>112251102</v>
      </c>
      <c r="B4" s="47" t="s">
        <v>216</v>
      </c>
      <c r="C4" s="50">
        <v>3</v>
      </c>
      <c r="D4" s="50" t="s">
        <v>126</v>
      </c>
      <c r="E4" s="47" t="s">
        <v>206</v>
      </c>
      <c r="F4" s="47" t="s">
        <v>210</v>
      </c>
      <c r="G4" s="50"/>
      <c r="H4" s="52"/>
      <c r="I4" s="50"/>
    </row>
    <row r="5" spans="1:9" ht="21" customHeight="1" x14ac:dyDescent="0.15">
      <c r="A5" s="47">
        <v>112251103</v>
      </c>
      <c r="B5" s="47" t="s">
        <v>216</v>
      </c>
      <c r="C5" s="50">
        <v>3</v>
      </c>
      <c r="D5" s="50" t="s">
        <v>126</v>
      </c>
      <c r="E5" s="47" t="s">
        <v>242</v>
      </c>
      <c r="F5" s="47" t="s">
        <v>257</v>
      </c>
      <c r="G5" s="50"/>
      <c r="H5" s="52"/>
      <c r="I5" s="50"/>
    </row>
    <row r="6" spans="1:9" ht="21" customHeight="1" x14ac:dyDescent="0.15">
      <c r="A6" s="47">
        <v>112251104</v>
      </c>
      <c r="B6" s="47" t="s">
        <v>216</v>
      </c>
      <c r="C6" s="50">
        <v>3</v>
      </c>
      <c r="D6" s="50" t="s">
        <v>126</v>
      </c>
      <c r="E6" s="47" t="s">
        <v>212</v>
      </c>
      <c r="F6" s="47" t="s">
        <v>213</v>
      </c>
      <c r="G6" s="50"/>
      <c r="H6" s="52"/>
      <c r="I6" s="50"/>
    </row>
    <row r="7" spans="1:9" ht="21" customHeight="1" x14ac:dyDescent="0.15">
      <c r="A7" s="47">
        <v>112251105</v>
      </c>
      <c r="B7" s="47" t="s">
        <v>216</v>
      </c>
      <c r="C7" s="50">
        <v>3</v>
      </c>
      <c r="D7" s="50" t="s">
        <v>126</v>
      </c>
      <c r="E7" s="51" t="s">
        <v>207</v>
      </c>
      <c r="F7" s="51" t="s">
        <v>208</v>
      </c>
      <c r="G7" s="50"/>
      <c r="H7" s="52"/>
      <c r="I7" s="50"/>
    </row>
    <row r="8" spans="1:9" ht="21" customHeight="1" x14ac:dyDescent="0.15">
      <c r="A8" s="47">
        <v>112251106</v>
      </c>
      <c r="B8" s="47" t="s">
        <v>216</v>
      </c>
      <c r="C8" s="50">
        <v>3</v>
      </c>
      <c r="D8" s="50" t="s">
        <v>126</v>
      </c>
      <c r="E8" s="51" t="s">
        <v>207</v>
      </c>
      <c r="F8" s="50" t="s">
        <v>209</v>
      </c>
      <c r="G8" s="50"/>
      <c r="H8" s="52"/>
      <c r="I8" s="50"/>
    </row>
    <row r="9" spans="1:9" ht="21" customHeight="1" x14ac:dyDescent="0.15">
      <c r="A9" s="47">
        <v>112251107</v>
      </c>
      <c r="B9" s="47" t="s">
        <v>216</v>
      </c>
      <c r="C9" s="50">
        <v>3</v>
      </c>
      <c r="D9" s="50" t="s">
        <v>126</v>
      </c>
      <c r="E9" s="51" t="s">
        <v>211</v>
      </c>
      <c r="F9" s="47" t="s">
        <v>218</v>
      </c>
      <c r="G9" s="50"/>
      <c r="H9" s="52"/>
      <c r="I9" s="50"/>
    </row>
    <row r="10" spans="1:9" ht="21" customHeight="1" x14ac:dyDescent="0.15">
      <c r="A10" s="47">
        <v>112251108</v>
      </c>
      <c r="B10" s="47" t="s">
        <v>216</v>
      </c>
      <c r="C10" s="50">
        <v>3</v>
      </c>
      <c r="D10" s="50" t="s">
        <v>126</v>
      </c>
      <c r="E10" s="51" t="s">
        <v>214</v>
      </c>
      <c r="F10" s="47" t="s">
        <v>215</v>
      </c>
      <c r="G10" s="50"/>
      <c r="H10" s="52"/>
      <c r="I10" s="50"/>
    </row>
    <row r="11" spans="1:9" ht="35" customHeight="1" x14ac:dyDescent="0.15">
      <c r="A11" s="47">
        <v>112251109</v>
      </c>
      <c r="B11" s="119" t="s">
        <v>249</v>
      </c>
      <c r="C11" s="50">
        <v>3</v>
      </c>
      <c r="D11" s="50" t="s">
        <v>126</v>
      </c>
      <c r="E11" s="121" t="s">
        <v>217</v>
      </c>
      <c r="F11" s="49" t="s">
        <v>245</v>
      </c>
      <c r="G11" s="50"/>
      <c r="H11" s="52"/>
      <c r="I11" s="50"/>
    </row>
    <row r="12" spans="1:9" ht="35" customHeight="1" x14ac:dyDescent="0.15">
      <c r="A12" s="47">
        <v>112251110</v>
      </c>
      <c r="B12" s="47" t="s">
        <v>250</v>
      </c>
      <c r="C12" s="120">
        <v>3</v>
      </c>
      <c r="D12" s="120" t="s">
        <v>219</v>
      </c>
      <c r="E12" s="121" t="s">
        <v>200</v>
      </c>
      <c r="F12" s="47" t="s">
        <v>221</v>
      </c>
      <c r="G12" s="50"/>
      <c r="H12" s="52"/>
      <c r="I12" s="50"/>
    </row>
    <row r="13" spans="1:9" ht="35" customHeight="1" x14ac:dyDescent="0.15">
      <c r="A13" s="47">
        <v>112251112</v>
      </c>
      <c r="B13" s="47" t="s">
        <v>220</v>
      </c>
      <c r="C13" s="50">
        <v>3</v>
      </c>
      <c r="D13" s="50" t="s">
        <v>126</v>
      </c>
      <c r="E13" s="47" t="s">
        <v>201</v>
      </c>
      <c r="F13" s="47" t="s">
        <v>222</v>
      </c>
      <c r="G13" s="50"/>
      <c r="H13" s="52"/>
      <c r="I13" s="50"/>
    </row>
    <row r="14" spans="1:9" ht="35" customHeight="1" x14ac:dyDescent="0.15">
      <c r="A14" s="47">
        <v>112251113</v>
      </c>
      <c r="B14" s="47" t="s">
        <v>248</v>
      </c>
      <c r="C14" s="50">
        <v>3</v>
      </c>
      <c r="D14" s="50" t="s">
        <v>225</v>
      </c>
      <c r="E14" s="51" t="s">
        <v>223</v>
      </c>
      <c r="F14" s="47" t="s">
        <v>224</v>
      </c>
      <c r="G14" s="51"/>
      <c r="H14" s="52"/>
      <c r="I14" s="50"/>
    </row>
    <row r="15" spans="1:9" ht="35" customHeight="1" x14ac:dyDescent="0.15">
      <c r="A15" s="47">
        <v>112251114</v>
      </c>
      <c r="B15" s="47" t="s">
        <v>247</v>
      </c>
      <c r="C15" s="50">
        <v>3</v>
      </c>
      <c r="D15" s="50" t="s">
        <v>126</v>
      </c>
      <c r="E15" s="51" t="s">
        <v>202</v>
      </c>
      <c r="F15" s="51" t="s">
        <v>240</v>
      </c>
      <c r="G15" s="50"/>
      <c r="H15" s="52"/>
      <c r="I15" s="50"/>
    </row>
    <row r="16" spans="1:9" s="123" customFormat="1" ht="21" customHeight="1" x14ac:dyDescent="0.15">
      <c r="A16" s="119">
        <v>112251115</v>
      </c>
      <c r="B16" s="47" t="s">
        <v>203</v>
      </c>
      <c r="C16" s="50">
        <v>3</v>
      </c>
      <c r="D16" s="50" t="s">
        <v>126</v>
      </c>
      <c r="E16" s="119" t="s">
        <v>230</v>
      </c>
      <c r="F16" s="119" t="s">
        <v>229</v>
      </c>
      <c r="G16" s="121"/>
      <c r="H16" s="122"/>
      <c r="I16" s="120"/>
    </row>
    <row r="17" spans="1:9" s="123" customFormat="1" ht="21" customHeight="1" x14ac:dyDescent="0.15">
      <c r="A17" s="119">
        <v>112251116</v>
      </c>
      <c r="B17" s="47" t="s">
        <v>252</v>
      </c>
      <c r="C17" s="50">
        <v>3</v>
      </c>
      <c r="D17" s="50" t="s">
        <v>225</v>
      </c>
      <c r="E17" s="51" t="s">
        <v>227</v>
      </c>
      <c r="F17" s="51" t="s">
        <v>228</v>
      </c>
      <c r="G17" s="121"/>
      <c r="H17" s="122"/>
      <c r="I17" s="120"/>
    </row>
    <row r="18" spans="1:9" s="123" customFormat="1" ht="30" customHeight="1" x14ac:dyDescent="0.15">
      <c r="A18" s="119">
        <v>112251117</v>
      </c>
      <c r="B18" s="47" t="s">
        <v>260</v>
      </c>
      <c r="C18" s="50">
        <v>3</v>
      </c>
      <c r="D18" s="50" t="s">
        <v>126</v>
      </c>
      <c r="E18" s="47" t="s">
        <v>243</v>
      </c>
      <c r="F18" s="124" t="s">
        <v>259</v>
      </c>
      <c r="G18" s="121"/>
      <c r="H18" s="122"/>
      <c r="I18" s="120"/>
    </row>
    <row r="19" spans="1:9" ht="14" x14ac:dyDescent="0.15">
      <c r="A19" s="47">
        <v>112251118</v>
      </c>
      <c r="B19" s="47" t="s">
        <v>226</v>
      </c>
      <c r="C19" s="50">
        <v>3</v>
      </c>
      <c r="D19" s="50" t="s">
        <v>126</v>
      </c>
      <c r="E19" s="47" t="s">
        <v>258</v>
      </c>
      <c r="F19" s="47" t="s">
        <v>237</v>
      </c>
      <c r="G19" s="50"/>
      <c r="H19" s="52"/>
      <c r="I19" s="50"/>
    </row>
    <row r="20" spans="1:9" ht="28" x14ac:dyDescent="0.15">
      <c r="A20" s="47">
        <v>112251119</v>
      </c>
      <c r="B20" s="47" t="s">
        <v>239</v>
      </c>
      <c r="C20" s="50">
        <v>3</v>
      </c>
      <c r="D20" s="50" t="s">
        <v>225</v>
      </c>
      <c r="E20" s="51" t="s">
        <v>246</v>
      </c>
      <c r="F20" s="47" t="s">
        <v>238</v>
      </c>
      <c r="G20" s="50"/>
      <c r="H20" s="52"/>
      <c r="I20" s="50"/>
    </row>
    <row r="21" spans="1:9" ht="21" customHeight="1" x14ac:dyDescent="0.15">
      <c r="A21" s="119">
        <v>112251120</v>
      </c>
      <c r="B21" s="47" t="s">
        <v>216</v>
      </c>
      <c r="C21" s="50">
        <v>3</v>
      </c>
      <c r="D21" s="50" t="s">
        <v>126</v>
      </c>
      <c r="E21" s="47" t="s">
        <v>254</v>
      </c>
      <c r="F21" s="47" t="s">
        <v>255</v>
      </c>
      <c r="G21" s="50"/>
      <c r="H21" s="52"/>
      <c r="I21" s="50"/>
    </row>
    <row r="22" spans="1:9" ht="35" customHeight="1" x14ac:dyDescent="0.2">
      <c r="A22" s="47">
        <v>112251121</v>
      </c>
      <c r="B22" s="47" t="s">
        <v>216</v>
      </c>
      <c r="C22" s="50">
        <v>3</v>
      </c>
      <c r="D22" s="50" t="s">
        <v>126</v>
      </c>
      <c r="E22" s="47" t="s">
        <v>253</v>
      </c>
      <c r="F22" s="47" t="s">
        <v>256</v>
      </c>
      <c r="G22" s="50"/>
      <c r="H22" s="117"/>
      <c r="I22" s="50"/>
    </row>
    <row r="23" spans="1:9" ht="35" customHeight="1" x14ac:dyDescent="0.15">
      <c r="A23" s="47"/>
      <c r="B23" s="47"/>
      <c r="C23" s="50"/>
      <c r="D23" s="50"/>
      <c r="E23" s="47"/>
      <c r="F23" s="47"/>
      <c r="G23" s="50"/>
      <c r="H23" s="52"/>
      <c r="I23" s="50"/>
    </row>
    <row r="24" spans="1:9" ht="35" customHeight="1" x14ac:dyDescent="0.15">
      <c r="A24" s="47"/>
      <c r="B24" s="47"/>
      <c r="C24" s="50"/>
      <c r="D24" s="50"/>
      <c r="E24" s="47"/>
      <c r="F24" s="51"/>
      <c r="G24" s="50"/>
      <c r="H24" s="52"/>
      <c r="I24" s="50"/>
    </row>
    <row r="25" spans="1:9" ht="35" customHeight="1" x14ac:dyDescent="0.15">
      <c r="A25" s="47"/>
      <c r="B25" s="47"/>
      <c r="C25" s="50"/>
      <c r="D25" s="50"/>
      <c r="E25" s="47"/>
      <c r="F25" s="51"/>
      <c r="G25" s="50"/>
      <c r="H25" s="52"/>
      <c r="I25" s="50"/>
    </row>
    <row r="26" spans="1:9" ht="35" customHeight="1" x14ac:dyDescent="0.15">
      <c r="A26" s="47"/>
      <c r="B26" s="47"/>
      <c r="C26" s="50"/>
      <c r="D26" s="50"/>
      <c r="E26" s="51"/>
      <c r="F26" s="51"/>
      <c r="G26" s="50"/>
      <c r="H26" s="52"/>
      <c r="I26" s="50"/>
    </row>
    <row r="27" spans="1:9" ht="35" customHeight="1" x14ac:dyDescent="0.15">
      <c r="A27" s="47"/>
      <c r="B27" s="47"/>
      <c r="C27" s="50"/>
      <c r="D27" s="50"/>
      <c r="F27" s="51"/>
      <c r="G27" s="50"/>
      <c r="H27" s="52"/>
      <c r="I27" s="50"/>
    </row>
    <row r="28" spans="1:9" ht="21" customHeight="1" x14ac:dyDescent="0.15">
      <c r="A28" s="47"/>
      <c r="B28" s="47"/>
      <c r="C28" s="50"/>
      <c r="D28" s="50"/>
      <c r="E28" s="47"/>
      <c r="F28" s="51"/>
      <c r="G28" s="50"/>
      <c r="H28" s="52"/>
      <c r="I28" s="50"/>
    </row>
    <row r="29" spans="1:9" ht="21" customHeight="1" x14ac:dyDescent="0.15">
      <c r="A29" s="47"/>
      <c r="B29" s="47"/>
      <c r="C29" s="50"/>
      <c r="D29" s="50"/>
      <c r="E29" s="51"/>
      <c r="F29" s="51"/>
      <c r="G29" s="50"/>
      <c r="H29" s="52"/>
      <c r="I29" s="50"/>
    </row>
    <row r="30" spans="1:9" ht="21" customHeight="1" x14ac:dyDescent="0.15">
      <c r="A30" s="47"/>
      <c r="B30" s="96"/>
      <c r="C30" s="50"/>
      <c r="D30" s="50"/>
      <c r="E30" s="51"/>
      <c r="F30" s="51"/>
      <c r="G30" s="50"/>
      <c r="H30" s="52"/>
      <c r="I30" s="50"/>
    </row>
    <row r="31" spans="1:9" s="101" customFormat="1" ht="35" customHeight="1" x14ac:dyDescent="0.25">
      <c r="A31" s="96"/>
      <c r="B31" s="96"/>
      <c r="C31" s="97"/>
      <c r="D31" s="97"/>
      <c r="E31" s="98"/>
      <c r="F31" s="96"/>
      <c r="G31" s="99"/>
      <c r="H31" s="100"/>
      <c r="I31" s="97"/>
    </row>
    <row r="32" spans="1:9" s="101" customFormat="1" ht="35" customHeight="1" x14ac:dyDescent="0.15">
      <c r="A32" s="96"/>
      <c r="B32" s="96"/>
      <c r="C32" s="97"/>
      <c r="D32" s="97"/>
      <c r="E32" s="98"/>
      <c r="F32" s="98"/>
      <c r="G32" s="97"/>
      <c r="H32" s="100"/>
      <c r="I32" s="97"/>
    </row>
    <row r="33" spans="1:9" s="101" customFormat="1" ht="35" customHeight="1" x14ac:dyDescent="0.15">
      <c r="A33" s="96"/>
      <c r="B33" s="47"/>
      <c r="C33" s="97"/>
      <c r="D33" s="97"/>
      <c r="E33" s="98"/>
      <c r="F33" s="98"/>
      <c r="G33" s="97"/>
      <c r="H33" s="100"/>
      <c r="I33" s="97"/>
    </row>
    <row r="34" spans="1:9" ht="35" customHeight="1" x14ac:dyDescent="0.15">
      <c r="A34" s="47"/>
      <c r="B34" s="102"/>
      <c r="C34" s="50"/>
      <c r="D34" s="50"/>
      <c r="E34" s="51"/>
      <c r="F34" s="50"/>
      <c r="G34" s="50"/>
      <c r="H34" s="52"/>
      <c r="I34" s="50"/>
    </row>
    <row r="35" spans="1:9" s="106" customFormat="1" ht="30" customHeight="1" x14ac:dyDescent="0.15">
      <c r="A35" s="102"/>
      <c r="B35" s="102"/>
      <c r="C35" s="103"/>
      <c r="D35" s="103"/>
      <c r="E35" s="104"/>
      <c r="F35" s="104"/>
      <c r="G35" s="103"/>
      <c r="H35" s="105"/>
      <c r="I35" s="103"/>
    </row>
    <row r="36" spans="1:9" s="106" customFormat="1" ht="30" customHeight="1" x14ac:dyDescent="0.15">
      <c r="A36" s="102"/>
      <c r="B36" s="102"/>
      <c r="C36" s="103"/>
      <c r="D36" s="103"/>
      <c r="E36" s="102"/>
      <c r="F36" s="104"/>
      <c r="G36" s="103"/>
      <c r="H36" s="105"/>
      <c r="I36" s="103"/>
    </row>
    <row r="37" spans="1:9" s="106" customFormat="1" ht="30" customHeight="1" x14ac:dyDescent="0.15">
      <c r="A37" s="102"/>
      <c r="B37" s="102"/>
      <c r="C37" s="103"/>
      <c r="D37" s="103"/>
      <c r="E37" s="104"/>
      <c r="F37" s="102"/>
      <c r="G37" s="103"/>
      <c r="H37" s="105"/>
      <c r="I37" s="103"/>
    </row>
    <row r="38" spans="1:9" s="106" customFormat="1" ht="30" customHeight="1" x14ac:dyDescent="0.15">
      <c r="A38" s="102"/>
      <c r="B38" s="102"/>
      <c r="C38" s="103"/>
      <c r="D38" s="103"/>
      <c r="E38" s="102"/>
      <c r="F38" s="104"/>
      <c r="G38" s="103"/>
      <c r="H38" s="105"/>
      <c r="I38" s="103"/>
    </row>
    <row r="39" spans="1:9" s="106" customFormat="1" ht="21" customHeight="1" x14ac:dyDescent="0.15">
      <c r="A39" s="102"/>
      <c r="B39" s="102"/>
      <c r="C39" s="103"/>
      <c r="D39" s="103"/>
      <c r="E39" s="104"/>
      <c r="F39" s="104"/>
      <c r="G39" s="103"/>
      <c r="H39" s="105"/>
      <c r="I39" s="103"/>
    </row>
    <row r="40" spans="1:9" s="106" customFormat="1" ht="21" customHeight="1" x14ac:dyDescent="0.15">
      <c r="A40" s="102"/>
      <c r="B40" s="102"/>
      <c r="C40" s="103"/>
      <c r="D40" s="103"/>
      <c r="E40" s="104"/>
      <c r="F40" s="102"/>
      <c r="G40" s="103"/>
      <c r="H40" s="105"/>
      <c r="I40" s="103"/>
    </row>
    <row r="41" spans="1:9" s="106" customFormat="1" ht="21" customHeight="1" x14ac:dyDescent="0.15">
      <c r="A41" s="102"/>
      <c r="B41" s="102"/>
      <c r="C41" s="103"/>
      <c r="D41" s="103"/>
      <c r="E41" s="104"/>
      <c r="F41" s="104"/>
      <c r="G41" s="103"/>
      <c r="H41" s="105"/>
      <c r="I41" s="103"/>
    </row>
    <row r="42" spans="1:9" s="106" customFormat="1" ht="21" customHeight="1" x14ac:dyDescent="0.15">
      <c r="A42" s="102"/>
      <c r="B42" s="107"/>
      <c r="C42" s="103"/>
      <c r="D42" s="103"/>
      <c r="E42" s="104"/>
      <c r="F42" s="104"/>
      <c r="G42" s="103"/>
      <c r="H42" s="105"/>
      <c r="I42" s="103"/>
    </row>
    <row r="43" spans="1:9" s="111" customFormat="1" ht="21" customHeight="1" x14ac:dyDescent="0.15">
      <c r="A43" s="107"/>
      <c r="B43" s="107"/>
      <c r="C43" s="108"/>
      <c r="D43" s="108"/>
      <c r="E43" s="109"/>
      <c r="F43" s="109"/>
      <c r="G43" s="108"/>
      <c r="H43" s="110"/>
      <c r="I43" s="108"/>
    </row>
    <row r="44" spans="1:9" s="111" customFormat="1" ht="21" customHeight="1" x14ac:dyDescent="0.15">
      <c r="A44" s="107"/>
      <c r="B44" s="107"/>
      <c r="C44" s="108"/>
      <c r="D44" s="108"/>
      <c r="E44" s="107"/>
      <c r="F44" s="109"/>
      <c r="G44" s="108"/>
      <c r="H44" s="110"/>
      <c r="I44" s="108"/>
    </row>
    <row r="45" spans="1:9" s="111" customFormat="1" ht="21" customHeight="1" x14ac:dyDescent="0.15">
      <c r="A45" s="107"/>
      <c r="B45" s="107"/>
      <c r="C45" s="108"/>
      <c r="D45" s="108"/>
      <c r="E45" s="109"/>
      <c r="F45" s="107"/>
      <c r="G45" s="108"/>
      <c r="H45" s="110"/>
      <c r="I45" s="108"/>
    </row>
    <row r="46" spans="1:9" s="111" customFormat="1" ht="21" customHeight="1" x14ac:dyDescent="0.15">
      <c r="A46" s="107"/>
      <c r="B46" s="107"/>
      <c r="C46" s="108"/>
      <c r="D46" s="108"/>
      <c r="E46" s="107"/>
      <c r="F46" s="109"/>
      <c r="G46" s="108"/>
      <c r="H46" s="110"/>
      <c r="I46" s="108"/>
    </row>
    <row r="47" spans="1:9" s="111" customFormat="1" ht="21" customHeight="1" x14ac:dyDescent="0.15">
      <c r="A47" s="107"/>
      <c r="B47" s="107"/>
      <c r="C47" s="108"/>
      <c r="D47" s="108"/>
      <c r="E47" s="109"/>
      <c r="F47" s="109"/>
      <c r="G47" s="108"/>
      <c r="H47" s="110"/>
      <c r="I47" s="108"/>
    </row>
    <row r="48" spans="1:9" s="111" customFormat="1" ht="21" customHeight="1" x14ac:dyDescent="0.15">
      <c r="A48" s="107"/>
      <c r="B48" s="107"/>
      <c r="C48" s="108"/>
      <c r="D48" s="108"/>
      <c r="E48" s="109"/>
      <c r="F48" s="107"/>
      <c r="G48" s="108"/>
      <c r="H48" s="110"/>
      <c r="I48" s="108"/>
    </row>
    <row r="49" spans="1:9" s="111" customFormat="1" ht="21" customHeight="1" x14ac:dyDescent="0.15">
      <c r="A49" s="107"/>
      <c r="B49" s="107"/>
      <c r="C49" s="108"/>
      <c r="D49" s="108"/>
      <c r="E49" s="109"/>
      <c r="F49" s="109"/>
      <c r="G49" s="108"/>
      <c r="H49" s="110"/>
      <c r="I49" s="108"/>
    </row>
    <row r="50" spans="1:9" s="111" customFormat="1" ht="21" customHeight="1" x14ac:dyDescent="0.15">
      <c r="A50" s="107"/>
      <c r="B50" s="112"/>
      <c r="C50" s="108"/>
      <c r="D50" s="108"/>
      <c r="E50" s="109"/>
      <c r="F50" s="109"/>
      <c r="G50" s="108"/>
      <c r="H50" s="110"/>
      <c r="I50" s="108"/>
    </row>
    <row r="51" spans="1:9" s="115" customFormat="1" ht="21" customHeight="1" x14ac:dyDescent="0.15">
      <c r="A51" s="112"/>
      <c r="B51" s="112"/>
      <c r="C51" s="113"/>
      <c r="D51" s="113"/>
      <c r="E51" s="114"/>
      <c r="F51" s="114"/>
      <c r="G51" s="112"/>
      <c r="H51" s="112"/>
      <c r="I51" s="112"/>
    </row>
    <row r="52" spans="1:9" s="115" customFormat="1" ht="21" customHeight="1" x14ac:dyDescent="0.15">
      <c r="A52" s="112"/>
      <c r="B52" s="112"/>
      <c r="C52" s="113"/>
      <c r="D52" s="113"/>
      <c r="E52" s="112"/>
      <c r="F52" s="114"/>
      <c r="G52" s="112"/>
      <c r="H52" s="112"/>
      <c r="I52" s="112"/>
    </row>
    <row r="53" spans="1:9" s="115" customFormat="1" ht="21" customHeight="1" x14ac:dyDescent="0.15">
      <c r="A53" s="112"/>
      <c r="B53" s="112"/>
      <c r="C53" s="113"/>
      <c r="D53" s="113"/>
      <c r="E53" s="114"/>
      <c r="F53" s="112"/>
      <c r="G53" s="112"/>
      <c r="H53" s="112"/>
      <c r="I53" s="112"/>
    </row>
    <row r="54" spans="1:9" s="115" customFormat="1" ht="21" customHeight="1" x14ac:dyDescent="0.15">
      <c r="A54" s="112"/>
      <c r="B54" s="112"/>
      <c r="C54" s="113"/>
      <c r="D54" s="113"/>
      <c r="E54" s="112"/>
      <c r="F54" s="114"/>
      <c r="G54" s="112"/>
      <c r="H54" s="112"/>
      <c r="I54" s="112"/>
    </row>
    <row r="55" spans="1:9" s="115" customFormat="1" ht="21" customHeight="1" x14ac:dyDescent="0.15">
      <c r="A55" s="112"/>
      <c r="B55" s="112"/>
      <c r="C55" s="113"/>
      <c r="D55" s="113"/>
      <c r="E55" s="114"/>
      <c r="F55" s="114"/>
      <c r="G55" s="112"/>
      <c r="H55" s="112"/>
      <c r="I55" s="112"/>
    </row>
    <row r="56" spans="1:9" s="115" customFormat="1" ht="21" customHeight="1" x14ac:dyDescent="0.15">
      <c r="A56" s="112"/>
      <c r="B56" s="112"/>
      <c r="C56" s="113"/>
      <c r="D56" s="113"/>
      <c r="E56" s="114"/>
      <c r="F56" s="112"/>
      <c r="G56" s="112"/>
      <c r="H56" s="112"/>
      <c r="I56" s="112"/>
    </row>
    <row r="57" spans="1:9" s="115" customFormat="1" ht="21" customHeight="1" x14ac:dyDescent="0.15">
      <c r="A57" s="112"/>
      <c r="B57" s="112"/>
      <c r="C57" s="113"/>
      <c r="D57" s="113"/>
      <c r="E57" s="114"/>
      <c r="F57" s="114"/>
      <c r="G57" s="112"/>
      <c r="H57" s="112"/>
      <c r="I57" s="112"/>
    </row>
    <row r="58" spans="1:9" s="115" customFormat="1" ht="21" customHeight="1" x14ac:dyDescent="0.15">
      <c r="A58" s="112"/>
      <c r="B58" s="47"/>
      <c r="C58" s="113"/>
      <c r="D58" s="113"/>
      <c r="E58" s="114"/>
      <c r="F58" s="114"/>
      <c r="G58" s="112"/>
      <c r="H58" s="112"/>
      <c r="I58" s="112"/>
    </row>
    <row r="59" spans="1:9" ht="21" customHeight="1" x14ac:dyDescent="0.15">
      <c r="A59" s="47"/>
      <c r="B59" s="47"/>
      <c r="C59" s="50"/>
      <c r="D59" s="50"/>
      <c r="E59" s="51"/>
      <c r="F59" s="51"/>
      <c r="G59" s="47"/>
      <c r="H59" s="47"/>
      <c r="I59" s="47"/>
    </row>
    <row r="60" spans="1:9" ht="21" customHeight="1" x14ac:dyDescent="0.15">
      <c r="A60" s="47"/>
      <c r="B60" s="47"/>
      <c r="C60" s="50"/>
      <c r="D60" s="50"/>
      <c r="E60" s="47"/>
      <c r="F60" s="51"/>
      <c r="G60" s="47"/>
      <c r="H60" s="47"/>
      <c r="I60" s="47"/>
    </row>
    <row r="61" spans="1:9" ht="21" customHeight="1" x14ac:dyDescent="0.15">
      <c r="A61" s="47"/>
      <c r="B61" s="47"/>
      <c r="C61" s="50"/>
      <c r="D61" s="50"/>
      <c r="E61" s="51"/>
      <c r="F61" s="47"/>
      <c r="G61" s="47"/>
      <c r="H61" s="47"/>
      <c r="I61" s="47"/>
    </row>
    <row r="62" spans="1:9" ht="21" customHeight="1" x14ac:dyDescent="0.15">
      <c r="A62" s="47"/>
      <c r="B62" s="47"/>
      <c r="C62" s="50"/>
      <c r="D62" s="50"/>
      <c r="E62" s="47"/>
      <c r="F62" s="51"/>
      <c r="G62" s="47"/>
      <c r="H62" s="47"/>
      <c r="I62" s="47"/>
    </row>
    <row r="63" spans="1:9" ht="21" customHeight="1" x14ac:dyDescent="0.15">
      <c r="A63" s="47"/>
      <c r="B63" s="47"/>
      <c r="C63" s="50"/>
      <c r="D63" s="50"/>
      <c r="E63" s="51"/>
      <c r="F63" s="51"/>
      <c r="G63" s="47"/>
      <c r="H63" s="47"/>
      <c r="I63" s="47"/>
    </row>
    <row r="64" spans="1:9" ht="21" customHeight="1" x14ac:dyDescent="0.15">
      <c r="A64" s="47"/>
      <c r="B64" s="47"/>
      <c r="C64" s="50"/>
      <c r="D64" s="50"/>
      <c r="E64" s="51"/>
      <c r="F64" s="47"/>
      <c r="G64" s="47"/>
      <c r="H64" s="47"/>
      <c r="I64" s="47"/>
    </row>
    <row r="65" spans="1:9" ht="21" customHeight="1" x14ac:dyDescent="0.15">
      <c r="A65" s="47"/>
      <c r="B65" s="47"/>
      <c r="C65" s="50"/>
      <c r="D65" s="50"/>
      <c r="E65" s="51"/>
      <c r="F65" s="51"/>
      <c r="G65" s="47"/>
      <c r="H65" s="47"/>
      <c r="I65" s="47"/>
    </row>
    <row r="66" spans="1:9" ht="21" customHeight="1" x14ac:dyDescent="0.15">
      <c r="A66" s="47"/>
      <c r="C66" s="50"/>
      <c r="D66" s="50"/>
      <c r="E66" s="51"/>
      <c r="F66" s="51"/>
      <c r="G66" s="47"/>
      <c r="H66" s="47"/>
      <c r="I66" s="47"/>
    </row>
  </sheetData>
  <autoFilter ref="A1:I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5"/>
  <sheetViews>
    <sheetView showGridLines="0" zoomScale="116" zoomScaleNormal="75" zoomScalePageLayoutView="75" workbookViewId="0">
      <pane ySplit="1" topLeftCell="A2" activePane="bottomLeft" state="frozenSplit"/>
      <selection pane="bottomLeft" activeCell="D3" sqref="D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18.1640625" style="45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41" t="s">
        <v>181</v>
      </c>
    </row>
    <row r="2" spans="1:11" ht="21" customHeight="1" x14ac:dyDescent="0.15">
      <c r="A2" s="47">
        <v>112250000</v>
      </c>
      <c r="B2" s="47">
        <v>1</v>
      </c>
      <c r="C2" s="47">
        <v>100</v>
      </c>
      <c r="D2" s="47">
        <v>100</v>
      </c>
      <c r="E2" s="47" t="s">
        <v>178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" si="0">D2</f>
        <v>100</v>
      </c>
      <c r="K2" s="48" t="s">
        <v>192</v>
      </c>
    </row>
    <row r="3" spans="1:11" ht="21" customHeight="1" x14ac:dyDescent="0.15">
      <c r="A3" s="47">
        <v>112250001</v>
      </c>
      <c r="B3" s="47">
        <v>0</v>
      </c>
      <c r="C3" s="47">
        <v>1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186</v>
      </c>
      <c r="I3" s="47" t="s">
        <v>53</v>
      </c>
      <c r="J3" s="48">
        <f>D3</f>
        <v>100</v>
      </c>
      <c r="K3" s="48" t="s">
        <v>193</v>
      </c>
    </row>
    <row r="4" spans="1:11" ht="21" customHeight="1" x14ac:dyDescent="0.15">
      <c r="A4" s="47">
        <v>112250002</v>
      </c>
      <c r="B4" s="47">
        <v>0</v>
      </c>
      <c r="C4" s="47">
        <v>1</v>
      </c>
      <c r="D4" s="47">
        <v>100</v>
      </c>
      <c r="E4" s="47" t="s">
        <v>198</v>
      </c>
      <c r="F4" s="47" t="s">
        <v>198</v>
      </c>
      <c r="G4" s="47">
        <v>0</v>
      </c>
      <c r="H4" s="47" t="s">
        <v>198</v>
      </c>
      <c r="I4" s="47">
        <v>0</v>
      </c>
      <c r="J4" s="48">
        <f>D4</f>
        <v>100</v>
      </c>
      <c r="K4" s="48" t="s">
        <v>194</v>
      </c>
    </row>
    <row r="5" spans="1:11" ht="21" customHeight="1" x14ac:dyDescent="0.15">
      <c r="A5" s="47">
        <v>112250003</v>
      </c>
      <c r="B5" s="47">
        <v>0</v>
      </c>
      <c r="C5" s="47">
        <v>50</v>
      </c>
      <c r="D5" s="47">
        <v>100</v>
      </c>
      <c r="E5" s="47" t="s">
        <v>53</v>
      </c>
      <c r="F5" s="47" t="s">
        <v>187</v>
      </c>
      <c r="G5" s="47" t="s">
        <v>188</v>
      </c>
      <c r="H5" s="47" t="s">
        <v>53</v>
      </c>
      <c r="I5" s="47" t="s">
        <v>187</v>
      </c>
      <c r="J5" s="48">
        <f t="shared" ref="J5:J11" si="1">D5</f>
        <v>100</v>
      </c>
      <c r="K5" s="48" t="s">
        <v>195</v>
      </c>
    </row>
    <row r="6" spans="1:11" ht="21" customHeight="1" x14ac:dyDescent="0.15">
      <c r="A6" s="47">
        <v>112250004</v>
      </c>
      <c r="B6" s="47">
        <v>0</v>
      </c>
      <c r="C6" s="47">
        <v>100</v>
      </c>
      <c r="D6" s="47">
        <v>50</v>
      </c>
      <c r="E6" s="47" t="s">
        <v>53</v>
      </c>
      <c r="F6" s="47" t="s">
        <v>88</v>
      </c>
      <c r="G6" s="47" t="s">
        <v>188</v>
      </c>
      <c r="H6" s="47" t="s">
        <v>53</v>
      </c>
      <c r="I6" s="47" t="s">
        <v>88</v>
      </c>
      <c r="J6" s="48">
        <f t="shared" si="1"/>
        <v>50</v>
      </c>
      <c r="K6" s="48" t="s">
        <v>232</v>
      </c>
    </row>
    <row r="7" spans="1:11" ht="21" customHeight="1" x14ac:dyDescent="0.15">
      <c r="A7" s="47">
        <v>112250005</v>
      </c>
      <c r="B7" s="47">
        <v>0</v>
      </c>
      <c r="C7" s="47">
        <v>90</v>
      </c>
      <c r="D7" s="47">
        <v>100</v>
      </c>
      <c r="E7" s="47" t="s">
        <v>53</v>
      </c>
      <c r="F7" s="47" t="s">
        <v>88</v>
      </c>
      <c r="G7" s="47">
        <v>1</v>
      </c>
      <c r="H7" s="47" t="s">
        <v>53</v>
      </c>
      <c r="I7" s="47" t="s">
        <v>88</v>
      </c>
      <c r="J7" s="48">
        <f t="shared" si="1"/>
        <v>100</v>
      </c>
      <c r="K7" s="48" t="s">
        <v>233</v>
      </c>
    </row>
    <row r="8" spans="1:11" ht="21" customHeight="1" x14ac:dyDescent="0.15">
      <c r="A8" s="47">
        <v>112250006</v>
      </c>
      <c r="B8" s="47">
        <v>0</v>
      </c>
      <c r="C8" s="47">
        <v>80</v>
      </c>
      <c r="D8" s="47">
        <v>100</v>
      </c>
      <c r="E8" s="47" t="s">
        <v>53</v>
      </c>
      <c r="F8" s="47" t="s">
        <v>88</v>
      </c>
      <c r="G8" s="47">
        <v>1</v>
      </c>
      <c r="H8" s="47" t="s">
        <v>53</v>
      </c>
      <c r="I8" s="47" t="s">
        <v>88</v>
      </c>
      <c r="J8" s="48">
        <f t="shared" si="1"/>
        <v>100</v>
      </c>
      <c r="K8" s="48" t="s">
        <v>234</v>
      </c>
    </row>
    <row r="9" spans="1:11" ht="21" customHeight="1" x14ac:dyDescent="0.15">
      <c r="A9" s="47">
        <v>112250007</v>
      </c>
      <c r="B9" s="47">
        <v>0</v>
      </c>
      <c r="C9" s="47">
        <v>70</v>
      </c>
      <c r="D9" s="47">
        <v>100</v>
      </c>
      <c r="E9" s="47" t="s">
        <v>53</v>
      </c>
      <c r="F9" s="47" t="s">
        <v>88</v>
      </c>
      <c r="G9" s="47">
        <v>1</v>
      </c>
      <c r="H9" s="47" t="s">
        <v>53</v>
      </c>
      <c r="I9" s="47" t="s">
        <v>88</v>
      </c>
      <c r="J9" s="48">
        <f t="shared" si="1"/>
        <v>100</v>
      </c>
      <c r="K9" s="48" t="s">
        <v>235</v>
      </c>
    </row>
    <row r="10" spans="1:11" ht="21" customHeight="1" x14ac:dyDescent="0.15">
      <c r="A10" s="47">
        <v>112250008</v>
      </c>
      <c r="B10" s="47">
        <v>0</v>
      </c>
      <c r="C10" s="47">
        <v>60</v>
      </c>
      <c r="D10" s="47">
        <v>100</v>
      </c>
      <c r="E10" s="47" t="s">
        <v>53</v>
      </c>
      <c r="F10" s="47" t="s">
        <v>88</v>
      </c>
      <c r="G10" s="47">
        <v>1</v>
      </c>
      <c r="H10" s="47" t="s">
        <v>53</v>
      </c>
      <c r="I10" s="47" t="s">
        <v>88</v>
      </c>
      <c r="J10" s="48">
        <f t="shared" si="1"/>
        <v>100</v>
      </c>
      <c r="K10" s="48" t="s">
        <v>236</v>
      </c>
    </row>
    <row r="11" spans="1:11" ht="21" customHeight="1" x14ac:dyDescent="0.15">
      <c r="A11" s="47">
        <v>112250009</v>
      </c>
      <c r="B11" s="47">
        <v>0</v>
      </c>
      <c r="C11" s="47">
        <v>50</v>
      </c>
      <c r="D11" s="47">
        <v>100</v>
      </c>
      <c r="E11" s="47" t="s">
        <v>53</v>
      </c>
      <c r="F11" s="47" t="s">
        <v>88</v>
      </c>
      <c r="G11" s="47" t="s">
        <v>244</v>
      </c>
      <c r="H11" s="47" t="s">
        <v>53</v>
      </c>
      <c r="I11" s="47" t="s">
        <v>88</v>
      </c>
      <c r="J11" s="48">
        <f t="shared" si="1"/>
        <v>100</v>
      </c>
      <c r="K11" s="48"/>
    </row>
    <row r="12" spans="1:11" ht="21" customHeight="1" x14ac:dyDescent="0.15">
      <c r="A12" s="47"/>
      <c r="B12" s="47"/>
      <c r="C12" s="47"/>
      <c r="D12" s="47"/>
      <c r="E12" s="47"/>
      <c r="F12" s="47"/>
      <c r="G12" s="47"/>
      <c r="H12" s="47"/>
      <c r="I12" s="47"/>
      <c r="J12" s="48"/>
      <c r="K12" s="48"/>
    </row>
    <row r="13" spans="1:11" ht="21" customHeight="1" x14ac:dyDescent="0.15">
      <c r="A13" s="47"/>
      <c r="B13" s="47"/>
      <c r="C13" s="47"/>
      <c r="D13" s="47"/>
      <c r="E13" s="47"/>
      <c r="F13" s="47"/>
      <c r="G13" s="47"/>
      <c r="H13" s="47"/>
      <c r="I13" s="47"/>
      <c r="J13" s="48"/>
      <c r="K13" s="48"/>
    </row>
    <row r="14" spans="1:11" ht="21" customHeight="1" x14ac:dyDescent="0.15">
      <c r="A14" s="47"/>
      <c r="B14" s="47"/>
      <c r="C14" s="47"/>
      <c r="D14" s="47"/>
      <c r="E14" s="47"/>
      <c r="F14" s="47"/>
      <c r="G14" s="47"/>
      <c r="H14" s="47"/>
      <c r="I14" s="47"/>
      <c r="J14" s="48"/>
      <c r="K14" s="48"/>
    </row>
    <row r="15" spans="1:11" ht="21" customHeight="1" x14ac:dyDescent="0.15">
      <c r="A15" s="47"/>
      <c r="B15" s="47"/>
      <c r="C15" s="47"/>
      <c r="D15" s="47"/>
      <c r="E15" s="47"/>
      <c r="F15" s="47"/>
      <c r="G15" s="47"/>
      <c r="H15" s="47"/>
      <c r="I15" s="47"/>
      <c r="J15" s="48"/>
      <c r="K15" s="48"/>
    </row>
    <row r="16" spans="1:11" ht="21" customHeight="1" x14ac:dyDescent="0.15">
      <c r="A16" s="47"/>
      <c r="B16" s="47"/>
      <c r="C16" s="47"/>
      <c r="D16" s="47"/>
      <c r="E16" s="47"/>
      <c r="F16" s="47"/>
      <c r="G16" s="47"/>
      <c r="H16" s="47"/>
      <c r="I16" s="47"/>
      <c r="J16" s="48"/>
      <c r="K16" s="48"/>
    </row>
    <row r="17" spans="1:11" ht="21" customHeight="1" x14ac:dyDescent="0.15">
      <c r="A17" s="47"/>
      <c r="B17" s="47"/>
      <c r="C17" s="47"/>
      <c r="D17" s="47"/>
      <c r="E17" s="47"/>
      <c r="F17" s="47"/>
      <c r="G17" s="47"/>
      <c r="H17" s="47"/>
      <c r="I17" s="47"/>
      <c r="J17" s="48"/>
      <c r="K17" s="48"/>
    </row>
    <row r="18" spans="1:11" ht="21" customHeight="1" x14ac:dyDescent="0.15">
      <c r="A18" s="47"/>
      <c r="B18" s="47"/>
      <c r="C18" s="47"/>
      <c r="D18" s="47"/>
      <c r="E18" s="47"/>
      <c r="F18" s="47"/>
      <c r="G18" s="47"/>
      <c r="H18" s="47"/>
      <c r="I18" s="47"/>
      <c r="J18" s="48"/>
      <c r="K18" s="48"/>
    </row>
    <row r="19" spans="1:11" ht="21" customHeight="1" x14ac:dyDescent="0.15">
      <c r="A19" s="47"/>
      <c r="B19" s="47"/>
      <c r="C19" s="47"/>
      <c r="D19" s="47"/>
      <c r="E19" s="47"/>
      <c r="F19" s="47"/>
      <c r="G19" s="47"/>
      <c r="H19" s="47"/>
      <c r="I19" s="47"/>
      <c r="J19" s="48"/>
      <c r="K19" s="48"/>
    </row>
    <row r="20" spans="1:11" ht="21" customHeight="1" x14ac:dyDescent="0.15">
      <c r="A20" s="47"/>
      <c r="B20" s="95"/>
      <c r="C20" s="47"/>
      <c r="D20" s="95"/>
      <c r="E20" s="95"/>
      <c r="F20" s="95"/>
      <c r="G20" s="47"/>
      <c r="H20" s="95"/>
      <c r="I20" s="95"/>
      <c r="J20" s="48"/>
      <c r="K20" s="48"/>
    </row>
    <row r="21" spans="1:11" ht="21" customHeight="1" x14ac:dyDescent="0.15">
      <c r="A21" s="47"/>
      <c r="B21" s="47"/>
      <c r="C21" s="47"/>
      <c r="D21" s="95"/>
      <c r="E21" s="95"/>
      <c r="F21" s="95"/>
      <c r="G21" s="47"/>
      <c r="H21" s="95"/>
      <c r="I21" s="47"/>
      <c r="J21" s="48"/>
      <c r="K21" s="48"/>
    </row>
    <row r="22" spans="1:11" ht="21" customHeight="1" x14ac:dyDescent="0.15">
      <c r="A22" s="47"/>
      <c r="B22" s="47"/>
      <c r="C22" s="47"/>
      <c r="D22" s="95"/>
      <c r="E22" s="95"/>
      <c r="F22" s="95"/>
      <c r="G22" s="47"/>
      <c r="H22" s="95"/>
      <c r="I22" s="95"/>
      <c r="J22" s="48"/>
      <c r="K22" s="48"/>
    </row>
    <row r="23" spans="1:11" ht="21" customHeight="1" x14ac:dyDescent="0.15">
      <c r="A23" s="47"/>
      <c r="B23" s="47"/>
      <c r="C23" s="47"/>
      <c r="D23" s="95"/>
      <c r="E23" s="95"/>
      <c r="F23" s="95"/>
      <c r="G23" s="47"/>
      <c r="H23" s="95"/>
      <c r="I23" s="95"/>
      <c r="J23" s="48"/>
      <c r="K23" s="48"/>
    </row>
    <row r="24" spans="1:11" ht="21" customHeight="1" x14ac:dyDescent="0.15">
      <c r="A24" s="47"/>
      <c r="B24" s="47"/>
      <c r="C24" s="47"/>
      <c r="D24" s="47"/>
      <c r="E24" s="47"/>
      <c r="F24" s="47"/>
      <c r="G24" s="47"/>
      <c r="H24" s="47"/>
      <c r="I24" s="47"/>
      <c r="J24" s="48"/>
      <c r="K24" s="48"/>
    </row>
    <row r="25" spans="1:11" ht="21" customHeight="1" x14ac:dyDescent="0.15">
      <c r="A25" s="47"/>
      <c r="B25" s="47"/>
      <c r="C25" s="47"/>
      <c r="D25" s="47"/>
      <c r="E25" s="47"/>
      <c r="F25" s="47"/>
      <c r="G25" s="47"/>
      <c r="H25" s="47"/>
      <c r="I25" s="47"/>
      <c r="J25" s="48"/>
      <c r="K25" s="48"/>
    </row>
  </sheetData>
  <autoFilter ref="A1:G1"/>
  <phoneticPr fontId="5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4"/>
  <sheetViews>
    <sheetView showGridLines="0" workbookViewId="0">
      <pane ySplit="1" topLeftCell="A2" activePane="bottomLeft" state="frozen"/>
      <selection pane="bottomLeft" activeCell="J9" sqref="J9"/>
    </sheetView>
  </sheetViews>
  <sheetFormatPr baseColWidth="12" defaultColWidth="13" defaultRowHeight="15" outlineLevelCol="1" x14ac:dyDescent="0.15"/>
  <cols>
    <col min="1" max="1" width="13" style="7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2" width="28.83203125" bestFit="1" customWidth="1"/>
  </cols>
  <sheetData>
    <row r="1" spans="1:14" x14ac:dyDescent="0.15">
      <c r="A1" s="71" t="s">
        <v>159</v>
      </c>
      <c r="B1" s="68" t="s">
        <v>160</v>
      </c>
      <c r="C1" s="72" t="s">
        <v>161</v>
      </c>
      <c r="D1" s="72" t="s">
        <v>33</v>
      </c>
      <c r="E1" s="68" t="s">
        <v>162</v>
      </c>
      <c r="F1" s="72" t="s">
        <v>163</v>
      </c>
      <c r="G1" s="72" t="s">
        <v>33</v>
      </c>
      <c r="H1" s="68" t="s">
        <v>164</v>
      </c>
      <c r="I1" s="78" t="s">
        <v>165</v>
      </c>
      <c r="J1" s="83" t="s">
        <v>125</v>
      </c>
      <c r="K1" s="83" t="s">
        <v>158</v>
      </c>
      <c r="L1" s="81" t="s">
        <v>157</v>
      </c>
      <c r="M1" s="86" t="s">
        <v>166</v>
      </c>
    </row>
    <row r="2" spans="1:14" ht="70" x14ac:dyDescent="0.15">
      <c r="A2" s="73" t="s">
        <v>168</v>
      </c>
      <c r="B2" s="74">
        <f>floors!$C$2</f>
        <v>11225</v>
      </c>
      <c r="C2" s="79" t="str">
        <f ca="1">VLOOKUP($B2,OFFSET([2]quests!$A$1,0,0,COUNTA([2]quests!$A:$A),MATCH(C$1,[2]quests!$1:$1,0)-MATCH($B$1,[2]quests!$1:$1,0)+1),MATCH(C$1,[2]quests!$1:$1,0)-MATCH($B$1,[2]quests!$1:$1,0)+1,FALSE)</f>
        <v>400万DL記念★特別クエスト</v>
      </c>
      <c r="D2" s="79" t="str">
        <f ca="1">VLOOKUP($B2,OFFSET([2]quests!$A$1,0,0,COUNTA([2]quests!$A:$A),MATCH(D$1,[2]quests!$1:$1,0)-MATCH($B$1,[2]quests!$1:$1,0)+1),MATCH(D$1,[2]quests!$1:$1,0)-MATCH($B$1,[2]quests!$1:$1,0)+1,FALSE)</f>
        <v>400万DL記念★特別クエスト</v>
      </c>
      <c r="E2" s="76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ミリオンダックより愛をこめて 4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400万DL記念★特別クエスト</v>
      </c>
      <c r="H2" s="80">
        <v>0</v>
      </c>
      <c r="I2" s="56">
        <v>112251</v>
      </c>
      <c r="J2" s="75" t="s">
        <v>167</v>
      </c>
      <c r="K2" s="76" t="s">
        <v>182</v>
      </c>
      <c r="L2" s="89" t="s">
        <v>183</v>
      </c>
      <c r="M2" s="56" t="s">
        <v>175</v>
      </c>
      <c r="N2">
        <f>LEN(L2)</f>
        <v>61</v>
      </c>
    </row>
    <row r="3" spans="1:14" ht="70" x14ac:dyDescent="0.15">
      <c r="A3" s="73" t="s">
        <v>189</v>
      </c>
      <c r="B3" s="74">
        <v>11225</v>
      </c>
      <c r="C3" s="79"/>
      <c r="D3" s="79"/>
      <c r="E3" s="76">
        <v>1</v>
      </c>
      <c r="F3" s="79"/>
      <c r="G3" s="79"/>
      <c r="H3" s="80">
        <v>3</v>
      </c>
      <c r="I3" s="56">
        <v>112252</v>
      </c>
      <c r="J3" s="75" t="s">
        <v>167</v>
      </c>
      <c r="K3" s="76" t="s">
        <v>190</v>
      </c>
      <c r="L3" s="89" t="s">
        <v>197</v>
      </c>
      <c r="M3" s="56" t="s">
        <v>191</v>
      </c>
      <c r="N3" t="e">
        <f>LEN(#REF!)</f>
        <v>#REF!</v>
      </c>
    </row>
    <row r="4" spans="1:14" x14ac:dyDescent="0.15">
      <c r="K4" s="88" t="s">
        <v>179</v>
      </c>
      <c r="L4" s="88" t="s">
        <v>179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2016-06-23T02:51:35Z</dcterms:modified>
</cp:coreProperties>
</file>