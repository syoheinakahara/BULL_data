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0" yWindow="460" windowWidth="33240" windowHeight="206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21" l="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4" i="21"/>
  <c r="I4" i="21"/>
  <c r="J4" i="21"/>
  <c r="G4" i="21"/>
  <c r="F4" i="21"/>
  <c r="D4" i="21"/>
  <c r="C4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3" i="21"/>
  <c r="I3" i="21"/>
  <c r="J3" i="21"/>
  <c r="G3" i="21"/>
  <c r="F3" i="21"/>
  <c r="D3" i="21"/>
  <c r="C3" i="21"/>
  <c r="L40" i="19"/>
  <c r="K40" i="19"/>
  <c r="B40" i="19"/>
  <c r="G40" i="19"/>
  <c r="F40" i="19"/>
  <c r="D40" i="19"/>
  <c r="C40" i="19"/>
  <c r="L39" i="19"/>
  <c r="K39" i="19"/>
  <c r="B39" i="19"/>
  <c r="G39" i="19"/>
  <c r="F39" i="19"/>
  <c r="D39" i="19"/>
  <c r="C39" i="19"/>
  <c r="L38" i="19"/>
  <c r="K38" i="19"/>
  <c r="B38" i="19"/>
  <c r="G38" i="19"/>
  <c r="F38" i="19"/>
  <c r="D38" i="19"/>
  <c r="C38" i="19"/>
  <c r="L37" i="19"/>
  <c r="K37" i="19"/>
  <c r="B37" i="19"/>
  <c r="G37" i="19"/>
  <c r="F37" i="19"/>
  <c r="D37" i="19"/>
  <c r="C37" i="19"/>
  <c r="L36" i="19"/>
  <c r="K36" i="19"/>
  <c r="B36" i="19"/>
  <c r="G36" i="19"/>
  <c r="F36" i="19"/>
  <c r="D36" i="19"/>
  <c r="C36" i="19"/>
  <c r="L35" i="19"/>
  <c r="K35" i="19"/>
  <c r="B35" i="19"/>
  <c r="G35" i="19"/>
  <c r="F35" i="19"/>
  <c r="D35" i="19"/>
  <c r="C35" i="19"/>
  <c r="L34" i="19"/>
  <c r="K34" i="19"/>
  <c r="B34" i="19"/>
  <c r="G34" i="19"/>
  <c r="F34" i="19"/>
  <c r="D34" i="19"/>
  <c r="C34" i="19"/>
  <c r="L33" i="19"/>
  <c r="K33" i="19"/>
  <c r="B33" i="19"/>
  <c r="G33" i="19"/>
  <c r="F33" i="19"/>
  <c r="D33" i="19"/>
  <c r="C33" i="19"/>
  <c r="L32" i="19"/>
  <c r="K32" i="19"/>
  <c r="B32" i="19"/>
  <c r="G32" i="19"/>
  <c r="F32" i="19"/>
  <c r="D32" i="19"/>
  <c r="C32" i="19"/>
  <c r="L31" i="19"/>
  <c r="K31" i="19"/>
  <c r="B31" i="19"/>
  <c r="G31" i="19"/>
  <c r="F31" i="19"/>
  <c r="D31" i="19"/>
  <c r="C31" i="19"/>
  <c r="L30" i="19"/>
  <c r="K30" i="19"/>
  <c r="B30" i="19"/>
  <c r="G30" i="19"/>
  <c r="F30" i="19"/>
  <c r="D30" i="19"/>
  <c r="C30" i="19"/>
  <c r="L29" i="19"/>
  <c r="K29" i="19"/>
  <c r="B29" i="19"/>
  <c r="G29" i="19"/>
  <c r="F29" i="19"/>
  <c r="D29" i="19"/>
  <c r="C29" i="19"/>
  <c r="L28" i="19"/>
  <c r="K28" i="19"/>
  <c r="B28" i="19"/>
  <c r="G28" i="19"/>
  <c r="F28" i="19"/>
  <c r="D28" i="19"/>
  <c r="C28" i="19"/>
  <c r="J36" i="11"/>
  <c r="O10" i="9"/>
  <c r="N10" i="9"/>
  <c r="M10" i="9"/>
  <c r="L10" i="9"/>
  <c r="K10" i="9"/>
  <c r="J10" i="9"/>
  <c r="I10" i="9"/>
  <c r="H10" i="9"/>
  <c r="G10" i="9"/>
  <c r="E10" i="9"/>
  <c r="D10" i="9"/>
  <c r="A10" i="9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I30" i="9"/>
  <c r="I31" i="9"/>
  <c r="I32" i="9"/>
  <c r="I33" i="9"/>
  <c r="I34" i="9"/>
  <c r="I43" i="9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J12" i="11"/>
  <c r="O57" i="9"/>
  <c r="N57" i="9"/>
  <c r="M57" i="9"/>
  <c r="L57" i="9"/>
  <c r="K57" i="9"/>
  <c r="J57" i="9"/>
  <c r="I57" i="9"/>
  <c r="H57" i="9"/>
  <c r="G57" i="9"/>
  <c r="E57" i="9"/>
  <c r="D57" i="9"/>
  <c r="A57" i="9"/>
  <c r="J11" i="11"/>
  <c r="O56" i="9"/>
  <c r="N56" i="9"/>
  <c r="M56" i="9"/>
  <c r="L56" i="9"/>
  <c r="K56" i="9"/>
  <c r="J56" i="9"/>
  <c r="I56" i="9"/>
  <c r="H56" i="9"/>
  <c r="G56" i="9"/>
  <c r="E56" i="9"/>
  <c r="D56" i="9"/>
  <c r="A56" i="9"/>
  <c r="J10" i="11"/>
  <c r="O55" i="9"/>
  <c r="N55" i="9"/>
  <c r="M55" i="9"/>
  <c r="L55" i="9"/>
  <c r="K55" i="9"/>
  <c r="J55" i="9"/>
  <c r="I55" i="9"/>
  <c r="H55" i="9"/>
  <c r="G55" i="9"/>
  <c r="E55" i="9"/>
  <c r="D55" i="9"/>
  <c r="A55" i="9"/>
  <c r="J9" i="11"/>
  <c r="O54" i="9"/>
  <c r="N54" i="9"/>
  <c r="M54" i="9"/>
  <c r="L54" i="9"/>
  <c r="K54" i="9"/>
  <c r="J54" i="9"/>
  <c r="I54" i="9"/>
  <c r="H54" i="9"/>
  <c r="G54" i="9"/>
  <c r="E54" i="9"/>
  <c r="D54" i="9"/>
  <c r="A54" i="9"/>
  <c r="J39" i="11"/>
  <c r="J38" i="11"/>
  <c r="O34" i="9"/>
  <c r="N34" i="9"/>
  <c r="M34" i="9"/>
  <c r="L34" i="9"/>
  <c r="K34" i="9"/>
  <c r="J34" i="9"/>
  <c r="H34" i="9"/>
  <c r="G34" i="9"/>
  <c r="E34" i="9"/>
  <c r="D34" i="9"/>
  <c r="A34" i="9"/>
  <c r="O33" i="9"/>
  <c r="N33" i="9"/>
  <c r="M33" i="9"/>
  <c r="L33" i="9"/>
  <c r="K33" i="9"/>
  <c r="J33" i="9"/>
  <c r="H33" i="9"/>
  <c r="G33" i="9"/>
  <c r="E33" i="9"/>
  <c r="D33" i="9"/>
  <c r="A33" i="9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J37" i="11"/>
  <c r="O15" i="9"/>
  <c r="N15" i="9"/>
  <c r="M15" i="9"/>
  <c r="L15" i="9"/>
  <c r="K15" i="9"/>
  <c r="J15" i="9"/>
  <c r="I15" i="9"/>
  <c r="H15" i="9"/>
  <c r="G15" i="9"/>
  <c r="E15" i="9"/>
  <c r="D15" i="9"/>
  <c r="A15" i="9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J5" i="11"/>
  <c r="O53" i="9"/>
  <c r="N53" i="9"/>
  <c r="M53" i="9"/>
  <c r="L53" i="9"/>
  <c r="K53" i="9"/>
  <c r="J53" i="9"/>
  <c r="I53" i="9"/>
  <c r="H53" i="9"/>
  <c r="G53" i="9"/>
  <c r="E53" i="9"/>
  <c r="D53" i="9"/>
  <c r="A53" i="9"/>
  <c r="J4" i="11"/>
  <c r="O52" i="9"/>
  <c r="N52" i="9"/>
  <c r="M52" i="9"/>
  <c r="L52" i="9"/>
  <c r="K52" i="9"/>
  <c r="J52" i="9"/>
  <c r="I52" i="9"/>
  <c r="H52" i="9"/>
  <c r="G52" i="9"/>
  <c r="E52" i="9"/>
  <c r="D52" i="9"/>
  <c r="A52" i="9"/>
  <c r="J3" i="11"/>
  <c r="O51" i="9"/>
  <c r="N51" i="9"/>
  <c r="M51" i="9"/>
  <c r="L51" i="9"/>
  <c r="K51" i="9"/>
  <c r="J51" i="9"/>
  <c r="I51" i="9"/>
  <c r="H51" i="9"/>
  <c r="G51" i="9"/>
  <c r="E51" i="9"/>
  <c r="D51" i="9"/>
  <c r="A51" i="9"/>
  <c r="J2" i="11"/>
  <c r="O50" i="9"/>
  <c r="N50" i="9"/>
  <c r="M50" i="9"/>
  <c r="L50" i="9"/>
  <c r="K50" i="9"/>
  <c r="J50" i="9"/>
  <c r="I50" i="9"/>
  <c r="H50" i="9"/>
  <c r="G50" i="9"/>
  <c r="E50" i="9"/>
  <c r="D50" i="9"/>
  <c r="A50" i="9"/>
  <c r="W7" i="7"/>
  <c r="R7" i="7"/>
  <c r="Q7" i="7"/>
  <c r="P7" i="7"/>
  <c r="O7" i="7"/>
  <c r="N7" i="7"/>
  <c r="H7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7" i="7"/>
  <c r="I7" i="7"/>
  <c r="D7" i="7"/>
  <c r="F7" i="7"/>
  <c r="E7" i="7"/>
  <c r="A7" i="7"/>
  <c r="W6" i="7"/>
  <c r="R6" i="7"/>
  <c r="Q6" i="7"/>
  <c r="P6" i="7"/>
  <c r="O6" i="7"/>
  <c r="N6" i="7"/>
  <c r="H6" i="7"/>
  <c r="J6" i="7"/>
  <c r="I6" i="7"/>
  <c r="D6" i="7"/>
  <c r="F6" i="7"/>
  <c r="E6" i="7"/>
  <c r="A6" i="7"/>
  <c r="AD25" i="1"/>
  <c r="AG25" i="1"/>
  <c r="AE25" i="1"/>
  <c r="AC25" i="1"/>
  <c r="E23" i="9"/>
  <c r="V25" i="1"/>
  <c r="Q25" i="1"/>
  <c r="P25" i="1"/>
  <c r="O25" i="1"/>
  <c r="N25" i="1"/>
  <c r="M25" i="1"/>
  <c r="H25" i="1"/>
  <c r="J25" i="1"/>
  <c r="I25" i="1"/>
  <c r="D25" i="1"/>
  <c r="F25" i="1"/>
  <c r="E25" i="1"/>
  <c r="A25" i="1"/>
  <c r="AB24" i="1"/>
  <c r="AD24" i="1"/>
  <c r="AG24" i="1"/>
  <c r="AE24" i="1"/>
  <c r="AC24" i="1"/>
  <c r="E16" i="9"/>
  <c r="V24" i="1"/>
  <c r="Q24" i="1"/>
  <c r="P24" i="1"/>
  <c r="O24" i="1"/>
  <c r="N24" i="1"/>
  <c r="M24" i="1"/>
  <c r="H24" i="1"/>
  <c r="J24" i="1"/>
  <c r="I24" i="1"/>
  <c r="D24" i="1"/>
  <c r="F24" i="1"/>
  <c r="E24" i="1"/>
  <c r="A24" i="1"/>
  <c r="AB23" i="1"/>
  <c r="AD23" i="1"/>
  <c r="AG23" i="1"/>
  <c r="AE23" i="1"/>
  <c r="AC23" i="1"/>
  <c r="E11" i="9"/>
  <c r="V23" i="1"/>
  <c r="Q23" i="1"/>
  <c r="P23" i="1"/>
  <c r="O23" i="1"/>
  <c r="N23" i="1"/>
  <c r="M23" i="1"/>
  <c r="H23" i="1"/>
  <c r="J23" i="1"/>
  <c r="I23" i="1"/>
  <c r="D23" i="1"/>
  <c r="F23" i="1"/>
  <c r="E23" i="1"/>
  <c r="A23" i="1"/>
  <c r="AB22" i="1"/>
  <c r="AD22" i="1"/>
  <c r="AG22" i="1"/>
  <c r="AE22" i="1"/>
  <c r="AC22" i="1"/>
  <c r="E22" i="9"/>
  <c r="V22" i="1"/>
  <c r="Q22" i="1"/>
  <c r="P22" i="1"/>
  <c r="O22" i="1"/>
  <c r="N22" i="1"/>
  <c r="M22" i="1"/>
  <c r="H22" i="1"/>
  <c r="J22" i="1"/>
  <c r="I22" i="1"/>
  <c r="D22" i="1"/>
  <c r="F22" i="1"/>
  <c r="E22" i="1"/>
  <c r="A22" i="1"/>
  <c r="AB21" i="1"/>
  <c r="AD21" i="1"/>
  <c r="AG21" i="1"/>
  <c r="AE21" i="1"/>
  <c r="AC21" i="1"/>
  <c r="E21" i="9"/>
  <c r="V21" i="1"/>
  <c r="Q21" i="1"/>
  <c r="P21" i="1"/>
  <c r="O21" i="1"/>
  <c r="N21" i="1"/>
  <c r="M21" i="1"/>
  <c r="H21" i="1"/>
  <c r="J21" i="1"/>
  <c r="I21" i="1"/>
  <c r="D21" i="1"/>
  <c r="F21" i="1"/>
  <c r="E21" i="1"/>
  <c r="A21" i="1"/>
  <c r="AB20" i="1"/>
  <c r="AD20" i="1"/>
  <c r="AG20" i="1"/>
  <c r="AE20" i="1"/>
  <c r="AC20" i="1"/>
  <c r="E20" i="9"/>
  <c r="V20" i="1"/>
  <c r="Q20" i="1"/>
  <c r="P20" i="1"/>
  <c r="O20" i="1"/>
  <c r="N20" i="1"/>
  <c r="M20" i="1"/>
  <c r="H20" i="1"/>
  <c r="J20" i="1"/>
  <c r="I20" i="1"/>
  <c r="D20" i="1"/>
  <c r="F20" i="1"/>
  <c r="E20" i="1"/>
  <c r="A20" i="1"/>
  <c r="AB19" i="1"/>
  <c r="AD19" i="1"/>
  <c r="AG19" i="1"/>
  <c r="AE19" i="1"/>
  <c r="AC19" i="1"/>
  <c r="E19" i="9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AA18" i="1"/>
  <c r="E2" i="9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O2" i="9"/>
  <c r="N2" i="9"/>
  <c r="M2" i="9"/>
  <c r="L2" i="9"/>
  <c r="K2" i="9"/>
  <c r="J2" i="9"/>
  <c r="I2" i="9"/>
  <c r="H2" i="9"/>
  <c r="G2" i="9"/>
  <c r="D2" i="9"/>
  <c r="A2" i="9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J33" i="11"/>
  <c r="O49" i="9"/>
  <c r="N49" i="9"/>
  <c r="M49" i="9"/>
  <c r="L49" i="9"/>
  <c r="K49" i="9"/>
  <c r="J49" i="9"/>
  <c r="I49" i="9"/>
  <c r="H49" i="9"/>
  <c r="G49" i="9"/>
  <c r="E49" i="9"/>
  <c r="D49" i="9"/>
  <c r="A49" i="9"/>
  <c r="J32" i="11"/>
  <c r="O48" i="9"/>
  <c r="N48" i="9"/>
  <c r="M48" i="9"/>
  <c r="L48" i="9"/>
  <c r="K48" i="9"/>
  <c r="J48" i="9"/>
  <c r="I48" i="9"/>
  <c r="H48" i="9"/>
  <c r="G48" i="9"/>
  <c r="E48" i="9"/>
  <c r="D48" i="9"/>
  <c r="A48" i="9"/>
  <c r="J31" i="11"/>
  <c r="O47" i="9"/>
  <c r="N47" i="9"/>
  <c r="M47" i="9"/>
  <c r="L47" i="9"/>
  <c r="K47" i="9"/>
  <c r="J47" i="9"/>
  <c r="I47" i="9"/>
  <c r="H47" i="9"/>
  <c r="G47" i="9"/>
  <c r="E47" i="9"/>
  <c r="D47" i="9"/>
  <c r="A47" i="9"/>
  <c r="J27" i="11"/>
  <c r="O46" i="9"/>
  <c r="N46" i="9"/>
  <c r="M46" i="9"/>
  <c r="L46" i="9"/>
  <c r="K46" i="9"/>
  <c r="J46" i="9"/>
  <c r="I46" i="9"/>
  <c r="H46" i="9"/>
  <c r="G46" i="9"/>
  <c r="E46" i="9"/>
  <c r="D46" i="9"/>
  <c r="A46" i="9"/>
  <c r="J29" i="11"/>
  <c r="O45" i="9"/>
  <c r="N45" i="9"/>
  <c r="M45" i="9"/>
  <c r="L45" i="9"/>
  <c r="K45" i="9"/>
  <c r="J45" i="9"/>
  <c r="I45" i="9"/>
  <c r="H45" i="9"/>
  <c r="G45" i="9"/>
  <c r="E45" i="9"/>
  <c r="D45" i="9"/>
  <c r="A45" i="9"/>
  <c r="J28" i="11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H43" i="9"/>
  <c r="G43" i="9"/>
  <c r="E43" i="9"/>
  <c r="D43" i="9"/>
  <c r="A43" i="9"/>
  <c r="J26" i="11"/>
  <c r="O42" i="9"/>
  <c r="N42" i="9"/>
  <c r="M42" i="9"/>
  <c r="L42" i="9"/>
  <c r="K42" i="9"/>
  <c r="J42" i="9"/>
  <c r="I42" i="9"/>
  <c r="H42" i="9"/>
  <c r="G42" i="9"/>
  <c r="E42" i="9"/>
  <c r="D42" i="9"/>
  <c r="A42" i="9"/>
  <c r="J34" i="11"/>
  <c r="O41" i="9"/>
  <c r="N41" i="9"/>
  <c r="M41" i="9"/>
  <c r="L41" i="9"/>
  <c r="K41" i="9"/>
  <c r="J41" i="9"/>
  <c r="I41" i="9"/>
  <c r="H41" i="9"/>
  <c r="G41" i="9"/>
  <c r="E41" i="9"/>
  <c r="D41" i="9"/>
  <c r="A41" i="9"/>
  <c r="E3" i="9"/>
  <c r="J35" i="11"/>
  <c r="O32" i="9"/>
  <c r="N32" i="9"/>
  <c r="M32" i="9"/>
  <c r="L32" i="9"/>
  <c r="K32" i="9"/>
  <c r="J32" i="9"/>
  <c r="H32" i="9"/>
  <c r="G32" i="9"/>
  <c r="E32" i="9"/>
  <c r="D32" i="9"/>
  <c r="A32" i="9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O28" i="9"/>
  <c r="N28" i="9"/>
  <c r="M28" i="9"/>
  <c r="L28" i="9"/>
  <c r="K28" i="9"/>
  <c r="J28" i="9"/>
  <c r="I28" i="9"/>
  <c r="H28" i="9"/>
  <c r="G28" i="9"/>
  <c r="E28" i="9"/>
  <c r="D28" i="9"/>
  <c r="A28" i="9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H17" i="1"/>
  <c r="H2" i="1"/>
  <c r="H7" i="1"/>
  <c r="H8" i="1"/>
  <c r="H3" i="1"/>
  <c r="H4" i="1"/>
  <c r="H5" i="1"/>
  <c r="H6" i="1"/>
  <c r="H9" i="1"/>
  <c r="H10" i="1"/>
  <c r="H15" i="1"/>
  <c r="H16" i="1"/>
  <c r="H11" i="1"/>
  <c r="H12" i="1"/>
  <c r="H13" i="1"/>
  <c r="H14" i="1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W5" i="7"/>
  <c r="R5" i="7"/>
  <c r="Q5" i="7"/>
  <c r="P5" i="7"/>
  <c r="O5" i="7"/>
  <c r="N5" i="7"/>
  <c r="H5" i="7"/>
  <c r="J5" i="7"/>
  <c r="I5" i="7"/>
  <c r="D5" i="7"/>
  <c r="F5" i="7"/>
  <c r="E5" i="7"/>
  <c r="A5" i="7"/>
  <c r="W4" i="7"/>
  <c r="R4" i="7"/>
  <c r="Q4" i="7"/>
  <c r="P4" i="7"/>
  <c r="O4" i="7"/>
  <c r="N4" i="7"/>
  <c r="H4" i="7"/>
  <c r="J4" i="7"/>
  <c r="I4" i="7"/>
  <c r="D4" i="7"/>
  <c r="F4" i="7"/>
  <c r="E4" i="7"/>
  <c r="A4" i="7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2" i="18"/>
  <c r="D2" i="18"/>
  <c r="E18" i="9"/>
  <c r="E9" i="9"/>
  <c r="E8" i="9"/>
  <c r="E7" i="9"/>
  <c r="AD17" i="1"/>
  <c r="AG17" i="1"/>
  <c r="AE17" i="1"/>
  <c r="AC17" i="1"/>
  <c r="V17" i="1"/>
  <c r="Q17" i="1"/>
  <c r="P17" i="1"/>
  <c r="O17" i="1"/>
  <c r="N17" i="1"/>
  <c r="M17" i="1"/>
  <c r="J17" i="1"/>
  <c r="I17" i="1"/>
  <c r="D17" i="1"/>
  <c r="F17" i="1"/>
  <c r="E17" i="1"/>
  <c r="A17" i="1"/>
  <c r="AB14" i="1"/>
  <c r="AD14" i="1"/>
  <c r="AG14" i="1"/>
  <c r="AE14" i="1"/>
  <c r="AC14" i="1"/>
  <c r="V14" i="1"/>
  <c r="Q14" i="1"/>
  <c r="P14" i="1"/>
  <c r="O14" i="1"/>
  <c r="N14" i="1"/>
  <c r="M14" i="1"/>
  <c r="J14" i="1"/>
  <c r="I14" i="1"/>
  <c r="D14" i="1"/>
  <c r="F14" i="1"/>
  <c r="E14" i="1"/>
  <c r="A14" i="1"/>
  <c r="AB13" i="1"/>
  <c r="AD13" i="1"/>
  <c r="AG13" i="1"/>
  <c r="AE13" i="1"/>
  <c r="AC13" i="1"/>
  <c r="V13" i="1"/>
  <c r="Q13" i="1"/>
  <c r="P13" i="1"/>
  <c r="O13" i="1"/>
  <c r="N13" i="1"/>
  <c r="M13" i="1"/>
  <c r="J13" i="1"/>
  <c r="I13" i="1"/>
  <c r="D13" i="1"/>
  <c r="F13" i="1"/>
  <c r="E13" i="1"/>
  <c r="A13" i="1"/>
  <c r="AB12" i="1"/>
  <c r="AD12" i="1"/>
  <c r="AG12" i="1"/>
  <c r="AE12" i="1"/>
  <c r="AC12" i="1"/>
  <c r="V12" i="1"/>
  <c r="Q12" i="1"/>
  <c r="P12" i="1"/>
  <c r="O12" i="1"/>
  <c r="N12" i="1"/>
  <c r="M12" i="1"/>
  <c r="J12" i="1"/>
  <c r="I12" i="1"/>
  <c r="D12" i="1"/>
  <c r="F12" i="1"/>
  <c r="E12" i="1"/>
  <c r="A12" i="1"/>
  <c r="AB11" i="1"/>
  <c r="AD11" i="1"/>
  <c r="AG11" i="1"/>
  <c r="AE11" i="1"/>
  <c r="AC11" i="1"/>
  <c r="V11" i="1"/>
  <c r="Q11" i="1"/>
  <c r="P11" i="1"/>
  <c r="O11" i="1"/>
  <c r="N11" i="1"/>
  <c r="M11" i="1"/>
  <c r="J11" i="1"/>
  <c r="I11" i="1"/>
  <c r="D11" i="1"/>
  <c r="F11" i="1"/>
  <c r="E11" i="1"/>
  <c r="A11" i="1"/>
  <c r="AB16" i="1"/>
  <c r="AD16" i="1"/>
  <c r="AG16" i="1"/>
  <c r="AE16" i="1"/>
  <c r="AC16" i="1"/>
  <c r="V16" i="1"/>
  <c r="Q16" i="1"/>
  <c r="P16" i="1"/>
  <c r="O16" i="1"/>
  <c r="N16" i="1"/>
  <c r="M16" i="1"/>
  <c r="J16" i="1"/>
  <c r="I16" i="1"/>
  <c r="D16" i="1"/>
  <c r="F16" i="1"/>
  <c r="E16" i="1"/>
  <c r="A16" i="1"/>
  <c r="AB15" i="1"/>
  <c r="AD15" i="1"/>
  <c r="AG15" i="1"/>
  <c r="AE15" i="1"/>
  <c r="AC15" i="1"/>
  <c r="V15" i="1"/>
  <c r="Q15" i="1"/>
  <c r="P15" i="1"/>
  <c r="O15" i="1"/>
  <c r="N15" i="1"/>
  <c r="M15" i="1"/>
  <c r="J15" i="1"/>
  <c r="I15" i="1"/>
  <c r="D15" i="1"/>
  <c r="F15" i="1"/>
  <c r="E15" i="1"/>
  <c r="A15" i="1"/>
  <c r="AB10" i="1"/>
  <c r="AD10" i="1"/>
  <c r="AG10" i="1"/>
  <c r="AE10" i="1"/>
  <c r="AC10" i="1"/>
  <c r="AA10" i="1"/>
  <c r="V10" i="1"/>
  <c r="Q10" i="1"/>
  <c r="P10" i="1"/>
  <c r="O10" i="1"/>
  <c r="N10" i="1"/>
  <c r="M10" i="1"/>
  <c r="J10" i="1"/>
  <c r="I10" i="1"/>
  <c r="D10" i="1"/>
  <c r="F10" i="1"/>
  <c r="E10" i="1"/>
  <c r="A10" i="1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0" i="9"/>
  <c r="H20" i="9"/>
  <c r="I20" i="9"/>
  <c r="J20" i="9"/>
  <c r="K20" i="9"/>
  <c r="L20" i="9"/>
  <c r="M20" i="9"/>
  <c r="N2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9" i="9"/>
  <c r="H29" i="9"/>
  <c r="I29" i="9"/>
  <c r="J29" i="9"/>
  <c r="K29" i="9"/>
  <c r="L29" i="9"/>
  <c r="M29" i="9"/>
  <c r="N29" i="9"/>
  <c r="G30" i="9"/>
  <c r="H30" i="9"/>
  <c r="J30" i="9"/>
  <c r="K30" i="9"/>
  <c r="L30" i="9"/>
  <c r="M30" i="9"/>
  <c r="N30" i="9"/>
  <c r="G31" i="9"/>
  <c r="H31" i="9"/>
  <c r="J31" i="9"/>
  <c r="K31" i="9"/>
  <c r="L31" i="9"/>
  <c r="M31" i="9"/>
  <c r="N31" i="9"/>
  <c r="G35" i="9"/>
  <c r="H35" i="9"/>
  <c r="I35" i="9"/>
  <c r="J35" i="9"/>
  <c r="K35" i="9"/>
  <c r="L35" i="9"/>
  <c r="M35" i="9"/>
  <c r="N35" i="9"/>
  <c r="G36" i="9"/>
  <c r="H36" i="9"/>
  <c r="I36" i="9"/>
  <c r="J36" i="9"/>
  <c r="K36" i="9"/>
  <c r="L36" i="9"/>
  <c r="M36" i="9"/>
  <c r="N36" i="9"/>
  <c r="G37" i="9"/>
  <c r="H37" i="9"/>
  <c r="I37" i="9"/>
  <c r="J37" i="9"/>
  <c r="K37" i="9"/>
  <c r="L37" i="9"/>
  <c r="M37" i="9"/>
  <c r="N37" i="9"/>
  <c r="G38" i="9"/>
  <c r="H38" i="9"/>
  <c r="I38" i="9"/>
  <c r="J38" i="9"/>
  <c r="K38" i="9"/>
  <c r="L38" i="9"/>
  <c r="M38" i="9"/>
  <c r="N38" i="9"/>
  <c r="G39" i="9"/>
  <c r="H39" i="9"/>
  <c r="I39" i="9"/>
  <c r="J39" i="9"/>
  <c r="K39" i="9"/>
  <c r="L39" i="9"/>
  <c r="M39" i="9"/>
  <c r="N39" i="9"/>
  <c r="G40" i="9"/>
  <c r="H40" i="9"/>
  <c r="I40" i="9"/>
  <c r="J40" i="9"/>
  <c r="K40" i="9"/>
  <c r="L40" i="9"/>
  <c r="M40" i="9"/>
  <c r="N40" i="9"/>
  <c r="J6" i="11"/>
  <c r="J7" i="11"/>
  <c r="J8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30" i="11"/>
  <c r="M16" i="10"/>
  <c r="T16" i="10"/>
  <c r="W16" i="10"/>
  <c r="V16" i="10"/>
  <c r="X16" i="10"/>
  <c r="U16" i="10"/>
  <c r="Y16" i="10"/>
  <c r="M26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7" i="10"/>
  <c r="T17" i="10"/>
  <c r="W17" i="10"/>
  <c r="V17" i="10"/>
  <c r="X17" i="10"/>
  <c r="U17" i="10"/>
  <c r="Y17" i="10"/>
  <c r="M27" i="10"/>
  <c r="N27" i="10"/>
  <c r="Q27" i="10"/>
  <c r="P27" i="10"/>
  <c r="R27" i="10"/>
  <c r="O27" i="10"/>
  <c r="S2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W2" i="7"/>
  <c r="E12" i="9"/>
  <c r="E13" i="9"/>
  <c r="E14" i="9"/>
  <c r="V7" i="1"/>
  <c r="E17" i="9"/>
  <c r="V8" i="1"/>
  <c r="V3" i="1"/>
  <c r="V4" i="1"/>
  <c r="V5" i="1"/>
  <c r="V6" i="1"/>
  <c r="E24" i="9"/>
  <c r="E25" i="9"/>
  <c r="V9" i="1"/>
  <c r="E4" i="9"/>
  <c r="E5" i="9"/>
  <c r="E6" i="9"/>
  <c r="V2" i="1"/>
  <c r="O40" i="9"/>
  <c r="E40" i="9"/>
  <c r="D40" i="9"/>
  <c r="A40" i="9"/>
  <c r="O39" i="9"/>
  <c r="E39" i="9"/>
  <c r="D39" i="9"/>
  <c r="A39" i="9"/>
  <c r="O38" i="9"/>
  <c r="E38" i="9"/>
  <c r="D38" i="9"/>
  <c r="A38" i="9"/>
  <c r="O37" i="9"/>
  <c r="E37" i="9"/>
  <c r="D37" i="9"/>
  <c r="A37" i="9"/>
  <c r="O36" i="9"/>
  <c r="E36" i="9"/>
  <c r="D36" i="9"/>
  <c r="A36" i="9"/>
  <c r="O35" i="9"/>
  <c r="E35" i="9"/>
  <c r="D35" i="9"/>
  <c r="A35" i="9"/>
  <c r="O31" i="9"/>
  <c r="E31" i="9"/>
  <c r="D31" i="9"/>
  <c r="A31" i="9"/>
  <c r="O30" i="9"/>
  <c r="E30" i="9"/>
  <c r="D30" i="9"/>
  <c r="A30" i="9"/>
  <c r="O29" i="9"/>
  <c r="E29" i="9"/>
  <c r="D29" i="9"/>
  <c r="A29" i="9"/>
  <c r="O27" i="9"/>
  <c r="E27" i="9"/>
  <c r="D27" i="9"/>
  <c r="A27" i="9"/>
  <c r="O26" i="9"/>
  <c r="E26" i="9"/>
  <c r="D26" i="9"/>
  <c r="A26" i="9"/>
  <c r="O25" i="9"/>
  <c r="D25" i="9"/>
  <c r="A25" i="9"/>
  <c r="O24" i="9"/>
  <c r="D24" i="9"/>
  <c r="A24" i="9"/>
  <c r="O23" i="9"/>
  <c r="D23" i="9"/>
  <c r="A23" i="9"/>
  <c r="O22" i="9"/>
  <c r="D22" i="9"/>
  <c r="A22" i="9"/>
  <c r="O21" i="9"/>
  <c r="D21" i="9"/>
  <c r="A21" i="9"/>
  <c r="O20" i="9"/>
  <c r="D20" i="9"/>
  <c r="A20" i="9"/>
  <c r="O19" i="9"/>
  <c r="D19" i="9"/>
  <c r="A19" i="9"/>
  <c r="O18" i="9"/>
  <c r="D18" i="9"/>
  <c r="A18" i="9"/>
  <c r="O17" i="9"/>
  <c r="D17" i="9"/>
  <c r="A17" i="9"/>
  <c r="O16" i="9"/>
  <c r="D16" i="9"/>
  <c r="A16" i="9"/>
  <c r="O14" i="9"/>
  <c r="D14" i="9"/>
  <c r="A14" i="9"/>
  <c r="O13" i="9"/>
  <c r="D13" i="9"/>
  <c r="A13" i="9"/>
  <c r="O12" i="9"/>
  <c r="D12" i="9"/>
  <c r="A12" i="9"/>
  <c r="O11" i="9"/>
  <c r="D11" i="9"/>
  <c r="A11" i="9"/>
  <c r="O9" i="9"/>
  <c r="D9" i="9"/>
  <c r="A9" i="9"/>
  <c r="O8" i="9"/>
  <c r="D8" i="9"/>
  <c r="A8" i="9"/>
  <c r="O7" i="9"/>
  <c r="D7" i="9"/>
  <c r="A7" i="9"/>
  <c r="O6" i="9"/>
  <c r="D6" i="9"/>
  <c r="A6" i="9"/>
  <c r="O5" i="9"/>
  <c r="D5" i="9"/>
  <c r="A5" i="9"/>
  <c r="O4" i="9"/>
  <c r="D4" i="9"/>
  <c r="A4" i="9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T27" i="10"/>
  <c r="W27" i="10"/>
  <c r="V27" i="10"/>
  <c r="X27" i="10"/>
  <c r="U27" i="10"/>
  <c r="Y27" i="10"/>
  <c r="G27" i="10"/>
  <c r="J27" i="10"/>
  <c r="I27" i="10"/>
  <c r="K27" i="10"/>
  <c r="H27" i="10"/>
  <c r="L27" i="10"/>
  <c r="T26" i="10"/>
  <c r="W26" i="10"/>
  <c r="V26" i="10"/>
  <c r="X26" i="10"/>
  <c r="U26" i="10"/>
  <c r="Y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3" i="7"/>
  <c r="R3" i="7"/>
  <c r="Q3" i="7"/>
  <c r="P3" i="7"/>
  <c r="O3" i="7"/>
  <c r="N3" i="7"/>
  <c r="H3" i="7"/>
  <c r="J3" i="7"/>
  <c r="I3" i="7"/>
  <c r="D3" i="7"/>
  <c r="F3" i="7"/>
  <c r="E3" i="7"/>
  <c r="A3" i="7"/>
  <c r="AD9" i="1"/>
  <c r="AG9" i="1"/>
  <c r="AE9" i="1"/>
  <c r="AC9" i="1"/>
  <c r="Q9" i="1"/>
  <c r="P9" i="1"/>
  <c r="O9" i="1"/>
  <c r="N9" i="1"/>
  <c r="M9" i="1"/>
  <c r="J9" i="1"/>
  <c r="I9" i="1"/>
  <c r="D9" i="1"/>
  <c r="F9" i="1"/>
  <c r="E9" i="1"/>
  <c r="A9" i="1"/>
  <c r="AB6" i="1"/>
  <c r="AD6" i="1"/>
  <c r="AG6" i="1"/>
  <c r="AE6" i="1"/>
  <c r="AC6" i="1"/>
  <c r="Q6" i="1"/>
  <c r="P6" i="1"/>
  <c r="O6" i="1"/>
  <c r="N6" i="1"/>
  <c r="M6" i="1"/>
  <c r="J6" i="1"/>
  <c r="I6" i="1"/>
  <c r="D6" i="1"/>
  <c r="F6" i="1"/>
  <c r="E6" i="1"/>
  <c r="A6" i="1"/>
  <c r="AB5" i="1"/>
  <c r="AD5" i="1"/>
  <c r="AG5" i="1"/>
  <c r="AE5" i="1"/>
  <c r="AC5" i="1"/>
  <c r="AA5" i="1"/>
  <c r="Q5" i="1"/>
  <c r="P5" i="1"/>
  <c r="O5" i="1"/>
  <c r="N5" i="1"/>
  <c r="M5" i="1"/>
  <c r="J5" i="1"/>
  <c r="I5" i="1"/>
  <c r="D5" i="1"/>
  <c r="F5" i="1"/>
  <c r="E5" i="1"/>
  <c r="A5" i="1"/>
  <c r="AB4" i="1"/>
  <c r="AD4" i="1"/>
  <c r="AG4" i="1"/>
  <c r="AE4" i="1"/>
  <c r="AC4" i="1"/>
  <c r="Q4" i="1"/>
  <c r="P4" i="1"/>
  <c r="O4" i="1"/>
  <c r="N4" i="1"/>
  <c r="M4" i="1"/>
  <c r="J4" i="1"/>
  <c r="I4" i="1"/>
  <c r="D4" i="1"/>
  <c r="F4" i="1"/>
  <c r="E4" i="1"/>
  <c r="A4" i="1"/>
  <c r="AB3" i="1"/>
  <c r="AD3" i="1"/>
  <c r="AG3" i="1"/>
  <c r="AE3" i="1"/>
  <c r="AC3" i="1"/>
  <c r="AA3" i="1"/>
  <c r="Q3" i="1"/>
  <c r="P3" i="1"/>
  <c r="O3" i="1"/>
  <c r="N3" i="1"/>
  <c r="M3" i="1"/>
  <c r="J3" i="1"/>
  <c r="I3" i="1"/>
  <c r="D3" i="1"/>
  <c r="F3" i="1"/>
  <c r="E3" i="1"/>
  <c r="A3" i="1"/>
  <c r="AB8" i="1"/>
  <c r="AD8" i="1"/>
  <c r="AG8" i="1"/>
  <c r="AE8" i="1"/>
  <c r="AC8" i="1"/>
  <c r="Q8" i="1"/>
  <c r="P8" i="1"/>
  <c r="O8" i="1"/>
  <c r="N8" i="1"/>
  <c r="M8" i="1"/>
  <c r="J8" i="1"/>
  <c r="I8" i="1"/>
  <c r="D8" i="1"/>
  <c r="F8" i="1"/>
  <c r="E8" i="1"/>
  <c r="A8" i="1"/>
  <c r="AB7" i="1"/>
  <c r="AD7" i="1"/>
  <c r="AG7" i="1"/>
  <c r="AE7" i="1"/>
  <c r="AC7" i="1"/>
  <c r="Q7" i="1"/>
  <c r="P7" i="1"/>
  <c r="O7" i="1"/>
  <c r="N7" i="1"/>
  <c r="M7" i="1"/>
  <c r="J7" i="1"/>
  <c r="I7" i="1"/>
  <c r="D7" i="1"/>
  <c r="F7" i="1"/>
  <c r="E7" i="1"/>
  <c r="A7" i="1"/>
  <c r="H5" i="2"/>
  <c r="E5" i="2"/>
  <c r="D5" i="2"/>
  <c r="B5" i="2"/>
  <c r="H4" i="2"/>
  <c r="E4" i="2"/>
  <c r="D4" i="2"/>
  <c r="B4" i="2"/>
  <c r="H3" i="2"/>
  <c r="E3" i="2"/>
  <c r="D3" i="2"/>
  <c r="B3" i="2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B15" i="19"/>
  <c r="C15" i="19"/>
  <c r="D15" i="19"/>
  <c r="F15" i="19"/>
  <c r="G15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O3" i="9"/>
  <c r="N3" i="9"/>
  <c r="M3" i="9"/>
  <c r="L3" i="9"/>
  <c r="K3" i="9"/>
  <c r="J3" i="9"/>
  <c r="I3" i="9"/>
  <c r="H3" i="9"/>
  <c r="G3" i="9"/>
  <c r="D3" i="9"/>
  <c r="C4" i="16"/>
  <c r="C5" i="16"/>
  <c r="C6" i="16"/>
  <c r="C7" i="16"/>
  <c r="C8" i="16"/>
  <c r="C9" i="16"/>
  <c r="C3" i="16"/>
  <c r="E9" i="16"/>
  <c r="R2" i="7"/>
  <c r="Q2" i="7"/>
  <c r="P2" i="7"/>
  <c r="O2" i="7"/>
  <c r="N2" i="7"/>
  <c r="AB2" i="1"/>
  <c r="AE2" i="1"/>
  <c r="AD2" i="1"/>
  <c r="AC2" i="1"/>
  <c r="AA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2" i="1"/>
  <c r="A3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<sst xmlns="http://schemas.openxmlformats.org/spreadsheetml/2006/main" count="928" uniqueCount="339">
  <si>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</si>
  <si>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</si>
  <si>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</si>
  <si>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</si>
  <si>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</si>
  <si>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</si>
  <si>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</si>
  <si>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</si>
  <si>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</si>
  <si>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</si>
  <si>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</si>
  <si>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</si>
  <si>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</si>
  <si>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</si>
  <si>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</si>
  <si>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</si>
  <si>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</si>
  <si>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</si>
  <si>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</si>
  <si>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</si>
  <si>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</si>
  <si>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</si>
  <si>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</si>
  <si>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</si>
  <si>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</si>
  <si>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</si>
  <si>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</si>
  <si>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</si>
  <si>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</si>
  <si>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</si>
  <si>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</si>
  <si>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</si>
  <si>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</si>
  <si>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</si>
  <si>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</si>
  <si>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</si>
  <si>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</si>
  <si>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</si>
  <si>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</si>
  <si>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</si>
  <si>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</si>
  <si>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</si>
  <si>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</si>
  <si>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</si>
  <si>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</si>
  <si>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</si>
  <si>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</si>
  <si>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</si>
  <si>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</si>
  <si>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</si>
  <si>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</si>
  <si>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</si>
  <si>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</si>
  <si>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</si>
  <si>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</si>
  <si>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</si>
  <si>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</si>
  <si>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</si>
  <si>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</si>
  <si>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</si>
  <si>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</si>
  <si>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</si>
  <si>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</si>
  <si>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</si>
  <si>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</si>
  <si>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</si>
  <si>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</si>
  <si>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</si>
  <si>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</si>
  <si>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</si>
  <si>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</si>
  <si>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</si>
  <si>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</si>
  <si>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</si>
  <si>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</si>
  <si>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</si>
  <si>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</si>
  <si>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</si>
  <si>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</si>
  <si>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</si>
  <si>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</si>
  <si>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</si>
  <si>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</si>
  <si>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</si>
  <si>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</si>
  <si>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</si>
  <si>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</si>
  <si>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</si>
  <si>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</si>
  <si>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</si>
  <si>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</si>
  <si>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</si>
  <si>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</si>
  <si>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</si>
  <si>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</si>
  <si>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</si>
  <si>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</si>
  <si>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</si>
  <si>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</si>
  <si>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</si>
  <si>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</si>
  <si>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</si>
  <si>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</si>
  <si>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</si>
  <si>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</si>
  <si>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</si>
  <si>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</si>
  <si>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</si>
  <si>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</si>
  <si>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</si>
  <si>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</si>
  <si>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</si>
  <si>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</si>
  <si>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</si>
  <si>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</si>
  <si>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</si>
  <si>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</si>
  <si>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</si>
  <si>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</si>
  <si>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</si>
  <si>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</si>
  <si>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</si>
  <si>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</si>
  <si>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</si>
  <si>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</si>
  <si>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</si>
  <si>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</si>
  <si>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</si>
  <si>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</si>
  <si>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</si>
  <si>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</si>
  <si>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</si>
  <si>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</si>
  <si>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</si>
  <si>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</si>
  <si>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</si>
  <si>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</si>
  <si>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</si>
  <si>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</si>
  <si>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</si>
  <si>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</si>
  <si>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</si>
  <si>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</si>
  <si>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</si>
  <si>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</si>
  <si>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</si>
  <si>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</si>
  <si>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</si>
  <si>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</si>
  <si>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</si>
  <si>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</si>
  <si>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</si>
  <si>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</si>
  <si>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</si>
  <si>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</si>
  <si>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</si>
  <si>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</si>
  <si>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</si>
  <si>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</si>
  <si>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</si>
  <si>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</si>
  <si>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</si>
  <si>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</si>
  <si>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</si>
  <si>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</si>
  <si>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</si>
  <si>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</si>
  <si>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</si>
  <si>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</si>
  <si>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</si>
  <si>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</si>
  <si>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</si>
  <si>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</si>
  <si>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</si>
  <si>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</si>
  <si>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</si>
  <si>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</si>
  <si>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</si>
  <si>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</si>
  <si>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</si>
  <si>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</si>
  <si>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</si>
  <si>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</si>
  <si>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</si>
  <si>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</si>
  <si>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</si>
  <si>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</si>
  <si>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</si>
  <si>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</si>
  <si>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</si>
  <si>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</si>
  <si>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</si>
  <si>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</si>
  <si>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</si>
  <si>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</si>
  <si>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</si>
  <si>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</si>
  <si>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</si>
  <si>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</si>
  <si>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</si>
  <si>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</si>
  <si>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</si>
  <si>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</si>
  <si>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</si>
  <si>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</si>
  <si>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</si>
  <si>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</si>
  <si>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</si>
  <si>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</si>
  <si>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</si>
  <si>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</si>
  <si>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</si>
  <si>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</si>
  <si>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[effect:degrade_unit, target:unit_all, turn:3, status:action, val:1.0]</t>
    <phoneticPr fontId="5"/>
  </si>
  <si>
    <t>インティミデイト</t>
    <phoneticPr fontId="5"/>
  </si>
  <si>
    <t>インサニティ</t>
    <phoneticPr fontId="5"/>
  </si>
  <si>
    <t>アームブレイク</t>
    <phoneticPr fontId="5"/>
  </si>
  <si>
    <t>4ターン攻撃力UP</t>
    <phoneticPr fontId="5"/>
  </si>
  <si>
    <t>3ターンタップ回数を1減少</t>
    <phoneticPr fontId="5"/>
  </si>
  <si>
    <t>[effect:nothing]</t>
    <phoneticPr fontId="5"/>
  </si>
  <si>
    <t>サウンドストーム</t>
    <phoneticPr fontId="5"/>
  </si>
  <si>
    <t>バインドノイズ</t>
    <phoneticPr fontId="5"/>
  </si>
  <si>
    <t>バインドノイズ</t>
    <phoneticPr fontId="5"/>
  </si>
  <si>
    <t>ルージュキャンセリング</t>
    <phoneticPr fontId="5"/>
  </si>
  <si>
    <t>進撃の花火</t>
    <rPh sb="0" eb="2">
      <t>シンゲキ</t>
    </rPh>
    <rPh sb="3" eb="5">
      <t>ハナビ</t>
    </rPh>
    <phoneticPr fontId="5"/>
  </si>
  <si>
    <t>コ4ン8ニ・・チワ9</t>
    <phoneticPr fontId="5"/>
  </si>
  <si>
    <t>何やら様子がおかしい！</t>
    <phoneticPr fontId="5"/>
  </si>
  <si>
    <t>全体攻撃</t>
    <rPh sb="0" eb="2">
      <t>ゼンタイ</t>
    </rPh>
    <rPh sb="2" eb="4">
      <t>コウゲキ</t>
    </rPh>
    <phoneticPr fontId="5"/>
  </si>
  <si>
    <t>全力応援</t>
    <rPh sb="0" eb="4">
      <t>ゼンリョクオウエン</t>
    </rPh>
    <phoneticPr fontId="5"/>
  </si>
  <si>
    <t>パタパタ胞子</t>
    <rPh sb="4" eb="6">
      <t>ホウシ</t>
    </rPh>
    <phoneticPr fontId="5"/>
  </si>
  <si>
    <t>おやすみマーチ</t>
    <phoneticPr fontId="5"/>
  </si>
  <si>
    <t>実戦ロープワーク</t>
    <rPh sb="0" eb="2">
      <t>ジッセン</t>
    </rPh>
    <phoneticPr fontId="5"/>
  </si>
  <si>
    <t>全体攻撃</t>
    <rPh sb="0" eb="4">
      <t>ゼンタイコウゲキ</t>
    </rPh>
    <phoneticPr fontId="5"/>
  </si>
  <si>
    <t>3ターン攻撃力UP</t>
    <phoneticPr fontId="5"/>
  </si>
  <si>
    <t>3ターンの間ダメージを受ける</t>
    <phoneticPr fontId="5"/>
  </si>
  <si>
    <t>ユニット1体に3ターンスリープ</t>
    <phoneticPr fontId="5"/>
  </si>
  <si>
    <t>3ターンスキルが使えない！</t>
    <phoneticPr fontId="5"/>
  </si>
  <si>
    <t>[effect:virus, turn:3, rate:1.0, val:0.10, animation:enemy_virus]</t>
    <phoneticPr fontId="5"/>
  </si>
  <si>
    <t>[effect:sleep, target:unit_one, turn:3, rate:1.0, animation:enemy_sleep]</t>
    <phoneticPr fontId="5"/>
  </si>
  <si>
    <t>[effect:hungup, target:unit_one, turn:3, rate:1.0, animation:enemy_hungup]</t>
    <phoneticPr fontId="5"/>
  </si>
  <si>
    <t>ほれ、くぐり抜けろ</t>
    <phoneticPr fontId="5"/>
  </si>
  <si>
    <t>こい、遊んでやろう</t>
    <phoneticPr fontId="5"/>
  </si>
  <si>
    <t>気分が良いぞ…</t>
    <phoneticPr fontId="5"/>
  </si>
  <si>
    <t>踊れヤギども</t>
    <phoneticPr fontId="5"/>
  </si>
  <si>
    <t>遊んでやろう</t>
    <phoneticPr fontId="5"/>
  </si>
  <si>
    <t>お邪魔パネル出現＋攻撃</t>
    <phoneticPr fontId="5"/>
  </si>
  <si>
    <t>余裕の笑みを浮かべている</t>
    <phoneticPr fontId="5"/>
  </si>
  <si>
    <t>3回連続攻撃</t>
    <phoneticPr fontId="5"/>
  </si>
  <si>
    <t>全体攻撃</t>
    <phoneticPr fontId="5"/>
  </si>
  <si>
    <t>[effect:fix_speed,target:myself,turn:3]</t>
    <phoneticPr fontId="5"/>
  </si>
  <si>
    <t>[effect:rush, count:3, val:0.4]</t>
    <phoneticPr fontId="5"/>
  </si>
  <si>
    <t>群れるな痴れ者ども</t>
    <phoneticPr fontId="5"/>
  </si>
  <si>
    <t>出でよグリゴリ！</t>
    <phoneticPr fontId="5"/>
  </si>
  <si>
    <t>出でよグリゴリ！</t>
    <phoneticPr fontId="5"/>
  </si>
  <si>
    <t>家畜が…目障りだ！</t>
    <phoneticPr fontId="5"/>
  </si>
  <si>
    <t>貴様らに未来は無い…</t>
    <phoneticPr fontId="5"/>
  </si>
  <si>
    <t>このオレが愛でてやろう</t>
    <phoneticPr fontId="5"/>
  </si>
  <si>
    <t>引導を渡してやろう…</t>
    <phoneticPr fontId="5"/>
  </si>
  <si>
    <t>EXECUTION</t>
    <phoneticPr fontId="5"/>
  </si>
  <si>
    <t>5回連続攻撃</t>
    <phoneticPr fontId="5"/>
  </si>
  <si>
    <t>10ターンハートパネルで回復できない</t>
    <phoneticPr fontId="5"/>
  </si>
  <si>
    <t>種族アニマルのユニットに大ダメージ</t>
    <phoneticPr fontId="5"/>
  </si>
  <si>
    <t>アザゼルの翼が開いてゆく…</t>
    <phoneticPr fontId="5"/>
  </si>
  <si>
    <t>超強力な一撃！</t>
    <rPh sb="0" eb="1">
      <t>チョウ</t>
    </rPh>
    <rPh sb="1" eb="3">
      <t>キョウリョク</t>
    </rPh>
    <rPh sb="4" eb="6">
      <t>イチゲキ</t>
    </rPh>
    <phoneticPr fontId="5"/>
  </si>
  <si>
    <t>[effect:dis_heart, turn:10, rate:1.0, animation:enemy_dis_heart]</t>
    <phoneticPr fontId="5"/>
  </si>
  <si>
    <t>[effect:fix_speed,target:myself,turn:1]</t>
    <phoneticPr fontId="5"/>
  </si>
  <si>
    <t>[effect:critical, val:5.0, animation:enemy_critical],[effect:fix_speed,target:myself,turn:2]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</si>
  <si>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</si>
  <si>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</si>
  <si>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</si>
  <si>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</si>
  <si>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link</t>
    <phoneticPr fontId="5"/>
  </si>
  <si>
    <t>unit</t>
    <phoneticPr fontId="5"/>
  </si>
  <si>
    <t>unit</t>
    <phoneticPr fontId="5"/>
  </si>
  <si>
    <t>unit</t>
    <phoneticPr fontId="5"/>
  </si>
  <si>
    <t>old</t>
  </si>
  <si>
    <t>[effect:enemy_counter, target:myself,invoke_condition:unit_red,counter_target:attacker,turn:3,val:1.0,animation:enemy_counter]</t>
    <phoneticPr fontId="5"/>
  </si>
  <si>
    <t>[effect:enhance_enemy, target:enemy_all, turn:4, status:attack, val:0.5, animation:enemy_enhance_enemy]</t>
    <phoneticPr fontId="5"/>
  </si>
  <si>
    <t>[effect:kamikaze, val:0.25, animation:enemy_kamikaze],[effect:enhance_enemy, target:enemy_all, turn:5, status:attack, val:0.5, animation:enemy_enhance_enemy]</t>
    <phoneticPr fontId="5"/>
  </si>
  <si>
    <t>自爆攻撃＋5ターン全エネミーの攻撃力UP</t>
    <rPh sb="2" eb="4">
      <t>コウゲキ</t>
    </rPh>
    <rPh sb="9" eb="10">
      <t>ゼン</t>
    </rPh>
    <phoneticPr fontId="5"/>
  </si>
  <si>
    <t>5ターン赤パネルが使えない！</t>
    <phoneticPr fontId="5"/>
  </si>
  <si>
    <t>[effect:dis_panel, target:block_red, turn:5, animation:enemy_dis_red]</t>
    <phoneticPr fontId="5"/>
  </si>
  <si>
    <t>null</t>
    <phoneticPr fontId="5"/>
  </si>
  <si>
    <t>null</t>
    <phoneticPr fontId="5"/>
  </si>
  <si>
    <t>[effect:spread, val:0.4, animation:enemy_spread]</t>
    <phoneticPr fontId="5"/>
  </si>
  <si>
    <t>トリプレットターゲット</t>
    <phoneticPr fontId="5"/>
  </si>
  <si>
    <t>3回連続攻撃</t>
    <phoneticPr fontId="5"/>
  </si>
  <si>
    <t>[effect:rush, count:3, val:0.45]</t>
    <phoneticPr fontId="5"/>
  </si>
  <si>
    <t>3ターン赤属性ユニットの攻撃をカウンター</t>
    <phoneticPr fontId="5"/>
  </si>
  <si>
    <t>[effect:freq_turn, target:myself, turn:3, val:1, animation:enemy_freq_turn]</t>
    <phoneticPr fontId="5"/>
  </si>
  <si>
    <t>3ターンスキルバインド＋全体攻撃</t>
    <rPh sb="12" eb="14">
      <t>ゼンタイ</t>
    </rPh>
    <rPh sb="14" eb="16">
      <t>コウゲキ</t>
    </rPh>
    <phoneticPr fontId="5"/>
  </si>
  <si>
    <t>[effect:hungup, target:unit_all, turn:3, rate:1.0, animation:enemy_hungup],[effect:spread, val:0.2, animation:enemy_spread]</t>
    <phoneticPr fontId="5"/>
  </si>
  <si>
    <t>null</t>
    <phoneticPr fontId="5"/>
  </si>
  <si>
    <t>null</t>
    <phoneticPr fontId="5"/>
  </si>
  <si>
    <t>[effect:enhance_enemy, target:enemy_all, turn:3, status:attack, val:0.75, animation:enemy_enhance_enemy]</t>
    <phoneticPr fontId="5"/>
  </si>
  <si>
    <t>真の絶望というものを見せてやる！</t>
    <rPh sb="0" eb="1">
      <t>シン</t>
    </rPh>
    <rPh sb="2" eb="4">
      <t>ゼツボウ</t>
    </rPh>
    <rPh sb="10" eb="11">
      <t>ミ</t>
    </rPh>
    <phoneticPr fontId="5"/>
  </si>
  <si>
    <t>[effect:spread, val:0.35, animation:enemy_spread]</t>
    <phoneticPr fontId="5"/>
  </si>
  <si>
    <t>[effect:nothing]</t>
    <phoneticPr fontId="5"/>
  </si>
  <si>
    <t>フフッ…遊んであげる</t>
    <rPh sb="4" eb="5">
      <t>アソ</t>
    </rPh>
    <phoneticPr fontId="5"/>
  </si>
  <si>
    <t>余裕の笑みを浮かべている</t>
    <rPh sb="0" eb="2">
      <t>ヨユウ</t>
    </rPh>
    <rPh sb="3" eb="4">
      <t>エ</t>
    </rPh>
    <rPh sb="6" eb="7">
      <t>ウ</t>
    </rPh>
    <phoneticPr fontId="5"/>
  </si>
  <si>
    <t>クックック…いいだろう</t>
    <phoneticPr fontId="5"/>
  </si>
  <si>
    <t>アップテンポ</t>
    <phoneticPr fontId="5"/>
  </si>
  <si>
    <t>次のターン緑パネルを吸収して攻撃</t>
    <rPh sb="0" eb="1">
      <t>ツギ</t>
    </rPh>
    <rPh sb="5" eb="6">
      <t>ミドリ</t>
    </rPh>
    <rPh sb="10" eb="12">
      <t>キュウシュウ</t>
    </rPh>
    <rPh sb="14" eb="16">
      <t>コウゲキ</t>
    </rPh>
    <phoneticPr fontId="5"/>
  </si>
  <si>
    <t>[effect:fix_speed,target:myself,turn:1]</t>
    <phoneticPr fontId="5"/>
  </si>
  <si>
    <t>ひれ伏せ！愚民ども！</t>
    <rPh sb="2" eb="3">
      <t>フ</t>
    </rPh>
    <rPh sb="5" eb="7">
      <t>グミン</t>
    </rPh>
    <phoneticPr fontId="5"/>
  </si>
  <si>
    <t>緑パネル吸収攻撃</t>
    <rPh sb="0" eb="1">
      <t>ミドリ</t>
    </rPh>
    <rPh sb="4" eb="6">
      <t>キュウシュウ</t>
    </rPh>
    <rPh sb="6" eb="8">
      <t>コウゲキ</t>
    </rPh>
    <phoneticPr fontId="5"/>
  </si>
  <si>
    <t>格の違いを見せてやろう</t>
    <rPh sb="0" eb="1">
      <t>カク</t>
    </rPh>
    <rPh sb="2" eb="3">
      <t>チガ</t>
    </rPh>
    <rPh sb="5" eb="6">
      <t>ミ</t>
    </rPh>
    <phoneticPr fontId="5"/>
  </si>
  <si>
    <t>ゆけ！親愛なるしもべ達よ！</t>
    <rPh sb="3" eb="5">
      <t>シンアイ</t>
    </rPh>
    <rPh sb="10" eb="11">
      <t>タチ</t>
    </rPh>
    <phoneticPr fontId="5"/>
  </si>
  <si>
    <t>[effect:spread, val:0.35, animation:enemy_spread]</t>
    <phoneticPr fontId="5"/>
  </si>
  <si>
    <t>[effect:spread, val:0.35, animation:enemy_spread]</t>
    <phoneticPr fontId="5"/>
  </si>
  <si>
    <t>[effect:rush, count:5, val:0.25]</t>
    <phoneticPr fontId="5"/>
  </si>
  <si>
    <t>[effect:damage_anti_tribe, target:unit_all, tribe:animal, val1:1.2, val2:0.25]</t>
    <phoneticPr fontId="5"/>
  </si>
  <si>
    <t>[effect:rush, count:2, val:0.8]</t>
    <phoneticPr fontId="5"/>
  </si>
  <si>
    <t>ツインターゲット</t>
    <phoneticPr fontId="5"/>
  </si>
  <si>
    <t>2回連続攻撃</t>
    <phoneticPr fontId="5"/>
  </si>
  <si>
    <t>null</t>
    <phoneticPr fontId="5"/>
  </si>
  <si>
    <t>常世の闇に彷徨うがいい！</t>
    <phoneticPr fontId="5"/>
  </si>
  <si>
    <t>3ターン暗闇＋全体攻撃</t>
    <rPh sb="4" eb="6">
      <t>クラヤミ</t>
    </rPh>
    <rPh sb="7" eb="9">
      <t>ゼンタイ</t>
    </rPh>
    <rPh sb="9" eb="11">
      <t>コウゲキ</t>
    </rPh>
    <phoneticPr fontId="5"/>
  </si>
  <si>
    <t>[effect:dark, turn:3,target:unit_all,animation:enemy_dark],[effect:spread, val:0.2, animation:enemy_spread]</t>
    <phoneticPr fontId="5"/>
  </si>
  <si>
    <t>「「ツムジ風！」」</t>
    <rPh sb="5" eb="6">
      <t>カゼ</t>
    </rPh>
    <phoneticPr fontId="5"/>
  </si>
  <si>
    <t>[effect:spread, val:0.25],[effect:spread, val:0.25]</t>
    <phoneticPr fontId="5"/>
  </si>
  <si>
    <t>3ターン攻撃頻度が1ターンにUP</t>
    <phoneticPr fontId="5"/>
  </si>
  <si>
    <t>[effect:freq_turn, target:myself, turn:3, val:1, animation:enemy_freq_turn]</t>
    <phoneticPr fontId="5"/>
  </si>
  <si>
    <t>[effect:fix_speed,target:myself,turn:2]</t>
    <phoneticPr fontId="5"/>
  </si>
  <si>
    <t>メガホンの感度を調節している</t>
    <rPh sb="5" eb="7">
      <t>カンド</t>
    </rPh>
    <rPh sb="8" eb="10">
      <t>チョウセツ</t>
    </rPh>
    <phoneticPr fontId="5"/>
  </si>
  <si>
    <t>ガガガッ…ピーーー</t>
    <phoneticPr fontId="5"/>
  </si>
  <si>
    <t>[effect:break_attack, val:0.2, lowest_val:8000, count:-1, block:block_green, target:unit_one],[effect:fix_speed,target:myself,turn:2]</t>
    <phoneticPr fontId="5"/>
  </si>
  <si>
    <t>敵が多い状態が続くと不利になります
スキルなどを使用して数を減らしましょう</t>
    <rPh sb="0" eb="1">
      <t>テキ</t>
    </rPh>
    <rPh sb="2" eb="3">
      <t>オオ</t>
    </rPh>
    <rPh sb="4" eb="6">
      <t>ジョウタイ</t>
    </rPh>
    <rPh sb="7" eb="8">
      <t>ツヅ</t>
    </rPh>
    <rPh sb="10" eb="12">
      <t>フリ</t>
    </rPh>
    <rPh sb="24" eb="26">
      <t>シヨウ</t>
    </rPh>
    <rPh sb="28" eb="29">
      <t>カズ</t>
    </rPh>
    <rPh sb="30" eb="31">
      <t>ヘ</t>
    </rPh>
    <phoneticPr fontId="5"/>
  </si>
  <si>
    <t>オセは攻撃力が非常に高いです
序盤はハートによる回復を徹底して
スキルが溜まってから反撃に転じましょう</t>
    <rPh sb="3" eb="6">
      <t>コウゲキリョク</t>
    </rPh>
    <rPh sb="7" eb="9">
      <t>ヒジョウ</t>
    </rPh>
    <rPh sb="10" eb="11">
      <t>タカ</t>
    </rPh>
    <rPh sb="16" eb="18">
      <t>ジョバン</t>
    </rPh>
    <rPh sb="25" eb="27">
      <t>カイフク</t>
    </rPh>
    <rPh sb="28" eb="30">
      <t>テッテイ</t>
    </rPh>
    <rPh sb="37" eb="38">
      <t>タ</t>
    </rPh>
    <rPh sb="43" eb="45">
      <t>ハンゲキ</t>
    </rPh>
    <rPh sb="46" eb="47">
      <t>テン</t>
    </rPh>
    <phoneticPr fontId="5"/>
  </si>
  <si>
    <t>F2をターゲットして最優先で倒しましょう
自爆を使われると立て直しが困難になります</t>
    <rPh sb="10" eb="13">
      <t>サイユウセン</t>
    </rPh>
    <rPh sb="14" eb="15">
      <t>タオ</t>
    </rPh>
    <rPh sb="21" eb="23">
      <t>ジバク</t>
    </rPh>
    <rPh sb="24" eb="25">
      <t>ツカ</t>
    </rPh>
    <rPh sb="29" eb="30">
      <t>タ</t>
    </rPh>
    <rPh sb="31" eb="32">
      <t>ナオ</t>
    </rPh>
    <rPh sb="34" eb="36">
      <t>コンナン</t>
    </rPh>
    <phoneticPr fontId="5"/>
  </si>
  <si>
    <t>[effect:enhance_enemy, target:enemy_all, turn:3, status:attack, val:0.4, animation:enemy_enhance_enemy]</t>
    <phoneticPr fontId="5"/>
  </si>
  <si>
    <t>[effect:degrade_unit, target:unit_red, turn:2, status:attack, val:1.0, calc:mul]</t>
    <phoneticPr fontId="5"/>
  </si>
  <si>
    <t>2ターン赤属性ユニットの攻撃力100%DOWN</t>
    <phoneticPr fontId="5"/>
  </si>
  <si>
    <t>アザゼルの攻撃スキルは
連続攻撃や全体攻撃のものが多いです
防御力UPのスキルを使えば有利に戦えます</t>
    <rPh sb="5" eb="7">
      <t>コウゲキ</t>
    </rPh>
    <rPh sb="12" eb="16">
      <t>レンゾクコウゲキ</t>
    </rPh>
    <rPh sb="17" eb="19">
      <t>ゼンタイ</t>
    </rPh>
    <rPh sb="19" eb="21">
      <t>コウゲキ</t>
    </rPh>
    <rPh sb="25" eb="26">
      <t>オオ</t>
    </rPh>
    <rPh sb="31" eb="34">
      <t>ボウギョリョク</t>
    </rPh>
    <rPh sb="41" eb="42">
      <t>ツカ</t>
    </rPh>
    <rPh sb="44" eb="46">
      <t>ユウリ</t>
    </rPh>
    <rPh sb="47" eb="48">
      <t>タタカ</t>
    </rPh>
    <phoneticPr fontId="5"/>
  </si>
  <si>
    <t>アザゼルは終盤戦に差し掛かると
長い間ハートパネルを無効化してきます
なんらかの対策が必要となるでしょう</t>
    <rPh sb="5" eb="8">
      <t>シュウバンセン</t>
    </rPh>
    <rPh sb="9" eb="10">
      <t>サ</t>
    </rPh>
    <rPh sb="11" eb="12">
      <t>カ</t>
    </rPh>
    <rPh sb="16" eb="17">
      <t>ナガ</t>
    </rPh>
    <rPh sb="18" eb="19">
      <t>アイダ</t>
    </rPh>
    <rPh sb="26" eb="29">
      <t>ムコウカ</t>
    </rPh>
    <rPh sb="41" eb="43">
      <t>タイサク</t>
    </rPh>
    <rPh sb="44" eb="46">
      <t>ヒツヨウ</t>
    </rPh>
    <phoneticPr fontId="5"/>
  </si>
  <si>
    <t>アザゼルが緑パネル吸収を予告したら
スキルやタップで緑パネルを減らしましょう
放っておくと大ダメージを受けてしまいます</t>
    <rPh sb="5" eb="6">
      <t>ミドリ</t>
    </rPh>
    <rPh sb="9" eb="11">
      <t>キュウシュウ</t>
    </rPh>
    <rPh sb="12" eb="14">
      <t>ヨコク</t>
    </rPh>
    <rPh sb="26" eb="27">
      <t>ミドリ</t>
    </rPh>
    <rPh sb="31" eb="32">
      <t>ヘ</t>
    </rPh>
    <rPh sb="40" eb="41">
      <t>ホウ</t>
    </rPh>
    <rPh sb="46" eb="47">
      <t>ダイ</t>
    </rPh>
    <rPh sb="52" eb="53">
      <t>ウ</t>
    </rPh>
    <phoneticPr fontId="5"/>
  </si>
  <si>
    <t>unit</t>
    <phoneticPr fontId="5"/>
  </si>
  <si>
    <t>クリエの「バインドノイズ」は全ユニットの
スキルを封じ込める効果があります
先んじて優位を築いておきましょう</t>
    <rPh sb="25" eb="26">
      <t>フウ</t>
    </rPh>
    <rPh sb="27" eb="28">
      <t>コ</t>
    </rPh>
    <rPh sb="30" eb="32">
      <t>コウカ</t>
    </rPh>
    <rPh sb="39" eb="40">
      <t>サキ</t>
    </rPh>
    <rPh sb="43" eb="45">
      <t>ユウイ</t>
    </rPh>
    <rPh sb="46" eb="47">
      <t>キズ</t>
    </rPh>
    <phoneticPr fontId="5"/>
  </si>
  <si>
    <t>[effect:force_change_block, new_block:jammer, target:block_all, ignore01:block_positive, ignore02:block_negative, count:5, val:0],[effect:critical, val:1.0, animation:enemy_critical]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</si>
</sst>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color rgb="FF0000FF"/>
      <name val="ＭＳ Ｐゴシック"/>
      <family val="3"/>
      <charset val="128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8"/>
      </left>
      <right/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auto="1"/>
      </bottom>
      <diagonal/>
    </border>
  </borders>
  <cellStyleXfs count="87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0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8" fillId="0" borderId="23" xfId="0" applyFont="1" applyBorder="1" applyAlignment="1">
      <alignment vertical="center"/>
    </xf>
    <xf numFmtId="177" fontId="8" fillId="0" borderId="23" xfId="0" applyNumberFormat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6" fillId="31" borderId="11" xfId="0" applyFont="1" applyFill="1" applyBorder="1" applyAlignment="1">
      <alignment vertical="center"/>
    </xf>
    <xf numFmtId="0" fontId="6" fillId="31" borderId="9" xfId="0" applyFont="1" applyFill="1" applyBorder="1" applyAlignment="1">
      <alignment vertical="center"/>
    </xf>
    <xf numFmtId="0" fontId="51" fillId="32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horizontal="left" vertical="center" wrapText="1"/>
    </xf>
    <xf numFmtId="0" fontId="16" fillId="13" borderId="7" xfId="0" applyFont="1" applyFill="1" applyBorder="1" applyAlignment="1">
      <alignment vertical="center"/>
    </xf>
    <xf numFmtId="0" fontId="11" fillId="13" borderId="7" xfId="0" applyFont="1" applyFill="1" applyBorder="1" applyAlignment="1">
      <alignment vertical="center"/>
    </xf>
    <xf numFmtId="0" fontId="12" fillId="7" borderId="24" xfId="0" applyFont="1" applyFill="1" applyBorder="1" applyAlignment="1">
      <alignment vertical="center"/>
    </xf>
    <xf numFmtId="176" fontId="4" fillId="0" borderId="25" xfId="0" applyNumberFormat="1" applyFont="1" applyFill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/>
    </xf>
    <xf numFmtId="0" fontId="6" fillId="5" borderId="25" xfId="0" applyFont="1" applyFill="1" applyBorder="1" applyAlignment="1">
      <alignment vertical="center"/>
    </xf>
    <xf numFmtId="0" fontId="6" fillId="0" borderId="26" xfId="0" applyFont="1" applyFill="1" applyBorder="1" applyAlignment="1">
      <alignment vertical="center"/>
    </xf>
    <xf numFmtId="0" fontId="4" fillId="0" borderId="26" xfId="0" applyFont="1" applyBorder="1" applyAlignment="1">
      <alignment horizontal="center" vertical="center"/>
    </xf>
    <xf numFmtId="0" fontId="6" fillId="5" borderId="27" xfId="0" applyFont="1" applyFill="1" applyBorder="1" applyAlignment="1">
      <alignment vertical="center"/>
    </xf>
    <xf numFmtId="0" fontId="8" fillId="0" borderId="25" xfId="0" applyFont="1" applyBorder="1" applyAlignment="1">
      <alignment vertical="center"/>
    </xf>
    <xf numFmtId="177" fontId="8" fillId="0" borderId="28" xfId="0" applyNumberFormat="1" applyFont="1" applyBorder="1" applyAlignment="1">
      <alignment vertical="center"/>
    </xf>
    <xf numFmtId="0" fontId="8" fillId="0" borderId="28" xfId="0" applyFont="1" applyBorder="1" applyAlignment="1">
      <alignment vertical="center"/>
    </xf>
    <xf numFmtId="0" fontId="8" fillId="13" borderId="26" xfId="0" applyFont="1" applyFill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6" fillId="31" borderId="27" xfId="0" applyFont="1" applyFill="1" applyBorder="1" applyAlignment="1">
      <alignment vertical="center"/>
    </xf>
    <xf numFmtId="0" fontId="4" fillId="13" borderId="26" xfId="0" applyFont="1" applyFill="1" applyBorder="1" applyAlignment="1">
      <alignment vertical="center"/>
    </xf>
    <xf numFmtId="0" fontId="4" fillId="0" borderId="26" xfId="0" applyFont="1" applyFill="1" applyBorder="1" applyAlignment="1">
      <alignment vertical="center"/>
    </xf>
    <xf numFmtId="0" fontId="4" fillId="3" borderId="26" xfId="0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12" fillId="7" borderId="31" xfId="0" applyFont="1" applyFill="1" applyBorder="1" applyAlignment="1">
      <alignment vertical="center"/>
    </xf>
    <xf numFmtId="0" fontId="6" fillId="5" borderId="23" xfId="0" applyFont="1" applyFill="1" applyBorder="1" applyAlignment="1">
      <alignment vertical="center"/>
    </xf>
    <xf numFmtId="0" fontId="6" fillId="5" borderId="32" xfId="0" applyFont="1" applyFill="1" applyBorder="1" applyAlignment="1">
      <alignment vertical="center"/>
    </xf>
    <xf numFmtId="0" fontId="8" fillId="13" borderId="7" xfId="0" applyFont="1" applyFill="1" applyBorder="1" applyAlignment="1">
      <alignment vertical="center"/>
    </xf>
    <xf numFmtId="0" fontId="6" fillId="31" borderId="32" xfId="0" applyFont="1" applyFill="1" applyBorder="1" applyAlignment="1">
      <alignment vertical="center"/>
    </xf>
    <xf numFmtId="0" fontId="4" fillId="1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0" borderId="34" xfId="0" applyFont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12" fillId="0" borderId="35" xfId="0" applyFont="1" applyFill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4" fillId="3" borderId="35" xfId="0" applyFont="1" applyFill="1" applyBorder="1" applyAlignment="1">
      <alignment vertical="center"/>
    </xf>
    <xf numFmtId="0" fontId="4" fillId="0" borderId="35" xfId="0" applyFont="1" applyBorder="1" applyAlignment="1">
      <alignment horizontal="center" vertical="center"/>
    </xf>
    <xf numFmtId="0" fontId="4" fillId="3" borderId="35" xfId="0" applyFont="1" applyFill="1" applyBorder="1" applyAlignment="1">
      <alignment horizontal="center" vertical="center"/>
    </xf>
    <xf numFmtId="0" fontId="4" fillId="0" borderId="35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4" fillId="15" borderId="7" xfId="0" applyFont="1" applyFill="1" applyBorder="1" applyAlignment="1">
      <alignment horizontal="right" vertical="center"/>
    </xf>
    <xf numFmtId="0" fontId="0" fillId="0" borderId="26" xfId="0" applyBorder="1"/>
    <xf numFmtId="0" fontId="27" fillId="0" borderId="26" xfId="0" applyFont="1" applyFill="1" applyBorder="1"/>
    <xf numFmtId="0" fontId="0" fillId="3" borderId="26" xfId="0" applyFill="1" applyBorder="1"/>
    <xf numFmtId="0" fontId="6" fillId="5" borderId="26" xfId="0" applyFont="1" applyFill="1" applyBorder="1" applyAlignment="1">
      <alignment vertical="center"/>
    </xf>
    <xf numFmtId="0" fontId="0" fillId="0" borderId="35" xfId="0" applyBorder="1"/>
    <xf numFmtId="0" fontId="16" fillId="13" borderId="26" xfId="0" applyFont="1" applyFill="1" applyBorder="1" applyAlignment="1">
      <alignment vertical="center"/>
    </xf>
    <xf numFmtId="0" fontId="6" fillId="31" borderId="36" xfId="0" applyFont="1" applyFill="1" applyBorder="1" applyAlignment="1">
      <alignment vertical="center"/>
    </xf>
    <xf numFmtId="0" fontId="12" fillId="7" borderId="37" xfId="0" applyFont="1" applyFill="1" applyBorder="1" applyAlignment="1">
      <alignment vertical="center"/>
    </xf>
    <xf numFmtId="176" fontId="4" fillId="0" borderId="38" xfId="0" applyNumberFormat="1" applyFont="1" applyFill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/>
    </xf>
    <xf numFmtId="0" fontId="4" fillId="3" borderId="39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vertical="center"/>
    </xf>
    <xf numFmtId="0" fontId="6" fillId="0" borderId="39" xfId="0" applyFont="1" applyFill="1" applyBorder="1" applyAlignment="1">
      <alignment vertical="center"/>
    </xf>
    <xf numFmtId="0" fontId="4" fillId="0" borderId="39" xfId="0" applyFont="1" applyBorder="1" applyAlignment="1">
      <alignment horizontal="center" vertical="center"/>
    </xf>
    <xf numFmtId="0" fontId="6" fillId="5" borderId="40" xfId="0" applyFont="1" applyFill="1" applyBorder="1" applyAlignment="1">
      <alignment vertical="center"/>
    </xf>
    <xf numFmtId="0" fontId="8" fillId="0" borderId="41" xfId="0" applyFont="1" applyBorder="1" applyAlignment="1">
      <alignment vertical="center"/>
    </xf>
    <xf numFmtId="177" fontId="8" fillId="0" borderId="41" xfId="0" applyNumberFormat="1" applyFont="1" applyBorder="1" applyAlignment="1">
      <alignment vertical="center"/>
    </xf>
    <xf numFmtId="0" fontId="16" fillId="13" borderId="39" xfId="0" applyFont="1" applyFill="1" applyBorder="1" applyAlignment="1">
      <alignment vertical="center"/>
    </xf>
    <xf numFmtId="0" fontId="6" fillId="31" borderId="42" xfId="0" applyFont="1" applyFill="1" applyBorder="1" applyAlignment="1">
      <alignment vertical="center"/>
    </xf>
    <xf numFmtId="0" fontId="4" fillId="0" borderId="37" xfId="0" applyFont="1" applyBorder="1" applyAlignment="1">
      <alignment vertical="center"/>
    </xf>
    <xf numFmtId="0" fontId="52" fillId="33" borderId="7" xfId="0" applyFont="1" applyFill="1" applyBorder="1" applyAlignment="1">
      <alignment vertical="center"/>
    </xf>
    <xf numFmtId="176" fontId="4" fillId="0" borderId="23" xfId="0" applyNumberFormat="1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3" xfId="0" applyFont="1" applyBorder="1" applyAlignment="1">
      <alignment vertical="center"/>
    </xf>
    <xf numFmtId="0" fontId="52" fillId="0" borderId="7" xfId="0" applyFont="1" applyFill="1" applyBorder="1" applyAlignment="1">
      <alignment vertical="center"/>
    </xf>
    <xf numFmtId="177" fontId="8" fillId="0" borderId="43" xfId="0" applyNumberFormat="1" applyFont="1" applyBorder="1" applyAlignment="1">
      <alignment vertical="center"/>
    </xf>
    <xf numFmtId="177" fontId="8" fillId="0" borderId="44" xfId="0" applyNumberFormat="1" applyFont="1" applyBorder="1" applyAlignment="1">
      <alignment vertical="center"/>
    </xf>
    <xf numFmtId="0" fontId="53" fillId="0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38" fontId="16" fillId="0" borderId="8" xfId="628" applyFont="1" applyFill="1" applyBorder="1" applyAlignment="1">
      <alignment wrapText="1"/>
    </xf>
    <xf numFmtId="0" fontId="28" fillId="0" borderId="26" xfId="0" applyFont="1" applyFill="1" applyBorder="1"/>
    <xf numFmtId="0" fontId="29" fillId="3" borderId="26" xfId="0" applyFont="1" applyFill="1" applyBorder="1" applyAlignment="1">
      <alignment vertical="center"/>
    </xf>
    <xf numFmtId="0" fontId="30" fillId="0" borderId="26" xfId="0" applyFont="1" applyFill="1" applyBorder="1"/>
    <xf numFmtId="0" fontId="29" fillId="0" borderId="26" xfId="0" applyFont="1" applyFill="1" applyBorder="1" applyAlignment="1">
      <alignment vertical="center"/>
    </xf>
    <xf numFmtId="0" fontId="30" fillId="30" borderId="26" xfId="0" applyFont="1" applyFill="1" applyBorder="1"/>
    <xf numFmtId="0" fontId="30" fillId="14" borderId="26" xfId="0" applyFont="1" applyFill="1" applyBorder="1"/>
    <xf numFmtId="0" fontId="31" fillId="0" borderId="26" xfId="0" applyFont="1" applyFill="1" applyBorder="1"/>
    <xf numFmtId="38" fontId="16" fillId="0" borderId="26" xfId="628" applyFont="1" applyFill="1" applyBorder="1" applyAlignment="1">
      <alignment wrapText="1"/>
    </xf>
    <xf numFmtId="0" fontId="27" fillId="0" borderId="39" xfId="0" applyFont="1" applyFill="1" applyBorder="1"/>
    <xf numFmtId="0" fontId="28" fillId="0" borderId="39" xfId="0" applyFont="1" applyFill="1" applyBorder="1"/>
    <xf numFmtId="0" fontId="29" fillId="3" borderId="39" xfId="0" applyFont="1" applyFill="1" applyBorder="1" applyAlignment="1">
      <alignment vertical="center"/>
    </xf>
    <xf numFmtId="0" fontId="30" fillId="0" borderId="39" xfId="0" applyFont="1" applyFill="1" applyBorder="1"/>
    <xf numFmtId="0" fontId="29" fillId="0" borderId="39" xfId="0" applyFont="1" applyFill="1" applyBorder="1" applyAlignment="1">
      <alignment vertical="center"/>
    </xf>
    <xf numFmtId="0" fontId="30" fillId="30" borderId="39" xfId="0" applyFont="1" applyFill="1" applyBorder="1"/>
    <xf numFmtId="0" fontId="30" fillId="14" borderId="39" xfId="0" applyFont="1" applyFill="1" applyBorder="1"/>
    <xf numFmtId="0" fontId="31" fillId="0" borderId="39" xfId="0" applyFont="1" applyFill="1" applyBorder="1"/>
    <xf numFmtId="38" fontId="16" fillId="0" borderId="39" xfId="628" applyFont="1" applyFill="1" applyBorder="1" applyAlignment="1">
      <alignment wrapText="1"/>
    </xf>
    <xf numFmtId="0" fontId="0" fillId="0" borderId="39" xfId="0" applyBorder="1"/>
    <xf numFmtId="0" fontId="27" fillId="0" borderId="12" xfId="0" applyFont="1" applyFill="1" applyBorder="1"/>
    <xf numFmtId="0" fontId="27" fillId="13" borderId="12" xfId="0" applyFont="1" applyFill="1" applyBorder="1"/>
    <xf numFmtId="0" fontId="27" fillId="13" borderId="7" xfId="0" applyFont="1" applyFill="1" applyBorder="1"/>
    <xf numFmtId="0" fontId="4" fillId="13" borderId="7" xfId="0" applyFont="1" applyFill="1" applyBorder="1" applyAlignment="1">
      <alignment horizontal="right" vertical="center"/>
    </xf>
    <xf numFmtId="0" fontId="27" fillId="13" borderId="26" xfId="0" applyFont="1" applyFill="1" applyBorder="1"/>
  </cellXfs>
  <cellStyles count="87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赤字強調" xfId="431"/>
    <cellStyle name="青字強調" xfId="43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48501</v>
          </cell>
        </row>
        <row r="246">
          <cell r="A246">
            <v>48502</v>
          </cell>
        </row>
        <row r="247">
          <cell r="A247">
            <v>48701</v>
          </cell>
        </row>
        <row r="248">
          <cell r="A248">
            <v>41001</v>
          </cell>
        </row>
        <row r="249">
          <cell r="A249">
            <v>41002</v>
          </cell>
        </row>
        <row r="250">
          <cell r="A250">
            <v>41003</v>
          </cell>
        </row>
        <row r="251">
          <cell r="A251">
            <v>41004</v>
          </cell>
        </row>
        <row r="252">
          <cell r="A252">
            <v>41005</v>
          </cell>
        </row>
        <row r="253">
          <cell r="A253">
            <v>41006</v>
          </cell>
        </row>
        <row r="254">
          <cell r="A254">
            <v>41007</v>
          </cell>
        </row>
        <row r="255">
          <cell r="A255">
            <v>41008</v>
          </cell>
        </row>
        <row r="256">
          <cell r="A256">
            <v>41009</v>
          </cell>
        </row>
        <row r="257">
          <cell r="A257">
            <v>41010</v>
          </cell>
        </row>
        <row r="258">
          <cell r="A258">
            <v>41011</v>
          </cell>
        </row>
        <row r="259">
          <cell r="A259">
            <v>41012</v>
          </cell>
        </row>
        <row r="260">
          <cell r="A260">
            <v>41013</v>
          </cell>
        </row>
        <row r="261">
          <cell r="A261">
            <v>41014</v>
          </cell>
        </row>
        <row r="262">
          <cell r="A262">
            <v>41015</v>
          </cell>
        </row>
        <row r="263">
          <cell r="A263">
            <v>47001</v>
          </cell>
        </row>
        <row r="264">
          <cell r="A264">
            <v>47002</v>
          </cell>
        </row>
        <row r="265">
          <cell r="A265">
            <v>47003</v>
          </cell>
        </row>
        <row r="266">
          <cell r="A266">
            <v>47004</v>
          </cell>
        </row>
        <row r="267">
          <cell r="A267">
            <v>47005</v>
          </cell>
        </row>
        <row r="268">
          <cell r="A268">
            <v>47006</v>
          </cell>
        </row>
        <row r="269">
          <cell r="A269">
            <v>47007</v>
          </cell>
        </row>
        <row r="270">
          <cell r="A270">
            <v>47008</v>
          </cell>
        </row>
        <row r="271">
          <cell r="A271">
            <v>47009</v>
          </cell>
        </row>
        <row r="272">
          <cell r="A272">
            <v>47010</v>
          </cell>
        </row>
        <row r="273">
          <cell r="A273">
            <v>47011</v>
          </cell>
        </row>
        <row r="274">
          <cell r="A274">
            <v>49001</v>
          </cell>
        </row>
        <row r="275">
          <cell r="A275">
            <v>49002</v>
          </cell>
        </row>
        <row r="276">
          <cell r="A276">
            <v>49003</v>
          </cell>
        </row>
        <row r="277">
          <cell r="A277">
            <v>49004</v>
          </cell>
        </row>
        <row r="278">
          <cell r="A278">
            <v>49005</v>
          </cell>
        </row>
        <row r="279">
          <cell r="A279">
            <v>49006</v>
          </cell>
        </row>
        <row r="280">
          <cell r="A280">
            <v>49007</v>
          </cell>
        </row>
        <row r="281">
          <cell r="A281">
            <v>49008</v>
          </cell>
        </row>
        <row r="282">
          <cell r="A282">
            <v>49009</v>
          </cell>
        </row>
        <row r="283">
          <cell r="A283">
            <v>49010</v>
          </cell>
        </row>
        <row r="284">
          <cell r="A284">
            <v>49011</v>
          </cell>
        </row>
        <row r="285">
          <cell r="A285">
            <v>49012</v>
          </cell>
        </row>
        <row r="286">
          <cell r="A286">
            <v>49013</v>
          </cell>
        </row>
        <row r="287">
          <cell r="A287">
            <v>49014</v>
          </cell>
        </row>
        <row r="288">
          <cell r="A288">
            <v>49015</v>
          </cell>
        </row>
        <row r="289">
          <cell r="A289">
            <v>50001</v>
          </cell>
        </row>
        <row r="290">
          <cell r="A290">
            <v>50002</v>
          </cell>
        </row>
        <row r="291">
          <cell r="A291">
            <v>50003</v>
          </cell>
        </row>
        <row r="292">
          <cell r="A292">
            <v>50004</v>
          </cell>
        </row>
        <row r="293">
          <cell r="A293">
            <v>50005</v>
          </cell>
        </row>
        <row r="294">
          <cell r="A294">
            <v>50006</v>
          </cell>
        </row>
        <row r="295">
          <cell r="A295">
            <v>50007</v>
          </cell>
        </row>
        <row r="296">
          <cell r="A296">
            <v>50008</v>
          </cell>
        </row>
        <row r="297">
          <cell r="A297">
            <v>50009</v>
          </cell>
        </row>
        <row r="298">
          <cell r="A298">
            <v>50010</v>
          </cell>
        </row>
        <row r="299">
          <cell r="A299">
            <v>50011</v>
          </cell>
        </row>
        <row r="300">
          <cell r="A300">
            <v>50012</v>
          </cell>
        </row>
        <row r="301">
          <cell r="A301">
            <v>50013</v>
          </cell>
        </row>
        <row r="302">
          <cell r="A302">
            <v>50014</v>
          </cell>
        </row>
        <row r="303">
          <cell r="A303">
            <v>51001</v>
          </cell>
        </row>
        <row r="304">
          <cell r="A304">
            <v>51002</v>
          </cell>
        </row>
        <row r="305">
          <cell r="A305">
            <v>58001</v>
          </cell>
        </row>
        <row r="306">
          <cell r="A306">
            <v>59001</v>
          </cell>
        </row>
        <row r="307">
          <cell r="A307">
            <v>59002</v>
          </cell>
        </row>
        <row r="308">
          <cell r="A308">
            <v>60001</v>
          </cell>
        </row>
        <row r="309">
          <cell r="A309">
            <v>60002</v>
          </cell>
        </row>
        <row r="310">
          <cell r="A310">
            <v>60003</v>
          </cell>
        </row>
        <row r="311">
          <cell r="A311">
            <v>60004</v>
          </cell>
        </row>
        <row r="312">
          <cell r="A312">
            <v>60005</v>
          </cell>
        </row>
        <row r="313">
          <cell r="A313">
            <v>60006</v>
          </cell>
        </row>
        <row r="314">
          <cell r="A314">
            <v>60007</v>
          </cell>
        </row>
        <row r="315">
          <cell r="A315">
            <v>60010</v>
          </cell>
        </row>
        <row r="316">
          <cell r="A316">
            <v>60011</v>
          </cell>
        </row>
        <row r="317">
          <cell r="A317">
            <v>61011</v>
          </cell>
        </row>
        <row r="318">
          <cell r="A318">
            <v>60012</v>
          </cell>
        </row>
        <row r="319">
          <cell r="A319">
            <v>60013</v>
          </cell>
        </row>
        <row r="320">
          <cell r="A320">
            <v>60014</v>
          </cell>
        </row>
        <row r="321">
          <cell r="A321">
            <v>60015</v>
          </cell>
        </row>
        <row r="322">
          <cell r="A322">
            <v>60016</v>
          </cell>
        </row>
        <row r="323">
          <cell r="A323">
            <v>60017</v>
          </cell>
        </row>
        <row r="324">
          <cell r="A324">
            <v>60018</v>
          </cell>
        </row>
        <row r="325">
          <cell r="A325">
            <v>60019</v>
          </cell>
        </row>
        <row r="326">
          <cell r="A326">
            <v>60020</v>
          </cell>
        </row>
        <row r="327">
          <cell r="A327">
            <v>60025</v>
          </cell>
        </row>
        <row r="328">
          <cell r="A328">
            <v>60026</v>
          </cell>
        </row>
        <row r="329">
          <cell r="A329">
            <v>60027</v>
          </cell>
        </row>
        <row r="330">
          <cell r="A330">
            <v>60028</v>
          </cell>
        </row>
        <row r="331">
          <cell r="A331">
            <v>65525</v>
          </cell>
        </row>
        <row r="332">
          <cell r="A332">
            <v>65526</v>
          </cell>
        </row>
        <row r="333">
          <cell r="A333">
            <v>65527</v>
          </cell>
        </row>
        <row r="334">
          <cell r="A334">
            <v>65528</v>
          </cell>
        </row>
        <row r="335">
          <cell r="A335">
            <v>65529</v>
          </cell>
        </row>
        <row r="336">
          <cell r="A336">
            <v>65530</v>
          </cell>
        </row>
        <row r="337">
          <cell r="A337">
            <v>65531</v>
          </cell>
        </row>
        <row r="338">
          <cell r="A338">
            <v>65532</v>
          </cell>
        </row>
        <row r="339">
          <cell r="A339">
            <v>65533</v>
          </cell>
        </row>
        <row r="340">
          <cell r="A340">
            <v>65534</v>
          </cell>
        </row>
        <row r="341">
          <cell r="A341">
            <v>65535</v>
          </cell>
        </row>
        <row r="342">
          <cell r="A342">
            <v>60021</v>
          </cell>
        </row>
        <row r="343">
          <cell r="A343">
            <v>60022</v>
          </cell>
        </row>
        <row r="344">
          <cell r="A344">
            <v>60023</v>
          </cell>
        </row>
        <row r="345">
          <cell r="A34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48001_1</v>
          </cell>
        </row>
        <row r="852">
          <cell r="A852" t="str">
            <v>48002_1</v>
          </cell>
        </row>
        <row r="853">
          <cell r="A853" t="str">
            <v>48002_2</v>
          </cell>
        </row>
        <row r="854">
          <cell r="A854" t="str">
            <v>48002_3</v>
          </cell>
        </row>
        <row r="855">
          <cell r="A855" t="str">
            <v>48003_1</v>
          </cell>
        </row>
        <row r="856">
          <cell r="A856" t="str">
            <v>48003_2</v>
          </cell>
        </row>
        <row r="857">
          <cell r="A857" t="str">
            <v>48004_1</v>
          </cell>
        </row>
        <row r="858">
          <cell r="A858" t="str">
            <v>48004_2</v>
          </cell>
        </row>
        <row r="859">
          <cell r="A859" t="str">
            <v>48005_1</v>
          </cell>
        </row>
        <row r="860">
          <cell r="A860" t="str">
            <v>48005_2</v>
          </cell>
        </row>
        <row r="861">
          <cell r="A861" t="str">
            <v>48006_1</v>
          </cell>
        </row>
        <row r="862">
          <cell r="A862" t="str">
            <v>48006_2</v>
          </cell>
        </row>
        <row r="863">
          <cell r="A863" t="str">
            <v>48007_1</v>
          </cell>
        </row>
        <row r="864">
          <cell r="A864" t="str">
            <v>48007_2</v>
          </cell>
        </row>
        <row r="865">
          <cell r="A865" t="str">
            <v>48008_1</v>
          </cell>
        </row>
        <row r="866">
          <cell r="A866" t="str">
            <v>48008_2</v>
          </cell>
        </row>
        <row r="867">
          <cell r="A867" t="str">
            <v>48009_1</v>
          </cell>
        </row>
        <row r="868">
          <cell r="A868" t="str">
            <v>48009_2</v>
          </cell>
        </row>
        <row r="869">
          <cell r="A869" t="str">
            <v>48010_1</v>
          </cell>
        </row>
        <row r="870">
          <cell r="A870" t="str">
            <v>48011_1</v>
          </cell>
        </row>
        <row r="871">
          <cell r="A871" t="str">
            <v>48011_2</v>
          </cell>
        </row>
        <row r="872">
          <cell r="A872" t="str">
            <v>48501_1</v>
          </cell>
        </row>
        <row r="873">
          <cell r="A873" t="str">
            <v>48501_2</v>
          </cell>
        </row>
        <row r="874">
          <cell r="A874" t="str">
            <v>48502_1</v>
          </cell>
        </row>
        <row r="875">
          <cell r="A875" t="str">
            <v>48502_2</v>
          </cell>
        </row>
        <row r="876">
          <cell r="A876" t="str">
            <v>48701_1</v>
          </cell>
        </row>
        <row r="877">
          <cell r="A877" t="str">
            <v>48701_2</v>
          </cell>
        </row>
        <row r="878">
          <cell r="A878" t="str">
            <v>49001_1</v>
          </cell>
        </row>
        <row r="879">
          <cell r="A879" t="str">
            <v>49002_1</v>
          </cell>
        </row>
        <row r="880">
          <cell r="A880" t="str">
            <v>49002_2</v>
          </cell>
        </row>
        <row r="881">
          <cell r="A881" t="str">
            <v>49003_1</v>
          </cell>
        </row>
        <row r="882">
          <cell r="A882" t="str">
            <v>49003_2</v>
          </cell>
        </row>
        <row r="883">
          <cell r="A883" t="str">
            <v>49004_1</v>
          </cell>
        </row>
        <row r="884">
          <cell r="A884" t="str">
            <v>49004_2</v>
          </cell>
        </row>
        <row r="885">
          <cell r="A885" t="str">
            <v>49004_3</v>
          </cell>
        </row>
        <row r="886">
          <cell r="A886" t="str">
            <v>49005_1</v>
          </cell>
        </row>
        <row r="887">
          <cell r="A887" t="str">
            <v>49006_1</v>
          </cell>
        </row>
        <row r="888">
          <cell r="A888" t="str">
            <v>49006_2</v>
          </cell>
        </row>
        <row r="889">
          <cell r="A889" t="str">
            <v>49007_1</v>
          </cell>
        </row>
        <row r="890">
          <cell r="A890" t="str">
            <v>49007_2</v>
          </cell>
        </row>
        <row r="891">
          <cell r="A891" t="str">
            <v>49007_3</v>
          </cell>
        </row>
        <row r="892">
          <cell r="A892" t="str">
            <v>49008_1</v>
          </cell>
        </row>
        <row r="893">
          <cell r="A893" t="str">
            <v>49009_1</v>
          </cell>
        </row>
        <row r="894">
          <cell r="A894" t="str">
            <v>49010_1</v>
          </cell>
        </row>
        <row r="895">
          <cell r="A895" t="str">
            <v>49011_1</v>
          </cell>
        </row>
        <row r="896">
          <cell r="A896" t="str">
            <v>49012_1</v>
          </cell>
        </row>
        <row r="897">
          <cell r="A897" t="str">
            <v>49013_1</v>
          </cell>
        </row>
        <row r="898">
          <cell r="A898" t="str">
            <v>49014_1</v>
          </cell>
        </row>
        <row r="899">
          <cell r="A899" t="str">
            <v>49014_2</v>
          </cell>
        </row>
        <row r="900">
          <cell r="A900" t="str">
            <v>49015_1</v>
          </cell>
        </row>
        <row r="901">
          <cell r="A901" t="str">
            <v>49015_2</v>
          </cell>
        </row>
        <row r="902">
          <cell r="A902" t="str">
            <v>49015_3</v>
          </cell>
        </row>
        <row r="903">
          <cell r="A903" t="str">
            <v>50001_1</v>
          </cell>
        </row>
        <row r="904">
          <cell r="A904" t="str">
            <v>50002_1</v>
          </cell>
        </row>
        <row r="905">
          <cell r="A905" t="str">
            <v>50003_1</v>
          </cell>
        </row>
        <row r="906">
          <cell r="A906" t="str">
            <v>50004_1</v>
          </cell>
        </row>
        <row r="907">
          <cell r="A907" t="str">
            <v>50005_1</v>
          </cell>
        </row>
        <row r="908">
          <cell r="A908" t="str">
            <v>50006_1</v>
          </cell>
        </row>
        <row r="909">
          <cell r="A909" t="str">
            <v>50007_1</v>
          </cell>
        </row>
        <row r="910">
          <cell r="A910" t="str">
            <v>50008_1</v>
          </cell>
        </row>
        <row r="911">
          <cell r="A911" t="str">
            <v>50009_1</v>
          </cell>
        </row>
        <row r="912">
          <cell r="A912" t="str">
            <v>50010_1</v>
          </cell>
        </row>
        <row r="913">
          <cell r="A913" t="str">
            <v>50011_1</v>
          </cell>
        </row>
        <row r="914">
          <cell r="A914" t="str">
            <v>50012_1</v>
          </cell>
        </row>
        <row r="915">
          <cell r="A915" t="str">
            <v>50013_1</v>
          </cell>
        </row>
        <row r="916">
          <cell r="A916" t="str">
            <v>50014_1</v>
          </cell>
        </row>
        <row r="917">
          <cell r="A917" t="str">
            <v>51001_1</v>
          </cell>
        </row>
        <row r="918">
          <cell r="A918" t="str">
            <v>51002_1</v>
          </cell>
        </row>
        <row r="919">
          <cell r="A919" t="str">
            <v>58001_1</v>
          </cell>
        </row>
        <row r="920">
          <cell r="A920" t="str">
            <v>59001_1</v>
          </cell>
        </row>
        <row r="921">
          <cell r="A921" t="str">
            <v>59002_1</v>
          </cell>
        </row>
        <row r="922">
          <cell r="A922" t="str">
            <v>60001_1</v>
          </cell>
        </row>
        <row r="923">
          <cell r="A923" t="str">
            <v>60002_1</v>
          </cell>
        </row>
        <row r="924">
          <cell r="A924" t="str">
            <v>60002_2</v>
          </cell>
        </row>
        <row r="925">
          <cell r="A925" t="str">
            <v>60003_1</v>
          </cell>
        </row>
        <row r="926">
          <cell r="A926" t="str">
            <v>60003_2</v>
          </cell>
        </row>
        <row r="927">
          <cell r="A927" t="str">
            <v>60003_3</v>
          </cell>
        </row>
        <row r="928">
          <cell r="A928" t="str">
            <v>60004_1</v>
          </cell>
        </row>
        <row r="929">
          <cell r="A929" t="str">
            <v>60005_1</v>
          </cell>
        </row>
        <row r="930">
          <cell r="A930" t="str">
            <v>60006_1</v>
          </cell>
        </row>
        <row r="931">
          <cell r="A931" t="str">
            <v>60006_2</v>
          </cell>
        </row>
        <row r="932">
          <cell r="A932" t="str">
            <v>60006_3</v>
          </cell>
        </row>
        <row r="933">
          <cell r="A933" t="str">
            <v>60007_1</v>
          </cell>
        </row>
        <row r="934">
          <cell r="A934" t="str">
            <v>60007_2</v>
          </cell>
        </row>
        <row r="935">
          <cell r="A935" t="str">
            <v>60007_3</v>
          </cell>
        </row>
        <row r="936">
          <cell r="A936" t="str">
            <v>60010_1</v>
          </cell>
        </row>
        <row r="937">
          <cell r="A937" t="str">
            <v>60011_1</v>
          </cell>
        </row>
        <row r="938">
          <cell r="A938" t="str">
            <v>60011_2</v>
          </cell>
        </row>
        <row r="939">
          <cell r="A939" t="str">
            <v>60012_1</v>
          </cell>
        </row>
        <row r="940">
          <cell r="A940" t="str">
            <v>60013_1</v>
          </cell>
        </row>
        <row r="941">
          <cell r="A941" t="str">
            <v>60013_2</v>
          </cell>
        </row>
        <row r="942">
          <cell r="A942" t="str">
            <v>60013_3</v>
          </cell>
        </row>
        <row r="943">
          <cell r="A943" t="str">
            <v>60014_1</v>
          </cell>
        </row>
        <row r="944">
          <cell r="A944" t="str">
            <v>60015_1</v>
          </cell>
        </row>
        <row r="945">
          <cell r="A945" t="str">
            <v>60016_1</v>
          </cell>
        </row>
        <row r="946">
          <cell r="A946" t="str">
            <v>60017_1</v>
          </cell>
        </row>
        <row r="947">
          <cell r="A947" t="str">
            <v>60018_1</v>
          </cell>
        </row>
        <row r="948">
          <cell r="A948" t="str">
            <v>60019_1</v>
          </cell>
        </row>
        <row r="949">
          <cell r="A949" t="str">
            <v>60020_1</v>
          </cell>
        </row>
        <row r="950">
          <cell r="A950" t="str">
            <v>60021_3</v>
          </cell>
        </row>
        <row r="951">
          <cell r="A951" t="str">
            <v>60022_3</v>
          </cell>
        </row>
        <row r="952">
          <cell r="A952" t="str">
            <v>60023_3</v>
          </cell>
        </row>
        <row r="953">
          <cell r="A953" t="str">
            <v>60024_3</v>
          </cell>
        </row>
        <row r="954">
          <cell r="A954" t="str">
            <v>60025_1</v>
          </cell>
        </row>
        <row r="955">
          <cell r="A955" t="str">
            <v>60026_1</v>
          </cell>
        </row>
        <row r="956">
          <cell r="A956" t="str">
            <v>61011_1</v>
          </cell>
        </row>
        <row r="957">
          <cell r="A957" t="str">
            <v>60027_1</v>
          </cell>
        </row>
        <row r="958">
          <cell r="A958" t="str">
            <v>60028_1</v>
          </cell>
        </row>
        <row r="959">
          <cell r="A959" t="str">
            <v>65525_1</v>
          </cell>
        </row>
        <row r="960">
          <cell r="A960" t="str">
            <v>65526_1</v>
          </cell>
        </row>
        <row r="961">
          <cell r="A961" t="str">
            <v>65526_2</v>
          </cell>
        </row>
        <row r="962">
          <cell r="A962" t="str">
            <v>65527_1</v>
          </cell>
        </row>
        <row r="963">
          <cell r="A963" t="str">
            <v>65528_1</v>
          </cell>
        </row>
        <row r="964">
          <cell r="A964" t="str">
            <v>65529_1</v>
          </cell>
        </row>
        <row r="965">
          <cell r="A965" t="str">
            <v>65530_1</v>
          </cell>
        </row>
        <row r="966">
          <cell r="A966" t="str">
            <v>65531_1</v>
          </cell>
        </row>
        <row r="967">
          <cell r="A967" t="str">
            <v>65531_2</v>
          </cell>
        </row>
        <row r="968">
          <cell r="A968" t="str">
            <v>65532_1</v>
          </cell>
        </row>
        <row r="969">
          <cell r="A969" t="str">
            <v>65532_2</v>
          </cell>
        </row>
        <row r="970">
          <cell r="A970" t="str">
            <v>65533_1</v>
          </cell>
        </row>
        <row r="971">
          <cell r="A971" t="str">
            <v>65533_2</v>
          </cell>
        </row>
        <row r="972">
          <cell r="A972" t="str">
            <v>65534_1</v>
          </cell>
        </row>
        <row r="973">
          <cell r="A973" t="str">
            <v>65534_2</v>
          </cell>
        </row>
        <row r="974">
          <cell r="A974" t="str">
            <v>65535_1</v>
          </cell>
        </row>
        <row r="975">
          <cell r="A975" t="str">
            <v>65535_2</v>
          </cell>
        </row>
        <row r="976">
          <cell r="A976" t="str">
            <v>65535_3</v>
          </cell>
        </row>
        <row r="977">
          <cell r="A977" t="str">
            <v>65535_4</v>
          </cell>
        </row>
        <row r="978">
          <cell r="A978" t="str">
            <v>65535_5</v>
          </cell>
        </row>
        <row r="979">
          <cell r="A979" t="str">
            <v>65535_6</v>
          </cell>
        </row>
        <row r="980">
          <cell r="A980" t="str">
            <v>65535_7</v>
          </cell>
        </row>
        <row r="981">
          <cell r="A981" t="str">
            <v>65535_8</v>
          </cell>
        </row>
        <row r="982">
          <cell r="A982" t="str">
            <v>65535_9</v>
          </cell>
        </row>
        <row r="983">
          <cell r="A98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1504</v>
          </cell>
        </row>
        <row r="1346">
          <cell r="A1346">
            <v>1505</v>
          </cell>
        </row>
        <row r="1347">
          <cell r="A1347">
            <v>1506</v>
          </cell>
        </row>
        <row r="1348">
          <cell r="A1348">
            <v>1507</v>
          </cell>
        </row>
        <row r="1349">
          <cell r="A1349">
            <v>1508</v>
          </cell>
        </row>
        <row r="1350">
          <cell r="A1350">
            <v>1509</v>
          </cell>
        </row>
        <row r="1351">
          <cell r="A1351">
            <v>1510</v>
          </cell>
        </row>
        <row r="1352">
          <cell r="A1352">
            <v>1511</v>
          </cell>
        </row>
        <row r="1353">
          <cell r="A1353">
            <v>1512</v>
          </cell>
        </row>
        <row r="1354">
          <cell r="A1354">
            <v>1523</v>
          </cell>
        </row>
        <row r="1355">
          <cell r="A1355">
            <v>1524</v>
          </cell>
        </row>
        <row r="1356">
          <cell r="A1356">
            <v>1525</v>
          </cell>
        </row>
        <row r="1357">
          <cell r="A1357">
            <v>1526</v>
          </cell>
        </row>
        <row r="1358">
          <cell r="A1358">
            <v>5001</v>
          </cell>
        </row>
        <row r="1359">
          <cell r="A1359">
            <v>5002</v>
          </cell>
        </row>
        <row r="1360">
          <cell r="A1360">
            <v>5003</v>
          </cell>
        </row>
        <row r="1361">
          <cell r="A1361">
            <v>5004</v>
          </cell>
        </row>
        <row r="1362">
          <cell r="A1362">
            <v>5005</v>
          </cell>
        </row>
        <row r="1363">
          <cell r="A1363">
            <v>5006</v>
          </cell>
        </row>
        <row r="1364">
          <cell r="A1364">
            <v>5007</v>
          </cell>
        </row>
        <row r="1365">
          <cell r="A1365">
            <v>5008</v>
          </cell>
        </row>
        <row r="1366">
          <cell r="A1366">
            <v>6001</v>
          </cell>
        </row>
        <row r="1367">
          <cell r="A1367">
            <v>6002</v>
          </cell>
        </row>
        <row r="1368">
          <cell r="A1368">
            <v>6003</v>
          </cell>
        </row>
        <row r="1369">
          <cell r="A1369">
            <v>6004</v>
          </cell>
        </row>
        <row r="1370">
          <cell r="A1370">
            <v>6005</v>
          </cell>
        </row>
        <row r="1371">
          <cell r="A1371">
            <v>6006</v>
          </cell>
        </row>
        <row r="1372">
          <cell r="A1372">
            <v>6007</v>
          </cell>
        </row>
        <row r="1373">
          <cell r="A1373">
            <v>6008</v>
          </cell>
        </row>
        <row r="1374">
          <cell r="A1374">
            <v>6009</v>
          </cell>
        </row>
        <row r="1375">
          <cell r="A1375">
            <v>6010</v>
          </cell>
        </row>
        <row r="1376">
          <cell r="A1376">
            <v>6011</v>
          </cell>
        </row>
        <row r="1377">
          <cell r="A1377">
            <v>6012</v>
          </cell>
        </row>
        <row r="1378">
          <cell r="A1378">
            <v>6013</v>
          </cell>
        </row>
        <row r="1379">
          <cell r="A1379">
            <v>6014</v>
          </cell>
        </row>
        <row r="1380">
          <cell r="A1380">
            <v>6015</v>
          </cell>
        </row>
        <row r="1381">
          <cell r="A1381">
            <v>6016</v>
          </cell>
        </row>
        <row r="1382">
          <cell r="A1382">
            <v>6017</v>
          </cell>
        </row>
        <row r="1383">
          <cell r="A1383">
            <v>6018</v>
          </cell>
        </row>
        <row r="1384">
          <cell r="A1384">
            <v>6019</v>
          </cell>
        </row>
        <row r="1385">
          <cell r="A1385">
            <v>6020</v>
          </cell>
        </row>
        <row r="1386">
          <cell r="A1386">
            <v>8001</v>
          </cell>
        </row>
        <row r="1387">
          <cell r="A1387">
            <v>8002</v>
          </cell>
        </row>
        <row r="1388">
          <cell r="A1388">
            <v>8003</v>
          </cell>
        </row>
        <row r="1389">
          <cell r="A1389">
            <v>8004</v>
          </cell>
        </row>
        <row r="1390">
          <cell r="A1390">
            <v>8005</v>
          </cell>
        </row>
        <row r="1391">
          <cell r="A1391">
            <v>8006</v>
          </cell>
        </row>
        <row r="1392">
          <cell r="A1392">
            <v>8007</v>
          </cell>
        </row>
        <row r="1393">
          <cell r="A1393">
            <v>8008</v>
          </cell>
        </row>
        <row r="1394">
          <cell r="A1394">
            <v>8009</v>
          </cell>
        </row>
        <row r="1395">
          <cell r="A1395">
            <v>8010</v>
          </cell>
        </row>
        <row r="1396">
          <cell r="A1396">
            <v>8011</v>
          </cell>
        </row>
        <row r="1397">
          <cell r="A1397">
            <v>8012</v>
          </cell>
        </row>
        <row r="1398">
          <cell r="A1398">
            <v>8013</v>
          </cell>
        </row>
        <row r="1399">
          <cell r="A1399">
            <v>8014</v>
          </cell>
        </row>
        <row r="1400">
          <cell r="A1400">
            <v>8015</v>
          </cell>
        </row>
        <row r="1401">
          <cell r="A1401">
            <v>8016</v>
          </cell>
        </row>
        <row r="1402">
          <cell r="A1402">
            <v>8017</v>
          </cell>
        </row>
        <row r="1403">
          <cell r="A1403">
            <v>8018</v>
          </cell>
        </row>
        <row r="1404">
          <cell r="A1404">
            <v>8019</v>
          </cell>
        </row>
        <row r="1405">
          <cell r="A1405">
            <v>8020</v>
          </cell>
        </row>
        <row r="1406">
          <cell r="A1406">
            <v>8021</v>
          </cell>
        </row>
        <row r="1407">
          <cell r="A1407">
            <v>8022</v>
          </cell>
        </row>
        <row r="1408">
          <cell r="A1408">
            <v>8023</v>
          </cell>
        </row>
        <row r="1409">
          <cell r="A1409">
            <v>8024</v>
          </cell>
        </row>
        <row r="1410">
          <cell r="A1410">
            <v>8025</v>
          </cell>
        </row>
        <row r="1411">
          <cell r="A1411">
            <v>8026</v>
          </cell>
        </row>
        <row r="1412">
          <cell r="A1412">
            <v>8027</v>
          </cell>
        </row>
        <row r="1413">
          <cell r="A1413">
            <v>8028</v>
          </cell>
        </row>
        <row r="1414">
          <cell r="A1414">
            <v>8029</v>
          </cell>
        </row>
        <row r="1415">
          <cell r="A1415">
            <v>8030</v>
          </cell>
        </row>
        <row r="1416">
          <cell r="A1416">
            <v>8031</v>
          </cell>
        </row>
        <row r="1417">
          <cell r="A1417">
            <v>8032</v>
          </cell>
        </row>
        <row r="1418">
          <cell r="A1418">
            <v>8033</v>
          </cell>
        </row>
        <row r="1419">
          <cell r="A1419">
            <v>8034</v>
          </cell>
        </row>
        <row r="1420">
          <cell r="A1420">
            <v>8035</v>
          </cell>
        </row>
        <row r="1421">
          <cell r="A1421">
            <v>8036</v>
          </cell>
        </row>
        <row r="1422">
          <cell r="A1422">
            <v>8037</v>
          </cell>
        </row>
        <row r="1423">
          <cell r="A1423">
            <v>8038</v>
          </cell>
        </row>
        <row r="1424">
          <cell r="A1424">
            <v>8039</v>
          </cell>
        </row>
        <row r="1425">
          <cell r="A1425">
            <v>8040</v>
          </cell>
        </row>
        <row r="1426">
          <cell r="A1426">
            <v>8041</v>
          </cell>
        </row>
        <row r="1427">
          <cell r="A1427">
            <v>8042</v>
          </cell>
        </row>
        <row r="1428">
          <cell r="A1428">
            <v>8043</v>
          </cell>
        </row>
        <row r="1429">
          <cell r="A1429">
            <v>8044</v>
          </cell>
        </row>
        <row r="1430">
          <cell r="A1430">
            <v>8045</v>
          </cell>
        </row>
        <row r="1431">
          <cell r="A1431">
            <v>8046</v>
          </cell>
        </row>
        <row r="1432">
          <cell r="A1432">
            <v>8047</v>
          </cell>
        </row>
        <row r="1433">
          <cell r="A1433">
            <v>8048</v>
          </cell>
        </row>
        <row r="1434">
          <cell r="A1434">
            <v>8049</v>
          </cell>
        </row>
        <row r="1435">
          <cell r="A1435">
            <v>8050</v>
          </cell>
        </row>
        <row r="1436">
          <cell r="A1436">
            <v>8051</v>
          </cell>
        </row>
        <row r="1437">
          <cell r="A1437">
            <v>8052</v>
          </cell>
        </row>
        <row r="1438">
          <cell r="A1438">
            <v>8053</v>
          </cell>
        </row>
        <row r="1439">
          <cell r="A1439">
            <v>8054</v>
          </cell>
        </row>
        <row r="1440">
          <cell r="A1440">
            <v>8055</v>
          </cell>
        </row>
        <row r="1441">
          <cell r="A1441">
            <v>8056</v>
          </cell>
        </row>
        <row r="1442">
          <cell r="A1442">
            <v>8057</v>
          </cell>
        </row>
        <row r="1443">
          <cell r="A1443">
            <v>8058</v>
          </cell>
        </row>
        <row r="1444">
          <cell r="A1444">
            <v>8059</v>
          </cell>
        </row>
        <row r="1445">
          <cell r="A1445">
            <v>8060</v>
          </cell>
        </row>
        <row r="1446">
          <cell r="A1446">
            <v>8061</v>
          </cell>
        </row>
        <row r="1447">
          <cell r="A1447">
            <v>8062</v>
          </cell>
        </row>
        <row r="1448">
          <cell r="A1448">
            <v>8063</v>
          </cell>
        </row>
        <row r="1449">
          <cell r="A1449">
            <v>8064</v>
          </cell>
        </row>
        <row r="1450">
          <cell r="A1450">
            <v>8065</v>
          </cell>
        </row>
        <row r="1451">
          <cell r="A1451">
            <v>8066</v>
          </cell>
        </row>
        <row r="1452">
          <cell r="A1452">
            <v>8067</v>
          </cell>
        </row>
        <row r="1453">
          <cell r="A1453">
            <v>8068</v>
          </cell>
        </row>
        <row r="1454">
          <cell r="A1454">
            <v>8069</v>
          </cell>
        </row>
        <row r="1455">
          <cell r="A1455">
            <v>8070</v>
          </cell>
        </row>
        <row r="1456">
          <cell r="A1456">
            <v>8071</v>
          </cell>
        </row>
        <row r="1457">
          <cell r="A1457">
            <v>8072</v>
          </cell>
        </row>
        <row r="1458">
          <cell r="A1458">
            <v>8073</v>
          </cell>
        </row>
        <row r="1459">
          <cell r="A1459">
            <v>8074</v>
          </cell>
        </row>
        <row r="1460">
          <cell r="A1460">
            <v>8077</v>
          </cell>
        </row>
        <row r="1461">
          <cell r="A1461">
            <v>8078</v>
          </cell>
        </row>
        <row r="1462">
          <cell r="A1462">
            <v>8079</v>
          </cell>
        </row>
        <row r="1463">
          <cell r="A1463">
            <v>8080</v>
          </cell>
        </row>
        <row r="1464">
          <cell r="A1464">
            <v>8081</v>
          </cell>
        </row>
        <row r="1465">
          <cell r="A1465">
            <v>8082</v>
          </cell>
        </row>
        <row r="1466">
          <cell r="A1466">
            <v>8083</v>
          </cell>
        </row>
        <row r="1467">
          <cell r="A1467">
            <v>8084</v>
          </cell>
        </row>
        <row r="1468">
          <cell r="A1468">
            <v>8087</v>
          </cell>
        </row>
        <row r="1469">
          <cell r="A1469">
            <v>8088</v>
          </cell>
        </row>
        <row r="1470">
          <cell r="A1470">
            <v>8089</v>
          </cell>
        </row>
        <row r="1471">
          <cell r="A1471">
            <v>8090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  <row r="1476">
          <cell r="A1476">
            <v>8099</v>
          </cell>
        </row>
        <row r="1477">
          <cell r="A1477">
            <v>9001</v>
          </cell>
        </row>
        <row r="1478">
          <cell r="A1478">
            <v>9002</v>
          </cell>
        </row>
        <row r="1479">
          <cell r="A1479">
            <v>9003</v>
          </cell>
        </row>
        <row r="1480">
          <cell r="A1480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1452</v>
          </cell>
        </row>
        <row r="1406">
          <cell r="A1406">
            <v>1453</v>
          </cell>
        </row>
        <row r="1407">
          <cell r="A1407">
            <v>1454</v>
          </cell>
        </row>
        <row r="1408">
          <cell r="A1408">
            <v>1455</v>
          </cell>
        </row>
        <row r="1409">
          <cell r="A1409">
            <v>1456</v>
          </cell>
        </row>
        <row r="1410">
          <cell r="A1410">
            <v>1457</v>
          </cell>
        </row>
        <row r="1411">
          <cell r="A1411">
            <v>1458</v>
          </cell>
        </row>
        <row r="1412">
          <cell r="A1412">
            <v>1459</v>
          </cell>
        </row>
        <row r="1413">
          <cell r="A1413">
            <v>1460</v>
          </cell>
        </row>
        <row r="1414">
          <cell r="A1414">
            <v>1461</v>
          </cell>
        </row>
        <row r="1415">
          <cell r="A1415">
            <v>1462</v>
          </cell>
        </row>
        <row r="1416">
          <cell r="A1416">
            <v>1463</v>
          </cell>
        </row>
        <row r="1417">
          <cell r="A1417">
            <v>1464</v>
          </cell>
        </row>
        <row r="1418">
          <cell r="A1418">
            <v>1465</v>
          </cell>
        </row>
        <row r="1419">
          <cell r="A1419">
            <v>1466</v>
          </cell>
        </row>
        <row r="1420">
          <cell r="A1420">
            <v>1467</v>
          </cell>
        </row>
        <row r="1421">
          <cell r="A1421">
            <v>1468</v>
          </cell>
        </row>
        <row r="1422">
          <cell r="A1422">
            <v>1469</v>
          </cell>
        </row>
        <row r="1423">
          <cell r="A1423">
            <v>1470</v>
          </cell>
        </row>
        <row r="1424">
          <cell r="A1424">
            <v>1488</v>
          </cell>
        </row>
        <row r="1425">
          <cell r="A1425">
            <v>1489</v>
          </cell>
        </row>
        <row r="1426">
          <cell r="A1426">
            <v>1497</v>
          </cell>
        </row>
        <row r="1427">
          <cell r="A1427">
            <v>1498</v>
          </cell>
        </row>
        <row r="1428">
          <cell r="A1428">
            <v>1499</v>
          </cell>
        </row>
        <row r="1429">
          <cell r="A1429">
            <v>1500</v>
          </cell>
        </row>
        <row r="1430">
          <cell r="A1430">
            <v>1504</v>
          </cell>
        </row>
        <row r="1431">
          <cell r="A1431">
            <v>1505</v>
          </cell>
        </row>
        <row r="1432">
          <cell r="A1432">
            <v>1506</v>
          </cell>
        </row>
        <row r="1433">
          <cell r="A1433">
            <v>1507</v>
          </cell>
        </row>
        <row r="1434">
          <cell r="A1434">
            <v>1508</v>
          </cell>
        </row>
        <row r="1435">
          <cell r="A1435">
            <v>1509</v>
          </cell>
        </row>
        <row r="1436">
          <cell r="A1436">
            <v>1510</v>
          </cell>
        </row>
        <row r="1437">
          <cell r="A1437">
            <v>1511</v>
          </cell>
        </row>
        <row r="1438">
          <cell r="A1438">
            <v>1512</v>
          </cell>
        </row>
        <row r="1439">
          <cell r="A1439">
            <v>1513</v>
          </cell>
        </row>
        <row r="1440">
          <cell r="A1440">
            <v>1514</v>
          </cell>
        </row>
        <row r="1441">
          <cell r="A1441">
            <v>1515</v>
          </cell>
        </row>
        <row r="1442">
          <cell r="A1442">
            <v>1516</v>
          </cell>
        </row>
        <row r="1443">
          <cell r="A1443">
            <v>1517</v>
          </cell>
        </row>
        <row r="1444">
          <cell r="A1444">
            <v>1518</v>
          </cell>
        </row>
        <row r="1445">
          <cell r="A1445">
            <v>1519</v>
          </cell>
        </row>
        <row r="1446">
          <cell r="A1446">
            <v>1520</v>
          </cell>
        </row>
        <row r="1447">
          <cell r="A1447">
            <v>1521</v>
          </cell>
        </row>
        <row r="1448">
          <cell r="A1448">
            <v>1522</v>
          </cell>
        </row>
        <row r="1449">
          <cell r="A1449">
            <v>1523</v>
          </cell>
        </row>
        <row r="1450">
          <cell r="A1450">
            <v>1524</v>
          </cell>
        </row>
        <row r="1451">
          <cell r="A1451">
            <v>1525</v>
          </cell>
        </row>
        <row r="1452">
          <cell r="A1452">
            <v>1526</v>
          </cell>
        </row>
        <row r="1453">
          <cell r="A1453">
            <v>1527</v>
          </cell>
        </row>
        <row r="1454">
          <cell r="A1454">
            <v>1528</v>
          </cell>
        </row>
        <row r="1455">
          <cell r="A1455">
            <v>1529</v>
          </cell>
        </row>
        <row r="1456">
          <cell r="A1456">
            <v>1530</v>
          </cell>
        </row>
        <row r="1457">
          <cell r="A1457">
            <v>1531</v>
          </cell>
        </row>
        <row r="1458">
          <cell r="A1458">
            <v>1532</v>
          </cell>
        </row>
        <row r="1459">
          <cell r="A1459">
            <v>1533</v>
          </cell>
        </row>
        <row r="1460">
          <cell r="A1460">
            <v>1534</v>
          </cell>
        </row>
        <row r="1461">
          <cell r="A1461">
            <v>1535</v>
          </cell>
        </row>
        <row r="1462">
          <cell r="A1462">
            <v>1536</v>
          </cell>
        </row>
        <row r="1463">
          <cell r="A1463">
            <v>1537</v>
          </cell>
        </row>
        <row r="1464">
          <cell r="A1464">
            <v>1538</v>
          </cell>
        </row>
        <row r="1465">
          <cell r="A1465">
            <v>1539</v>
          </cell>
        </row>
        <row r="1466">
          <cell r="A1466">
            <v>1540</v>
          </cell>
        </row>
        <row r="1467">
          <cell r="A1467">
            <v>1541</v>
          </cell>
        </row>
        <row r="1468">
          <cell r="A1468">
            <v>1542</v>
          </cell>
        </row>
        <row r="1469">
          <cell r="A1469">
            <v>1543</v>
          </cell>
        </row>
        <row r="1470">
          <cell r="A1470">
            <v>1544</v>
          </cell>
        </row>
        <row r="1471">
          <cell r="A1471">
            <v>1545</v>
          </cell>
        </row>
        <row r="1472">
          <cell r="A1472">
            <v>1546</v>
          </cell>
        </row>
        <row r="1473">
          <cell r="A1473">
            <v>1547</v>
          </cell>
        </row>
        <row r="1474">
          <cell r="A1474">
            <v>1548</v>
          </cell>
        </row>
        <row r="1475">
          <cell r="A1475">
            <v>1549</v>
          </cell>
        </row>
        <row r="1476">
          <cell r="A1476">
            <v>1550</v>
          </cell>
        </row>
        <row r="1477">
          <cell r="A1477">
            <v>5001</v>
          </cell>
        </row>
        <row r="1478">
          <cell r="A1478">
            <v>5002</v>
          </cell>
        </row>
        <row r="1479">
          <cell r="A1479">
            <v>5003</v>
          </cell>
        </row>
        <row r="1480">
          <cell r="A1480">
            <v>5004</v>
          </cell>
        </row>
        <row r="1481">
          <cell r="A1481">
            <v>5005</v>
          </cell>
        </row>
        <row r="1482">
          <cell r="A1482">
            <v>5006</v>
          </cell>
        </row>
        <row r="1483">
          <cell r="A1483">
            <v>5007</v>
          </cell>
        </row>
        <row r="1484">
          <cell r="A1484">
            <v>5008</v>
          </cell>
        </row>
        <row r="1485">
          <cell r="A1485">
            <v>6001</v>
          </cell>
        </row>
        <row r="1486">
          <cell r="A1486">
            <v>6002</v>
          </cell>
        </row>
        <row r="1487">
          <cell r="A1487">
            <v>6003</v>
          </cell>
        </row>
        <row r="1488">
          <cell r="A1488">
            <v>6004</v>
          </cell>
        </row>
        <row r="1489">
          <cell r="A1489">
            <v>6005</v>
          </cell>
        </row>
        <row r="1490">
          <cell r="A1490">
            <v>6006</v>
          </cell>
        </row>
        <row r="1491">
          <cell r="A1491">
            <v>6007</v>
          </cell>
        </row>
        <row r="1492">
          <cell r="A1492">
            <v>6008</v>
          </cell>
        </row>
        <row r="1493">
          <cell r="A1493">
            <v>6009</v>
          </cell>
        </row>
        <row r="1494">
          <cell r="A1494">
            <v>6010</v>
          </cell>
        </row>
        <row r="1495">
          <cell r="A1495">
            <v>6011</v>
          </cell>
        </row>
        <row r="1496">
          <cell r="A1496">
            <v>6012</v>
          </cell>
        </row>
        <row r="1497">
          <cell r="A1497">
            <v>6013</v>
          </cell>
        </row>
        <row r="1498">
          <cell r="A1498">
            <v>6014</v>
          </cell>
        </row>
        <row r="1499">
          <cell r="A1499">
            <v>6015</v>
          </cell>
        </row>
        <row r="1500">
          <cell r="A1500">
            <v>6016</v>
          </cell>
        </row>
        <row r="1501">
          <cell r="A1501">
            <v>6017</v>
          </cell>
        </row>
        <row r="1502">
          <cell r="A1502">
            <v>6018</v>
          </cell>
        </row>
        <row r="1503">
          <cell r="A1503">
            <v>6019</v>
          </cell>
        </row>
        <row r="1504">
          <cell r="A1504">
            <v>6020</v>
          </cell>
        </row>
        <row r="1505">
          <cell r="A1505">
            <v>8001</v>
          </cell>
        </row>
        <row r="1506">
          <cell r="A1506">
            <v>8002</v>
          </cell>
        </row>
        <row r="1507">
          <cell r="A1507">
            <v>8003</v>
          </cell>
        </row>
        <row r="1508">
          <cell r="A1508">
            <v>8004</v>
          </cell>
        </row>
        <row r="1509">
          <cell r="A1509">
            <v>8005</v>
          </cell>
        </row>
        <row r="1510">
          <cell r="A1510">
            <v>8006</v>
          </cell>
        </row>
        <row r="1511">
          <cell r="A1511">
            <v>8007</v>
          </cell>
        </row>
        <row r="1512">
          <cell r="A1512">
            <v>8008</v>
          </cell>
        </row>
        <row r="1513">
          <cell r="A1513">
            <v>8009</v>
          </cell>
        </row>
        <row r="1514">
          <cell r="A1514">
            <v>8010</v>
          </cell>
        </row>
        <row r="1515">
          <cell r="A1515">
            <v>8011</v>
          </cell>
        </row>
        <row r="1516">
          <cell r="A1516">
            <v>8012</v>
          </cell>
        </row>
        <row r="1517">
          <cell r="A1517">
            <v>8013</v>
          </cell>
        </row>
        <row r="1518">
          <cell r="A1518">
            <v>8014</v>
          </cell>
        </row>
        <row r="1519">
          <cell r="A1519">
            <v>8015</v>
          </cell>
        </row>
        <row r="1520">
          <cell r="A1520">
            <v>8016</v>
          </cell>
        </row>
        <row r="1521">
          <cell r="A1521">
            <v>8017</v>
          </cell>
        </row>
        <row r="1522">
          <cell r="A1522">
            <v>8018</v>
          </cell>
        </row>
        <row r="1523">
          <cell r="A1523">
            <v>8019</v>
          </cell>
        </row>
        <row r="1524">
          <cell r="A1524">
            <v>8020</v>
          </cell>
        </row>
        <row r="1525">
          <cell r="A1525">
            <v>8021</v>
          </cell>
        </row>
        <row r="1526">
          <cell r="A1526">
            <v>8022</v>
          </cell>
        </row>
        <row r="1527">
          <cell r="A1527">
            <v>8023</v>
          </cell>
        </row>
        <row r="1528">
          <cell r="A1528">
            <v>8024</v>
          </cell>
        </row>
        <row r="1529">
          <cell r="A1529">
            <v>8025</v>
          </cell>
        </row>
        <row r="1530">
          <cell r="A1530">
            <v>8026</v>
          </cell>
        </row>
        <row r="1531">
          <cell r="A1531">
            <v>8027</v>
          </cell>
        </row>
        <row r="1532">
          <cell r="A1532">
            <v>8028</v>
          </cell>
        </row>
        <row r="1533">
          <cell r="A1533">
            <v>8029</v>
          </cell>
        </row>
        <row r="1534">
          <cell r="A1534">
            <v>8030</v>
          </cell>
        </row>
        <row r="1535">
          <cell r="A1535">
            <v>8031</v>
          </cell>
        </row>
        <row r="1536">
          <cell r="A1536">
            <v>8032</v>
          </cell>
        </row>
        <row r="1537">
          <cell r="A1537">
            <v>8033</v>
          </cell>
        </row>
        <row r="1538">
          <cell r="A1538">
            <v>8034</v>
          </cell>
        </row>
        <row r="1539">
          <cell r="A1539">
            <v>8035</v>
          </cell>
        </row>
        <row r="1540">
          <cell r="A1540">
            <v>8036</v>
          </cell>
        </row>
        <row r="1541">
          <cell r="A1541">
            <v>8037</v>
          </cell>
        </row>
        <row r="1542">
          <cell r="A1542">
            <v>8038</v>
          </cell>
        </row>
        <row r="1543">
          <cell r="A1543">
            <v>8039</v>
          </cell>
        </row>
        <row r="1544">
          <cell r="A1544">
            <v>8040</v>
          </cell>
        </row>
        <row r="1545">
          <cell r="A1545">
            <v>8041</v>
          </cell>
        </row>
        <row r="1546">
          <cell r="A1546">
            <v>8042</v>
          </cell>
        </row>
        <row r="1547">
          <cell r="A1547">
            <v>8043</v>
          </cell>
        </row>
        <row r="1548">
          <cell r="A1548">
            <v>8044</v>
          </cell>
        </row>
        <row r="1549">
          <cell r="A1549">
            <v>8045</v>
          </cell>
        </row>
        <row r="1550">
          <cell r="A1550">
            <v>8046</v>
          </cell>
        </row>
        <row r="1551">
          <cell r="A1551">
            <v>8047</v>
          </cell>
        </row>
        <row r="1552">
          <cell r="A1552">
            <v>8048</v>
          </cell>
        </row>
        <row r="1553">
          <cell r="A1553">
            <v>8049</v>
          </cell>
        </row>
        <row r="1554">
          <cell r="A1554">
            <v>8050</v>
          </cell>
        </row>
        <row r="1555">
          <cell r="A1555">
            <v>8051</v>
          </cell>
        </row>
        <row r="1556">
          <cell r="A1556">
            <v>8052</v>
          </cell>
        </row>
        <row r="1557">
          <cell r="A1557">
            <v>8053</v>
          </cell>
        </row>
        <row r="1558">
          <cell r="A1558">
            <v>8054</v>
          </cell>
        </row>
        <row r="1559">
          <cell r="A1559">
            <v>8055</v>
          </cell>
        </row>
        <row r="1560">
          <cell r="A1560">
            <v>8056</v>
          </cell>
        </row>
        <row r="1561">
          <cell r="A1561">
            <v>8057</v>
          </cell>
        </row>
        <row r="1562">
          <cell r="A1562">
            <v>8058</v>
          </cell>
        </row>
        <row r="1563">
          <cell r="A1563">
            <v>8059</v>
          </cell>
        </row>
        <row r="1564">
          <cell r="A1564">
            <v>8060</v>
          </cell>
        </row>
        <row r="1565">
          <cell r="A1565">
            <v>8061</v>
          </cell>
        </row>
        <row r="1566">
          <cell r="A1566">
            <v>8062</v>
          </cell>
        </row>
        <row r="1567">
          <cell r="A1567">
            <v>8063</v>
          </cell>
        </row>
        <row r="1568">
          <cell r="A1568">
            <v>8064</v>
          </cell>
        </row>
        <row r="1569">
          <cell r="A1569">
            <v>8065</v>
          </cell>
        </row>
        <row r="1570">
          <cell r="A1570">
            <v>8066</v>
          </cell>
        </row>
        <row r="1571">
          <cell r="A1571">
            <v>8067</v>
          </cell>
        </row>
        <row r="1572">
          <cell r="A1572">
            <v>8068</v>
          </cell>
        </row>
        <row r="1573">
          <cell r="A1573">
            <v>8069</v>
          </cell>
        </row>
        <row r="1574">
          <cell r="A1574">
            <v>8070</v>
          </cell>
        </row>
        <row r="1575">
          <cell r="A1575">
            <v>8071</v>
          </cell>
        </row>
        <row r="1576">
          <cell r="A1576">
            <v>8072</v>
          </cell>
        </row>
        <row r="1577">
          <cell r="A1577">
            <v>8073</v>
          </cell>
        </row>
        <row r="1578">
          <cell r="A1578">
            <v>8074</v>
          </cell>
        </row>
        <row r="1579">
          <cell r="A1579">
            <v>8075</v>
          </cell>
        </row>
        <row r="1580">
          <cell r="A1580">
            <v>8076</v>
          </cell>
        </row>
        <row r="1581">
          <cell r="A1581">
            <v>8077</v>
          </cell>
        </row>
        <row r="1582">
          <cell r="A1582">
            <v>8078</v>
          </cell>
        </row>
        <row r="1583">
          <cell r="A1583">
            <v>8079</v>
          </cell>
        </row>
        <row r="1584">
          <cell r="A1584">
            <v>8080</v>
          </cell>
        </row>
        <row r="1585">
          <cell r="A1585">
            <v>8081</v>
          </cell>
        </row>
        <row r="1586">
          <cell r="A1586">
            <v>8082</v>
          </cell>
        </row>
        <row r="1587">
          <cell r="A1587">
            <v>8083</v>
          </cell>
        </row>
        <row r="1588">
          <cell r="A1588">
            <v>8084</v>
          </cell>
        </row>
        <row r="1589">
          <cell r="A1589">
            <v>8087</v>
          </cell>
        </row>
        <row r="1590">
          <cell r="A1590">
            <v>8088</v>
          </cell>
        </row>
        <row r="1591">
          <cell r="A1591">
            <v>8089</v>
          </cell>
        </row>
        <row r="1592">
          <cell r="A1592">
            <v>8090</v>
          </cell>
        </row>
        <row r="1593">
          <cell r="A1593">
            <v>8095</v>
          </cell>
        </row>
        <row r="1594">
          <cell r="A1594">
            <v>8096</v>
          </cell>
        </row>
        <row r="1595">
          <cell r="A1595">
            <v>8097</v>
          </cell>
        </row>
        <row r="1596">
          <cell r="A1596">
            <v>8098</v>
          </cell>
        </row>
        <row r="1597">
          <cell r="A1597">
            <v>8099</v>
          </cell>
        </row>
        <row r="1598">
          <cell r="A1598">
            <v>9001</v>
          </cell>
        </row>
        <row r="1599">
          <cell r="A1599">
            <v>9002</v>
          </cell>
        </row>
        <row r="1600">
          <cell r="A1600">
            <v>9003</v>
          </cell>
        </row>
        <row r="1601">
          <cell r="A1601">
            <v>9004</v>
          </cell>
        </row>
        <row r="1602">
          <cell r="A1602">
            <v>10001</v>
          </cell>
        </row>
        <row r="1603">
          <cell r="A1603">
            <v>10002</v>
          </cell>
        </row>
        <row r="1604">
          <cell r="A1604">
            <v>10003</v>
          </cell>
        </row>
        <row r="1605">
          <cell r="A1605">
            <v>10004</v>
          </cell>
        </row>
        <row r="1606">
          <cell r="A1606">
            <v>10005</v>
          </cell>
        </row>
        <row r="1607">
          <cell r="A1607">
            <v>10006</v>
          </cell>
        </row>
        <row r="1608">
          <cell r="A1608">
            <v>10007</v>
          </cell>
        </row>
        <row r="1609">
          <cell r="A1609">
            <v>10008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H20" sqref="H20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275</v>
      </c>
      <c r="B2" s="57" t="s">
        <v>106</v>
      </c>
      <c r="C2" s="62">
        <v>41002</v>
      </c>
      <c r="D2" s="57" t="s">
        <v>107</v>
      </c>
      <c r="E2" s="56" t="str">
        <f>B2&amp;C2&amp;D2</f>
        <v>floors_41002.tmp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275</v>
      </c>
      <c r="B3" s="57" t="s">
        <v>109</v>
      </c>
      <c r="C3" s="62">
        <f>C$2</f>
        <v>41002</v>
      </c>
      <c r="D3" s="57" t="s">
        <v>107</v>
      </c>
      <c r="E3" s="56" t="str">
        <f>B3&amp;C3&amp;D3</f>
        <v>enemy_habitats_41002.tmp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178</v>
      </c>
    </row>
    <row r="4" spans="1:30" x14ac:dyDescent="0.15">
      <c r="A4" s="61" t="s">
        <v>275</v>
      </c>
      <c r="B4" s="57" t="s">
        <v>111</v>
      </c>
      <c r="C4" s="62">
        <f t="shared" ref="C4:C12" si="0">C$2</f>
        <v>41002</v>
      </c>
      <c r="D4" s="57" t="s">
        <v>107</v>
      </c>
      <c r="E4" s="56" t="str">
        <f>B4&amp;C4&amp;D4</f>
        <v>enemy_habitat_S_41002.tmp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275</v>
      </c>
      <c r="B5" s="57" t="s">
        <v>113</v>
      </c>
      <c r="C5" s="62">
        <f t="shared" si="0"/>
        <v>41002</v>
      </c>
      <c r="D5" s="57" t="s">
        <v>107</v>
      </c>
      <c r="E5" s="56" t="str">
        <f>B5&amp;C5&amp;D5</f>
        <v>enemy_skill_sets_41002.tmp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275</v>
      </c>
      <c r="B6" s="57" t="s">
        <v>115</v>
      </c>
      <c r="C6" s="62">
        <f t="shared" si="0"/>
        <v>41002</v>
      </c>
      <c r="D6" s="57" t="s">
        <v>116</v>
      </c>
      <c r="E6" s="56" t="str">
        <f t="shared" ref="E6:E10" si="1">B6&amp;C6&amp;D6</f>
        <v>enemy_skills_tmp_41002.tmp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275</v>
      </c>
      <c r="B7" s="57" t="s">
        <v>117</v>
      </c>
      <c r="C7" s="62">
        <f t="shared" si="0"/>
        <v>41002</v>
      </c>
      <c r="D7" s="57" t="s">
        <v>107</v>
      </c>
      <c r="E7" s="56" t="str">
        <f>B7&amp;C7&amp;D7</f>
        <v>enemy_skills_i18n_41002.tmp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275</v>
      </c>
      <c r="B8" s="57" t="s">
        <v>119</v>
      </c>
      <c r="C8" s="62">
        <f t="shared" si="0"/>
        <v>41002</v>
      </c>
      <c r="D8" s="57" t="s">
        <v>120</v>
      </c>
      <c r="E8" s="56" t="str">
        <f t="shared" si="1"/>
        <v>enemy_skill_triggers_41002.tmp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275</v>
      </c>
      <c r="B9" s="67" t="s">
        <v>177</v>
      </c>
      <c r="C9" s="62">
        <f t="shared" si="0"/>
        <v>41002</v>
      </c>
      <c r="D9" s="67" t="s">
        <v>171</v>
      </c>
      <c r="E9" s="68" t="str">
        <f t="shared" si="1"/>
        <v>stage_bug_bonuses_41002.tmp</v>
      </c>
      <c r="F9" s="67" t="s">
        <v>172</v>
      </c>
      <c r="G9" s="64" t="s">
        <v>150</v>
      </c>
      <c r="H9" s="64" t="s">
        <v>173</v>
      </c>
      <c r="I9" s="64" t="s">
        <v>174</v>
      </c>
      <c r="J9" s="66" t="s">
        <v>175</v>
      </c>
      <c r="K9" s="64" t="s">
        <v>176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</row>
    <row r="10" spans="1:30" s="75" customFormat="1" x14ac:dyDescent="0.15">
      <c r="A10" s="61" t="s">
        <v>275</v>
      </c>
      <c r="B10" s="67" t="s">
        <v>201</v>
      </c>
      <c r="C10" s="62">
        <f>C$2</f>
        <v>41002</v>
      </c>
      <c r="D10" s="67" t="s">
        <v>180</v>
      </c>
      <c r="E10" s="68" t="str">
        <f t="shared" si="1"/>
        <v>stage_hints_data_c_41002.tmp</v>
      </c>
      <c r="F10" s="67" t="s">
        <v>209</v>
      </c>
      <c r="G10" s="72" t="s">
        <v>181</v>
      </c>
      <c r="H10" s="72" t="s">
        <v>173</v>
      </c>
      <c r="I10" s="73" t="s">
        <v>182</v>
      </c>
      <c r="J10" s="66" t="s">
        <v>183</v>
      </c>
      <c r="K10" s="74" t="s">
        <v>184</v>
      </c>
    </row>
    <row r="11" spans="1:30" s="75" customFormat="1" x14ac:dyDescent="0.15">
      <c r="A11" s="61" t="s">
        <v>275</v>
      </c>
      <c r="B11" s="67" t="s">
        <v>202</v>
      </c>
      <c r="C11" s="62">
        <f t="shared" si="0"/>
        <v>41002</v>
      </c>
      <c r="D11" s="67" t="s">
        <v>171</v>
      </c>
      <c r="E11" s="68" t="str">
        <f t="shared" ref="E11:E12" si="2">B11&amp;C11&amp;D11</f>
        <v>stage_hints_data_f_41002.tmp</v>
      </c>
      <c r="F11" s="67" t="s">
        <v>211</v>
      </c>
      <c r="G11" s="72" t="s">
        <v>181</v>
      </c>
      <c r="H11" s="72" t="s">
        <v>173</v>
      </c>
      <c r="I11" s="73" t="s">
        <v>182</v>
      </c>
      <c r="J11" s="66" t="s">
        <v>183</v>
      </c>
      <c r="K11" s="74" t="s">
        <v>184</v>
      </c>
    </row>
    <row r="12" spans="1:30" s="75" customFormat="1" x14ac:dyDescent="0.15">
      <c r="A12" s="61" t="s">
        <v>275</v>
      </c>
      <c r="B12" s="67" t="s">
        <v>203</v>
      </c>
      <c r="C12" s="62">
        <f t="shared" si="0"/>
        <v>41002</v>
      </c>
      <c r="D12" s="67" t="s">
        <v>171</v>
      </c>
      <c r="E12" s="68" t="str">
        <f t="shared" si="2"/>
        <v>stage_hints_i18n_41002.tmp</v>
      </c>
      <c r="F12" s="67" t="s">
        <v>212</v>
      </c>
      <c r="G12" s="73" t="s">
        <v>204</v>
      </c>
      <c r="H12" s="95" t="s">
        <v>205</v>
      </c>
      <c r="I12" s="72" t="s">
        <v>206</v>
      </c>
      <c r="J12" s="96" t="s">
        <v>207</v>
      </c>
      <c r="K12" s="74" t="s">
        <v>208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D19" sqref="D19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3" si="0">G2&amp;"-"&amp;I2</f>
        <v>41002_1-1</v>
      </c>
      <c r="B2" s="16" t="str">
        <f>IF(COUNTIF(enemy_habitats!$H:$H,A2),"OK","NG")</f>
        <v>OK</v>
      </c>
      <c r="C2" s="7">
        <v>41002</v>
      </c>
      <c r="D2" s="11" t="str">
        <f ca="1">VLOOKUP($C2,OFFSET([2]quests!$A$1,0,0,COUNTA([2]quests!$A:$A),MATCH(D$1,[2]quests!$1:$1,0)-MATCH($C$1,[2]quests!$1:$1,0)+1),MATCH(D$1,[2]quests!$1:$1,0)-MATCH($C$1,[2]quests!$1:$1,0)+1,FALSE)</f>
        <v>アザゼル襲来！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降臨1</v>
      </c>
      <c r="F2" s="21">
        <v>1</v>
      </c>
      <c r="G2" s="23" t="str">
        <f t="shared" ref="G2:G13" si="1">C2&amp;"_"&amp;F2</f>
        <v>41002_1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【超絶級】アザゼル襲来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41002_1-2</v>
      </c>
      <c r="B3" s="16" t="str">
        <f>IF(COUNTIF(enemy_habitats!$H:$H,A3),"OK","NG")</f>
        <v>OK</v>
      </c>
      <c r="C3" s="7">
        <v>41002</v>
      </c>
      <c r="D3" s="11" t="str">
        <f ca="1">VLOOKUP($C3,OFFSET([2]quests!$A$1,0,0,COUNTA([2]quests!$A:$A),MATCH(D$1,[2]quests!$1:$1,0)-MATCH($C$1,[2]quests!$1:$1,0)+1),MATCH(D$1,[2]quests!$1:$1,0)-MATCH($C$1,[2]quests!$1:$1,0)+1,FALSE)</f>
        <v>アザゼル襲来！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降臨1</v>
      </c>
      <c r="F3" s="21">
        <v>1</v>
      </c>
      <c r="G3" s="23" t="str">
        <f t="shared" si="1"/>
        <v>41002_1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【超絶級】アザゼル襲来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41002_1-3</v>
      </c>
      <c r="B4" s="16" t="str">
        <f>IF(COUNTIF(enemy_habitats!$H:$H,A4),"OK","NG")</f>
        <v>OK</v>
      </c>
      <c r="C4" s="7">
        <v>41002</v>
      </c>
      <c r="D4" s="11" t="str">
        <f ca="1">VLOOKUP($C4,OFFSET([2]quests!$A$1,0,0,COUNTA([2]quests!$A:$A),MATCH(D$1,[2]quests!$1:$1,0)-MATCH($C$1,[2]quests!$1:$1,0)+1),MATCH(D$1,[2]quests!$1:$1,0)-MATCH($C$1,[2]quests!$1:$1,0)+1,FALSE)</f>
        <v>アザゼル襲来！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降臨1</v>
      </c>
      <c r="F4" s="21">
        <v>1</v>
      </c>
      <c r="G4" s="23" t="str">
        <f t="shared" si="1"/>
        <v>41002_1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【超絶級】アザゼル襲来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41002_1-4</v>
      </c>
      <c r="B5" s="16" t="str">
        <f>IF(COUNTIF(enemy_habitats!$H:$H,A5),"OK","NG")</f>
        <v>OK</v>
      </c>
      <c r="C5" s="7">
        <v>41002</v>
      </c>
      <c r="D5" s="11" t="str">
        <f ca="1">VLOOKUP($C5,OFFSET([2]quests!$A$1,0,0,COUNTA([2]quests!$A:$A),MATCH(D$1,[2]quests!$1:$1,0)-MATCH($C$1,[2]quests!$1:$1,0)+1),MATCH(D$1,[2]quests!$1:$1,0)-MATCH($C$1,[2]quests!$1:$1,0)+1,FALSE)</f>
        <v>アザゼル襲来！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降臨1</v>
      </c>
      <c r="F5" s="21">
        <v>1</v>
      </c>
      <c r="G5" s="23" t="str">
        <f t="shared" si="1"/>
        <v>41002_1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【超絶級】アザゼル襲来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41002_2-1</v>
      </c>
      <c r="B6" s="16" t="str">
        <f>IF(COUNTIF(enemy_habitats!$H:$H,A6),"OK","NG")</f>
        <v>OK</v>
      </c>
      <c r="C6" s="7">
        <v>41002</v>
      </c>
      <c r="D6" s="11" t="str">
        <f ca="1">VLOOKUP($C6,OFFSET([2]quests!$A$1,0,0,COUNTA([2]quests!$A:$A),MATCH(D$1,[2]quests!$1:$1,0)-MATCH($C$1,[2]quests!$1:$1,0)+1),MATCH(D$1,[2]quests!$1:$1,0)-MATCH($C$1,[2]quests!$1:$1,0)+1,FALSE)</f>
        <v>アザゼル襲来！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降臨1</v>
      </c>
      <c r="F6" s="21">
        <v>2</v>
      </c>
      <c r="G6" s="23" t="str">
        <f t="shared" si="1"/>
        <v>41002_2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【ウィザード級】アザゼル襲来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41002_2-2</v>
      </c>
      <c r="B7" s="16" t="str">
        <f>IF(COUNTIF(enemy_habitats!$H:$H,A7),"OK","NG")</f>
        <v>OK</v>
      </c>
      <c r="C7" s="7">
        <v>41002</v>
      </c>
      <c r="D7" s="11" t="str">
        <f ca="1">VLOOKUP($C7,OFFSET([2]quests!$A$1,0,0,COUNTA([2]quests!$A:$A),MATCH(D$1,[2]quests!$1:$1,0)-MATCH($C$1,[2]quests!$1:$1,0)+1),MATCH(D$1,[2]quests!$1:$1,0)-MATCH($C$1,[2]quests!$1:$1,0)+1,FALSE)</f>
        <v>アザゼル襲来！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降臨1</v>
      </c>
      <c r="F7" s="21">
        <v>2</v>
      </c>
      <c r="G7" s="23" t="str">
        <f t="shared" si="1"/>
        <v>41002_2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【ウィザード級】アザゼル襲来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41002_2-3</v>
      </c>
      <c r="B8" s="16" t="str">
        <f>IF(COUNTIF(enemy_habitats!$H:$H,A8),"OK","NG")</f>
        <v>OK</v>
      </c>
      <c r="C8" s="7">
        <v>41002</v>
      </c>
      <c r="D8" s="11" t="str">
        <f ca="1">VLOOKUP($C8,OFFSET([2]quests!$A$1,0,0,COUNTA([2]quests!$A:$A),MATCH(D$1,[2]quests!$1:$1,0)-MATCH($C$1,[2]quests!$1:$1,0)+1),MATCH(D$1,[2]quests!$1:$1,0)-MATCH($C$1,[2]quests!$1:$1,0)+1,FALSE)</f>
        <v>アザゼル襲来！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降臨1</v>
      </c>
      <c r="F8" s="21">
        <v>2</v>
      </c>
      <c r="G8" s="23" t="str">
        <f t="shared" si="1"/>
        <v>41002_2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【ウィザード級】アザゼル襲来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41002_2-4</v>
      </c>
      <c r="B9" s="16" t="str">
        <f>IF(COUNTIF(enemy_habitats!$H:$H,A9),"OK","NG")</f>
        <v>OK</v>
      </c>
      <c r="C9" s="7">
        <v>41002</v>
      </c>
      <c r="D9" s="11" t="str">
        <f ca="1">VLOOKUP($C9,OFFSET([2]quests!$A$1,0,0,COUNTA([2]quests!$A:$A),MATCH(D$1,[2]quests!$1:$1,0)-MATCH($C$1,[2]quests!$1:$1,0)+1),MATCH(D$1,[2]quests!$1:$1,0)-MATCH($C$1,[2]quests!$1:$1,0)+1,FALSE)</f>
        <v>アザゼル襲来！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降臨1</v>
      </c>
      <c r="F9" s="21">
        <v>2</v>
      </c>
      <c r="G9" s="23" t="str">
        <f t="shared" si="1"/>
        <v>41002_2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【ウィザード級】アザゼル襲来</v>
      </c>
      <c r="I9" s="21">
        <v>4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41002_3-1</v>
      </c>
      <c r="B10" s="16" t="str">
        <f>IF(COUNTIF(enemy_habitats!$H:$H,A10),"OK","NG")</f>
        <v>OK</v>
      </c>
      <c r="C10" s="7">
        <v>41002</v>
      </c>
      <c r="D10" s="11" t="str">
        <f ca="1">VLOOKUP($C10,OFFSET([2]quests!$A$1,0,0,COUNTA([2]quests!$A:$A),MATCH(D$1,[2]quests!$1:$1,0)-MATCH($C$1,[2]quests!$1:$1,0)+1),MATCH(D$1,[2]quests!$1:$1,0)-MATCH($C$1,[2]quests!$1:$1,0)+1,FALSE)</f>
        <v>アザゼル襲来！</v>
      </c>
      <c r="E10" s="18" t="str">
        <f ca="1">VLOOKUP($C10,OFFSET([2]quests!$A$1,0,0,COUNTA([2]quests!$A:$A),MATCH(E$1,[2]quests!$1:$1,0)-MATCH($C$1,[2]quests!$1:$1,0)+1),MATCH(E$1,[2]quests!$1:$1,0)-MATCH($C$1,[2]quests!$1:$1,0)+1,FALSE)</f>
        <v>降臨1</v>
      </c>
      <c r="F10" s="21">
        <v>3</v>
      </c>
      <c r="G10" s="23" t="str">
        <f t="shared" si="1"/>
        <v>41002_3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【ノーコンテニュー】アザゼル襲来</v>
      </c>
      <c r="I10" s="21">
        <v>1</v>
      </c>
      <c r="J10" s="12">
        <v>60</v>
      </c>
      <c r="K10" s="12">
        <v>60</v>
      </c>
    </row>
    <row r="11" spans="1:11" ht="21" customHeight="1" x14ac:dyDescent="0.15">
      <c r="A11" s="16" t="str">
        <f t="shared" si="0"/>
        <v>41002_3-2</v>
      </c>
      <c r="B11" s="16" t="str">
        <f>IF(COUNTIF(enemy_habitats!$H:$H,A11),"OK","NG")</f>
        <v>OK</v>
      </c>
      <c r="C11" s="7">
        <v>41002</v>
      </c>
      <c r="D11" s="11" t="str">
        <f ca="1">VLOOKUP($C11,OFFSET([2]quests!$A$1,0,0,COUNTA([2]quests!$A:$A),MATCH(D$1,[2]quests!$1:$1,0)-MATCH($C$1,[2]quests!$1:$1,0)+1),MATCH(D$1,[2]quests!$1:$1,0)-MATCH($C$1,[2]quests!$1:$1,0)+1,FALSE)</f>
        <v>アザゼル襲来！</v>
      </c>
      <c r="E11" s="18" t="str">
        <f ca="1">VLOOKUP($C11,OFFSET([2]quests!$A$1,0,0,COUNTA([2]quests!$A:$A),MATCH(E$1,[2]quests!$1:$1,0)-MATCH($C$1,[2]quests!$1:$1,0)+1),MATCH(E$1,[2]quests!$1:$1,0)-MATCH($C$1,[2]quests!$1:$1,0)+1,FALSE)</f>
        <v>降臨1</v>
      </c>
      <c r="F11" s="21">
        <v>3</v>
      </c>
      <c r="G11" s="23" t="str">
        <f t="shared" si="1"/>
        <v>41002_3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【ノーコンテニュー】アザゼル襲来</v>
      </c>
      <c r="I11" s="21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0"/>
        <v>41002_3-3</v>
      </c>
      <c r="B12" s="16" t="str">
        <f>IF(COUNTIF(enemy_habitats!$H:$H,A12),"OK","NG")</f>
        <v>OK</v>
      </c>
      <c r="C12" s="7">
        <v>41002</v>
      </c>
      <c r="D12" s="11" t="str">
        <f ca="1">VLOOKUP($C12,OFFSET([2]quests!$A$1,0,0,COUNTA([2]quests!$A:$A),MATCH(D$1,[2]quests!$1:$1,0)-MATCH($C$1,[2]quests!$1:$1,0)+1),MATCH(D$1,[2]quests!$1:$1,0)-MATCH($C$1,[2]quests!$1:$1,0)+1,FALSE)</f>
        <v>アザゼル襲来！</v>
      </c>
      <c r="E12" s="18" t="str">
        <f ca="1">VLOOKUP($C12,OFFSET([2]quests!$A$1,0,0,COUNTA([2]quests!$A:$A),MATCH(E$1,[2]quests!$1:$1,0)-MATCH($C$1,[2]quests!$1:$1,0)+1),MATCH(E$1,[2]quests!$1:$1,0)-MATCH($C$1,[2]quests!$1:$1,0)+1,FALSE)</f>
        <v>降臨1</v>
      </c>
      <c r="F12" s="21">
        <v>3</v>
      </c>
      <c r="G12" s="23" t="str">
        <f t="shared" si="1"/>
        <v>41002_3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【ノーコンテニュー】アザゼル襲来</v>
      </c>
      <c r="I12" s="21">
        <v>3</v>
      </c>
      <c r="J12" s="12">
        <v>60</v>
      </c>
      <c r="K12" s="12">
        <v>60</v>
      </c>
    </row>
    <row r="13" spans="1:11" ht="21" customHeight="1" x14ac:dyDescent="0.15">
      <c r="A13" s="16" t="str">
        <f t="shared" si="0"/>
        <v>41002_3-4</v>
      </c>
      <c r="B13" s="16" t="str">
        <f>IF(COUNTIF(enemy_habitats!$H:$H,A13),"OK","NG")</f>
        <v>OK</v>
      </c>
      <c r="C13" s="7">
        <v>41002</v>
      </c>
      <c r="D13" s="11" t="str">
        <f ca="1">VLOOKUP($C13,OFFSET([2]quests!$A$1,0,0,COUNTA([2]quests!$A:$A),MATCH(D$1,[2]quests!$1:$1,0)-MATCH($C$1,[2]quests!$1:$1,0)+1),MATCH(D$1,[2]quests!$1:$1,0)-MATCH($C$1,[2]quests!$1:$1,0)+1,FALSE)</f>
        <v>アザゼル襲来！</v>
      </c>
      <c r="E13" s="18" t="str">
        <f ca="1">VLOOKUP($C13,OFFSET([2]quests!$A$1,0,0,COUNTA([2]quests!$A:$A),MATCH(E$1,[2]quests!$1:$1,0)-MATCH($C$1,[2]quests!$1:$1,0)+1),MATCH(E$1,[2]quests!$1:$1,0)-MATCH($C$1,[2]quests!$1:$1,0)+1,FALSE)</f>
        <v>降臨1</v>
      </c>
      <c r="F13" s="21">
        <v>3</v>
      </c>
      <c r="G13" s="23" t="str">
        <f t="shared" si="1"/>
        <v>41002_3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【ノーコンテニュー】アザゼル襲来</v>
      </c>
      <c r="I13" s="21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26"/>
  <sheetViews>
    <sheetView showGridLines="0" zoomScale="85" zoomScaleNormal="85" zoomScalePageLayoutView="8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T26" sqref="T26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8.1640625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179</v>
      </c>
    </row>
    <row r="2" spans="1:40" ht="21" customHeight="1" x14ac:dyDescent="0.15">
      <c r="A2" s="16" t="str">
        <f t="shared" ref="A2:A9" ca="1" si="0">B2&amp;"_"&amp;C2&amp;"-"&amp;G2&amp;"/"&amp;L2&amp;"&lt;lv"&amp;R2&amp;"&gt;s"&amp;AA2</f>
        <v>41002_1-1/171&lt;lv70&gt;s2</v>
      </c>
      <c r="B2" s="22">
        <v>41002</v>
      </c>
      <c r="C2" s="21">
        <v>1</v>
      </c>
      <c r="D2" s="2" t="str">
        <f t="shared" ref="D2:D9" si="1">B2&amp;"_"&amp;C2</f>
        <v>41002_1</v>
      </c>
      <c r="E2" s="4" t="str">
        <f ca="1">VLOOKUP($B2,OFFSET([2]quests!$A$1,0,0,COUNTA([2]quests!$A:$A),MATCH(E$1,[2]quests!$1:$1,0)-MATCH($B$1,[2]quests!$1:$1,0)+1),MATCH(E$1,[2]quests!$1:$1,0)-MATCH($B$1,[2]quests!$1:$1,0)+1,FALSE)</f>
        <v>アザゼル襲来！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【超絶級】アザゼル襲来</v>
      </c>
      <c r="G2" s="21">
        <v>1</v>
      </c>
      <c r="H2" s="15" t="str">
        <f t="shared" ref="H2:H9" si="2">B2&amp;"_"&amp;C2&amp;"-"&amp;G2</f>
        <v>41002_1-1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171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精解の預知者 オセ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97">
        <v>70</v>
      </c>
      <c r="S2" s="98">
        <v>2.8</v>
      </c>
      <c r="T2" s="98">
        <v>1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2回連続攻撃</v>
      </c>
      <c r="W2" s="106">
        <v>41002017</v>
      </c>
      <c r="X2" s="99">
        <v>0</v>
      </c>
      <c r="Y2" s="99">
        <v>100</v>
      </c>
      <c r="Z2" s="99">
        <v>1</v>
      </c>
      <c r="AA2" s="17">
        <f ca="1">VLOOKUP($L2,OFFSET([3]enemies!$A$1,0,0,COUNTA([3]enemies!$A:$A),MATCH(AA$1,[3]enemies!$1:$1,0)-MATCH($L$1,[3]enemies!$1:$1,0)+1),MATCH(AA$1,[3]enemies!$1:$1,0)-MATCH($L$1,[3]enemies!$1:$1,0)+1,FALSE)</f>
        <v>2</v>
      </c>
      <c r="AB2" s="24">
        <f t="shared" ref="AB2:AB8" si="3">L2</f>
        <v>171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精解の預知者 オセ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5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2" s="7">
        <v>1</v>
      </c>
      <c r="AG2" s="24">
        <f t="shared" ref="AG2:AG9" ca="1" si="4">AD2</f>
        <v>5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ca="1">B3&amp;"_"&amp;C3&amp;"-"&amp;G3&amp;"/"&amp;L3&amp;"&lt;lv"&amp;R3&amp;"&gt;s"&amp;AA3</f>
        <v>41002_1-2/361&lt;lv60&gt;s3</v>
      </c>
      <c r="B3" s="22">
        <v>41002</v>
      </c>
      <c r="C3" s="21">
        <v>1</v>
      </c>
      <c r="D3" s="2" t="str">
        <f>B3&amp;"_"&amp;C3</f>
        <v>41002_1</v>
      </c>
      <c r="E3" s="4" t="str">
        <f ca="1">VLOOKUP($B3,OFFSET([2]quests!$A$1,0,0,COUNTA([2]quests!$A:$A),MATCH(E$1,[2]quests!$1:$1,0)-MATCH($B$1,[2]quests!$1:$1,0)+1),MATCH(E$1,[2]quests!$1:$1,0)-MATCH($B$1,[2]quests!$1:$1,0)+1,FALSE)</f>
        <v>アザゼル襲来！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【超絶級】アザゼル襲来</v>
      </c>
      <c r="G3" s="21">
        <v>2</v>
      </c>
      <c r="H3" s="15" t="str">
        <f>B3&amp;"_"&amp;C3&amp;"-"&amp;G3</f>
        <v>41002_1-2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361</v>
      </c>
      <c r="M3" s="17" t="str">
        <f ca="1">VLOOKUP($L3,OFFSET([3]enemies!$A$1,0,0,COUNTA([3]enemies!$A:$A),MATCH(M$1,[3]enemies!$1:$1,0)-MATCH($L$1,[3]enemies!$1:$1,0)+1),MATCH(M$1,[3]enemies!$1:$1,0)-MATCH($L$1,[3]enemies!$1:$1,0)+1,FALSE)</f>
        <v>灼熱の鉄板 ガンテツ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97">
        <v>60</v>
      </c>
      <c r="S3" s="25">
        <v>1</v>
      </c>
      <c r="T3" s="25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3ターン攻撃力UP</v>
      </c>
      <c r="W3" s="106">
        <v>41002008</v>
      </c>
      <c r="X3" s="6">
        <v>1</v>
      </c>
      <c r="Y3" s="6">
        <v>100</v>
      </c>
      <c r="Z3" s="6">
        <v>0</v>
      </c>
      <c r="AA3" s="17">
        <f ca="1">VLOOKUP($L3,OFFSET([3]enemies!$A$1,0,0,COUNTA([3]enemies!$A:$A),MATCH(AA$1,[3]enemies!$1:$1,0)-MATCH($L$1,[3]enemies!$1:$1,0)+1),MATCH(AA$1,[3]enemies!$1:$1,0)-MATCH($L$1,[3]enemies!$1:$1,0)+1,FALSE)</f>
        <v>3</v>
      </c>
      <c r="AB3" s="24">
        <f>L3</f>
        <v>361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灼熱の鉄板 ガンテツ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Drop1S</v>
      </c>
      <c r="AF3" s="7">
        <v>1</v>
      </c>
      <c r="AG3" s="24">
        <f ca="1">AD3</f>
        <v>3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>B4&amp;"_"&amp;C4&amp;"-"&amp;G4&amp;"/"&amp;L4&amp;"&lt;lv"&amp;R4&amp;"&gt;s"&amp;AA4</f>
        <v>41002_1-2/363&lt;lv60&gt;s2</v>
      </c>
      <c r="B4" s="22">
        <v>41002</v>
      </c>
      <c r="C4" s="21">
        <v>1</v>
      </c>
      <c r="D4" s="2" t="str">
        <f>B4&amp;"_"&amp;C4</f>
        <v>41002_1</v>
      </c>
      <c r="E4" s="4" t="str">
        <f ca="1">VLOOKUP($B4,OFFSET([2]quests!$A$1,0,0,COUNTA([2]quests!$A:$A),MATCH(E$1,[2]quests!$1:$1,0)-MATCH($B$1,[2]quests!$1:$1,0)+1),MATCH(E$1,[2]quests!$1:$1,0)-MATCH($B$1,[2]quests!$1:$1,0)+1,FALSE)</f>
        <v>アザゼル襲来！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【超絶級】アザゼル襲来</v>
      </c>
      <c r="G4" s="21">
        <v>2</v>
      </c>
      <c r="H4" s="15" t="str">
        <f>B4&amp;"_"&amp;C4&amp;"-"&amp;G4</f>
        <v>41002_1-2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363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花咲く幼精 ゆらら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97">
        <v>60</v>
      </c>
      <c r="S4" s="25">
        <v>1.2</v>
      </c>
      <c r="T4" s="25">
        <v>1.3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3ターンの間ダメージを受ける</v>
      </c>
      <c r="W4" s="106">
        <v>41002009</v>
      </c>
      <c r="X4" s="6">
        <v>1</v>
      </c>
      <c r="Y4" s="6">
        <v>100</v>
      </c>
      <c r="Z4" s="6">
        <v>0</v>
      </c>
      <c r="AA4" s="101">
        <v>2</v>
      </c>
      <c r="AB4" s="24">
        <f>L4</f>
        <v>363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花咲く幼精 ゆらら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Drop1S</v>
      </c>
      <c r="AF4" s="7">
        <v>1</v>
      </c>
      <c r="AG4" s="24">
        <f ca="1">AD4</f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ca="1">B5&amp;"_"&amp;C5&amp;"-"&amp;G5&amp;"/"&amp;L5&amp;"&lt;lv"&amp;R5&amp;"&gt;s"&amp;AA5</f>
        <v>41002_1-2/365&lt;lv50&gt;s3</v>
      </c>
      <c r="B5" s="22">
        <v>41002</v>
      </c>
      <c r="C5" s="21">
        <v>1</v>
      </c>
      <c r="D5" s="2" t="str">
        <f>B5&amp;"_"&amp;C5</f>
        <v>41002_1</v>
      </c>
      <c r="E5" s="4" t="str">
        <f ca="1">VLOOKUP($B5,OFFSET([2]quests!$A$1,0,0,COUNTA([2]quests!$A:$A),MATCH(E$1,[2]quests!$1:$1,0)-MATCH($B$1,[2]quests!$1:$1,0)+1),MATCH(E$1,[2]quests!$1:$1,0)-MATCH($B$1,[2]quests!$1:$1,0)+1,FALSE)</f>
        <v>アザゼル襲来！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【超絶級】アザゼル襲来</v>
      </c>
      <c r="G5" s="21">
        <v>2</v>
      </c>
      <c r="H5" s="15" t="str">
        <f>B5&amp;"_"&amp;C5&amp;"-"&amp;G5</f>
        <v>41002_1-2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365</v>
      </c>
      <c r="M5" s="17" t="str">
        <f ca="1">VLOOKUP($L5,OFFSET([3]enemies!$A$1,0,0,COUNTA([3]enemies!$A:$A),MATCH(M$1,[3]enemies!$1:$1,0)-MATCH($L$1,[3]enemies!$1:$1,0)+1),MATCH(M$1,[3]enemies!$1:$1,0)-MATCH($L$1,[3]enemies!$1:$1,0)+1,FALSE)</f>
        <v>惨劇の人形 ノエル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97">
        <v>50</v>
      </c>
      <c r="S5" s="25">
        <v>1.5</v>
      </c>
      <c r="T5" s="25">
        <v>0.8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ユニット1体に3ターンスリープ</v>
      </c>
      <c r="W5" s="106">
        <v>41002010</v>
      </c>
      <c r="X5" s="6">
        <v>1</v>
      </c>
      <c r="Y5" s="6">
        <v>100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3</v>
      </c>
      <c r="AB5" s="24">
        <f>L5</f>
        <v>365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惨劇の人形 ノエル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Drop1S</v>
      </c>
      <c r="AF5" s="7">
        <v>1</v>
      </c>
      <c r="AG5" s="24">
        <f ca="1">AD5</f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>B6&amp;"_"&amp;C6&amp;"-"&amp;G6&amp;"/"&amp;L6&amp;"&lt;lv"&amp;R6&amp;"&gt;s"&amp;AA6</f>
        <v>41002_1-2/367&lt;lv60&gt;s2</v>
      </c>
      <c r="B6" s="22">
        <v>41002</v>
      </c>
      <c r="C6" s="21">
        <v>1</v>
      </c>
      <c r="D6" s="2" t="str">
        <f>B6&amp;"_"&amp;C6</f>
        <v>41002_1</v>
      </c>
      <c r="E6" s="4" t="str">
        <f ca="1">VLOOKUP($B6,OFFSET([2]quests!$A$1,0,0,COUNTA([2]quests!$A:$A),MATCH(E$1,[2]quests!$1:$1,0)-MATCH($B$1,[2]quests!$1:$1,0)+1),MATCH(E$1,[2]quests!$1:$1,0)-MATCH($B$1,[2]quests!$1:$1,0)+1,FALSE)</f>
        <v>アザゼル襲来！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【超絶級】アザゼル襲来</v>
      </c>
      <c r="G6" s="21">
        <v>2</v>
      </c>
      <c r="H6" s="15" t="str">
        <f>B6&amp;"_"&amp;C6&amp;"-"&amp;G6</f>
        <v>41002_1-2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367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爆進の小兵 トト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97">
        <v>60</v>
      </c>
      <c r="S6" s="25">
        <v>1.5</v>
      </c>
      <c r="T6" s="25">
        <v>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3ターンスキルが使えない！</v>
      </c>
      <c r="W6" s="106">
        <v>41002011</v>
      </c>
      <c r="X6" s="6">
        <v>1</v>
      </c>
      <c r="Y6" s="6">
        <v>100</v>
      </c>
      <c r="Z6" s="6">
        <v>0</v>
      </c>
      <c r="AA6" s="101">
        <v>2</v>
      </c>
      <c r="AB6" s="24">
        <f>L6</f>
        <v>367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爆進の小兵 トト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3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" s="7">
        <v>1</v>
      </c>
      <c r="AG6" s="24">
        <f ca="1">AD6</f>
        <v>3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si="0"/>
        <v>41002_1-3/161&lt;lv60&gt;s2</v>
      </c>
      <c r="B7" s="22">
        <v>41002</v>
      </c>
      <c r="C7" s="21">
        <v>1</v>
      </c>
      <c r="D7" s="2" t="str">
        <f t="shared" si="1"/>
        <v>41002_1</v>
      </c>
      <c r="E7" s="4" t="str">
        <f ca="1">VLOOKUP($B7,OFFSET([2]quests!$A$1,0,0,COUNTA([2]quests!$A:$A),MATCH(E$1,[2]quests!$1:$1,0)-MATCH($B$1,[2]quests!$1:$1,0)+1),MATCH(E$1,[2]quests!$1:$1,0)-MATCH($B$1,[2]quests!$1:$1,0)+1,FALSE)</f>
        <v>アザゼル襲来！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【超絶級】アザゼル襲来</v>
      </c>
      <c r="G7" s="21">
        <v>3</v>
      </c>
      <c r="H7" s="15" t="str">
        <f t="shared" si="2"/>
        <v>41002_1-3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161</v>
      </c>
      <c r="M7" s="17" t="str">
        <f ca="1">VLOOKUP($L7,OFFSET([3]enemies!$A$1,0,0,COUNTA([3]enemies!$A:$A),MATCH(M$1,[3]enemies!$1:$1,0)-MATCH($L$1,[3]enemies!$1:$1,0)+1),MATCH(M$1,[3]enemies!$1:$1,0)-MATCH($L$1,[3]enemies!$1:$1,0)+1,FALSE)</f>
        <v>咆哮の先導者 クリエ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PremiumW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97">
        <v>60</v>
      </c>
      <c r="S7" s="25">
        <v>1.2</v>
      </c>
      <c r="T7" s="25">
        <v>1.2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全体攻撃</v>
      </c>
      <c r="W7" s="106">
        <v>41002018</v>
      </c>
      <c r="X7" s="6">
        <v>0</v>
      </c>
      <c r="Y7" s="6">
        <v>100</v>
      </c>
      <c r="Z7" s="6">
        <v>1</v>
      </c>
      <c r="AA7" s="101">
        <v>2</v>
      </c>
      <c r="AB7" s="24">
        <f t="shared" si="3"/>
        <v>161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咆哮の先導者 クリエ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7" s="7">
        <v>1</v>
      </c>
      <c r="AG7" s="24">
        <f t="shared" ca="1" si="4"/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si="0"/>
        <v>41002_1-3/35&lt;lv60&gt;s4</v>
      </c>
      <c r="B8" s="22">
        <v>41002</v>
      </c>
      <c r="C8" s="21">
        <v>1</v>
      </c>
      <c r="D8" s="2" t="str">
        <f t="shared" si="1"/>
        <v>41002_1</v>
      </c>
      <c r="E8" s="4" t="str">
        <f ca="1">VLOOKUP($B8,OFFSET([2]quests!$A$1,0,0,COUNTA([2]quests!$A:$A),MATCH(E$1,[2]quests!$1:$1,0)-MATCH($B$1,[2]quests!$1:$1,0)+1),MATCH(E$1,[2]quests!$1:$1,0)-MATCH($B$1,[2]quests!$1:$1,0)+1,FALSE)</f>
        <v>アザゼル襲来！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【超絶級】アザゼル襲来</v>
      </c>
      <c r="G8" s="21">
        <v>3</v>
      </c>
      <c r="H8" s="15" t="str">
        <f t="shared" si="2"/>
        <v>41002_1-3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35</v>
      </c>
      <c r="M8" s="17" t="str">
        <f ca="1">VLOOKUP($L8,OFFSET([3]enemies!$A$1,0,0,COUNTA([3]enemies!$A:$A),MATCH(M$1,[3]enemies!$1:$1,0)-MATCH($L$1,[3]enemies!$1:$1,0)+1),MATCH(M$1,[3]enemies!$1:$1,0)-MATCH($L$1,[3]enemies!$1:$1,0)+1,FALSE)</f>
        <v>F2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machine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97">
        <v>60</v>
      </c>
      <c r="S8" s="25">
        <v>2</v>
      </c>
      <c r="T8" s="25">
        <v>1.5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何やら様子がおかしい！</v>
      </c>
      <c r="W8" s="106">
        <v>41002006</v>
      </c>
      <c r="X8" s="6">
        <v>2</v>
      </c>
      <c r="Y8" s="6">
        <v>100</v>
      </c>
      <c r="Z8" s="6">
        <v>0</v>
      </c>
      <c r="AA8" s="101">
        <v>4</v>
      </c>
      <c r="AB8" s="24">
        <f t="shared" si="3"/>
        <v>35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F2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Drop1S</v>
      </c>
      <c r="AF8" s="7">
        <v>1</v>
      </c>
      <c r="AG8" s="24">
        <f t="shared" ca="1" si="4"/>
        <v>2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s="126" customFormat="1" ht="21" customHeight="1" thickBot="1" x14ac:dyDescent="0.2">
      <c r="A9" s="107" t="str">
        <f t="shared" si="0"/>
        <v>41002_1-4/297&lt;lv70&gt;s3</v>
      </c>
      <c r="B9" s="108">
        <v>41002</v>
      </c>
      <c r="C9" s="109">
        <v>1</v>
      </c>
      <c r="D9" s="110" t="str">
        <f t="shared" si="1"/>
        <v>41002_1</v>
      </c>
      <c r="E9" s="111" t="str">
        <f ca="1">VLOOKUP($B9,OFFSET([2]quests!$A$1,0,0,COUNTA([2]quests!$A:$A),MATCH(E$1,[2]quests!$1:$1,0)-MATCH($B$1,[2]quests!$1:$1,0)+1),MATCH(E$1,[2]quests!$1:$1,0)-MATCH($B$1,[2]quests!$1:$1,0)+1,FALSE)</f>
        <v>アザゼル襲来！</v>
      </c>
      <c r="F9" s="111" t="str">
        <f ca="1">VLOOKUP($D9,OFFSET([2]stages!$A$1,0,0,COUNTA([2]stages!$A:$A),MATCH(F$1,[2]stages!$2:$2,0)-MATCH($D$1,[2]stages!$2:$2,0)+1),MATCH(F$1,[2]stages!$2:$2,0)-MATCH($D$1,[2]stages!$2:$2,0)+1,FALSE)</f>
        <v>【超絶級】アザゼル襲来</v>
      </c>
      <c r="G9" s="109">
        <v>4</v>
      </c>
      <c r="H9" s="110" t="str">
        <f t="shared" si="2"/>
        <v>41002_1-4</v>
      </c>
      <c r="I9" s="111">
        <f ca="1">VLOOKUP($H9,OFFSET(floors!$A$1,0,0,COUNTA(floors!$A:$A),MATCH(I$1,floors!$1:$1,0)-MATCH($H$1,floors!$1:$1,0)+1),MATCH(I$1,floors!$1:$1,0)-MATCH($H$1,floors!$1:$1,0)+1,FALSE)</f>
        <v>60</v>
      </c>
      <c r="J9" s="111">
        <f ca="1">VLOOKUP($H9,OFFSET(floors!$A$1,0,0,COUNTA(floors!$A:$A),MATCH(J$1,floors!$1:$1,0)-MATCH($H$1,floors!$1:$1,0)+1),MATCH(J$1,floors!$1:$1,0)-MATCH($H$1,floors!$1:$1,0)+1,FALSE)</f>
        <v>60</v>
      </c>
      <c r="K9" s="112">
        <v>1</v>
      </c>
      <c r="L9" s="113">
        <v>297</v>
      </c>
      <c r="M9" s="114" t="str">
        <f ca="1">VLOOKUP($L9,OFFSET([3]enemies!$A$1,0,0,COUNTA([3]enemies!$A:$A),MATCH(M$1,[3]enemies!$1:$1,0)-MATCH($L$1,[3]enemies!$1:$1,0)+1),MATCH(M$1,[3]enemies!$1:$1,0)-MATCH($L$1,[3]enemies!$1:$1,0)+1,FALSE)</f>
        <v>狂靭なる双撃 アザゼル</v>
      </c>
      <c r="N9" s="114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14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14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14">
        <f ca="1">VLOOKUP($L9,OFFSET([3]enemies!$A$1,0,0,COUNTA([3]enemies!$A:$A),MATCH(Q$1,[3]enemies!$1:$1,0)-MATCH($L$1,[3]enemies!$1:$1,0)+1),MATCH(Q$1,[3]enemies!$1:$1,0)-MATCH($L$1,[3]enemies!$1:$1,0)+1,FALSE)</f>
        <v>60</v>
      </c>
      <c r="R9" s="115">
        <v>70</v>
      </c>
      <c r="S9" s="116">
        <v>1</v>
      </c>
      <c r="T9" s="116">
        <v>1.4</v>
      </c>
      <c r="U9" s="117">
        <v>0</v>
      </c>
      <c r="V9" s="111" t="str">
        <f ca="1">VLOOKUP($W9,OFFSET(enemy_skill_sets!$B$1,0,0,COUNTA(enemy_skill_sets!$B:$B),MATCH(M$1,enemy_skill_sets!$1:$1,0)-MATCH($W$1,enemy_skill_sets!$1:$1,0)+2),MATCH(M$1,enemy_skill_sets!$1:$1,0)-MATCH($W$1,enemy_skill_sets!$1:$1,0)+2,FALSE)</f>
        <v>余裕の笑みを浮かべている</v>
      </c>
      <c r="W9" s="118">
        <v>41002012</v>
      </c>
      <c r="X9" s="119">
        <v>0</v>
      </c>
      <c r="Y9" s="119">
        <v>100</v>
      </c>
      <c r="Z9" s="119">
        <v>1</v>
      </c>
      <c r="AA9" s="120">
        <v>3</v>
      </c>
      <c r="AB9" s="121">
        <v>296</v>
      </c>
      <c r="AC9" s="111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アザゼル</v>
      </c>
      <c r="AD9" s="111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111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9" s="122">
        <v>1</v>
      </c>
      <c r="AG9" s="123">
        <f t="shared" ca="1" si="4"/>
        <v>4</v>
      </c>
      <c r="AH9" s="124">
        <v>15</v>
      </c>
      <c r="AI9" s="122">
        <v>0</v>
      </c>
      <c r="AJ9" s="122">
        <v>0</v>
      </c>
      <c r="AK9" s="122">
        <v>0</v>
      </c>
      <c r="AL9" s="122">
        <v>0</v>
      </c>
      <c r="AM9" s="122">
        <v>1</v>
      </c>
      <c r="AN9" s="125">
        <v>1</v>
      </c>
    </row>
    <row r="10" spans="1:40" ht="21" customHeight="1" x14ac:dyDescent="0.15">
      <c r="A10" s="16" t="str">
        <f t="shared" ref="A10:A17" ca="1" si="5">B10&amp;"_"&amp;C10&amp;"-"&amp;G10&amp;"/"&amp;L10&amp;"&lt;lv"&amp;R10&amp;"&gt;s"&amp;AA10</f>
        <v>41002_2-1/806&lt;lv70&gt;s2</v>
      </c>
      <c r="B10" s="22">
        <v>41002</v>
      </c>
      <c r="C10" s="21">
        <v>2</v>
      </c>
      <c r="D10" s="2" t="str">
        <f t="shared" ref="D10:D17" si="6">B10&amp;"_"&amp;C10</f>
        <v>41002_2</v>
      </c>
      <c r="E10" s="4" t="str">
        <f ca="1">VLOOKUP($B10,OFFSET([2]quests!$A$1,0,0,COUNTA([2]quests!$A:$A),MATCH(E$1,[2]quests!$1:$1,0)-MATCH($B$1,[2]quests!$1:$1,0)+1),MATCH(E$1,[2]quests!$1:$1,0)-MATCH($B$1,[2]quests!$1:$1,0)+1,FALSE)</f>
        <v>アザゼル襲来！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【ウィザード級】アザゼル襲来</v>
      </c>
      <c r="G10" s="21">
        <v>1</v>
      </c>
      <c r="H10" s="15" t="str">
        <f t="shared" ref="H10:H17" si="7">B10&amp;"_"&amp;C10&amp;"-"&amp;G10</f>
        <v>41002_2-1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806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全解の預智聖 オセ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god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97">
        <v>70</v>
      </c>
      <c r="S10" s="98">
        <v>3.6</v>
      </c>
      <c r="T10" s="98">
        <v>1.3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余裕の笑みを浮かべている</v>
      </c>
      <c r="W10" s="106">
        <v>41002001</v>
      </c>
      <c r="X10" s="99">
        <v>0</v>
      </c>
      <c r="Y10" s="99">
        <v>100</v>
      </c>
      <c r="Z10" s="99">
        <v>1</v>
      </c>
      <c r="AA10" s="17">
        <f ca="1">VLOOKUP($L10,OFFSET([3]enemies!$A$1,0,0,COUNTA([3]enemies!$A:$A),MATCH(AA$1,[3]enemies!$1:$1,0)-MATCH($L$1,[3]enemies!$1:$1,0)+1),MATCH(AA$1,[3]enemies!$1:$1,0)-MATCH($L$1,[3]enemies!$1:$1,0)+1,FALSE)</f>
        <v>2</v>
      </c>
      <c r="AB10" s="24">
        <f t="shared" ref="AB10:AB14" si="8">L10</f>
        <v>806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全解の預智聖 オセ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6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0" s="7">
        <v>1</v>
      </c>
      <c r="AG10" s="24">
        <f t="shared" ref="AG10:AG17" ca="1" si="9">AD10</f>
        <v>6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21" customHeight="1" x14ac:dyDescent="0.15">
      <c r="A11" s="16" t="str">
        <f t="shared" si="5"/>
        <v>41002_2-2/361&lt;lv60&gt;s2</v>
      </c>
      <c r="B11" s="22">
        <v>41002</v>
      </c>
      <c r="C11" s="21">
        <v>2</v>
      </c>
      <c r="D11" s="2" t="str">
        <f t="shared" si="6"/>
        <v>41002_2</v>
      </c>
      <c r="E11" s="4" t="str">
        <f ca="1">VLOOKUP($B11,OFFSET([2]quests!$A$1,0,0,COUNTA([2]quests!$A:$A),MATCH(E$1,[2]quests!$1:$1,0)-MATCH($B$1,[2]quests!$1:$1,0)+1),MATCH(E$1,[2]quests!$1:$1,0)-MATCH($B$1,[2]quests!$1:$1,0)+1,FALSE)</f>
        <v>アザゼル襲来！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【ウィザード級】アザゼル襲来</v>
      </c>
      <c r="G11" s="21">
        <v>2</v>
      </c>
      <c r="H11" s="15" t="str">
        <f t="shared" si="7"/>
        <v>41002_2-2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361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灼熱の鉄板 ガンテツ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97">
        <v>60</v>
      </c>
      <c r="S11" s="25">
        <v>3</v>
      </c>
      <c r="T11" s="25">
        <v>1.5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3ターン攻撃力UP</v>
      </c>
      <c r="W11" s="106">
        <v>41002008</v>
      </c>
      <c r="X11" s="6">
        <v>1</v>
      </c>
      <c r="Y11" s="6">
        <v>100</v>
      </c>
      <c r="Z11" s="6">
        <v>0</v>
      </c>
      <c r="AA11" s="101">
        <v>2</v>
      </c>
      <c r="AB11" s="24">
        <f t="shared" si="8"/>
        <v>361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灼熱の鉄板 ガンテツ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3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Drop1S</v>
      </c>
      <c r="AF11" s="7">
        <v>1</v>
      </c>
      <c r="AG11" s="24">
        <f t="shared" ca="1" si="9"/>
        <v>3</v>
      </c>
      <c r="AH11" s="8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9">
        <v>1</v>
      </c>
    </row>
    <row r="12" spans="1:40" ht="21" customHeight="1" x14ac:dyDescent="0.15">
      <c r="A12" s="16" t="str">
        <f t="shared" si="5"/>
        <v>41002_2-2/363&lt;lv60&gt;s2</v>
      </c>
      <c r="B12" s="22">
        <v>41002</v>
      </c>
      <c r="C12" s="21">
        <v>2</v>
      </c>
      <c r="D12" s="2" t="str">
        <f t="shared" si="6"/>
        <v>41002_2</v>
      </c>
      <c r="E12" s="4" t="str">
        <f ca="1">VLOOKUP($B12,OFFSET([2]quests!$A$1,0,0,COUNTA([2]quests!$A:$A),MATCH(E$1,[2]quests!$1:$1,0)-MATCH($B$1,[2]quests!$1:$1,0)+1),MATCH(E$1,[2]quests!$1:$1,0)-MATCH($B$1,[2]quests!$1:$1,0)+1,FALSE)</f>
        <v>アザゼル襲来！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【ウィザード級】アザゼル襲来</v>
      </c>
      <c r="G12" s="21">
        <v>2</v>
      </c>
      <c r="H12" s="15" t="str">
        <f t="shared" si="7"/>
        <v>41002_2-2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363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花咲く幼精 ゆらら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97">
        <v>60</v>
      </c>
      <c r="S12" s="25">
        <v>3.3</v>
      </c>
      <c r="T12" s="25">
        <v>1.5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3ターンの間ダメージを受ける</v>
      </c>
      <c r="W12" s="106">
        <v>41002009</v>
      </c>
      <c r="X12" s="6">
        <v>1</v>
      </c>
      <c r="Y12" s="6">
        <v>100</v>
      </c>
      <c r="Z12" s="6">
        <v>0</v>
      </c>
      <c r="AA12" s="101">
        <v>2</v>
      </c>
      <c r="AB12" s="24">
        <f t="shared" si="8"/>
        <v>363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花咲く幼精 ゆらら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3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Drop1S</v>
      </c>
      <c r="AF12" s="7">
        <v>1</v>
      </c>
      <c r="AG12" s="24">
        <f t="shared" ca="1" si="9"/>
        <v>3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9">
        <v>1</v>
      </c>
    </row>
    <row r="13" spans="1:40" ht="21" customHeight="1" x14ac:dyDescent="0.15">
      <c r="A13" s="16" t="str">
        <f t="shared" si="5"/>
        <v>41002_2-2/365&lt;lv60&gt;s2</v>
      </c>
      <c r="B13" s="22">
        <v>41002</v>
      </c>
      <c r="C13" s="21">
        <v>2</v>
      </c>
      <c r="D13" s="2" t="str">
        <f t="shared" si="6"/>
        <v>41002_2</v>
      </c>
      <c r="E13" s="4" t="str">
        <f ca="1">VLOOKUP($B13,OFFSET([2]quests!$A$1,0,0,COUNTA([2]quests!$A:$A),MATCH(E$1,[2]quests!$1:$1,0)-MATCH($B$1,[2]quests!$1:$1,0)+1),MATCH(E$1,[2]quests!$1:$1,0)-MATCH($B$1,[2]quests!$1:$1,0)+1,FALSE)</f>
        <v>アザゼル襲来！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【ウィザード級】アザゼル襲来</v>
      </c>
      <c r="G13" s="21">
        <v>2</v>
      </c>
      <c r="H13" s="15" t="str">
        <f t="shared" si="7"/>
        <v>41002_2-2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53</v>
      </c>
      <c r="L13" s="20">
        <v>365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惨劇の人形 ノエル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97">
        <v>60</v>
      </c>
      <c r="S13" s="25">
        <v>2.8</v>
      </c>
      <c r="T13" s="25">
        <v>1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ユニット1体に3ターンスリープ</v>
      </c>
      <c r="W13" s="106">
        <v>41002010</v>
      </c>
      <c r="X13" s="6">
        <v>1</v>
      </c>
      <c r="Y13" s="6">
        <v>100</v>
      </c>
      <c r="Z13" s="6">
        <v>0</v>
      </c>
      <c r="AA13" s="101">
        <v>2</v>
      </c>
      <c r="AB13" s="24">
        <f t="shared" si="8"/>
        <v>365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惨劇の人形 ノエル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3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Drop1S</v>
      </c>
      <c r="AF13" s="7">
        <v>1</v>
      </c>
      <c r="AG13" s="24">
        <f t="shared" ca="1" si="9"/>
        <v>3</v>
      </c>
      <c r="AH13" s="8">
        <v>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9">
        <v>1</v>
      </c>
    </row>
    <row r="14" spans="1:40" ht="21" customHeight="1" x14ac:dyDescent="0.15">
      <c r="A14" s="16" t="str">
        <f t="shared" si="5"/>
        <v>41002_2-2/367&lt;lv60&gt;s2</v>
      </c>
      <c r="B14" s="22">
        <v>41002</v>
      </c>
      <c r="C14" s="21">
        <v>2</v>
      </c>
      <c r="D14" s="2" t="str">
        <f t="shared" si="6"/>
        <v>41002_2</v>
      </c>
      <c r="E14" s="4" t="str">
        <f ca="1">VLOOKUP($B14,OFFSET([2]quests!$A$1,0,0,COUNTA([2]quests!$A:$A),MATCH(E$1,[2]quests!$1:$1,0)-MATCH($B$1,[2]quests!$1:$1,0)+1),MATCH(E$1,[2]quests!$1:$1,0)-MATCH($B$1,[2]quests!$1:$1,0)+1,FALSE)</f>
        <v>アザゼル襲来！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【ウィザード級】アザゼル襲来</v>
      </c>
      <c r="G14" s="21">
        <v>2</v>
      </c>
      <c r="H14" s="15" t="str">
        <f t="shared" si="7"/>
        <v>41002_2-2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367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爆進の小兵 トト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97">
        <v>60</v>
      </c>
      <c r="S14" s="25">
        <v>3.1</v>
      </c>
      <c r="T14" s="25">
        <v>1.2</v>
      </c>
      <c r="U14" s="5">
        <v>0</v>
      </c>
      <c r="V14" s="4" t="str">
        <f ca="1">VLOOKUP($W14,OFFSET(enemy_skill_sets!$B$1,0,0,COUNTA(enemy_skill_sets!$B:$B),MATCH(M$1,enemy_skill_sets!$1:$1,0)-MATCH($W$1,enemy_skill_sets!$1:$1,0)+2),MATCH(M$1,enemy_skill_sets!$1:$1,0)-MATCH($W$1,enemy_skill_sets!$1:$1,0)+2,FALSE)</f>
        <v>3ターンスキルが使えない！</v>
      </c>
      <c r="W14" s="106">
        <v>41002011</v>
      </c>
      <c r="X14" s="6">
        <v>1</v>
      </c>
      <c r="Y14" s="6">
        <v>100</v>
      </c>
      <c r="Z14" s="6">
        <v>0</v>
      </c>
      <c r="AA14" s="101">
        <v>2</v>
      </c>
      <c r="AB14" s="24">
        <f t="shared" si="8"/>
        <v>367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爆進の小兵 トト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3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Drop1S</v>
      </c>
      <c r="AF14" s="7">
        <v>1</v>
      </c>
      <c r="AG14" s="24">
        <f t="shared" ca="1" si="9"/>
        <v>3</v>
      </c>
      <c r="AH14" s="8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9">
        <v>1</v>
      </c>
    </row>
    <row r="15" spans="1:40" ht="21" customHeight="1" x14ac:dyDescent="0.15">
      <c r="A15" s="16" t="str">
        <f>B15&amp;"_"&amp;C15&amp;"-"&amp;G15&amp;"/"&amp;L15&amp;"&lt;lv"&amp;R15&amp;"&gt;s"&amp;AA15</f>
        <v>41002_2-3/161&lt;lv60&gt;s2</v>
      </c>
      <c r="B15" s="22">
        <v>41002</v>
      </c>
      <c r="C15" s="21">
        <v>2</v>
      </c>
      <c r="D15" s="2" t="str">
        <f>B15&amp;"_"&amp;C15</f>
        <v>41002_2</v>
      </c>
      <c r="E15" s="4" t="str">
        <f ca="1">VLOOKUP($B15,OFFSET([2]quests!$A$1,0,0,COUNTA([2]quests!$A:$A),MATCH(E$1,[2]quests!$1:$1,0)-MATCH($B$1,[2]quests!$1:$1,0)+1),MATCH(E$1,[2]quests!$1:$1,0)-MATCH($B$1,[2]quests!$1:$1,0)+1,FALSE)</f>
        <v>アザゼル襲来！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【ウィザード級】アザゼル襲来</v>
      </c>
      <c r="G15" s="21">
        <v>3</v>
      </c>
      <c r="H15" s="15" t="str">
        <f>B15&amp;"_"&amp;C15&amp;"-"&amp;G15</f>
        <v>41002_2-3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53</v>
      </c>
      <c r="L15" s="20">
        <v>161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咆哮の先導者 クリエ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PremiumW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97">
        <v>60</v>
      </c>
      <c r="S15" s="25">
        <v>3.2</v>
      </c>
      <c r="T15" s="25">
        <v>5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メガホンの感度を調節している</v>
      </c>
      <c r="W15" s="106">
        <v>41002005</v>
      </c>
      <c r="X15" s="6">
        <v>0</v>
      </c>
      <c r="Y15" s="6">
        <v>100</v>
      </c>
      <c r="Z15" s="6">
        <v>1</v>
      </c>
      <c r="AA15" s="101">
        <v>2</v>
      </c>
      <c r="AB15" s="24">
        <f>L15</f>
        <v>161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咆哮の先導者 クリエ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5" s="7">
        <v>1</v>
      </c>
      <c r="AG15" s="24">
        <f ca="1">AD15</f>
        <v>4</v>
      </c>
      <c r="AH15" s="8">
        <v>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9">
        <v>1</v>
      </c>
    </row>
    <row r="16" spans="1:40" ht="21" customHeight="1" x14ac:dyDescent="0.15">
      <c r="A16" s="16" t="str">
        <f>B16&amp;"_"&amp;C16&amp;"-"&amp;G16&amp;"/"&amp;L16&amp;"&lt;lv"&amp;R16&amp;"&gt;s"&amp;AA16</f>
        <v>41002_2-3/35&lt;lv60&gt;s4</v>
      </c>
      <c r="B16" s="22">
        <v>41002</v>
      </c>
      <c r="C16" s="21">
        <v>2</v>
      </c>
      <c r="D16" s="2" t="str">
        <f>B16&amp;"_"&amp;C16</f>
        <v>41002_2</v>
      </c>
      <c r="E16" s="4" t="str">
        <f ca="1">VLOOKUP($B16,OFFSET([2]quests!$A$1,0,0,COUNTA([2]quests!$A:$A),MATCH(E$1,[2]quests!$1:$1,0)-MATCH($B$1,[2]quests!$1:$1,0)+1),MATCH(E$1,[2]quests!$1:$1,0)-MATCH($B$1,[2]quests!$1:$1,0)+1,FALSE)</f>
        <v>アザゼル襲来！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【ウィザード級】アザゼル襲来</v>
      </c>
      <c r="G16" s="21">
        <v>3</v>
      </c>
      <c r="H16" s="15" t="str">
        <f>B16&amp;"_"&amp;C16&amp;"-"&amp;G16</f>
        <v>41002_2-3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35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F2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machine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97">
        <v>60</v>
      </c>
      <c r="S16" s="25">
        <v>4.5</v>
      </c>
      <c r="T16" s="25">
        <v>4.5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何やら様子がおかしい！</v>
      </c>
      <c r="W16" s="106">
        <v>41002006</v>
      </c>
      <c r="X16" s="6">
        <v>2</v>
      </c>
      <c r="Y16" s="6">
        <v>100</v>
      </c>
      <c r="Z16" s="6">
        <v>0</v>
      </c>
      <c r="AA16" s="101">
        <v>4</v>
      </c>
      <c r="AB16" s="24">
        <f>L16</f>
        <v>35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F2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2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Drop1S</v>
      </c>
      <c r="AF16" s="7">
        <v>1</v>
      </c>
      <c r="AG16" s="24">
        <f ca="1">AD16</f>
        <v>2</v>
      </c>
      <c r="AH16" s="8">
        <v>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9">
        <v>1</v>
      </c>
    </row>
    <row r="17" spans="1:40" s="126" customFormat="1" ht="21" customHeight="1" thickBot="1" x14ac:dyDescent="0.2">
      <c r="A17" s="107" t="str">
        <f t="shared" si="5"/>
        <v>41002_2-4/297&lt;lv70&gt;s3</v>
      </c>
      <c r="B17" s="108">
        <v>41002</v>
      </c>
      <c r="C17" s="109">
        <v>2</v>
      </c>
      <c r="D17" s="110" t="str">
        <f t="shared" si="6"/>
        <v>41002_2</v>
      </c>
      <c r="E17" s="111" t="str">
        <f ca="1">VLOOKUP($B17,OFFSET([2]quests!$A$1,0,0,COUNTA([2]quests!$A:$A),MATCH(E$1,[2]quests!$1:$1,0)-MATCH($B$1,[2]quests!$1:$1,0)+1),MATCH(E$1,[2]quests!$1:$1,0)-MATCH($B$1,[2]quests!$1:$1,0)+1,FALSE)</f>
        <v>アザゼル襲来！</v>
      </c>
      <c r="F17" s="111" t="str">
        <f ca="1">VLOOKUP($D17,OFFSET([2]stages!$A$1,0,0,COUNTA([2]stages!$A:$A),MATCH(F$1,[2]stages!$2:$2,0)-MATCH($D$1,[2]stages!$2:$2,0)+1),MATCH(F$1,[2]stages!$2:$2,0)-MATCH($D$1,[2]stages!$2:$2,0)+1,FALSE)</f>
        <v>【ウィザード級】アザゼル襲来</v>
      </c>
      <c r="G17" s="109">
        <v>4</v>
      </c>
      <c r="H17" s="110" t="str">
        <f t="shared" si="7"/>
        <v>41002_2-4</v>
      </c>
      <c r="I17" s="111">
        <f ca="1">VLOOKUP($H17,OFFSET(floors!$A$1,0,0,COUNTA(floors!$A:$A),MATCH(I$1,floors!$1:$1,0)-MATCH($H$1,floors!$1:$1,0)+1),MATCH(I$1,floors!$1:$1,0)-MATCH($H$1,floors!$1:$1,0)+1,FALSE)</f>
        <v>60</v>
      </c>
      <c r="J17" s="111">
        <f ca="1">VLOOKUP($H17,OFFSET(floors!$A$1,0,0,COUNTA(floors!$A:$A),MATCH(J$1,floors!$1:$1,0)-MATCH($H$1,floors!$1:$1,0)+1),MATCH(J$1,floors!$1:$1,0)-MATCH($H$1,floors!$1:$1,0)+1,FALSE)</f>
        <v>60</v>
      </c>
      <c r="K17" s="112">
        <v>2</v>
      </c>
      <c r="L17" s="113">
        <v>297</v>
      </c>
      <c r="M17" s="114" t="str">
        <f ca="1">VLOOKUP($L17,OFFSET([3]enemies!$A$1,0,0,COUNTA([3]enemies!$A:$A),MATCH(M$1,[3]enemies!$1:$1,0)-MATCH($L$1,[3]enemies!$1:$1,0)+1),MATCH(M$1,[3]enemies!$1:$1,0)-MATCH($L$1,[3]enemies!$1:$1,0)+1,FALSE)</f>
        <v>狂靭なる双撃 アザゼル</v>
      </c>
      <c r="N17" s="114" t="str">
        <f ca="1">VLOOKUP($L17,OFFSET([3]enemies!$A$1,0,0,COUNTA([3]enemies!$A:$A),MATCH(N$1,[3]enemies!$1:$1,0)-MATCH($L$1,[3]enemies!$1:$1,0)+1),MATCH(N$1,[3]enemies!$1:$1,0)-MATCH($L$1,[3]enemies!$1:$1,0)+1,FALSE)</f>
        <v>green</v>
      </c>
      <c r="O17" s="114" t="str">
        <f ca="1">VLOOKUP($L17,OFFSET([4]characters!$A$1,0,0,COUNTA([4]characters!$A:$A),MATCH(O$1,[4]characters!$1:$1,0)-MATCH($L$1,[4]characters!$1:$1,0)+1),MATCH(O$1,[4]characters!$1:$1,0)-MATCH($L$1,[4]characters!$1:$1,0)+1,FALSE)</f>
        <v>DropWizS</v>
      </c>
      <c r="P17" s="114" t="str">
        <f ca="1">VLOOKUP($L17,OFFSET([3]enemies!$A$1,0,0,COUNTA([3]enemies!$A:$A),MATCH(P$1,[3]enemies!$1:$1,0)-MATCH($L$1,[3]enemies!$1:$1,0)+1),MATCH(P$1,[3]enemies!$1:$1,0)-MATCH($L$1,[3]enemies!$1:$1,0)+1,FALSE)</f>
        <v>god</v>
      </c>
      <c r="Q17" s="114">
        <f ca="1">VLOOKUP($L17,OFFSET([3]enemies!$A$1,0,0,COUNTA([3]enemies!$A:$A),MATCH(Q$1,[3]enemies!$1:$1,0)-MATCH($L$1,[3]enemies!$1:$1,0)+1),MATCH(Q$1,[3]enemies!$1:$1,0)-MATCH($L$1,[3]enemies!$1:$1,0)+1,FALSE)</f>
        <v>60</v>
      </c>
      <c r="R17" s="115">
        <v>70</v>
      </c>
      <c r="S17" s="176">
        <v>3.5</v>
      </c>
      <c r="T17" s="176">
        <v>3</v>
      </c>
      <c r="U17" s="117">
        <v>0</v>
      </c>
      <c r="V17" s="111" t="str">
        <f ca="1">VLOOKUP($W17,OFFSET(enemy_skill_sets!$B$1,0,0,COUNTA(enemy_skill_sets!$B:$B),MATCH(M$1,enemy_skill_sets!$1:$1,0)-MATCH($W$1,enemy_skill_sets!$1:$1,0)+2),MATCH(M$1,enemy_skill_sets!$1:$1,0)-MATCH($W$1,enemy_skill_sets!$1:$1,0)+2,FALSE)</f>
        <v>余裕の笑みを浮かべている</v>
      </c>
      <c r="W17" s="118">
        <v>41002012</v>
      </c>
      <c r="X17" s="119">
        <v>0</v>
      </c>
      <c r="Y17" s="119">
        <v>100</v>
      </c>
      <c r="Z17" s="119">
        <v>1</v>
      </c>
      <c r="AA17" s="120">
        <v>3</v>
      </c>
      <c r="AB17" s="121">
        <v>296</v>
      </c>
      <c r="AC17" s="111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アザゼル</v>
      </c>
      <c r="AD17" s="111">
        <f ca="1">VLOOKUP($AB17,OFFSET([4]characters!$A$1,0,0,COUNTA([4]characters!$A:$A),MATCH(AD$1,[4]characters!$1:$1,0)-MATCH("character_id",[4]characters!$1:$1,0)+1),MATCH(AD$1,[4]characters!$1:$1,0)-MATCH("character_id",[4]characters!$1:$1,0)+1,FALSE)</f>
        <v>4</v>
      </c>
      <c r="AE17" s="111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7" s="122">
        <v>1</v>
      </c>
      <c r="AG17" s="123">
        <f t="shared" ca="1" si="9"/>
        <v>4</v>
      </c>
      <c r="AH17" s="124">
        <v>30</v>
      </c>
      <c r="AI17" s="122">
        <v>0</v>
      </c>
      <c r="AJ17" s="122">
        <v>0</v>
      </c>
      <c r="AK17" s="122">
        <v>0</v>
      </c>
      <c r="AL17" s="122">
        <v>0</v>
      </c>
      <c r="AM17" s="122">
        <v>1</v>
      </c>
      <c r="AN17" s="125">
        <v>1</v>
      </c>
    </row>
    <row r="18" spans="1:40" ht="21" customHeight="1" x14ac:dyDescent="0.15">
      <c r="A18" s="16" t="str">
        <f t="shared" ref="A18:A22" ca="1" si="10">B18&amp;"_"&amp;C18&amp;"-"&amp;G18&amp;"/"&amp;L18&amp;"&lt;lv"&amp;R18&amp;"&gt;s"&amp;AA18</f>
        <v>41002_3-1/806&lt;lv70&gt;s2</v>
      </c>
      <c r="B18" s="22">
        <v>41002</v>
      </c>
      <c r="C18" s="21">
        <v>3</v>
      </c>
      <c r="D18" s="2" t="str">
        <f t="shared" ref="D18:D22" si="11">B18&amp;"_"&amp;C18</f>
        <v>41002_3</v>
      </c>
      <c r="E18" s="4" t="str">
        <f ca="1">VLOOKUP($B18,OFFSET([2]quests!$A$1,0,0,COUNTA([2]quests!$A:$A),MATCH(E$1,[2]quests!$1:$1,0)-MATCH($B$1,[2]quests!$1:$1,0)+1),MATCH(E$1,[2]quests!$1:$1,0)-MATCH($B$1,[2]quests!$1:$1,0)+1,FALSE)</f>
        <v>アザゼル襲来！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【ノーコンテニュー】アザゼル襲来</v>
      </c>
      <c r="G18" s="21">
        <v>1</v>
      </c>
      <c r="H18" s="15" t="str">
        <f t="shared" ref="H18:H22" si="12">B18&amp;"_"&amp;C18&amp;"-"&amp;G18</f>
        <v>41002_3-1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53</v>
      </c>
      <c r="L18" s="20">
        <v>806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全解の預智聖 オセ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PremiumS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god</v>
      </c>
      <c r="Q18" s="17">
        <f ca="1">VLOOKUP($L18,OFFSET([3]enemies!$A$1,0,0,COUNTA([3]enemies!$A:$A),MATCH(Q$1,[3]enemies!$1:$1,0)-MATCH($L$1,[3]enemies!$1:$1,0)+1),MATCH(Q$1,[3]enemies!$1:$1,0)-MATCH($L$1,[3]enemies!$1:$1,0)+1,FALSE)</f>
        <v>60</v>
      </c>
      <c r="R18" s="97">
        <v>70</v>
      </c>
      <c r="S18" s="98">
        <v>3.6</v>
      </c>
      <c r="T18" s="177">
        <v>1.3</v>
      </c>
      <c r="U18" s="5">
        <v>0</v>
      </c>
      <c r="V18" s="4" t="str">
        <f ca="1">VLOOKUP($W18,OFFSET(enemy_skill_sets!$B$1,0,0,COUNTA(enemy_skill_sets!$B:$B),MATCH(M$1,enemy_skill_sets!$1:$1,0)-MATCH($W$1,enemy_skill_sets!$1:$1,0)+2),MATCH(M$1,enemy_skill_sets!$1:$1,0)-MATCH($W$1,enemy_skill_sets!$1:$1,0)+2,FALSE)</f>
        <v>余裕の笑みを浮かべている</v>
      </c>
      <c r="W18" s="106">
        <v>41002001</v>
      </c>
      <c r="X18" s="99">
        <v>0</v>
      </c>
      <c r="Y18" s="99">
        <v>100</v>
      </c>
      <c r="Z18" s="99">
        <v>1</v>
      </c>
      <c r="AA18" s="17">
        <f ca="1">VLOOKUP($L18,OFFSET([3]enemies!$A$1,0,0,COUNTA([3]enemies!$A:$A),MATCH(AA$1,[3]enemies!$1:$1,0)-MATCH($L$1,[3]enemies!$1:$1,0)+1),MATCH(AA$1,[3]enemies!$1:$1,0)-MATCH($L$1,[3]enemies!$1:$1,0)+1,FALSE)</f>
        <v>2</v>
      </c>
      <c r="AB18" s="24">
        <f t="shared" ref="AB18:AB22" si="13">L18</f>
        <v>806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全解の預智聖 オセ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6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8" s="7">
        <v>1</v>
      </c>
      <c r="AG18" s="24">
        <f t="shared" ref="AG18:AG22" ca="1" si="14">AD18</f>
        <v>6</v>
      </c>
      <c r="AH18" s="8">
        <v>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9">
        <v>1</v>
      </c>
    </row>
    <row r="19" spans="1:40" ht="21" customHeight="1" x14ac:dyDescent="0.15">
      <c r="A19" s="16" t="str">
        <f t="shared" si="10"/>
        <v>41002_3-2/361&lt;lv60&gt;s2</v>
      </c>
      <c r="B19" s="22">
        <v>41002</v>
      </c>
      <c r="C19" s="21">
        <v>3</v>
      </c>
      <c r="D19" s="2" t="str">
        <f t="shared" si="11"/>
        <v>41002_3</v>
      </c>
      <c r="E19" s="4" t="str">
        <f ca="1">VLOOKUP($B19,OFFSET([2]quests!$A$1,0,0,COUNTA([2]quests!$A:$A),MATCH(E$1,[2]quests!$1:$1,0)-MATCH($B$1,[2]quests!$1:$1,0)+1),MATCH(E$1,[2]quests!$1:$1,0)-MATCH($B$1,[2]quests!$1:$1,0)+1,FALSE)</f>
        <v>アザゼル襲来！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【ノーコンテニュー】アザゼル襲来</v>
      </c>
      <c r="G19" s="21">
        <v>2</v>
      </c>
      <c r="H19" s="15" t="str">
        <f t="shared" si="12"/>
        <v>41002_3-2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 t="s">
        <v>53</v>
      </c>
      <c r="L19" s="20">
        <v>361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灼熱の鉄板 ガンテツ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red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Drop1S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15</v>
      </c>
      <c r="R19" s="97">
        <v>60</v>
      </c>
      <c r="S19" s="25">
        <v>3</v>
      </c>
      <c r="T19" s="25">
        <v>1.5</v>
      </c>
      <c r="U19" s="5">
        <v>0</v>
      </c>
      <c r="V19" s="4" t="str">
        <f ca="1">VLOOKUP($W19,OFFSET(enemy_skill_sets!$B$1,0,0,COUNTA(enemy_skill_sets!$B:$B),MATCH(M$1,enemy_skill_sets!$1:$1,0)-MATCH($W$1,enemy_skill_sets!$1:$1,0)+2),MATCH(M$1,enemy_skill_sets!$1:$1,0)-MATCH($W$1,enemy_skill_sets!$1:$1,0)+2,FALSE)</f>
        <v>3ターン攻撃力UP</v>
      </c>
      <c r="W19" s="106">
        <v>41002008</v>
      </c>
      <c r="X19" s="6">
        <v>1</v>
      </c>
      <c r="Y19" s="6">
        <v>100</v>
      </c>
      <c r="Z19" s="6">
        <v>0</v>
      </c>
      <c r="AA19" s="101">
        <v>2</v>
      </c>
      <c r="AB19" s="24">
        <f t="shared" si="13"/>
        <v>361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灼熱の鉄板 ガンテツ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3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Drop1S</v>
      </c>
      <c r="AF19" s="7">
        <v>1</v>
      </c>
      <c r="AG19" s="24">
        <f t="shared" ca="1" si="14"/>
        <v>3</v>
      </c>
      <c r="AH19" s="8">
        <v>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9">
        <v>1</v>
      </c>
    </row>
    <row r="20" spans="1:40" ht="21" customHeight="1" x14ac:dyDescent="0.15">
      <c r="A20" s="16" t="str">
        <f t="shared" si="10"/>
        <v>41002_3-2/363&lt;lv60&gt;s2</v>
      </c>
      <c r="B20" s="22">
        <v>41002</v>
      </c>
      <c r="C20" s="21">
        <v>3</v>
      </c>
      <c r="D20" s="2" t="str">
        <f t="shared" si="11"/>
        <v>41002_3</v>
      </c>
      <c r="E20" s="4" t="str">
        <f ca="1">VLOOKUP($B20,OFFSET([2]quests!$A$1,0,0,COUNTA([2]quests!$A:$A),MATCH(E$1,[2]quests!$1:$1,0)-MATCH($B$1,[2]quests!$1:$1,0)+1),MATCH(E$1,[2]quests!$1:$1,0)-MATCH($B$1,[2]quests!$1:$1,0)+1,FALSE)</f>
        <v>アザゼル襲来！</v>
      </c>
      <c r="F20" s="4" t="str">
        <f ca="1">VLOOKUP($D20,OFFSET([2]stages!$A$1,0,0,COUNTA([2]stages!$A:$A),MATCH(F$1,[2]stages!$2:$2,0)-MATCH($D$1,[2]stages!$2:$2,0)+1),MATCH(F$1,[2]stages!$2:$2,0)-MATCH($D$1,[2]stages!$2:$2,0)+1,FALSE)</f>
        <v>【ノーコンテニュー】アザゼル襲来</v>
      </c>
      <c r="G20" s="21">
        <v>2</v>
      </c>
      <c r="H20" s="15" t="str">
        <f t="shared" si="12"/>
        <v>41002_3-2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8" t="s">
        <v>53</v>
      </c>
      <c r="L20" s="20">
        <v>363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花咲く幼精 ゆらら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green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Drop1S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animal</v>
      </c>
      <c r="Q20" s="17">
        <f ca="1">VLOOKUP($L20,OFFSET([3]enemies!$A$1,0,0,COUNTA([3]enemies!$A:$A),MATCH(Q$1,[3]enemies!$1:$1,0)-MATCH($L$1,[3]enemies!$1:$1,0)+1),MATCH(Q$1,[3]enemies!$1:$1,0)-MATCH($L$1,[3]enemies!$1:$1,0)+1,FALSE)</f>
        <v>15</v>
      </c>
      <c r="R20" s="97">
        <v>60</v>
      </c>
      <c r="S20" s="25">
        <v>3.3</v>
      </c>
      <c r="T20" s="25">
        <v>1.5</v>
      </c>
      <c r="U20" s="5">
        <v>0</v>
      </c>
      <c r="V20" s="4" t="str">
        <f ca="1">VLOOKUP($W20,OFFSET(enemy_skill_sets!$B$1,0,0,COUNTA(enemy_skill_sets!$B:$B),MATCH(M$1,enemy_skill_sets!$1:$1,0)-MATCH($W$1,enemy_skill_sets!$1:$1,0)+2),MATCH(M$1,enemy_skill_sets!$1:$1,0)-MATCH($W$1,enemy_skill_sets!$1:$1,0)+2,FALSE)</f>
        <v>3ターンの間ダメージを受ける</v>
      </c>
      <c r="W20" s="106">
        <v>41002009</v>
      </c>
      <c r="X20" s="6">
        <v>1</v>
      </c>
      <c r="Y20" s="6">
        <v>100</v>
      </c>
      <c r="Z20" s="6">
        <v>0</v>
      </c>
      <c r="AA20" s="101">
        <v>2</v>
      </c>
      <c r="AB20" s="24">
        <f t="shared" si="13"/>
        <v>363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花咲く幼精 ゆらら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3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Drop1S</v>
      </c>
      <c r="AF20" s="7">
        <v>1</v>
      </c>
      <c r="AG20" s="24">
        <f t="shared" ca="1" si="14"/>
        <v>3</v>
      </c>
      <c r="AH20" s="8">
        <v>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69">
        <v>1</v>
      </c>
    </row>
    <row r="21" spans="1:40" ht="21" customHeight="1" x14ac:dyDescent="0.15">
      <c r="A21" s="16" t="str">
        <f t="shared" si="10"/>
        <v>41002_3-2/365&lt;lv60&gt;s2</v>
      </c>
      <c r="B21" s="22">
        <v>41002</v>
      </c>
      <c r="C21" s="21">
        <v>3</v>
      </c>
      <c r="D21" s="2" t="str">
        <f t="shared" si="11"/>
        <v>41002_3</v>
      </c>
      <c r="E21" s="4" t="str">
        <f ca="1">VLOOKUP($B21,OFFSET([2]quests!$A$1,0,0,COUNTA([2]quests!$A:$A),MATCH(E$1,[2]quests!$1:$1,0)-MATCH($B$1,[2]quests!$1:$1,0)+1),MATCH(E$1,[2]quests!$1:$1,0)-MATCH($B$1,[2]quests!$1:$1,0)+1,FALSE)</f>
        <v>アザゼル襲来！</v>
      </c>
      <c r="F21" s="4" t="str">
        <f ca="1">VLOOKUP($D21,OFFSET([2]stages!$A$1,0,0,COUNTA([2]stages!$A:$A),MATCH(F$1,[2]stages!$2:$2,0)-MATCH($D$1,[2]stages!$2:$2,0)+1),MATCH(F$1,[2]stages!$2:$2,0)-MATCH($D$1,[2]stages!$2:$2,0)+1,FALSE)</f>
        <v>【ノーコンテニュー】アザゼル襲来</v>
      </c>
      <c r="G21" s="21">
        <v>2</v>
      </c>
      <c r="H21" s="15" t="str">
        <f t="shared" si="12"/>
        <v>41002_3-2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8" t="s">
        <v>53</v>
      </c>
      <c r="L21" s="20">
        <v>365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惨劇の人形 ノエル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blue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Drop1S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animal</v>
      </c>
      <c r="Q21" s="17">
        <f ca="1">VLOOKUP($L21,OFFSET([3]enemies!$A$1,0,0,COUNTA([3]enemies!$A:$A),MATCH(Q$1,[3]enemies!$1:$1,0)-MATCH($L$1,[3]enemies!$1:$1,0)+1),MATCH(Q$1,[3]enemies!$1:$1,0)-MATCH($L$1,[3]enemies!$1:$1,0)+1,FALSE)</f>
        <v>15</v>
      </c>
      <c r="R21" s="97">
        <v>60</v>
      </c>
      <c r="S21" s="25">
        <v>2.8</v>
      </c>
      <c r="T21" s="25">
        <v>1</v>
      </c>
      <c r="U21" s="5">
        <v>0</v>
      </c>
      <c r="V21" s="4" t="str">
        <f ca="1">VLOOKUP($W21,OFFSET(enemy_skill_sets!$B$1,0,0,COUNTA(enemy_skill_sets!$B:$B),MATCH(M$1,enemy_skill_sets!$1:$1,0)-MATCH($W$1,enemy_skill_sets!$1:$1,0)+2),MATCH(M$1,enemy_skill_sets!$1:$1,0)-MATCH($W$1,enemy_skill_sets!$1:$1,0)+2,FALSE)</f>
        <v>ユニット1体に3ターンスリープ</v>
      </c>
      <c r="W21" s="106">
        <v>41002010</v>
      </c>
      <c r="X21" s="6">
        <v>1</v>
      </c>
      <c r="Y21" s="6">
        <v>100</v>
      </c>
      <c r="Z21" s="6">
        <v>0</v>
      </c>
      <c r="AA21" s="101">
        <v>2</v>
      </c>
      <c r="AB21" s="24">
        <f t="shared" si="13"/>
        <v>365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惨劇の人形 ノエル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3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Drop1S</v>
      </c>
      <c r="AF21" s="7">
        <v>1</v>
      </c>
      <c r="AG21" s="24">
        <f t="shared" ca="1" si="14"/>
        <v>3</v>
      </c>
      <c r="AH21" s="8">
        <v>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69">
        <v>1</v>
      </c>
    </row>
    <row r="22" spans="1:40" ht="21" customHeight="1" x14ac:dyDescent="0.15">
      <c r="A22" s="16" t="str">
        <f t="shared" si="10"/>
        <v>41002_3-2/367&lt;lv60&gt;s2</v>
      </c>
      <c r="B22" s="22">
        <v>41002</v>
      </c>
      <c r="C22" s="21">
        <v>3</v>
      </c>
      <c r="D22" s="2" t="str">
        <f t="shared" si="11"/>
        <v>41002_3</v>
      </c>
      <c r="E22" s="4" t="str">
        <f ca="1">VLOOKUP($B22,OFFSET([2]quests!$A$1,0,0,COUNTA([2]quests!$A:$A),MATCH(E$1,[2]quests!$1:$1,0)-MATCH($B$1,[2]quests!$1:$1,0)+1),MATCH(E$1,[2]quests!$1:$1,0)-MATCH($B$1,[2]quests!$1:$1,0)+1,FALSE)</f>
        <v>アザゼル襲来！</v>
      </c>
      <c r="F22" s="4" t="str">
        <f ca="1">VLOOKUP($D22,OFFSET([2]stages!$A$1,0,0,COUNTA([2]stages!$A:$A),MATCH(F$1,[2]stages!$2:$2,0)-MATCH($D$1,[2]stages!$2:$2,0)+1),MATCH(F$1,[2]stages!$2:$2,0)-MATCH($D$1,[2]stages!$2:$2,0)+1,FALSE)</f>
        <v>【ノーコンテニュー】アザゼル襲来</v>
      </c>
      <c r="G22" s="21">
        <v>2</v>
      </c>
      <c r="H22" s="15" t="str">
        <f t="shared" si="12"/>
        <v>41002_3-2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8" t="s">
        <v>53</v>
      </c>
      <c r="L22" s="20">
        <v>367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爆進の小兵 トト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yellow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Drop1S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animal</v>
      </c>
      <c r="Q22" s="17">
        <f ca="1">VLOOKUP($L22,OFFSET([3]enemies!$A$1,0,0,COUNTA([3]enemies!$A:$A),MATCH(Q$1,[3]enemies!$1:$1,0)-MATCH($L$1,[3]enemies!$1:$1,0)+1),MATCH(Q$1,[3]enemies!$1:$1,0)-MATCH($L$1,[3]enemies!$1:$1,0)+1,FALSE)</f>
        <v>15</v>
      </c>
      <c r="R22" s="97">
        <v>60</v>
      </c>
      <c r="S22" s="25">
        <v>3.1</v>
      </c>
      <c r="T22" s="25">
        <v>1.2</v>
      </c>
      <c r="U22" s="5">
        <v>0</v>
      </c>
      <c r="V22" s="4" t="str">
        <f ca="1">VLOOKUP($W22,OFFSET(enemy_skill_sets!$B$1,0,0,COUNTA(enemy_skill_sets!$B:$B),MATCH(M$1,enemy_skill_sets!$1:$1,0)-MATCH($W$1,enemy_skill_sets!$1:$1,0)+2),MATCH(M$1,enemy_skill_sets!$1:$1,0)-MATCH($W$1,enemy_skill_sets!$1:$1,0)+2,FALSE)</f>
        <v>3ターンスキルが使えない！</v>
      </c>
      <c r="W22" s="106">
        <v>41002011</v>
      </c>
      <c r="X22" s="6">
        <v>1</v>
      </c>
      <c r="Y22" s="6">
        <v>100</v>
      </c>
      <c r="Z22" s="6">
        <v>0</v>
      </c>
      <c r="AA22" s="101">
        <v>2</v>
      </c>
      <c r="AB22" s="24">
        <f t="shared" si="13"/>
        <v>367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爆進の小兵 トト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3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Drop1S</v>
      </c>
      <c r="AF22" s="7">
        <v>1</v>
      </c>
      <c r="AG22" s="24">
        <f t="shared" ca="1" si="14"/>
        <v>3</v>
      </c>
      <c r="AH22" s="8">
        <v>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69">
        <v>1</v>
      </c>
    </row>
    <row r="23" spans="1:40" ht="21" customHeight="1" x14ac:dyDescent="0.15">
      <c r="A23" s="16" t="str">
        <f>B23&amp;"_"&amp;C23&amp;"-"&amp;G23&amp;"/"&amp;L23&amp;"&lt;lv"&amp;R23&amp;"&gt;s"&amp;AA23</f>
        <v>41002_3-3/161&lt;lv60&gt;s2</v>
      </c>
      <c r="B23" s="22">
        <v>41002</v>
      </c>
      <c r="C23" s="21">
        <v>3</v>
      </c>
      <c r="D23" s="2" t="str">
        <f>B23&amp;"_"&amp;C23</f>
        <v>41002_3</v>
      </c>
      <c r="E23" s="4" t="str">
        <f ca="1">VLOOKUP($B23,OFFSET([2]quests!$A$1,0,0,COUNTA([2]quests!$A:$A),MATCH(E$1,[2]quests!$1:$1,0)-MATCH($B$1,[2]quests!$1:$1,0)+1),MATCH(E$1,[2]quests!$1:$1,0)-MATCH($B$1,[2]quests!$1:$1,0)+1,FALSE)</f>
        <v>アザゼル襲来！</v>
      </c>
      <c r="F23" s="4" t="str">
        <f ca="1">VLOOKUP($D23,OFFSET([2]stages!$A$1,0,0,COUNTA([2]stages!$A:$A),MATCH(F$1,[2]stages!$2:$2,0)-MATCH($D$1,[2]stages!$2:$2,0)+1),MATCH(F$1,[2]stages!$2:$2,0)-MATCH($D$1,[2]stages!$2:$2,0)+1,FALSE)</f>
        <v>【ノーコンテニュー】アザゼル襲来</v>
      </c>
      <c r="G23" s="21">
        <v>3</v>
      </c>
      <c r="H23" s="15" t="str">
        <f>B23&amp;"_"&amp;C23&amp;"-"&amp;G23</f>
        <v>41002_3-3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38" t="s">
        <v>53</v>
      </c>
      <c r="L23" s="20">
        <v>161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咆哮の先導者 クリエ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green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PremiumW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human</v>
      </c>
      <c r="Q23" s="17">
        <f ca="1">VLOOKUP($L23,OFFSET([3]enemies!$A$1,0,0,COUNTA([3]enemies!$A:$A),MATCH(Q$1,[3]enemies!$1:$1,0)-MATCH($L$1,[3]enemies!$1:$1,0)+1),MATCH(Q$1,[3]enemies!$1:$1,0)-MATCH($L$1,[3]enemies!$1:$1,0)+1,FALSE)</f>
        <v>30</v>
      </c>
      <c r="R23" s="97">
        <v>60</v>
      </c>
      <c r="S23" s="25">
        <v>3.2</v>
      </c>
      <c r="T23" s="25">
        <v>5</v>
      </c>
      <c r="U23" s="5">
        <v>0</v>
      </c>
      <c r="V23" s="4" t="str">
        <f ca="1">VLOOKUP($W23,OFFSET(enemy_skill_sets!$B$1,0,0,COUNTA(enemy_skill_sets!$B:$B),MATCH(M$1,enemy_skill_sets!$1:$1,0)-MATCH($W$1,enemy_skill_sets!$1:$1,0)+2),MATCH(M$1,enemy_skill_sets!$1:$1,0)-MATCH($W$1,enemy_skill_sets!$1:$1,0)+2,FALSE)</f>
        <v>メガホンの感度を調節している</v>
      </c>
      <c r="W23" s="106">
        <v>41002005</v>
      </c>
      <c r="X23" s="6">
        <v>0</v>
      </c>
      <c r="Y23" s="6">
        <v>100</v>
      </c>
      <c r="Z23" s="6">
        <v>1</v>
      </c>
      <c r="AA23" s="101">
        <v>2</v>
      </c>
      <c r="AB23" s="24">
        <f>L23</f>
        <v>161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咆哮の先導者 クリエ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4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23" s="7">
        <v>1</v>
      </c>
      <c r="AG23" s="24">
        <f ca="1">AD23</f>
        <v>4</v>
      </c>
      <c r="AH23" s="8">
        <v>0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  <c r="AN23" s="69">
        <v>1</v>
      </c>
    </row>
    <row r="24" spans="1:40" ht="21" customHeight="1" x14ac:dyDescent="0.15">
      <c r="A24" s="16" t="str">
        <f>B24&amp;"_"&amp;C24&amp;"-"&amp;G24&amp;"/"&amp;L24&amp;"&lt;lv"&amp;R24&amp;"&gt;s"&amp;AA24</f>
        <v>41002_3-3/35&lt;lv60&gt;s4</v>
      </c>
      <c r="B24" s="22">
        <v>41002</v>
      </c>
      <c r="C24" s="21">
        <v>3</v>
      </c>
      <c r="D24" s="2" t="str">
        <f>B24&amp;"_"&amp;C24</f>
        <v>41002_3</v>
      </c>
      <c r="E24" s="4" t="str">
        <f ca="1">VLOOKUP($B24,OFFSET([2]quests!$A$1,0,0,COUNTA([2]quests!$A:$A),MATCH(E$1,[2]quests!$1:$1,0)-MATCH($B$1,[2]quests!$1:$1,0)+1),MATCH(E$1,[2]quests!$1:$1,0)-MATCH($B$1,[2]quests!$1:$1,0)+1,FALSE)</f>
        <v>アザゼル襲来！</v>
      </c>
      <c r="F24" s="4" t="str">
        <f ca="1">VLOOKUP($D24,OFFSET([2]stages!$A$1,0,0,COUNTA([2]stages!$A:$A),MATCH(F$1,[2]stages!$2:$2,0)-MATCH($D$1,[2]stages!$2:$2,0)+1),MATCH(F$1,[2]stages!$2:$2,0)-MATCH($D$1,[2]stages!$2:$2,0)+1,FALSE)</f>
        <v>【ノーコンテニュー】アザゼル襲来</v>
      </c>
      <c r="G24" s="21">
        <v>3</v>
      </c>
      <c r="H24" s="15" t="str">
        <f>B24&amp;"_"&amp;C24&amp;"-"&amp;G24</f>
        <v>41002_3-3</v>
      </c>
      <c r="I24" s="4">
        <f ca="1">VLOOKUP($H24,OFFSET(floors!$A$1,0,0,COUNTA(floors!$A:$A),MATCH(I$1,floors!$1:$1,0)-MATCH($H$1,floors!$1:$1,0)+1),MATCH(I$1,floors!$1:$1,0)-MATCH($H$1,floors!$1:$1,0)+1,FALSE)</f>
        <v>60</v>
      </c>
      <c r="J24" s="4">
        <f ca="1">VLOOKUP($H24,OFFSET(floors!$A$1,0,0,COUNTA(floors!$A:$A),MATCH(J$1,floors!$1:$1,0)-MATCH($H$1,floors!$1:$1,0)+1),MATCH(J$1,floors!$1:$1,0)-MATCH($H$1,floors!$1:$1,0)+1,FALSE)</f>
        <v>60</v>
      </c>
      <c r="K24" s="38" t="s">
        <v>53</v>
      </c>
      <c r="L24" s="20">
        <v>35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F2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green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Drop1S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machine</v>
      </c>
      <c r="Q24" s="17">
        <f ca="1">VLOOKUP($L24,OFFSET([3]enemies!$A$1,0,0,COUNTA([3]enemies!$A:$A),MATCH(Q$1,[3]enemies!$1:$1,0)-MATCH($L$1,[3]enemies!$1:$1,0)+1),MATCH(Q$1,[3]enemies!$1:$1,0)-MATCH($L$1,[3]enemies!$1:$1,0)+1,FALSE)</f>
        <v>15</v>
      </c>
      <c r="R24" s="97">
        <v>60</v>
      </c>
      <c r="S24" s="25">
        <v>4.5</v>
      </c>
      <c r="T24" s="25">
        <v>4.5</v>
      </c>
      <c r="U24" s="5">
        <v>0</v>
      </c>
      <c r="V24" s="4" t="str">
        <f ca="1">VLOOKUP($W24,OFFSET(enemy_skill_sets!$B$1,0,0,COUNTA(enemy_skill_sets!$B:$B),MATCH(M$1,enemy_skill_sets!$1:$1,0)-MATCH($W$1,enemy_skill_sets!$1:$1,0)+2),MATCH(M$1,enemy_skill_sets!$1:$1,0)-MATCH($W$1,enemy_skill_sets!$1:$1,0)+2,FALSE)</f>
        <v>何やら様子がおかしい！</v>
      </c>
      <c r="W24" s="106">
        <v>41002006</v>
      </c>
      <c r="X24" s="6">
        <v>2</v>
      </c>
      <c r="Y24" s="6">
        <v>100</v>
      </c>
      <c r="Z24" s="6">
        <v>0</v>
      </c>
      <c r="AA24" s="101">
        <v>4</v>
      </c>
      <c r="AB24" s="24">
        <f>L24</f>
        <v>35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F2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2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Drop1S</v>
      </c>
      <c r="AF24" s="7">
        <v>1</v>
      </c>
      <c r="AG24" s="24">
        <f ca="1">AD24</f>
        <v>2</v>
      </c>
      <c r="AH24" s="8">
        <v>0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  <c r="AN24" s="69">
        <v>1</v>
      </c>
    </row>
    <row r="25" spans="1:40" s="136" customFormat="1" ht="21" customHeight="1" x14ac:dyDescent="0.15">
      <c r="A25" s="127" t="str">
        <f t="shared" ref="A25" si="15">B25&amp;"_"&amp;C25&amp;"-"&amp;G25&amp;"/"&amp;L25&amp;"&lt;lv"&amp;R25&amp;"&gt;s"&amp;AA25</f>
        <v>41002_3-4/297&lt;lv70&gt;s3</v>
      </c>
      <c r="B25" s="171">
        <v>41002</v>
      </c>
      <c r="C25" s="172">
        <v>3</v>
      </c>
      <c r="D25" s="15" t="str">
        <f t="shared" ref="D25" si="16">B25&amp;"_"&amp;C25</f>
        <v>41002_3</v>
      </c>
      <c r="E25" s="128" t="str">
        <f ca="1">VLOOKUP($B25,OFFSET([2]quests!$A$1,0,0,COUNTA([2]quests!$A:$A),MATCH(E$1,[2]quests!$1:$1,0)-MATCH($B$1,[2]quests!$1:$1,0)+1),MATCH(E$1,[2]quests!$1:$1,0)-MATCH($B$1,[2]quests!$1:$1,0)+1,FALSE)</f>
        <v>アザゼル襲来！</v>
      </c>
      <c r="F25" s="128" t="str">
        <f ca="1">VLOOKUP($D25,OFFSET([2]stages!$A$1,0,0,COUNTA([2]stages!$A:$A),MATCH(F$1,[2]stages!$2:$2,0)-MATCH($D$1,[2]stages!$2:$2,0)+1),MATCH(F$1,[2]stages!$2:$2,0)-MATCH($D$1,[2]stages!$2:$2,0)+1,FALSE)</f>
        <v>【ノーコンテニュー】アザゼル襲来</v>
      </c>
      <c r="G25" s="172">
        <v>4</v>
      </c>
      <c r="H25" s="15" t="str">
        <f t="shared" ref="H25" si="17">B25&amp;"_"&amp;C25&amp;"-"&amp;G25</f>
        <v>41002_3-4</v>
      </c>
      <c r="I25" s="128">
        <f ca="1">VLOOKUP($H25,OFFSET(floors!$A$1,0,0,COUNTA(floors!$A:$A),MATCH(I$1,floors!$1:$1,0)-MATCH($H$1,floors!$1:$1,0)+1),MATCH(I$1,floors!$1:$1,0)-MATCH($H$1,floors!$1:$1,0)+1,FALSE)</f>
        <v>60</v>
      </c>
      <c r="J25" s="128">
        <f ca="1">VLOOKUP($H25,OFFSET(floors!$A$1,0,0,COUNTA(floors!$A:$A),MATCH(J$1,floors!$1:$1,0)-MATCH($H$1,floors!$1:$1,0)+1),MATCH(J$1,floors!$1:$1,0)-MATCH($H$1,floors!$1:$1,0)+1,FALSE)</f>
        <v>60</v>
      </c>
      <c r="K25" s="38">
        <v>3</v>
      </c>
      <c r="L25" s="173">
        <v>297</v>
      </c>
      <c r="M25" s="129" t="str">
        <f ca="1">VLOOKUP($L25,OFFSET([3]enemies!$A$1,0,0,COUNTA([3]enemies!$A:$A),MATCH(M$1,[3]enemies!$1:$1,0)-MATCH($L$1,[3]enemies!$1:$1,0)+1),MATCH(M$1,[3]enemies!$1:$1,0)-MATCH($L$1,[3]enemies!$1:$1,0)+1,FALSE)</f>
        <v>狂靭なる双撃 アザゼル</v>
      </c>
      <c r="N25" s="129" t="str">
        <f ca="1">VLOOKUP($L25,OFFSET([3]enemies!$A$1,0,0,COUNTA([3]enemies!$A:$A),MATCH(N$1,[3]enemies!$1:$1,0)-MATCH($L$1,[3]enemies!$1:$1,0)+1),MATCH(N$1,[3]enemies!$1:$1,0)-MATCH($L$1,[3]enemies!$1:$1,0)+1,FALSE)</f>
        <v>green</v>
      </c>
      <c r="O25" s="129" t="str">
        <f ca="1">VLOOKUP($L25,OFFSET([4]characters!$A$1,0,0,COUNTA([4]characters!$A:$A),MATCH(O$1,[4]characters!$1:$1,0)-MATCH($L$1,[4]characters!$1:$1,0)+1),MATCH(O$1,[4]characters!$1:$1,0)-MATCH($L$1,[4]characters!$1:$1,0)+1,FALSE)</f>
        <v>DropWizS</v>
      </c>
      <c r="P25" s="129" t="str">
        <f ca="1">VLOOKUP($L25,OFFSET([3]enemies!$A$1,0,0,COUNTA([3]enemies!$A:$A),MATCH(P$1,[3]enemies!$1:$1,0)-MATCH($L$1,[3]enemies!$1:$1,0)+1),MATCH(P$1,[3]enemies!$1:$1,0)-MATCH($L$1,[3]enemies!$1:$1,0)+1,FALSE)</f>
        <v>god</v>
      </c>
      <c r="Q25" s="129">
        <f ca="1">VLOOKUP($L25,OFFSET([3]enemies!$A$1,0,0,COUNTA([3]enemies!$A:$A),MATCH(Q$1,[3]enemies!$1:$1,0)-MATCH($L$1,[3]enemies!$1:$1,0)+1),MATCH(Q$1,[3]enemies!$1:$1,0)-MATCH($L$1,[3]enemies!$1:$1,0)+1,FALSE)</f>
        <v>60</v>
      </c>
      <c r="R25" s="97">
        <v>70</v>
      </c>
      <c r="S25" s="25">
        <v>3.5</v>
      </c>
      <c r="T25" s="25">
        <v>3</v>
      </c>
      <c r="U25" s="5">
        <v>0</v>
      </c>
      <c r="V25" s="128" t="str">
        <f ca="1">VLOOKUP($W25,OFFSET(enemy_skill_sets!$B$1,0,0,COUNTA(enemy_skill_sets!$B:$B),MATCH(M$1,enemy_skill_sets!$1:$1,0)-MATCH($W$1,enemy_skill_sets!$1:$1,0)+2),MATCH(M$1,enemy_skill_sets!$1:$1,0)-MATCH($W$1,enemy_skill_sets!$1:$1,0)+2,FALSE)</f>
        <v>余裕の笑みを浮かべている</v>
      </c>
      <c r="W25" s="130">
        <v>41002012</v>
      </c>
      <c r="X25" s="174">
        <v>0</v>
      </c>
      <c r="Y25" s="174">
        <v>100</v>
      </c>
      <c r="Z25" s="174">
        <v>1</v>
      </c>
      <c r="AA25" s="131">
        <v>3</v>
      </c>
      <c r="AB25" s="132">
        <v>296</v>
      </c>
      <c r="AC25" s="128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アザゼル</v>
      </c>
      <c r="AD25" s="128">
        <f ca="1">VLOOKUP($AB25,OFFSET([4]characters!$A$1,0,0,COUNTA([4]characters!$A:$A),MATCH(AD$1,[4]characters!$1:$1,0)-MATCH("character_id",[4]characters!$1:$1,0)+1),MATCH(AD$1,[4]characters!$1:$1,0)-MATCH("character_id",[4]characters!$1:$1,0)+1,FALSE)</f>
        <v>4</v>
      </c>
      <c r="AE25" s="128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25" s="133">
        <v>1</v>
      </c>
      <c r="AG25" s="134">
        <f t="shared" ref="AG25" ca="1" si="18">AD25</f>
        <v>4</v>
      </c>
      <c r="AH25" s="135">
        <v>100</v>
      </c>
      <c r="AI25" s="133">
        <v>0</v>
      </c>
      <c r="AJ25" s="133">
        <v>0</v>
      </c>
      <c r="AK25" s="133">
        <v>0</v>
      </c>
      <c r="AL25" s="133">
        <v>0</v>
      </c>
      <c r="AM25" s="133">
        <v>1</v>
      </c>
      <c r="AN25" s="69">
        <v>1</v>
      </c>
    </row>
    <row r="26" spans="1:40" s="138" customFormat="1" ht="21" customHeight="1" x14ac:dyDescent="0.15">
      <c r="A26" s="137"/>
      <c r="D26" s="139"/>
      <c r="L26" s="140"/>
      <c r="AC26" s="141"/>
      <c r="AD26" s="139"/>
      <c r="AE26" s="139"/>
      <c r="AF26" s="142"/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7"/>
  <sheetViews>
    <sheetView showGridLines="0" zoomScale="85" zoomScaleNormal="85" zoomScalePageLayoutView="8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R12" sqref="R1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129</v>
      </c>
      <c r="X1" s="29" t="s">
        <v>128</v>
      </c>
      <c r="Y1" s="28" t="s">
        <v>8</v>
      </c>
    </row>
    <row r="2" spans="1:25" ht="21" customHeight="1" x14ac:dyDescent="0.15">
      <c r="A2" s="16" t="str">
        <f t="shared" ref="A2:A5" si="0">B2&amp;"_"&amp;C2&amp;"-"&amp;G2&amp;"/"&amp;M2&amp;"&lt;lv"&amp;S2&amp;"&gt;sq"&amp;K2&amp;"st"&amp;L2</f>
        <v>41002_1-4/297&lt;lv80&gt;sq1st2</v>
      </c>
      <c r="B2" s="22">
        <v>41002</v>
      </c>
      <c r="C2" s="21">
        <v>1</v>
      </c>
      <c r="D2" s="2" t="str">
        <f t="shared" ref="D2:D5" si="1">B2&amp;"_"&amp;C2</f>
        <v>41002_1</v>
      </c>
      <c r="E2" s="4" t="str">
        <f ca="1">VLOOKUP($B2,OFFSET([2]quests!$A$1,0,0,COUNTA([2]quests!$A:$A),MATCH(E$1,[2]quests!$1:$1,0)-MATCH($B$1,[2]quests!$1:$1,0)+1),MATCH(E$1,[2]quests!$1:$1,0)-MATCH($B$1,[2]quests!$1:$1,0)+1,FALSE)</f>
        <v>アザゼル襲来！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【超絶級】アザゼル襲来</v>
      </c>
      <c r="G2" s="21">
        <v>4</v>
      </c>
      <c r="H2" s="15" t="str">
        <f t="shared" ref="H2:H5" si="2">B2&amp;"_"&amp;C2&amp;"-"&amp;G2</f>
        <v>41002_1-4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297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狂靭なる双撃 アザゼル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1.4</v>
      </c>
      <c r="U2" s="25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105">
        <v>41002015</v>
      </c>
      <c r="Y2" s="100">
        <v>2</v>
      </c>
    </row>
    <row r="3" spans="1:25" s="126" customFormat="1" ht="21" customHeight="1" thickBot="1" x14ac:dyDescent="0.2">
      <c r="A3" s="107" t="str">
        <f t="shared" si="0"/>
        <v>41002_1-4/297&lt;lv90&gt;sq1st3</v>
      </c>
      <c r="B3" s="108">
        <v>41002</v>
      </c>
      <c r="C3" s="109">
        <v>1</v>
      </c>
      <c r="D3" s="110" t="str">
        <f t="shared" si="1"/>
        <v>41002_1</v>
      </c>
      <c r="E3" s="111" t="str">
        <f ca="1">VLOOKUP($B3,OFFSET([2]quests!$A$1,0,0,COUNTA([2]quests!$A:$A),MATCH(E$1,[2]quests!$1:$1,0)-MATCH($B$1,[2]quests!$1:$1,0)+1),MATCH(E$1,[2]quests!$1:$1,0)-MATCH($B$1,[2]quests!$1:$1,0)+1,FALSE)</f>
        <v>アザゼル襲来！</v>
      </c>
      <c r="F3" s="111" t="str">
        <f ca="1">VLOOKUP($D3,OFFSET([2]stages!$A$1,0,0,COUNTA([2]stages!$A:$A),MATCH(F$1,[2]stages!$2:$2,0)-MATCH($D$1,[2]stages!$2:$2,0)+1),MATCH(F$1,[2]stages!$2:$2,0)-MATCH($D$1,[2]stages!$2:$2,0)+1,FALSE)</f>
        <v>【超絶級】アザゼル襲来</v>
      </c>
      <c r="G3" s="109">
        <v>4</v>
      </c>
      <c r="H3" s="110" t="str">
        <f t="shared" si="2"/>
        <v>41002_1-4</v>
      </c>
      <c r="I3" s="111">
        <f ca="1">VLOOKUP($H3,OFFSET(floors!$A$1,0,0,COUNTA(floors!$A:$A),MATCH(I$1,floors!$1:$1,0)-MATCH($H$1,floors!$1:$1,0)+1),MATCH(I$1,floors!$1:$1,0)-MATCH($H$1,floors!$1:$1,0)+1,FALSE)</f>
        <v>60</v>
      </c>
      <c r="J3" s="111">
        <f ca="1">VLOOKUP($H3,OFFSET(floors!$A$1,0,0,COUNTA(floors!$A:$A),MATCH(J$1,floors!$1:$1,0)-MATCH($H$1,floors!$1:$1,0)+1),MATCH(J$1,floors!$1:$1,0)-MATCH($H$1,floors!$1:$1,0)+1,FALSE)</f>
        <v>60</v>
      </c>
      <c r="K3" s="112">
        <v>1</v>
      </c>
      <c r="L3" s="112">
        <v>3</v>
      </c>
      <c r="M3" s="113">
        <v>297</v>
      </c>
      <c r="N3" s="114" t="str">
        <f ca="1">VLOOKUP($M3,OFFSET([3]enemies!$A$1,0,0,COUNTA([3]enemies!$A:$A),MATCH(N$1,[3]enemies!$1:$1,0)-MATCH($M$1,[3]enemies!$1:$1,0)+1),MATCH(N$1,[3]enemies!$1:$1,0)-MATCH($M$1,[3]enemies!$1:$1,0)+1,FALSE)</f>
        <v>狂靭なる双撃 アザゼル</v>
      </c>
      <c r="O3" s="114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14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14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14">
        <f ca="1">VLOOKUP($M3,OFFSET([3]enemies!$A$1,0,0,COUNTA([3]enemies!$A:$A),MATCH(R$1,[3]enemies!$1:$1,0)-MATCH($M$1,[3]enemies!$1:$1,0)+1),MATCH(R$1,[3]enemies!$1:$1,0)-MATCH($M$1,[3]enemies!$1:$1,0)+1,FALSE)</f>
        <v>60</v>
      </c>
      <c r="S3" s="117">
        <v>90</v>
      </c>
      <c r="T3" s="116">
        <v>2.5</v>
      </c>
      <c r="U3" s="116">
        <v>1.3</v>
      </c>
      <c r="V3" s="117">
        <v>0</v>
      </c>
      <c r="W3" s="111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155">
        <v>41002016</v>
      </c>
      <c r="Y3" s="156">
        <v>2</v>
      </c>
    </row>
    <row r="4" spans="1:25" s="169" customFormat="1" ht="21" customHeight="1" x14ac:dyDescent="0.15">
      <c r="A4" s="157" t="str">
        <f t="shared" si="0"/>
        <v>41002_2-4/812&lt;lv80&gt;sq2st2</v>
      </c>
      <c r="B4" s="158">
        <v>41002</v>
      </c>
      <c r="C4" s="159">
        <v>2</v>
      </c>
      <c r="D4" s="160" t="str">
        <f t="shared" si="1"/>
        <v>41002_2</v>
      </c>
      <c r="E4" s="161" t="str">
        <f ca="1">VLOOKUP($B4,OFFSET([2]quests!$A$1,0,0,COUNTA([2]quests!$A:$A),MATCH(E$1,[2]quests!$1:$1,0)-MATCH($B$1,[2]quests!$1:$1,0)+1),MATCH(E$1,[2]quests!$1:$1,0)-MATCH($B$1,[2]quests!$1:$1,0)+1,FALSE)</f>
        <v>アザゼル襲来！</v>
      </c>
      <c r="F4" s="161" t="str">
        <f ca="1">VLOOKUP($D4,OFFSET([2]stages!$A$1,0,0,COUNTA([2]stages!$A:$A),MATCH(F$1,[2]stages!$2:$2,0)-MATCH($D$1,[2]stages!$2:$2,0)+1),MATCH(F$1,[2]stages!$2:$2,0)-MATCH($D$1,[2]stages!$2:$2,0)+1,FALSE)</f>
        <v>【ウィザード級】アザゼル襲来</v>
      </c>
      <c r="G4" s="159">
        <v>4</v>
      </c>
      <c r="H4" s="160" t="str">
        <f t="shared" si="2"/>
        <v>41002_2-4</v>
      </c>
      <c r="I4" s="161">
        <f ca="1">VLOOKUP($H4,OFFSET(floors!$A$1,0,0,COUNTA(floors!$A:$A),MATCH(I$1,floors!$1:$1,0)-MATCH($H$1,floors!$1:$1,0)+1),MATCH(I$1,floors!$1:$1,0)-MATCH($H$1,floors!$1:$1,0)+1,FALSE)</f>
        <v>60</v>
      </c>
      <c r="J4" s="161">
        <f ca="1">VLOOKUP($H4,OFFSET(floors!$A$1,0,0,COUNTA(floors!$A:$A),MATCH(J$1,floors!$1:$1,0)-MATCH($H$1,floors!$1:$1,0)+1),MATCH(J$1,floors!$1:$1,0)-MATCH($H$1,floors!$1:$1,0)+1,FALSE)</f>
        <v>60</v>
      </c>
      <c r="K4" s="162">
        <v>2</v>
      </c>
      <c r="L4" s="162">
        <v>2</v>
      </c>
      <c r="M4" s="163">
        <v>812</v>
      </c>
      <c r="N4" s="164" t="str">
        <f ca="1">VLOOKUP($M4,OFFSET([3]enemies!$A$1,0,0,COUNTA([3]enemies!$A:$A),MATCH(N$1,[3]enemies!$1:$1,0)-MATCH($M$1,[3]enemies!$1:$1,0)+1),MATCH(N$1,[3]enemies!$1:$1,0)-MATCH($M$1,[3]enemies!$1:$1,0)+1,FALSE)</f>
        <v>凶膨なる殲滅 アザゼル</v>
      </c>
      <c r="O4" s="164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64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64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64">
        <f ca="1">VLOOKUP($M4,OFFSET([3]enemies!$A$1,0,0,COUNTA([3]enemies!$A:$A),MATCH(R$1,[3]enemies!$1:$1,0)-MATCH($M$1,[3]enemies!$1:$1,0)+1),MATCH(R$1,[3]enemies!$1:$1,0)-MATCH($M$1,[3]enemies!$1:$1,0)+1,FALSE)</f>
        <v>60</v>
      </c>
      <c r="S4" s="165">
        <v>80</v>
      </c>
      <c r="T4" s="166">
        <v>4.5999999999999996</v>
      </c>
      <c r="U4" s="166">
        <v>2.2000000000000002</v>
      </c>
      <c r="V4" s="165">
        <v>0</v>
      </c>
      <c r="W4" s="161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167">
        <v>41002013</v>
      </c>
      <c r="Y4" s="168">
        <v>2</v>
      </c>
    </row>
    <row r="5" spans="1:25" ht="21" customHeight="1" thickBot="1" x14ac:dyDescent="0.2">
      <c r="A5" s="16" t="str">
        <f t="shared" si="0"/>
        <v>41002_2-4/812&lt;lv80&gt;sq2st3</v>
      </c>
      <c r="B5" s="22">
        <v>41002</v>
      </c>
      <c r="C5" s="21">
        <v>2</v>
      </c>
      <c r="D5" s="2" t="str">
        <f t="shared" si="1"/>
        <v>41002_2</v>
      </c>
      <c r="E5" s="4" t="str">
        <f ca="1">VLOOKUP($B5,OFFSET([2]quests!$A$1,0,0,COUNTA([2]quests!$A:$A),MATCH(E$1,[2]quests!$1:$1,0)-MATCH($B$1,[2]quests!$1:$1,0)+1),MATCH(E$1,[2]quests!$1:$1,0)-MATCH($B$1,[2]quests!$1:$1,0)+1,FALSE)</f>
        <v>アザゼル襲来！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【ウィザード級】アザゼル襲来</v>
      </c>
      <c r="G5" s="21">
        <v>4</v>
      </c>
      <c r="H5" s="15" t="str">
        <f t="shared" si="2"/>
        <v>41002_2-4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38">
        <v>3</v>
      </c>
      <c r="M5" s="20">
        <v>812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凶膨なる殲滅 アザゼル</v>
      </c>
      <c r="O5" s="1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5">
        <v>5.4</v>
      </c>
      <c r="U5" s="25">
        <v>2.2999999999999998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105">
        <v>41002014</v>
      </c>
      <c r="Y5" s="100">
        <v>2</v>
      </c>
    </row>
    <row r="6" spans="1:25" s="169" customFormat="1" ht="21" customHeight="1" x14ac:dyDescent="0.15">
      <c r="A6" s="157" t="str">
        <f t="shared" ref="A6:A7" si="3">B6&amp;"_"&amp;C6&amp;"-"&amp;G6&amp;"/"&amp;M6&amp;"&lt;lv"&amp;S6&amp;"&gt;sq"&amp;K6&amp;"st"&amp;L6</f>
        <v>41002_3-4/812&lt;lv80&gt;sq3st2</v>
      </c>
      <c r="B6" s="158">
        <v>41002</v>
      </c>
      <c r="C6" s="159">
        <v>3</v>
      </c>
      <c r="D6" s="160" t="str">
        <f t="shared" ref="D6:D7" si="4">B6&amp;"_"&amp;C6</f>
        <v>41002_3</v>
      </c>
      <c r="E6" s="161" t="str">
        <f ca="1">VLOOKUP($B6,OFFSET([2]quests!$A$1,0,0,COUNTA([2]quests!$A:$A),MATCH(E$1,[2]quests!$1:$1,0)-MATCH($B$1,[2]quests!$1:$1,0)+1),MATCH(E$1,[2]quests!$1:$1,0)-MATCH($B$1,[2]quests!$1:$1,0)+1,FALSE)</f>
        <v>アザゼル襲来！</v>
      </c>
      <c r="F6" s="161" t="str">
        <f ca="1">VLOOKUP($D6,OFFSET([2]stages!$A$1,0,0,COUNTA([2]stages!$A:$A),MATCH(F$1,[2]stages!$2:$2,0)-MATCH($D$1,[2]stages!$2:$2,0)+1),MATCH(F$1,[2]stages!$2:$2,0)-MATCH($D$1,[2]stages!$2:$2,0)+1,FALSE)</f>
        <v>【ノーコンテニュー】アザゼル襲来</v>
      </c>
      <c r="G6" s="159">
        <v>4</v>
      </c>
      <c r="H6" s="160" t="str">
        <f t="shared" ref="H6:H7" si="5">B6&amp;"_"&amp;C6&amp;"-"&amp;G6</f>
        <v>41002_3-4</v>
      </c>
      <c r="I6" s="161">
        <f ca="1">VLOOKUP($H6,OFFSET(floors!$A$1,0,0,COUNTA(floors!$A:$A),MATCH(I$1,floors!$1:$1,0)-MATCH($H$1,floors!$1:$1,0)+1),MATCH(I$1,floors!$1:$1,0)-MATCH($H$1,floors!$1:$1,0)+1,FALSE)</f>
        <v>60</v>
      </c>
      <c r="J6" s="161">
        <f ca="1">VLOOKUP($H6,OFFSET(floors!$A$1,0,0,COUNTA(floors!$A:$A),MATCH(J$1,floors!$1:$1,0)-MATCH($H$1,floors!$1:$1,0)+1),MATCH(J$1,floors!$1:$1,0)-MATCH($H$1,floors!$1:$1,0)+1,FALSE)</f>
        <v>60</v>
      </c>
      <c r="K6" s="162">
        <v>3</v>
      </c>
      <c r="L6" s="162">
        <v>2</v>
      </c>
      <c r="M6" s="163">
        <v>812</v>
      </c>
      <c r="N6" s="164" t="str">
        <f ca="1">VLOOKUP($M6,OFFSET([3]enemies!$A$1,0,0,COUNTA([3]enemies!$A:$A),MATCH(N$1,[3]enemies!$1:$1,0)-MATCH($M$1,[3]enemies!$1:$1,0)+1),MATCH(N$1,[3]enemies!$1:$1,0)-MATCH($M$1,[3]enemies!$1:$1,0)+1,FALSE)</f>
        <v>凶膨なる殲滅 アザゼル</v>
      </c>
      <c r="O6" s="164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164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64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64">
        <f ca="1">VLOOKUP($M6,OFFSET([3]enemies!$A$1,0,0,COUNTA([3]enemies!$A:$A),MATCH(R$1,[3]enemies!$1:$1,0)-MATCH($M$1,[3]enemies!$1:$1,0)+1),MATCH(R$1,[3]enemies!$1:$1,0)-MATCH($M$1,[3]enemies!$1:$1,0)+1,FALSE)</f>
        <v>60</v>
      </c>
      <c r="S6" s="165">
        <v>80</v>
      </c>
      <c r="T6" s="166">
        <v>4.5999999999999996</v>
      </c>
      <c r="U6" s="166">
        <v>2.2000000000000002</v>
      </c>
      <c r="V6" s="165">
        <v>0</v>
      </c>
      <c r="W6" s="161" t="e">
        <f ca="1">VLOOKUP($X6,OFFSET([5]enemy_skill_sets!$B$1,0,0,COUNTA([5]enemy_skill_sets!$B:$B),MATCH(N$1,[5]enemy_skill_sets!$1:$1,0)-MATCH($X$1,[5]enemy_skill_sets!$1:$1,0)+2),MATCH(N$1,[5]enemy_skill_sets!$1:$1,0)-MATCH($X$1,[5]enemy_skill_sets!$1:$1,0)+2,FALSE)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6" s="167">
        <v>41002013</v>
      </c>
      <c r="Y6" s="168">
        <v>2</v>
      </c>
    </row>
    <row r="7" spans="1:25" ht="21" customHeight="1" x14ac:dyDescent="0.15">
      <c r="A7" s="16" t="str">
        <f t="shared" si="3"/>
        <v>41002_3-4/812&lt;lv80&gt;sq3st3</v>
      </c>
      <c r="B7" s="22">
        <v>41002</v>
      </c>
      <c r="C7" s="21">
        <v>3</v>
      </c>
      <c r="D7" s="2" t="str">
        <f t="shared" si="4"/>
        <v>41002_3</v>
      </c>
      <c r="E7" s="4" t="str">
        <f ca="1">VLOOKUP($B7,OFFSET([2]quests!$A$1,0,0,COUNTA([2]quests!$A:$A),MATCH(E$1,[2]quests!$1:$1,0)-MATCH($B$1,[2]quests!$1:$1,0)+1),MATCH(E$1,[2]quests!$1:$1,0)-MATCH($B$1,[2]quests!$1:$1,0)+1,FALSE)</f>
        <v>アザゼル襲来！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【ノーコンテニュー】アザゼル襲来</v>
      </c>
      <c r="G7" s="21">
        <v>4</v>
      </c>
      <c r="H7" s="15" t="str">
        <f t="shared" si="5"/>
        <v>41002_3-4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3</v>
      </c>
      <c r="L7" s="38">
        <v>3</v>
      </c>
      <c r="M7" s="20">
        <v>812</v>
      </c>
      <c r="N7" s="17" t="str">
        <f ca="1">VLOOKUP($M7,OFFSET([3]enemies!$A$1,0,0,COUNTA([3]enemies!$A:$A),MATCH(N$1,[3]enemies!$1:$1,0)-MATCH($M$1,[3]enemies!$1:$1,0)+1),MATCH(N$1,[3]enemies!$1:$1,0)-MATCH($M$1,[3]enemies!$1:$1,0)+1,FALSE)</f>
        <v>凶膨なる殲滅 アザゼル</v>
      </c>
      <c r="O7" s="17" t="str">
        <f ca="1">VLOOKUP($M7,OFFSET([3]enemies!$A$1,0,0,COUNTA([3]enemies!$A:$A),MATCH(O$1,[3]enemies!$1:$1,0)-MATCH($M$1,[3]enemies!$1:$1,0)+1),MATCH(O$1,[3]enemies!$1:$1,0)-MATCH($M$1,[3]enemies!$1:$1,0)+1,FALSE)</f>
        <v>green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80</v>
      </c>
      <c r="T7" s="25">
        <v>5.4</v>
      </c>
      <c r="U7" s="25">
        <v>2.2999999999999998</v>
      </c>
      <c r="V7" s="5">
        <v>0</v>
      </c>
      <c r="W7" s="4" t="e">
        <f ca="1">VLOOKUP($X7,OFFSET([5]enemy_skill_sets!$B$1,0,0,COUNTA([5]enemy_skill_sets!$B:$B),MATCH(N$1,[5]enemy_skill_sets!$1:$1,0)-MATCH($X$1,[5]enemy_skill_sets!$1:$1,0)+2),MATCH(N$1,[5]enemy_skill_sets!$1:$1,0)-MATCH($X$1,[5]enemy_skill_sets!$1:$1,0)+2,FALSE)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7" s="105">
        <v>41002014</v>
      </c>
      <c r="Y7" s="100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7"/>
  <sheetViews>
    <sheetView showGridLines="0" zoomScale="85" zoomScaleNormal="85" zoomScalePageLayoutView="85" workbookViewId="0">
      <pane xSplit="5" ySplit="1" topLeftCell="F2" activePane="bottomRight" state="frozen"/>
      <selection pane="topRight"/>
      <selection pane="bottomLeft"/>
      <selection pane="bottomRight" activeCell="F10" sqref="F10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41002001_41002035</v>
      </c>
      <c r="B2" s="47">
        <v>41002001</v>
      </c>
      <c r="C2" s="47">
        <v>41002035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フフッ…遊んであげる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余裕の笑みを浮かべている</v>
      </c>
      <c r="F2" s="47">
        <v>41002035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" si="1">B3&amp;"_"&amp;C3</f>
        <v>41002001_41002001</v>
      </c>
      <c r="B3" s="47">
        <v>41002001</v>
      </c>
      <c r="C3" s="47">
        <v>41002001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トリプレットターゲット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" s="47">
        <v>41002001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" s="47"/>
      <c r="Q3" s="47"/>
      <c r="R3" s="47"/>
    </row>
    <row r="4" spans="1:18" ht="21" customHeight="1" x14ac:dyDescent="0.15">
      <c r="A4" s="39" t="str">
        <f t="shared" ref="A4:A40" si="2">B4&amp;"_"&amp;C4</f>
        <v>41002001_41002002</v>
      </c>
      <c r="B4" s="47">
        <v>41002001</v>
      </c>
      <c r="C4" s="47">
        <v>41002002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インティミデイト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3ターン赤属性ユニットの攻撃をカウンター</v>
      </c>
      <c r="F4" s="47">
        <v>41002002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7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7"/>
      <c r="Q4" s="47"/>
      <c r="R4" s="47"/>
    </row>
    <row r="5" spans="1:18" ht="21" customHeight="1" x14ac:dyDescent="0.15">
      <c r="A5" s="39" t="str">
        <f t="shared" si="2"/>
        <v>41002001_41002003</v>
      </c>
      <c r="B5" s="47">
        <v>41002001</v>
      </c>
      <c r="C5" s="47">
        <v>41002003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インサニティ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4ターン攻撃力UP</v>
      </c>
      <c r="F5" s="47">
        <v>41002003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2"/>
        <v>41002001_41002004</v>
      </c>
      <c r="B6" s="47">
        <v>41002001</v>
      </c>
      <c r="C6" s="47">
        <v>41002004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アームブレイク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3ターンタップ回数を1減少</v>
      </c>
      <c r="F6" s="47">
        <v>41002004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47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47"/>
      <c r="Q6" s="47"/>
      <c r="R6" s="47"/>
    </row>
    <row r="7" spans="1:18" ht="21" customHeight="1" x14ac:dyDescent="0.15">
      <c r="A7" s="39" t="str">
        <f t="shared" si="2"/>
        <v>41002002_41002005</v>
      </c>
      <c r="B7" s="47">
        <v>41002002</v>
      </c>
      <c r="C7" s="47">
        <v>41002005</v>
      </c>
      <c r="D7" s="46" t="e">
        <f ca="1">VLOOKUP($C7,OFFSET(enemy_skills!$A$1,0,0,COUNTA(enemy_skills!$A:$A),MATCH(D$1,enemy_skills!$1:$1,0)-MATCH("enemy_skill_id",enemy_skills!$1:$1,0)+1),MATCH(D$1,enemy_skills!$1:$1,0)-MATCH("enemy_skill_id",enemy_skills!$1:$1,0)+1,FALSE)</f>
        <v>#N/A</v>
      </c>
      <c r="E7" s="46" t="e">
        <f ca="1">VLOOKUP($C7,OFFSET(enemy_skills!$A$1,0,0,COUNTA(enemy_skills!$A:$A),MATCH(E$1,enemy_skills!$1:$1,0)-MATCH("enemy_skill_id",enemy_skills!$1:$1,0)+1),MATCH(E$1,enemy_skills!$1:$1,0)-MATCH("enemy_skill_id",enemy_skills!$1:$1,0)+1,FALSE)</f>
        <v>#N/A</v>
      </c>
      <c r="F7" s="47">
        <v>41002005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7" s="47"/>
      <c r="Q7" s="47"/>
      <c r="R7" s="47"/>
    </row>
    <row r="8" spans="1:18" ht="21" customHeight="1" x14ac:dyDescent="0.15">
      <c r="A8" s="39" t="str">
        <f t="shared" si="2"/>
        <v>41002003_41002006</v>
      </c>
      <c r="B8" s="47">
        <v>41002003</v>
      </c>
      <c r="C8" s="47">
        <v>41002006</v>
      </c>
      <c r="D8" s="46" t="e">
        <f ca="1">VLOOKUP($C8,OFFSET(enemy_skills!$A$1,0,0,COUNTA(enemy_skills!$A:$A),MATCH(D$1,enemy_skills!$1:$1,0)-MATCH("enemy_skill_id",enemy_skills!$1:$1,0)+1),MATCH(D$1,enemy_skills!$1:$1,0)-MATCH("enemy_skill_id",enemy_skills!$1:$1,0)+1,FALSE)</f>
        <v>#N/A</v>
      </c>
      <c r="E8" s="46" t="e">
        <f ca="1">VLOOKUP($C8,OFFSET(enemy_skills!$A$1,0,0,COUNTA(enemy_skills!$A:$A),MATCH(E$1,enemy_skills!$1:$1,0)-MATCH("enemy_skill_id",enemy_skills!$1:$1,0)+1),MATCH(E$1,enemy_skills!$1:$1,0)-MATCH("enemy_skill_id",enemy_skills!$1:$1,0)+1,FALSE)</f>
        <v>#N/A</v>
      </c>
      <c r="F8" s="47">
        <v>41002006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8" s="47"/>
      <c r="Q8" s="47"/>
      <c r="R8" s="47"/>
    </row>
    <row r="9" spans="1:18" ht="21" customHeight="1" x14ac:dyDescent="0.15">
      <c r="A9" s="39" t="str">
        <f t="shared" si="2"/>
        <v>41002004_41002007</v>
      </c>
      <c r="B9" s="47">
        <v>41002004</v>
      </c>
      <c r="C9" s="47">
        <v>41002007</v>
      </c>
      <c r="D9" s="46" t="e">
        <f ca="1">VLOOKUP($C9,OFFSET(enemy_skills!$A$1,0,0,COUNTA(enemy_skills!$A:$A),MATCH(D$1,enemy_skills!$1:$1,0)-MATCH("enemy_skill_id",enemy_skills!$1:$1,0)+1),MATCH(D$1,enemy_skills!$1:$1,0)-MATCH("enemy_skill_id",enemy_skills!$1:$1,0)+1,FALSE)</f>
        <v>#N/A</v>
      </c>
      <c r="E9" s="46" t="e">
        <f ca="1">VLOOKUP($C9,OFFSET(enemy_skills!$A$1,0,0,COUNTA(enemy_skills!$A:$A),MATCH(E$1,enemy_skills!$1:$1,0)-MATCH("enemy_skill_id",enemy_skills!$1:$1,0)+1),MATCH(E$1,enemy_skills!$1:$1,0)-MATCH("enemy_skill_id",enemy_skills!$1:$1,0)+1,FALSE)</f>
        <v>#N/A</v>
      </c>
      <c r="F9" s="47">
        <v>41002007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9" s="47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9" s="47"/>
      <c r="Q9" s="47"/>
      <c r="R9" s="47"/>
    </row>
    <row r="10" spans="1:18" ht="21" customHeight="1" x14ac:dyDescent="0.15">
      <c r="A10" s="39" t="str">
        <f t="shared" ref="A10" si="3">B10&amp;"_"&amp;C10</f>
        <v>41002005_41002040</v>
      </c>
      <c r="B10" s="47">
        <v>41002005</v>
      </c>
      <c r="C10" s="47">
        <v>41002040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ガガガッ…ピーーー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メガホンの感度を調節している</v>
      </c>
      <c r="F10" s="47">
        <v>41002035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2"/>
        <v>41002005_41002008</v>
      </c>
      <c r="B11" s="47">
        <v>41002005</v>
      </c>
      <c r="C11" s="47">
        <v>41002008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サウンドストーム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1" s="47">
        <v>41002008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26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" s="47"/>
      <c r="Q11" s="47"/>
      <c r="R11" s="47"/>
    </row>
    <row r="12" spans="1:18" ht="21" customHeight="1" x14ac:dyDescent="0.15">
      <c r="A12" s="39" t="str">
        <f t="shared" si="2"/>
        <v>41002005_41002009</v>
      </c>
      <c r="B12" s="47">
        <v>41002005</v>
      </c>
      <c r="C12" s="47">
        <v>41002009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バインドノイズ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3ターンスキルバインド＋全体攻撃</v>
      </c>
      <c r="F12" s="47">
        <v>41002009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12" s="47"/>
      <c r="Q12" s="47"/>
      <c r="R12" s="47"/>
    </row>
    <row r="13" spans="1:18" ht="21" customHeight="1" x14ac:dyDescent="0.15">
      <c r="A13" s="39" t="str">
        <f t="shared" si="2"/>
        <v>41002005_41002010</v>
      </c>
      <c r="B13" s="47">
        <v>41002005</v>
      </c>
      <c r="C13" s="47">
        <v>41002010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バインドノイズ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3ターンスキルバインド＋全体攻撃</v>
      </c>
      <c r="F13" s="47">
        <v>41002010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27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2"/>
        <v>41002005_41002011</v>
      </c>
      <c r="B14" s="47">
        <v>41002005</v>
      </c>
      <c r="C14" s="47">
        <v>41002011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ルージュキャンセリング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5ターン赤パネルが使えない！</v>
      </c>
      <c r="F14" s="47">
        <v>41002011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28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ref="A15" si="4">B15&amp;"_"&amp;C15</f>
        <v>41002005_41002036</v>
      </c>
      <c r="B15" s="47">
        <v>41002005</v>
      </c>
      <c r="C15" s="47">
        <v>41002036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アップテンポ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3ターン攻撃頻度が1ターンにUP</v>
      </c>
      <c r="F15" s="47">
        <v>41002036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7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2"/>
        <v>41002006_41002012</v>
      </c>
      <c r="B16" s="47">
        <v>41002006</v>
      </c>
      <c r="C16" s="47">
        <v>41002012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コ4ン8ニ・・チワ9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何やら様子がおかしい！</v>
      </c>
      <c r="F16" s="47">
        <v>41002012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2"/>
        <v>41002006_41002013</v>
      </c>
      <c r="B17" s="47">
        <v>41002006</v>
      </c>
      <c r="C17" s="47">
        <v>41002013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進撃の花火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自爆攻撃＋5ターン全エネミーの攻撃力UP</v>
      </c>
      <c r="F17" s="47">
        <v>41002013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2"/>
        <v>41002007_41002014</v>
      </c>
      <c r="B18" s="47">
        <v>41002007</v>
      </c>
      <c r="C18" s="47">
        <v>41002014</v>
      </c>
      <c r="D18" s="46" t="e">
        <f ca="1">VLOOKUP($C18,OFFSET(enemy_skills!$A$1,0,0,COUNTA(enemy_skills!$A:$A),MATCH(D$1,enemy_skills!$1:$1,0)-MATCH("enemy_skill_id",enemy_skills!$1:$1,0)+1),MATCH(D$1,enemy_skills!$1:$1,0)-MATCH("enemy_skill_id",enemy_skills!$1:$1,0)+1,FALSE)</f>
        <v>#N/A</v>
      </c>
      <c r="E18" s="46" t="e">
        <f ca="1">VLOOKUP($C18,OFFSET(enemy_skills!$A$1,0,0,COUNTA(enemy_skills!$A:$A),MATCH(E$1,enemy_skills!$1:$1,0)-MATCH("enemy_skill_id",enemy_skills!$1:$1,0)+1),MATCH(E$1,enemy_skills!$1:$1,0)-MATCH("enemy_skill_id",enemy_skills!$1:$1,0)+1,FALSE)</f>
        <v>#N/A</v>
      </c>
      <c r="F18" s="47">
        <v>41002014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2"/>
        <v>41002008_41002015</v>
      </c>
      <c r="B19" s="47">
        <v>41002008</v>
      </c>
      <c r="C19" s="47">
        <v>41002015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全力応援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19" s="47">
        <v>41002015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9" s="47"/>
      <c r="Q19" s="47"/>
      <c r="R19" s="47"/>
    </row>
    <row r="20" spans="1:18" ht="21" customHeight="1" x14ac:dyDescent="0.15">
      <c r="A20" s="39" t="str">
        <f t="shared" si="2"/>
        <v>41002009_41002016</v>
      </c>
      <c r="B20" s="47">
        <v>41002009</v>
      </c>
      <c r="C20" s="47">
        <v>41002016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パタパタ胞子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3ターンの間ダメージを受ける</v>
      </c>
      <c r="F20" s="47">
        <v>41002016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0" s="47"/>
      <c r="Q20" s="47"/>
      <c r="R20" s="47"/>
    </row>
    <row r="21" spans="1:18" ht="21" customHeight="1" x14ac:dyDescent="0.15">
      <c r="A21" s="39" t="str">
        <f t="shared" si="2"/>
        <v>41002010_41002017</v>
      </c>
      <c r="B21" s="47">
        <v>41002010</v>
      </c>
      <c r="C21" s="47">
        <v>41002017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おやすみマーチ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ユニット1体に3ターンスリープ</v>
      </c>
      <c r="F21" s="47">
        <v>41002017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1" s="47"/>
      <c r="Q21" s="47"/>
      <c r="R21" s="47"/>
    </row>
    <row r="22" spans="1:18" ht="21" customHeight="1" x14ac:dyDescent="0.15">
      <c r="A22" s="39" t="str">
        <f t="shared" si="2"/>
        <v>41002011_41002018</v>
      </c>
      <c r="B22" s="47">
        <v>41002011</v>
      </c>
      <c r="C22" s="47">
        <v>41002018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実戦ロープワーク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3ターンスキルが使えない！</v>
      </c>
      <c r="F22" s="47">
        <v>41002018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2" s="47"/>
      <c r="Q22" s="47"/>
      <c r="R22" s="47"/>
    </row>
    <row r="23" spans="1:18" ht="21" customHeight="1" x14ac:dyDescent="0.15">
      <c r="A23" s="39" t="str">
        <f t="shared" si="2"/>
        <v>41002012_41002019</v>
      </c>
      <c r="B23" s="47">
        <v>41002012</v>
      </c>
      <c r="C23" s="47">
        <v>41002019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こい、遊んでやろう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余裕の笑みを浮かべている</v>
      </c>
      <c r="F23" s="47">
        <v>41002019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2"/>
        <v>41002012_41002020</v>
      </c>
      <c r="B24" s="47">
        <v>41002012</v>
      </c>
      <c r="C24" s="47">
        <v>41002020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ほれ、くぐり抜けろ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お邪魔パネル出現＋攻撃</v>
      </c>
      <c r="F24" s="47">
        <v>41002020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2"/>
        <v>41002012_41002021</v>
      </c>
      <c r="B25" s="47">
        <v>41002012</v>
      </c>
      <c r="C25" s="47">
        <v>41002021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気分が良いぞ…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5" s="47">
        <v>41002021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5" s="47"/>
      <c r="Q25" s="47"/>
      <c r="R25" s="47"/>
    </row>
    <row r="26" spans="1:18" ht="21" customHeight="1" x14ac:dyDescent="0.15">
      <c r="A26" s="39" t="str">
        <f t="shared" si="2"/>
        <v>41002012_41002022</v>
      </c>
      <c r="B26" s="47">
        <v>41002012</v>
      </c>
      <c r="C26" s="47">
        <v>41002022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踊れヤギども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6" s="47">
        <v>41002022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26" s="47"/>
      <c r="Q26" s="47"/>
      <c r="R26" s="47"/>
    </row>
    <row r="27" spans="1:18" ht="21" customHeight="1" x14ac:dyDescent="0.15">
      <c r="A27" s="39" t="str">
        <f t="shared" si="2"/>
        <v>41002012_41002023</v>
      </c>
      <c r="B27" s="47">
        <v>41002012</v>
      </c>
      <c r="C27" s="47">
        <v>41002023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遊んでやろう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2ターン赤属性ユニットの攻撃力100%DOWN</v>
      </c>
      <c r="F27" s="47">
        <v>41002023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26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7" s="47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7" s="47"/>
      <c r="Q27" s="47"/>
      <c r="R27" s="47"/>
    </row>
    <row r="28" spans="1:18" ht="21" customHeight="1" x14ac:dyDescent="0.15">
      <c r="A28" s="39" t="str">
        <f t="shared" ref="A28" si="5">B28&amp;"_"&amp;C28</f>
        <v>41002013_41002033</v>
      </c>
      <c r="B28" s="47">
        <v>41002013</v>
      </c>
      <c r="C28" s="47">
        <v>41002033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クックック…いいだろう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真の絶望というものを見せてやる！</v>
      </c>
      <c r="F28" s="47">
        <v>41002033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2"/>
        <v>41002013_41002024</v>
      </c>
      <c r="B29" s="47">
        <v>41002013</v>
      </c>
      <c r="C29" s="47">
        <v>41002024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常世の闇に彷徨うがいい！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3ターン暗闇＋全体攻撃</v>
      </c>
      <c r="F29" s="47">
        <v>41002024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2"/>
        <v>41002013_41002025</v>
      </c>
      <c r="B30" s="47">
        <v>41002013</v>
      </c>
      <c r="C30" s="47">
        <v>41002025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群れるな痴れ者ども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30" s="47">
        <v>41002025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0" s="47"/>
      <c r="Q30" s="47"/>
      <c r="R30" s="47"/>
    </row>
    <row r="31" spans="1:18" ht="21" customHeight="1" x14ac:dyDescent="0.15">
      <c r="A31" s="39" t="str">
        <f t="shared" si="2"/>
        <v>41002013_41002026</v>
      </c>
      <c r="B31" s="47">
        <v>41002013</v>
      </c>
      <c r="C31" s="47">
        <v>41002026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出でよグリゴリ！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1" s="47">
        <v>41002026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1" s="4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1" s="47"/>
      <c r="Q31" s="47"/>
      <c r="R31" s="47"/>
    </row>
    <row r="32" spans="1:18" ht="21" customHeight="1" x14ac:dyDescent="0.15">
      <c r="A32" s="39" t="str">
        <f t="shared" ref="A32:A33" si="6">B32&amp;"_"&amp;C32</f>
        <v>41002013_41002034</v>
      </c>
      <c r="B32" s="47">
        <v>41002013</v>
      </c>
      <c r="C32" s="47">
        <v>41002034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家畜が…目障りだ！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種族アニマルのユニットに大ダメージ</v>
      </c>
      <c r="F32" s="47">
        <v>41002034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6"/>
        <v>41002013_41002037</v>
      </c>
      <c r="B33" s="47">
        <v>41002013</v>
      </c>
      <c r="C33" s="47">
        <v>41002037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格の違いを見せてやろう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次のターン緑パネルを吸収して攻撃</v>
      </c>
      <c r="F33" s="47">
        <v>41002037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ref="A34" si="7">B34&amp;"_"&amp;C34</f>
        <v>41002013_41002038</v>
      </c>
      <c r="B34" s="47">
        <v>41002013</v>
      </c>
      <c r="C34" s="47">
        <v>41002038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ひれ伏せ！愚民ども！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緑パネル吸収攻撃</v>
      </c>
      <c r="F34" s="47">
        <v>41002038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44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7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2"/>
        <v>41002014_41002027</v>
      </c>
      <c r="B35" s="47">
        <v>41002014</v>
      </c>
      <c r="C35" s="47">
        <v>41002027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貴様らに未来は無い…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10ターンハートパネルで回復できない</v>
      </c>
      <c r="F35" s="47">
        <v>41002027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2"/>
        <v>41002014_41002028</v>
      </c>
      <c r="B36" s="47">
        <v>41002014</v>
      </c>
      <c r="C36" s="47">
        <v>41002028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出でよグリゴリ！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6" s="47">
        <v>41002028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6" s="47"/>
      <c r="Q36" s="47"/>
      <c r="R36" s="47"/>
    </row>
    <row r="37" spans="1:18" ht="21" customHeight="1" x14ac:dyDescent="0.15">
      <c r="A37" s="39" t="str">
        <f t="shared" si="2"/>
        <v>41002014_41002029</v>
      </c>
      <c r="B37" s="47">
        <v>41002014</v>
      </c>
      <c r="C37" s="47">
        <v>41002029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ゆけ！親愛なるしもべ達よ！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「「ツムジ風！」」</v>
      </c>
      <c r="F37" s="47">
        <v>41002029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7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7" s="4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2"/>
        <v>41002014_41002030</v>
      </c>
      <c r="B38" s="47">
        <v>41002014</v>
      </c>
      <c r="C38" s="47">
        <v>41002030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このオレが愛でてやろう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38" s="47">
        <v>41002030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7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2"/>
        <v>41002014_41002031</v>
      </c>
      <c r="B39" s="47">
        <v>41002014</v>
      </c>
      <c r="C39" s="47">
        <v>41002031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引導を渡してやろう…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アザゼルの翼が開いてゆく…</v>
      </c>
      <c r="F39" s="47">
        <v>41002031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7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2"/>
        <v>41002014_41002032</v>
      </c>
      <c r="B40" s="47">
        <v>41002014</v>
      </c>
      <c r="C40" s="47">
        <v>41002032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EXECUTION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超強力な一撃！</v>
      </c>
      <c r="F40" s="47">
        <v>41002032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7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7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ref="A41:A57" si="8">B41&amp;"_"&amp;C41</f>
        <v>41002015_41002024</v>
      </c>
      <c r="B41" s="178">
        <v>41002015</v>
      </c>
      <c r="C41" s="178">
        <v>41002024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常世の闇に彷徨うがいい！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3ターン暗闇＋全体攻撃</v>
      </c>
      <c r="F41" s="47">
        <v>41002033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7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7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8"/>
        <v>41002015_41002025</v>
      </c>
      <c r="B42" s="178">
        <v>41002015</v>
      </c>
      <c r="C42" s="178">
        <v>41002025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群れるな痴れ者ども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42" s="47">
        <v>41002025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2" s="4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2" s="47"/>
      <c r="Q42" s="47"/>
      <c r="R42" s="47"/>
    </row>
    <row r="43" spans="1:18" ht="21" customHeight="1" x14ac:dyDescent="0.15">
      <c r="A43" s="39" t="str">
        <f t="shared" si="8"/>
        <v>41002015_41002026</v>
      </c>
      <c r="B43" s="178">
        <v>41002015</v>
      </c>
      <c r="C43" s="178">
        <v>41002026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出でよグリゴリ！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3" s="47">
        <v>41002026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3" s="4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7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3" s="47"/>
      <c r="Q43" s="47"/>
      <c r="R43" s="47"/>
    </row>
    <row r="44" spans="1:18" ht="21" customHeight="1" x14ac:dyDescent="0.15">
      <c r="A44" s="39" t="str">
        <f t="shared" si="8"/>
        <v>41002016_41002027</v>
      </c>
      <c r="B44" s="178">
        <v>41002016</v>
      </c>
      <c r="C44" s="178">
        <v>41002027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貴様らに未来は無い…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10ターンハートパネルで回復できない</v>
      </c>
      <c r="F44" s="47">
        <v>41002027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7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8"/>
        <v>41002016_41002028</v>
      </c>
      <c r="B45" s="178">
        <v>41002016</v>
      </c>
      <c r="C45" s="178">
        <v>41002028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出でよグリゴリ！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5" s="47">
        <v>41002028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5" s="4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7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5" s="47"/>
      <c r="Q45" s="47"/>
      <c r="R45" s="47"/>
    </row>
    <row r="46" spans="1:18" ht="21" customHeight="1" x14ac:dyDescent="0.15">
      <c r="A46" s="39" t="str">
        <f t="shared" si="8"/>
        <v>41002016_41002034</v>
      </c>
      <c r="B46" s="178">
        <v>41002016</v>
      </c>
      <c r="C46" s="178">
        <v>41002034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家畜が…目障りだ！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種族アニマルのユニットに大ダメージ</v>
      </c>
      <c r="F46" s="47">
        <v>41002026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6" s="47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7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7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6" s="47"/>
      <c r="Q46" s="47"/>
      <c r="R46" s="47"/>
    </row>
    <row r="47" spans="1:18" ht="21" customHeight="1" x14ac:dyDescent="0.15">
      <c r="A47" s="39" t="str">
        <f t="shared" si="8"/>
        <v>41002016_41002030</v>
      </c>
      <c r="B47" s="178">
        <v>41002016</v>
      </c>
      <c r="C47" s="178">
        <v>41002030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このオレが愛でてやろう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47" s="47">
        <v>41002030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7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7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7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8"/>
        <v>41002016_41002031</v>
      </c>
      <c r="B48" s="178">
        <v>41002016</v>
      </c>
      <c r="C48" s="178">
        <v>41002031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引導を渡してやろう…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アザゼルの翼が開いてゆく…</v>
      </c>
      <c r="F48" s="47">
        <v>41002031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7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8"/>
        <v>41002016_41002032</v>
      </c>
      <c r="B49" s="178">
        <v>41002016</v>
      </c>
      <c r="C49" s="178">
        <v>41002032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EXECUTION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超強力な一撃！</v>
      </c>
      <c r="F49" s="47">
        <v>41002032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7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7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8"/>
        <v>41002017_41002039</v>
      </c>
      <c r="B50" s="178">
        <v>41002017</v>
      </c>
      <c r="C50" s="178">
        <v>41002039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ツインターゲット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50" s="47">
        <v>41002001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0" s="47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7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7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0" s="47"/>
      <c r="Q50" s="47"/>
      <c r="R50" s="47"/>
    </row>
    <row r="51" spans="1:18" ht="21" customHeight="1" x14ac:dyDescent="0.15">
      <c r="A51" s="39" t="str">
        <f t="shared" si="8"/>
        <v>41002017_41002002</v>
      </c>
      <c r="B51" s="178">
        <v>41002017</v>
      </c>
      <c r="C51" s="178">
        <v>41002002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インティミデイト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3ターン赤属性ユニットの攻撃をカウンター</v>
      </c>
      <c r="F51" s="47">
        <v>41002002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51" s="4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1" s="47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7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7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1" s="47"/>
      <c r="Q51" s="47"/>
      <c r="R51" s="47"/>
    </row>
    <row r="52" spans="1:18" ht="21" customHeight="1" x14ac:dyDescent="0.15">
      <c r="A52" s="39" t="str">
        <f t="shared" si="8"/>
        <v>41002017_41002003</v>
      </c>
      <c r="B52" s="178">
        <v>41002017</v>
      </c>
      <c r="C52" s="178">
        <v>41002003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インサニティ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4ターン攻撃力UP</v>
      </c>
      <c r="F52" s="47">
        <v>41002003</v>
      </c>
      <c r="G52" s="4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52" s="4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7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52" s="4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7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7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7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8"/>
        <v>41002017_41002004</v>
      </c>
      <c r="B53" s="178">
        <v>41002017</v>
      </c>
      <c r="C53" s="178">
        <v>41002004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アームブレイク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3ターンタップ回数を1減少</v>
      </c>
      <c r="F53" s="47">
        <v>41002004</v>
      </c>
      <c r="G53" s="4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53" s="4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3" s="47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3" s="4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7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7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3" s="47"/>
      <c r="Q53" s="47"/>
      <c r="R53" s="47"/>
    </row>
    <row r="54" spans="1:18" ht="21" customHeight="1" x14ac:dyDescent="0.15">
      <c r="A54" s="39" t="str">
        <f t="shared" si="8"/>
        <v>41002018_41002008</v>
      </c>
      <c r="B54" s="178">
        <v>41002018</v>
      </c>
      <c r="C54" s="178">
        <v>41002008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サウンドストーム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4" s="47">
        <v>41002008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26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4" s="47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7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7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4" s="47"/>
      <c r="Q54" s="47"/>
      <c r="R54" s="47"/>
    </row>
    <row r="55" spans="1:18" ht="21" customHeight="1" x14ac:dyDescent="0.15">
      <c r="A55" s="39" t="str">
        <f t="shared" si="8"/>
        <v>41002018_41002009</v>
      </c>
      <c r="B55" s="178">
        <v>41002018</v>
      </c>
      <c r="C55" s="178">
        <v>41002009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バインドノイズ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3ターンスキルバインド＋全体攻撃</v>
      </c>
      <c r="F55" s="47">
        <v>41002009</v>
      </c>
      <c r="G55" s="4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55" s="4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55" s="47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7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7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7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55" s="47"/>
      <c r="Q55" s="47"/>
      <c r="R55" s="47"/>
    </row>
    <row r="56" spans="1:18" ht="21" customHeight="1" x14ac:dyDescent="0.15">
      <c r="A56" s="39" t="str">
        <f t="shared" si="8"/>
        <v>41002018_41002010</v>
      </c>
      <c r="B56" s="178">
        <v>41002018</v>
      </c>
      <c r="C56" s="178">
        <v>41002010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バインドノイズ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3ターンスキルバインド＋全体攻撃</v>
      </c>
      <c r="F56" s="47">
        <v>41002010</v>
      </c>
      <c r="G56" s="4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27</v>
      </c>
      <c r="I56" s="4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7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56" s="4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7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7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7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8"/>
        <v>41002018_41002011</v>
      </c>
      <c r="B57" s="178">
        <v>41002018</v>
      </c>
      <c r="C57" s="178">
        <v>41002011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ルージュキャンセリング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5ターン赤パネルが使えない！</v>
      </c>
      <c r="F57" s="47">
        <v>41002011</v>
      </c>
      <c r="G57" s="47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7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28</v>
      </c>
      <c r="I57" s="47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7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57" s="47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7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7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7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7"/>
  <sheetViews>
    <sheetView showGridLines="0" tabSelected="1" zoomScale="85" zoomScaleNormal="85" zoomScalePageLayoutView="85" workbookViewId="0">
      <pane ySplit="1" topLeftCell="A2" activePane="bottomLeft" state="frozenSplit"/>
      <selection pane="bottomLeft" activeCell="F22" sqref="F22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41002001</v>
      </c>
      <c r="B2" s="47" t="s">
        <v>287</v>
      </c>
      <c r="C2" s="50">
        <v>3</v>
      </c>
      <c r="D2" s="50" t="s">
        <v>127</v>
      </c>
      <c r="E2" s="51" t="s">
        <v>285</v>
      </c>
      <c r="F2" s="51" t="s">
        <v>286</v>
      </c>
      <c r="G2" s="63" t="str">
        <f>IFERROR(LEFT(B2,FIND("],",B2)),B2)</f>
        <v>[effect:rush, count:3, val:0.45]</v>
      </c>
      <c r="H2" s="63">
        <f>FIND("effect:",G2)+7</f>
        <v>9</v>
      </c>
      <c r="I2" s="63">
        <f>IFERROR(FIND(",",G2),LEN(G2))</f>
        <v>13</v>
      </c>
      <c r="J2" s="63" t="e">
        <f>FIND("target:",G2)+7</f>
        <v>#VALUE!</v>
      </c>
      <c r="K2" s="63">
        <f>FIND(",",G2,I2+1)</f>
        <v>22</v>
      </c>
      <c r="L2" s="63" t="str">
        <f>IFERROR(VLOOKUP(MID(G2,J2,K2-J2),[6]skilldef!$C:$D,2,FALSE),"-") &amp; " / " &amp; IFERROR(VLOOKUP(MID(G2,H2,I2-H2),[6]skilldef!$A:$B,2,FALSE),"-")</f>
        <v>- / 連続攻撃</v>
      </c>
      <c r="M2" s="63" t="str">
        <f>IFERROR(RIGHT(B2,LEN(B2)-FIND("],",B2)-1),"none")</f>
        <v>none</v>
      </c>
      <c r="N2" s="48" t="str">
        <f>IFERROR(LEFT(M2,FIND("],",M2)+S9),M2)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41002002</v>
      </c>
      <c r="B3" s="47" t="s">
        <v>276</v>
      </c>
      <c r="C3" s="50">
        <v>3</v>
      </c>
      <c r="D3" s="50" t="s">
        <v>127</v>
      </c>
      <c r="E3" s="51" t="s">
        <v>214</v>
      </c>
      <c r="F3" s="51" t="s">
        <v>288</v>
      </c>
      <c r="G3" s="63" t="str">
        <f>IFERROR(LEFT(B3,FIND("],",B3)),B3)</f>
        <v>[effect:enemy_counter, target:myself,invoke_condition:unit_red,counter_target:attacker,turn:3,val:1.0,animation:enemy_counter]</v>
      </c>
      <c r="H3" s="63">
        <f>FIND("effect:",G3)+7</f>
        <v>9</v>
      </c>
      <c r="I3" s="63">
        <f>IFERROR(FIND(",",G3),LEN(G3))</f>
        <v>22</v>
      </c>
      <c r="J3" s="63">
        <f>FIND("target:",G3)+7</f>
        <v>31</v>
      </c>
      <c r="K3" s="63">
        <f>FIND(",",G3,I3+1)</f>
        <v>37</v>
      </c>
      <c r="L3" s="63" t="str">
        <f>IFERROR(VLOOKUP(MID(G3,J3,K3-J3),[6]skilldef!$C:$D,2,FALSE),"-") &amp; " / " &amp; IFERROR(VLOOKUP(MID(G3,H3,I3-H3),[6]skilldef!$A:$B,2,FALSE),"-")</f>
        <v>自分自身に / カウンター</v>
      </c>
      <c r="M3" s="63" t="str">
        <f>IFERROR(RIGHT(B3,LEN(B3)-FIND("],",B3)-1),"none")</f>
        <v>none</v>
      </c>
      <c r="N3" s="48" t="str">
        <f>IFERROR(LEFT(M3,FIND("],",M3)+S10),M3)</f>
        <v>none</v>
      </c>
      <c r="O3" s="63" t="e">
        <f>FIND("effect:",N3)+7</f>
        <v>#VALUE!</v>
      </c>
      <c r="P3" s="63">
        <f>IFERROR(FIND(",",N3),LEN(N3))</f>
        <v>4</v>
      </c>
      <c r="Q3" s="63" t="e">
        <f>FIND("target:",N3)+7</f>
        <v>#VALUE!</v>
      </c>
      <c r="R3" s="63" t="e">
        <f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>IFERROR(RIGHT(M3,LEN(M3)-FIND("],",M3)-1),"none")</f>
        <v>none</v>
      </c>
      <c r="U3" s="63" t="e">
        <f>FIND("effect:",T3)+7</f>
        <v>#VALUE!</v>
      </c>
      <c r="V3" s="63">
        <f>IFERROR(FIND(",",T3),LEN(T3))</f>
        <v>4</v>
      </c>
      <c r="W3" s="63" t="e">
        <f>FIND("target:",T3)+7</f>
        <v>#VALUE!</v>
      </c>
      <c r="X3" s="63" t="e">
        <f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41002003</v>
      </c>
      <c r="B4" s="47" t="s">
        <v>277</v>
      </c>
      <c r="C4" s="50">
        <v>3</v>
      </c>
      <c r="D4" s="50" t="s">
        <v>127</v>
      </c>
      <c r="E4" s="51" t="s">
        <v>215</v>
      </c>
      <c r="F4" s="51" t="s">
        <v>217</v>
      </c>
      <c r="G4" s="63" t="str">
        <f t="shared" ref="G4:G23" si="0">IFERROR(LEFT(B4,FIND("],",B4)),B4)</f>
        <v>[effect:enhance_enemy, target:enemy_all, turn:4, status:attack, val:0.5, animation:enemy_enhance_enemy]</v>
      </c>
      <c r="H4" s="63">
        <f t="shared" ref="H4:H29" si="1">FIND("effect:",G4)+7</f>
        <v>9</v>
      </c>
      <c r="I4" s="63">
        <f t="shared" ref="I4:I23" si="2">IFERROR(FIND(",",G4),LEN(G4))</f>
        <v>22</v>
      </c>
      <c r="J4" s="63">
        <f t="shared" ref="J4:J23" si="3">FIND("target:",G4)+7</f>
        <v>31</v>
      </c>
      <c r="K4" s="63">
        <f t="shared" ref="K4:K23" si="4">FIND(",",G4,I4+1)</f>
        <v>40</v>
      </c>
      <c r="L4" s="63" t="str">
        <f>IFERROR(VLOOKUP(MID(G4,J4,K4-J4),[6]skilldef!$C:$D,2,FALSE),"-") &amp; " / " &amp; IFERROR(VLOOKUP(MID(G4,H4,I4-H4),[6]skilldef!$A:$B,2,FALSE),"-")</f>
        <v>敵全体に / ステータス強化</v>
      </c>
      <c r="M4" s="63" t="str">
        <f t="shared" ref="M4:M23" si="5">IFERROR(RIGHT(B4,LEN(B4)-FIND("],",B4)-1),"none")</f>
        <v>none</v>
      </c>
      <c r="N4" s="48" t="str">
        <f>IFERROR(LEFT(M4,FIND("],",M4)+S11),M4)</f>
        <v>none</v>
      </c>
      <c r="O4" s="63" t="e">
        <f t="shared" ref="O4:O29" si="6">FIND("effect:",N4)+7</f>
        <v>#VALUE!</v>
      </c>
      <c r="P4" s="63">
        <f t="shared" ref="P4:P23" si="7">IFERROR(FIND(",",N4),LEN(N4))</f>
        <v>4</v>
      </c>
      <c r="Q4" s="63" t="e">
        <f t="shared" ref="Q4:Q23" si="8">FIND("target:",N4)+7</f>
        <v>#VALUE!</v>
      </c>
      <c r="R4" s="63" t="e">
        <f t="shared" ref="R4:R23" si="9">FIND(",",N4,P4+1)</f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ref="T4:T23" si="10">IFERROR(RIGHT(M4,LEN(M4)-FIND("],",M4)-1),"none")</f>
        <v>none</v>
      </c>
      <c r="U4" s="63" t="e">
        <f t="shared" ref="U4:U29" si="11">FIND("effect:",T4)+7</f>
        <v>#VALUE!</v>
      </c>
      <c r="V4" s="63">
        <f t="shared" ref="V4:V23" si="12">IFERROR(FIND(",",T4),LEN(T4))</f>
        <v>4</v>
      </c>
      <c r="W4" s="63" t="e">
        <f t="shared" ref="W4:W23" si="13">FIND("target:",T4)+7</f>
        <v>#VALUE!</v>
      </c>
      <c r="X4" s="63" t="e">
        <f t="shared" ref="X4:X23" si="14">FIND(",",T4,V4+1)</f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41002004</v>
      </c>
      <c r="B5" s="47" t="s">
        <v>213</v>
      </c>
      <c r="C5" s="50">
        <v>3</v>
      </c>
      <c r="D5" s="50" t="s">
        <v>127</v>
      </c>
      <c r="E5" s="51" t="s">
        <v>216</v>
      </c>
      <c r="F5" s="51" t="s">
        <v>218</v>
      </c>
      <c r="G5" s="63" t="str">
        <f t="shared" si="0"/>
        <v>[effect:degrade_unit, target:unit_all, turn:3, status:action, val:1.0]</v>
      </c>
      <c r="H5" s="63">
        <f t="shared" si="1"/>
        <v>9</v>
      </c>
      <c r="I5" s="63">
        <f t="shared" si="2"/>
        <v>21</v>
      </c>
      <c r="J5" s="63">
        <f t="shared" si="3"/>
        <v>30</v>
      </c>
      <c r="K5" s="63">
        <f t="shared" si="4"/>
        <v>38</v>
      </c>
      <c r="L5" s="63" t="str">
        <f>IFERROR(VLOOKUP(MID(G5,J5,K5-J5),[6]skilldef!$C:$D,2,FALSE),"-") &amp; " / " &amp; IFERROR(VLOOKUP(MID(G5,H5,I5-H5),[6]skilldef!$A:$B,2,FALSE),"-")</f>
        <v>味方全体に / ステータスDOWN</v>
      </c>
      <c r="M5" s="63" t="str">
        <f t="shared" si="5"/>
        <v>none</v>
      </c>
      <c r="N5" s="48" t="str">
        <f>IFERROR(LEFT(M5,FIND("],",M5)+#REF!),M5)</f>
        <v>none</v>
      </c>
      <c r="O5" s="63" t="e">
        <f t="shared" si="6"/>
        <v>#VALUE!</v>
      </c>
      <c r="P5" s="63">
        <f t="shared" si="7"/>
        <v>4</v>
      </c>
      <c r="Q5" s="63" t="e">
        <f t="shared" si="8"/>
        <v>#VALUE!</v>
      </c>
      <c r="R5" s="63" t="e">
        <f t="shared" si="9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41002008</v>
      </c>
      <c r="B6" s="47" t="s">
        <v>296</v>
      </c>
      <c r="C6" s="50">
        <v>3</v>
      </c>
      <c r="D6" s="50" t="s">
        <v>127</v>
      </c>
      <c r="E6" s="51" t="s">
        <v>220</v>
      </c>
      <c r="F6" s="51" t="s">
        <v>227</v>
      </c>
      <c r="G6" s="63" t="str">
        <f t="shared" si="0"/>
        <v>[effect:spread, val:0.35, animation:enemy_spread]</v>
      </c>
      <c r="H6" s="63">
        <f t="shared" si="1"/>
        <v>9</v>
      </c>
      <c r="I6" s="63">
        <f t="shared" si="2"/>
        <v>15</v>
      </c>
      <c r="J6" s="63" t="e">
        <f t="shared" si="3"/>
        <v>#VALUE!</v>
      </c>
      <c r="K6" s="63">
        <f t="shared" si="4"/>
        <v>25</v>
      </c>
      <c r="L6" s="63" t="str">
        <f>IFERROR(VLOOKUP(MID(G6,J6,K6-J6),[6]skilldef!$C:$D,2,FALSE),"-") &amp; " / " &amp; IFERROR(VLOOKUP(MID(G6,H6,I6-H6),[6]skilldef!$A:$B,2,FALSE),"-")</f>
        <v>- / 全体攻撃</v>
      </c>
      <c r="M6" s="63" t="str">
        <f t="shared" si="5"/>
        <v>none</v>
      </c>
      <c r="N6" s="48" t="str">
        <f t="shared" ref="N6:N11" si="15">IFERROR(LEFT(M6,FIND("],",M6)+S15),M6)</f>
        <v>none</v>
      </c>
      <c r="O6" s="63" t="e">
        <f t="shared" si="6"/>
        <v>#VALUE!</v>
      </c>
      <c r="P6" s="63">
        <f t="shared" si="7"/>
        <v>4</v>
      </c>
      <c r="Q6" s="63" t="e">
        <f t="shared" si="8"/>
        <v>#VALUE!</v>
      </c>
      <c r="R6" s="63" t="e">
        <f t="shared" si="9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41002009</v>
      </c>
      <c r="B7" s="47" t="s">
        <v>291</v>
      </c>
      <c r="C7" s="50">
        <v>3</v>
      </c>
      <c r="D7" s="50" t="s">
        <v>127</v>
      </c>
      <c r="E7" s="51" t="s">
        <v>221</v>
      </c>
      <c r="F7" s="51" t="s">
        <v>290</v>
      </c>
      <c r="G7" s="63" t="str">
        <f t="shared" si="0"/>
        <v>[effect:hungup, target:unit_all, turn:3, rate:1.0, animation:enemy_hungup]</v>
      </c>
      <c r="H7" s="63">
        <f t="shared" si="1"/>
        <v>9</v>
      </c>
      <c r="I7" s="63">
        <f t="shared" si="2"/>
        <v>15</v>
      </c>
      <c r="J7" s="63">
        <f t="shared" si="3"/>
        <v>24</v>
      </c>
      <c r="K7" s="63">
        <f t="shared" si="4"/>
        <v>32</v>
      </c>
      <c r="L7" s="63" t="str">
        <f>IFERROR(VLOOKUP(MID(G7,J7,K7-J7),[6]skilldef!$C:$D,2,FALSE),"-") &amp; " / " &amp; IFERROR(VLOOKUP(MID(G7,H7,I7-H7),[6]skilldef!$A:$B,2,FALSE),"-")</f>
        <v>味方全体に / ハングアップ</v>
      </c>
      <c r="M7" s="63" t="str">
        <f t="shared" si="5"/>
        <v>[effect:spread, val:0.2, animation:enemy_spread]</v>
      </c>
      <c r="N7" s="48" t="str">
        <f t="shared" si="15"/>
        <v>[effect:spread, val:0.2, animation:enemy_spread]</v>
      </c>
      <c r="O7" s="63">
        <f t="shared" si="6"/>
        <v>9</v>
      </c>
      <c r="P7" s="63">
        <f t="shared" si="7"/>
        <v>15</v>
      </c>
      <c r="Q7" s="63" t="e">
        <f t="shared" si="8"/>
        <v>#VALUE!</v>
      </c>
      <c r="R7" s="63">
        <f t="shared" si="9"/>
        <v>24</v>
      </c>
      <c r="S7" s="63" t="str">
        <f>IFERROR(VLOOKUP(MID(N7,Q7,R7-Q7),[6]skilldef!$C:$D,2,FALSE),"-") &amp; " / " &amp; IFERROR(VLOOKUP(MID(N7,O7,P7-O7),[6]skilldef!$A:$B,2,FALSE),"-")</f>
        <v>- / 全体攻撃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41002010</v>
      </c>
      <c r="B8" s="47" t="s">
        <v>291</v>
      </c>
      <c r="C8" s="50">
        <v>3</v>
      </c>
      <c r="D8" s="50" t="s">
        <v>127</v>
      </c>
      <c r="E8" s="51" t="s">
        <v>222</v>
      </c>
      <c r="F8" s="51" t="s">
        <v>290</v>
      </c>
      <c r="G8" s="63" t="str">
        <f t="shared" si="0"/>
        <v>[effect:hungup, target:unit_all, turn:3, rate:1.0, animation:enemy_hungup]</v>
      </c>
      <c r="H8" s="63">
        <f t="shared" si="1"/>
        <v>9</v>
      </c>
      <c r="I8" s="63">
        <f t="shared" si="2"/>
        <v>15</v>
      </c>
      <c r="J8" s="63">
        <f t="shared" si="3"/>
        <v>24</v>
      </c>
      <c r="K8" s="63">
        <f t="shared" si="4"/>
        <v>32</v>
      </c>
      <c r="L8" s="63" t="str">
        <f>IFERROR(VLOOKUP(MID(G8,J8,K8-J8),[6]skilldef!$C:$D,2,FALSE),"-") &amp; " / " &amp; IFERROR(VLOOKUP(MID(G8,H8,I8-H8),[6]skilldef!$A:$B,2,FALSE),"-")</f>
        <v>味方全体に / ハングアップ</v>
      </c>
      <c r="M8" s="63" t="str">
        <f t="shared" si="5"/>
        <v>[effect:spread, val:0.2, animation:enemy_spread]</v>
      </c>
      <c r="N8" s="48" t="str">
        <f t="shared" si="15"/>
        <v>[effect:spread, val:0.2, animation:enemy_spread]</v>
      </c>
      <c r="O8" s="63">
        <f t="shared" si="6"/>
        <v>9</v>
      </c>
      <c r="P8" s="63">
        <f t="shared" si="7"/>
        <v>15</v>
      </c>
      <c r="Q8" s="63" t="e">
        <f t="shared" si="8"/>
        <v>#VALUE!</v>
      </c>
      <c r="R8" s="63">
        <f t="shared" si="9"/>
        <v>24</v>
      </c>
      <c r="S8" s="63" t="str">
        <f>IFERROR(VLOOKUP(MID(N8,Q8,R8-Q8),[6]skilldef!$C:$D,2,FALSE),"-") &amp; " / " &amp; IFERROR(VLOOKUP(MID(N8,O8,P8-O8),[6]skilldef!$A:$B,2,FALSE),"-")</f>
        <v>- / 全体攻撃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41002011</v>
      </c>
      <c r="B9" s="47" t="s">
        <v>281</v>
      </c>
      <c r="C9" s="50">
        <v>3</v>
      </c>
      <c r="D9" s="50" t="s">
        <v>127</v>
      </c>
      <c r="E9" s="51" t="s">
        <v>223</v>
      </c>
      <c r="F9" s="51" t="s">
        <v>280</v>
      </c>
      <c r="G9" s="63" t="str">
        <f t="shared" si="0"/>
        <v>[effect:dis_panel, target:block_red, turn:5, animation:enemy_dis_red]</v>
      </c>
      <c r="H9" s="63">
        <f t="shared" si="1"/>
        <v>9</v>
      </c>
      <c r="I9" s="63">
        <f t="shared" si="2"/>
        <v>18</v>
      </c>
      <c r="J9" s="63">
        <f t="shared" si="3"/>
        <v>27</v>
      </c>
      <c r="K9" s="63">
        <f t="shared" si="4"/>
        <v>36</v>
      </c>
      <c r="L9" s="63" t="str">
        <f>IFERROR(VLOOKUP(MID(G9,J9,K9-J9),[6]skilldef!$C:$D,2,FALSE),"-") &amp; " / " &amp; IFERROR(VLOOKUP(MID(G9,H9,I9-H9),[6]skilldef!$A:$B,2,FALSE),"-")</f>
        <v>赤パネルを / ディスパネル</v>
      </c>
      <c r="M9" s="63" t="str">
        <f t="shared" si="5"/>
        <v>none</v>
      </c>
      <c r="N9" s="48" t="str">
        <f t="shared" si="15"/>
        <v>none</v>
      </c>
      <c r="O9" s="63" t="e">
        <f t="shared" si="6"/>
        <v>#VALUE!</v>
      </c>
      <c r="P9" s="63">
        <f t="shared" si="7"/>
        <v>4</v>
      </c>
      <c r="Q9" s="63" t="e">
        <f t="shared" si="8"/>
        <v>#VALUE!</v>
      </c>
      <c r="R9" s="63" t="e">
        <f t="shared" si="9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0"/>
        <v>none</v>
      </c>
      <c r="U9" s="63" t="e">
        <f t="shared" si="11"/>
        <v>#VALUE!</v>
      </c>
      <c r="V9" s="63">
        <f t="shared" si="12"/>
        <v>4</v>
      </c>
      <c r="W9" s="63" t="e">
        <f t="shared" si="13"/>
        <v>#VALUE!</v>
      </c>
      <c r="X9" s="63" t="e">
        <f t="shared" si="14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41002012</v>
      </c>
      <c r="B10" s="47" t="s">
        <v>219</v>
      </c>
      <c r="C10" s="50">
        <v>3</v>
      </c>
      <c r="D10" s="50" t="s">
        <v>127</v>
      </c>
      <c r="E10" s="51" t="s">
        <v>225</v>
      </c>
      <c r="F10" s="51" t="s">
        <v>226</v>
      </c>
      <c r="G10" s="63" t="str">
        <f t="shared" si="0"/>
        <v>[effect:nothing]</v>
      </c>
      <c r="H10" s="63">
        <f t="shared" si="1"/>
        <v>9</v>
      </c>
      <c r="I10" s="63">
        <f t="shared" si="2"/>
        <v>16</v>
      </c>
      <c r="J10" s="63" t="e">
        <f t="shared" si="3"/>
        <v>#VALUE!</v>
      </c>
      <c r="K10" s="63" t="e">
        <f t="shared" si="4"/>
        <v>#VALUE!</v>
      </c>
      <c r="L10" s="63" t="str">
        <f>IFERROR(VLOOKUP(MID(G10,J10,K10-J10),[6]skilldef!$C:$D,2,FALSE),"-") &amp; " / " &amp; IFERROR(VLOOKUP(MID(G10,H10,I10-H10),[6]skilldef!$A:$B,2,FALSE),"-")</f>
        <v>- / 何もしない</v>
      </c>
      <c r="M10" s="63" t="str">
        <f t="shared" si="5"/>
        <v>none</v>
      </c>
      <c r="N10" s="48" t="str">
        <f t="shared" si="15"/>
        <v>none</v>
      </c>
      <c r="O10" s="63" t="e">
        <f t="shared" si="6"/>
        <v>#VALUE!</v>
      </c>
      <c r="P10" s="63">
        <f t="shared" si="7"/>
        <v>4</v>
      </c>
      <c r="Q10" s="63" t="e">
        <f t="shared" si="8"/>
        <v>#VALUE!</v>
      </c>
      <c r="R10" s="63" t="e">
        <f t="shared" si="9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0"/>
        <v>none</v>
      </c>
      <c r="U10" s="63" t="e">
        <f t="shared" si="11"/>
        <v>#VALUE!</v>
      </c>
      <c r="V10" s="63">
        <f t="shared" si="12"/>
        <v>4</v>
      </c>
      <c r="W10" s="63" t="e">
        <f t="shared" si="13"/>
        <v>#VALUE!</v>
      </c>
      <c r="X10" s="63" t="e">
        <f t="shared" si="14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41002013</v>
      </c>
      <c r="B11" s="47" t="s">
        <v>278</v>
      </c>
      <c r="C11" s="50">
        <v>3</v>
      </c>
      <c r="D11" s="50" t="s">
        <v>127</v>
      </c>
      <c r="E11" s="51" t="s">
        <v>224</v>
      </c>
      <c r="F11" s="51" t="s">
        <v>279</v>
      </c>
      <c r="G11" s="63" t="str">
        <f t="shared" si="0"/>
        <v>[effect:kamikaze, val:0.25, animation:enemy_kamikaze]</v>
      </c>
      <c r="H11" s="63">
        <f t="shared" si="1"/>
        <v>9</v>
      </c>
      <c r="I11" s="63">
        <f t="shared" si="2"/>
        <v>17</v>
      </c>
      <c r="J11" s="63" t="e">
        <f t="shared" si="3"/>
        <v>#VALUE!</v>
      </c>
      <c r="K11" s="63">
        <f t="shared" si="4"/>
        <v>27</v>
      </c>
      <c r="L11" s="63" t="str">
        <f>IFERROR(VLOOKUP(MID(G11,J11,K11-J11),[6]skilldef!$C:$D,2,FALSE),"-") &amp; " / " &amp; IFERROR(VLOOKUP(MID(G11,H11,I11-H11),[6]skilldef!$A:$B,2,FALSE),"-")</f>
        <v>- / 自爆</v>
      </c>
      <c r="M11" s="63" t="str">
        <f t="shared" si="5"/>
        <v>[effect:enhance_enemy, target:enemy_all, turn:5, status:attack, val:0.5, animation:enemy_enhance_enemy]</v>
      </c>
      <c r="N11" s="48" t="str">
        <f t="shared" si="15"/>
        <v>[effect:enhance_enemy, target:enemy_all, turn:5, status:attack, val:0.5, animation:enemy_enhance_enemy]</v>
      </c>
      <c r="O11" s="63">
        <f t="shared" si="6"/>
        <v>9</v>
      </c>
      <c r="P11" s="63">
        <f t="shared" si="7"/>
        <v>22</v>
      </c>
      <c r="Q11" s="63">
        <f t="shared" si="8"/>
        <v>31</v>
      </c>
      <c r="R11" s="63">
        <f t="shared" si="9"/>
        <v>40</v>
      </c>
      <c r="S11" s="63" t="str">
        <f>IFERROR(VLOOKUP(MID(N11,Q11,R11-Q11),[6]skilldef!$C:$D,2,FALSE),"-") &amp; " / " &amp; IFERROR(VLOOKUP(MID(N11,O11,P11-O11),[6]skilldef!$A:$B,2,FALSE),"-")</f>
        <v>敵全体に / ステータス強化</v>
      </c>
      <c r="T11" s="48" t="str">
        <f t="shared" si="10"/>
        <v>none</v>
      </c>
      <c r="U11" s="63" t="e">
        <f t="shared" si="11"/>
        <v>#VALUE!</v>
      </c>
      <c r="V11" s="63">
        <f t="shared" si="12"/>
        <v>4</v>
      </c>
      <c r="W11" s="63" t="e">
        <f t="shared" si="13"/>
        <v>#VALUE!</v>
      </c>
      <c r="X11" s="63" t="e">
        <f t="shared" si="14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41002015</v>
      </c>
      <c r="B12" s="47" t="s">
        <v>294</v>
      </c>
      <c r="C12" s="50">
        <v>3</v>
      </c>
      <c r="D12" s="50" t="s">
        <v>127</v>
      </c>
      <c r="E12" s="51" t="s">
        <v>228</v>
      </c>
      <c r="F12" s="51" t="s">
        <v>233</v>
      </c>
      <c r="G12" s="63" t="str">
        <f t="shared" si="0"/>
        <v>[effect:enhance_enemy, target:enemy_all, turn:3, status:attack, val:0.75, animation:enemy_enhance_enemy]</v>
      </c>
      <c r="H12" s="63">
        <f t="shared" si="1"/>
        <v>9</v>
      </c>
      <c r="I12" s="63">
        <f t="shared" si="2"/>
        <v>22</v>
      </c>
      <c r="J12" s="63">
        <f t="shared" si="3"/>
        <v>31</v>
      </c>
      <c r="K12" s="63">
        <f t="shared" si="4"/>
        <v>40</v>
      </c>
      <c r="L12" s="63" t="str">
        <f>IFERROR(VLOOKUP(MID(G12,J12,K12-J12),[6]skilldef!$C:$D,2,FALSE),"-") &amp; " / " &amp; IFERROR(VLOOKUP(MID(G12,H12,I12-H12),[6]skilldef!$A:$B,2,FALSE),"-")</f>
        <v>敵全体に / ステータス強化</v>
      </c>
      <c r="M12" s="63" t="str">
        <f t="shared" si="5"/>
        <v>none</v>
      </c>
      <c r="N12" s="48" t="str">
        <f t="shared" ref="N12:N19" si="16">IFERROR(LEFT(M12,FIND("],",M12)+S22),M12)</f>
        <v>none</v>
      </c>
      <c r="O12" s="63" t="e">
        <f t="shared" si="6"/>
        <v>#VALUE!</v>
      </c>
      <c r="P12" s="63">
        <f t="shared" si="7"/>
        <v>4</v>
      </c>
      <c r="Q12" s="63" t="e">
        <f t="shared" si="8"/>
        <v>#VALUE!</v>
      </c>
      <c r="R12" s="63" t="e">
        <f t="shared" si="9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41002016</v>
      </c>
      <c r="B13" s="47" t="s">
        <v>237</v>
      </c>
      <c r="C13" s="50">
        <v>3</v>
      </c>
      <c r="D13" s="50" t="s">
        <v>127</v>
      </c>
      <c r="E13" s="51" t="s">
        <v>229</v>
      </c>
      <c r="F13" s="51" t="s">
        <v>234</v>
      </c>
      <c r="G13" s="63" t="str">
        <f t="shared" si="0"/>
        <v>[effect:virus, turn:3, rate:1.0, val:0.10, animation:enemy_virus]</v>
      </c>
      <c r="H13" s="63">
        <f t="shared" si="1"/>
        <v>9</v>
      </c>
      <c r="I13" s="63">
        <f t="shared" si="2"/>
        <v>14</v>
      </c>
      <c r="J13" s="63" t="e">
        <f t="shared" si="3"/>
        <v>#VALUE!</v>
      </c>
      <c r="K13" s="63">
        <f t="shared" si="4"/>
        <v>22</v>
      </c>
      <c r="L13" s="63" t="str">
        <f>IFERROR(VLOOKUP(MID(G13,J13,K13-J13),[6]skilldef!$C:$D,2,FALSE),"-") &amp; " / " &amp; IFERROR(VLOOKUP(MID(G13,H13,I13-H13),[6]skilldef!$A:$B,2,FALSE),"-")</f>
        <v>- / ウィルス</v>
      </c>
      <c r="M13" s="63" t="str">
        <f t="shared" si="5"/>
        <v>none</v>
      </c>
      <c r="N13" s="48" t="str">
        <f t="shared" si="16"/>
        <v>none</v>
      </c>
      <c r="O13" s="63" t="e">
        <f t="shared" si="6"/>
        <v>#VALUE!</v>
      </c>
      <c r="P13" s="63">
        <f t="shared" si="7"/>
        <v>4</v>
      </c>
      <c r="Q13" s="63" t="e">
        <f t="shared" si="8"/>
        <v>#VALUE!</v>
      </c>
      <c r="R13" s="63" t="e">
        <f t="shared" si="9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41002017</v>
      </c>
      <c r="B14" s="47" t="s">
        <v>238</v>
      </c>
      <c r="C14" s="50">
        <v>3</v>
      </c>
      <c r="D14" s="50" t="s">
        <v>127</v>
      </c>
      <c r="E14" s="51" t="s">
        <v>230</v>
      </c>
      <c r="F14" s="51" t="s">
        <v>235</v>
      </c>
      <c r="G14" s="63" t="str">
        <f t="shared" si="0"/>
        <v>[effect:sleep, target:unit_one, turn:3, rate:1.0, animation:enemy_sleep]</v>
      </c>
      <c r="H14" s="63">
        <f t="shared" si="1"/>
        <v>9</v>
      </c>
      <c r="I14" s="63">
        <f t="shared" si="2"/>
        <v>14</v>
      </c>
      <c r="J14" s="63">
        <f t="shared" si="3"/>
        <v>23</v>
      </c>
      <c r="K14" s="63">
        <f t="shared" si="4"/>
        <v>31</v>
      </c>
      <c r="L14" s="63" t="str">
        <f>IFERROR(VLOOKUP(MID(G14,J14,K14-J14),[6]skilldef!$C:$D,2,FALSE),"-") &amp; " / " &amp; IFERROR(VLOOKUP(MID(G14,H14,I14-H14),[6]skilldef!$A:$B,2,FALSE),"-")</f>
        <v>味方単体に / スリープ</v>
      </c>
      <c r="M14" s="63" t="str">
        <f t="shared" si="5"/>
        <v>none</v>
      </c>
      <c r="N14" s="48" t="str">
        <f t="shared" si="16"/>
        <v>none</v>
      </c>
      <c r="O14" s="63" t="e">
        <f t="shared" si="6"/>
        <v>#VALUE!</v>
      </c>
      <c r="P14" s="63">
        <f t="shared" si="7"/>
        <v>4</v>
      </c>
      <c r="Q14" s="63" t="e">
        <f t="shared" si="8"/>
        <v>#VALUE!</v>
      </c>
      <c r="R14" s="63" t="e">
        <f t="shared" si="9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41002018</v>
      </c>
      <c r="B15" s="47" t="s">
        <v>239</v>
      </c>
      <c r="C15" s="50">
        <v>3</v>
      </c>
      <c r="D15" s="50" t="s">
        <v>127</v>
      </c>
      <c r="E15" s="51" t="s">
        <v>231</v>
      </c>
      <c r="F15" s="51" t="s">
        <v>236</v>
      </c>
      <c r="G15" s="63" t="str">
        <f t="shared" si="0"/>
        <v>[effect:hungup, target:unit_one, turn:3, rate:1.0, animation:enemy_hungup]</v>
      </c>
      <c r="H15" s="63">
        <f t="shared" si="1"/>
        <v>9</v>
      </c>
      <c r="I15" s="63">
        <f t="shared" si="2"/>
        <v>15</v>
      </c>
      <c r="J15" s="63">
        <f t="shared" si="3"/>
        <v>24</v>
      </c>
      <c r="K15" s="63">
        <f t="shared" si="4"/>
        <v>32</v>
      </c>
      <c r="L15" s="63" t="str">
        <f>IFERROR(VLOOKUP(MID(G15,J15,K15-J15),[6]skilldef!$C:$D,2,FALSE),"-") &amp; " / " &amp; IFERROR(VLOOKUP(MID(G15,H15,I15-H15),[6]skilldef!$A:$B,2,FALSE),"-")</f>
        <v>味方単体に / ハングアップ</v>
      </c>
      <c r="M15" s="63" t="str">
        <f t="shared" si="5"/>
        <v>none</v>
      </c>
      <c r="N15" s="48" t="str">
        <f t="shared" si="16"/>
        <v>none</v>
      </c>
      <c r="O15" s="63" t="e">
        <f t="shared" si="6"/>
        <v>#VALUE!</v>
      </c>
      <c r="P15" s="63">
        <f t="shared" si="7"/>
        <v>4</v>
      </c>
      <c r="Q15" s="63" t="e">
        <f t="shared" si="8"/>
        <v>#VALUE!</v>
      </c>
      <c r="R15" s="63" t="e">
        <f t="shared" si="9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143">
        <v>41002019</v>
      </c>
      <c r="B16" s="143" t="s">
        <v>249</v>
      </c>
      <c r="C16" s="144">
        <v>3</v>
      </c>
      <c r="D16" s="144" t="s">
        <v>127</v>
      </c>
      <c r="E16" s="102" t="s">
        <v>241</v>
      </c>
      <c r="F16" s="102" t="s">
        <v>246</v>
      </c>
      <c r="G16" s="63" t="str">
        <f t="shared" si="0"/>
        <v>[effect:fix_speed,target:myself,turn:3]</v>
      </c>
      <c r="H16" s="63">
        <f t="shared" si="1"/>
        <v>9</v>
      </c>
      <c r="I16" s="63">
        <f t="shared" si="2"/>
        <v>18</v>
      </c>
      <c r="J16" s="63">
        <f t="shared" si="3"/>
        <v>26</v>
      </c>
      <c r="K16" s="63">
        <f t="shared" si="4"/>
        <v>32</v>
      </c>
      <c r="L16" s="63" t="str">
        <f>IFERROR(VLOOKUP(MID(G16,J16,K16-J16),[6]skilldef!$C:$D,2,FALSE),"-") &amp; " / " &amp; IFERROR(VLOOKUP(MID(G16,H16,I16-H16),[6]skilldef!$A:$B,2,FALSE),"-")</f>
        <v>自分自身に / 行動値設定</v>
      </c>
      <c r="M16" s="63" t="str">
        <f t="shared" si="5"/>
        <v>none</v>
      </c>
      <c r="N16" s="48" t="str">
        <f t="shared" si="16"/>
        <v>none</v>
      </c>
      <c r="O16" s="63" t="e">
        <f t="shared" si="6"/>
        <v>#VALUE!</v>
      </c>
      <c r="P16" s="63">
        <f t="shared" si="7"/>
        <v>4</v>
      </c>
      <c r="Q16" s="63" t="e">
        <f t="shared" si="8"/>
        <v>#VALUE!</v>
      </c>
      <c r="R16" s="63" t="e">
        <f t="shared" si="9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0"/>
        <v>none</v>
      </c>
      <c r="U16" s="63" t="e">
        <f t="shared" si="11"/>
        <v>#VALUE!</v>
      </c>
      <c r="V16" s="63">
        <f t="shared" si="12"/>
        <v>4</v>
      </c>
      <c r="W16" s="63" t="e">
        <f t="shared" si="13"/>
        <v>#VALUE!</v>
      </c>
      <c r="X16" s="63" t="e">
        <f t="shared" si="14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143">
        <v>41002020</v>
      </c>
      <c r="B17" s="143" t="s">
        <v>338</v>
      </c>
      <c r="C17" s="144">
        <v>3</v>
      </c>
      <c r="D17" s="144" t="s">
        <v>127</v>
      </c>
      <c r="E17" s="102" t="s">
        <v>240</v>
      </c>
      <c r="F17" s="102" t="s">
        <v>245</v>
      </c>
      <c r="G17" s="63" t="str">
        <f t="shared" ref="G17" si="17">IFERROR(LEFT(B17,FIND("],",B17)),B17)</f>
        <v>[effect:force_change_block, new_block:jammer, target:block_all, ignore01:block_positive, ignore02:block_negative, count:5, val:0]</v>
      </c>
      <c r="H17" s="63">
        <f t="shared" si="1"/>
        <v>9</v>
      </c>
      <c r="I17" s="63">
        <f t="shared" ref="I17" si="18">IFERROR(FIND(",",G17),LEN(G17))</f>
        <v>27</v>
      </c>
      <c r="J17" s="63">
        <f t="shared" ref="J17" si="19">FIND("target:",G17)+7</f>
        <v>54</v>
      </c>
      <c r="K17" s="63">
        <f t="shared" ref="K17" si="20">FIND(",",G17,I17+1)</f>
        <v>45</v>
      </c>
      <c r="L17" s="63" t="str">
        <f>IFERROR(VLOOKUP(MID(G17,J17,K17-J17),[6]skilldef!$C:$D,2,FALSE),"-") &amp; " / " &amp; IFERROR(VLOOKUP(MID(G17,H17,I17-H17),[6]skilldef!$A:$B,2,FALSE),"-")</f>
        <v>- / -</v>
      </c>
      <c r="M17" s="63" t="str">
        <f t="shared" ref="M17" si="21">IFERROR(RIGHT(B17,LEN(B17)-FIND("],",B17)-1),"none")</f>
        <v>[effect:critical, val:1.0, animation:enemy_critical]</v>
      </c>
      <c r="N17" s="48" t="str">
        <f t="shared" ref="N17" si="22">IFERROR(LEFT(M17,FIND("],",M17)+S27),M17)</f>
        <v>[effect:critical, val:1.0, animation:enemy_critical]</v>
      </c>
      <c r="O17" s="63">
        <f t="shared" si="6"/>
        <v>9</v>
      </c>
      <c r="P17" s="63">
        <f t="shared" ref="P17" si="23">IFERROR(FIND(",",N17),LEN(N17))</f>
        <v>17</v>
      </c>
      <c r="Q17" s="63" t="e">
        <f t="shared" ref="Q17" si="24">FIND("target:",N17)+7</f>
        <v>#VALUE!</v>
      </c>
      <c r="R17" s="63">
        <f t="shared" ref="R17" si="25">FIND(",",N17,P17+1)</f>
        <v>26</v>
      </c>
      <c r="S17" s="63" t="str">
        <f>IFERROR(VLOOKUP(MID(N17,Q17,R17-Q17),[6]skilldef!$C:$D,2,FALSE),"-") &amp; " / " &amp; IFERROR(VLOOKUP(MID(N17,O17,P17-O17),[6]skilldef!$A:$B,2,FALSE),"-")</f>
        <v>- / 大攻撃</v>
      </c>
      <c r="T17" s="48" t="str">
        <f t="shared" ref="T17" si="26">IFERROR(RIGHT(M17,LEN(M17)-FIND("],",M17)-1),"none")</f>
        <v>none</v>
      </c>
      <c r="U17" s="63" t="e">
        <f t="shared" si="11"/>
        <v>#VALUE!</v>
      </c>
      <c r="V17" s="63">
        <f t="shared" ref="V17" si="27">IFERROR(FIND(",",T17),LEN(T17))</f>
        <v>4</v>
      </c>
      <c r="W17" s="63" t="e">
        <f t="shared" ref="W17" si="28">FIND("target:",T17)+7</f>
        <v>#VALUE!</v>
      </c>
      <c r="X17" s="63" t="e">
        <f t="shared" ref="X17" si="29">FIND(",",T17,V17+1)</f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143">
        <v>41002021</v>
      </c>
      <c r="B18" s="143" t="s">
        <v>250</v>
      </c>
      <c r="C18" s="144">
        <v>3</v>
      </c>
      <c r="D18" s="144" t="s">
        <v>127</v>
      </c>
      <c r="E18" s="102" t="s">
        <v>242</v>
      </c>
      <c r="F18" s="102" t="s">
        <v>247</v>
      </c>
      <c r="G18" s="63" t="str">
        <f t="shared" si="0"/>
        <v>[effect:rush, count:3, val:0.4]</v>
      </c>
      <c r="H18" s="63">
        <f t="shared" si="1"/>
        <v>9</v>
      </c>
      <c r="I18" s="63">
        <f t="shared" si="2"/>
        <v>13</v>
      </c>
      <c r="J18" s="63" t="e">
        <f t="shared" si="3"/>
        <v>#VALUE!</v>
      </c>
      <c r="K18" s="63">
        <f t="shared" si="4"/>
        <v>22</v>
      </c>
      <c r="L18" s="63" t="str">
        <f>IFERROR(VLOOKUP(MID(G18,J18,K18-J18),[6]skilldef!$C:$D,2,FALSE),"-") &amp; " / " &amp; IFERROR(VLOOKUP(MID(G18,H18,I18-H18),[6]skilldef!$A:$B,2,FALSE),"-")</f>
        <v>- / 連続攻撃</v>
      </c>
      <c r="M18" s="63" t="str">
        <f t="shared" si="5"/>
        <v>none</v>
      </c>
      <c r="N18" s="48" t="str">
        <f t="shared" si="16"/>
        <v>none</v>
      </c>
      <c r="O18" s="63" t="e">
        <f t="shared" si="6"/>
        <v>#VALUE!</v>
      </c>
      <c r="P18" s="63">
        <f t="shared" si="7"/>
        <v>4</v>
      </c>
      <c r="Q18" s="63" t="e">
        <f t="shared" si="8"/>
        <v>#VALUE!</v>
      </c>
      <c r="R18" s="63" t="e">
        <f t="shared" si="9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0"/>
        <v>none</v>
      </c>
      <c r="U18" s="63" t="e">
        <f t="shared" si="11"/>
        <v>#VALUE!</v>
      </c>
      <c r="V18" s="63">
        <f t="shared" si="12"/>
        <v>4</v>
      </c>
      <c r="W18" s="63" t="e">
        <f t="shared" si="13"/>
        <v>#VALUE!</v>
      </c>
      <c r="X18" s="63" t="e">
        <f t="shared" si="14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143">
        <v>41002022</v>
      </c>
      <c r="B19" s="143" t="s">
        <v>284</v>
      </c>
      <c r="C19" s="144">
        <v>3</v>
      </c>
      <c r="D19" s="144" t="s">
        <v>127</v>
      </c>
      <c r="E19" s="102" t="s">
        <v>243</v>
      </c>
      <c r="F19" s="102" t="s">
        <v>248</v>
      </c>
      <c r="G19" s="63" t="str">
        <f t="shared" si="0"/>
        <v>[effect:spread, val:0.4, animation:enemy_spread]</v>
      </c>
      <c r="H19" s="63">
        <f t="shared" si="1"/>
        <v>9</v>
      </c>
      <c r="I19" s="63">
        <f t="shared" si="2"/>
        <v>15</v>
      </c>
      <c r="J19" s="63" t="e">
        <f t="shared" si="3"/>
        <v>#VALUE!</v>
      </c>
      <c r="K19" s="63">
        <f t="shared" si="4"/>
        <v>24</v>
      </c>
      <c r="L19" s="63" t="str">
        <f>IFERROR(VLOOKUP(MID(G19,J19,K19-J19),[6]skilldef!$C:$D,2,FALSE),"-") &amp; " / " &amp; IFERROR(VLOOKUP(MID(G19,H19,I19-H19),[6]skilldef!$A:$B,2,FALSE),"-")</f>
        <v>- / 全体攻撃</v>
      </c>
      <c r="M19" s="63" t="str">
        <f t="shared" si="5"/>
        <v>none</v>
      </c>
      <c r="N19" s="48" t="str">
        <f t="shared" si="16"/>
        <v>none</v>
      </c>
      <c r="O19" s="63" t="e">
        <f t="shared" si="6"/>
        <v>#VALUE!</v>
      </c>
      <c r="P19" s="63">
        <f t="shared" si="7"/>
        <v>4</v>
      </c>
      <c r="Q19" s="63" t="e">
        <f t="shared" si="8"/>
        <v>#VALUE!</v>
      </c>
      <c r="R19" s="63" t="e">
        <f t="shared" si="9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0"/>
        <v>none</v>
      </c>
      <c r="U19" s="63" t="e">
        <f t="shared" si="11"/>
        <v>#VALUE!</v>
      </c>
      <c r="V19" s="63">
        <f t="shared" si="12"/>
        <v>4</v>
      </c>
      <c r="W19" s="63" t="e">
        <f t="shared" si="13"/>
        <v>#VALUE!</v>
      </c>
      <c r="X19" s="63" t="e">
        <f t="shared" si="14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143">
        <v>41002023</v>
      </c>
      <c r="B20" s="143" t="s">
        <v>331</v>
      </c>
      <c r="C20" s="144">
        <v>3</v>
      </c>
      <c r="D20" s="144" t="s">
        <v>127</v>
      </c>
      <c r="E20" s="102" t="s">
        <v>244</v>
      </c>
      <c r="F20" s="102" t="s">
        <v>332</v>
      </c>
      <c r="G20" s="63" t="str">
        <f t="shared" si="0"/>
        <v>[effect:degrade_unit, target:unit_red, turn:2, status:attack, val:1.0, calc:mul]</v>
      </c>
      <c r="H20" s="63">
        <f t="shared" si="1"/>
        <v>9</v>
      </c>
      <c r="I20" s="63">
        <f t="shared" si="2"/>
        <v>21</v>
      </c>
      <c r="J20" s="63">
        <f t="shared" si="3"/>
        <v>30</v>
      </c>
      <c r="K20" s="63">
        <f t="shared" si="4"/>
        <v>38</v>
      </c>
      <c r="L20" s="63" t="str">
        <f>IFERROR(VLOOKUP(MID(G20,J20,K20-J20),[6]skilldef!$C:$D,2,FALSE),"-") &amp; " / " &amp; IFERROR(VLOOKUP(MID(G20,H20,I20-H20),[6]skilldef!$A:$B,2,FALSE),"-")</f>
        <v>赤の味方に / ステータスDOWN</v>
      </c>
      <c r="M20" s="63" t="str">
        <f t="shared" si="5"/>
        <v>none</v>
      </c>
      <c r="N20" s="48" t="str">
        <f>IFERROR(LEFT(M20,FIND("],",M20)+#REF!),M20)</f>
        <v>none</v>
      </c>
      <c r="O20" s="63" t="e">
        <f t="shared" si="6"/>
        <v>#VALUE!</v>
      </c>
      <c r="P20" s="63">
        <f t="shared" si="7"/>
        <v>4</v>
      </c>
      <c r="Q20" s="63" t="e">
        <f t="shared" si="8"/>
        <v>#VALUE!</v>
      </c>
      <c r="R20" s="63" t="e">
        <f t="shared" si="9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0"/>
        <v>none</v>
      </c>
      <c r="U20" s="63" t="e">
        <f t="shared" si="11"/>
        <v>#VALUE!</v>
      </c>
      <c r="V20" s="63">
        <f t="shared" si="12"/>
        <v>4</v>
      </c>
      <c r="W20" s="63" t="e">
        <f t="shared" si="13"/>
        <v>#VALUE!</v>
      </c>
      <c r="X20" s="63" t="e">
        <f t="shared" si="14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145">
        <v>41002024</v>
      </c>
      <c r="B21" s="145" t="s">
        <v>318</v>
      </c>
      <c r="C21" s="146">
        <v>3</v>
      </c>
      <c r="D21" s="146" t="s">
        <v>127</v>
      </c>
      <c r="E21" s="103" t="s">
        <v>316</v>
      </c>
      <c r="F21" s="103" t="s">
        <v>317</v>
      </c>
      <c r="G21" s="63" t="str">
        <f t="shared" si="0"/>
        <v>[effect:dark, turn:3,target:unit_all,animation:enemy_dark]</v>
      </c>
      <c r="H21" s="63">
        <f t="shared" si="1"/>
        <v>9</v>
      </c>
      <c r="I21" s="63">
        <f t="shared" si="2"/>
        <v>13</v>
      </c>
      <c r="J21" s="63">
        <f t="shared" si="3"/>
        <v>29</v>
      </c>
      <c r="K21" s="63">
        <f t="shared" si="4"/>
        <v>21</v>
      </c>
      <c r="L21" s="63" t="str">
        <f>IFERROR(VLOOKUP(MID(G21,J21,K21-J21),[6]skilldef!$C:$D,2,FALSE),"-") &amp; " / " &amp; IFERROR(VLOOKUP(MID(G21,H21,I21-H21),[6]skilldef!$A:$B,2,FALSE),"-")</f>
        <v>- / 暗黒</v>
      </c>
      <c r="M21" s="63" t="str">
        <f t="shared" si="5"/>
        <v>[effect:spread, val:0.2, animation:enemy_spread]</v>
      </c>
      <c r="N21" s="48" t="str">
        <f>IFERROR(LEFT(M21,FIND("],",M21)+#REF!),M21)</f>
        <v>[effect:spread, val:0.2, animation:enemy_spread]</v>
      </c>
      <c r="O21" s="63">
        <f t="shared" si="6"/>
        <v>9</v>
      </c>
      <c r="P21" s="63">
        <f t="shared" si="7"/>
        <v>15</v>
      </c>
      <c r="Q21" s="63" t="e">
        <f t="shared" si="8"/>
        <v>#VALUE!</v>
      </c>
      <c r="R21" s="63">
        <f t="shared" si="9"/>
        <v>24</v>
      </c>
      <c r="S21" s="63" t="str">
        <f>IFERROR(VLOOKUP(MID(N21,Q21,R21-Q21),[6]skilldef!$C:$D,2,FALSE),"-") &amp; " / " &amp; IFERROR(VLOOKUP(MID(N21,O21,P21-O21),[6]skilldef!$A:$B,2,FALSE),"-")</f>
        <v>- / 全体攻撃</v>
      </c>
      <c r="T21" s="48" t="str">
        <f t="shared" si="10"/>
        <v>none</v>
      </c>
      <c r="U21" s="63" t="e">
        <f t="shared" si="11"/>
        <v>#VALUE!</v>
      </c>
      <c r="V21" s="63">
        <f t="shared" si="12"/>
        <v>4</v>
      </c>
      <c r="W21" s="63" t="e">
        <f t="shared" si="13"/>
        <v>#VALUE!</v>
      </c>
      <c r="X21" s="63" t="e">
        <f t="shared" si="14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145">
        <v>41002025</v>
      </c>
      <c r="B22" s="145" t="s">
        <v>310</v>
      </c>
      <c r="C22" s="146">
        <v>3</v>
      </c>
      <c r="D22" s="146" t="s">
        <v>127</v>
      </c>
      <c r="E22" s="103" t="s">
        <v>251</v>
      </c>
      <c r="F22" s="103" t="s">
        <v>259</v>
      </c>
      <c r="G22" s="63" t="str">
        <f t="shared" si="0"/>
        <v>[effect:rush, count:5, val:0.25]</v>
      </c>
      <c r="H22" s="63">
        <f t="shared" si="1"/>
        <v>9</v>
      </c>
      <c r="I22" s="63">
        <f t="shared" si="2"/>
        <v>13</v>
      </c>
      <c r="J22" s="63" t="e">
        <f t="shared" si="3"/>
        <v>#VALUE!</v>
      </c>
      <c r="K22" s="63">
        <f t="shared" si="4"/>
        <v>22</v>
      </c>
      <c r="L22" s="63" t="str">
        <f>IFERROR(VLOOKUP(MID(G22,J22,K22-J22),[6]skilldef!$C:$D,2,FALSE),"-") &amp; " / " &amp; IFERROR(VLOOKUP(MID(G22,H22,I22-H22),[6]skilldef!$A:$B,2,FALSE),"-")</f>
        <v>- / 連続攻撃</v>
      </c>
      <c r="M22" s="63" t="str">
        <f t="shared" si="5"/>
        <v>none</v>
      </c>
      <c r="N22" s="48" t="str">
        <f>IFERROR(LEFT(M22,FIND("],",M22)+#REF!),M22)</f>
        <v>none</v>
      </c>
      <c r="O22" s="63" t="e">
        <f t="shared" si="6"/>
        <v>#VALUE!</v>
      </c>
      <c r="P22" s="63">
        <f t="shared" si="7"/>
        <v>4</v>
      </c>
      <c r="Q22" s="63" t="e">
        <f t="shared" si="8"/>
        <v>#VALUE!</v>
      </c>
      <c r="R22" s="63" t="e">
        <f t="shared" si="9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0"/>
        <v>none</v>
      </c>
      <c r="U22" s="63" t="e">
        <f t="shared" si="11"/>
        <v>#VALUE!</v>
      </c>
      <c r="V22" s="63">
        <f t="shared" si="12"/>
        <v>4</v>
      </c>
      <c r="W22" s="63" t="e">
        <f t="shared" si="13"/>
        <v>#VALUE!</v>
      </c>
      <c r="X22" s="63" t="e">
        <f t="shared" si="14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145">
        <v>41002026</v>
      </c>
      <c r="B23" s="145" t="s">
        <v>309</v>
      </c>
      <c r="C23" s="146">
        <v>3</v>
      </c>
      <c r="D23" s="146" t="s">
        <v>127</v>
      </c>
      <c r="E23" s="103" t="s">
        <v>252</v>
      </c>
      <c r="F23" s="103" t="s">
        <v>232</v>
      </c>
      <c r="G23" s="63" t="str">
        <f t="shared" si="0"/>
        <v>[effect:spread, val:0.35, animation:enemy_spread]</v>
      </c>
      <c r="H23" s="63">
        <f t="shared" si="1"/>
        <v>9</v>
      </c>
      <c r="I23" s="63">
        <f t="shared" si="2"/>
        <v>15</v>
      </c>
      <c r="J23" s="63" t="e">
        <f t="shared" si="3"/>
        <v>#VALUE!</v>
      </c>
      <c r="K23" s="63">
        <f t="shared" si="4"/>
        <v>25</v>
      </c>
      <c r="L23" s="63" t="str">
        <f>IFERROR(VLOOKUP(MID(G23,J23,K23-J23),[6]skilldef!$C:$D,2,FALSE),"-") &amp; " / " &amp; IFERROR(VLOOKUP(MID(G23,H23,I23-H23),[6]skilldef!$A:$B,2,FALSE),"-")</f>
        <v>- / 全体攻撃</v>
      </c>
      <c r="M23" s="63" t="str">
        <f t="shared" si="5"/>
        <v>none</v>
      </c>
      <c r="N23" s="48" t="str">
        <f>IFERROR(LEFT(M23,FIND("],",M23)+#REF!),M23)</f>
        <v>none</v>
      </c>
      <c r="O23" s="63" t="e">
        <f t="shared" si="6"/>
        <v>#VALUE!</v>
      </c>
      <c r="P23" s="63">
        <f t="shared" si="7"/>
        <v>4</v>
      </c>
      <c r="Q23" s="63" t="e">
        <f t="shared" si="8"/>
        <v>#VALUE!</v>
      </c>
      <c r="R23" s="63" t="e">
        <f t="shared" si="9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0"/>
        <v>none</v>
      </c>
      <c r="U23" s="63" t="e">
        <f t="shared" si="11"/>
        <v>#VALUE!</v>
      </c>
      <c r="V23" s="63">
        <f t="shared" si="12"/>
        <v>4</v>
      </c>
      <c r="W23" s="63" t="e">
        <f t="shared" si="13"/>
        <v>#VALUE!</v>
      </c>
      <c r="X23" s="63" t="e">
        <f t="shared" si="14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147">
        <v>41002027</v>
      </c>
      <c r="B24" s="147" t="s">
        <v>264</v>
      </c>
      <c r="C24" s="148">
        <v>3</v>
      </c>
      <c r="D24" s="148" t="s">
        <v>127</v>
      </c>
      <c r="E24" s="104" t="s">
        <v>255</v>
      </c>
      <c r="F24" s="104" t="s">
        <v>260</v>
      </c>
      <c r="G24" s="63" t="str">
        <f t="shared" ref="G24:G30" si="30">IFERROR(LEFT(B24,FIND("],",B24)),B24)</f>
        <v>[effect:dis_heart, turn:10, rate:1.0, animation:enemy_dis_heart]</v>
      </c>
      <c r="H24" s="63">
        <f t="shared" si="1"/>
        <v>9</v>
      </c>
      <c r="I24" s="63">
        <f t="shared" ref="I24:I30" si="31">IFERROR(FIND(",",G24),LEN(G24))</f>
        <v>18</v>
      </c>
      <c r="J24" s="63" t="e">
        <f t="shared" ref="J24:J30" si="32">FIND("target:",G24)+7</f>
        <v>#VALUE!</v>
      </c>
      <c r="K24" s="63">
        <f t="shared" ref="K24:K30" si="33">FIND(",",G24,I24+1)</f>
        <v>27</v>
      </c>
      <c r="L24" s="63" t="str">
        <f>IFERROR(VLOOKUP(MID(G24,J24,K24-J24),[6]skilldef!$C:$D,2,FALSE),"-") &amp; " / " &amp; IFERROR(VLOOKUP(MID(G24,H24,I24-H24),[6]skilldef!$A:$B,2,FALSE),"-")</f>
        <v>- / ディスハート</v>
      </c>
      <c r="M24" s="63" t="str">
        <f t="shared" ref="M24:M30" si="34">IFERROR(RIGHT(B24,LEN(B24)-FIND("],",B24)-1),"none")</f>
        <v>none</v>
      </c>
      <c r="N24" s="48" t="str">
        <f>IFERROR(LEFT(M24,FIND("],",M24)+S30),M24)</f>
        <v>none</v>
      </c>
      <c r="O24" s="63" t="e">
        <f t="shared" si="6"/>
        <v>#VALUE!</v>
      </c>
      <c r="P24" s="63">
        <f t="shared" ref="P24:P30" si="35">IFERROR(FIND(",",N24),LEN(N24))</f>
        <v>4</v>
      </c>
      <c r="Q24" s="63" t="e">
        <f t="shared" ref="Q24:Q30" si="36">FIND("target:",N24)+7</f>
        <v>#VALUE!</v>
      </c>
      <c r="R24" s="63" t="e">
        <f t="shared" ref="R24:R30" si="37">FIND(",",N24,P24+1)</f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ref="T24:T30" si="38">IFERROR(RIGHT(M24,LEN(M24)-FIND("],",M24)-1),"none")</f>
        <v>none</v>
      </c>
      <c r="U24" s="63" t="e">
        <f t="shared" si="11"/>
        <v>#VALUE!</v>
      </c>
      <c r="V24" s="63">
        <f t="shared" ref="V24:V30" si="39">IFERROR(FIND(",",T24),LEN(T24))</f>
        <v>4</v>
      </c>
      <c r="W24" s="63" t="e">
        <f t="shared" ref="W24:W30" si="40">FIND("target:",T24)+7</f>
        <v>#VALUE!</v>
      </c>
      <c r="X24" s="63" t="e">
        <f t="shared" ref="X24:X30" si="41">FIND(",",T24,V24+1)</f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147">
        <v>41002028</v>
      </c>
      <c r="B25" s="147" t="s">
        <v>308</v>
      </c>
      <c r="C25" s="148">
        <v>3</v>
      </c>
      <c r="D25" s="148" t="s">
        <v>127</v>
      </c>
      <c r="E25" s="104" t="s">
        <v>253</v>
      </c>
      <c r="F25" s="104" t="s">
        <v>232</v>
      </c>
      <c r="G25" s="63" t="str">
        <f t="shared" si="30"/>
        <v>[effect:spread, val:0.35, animation:enemy_spread]</v>
      </c>
      <c r="H25" s="63">
        <f t="shared" si="1"/>
        <v>9</v>
      </c>
      <c r="I25" s="63">
        <f t="shared" si="31"/>
        <v>15</v>
      </c>
      <c r="J25" s="63" t="e">
        <f t="shared" si="32"/>
        <v>#VALUE!</v>
      </c>
      <c r="K25" s="63">
        <f t="shared" si="33"/>
        <v>25</v>
      </c>
      <c r="L25" s="63" t="str">
        <f>IFERROR(VLOOKUP(MID(G25,J25,K25-J25),[6]skilldef!$C:$D,2,FALSE),"-") &amp; " / " &amp; IFERROR(VLOOKUP(MID(G25,H25,I25-H25),[6]skilldef!$A:$B,2,FALSE),"-")</f>
        <v>- / 全体攻撃</v>
      </c>
      <c r="M25" s="63" t="str">
        <f t="shared" si="34"/>
        <v>none</v>
      </c>
      <c r="N25" s="48" t="str">
        <f>IFERROR(LEFT(M25,FIND("],",M25)+#REF!),M25)</f>
        <v>none</v>
      </c>
      <c r="O25" s="63" t="e">
        <f t="shared" si="6"/>
        <v>#VALUE!</v>
      </c>
      <c r="P25" s="63">
        <f t="shared" si="35"/>
        <v>4</v>
      </c>
      <c r="Q25" s="63" t="e">
        <f t="shared" si="36"/>
        <v>#VALUE!</v>
      </c>
      <c r="R25" s="63" t="e">
        <f t="shared" si="37"/>
        <v>#VALUE!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si="38"/>
        <v>none</v>
      </c>
      <c r="U25" s="63" t="e">
        <f t="shared" si="11"/>
        <v>#VALUE!</v>
      </c>
      <c r="V25" s="63">
        <f t="shared" si="39"/>
        <v>4</v>
      </c>
      <c r="W25" s="63" t="e">
        <f t="shared" si="40"/>
        <v>#VALUE!</v>
      </c>
      <c r="X25" s="63" t="e">
        <f t="shared" si="41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147">
        <v>41002029</v>
      </c>
      <c r="B26" s="147" t="s">
        <v>320</v>
      </c>
      <c r="C26" s="148">
        <v>3</v>
      </c>
      <c r="D26" s="148" t="s">
        <v>127</v>
      </c>
      <c r="E26" s="104" t="s">
        <v>307</v>
      </c>
      <c r="F26" s="104" t="s">
        <v>319</v>
      </c>
      <c r="G26" s="63" t="str">
        <f t="shared" si="30"/>
        <v>[effect:spread, val:0.25]</v>
      </c>
      <c r="H26" s="63">
        <f t="shared" si="1"/>
        <v>9</v>
      </c>
      <c r="I26" s="63">
        <f t="shared" si="31"/>
        <v>15</v>
      </c>
      <c r="J26" s="63" t="e">
        <f t="shared" si="32"/>
        <v>#VALUE!</v>
      </c>
      <c r="K26" s="63" t="e">
        <f t="shared" si="33"/>
        <v>#VALUE!</v>
      </c>
      <c r="L26" s="63" t="str">
        <f>IFERROR(VLOOKUP(MID(G26,J26,K26-J26),[6]skilldef!$C:$D,2,FALSE),"-") &amp; " / " &amp; IFERROR(VLOOKUP(MID(G26,H26,I26-H26),[6]skilldef!$A:$B,2,FALSE),"-")</f>
        <v>- / 全体攻撃</v>
      </c>
      <c r="M26" s="63" t="str">
        <f t="shared" si="34"/>
        <v>[effect:spread, val:0.25]</v>
      </c>
      <c r="N26" s="48" t="str">
        <f>IFERROR(LEFT(M26,FIND("],",M26)+S31),M26)</f>
        <v>[effect:spread, val:0.25]</v>
      </c>
      <c r="O26" s="63">
        <f t="shared" si="6"/>
        <v>9</v>
      </c>
      <c r="P26" s="63">
        <f t="shared" si="35"/>
        <v>15</v>
      </c>
      <c r="Q26" s="63" t="e">
        <f t="shared" si="36"/>
        <v>#VALUE!</v>
      </c>
      <c r="R26" s="63" t="e">
        <f t="shared" si="37"/>
        <v>#VALUE!</v>
      </c>
      <c r="S26" s="63" t="str">
        <f>IFERROR(VLOOKUP(MID(N26,Q26,R26-Q26),[6]skilldef!$C:$D,2,FALSE),"-") &amp; " / " &amp; IFERROR(VLOOKUP(MID(N26,O26,P26-O26),[6]skilldef!$A:$B,2,FALSE),"-")</f>
        <v>- / 全体攻撃</v>
      </c>
      <c r="T26" s="48" t="str">
        <f t="shared" si="38"/>
        <v>none</v>
      </c>
      <c r="U26" s="63" t="e">
        <f t="shared" si="11"/>
        <v>#VALUE!</v>
      </c>
      <c r="V26" s="63">
        <f t="shared" si="39"/>
        <v>4</v>
      </c>
      <c r="W26" s="63" t="e">
        <f t="shared" si="40"/>
        <v>#VALUE!</v>
      </c>
      <c r="X26" s="63" t="e">
        <f t="shared" si="41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147">
        <v>41002030</v>
      </c>
      <c r="B27" s="147" t="s">
        <v>330</v>
      </c>
      <c r="C27" s="148">
        <v>3</v>
      </c>
      <c r="D27" s="148" t="s">
        <v>127</v>
      </c>
      <c r="E27" s="104" t="s">
        <v>256</v>
      </c>
      <c r="F27" s="104" t="s">
        <v>233</v>
      </c>
      <c r="G27" s="63" t="str">
        <f t="shared" si="30"/>
        <v>[effect:enhance_enemy, target:enemy_all, turn:3, status:attack, val:0.4, animation:enemy_enhance_enemy]</v>
      </c>
      <c r="H27" s="63">
        <f t="shared" si="1"/>
        <v>9</v>
      </c>
      <c r="I27" s="63">
        <f t="shared" si="31"/>
        <v>22</v>
      </c>
      <c r="J27" s="63">
        <f t="shared" si="32"/>
        <v>31</v>
      </c>
      <c r="K27" s="63">
        <f t="shared" si="33"/>
        <v>40</v>
      </c>
      <c r="L27" s="63" t="str">
        <f>IFERROR(VLOOKUP(MID(G27,J27,K27-J27),[6]skilldef!$C:$D,2,FALSE),"-") &amp; " / " &amp; IFERROR(VLOOKUP(MID(G27,H27,I27-H27),[6]skilldef!$A:$B,2,FALSE),"-")</f>
        <v>敵全体に / ステータス強化</v>
      </c>
      <c r="M27" s="63" t="str">
        <f t="shared" si="34"/>
        <v>none</v>
      </c>
      <c r="N27" s="48" t="str">
        <f>IFERROR(LEFT(M27,FIND("],",M27)+S32),M27)</f>
        <v>none</v>
      </c>
      <c r="O27" s="63" t="e">
        <f t="shared" si="6"/>
        <v>#VALUE!</v>
      </c>
      <c r="P27" s="63">
        <f t="shared" si="35"/>
        <v>4</v>
      </c>
      <c r="Q27" s="63" t="e">
        <f t="shared" si="36"/>
        <v>#VALUE!</v>
      </c>
      <c r="R27" s="63" t="e">
        <f t="shared" si="37"/>
        <v>#VALUE!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38"/>
        <v>none</v>
      </c>
      <c r="U27" s="63" t="e">
        <f t="shared" si="11"/>
        <v>#VALUE!</v>
      </c>
      <c r="V27" s="63">
        <f t="shared" si="39"/>
        <v>4</v>
      </c>
      <c r="W27" s="63" t="e">
        <f t="shared" si="40"/>
        <v>#VALUE!</v>
      </c>
      <c r="X27" s="63" t="e">
        <f t="shared" si="41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147">
        <v>41002031</v>
      </c>
      <c r="B28" s="147" t="s">
        <v>265</v>
      </c>
      <c r="C28" s="148">
        <v>3</v>
      </c>
      <c r="D28" s="148" t="s">
        <v>127</v>
      </c>
      <c r="E28" s="104" t="s">
        <v>257</v>
      </c>
      <c r="F28" s="104" t="s">
        <v>262</v>
      </c>
      <c r="G28" s="63" t="str">
        <f t="shared" si="30"/>
        <v>[effect:fix_speed,target:myself,turn:1]</v>
      </c>
      <c r="H28" s="63">
        <f t="shared" si="1"/>
        <v>9</v>
      </c>
      <c r="I28" s="63">
        <f t="shared" si="31"/>
        <v>18</v>
      </c>
      <c r="J28" s="63">
        <f t="shared" si="32"/>
        <v>26</v>
      </c>
      <c r="K28" s="63">
        <f t="shared" si="33"/>
        <v>32</v>
      </c>
      <c r="L28" s="63" t="str">
        <f>IFERROR(VLOOKUP(MID(G28,J28,K28-J28),[6]skilldef!$C:$D,2,FALSE),"-") &amp; " / " &amp; IFERROR(VLOOKUP(MID(G28,H28,I28-H28),[6]skilldef!$A:$B,2,FALSE),"-")</f>
        <v>自分自身に / 行動値設定</v>
      </c>
      <c r="M28" s="63" t="str">
        <f t="shared" si="34"/>
        <v>none</v>
      </c>
      <c r="N28" s="48" t="str">
        <f>IFERROR(LEFT(M28,FIND("],",M28)+S33),M28)</f>
        <v>none</v>
      </c>
      <c r="O28" s="63" t="e">
        <f t="shared" si="6"/>
        <v>#VALUE!</v>
      </c>
      <c r="P28" s="63">
        <f t="shared" si="35"/>
        <v>4</v>
      </c>
      <c r="Q28" s="63" t="e">
        <f t="shared" si="36"/>
        <v>#VALUE!</v>
      </c>
      <c r="R28" s="63" t="e">
        <f t="shared" si="37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38"/>
        <v>none</v>
      </c>
      <c r="U28" s="63" t="e">
        <f t="shared" si="11"/>
        <v>#VALUE!</v>
      </c>
      <c r="V28" s="63">
        <f t="shared" si="39"/>
        <v>4</v>
      </c>
      <c r="W28" s="63" t="e">
        <f t="shared" si="40"/>
        <v>#VALUE!</v>
      </c>
      <c r="X28" s="63" t="e">
        <f t="shared" si="41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147">
        <v>41002032</v>
      </c>
      <c r="B29" s="147" t="s">
        <v>266</v>
      </c>
      <c r="C29" s="148">
        <v>3</v>
      </c>
      <c r="D29" s="148" t="s">
        <v>127</v>
      </c>
      <c r="E29" s="104" t="s">
        <v>258</v>
      </c>
      <c r="F29" s="104" t="s">
        <v>263</v>
      </c>
      <c r="G29" s="63" t="str">
        <f t="shared" si="30"/>
        <v>[effect:critical, val:5.0, animation:enemy_critical]</v>
      </c>
      <c r="H29" s="63">
        <f t="shared" si="1"/>
        <v>9</v>
      </c>
      <c r="I29" s="63">
        <f t="shared" si="31"/>
        <v>17</v>
      </c>
      <c r="J29" s="63" t="e">
        <f t="shared" si="32"/>
        <v>#VALUE!</v>
      </c>
      <c r="K29" s="63">
        <f t="shared" si="33"/>
        <v>26</v>
      </c>
      <c r="L29" s="63" t="str">
        <f>IFERROR(VLOOKUP(MID(G29,J29,K29-J29),[6]skilldef!$C:$D,2,FALSE),"-") &amp; " / " &amp; IFERROR(VLOOKUP(MID(G29,H29,I29-H29),[6]skilldef!$A:$B,2,FALSE),"-")</f>
        <v>- / 大攻撃</v>
      </c>
      <c r="M29" s="63" t="str">
        <f t="shared" si="34"/>
        <v>[effect:fix_speed,target:myself,turn:2]</v>
      </c>
      <c r="N29" s="48" t="str">
        <f>IFERROR(LEFT(M29,FIND("],",M29)+S34),M29)</f>
        <v>[effect:fix_speed,target:myself,turn:2]</v>
      </c>
      <c r="O29" s="63">
        <f t="shared" si="6"/>
        <v>9</v>
      </c>
      <c r="P29" s="63">
        <f t="shared" si="35"/>
        <v>18</v>
      </c>
      <c r="Q29" s="63">
        <f t="shared" si="36"/>
        <v>26</v>
      </c>
      <c r="R29" s="63">
        <f t="shared" si="37"/>
        <v>32</v>
      </c>
      <c r="S29" s="63" t="str">
        <f>IFERROR(VLOOKUP(MID(N29,Q29,R29-Q29),[6]skilldef!$C:$D,2,FALSE),"-") &amp; " / " &amp; IFERROR(VLOOKUP(MID(N29,O29,P29-O29),[6]skilldef!$A:$B,2,FALSE),"-")</f>
        <v>自分自身に / 行動値設定</v>
      </c>
      <c r="T29" s="48" t="str">
        <f t="shared" si="38"/>
        <v>none</v>
      </c>
      <c r="U29" s="63" t="e">
        <f t="shared" si="11"/>
        <v>#VALUE!</v>
      </c>
      <c r="V29" s="63">
        <f t="shared" si="39"/>
        <v>4</v>
      </c>
      <c r="W29" s="63" t="e">
        <f t="shared" si="40"/>
        <v>#VALUE!</v>
      </c>
      <c r="X29" s="63" t="e">
        <f t="shared" si="41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170">
        <v>41002033</v>
      </c>
      <c r="B30" s="145" t="s">
        <v>289</v>
      </c>
      <c r="C30" s="146">
        <v>3</v>
      </c>
      <c r="D30" s="146" t="s">
        <v>127</v>
      </c>
      <c r="E30" s="103" t="s">
        <v>300</v>
      </c>
      <c r="F30" s="103" t="s">
        <v>295</v>
      </c>
      <c r="G30" s="63" t="str">
        <f t="shared" si="30"/>
        <v>[effect:freq_turn, target:myself, turn:3, val:1, animation:enemy_freq_turn]</v>
      </c>
      <c r="H30" s="63">
        <f t="shared" ref="H30:H31" si="42">FIND("effect:",G30)+7</f>
        <v>9</v>
      </c>
      <c r="I30" s="63">
        <f t="shared" si="31"/>
        <v>18</v>
      </c>
      <c r="J30" s="63">
        <f t="shared" si="32"/>
        <v>27</v>
      </c>
      <c r="K30" s="63">
        <f t="shared" si="33"/>
        <v>33</v>
      </c>
      <c r="L30" s="63" t="str">
        <f>IFERROR(VLOOKUP(MID(G30,J30,K30-J30),[6]skilldef!$C:$D,2,FALSE),"-") &amp; " / " &amp; IFERROR(VLOOKUP(MID(G30,H30,I30-H30),[6]skilldef!$A:$B,2,FALSE),"-")</f>
        <v>自分自身に / 攻撃頻度がUP</v>
      </c>
      <c r="M30" s="63" t="str">
        <f t="shared" si="34"/>
        <v>none</v>
      </c>
      <c r="N30" s="48" t="str">
        <f>IFERROR(LEFT(M30,FIND("],",M30)+#REF!),M30)</f>
        <v>none</v>
      </c>
      <c r="O30" s="63" t="e">
        <f t="shared" ref="O30:O31" si="43">FIND("effect:",N30)+7</f>
        <v>#VALUE!</v>
      </c>
      <c r="P30" s="63">
        <f t="shared" si="35"/>
        <v>4</v>
      </c>
      <c r="Q30" s="63" t="e">
        <f t="shared" si="36"/>
        <v>#VALUE!</v>
      </c>
      <c r="R30" s="63" t="e">
        <f t="shared" si="37"/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38"/>
        <v>none</v>
      </c>
      <c r="U30" s="63" t="e">
        <f t="shared" ref="U30:U31" si="44">FIND("effect:",T30)+7</f>
        <v>#VALUE!</v>
      </c>
      <c r="V30" s="63">
        <f t="shared" si="39"/>
        <v>4</v>
      </c>
      <c r="W30" s="63" t="e">
        <f t="shared" si="40"/>
        <v>#VALUE!</v>
      </c>
      <c r="X30" s="63" t="e">
        <f t="shared" si="41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170">
        <v>41002034</v>
      </c>
      <c r="B31" s="145" t="s">
        <v>311</v>
      </c>
      <c r="C31" s="146">
        <v>3</v>
      </c>
      <c r="D31" s="146" t="s">
        <v>127</v>
      </c>
      <c r="E31" s="103" t="s">
        <v>254</v>
      </c>
      <c r="F31" s="103" t="s">
        <v>261</v>
      </c>
      <c r="G31" s="63" t="str">
        <f t="shared" ref="G31" si="45">IFERROR(LEFT(B31,FIND("],",B31)),B31)</f>
        <v>[effect:damage_anti_tribe, target:unit_all, tribe:animal, val1:1.2, val2:0.25]</v>
      </c>
      <c r="H31" s="63">
        <f t="shared" si="42"/>
        <v>9</v>
      </c>
      <c r="I31" s="63">
        <f t="shared" ref="I31" si="46">IFERROR(FIND(",",G31),LEN(G31))</f>
        <v>26</v>
      </c>
      <c r="J31" s="63">
        <f t="shared" ref="J31" si="47">FIND("target:",G31)+7</f>
        <v>35</v>
      </c>
      <c r="K31" s="63">
        <f t="shared" ref="K31" si="48">FIND(",",G31,I31+1)</f>
        <v>43</v>
      </c>
      <c r="L31" s="63" t="str">
        <f>IFERROR(VLOOKUP(MID(G31,J31,K31-J31),[6]skilldef!$C:$D,2,FALSE),"-") &amp; " / " &amp; IFERROR(VLOOKUP(MID(G31,H31,I31-H31),[6]skilldef!$A:$B,2,FALSE),"-")</f>
        <v>味方全体に / 種族キラー</v>
      </c>
      <c r="M31" s="63" t="str">
        <f t="shared" ref="M31" si="49">IFERROR(RIGHT(B31,LEN(B31)-FIND("],",B31)-1),"none")</f>
        <v>none</v>
      </c>
      <c r="N31" s="48" t="str">
        <f>IFERROR(LEFT(M31,FIND("],",M31)+S36),M31)</f>
        <v>none</v>
      </c>
      <c r="O31" s="63" t="e">
        <f t="shared" si="43"/>
        <v>#VALUE!</v>
      </c>
      <c r="P31" s="63">
        <f t="shared" ref="P31" si="50">IFERROR(FIND(",",N31),LEN(N31))</f>
        <v>4</v>
      </c>
      <c r="Q31" s="63" t="e">
        <f t="shared" ref="Q31" si="51">FIND("target:",N31)+7</f>
        <v>#VALUE!</v>
      </c>
      <c r="R31" s="63" t="e">
        <f t="shared" ref="R31" si="52">FIND(",",N31,P31+1)</f>
        <v>#VALUE!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ref="T31" si="53">IFERROR(RIGHT(M31,LEN(M31)-FIND("],",M31)-1),"none")</f>
        <v>none</v>
      </c>
      <c r="U31" s="63" t="e">
        <f t="shared" si="44"/>
        <v>#VALUE!</v>
      </c>
      <c r="V31" s="63">
        <f t="shared" ref="V31" si="54">IFERROR(FIND(",",T31),LEN(T31))</f>
        <v>4</v>
      </c>
      <c r="W31" s="63" t="e">
        <f t="shared" ref="W31" si="55">FIND("target:",T31)+7</f>
        <v>#VALUE!</v>
      </c>
      <c r="X31" s="63" t="e">
        <f t="shared" ref="X31" si="56">FIND(",",T31,V31+1)</f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175">
        <v>41002035</v>
      </c>
      <c r="B32" s="47" t="s">
        <v>297</v>
      </c>
      <c r="C32" s="50">
        <v>3</v>
      </c>
      <c r="D32" s="50" t="s">
        <v>127</v>
      </c>
      <c r="E32" s="51" t="s">
        <v>298</v>
      </c>
      <c r="F32" s="51" t="s">
        <v>299</v>
      </c>
      <c r="G32" s="63" t="str">
        <f>IFERROR(LEFT(B32,FIND("],",B32)),B32)</f>
        <v>[effect:nothing]</v>
      </c>
      <c r="H32" s="63">
        <f>FIND("effect:",G32)+7</f>
        <v>9</v>
      </c>
      <c r="I32" s="63">
        <f>IFERROR(FIND(",",G32),LEN(G32))</f>
        <v>16</v>
      </c>
      <c r="J32" s="63" t="e">
        <f>FIND("target:",G32)+7</f>
        <v>#VALUE!</v>
      </c>
      <c r="K32" s="63" t="e">
        <f>FIND(",",G32,I32+1)</f>
        <v>#VALUE!</v>
      </c>
      <c r="L32" s="63" t="str">
        <f>IFERROR(VLOOKUP(MID(G32,J32,K32-J32),[6]skilldef!$C:$D,2,FALSE),"-") &amp; " / " &amp; IFERROR(VLOOKUP(MID(G32,H32,I32-H32),[6]skilldef!$A:$B,2,FALSE),"-")</f>
        <v>- / 何もしない</v>
      </c>
      <c r="M32" s="63" t="str">
        <f>IFERROR(RIGHT(B32,LEN(B32)-FIND("],",B32)-1),"none")</f>
        <v>none</v>
      </c>
      <c r="N32" s="48" t="str">
        <f>IFERROR(LEFT(M32,FIND("],",M32)+S41),M32)</f>
        <v>none</v>
      </c>
      <c r="O32" s="63" t="e">
        <f>FIND("effect:",N32)+7</f>
        <v>#VALUE!</v>
      </c>
      <c r="P32" s="63">
        <f>IFERROR(FIND(",",N32),LEN(N32))</f>
        <v>4</v>
      </c>
      <c r="Q32" s="63" t="e">
        <f>FIND("target:",N32)+7</f>
        <v>#VALUE!</v>
      </c>
      <c r="R32" s="63" t="e">
        <f>FIND(",",N32,P32+1)</f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>IFERROR(RIGHT(M32,LEN(M32)-FIND("],",M32)-1),"none")</f>
        <v>none</v>
      </c>
      <c r="U32" s="63" t="e">
        <f>FIND("effect:",T32)+7</f>
        <v>#VALUE!</v>
      </c>
      <c r="V32" s="63">
        <f>IFERROR(FIND(",",T32),LEN(T32))</f>
        <v>4</v>
      </c>
      <c r="W32" s="63" t="e">
        <f>FIND("target:",T32)+7</f>
        <v>#VALUE!</v>
      </c>
      <c r="X32" s="63" t="e">
        <f>FIND(",",T32,V32+1)</f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175">
        <v>41002036</v>
      </c>
      <c r="B33" s="47" t="s">
        <v>322</v>
      </c>
      <c r="C33" s="50">
        <v>3</v>
      </c>
      <c r="D33" s="50" t="s">
        <v>127</v>
      </c>
      <c r="E33" s="51" t="s">
        <v>301</v>
      </c>
      <c r="F33" s="51" t="s">
        <v>321</v>
      </c>
      <c r="G33" s="63" t="str">
        <f>IFERROR(LEFT(B33,FIND("],",B33)),B33)</f>
        <v>[effect:freq_turn, target:myself, turn:3, val:1, animation:enemy_freq_turn]</v>
      </c>
      <c r="H33" s="63">
        <f>FIND("effect:",G33)+7</f>
        <v>9</v>
      </c>
      <c r="I33" s="63">
        <f>IFERROR(FIND(",",G33),LEN(G33))</f>
        <v>18</v>
      </c>
      <c r="J33" s="63">
        <f>FIND("target:",G33)+7</f>
        <v>27</v>
      </c>
      <c r="K33" s="63">
        <f>FIND(",",G33,I33+1)</f>
        <v>33</v>
      </c>
      <c r="L33" s="63" t="str">
        <f>IFERROR(VLOOKUP(MID(G33,J33,K33-J33),[6]skilldef!$C:$D,2,FALSE),"-") &amp; " / " &amp; IFERROR(VLOOKUP(MID(G33,H33,I33-H33),[6]skilldef!$A:$B,2,FALSE),"-")</f>
        <v>自分自身に / 攻撃頻度がUP</v>
      </c>
      <c r="M33" s="63" t="str">
        <f>IFERROR(RIGHT(B33,LEN(B33)-FIND("],",B33)-1),"none")</f>
        <v>none</v>
      </c>
      <c r="N33" s="48" t="str">
        <f>IFERROR(LEFT(M33,FIND("],",M33)+S42),M33)</f>
        <v>none</v>
      </c>
      <c r="O33" s="63" t="e">
        <f>FIND("effect:",N33)+7</f>
        <v>#VALUE!</v>
      </c>
      <c r="P33" s="63">
        <f>IFERROR(FIND(",",N33),LEN(N33))</f>
        <v>4</v>
      </c>
      <c r="Q33" s="63" t="e">
        <f>FIND("target:",N33)+7</f>
        <v>#VALUE!</v>
      </c>
      <c r="R33" s="63" t="e">
        <f>FIND(",",N33,P33+1)</f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>IFERROR(RIGHT(M33,LEN(M33)-FIND("],",M33)-1),"none")</f>
        <v>none</v>
      </c>
      <c r="U33" s="63" t="e">
        <f>FIND("effect:",T33)+7</f>
        <v>#VALUE!</v>
      </c>
      <c r="V33" s="63">
        <f>IFERROR(FIND(",",T33),LEN(T33))</f>
        <v>4</v>
      </c>
      <c r="W33" s="63" t="e">
        <f>FIND("target:",T33)+7</f>
        <v>#VALUE!</v>
      </c>
      <c r="X33" s="63" t="e">
        <f>FIND(",",T33,V33+1)</f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170">
        <v>41002037</v>
      </c>
      <c r="B34" s="145" t="s">
        <v>303</v>
      </c>
      <c r="C34" s="146">
        <v>3</v>
      </c>
      <c r="D34" s="146" t="s">
        <v>127</v>
      </c>
      <c r="E34" s="103" t="s">
        <v>306</v>
      </c>
      <c r="F34" s="103" t="s">
        <v>302</v>
      </c>
      <c r="G34" s="63" t="str">
        <f t="shared" ref="G34" si="57">IFERROR(LEFT(B34,FIND("],",B34)),B34)</f>
        <v>[effect:fix_speed,target:myself,turn:1]</v>
      </c>
      <c r="H34" s="63">
        <f t="shared" ref="H34" si="58">FIND("effect:",G34)+7</f>
        <v>9</v>
      </c>
      <c r="I34" s="63">
        <f t="shared" ref="I34" si="59">IFERROR(FIND(",",G34),LEN(G34))</f>
        <v>18</v>
      </c>
      <c r="J34" s="63">
        <f t="shared" ref="J34" si="60">FIND("target:",G34)+7</f>
        <v>26</v>
      </c>
      <c r="K34" s="63">
        <f t="shared" ref="K34" si="61">FIND(",",G34,I34+1)</f>
        <v>32</v>
      </c>
      <c r="L34" s="63" t="str">
        <f>IFERROR(VLOOKUP(MID(G34,J34,K34-J34),[6]skilldef!$C:$D,2,FALSE),"-") &amp; " / " &amp; IFERROR(VLOOKUP(MID(G34,H34,I34-H34),[6]skilldef!$A:$B,2,FALSE),"-")</f>
        <v>自分自身に / 行動値設定</v>
      </c>
      <c r="M34" s="63" t="str">
        <f t="shared" ref="M34" si="62">IFERROR(RIGHT(B34,LEN(B34)-FIND("],",B34)-1),"none")</f>
        <v>none</v>
      </c>
      <c r="N34" s="48" t="str">
        <f>IFERROR(LEFT(M34,FIND("],",M34)+S38),M34)</f>
        <v>none</v>
      </c>
      <c r="O34" s="63" t="e">
        <f t="shared" ref="O34" si="63">FIND("effect:",N34)+7</f>
        <v>#VALUE!</v>
      </c>
      <c r="P34" s="63">
        <f t="shared" ref="P34" si="64">IFERROR(FIND(",",N34),LEN(N34))</f>
        <v>4</v>
      </c>
      <c r="Q34" s="63" t="e">
        <f t="shared" ref="Q34" si="65">FIND("target:",N34)+7</f>
        <v>#VALUE!</v>
      </c>
      <c r="R34" s="63" t="e">
        <f t="shared" ref="R34" si="66">FIND(",",N34,P34+1)</f>
        <v>#VALUE!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ref="T34" si="67">IFERROR(RIGHT(M34,LEN(M34)-FIND("],",M34)-1),"none")</f>
        <v>none</v>
      </c>
      <c r="U34" s="63" t="e">
        <f t="shared" ref="U34" si="68">FIND("effect:",T34)+7</f>
        <v>#VALUE!</v>
      </c>
      <c r="V34" s="63">
        <f t="shared" ref="V34" si="69">IFERROR(FIND(",",T34),LEN(T34))</f>
        <v>4</v>
      </c>
      <c r="W34" s="63" t="e">
        <f t="shared" ref="W34" si="70">FIND("target:",T34)+7</f>
        <v>#VALUE!</v>
      </c>
      <c r="X34" s="63" t="e">
        <f t="shared" ref="X34" si="71">FIND(",",T34,V34+1)</f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170">
        <v>41002038</v>
      </c>
      <c r="B35" s="145" t="s">
        <v>326</v>
      </c>
      <c r="C35" s="146">
        <v>3</v>
      </c>
      <c r="D35" s="146" t="s">
        <v>127</v>
      </c>
      <c r="E35" s="103" t="s">
        <v>304</v>
      </c>
      <c r="F35" s="103" t="s">
        <v>305</v>
      </c>
      <c r="G35" s="63" t="str">
        <f t="shared" ref="G35" si="72">IFERROR(LEFT(B35,FIND("],",B35)),B35)</f>
        <v>[effect:break_attack, val:0.2, lowest_val:8000, count:-1, block:block_green, target:unit_one]</v>
      </c>
      <c r="H35" s="63">
        <f t="shared" ref="H35" si="73">FIND("effect:",G35)+7</f>
        <v>9</v>
      </c>
      <c r="I35" s="63">
        <f t="shared" ref="I35" si="74">IFERROR(FIND(",",G35),LEN(G35))</f>
        <v>21</v>
      </c>
      <c r="J35" s="63">
        <f t="shared" ref="J35" si="75">FIND("target:",G35)+7</f>
        <v>85</v>
      </c>
      <c r="K35" s="63">
        <f t="shared" ref="K35" si="76">FIND(",",G35,I35+1)</f>
        <v>30</v>
      </c>
      <c r="L35" s="63" t="str">
        <f>IFERROR(VLOOKUP(MID(G35,J35,K35-J35),[6]skilldef!$C:$D,2,FALSE),"-") &amp; " / " &amp; IFERROR(VLOOKUP(MID(G35,H35,I35-H35),[6]skilldef!$A:$B,2,FALSE),"-")</f>
        <v>- / -</v>
      </c>
      <c r="M35" s="63" t="str">
        <f t="shared" ref="M35" si="77">IFERROR(RIGHT(B35,LEN(B35)-FIND("],",B35)-1),"none")</f>
        <v>[effect:fix_speed,target:myself,turn:2]</v>
      </c>
      <c r="N35" s="48" t="str">
        <f>IFERROR(LEFT(M35,FIND("],",M35)+S39),M35)</f>
        <v>[effect:fix_speed,target:myself,turn:2]</v>
      </c>
      <c r="O35" s="63">
        <f t="shared" ref="O35" si="78">FIND("effect:",N35)+7</f>
        <v>9</v>
      </c>
      <c r="P35" s="63">
        <f t="shared" ref="P35" si="79">IFERROR(FIND(",",N35),LEN(N35))</f>
        <v>18</v>
      </c>
      <c r="Q35" s="63">
        <f t="shared" ref="Q35" si="80">FIND("target:",N35)+7</f>
        <v>26</v>
      </c>
      <c r="R35" s="63">
        <f t="shared" ref="R35" si="81">FIND(",",N35,P35+1)</f>
        <v>32</v>
      </c>
      <c r="S35" s="63" t="str">
        <f>IFERROR(VLOOKUP(MID(N35,Q35,R35-Q35),[6]skilldef!$C:$D,2,FALSE),"-") &amp; " / " &amp; IFERROR(VLOOKUP(MID(N35,O35,P35-O35),[6]skilldef!$A:$B,2,FALSE),"-")</f>
        <v>自分自身に / 行動値設定</v>
      </c>
      <c r="T35" s="48" t="str">
        <f t="shared" ref="T35" si="82">IFERROR(RIGHT(M35,LEN(M35)-FIND("],",M35)-1),"none")</f>
        <v>none</v>
      </c>
      <c r="U35" s="63" t="e">
        <f t="shared" ref="U35" si="83">FIND("effect:",T35)+7</f>
        <v>#VALUE!</v>
      </c>
      <c r="V35" s="63">
        <f t="shared" ref="V35" si="84">IFERROR(FIND(",",T35),LEN(T35))</f>
        <v>4</v>
      </c>
      <c r="W35" s="63" t="e">
        <f t="shared" ref="W35" si="85">FIND("target:",T35)+7</f>
        <v>#VALUE!</v>
      </c>
      <c r="X35" s="63" t="e">
        <f t="shared" ref="X35" si="86">FIND(",",T35,V35+1)</f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47">
        <v>41002039</v>
      </c>
      <c r="B36" s="47" t="s">
        <v>312</v>
      </c>
      <c r="C36" s="50">
        <v>3</v>
      </c>
      <c r="D36" s="50" t="s">
        <v>127</v>
      </c>
      <c r="E36" s="51" t="s">
        <v>313</v>
      </c>
      <c r="F36" s="51" t="s">
        <v>314</v>
      </c>
      <c r="G36" s="63" t="str">
        <f>IFERROR(LEFT(B36,FIND("],",B36)),B36)</f>
        <v>[effect:rush, count:2, val:0.8]</v>
      </c>
      <c r="H36" s="63">
        <f>FIND("effect:",G36)+7</f>
        <v>9</v>
      </c>
      <c r="I36" s="63">
        <f>IFERROR(FIND(",",G36),LEN(G36))</f>
        <v>13</v>
      </c>
      <c r="J36" s="63" t="e">
        <f>FIND("target:",G36)+7</f>
        <v>#VALUE!</v>
      </c>
      <c r="K36" s="63">
        <f>FIND(",",G36,I36+1)</f>
        <v>22</v>
      </c>
      <c r="L36" s="63" t="str">
        <f>IFERROR(VLOOKUP(MID(G36,J36,K36-J36),[6]skilldef!$C:$D,2,FALSE),"-") &amp; " / " &amp; IFERROR(VLOOKUP(MID(G36,H36,I36-H36),[6]skilldef!$A:$B,2,FALSE),"-")</f>
        <v>- / 連続攻撃</v>
      </c>
      <c r="M36" s="63" t="str">
        <f>IFERROR(RIGHT(B36,LEN(B36)-FIND("],",B36)-1),"none")</f>
        <v>none</v>
      </c>
      <c r="N36" s="48" t="str">
        <f>IFERROR(LEFT(M36,FIND("],",M36)+S45),M36)</f>
        <v>none</v>
      </c>
      <c r="O36" s="63" t="e">
        <f>FIND("effect:",N36)+7</f>
        <v>#VALUE!</v>
      </c>
      <c r="P36" s="63">
        <f>IFERROR(FIND(",",N36),LEN(N36))</f>
        <v>4</v>
      </c>
      <c r="Q36" s="63" t="e">
        <f>FIND("target:",N36)+7</f>
        <v>#VALUE!</v>
      </c>
      <c r="R36" s="63" t="e">
        <f>FIND(",",N36,P36+1)</f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>IFERROR(RIGHT(M36,LEN(M36)-FIND("],",M36)-1),"none")</f>
        <v>none</v>
      </c>
      <c r="U36" s="63" t="e">
        <f>FIND("effect:",T36)+7</f>
        <v>#VALUE!</v>
      </c>
      <c r="V36" s="63">
        <f>IFERROR(FIND(",",T36),LEN(T36))</f>
        <v>4</v>
      </c>
      <c r="W36" s="63" t="e">
        <f>FIND("target:",T36)+7</f>
        <v>#VALUE!</v>
      </c>
      <c r="X36" s="63" t="e">
        <f>FIND(",",T36,V36+1)</f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47">
        <v>41002040</v>
      </c>
      <c r="B37" s="47" t="s">
        <v>323</v>
      </c>
      <c r="C37" s="50">
        <v>3</v>
      </c>
      <c r="D37" s="50" t="s">
        <v>127</v>
      </c>
      <c r="E37" s="51" t="s">
        <v>325</v>
      </c>
      <c r="F37" s="51" t="s">
        <v>324</v>
      </c>
      <c r="G37" s="63" t="str">
        <f>IFERROR(LEFT(B37,FIND("],",B37)),B37)</f>
        <v>[effect:fix_speed,target:myself,turn:2]</v>
      </c>
      <c r="H37" s="63">
        <f>FIND("effect:",G37)+7</f>
        <v>9</v>
      </c>
      <c r="I37" s="63">
        <f>IFERROR(FIND(",",G37),LEN(G37))</f>
        <v>18</v>
      </c>
      <c r="J37" s="63">
        <f>FIND("target:",G37)+7</f>
        <v>26</v>
      </c>
      <c r="K37" s="63">
        <f>FIND(",",G37,I37+1)</f>
        <v>32</v>
      </c>
      <c r="L37" s="63" t="str">
        <f>IFERROR(VLOOKUP(MID(G37,J37,K37-J37),[6]skilldef!$C:$D,2,FALSE),"-") &amp; " / " &amp; IFERROR(VLOOKUP(MID(G37,H37,I37-H37),[6]skilldef!$A:$B,2,FALSE),"-")</f>
        <v>自分自身に / 行動値設定</v>
      </c>
      <c r="M37" s="63" t="str">
        <f>IFERROR(RIGHT(B37,LEN(B37)-FIND("],",B37)-1),"none")</f>
        <v>none</v>
      </c>
      <c r="N37" s="48" t="str">
        <f>IFERROR(LEFT(M37,FIND("],",M37)+S46),M37)</f>
        <v>none</v>
      </c>
      <c r="O37" s="63" t="e">
        <f>FIND("effect:",N37)+7</f>
        <v>#VALUE!</v>
      </c>
      <c r="P37" s="63">
        <f>IFERROR(FIND(",",N37),LEN(N37))</f>
        <v>4</v>
      </c>
      <c r="Q37" s="63" t="e">
        <f>FIND("target:",N37)+7</f>
        <v>#VALUE!</v>
      </c>
      <c r="R37" s="63" t="e">
        <f>FIND(",",N37,P37+1)</f>
        <v>#VALUE!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>IFERROR(RIGHT(M37,LEN(M37)-FIND("],",M37)-1),"none")</f>
        <v>none</v>
      </c>
      <c r="U37" s="63" t="e">
        <f>FIND("effect:",T37)+7</f>
        <v>#VALUE!</v>
      </c>
      <c r="V37" s="63">
        <f>IFERROR(FIND(",",T37),LEN(T37))</f>
        <v>4</v>
      </c>
      <c r="W37" s="63" t="e">
        <f>FIND("target:",T37)+7</f>
        <v>#VALUE!</v>
      </c>
      <c r="X37" s="63" t="e">
        <f>FIND(",",T37,V37+1)</f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9"/>
  <sheetViews>
    <sheetView showGridLines="0" zoomScale="85" zoomScaleNormal="85" zoomScalePageLayoutView="85" workbookViewId="0">
      <pane ySplit="1" topLeftCell="A2" activePane="bottomLeft" state="frozenSplit"/>
      <selection pane="bottomLeft" activeCell="D3" sqref="D3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41002001</v>
      </c>
      <c r="B2" s="47">
        <v>0</v>
      </c>
      <c r="C2" s="47">
        <v>25</v>
      </c>
      <c r="D2" s="47">
        <v>50</v>
      </c>
      <c r="E2" s="47" t="s">
        <v>267</v>
      </c>
      <c r="F2" s="47" t="s">
        <v>89</v>
      </c>
      <c r="G2" s="47" t="s">
        <v>53</v>
      </c>
      <c r="H2" s="47" t="s">
        <v>89</v>
      </c>
      <c r="I2" s="47" t="s">
        <v>89</v>
      </c>
      <c r="J2" s="48">
        <f t="shared" ref="J2:J33" si="0">D2</f>
        <v>50</v>
      </c>
    </row>
    <row r="3" spans="1:11" ht="21" customHeight="1" x14ac:dyDescent="0.15">
      <c r="A3" s="47">
        <v>41002002</v>
      </c>
      <c r="B3" s="47">
        <v>0</v>
      </c>
      <c r="C3" s="47">
        <v>24</v>
      </c>
      <c r="D3" s="47">
        <v>50</v>
      </c>
      <c r="E3" s="47">
        <v>50</v>
      </c>
      <c r="F3" s="47" t="s">
        <v>268</v>
      </c>
      <c r="G3" s="47">
        <v>1</v>
      </c>
      <c r="H3" s="47" t="s">
        <v>269</v>
      </c>
      <c r="I3" s="47" t="s">
        <v>269</v>
      </c>
      <c r="J3" s="48">
        <f t="shared" si="0"/>
        <v>50</v>
      </c>
    </row>
    <row r="4" spans="1:11" ht="21" customHeight="1" x14ac:dyDescent="0.15">
      <c r="A4" s="47">
        <v>41002003</v>
      </c>
      <c r="B4" s="47">
        <v>0</v>
      </c>
      <c r="C4" s="47">
        <v>23</v>
      </c>
      <c r="D4" s="47">
        <v>100</v>
      </c>
      <c r="E4" s="47">
        <v>60</v>
      </c>
      <c r="F4" s="47" t="s">
        <v>268</v>
      </c>
      <c r="G4" s="47">
        <v>1</v>
      </c>
      <c r="H4" s="47" t="s">
        <v>269</v>
      </c>
      <c r="I4" s="47" t="s">
        <v>269</v>
      </c>
      <c r="J4" s="48">
        <f t="shared" si="0"/>
        <v>100</v>
      </c>
    </row>
    <row r="5" spans="1:11" ht="21" customHeight="1" x14ac:dyDescent="0.15">
      <c r="A5" s="47">
        <v>41002004</v>
      </c>
      <c r="B5" s="47">
        <v>0</v>
      </c>
      <c r="C5" s="47">
        <v>22</v>
      </c>
      <c r="D5" s="47">
        <v>50</v>
      </c>
      <c r="E5" s="47">
        <v>50</v>
      </c>
      <c r="F5" s="47" t="s">
        <v>268</v>
      </c>
      <c r="G5" s="47" t="s">
        <v>269</v>
      </c>
      <c r="H5" s="47" t="s">
        <v>269</v>
      </c>
      <c r="I5" s="47" t="s">
        <v>269</v>
      </c>
      <c r="J5" s="48">
        <f t="shared" si="0"/>
        <v>50</v>
      </c>
    </row>
    <row r="6" spans="1:11" ht="21" customHeight="1" x14ac:dyDescent="0.15">
      <c r="A6" s="47">
        <v>41002005</v>
      </c>
      <c r="B6" s="47">
        <v>0</v>
      </c>
      <c r="C6" s="47">
        <v>25</v>
      </c>
      <c r="D6" s="47">
        <v>75</v>
      </c>
      <c r="E6" s="47" t="s">
        <v>267</v>
      </c>
      <c r="F6" s="47" t="s">
        <v>268</v>
      </c>
      <c r="G6" s="47" t="s">
        <v>269</v>
      </c>
      <c r="H6" s="47" t="s">
        <v>269</v>
      </c>
      <c r="I6" s="47" t="s">
        <v>269</v>
      </c>
      <c r="J6" s="48">
        <f t="shared" si="0"/>
        <v>75</v>
      </c>
    </row>
    <row r="7" spans="1:11" ht="21" customHeight="1" x14ac:dyDescent="0.15">
      <c r="A7" s="47">
        <v>41002006</v>
      </c>
      <c r="B7" s="47">
        <v>0</v>
      </c>
      <c r="C7" s="47">
        <v>25</v>
      </c>
      <c r="D7" s="47">
        <v>75</v>
      </c>
      <c r="E7" s="47" t="s">
        <v>267</v>
      </c>
      <c r="F7" s="47" t="s">
        <v>268</v>
      </c>
      <c r="G7" s="47" t="s">
        <v>269</v>
      </c>
      <c r="H7" s="47" t="s">
        <v>269</v>
      </c>
      <c r="I7" s="47" t="s">
        <v>269</v>
      </c>
      <c r="J7" s="48">
        <f t="shared" si="0"/>
        <v>75</v>
      </c>
    </row>
    <row r="8" spans="1:11" ht="21" customHeight="1" x14ac:dyDescent="0.15">
      <c r="A8" s="47">
        <v>41002007</v>
      </c>
      <c r="B8" s="47">
        <v>0</v>
      </c>
      <c r="C8" s="47">
        <v>25</v>
      </c>
      <c r="D8" s="47">
        <v>30</v>
      </c>
      <c r="E8" s="47">
        <v>90</v>
      </c>
      <c r="F8" s="47" t="s">
        <v>268</v>
      </c>
      <c r="G8" s="47" t="s">
        <v>269</v>
      </c>
      <c r="H8" s="47" t="s">
        <v>269</v>
      </c>
      <c r="I8" s="47" t="s">
        <v>269</v>
      </c>
      <c r="J8" s="48">
        <f t="shared" si="0"/>
        <v>30</v>
      </c>
    </row>
    <row r="9" spans="1:11" ht="21" customHeight="1" x14ac:dyDescent="0.15">
      <c r="A9" s="47">
        <v>41002008</v>
      </c>
      <c r="B9" s="47">
        <v>0</v>
      </c>
      <c r="C9" s="47">
        <v>26</v>
      </c>
      <c r="D9" s="47">
        <v>50</v>
      </c>
      <c r="E9" s="47" t="s">
        <v>282</v>
      </c>
      <c r="F9" s="47" t="s">
        <v>268</v>
      </c>
      <c r="G9" s="47" t="s">
        <v>283</v>
      </c>
      <c r="H9" s="47" t="s">
        <v>269</v>
      </c>
      <c r="I9" s="47" t="s">
        <v>269</v>
      </c>
      <c r="J9" s="48">
        <f t="shared" si="0"/>
        <v>50</v>
      </c>
    </row>
    <row r="10" spans="1:11" ht="21" customHeight="1" x14ac:dyDescent="0.15">
      <c r="A10" s="47">
        <v>41002009</v>
      </c>
      <c r="B10" s="47">
        <v>0</v>
      </c>
      <c r="C10" s="47">
        <v>25</v>
      </c>
      <c r="D10" s="47">
        <v>75</v>
      </c>
      <c r="E10" s="47" t="s">
        <v>267</v>
      </c>
      <c r="F10" s="47" t="s">
        <v>268</v>
      </c>
      <c r="G10" s="47">
        <v>1</v>
      </c>
      <c r="H10" s="47" t="s">
        <v>269</v>
      </c>
      <c r="I10" s="47" t="s">
        <v>269</v>
      </c>
      <c r="J10" s="48">
        <f t="shared" si="0"/>
        <v>75</v>
      </c>
    </row>
    <row r="11" spans="1:11" ht="21" customHeight="1" x14ac:dyDescent="0.15">
      <c r="A11" s="47">
        <v>41002010</v>
      </c>
      <c r="B11" s="47">
        <v>0</v>
      </c>
      <c r="C11" s="47">
        <v>27</v>
      </c>
      <c r="D11" s="47">
        <v>100</v>
      </c>
      <c r="E11" s="47">
        <v>35</v>
      </c>
      <c r="F11" s="47" t="s">
        <v>268</v>
      </c>
      <c r="G11" s="47">
        <v>1</v>
      </c>
      <c r="H11" s="47" t="s">
        <v>269</v>
      </c>
      <c r="I11" s="47" t="s">
        <v>269</v>
      </c>
      <c r="J11" s="48">
        <f t="shared" si="0"/>
        <v>100</v>
      </c>
    </row>
    <row r="12" spans="1:11" ht="21" customHeight="1" x14ac:dyDescent="0.15">
      <c r="A12" s="47">
        <v>41002011</v>
      </c>
      <c r="B12" s="47">
        <v>0</v>
      </c>
      <c r="C12" s="47">
        <v>28</v>
      </c>
      <c r="D12" s="47">
        <v>100</v>
      </c>
      <c r="E12" s="47">
        <v>75</v>
      </c>
      <c r="F12" s="47" t="s">
        <v>268</v>
      </c>
      <c r="G12" s="47">
        <v>1</v>
      </c>
      <c r="H12" s="47" t="s">
        <v>269</v>
      </c>
      <c r="I12" s="47" t="s">
        <v>269</v>
      </c>
      <c r="J12" s="48">
        <f t="shared" si="0"/>
        <v>100</v>
      </c>
    </row>
    <row r="13" spans="1:11" ht="21" customHeight="1" x14ac:dyDescent="0.15">
      <c r="A13" s="47">
        <v>41002012</v>
      </c>
      <c r="B13" s="47">
        <v>1</v>
      </c>
      <c r="C13" s="47">
        <v>50</v>
      </c>
      <c r="D13" s="47">
        <v>100</v>
      </c>
      <c r="E13" s="47" t="s">
        <v>267</v>
      </c>
      <c r="F13" s="47" t="s">
        <v>268</v>
      </c>
      <c r="G13" s="47">
        <v>1</v>
      </c>
      <c r="H13" s="47" t="s">
        <v>269</v>
      </c>
      <c r="I13" s="47" t="s">
        <v>269</v>
      </c>
      <c r="J13" s="48">
        <f t="shared" si="0"/>
        <v>100</v>
      </c>
    </row>
    <row r="14" spans="1:11" ht="21" customHeight="1" x14ac:dyDescent="0.15">
      <c r="A14" s="47">
        <v>41002013</v>
      </c>
      <c r="B14" s="47">
        <v>0</v>
      </c>
      <c r="C14" s="47">
        <v>25</v>
      </c>
      <c r="D14" s="47">
        <v>100</v>
      </c>
      <c r="E14" s="47" t="s">
        <v>267</v>
      </c>
      <c r="F14" s="47" t="s">
        <v>268</v>
      </c>
      <c r="G14" s="47">
        <v>1</v>
      </c>
      <c r="H14" s="47" t="s">
        <v>269</v>
      </c>
      <c r="I14" s="47" t="s">
        <v>269</v>
      </c>
      <c r="J14" s="48">
        <f t="shared" si="0"/>
        <v>100</v>
      </c>
    </row>
    <row r="15" spans="1:11" ht="21" customHeight="1" x14ac:dyDescent="0.15">
      <c r="A15" s="47">
        <v>41002014</v>
      </c>
      <c r="B15" s="47">
        <v>1</v>
      </c>
      <c r="C15" s="47">
        <v>50</v>
      </c>
      <c r="D15" s="47">
        <v>100</v>
      </c>
      <c r="E15" s="47" t="s">
        <v>267</v>
      </c>
      <c r="F15" s="47" t="s">
        <v>268</v>
      </c>
      <c r="G15" s="47">
        <v>1</v>
      </c>
      <c r="H15" s="47" t="s">
        <v>269</v>
      </c>
      <c r="I15" s="47" t="s">
        <v>269</v>
      </c>
      <c r="J15" s="48">
        <f t="shared" si="0"/>
        <v>100</v>
      </c>
    </row>
    <row r="16" spans="1:11" ht="21" customHeight="1" x14ac:dyDescent="0.15">
      <c r="A16" s="47">
        <v>41002015</v>
      </c>
      <c r="B16" s="47">
        <v>0</v>
      </c>
      <c r="C16" s="47">
        <v>25</v>
      </c>
      <c r="D16" s="47">
        <v>60</v>
      </c>
      <c r="E16" s="47" t="s">
        <v>267</v>
      </c>
      <c r="F16" s="47" t="s">
        <v>268</v>
      </c>
      <c r="G16" s="47">
        <v>1</v>
      </c>
      <c r="H16" s="47" t="s">
        <v>269</v>
      </c>
      <c r="I16" s="47" t="s">
        <v>269</v>
      </c>
      <c r="J16" s="48">
        <f t="shared" si="0"/>
        <v>60</v>
      </c>
    </row>
    <row r="17" spans="1:10" ht="21" customHeight="1" x14ac:dyDescent="0.15">
      <c r="A17" s="47">
        <v>41002016</v>
      </c>
      <c r="B17" s="47">
        <v>0</v>
      </c>
      <c r="C17" s="47">
        <v>25</v>
      </c>
      <c r="D17" s="47">
        <v>60</v>
      </c>
      <c r="E17" s="47" t="s">
        <v>267</v>
      </c>
      <c r="F17" s="47" t="s">
        <v>268</v>
      </c>
      <c r="G17" s="47">
        <v>1</v>
      </c>
      <c r="H17" s="47" t="s">
        <v>269</v>
      </c>
      <c r="I17" s="47" t="s">
        <v>269</v>
      </c>
      <c r="J17" s="48">
        <f t="shared" si="0"/>
        <v>60</v>
      </c>
    </row>
    <row r="18" spans="1:10" ht="21" customHeight="1" x14ac:dyDescent="0.15">
      <c r="A18" s="47">
        <v>41002017</v>
      </c>
      <c r="B18" s="47">
        <v>0</v>
      </c>
      <c r="C18" s="47">
        <v>25</v>
      </c>
      <c r="D18" s="47">
        <v>60</v>
      </c>
      <c r="E18" s="47" t="s">
        <v>267</v>
      </c>
      <c r="F18" s="47" t="s">
        <v>268</v>
      </c>
      <c r="G18" s="47">
        <v>1</v>
      </c>
      <c r="H18" s="47" t="s">
        <v>269</v>
      </c>
      <c r="I18" s="47" t="s">
        <v>269</v>
      </c>
      <c r="J18" s="48">
        <f t="shared" si="0"/>
        <v>60</v>
      </c>
    </row>
    <row r="19" spans="1:10" ht="21" customHeight="1" x14ac:dyDescent="0.15">
      <c r="A19" s="47">
        <v>41002018</v>
      </c>
      <c r="B19" s="47">
        <v>0</v>
      </c>
      <c r="C19" s="47">
        <v>25</v>
      </c>
      <c r="D19" s="47">
        <v>60</v>
      </c>
      <c r="E19" s="47" t="s">
        <v>267</v>
      </c>
      <c r="F19" s="47" t="s">
        <v>268</v>
      </c>
      <c r="G19" s="47">
        <v>1</v>
      </c>
      <c r="H19" s="47" t="s">
        <v>269</v>
      </c>
      <c r="I19" s="47" t="s">
        <v>269</v>
      </c>
      <c r="J19" s="48">
        <f t="shared" si="0"/>
        <v>60</v>
      </c>
    </row>
    <row r="20" spans="1:10" ht="21" customHeight="1" x14ac:dyDescent="0.15">
      <c r="A20" s="47">
        <v>41002019</v>
      </c>
      <c r="B20" s="47">
        <v>1</v>
      </c>
      <c r="C20" s="47">
        <v>50</v>
      </c>
      <c r="D20" s="47">
        <v>100</v>
      </c>
      <c r="E20" s="47" t="s">
        <v>267</v>
      </c>
      <c r="F20" s="47" t="s">
        <v>268</v>
      </c>
      <c r="G20" s="47">
        <v>1</v>
      </c>
      <c r="H20" s="47" t="s">
        <v>269</v>
      </c>
      <c r="I20" s="47" t="s">
        <v>269</v>
      </c>
      <c r="J20" s="48">
        <f t="shared" si="0"/>
        <v>100</v>
      </c>
    </row>
    <row r="21" spans="1:10" ht="21" customHeight="1" x14ac:dyDescent="0.15">
      <c r="A21" s="47">
        <v>41002020</v>
      </c>
      <c r="B21" s="47">
        <v>0</v>
      </c>
      <c r="C21" s="47">
        <v>30</v>
      </c>
      <c r="D21" s="47">
        <v>100</v>
      </c>
      <c r="E21" s="47">
        <v>90</v>
      </c>
      <c r="F21" s="47" t="s">
        <v>268</v>
      </c>
      <c r="G21" s="47">
        <v>1</v>
      </c>
      <c r="H21" s="47" t="s">
        <v>269</v>
      </c>
      <c r="I21" s="47" t="s">
        <v>269</v>
      </c>
      <c r="J21" s="48">
        <f t="shared" si="0"/>
        <v>100</v>
      </c>
    </row>
    <row r="22" spans="1:10" ht="21" customHeight="1" x14ac:dyDescent="0.15">
      <c r="A22" s="47">
        <v>41002021</v>
      </c>
      <c r="B22" s="47">
        <v>0</v>
      </c>
      <c r="C22" s="47">
        <v>25</v>
      </c>
      <c r="D22" s="47">
        <v>40</v>
      </c>
      <c r="E22" s="47" t="s">
        <v>267</v>
      </c>
      <c r="F22" s="47" t="s">
        <v>268</v>
      </c>
      <c r="G22" s="47" t="s">
        <v>269</v>
      </c>
      <c r="H22" s="47" t="s">
        <v>269</v>
      </c>
      <c r="I22" s="47" t="s">
        <v>269</v>
      </c>
      <c r="J22" s="48">
        <f t="shared" si="0"/>
        <v>40</v>
      </c>
    </row>
    <row r="23" spans="1:10" ht="21" customHeight="1" x14ac:dyDescent="0.15">
      <c r="A23" s="47">
        <v>41002022</v>
      </c>
      <c r="B23" s="47">
        <v>0</v>
      </c>
      <c r="C23" s="47">
        <v>24</v>
      </c>
      <c r="D23" s="47">
        <v>75</v>
      </c>
      <c r="E23" s="47" t="s">
        <v>267</v>
      </c>
      <c r="F23" s="47" t="s">
        <v>268</v>
      </c>
      <c r="G23" s="47" t="s">
        <v>269</v>
      </c>
      <c r="H23" s="47" t="s">
        <v>269</v>
      </c>
      <c r="I23" s="47" t="s">
        <v>269</v>
      </c>
      <c r="J23" s="48">
        <f t="shared" si="0"/>
        <v>75</v>
      </c>
    </row>
    <row r="24" spans="1:10" ht="21" customHeight="1" x14ac:dyDescent="0.15">
      <c r="A24" s="47">
        <v>41002023</v>
      </c>
      <c r="B24" s="47">
        <v>0</v>
      </c>
      <c r="C24" s="47">
        <v>26</v>
      </c>
      <c r="D24" s="47">
        <v>20</v>
      </c>
      <c r="E24" s="47">
        <v>80</v>
      </c>
      <c r="F24" s="47" t="s">
        <v>268</v>
      </c>
      <c r="G24" s="47">
        <v>1</v>
      </c>
      <c r="H24" s="47" t="s">
        <v>269</v>
      </c>
      <c r="I24" s="47" t="s">
        <v>269</v>
      </c>
      <c r="J24" s="48">
        <f t="shared" si="0"/>
        <v>20</v>
      </c>
    </row>
    <row r="25" spans="1:10" ht="21" customHeight="1" x14ac:dyDescent="0.15">
      <c r="A25" s="47">
        <v>41002024</v>
      </c>
      <c r="B25" s="47">
        <v>0</v>
      </c>
      <c r="C25" s="47">
        <v>40</v>
      </c>
      <c r="D25" s="47">
        <v>100</v>
      </c>
      <c r="E25" s="47">
        <v>50</v>
      </c>
      <c r="F25" s="47" t="s">
        <v>268</v>
      </c>
      <c r="G25" s="47">
        <v>1</v>
      </c>
      <c r="H25" s="47" t="s">
        <v>269</v>
      </c>
      <c r="I25" s="47" t="s">
        <v>269</v>
      </c>
      <c r="J25" s="48">
        <f t="shared" si="0"/>
        <v>100</v>
      </c>
    </row>
    <row r="26" spans="1:10" ht="21" customHeight="1" x14ac:dyDescent="0.15">
      <c r="A26" s="47">
        <v>41002025</v>
      </c>
      <c r="B26" s="47">
        <v>0</v>
      </c>
      <c r="C26" s="47">
        <v>25</v>
      </c>
      <c r="D26" s="47">
        <v>50</v>
      </c>
      <c r="E26" s="47" t="s">
        <v>267</v>
      </c>
      <c r="F26" s="47" t="s">
        <v>268</v>
      </c>
      <c r="G26" s="47" t="s">
        <v>269</v>
      </c>
      <c r="H26" s="47" t="s">
        <v>269</v>
      </c>
      <c r="I26" s="47" t="s">
        <v>269</v>
      </c>
      <c r="J26" s="48">
        <f t="shared" si="0"/>
        <v>50</v>
      </c>
    </row>
    <row r="27" spans="1:10" ht="21" customHeight="1" x14ac:dyDescent="0.15">
      <c r="A27" s="47">
        <v>41002026</v>
      </c>
      <c r="B27" s="47">
        <v>0</v>
      </c>
      <c r="C27" s="47">
        <v>24</v>
      </c>
      <c r="D27" s="47">
        <v>50</v>
      </c>
      <c r="E27" s="47" t="s">
        <v>267</v>
      </c>
      <c r="F27" s="47" t="s">
        <v>268</v>
      </c>
      <c r="G27" s="47" t="s">
        <v>269</v>
      </c>
      <c r="H27" s="47" t="s">
        <v>269</v>
      </c>
      <c r="I27" s="47" t="s">
        <v>269</v>
      </c>
      <c r="J27" s="48">
        <f t="shared" si="0"/>
        <v>50</v>
      </c>
    </row>
    <row r="28" spans="1:10" ht="21" customHeight="1" x14ac:dyDescent="0.15">
      <c r="A28" s="47">
        <v>41002027</v>
      </c>
      <c r="B28" s="47">
        <v>1</v>
      </c>
      <c r="C28" s="47">
        <v>50</v>
      </c>
      <c r="D28" s="47">
        <v>100</v>
      </c>
      <c r="E28" s="47" t="s">
        <v>267</v>
      </c>
      <c r="F28" s="47" t="s">
        <v>268</v>
      </c>
      <c r="G28" s="47">
        <v>1</v>
      </c>
      <c r="H28" s="47" t="s">
        <v>269</v>
      </c>
      <c r="I28" s="47" t="s">
        <v>269</v>
      </c>
      <c r="J28" s="48">
        <f t="shared" si="0"/>
        <v>100</v>
      </c>
    </row>
    <row r="29" spans="1:10" ht="21" customHeight="1" x14ac:dyDescent="0.15">
      <c r="A29" s="47">
        <v>41002028</v>
      </c>
      <c r="B29" s="47">
        <v>0</v>
      </c>
      <c r="C29" s="47">
        <v>25</v>
      </c>
      <c r="D29" s="47">
        <v>50</v>
      </c>
      <c r="E29" s="47" t="s">
        <v>292</v>
      </c>
      <c r="F29" s="47" t="s">
        <v>268</v>
      </c>
      <c r="G29" s="47" t="s">
        <v>292</v>
      </c>
      <c r="H29" s="47" t="s">
        <v>269</v>
      </c>
      <c r="I29" s="47" t="s">
        <v>269</v>
      </c>
      <c r="J29" s="48">
        <f t="shared" si="0"/>
        <v>50</v>
      </c>
    </row>
    <row r="30" spans="1:10" ht="21" customHeight="1" x14ac:dyDescent="0.15">
      <c r="A30" s="47">
        <v>41002029</v>
      </c>
      <c r="B30" s="47">
        <v>0</v>
      </c>
      <c r="C30" s="47">
        <v>45</v>
      </c>
      <c r="D30" s="47">
        <v>100</v>
      </c>
      <c r="E30" s="47" t="s">
        <v>293</v>
      </c>
      <c r="F30" s="47" t="s">
        <v>268</v>
      </c>
      <c r="G30" s="47">
        <v>1</v>
      </c>
      <c r="H30" s="47">
        <v>4</v>
      </c>
      <c r="I30" s="47" t="s">
        <v>269</v>
      </c>
      <c r="J30" s="48">
        <f t="shared" si="0"/>
        <v>100</v>
      </c>
    </row>
    <row r="31" spans="1:10" ht="21" customHeight="1" x14ac:dyDescent="0.15">
      <c r="A31" s="47">
        <v>41002030</v>
      </c>
      <c r="B31" s="47">
        <v>0</v>
      </c>
      <c r="C31" s="47">
        <v>30</v>
      </c>
      <c r="D31" s="47">
        <v>100</v>
      </c>
      <c r="E31" s="47">
        <v>75</v>
      </c>
      <c r="F31" s="47" t="s">
        <v>268</v>
      </c>
      <c r="G31" s="47">
        <v>1</v>
      </c>
      <c r="H31" s="47" t="s">
        <v>269</v>
      </c>
      <c r="I31" s="47" t="s">
        <v>269</v>
      </c>
      <c r="J31" s="48">
        <f t="shared" si="0"/>
        <v>100</v>
      </c>
    </row>
    <row r="32" spans="1:10" ht="21" customHeight="1" x14ac:dyDescent="0.15">
      <c r="A32" s="47">
        <v>41002031</v>
      </c>
      <c r="B32" s="47">
        <v>0</v>
      </c>
      <c r="C32" s="47">
        <v>40</v>
      </c>
      <c r="D32" s="47">
        <v>100</v>
      </c>
      <c r="E32" s="47">
        <v>20</v>
      </c>
      <c r="F32" s="47" t="s">
        <v>268</v>
      </c>
      <c r="G32" s="47">
        <v>1</v>
      </c>
      <c r="H32" s="47" t="s">
        <v>269</v>
      </c>
      <c r="I32" s="47" t="s">
        <v>269</v>
      </c>
      <c r="J32" s="48">
        <f t="shared" si="0"/>
        <v>100</v>
      </c>
    </row>
    <row r="33" spans="1:10" ht="21" customHeight="1" x14ac:dyDescent="0.15">
      <c r="A33" s="47">
        <v>41002032</v>
      </c>
      <c r="B33" s="47">
        <v>0</v>
      </c>
      <c r="C33" s="47">
        <v>39</v>
      </c>
      <c r="D33" s="47">
        <v>100</v>
      </c>
      <c r="E33" s="47">
        <v>20</v>
      </c>
      <c r="F33" s="47" t="s">
        <v>268</v>
      </c>
      <c r="G33" s="47">
        <v>1</v>
      </c>
      <c r="H33" s="47" t="s">
        <v>269</v>
      </c>
      <c r="I33" s="47" t="s">
        <v>269</v>
      </c>
      <c r="J33" s="48">
        <f t="shared" si="0"/>
        <v>100</v>
      </c>
    </row>
    <row r="34" spans="1:10" ht="21" customHeight="1" x14ac:dyDescent="0.15">
      <c r="A34" s="47">
        <v>41002033</v>
      </c>
      <c r="B34" s="47">
        <v>1</v>
      </c>
      <c r="C34" s="47">
        <v>50</v>
      </c>
      <c r="D34" s="47">
        <v>100</v>
      </c>
      <c r="E34" s="47" t="s">
        <v>267</v>
      </c>
      <c r="F34" s="47" t="s">
        <v>267</v>
      </c>
      <c r="G34" s="47">
        <v>1</v>
      </c>
      <c r="H34" s="47" t="s">
        <v>267</v>
      </c>
      <c r="I34" s="47" t="s">
        <v>267</v>
      </c>
      <c r="J34" s="48">
        <f t="shared" ref="J34:J36" si="1">D34</f>
        <v>100</v>
      </c>
    </row>
    <row r="35" spans="1:10" ht="21" customHeight="1" x14ac:dyDescent="0.15">
      <c r="A35" s="47">
        <v>41002034</v>
      </c>
      <c r="B35" s="47">
        <v>0</v>
      </c>
      <c r="C35" s="47">
        <v>35</v>
      </c>
      <c r="D35" s="47">
        <v>100</v>
      </c>
      <c r="E35" s="47">
        <v>50</v>
      </c>
      <c r="F35" s="47" t="s">
        <v>267</v>
      </c>
      <c r="G35" s="47">
        <v>1</v>
      </c>
      <c r="H35" s="47" t="s">
        <v>267</v>
      </c>
      <c r="I35" s="47" t="s">
        <v>267</v>
      </c>
      <c r="J35" s="48">
        <f t="shared" si="1"/>
        <v>100</v>
      </c>
    </row>
    <row r="36" spans="1:10" ht="21" customHeight="1" x14ac:dyDescent="0.15">
      <c r="A36" s="47">
        <v>41002035</v>
      </c>
      <c r="B36" s="47">
        <v>1</v>
      </c>
      <c r="C36" s="47">
        <v>50</v>
      </c>
      <c r="D36" s="47">
        <v>100</v>
      </c>
      <c r="E36" s="47" t="s">
        <v>267</v>
      </c>
      <c r="F36" s="47" t="s">
        <v>267</v>
      </c>
      <c r="G36" s="47">
        <v>1</v>
      </c>
      <c r="H36" s="47" t="s">
        <v>267</v>
      </c>
      <c r="I36" s="47" t="s">
        <v>267</v>
      </c>
      <c r="J36" s="48">
        <f t="shared" si="1"/>
        <v>100</v>
      </c>
    </row>
    <row r="37" spans="1:10" ht="21" customHeight="1" x14ac:dyDescent="0.15">
      <c r="A37" s="47">
        <v>41002036</v>
      </c>
      <c r="B37" s="47">
        <v>0</v>
      </c>
      <c r="C37" s="47">
        <v>45</v>
      </c>
      <c r="D37" s="47">
        <v>100</v>
      </c>
      <c r="E37" s="47" t="s">
        <v>315</v>
      </c>
      <c r="F37" s="47" t="s">
        <v>267</v>
      </c>
      <c r="G37" s="47">
        <v>1</v>
      </c>
      <c r="H37" s="47">
        <v>3</v>
      </c>
      <c r="I37" s="47" t="s">
        <v>267</v>
      </c>
      <c r="J37" s="48">
        <f t="shared" ref="J37:J38" si="2">D37</f>
        <v>100</v>
      </c>
    </row>
    <row r="38" spans="1:10" ht="21" customHeight="1" x14ac:dyDescent="0.15">
      <c r="A38" s="47">
        <v>41002037</v>
      </c>
      <c r="B38" s="47">
        <v>0</v>
      </c>
      <c r="C38" s="47">
        <v>45</v>
      </c>
      <c r="D38" s="47">
        <v>100</v>
      </c>
      <c r="E38" s="47" t="s">
        <v>267</v>
      </c>
      <c r="F38" s="47" t="s">
        <v>267</v>
      </c>
      <c r="G38" s="47">
        <v>1</v>
      </c>
      <c r="H38" s="47">
        <v>3</v>
      </c>
      <c r="I38" s="47" t="s">
        <v>267</v>
      </c>
      <c r="J38" s="48">
        <f t="shared" si="2"/>
        <v>100</v>
      </c>
    </row>
    <row r="39" spans="1:10" ht="21" customHeight="1" x14ac:dyDescent="0.15">
      <c r="A39" s="47">
        <v>41002038</v>
      </c>
      <c r="B39" s="47">
        <v>0</v>
      </c>
      <c r="C39" s="47">
        <v>44</v>
      </c>
      <c r="D39" s="47">
        <v>100</v>
      </c>
      <c r="E39" s="47" t="s">
        <v>267</v>
      </c>
      <c r="F39" s="47" t="s">
        <v>267</v>
      </c>
      <c r="G39" s="47">
        <v>1</v>
      </c>
      <c r="H39" s="47">
        <v>4</v>
      </c>
      <c r="I39" s="47" t="s">
        <v>267</v>
      </c>
      <c r="J39" s="48">
        <f t="shared" ref="J39" si="3">D39</f>
        <v>100</v>
      </c>
    </row>
  </sheetData>
  <autoFilter ref="A1:G1"/>
  <phoneticPr fontId="5"/>
  <conditionalFormatting sqref="K1:K33 K40:K1048576">
    <cfRule type="duplicateValues" dxfId="6" priority="7"/>
  </conditionalFormatting>
  <conditionalFormatting sqref="K34">
    <cfRule type="duplicateValues" dxfId="5" priority="6"/>
  </conditionalFormatting>
  <conditionalFormatting sqref="K35">
    <cfRule type="duplicateValues" dxfId="4" priority="5"/>
  </conditionalFormatting>
  <conditionalFormatting sqref="K36">
    <cfRule type="duplicateValues" dxfId="3" priority="4"/>
  </conditionalFormatting>
  <conditionalFormatting sqref="K37">
    <cfRule type="duplicateValues" dxfId="2" priority="3"/>
  </conditionalFormatting>
  <conditionalFormatting sqref="K38">
    <cfRule type="duplicateValues" dxfId="1" priority="2"/>
  </conditionalFormatting>
  <conditionalFormatting sqref="K3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7"/>
  <sheetViews>
    <sheetView workbookViewId="0">
      <selection activeCell="E12" sqref="E1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1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57">
        <v>41002</v>
      </c>
      <c r="B2" s="81">
        <v>1</v>
      </c>
      <c r="C2" s="70" t="str">
        <f>A2&amp; "_"&amp;B2</f>
        <v>41002_1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1">
        <v>1</v>
      </c>
      <c r="F2" s="81" t="s">
        <v>168</v>
      </c>
      <c r="G2" s="81">
        <v>40000</v>
      </c>
      <c r="H2" s="81" t="s">
        <v>270</v>
      </c>
      <c r="I2" s="81">
        <v>1</v>
      </c>
      <c r="J2" s="81">
        <v>1</v>
      </c>
      <c r="K2" s="81">
        <v>0</v>
      </c>
      <c r="L2" s="81">
        <v>0</v>
      </c>
      <c r="M2" s="81">
        <v>0</v>
      </c>
      <c r="N2" s="81">
        <v>0</v>
      </c>
      <c r="O2" s="81">
        <v>1</v>
      </c>
      <c r="P2" s="81">
        <v>150</v>
      </c>
      <c r="Q2" s="81" t="s">
        <v>169</v>
      </c>
      <c r="R2" s="81" t="s">
        <v>170</v>
      </c>
    </row>
    <row r="3" spans="1:18" x14ac:dyDescent="0.15">
      <c r="A3" s="57">
        <v>41002</v>
      </c>
      <c r="B3" s="81">
        <v>1</v>
      </c>
      <c r="C3" s="70" t="str">
        <f t="shared" ref="C3:C11" si="0">A3&amp; "_"&amp;B3</f>
        <v>41002_1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1">
        <v>2</v>
      </c>
      <c r="F3" s="81" t="s">
        <v>271</v>
      </c>
      <c r="G3" s="81">
        <v>30</v>
      </c>
      <c r="H3" s="81" t="s">
        <v>270</v>
      </c>
      <c r="I3" s="81">
        <v>1</v>
      </c>
      <c r="J3" s="81">
        <v>1</v>
      </c>
      <c r="K3" s="81">
        <v>0</v>
      </c>
      <c r="L3" s="81">
        <v>0</v>
      </c>
      <c r="M3" s="81">
        <v>0</v>
      </c>
      <c r="N3" s="81">
        <v>0</v>
      </c>
      <c r="O3" s="81">
        <v>1</v>
      </c>
      <c r="P3" s="81">
        <v>150</v>
      </c>
      <c r="Q3" s="81" t="s">
        <v>169</v>
      </c>
      <c r="R3" s="81" t="s">
        <v>170</v>
      </c>
    </row>
    <row r="4" spans="1:18" x14ac:dyDescent="0.15">
      <c r="A4" s="57">
        <v>41002</v>
      </c>
      <c r="B4" s="81">
        <v>1</v>
      </c>
      <c r="C4" s="70" t="str">
        <f t="shared" si="0"/>
        <v>41002_1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1">
        <v>3</v>
      </c>
      <c r="F4" s="81" t="s">
        <v>272</v>
      </c>
      <c r="G4" s="149">
        <v>337</v>
      </c>
      <c r="H4" s="81">
        <v>1</v>
      </c>
      <c r="I4" s="81">
        <v>1</v>
      </c>
      <c r="J4" s="81">
        <v>1</v>
      </c>
      <c r="K4" s="81">
        <v>0</v>
      </c>
      <c r="L4" s="81">
        <v>0</v>
      </c>
      <c r="M4" s="81">
        <v>0</v>
      </c>
      <c r="N4" s="81">
        <v>0</v>
      </c>
      <c r="O4" s="81">
        <v>1</v>
      </c>
      <c r="P4" s="81">
        <v>28</v>
      </c>
      <c r="Q4" s="81" t="s">
        <v>169</v>
      </c>
      <c r="R4" s="81" t="s">
        <v>170</v>
      </c>
    </row>
    <row r="5" spans="1:18" x14ac:dyDescent="0.15">
      <c r="A5" s="57">
        <v>41002</v>
      </c>
      <c r="B5" s="81">
        <v>1</v>
      </c>
      <c r="C5" s="70" t="str">
        <f t="shared" si="0"/>
        <v>41002_1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1">
        <v>4</v>
      </c>
      <c r="F5" s="81" t="s">
        <v>273</v>
      </c>
      <c r="G5" s="149">
        <v>338</v>
      </c>
      <c r="H5" s="81">
        <v>1</v>
      </c>
      <c r="I5" s="81">
        <v>1</v>
      </c>
      <c r="J5" s="81">
        <v>1</v>
      </c>
      <c r="K5" s="81">
        <v>0</v>
      </c>
      <c r="L5" s="81">
        <v>0</v>
      </c>
      <c r="M5" s="81">
        <v>0</v>
      </c>
      <c r="N5" s="81">
        <v>0</v>
      </c>
      <c r="O5" s="81">
        <v>1</v>
      </c>
      <c r="P5" s="81">
        <v>112</v>
      </c>
      <c r="Q5" s="81" t="s">
        <v>169</v>
      </c>
      <c r="R5" s="81" t="s">
        <v>170</v>
      </c>
    </row>
    <row r="6" spans="1:18" x14ac:dyDescent="0.15">
      <c r="A6" s="57">
        <v>41002</v>
      </c>
      <c r="B6" s="81">
        <v>1</v>
      </c>
      <c r="C6" s="70" t="str">
        <f t="shared" si="0"/>
        <v>41002_1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1">
        <v>5</v>
      </c>
      <c r="F6" s="81" t="s">
        <v>273</v>
      </c>
      <c r="G6" s="81">
        <v>121</v>
      </c>
      <c r="H6" s="81">
        <v>1</v>
      </c>
      <c r="I6" s="81">
        <v>1</v>
      </c>
      <c r="J6" s="81">
        <v>1</v>
      </c>
      <c r="K6" s="81">
        <v>0</v>
      </c>
      <c r="L6" s="81">
        <v>0</v>
      </c>
      <c r="M6" s="81">
        <v>0</v>
      </c>
      <c r="N6" s="81">
        <v>0</v>
      </c>
      <c r="O6" s="81">
        <v>1</v>
      </c>
      <c r="P6" s="81">
        <v>100</v>
      </c>
      <c r="Q6" s="81" t="s">
        <v>169</v>
      </c>
      <c r="R6" s="81" t="s">
        <v>170</v>
      </c>
    </row>
    <row r="7" spans="1:18" x14ac:dyDescent="0.15">
      <c r="A7" s="57">
        <v>41002</v>
      </c>
      <c r="B7" s="81">
        <v>1</v>
      </c>
      <c r="C7" s="70" t="str">
        <f t="shared" si="0"/>
        <v>41002_1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1">
        <v>6</v>
      </c>
      <c r="F7" s="81" t="s">
        <v>274</v>
      </c>
      <c r="G7" s="81">
        <v>122</v>
      </c>
      <c r="H7" s="81">
        <v>1</v>
      </c>
      <c r="I7" s="81">
        <v>1</v>
      </c>
      <c r="J7" s="81">
        <v>1</v>
      </c>
      <c r="K7" s="81">
        <v>0</v>
      </c>
      <c r="L7" s="81">
        <v>0</v>
      </c>
      <c r="M7" s="81">
        <v>0</v>
      </c>
      <c r="N7" s="81">
        <v>0</v>
      </c>
      <c r="O7" s="81">
        <v>1</v>
      </c>
      <c r="P7" s="81">
        <v>100</v>
      </c>
      <c r="Q7" s="81" t="s">
        <v>169</v>
      </c>
      <c r="R7" s="81" t="s">
        <v>170</v>
      </c>
    </row>
    <row r="8" spans="1:18" x14ac:dyDescent="0.15">
      <c r="A8" s="57">
        <v>41002</v>
      </c>
      <c r="B8" s="81">
        <v>1</v>
      </c>
      <c r="C8" s="70" t="str">
        <f t="shared" si="0"/>
        <v>41002_1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1">
        <v>7</v>
      </c>
      <c r="F8" s="81" t="s">
        <v>274</v>
      </c>
      <c r="G8" s="81">
        <v>123</v>
      </c>
      <c r="H8" s="81">
        <v>1</v>
      </c>
      <c r="I8" s="81">
        <v>1</v>
      </c>
      <c r="J8" s="81">
        <v>1</v>
      </c>
      <c r="K8" s="81">
        <v>0</v>
      </c>
      <c r="L8" s="81">
        <v>0</v>
      </c>
      <c r="M8" s="81">
        <v>0</v>
      </c>
      <c r="N8" s="81">
        <v>0</v>
      </c>
      <c r="O8" s="81">
        <v>1</v>
      </c>
      <c r="P8" s="81">
        <v>100</v>
      </c>
      <c r="Q8" s="81" t="s">
        <v>169</v>
      </c>
      <c r="R8" s="81" t="s">
        <v>170</v>
      </c>
    </row>
    <row r="9" spans="1:18" x14ac:dyDescent="0.15">
      <c r="A9" s="57">
        <v>41002</v>
      </c>
      <c r="B9" s="81">
        <v>1</v>
      </c>
      <c r="C9" s="70" t="str">
        <f t="shared" si="0"/>
        <v>41002_1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1">
        <v>8</v>
      </c>
      <c r="F9" s="81" t="s">
        <v>274</v>
      </c>
      <c r="G9" s="81">
        <v>125</v>
      </c>
      <c r="H9" s="81">
        <v>1</v>
      </c>
      <c r="I9" s="81">
        <v>1</v>
      </c>
      <c r="J9" s="81">
        <v>1</v>
      </c>
      <c r="K9" s="81">
        <v>0</v>
      </c>
      <c r="L9" s="81">
        <v>0</v>
      </c>
      <c r="M9" s="81">
        <v>0</v>
      </c>
      <c r="N9" s="81">
        <v>0</v>
      </c>
      <c r="O9" s="81">
        <v>1</v>
      </c>
      <c r="P9" s="81">
        <v>10</v>
      </c>
      <c r="Q9" s="81" t="s">
        <v>169</v>
      </c>
      <c r="R9" s="81" t="s">
        <v>170</v>
      </c>
    </row>
    <row r="10" spans="1:18" x14ac:dyDescent="0.15">
      <c r="A10" s="57">
        <v>41002</v>
      </c>
      <c r="B10" s="81">
        <v>1</v>
      </c>
      <c r="C10" s="70" t="str">
        <f t="shared" si="0"/>
        <v>41002_1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1">
        <v>9</v>
      </c>
      <c r="F10" s="81" t="s">
        <v>274</v>
      </c>
      <c r="G10" s="81">
        <v>296</v>
      </c>
      <c r="H10" s="81">
        <v>1</v>
      </c>
      <c r="I10" s="81">
        <v>1</v>
      </c>
      <c r="J10" s="81">
        <v>1</v>
      </c>
      <c r="K10" s="81">
        <v>0</v>
      </c>
      <c r="L10" s="81">
        <v>0</v>
      </c>
      <c r="M10" s="81">
        <v>0</v>
      </c>
      <c r="N10" s="81">
        <v>0</v>
      </c>
      <c r="O10" s="81">
        <v>1</v>
      </c>
      <c r="P10" s="81">
        <v>100</v>
      </c>
      <c r="Q10" s="81" t="s">
        <v>169</v>
      </c>
      <c r="R10" s="81" t="s">
        <v>170</v>
      </c>
    </row>
    <row r="11" spans="1:18" ht="16" thickBot="1" x14ac:dyDescent="0.2">
      <c r="A11" s="150">
        <v>41002</v>
      </c>
      <c r="B11" s="151">
        <v>1</v>
      </c>
      <c r="C11" s="152" t="str">
        <f t="shared" si="0"/>
        <v>41002_1</v>
      </c>
      <c r="D11" s="153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51">
        <v>10</v>
      </c>
      <c r="F11" s="151" t="s">
        <v>273</v>
      </c>
      <c r="G11" s="151">
        <v>350</v>
      </c>
      <c r="H11" s="151">
        <v>1</v>
      </c>
      <c r="I11" s="151">
        <v>1</v>
      </c>
      <c r="J11" s="151">
        <v>1</v>
      </c>
      <c r="K11" s="151">
        <v>0</v>
      </c>
      <c r="L11" s="151">
        <v>0</v>
      </c>
      <c r="M11" s="151">
        <v>0</v>
      </c>
      <c r="N11" s="151">
        <v>0</v>
      </c>
      <c r="O11" s="151">
        <v>1</v>
      </c>
      <c r="P11" s="151">
        <v>150</v>
      </c>
      <c r="Q11" s="151" t="s">
        <v>169</v>
      </c>
      <c r="R11" s="151" t="s">
        <v>170</v>
      </c>
    </row>
    <row r="12" spans="1:18" x14ac:dyDescent="0.15">
      <c r="A12" s="57">
        <v>41002</v>
      </c>
      <c r="B12" s="81">
        <v>2</v>
      </c>
      <c r="C12" s="70" t="str">
        <f t="shared" ref="C12:C18" si="1">A12&amp; "_"&amp;B12</f>
        <v>41002_2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81">
        <v>1</v>
      </c>
      <c r="F12" s="81" t="s">
        <v>336</v>
      </c>
      <c r="G12" s="201">
        <v>338</v>
      </c>
      <c r="H12" s="81">
        <v>1</v>
      </c>
      <c r="I12" s="81">
        <v>1</v>
      </c>
      <c r="J12" s="81">
        <v>1</v>
      </c>
      <c r="K12" s="81">
        <v>0</v>
      </c>
      <c r="L12" s="81">
        <v>0</v>
      </c>
      <c r="M12" s="81">
        <v>0</v>
      </c>
      <c r="N12" s="81">
        <v>0</v>
      </c>
      <c r="O12" s="81">
        <v>1</v>
      </c>
      <c r="P12" s="81">
        <v>50</v>
      </c>
      <c r="Q12" s="81" t="s">
        <v>169</v>
      </c>
      <c r="R12" s="81" t="s">
        <v>170</v>
      </c>
    </row>
    <row r="13" spans="1:18" x14ac:dyDescent="0.15">
      <c r="A13" s="57">
        <v>41002</v>
      </c>
      <c r="B13" s="81">
        <v>2</v>
      </c>
      <c r="C13" s="70" t="str">
        <f t="shared" si="1"/>
        <v>41002_2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1">
        <v>2</v>
      </c>
      <c r="F13" s="81" t="s">
        <v>336</v>
      </c>
      <c r="G13" s="202">
        <v>350</v>
      </c>
      <c r="H13" s="81">
        <v>1</v>
      </c>
      <c r="I13" s="81">
        <v>1</v>
      </c>
      <c r="J13" s="81">
        <v>1</v>
      </c>
      <c r="K13" s="81">
        <v>0</v>
      </c>
      <c r="L13" s="81">
        <v>0</v>
      </c>
      <c r="M13" s="81">
        <v>0</v>
      </c>
      <c r="N13" s="81">
        <v>0</v>
      </c>
      <c r="O13" s="81">
        <v>1</v>
      </c>
      <c r="P13" s="81">
        <v>120</v>
      </c>
      <c r="Q13" s="81" t="s">
        <v>169</v>
      </c>
      <c r="R13" s="81" t="s">
        <v>170</v>
      </c>
    </row>
    <row r="14" spans="1:18" x14ac:dyDescent="0.15">
      <c r="A14" s="57">
        <v>41002</v>
      </c>
      <c r="B14" s="81">
        <v>2</v>
      </c>
      <c r="C14" s="70" t="str">
        <f t="shared" si="1"/>
        <v>41002_2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1">
        <v>3</v>
      </c>
      <c r="F14" s="81" t="s">
        <v>336</v>
      </c>
      <c r="G14" s="201">
        <v>607</v>
      </c>
      <c r="H14" s="81">
        <v>1</v>
      </c>
      <c r="I14" s="81">
        <v>1</v>
      </c>
      <c r="J14" s="81">
        <v>1</v>
      </c>
      <c r="K14" s="81">
        <v>0</v>
      </c>
      <c r="L14" s="81">
        <v>0</v>
      </c>
      <c r="M14" s="81">
        <v>0</v>
      </c>
      <c r="N14" s="81">
        <v>0</v>
      </c>
      <c r="O14" s="81">
        <v>1</v>
      </c>
      <c r="P14" s="81">
        <v>100</v>
      </c>
      <c r="Q14" s="81" t="s">
        <v>169</v>
      </c>
      <c r="R14" s="81" t="s">
        <v>170</v>
      </c>
    </row>
    <row r="15" spans="1:18" x14ac:dyDescent="0.15">
      <c r="A15" s="57">
        <v>41002</v>
      </c>
      <c r="B15" s="81">
        <v>2</v>
      </c>
      <c r="C15" s="70" t="str">
        <f t="shared" si="1"/>
        <v>41002_2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1">
        <v>4</v>
      </c>
      <c r="F15" s="81" t="s">
        <v>336</v>
      </c>
      <c r="G15" s="201">
        <v>608</v>
      </c>
      <c r="H15" s="81">
        <v>1</v>
      </c>
      <c r="I15" s="81">
        <v>1</v>
      </c>
      <c r="J15" s="81">
        <v>1</v>
      </c>
      <c r="K15" s="81">
        <v>0</v>
      </c>
      <c r="L15" s="81">
        <v>0</v>
      </c>
      <c r="M15" s="81">
        <v>0</v>
      </c>
      <c r="N15" s="81">
        <v>0</v>
      </c>
      <c r="O15" s="81">
        <v>1</v>
      </c>
      <c r="P15" s="81">
        <v>100</v>
      </c>
      <c r="Q15" s="81" t="s">
        <v>169</v>
      </c>
      <c r="R15" s="81" t="s">
        <v>170</v>
      </c>
    </row>
    <row r="16" spans="1:18" x14ac:dyDescent="0.15">
      <c r="A16" s="57">
        <v>41002</v>
      </c>
      <c r="B16" s="81">
        <v>2</v>
      </c>
      <c r="C16" s="70" t="str">
        <f t="shared" si="1"/>
        <v>41002_2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81">
        <v>5</v>
      </c>
      <c r="F16" s="81" t="s">
        <v>336</v>
      </c>
      <c r="G16" s="201">
        <v>609</v>
      </c>
      <c r="H16" s="81">
        <v>1</v>
      </c>
      <c r="I16" s="81">
        <v>1</v>
      </c>
      <c r="J16" s="81">
        <v>1</v>
      </c>
      <c r="K16" s="81">
        <v>0</v>
      </c>
      <c r="L16" s="81">
        <v>0</v>
      </c>
      <c r="M16" s="81">
        <v>0</v>
      </c>
      <c r="N16" s="81">
        <v>0</v>
      </c>
      <c r="O16" s="81">
        <v>1</v>
      </c>
      <c r="P16" s="81">
        <v>100</v>
      </c>
      <c r="Q16" s="81" t="s">
        <v>169</v>
      </c>
      <c r="R16" s="81" t="s">
        <v>170</v>
      </c>
    </row>
    <row r="17" spans="1:18" x14ac:dyDescent="0.15">
      <c r="A17" s="57">
        <v>41002</v>
      </c>
      <c r="B17" s="81">
        <v>2</v>
      </c>
      <c r="C17" s="70" t="str">
        <f t="shared" si="1"/>
        <v>41002_2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81">
        <v>6</v>
      </c>
      <c r="F17" s="81" t="s">
        <v>336</v>
      </c>
      <c r="G17" s="201">
        <v>125</v>
      </c>
      <c r="H17" s="81">
        <v>1</v>
      </c>
      <c r="I17" s="81">
        <v>1</v>
      </c>
      <c r="J17" s="81">
        <v>1</v>
      </c>
      <c r="K17" s="81">
        <v>0</v>
      </c>
      <c r="L17" s="81">
        <v>0</v>
      </c>
      <c r="M17" s="81">
        <v>0</v>
      </c>
      <c r="N17" s="81">
        <v>0</v>
      </c>
      <c r="O17" s="81">
        <v>1</v>
      </c>
      <c r="P17" s="81">
        <v>30</v>
      </c>
      <c r="Q17" s="81" t="s">
        <v>169</v>
      </c>
      <c r="R17" s="81" t="s">
        <v>170</v>
      </c>
    </row>
    <row r="18" spans="1:18" ht="16" thickBot="1" x14ac:dyDescent="0.2">
      <c r="A18" s="57">
        <v>41002</v>
      </c>
      <c r="B18" s="81">
        <v>2</v>
      </c>
      <c r="C18" s="70" t="str">
        <f t="shared" si="1"/>
        <v>41002_2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81">
        <v>7</v>
      </c>
      <c r="F18" s="151" t="s">
        <v>336</v>
      </c>
      <c r="G18" s="203">
        <v>296</v>
      </c>
      <c r="H18" s="151">
        <v>1</v>
      </c>
      <c r="I18" s="151">
        <v>1</v>
      </c>
      <c r="J18" s="151">
        <v>1</v>
      </c>
      <c r="K18" s="151">
        <v>0</v>
      </c>
      <c r="L18" s="151">
        <v>0</v>
      </c>
      <c r="M18" s="151">
        <v>0</v>
      </c>
      <c r="N18" s="151">
        <v>0</v>
      </c>
      <c r="O18" s="151">
        <v>1</v>
      </c>
      <c r="P18" s="151">
        <v>500</v>
      </c>
      <c r="Q18" s="81" t="s">
        <v>169</v>
      </c>
      <c r="R18" s="81" t="s">
        <v>170</v>
      </c>
    </row>
    <row r="19" spans="1:18" x14ac:dyDescent="0.15">
      <c r="A19" s="57">
        <v>41002</v>
      </c>
      <c r="B19" s="81">
        <v>3</v>
      </c>
      <c r="C19" s="70" t="str">
        <f>A19&amp; "_"&amp;B19</f>
        <v>41002_3</v>
      </c>
      <c r="D19" s="11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81">
        <v>1</v>
      </c>
      <c r="F19" s="199" t="s">
        <v>168</v>
      </c>
      <c r="G19" s="200">
        <v>40000</v>
      </c>
      <c r="H19" s="199" t="s">
        <v>89</v>
      </c>
      <c r="I19" s="199">
        <v>1</v>
      </c>
      <c r="J19" s="199">
        <v>1</v>
      </c>
      <c r="K19" s="199">
        <v>0</v>
      </c>
      <c r="L19" s="199">
        <v>0</v>
      </c>
      <c r="M19" s="199">
        <v>0</v>
      </c>
      <c r="N19" s="199">
        <v>0</v>
      </c>
      <c r="O19" s="199">
        <v>1</v>
      </c>
      <c r="P19" s="199">
        <v>150</v>
      </c>
      <c r="Q19" s="81" t="s">
        <v>169</v>
      </c>
      <c r="R19" s="81" t="s">
        <v>170</v>
      </c>
    </row>
    <row r="20" spans="1:18" x14ac:dyDescent="0.15">
      <c r="A20" s="57">
        <v>41002</v>
      </c>
      <c r="B20" s="81">
        <v>3</v>
      </c>
      <c r="C20" s="70" t="str">
        <f t="shared" ref="C20:C26" si="2">A20&amp; "_"&amp;B20</f>
        <v>41002_3</v>
      </c>
      <c r="D20" s="11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81">
        <v>2</v>
      </c>
      <c r="F20" s="81" t="s">
        <v>336</v>
      </c>
      <c r="G20" s="201">
        <v>338</v>
      </c>
      <c r="H20" s="81">
        <v>1</v>
      </c>
      <c r="I20" s="81">
        <v>1</v>
      </c>
      <c r="J20" s="81">
        <v>1</v>
      </c>
      <c r="K20" s="81">
        <v>0</v>
      </c>
      <c r="L20" s="81">
        <v>0</v>
      </c>
      <c r="M20" s="81">
        <v>0</v>
      </c>
      <c r="N20" s="81">
        <v>0</v>
      </c>
      <c r="O20" s="81">
        <v>1</v>
      </c>
      <c r="P20" s="81">
        <v>150</v>
      </c>
      <c r="Q20" s="81" t="s">
        <v>169</v>
      </c>
      <c r="R20" s="81" t="s">
        <v>170</v>
      </c>
    </row>
    <row r="21" spans="1:18" x14ac:dyDescent="0.15">
      <c r="A21" s="57">
        <v>41002</v>
      </c>
      <c r="B21" s="81">
        <v>3</v>
      </c>
      <c r="C21" s="70" t="str">
        <f t="shared" si="2"/>
        <v>41002_3</v>
      </c>
      <c r="D21" s="1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81">
        <v>3</v>
      </c>
      <c r="F21" s="81" t="s">
        <v>336</v>
      </c>
      <c r="G21" s="202">
        <v>350</v>
      </c>
      <c r="H21" s="81">
        <v>1</v>
      </c>
      <c r="I21" s="81">
        <v>1</v>
      </c>
      <c r="J21" s="81">
        <v>1</v>
      </c>
      <c r="K21" s="81">
        <v>0</v>
      </c>
      <c r="L21" s="81">
        <v>0</v>
      </c>
      <c r="M21" s="81">
        <v>0</v>
      </c>
      <c r="N21" s="81">
        <v>0</v>
      </c>
      <c r="O21" s="81">
        <v>1</v>
      </c>
      <c r="P21" s="81">
        <v>120</v>
      </c>
      <c r="Q21" s="81" t="s">
        <v>169</v>
      </c>
      <c r="R21" s="81" t="s">
        <v>170</v>
      </c>
    </row>
    <row r="22" spans="1:18" x14ac:dyDescent="0.15">
      <c r="A22" s="57">
        <v>41002</v>
      </c>
      <c r="B22" s="81">
        <v>3</v>
      </c>
      <c r="C22" s="70" t="str">
        <f t="shared" si="2"/>
        <v>41002_3</v>
      </c>
      <c r="D22" s="11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81">
        <v>4</v>
      </c>
      <c r="F22" s="81" t="s">
        <v>336</v>
      </c>
      <c r="G22" s="201">
        <v>607</v>
      </c>
      <c r="H22" s="81">
        <v>1</v>
      </c>
      <c r="I22" s="81">
        <v>1</v>
      </c>
      <c r="J22" s="81">
        <v>1</v>
      </c>
      <c r="K22" s="81">
        <v>0</v>
      </c>
      <c r="L22" s="81">
        <v>0</v>
      </c>
      <c r="M22" s="81">
        <v>0</v>
      </c>
      <c r="N22" s="81">
        <v>0</v>
      </c>
      <c r="O22" s="81">
        <v>1</v>
      </c>
      <c r="P22" s="81">
        <v>100</v>
      </c>
      <c r="Q22" s="81" t="s">
        <v>169</v>
      </c>
      <c r="R22" s="81" t="s">
        <v>170</v>
      </c>
    </row>
    <row r="23" spans="1:18" x14ac:dyDescent="0.15">
      <c r="A23" s="57">
        <v>41002</v>
      </c>
      <c r="B23" s="81">
        <v>3</v>
      </c>
      <c r="C23" s="70" t="str">
        <f t="shared" si="2"/>
        <v>41002_3</v>
      </c>
      <c r="D23" s="1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81">
        <v>5</v>
      </c>
      <c r="F23" s="81" t="s">
        <v>336</v>
      </c>
      <c r="G23" s="201">
        <v>608</v>
      </c>
      <c r="H23" s="81">
        <v>1</v>
      </c>
      <c r="I23" s="81">
        <v>1</v>
      </c>
      <c r="J23" s="81">
        <v>1</v>
      </c>
      <c r="K23" s="81">
        <v>0</v>
      </c>
      <c r="L23" s="81">
        <v>0</v>
      </c>
      <c r="M23" s="81">
        <v>0</v>
      </c>
      <c r="N23" s="81">
        <v>0</v>
      </c>
      <c r="O23" s="81">
        <v>1</v>
      </c>
      <c r="P23" s="81">
        <v>100</v>
      </c>
      <c r="Q23" s="81" t="s">
        <v>169</v>
      </c>
      <c r="R23" s="81" t="s">
        <v>170</v>
      </c>
    </row>
    <row r="24" spans="1:18" x14ac:dyDescent="0.15">
      <c r="A24" s="57">
        <v>41002</v>
      </c>
      <c r="B24" s="81">
        <v>3</v>
      </c>
      <c r="C24" s="70" t="str">
        <f t="shared" si="2"/>
        <v>41002_3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81">
        <v>6</v>
      </c>
      <c r="F24" s="81" t="s">
        <v>336</v>
      </c>
      <c r="G24" s="201">
        <v>609</v>
      </c>
      <c r="H24" s="81">
        <v>1</v>
      </c>
      <c r="I24" s="81">
        <v>1</v>
      </c>
      <c r="J24" s="81">
        <v>1</v>
      </c>
      <c r="K24" s="81">
        <v>0</v>
      </c>
      <c r="L24" s="81">
        <v>0</v>
      </c>
      <c r="M24" s="81">
        <v>0</v>
      </c>
      <c r="N24" s="81">
        <v>0</v>
      </c>
      <c r="O24" s="81">
        <v>1</v>
      </c>
      <c r="P24" s="81">
        <v>100</v>
      </c>
      <c r="Q24" s="81" t="s">
        <v>169</v>
      </c>
      <c r="R24" s="81" t="s">
        <v>170</v>
      </c>
    </row>
    <row r="25" spans="1:18" x14ac:dyDescent="0.15">
      <c r="A25" s="57">
        <v>41002</v>
      </c>
      <c r="B25" s="81">
        <v>3</v>
      </c>
      <c r="C25" s="70" t="str">
        <f t="shared" si="2"/>
        <v>41002_3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81">
        <v>7</v>
      </c>
      <c r="F25" s="81" t="s">
        <v>336</v>
      </c>
      <c r="G25" s="201">
        <v>125</v>
      </c>
      <c r="H25" s="81">
        <v>1</v>
      </c>
      <c r="I25" s="81">
        <v>1</v>
      </c>
      <c r="J25" s="81">
        <v>1</v>
      </c>
      <c r="K25" s="81">
        <v>0</v>
      </c>
      <c r="L25" s="81">
        <v>0</v>
      </c>
      <c r="M25" s="81">
        <v>0</v>
      </c>
      <c r="N25" s="81">
        <v>0</v>
      </c>
      <c r="O25" s="81">
        <v>1</v>
      </c>
      <c r="P25" s="81">
        <v>30</v>
      </c>
      <c r="Q25" s="81" t="s">
        <v>169</v>
      </c>
      <c r="R25" s="81" t="s">
        <v>170</v>
      </c>
    </row>
    <row r="26" spans="1:18" ht="16" thickBot="1" x14ac:dyDescent="0.2">
      <c r="A26" s="57">
        <v>41002</v>
      </c>
      <c r="B26" s="81">
        <v>3</v>
      </c>
      <c r="C26" s="70" t="str">
        <f t="shared" si="2"/>
        <v>41002_3</v>
      </c>
      <c r="D26" s="1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81">
        <v>8</v>
      </c>
      <c r="F26" s="151" t="s">
        <v>336</v>
      </c>
      <c r="G26" s="203">
        <v>296</v>
      </c>
      <c r="H26" s="151">
        <v>1</v>
      </c>
      <c r="I26" s="151">
        <v>1</v>
      </c>
      <c r="J26" s="151">
        <v>1</v>
      </c>
      <c r="K26" s="151">
        <v>0</v>
      </c>
      <c r="L26" s="151">
        <v>0</v>
      </c>
      <c r="M26" s="151">
        <v>0</v>
      </c>
      <c r="N26" s="151">
        <v>0</v>
      </c>
      <c r="O26" s="151">
        <v>1</v>
      </c>
      <c r="P26" s="151">
        <v>250</v>
      </c>
      <c r="Q26" s="81" t="s">
        <v>169</v>
      </c>
      <c r="R26" s="81" t="s">
        <v>170</v>
      </c>
    </row>
    <row r="27" spans="1:18" x14ac:dyDescent="0.15">
      <c r="A27" s="154"/>
      <c r="B27" s="154"/>
      <c r="C27" s="154"/>
      <c r="D27" s="154"/>
      <c r="E27" s="154"/>
      <c r="F27" s="154"/>
      <c r="G27" s="154"/>
      <c r="H27" s="154"/>
      <c r="I27" s="154"/>
      <c r="J27" s="154"/>
      <c r="K27" s="154"/>
      <c r="L27" s="154"/>
      <c r="M27" s="154"/>
      <c r="N27" s="154"/>
      <c r="O27" s="154"/>
      <c r="P27" s="154"/>
      <c r="Q27" s="154"/>
      <c r="R27" s="154"/>
    </row>
  </sheetData>
  <phoneticPr fontId="5"/>
  <dataValidations count="1">
    <dataValidation type="list" allowBlank="1" showInputMessage="1" showErrorMessage="1" sqref="F2:F26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40"/>
  <sheetViews>
    <sheetView showGridLines="0" workbookViewId="0">
      <pane ySplit="1" topLeftCell="A2" activePane="bottomLeft" state="frozen"/>
      <selection pane="bottomLeft" activeCell="I3" sqref="I3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187</v>
      </c>
      <c r="B1" s="72" t="s">
        <v>188</v>
      </c>
      <c r="C1" s="77" t="s">
        <v>189</v>
      </c>
      <c r="D1" s="77" t="s">
        <v>33</v>
      </c>
      <c r="E1" s="72" t="s">
        <v>190</v>
      </c>
      <c r="F1" s="77" t="s">
        <v>191</v>
      </c>
      <c r="G1" s="77" t="s">
        <v>33</v>
      </c>
      <c r="H1" s="72" t="s">
        <v>192</v>
      </c>
      <c r="I1" s="91" t="s">
        <v>194</v>
      </c>
      <c r="J1" s="79" t="s">
        <v>126</v>
      </c>
      <c r="K1" s="78" t="s">
        <v>186</v>
      </c>
      <c r="L1" s="92" t="s">
        <v>185</v>
      </c>
      <c r="M1" s="80" t="s">
        <v>195</v>
      </c>
    </row>
    <row r="2" spans="1:13" x14ac:dyDescent="0.15">
      <c r="A2" s="81" t="s">
        <v>200</v>
      </c>
      <c r="B2" s="82">
        <f>floors!$C$2</f>
        <v>41002</v>
      </c>
      <c r="C2" s="83" t="str">
        <f ca="1">VLOOKUP($B2,OFFSET([2]quests!$A$1,0,0,COUNTA([2]quests!$A:$A),MATCH(C$1,[2]quests!$1:$1,0)-MATCH($B$1,[2]quests!$1:$1,0)+1),MATCH(C$1,[2]quests!$1:$1,0)-MATCH($B$1,[2]quests!$1:$1,0)+1,FALSE)</f>
        <v>アザゼル襲来！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降臨1</v>
      </c>
      <c r="E2" s="87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【超絶級】アザゼル襲来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85">
        <v>0</v>
      </c>
      <c r="I2">
        <v>12</v>
      </c>
      <c r="J2" s="84" t="s">
        <v>197</v>
      </c>
      <c r="K2" s="93" t="str">
        <f>VLOOKUP(I2,[7]stage_hints!$A:$C,3,FALSE)</f>
        <v>ユニットのお気に入り登録</v>
      </c>
      <c r="L2" s="94" t="str">
        <f>VLOOKUP(I2,[7]stage_hints!$A:$D,4,FALSE)</f>
        <v>大事なユニットを誤って消さないように_x000D_フォルダから「お気に入り登録」しましょう</v>
      </c>
      <c r="M2" s="57" t="s">
        <v>210</v>
      </c>
    </row>
    <row r="3" spans="1:13" x14ac:dyDescent="0.15">
      <c r="A3" s="81" t="s">
        <v>200</v>
      </c>
      <c r="B3" s="82">
        <f>floors!$C$2</f>
        <v>41002</v>
      </c>
      <c r="C3" s="83" t="str">
        <f ca="1">VLOOKUP($B3,OFFSET([2]quests!$A$1,0,0,COUNTA([2]quests!$A:$A),MATCH(C$1,[2]quests!$1:$1,0)-MATCH($B$1,[2]quests!$1:$1,0)+1),MATCH(C$1,[2]quests!$1:$1,0)-MATCH($B$1,[2]quests!$1:$1,0)+1,FALSE)</f>
        <v>アザゼル襲来！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降臨1</v>
      </c>
      <c r="E3" s="87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【超絶級】アザゼル襲来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85">
        <v>0</v>
      </c>
      <c r="I3">
        <v>17</v>
      </c>
      <c r="J3" s="84" t="s">
        <v>197</v>
      </c>
      <c r="K3" s="93" t="str">
        <f>VLOOKUP(I3,[7]stage_hints!$A:$C,3,FALSE)</f>
        <v>リンクガチャ</v>
      </c>
      <c r="L3" s="94" t="str">
        <f>VLOOKUP(I3,[7]stage_hints!$A:$D,4,FALSE)</f>
        <v>無料のリンクガチャを回して_x000D_経験値素材や売却素材を獲得しましょう</v>
      </c>
      <c r="M3" s="57" t="s">
        <v>210</v>
      </c>
    </row>
    <row r="4" spans="1:13" x14ac:dyDescent="0.15">
      <c r="A4" s="81" t="s">
        <v>200</v>
      </c>
      <c r="B4" s="82">
        <f>floors!$C$2</f>
        <v>41002</v>
      </c>
      <c r="C4" s="83" t="str">
        <f ca="1">VLOOKUP($B4,OFFSET([2]quests!$A$1,0,0,COUNTA([2]quests!$A:$A),MATCH(C$1,[2]quests!$1:$1,0)-MATCH($B$1,[2]quests!$1:$1,0)+1),MATCH(C$1,[2]quests!$1:$1,0)-MATCH($B$1,[2]quests!$1:$1,0)+1,FALSE)</f>
        <v>アザゼル襲来！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降臨1</v>
      </c>
      <c r="E4" s="87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【超絶級】アザゼル襲来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85">
        <v>0</v>
      </c>
      <c r="I4">
        <v>19</v>
      </c>
      <c r="J4" s="84" t="s">
        <v>197</v>
      </c>
      <c r="K4" s="93" t="str">
        <f>VLOOKUP(I4,[7]stage_hints!$A:$C,3,FALSE)</f>
        <v>ソロ専用タワーオブザクイーン</v>
      </c>
      <c r="L4" s="94" t="str">
        <f>VLOOKUP(I4,[7]stage_hints!$A:$D,4,FALSE)</f>
        <v>ソロ専用の「タワーオブザクイーン」は_x000D_期間限定で定期的に開催されます_x000D_ここでしか獲得できない報酬もあるようです</v>
      </c>
      <c r="M4" s="57" t="s">
        <v>210</v>
      </c>
    </row>
    <row r="5" spans="1:13" x14ac:dyDescent="0.15">
      <c r="A5" s="81" t="s">
        <v>200</v>
      </c>
      <c r="B5" s="82">
        <f>floors!$C$2</f>
        <v>41002</v>
      </c>
      <c r="C5" s="83" t="str">
        <f ca="1">VLOOKUP($B5,OFFSET([2]quests!$A$1,0,0,COUNTA([2]quests!$A:$A),MATCH(C$1,[2]quests!$1:$1,0)-MATCH($B$1,[2]quests!$1:$1,0)+1),MATCH(C$1,[2]quests!$1:$1,0)-MATCH($B$1,[2]quests!$1:$1,0)+1,FALSE)</f>
        <v>アザゼル襲来！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降臨1</v>
      </c>
      <c r="E5" s="87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【超絶級】アザゼル襲来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85">
        <v>0</v>
      </c>
      <c r="I5">
        <v>21</v>
      </c>
      <c r="J5" s="84" t="s">
        <v>197</v>
      </c>
      <c r="K5" s="93" t="str">
        <f>VLOOKUP(I5,[7]stage_hints!$A:$C,3,FALSE)</f>
        <v>スキルを有効に</v>
      </c>
      <c r="L5" s="94" t="str">
        <f>VLOOKUP(I5,[7]stage_hints!$A:$D,4,FALSE)</f>
        <v>ターン経過でユニットのスキルが使えます_x000D_強力スキルでバトルを有利に進めましょう</v>
      </c>
      <c r="M5" s="57" t="s">
        <v>210</v>
      </c>
    </row>
    <row r="6" spans="1:13" x14ac:dyDescent="0.15">
      <c r="A6" s="81" t="s">
        <v>200</v>
      </c>
      <c r="B6" s="82">
        <f>floors!$C$2</f>
        <v>41002</v>
      </c>
      <c r="C6" s="83" t="str">
        <f ca="1">VLOOKUP($B6,OFFSET([2]quests!$A$1,0,0,COUNTA([2]quests!$A:$A),MATCH(C$1,[2]quests!$1:$1,0)-MATCH($B$1,[2]quests!$1:$1,0)+1),MATCH(C$1,[2]quests!$1:$1,0)-MATCH($B$1,[2]quests!$1:$1,0)+1,FALSE)</f>
        <v>アザゼル襲来！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降臨1</v>
      </c>
      <c r="E6" s="87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【超絶級】アザゼル襲来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85">
        <v>0</v>
      </c>
      <c r="I6">
        <v>29</v>
      </c>
      <c r="J6" s="84" t="s">
        <v>197</v>
      </c>
      <c r="K6" s="93" t="str">
        <f>VLOOKUP(I6,[7]stage_hints!$A:$C,3,FALSE)</f>
        <v>「バグ」のメリット</v>
      </c>
      <c r="L6" s="94" t="str">
        <f>VLOOKUP(I6,[7]stage_hints!$A:$D,4,FALSE)</f>
        <v>ユニットの「バグ」を増やすと_x000D_報酬をもらえる確率がアップします</v>
      </c>
      <c r="M6" s="57" t="s">
        <v>210</v>
      </c>
    </row>
    <row r="7" spans="1:13" x14ac:dyDescent="0.15">
      <c r="A7" s="81" t="s">
        <v>200</v>
      </c>
      <c r="B7" s="82">
        <f>floors!$C$2</f>
        <v>41002</v>
      </c>
      <c r="C7" s="83" t="str">
        <f ca="1">VLOOKUP($B7,OFFSET([2]quests!$A$1,0,0,COUNTA([2]quests!$A:$A),MATCH(C$1,[2]quests!$1:$1,0)-MATCH($B$1,[2]quests!$1:$1,0)+1),MATCH(C$1,[2]quests!$1:$1,0)-MATCH($B$1,[2]quests!$1:$1,0)+1,FALSE)</f>
        <v>アザゼル襲来！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降臨1</v>
      </c>
      <c r="E7" s="87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【超絶級】アザゼル襲来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85">
        <v>0</v>
      </c>
      <c r="I7">
        <v>30</v>
      </c>
      <c r="J7" s="84" t="s">
        <v>197</v>
      </c>
      <c r="K7" s="93" t="str">
        <f>VLOOKUP(I7,[7]stage_hints!$A:$C,3,FALSE)</f>
        <v>「バグ」の増やし方</v>
      </c>
      <c r="L7" s="94" t="str">
        <f>VLOOKUP(I7,[7]stage_hints!$A:$D,4,FALSE)</f>
        <v>同じユニット同士を強化で合成すると_x000D_「バグ」を増やすことができます</v>
      </c>
      <c r="M7" s="57" t="s">
        <v>210</v>
      </c>
    </row>
    <row r="8" spans="1:13" x14ac:dyDescent="0.15">
      <c r="A8" s="81" t="s">
        <v>200</v>
      </c>
      <c r="B8" s="82">
        <f>floors!$C$2</f>
        <v>41002</v>
      </c>
      <c r="C8" s="83" t="str">
        <f ca="1">VLOOKUP($B8,OFFSET([2]quests!$A$1,0,0,COUNTA([2]quests!$A:$A),MATCH(C$1,[2]quests!$1:$1,0)-MATCH($B$1,[2]quests!$1:$1,0)+1),MATCH(C$1,[2]quests!$1:$1,0)-MATCH($B$1,[2]quests!$1:$1,0)+1,FALSE)</f>
        <v>アザゼル襲来！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降臨1</v>
      </c>
      <c r="E8" s="87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【超絶級】アザゼル襲来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85">
        <v>0</v>
      </c>
      <c r="I8">
        <v>32</v>
      </c>
      <c r="J8" s="84" t="s">
        <v>197</v>
      </c>
      <c r="K8" s="93" t="str">
        <f>VLOOKUP(I8,[7]stage_hints!$A:$C,3,FALSE)</f>
        <v>敵の連続攻撃には</v>
      </c>
      <c r="L8" s="94" t="str">
        <f>VLOOKUP(I8,[7]stage_hints!$A:$D,4,FALSE)</f>
        <v>カウンタースキルを持つユニットがいれば_x000D_ダメージ回数分の反撃ができます</v>
      </c>
      <c r="M8" s="57" t="s">
        <v>210</v>
      </c>
    </row>
    <row r="9" spans="1:13" x14ac:dyDescent="0.15">
      <c r="A9" s="81" t="s">
        <v>200</v>
      </c>
      <c r="B9" s="82">
        <f>floors!$C$2</f>
        <v>41002</v>
      </c>
      <c r="C9" s="83" t="str">
        <f ca="1">VLOOKUP($B9,OFFSET([2]quests!$A$1,0,0,COUNTA([2]quests!$A:$A),MATCH(C$1,[2]quests!$1:$1,0)-MATCH($B$1,[2]quests!$1:$1,0)+1),MATCH(C$1,[2]quests!$1:$1,0)-MATCH($B$1,[2]quests!$1:$1,0)+1,FALSE)</f>
        <v>アザゼル襲来！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降臨1</v>
      </c>
      <c r="E9" s="87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【超絶級】アザゼル襲来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85">
        <v>0</v>
      </c>
      <c r="I9">
        <v>33</v>
      </c>
      <c r="J9" s="84" t="s">
        <v>197</v>
      </c>
      <c r="K9" s="93" t="str">
        <f>VLOOKUP(I9,[7]stage_hints!$A:$C,3,FALSE)</f>
        <v>敵のカウンター攻撃には</v>
      </c>
      <c r="L9" s="94" t="str">
        <f>VLOOKUP(I9,[7]stage_hints!$A:$D,4,FALSE)</f>
        <v>カウンターブレイクスキルを持っていれば_x000D_敵のカウンターを解除して攻撃ができます</v>
      </c>
      <c r="M9" s="57" t="s">
        <v>210</v>
      </c>
    </row>
    <row r="10" spans="1:13" x14ac:dyDescent="0.15">
      <c r="A10" s="81" t="s">
        <v>200</v>
      </c>
      <c r="B10" s="82">
        <f>floors!$C$2</f>
        <v>41002</v>
      </c>
      <c r="C10" s="83" t="str">
        <f ca="1">VLOOKUP($B10,OFFSET([2]quests!$A$1,0,0,COUNTA([2]quests!$A:$A),MATCH(C$1,[2]quests!$1:$1,0)-MATCH($B$1,[2]quests!$1:$1,0)+1),MATCH(C$1,[2]quests!$1:$1,0)-MATCH($B$1,[2]quests!$1:$1,0)+1,FALSE)</f>
        <v>アザゼル襲来！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87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【超絶級】アザゼル襲来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85">
        <v>0</v>
      </c>
      <c r="I10">
        <v>34</v>
      </c>
      <c r="J10" s="84" t="s">
        <v>197</v>
      </c>
      <c r="K10" s="93" t="str">
        <f>VLOOKUP(I10,[7]stage_hints!$A:$C,3,FALSE)</f>
        <v>ステータスをスキルで下げられたら</v>
      </c>
      <c r="L10" s="94" t="str">
        <f>VLOOKUP(I10,[7]stage_hints!$A:$D,4,FALSE)</f>
        <v>ステータスダウンのスキルを受けたら_x000D_ステータスアップスキルで上書きしましょう</v>
      </c>
      <c r="M10" s="57" t="s">
        <v>210</v>
      </c>
    </row>
    <row r="11" spans="1:13" x14ac:dyDescent="0.15">
      <c r="A11" s="81" t="s">
        <v>200</v>
      </c>
      <c r="B11" s="82">
        <f>floors!$C$2</f>
        <v>41002</v>
      </c>
      <c r="C11" s="83" t="str">
        <f ca="1">VLOOKUP($B11,OFFSET([2]quests!$A$1,0,0,COUNTA([2]quests!$A:$A),MATCH(C$1,[2]quests!$1:$1,0)-MATCH($B$1,[2]quests!$1:$1,0)+1),MATCH(C$1,[2]quests!$1:$1,0)-MATCH($B$1,[2]quests!$1:$1,0)+1,FALSE)</f>
        <v>アザゼル襲来！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87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【超絶級】アザゼル襲来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85">
        <v>0</v>
      </c>
      <c r="I11">
        <v>35</v>
      </c>
      <c r="J11" s="84" t="s">
        <v>197</v>
      </c>
      <c r="K11" s="93" t="str">
        <f>VLOOKUP(I11,[7]stage_hints!$A:$C,3,FALSE)</f>
        <v>敵のステータスがスキルで上がったら</v>
      </c>
      <c r="L11" s="94" t="str">
        <f>VLOOKUP(I11,[7]stage_hints!$A:$D,4,FALSE)</f>
        <v>敵のステータスがスキルでアップしたときは_x000D_ステータスダウンスキルで上書きしましょう</v>
      </c>
      <c r="M11" s="57" t="s">
        <v>210</v>
      </c>
    </row>
    <row r="12" spans="1:13" x14ac:dyDescent="0.15">
      <c r="A12" s="81" t="s">
        <v>200</v>
      </c>
      <c r="B12" s="82">
        <f>floors!$C$2</f>
        <v>41002</v>
      </c>
      <c r="C12" s="83" t="str">
        <f ca="1">VLOOKUP($B12,OFFSET([2]quests!$A$1,0,0,COUNTA([2]quests!$A:$A),MATCH(C$1,[2]quests!$1:$1,0)-MATCH($B$1,[2]quests!$1:$1,0)+1),MATCH(C$1,[2]quests!$1:$1,0)-MATCH($B$1,[2]quests!$1:$1,0)+1,FALSE)</f>
        <v>アザゼル襲来！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87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【超絶級】アザゼル襲来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85">
        <v>0</v>
      </c>
      <c r="I12">
        <v>36</v>
      </c>
      <c r="J12" s="84" t="s">
        <v>197</v>
      </c>
      <c r="K12" s="93" t="str">
        <f>VLOOKUP(I12,[7]stage_hints!$A:$C,3,FALSE)</f>
        <v>タワーオブザクイーンのボス</v>
      </c>
      <c r="L12" s="94" t="str">
        <f>VLOOKUP(I12,[7]stage_hints!$A:$D,4,FALSE)</f>
        <v>「タワーオブザクイーン」最上階のボスは_x000D_15階の初回クリア報酬で獲得できるほか_x000D_その階にて低確率でドロップもします</v>
      </c>
      <c r="M12" s="57" t="s">
        <v>210</v>
      </c>
    </row>
    <row r="13" spans="1:13" x14ac:dyDescent="0.15">
      <c r="A13" s="81" t="s">
        <v>200</v>
      </c>
      <c r="B13" s="82">
        <f>floors!$C$2</f>
        <v>41002</v>
      </c>
      <c r="C13" s="83" t="str">
        <f ca="1">VLOOKUP($B13,OFFSET([2]quests!$A$1,0,0,COUNTA([2]quests!$A:$A),MATCH(C$1,[2]quests!$1:$1,0)-MATCH($B$1,[2]quests!$1:$1,0)+1),MATCH(C$1,[2]quests!$1:$1,0)-MATCH($B$1,[2]quests!$1:$1,0)+1,FALSE)</f>
        <v>アザゼル襲来！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87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【超絶級】アザゼル襲来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85">
        <v>0</v>
      </c>
      <c r="I13">
        <v>37</v>
      </c>
      <c r="J13" s="84" t="s">
        <v>197</v>
      </c>
      <c r="K13" s="93" t="str">
        <f>VLOOKUP(I13,[7]stage_hints!$A:$C,3,FALSE)</f>
        <v>限界突破値の引き継ぎ</v>
      </c>
      <c r="L13" s="94" t="str">
        <f>VLOOKUP(I13,[7]stage_hints!$A:$D,4,FALSE)</f>
        <v>同じユニットを強化で合成すると_x000D_限界突破値を引き継げます（覚醒前後も可）</v>
      </c>
      <c r="M13" s="57" t="s">
        <v>210</v>
      </c>
    </row>
    <row r="14" spans="1:13" x14ac:dyDescent="0.15">
      <c r="A14" s="81" t="s">
        <v>200</v>
      </c>
      <c r="B14" s="82">
        <f>floors!$C$2</f>
        <v>41002</v>
      </c>
      <c r="C14" s="83" t="str">
        <f ca="1">VLOOKUP($B14,OFFSET([2]quests!$A$1,0,0,COUNTA([2]quests!$A:$A),MATCH(C$1,[2]quests!$1:$1,0)-MATCH($B$1,[2]quests!$1:$1,0)+1),MATCH(C$1,[2]quests!$1:$1,0)-MATCH($B$1,[2]quests!$1:$1,0)+1,FALSE)</f>
        <v>アザゼル襲来！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87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【超絶級】アザゼル襲来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85">
        <v>0</v>
      </c>
      <c r="I14">
        <v>39</v>
      </c>
      <c r="J14" s="84" t="s">
        <v>197</v>
      </c>
      <c r="K14" s="93" t="str">
        <f>VLOOKUP(I14,[7]stage_hints!$A:$C,3,FALSE)</f>
        <v>システム適合者を確認</v>
      </c>
      <c r="L14" s="94" t="str">
        <f>VLOOKUP(I14,[7]stage_hints!$A:$D,4,FALSE)</f>
        <v>ALICEが 「アナタ」を呼んでいます</v>
      </c>
      <c r="M14" s="57" t="s">
        <v>210</v>
      </c>
    </row>
    <row r="15" spans="1:13" x14ac:dyDescent="0.15">
      <c r="A15" s="81" t="s">
        <v>200</v>
      </c>
      <c r="B15" s="82">
        <f>floors!$C$2</f>
        <v>41002</v>
      </c>
      <c r="C15" s="83" t="str">
        <f ca="1">VLOOKUP($B15,OFFSET([2]quests!$A$1,0,0,COUNTA([2]quests!$A:$A),MATCH(C$1,[2]quests!$1:$1,0)-MATCH($B$1,[2]quests!$1:$1,0)+1),MATCH(C$1,[2]quests!$1:$1,0)-MATCH($B$1,[2]quests!$1:$1,0)+1,FALSE)</f>
        <v>アザゼル襲来！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87">
        <v>2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【ウィザード級】アザゼル襲来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85">
        <v>0</v>
      </c>
      <c r="I15">
        <v>12</v>
      </c>
      <c r="J15" s="84" t="s">
        <v>197</v>
      </c>
      <c r="K15" s="93" t="str">
        <f>VLOOKUP(I15,[7]stage_hints!$A:$C,3,FALSE)</f>
        <v>ユニットのお気に入り登録</v>
      </c>
      <c r="L15" s="94" t="str">
        <f>VLOOKUP(I15,[7]stage_hints!$A:$D,4,FALSE)</f>
        <v>大事なユニットを誤って消さないように_x000D_フォルダから「お気に入り登録」しましょう</v>
      </c>
      <c r="M15" s="57" t="s">
        <v>210</v>
      </c>
    </row>
    <row r="16" spans="1:13" x14ac:dyDescent="0.15">
      <c r="A16" s="81" t="s">
        <v>200</v>
      </c>
      <c r="B16" s="82">
        <f>floors!$C$2</f>
        <v>41002</v>
      </c>
      <c r="C16" s="83" t="str">
        <f ca="1">VLOOKUP($B16,OFFSET([2]quests!$A$1,0,0,COUNTA([2]quests!$A:$A),MATCH(C$1,[2]quests!$1:$1,0)-MATCH($B$1,[2]quests!$1:$1,0)+1),MATCH(C$1,[2]quests!$1:$1,0)-MATCH($B$1,[2]quests!$1:$1,0)+1,FALSE)</f>
        <v>アザゼル襲来！</v>
      </c>
      <c r="D16" s="83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87">
        <v>2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【ウィザード級】アザゼル襲来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85">
        <v>0</v>
      </c>
      <c r="I16">
        <v>17</v>
      </c>
      <c r="J16" s="84" t="s">
        <v>197</v>
      </c>
      <c r="K16" s="93" t="str">
        <f>VLOOKUP(I16,[7]stage_hints!$A:$C,3,FALSE)</f>
        <v>リンクガチャ</v>
      </c>
      <c r="L16" s="94" t="str">
        <f>VLOOKUP(I16,[7]stage_hints!$A:$D,4,FALSE)</f>
        <v>無料のリンクガチャを回して_x000D_経験値素材や売却素材を獲得しましょう</v>
      </c>
      <c r="M16" s="57" t="s">
        <v>210</v>
      </c>
    </row>
    <row r="17" spans="1:13" x14ac:dyDescent="0.15">
      <c r="A17" s="81" t="s">
        <v>200</v>
      </c>
      <c r="B17" s="82">
        <f>floors!$C$2</f>
        <v>41002</v>
      </c>
      <c r="C17" s="83" t="str">
        <f ca="1">VLOOKUP($B17,OFFSET([2]quests!$A$1,0,0,COUNTA([2]quests!$A:$A),MATCH(C$1,[2]quests!$1:$1,0)-MATCH($B$1,[2]quests!$1:$1,0)+1),MATCH(C$1,[2]quests!$1:$1,0)-MATCH($B$1,[2]quests!$1:$1,0)+1,FALSE)</f>
        <v>アザゼル襲来！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87">
        <v>2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【ウィザード級】アザゼル襲来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85">
        <v>0</v>
      </c>
      <c r="I17">
        <v>19</v>
      </c>
      <c r="J17" s="84" t="s">
        <v>197</v>
      </c>
      <c r="K17" s="93" t="str">
        <f>VLOOKUP(I17,[7]stage_hints!$A:$C,3,FALSE)</f>
        <v>ソロ専用タワーオブザクイーン</v>
      </c>
      <c r="L17" s="94" t="str">
        <f>VLOOKUP(I17,[7]stage_hints!$A:$D,4,FALSE)</f>
        <v>ソロ専用の「タワーオブザクイーン」は_x000D_期間限定で定期的に開催されます_x000D_ここでしか獲得できない報酬もあるようです</v>
      </c>
      <c r="M17" s="57" t="s">
        <v>210</v>
      </c>
    </row>
    <row r="18" spans="1:13" x14ac:dyDescent="0.15">
      <c r="A18" s="81" t="s">
        <v>200</v>
      </c>
      <c r="B18" s="82">
        <f>floors!$C$2</f>
        <v>41002</v>
      </c>
      <c r="C18" s="83" t="str">
        <f ca="1">VLOOKUP($B18,OFFSET([2]quests!$A$1,0,0,COUNTA([2]quests!$A:$A),MATCH(C$1,[2]quests!$1:$1,0)-MATCH($B$1,[2]quests!$1:$1,0)+1),MATCH(C$1,[2]quests!$1:$1,0)-MATCH($B$1,[2]quests!$1:$1,0)+1,FALSE)</f>
        <v>アザゼル襲来！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87">
        <v>2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【ウィザード級】アザゼル襲来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85">
        <v>0</v>
      </c>
      <c r="I18">
        <v>21</v>
      </c>
      <c r="J18" s="84" t="s">
        <v>197</v>
      </c>
      <c r="K18" s="93" t="str">
        <f>VLOOKUP(I18,[7]stage_hints!$A:$C,3,FALSE)</f>
        <v>スキルを有効に</v>
      </c>
      <c r="L18" s="94" t="str">
        <f>VLOOKUP(I18,[7]stage_hints!$A:$D,4,FALSE)</f>
        <v>ターン経過でユニットのスキルが使えます_x000D_強力スキルでバトルを有利に進めましょう</v>
      </c>
      <c r="M18" s="57" t="s">
        <v>210</v>
      </c>
    </row>
    <row r="19" spans="1:13" x14ac:dyDescent="0.15">
      <c r="A19" s="81" t="s">
        <v>200</v>
      </c>
      <c r="B19" s="82">
        <f>floors!$C$2</f>
        <v>41002</v>
      </c>
      <c r="C19" s="83" t="str">
        <f ca="1">VLOOKUP($B19,OFFSET([2]quests!$A$1,0,0,COUNTA([2]quests!$A:$A),MATCH(C$1,[2]quests!$1:$1,0)-MATCH($B$1,[2]quests!$1:$1,0)+1),MATCH(C$1,[2]quests!$1:$1,0)-MATCH($B$1,[2]quests!$1:$1,0)+1,FALSE)</f>
        <v>アザゼル襲来！</v>
      </c>
      <c r="D19" s="83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87">
        <v>2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【ウィザード級】アザゼル襲来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降臨1</v>
      </c>
      <c r="H19" s="85">
        <v>0</v>
      </c>
      <c r="I19">
        <v>29</v>
      </c>
      <c r="J19" s="84" t="s">
        <v>197</v>
      </c>
      <c r="K19" s="93" t="str">
        <f>VLOOKUP(I19,[7]stage_hints!$A:$C,3,FALSE)</f>
        <v>「バグ」のメリット</v>
      </c>
      <c r="L19" s="94" t="str">
        <f>VLOOKUP(I19,[7]stage_hints!$A:$D,4,FALSE)</f>
        <v>ユニットの「バグ」を増やすと_x000D_報酬をもらえる確率がアップします</v>
      </c>
      <c r="M19" s="57" t="s">
        <v>210</v>
      </c>
    </row>
    <row r="20" spans="1:13" x14ac:dyDescent="0.15">
      <c r="A20" s="81" t="s">
        <v>200</v>
      </c>
      <c r="B20" s="82">
        <f>floors!$C$2</f>
        <v>41002</v>
      </c>
      <c r="C20" s="83" t="str">
        <f ca="1">VLOOKUP($B20,OFFSET([2]quests!$A$1,0,0,COUNTA([2]quests!$A:$A),MATCH(C$1,[2]quests!$1:$1,0)-MATCH($B$1,[2]quests!$1:$1,0)+1),MATCH(C$1,[2]quests!$1:$1,0)-MATCH($B$1,[2]quests!$1:$1,0)+1,FALSE)</f>
        <v>アザゼル襲来！</v>
      </c>
      <c r="D20" s="83" t="str">
        <f ca="1">VLOOKUP($B20,OFFSET([2]quests!$A$1,0,0,COUNTA([2]quests!$A:$A),MATCH(D$1,[2]quests!$1:$1,0)-MATCH($B$1,[2]quests!$1:$1,0)+1),MATCH(D$1,[2]quests!$1:$1,0)-MATCH($B$1,[2]quests!$1:$1,0)+1,FALSE)</f>
        <v>降臨1</v>
      </c>
      <c r="E20" s="87">
        <v>2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【ウィザード級】アザゼル襲来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降臨1</v>
      </c>
      <c r="H20" s="85">
        <v>0</v>
      </c>
      <c r="I20">
        <v>30</v>
      </c>
      <c r="J20" s="84" t="s">
        <v>197</v>
      </c>
      <c r="K20" s="93" t="str">
        <f>VLOOKUP(I20,[7]stage_hints!$A:$C,3,FALSE)</f>
        <v>「バグ」の増やし方</v>
      </c>
      <c r="L20" s="94" t="str">
        <f>VLOOKUP(I20,[7]stage_hints!$A:$D,4,FALSE)</f>
        <v>同じユニット同士を強化で合成すると_x000D_「バグ」を増やすことができます</v>
      </c>
      <c r="M20" s="57" t="s">
        <v>210</v>
      </c>
    </row>
    <row r="21" spans="1:13" x14ac:dyDescent="0.15">
      <c r="A21" s="81" t="s">
        <v>200</v>
      </c>
      <c r="B21" s="82">
        <f>floors!$C$2</f>
        <v>41002</v>
      </c>
      <c r="C21" s="83" t="str">
        <f ca="1">VLOOKUP($B21,OFFSET([2]quests!$A$1,0,0,COUNTA([2]quests!$A:$A),MATCH(C$1,[2]quests!$1:$1,0)-MATCH($B$1,[2]quests!$1:$1,0)+1),MATCH(C$1,[2]quests!$1:$1,0)-MATCH($B$1,[2]quests!$1:$1,0)+1,FALSE)</f>
        <v>アザゼル襲来！</v>
      </c>
      <c r="D21" s="83" t="str">
        <f ca="1">VLOOKUP($B21,OFFSET([2]quests!$A$1,0,0,COUNTA([2]quests!$A:$A),MATCH(D$1,[2]quests!$1:$1,0)-MATCH($B$1,[2]quests!$1:$1,0)+1),MATCH(D$1,[2]quests!$1:$1,0)-MATCH($B$1,[2]quests!$1:$1,0)+1,FALSE)</f>
        <v>降臨1</v>
      </c>
      <c r="E21" s="87">
        <v>2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【ウィザード級】アザゼル襲来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降臨1</v>
      </c>
      <c r="H21" s="85">
        <v>0</v>
      </c>
      <c r="I21">
        <v>32</v>
      </c>
      <c r="J21" s="84" t="s">
        <v>197</v>
      </c>
      <c r="K21" s="93" t="str">
        <f>VLOOKUP(I21,[7]stage_hints!$A:$C,3,FALSE)</f>
        <v>敵の連続攻撃には</v>
      </c>
      <c r="L21" s="94" t="str">
        <f>VLOOKUP(I21,[7]stage_hints!$A:$D,4,FALSE)</f>
        <v>カウンタースキルを持つユニットがいれば_x000D_ダメージ回数分の反撃ができます</v>
      </c>
      <c r="M21" s="57" t="s">
        <v>210</v>
      </c>
    </row>
    <row r="22" spans="1:13" x14ac:dyDescent="0.15">
      <c r="A22" s="81" t="s">
        <v>200</v>
      </c>
      <c r="B22" s="82">
        <f>floors!$C$2</f>
        <v>41002</v>
      </c>
      <c r="C22" s="83" t="str">
        <f ca="1">VLOOKUP($B22,OFFSET([2]quests!$A$1,0,0,COUNTA([2]quests!$A:$A),MATCH(C$1,[2]quests!$1:$1,0)-MATCH($B$1,[2]quests!$1:$1,0)+1),MATCH(C$1,[2]quests!$1:$1,0)-MATCH($B$1,[2]quests!$1:$1,0)+1,FALSE)</f>
        <v>アザゼル襲来！</v>
      </c>
      <c r="D22" s="83" t="str">
        <f ca="1">VLOOKUP($B22,OFFSET([2]quests!$A$1,0,0,COUNTA([2]quests!$A:$A),MATCH(D$1,[2]quests!$1:$1,0)-MATCH($B$1,[2]quests!$1:$1,0)+1),MATCH(D$1,[2]quests!$1:$1,0)-MATCH($B$1,[2]quests!$1:$1,0)+1,FALSE)</f>
        <v>降臨1</v>
      </c>
      <c r="E22" s="87">
        <v>2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【ウィザード級】アザゼル襲来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降臨1</v>
      </c>
      <c r="H22" s="85">
        <v>0</v>
      </c>
      <c r="I22">
        <v>33</v>
      </c>
      <c r="J22" s="84" t="s">
        <v>197</v>
      </c>
      <c r="K22" s="93" t="str">
        <f>VLOOKUP(I22,[7]stage_hints!$A:$C,3,FALSE)</f>
        <v>敵のカウンター攻撃には</v>
      </c>
      <c r="L22" s="94" t="str">
        <f>VLOOKUP(I22,[7]stage_hints!$A:$D,4,FALSE)</f>
        <v>カウンターブレイクスキルを持っていれば_x000D_敵のカウンターを解除して攻撃ができます</v>
      </c>
      <c r="M22" s="57" t="s">
        <v>210</v>
      </c>
    </row>
    <row r="23" spans="1:13" x14ac:dyDescent="0.15">
      <c r="A23" s="81" t="s">
        <v>200</v>
      </c>
      <c r="B23" s="82">
        <f>floors!$C$2</f>
        <v>41002</v>
      </c>
      <c r="C23" s="83" t="str">
        <f ca="1">VLOOKUP($B23,OFFSET([2]quests!$A$1,0,0,COUNTA([2]quests!$A:$A),MATCH(C$1,[2]quests!$1:$1,0)-MATCH($B$1,[2]quests!$1:$1,0)+1),MATCH(C$1,[2]quests!$1:$1,0)-MATCH($B$1,[2]quests!$1:$1,0)+1,FALSE)</f>
        <v>アザゼル襲来！</v>
      </c>
      <c r="D23" s="83" t="str">
        <f ca="1">VLOOKUP($B23,OFFSET([2]quests!$A$1,0,0,COUNTA([2]quests!$A:$A),MATCH(D$1,[2]quests!$1:$1,0)-MATCH($B$1,[2]quests!$1:$1,0)+1),MATCH(D$1,[2]quests!$1:$1,0)-MATCH($B$1,[2]quests!$1:$1,0)+1,FALSE)</f>
        <v>降臨1</v>
      </c>
      <c r="E23" s="87">
        <v>2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【ウィザード級】アザゼル襲来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降臨1</v>
      </c>
      <c r="H23" s="85">
        <v>0</v>
      </c>
      <c r="I23">
        <v>34</v>
      </c>
      <c r="J23" s="84" t="s">
        <v>197</v>
      </c>
      <c r="K23" s="93" t="str">
        <f>VLOOKUP(I23,[7]stage_hints!$A:$C,3,FALSE)</f>
        <v>ステータスをスキルで下げられたら</v>
      </c>
      <c r="L23" s="94" t="str">
        <f>VLOOKUP(I23,[7]stage_hints!$A:$D,4,FALSE)</f>
        <v>ステータスダウンのスキルを受けたら_x000D_ステータスアップスキルで上書きしましょう</v>
      </c>
      <c r="M23" s="57" t="s">
        <v>210</v>
      </c>
    </row>
    <row r="24" spans="1:13" x14ac:dyDescent="0.15">
      <c r="A24" s="81" t="s">
        <v>200</v>
      </c>
      <c r="B24" s="82">
        <f>floors!$C$2</f>
        <v>41002</v>
      </c>
      <c r="C24" s="83" t="str">
        <f ca="1">VLOOKUP($B24,OFFSET([2]quests!$A$1,0,0,COUNTA([2]quests!$A:$A),MATCH(C$1,[2]quests!$1:$1,0)-MATCH($B$1,[2]quests!$1:$1,0)+1),MATCH(C$1,[2]quests!$1:$1,0)-MATCH($B$1,[2]quests!$1:$1,0)+1,FALSE)</f>
        <v>アザゼル襲来！</v>
      </c>
      <c r="D24" s="83" t="str">
        <f ca="1">VLOOKUP($B24,OFFSET([2]quests!$A$1,0,0,COUNTA([2]quests!$A:$A),MATCH(D$1,[2]quests!$1:$1,0)-MATCH($B$1,[2]quests!$1:$1,0)+1),MATCH(D$1,[2]quests!$1:$1,0)-MATCH($B$1,[2]quests!$1:$1,0)+1,FALSE)</f>
        <v>降臨1</v>
      </c>
      <c r="E24" s="87">
        <v>2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【ウィザード級】アザゼル襲来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降臨1</v>
      </c>
      <c r="H24" s="85">
        <v>0</v>
      </c>
      <c r="I24">
        <v>35</v>
      </c>
      <c r="J24" s="84" t="s">
        <v>197</v>
      </c>
      <c r="K24" s="93" t="str">
        <f>VLOOKUP(I24,[7]stage_hints!$A:$C,3,FALSE)</f>
        <v>敵のステータスがスキルで上がったら</v>
      </c>
      <c r="L24" s="94" t="str">
        <f>VLOOKUP(I24,[7]stage_hints!$A:$D,4,FALSE)</f>
        <v>敵のステータスがスキルでアップしたときは_x000D_ステータスダウンスキルで上書きしましょう</v>
      </c>
      <c r="M24" s="57" t="s">
        <v>210</v>
      </c>
    </row>
    <row r="25" spans="1:13" x14ac:dyDescent="0.15">
      <c r="A25" s="81" t="s">
        <v>200</v>
      </c>
      <c r="B25" s="82">
        <f>floors!$C$2</f>
        <v>41002</v>
      </c>
      <c r="C25" s="83" t="str">
        <f ca="1">VLOOKUP($B25,OFFSET([2]quests!$A$1,0,0,COUNTA([2]quests!$A:$A),MATCH(C$1,[2]quests!$1:$1,0)-MATCH($B$1,[2]quests!$1:$1,0)+1),MATCH(C$1,[2]quests!$1:$1,0)-MATCH($B$1,[2]quests!$1:$1,0)+1,FALSE)</f>
        <v>アザゼル襲来！</v>
      </c>
      <c r="D25" s="83" t="str">
        <f ca="1">VLOOKUP($B25,OFFSET([2]quests!$A$1,0,0,COUNTA([2]quests!$A:$A),MATCH(D$1,[2]quests!$1:$1,0)-MATCH($B$1,[2]quests!$1:$1,0)+1),MATCH(D$1,[2]quests!$1:$1,0)-MATCH($B$1,[2]quests!$1:$1,0)+1,FALSE)</f>
        <v>降臨1</v>
      </c>
      <c r="E25" s="87">
        <v>2</v>
      </c>
      <c r="F25" s="83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【ウィザード級】アザゼル襲来</v>
      </c>
      <c r="G25" s="83" t="str">
        <f ca="1">VLOOKUP($B25&amp;"_"&amp;$E25,OFFSET([2]stages!$A$1,0,0,COUNTA([2]stages!$A:$A),MATCH(G$1,[2]stages!$2:$2,0)-MATCH("temp_stage",[2]stages!$2:$2,0)+1),MATCH(G$1,[2]stages!$2:$2,0)-MATCH("temp_stage",[2]stages!$2:$2,0)+1,FALSE)</f>
        <v>降臨1</v>
      </c>
      <c r="H25" s="85">
        <v>0</v>
      </c>
      <c r="I25">
        <v>36</v>
      </c>
      <c r="J25" s="84" t="s">
        <v>197</v>
      </c>
      <c r="K25" s="93" t="str">
        <f>VLOOKUP(I25,[7]stage_hints!$A:$C,3,FALSE)</f>
        <v>タワーオブザクイーンのボス</v>
      </c>
      <c r="L25" s="94" t="str">
        <f>VLOOKUP(I25,[7]stage_hints!$A:$D,4,FALSE)</f>
        <v>「タワーオブザクイーン」最上階のボスは_x000D_15階の初回クリア報酬で獲得できるほか_x000D_その階にて低確率でドロップもします</v>
      </c>
      <c r="M25" s="57" t="s">
        <v>210</v>
      </c>
    </row>
    <row r="26" spans="1:13" x14ac:dyDescent="0.15">
      <c r="A26" s="81" t="s">
        <v>200</v>
      </c>
      <c r="B26" s="82">
        <f>floors!$C$2</f>
        <v>41002</v>
      </c>
      <c r="C26" s="83" t="str">
        <f ca="1">VLOOKUP($B26,OFFSET([2]quests!$A$1,0,0,COUNTA([2]quests!$A:$A),MATCH(C$1,[2]quests!$1:$1,0)-MATCH($B$1,[2]quests!$1:$1,0)+1),MATCH(C$1,[2]quests!$1:$1,0)-MATCH($B$1,[2]quests!$1:$1,0)+1,FALSE)</f>
        <v>アザゼル襲来！</v>
      </c>
      <c r="D26" s="83" t="str">
        <f ca="1">VLOOKUP($B26,OFFSET([2]quests!$A$1,0,0,COUNTA([2]quests!$A:$A),MATCH(D$1,[2]quests!$1:$1,0)-MATCH($B$1,[2]quests!$1:$1,0)+1),MATCH(D$1,[2]quests!$1:$1,0)-MATCH($B$1,[2]quests!$1:$1,0)+1,FALSE)</f>
        <v>降臨1</v>
      </c>
      <c r="E26" s="87">
        <v>2</v>
      </c>
      <c r="F26" s="83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【ウィザード級】アザゼル襲来</v>
      </c>
      <c r="G26" s="83" t="str">
        <f ca="1">VLOOKUP($B26&amp;"_"&amp;$E26,OFFSET([2]stages!$A$1,0,0,COUNTA([2]stages!$A:$A),MATCH(G$1,[2]stages!$2:$2,0)-MATCH("temp_stage",[2]stages!$2:$2,0)+1),MATCH(G$1,[2]stages!$2:$2,0)-MATCH("temp_stage",[2]stages!$2:$2,0)+1,FALSE)</f>
        <v>降臨1</v>
      </c>
      <c r="H26" s="85">
        <v>0</v>
      </c>
      <c r="I26">
        <v>37</v>
      </c>
      <c r="J26" s="84" t="s">
        <v>197</v>
      </c>
      <c r="K26" s="93" t="str">
        <f>VLOOKUP(I26,[7]stage_hints!$A:$C,3,FALSE)</f>
        <v>限界突破値の引き継ぎ</v>
      </c>
      <c r="L26" s="94" t="str">
        <f>VLOOKUP(I26,[7]stage_hints!$A:$D,4,FALSE)</f>
        <v>同じユニットを強化で合成すると_x000D_限界突破値を引き継げます（覚醒前後も可）</v>
      </c>
      <c r="M26" s="57" t="s">
        <v>210</v>
      </c>
    </row>
    <row r="27" spans="1:13" x14ac:dyDescent="0.15">
      <c r="A27" s="81" t="s">
        <v>200</v>
      </c>
      <c r="B27" s="82">
        <f>floors!$C$2</f>
        <v>41002</v>
      </c>
      <c r="C27" s="83" t="str">
        <f ca="1">VLOOKUP($B27,OFFSET([2]quests!$A$1,0,0,COUNTA([2]quests!$A:$A),MATCH(C$1,[2]quests!$1:$1,0)-MATCH($B$1,[2]quests!$1:$1,0)+1),MATCH(C$1,[2]quests!$1:$1,0)-MATCH($B$1,[2]quests!$1:$1,0)+1,FALSE)</f>
        <v>アザゼル襲来！</v>
      </c>
      <c r="D27" s="83" t="str">
        <f ca="1">VLOOKUP($B27,OFFSET([2]quests!$A$1,0,0,COUNTA([2]quests!$A:$A),MATCH(D$1,[2]quests!$1:$1,0)-MATCH($B$1,[2]quests!$1:$1,0)+1),MATCH(D$1,[2]quests!$1:$1,0)-MATCH($B$1,[2]quests!$1:$1,0)+1,FALSE)</f>
        <v>降臨1</v>
      </c>
      <c r="E27" s="87">
        <v>2</v>
      </c>
      <c r="F27" s="83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【ウィザード級】アザゼル襲来</v>
      </c>
      <c r="G27" s="83" t="str">
        <f ca="1">VLOOKUP($B27&amp;"_"&amp;$E27,OFFSET([2]stages!$A$1,0,0,COUNTA([2]stages!$A:$A),MATCH(G$1,[2]stages!$2:$2,0)-MATCH("temp_stage",[2]stages!$2:$2,0)+1),MATCH(G$1,[2]stages!$2:$2,0)-MATCH("temp_stage",[2]stages!$2:$2,0)+1,FALSE)</f>
        <v>降臨1</v>
      </c>
      <c r="H27" s="85">
        <v>0</v>
      </c>
      <c r="I27">
        <v>39</v>
      </c>
      <c r="J27" s="84" t="s">
        <v>197</v>
      </c>
      <c r="K27" s="93" t="str">
        <f>VLOOKUP(I27,[7]stage_hints!$A:$C,3,FALSE)</f>
        <v>システム適合者を確認</v>
      </c>
      <c r="L27" s="94" t="str">
        <f>VLOOKUP(I27,[7]stage_hints!$A:$D,4,FALSE)</f>
        <v>ALICEが 「アナタ」を呼んでいます</v>
      </c>
      <c r="M27" s="57" t="s">
        <v>210</v>
      </c>
    </row>
    <row r="28" spans="1:13" x14ac:dyDescent="0.15">
      <c r="A28" s="81" t="s">
        <v>200</v>
      </c>
      <c r="B28" s="82">
        <f>floors!$C$2</f>
        <v>41002</v>
      </c>
      <c r="C28" s="83" t="str">
        <f ca="1">VLOOKUP($B28,OFFSET([2]quests!$A$1,0,0,COUNTA([2]quests!$A:$A),MATCH(C$1,[2]quests!$1:$1,0)-MATCH($B$1,[2]quests!$1:$1,0)+1),MATCH(C$1,[2]quests!$1:$1,0)-MATCH($B$1,[2]quests!$1:$1,0)+1,FALSE)</f>
        <v>アザゼル襲来！</v>
      </c>
      <c r="D28" s="83" t="str">
        <f ca="1">VLOOKUP($B28,OFFSET([2]quests!$A$1,0,0,COUNTA([2]quests!$A:$A),MATCH(D$1,[2]quests!$1:$1,0)-MATCH($B$1,[2]quests!$1:$1,0)+1),MATCH(D$1,[2]quests!$1:$1,0)-MATCH($B$1,[2]quests!$1:$1,0)+1,FALSE)</f>
        <v>降臨1</v>
      </c>
      <c r="E28" s="87">
        <v>3</v>
      </c>
      <c r="F28" s="83" t="str">
        <f ca="1">VLOOKUP($B28&amp;"_"&amp;$E28,OFFSET([2]stages!$A$1,0,0,COUNTA([2]stages!$A:$A),MATCH(F$1,[2]stages!$2:$2,0)-MATCH("temp_stage",[2]stages!$2:$2,0)+1),MATCH(F$1,[2]stages!$2:$2,0)-MATCH("temp_stage",[2]stages!$2:$2,0)+1,FALSE)</f>
        <v>【ノーコンテニュー】アザゼル襲来</v>
      </c>
      <c r="G28" s="83" t="str">
        <f ca="1">VLOOKUP($B28&amp;"_"&amp;$E28,OFFSET([2]stages!$A$1,0,0,COUNTA([2]stages!$A:$A),MATCH(G$1,[2]stages!$2:$2,0)-MATCH("temp_stage",[2]stages!$2:$2,0)+1),MATCH(G$1,[2]stages!$2:$2,0)-MATCH("temp_stage",[2]stages!$2:$2,0)+1,FALSE)</f>
        <v>降臨1</v>
      </c>
      <c r="H28" s="85">
        <v>0</v>
      </c>
      <c r="I28">
        <v>12</v>
      </c>
      <c r="J28" s="84" t="s">
        <v>197</v>
      </c>
      <c r="K28" s="93" t="str">
        <f>VLOOKUP(I28,[7]stage_hints!$A:$C,3,FALSE)</f>
        <v>ユニットのお気に入り登録</v>
      </c>
      <c r="L28" s="94" t="str">
        <f>VLOOKUP(I28,[7]stage_hints!$A:$D,4,FALSE)</f>
        <v>大事なユニットを誤って消さないように_x000D_フォルダから「お気に入り登録」しましょう</v>
      </c>
      <c r="M28" s="57" t="s">
        <v>210</v>
      </c>
    </row>
    <row r="29" spans="1:13" x14ac:dyDescent="0.15">
      <c r="A29" s="81" t="s">
        <v>200</v>
      </c>
      <c r="B29" s="82">
        <f>floors!$C$2</f>
        <v>41002</v>
      </c>
      <c r="C29" s="83" t="str">
        <f ca="1">VLOOKUP($B29,OFFSET([2]quests!$A$1,0,0,COUNTA([2]quests!$A:$A),MATCH(C$1,[2]quests!$1:$1,0)-MATCH($B$1,[2]quests!$1:$1,0)+1),MATCH(C$1,[2]quests!$1:$1,0)-MATCH($B$1,[2]quests!$1:$1,0)+1,FALSE)</f>
        <v>アザゼル襲来！</v>
      </c>
      <c r="D29" s="83" t="str">
        <f ca="1">VLOOKUP($B29,OFFSET([2]quests!$A$1,0,0,COUNTA([2]quests!$A:$A),MATCH(D$1,[2]quests!$1:$1,0)-MATCH($B$1,[2]quests!$1:$1,0)+1),MATCH(D$1,[2]quests!$1:$1,0)-MATCH($B$1,[2]quests!$1:$1,0)+1,FALSE)</f>
        <v>降臨1</v>
      </c>
      <c r="E29" s="87">
        <v>3</v>
      </c>
      <c r="F29" s="83" t="str">
        <f ca="1">VLOOKUP($B29&amp;"_"&amp;$E29,OFFSET([2]stages!$A$1,0,0,COUNTA([2]stages!$A:$A),MATCH(F$1,[2]stages!$2:$2,0)-MATCH("temp_stage",[2]stages!$2:$2,0)+1),MATCH(F$1,[2]stages!$2:$2,0)-MATCH("temp_stage",[2]stages!$2:$2,0)+1,FALSE)</f>
        <v>【ノーコンテニュー】アザゼル襲来</v>
      </c>
      <c r="G29" s="83" t="str">
        <f ca="1">VLOOKUP($B29&amp;"_"&amp;$E29,OFFSET([2]stages!$A$1,0,0,COUNTA([2]stages!$A:$A),MATCH(G$1,[2]stages!$2:$2,0)-MATCH("temp_stage",[2]stages!$2:$2,0)+1),MATCH(G$1,[2]stages!$2:$2,0)-MATCH("temp_stage",[2]stages!$2:$2,0)+1,FALSE)</f>
        <v>降臨1</v>
      </c>
      <c r="H29" s="85">
        <v>0</v>
      </c>
      <c r="I29">
        <v>17</v>
      </c>
      <c r="J29" s="84" t="s">
        <v>197</v>
      </c>
      <c r="K29" s="93" t="str">
        <f>VLOOKUP(I29,[7]stage_hints!$A:$C,3,FALSE)</f>
        <v>リンクガチャ</v>
      </c>
      <c r="L29" s="94" t="str">
        <f>VLOOKUP(I29,[7]stage_hints!$A:$D,4,FALSE)</f>
        <v>無料のリンクガチャを回して_x000D_経験値素材や売却素材を獲得しましょう</v>
      </c>
      <c r="M29" s="57" t="s">
        <v>210</v>
      </c>
    </row>
    <row r="30" spans="1:13" x14ac:dyDescent="0.15">
      <c r="A30" s="81" t="s">
        <v>200</v>
      </c>
      <c r="B30" s="82">
        <f>floors!$C$2</f>
        <v>41002</v>
      </c>
      <c r="C30" s="83" t="str">
        <f ca="1">VLOOKUP($B30,OFFSET([2]quests!$A$1,0,0,COUNTA([2]quests!$A:$A),MATCH(C$1,[2]quests!$1:$1,0)-MATCH($B$1,[2]quests!$1:$1,0)+1),MATCH(C$1,[2]quests!$1:$1,0)-MATCH($B$1,[2]quests!$1:$1,0)+1,FALSE)</f>
        <v>アザゼル襲来！</v>
      </c>
      <c r="D30" s="83" t="str">
        <f ca="1">VLOOKUP($B30,OFFSET([2]quests!$A$1,0,0,COUNTA([2]quests!$A:$A),MATCH(D$1,[2]quests!$1:$1,0)-MATCH($B$1,[2]quests!$1:$1,0)+1),MATCH(D$1,[2]quests!$1:$1,0)-MATCH($B$1,[2]quests!$1:$1,0)+1,FALSE)</f>
        <v>降臨1</v>
      </c>
      <c r="E30" s="87">
        <v>3</v>
      </c>
      <c r="F30" s="83" t="str">
        <f ca="1">VLOOKUP($B30&amp;"_"&amp;$E30,OFFSET([2]stages!$A$1,0,0,COUNTA([2]stages!$A:$A),MATCH(F$1,[2]stages!$2:$2,0)-MATCH("temp_stage",[2]stages!$2:$2,0)+1),MATCH(F$1,[2]stages!$2:$2,0)-MATCH("temp_stage",[2]stages!$2:$2,0)+1,FALSE)</f>
        <v>【ノーコンテニュー】アザゼル襲来</v>
      </c>
      <c r="G30" s="83" t="str">
        <f ca="1">VLOOKUP($B30&amp;"_"&amp;$E30,OFFSET([2]stages!$A$1,0,0,COUNTA([2]stages!$A:$A),MATCH(G$1,[2]stages!$2:$2,0)-MATCH("temp_stage",[2]stages!$2:$2,0)+1),MATCH(G$1,[2]stages!$2:$2,0)-MATCH("temp_stage",[2]stages!$2:$2,0)+1,FALSE)</f>
        <v>降臨1</v>
      </c>
      <c r="H30" s="85">
        <v>0</v>
      </c>
      <c r="I30">
        <v>19</v>
      </c>
      <c r="J30" s="84" t="s">
        <v>197</v>
      </c>
      <c r="K30" s="93" t="str">
        <f>VLOOKUP(I30,[7]stage_hints!$A:$C,3,FALSE)</f>
        <v>ソロ専用タワーオブザクイーン</v>
      </c>
      <c r="L30" s="94" t="str">
        <f>VLOOKUP(I30,[7]stage_hints!$A:$D,4,FALSE)</f>
        <v>ソロ専用の「タワーオブザクイーン」は_x000D_期間限定で定期的に開催されます_x000D_ここでしか獲得できない報酬もあるようです</v>
      </c>
      <c r="M30" s="57" t="s">
        <v>210</v>
      </c>
    </row>
    <row r="31" spans="1:13" x14ac:dyDescent="0.15">
      <c r="A31" s="81" t="s">
        <v>200</v>
      </c>
      <c r="B31" s="82">
        <f>floors!$C$2</f>
        <v>41002</v>
      </c>
      <c r="C31" s="83" t="str">
        <f ca="1">VLOOKUP($B31,OFFSET([2]quests!$A$1,0,0,COUNTA([2]quests!$A:$A),MATCH(C$1,[2]quests!$1:$1,0)-MATCH($B$1,[2]quests!$1:$1,0)+1),MATCH(C$1,[2]quests!$1:$1,0)-MATCH($B$1,[2]quests!$1:$1,0)+1,FALSE)</f>
        <v>アザゼル襲来！</v>
      </c>
      <c r="D31" s="83" t="str">
        <f ca="1">VLOOKUP($B31,OFFSET([2]quests!$A$1,0,0,COUNTA([2]quests!$A:$A),MATCH(D$1,[2]quests!$1:$1,0)-MATCH($B$1,[2]quests!$1:$1,0)+1),MATCH(D$1,[2]quests!$1:$1,0)-MATCH($B$1,[2]quests!$1:$1,0)+1,FALSE)</f>
        <v>降臨1</v>
      </c>
      <c r="E31" s="87">
        <v>3</v>
      </c>
      <c r="F31" s="83" t="str">
        <f ca="1">VLOOKUP($B31&amp;"_"&amp;$E31,OFFSET([2]stages!$A$1,0,0,COUNTA([2]stages!$A:$A),MATCH(F$1,[2]stages!$2:$2,0)-MATCH("temp_stage",[2]stages!$2:$2,0)+1),MATCH(F$1,[2]stages!$2:$2,0)-MATCH("temp_stage",[2]stages!$2:$2,0)+1,FALSE)</f>
        <v>【ノーコンテニュー】アザゼル襲来</v>
      </c>
      <c r="G31" s="83" t="str">
        <f ca="1">VLOOKUP($B31&amp;"_"&amp;$E31,OFFSET([2]stages!$A$1,0,0,COUNTA([2]stages!$A:$A),MATCH(G$1,[2]stages!$2:$2,0)-MATCH("temp_stage",[2]stages!$2:$2,0)+1),MATCH(G$1,[2]stages!$2:$2,0)-MATCH("temp_stage",[2]stages!$2:$2,0)+1,FALSE)</f>
        <v>降臨1</v>
      </c>
      <c r="H31" s="85">
        <v>0</v>
      </c>
      <c r="I31">
        <v>21</v>
      </c>
      <c r="J31" s="84" t="s">
        <v>197</v>
      </c>
      <c r="K31" s="93" t="str">
        <f>VLOOKUP(I31,[7]stage_hints!$A:$C,3,FALSE)</f>
        <v>スキルを有効に</v>
      </c>
      <c r="L31" s="94" t="str">
        <f>VLOOKUP(I31,[7]stage_hints!$A:$D,4,FALSE)</f>
        <v>ターン経過でユニットのスキルが使えます_x000D_強力スキルでバトルを有利に進めましょう</v>
      </c>
      <c r="M31" s="57" t="s">
        <v>210</v>
      </c>
    </row>
    <row r="32" spans="1:13" x14ac:dyDescent="0.15">
      <c r="A32" s="81" t="s">
        <v>200</v>
      </c>
      <c r="B32" s="82">
        <f>floors!$C$2</f>
        <v>41002</v>
      </c>
      <c r="C32" s="83" t="str">
        <f ca="1">VLOOKUP($B32,OFFSET([2]quests!$A$1,0,0,COUNTA([2]quests!$A:$A),MATCH(C$1,[2]quests!$1:$1,0)-MATCH($B$1,[2]quests!$1:$1,0)+1),MATCH(C$1,[2]quests!$1:$1,0)-MATCH($B$1,[2]quests!$1:$1,0)+1,FALSE)</f>
        <v>アザゼル襲来！</v>
      </c>
      <c r="D32" s="83" t="str">
        <f ca="1">VLOOKUP($B32,OFFSET([2]quests!$A$1,0,0,COUNTA([2]quests!$A:$A),MATCH(D$1,[2]quests!$1:$1,0)-MATCH($B$1,[2]quests!$1:$1,0)+1),MATCH(D$1,[2]quests!$1:$1,0)-MATCH($B$1,[2]quests!$1:$1,0)+1,FALSE)</f>
        <v>降臨1</v>
      </c>
      <c r="E32" s="87">
        <v>3</v>
      </c>
      <c r="F32" s="83" t="str">
        <f ca="1">VLOOKUP($B32&amp;"_"&amp;$E32,OFFSET([2]stages!$A$1,0,0,COUNTA([2]stages!$A:$A),MATCH(F$1,[2]stages!$2:$2,0)-MATCH("temp_stage",[2]stages!$2:$2,0)+1),MATCH(F$1,[2]stages!$2:$2,0)-MATCH("temp_stage",[2]stages!$2:$2,0)+1,FALSE)</f>
        <v>【ノーコンテニュー】アザゼル襲来</v>
      </c>
      <c r="G32" s="83" t="str">
        <f ca="1">VLOOKUP($B32&amp;"_"&amp;$E32,OFFSET([2]stages!$A$1,0,0,COUNTA([2]stages!$A:$A),MATCH(G$1,[2]stages!$2:$2,0)-MATCH("temp_stage",[2]stages!$2:$2,0)+1),MATCH(G$1,[2]stages!$2:$2,0)-MATCH("temp_stage",[2]stages!$2:$2,0)+1,FALSE)</f>
        <v>降臨1</v>
      </c>
      <c r="H32" s="85">
        <v>0</v>
      </c>
      <c r="I32">
        <v>29</v>
      </c>
      <c r="J32" s="84" t="s">
        <v>197</v>
      </c>
      <c r="K32" s="93" t="str">
        <f>VLOOKUP(I32,[7]stage_hints!$A:$C,3,FALSE)</f>
        <v>「バグ」のメリット</v>
      </c>
      <c r="L32" s="94" t="str">
        <f>VLOOKUP(I32,[7]stage_hints!$A:$D,4,FALSE)</f>
        <v>ユニットの「バグ」を増やすと_x000D_報酬をもらえる確率がアップします</v>
      </c>
      <c r="M32" s="57" t="s">
        <v>210</v>
      </c>
    </row>
    <row r="33" spans="1:13" x14ac:dyDescent="0.15">
      <c r="A33" s="81" t="s">
        <v>200</v>
      </c>
      <c r="B33" s="82">
        <f>floors!$C$2</f>
        <v>41002</v>
      </c>
      <c r="C33" s="83" t="str">
        <f ca="1">VLOOKUP($B33,OFFSET([2]quests!$A$1,0,0,COUNTA([2]quests!$A:$A),MATCH(C$1,[2]quests!$1:$1,0)-MATCH($B$1,[2]quests!$1:$1,0)+1),MATCH(C$1,[2]quests!$1:$1,0)-MATCH($B$1,[2]quests!$1:$1,0)+1,FALSE)</f>
        <v>アザゼル襲来！</v>
      </c>
      <c r="D33" s="83" t="str">
        <f ca="1">VLOOKUP($B33,OFFSET([2]quests!$A$1,0,0,COUNTA([2]quests!$A:$A),MATCH(D$1,[2]quests!$1:$1,0)-MATCH($B$1,[2]quests!$1:$1,0)+1),MATCH(D$1,[2]quests!$1:$1,0)-MATCH($B$1,[2]quests!$1:$1,0)+1,FALSE)</f>
        <v>降臨1</v>
      </c>
      <c r="E33" s="87">
        <v>3</v>
      </c>
      <c r="F33" s="83" t="str">
        <f ca="1">VLOOKUP($B33&amp;"_"&amp;$E33,OFFSET([2]stages!$A$1,0,0,COUNTA([2]stages!$A:$A),MATCH(F$1,[2]stages!$2:$2,0)-MATCH("temp_stage",[2]stages!$2:$2,0)+1),MATCH(F$1,[2]stages!$2:$2,0)-MATCH("temp_stage",[2]stages!$2:$2,0)+1,FALSE)</f>
        <v>【ノーコンテニュー】アザゼル襲来</v>
      </c>
      <c r="G33" s="83" t="str">
        <f ca="1">VLOOKUP($B33&amp;"_"&amp;$E33,OFFSET([2]stages!$A$1,0,0,COUNTA([2]stages!$A:$A),MATCH(G$1,[2]stages!$2:$2,0)-MATCH("temp_stage",[2]stages!$2:$2,0)+1),MATCH(G$1,[2]stages!$2:$2,0)-MATCH("temp_stage",[2]stages!$2:$2,0)+1,FALSE)</f>
        <v>降臨1</v>
      </c>
      <c r="H33" s="85">
        <v>0</v>
      </c>
      <c r="I33">
        <v>30</v>
      </c>
      <c r="J33" s="84" t="s">
        <v>197</v>
      </c>
      <c r="K33" s="93" t="str">
        <f>VLOOKUP(I33,[7]stage_hints!$A:$C,3,FALSE)</f>
        <v>「バグ」の増やし方</v>
      </c>
      <c r="L33" s="94" t="str">
        <f>VLOOKUP(I33,[7]stage_hints!$A:$D,4,FALSE)</f>
        <v>同じユニット同士を強化で合成すると_x000D_「バグ」を増やすことができます</v>
      </c>
      <c r="M33" s="57" t="s">
        <v>210</v>
      </c>
    </row>
    <row r="34" spans="1:13" x14ac:dyDescent="0.15">
      <c r="A34" s="81" t="s">
        <v>200</v>
      </c>
      <c r="B34" s="82">
        <f>floors!$C$2</f>
        <v>41002</v>
      </c>
      <c r="C34" s="83" t="str">
        <f ca="1">VLOOKUP($B34,OFFSET([2]quests!$A$1,0,0,COUNTA([2]quests!$A:$A),MATCH(C$1,[2]quests!$1:$1,0)-MATCH($B$1,[2]quests!$1:$1,0)+1),MATCH(C$1,[2]quests!$1:$1,0)-MATCH($B$1,[2]quests!$1:$1,0)+1,FALSE)</f>
        <v>アザゼル襲来！</v>
      </c>
      <c r="D34" s="83" t="str">
        <f ca="1">VLOOKUP($B34,OFFSET([2]quests!$A$1,0,0,COUNTA([2]quests!$A:$A),MATCH(D$1,[2]quests!$1:$1,0)-MATCH($B$1,[2]quests!$1:$1,0)+1),MATCH(D$1,[2]quests!$1:$1,0)-MATCH($B$1,[2]quests!$1:$1,0)+1,FALSE)</f>
        <v>降臨1</v>
      </c>
      <c r="E34" s="87">
        <v>3</v>
      </c>
      <c r="F34" s="83" t="str">
        <f ca="1">VLOOKUP($B34&amp;"_"&amp;$E34,OFFSET([2]stages!$A$1,0,0,COUNTA([2]stages!$A:$A),MATCH(F$1,[2]stages!$2:$2,0)-MATCH("temp_stage",[2]stages!$2:$2,0)+1),MATCH(F$1,[2]stages!$2:$2,0)-MATCH("temp_stage",[2]stages!$2:$2,0)+1,FALSE)</f>
        <v>【ノーコンテニュー】アザゼル襲来</v>
      </c>
      <c r="G34" s="83" t="str">
        <f ca="1">VLOOKUP($B34&amp;"_"&amp;$E34,OFFSET([2]stages!$A$1,0,0,COUNTA([2]stages!$A:$A),MATCH(G$1,[2]stages!$2:$2,0)-MATCH("temp_stage",[2]stages!$2:$2,0)+1),MATCH(G$1,[2]stages!$2:$2,0)-MATCH("temp_stage",[2]stages!$2:$2,0)+1,FALSE)</f>
        <v>降臨1</v>
      </c>
      <c r="H34" s="85">
        <v>0</v>
      </c>
      <c r="I34">
        <v>32</v>
      </c>
      <c r="J34" s="84" t="s">
        <v>197</v>
      </c>
      <c r="K34" s="93" t="str">
        <f>VLOOKUP(I34,[7]stage_hints!$A:$C,3,FALSE)</f>
        <v>敵の連続攻撃には</v>
      </c>
      <c r="L34" s="94" t="str">
        <f>VLOOKUP(I34,[7]stage_hints!$A:$D,4,FALSE)</f>
        <v>カウンタースキルを持つユニットがいれば_x000D_ダメージ回数分の反撃ができます</v>
      </c>
      <c r="M34" s="57" t="s">
        <v>210</v>
      </c>
    </row>
    <row r="35" spans="1:13" x14ac:dyDescent="0.15">
      <c r="A35" s="81" t="s">
        <v>200</v>
      </c>
      <c r="B35" s="82">
        <f>floors!$C$2</f>
        <v>41002</v>
      </c>
      <c r="C35" s="83" t="str">
        <f ca="1">VLOOKUP($B35,OFFSET([2]quests!$A$1,0,0,COUNTA([2]quests!$A:$A),MATCH(C$1,[2]quests!$1:$1,0)-MATCH($B$1,[2]quests!$1:$1,0)+1),MATCH(C$1,[2]quests!$1:$1,0)-MATCH($B$1,[2]quests!$1:$1,0)+1,FALSE)</f>
        <v>アザゼル襲来！</v>
      </c>
      <c r="D35" s="83" t="str">
        <f ca="1">VLOOKUP($B35,OFFSET([2]quests!$A$1,0,0,COUNTA([2]quests!$A:$A),MATCH(D$1,[2]quests!$1:$1,0)-MATCH($B$1,[2]quests!$1:$1,0)+1),MATCH(D$1,[2]quests!$1:$1,0)-MATCH($B$1,[2]quests!$1:$1,0)+1,FALSE)</f>
        <v>降臨1</v>
      </c>
      <c r="E35" s="87">
        <v>3</v>
      </c>
      <c r="F35" s="83" t="str">
        <f ca="1">VLOOKUP($B35&amp;"_"&amp;$E35,OFFSET([2]stages!$A$1,0,0,COUNTA([2]stages!$A:$A),MATCH(F$1,[2]stages!$2:$2,0)-MATCH("temp_stage",[2]stages!$2:$2,0)+1),MATCH(F$1,[2]stages!$2:$2,0)-MATCH("temp_stage",[2]stages!$2:$2,0)+1,FALSE)</f>
        <v>【ノーコンテニュー】アザゼル襲来</v>
      </c>
      <c r="G35" s="83" t="str">
        <f ca="1">VLOOKUP($B35&amp;"_"&amp;$E35,OFFSET([2]stages!$A$1,0,0,COUNTA([2]stages!$A:$A),MATCH(G$1,[2]stages!$2:$2,0)-MATCH("temp_stage",[2]stages!$2:$2,0)+1),MATCH(G$1,[2]stages!$2:$2,0)-MATCH("temp_stage",[2]stages!$2:$2,0)+1,FALSE)</f>
        <v>降臨1</v>
      </c>
      <c r="H35" s="85">
        <v>0</v>
      </c>
      <c r="I35">
        <v>33</v>
      </c>
      <c r="J35" s="84" t="s">
        <v>197</v>
      </c>
      <c r="K35" s="93" t="str">
        <f>VLOOKUP(I35,[7]stage_hints!$A:$C,3,FALSE)</f>
        <v>敵のカウンター攻撃には</v>
      </c>
      <c r="L35" s="94" t="str">
        <f>VLOOKUP(I35,[7]stage_hints!$A:$D,4,FALSE)</f>
        <v>カウンターブレイクスキルを持っていれば_x000D_敵のカウンターを解除して攻撃ができます</v>
      </c>
      <c r="M35" s="57" t="s">
        <v>210</v>
      </c>
    </row>
    <row r="36" spans="1:13" x14ac:dyDescent="0.15">
      <c r="A36" s="81" t="s">
        <v>200</v>
      </c>
      <c r="B36" s="82">
        <f>floors!$C$2</f>
        <v>41002</v>
      </c>
      <c r="C36" s="83" t="str">
        <f ca="1">VLOOKUP($B36,OFFSET([2]quests!$A$1,0,0,COUNTA([2]quests!$A:$A),MATCH(C$1,[2]quests!$1:$1,0)-MATCH($B$1,[2]quests!$1:$1,0)+1),MATCH(C$1,[2]quests!$1:$1,0)-MATCH($B$1,[2]quests!$1:$1,0)+1,FALSE)</f>
        <v>アザゼル襲来！</v>
      </c>
      <c r="D36" s="83" t="str">
        <f ca="1">VLOOKUP($B36,OFFSET([2]quests!$A$1,0,0,COUNTA([2]quests!$A:$A),MATCH(D$1,[2]quests!$1:$1,0)-MATCH($B$1,[2]quests!$1:$1,0)+1),MATCH(D$1,[2]quests!$1:$1,0)-MATCH($B$1,[2]quests!$1:$1,0)+1,FALSE)</f>
        <v>降臨1</v>
      </c>
      <c r="E36" s="87">
        <v>3</v>
      </c>
      <c r="F36" s="83" t="str">
        <f ca="1">VLOOKUP($B36&amp;"_"&amp;$E36,OFFSET([2]stages!$A$1,0,0,COUNTA([2]stages!$A:$A),MATCH(F$1,[2]stages!$2:$2,0)-MATCH("temp_stage",[2]stages!$2:$2,0)+1),MATCH(F$1,[2]stages!$2:$2,0)-MATCH("temp_stage",[2]stages!$2:$2,0)+1,FALSE)</f>
        <v>【ノーコンテニュー】アザゼル襲来</v>
      </c>
      <c r="G36" s="83" t="str">
        <f ca="1">VLOOKUP($B36&amp;"_"&amp;$E36,OFFSET([2]stages!$A$1,0,0,COUNTA([2]stages!$A:$A),MATCH(G$1,[2]stages!$2:$2,0)-MATCH("temp_stage",[2]stages!$2:$2,0)+1),MATCH(G$1,[2]stages!$2:$2,0)-MATCH("temp_stage",[2]stages!$2:$2,0)+1,FALSE)</f>
        <v>降臨1</v>
      </c>
      <c r="H36" s="85">
        <v>0</v>
      </c>
      <c r="I36">
        <v>34</v>
      </c>
      <c r="J36" s="84" t="s">
        <v>197</v>
      </c>
      <c r="K36" s="93" t="str">
        <f>VLOOKUP(I36,[7]stage_hints!$A:$C,3,FALSE)</f>
        <v>ステータスをスキルで下げられたら</v>
      </c>
      <c r="L36" s="94" t="str">
        <f>VLOOKUP(I36,[7]stage_hints!$A:$D,4,FALSE)</f>
        <v>ステータスダウンのスキルを受けたら_x000D_ステータスアップスキルで上書きしましょう</v>
      </c>
      <c r="M36" s="57" t="s">
        <v>210</v>
      </c>
    </row>
    <row r="37" spans="1:13" x14ac:dyDescent="0.15">
      <c r="A37" s="81" t="s">
        <v>200</v>
      </c>
      <c r="B37" s="82">
        <f>floors!$C$2</f>
        <v>41002</v>
      </c>
      <c r="C37" s="83" t="str">
        <f ca="1">VLOOKUP($B37,OFFSET([2]quests!$A$1,0,0,COUNTA([2]quests!$A:$A),MATCH(C$1,[2]quests!$1:$1,0)-MATCH($B$1,[2]quests!$1:$1,0)+1),MATCH(C$1,[2]quests!$1:$1,0)-MATCH($B$1,[2]quests!$1:$1,0)+1,FALSE)</f>
        <v>アザゼル襲来！</v>
      </c>
      <c r="D37" s="83" t="str">
        <f ca="1">VLOOKUP($B37,OFFSET([2]quests!$A$1,0,0,COUNTA([2]quests!$A:$A),MATCH(D$1,[2]quests!$1:$1,0)-MATCH($B$1,[2]quests!$1:$1,0)+1),MATCH(D$1,[2]quests!$1:$1,0)-MATCH($B$1,[2]quests!$1:$1,0)+1,FALSE)</f>
        <v>降臨1</v>
      </c>
      <c r="E37" s="87">
        <v>3</v>
      </c>
      <c r="F37" s="83" t="str">
        <f ca="1">VLOOKUP($B37&amp;"_"&amp;$E37,OFFSET([2]stages!$A$1,0,0,COUNTA([2]stages!$A:$A),MATCH(F$1,[2]stages!$2:$2,0)-MATCH("temp_stage",[2]stages!$2:$2,0)+1),MATCH(F$1,[2]stages!$2:$2,0)-MATCH("temp_stage",[2]stages!$2:$2,0)+1,FALSE)</f>
        <v>【ノーコンテニュー】アザゼル襲来</v>
      </c>
      <c r="G37" s="83" t="str">
        <f ca="1">VLOOKUP($B37&amp;"_"&amp;$E37,OFFSET([2]stages!$A$1,0,0,COUNTA([2]stages!$A:$A),MATCH(G$1,[2]stages!$2:$2,0)-MATCH("temp_stage",[2]stages!$2:$2,0)+1),MATCH(G$1,[2]stages!$2:$2,0)-MATCH("temp_stage",[2]stages!$2:$2,0)+1,FALSE)</f>
        <v>降臨1</v>
      </c>
      <c r="H37" s="85">
        <v>0</v>
      </c>
      <c r="I37">
        <v>35</v>
      </c>
      <c r="J37" s="84" t="s">
        <v>197</v>
      </c>
      <c r="K37" s="93" t="str">
        <f>VLOOKUP(I37,[7]stage_hints!$A:$C,3,FALSE)</f>
        <v>敵のステータスがスキルで上がったら</v>
      </c>
      <c r="L37" s="94" t="str">
        <f>VLOOKUP(I37,[7]stage_hints!$A:$D,4,FALSE)</f>
        <v>敵のステータスがスキルでアップしたときは_x000D_ステータスダウンスキルで上書きしましょう</v>
      </c>
      <c r="M37" s="57" t="s">
        <v>210</v>
      </c>
    </row>
    <row r="38" spans="1:13" x14ac:dyDescent="0.15">
      <c r="A38" s="81" t="s">
        <v>200</v>
      </c>
      <c r="B38" s="82">
        <f>floors!$C$2</f>
        <v>41002</v>
      </c>
      <c r="C38" s="83" t="str">
        <f ca="1">VLOOKUP($B38,OFFSET([2]quests!$A$1,0,0,COUNTA([2]quests!$A:$A),MATCH(C$1,[2]quests!$1:$1,0)-MATCH($B$1,[2]quests!$1:$1,0)+1),MATCH(C$1,[2]quests!$1:$1,0)-MATCH($B$1,[2]quests!$1:$1,0)+1,FALSE)</f>
        <v>アザゼル襲来！</v>
      </c>
      <c r="D38" s="83" t="str">
        <f ca="1">VLOOKUP($B38,OFFSET([2]quests!$A$1,0,0,COUNTA([2]quests!$A:$A),MATCH(D$1,[2]quests!$1:$1,0)-MATCH($B$1,[2]quests!$1:$1,0)+1),MATCH(D$1,[2]quests!$1:$1,0)-MATCH($B$1,[2]quests!$1:$1,0)+1,FALSE)</f>
        <v>降臨1</v>
      </c>
      <c r="E38" s="87">
        <v>3</v>
      </c>
      <c r="F38" s="83" t="str">
        <f ca="1">VLOOKUP($B38&amp;"_"&amp;$E38,OFFSET([2]stages!$A$1,0,0,COUNTA([2]stages!$A:$A),MATCH(F$1,[2]stages!$2:$2,0)-MATCH("temp_stage",[2]stages!$2:$2,0)+1),MATCH(F$1,[2]stages!$2:$2,0)-MATCH("temp_stage",[2]stages!$2:$2,0)+1,FALSE)</f>
        <v>【ノーコンテニュー】アザゼル襲来</v>
      </c>
      <c r="G38" s="83" t="str">
        <f ca="1">VLOOKUP($B38&amp;"_"&amp;$E38,OFFSET([2]stages!$A$1,0,0,COUNTA([2]stages!$A:$A),MATCH(G$1,[2]stages!$2:$2,0)-MATCH("temp_stage",[2]stages!$2:$2,0)+1),MATCH(G$1,[2]stages!$2:$2,0)-MATCH("temp_stage",[2]stages!$2:$2,0)+1,FALSE)</f>
        <v>降臨1</v>
      </c>
      <c r="H38" s="85">
        <v>0</v>
      </c>
      <c r="I38">
        <v>36</v>
      </c>
      <c r="J38" s="84" t="s">
        <v>197</v>
      </c>
      <c r="K38" s="93" t="str">
        <f>VLOOKUP(I38,[7]stage_hints!$A:$C,3,FALSE)</f>
        <v>タワーオブザクイーンのボス</v>
      </c>
      <c r="L38" s="94" t="str">
        <f>VLOOKUP(I38,[7]stage_hints!$A:$D,4,FALSE)</f>
        <v>「タワーオブザクイーン」最上階のボスは_x000D_15階の初回クリア報酬で獲得できるほか_x000D_その階にて低確率でドロップもします</v>
      </c>
      <c r="M38" s="57" t="s">
        <v>210</v>
      </c>
    </row>
    <row r="39" spans="1:13" x14ac:dyDescent="0.15">
      <c r="A39" s="81" t="s">
        <v>200</v>
      </c>
      <c r="B39" s="82">
        <f>floors!$C$2</f>
        <v>41002</v>
      </c>
      <c r="C39" s="83" t="str">
        <f ca="1">VLOOKUP($B39,OFFSET([2]quests!$A$1,0,0,COUNTA([2]quests!$A:$A),MATCH(C$1,[2]quests!$1:$1,0)-MATCH($B$1,[2]quests!$1:$1,0)+1),MATCH(C$1,[2]quests!$1:$1,0)-MATCH($B$1,[2]quests!$1:$1,0)+1,FALSE)</f>
        <v>アザゼル襲来！</v>
      </c>
      <c r="D39" s="83" t="str">
        <f ca="1">VLOOKUP($B39,OFFSET([2]quests!$A$1,0,0,COUNTA([2]quests!$A:$A),MATCH(D$1,[2]quests!$1:$1,0)-MATCH($B$1,[2]quests!$1:$1,0)+1),MATCH(D$1,[2]quests!$1:$1,0)-MATCH($B$1,[2]quests!$1:$1,0)+1,FALSE)</f>
        <v>降臨1</v>
      </c>
      <c r="E39" s="87">
        <v>3</v>
      </c>
      <c r="F39" s="83" t="str">
        <f ca="1">VLOOKUP($B39&amp;"_"&amp;$E39,OFFSET([2]stages!$A$1,0,0,COUNTA([2]stages!$A:$A),MATCH(F$1,[2]stages!$2:$2,0)-MATCH("temp_stage",[2]stages!$2:$2,0)+1),MATCH(F$1,[2]stages!$2:$2,0)-MATCH("temp_stage",[2]stages!$2:$2,0)+1,FALSE)</f>
        <v>【ノーコンテニュー】アザゼル襲来</v>
      </c>
      <c r="G39" s="83" t="str">
        <f ca="1">VLOOKUP($B39&amp;"_"&amp;$E39,OFFSET([2]stages!$A$1,0,0,COUNTA([2]stages!$A:$A),MATCH(G$1,[2]stages!$2:$2,0)-MATCH("temp_stage",[2]stages!$2:$2,0)+1),MATCH(G$1,[2]stages!$2:$2,0)-MATCH("temp_stage",[2]stages!$2:$2,0)+1,FALSE)</f>
        <v>降臨1</v>
      </c>
      <c r="H39" s="85">
        <v>0</v>
      </c>
      <c r="I39">
        <v>37</v>
      </c>
      <c r="J39" s="84" t="s">
        <v>197</v>
      </c>
      <c r="K39" s="93" t="str">
        <f>VLOOKUP(I39,[7]stage_hints!$A:$C,3,FALSE)</f>
        <v>限界突破値の引き継ぎ</v>
      </c>
      <c r="L39" s="94" t="str">
        <f>VLOOKUP(I39,[7]stage_hints!$A:$D,4,FALSE)</f>
        <v>同じユニットを強化で合成すると_x000D_限界突破値を引き継げます（覚醒前後も可）</v>
      </c>
      <c r="M39" s="57" t="s">
        <v>210</v>
      </c>
    </row>
    <row r="40" spans="1:13" x14ac:dyDescent="0.15">
      <c r="A40" s="81" t="s">
        <v>200</v>
      </c>
      <c r="B40" s="82">
        <f>floors!$C$2</f>
        <v>41002</v>
      </c>
      <c r="C40" s="83" t="str">
        <f ca="1">VLOOKUP($B40,OFFSET([2]quests!$A$1,0,0,COUNTA([2]quests!$A:$A),MATCH(C$1,[2]quests!$1:$1,0)-MATCH($B$1,[2]quests!$1:$1,0)+1),MATCH(C$1,[2]quests!$1:$1,0)-MATCH($B$1,[2]quests!$1:$1,0)+1,FALSE)</f>
        <v>アザゼル襲来！</v>
      </c>
      <c r="D40" s="83" t="str">
        <f ca="1">VLOOKUP($B40,OFFSET([2]quests!$A$1,0,0,COUNTA([2]quests!$A:$A),MATCH(D$1,[2]quests!$1:$1,0)-MATCH($B$1,[2]quests!$1:$1,0)+1),MATCH(D$1,[2]quests!$1:$1,0)-MATCH($B$1,[2]quests!$1:$1,0)+1,FALSE)</f>
        <v>降臨1</v>
      </c>
      <c r="E40" s="87">
        <v>3</v>
      </c>
      <c r="F40" s="83" t="str">
        <f ca="1">VLOOKUP($B40&amp;"_"&amp;$E40,OFFSET([2]stages!$A$1,0,0,COUNTA([2]stages!$A:$A),MATCH(F$1,[2]stages!$2:$2,0)-MATCH("temp_stage",[2]stages!$2:$2,0)+1),MATCH(F$1,[2]stages!$2:$2,0)-MATCH("temp_stage",[2]stages!$2:$2,0)+1,FALSE)</f>
        <v>【ノーコンテニュー】アザゼル襲来</v>
      </c>
      <c r="G40" s="83" t="str">
        <f ca="1">VLOOKUP($B40&amp;"_"&amp;$E40,OFFSET([2]stages!$A$1,0,0,COUNTA([2]stages!$A:$A),MATCH(G$1,[2]stages!$2:$2,0)-MATCH("temp_stage",[2]stages!$2:$2,0)+1),MATCH(G$1,[2]stages!$2:$2,0)-MATCH("temp_stage",[2]stages!$2:$2,0)+1,FALSE)</f>
        <v>降臨1</v>
      </c>
      <c r="H40" s="85">
        <v>0</v>
      </c>
      <c r="I40">
        <v>39</v>
      </c>
      <c r="J40" s="84" t="s">
        <v>197</v>
      </c>
      <c r="K40" s="93" t="str">
        <f>VLOOKUP(I40,[7]stage_hints!$A:$C,3,FALSE)</f>
        <v>システム適合者を確認</v>
      </c>
      <c r="L40" s="94" t="str">
        <f>VLOOKUP(I40,[7]stage_hints!$A:$D,4,FALSE)</f>
        <v>ALICEが 「アナタ」を呼んでいます</v>
      </c>
      <c r="M40" s="57" t="s">
        <v>210</v>
      </c>
    </row>
  </sheetData>
  <phoneticPr fontId="5"/>
  <dataValidations count="1">
    <dataValidation type="list" allowBlank="1" showInputMessage="1" showErrorMessage="1" sqref="A2:A4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1"/>
  <sheetViews>
    <sheetView showGridLines="0" workbookViewId="0">
      <pane ySplit="1" topLeftCell="A2" activePane="bottomLeft" state="frozen"/>
      <selection pane="bottomLeft" activeCell="M10" sqref="M10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187</v>
      </c>
      <c r="B1" s="72" t="s">
        <v>150</v>
      </c>
      <c r="C1" s="77" t="s">
        <v>189</v>
      </c>
      <c r="D1" s="77" t="s">
        <v>33</v>
      </c>
      <c r="E1" s="72" t="s">
        <v>190</v>
      </c>
      <c r="F1" s="77" t="s">
        <v>18</v>
      </c>
      <c r="G1" s="77" t="s">
        <v>33</v>
      </c>
      <c r="H1" s="72" t="s">
        <v>192</v>
      </c>
      <c r="I1" s="89" t="s">
        <v>193</v>
      </c>
      <c r="J1" s="91" t="s">
        <v>194</v>
      </c>
      <c r="K1" s="79" t="s">
        <v>126</v>
      </c>
      <c r="L1" s="78" t="s">
        <v>186</v>
      </c>
      <c r="M1" s="92" t="s">
        <v>185</v>
      </c>
      <c r="N1" s="80" t="s">
        <v>195</v>
      </c>
    </row>
    <row r="2" spans="1:14" ht="56" x14ac:dyDescent="0.15">
      <c r="A2" s="81" t="s">
        <v>196</v>
      </c>
      <c r="B2" s="82">
        <f>floors!$C$2</f>
        <v>41002</v>
      </c>
      <c r="C2" s="83" t="str">
        <f ca="1">VLOOKUP($B2,OFFSET([2]quests!$A$1,0,0,COUNTA([2]quests!$A:$A),MATCH(C$1,[2]quests!$1:$1,0)-MATCH($B$1,[2]quests!$1:$1,0)+1),MATCH(C$1,[2]quests!$1:$1,0)-MATCH($B$1,[2]quests!$1:$1,0)+1,FALSE)</f>
        <v>アザゼル襲来！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降臨1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【超絶級】アザゼル襲来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85">
        <v>1</v>
      </c>
      <c r="I2" s="90">
        <f t="shared" ref="I2:I21" si="0">ROW()-1</f>
        <v>1</v>
      </c>
      <c r="J2" s="86" t="str">
        <f t="shared" ref="J2:J21" si="1">B2&amp;TEXT(I2,"00")</f>
        <v>4100201</v>
      </c>
      <c r="K2" s="84" t="s">
        <v>197</v>
      </c>
      <c r="L2" s="87" t="s">
        <v>198</v>
      </c>
      <c r="M2" s="179" t="s">
        <v>328</v>
      </c>
      <c r="N2" s="57" t="s">
        <v>199</v>
      </c>
    </row>
    <row r="3" spans="1:14" ht="28" x14ac:dyDescent="0.15">
      <c r="A3" s="81" t="s">
        <v>196</v>
      </c>
      <c r="B3" s="82">
        <f>floors!$C$2</f>
        <v>41002</v>
      </c>
      <c r="C3" s="83" t="str">
        <f ca="1">VLOOKUP($B3,OFFSET([2]quests!$A$1,0,0,COUNTA([2]quests!$A:$A),MATCH(C$1,[2]quests!$1:$1,0)-MATCH($B$1,[2]quests!$1:$1,0)+1),MATCH(C$1,[2]quests!$1:$1,0)-MATCH($B$1,[2]quests!$1:$1,0)+1,FALSE)</f>
        <v>アザゼル襲来！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降臨1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【超絶級】アザゼル襲来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85">
        <v>2</v>
      </c>
      <c r="I3" s="90">
        <f t="shared" si="0"/>
        <v>2</v>
      </c>
      <c r="J3" s="86" t="str">
        <f t="shared" si="1"/>
        <v>4100202</v>
      </c>
      <c r="K3" s="84" t="s">
        <v>197</v>
      </c>
      <c r="L3" s="87" t="s">
        <v>198</v>
      </c>
      <c r="M3" s="179" t="s">
        <v>327</v>
      </c>
      <c r="N3" s="57" t="s">
        <v>199</v>
      </c>
    </row>
    <row r="4" spans="1:14" ht="56" x14ac:dyDescent="0.15">
      <c r="A4" s="81" t="s">
        <v>196</v>
      </c>
      <c r="B4" s="82">
        <f>floors!$C$2</f>
        <v>41002</v>
      </c>
      <c r="C4" s="83" t="str">
        <f ca="1">VLOOKUP($B4,OFFSET([2]quests!$A$1,0,0,COUNTA([2]quests!$A:$A),MATCH(C$1,[2]quests!$1:$1,0)-MATCH($B$1,[2]quests!$1:$1,0)+1),MATCH(C$1,[2]quests!$1:$1,0)-MATCH($B$1,[2]quests!$1:$1,0)+1,FALSE)</f>
        <v>アザゼル襲来！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降臨1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【超絶級】アザゼル襲来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85">
        <v>3</v>
      </c>
      <c r="I4" s="90">
        <f t="shared" si="0"/>
        <v>3</v>
      </c>
      <c r="J4" s="86" t="str">
        <f t="shared" si="1"/>
        <v>4100203</v>
      </c>
      <c r="K4" s="84" t="s">
        <v>197</v>
      </c>
      <c r="L4" s="87" t="s">
        <v>198</v>
      </c>
      <c r="M4" s="180" t="s">
        <v>337</v>
      </c>
      <c r="N4" s="57" t="s">
        <v>199</v>
      </c>
    </row>
    <row r="5" spans="1:14" ht="28" x14ac:dyDescent="0.15">
      <c r="A5" s="81" t="s">
        <v>196</v>
      </c>
      <c r="B5" s="82">
        <f>floors!$C$2</f>
        <v>41002</v>
      </c>
      <c r="C5" s="83" t="str">
        <f ca="1">VLOOKUP($B5,OFFSET([2]quests!$A$1,0,0,COUNTA([2]quests!$A:$A),MATCH(C$1,[2]quests!$1:$1,0)-MATCH($B$1,[2]quests!$1:$1,0)+1),MATCH(C$1,[2]quests!$1:$1,0)-MATCH($B$1,[2]quests!$1:$1,0)+1,FALSE)</f>
        <v>アザゼル襲来！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降臨1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【超絶級】アザゼル襲来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85">
        <v>3</v>
      </c>
      <c r="I5" s="90">
        <f t="shared" si="0"/>
        <v>4</v>
      </c>
      <c r="J5" s="86" t="str">
        <f t="shared" si="1"/>
        <v>4100204</v>
      </c>
      <c r="K5" s="84" t="s">
        <v>197</v>
      </c>
      <c r="L5" s="87" t="s">
        <v>198</v>
      </c>
      <c r="M5" s="180" t="s">
        <v>329</v>
      </c>
      <c r="N5" s="57" t="s">
        <v>199</v>
      </c>
    </row>
    <row r="6" spans="1:14" ht="56" x14ac:dyDescent="0.15">
      <c r="A6" s="81" t="s">
        <v>196</v>
      </c>
      <c r="B6" s="82">
        <f>floors!$C$2</f>
        <v>41002</v>
      </c>
      <c r="C6" s="83" t="str">
        <f ca="1">VLOOKUP($B6,OFFSET([2]quests!$A$1,0,0,COUNTA([2]quests!$A:$A),MATCH(C$1,[2]quests!$1:$1,0)-MATCH($B$1,[2]quests!$1:$1,0)+1),MATCH(C$1,[2]quests!$1:$1,0)-MATCH($B$1,[2]quests!$1:$1,0)+1,FALSE)</f>
        <v>アザゼル襲来！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降臨1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【超絶級】アザゼル襲来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85">
        <v>4</v>
      </c>
      <c r="I6" s="90">
        <f t="shared" si="0"/>
        <v>5</v>
      </c>
      <c r="J6" s="86" t="str">
        <f t="shared" si="1"/>
        <v>4100205</v>
      </c>
      <c r="K6" s="84" t="s">
        <v>197</v>
      </c>
      <c r="L6" s="87" t="s">
        <v>198</v>
      </c>
      <c r="M6" s="179" t="s">
        <v>333</v>
      </c>
      <c r="N6" s="57" t="s">
        <v>199</v>
      </c>
    </row>
    <row r="7" spans="1:14" ht="57" thickBot="1" x14ac:dyDescent="0.2">
      <c r="A7" s="151" t="s">
        <v>196</v>
      </c>
      <c r="B7" s="181">
        <f>floors!$C$2</f>
        <v>41002</v>
      </c>
      <c r="C7" s="182" t="str">
        <f ca="1">VLOOKUP($B7,OFFSET([2]quests!$A$1,0,0,COUNTA([2]quests!$A:$A),MATCH(C$1,[2]quests!$1:$1,0)-MATCH($B$1,[2]quests!$1:$1,0)+1),MATCH(C$1,[2]quests!$1:$1,0)-MATCH($B$1,[2]quests!$1:$1,0)+1,FALSE)</f>
        <v>アザゼル襲来！</v>
      </c>
      <c r="D7" s="182" t="str">
        <f ca="1">VLOOKUP($B7,OFFSET([2]quests!$A$1,0,0,COUNTA([2]quests!$A:$A),MATCH(D$1,[2]quests!$1:$1,0)-MATCH($B$1,[2]quests!$1:$1,0)+1),MATCH(D$1,[2]quests!$1:$1,0)-MATCH($B$1,[2]quests!$1:$1,0)+1,FALSE)</f>
        <v>降臨1</v>
      </c>
      <c r="E7" s="183">
        <v>1</v>
      </c>
      <c r="F7" s="182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【超絶級】アザゼル襲来</v>
      </c>
      <c r="G7" s="182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184">
        <v>4</v>
      </c>
      <c r="I7" s="185">
        <f t="shared" si="0"/>
        <v>6</v>
      </c>
      <c r="J7" s="186" t="str">
        <f t="shared" si="1"/>
        <v>4100206</v>
      </c>
      <c r="K7" s="183" t="s">
        <v>197</v>
      </c>
      <c r="L7" s="187" t="s">
        <v>198</v>
      </c>
      <c r="M7" s="188" t="s">
        <v>334</v>
      </c>
      <c r="N7" s="150" t="s">
        <v>199</v>
      </c>
    </row>
    <row r="8" spans="1:14" ht="56" x14ac:dyDescent="0.15">
      <c r="A8" s="189" t="s">
        <v>196</v>
      </c>
      <c r="B8" s="190">
        <f>floors!$C$2</f>
        <v>41002</v>
      </c>
      <c r="C8" s="191" t="str">
        <f ca="1">VLOOKUP($B8,OFFSET([2]quests!$A$1,0,0,COUNTA([2]quests!$A:$A),MATCH(C$1,[2]quests!$1:$1,0)-MATCH($B$1,[2]quests!$1:$1,0)+1),MATCH(C$1,[2]quests!$1:$1,0)-MATCH($B$1,[2]quests!$1:$1,0)+1,FALSE)</f>
        <v>アザゼル襲来！</v>
      </c>
      <c r="D8" s="191" t="str">
        <f ca="1">VLOOKUP($B8,OFFSET([2]quests!$A$1,0,0,COUNTA([2]quests!$A:$A),MATCH(D$1,[2]quests!$1:$1,0)-MATCH($B$1,[2]quests!$1:$1,0)+1),MATCH(D$1,[2]quests!$1:$1,0)-MATCH($B$1,[2]quests!$1:$1,0)+1,FALSE)</f>
        <v>降臨1</v>
      </c>
      <c r="E8" s="192">
        <v>2</v>
      </c>
      <c r="F8" s="191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【ウィザード級】アザゼル襲来</v>
      </c>
      <c r="G8" s="191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193">
        <v>1</v>
      </c>
      <c r="I8" s="194">
        <f t="shared" si="0"/>
        <v>7</v>
      </c>
      <c r="J8" s="195" t="str">
        <f t="shared" si="1"/>
        <v>4100207</v>
      </c>
      <c r="K8" s="192" t="s">
        <v>197</v>
      </c>
      <c r="L8" s="196" t="s">
        <v>198</v>
      </c>
      <c r="M8" s="197" t="s">
        <v>328</v>
      </c>
      <c r="N8" s="198" t="s">
        <v>199</v>
      </c>
    </row>
    <row r="9" spans="1:14" ht="28" x14ac:dyDescent="0.15">
      <c r="A9" s="81" t="s">
        <v>196</v>
      </c>
      <c r="B9" s="82">
        <f>floors!$C$2</f>
        <v>41002</v>
      </c>
      <c r="C9" s="83" t="str">
        <f ca="1">VLOOKUP($B9,OFFSET([2]quests!$A$1,0,0,COUNTA([2]quests!$A:$A),MATCH(C$1,[2]quests!$1:$1,0)-MATCH($B$1,[2]quests!$1:$1,0)+1),MATCH(C$1,[2]quests!$1:$1,0)-MATCH($B$1,[2]quests!$1:$1,0)+1,FALSE)</f>
        <v>アザゼル襲来！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降臨1</v>
      </c>
      <c r="E9" s="84">
        <v>2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【ウィザード級】アザゼル襲来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85">
        <v>2</v>
      </c>
      <c r="I9" s="90">
        <f t="shared" si="0"/>
        <v>8</v>
      </c>
      <c r="J9" s="86" t="str">
        <f t="shared" si="1"/>
        <v>4100208</v>
      </c>
      <c r="K9" s="84" t="s">
        <v>197</v>
      </c>
      <c r="L9" s="87" t="s">
        <v>198</v>
      </c>
      <c r="M9" s="179" t="s">
        <v>327</v>
      </c>
      <c r="N9" s="57" t="s">
        <v>199</v>
      </c>
    </row>
    <row r="10" spans="1:14" ht="56" x14ac:dyDescent="0.15">
      <c r="A10" s="81" t="s">
        <v>196</v>
      </c>
      <c r="B10" s="82">
        <f>floors!$C$2</f>
        <v>41002</v>
      </c>
      <c r="C10" s="83" t="str">
        <f ca="1">VLOOKUP($B10,OFFSET([2]quests!$A$1,0,0,COUNTA([2]quests!$A:$A),MATCH(C$1,[2]quests!$1:$1,0)-MATCH($B$1,[2]quests!$1:$1,0)+1),MATCH(C$1,[2]quests!$1:$1,0)-MATCH($B$1,[2]quests!$1:$1,0)+1,FALSE)</f>
        <v>アザゼル襲来！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84">
        <v>2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【ウィザード級】アザゼル襲来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85">
        <v>3</v>
      </c>
      <c r="I10" s="90">
        <f t="shared" si="0"/>
        <v>9</v>
      </c>
      <c r="J10" s="86" t="str">
        <f t="shared" si="1"/>
        <v>4100209</v>
      </c>
      <c r="K10" s="84" t="s">
        <v>197</v>
      </c>
      <c r="L10" s="87" t="s">
        <v>198</v>
      </c>
      <c r="M10" s="180" t="s">
        <v>337</v>
      </c>
      <c r="N10" s="57" t="s">
        <v>199</v>
      </c>
    </row>
    <row r="11" spans="1:14" ht="28" x14ac:dyDescent="0.15">
      <c r="A11" s="81" t="s">
        <v>196</v>
      </c>
      <c r="B11" s="82">
        <f>floors!$C$2</f>
        <v>41002</v>
      </c>
      <c r="C11" s="83" t="str">
        <f ca="1">VLOOKUP($B11,OFFSET([2]quests!$A$1,0,0,COUNTA([2]quests!$A:$A),MATCH(C$1,[2]quests!$1:$1,0)-MATCH($B$1,[2]quests!$1:$1,0)+1),MATCH(C$1,[2]quests!$1:$1,0)-MATCH($B$1,[2]quests!$1:$1,0)+1,FALSE)</f>
        <v>アザゼル襲来！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84">
        <v>2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【ウィザード級】アザゼル襲来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85">
        <v>3</v>
      </c>
      <c r="I11" s="90">
        <f t="shared" si="0"/>
        <v>10</v>
      </c>
      <c r="J11" s="86" t="str">
        <f t="shared" si="1"/>
        <v>4100210</v>
      </c>
      <c r="K11" s="84" t="s">
        <v>197</v>
      </c>
      <c r="L11" s="87" t="s">
        <v>198</v>
      </c>
      <c r="M11" s="180" t="s">
        <v>329</v>
      </c>
      <c r="N11" s="57" t="s">
        <v>199</v>
      </c>
    </row>
    <row r="12" spans="1:14" ht="56" x14ac:dyDescent="0.15">
      <c r="A12" s="81" t="s">
        <v>196</v>
      </c>
      <c r="B12" s="82">
        <f>floors!$C$2</f>
        <v>41002</v>
      </c>
      <c r="C12" s="83" t="str">
        <f ca="1">VLOOKUP($B12,OFFSET([2]quests!$A$1,0,0,COUNTA([2]quests!$A:$A),MATCH(C$1,[2]quests!$1:$1,0)-MATCH($B$1,[2]quests!$1:$1,0)+1),MATCH(C$1,[2]quests!$1:$1,0)-MATCH($B$1,[2]quests!$1:$1,0)+1,FALSE)</f>
        <v>アザゼル襲来！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84">
        <v>2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【ウィザード級】アザゼル襲来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85">
        <v>4</v>
      </c>
      <c r="I12" s="90">
        <f t="shared" si="0"/>
        <v>11</v>
      </c>
      <c r="J12" s="86" t="str">
        <f t="shared" si="1"/>
        <v>4100211</v>
      </c>
      <c r="K12" s="84" t="s">
        <v>197</v>
      </c>
      <c r="L12" s="87" t="s">
        <v>198</v>
      </c>
      <c r="M12" s="179" t="s">
        <v>333</v>
      </c>
      <c r="N12" s="57" t="s">
        <v>199</v>
      </c>
    </row>
    <row r="13" spans="1:14" ht="56" x14ac:dyDescent="0.15">
      <c r="A13" s="81" t="s">
        <v>196</v>
      </c>
      <c r="B13" s="82">
        <f>floors!$C$2</f>
        <v>41002</v>
      </c>
      <c r="C13" s="83" t="str">
        <f ca="1">VLOOKUP($B13,OFFSET([2]quests!$A$1,0,0,COUNTA([2]quests!$A:$A),MATCH(C$1,[2]quests!$1:$1,0)-MATCH($B$1,[2]quests!$1:$1,0)+1),MATCH(C$1,[2]quests!$1:$1,0)-MATCH($B$1,[2]quests!$1:$1,0)+1,FALSE)</f>
        <v>アザゼル襲来！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84">
        <v>2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【ウィザード級】アザゼル襲来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85">
        <v>4</v>
      </c>
      <c r="I13" s="90">
        <f t="shared" si="0"/>
        <v>12</v>
      </c>
      <c r="J13" s="86" t="str">
        <f t="shared" si="1"/>
        <v>4100212</v>
      </c>
      <c r="K13" s="84" t="s">
        <v>197</v>
      </c>
      <c r="L13" s="87" t="s">
        <v>198</v>
      </c>
      <c r="M13" s="179" t="s">
        <v>334</v>
      </c>
      <c r="N13" s="57" t="s">
        <v>199</v>
      </c>
    </row>
    <row r="14" spans="1:14" ht="57" thickBot="1" x14ac:dyDescent="0.2">
      <c r="A14" s="81" t="s">
        <v>196</v>
      </c>
      <c r="B14" s="82">
        <f>floors!$C$2</f>
        <v>41002</v>
      </c>
      <c r="C14" s="83" t="str">
        <f ca="1">VLOOKUP($B14,OFFSET([2]quests!$A$1,0,0,COUNTA([2]quests!$A:$A),MATCH(C$1,[2]quests!$1:$1,0)-MATCH($B$1,[2]quests!$1:$1,0)+1),MATCH(C$1,[2]quests!$1:$1,0)-MATCH($B$1,[2]quests!$1:$1,0)+1,FALSE)</f>
        <v>アザゼル襲来！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84">
        <v>2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【ウィザード級】アザゼル襲来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85">
        <v>4</v>
      </c>
      <c r="I14" s="90">
        <f t="shared" si="0"/>
        <v>13</v>
      </c>
      <c r="J14" s="86" t="str">
        <f t="shared" si="1"/>
        <v>4100213</v>
      </c>
      <c r="K14" s="84" t="s">
        <v>197</v>
      </c>
      <c r="L14" s="87" t="s">
        <v>198</v>
      </c>
      <c r="M14" s="179" t="s">
        <v>335</v>
      </c>
      <c r="N14" s="57" t="s">
        <v>199</v>
      </c>
    </row>
    <row r="15" spans="1:14" ht="56" x14ac:dyDescent="0.15">
      <c r="A15" s="189" t="s">
        <v>196</v>
      </c>
      <c r="B15" s="190">
        <f>floors!$C$2</f>
        <v>41002</v>
      </c>
      <c r="C15" s="191" t="str">
        <f ca="1">VLOOKUP($B15,OFFSET([2]quests!$A$1,0,0,COUNTA([2]quests!$A:$A),MATCH(C$1,[2]quests!$1:$1,0)-MATCH($B$1,[2]quests!$1:$1,0)+1),MATCH(C$1,[2]quests!$1:$1,0)-MATCH($B$1,[2]quests!$1:$1,0)+1,FALSE)</f>
        <v>アザゼル襲来！</v>
      </c>
      <c r="D15" s="191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192">
        <v>3</v>
      </c>
      <c r="F15" s="191" t="str">
        <f ca="1">VLOOKUP($B15&amp;"_"&amp;$E15,OFFSET([2]stages!$A$1,0,0,COUNTA([2]stages!$A:$A),MATCH(F$1,[2]stages!$2:$2,0)-MATCH("temp_stage",[2]stages!$2:$2,0)+1),MATCH(F$1,[2]stages!$2:$2,0)-MATCH("temp_stage",[2]stages!$2:$2,0)+1,FALSE)</f>
        <v>【ノーコンテニュー】アザゼル襲来</v>
      </c>
      <c r="G15" s="191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193">
        <v>1</v>
      </c>
      <c r="I15" s="194">
        <f t="shared" si="0"/>
        <v>14</v>
      </c>
      <c r="J15" s="195" t="str">
        <f t="shared" si="1"/>
        <v>4100214</v>
      </c>
      <c r="K15" s="192" t="s">
        <v>197</v>
      </c>
      <c r="L15" s="196" t="s">
        <v>198</v>
      </c>
      <c r="M15" s="197" t="s">
        <v>328</v>
      </c>
      <c r="N15" s="198" t="s">
        <v>199</v>
      </c>
    </row>
    <row r="16" spans="1:14" ht="28" x14ac:dyDescent="0.15">
      <c r="A16" s="81" t="s">
        <v>196</v>
      </c>
      <c r="B16" s="82">
        <f>floors!$C$2</f>
        <v>41002</v>
      </c>
      <c r="C16" s="83" t="str">
        <f ca="1">VLOOKUP($B16,OFFSET([2]quests!$A$1,0,0,COUNTA([2]quests!$A:$A),MATCH(C$1,[2]quests!$1:$1,0)-MATCH($B$1,[2]quests!$1:$1,0)+1),MATCH(C$1,[2]quests!$1:$1,0)-MATCH($B$1,[2]quests!$1:$1,0)+1,FALSE)</f>
        <v>アザゼル襲来！</v>
      </c>
      <c r="D16" s="83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84">
        <v>3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【ノーコンテニュー】アザゼル襲来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85">
        <v>2</v>
      </c>
      <c r="I16" s="90">
        <f t="shared" si="0"/>
        <v>15</v>
      </c>
      <c r="J16" s="86" t="str">
        <f t="shared" si="1"/>
        <v>4100215</v>
      </c>
      <c r="K16" s="84" t="s">
        <v>197</v>
      </c>
      <c r="L16" s="87" t="s">
        <v>198</v>
      </c>
      <c r="M16" s="179" t="s">
        <v>327</v>
      </c>
      <c r="N16" s="57" t="s">
        <v>199</v>
      </c>
    </row>
    <row r="17" spans="1:14" ht="56" x14ac:dyDescent="0.15">
      <c r="A17" s="81" t="s">
        <v>196</v>
      </c>
      <c r="B17" s="82">
        <f>floors!$C$2</f>
        <v>41002</v>
      </c>
      <c r="C17" s="83" t="str">
        <f ca="1">VLOOKUP($B17,OFFSET([2]quests!$A$1,0,0,COUNTA([2]quests!$A:$A),MATCH(C$1,[2]quests!$1:$1,0)-MATCH($B$1,[2]quests!$1:$1,0)+1),MATCH(C$1,[2]quests!$1:$1,0)-MATCH($B$1,[2]quests!$1:$1,0)+1,FALSE)</f>
        <v>アザゼル襲来！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84">
        <v>3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【ノーコンテニュー】アザゼル襲来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85">
        <v>3</v>
      </c>
      <c r="I17" s="90">
        <f t="shared" si="0"/>
        <v>16</v>
      </c>
      <c r="J17" s="86" t="str">
        <f t="shared" si="1"/>
        <v>4100216</v>
      </c>
      <c r="K17" s="84" t="s">
        <v>197</v>
      </c>
      <c r="L17" s="87" t="s">
        <v>198</v>
      </c>
      <c r="M17" s="180" t="s">
        <v>337</v>
      </c>
      <c r="N17" s="57" t="s">
        <v>199</v>
      </c>
    </row>
    <row r="18" spans="1:14" ht="28" x14ac:dyDescent="0.15">
      <c r="A18" s="81" t="s">
        <v>196</v>
      </c>
      <c r="B18" s="82">
        <f>floors!$C$2</f>
        <v>41002</v>
      </c>
      <c r="C18" s="83" t="str">
        <f ca="1">VLOOKUP($B18,OFFSET([2]quests!$A$1,0,0,COUNTA([2]quests!$A:$A),MATCH(C$1,[2]quests!$1:$1,0)-MATCH($B$1,[2]quests!$1:$1,0)+1),MATCH(C$1,[2]quests!$1:$1,0)-MATCH($B$1,[2]quests!$1:$1,0)+1,FALSE)</f>
        <v>アザゼル襲来！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84">
        <v>3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【ノーコンテニュー】アザゼル襲来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85">
        <v>3</v>
      </c>
      <c r="I18" s="90">
        <f t="shared" si="0"/>
        <v>17</v>
      </c>
      <c r="J18" s="86" t="str">
        <f t="shared" si="1"/>
        <v>4100217</v>
      </c>
      <c r="K18" s="84" t="s">
        <v>197</v>
      </c>
      <c r="L18" s="87" t="s">
        <v>198</v>
      </c>
      <c r="M18" s="180" t="s">
        <v>329</v>
      </c>
      <c r="N18" s="57" t="s">
        <v>199</v>
      </c>
    </row>
    <row r="19" spans="1:14" ht="56" x14ac:dyDescent="0.15">
      <c r="A19" s="81" t="s">
        <v>196</v>
      </c>
      <c r="B19" s="82">
        <f>floors!$C$2</f>
        <v>41002</v>
      </c>
      <c r="C19" s="83" t="str">
        <f ca="1">VLOOKUP($B19,OFFSET([2]quests!$A$1,0,0,COUNTA([2]quests!$A:$A),MATCH(C$1,[2]quests!$1:$1,0)-MATCH($B$1,[2]quests!$1:$1,0)+1),MATCH(C$1,[2]quests!$1:$1,0)-MATCH($B$1,[2]quests!$1:$1,0)+1,FALSE)</f>
        <v>アザゼル襲来！</v>
      </c>
      <c r="D19" s="83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84">
        <v>3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【ノーコンテニュー】アザゼル襲来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降臨1</v>
      </c>
      <c r="H19" s="85">
        <v>4</v>
      </c>
      <c r="I19" s="90">
        <f t="shared" si="0"/>
        <v>18</v>
      </c>
      <c r="J19" s="86" t="str">
        <f t="shared" si="1"/>
        <v>4100218</v>
      </c>
      <c r="K19" s="84" t="s">
        <v>197</v>
      </c>
      <c r="L19" s="87" t="s">
        <v>198</v>
      </c>
      <c r="M19" s="179" t="s">
        <v>333</v>
      </c>
      <c r="N19" s="57" t="s">
        <v>199</v>
      </c>
    </row>
    <row r="20" spans="1:14" ht="56" x14ac:dyDescent="0.15">
      <c r="A20" s="81" t="s">
        <v>196</v>
      </c>
      <c r="B20" s="82">
        <f>floors!$C$2</f>
        <v>41002</v>
      </c>
      <c r="C20" s="83" t="str">
        <f ca="1">VLOOKUP($B20,OFFSET([2]quests!$A$1,0,0,COUNTA([2]quests!$A:$A),MATCH(C$1,[2]quests!$1:$1,0)-MATCH($B$1,[2]quests!$1:$1,0)+1),MATCH(C$1,[2]quests!$1:$1,0)-MATCH($B$1,[2]quests!$1:$1,0)+1,FALSE)</f>
        <v>アザゼル襲来！</v>
      </c>
      <c r="D20" s="83" t="str">
        <f ca="1">VLOOKUP($B20,OFFSET([2]quests!$A$1,0,0,COUNTA([2]quests!$A:$A),MATCH(D$1,[2]quests!$1:$1,0)-MATCH($B$1,[2]quests!$1:$1,0)+1),MATCH(D$1,[2]quests!$1:$1,0)-MATCH($B$1,[2]quests!$1:$1,0)+1,FALSE)</f>
        <v>降臨1</v>
      </c>
      <c r="E20" s="84">
        <v>3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【ノーコンテニュー】アザゼル襲来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降臨1</v>
      </c>
      <c r="H20" s="85">
        <v>4</v>
      </c>
      <c r="I20" s="90">
        <f t="shared" si="0"/>
        <v>19</v>
      </c>
      <c r="J20" s="86" t="str">
        <f t="shared" si="1"/>
        <v>4100219</v>
      </c>
      <c r="K20" s="84" t="s">
        <v>197</v>
      </c>
      <c r="L20" s="87" t="s">
        <v>198</v>
      </c>
      <c r="M20" s="179" t="s">
        <v>334</v>
      </c>
      <c r="N20" s="57" t="s">
        <v>199</v>
      </c>
    </row>
    <row r="21" spans="1:14" ht="56" x14ac:dyDescent="0.15">
      <c r="A21" s="81" t="s">
        <v>196</v>
      </c>
      <c r="B21" s="82">
        <f>floors!$C$2</f>
        <v>41002</v>
      </c>
      <c r="C21" s="83" t="str">
        <f ca="1">VLOOKUP($B21,OFFSET([2]quests!$A$1,0,0,COUNTA([2]quests!$A:$A),MATCH(C$1,[2]quests!$1:$1,0)-MATCH($B$1,[2]quests!$1:$1,0)+1),MATCH(C$1,[2]quests!$1:$1,0)-MATCH($B$1,[2]quests!$1:$1,0)+1,FALSE)</f>
        <v>アザゼル襲来！</v>
      </c>
      <c r="D21" s="83" t="str">
        <f ca="1">VLOOKUP($B21,OFFSET([2]quests!$A$1,0,0,COUNTA([2]quests!$A:$A),MATCH(D$1,[2]quests!$1:$1,0)-MATCH($B$1,[2]quests!$1:$1,0)+1),MATCH(D$1,[2]quests!$1:$1,0)-MATCH($B$1,[2]quests!$1:$1,0)+1,FALSE)</f>
        <v>降臨1</v>
      </c>
      <c r="E21" s="84">
        <v>3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【ノーコンテニュー】アザゼル襲来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降臨1</v>
      </c>
      <c r="H21" s="85">
        <v>4</v>
      </c>
      <c r="I21" s="90">
        <f t="shared" si="0"/>
        <v>20</v>
      </c>
      <c r="J21" s="86" t="str">
        <f t="shared" si="1"/>
        <v>4100220</v>
      </c>
      <c r="K21" s="84" t="s">
        <v>197</v>
      </c>
      <c r="L21" s="87" t="s">
        <v>198</v>
      </c>
      <c r="M21" s="179" t="s">
        <v>335</v>
      </c>
      <c r="N21" s="57" t="s">
        <v>199</v>
      </c>
    </row>
  </sheetData>
  <phoneticPr fontId="5"/>
  <dataValidations count="1">
    <dataValidation type="list" allowBlank="1" showInputMessage="1" showErrorMessage="1" sqref="A2:A2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2017-03-14T05:32:24Z</dcterms:modified>
</cp:coreProperties>
</file>